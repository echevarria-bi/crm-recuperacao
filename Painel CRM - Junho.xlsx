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marfood-my.sharepoint.com/personal/matheus_freitas_marfoods_com_br/Documents/Área de Trabalho/projeto_recuperacao/"/>
    </mc:Choice>
  </mc:AlternateContent>
  <xr:revisionPtr revIDLastSave="5" documentId="8_{0EE86223-7B71-4C23-91A3-D0EA0E79E9E7}" xr6:coauthVersionLast="47" xr6:coauthVersionMax="47" xr10:uidLastSave="{93136059-1F3F-4EBA-AA87-F8DDE8A85F15}"/>
  <bookViews>
    <workbookView xWindow="-108" yWindow="-108" windowWidth="23256" windowHeight="12456" activeTab="1" xr2:uid="{00000000-000D-0000-FFFF-FFFF00000000}"/>
  </bookViews>
  <sheets>
    <sheet name="Painel Geral" sheetId="10" r:id="rId1"/>
    <sheet name="Ariane" sheetId="14" r:id="rId2"/>
    <sheet name="Camila" sheetId="16" r:id="rId3"/>
    <sheet name="Cristielen" sheetId="17" r:id="rId4"/>
    <sheet name="Natalia" sheetId="18" r:id="rId5"/>
    <sheet name="Tatiana" sheetId="19" r:id="rId6"/>
    <sheet name="Planilha1" sheetId="11" state="hidden" r:id="rId7"/>
  </sheets>
  <definedNames>
    <definedName name="_xlnm._FilterDatabase" localSheetId="1" hidden="1">Ariane!$AA$2:$AG$2</definedName>
    <definedName name="_xlnm._FilterDatabase" localSheetId="2" hidden="1">Camila!$AA$2:$AG$2</definedName>
    <definedName name="_xlnm._FilterDatabase" localSheetId="3" hidden="1">Cristielen!$AA$2:$AG$2</definedName>
    <definedName name="_xlnm._FilterDatabase" localSheetId="4" hidden="1">Natalia!$AA$2:$AG$2</definedName>
    <definedName name="_xlnm._FilterDatabase" localSheetId="0" hidden="1">'Painel Geral'!#REF!</definedName>
    <definedName name="_xlnm._FilterDatabase" localSheetId="5" hidden="1">Tatiana!$AA$2:$AG$2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0" l="1"/>
  <c r="X6" i="17"/>
  <c r="X6" i="18"/>
  <c r="X25" i="16"/>
  <c r="AJ12" i="14"/>
  <c r="X6" i="16"/>
  <c r="S21" i="19"/>
  <c r="AD11" i="19"/>
  <c r="X25" i="18"/>
  <c r="X25" i="17"/>
  <c r="AD11" i="16"/>
  <c r="X25" i="14"/>
  <c r="X6" i="14"/>
  <c r="AD10" i="14"/>
  <c r="AD9" i="14"/>
  <c r="AD6" i="14"/>
  <c r="Q25" i="19"/>
  <c r="X25" i="19" s="1"/>
  <c r="C9" i="10"/>
  <c r="X24" i="19"/>
  <c r="X24" i="18"/>
  <c r="X24" i="17"/>
  <c r="X24" i="14"/>
  <c r="X24" i="16"/>
  <c r="L21" i="19"/>
  <c r="J21" i="19"/>
  <c r="L21" i="17"/>
  <c r="H21" i="19"/>
  <c r="H21" i="17"/>
  <c r="B28" i="10"/>
  <c r="C28" i="10"/>
  <c r="D28" i="10"/>
  <c r="E28" i="10"/>
  <c r="F28" i="10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C21" i="18"/>
  <c r="E21" i="18"/>
  <c r="F21" i="18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U21" i="16"/>
  <c r="V21" i="16"/>
  <c r="W21" i="16"/>
  <c r="C21" i="16"/>
  <c r="E21" i="16"/>
  <c r="F21" i="16"/>
  <c r="G21" i="16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U21" i="14"/>
  <c r="V21" i="14"/>
  <c r="W21" i="14"/>
  <c r="C21" i="14"/>
  <c r="E21" i="14"/>
  <c r="F21" i="14"/>
  <c r="C5" i="10"/>
  <c r="B38" i="10"/>
  <c r="B34" i="10"/>
  <c r="B35" i="10"/>
  <c r="B36" i="10"/>
  <c r="B37" i="10"/>
  <c r="B33" i="10"/>
  <c r="B10" i="10"/>
  <c r="H38" i="10"/>
  <c r="G38" i="10"/>
  <c r="C33" i="10"/>
  <c r="E21" i="19"/>
  <c r="E21" i="17"/>
  <c r="W21" i="19"/>
  <c r="W21" i="17"/>
  <c r="V21" i="19"/>
  <c r="U21" i="19"/>
  <c r="T21" i="19"/>
  <c r="R21" i="19"/>
  <c r="Q21" i="19"/>
  <c r="P21" i="19"/>
  <c r="O21" i="19"/>
  <c r="N21" i="19"/>
  <c r="M21" i="19"/>
  <c r="K21" i="19"/>
  <c r="I21" i="19"/>
  <c r="G21" i="19"/>
  <c r="F21" i="19"/>
  <c r="D21" i="19"/>
  <c r="C21" i="19"/>
  <c r="X6" i="19"/>
  <c r="X5" i="19"/>
  <c r="D21" i="18"/>
  <c r="X5" i="18"/>
  <c r="V21" i="17"/>
  <c r="U21" i="17"/>
  <c r="T21" i="17"/>
  <c r="S21" i="17"/>
  <c r="R21" i="17"/>
  <c r="Q21" i="17"/>
  <c r="P21" i="17"/>
  <c r="O21" i="17"/>
  <c r="N21" i="17"/>
  <c r="M21" i="17"/>
  <c r="K21" i="17"/>
  <c r="J21" i="17"/>
  <c r="I21" i="17"/>
  <c r="G21" i="17"/>
  <c r="F21" i="17"/>
  <c r="D21" i="17"/>
  <c r="C21" i="17"/>
  <c r="X5" i="17"/>
  <c r="D21" i="16"/>
  <c r="X5" i="16"/>
  <c r="X5" i="14"/>
  <c r="C34" i="10"/>
  <c r="C6" i="10"/>
  <c r="C35" i="10"/>
  <c r="C36" i="10"/>
  <c r="C37" i="10"/>
  <c r="AT38" i="10"/>
  <c r="AS38" i="10"/>
  <c r="C7" i="10"/>
  <c r="C8" i="10"/>
  <c r="D10" i="10" s="1"/>
  <c r="AT10" i="10"/>
  <c r="AS10" i="10"/>
  <c r="Y25" i="14" l="1"/>
  <c r="C38" i="10"/>
  <c r="D38" i="10" s="1"/>
  <c r="D34" i="10"/>
  <c r="Y6" i="16"/>
  <c r="Y25" i="16"/>
  <c r="Y6" i="17"/>
  <c r="Y25" i="17"/>
  <c r="Y6" i="18"/>
  <c r="Y25" i="18"/>
  <c r="Y6" i="19"/>
  <c r="Y25" i="19"/>
  <c r="D6" i="10"/>
  <c r="D7" i="10"/>
  <c r="D9" i="10"/>
  <c r="G25" i="10"/>
  <c r="U38" i="10"/>
  <c r="G19" i="10"/>
  <c r="G18" i="10"/>
  <c r="G17" i="10"/>
  <c r="G16" i="10"/>
  <c r="D8" i="10"/>
  <c r="K10" i="10"/>
  <c r="AG38" i="10"/>
  <c r="H10" i="10"/>
  <c r="F10" i="10"/>
  <c r="B11" i="10" l="1"/>
  <c r="D5" i="10"/>
  <c r="AR38" i="10"/>
  <c r="AQ38" i="10"/>
  <c r="AP38" i="10"/>
  <c r="AO38" i="10"/>
  <c r="AN38" i="10"/>
  <c r="AM38" i="10"/>
  <c r="AL38" i="10"/>
  <c r="AK38" i="10"/>
  <c r="AJ38" i="10"/>
  <c r="AI38" i="10"/>
  <c r="AH38" i="10"/>
  <c r="AF38" i="10"/>
  <c r="AE38" i="10"/>
  <c r="AD38" i="10"/>
  <c r="AC38" i="10"/>
  <c r="AB38" i="10"/>
  <c r="AA38" i="10"/>
  <c r="Z38" i="10"/>
  <c r="Y38" i="10"/>
  <c r="X38" i="10"/>
  <c r="W38" i="10"/>
  <c r="V38" i="10"/>
  <c r="T38" i="10"/>
  <c r="S38" i="10"/>
  <c r="R38" i="10"/>
  <c r="Q38" i="10"/>
  <c r="P38" i="10"/>
  <c r="D21" i="14"/>
  <c r="AB10" i="10"/>
  <c r="E38" i="10"/>
  <c r="F38" i="10"/>
  <c r="AR10" i="10"/>
  <c r="AQ10" i="10"/>
  <c r="B12" i="10" l="1"/>
  <c r="Y6" i="14"/>
  <c r="D33" i="10"/>
  <c r="AN10" i="10"/>
  <c r="D35" i="10"/>
  <c r="D36" i="10"/>
  <c r="D37" i="10"/>
  <c r="AP10" i="10"/>
  <c r="AO10" i="10"/>
  <c r="G27" i="10"/>
  <c r="G26" i="10"/>
  <c r="G24" i="10"/>
  <c r="G23" i="10"/>
  <c r="G22" i="10"/>
  <c r="H22" i="10" s="1"/>
  <c r="G21" i="10"/>
  <c r="AM10" i="10"/>
  <c r="AL10" i="10"/>
  <c r="AK10" i="10"/>
  <c r="AJ10" i="10"/>
  <c r="AI10" i="10"/>
  <c r="AH10" i="10"/>
  <c r="AG10" i="10"/>
  <c r="AF10" i="10"/>
  <c r="AE10" i="10"/>
  <c r="O38" i="10"/>
  <c r="AD10" i="10"/>
  <c r="AC10" i="10"/>
  <c r="N38" i="10"/>
  <c r="M38" i="10"/>
  <c r="J38" i="10"/>
  <c r="L38" i="10"/>
  <c r="AA10" i="10"/>
  <c r="K38" i="10"/>
  <c r="I38" i="10"/>
  <c r="M27" i="11"/>
  <c r="H22" i="11"/>
  <c r="H23" i="11"/>
  <c r="H24" i="11"/>
  <c r="H25" i="11"/>
  <c r="H26" i="11"/>
  <c r="H27" i="11"/>
  <c r="H28" i="11"/>
  <c r="H29" i="11"/>
  <c r="H21" i="11"/>
  <c r="I21" i="11" s="1"/>
  <c r="H8" i="11"/>
  <c r="H9" i="11"/>
  <c r="H10" i="11"/>
  <c r="H11" i="11"/>
  <c r="H12" i="11"/>
  <c r="H13" i="11"/>
  <c r="H14" i="11"/>
  <c r="H15" i="11"/>
  <c r="H7" i="11"/>
  <c r="I7" i="11" s="1"/>
  <c r="G30" i="11"/>
  <c r="F30" i="11"/>
  <c r="E30" i="11"/>
  <c r="D30" i="11"/>
  <c r="C30" i="11"/>
  <c r="H30" i="11" s="1"/>
  <c r="G16" i="11"/>
  <c r="F16" i="11"/>
  <c r="E16" i="11"/>
  <c r="D16" i="11"/>
  <c r="C16" i="11"/>
  <c r="H16" i="11" s="1"/>
  <c r="Y10" i="10"/>
  <c r="Z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J10" i="10"/>
  <c r="I10" i="10"/>
  <c r="G10" i="10"/>
  <c r="E10" i="10"/>
  <c r="H32" i="11" l="1"/>
  <c r="I11" i="11"/>
  <c r="I25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tc={110EB2BA-EE12-4A9C-93B2-C753A07193CE}</author>
    <author>tc={596ABB47-70D4-46F5-A058-C2D8FC71DA00}</author>
    <author>tc={12217CA1-EE75-466D-8AC1-B512AF571836}</author>
    <author>tc={4A1C36D5-D063-4B03-A1E3-F9A60A439D30}</author>
    <author>tc={ADC094F8-93F0-4C7A-9967-253DC3480842}</author>
    <author>tc={3AFBAA46-DA48-43CC-A985-16F12C06064C}</author>
    <author>tc={94A9765C-382E-41B7-B3FE-188F1629B79C}</author>
    <author>tc={3C82105C-9F43-428D-A71B-E102B2635881}</author>
    <author>tc={08A637E7-8E81-4229-B448-3015AF2A88CC}</author>
    <author>tc={6900338A-6CA0-497B-B2EF-5A255D172477}</author>
    <author>tc={D9644057-1701-4477-AEA5-AF092045E589}</author>
    <author>tc={79F78E51-A178-4AE7-8B42-DA6DAFFEEE30}</author>
    <author>tc={EF276022-B394-4A52-8308-51345081745B}</author>
  </authors>
  <commentList>
    <comment ref="AL33" authorId="0" shapeId="0" xr:uid="{110EB2BA-EE12-4A9C-93B2-C753A07193CE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 não gerou tarefas.</t>
        </r>
      </text>
    </comment>
    <comment ref="R35" authorId="1" shapeId="0" xr:uid="{596ABB47-70D4-46F5-A058-C2D8FC71DA0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T35" authorId="2" shapeId="0" xr:uid="{12217CA1-EE75-466D-8AC1-B512AF571836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V35" authorId="3" shapeId="0" xr:uid="{4A1C36D5-D063-4B03-A1E3-F9A60A439D3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X35" authorId="4" shapeId="0" xr:uid="{ADC094F8-93F0-4C7A-9967-253DC3480842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Z35" authorId="5" shapeId="0" xr:uid="{3AFBAA46-DA48-43CC-A985-16F12C06064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B35" authorId="6" shapeId="0" xr:uid="{94A9765C-382E-41B7-B3FE-188F1629B79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D35" authorId="7" shapeId="0" xr:uid="{3C82105C-9F43-428D-A71B-E102B2635881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F35" authorId="8" shapeId="0" xr:uid="{08A637E7-8E81-4229-B448-3015AF2A88C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F36" authorId="9" shapeId="0" xr:uid="{6900338A-6CA0-497B-B2EF-5A255D172477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H36" authorId="10" shapeId="0" xr:uid="{D9644057-1701-4477-AEA5-AF092045E589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J36" authorId="11" shapeId="0" xr:uid="{79F78E51-A178-4AE7-8B42-DA6DAFFEEE3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R37" authorId="12" shapeId="0" xr:uid="{EF276022-B394-4A52-8308-51345081745B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Volume intenso na sua carteira de clientes.</t>
        </r>
      </text>
    </comment>
  </commentList>
</comments>
</file>

<file path=xl/sharedStrings.xml><?xml version="1.0" encoding="utf-8"?>
<sst xmlns="http://schemas.openxmlformats.org/spreadsheetml/2006/main" count="647" uniqueCount="130">
  <si>
    <t>META RECUPERAÇÃO</t>
  </si>
  <si>
    <t>Profissional</t>
  </si>
  <si>
    <t>Meta</t>
  </si>
  <si>
    <t>Realizado</t>
  </si>
  <si>
    <t>%</t>
  </si>
  <si>
    <t>Real</t>
  </si>
  <si>
    <t>Ariane</t>
  </si>
  <si>
    <t>Camila</t>
  </si>
  <si>
    <t>Cristielen</t>
  </si>
  <si>
    <t>Natália</t>
  </si>
  <si>
    <t>Tatiana</t>
  </si>
  <si>
    <t>Total</t>
  </si>
  <si>
    <t>Conversão Total (Televendas + RCA)</t>
  </si>
  <si>
    <t>Excedente</t>
  </si>
  <si>
    <r>
      <rPr>
        <b/>
        <sz val="11"/>
        <color rgb="FF000000"/>
        <rFont val="Calibri"/>
      </rPr>
      <t xml:space="preserve">DADOS DO DIA 25/06/2025 - </t>
    </r>
    <r>
      <rPr>
        <b/>
        <i/>
        <sz val="11"/>
        <color rgb="FF000000"/>
        <rFont val="Calibri"/>
      </rPr>
      <t>PAINEL CONSOLIDADO</t>
    </r>
  </si>
  <si>
    <t>Faixa de Inatividade</t>
  </si>
  <si>
    <t>45 a 59 Risco</t>
  </si>
  <si>
    <t>60 a 74 Atenção</t>
  </si>
  <si>
    <t>75 a 84 Crítico</t>
  </si>
  <si>
    <t>Atualizado 25/06 às 21h</t>
  </si>
  <si>
    <t>85 a 90 Urgente</t>
  </si>
  <si>
    <t>Motivos</t>
  </si>
  <si>
    <t>Não atendeu/Não retornou</t>
  </si>
  <si>
    <t>Contatos Efetivo</t>
  </si>
  <si>
    <t>Baixado/Outros</t>
  </si>
  <si>
    <t>Ativo por temporada</t>
  </si>
  <si>
    <t>Conversão / Venda RCA Externo</t>
  </si>
  <si>
    <t>Telefone incorreto</t>
  </si>
  <si>
    <t>Problema Financeiro</t>
  </si>
  <si>
    <t xml:space="preserve">META CONTATOS </t>
  </si>
  <si>
    <t>Semana 1</t>
  </si>
  <si>
    <t>Semana 2</t>
  </si>
  <si>
    <t>Semana 3</t>
  </si>
  <si>
    <t>Semana 4</t>
  </si>
  <si>
    <t>Semana 5</t>
  </si>
  <si>
    <t>Qtdade</t>
  </si>
  <si>
    <t>ID:</t>
  </si>
  <si>
    <t>Nova Venda</t>
  </si>
  <si>
    <t>Valor</t>
  </si>
  <si>
    <t>Penultima venda</t>
  </si>
  <si>
    <t>RCA</t>
  </si>
  <si>
    <t>Prazo</t>
  </si>
  <si>
    <t>Moacir</t>
  </si>
  <si>
    <t>Meta Conversão</t>
  </si>
  <si>
    <t>s</t>
  </si>
  <si>
    <t>t</t>
  </si>
  <si>
    <t>q</t>
  </si>
  <si>
    <t>Lauren</t>
  </si>
  <si>
    <t>15/03/2026</t>
  </si>
  <si>
    <t>Conversão</t>
  </si>
  <si>
    <t>André</t>
  </si>
  <si>
    <t>17/04/2026</t>
  </si>
  <si>
    <t>17/03/2026</t>
  </si>
  <si>
    <t>Henrique</t>
  </si>
  <si>
    <t>Item</t>
  </si>
  <si>
    <t>16/06/2026</t>
  </si>
  <si>
    <t>18/06/2026</t>
  </si>
  <si>
    <t>15/06/2026</t>
  </si>
  <si>
    <t>14/04/2026</t>
  </si>
  <si>
    <t>Douglas</t>
  </si>
  <si>
    <t>26/06/2026</t>
  </si>
  <si>
    <t>Não atendeu</t>
  </si>
  <si>
    <t>16/04/2026</t>
  </si>
  <si>
    <t>Contato Efetivo</t>
  </si>
  <si>
    <t>Meta Contato</t>
  </si>
  <si>
    <r>
      <rPr>
        <sz val="8"/>
        <color rgb="FF000000"/>
        <rFont val="Arial"/>
        <family val="2"/>
        <scheme val="minor"/>
      </rPr>
      <t xml:space="preserve">Contatos Realizados- </t>
    </r>
    <r>
      <rPr>
        <b/>
        <sz val="8"/>
        <color rgb="FFFF0000"/>
        <rFont val="Arial"/>
        <family val="2"/>
        <scheme val="minor"/>
      </rPr>
      <t>CONTROLE META</t>
    </r>
  </si>
  <si>
    <t>P</t>
  </si>
  <si>
    <t>18/3/2026</t>
  </si>
  <si>
    <t>Anna</t>
  </si>
  <si>
    <t>20/03/2026</t>
  </si>
  <si>
    <t>27/05/2025</t>
  </si>
  <si>
    <t>Natalia</t>
  </si>
  <si>
    <t>27/02/2026</t>
  </si>
  <si>
    <t>23/04/2026</t>
  </si>
  <si>
    <t>17/6/2026</t>
  </si>
  <si>
    <t>27/4/2026</t>
  </si>
  <si>
    <t>Larissa</t>
  </si>
  <si>
    <t>18/6/2026</t>
  </si>
  <si>
    <t>Rose</t>
  </si>
  <si>
    <t>17/4/2026</t>
  </si>
  <si>
    <t>30/04/2026</t>
  </si>
  <si>
    <t>Franciele</t>
  </si>
  <si>
    <t>19/6/2026</t>
  </si>
  <si>
    <t>24/4/2026</t>
  </si>
  <si>
    <t>16/01/2026</t>
  </si>
  <si>
    <t>24/06/2026</t>
  </si>
  <si>
    <t>25/06/2026</t>
  </si>
  <si>
    <t>19/02/2026</t>
  </si>
  <si>
    <t>Jairo</t>
  </si>
  <si>
    <t>Eduarda</t>
  </si>
  <si>
    <t>24/04/2026</t>
  </si>
  <si>
    <t>20/05/2026</t>
  </si>
  <si>
    <t>28/04/2026</t>
  </si>
  <si>
    <t>Elisiane</t>
  </si>
  <si>
    <t>25/3/2026</t>
  </si>
  <si>
    <t>31/3/2026</t>
  </si>
  <si>
    <t>15/4/2026</t>
  </si>
  <si>
    <t>22/3/2026</t>
  </si>
  <si>
    <t>31/03/2026</t>
  </si>
  <si>
    <t>15/04/2026</t>
  </si>
  <si>
    <t>17/06/2026</t>
  </si>
  <si>
    <t>22/04/2026</t>
  </si>
  <si>
    <t>23/01/2026</t>
  </si>
  <si>
    <t>Renata</t>
  </si>
  <si>
    <t>22/06/2026</t>
  </si>
  <si>
    <t>23/06/2026</t>
  </si>
  <si>
    <t>25/06/26</t>
  </si>
  <si>
    <t>15/5/2026</t>
  </si>
  <si>
    <t>30/06/2026</t>
  </si>
  <si>
    <t>21/04/2026</t>
  </si>
  <si>
    <t>Andreia</t>
  </si>
  <si>
    <t>18/02/2026</t>
  </si>
  <si>
    <t>26/02/2026</t>
  </si>
  <si>
    <t>Evandro</t>
  </si>
  <si>
    <t>15/6/2026</t>
  </si>
  <si>
    <t>27/04/2026</t>
  </si>
  <si>
    <t>16/6/2026</t>
  </si>
  <si>
    <t>Ulisses</t>
  </si>
  <si>
    <t>26/03/2026</t>
  </si>
  <si>
    <t>Comparação do dia 8 para 17/4</t>
  </si>
  <si>
    <t>POSIÇÃO 8/4</t>
  </si>
  <si>
    <t>Entrou</t>
  </si>
  <si>
    <t>META CONVERSÃO FEITA</t>
  </si>
  <si>
    <t>Foi trabalhado</t>
  </si>
  <si>
    <t>Baixado Bloqueado/Prob Financeiro</t>
  </si>
  <si>
    <t>Pedido Mínimo</t>
  </si>
  <si>
    <t>POSIÇÃO 17/4</t>
  </si>
  <si>
    <t>META LIGAÇÃO/MENSAGEM</t>
  </si>
  <si>
    <t>Ataulizou entrou</t>
  </si>
  <si>
    <t>NOVOS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</si>
</sst>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4" x14ac:knownFonts="1">
    <font>
      <sz val="10"/>
      <color rgb="FF000000"/>
      <name val="Arial"/>
      <scheme val="minor"/>
    </font>
    <font>
      <sz val="8"/>
      <color theme="1"/>
      <name val="Arial"/>
      <family val="2"/>
      <scheme val="minor"/>
    </font>
    <font>
      <b/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Arial"/>
      <family val="2"/>
      <scheme val="minor"/>
    </font>
    <font>
      <sz val="8"/>
      <color theme="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9"/>
      <color rgb="FF000000"/>
      <name val="Calibri"/>
      <family val="2"/>
    </font>
    <font>
      <sz val="9"/>
      <color theme="0"/>
      <name val="Calibri"/>
      <family val="2"/>
    </font>
    <font>
      <sz val="9"/>
      <color theme="1"/>
      <name val="Calibri"/>
      <family val="2"/>
    </font>
    <font>
      <sz val="9"/>
      <name val="Calibri"/>
      <family val="2"/>
    </font>
    <font>
      <b/>
      <sz val="9"/>
      <color rgb="FF000000"/>
      <name val="Calibri"/>
      <family val="2"/>
    </font>
    <font>
      <b/>
      <sz val="9"/>
      <color theme="0"/>
      <name val="Calibri"/>
      <family val="2"/>
    </font>
    <font>
      <sz val="8"/>
      <color rgb="FF000000"/>
      <name val="Calibri"/>
      <family val="2"/>
    </font>
    <font>
      <b/>
      <sz val="9"/>
      <color rgb="FFFF0000"/>
      <name val="Calibri"/>
      <family val="2"/>
    </font>
    <font>
      <b/>
      <sz val="14"/>
      <color rgb="FFFF0000"/>
      <name val="Calibri"/>
      <family val="2"/>
    </font>
    <font>
      <sz val="14"/>
      <color rgb="FF000000"/>
      <name val="Calibri"/>
      <family val="2"/>
    </font>
    <font>
      <b/>
      <sz val="8"/>
      <color theme="0"/>
      <name val="Arial"/>
      <family val="2"/>
      <scheme val="minor"/>
    </font>
    <font>
      <b/>
      <sz val="18"/>
      <color rgb="FFFF0000"/>
      <name val="Calibri"/>
      <family val="2"/>
    </font>
    <font>
      <b/>
      <sz val="11"/>
      <color rgb="FF000000"/>
      <name val="Calibri"/>
    </font>
    <font>
      <b/>
      <i/>
      <sz val="11"/>
      <color rgb="FF000000"/>
      <name val="Calibri"/>
    </font>
    <font>
      <b/>
      <sz val="8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rgb="FF134F5C"/>
      </patternFill>
    </fill>
    <fill>
      <patternFill patternType="solid">
        <fgColor theme="4" tint="-0.499984740745262"/>
        <bgColor rgb="FF666666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48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/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/>
      <bottom style="dash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/>
      <top/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/>
      <top/>
      <bottom style="dashed">
        <color rgb="FF000000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" borderId="4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7" fillId="9" borderId="2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4" fillId="3" borderId="21" xfId="0" applyFont="1" applyFill="1" applyBorder="1" applyAlignment="1">
      <alignment horizontal="center"/>
    </xf>
    <xf numFmtId="0" fontId="5" fillId="4" borderId="21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0" fillId="9" borderId="0" xfId="0" applyFill="1"/>
    <xf numFmtId="0" fontId="3" fillId="0" borderId="2" xfId="0" applyFont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5" fillId="4" borderId="16" xfId="0" applyFont="1" applyFill="1" applyBorder="1" applyAlignment="1">
      <alignment horizontal="center"/>
    </xf>
    <xf numFmtId="0" fontId="3" fillId="6" borderId="9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0" borderId="10" xfId="0" applyBorder="1"/>
    <xf numFmtId="0" fontId="0" fillId="0" borderId="17" xfId="0" applyBorder="1"/>
    <xf numFmtId="0" fontId="0" fillId="0" borderId="28" xfId="0" applyBorder="1"/>
    <xf numFmtId="0" fontId="0" fillId="0" borderId="29" xfId="0" applyBorder="1"/>
    <xf numFmtId="0" fontId="0" fillId="0" borderId="0" xfId="0" applyAlignment="1">
      <alignment horizontal="center" vertical="center"/>
    </xf>
    <xf numFmtId="0" fontId="5" fillId="3" borderId="3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0" fillId="3" borderId="2" xfId="0" applyFont="1" applyFill="1" applyBorder="1" applyAlignment="1">
      <alignment horizontal="center"/>
    </xf>
    <xf numFmtId="0" fontId="9" fillId="0" borderId="0" xfId="0" applyFont="1"/>
    <xf numFmtId="0" fontId="10" fillId="7" borderId="2" xfId="0" applyFont="1" applyFill="1" applyBorder="1" applyAlignment="1">
      <alignment horizontal="center"/>
    </xf>
    <xf numFmtId="0" fontId="10" fillId="8" borderId="2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9" fontId="12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9" fontId="10" fillId="3" borderId="5" xfId="0" applyNumberFormat="1" applyFont="1" applyFill="1" applyBorder="1" applyAlignment="1">
      <alignment horizontal="center"/>
    </xf>
    <xf numFmtId="0" fontId="14" fillId="3" borderId="15" xfId="0" applyFont="1" applyFill="1" applyBorder="1" applyAlignment="1">
      <alignment horizontal="center" vertical="center" wrapText="1"/>
    </xf>
    <xf numFmtId="0" fontId="14" fillId="3" borderId="15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/>
    </xf>
    <xf numFmtId="0" fontId="10" fillId="3" borderId="31" xfId="0" applyFont="1" applyFill="1" applyBorder="1" applyAlignment="1">
      <alignment horizontal="center"/>
    </xf>
    <xf numFmtId="0" fontId="10" fillId="3" borderId="32" xfId="0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9" fontId="12" fillId="0" borderId="2" xfId="0" applyNumberFormat="1" applyFont="1" applyBorder="1" applyAlignment="1">
      <alignment horizontal="center"/>
    </xf>
    <xf numFmtId="9" fontId="10" fillId="3" borderId="2" xfId="0" applyNumberFormat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" fontId="1" fillId="0" borderId="0" xfId="0" applyNumberFormat="1" applyFont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6" fillId="0" borderId="0" xfId="0" applyFont="1" applyAlignment="1">
      <alignment vertical="center"/>
    </xf>
    <xf numFmtId="0" fontId="1" fillId="0" borderId="5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9" fillId="10" borderId="0" xfId="0" applyFont="1" applyFill="1" applyAlignment="1">
      <alignment horizontal="center"/>
    </xf>
    <xf numFmtId="14" fontId="0" fillId="6" borderId="2" xfId="0" applyNumberFormat="1" applyFill="1" applyBorder="1" applyAlignment="1">
      <alignment horizontal="center"/>
    </xf>
    <xf numFmtId="0" fontId="11" fillId="6" borderId="2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5" fillId="4" borderId="35" xfId="0" applyFont="1" applyFill="1" applyBorder="1" applyAlignment="1">
      <alignment horizontal="center"/>
    </xf>
    <xf numFmtId="0" fontId="5" fillId="4" borderId="36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39" xfId="0" applyFont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0" fillId="3" borderId="43" xfId="0" applyFont="1" applyFill="1" applyBorder="1" applyAlignment="1">
      <alignment horizontal="center"/>
    </xf>
    <xf numFmtId="0" fontId="10" fillId="3" borderId="44" xfId="0" applyFont="1" applyFill="1" applyBorder="1" applyAlignment="1">
      <alignment horizontal="center"/>
    </xf>
    <xf numFmtId="0" fontId="20" fillId="0" borderId="0" xfId="0" applyFont="1"/>
    <xf numFmtId="0" fontId="9" fillId="0" borderId="41" xfId="0" applyFont="1" applyBorder="1" applyAlignment="1">
      <alignment vertical="center"/>
    </xf>
    <xf numFmtId="0" fontId="1" fillId="6" borderId="33" xfId="0" applyFont="1" applyFill="1" applyBorder="1" applyAlignment="1">
      <alignment horizontal="center"/>
    </xf>
    <xf numFmtId="0" fontId="3" fillId="0" borderId="35" xfId="0" applyFont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14" fontId="0" fillId="12" borderId="2" xfId="0" applyNumberForma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0" fillId="0" borderId="2" xfId="0" applyBorder="1" applyAlignment="1">
      <alignment horizontal="center"/>
    </xf>
    <xf numFmtId="0" fontId="0" fillId="13" borderId="2" xfId="0" applyFill="1" applyBorder="1" applyAlignment="1">
      <alignment horizontal="center"/>
    </xf>
    <xf numFmtId="14" fontId="0" fillId="13" borderId="2" xfId="0" applyNumberForma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6" borderId="16" xfId="0" applyFont="1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14" fontId="0" fillId="6" borderId="16" xfId="0" applyNumberFormat="1" applyFill="1" applyBorder="1" applyAlignment="1">
      <alignment horizontal="center"/>
    </xf>
    <xf numFmtId="0" fontId="0" fillId="0" borderId="16" xfId="0" applyBorder="1" applyAlignment="1">
      <alignment horizontal="center"/>
    </xf>
    <xf numFmtId="2" fontId="0" fillId="0" borderId="0" xfId="0" applyNumberFormat="1"/>
    <xf numFmtId="0" fontId="13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13" borderId="2" xfId="0" applyFill="1" applyBorder="1" applyAlignment="1">
      <alignment horizontal="center" wrapText="1"/>
    </xf>
    <xf numFmtId="0" fontId="14" fillId="3" borderId="2" xfId="0" applyFont="1" applyFill="1" applyBorder="1" applyAlignment="1">
      <alignment horizontal="center"/>
    </xf>
    <xf numFmtId="0" fontId="10" fillId="3" borderId="2" xfId="0" applyFont="1" applyFill="1" applyBorder="1" applyAlignment="1">
      <alignment horizontal="center"/>
    </xf>
    <xf numFmtId="0" fontId="21" fillId="9" borderId="11" xfId="0" applyFont="1" applyFill="1" applyBorder="1" applyAlignment="1">
      <alignment horizontal="center"/>
    </xf>
    <xf numFmtId="0" fontId="21" fillId="9" borderId="12" xfId="0" applyFont="1" applyFill="1" applyBorder="1" applyAlignment="1">
      <alignment horizontal="center"/>
    </xf>
    <xf numFmtId="0" fontId="21" fillId="9" borderId="13" xfId="0" applyFont="1" applyFill="1" applyBorder="1" applyAlignment="1">
      <alignment horizontal="center"/>
    </xf>
    <xf numFmtId="0" fontId="13" fillId="9" borderId="11" xfId="0" applyFont="1" applyFill="1" applyBorder="1" applyAlignment="1">
      <alignment horizontal="center"/>
    </xf>
    <xf numFmtId="0" fontId="13" fillId="9" borderId="12" xfId="0" applyFont="1" applyFill="1" applyBorder="1" applyAlignment="1">
      <alignment horizontal="center"/>
    </xf>
    <xf numFmtId="0" fontId="13" fillId="9" borderId="13" xfId="0" applyFont="1" applyFill="1" applyBorder="1" applyAlignment="1">
      <alignment horizontal="center"/>
    </xf>
    <xf numFmtId="0" fontId="10" fillId="3" borderId="42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/>
    </xf>
    <xf numFmtId="0" fontId="2" fillId="9" borderId="45" xfId="0" applyFont="1" applyFill="1" applyBorder="1" applyAlignment="1">
      <alignment horizontal="center"/>
    </xf>
    <xf numFmtId="0" fontId="2" fillId="9" borderId="46" xfId="0" applyFont="1" applyFill="1" applyBorder="1" applyAlignment="1">
      <alignment horizontal="center"/>
    </xf>
    <xf numFmtId="0" fontId="2" fillId="9" borderId="47" xfId="0" applyFont="1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30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B28A1A93-5AC4-489D-B206-F060AFB24AB5}">
    <nsvFilter filterId="{9F0B89EE-7A7A-4DD1-9FE6-736B949DBD92}" ref="AA2:AG2" tableId="0">
      <sortRules>
        <sortRule colId="2">
          <sortCondition ref="AC2"/>
        </sortRule>
      </sortRules>
    </nsvFilter>
  </namedSheetView>
  <namedSheetView name="Exibir2" id="{B50C5215-93C7-48DF-B841-E5B22AD87D82}">
    <nsvFilter filterId="{9F0B89EE-7A7A-4DD1-9FE6-736B949DBD92}" ref="AA2:AG2" tableId="0">
      <sortRules>
        <sortRule colId="2">
          <sortCondition ref="AC2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Franciele Lohse" id="{44369FFA-F47C-4A66-A745-03C574EFFD0D}" userId="S::franciele.lohse@marfoods.com.br::655332e4-4eb5-4e7c-95f5-cfe539a10a5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L33" dT="2026-06-25T11:21:47.98" personId="{44369FFA-F47C-4A66-A745-03C574EFFD0D}" id="{110EB2BA-EE12-4A9C-93B2-C753A07193CE}">
    <text>Alta demanda não gerou tarefas.</text>
  </threadedComment>
  <threadedComment ref="R35" dT="2026-06-11T03:52:53.34" personId="{44369FFA-F47C-4A66-A745-03C574EFFD0D}" id="{596ABB47-70D4-46F5-A058-C2D8FC71DA00}">
    <text>Ausente neste dia, motivo: saúde/filho.</text>
  </threadedComment>
  <threadedComment ref="T35" dT="2026-06-11T03:52:53.34" personId="{44369FFA-F47C-4A66-A745-03C574EFFD0D}" id="{12217CA1-EE75-466D-8AC1-B512AF571836}">
    <text>Ausente neste dia, motivo: saúde/filho.</text>
  </threadedComment>
  <threadedComment ref="V35" dT="2026-06-11T03:52:53.34" personId="{44369FFA-F47C-4A66-A745-03C574EFFD0D}" id="{4A1C36D5-D063-4B03-A1E3-F9A60A439D30}">
    <text>Ausente neste dia, motivo: saúde/filho.</text>
  </threadedComment>
  <threadedComment ref="X35" dT="2026-06-11T03:52:53.34" personId="{44369FFA-F47C-4A66-A745-03C574EFFD0D}" id="{ADC094F8-93F0-4C7A-9967-253DC3480842}">
    <text>Ausente neste dia, motivo: saúde/filho.</text>
  </threadedComment>
  <threadedComment ref="Z35" dT="2026-06-11T03:52:53.34" personId="{44369FFA-F47C-4A66-A745-03C574EFFD0D}" id="{3AFBAA46-DA48-43CC-A985-16F12C06064C}">
    <text>Ausente neste dia, motivo: saúde/filho.</text>
  </threadedComment>
  <threadedComment ref="AB35" dT="2026-06-11T03:52:53.34" personId="{44369FFA-F47C-4A66-A745-03C574EFFD0D}" id="{94A9765C-382E-41B7-B3FE-188F1629B79C}">
    <text>Ausente neste dia, motivo: saúde/filho.</text>
  </threadedComment>
  <threadedComment ref="AD35" dT="2026-06-11T03:52:53.34" personId="{44369FFA-F47C-4A66-A745-03C574EFFD0D}" id="{3C82105C-9F43-428D-A71B-E102B2635881}">
    <text>Ausente neste dia, motivo: saúde/filho.</text>
  </threadedComment>
  <threadedComment ref="AF35" dT="2026-06-11T03:52:53.34" personId="{44369FFA-F47C-4A66-A745-03C574EFFD0D}" id="{08A637E7-8E81-4229-B448-3015AF2A88CC}">
    <text>Ausente neste dia, motivo: saúde/filho.</text>
  </threadedComment>
  <threadedComment ref="F36" dT="2026-06-05T01:40:50.67" personId="{44369FFA-F47C-4A66-A745-03C574EFFD0D}" id="{6900338A-6CA0-497B-B2EF-5A255D172477}">
    <text>Focou em finalizar tarefas pendentes.</text>
  </threadedComment>
  <threadedComment ref="H36" dT="2026-06-05T01:40:50.67" personId="{44369FFA-F47C-4A66-A745-03C574EFFD0D}" id="{D9644057-1701-4477-AEA5-AF092045E589}">
    <text>Focou em finalizar tarefas pendentes.</text>
  </threadedComment>
  <threadedComment ref="J36" dT="2026-06-05T01:40:50.67" personId="{44369FFA-F47C-4A66-A745-03C574EFFD0D}" id="{79F78E51-A178-4AE7-8B42-DA6DAFFEEE30}">
    <text>Focou em finalizar tarefas pendentes.</text>
  </threadedComment>
  <threadedComment ref="R37" dT="2026-06-11T03:53:22.47" personId="{44369FFA-F47C-4A66-A745-03C574EFFD0D}" id="{EF276022-B394-4A52-8308-51345081745B}">
    <text>Volume intenso na sua carteira de clientes.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193-6EB5-458E-8649-7C8C2DEAE0BB}">
  <sheetPr>
    <tabColor theme="8"/>
  </sheetPr>
  <dimension ref="A3:AT38"/>
  <sheetViews>
    <sheetView showGridLines="0" workbookViewId="0">
      <pane xSplit="1" topLeftCell="B1" activePane="topRight" state="frozen"/>
      <selection pane="topRight" activeCell="K13" sqref="K13:M14"/>
    </sheetView>
  </sheetViews>
  <sheetFormatPr defaultColWidth="9.109375" defaultRowHeight="12" x14ac:dyDescent="0.25"/>
  <cols>
    <col min="1" max="1" width="31.109375" style="48" customWidth="1"/>
    <col min="2" max="2" width="6.44140625" style="68" customWidth="1"/>
    <col min="3" max="3" width="8.33203125" style="48" customWidth="1"/>
    <col min="4" max="4" width="9.109375" style="48" customWidth="1"/>
    <col min="5" max="5" width="8.44140625" style="48" customWidth="1"/>
    <col min="6" max="6" width="9.109375" style="48" customWidth="1"/>
    <col min="7" max="7" width="10.33203125" style="48" customWidth="1"/>
    <col min="8" max="9" width="10.6640625" style="48" customWidth="1"/>
    <col min="10" max="10" width="12.33203125" style="48" customWidth="1"/>
    <col min="11" max="20" width="10.6640625" style="48" customWidth="1"/>
    <col min="21" max="53" width="9.109375" style="48" customWidth="1"/>
    <col min="54" max="16384" width="9.109375" style="48"/>
  </cols>
  <sheetData>
    <row r="3" spans="1:46" x14ac:dyDescent="0.25">
      <c r="A3" s="128" t="s">
        <v>0</v>
      </c>
      <c r="B3" s="129"/>
      <c r="C3" s="129"/>
      <c r="D3" s="130"/>
      <c r="E3" s="131">
        <v>1</v>
      </c>
      <c r="F3" s="132"/>
      <c r="G3" s="124">
        <v>2</v>
      </c>
      <c r="H3" s="124"/>
      <c r="I3" s="124">
        <v>3</v>
      </c>
      <c r="J3" s="124"/>
      <c r="K3" s="124">
        <v>5</v>
      </c>
      <c r="L3" s="124"/>
      <c r="M3" s="124">
        <v>8</v>
      </c>
      <c r="N3" s="124"/>
      <c r="O3" s="124">
        <v>9</v>
      </c>
      <c r="P3" s="124"/>
      <c r="Q3" s="123">
        <v>10</v>
      </c>
      <c r="R3" s="123"/>
      <c r="S3" s="123">
        <v>11</v>
      </c>
      <c r="T3" s="123"/>
      <c r="U3" s="123">
        <v>12</v>
      </c>
      <c r="V3" s="123"/>
      <c r="W3" s="123">
        <v>15</v>
      </c>
      <c r="X3" s="123"/>
      <c r="Y3" s="124">
        <v>16</v>
      </c>
      <c r="Z3" s="124"/>
      <c r="AA3" s="124">
        <v>17</v>
      </c>
      <c r="AB3" s="124"/>
      <c r="AC3" s="123">
        <v>18</v>
      </c>
      <c r="AD3" s="123"/>
      <c r="AE3" s="123">
        <v>19</v>
      </c>
      <c r="AF3" s="123"/>
      <c r="AG3" s="123">
        <v>22</v>
      </c>
      <c r="AH3" s="123"/>
      <c r="AI3" s="123">
        <v>23</v>
      </c>
      <c r="AJ3" s="123"/>
      <c r="AK3" s="123">
        <v>24</v>
      </c>
      <c r="AL3" s="123"/>
      <c r="AM3" s="123">
        <v>25</v>
      </c>
      <c r="AN3" s="123"/>
      <c r="AO3" s="123">
        <v>26</v>
      </c>
      <c r="AP3" s="123"/>
      <c r="AQ3" s="123">
        <v>29</v>
      </c>
      <c r="AR3" s="123"/>
      <c r="AS3" s="123">
        <v>30</v>
      </c>
      <c r="AT3" s="123"/>
    </row>
    <row r="4" spans="1:46" x14ac:dyDescent="0.25">
      <c r="A4" s="100" t="s">
        <v>1</v>
      </c>
      <c r="B4" s="100" t="s">
        <v>2</v>
      </c>
      <c r="C4" s="100" t="s">
        <v>3</v>
      </c>
      <c r="D4" s="101" t="s">
        <v>4</v>
      </c>
      <c r="E4" s="49" t="s">
        <v>2</v>
      </c>
      <c r="F4" s="50" t="s">
        <v>5</v>
      </c>
      <c r="G4" s="49" t="s">
        <v>2</v>
      </c>
      <c r="H4" s="50" t="s">
        <v>5</v>
      </c>
      <c r="I4" s="49" t="s">
        <v>2</v>
      </c>
      <c r="J4" s="50" t="s">
        <v>5</v>
      </c>
      <c r="K4" s="49" t="s">
        <v>2</v>
      </c>
      <c r="L4" s="50" t="s">
        <v>5</v>
      </c>
      <c r="M4" s="49" t="s">
        <v>2</v>
      </c>
      <c r="N4" s="50" t="s">
        <v>5</v>
      </c>
      <c r="O4" s="49" t="s">
        <v>2</v>
      </c>
      <c r="P4" s="50" t="s">
        <v>5</v>
      </c>
      <c r="Q4" s="49" t="s">
        <v>2</v>
      </c>
      <c r="R4" s="50" t="s">
        <v>5</v>
      </c>
      <c r="S4" s="49" t="s">
        <v>2</v>
      </c>
      <c r="T4" s="50" t="s">
        <v>5</v>
      </c>
      <c r="U4" s="49" t="s">
        <v>2</v>
      </c>
      <c r="V4" s="50" t="s">
        <v>5</v>
      </c>
      <c r="W4" s="49" t="s">
        <v>2</v>
      </c>
      <c r="X4" s="50" t="s">
        <v>5</v>
      </c>
      <c r="Y4" s="49" t="s">
        <v>2</v>
      </c>
      <c r="Z4" s="50" t="s">
        <v>5</v>
      </c>
      <c r="AA4" s="49" t="s">
        <v>2</v>
      </c>
      <c r="AB4" s="50" t="s">
        <v>5</v>
      </c>
      <c r="AC4" s="49" t="s">
        <v>2</v>
      </c>
      <c r="AD4" s="50" t="s">
        <v>5</v>
      </c>
      <c r="AE4" s="49" t="s">
        <v>2</v>
      </c>
      <c r="AF4" s="50" t="s">
        <v>5</v>
      </c>
      <c r="AG4" s="49" t="s">
        <v>2</v>
      </c>
      <c r="AH4" s="50" t="s">
        <v>5</v>
      </c>
      <c r="AI4" s="49" t="s">
        <v>2</v>
      </c>
      <c r="AJ4" s="50" t="s">
        <v>5</v>
      </c>
      <c r="AK4" s="49" t="s">
        <v>2</v>
      </c>
      <c r="AL4" s="50" t="s">
        <v>5</v>
      </c>
      <c r="AM4" s="49" t="s">
        <v>2</v>
      </c>
      <c r="AN4" s="50" t="s">
        <v>5</v>
      </c>
      <c r="AO4" s="49" t="s">
        <v>2</v>
      </c>
      <c r="AP4" s="50" t="s">
        <v>5</v>
      </c>
      <c r="AQ4" s="49" t="s">
        <v>2</v>
      </c>
      <c r="AR4" s="50" t="s">
        <v>5</v>
      </c>
      <c r="AS4" s="49" t="s">
        <v>2</v>
      </c>
      <c r="AT4" s="50" t="s">
        <v>5</v>
      </c>
    </row>
    <row r="5" spans="1:46" x14ac:dyDescent="0.25">
      <c r="A5" s="51" t="s">
        <v>6</v>
      </c>
      <c r="B5" s="52">
        <v>31</v>
      </c>
      <c r="C5" s="52">
        <f>F5+H5+J5+L5+N5+P5+R5+T5+V5+X5+Z5+AB5+AD5+AF5+AH5+AJ5+AL5+AN5+AP5+AR5+AT5</f>
        <v>12</v>
      </c>
      <c r="D5" s="53">
        <f t="shared" ref="D5:D10" si="0">C5/B5</f>
        <v>0.38709677419354838</v>
      </c>
      <c r="E5" s="54">
        <v>1</v>
      </c>
      <c r="F5" s="54">
        <v>0</v>
      </c>
      <c r="G5" s="54">
        <v>1</v>
      </c>
      <c r="H5" s="54">
        <v>2</v>
      </c>
      <c r="I5" s="54">
        <v>1</v>
      </c>
      <c r="J5" s="54">
        <v>0</v>
      </c>
      <c r="K5" s="54">
        <v>1</v>
      </c>
      <c r="L5" s="54">
        <v>3</v>
      </c>
      <c r="M5" s="54">
        <v>1</v>
      </c>
      <c r="N5" s="54">
        <v>0</v>
      </c>
      <c r="O5" s="54">
        <v>1</v>
      </c>
      <c r="P5" s="54">
        <v>1</v>
      </c>
      <c r="Q5" s="54">
        <v>1</v>
      </c>
      <c r="R5" s="54">
        <v>0</v>
      </c>
      <c r="S5" s="54">
        <v>1</v>
      </c>
      <c r="T5" s="54">
        <v>1</v>
      </c>
      <c r="U5" s="54">
        <v>1</v>
      </c>
      <c r="V5" s="54">
        <v>0</v>
      </c>
      <c r="W5" s="54">
        <v>1</v>
      </c>
      <c r="X5" s="54">
        <v>1</v>
      </c>
      <c r="Y5" s="54">
        <v>1</v>
      </c>
      <c r="Z5" s="54">
        <v>1</v>
      </c>
      <c r="AA5" s="54">
        <v>2</v>
      </c>
      <c r="AB5" s="54">
        <v>0</v>
      </c>
      <c r="AC5" s="54">
        <v>2</v>
      </c>
      <c r="AD5" s="71">
        <v>1</v>
      </c>
      <c r="AE5" s="54">
        <v>2</v>
      </c>
      <c r="AF5" s="54">
        <v>0</v>
      </c>
      <c r="AG5" s="54">
        <v>2</v>
      </c>
      <c r="AH5" s="54">
        <v>0</v>
      </c>
      <c r="AI5" s="54">
        <v>2</v>
      </c>
      <c r="AJ5" s="54">
        <v>0</v>
      </c>
      <c r="AK5" s="54">
        <v>2</v>
      </c>
      <c r="AL5" s="54">
        <v>0</v>
      </c>
      <c r="AM5" s="54">
        <v>2</v>
      </c>
      <c r="AN5" s="54">
        <v>0</v>
      </c>
      <c r="AO5" s="54">
        <v>2</v>
      </c>
      <c r="AP5" s="54">
        <v>2</v>
      </c>
      <c r="AQ5" s="54">
        <v>2</v>
      </c>
      <c r="AR5" s="54"/>
      <c r="AS5" s="54">
        <v>2</v>
      </c>
      <c r="AT5" s="54"/>
    </row>
    <row r="6" spans="1:46" x14ac:dyDescent="0.25">
      <c r="A6" s="51" t="s">
        <v>7</v>
      </c>
      <c r="B6" s="52">
        <v>48</v>
      </c>
      <c r="C6" s="52">
        <f t="shared" ref="C6" si="1">F6+H6+J6+L6+N6+P6+R6+T6+V6+X6+Z6+AB6+AD6+AF6+AH6+AJ6+AL6+AN6+AP6+AR6+AT6</f>
        <v>21</v>
      </c>
      <c r="D6" s="53">
        <f t="shared" si="0"/>
        <v>0.4375</v>
      </c>
      <c r="E6" s="54">
        <v>3</v>
      </c>
      <c r="F6" s="71">
        <v>0</v>
      </c>
      <c r="G6" s="54">
        <v>3</v>
      </c>
      <c r="H6" s="54">
        <v>0</v>
      </c>
      <c r="I6" s="54">
        <v>3</v>
      </c>
      <c r="J6" s="54">
        <v>0</v>
      </c>
      <c r="K6" s="54">
        <v>3</v>
      </c>
      <c r="L6" s="71">
        <v>3</v>
      </c>
      <c r="M6" s="54">
        <v>3</v>
      </c>
      <c r="N6" s="71">
        <v>1</v>
      </c>
      <c r="O6" s="54">
        <v>3</v>
      </c>
      <c r="P6" s="54">
        <v>0</v>
      </c>
      <c r="Q6" s="54">
        <v>3</v>
      </c>
      <c r="R6" s="54">
        <v>0</v>
      </c>
      <c r="S6" s="54">
        <v>3</v>
      </c>
      <c r="T6" s="54">
        <v>1</v>
      </c>
      <c r="U6" s="54">
        <v>3</v>
      </c>
      <c r="V6" s="54">
        <v>2</v>
      </c>
      <c r="W6" s="54">
        <v>3</v>
      </c>
      <c r="X6" s="54">
        <v>0</v>
      </c>
      <c r="Y6" s="54">
        <v>3</v>
      </c>
      <c r="Z6" s="54">
        <v>0</v>
      </c>
      <c r="AA6" s="54">
        <v>3</v>
      </c>
      <c r="AB6" s="54">
        <v>1</v>
      </c>
      <c r="AC6" s="54">
        <v>2</v>
      </c>
      <c r="AD6" s="71">
        <v>5</v>
      </c>
      <c r="AE6" s="54">
        <v>1</v>
      </c>
      <c r="AF6" s="54">
        <v>2</v>
      </c>
      <c r="AG6" s="54">
        <v>1</v>
      </c>
      <c r="AH6" s="54">
        <v>0</v>
      </c>
      <c r="AI6" s="54">
        <v>1</v>
      </c>
      <c r="AJ6" s="54">
        <v>0</v>
      </c>
      <c r="AK6" s="54">
        <v>1</v>
      </c>
      <c r="AL6" s="54">
        <v>1</v>
      </c>
      <c r="AM6" s="54">
        <v>1</v>
      </c>
      <c r="AN6" s="54">
        <v>1</v>
      </c>
      <c r="AO6" s="54">
        <v>1</v>
      </c>
      <c r="AP6" s="54">
        <v>4</v>
      </c>
      <c r="AQ6" s="54">
        <v>1</v>
      </c>
      <c r="AR6" s="54"/>
      <c r="AS6" s="54">
        <v>1</v>
      </c>
      <c r="AT6" s="54"/>
    </row>
    <row r="7" spans="1:46" x14ac:dyDescent="0.25">
      <c r="A7" s="51" t="s">
        <v>8</v>
      </c>
      <c r="B7" s="52">
        <v>25</v>
      </c>
      <c r="C7" s="52">
        <f t="shared" ref="C7:C9" si="2">F7+H7+J7+L7+N7+P7+R7+T7+V7+X7+Z7+AB7+AD7+AF7+AH7+AJ7+AL7+AN7+AP7+AR7+AT7</f>
        <v>5</v>
      </c>
      <c r="D7" s="53">
        <f t="shared" si="0"/>
        <v>0.2</v>
      </c>
      <c r="E7" s="54">
        <v>1</v>
      </c>
      <c r="F7" s="54">
        <v>0</v>
      </c>
      <c r="G7" s="54">
        <v>1</v>
      </c>
      <c r="H7" s="54">
        <v>0</v>
      </c>
      <c r="I7" s="54">
        <v>1</v>
      </c>
      <c r="J7" s="54">
        <v>0</v>
      </c>
      <c r="K7" s="54">
        <v>1</v>
      </c>
      <c r="L7" s="54">
        <v>1</v>
      </c>
      <c r="M7" s="54">
        <v>1</v>
      </c>
      <c r="N7" s="54">
        <v>0</v>
      </c>
      <c r="O7" s="54">
        <v>1</v>
      </c>
      <c r="P7" s="54">
        <v>0</v>
      </c>
      <c r="Q7" s="54">
        <v>1</v>
      </c>
      <c r="R7" s="54">
        <v>0</v>
      </c>
      <c r="S7" s="54">
        <v>1</v>
      </c>
      <c r="T7" s="54">
        <v>0</v>
      </c>
      <c r="U7" s="54">
        <v>1</v>
      </c>
      <c r="V7" s="54">
        <v>1</v>
      </c>
      <c r="W7" s="54">
        <v>1</v>
      </c>
      <c r="X7" s="54">
        <v>0</v>
      </c>
      <c r="Y7" s="54">
        <v>1</v>
      </c>
      <c r="Z7" s="54">
        <v>0</v>
      </c>
      <c r="AA7" s="54">
        <v>1</v>
      </c>
      <c r="AB7" s="54">
        <v>0</v>
      </c>
      <c r="AC7" s="54">
        <v>1</v>
      </c>
      <c r="AD7" s="71">
        <v>0</v>
      </c>
      <c r="AE7" s="54">
        <v>1</v>
      </c>
      <c r="AF7" s="54">
        <v>0</v>
      </c>
      <c r="AG7" s="54">
        <v>1</v>
      </c>
      <c r="AH7" s="54">
        <v>0</v>
      </c>
      <c r="AI7" s="54">
        <v>1</v>
      </c>
      <c r="AJ7" s="54">
        <v>0</v>
      </c>
      <c r="AK7" s="54">
        <v>1</v>
      </c>
      <c r="AL7" s="54">
        <v>2</v>
      </c>
      <c r="AM7" s="54">
        <v>2</v>
      </c>
      <c r="AN7" s="54">
        <v>0</v>
      </c>
      <c r="AO7" s="54">
        <v>2</v>
      </c>
      <c r="AP7" s="54">
        <v>1</v>
      </c>
      <c r="AQ7" s="54">
        <v>2</v>
      </c>
      <c r="AR7" s="54"/>
      <c r="AS7" s="54">
        <v>2</v>
      </c>
      <c r="AT7" s="54"/>
    </row>
    <row r="8" spans="1:46" x14ac:dyDescent="0.25">
      <c r="A8" s="51" t="s">
        <v>9</v>
      </c>
      <c r="B8" s="52">
        <v>30</v>
      </c>
      <c r="C8" s="52">
        <f t="shared" si="2"/>
        <v>24</v>
      </c>
      <c r="D8" s="53">
        <f t="shared" si="0"/>
        <v>0.8</v>
      </c>
      <c r="E8" s="54">
        <v>2</v>
      </c>
      <c r="F8" s="71">
        <v>0</v>
      </c>
      <c r="G8" s="54">
        <v>2</v>
      </c>
      <c r="H8" s="54">
        <v>0</v>
      </c>
      <c r="I8" s="54">
        <v>2</v>
      </c>
      <c r="J8" s="54">
        <v>2</v>
      </c>
      <c r="K8" s="54">
        <v>2</v>
      </c>
      <c r="L8" s="71">
        <v>1</v>
      </c>
      <c r="M8" s="54">
        <v>2</v>
      </c>
      <c r="N8" s="71">
        <v>0</v>
      </c>
      <c r="O8" s="54">
        <v>2</v>
      </c>
      <c r="P8" s="71">
        <v>1</v>
      </c>
      <c r="Q8" s="54">
        <v>2</v>
      </c>
      <c r="R8" s="71">
        <v>3</v>
      </c>
      <c r="S8" s="54">
        <v>2</v>
      </c>
      <c r="T8" s="54">
        <v>4</v>
      </c>
      <c r="U8" s="54">
        <v>2</v>
      </c>
      <c r="V8" s="54">
        <v>0</v>
      </c>
      <c r="W8" s="54">
        <v>1</v>
      </c>
      <c r="X8" s="54">
        <v>0</v>
      </c>
      <c r="Y8" s="54">
        <v>1</v>
      </c>
      <c r="Z8" s="54">
        <v>0</v>
      </c>
      <c r="AA8" s="54">
        <v>1</v>
      </c>
      <c r="AB8" s="54">
        <v>2</v>
      </c>
      <c r="AC8" s="54">
        <v>1</v>
      </c>
      <c r="AD8" s="71">
        <v>1</v>
      </c>
      <c r="AE8" s="54">
        <v>1</v>
      </c>
      <c r="AF8" s="54">
        <v>1</v>
      </c>
      <c r="AG8" s="54">
        <v>1</v>
      </c>
      <c r="AH8" s="54">
        <v>1</v>
      </c>
      <c r="AI8" s="54">
        <v>1</v>
      </c>
      <c r="AJ8" s="54">
        <v>1</v>
      </c>
      <c r="AK8" s="54">
        <v>1</v>
      </c>
      <c r="AL8" s="54">
        <v>1</v>
      </c>
      <c r="AM8" s="54">
        <v>1</v>
      </c>
      <c r="AN8" s="54">
        <v>3</v>
      </c>
      <c r="AO8" s="54">
        <v>1</v>
      </c>
      <c r="AP8" s="54">
        <v>2</v>
      </c>
      <c r="AQ8" s="54">
        <v>1</v>
      </c>
      <c r="AR8" s="54"/>
      <c r="AS8" s="54">
        <v>1</v>
      </c>
      <c r="AT8" s="54">
        <v>1</v>
      </c>
    </row>
    <row r="9" spans="1:46" x14ac:dyDescent="0.25">
      <c r="A9" s="51" t="s">
        <v>10</v>
      </c>
      <c r="B9" s="52">
        <v>25</v>
      </c>
      <c r="C9" s="52">
        <f t="shared" si="2"/>
        <v>18</v>
      </c>
      <c r="D9" s="53">
        <f t="shared" si="0"/>
        <v>0.72</v>
      </c>
      <c r="E9" s="54">
        <v>1</v>
      </c>
      <c r="F9" s="54">
        <v>1</v>
      </c>
      <c r="G9" s="54">
        <v>1</v>
      </c>
      <c r="H9" s="54">
        <v>0</v>
      </c>
      <c r="I9" s="54">
        <v>1</v>
      </c>
      <c r="J9" s="54">
        <v>1</v>
      </c>
      <c r="K9" s="54">
        <v>1</v>
      </c>
      <c r="L9" s="54">
        <v>1</v>
      </c>
      <c r="M9" s="54">
        <v>1</v>
      </c>
      <c r="N9" s="54">
        <v>0</v>
      </c>
      <c r="O9" s="54">
        <v>1</v>
      </c>
      <c r="P9" s="54">
        <v>3</v>
      </c>
      <c r="Q9" s="54">
        <v>1</v>
      </c>
      <c r="R9" s="54">
        <v>1</v>
      </c>
      <c r="S9" s="54">
        <v>1</v>
      </c>
      <c r="T9" s="54">
        <v>2</v>
      </c>
      <c r="U9" s="54">
        <v>1</v>
      </c>
      <c r="V9" s="54">
        <v>1</v>
      </c>
      <c r="W9" s="54">
        <v>1</v>
      </c>
      <c r="X9" s="54">
        <v>1</v>
      </c>
      <c r="Y9" s="54">
        <v>1</v>
      </c>
      <c r="Z9" s="54">
        <v>1</v>
      </c>
      <c r="AA9" s="54">
        <v>1</v>
      </c>
      <c r="AB9" s="54">
        <v>0</v>
      </c>
      <c r="AC9" s="54">
        <v>1</v>
      </c>
      <c r="AD9" s="71">
        <v>2</v>
      </c>
      <c r="AE9" s="54">
        <v>1</v>
      </c>
      <c r="AF9" s="54">
        <v>2</v>
      </c>
      <c r="AG9" s="54">
        <v>1</v>
      </c>
      <c r="AH9" s="54">
        <v>0</v>
      </c>
      <c r="AI9" s="54">
        <v>1</v>
      </c>
      <c r="AJ9" s="54">
        <v>0</v>
      </c>
      <c r="AK9" s="54">
        <v>1</v>
      </c>
      <c r="AL9" s="54">
        <v>0</v>
      </c>
      <c r="AM9" s="54">
        <v>2</v>
      </c>
      <c r="AN9" s="54">
        <v>1</v>
      </c>
      <c r="AO9" s="54">
        <v>2</v>
      </c>
      <c r="AP9" s="54">
        <v>1</v>
      </c>
      <c r="AQ9" s="54">
        <v>2</v>
      </c>
      <c r="AR9" s="54"/>
      <c r="AS9" s="54">
        <v>2</v>
      </c>
      <c r="AT9" s="54"/>
    </row>
    <row r="10" spans="1:46" x14ac:dyDescent="0.25">
      <c r="A10" s="55" t="s">
        <v>11</v>
      </c>
      <c r="B10" s="56">
        <f>SUM(B5:B9)</f>
        <v>159</v>
      </c>
      <c r="C10" s="56">
        <f>SUM(C5:C9)</f>
        <v>80</v>
      </c>
      <c r="D10" s="57">
        <f t="shared" si="0"/>
        <v>0.50314465408805031</v>
      </c>
      <c r="E10" s="47">
        <f t="shared" ref="E10:AT10" si="3">SUM(E5:E9)</f>
        <v>8</v>
      </c>
      <c r="F10" s="47">
        <f t="shared" si="3"/>
        <v>1</v>
      </c>
      <c r="G10" s="47">
        <f t="shared" si="3"/>
        <v>8</v>
      </c>
      <c r="H10" s="47">
        <f t="shared" si="3"/>
        <v>2</v>
      </c>
      <c r="I10" s="47">
        <f t="shared" si="3"/>
        <v>8</v>
      </c>
      <c r="J10" s="47">
        <f t="shared" si="3"/>
        <v>3</v>
      </c>
      <c r="K10" s="47">
        <f t="shared" si="3"/>
        <v>8</v>
      </c>
      <c r="L10" s="47">
        <f t="shared" si="3"/>
        <v>9</v>
      </c>
      <c r="M10" s="47">
        <f t="shared" si="3"/>
        <v>8</v>
      </c>
      <c r="N10" s="47">
        <f t="shared" si="3"/>
        <v>1</v>
      </c>
      <c r="O10" s="47">
        <f t="shared" si="3"/>
        <v>8</v>
      </c>
      <c r="P10" s="47">
        <f t="shared" si="3"/>
        <v>5</v>
      </c>
      <c r="Q10" s="47">
        <f t="shared" si="3"/>
        <v>8</v>
      </c>
      <c r="R10" s="47">
        <f t="shared" si="3"/>
        <v>4</v>
      </c>
      <c r="S10" s="47">
        <f t="shared" si="3"/>
        <v>8</v>
      </c>
      <c r="T10" s="47">
        <f t="shared" si="3"/>
        <v>8</v>
      </c>
      <c r="U10" s="47">
        <f t="shared" si="3"/>
        <v>8</v>
      </c>
      <c r="V10" s="47">
        <f t="shared" si="3"/>
        <v>4</v>
      </c>
      <c r="W10" s="47">
        <f t="shared" si="3"/>
        <v>7</v>
      </c>
      <c r="X10" s="47">
        <f t="shared" si="3"/>
        <v>2</v>
      </c>
      <c r="Y10" s="47">
        <f t="shared" si="3"/>
        <v>7</v>
      </c>
      <c r="Z10" s="47">
        <f t="shared" si="3"/>
        <v>2</v>
      </c>
      <c r="AA10" s="47">
        <f t="shared" si="3"/>
        <v>8</v>
      </c>
      <c r="AB10" s="47">
        <f t="shared" si="3"/>
        <v>3</v>
      </c>
      <c r="AC10" s="47">
        <f t="shared" si="3"/>
        <v>7</v>
      </c>
      <c r="AD10" s="47">
        <f t="shared" si="3"/>
        <v>9</v>
      </c>
      <c r="AE10" s="47">
        <f t="shared" si="3"/>
        <v>6</v>
      </c>
      <c r="AF10" s="47">
        <f t="shared" si="3"/>
        <v>5</v>
      </c>
      <c r="AG10" s="47">
        <f t="shared" si="3"/>
        <v>6</v>
      </c>
      <c r="AH10" s="47">
        <f t="shared" si="3"/>
        <v>1</v>
      </c>
      <c r="AI10" s="47">
        <f t="shared" si="3"/>
        <v>6</v>
      </c>
      <c r="AJ10" s="47">
        <f t="shared" si="3"/>
        <v>1</v>
      </c>
      <c r="AK10" s="47">
        <f t="shared" si="3"/>
        <v>6</v>
      </c>
      <c r="AL10" s="47">
        <f t="shared" si="3"/>
        <v>4</v>
      </c>
      <c r="AM10" s="47">
        <f t="shared" si="3"/>
        <v>8</v>
      </c>
      <c r="AN10" s="47">
        <f t="shared" si="3"/>
        <v>5</v>
      </c>
      <c r="AO10" s="47">
        <f t="shared" si="3"/>
        <v>8</v>
      </c>
      <c r="AP10" s="47">
        <f t="shared" si="3"/>
        <v>10</v>
      </c>
      <c r="AQ10" s="47">
        <f t="shared" si="3"/>
        <v>8</v>
      </c>
      <c r="AR10" s="47">
        <f t="shared" si="3"/>
        <v>0</v>
      </c>
      <c r="AS10" s="47">
        <f t="shared" si="3"/>
        <v>8</v>
      </c>
      <c r="AT10" s="47">
        <f t="shared" si="3"/>
        <v>1</v>
      </c>
    </row>
    <row r="11" spans="1:46" x14ac:dyDescent="0.25">
      <c r="A11" s="120" t="s">
        <v>12</v>
      </c>
      <c r="B11" s="121">
        <f>C10+G25</f>
        <v>183</v>
      </c>
      <c r="C11" s="72"/>
    </row>
    <row r="12" spans="1:46" x14ac:dyDescent="0.25">
      <c r="A12" s="120" t="s">
        <v>13</v>
      </c>
      <c r="B12" s="121">
        <f>B11-B10</f>
        <v>24</v>
      </c>
      <c r="C12" s="72"/>
    </row>
    <row r="14" spans="1:46" ht="12.75" customHeight="1" x14ac:dyDescent="0.3">
      <c r="A14" s="125" t="s">
        <v>14</v>
      </c>
      <c r="B14" s="126"/>
      <c r="C14" s="126"/>
      <c r="D14" s="126"/>
      <c r="E14" s="126"/>
      <c r="F14" s="126"/>
      <c r="G14" s="127"/>
    </row>
    <row r="15" spans="1:46" x14ac:dyDescent="0.25">
      <c r="A15" s="59" t="s">
        <v>15</v>
      </c>
      <c r="B15" s="59" t="s">
        <v>6</v>
      </c>
      <c r="C15" s="59" t="s">
        <v>7</v>
      </c>
      <c r="D15" s="59" t="s">
        <v>8</v>
      </c>
      <c r="E15" s="59" t="s">
        <v>9</v>
      </c>
      <c r="F15" s="59" t="s">
        <v>10</v>
      </c>
      <c r="G15" s="59" t="s">
        <v>11</v>
      </c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</row>
    <row r="16" spans="1:46" ht="15" customHeight="1" x14ac:dyDescent="0.45">
      <c r="A16" s="83" t="s">
        <v>16</v>
      </c>
      <c r="B16" s="78">
        <v>37</v>
      </c>
      <c r="C16" s="78">
        <v>0</v>
      </c>
      <c r="D16" s="78">
        <v>0</v>
      </c>
      <c r="E16" s="78">
        <v>0</v>
      </c>
      <c r="F16" s="78">
        <v>7</v>
      </c>
      <c r="G16" s="82">
        <f>SUM(B16:F16)</f>
        <v>44</v>
      </c>
      <c r="H16" s="103"/>
      <c r="J16" s="102"/>
      <c r="K16" s="74"/>
      <c r="L16" s="75"/>
    </row>
    <row r="17" spans="1:46" ht="15" customHeight="1" x14ac:dyDescent="0.35">
      <c r="A17" s="83" t="s">
        <v>17</v>
      </c>
      <c r="B17" s="78">
        <v>9</v>
      </c>
      <c r="C17" s="78">
        <v>0</v>
      </c>
      <c r="D17" s="78">
        <v>0</v>
      </c>
      <c r="E17" s="78">
        <v>0</v>
      </c>
      <c r="F17" s="78">
        <v>2</v>
      </c>
      <c r="G17" s="82">
        <f>SUM(B17:F17)</f>
        <v>11</v>
      </c>
      <c r="H17" s="103"/>
      <c r="K17" s="74"/>
    </row>
    <row r="18" spans="1:46" ht="15" customHeight="1" x14ac:dyDescent="0.45">
      <c r="A18" s="83" t="s">
        <v>18</v>
      </c>
      <c r="B18" s="78">
        <v>2</v>
      </c>
      <c r="C18" s="78">
        <v>0</v>
      </c>
      <c r="D18" s="78">
        <v>0</v>
      </c>
      <c r="E18" s="78">
        <v>0</v>
      </c>
      <c r="F18" s="78">
        <v>2</v>
      </c>
      <c r="G18" s="82">
        <f>SUM(B18:F18)</f>
        <v>4</v>
      </c>
      <c r="H18" s="103"/>
      <c r="I18" s="74" t="s">
        <v>19</v>
      </c>
      <c r="J18" s="102"/>
      <c r="K18" s="74"/>
      <c r="M18" s="102"/>
      <c r="P18" s="102"/>
    </row>
    <row r="19" spans="1:46" ht="15" customHeight="1" x14ac:dyDescent="0.25">
      <c r="A19" s="83" t="s">
        <v>20</v>
      </c>
      <c r="B19" s="78">
        <v>2</v>
      </c>
      <c r="C19" s="78">
        <v>0</v>
      </c>
      <c r="D19" s="78">
        <v>0</v>
      </c>
      <c r="E19" s="78">
        <v>0</v>
      </c>
      <c r="F19" s="78">
        <v>2</v>
      </c>
      <c r="G19" s="82">
        <f>SUM(B19:F19)</f>
        <v>4</v>
      </c>
      <c r="H19" s="103"/>
      <c r="I19" s="73"/>
    </row>
    <row r="20" spans="1:46" ht="15" customHeight="1" x14ac:dyDescent="0.25">
      <c r="A20" s="58" t="s">
        <v>21</v>
      </c>
      <c r="B20" s="59" t="s">
        <v>6</v>
      </c>
      <c r="C20" s="59" t="s">
        <v>7</v>
      </c>
      <c r="D20" s="59" t="s">
        <v>8</v>
      </c>
      <c r="E20" s="59" t="s">
        <v>9</v>
      </c>
      <c r="F20" s="59" t="s">
        <v>10</v>
      </c>
      <c r="G20" s="59" t="s">
        <v>11</v>
      </c>
    </row>
    <row r="21" spans="1:46" ht="15" customHeight="1" x14ac:dyDescent="0.25">
      <c r="A21" s="83" t="s">
        <v>22</v>
      </c>
      <c r="B21" s="78">
        <v>198</v>
      </c>
      <c r="C21" s="78">
        <v>511</v>
      </c>
      <c r="D21" s="78">
        <v>335</v>
      </c>
      <c r="E21" s="78">
        <v>193</v>
      </c>
      <c r="F21" s="78">
        <v>136</v>
      </c>
      <c r="G21" s="82">
        <f t="shared" ref="G21:G27" si="4">SUM(B21:F21)</f>
        <v>1373</v>
      </c>
    </row>
    <row r="22" spans="1:46" ht="15" customHeight="1" x14ac:dyDescent="0.35">
      <c r="A22" s="83" t="s">
        <v>23</v>
      </c>
      <c r="B22" s="78">
        <v>32</v>
      </c>
      <c r="C22" s="78">
        <v>78</v>
      </c>
      <c r="D22" s="78">
        <v>33</v>
      </c>
      <c r="E22" s="78">
        <v>69</v>
      </c>
      <c r="F22" s="78">
        <v>61</v>
      </c>
      <c r="G22" s="82">
        <f t="shared" si="4"/>
        <v>273</v>
      </c>
      <c r="H22" s="48">
        <f>B11/G22</f>
        <v>0.67032967032967028</v>
      </c>
      <c r="J22" s="73"/>
      <c r="K22" s="74"/>
      <c r="L22" s="75"/>
    </row>
    <row r="23" spans="1:46" s="69" customFormat="1" ht="15" customHeight="1" x14ac:dyDescent="0.25">
      <c r="A23" s="83" t="s">
        <v>24</v>
      </c>
      <c r="B23" s="78">
        <v>0</v>
      </c>
      <c r="C23" s="78">
        <v>1</v>
      </c>
      <c r="D23" s="78">
        <v>1</v>
      </c>
      <c r="E23" s="78">
        <v>6</v>
      </c>
      <c r="F23" s="78">
        <v>6</v>
      </c>
      <c r="G23" s="82">
        <f t="shared" si="4"/>
        <v>14</v>
      </c>
      <c r="H23" s="76"/>
    </row>
    <row r="24" spans="1:46" ht="15" customHeight="1" x14ac:dyDescent="0.25">
      <c r="A24" s="83" t="s">
        <v>25</v>
      </c>
      <c r="B24" s="78">
        <v>1</v>
      </c>
      <c r="C24" s="78">
        <v>0</v>
      </c>
      <c r="D24" s="78">
        <v>3</v>
      </c>
      <c r="E24" s="78">
        <v>2</v>
      </c>
      <c r="F24" s="78">
        <v>8</v>
      </c>
      <c r="G24" s="82">
        <f t="shared" si="4"/>
        <v>14</v>
      </c>
    </row>
    <row r="25" spans="1:46" ht="15" customHeight="1" x14ac:dyDescent="0.25">
      <c r="A25" s="83" t="s">
        <v>26</v>
      </c>
      <c r="B25" s="78">
        <v>31</v>
      </c>
      <c r="C25" s="78">
        <v>26</v>
      </c>
      <c r="D25" s="78">
        <v>10</v>
      </c>
      <c r="E25" s="78">
        <v>13</v>
      </c>
      <c r="F25" s="78">
        <v>23</v>
      </c>
      <c r="G25" s="82">
        <f>SUM(B25:F25)</f>
        <v>103</v>
      </c>
      <c r="H25" s="73"/>
    </row>
    <row r="26" spans="1:46" ht="15" customHeight="1" x14ac:dyDescent="0.25">
      <c r="A26" s="83" t="s">
        <v>27</v>
      </c>
      <c r="B26" s="78">
        <v>2</v>
      </c>
      <c r="C26" s="78">
        <v>0</v>
      </c>
      <c r="D26" s="78">
        <v>4</v>
      </c>
      <c r="E26" s="78">
        <v>15</v>
      </c>
      <c r="F26" s="78">
        <v>10</v>
      </c>
      <c r="G26" s="82">
        <f t="shared" si="4"/>
        <v>31</v>
      </c>
      <c r="H26" s="99"/>
    </row>
    <row r="27" spans="1:46" ht="15" customHeight="1" x14ac:dyDescent="0.25">
      <c r="A27" s="83" t="s">
        <v>28</v>
      </c>
      <c r="B27" s="78">
        <v>2</v>
      </c>
      <c r="C27" s="78">
        <v>0</v>
      </c>
      <c r="D27" s="78">
        <v>0</v>
      </c>
      <c r="E27" s="78">
        <v>4</v>
      </c>
      <c r="F27" s="78">
        <v>4</v>
      </c>
      <c r="G27" s="82">
        <f t="shared" si="4"/>
        <v>10</v>
      </c>
      <c r="H27" s="73"/>
    </row>
    <row r="28" spans="1:46" x14ac:dyDescent="0.25">
      <c r="A28" s="61" t="s">
        <v>11</v>
      </c>
      <c r="B28" s="62">
        <f>SUM(B16:B27)</f>
        <v>316</v>
      </c>
      <c r="C28" s="62">
        <f>SUM(C16:C27)</f>
        <v>616</v>
      </c>
      <c r="D28" s="62">
        <f>SUM(D16:D27)</f>
        <v>386</v>
      </c>
      <c r="E28" s="62">
        <f>SUM(E16:E27)</f>
        <v>302</v>
      </c>
      <c r="F28" s="62">
        <f>SUM(F16:F27)</f>
        <v>261</v>
      </c>
      <c r="G28" s="68"/>
    </row>
    <row r="31" spans="1:46" x14ac:dyDescent="0.25">
      <c r="A31" s="128" t="s">
        <v>29</v>
      </c>
      <c r="B31" s="129"/>
      <c r="C31" s="129"/>
      <c r="D31" s="130"/>
      <c r="E31" s="133">
        <v>1</v>
      </c>
      <c r="F31" s="132"/>
      <c r="G31" s="124">
        <v>2</v>
      </c>
      <c r="H31" s="124"/>
      <c r="I31" s="124">
        <v>3</v>
      </c>
      <c r="J31" s="124"/>
      <c r="K31" s="124">
        <v>5</v>
      </c>
      <c r="L31" s="124"/>
      <c r="M31" s="124">
        <v>8</v>
      </c>
      <c r="N31" s="124"/>
      <c r="O31" s="124">
        <v>9</v>
      </c>
      <c r="P31" s="124"/>
      <c r="Q31" s="123">
        <v>10</v>
      </c>
      <c r="R31" s="123"/>
      <c r="S31" s="123">
        <v>11</v>
      </c>
      <c r="T31" s="123"/>
      <c r="U31" s="123">
        <v>12</v>
      </c>
      <c r="V31" s="123"/>
      <c r="W31" s="123">
        <v>15</v>
      </c>
      <c r="X31" s="123"/>
      <c r="Y31" s="124">
        <v>16</v>
      </c>
      <c r="Z31" s="124"/>
      <c r="AA31" s="124">
        <v>17</v>
      </c>
      <c r="AB31" s="124"/>
      <c r="AC31" s="123">
        <v>18</v>
      </c>
      <c r="AD31" s="123"/>
      <c r="AE31" s="123">
        <v>19</v>
      </c>
      <c r="AF31" s="123"/>
      <c r="AG31" s="123">
        <v>22</v>
      </c>
      <c r="AH31" s="123"/>
      <c r="AI31" s="123">
        <v>23</v>
      </c>
      <c r="AJ31" s="123"/>
      <c r="AK31" s="123">
        <v>24</v>
      </c>
      <c r="AL31" s="123"/>
      <c r="AM31" s="123">
        <v>25</v>
      </c>
      <c r="AN31" s="123"/>
      <c r="AO31" s="123">
        <v>26</v>
      </c>
      <c r="AP31" s="123"/>
      <c r="AQ31" s="123">
        <v>29</v>
      </c>
      <c r="AR31" s="123"/>
      <c r="AS31" s="123">
        <v>30</v>
      </c>
      <c r="AT31" s="123"/>
    </row>
    <row r="32" spans="1:46" x14ac:dyDescent="0.25">
      <c r="A32" s="63" t="s">
        <v>1</v>
      </c>
      <c r="B32" s="63" t="s">
        <v>2</v>
      </c>
      <c r="C32" s="63" t="s">
        <v>3</v>
      </c>
      <c r="D32" s="64" t="s">
        <v>4</v>
      </c>
      <c r="E32" s="49" t="s">
        <v>2</v>
      </c>
      <c r="F32" s="50" t="s">
        <v>5</v>
      </c>
      <c r="G32" s="49" t="s">
        <v>2</v>
      </c>
      <c r="H32" s="50" t="s">
        <v>5</v>
      </c>
      <c r="I32" s="49" t="s">
        <v>2</v>
      </c>
      <c r="J32" s="50" t="s">
        <v>5</v>
      </c>
      <c r="K32" s="49" t="s">
        <v>2</v>
      </c>
      <c r="L32" s="50" t="s">
        <v>5</v>
      </c>
      <c r="M32" s="49" t="s">
        <v>2</v>
      </c>
      <c r="N32" s="50" t="s">
        <v>5</v>
      </c>
      <c r="O32" s="49" t="s">
        <v>2</v>
      </c>
      <c r="P32" s="50" t="s">
        <v>5</v>
      </c>
      <c r="Q32" s="49" t="s">
        <v>2</v>
      </c>
      <c r="R32" s="50" t="s">
        <v>5</v>
      </c>
      <c r="S32" s="49" t="s">
        <v>2</v>
      </c>
      <c r="T32" s="50" t="s">
        <v>5</v>
      </c>
      <c r="U32" s="49" t="s">
        <v>2</v>
      </c>
      <c r="V32" s="50" t="s">
        <v>5</v>
      </c>
      <c r="W32" s="49" t="s">
        <v>2</v>
      </c>
      <c r="X32" s="50" t="s">
        <v>5</v>
      </c>
      <c r="Y32" s="49" t="s">
        <v>2</v>
      </c>
      <c r="Z32" s="50" t="s">
        <v>5</v>
      </c>
      <c r="AA32" s="49" t="s">
        <v>2</v>
      </c>
      <c r="AB32" s="50" t="s">
        <v>5</v>
      </c>
      <c r="AC32" s="49" t="s">
        <v>2</v>
      </c>
      <c r="AD32" s="50" t="s">
        <v>5</v>
      </c>
      <c r="AE32" s="49" t="s">
        <v>2</v>
      </c>
      <c r="AF32" s="50" t="s">
        <v>5</v>
      </c>
      <c r="AG32" s="49" t="s">
        <v>2</v>
      </c>
      <c r="AH32" s="50" t="s">
        <v>5</v>
      </c>
      <c r="AI32" s="49" t="s">
        <v>2</v>
      </c>
      <c r="AJ32" s="50" t="s">
        <v>5</v>
      </c>
      <c r="AK32" s="49" t="s">
        <v>2</v>
      </c>
      <c r="AL32" s="50" t="s">
        <v>5</v>
      </c>
      <c r="AM32" s="49" t="s">
        <v>2</v>
      </c>
      <c r="AN32" s="50" t="s">
        <v>5</v>
      </c>
      <c r="AO32" s="49" t="s">
        <v>2</v>
      </c>
      <c r="AP32" s="50" t="s">
        <v>5</v>
      </c>
      <c r="AQ32" s="49" t="s">
        <v>2</v>
      </c>
      <c r="AR32" s="50" t="s">
        <v>5</v>
      </c>
      <c r="AS32" s="49" t="s">
        <v>2</v>
      </c>
      <c r="AT32" s="50" t="s">
        <v>5</v>
      </c>
    </row>
    <row r="33" spans="1:46" x14ac:dyDescent="0.25">
      <c r="A33" s="51" t="s">
        <v>6</v>
      </c>
      <c r="B33" s="65">
        <f>E33+G33+I33+K33+M33+O33+Q33+S33+U33+W33+Y33+AA33+AC33+AE33+AG33+AI33+AK33+AM33+AO33+AQ33+AS33</f>
        <v>350</v>
      </c>
      <c r="C33" s="65">
        <f>F33+H33+J33+L33+N33+P33+R33+T33+V33+X33+Z33+AB33+AD33+AF33+AH33+AJ33+AL33+AN33+AP33+AR33+AT33</f>
        <v>242</v>
      </c>
      <c r="D33" s="66">
        <f t="shared" ref="D33:D37" si="5">C33/B33</f>
        <v>0.69142857142857139</v>
      </c>
      <c r="E33" s="54">
        <v>17</v>
      </c>
      <c r="F33" s="54">
        <v>0</v>
      </c>
      <c r="G33" s="54">
        <v>17</v>
      </c>
      <c r="H33" s="54">
        <v>0</v>
      </c>
      <c r="I33" s="54">
        <v>17</v>
      </c>
      <c r="J33" s="54">
        <v>13</v>
      </c>
      <c r="K33" s="54">
        <v>17</v>
      </c>
      <c r="L33" s="54">
        <v>8</v>
      </c>
      <c r="M33" s="54">
        <v>17</v>
      </c>
      <c r="N33" s="54">
        <v>3</v>
      </c>
      <c r="O33" s="54">
        <v>17</v>
      </c>
      <c r="P33" s="54">
        <v>33</v>
      </c>
      <c r="Q33" s="54">
        <v>17</v>
      </c>
      <c r="R33" s="54">
        <v>10</v>
      </c>
      <c r="S33" s="54">
        <v>17</v>
      </c>
      <c r="T33" s="54">
        <v>10</v>
      </c>
      <c r="U33" s="54">
        <v>17</v>
      </c>
      <c r="V33" s="54">
        <v>12</v>
      </c>
      <c r="W33" s="54">
        <v>17</v>
      </c>
      <c r="X33" s="54">
        <v>12</v>
      </c>
      <c r="Y33" s="54">
        <v>17</v>
      </c>
      <c r="Z33" s="54">
        <v>11</v>
      </c>
      <c r="AA33" s="54">
        <v>17</v>
      </c>
      <c r="AB33" s="54">
        <v>10</v>
      </c>
      <c r="AC33" s="54">
        <v>17</v>
      </c>
      <c r="AD33" s="54">
        <v>0</v>
      </c>
      <c r="AE33" s="54">
        <v>17</v>
      </c>
      <c r="AF33" s="54">
        <v>3</v>
      </c>
      <c r="AG33" s="54">
        <v>16</v>
      </c>
      <c r="AH33" s="54">
        <v>40</v>
      </c>
      <c r="AI33" s="54">
        <v>16</v>
      </c>
      <c r="AJ33" s="54">
        <v>30</v>
      </c>
      <c r="AK33" s="54">
        <v>16</v>
      </c>
      <c r="AL33" s="54">
        <v>0</v>
      </c>
      <c r="AM33" s="54">
        <v>16</v>
      </c>
      <c r="AN33" s="54">
        <v>47</v>
      </c>
      <c r="AO33" s="54">
        <v>16</v>
      </c>
      <c r="AP33" s="54"/>
      <c r="AQ33" s="54">
        <v>16</v>
      </c>
      <c r="AR33" s="54"/>
      <c r="AS33" s="54">
        <v>16</v>
      </c>
      <c r="AT33" s="54"/>
    </row>
    <row r="34" spans="1:46" x14ac:dyDescent="0.25">
      <c r="A34" s="51" t="s">
        <v>7</v>
      </c>
      <c r="B34" s="65">
        <f t="shared" ref="B34:B37" si="6">E34+G34+I34+K34+M34+O34+Q34+S34+U34+W34+Y34+AA34+AC34+AE34+AG34+AI34+AK34+AM34+AO34+AQ34+AS34</f>
        <v>350</v>
      </c>
      <c r="C34" s="65">
        <f t="shared" ref="C34" si="7">F34+H34+J34+L34+N34+P34+R34+T34+V34+X34+Z34+AB34+AD34+AF34+AH34+AJ34+AL34+AN34+AP34+AR34+AT34</f>
        <v>275</v>
      </c>
      <c r="D34" s="66">
        <f t="shared" ref="D34" si="8">C34/B34</f>
        <v>0.7857142857142857</v>
      </c>
      <c r="E34" s="54">
        <v>17</v>
      </c>
      <c r="F34" s="54">
        <v>0</v>
      </c>
      <c r="G34" s="54">
        <v>17</v>
      </c>
      <c r="H34" s="54">
        <v>0</v>
      </c>
      <c r="I34" s="54">
        <v>17</v>
      </c>
      <c r="J34" s="54">
        <v>12</v>
      </c>
      <c r="K34" s="54">
        <v>17</v>
      </c>
      <c r="L34" s="54">
        <v>20</v>
      </c>
      <c r="M34" s="54">
        <v>17</v>
      </c>
      <c r="N34" s="54">
        <v>20</v>
      </c>
      <c r="O34" s="54">
        <v>17</v>
      </c>
      <c r="P34" s="54">
        <v>21</v>
      </c>
      <c r="Q34" s="54">
        <v>17</v>
      </c>
      <c r="R34" s="54">
        <v>14</v>
      </c>
      <c r="S34" s="54">
        <v>17</v>
      </c>
      <c r="T34" s="54">
        <v>25</v>
      </c>
      <c r="U34" s="54">
        <v>17</v>
      </c>
      <c r="V34" s="54">
        <v>20</v>
      </c>
      <c r="W34" s="54">
        <v>17</v>
      </c>
      <c r="X34" s="54">
        <v>10</v>
      </c>
      <c r="Y34" s="54">
        <v>17</v>
      </c>
      <c r="Z34" s="54">
        <v>20</v>
      </c>
      <c r="AA34" s="54">
        <v>17</v>
      </c>
      <c r="AB34" s="54">
        <v>12</v>
      </c>
      <c r="AC34" s="54">
        <v>17</v>
      </c>
      <c r="AD34" s="54">
        <v>8</v>
      </c>
      <c r="AE34" s="54">
        <v>17</v>
      </c>
      <c r="AF34" s="54">
        <v>20</v>
      </c>
      <c r="AG34" s="54">
        <v>16</v>
      </c>
      <c r="AH34" s="54">
        <v>20</v>
      </c>
      <c r="AI34" s="54">
        <v>16</v>
      </c>
      <c r="AJ34" s="54">
        <v>20</v>
      </c>
      <c r="AK34" s="54">
        <v>16</v>
      </c>
      <c r="AL34" s="54">
        <v>20</v>
      </c>
      <c r="AM34" s="54">
        <v>16</v>
      </c>
      <c r="AN34" s="54">
        <v>13</v>
      </c>
      <c r="AO34" s="54">
        <v>16</v>
      </c>
      <c r="AP34" s="54"/>
      <c r="AQ34" s="54">
        <v>16</v>
      </c>
      <c r="AR34" s="54"/>
      <c r="AS34" s="54">
        <v>16</v>
      </c>
      <c r="AT34" s="54"/>
    </row>
    <row r="35" spans="1:46" ht="11.4" customHeight="1" x14ac:dyDescent="0.25">
      <c r="A35" s="51" t="s">
        <v>8</v>
      </c>
      <c r="B35" s="65">
        <f t="shared" si="6"/>
        <v>350</v>
      </c>
      <c r="C35" s="65">
        <f t="shared" ref="C35:C37" si="9">F35+H35+J35+L35+N35+P35+R35+T35+V35+X35+Z35+AB35+AD35+AF35+AH35+AJ35+AL35+AN35+AP35+AR35+AT35</f>
        <v>232</v>
      </c>
      <c r="D35" s="66">
        <f t="shared" si="5"/>
        <v>0.66285714285714281</v>
      </c>
      <c r="E35" s="54">
        <v>17</v>
      </c>
      <c r="F35" s="54">
        <v>20</v>
      </c>
      <c r="G35" s="54">
        <v>17</v>
      </c>
      <c r="H35" s="54">
        <v>23</v>
      </c>
      <c r="I35" s="54">
        <v>17</v>
      </c>
      <c r="J35" s="54">
        <v>4</v>
      </c>
      <c r="K35" s="54">
        <v>17</v>
      </c>
      <c r="L35" s="54">
        <v>14</v>
      </c>
      <c r="M35" s="54">
        <v>17</v>
      </c>
      <c r="N35" s="54">
        <v>29</v>
      </c>
      <c r="O35" s="54">
        <v>17</v>
      </c>
      <c r="P35" s="54">
        <v>8</v>
      </c>
      <c r="Q35" s="54">
        <v>17</v>
      </c>
      <c r="R35" s="54">
        <v>0</v>
      </c>
      <c r="S35" s="54">
        <v>17</v>
      </c>
      <c r="T35" s="54">
        <v>0</v>
      </c>
      <c r="U35" s="54">
        <v>17</v>
      </c>
      <c r="V35" s="54">
        <v>0</v>
      </c>
      <c r="W35" s="54">
        <v>17</v>
      </c>
      <c r="X35" s="54">
        <v>0</v>
      </c>
      <c r="Y35" s="54">
        <v>17</v>
      </c>
      <c r="Z35" s="54">
        <v>0</v>
      </c>
      <c r="AA35" s="54">
        <v>17</v>
      </c>
      <c r="AB35" s="54">
        <v>0</v>
      </c>
      <c r="AC35" s="54">
        <v>17</v>
      </c>
      <c r="AD35" s="54">
        <v>0</v>
      </c>
      <c r="AE35" s="54">
        <v>17</v>
      </c>
      <c r="AF35" s="54">
        <v>0</v>
      </c>
      <c r="AG35" s="54">
        <v>16</v>
      </c>
      <c r="AH35" s="54">
        <v>21</v>
      </c>
      <c r="AI35" s="54">
        <v>16</v>
      </c>
      <c r="AJ35" s="54">
        <v>16</v>
      </c>
      <c r="AK35" s="54">
        <v>16</v>
      </c>
      <c r="AL35" s="54">
        <v>62</v>
      </c>
      <c r="AM35" s="54">
        <v>16</v>
      </c>
      <c r="AN35" s="54">
        <v>35</v>
      </c>
      <c r="AO35" s="54">
        <v>16</v>
      </c>
      <c r="AP35" s="54"/>
      <c r="AQ35" s="54">
        <v>16</v>
      </c>
      <c r="AR35" s="54"/>
      <c r="AS35" s="54">
        <v>16</v>
      </c>
      <c r="AT35" s="54"/>
    </row>
    <row r="36" spans="1:46" x14ac:dyDescent="0.25">
      <c r="A36" s="51" t="s">
        <v>9</v>
      </c>
      <c r="B36" s="65">
        <f t="shared" si="6"/>
        <v>350</v>
      </c>
      <c r="C36" s="65">
        <f t="shared" si="9"/>
        <v>356</v>
      </c>
      <c r="D36" s="66">
        <f t="shared" si="5"/>
        <v>1.0171428571428571</v>
      </c>
      <c r="E36" s="54">
        <v>17</v>
      </c>
      <c r="F36" s="54">
        <v>0</v>
      </c>
      <c r="G36" s="54">
        <v>17</v>
      </c>
      <c r="H36" s="54">
        <v>0</v>
      </c>
      <c r="I36" s="54">
        <v>17</v>
      </c>
      <c r="J36" s="54">
        <v>0</v>
      </c>
      <c r="K36" s="54">
        <v>17</v>
      </c>
      <c r="L36" s="54">
        <v>30</v>
      </c>
      <c r="M36" s="54">
        <v>17</v>
      </c>
      <c r="N36" s="54">
        <v>30</v>
      </c>
      <c r="O36" s="54">
        <v>17</v>
      </c>
      <c r="P36" s="54">
        <v>25</v>
      </c>
      <c r="Q36" s="54">
        <v>17</v>
      </c>
      <c r="R36" s="54">
        <v>13</v>
      </c>
      <c r="S36" s="54">
        <v>17</v>
      </c>
      <c r="T36" s="54">
        <v>20</v>
      </c>
      <c r="U36" s="54">
        <v>17</v>
      </c>
      <c r="V36" s="54">
        <v>41</v>
      </c>
      <c r="W36" s="54">
        <v>17</v>
      </c>
      <c r="X36" s="54">
        <v>24</v>
      </c>
      <c r="Y36" s="54">
        <v>17</v>
      </c>
      <c r="Z36" s="54">
        <v>23</v>
      </c>
      <c r="AA36" s="54">
        <v>17</v>
      </c>
      <c r="AB36" s="54">
        <v>21</v>
      </c>
      <c r="AC36" s="54">
        <v>17</v>
      </c>
      <c r="AD36" s="54">
        <v>18</v>
      </c>
      <c r="AE36" s="54">
        <v>17</v>
      </c>
      <c r="AF36" s="54">
        <v>20</v>
      </c>
      <c r="AG36" s="54">
        <v>16</v>
      </c>
      <c r="AH36" s="54">
        <v>24</v>
      </c>
      <c r="AI36" s="54">
        <v>16</v>
      </c>
      <c r="AJ36" s="54">
        <v>24</v>
      </c>
      <c r="AK36" s="54">
        <v>16</v>
      </c>
      <c r="AL36" s="54">
        <v>24</v>
      </c>
      <c r="AM36" s="54">
        <v>16</v>
      </c>
      <c r="AN36" s="54">
        <v>19</v>
      </c>
      <c r="AO36" s="54">
        <v>16</v>
      </c>
      <c r="AP36" s="54"/>
      <c r="AQ36" s="54">
        <v>16</v>
      </c>
      <c r="AR36" s="54"/>
      <c r="AS36" s="54">
        <v>16</v>
      </c>
      <c r="AT36" s="54"/>
    </row>
    <row r="37" spans="1:46" x14ac:dyDescent="0.25">
      <c r="A37" s="51" t="s">
        <v>10</v>
      </c>
      <c r="B37" s="65">
        <f t="shared" si="6"/>
        <v>350</v>
      </c>
      <c r="C37" s="65">
        <f t="shared" si="9"/>
        <v>221</v>
      </c>
      <c r="D37" s="66">
        <f t="shared" si="5"/>
        <v>0.63142857142857145</v>
      </c>
      <c r="E37" s="54">
        <v>17</v>
      </c>
      <c r="F37" s="54">
        <v>12</v>
      </c>
      <c r="G37" s="54">
        <v>17</v>
      </c>
      <c r="H37" s="54">
        <v>8</v>
      </c>
      <c r="I37" s="54">
        <v>17</v>
      </c>
      <c r="J37" s="54">
        <v>10</v>
      </c>
      <c r="K37" s="54">
        <v>17</v>
      </c>
      <c r="L37" s="54">
        <v>7</v>
      </c>
      <c r="M37" s="54">
        <v>17</v>
      </c>
      <c r="N37" s="54">
        <v>13</v>
      </c>
      <c r="O37" s="54">
        <v>17</v>
      </c>
      <c r="P37" s="54">
        <v>2</v>
      </c>
      <c r="Q37" s="54">
        <v>17</v>
      </c>
      <c r="R37" s="54">
        <v>0</v>
      </c>
      <c r="S37" s="54">
        <v>17</v>
      </c>
      <c r="T37" s="54">
        <v>3</v>
      </c>
      <c r="U37" s="54">
        <v>17</v>
      </c>
      <c r="V37" s="54">
        <v>12</v>
      </c>
      <c r="W37" s="54">
        <v>17</v>
      </c>
      <c r="X37" s="54">
        <v>15</v>
      </c>
      <c r="Y37" s="54">
        <v>17</v>
      </c>
      <c r="Z37" s="54">
        <v>24</v>
      </c>
      <c r="AA37" s="54">
        <v>17</v>
      </c>
      <c r="AB37" s="54">
        <v>6</v>
      </c>
      <c r="AC37" s="54">
        <v>17</v>
      </c>
      <c r="AD37" s="54">
        <v>11</v>
      </c>
      <c r="AE37" s="54">
        <v>17</v>
      </c>
      <c r="AF37" s="54">
        <v>12</v>
      </c>
      <c r="AG37" s="54">
        <v>16</v>
      </c>
      <c r="AH37" s="54">
        <v>18</v>
      </c>
      <c r="AI37" s="54">
        <v>16</v>
      </c>
      <c r="AJ37" s="54">
        <v>11</v>
      </c>
      <c r="AK37" s="54">
        <v>16</v>
      </c>
      <c r="AL37" s="54">
        <v>23</v>
      </c>
      <c r="AM37" s="54">
        <v>16</v>
      </c>
      <c r="AN37" s="54">
        <v>34</v>
      </c>
      <c r="AO37" s="54">
        <v>16</v>
      </c>
      <c r="AP37" s="54"/>
      <c r="AQ37" s="54">
        <v>16</v>
      </c>
      <c r="AR37" s="54"/>
      <c r="AS37" s="54">
        <v>16</v>
      </c>
      <c r="AT37" s="54"/>
    </row>
    <row r="38" spans="1:46" x14ac:dyDescent="0.25">
      <c r="A38" s="47" t="s">
        <v>11</v>
      </c>
      <c r="B38" s="47">
        <f>SUM(B33:B37)</f>
        <v>1750</v>
      </c>
      <c r="C38" s="47">
        <f>SUM(C33:C37)</f>
        <v>1326</v>
      </c>
      <c r="D38" s="67">
        <f>C38/B38</f>
        <v>0.75771428571428567</v>
      </c>
      <c r="E38" s="47">
        <f t="shared" ref="E38:O38" si="10">SUM(E33:E37)</f>
        <v>85</v>
      </c>
      <c r="F38" s="47">
        <f t="shared" si="10"/>
        <v>32</v>
      </c>
      <c r="G38" s="47">
        <f t="shared" si="10"/>
        <v>85</v>
      </c>
      <c r="H38" s="47">
        <f t="shared" si="10"/>
        <v>31</v>
      </c>
      <c r="I38" s="47">
        <f t="shared" si="10"/>
        <v>85</v>
      </c>
      <c r="J38" s="47">
        <f t="shared" si="10"/>
        <v>39</v>
      </c>
      <c r="K38" s="47">
        <f t="shared" si="10"/>
        <v>85</v>
      </c>
      <c r="L38" s="47">
        <f t="shared" si="10"/>
        <v>79</v>
      </c>
      <c r="M38" s="47">
        <f t="shared" si="10"/>
        <v>85</v>
      </c>
      <c r="N38" s="47">
        <f t="shared" si="10"/>
        <v>95</v>
      </c>
      <c r="O38" s="47">
        <f t="shared" si="10"/>
        <v>85</v>
      </c>
      <c r="P38" s="47">
        <f t="shared" ref="P38:AR38" si="11">SUM(P33:P37)</f>
        <v>89</v>
      </c>
      <c r="Q38" s="47">
        <f t="shared" si="11"/>
        <v>85</v>
      </c>
      <c r="R38" s="47">
        <f t="shared" si="11"/>
        <v>37</v>
      </c>
      <c r="S38" s="47">
        <f t="shared" si="11"/>
        <v>85</v>
      </c>
      <c r="T38" s="47">
        <f t="shared" si="11"/>
        <v>58</v>
      </c>
      <c r="U38" s="47">
        <f>SUM(U33:U37)</f>
        <v>85</v>
      </c>
      <c r="V38" s="47">
        <f t="shared" si="11"/>
        <v>85</v>
      </c>
      <c r="W38" s="47">
        <f t="shared" si="11"/>
        <v>85</v>
      </c>
      <c r="X38" s="47">
        <f t="shared" si="11"/>
        <v>61</v>
      </c>
      <c r="Y38" s="47">
        <f t="shared" si="11"/>
        <v>85</v>
      </c>
      <c r="Z38" s="47">
        <f t="shared" si="11"/>
        <v>78</v>
      </c>
      <c r="AA38" s="47">
        <f t="shared" si="11"/>
        <v>85</v>
      </c>
      <c r="AB38" s="47">
        <f t="shared" si="11"/>
        <v>49</v>
      </c>
      <c r="AC38" s="47">
        <f t="shared" si="11"/>
        <v>85</v>
      </c>
      <c r="AD38" s="47">
        <f t="shared" si="11"/>
        <v>37</v>
      </c>
      <c r="AE38" s="47">
        <f t="shared" si="11"/>
        <v>85</v>
      </c>
      <c r="AF38" s="47">
        <f t="shared" si="11"/>
        <v>55</v>
      </c>
      <c r="AG38" s="47">
        <f t="shared" si="11"/>
        <v>80</v>
      </c>
      <c r="AH38" s="47">
        <f t="shared" si="11"/>
        <v>123</v>
      </c>
      <c r="AI38" s="47">
        <f t="shared" si="11"/>
        <v>80</v>
      </c>
      <c r="AJ38" s="47">
        <f t="shared" si="11"/>
        <v>101</v>
      </c>
      <c r="AK38" s="47">
        <f t="shared" si="11"/>
        <v>80</v>
      </c>
      <c r="AL38" s="47">
        <f t="shared" si="11"/>
        <v>129</v>
      </c>
      <c r="AM38" s="47">
        <f t="shared" si="11"/>
        <v>80</v>
      </c>
      <c r="AN38" s="47">
        <f t="shared" si="11"/>
        <v>148</v>
      </c>
      <c r="AO38" s="47">
        <f t="shared" si="11"/>
        <v>80</v>
      </c>
      <c r="AP38" s="47">
        <f t="shared" si="11"/>
        <v>0</v>
      </c>
      <c r="AQ38" s="47">
        <f t="shared" si="11"/>
        <v>80</v>
      </c>
      <c r="AR38" s="47">
        <f t="shared" si="11"/>
        <v>0</v>
      </c>
      <c r="AS38" s="47">
        <f>SUM(AS33:AS37)</f>
        <v>80</v>
      </c>
      <c r="AT38" s="47">
        <f>SUM(AT33:AT37)</f>
        <v>0</v>
      </c>
    </row>
  </sheetData>
  <mergeCells count="45">
    <mergeCell ref="A14:G14"/>
    <mergeCell ref="A3:D3"/>
    <mergeCell ref="W3:X3"/>
    <mergeCell ref="M31:N31"/>
    <mergeCell ref="E3:F3"/>
    <mergeCell ref="G3:H3"/>
    <mergeCell ref="I3:J3"/>
    <mergeCell ref="K3:L3"/>
    <mergeCell ref="M3:N3"/>
    <mergeCell ref="K31:L31"/>
    <mergeCell ref="W31:X31"/>
    <mergeCell ref="A31:D31"/>
    <mergeCell ref="E31:F31"/>
    <mergeCell ref="G31:H31"/>
    <mergeCell ref="I31:J31"/>
    <mergeCell ref="O31:P31"/>
    <mergeCell ref="AK3:AL3"/>
    <mergeCell ref="AI3:AJ3"/>
    <mergeCell ref="O3:P3"/>
    <mergeCell ref="U31:V31"/>
    <mergeCell ref="S31:T31"/>
    <mergeCell ref="Q3:R3"/>
    <mergeCell ref="S3:T3"/>
    <mergeCell ref="U3:V3"/>
    <mergeCell ref="AE3:AF3"/>
    <mergeCell ref="AG3:AH3"/>
    <mergeCell ref="AC3:AD3"/>
    <mergeCell ref="AA3:AB3"/>
    <mergeCell ref="Q31:R31"/>
    <mergeCell ref="AS3:AT3"/>
    <mergeCell ref="AS31:AT31"/>
    <mergeCell ref="AQ3:AR3"/>
    <mergeCell ref="Y31:Z31"/>
    <mergeCell ref="AA31:AB31"/>
    <mergeCell ref="AC31:AD31"/>
    <mergeCell ref="AE31:AF31"/>
    <mergeCell ref="AG31:AH31"/>
    <mergeCell ref="AI31:AJ31"/>
    <mergeCell ref="AK31:AL31"/>
    <mergeCell ref="AM31:AN31"/>
    <mergeCell ref="AO31:AP31"/>
    <mergeCell ref="AQ31:AR31"/>
    <mergeCell ref="AO3:AP3"/>
    <mergeCell ref="Y3:Z3"/>
    <mergeCell ref="AM3:AN3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B89EE-7A7A-4DD1-9FE6-736B949DBD92}">
  <sheetPr>
    <tabColor theme="7"/>
    <outlinePr summaryBelow="0" summaryRight="0"/>
  </sheetPr>
  <dimension ref="A1:AJ964"/>
  <sheetViews>
    <sheetView showGridLines="0" tabSelected="1" topLeftCell="A2" zoomScaleNormal="100" workbookViewId="0">
      <selection activeCell="AE25" sqref="AE25"/>
    </sheetView>
  </sheetViews>
  <sheetFormatPr defaultColWidth="12.6640625" defaultRowHeight="15.75" customHeight="1" x14ac:dyDescent="0.25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9" bestFit="1" customWidth="1"/>
    <col min="28" max="28" width="10.6640625" style="9" customWidth="1"/>
    <col min="29" max="29" width="13.44140625" style="9" customWidth="1"/>
    <col min="30" max="30" width="12.6640625" style="9"/>
    <col min="31" max="31" width="16" style="9" bestFit="1" customWidth="1"/>
    <col min="32" max="32" width="12.6640625" style="9"/>
  </cols>
  <sheetData>
    <row r="1" spans="1:36" ht="13.8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36" ht="13.2" x14ac:dyDescent="0.25">
      <c r="A2" s="1"/>
      <c r="B2" s="1"/>
      <c r="C2" s="134" t="s">
        <v>30</v>
      </c>
      <c r="D2" s="135"/>
      <c r="E2" s="135"/>
      <c r="F2" s="136"/>
      <c r="G2" s="134" t="s">
        <v>31</v>
      </c>
      <c r="H2" s="135"/>
      <c r="I2" s="135"/>
      <c r="J2" s="135"/>
      <c r="K2" s="136"/>
      <c r="L2" s="134" t="s">
        <v>32</v>
      </c>
      <c r="M2" s="135"/>
      <c r="N2" s="135"/>
      <c r="O2" s="135"/>
      <c r="P2" s="136"/>
      <c r="Q2" s="134" t="s">
        <v>33</v>
      </c>
      <c r="R2" s="135"/>
      <c r="S2" s="135"/>
      <c r="T2" s="135"/>
      <c r="U2" s="136"/>
      <c r="V2" s="134" t="s">
        <v>34</v>
      </c>
      <c r="W2" s="136"/>
      <c r="X2" s="1"/>
      <c r="Y2" s="1"/>
      <c r="Z2" s="3"/>
      <c r="AA2" s="17" t="s">
        <v>35</v>
      </c>
      <c r="AB2" s="17" t="s">
        <v>36</v>
      </c>
      <c r="AC2" s="17" t="s">
        <v>37</v>
      </c>
      <c r="AD2" s="17" t="s">
        <v>38</v>
      </c>
      <c r="AE2" s="17" t="s">
        <v>39</v>
      </c>
      <c r="AF2" s="17" t="s">
        <v>40</v>
      </c>
      <c r="AG2" s="17" t="s">
        <v>41</v>
      </c>
    </row>
    <row r="3" spans="1:36" ht="13.2" x14ac:dyDescent="0.25">
      <c r="A3" s="1"/>
      <c r="B3" s="1"/>
      <c r="C3" s="86">
        <v>1</v>
      </c>
      <c r="D3" s="6">
        <v>2</v>
      </c>
      <c r="E3" s="6">
        <v>3</v>
      </c>
      <c r="F3" s="87">
        <v>5</v>
      </c>
      <c r="G3" s="86">
        <v>8</v>
      </c>
      <c r="H3" s="6">
        <v>9</v>
      </c>
      <c r="I3" s="6">
        <v>10</v>
      </c>
      <c r="J3" s="6">
        <v>11</v>
      </c>
      <c r="K3" s="87">
        <v>12</v>
      </c>
      <c r="L3" s="86">
        <v>15</v>
      </c>
      <c r="M3" s="6">
        <v>16</v>
      </c>
      <c r="N3" s="6">
        <v>17</v>
      </c>
      <c r="O3" s="6">
        <v>18</v>
      </c>
      <c r="P3" s="87">
        <v>19</v>
      </c>
      <c r="Q3" s="86">
        <v>22</v>
      </c>
      <c r="R3" s="6">
        <v>23</v>
      </c>
      <c r="S3" s="6">
        <v>24</v>
      </c>
      <c r="T3" s="6">
        <v>25</v>
      </c>
      <c r="U3" s="87">
        <v>26</v>
      </c>
      <c r="V3" s="86">
        <v>29</v>
      </c>
      <c r="W3" s="87">
        <v>30</v>
      </c>
      <c r="X3" s="2"/>
      <c r="Y3" s="1"/>
      <c r="Z3" s="1"/>
      <c r="AA3" s="46">
        <v>1</v>
      </c>
      <c r="AB3" s="19">
        <v>39905</v>
      </c>
      <c r="AC3" s="80">
        <v>46059</v>
      </c>
      <c r="AD3" s="19">
        <v>395.94</v>
      </c>
      <c r="AE3" s="80">
        <v>46298</v>
      </c>
      <c r="AF3" s="19" t="s">
        <v>42</v>
      </c>
      <c r="AG3" s="19">
        <v>84</v>
      </c>
    </row>
    <row r="4" spans="1:36" ht="13.2" x14ac:dyDescent="0.25">
      <c r="A4" s="1"/>
      <c r="B4" s="13" t="s">
        <v>43</v>
      </c>
      <c r="C4" s="88" t="s">
        <v>44</v>
      </c>
      <c r="D4" s="85" t="s">
        <v>45</v>
      </c>
      <c r="E4" s="85" t="s">
        <v>46</v>
      </c>
      <c r="F4" s="89" t="s">
        <v>46</v>
      </c>
      <c r="G4" s="88" t="s">
        <v>44</v>
      </c>
      <c r="H4" s="85" t="s">
        <v>44</v>
      </c>
      <c r="I4" s="85" t="s">
        <v>45</v>
      </c>
      <c r="J4" s="85" t="s">
        <v>46</v>
      </c>
      <c r="K4" s="89" t="s">
        <v>46</v>
      </c>
      <c r="L4" s="88" t="s">
        <v>44</v>
      </c>
      <c r="M4" s="85" t="s">
        <v>44</v>
      </c>
      <c r="N4" s="85" t="s">
        <v>45</v>
      </c>
      <c r="O4" s="85" t="s">
        <v>46</v>
      </c>
      <c r="P4" s="89" t="s">
        <v>46</v>
      </c>
      <c r="Q4" s="88" t="s">
        <v>44</v>
      </c>
      <c r="R4" s="85" t="s">
        <v>44</v>
      </c>
      <c r="S4" s="85" t="s">
        <v>45</v>
      </c>
      <c r="T4" s="85" t="s">
        <v>46</v>
      </c>
      <c r="U4" s="89" t="s">
        <v>46</v>
      </c>
      <c r="V4" s="88" t="s">
        <v>44</v>
      </c>
      <c r="W4" s="89" t="s">
        <v>44</v>
      </c>
      <c r="X4" s="15" t="s">
        <v>11</v>
      </c>
      <c r="Y4" s="1"/>
      <c r="Z4" s="1"/>
      <c r="AA4" s="46">
        <v>2</v>
      </c>
      <c r="AB4" s="19">
        <v>35214</v>
      </c>
      <c r="AC4" s="80">
        <v>46059</v>
      </c>
      <c r="AD4" s="19">
        <v>536.37</v>
      </c>
      <c r="AE4" s="80">
        <v>46085</v>
      </c>
      <c r="AF4" s="19" t="s">
        <v>47</v>
      </c>
      <c r="AG4" s="19">
        <v>60</v>
      </c>
    </row>
    <row r="5" spans="1:36" ht="13.2" x14ac:dyDescent="0.25">
      <c r="A5" s="1"/>
      <c r="B5" s="14" t="s">
        <v>2</v>
      </c>
      <c r="C5" s="90">
        <v>1</v>
      </c>
      <c r="D5" s="7">
        <v>1</v>
      </c>
      <c r="E5" s="7">
        <v>1</v>
      </c>
      <c r="F5" s="91">
        <v>1</v>
      </c>
      <c r="G5" s="90">
        <v>1</v>
      </c>
      <c r="H5" s="7">
        <v>1</v>
      </c>
      <c r="I5" s="7">
        <v>1</v>
      </c>
      <c r="J5" s="7">
        <v>1</v>
      </c>
      <c r="K5" s="91">
        <v>1</v>
      </c>
      <c r="L5" s="90">
        <v>1</v>
      </c>
      <c r="M5" s="7">
        <v>1</v>
      </c>
      <c r="N5" s="7">
        <v>2</v>
      </c>
      <c r="O5" s="7">
        <v>2</v>
      </c>
      <c r="P5" s="91">
        <v>2</v>
      </c>
      <c r="Q5" s="90">
        <v>2</v>
      </c>
      <c r="R5" s="7">
        <v>2</v>
      </c>
      <c r="S5" s="7">
        <v>2</v>
      </c>
      <c r="T5" s="7">
        <v>2</v>
      </c>
      <c r="U5" s="91">
        <v>2</v>
      </c>
      <c r="V5" s="105">
        <v>2</v>
      </c>
      <c r="W5" s="91">
        <v>2</v>
      </c>
      <c r="X5" s="16">
        <f>SUM(C5:W5)</f>
        <v>31</v>
      </c>
      <c r="Y5" s="1"/>
      <c r="Z5" s="1"/>
      <c r="AA5" s="46">
        <v>3</v>
      </c>
      <c r="AB5" s="19">
        <v>26900</v>
      </c>
      <c r="AC5" s="80">
        <v>46148</v>
      </c>
      <c r="AD5" s="19">
        <v>450.42</v>
      </c>
      <c r="AE5" s="80" t="s">
        <v>48</v>
      </c>
      <c r="AF5" s="19" t="s">
        <v>6</v>
      </c>
      <c r="AG5" s="19">
        <v>82</v>
      </c>
    </row>
    <row r="6" spans="1:36" ht="13.8" thickBot="1" x14ac:dyDescent="0.3">
      <c r="A6" s="1"/>
      <c r="B6" s="14" t="s">
        <v>49</v>
      </c>
      <c r="C6" s="92">
        <v>0</v>
      </c>
      <c r="D6" s="93">
        <v>2</v>
      </c>
      <c r="E6" s="93">
        <v>0</v>
      </c>
      <c r="F6" s="94">
        <v>3</v>
      </c>
      <c r="G6" s="92">
        <v>0</v>
      </c>
      <c r="H6" s="93">
        <v>1</v>
      </c>
      <c r="I6" s="93">
        <v>0</v>
      </c>
      <c r="J6" s="93">
        <v>1</v>
      </c>
      <c r="K6" s="94">
        <v>0</v>
      </c>
      <c r="L6" s="92">
        <v>1</v>
      </c>
      <c r="M6" s="93">
        <v>1</v>
      </c>
      <c r="N6" s="93">
        <v>0</v>
      </c>
      <c r="O6" s="93">
        <v>1</v>
      </c>
      <c r="P6" s="94">
        <v>0</v>
      </c>
      <c r="Q6" s="92">
        <v>0</v>
      </c>
      <c r="R6" s="93"/>
      <c r="S6" s="93"/>
      <c r="T6" s="93"/>
      <c r="U6" s="94">
        <v>2</v>
      </c>
      <c r="V6" s="92"/>
      <c r="W6" s="94"/>
      <c r="X6" s="16">
        <f>SUM(C6:W6)</f>
        <v>12</v>
      </c>
      <c r="Y6" s="79">
        <f>X6-X5</f>
        <v>-19</v>
      </c>
      <c r="Z6" s="1"/>
      <c r="AA6" s="46">
        <v>4</v>
      </c>
      <c r="AB6" s="19">
        <v>25286</v>
      </c>
      <c r="AC6" s="80">
        <v>46148</v>
      </c>
      <c r="AD6" s="19">
        <f>437.5+902.1</f>
        <v>1339.6</v>
      </c>
      <c r="AE6" s="80">
        <v>46057</v>
      </c>
      <c r="AF6" s="19" t="s">
        <v>50</v>
      </c>
      <c r="AG6" s="19">
        <v>64</v>
      </c>
    </row>
    <row r="7" spans="1:36" ht="13.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70"/>
      <c r="Z7" s="1"/>
      <c r="AA7" s="46">
        <v>5</v>
      </c>
      <c r="AB7" s="19">
        <v>29748</v>
      </c>
      <c r="AC7" s="80">
        <v>46148</v>
      </c>
      <c r="AD7" s="19">
        <v>429.34</v>
      </c>
      <c r="AE7" s="80" t="s">
        <v>51</v>
      </c>
      <c r="AF7" s="19" t="s">
        <v>6</v>
      </c>
      <c r="AG7" s="19">
        <v>49</v>
      </c>
    </row>
    <row r="8" spans="1:36" ht="13.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46">
        <v>6</v>
      </c>
      <c r="AB8" s="19">
        <v>41967</v>
      </c>
      <c r="AC8" s="80">
        <v>46271</v>
      </c>
      <c r="AD8" s="19">
        <v>177.86</v>
      </c>
      <c r="AE8" s="80" t="s">
        <v>52</v>
      </c>
      <c r="AF8" s="19" t="s">
        <v>53</v>
      </c>
      <c r="AG8" s="19">
        <v>84</v>
      </c>
    </row>
    <row r="9" spans="1:36" ht="13.2" x14ac:dyDescent="0.25">
      <c r="A9" s="1"/>
      <c r="B9" s="4" t="s">
        <v>54</v>
      </c>
      <c r="C9" s="86">
        <v>1</v>
      </c>
      <c r="D9" s="6">
        <v>2</v>
      </c>
      <c r="E9" s="6">
        <v>3</v>
      </c>
      <c r="F9" s="87">
        <v>5</v>
      </c>
      <c r="G9" s="86">
        <v>8</v>
      </c>
      <c r="H9" s="6">
        <v>9</v>
      </c>
      <c r="I9" s="6">
        <v>10</v>
      </c>
      <c r="J9" s="6">
        <v>11</v>
      </c>
      <c r="K9" s="87">
        <v>12</v>
      </c>
      <c r="L9" s="86">
        <v>15</v>
      </c>
      <c r="M9" s="6">
        <v>16</v>
      </c>
      <c r="N9" s="6">
        <v>17</v>
      </c>
      <c r="O9" s="6">
        <v>18</v>
      </c>
      <c r="P9" s="87">
        <v>19</v>
      </c>
      <c r="Q9" s="86">
        <v>22</v>
      </c>
      <c r="R9" s="6">
        <v>23</v>
      </c>
      <c r="S9" s="6">
        <v>24</v>
      </c>
      <c r="T9" s="6">
        <v>25</v>
      </c>
      <c r="U9" s="87">
        <v>26</v>
      </c>
      <c r="V9" s="86">
        <v>29</v>
      </c>
      <c r="W9" s="87">
        <v>30</v>
      </c>
      <c r="X9" s="1"/>
      <c r="Y9" s="1"/>
      <c r="Z9" s="1"/>
      <c r="AA9" s="107">
        <v>7</v>
      </c>
      <c r="AB9" s="108">
        <v>40914</v>
      </c>
      <c r="AC9" s="109">
        <v>46332</v>
      </c>
      <c r="AD9" s="108">
        <f>6392+3196</f>
        <v>9588</v>
      </c>
      <c r="AE9" s="109">
        <v>46145</v>
      </c>
      <c r="AF9" s="108" t="s">
        <v>6</v>
      </c>
      <c r="AG9" s="108">
        <v>98</v>
      </c>
    </row>
    <row r="10" spans="1:36" ht="13.2" x14ac:dyDescent="0.25">
      <c r="A10" s="1"/>
      <c r="B10" s="85" t="s">
        <v>16</v>
      </c>
      <c r="C10" s="7">
        <v>47</v>
      </c>
      <c r="D10" s="7"/>
      <c r="E10" s="7">
        <v>46</v>
      </c>
      <c r="F10" s="8">
        <v>43</v>
      </c>
      <c r="G10" s="8">
        <v>43</v>
      </c>
      <c r="H10" s="7">
        <v>16</v>
      </c>
      <c r="I10" s="7">
        <v>16</v>
      </c>
      <c r="J10" s="7">
        <v>21</v>
      </c>
      <c r="K10" s="7"/>
      <c r="L10" s="11">
        <v>12</v>
      </c>
      <c r="M10" s="7">
        <v>29</v>
      </c>
      <c r="N10" s="7">
        <v>29</v>
      </c>
      <c r="O10" s="7"/>
      <c r="P10" s="7">
        <v>32</v>
      </c>
      <c r="Q10" s="7">
        <v>8</v>
      </c>
      <c r="R10" s="77">
        <v>37</v>
      </c>
      <c r="S10" s="21">
        <v>38</v>
      </c>
      <c r="T10" s="78">
        <v>37</v>
      </c>
      <c r="U10" s="104"/>
      <c r="V10" s="7"/>
      <c r="W10" s="7"/>
      <c r="X10" s="1"/>
      <c r="Y10" s="1"/>
      <c r="Z10" s="1"/>
      <c r="AA10" s="107">
        <v>8</v>
      </c>
      <c r="AB10" s="108">
        <v>43131</v>
      </c>
      <c r="AC10" s="108" t="s">
        <v>55</v>
      </c>
      <c r="AD10" s="108">
        <f>198.65+198.65</f>
        <v>397.3</v>
      </c>
      <c r="AE10" s="109">
        <v>46237</v>
      </c>
      <c r="AF10" s="108" t="s">
        <v>6</v>
      </c>
      <c r="AG10" s="108">
        <v>100</v>
      </c>
    </row>
    <row r="11" spans="1:36" ht="13.2" x14ac:dyDescent="0.25">
      <c r="A11" s="1"/>
      <c r="B11" s="85" t="s">
        <v>17</v>
      </c>
      <c r="C11" s="7">
        <v>9</v>
      </c>
      <c r="D11" s="7"/>
      <c r="E11" s="7">
        <v>9</v>
      </c>
      <c r="F11" s="8">
        <v>7</v>
      </c>
      <c r="G11" s="8">
        <v>7</v>
      </c>
      <c r="H11" s="7">
        <v>7</v>
      </c>
      <c r="I11" s="7">
        <v>7</v>
      </c>
      <c r="J11" s="7">
        <v>7</v>
      </c>
      <c r="K11" s="7"/>
      <c r="L11" s="11">
        <v>10</v>
      </c>
      <c r="M11" s="7">
        <v>10</v>
      </c>
      <c r="N11" s="7">
        <v>10</v>
      </c>
      <c r="O11" s="7"/>
      <c r="P11" s="7">
        <v>11</v>
      </c>
      <c r="Q11" s="7">
        <v>12</v>
      </c>
      <c r="R11" s="77">
        <v>11</v>
      </c>
      <c r="S11" s="21">
        <v>9</v>
      </c>
      <c r="T11" s="78">
        <v>9</v>
      </c>
      <c r="U11" s="104"/>
      <c r="V11" s="7"/>
      <c r="W11" s="7"/>
      <c r="X11" s="1"/>
      <c r="Y11" s="1"/>
      <c r="Z11" s="1"/>
      <c r="AA11" s="107">
        <v>9</v>
      </c>
      <c r="AB11" s="108">
        <v>27411</v>
      </c>
      <c r="AC11" s="108" t="s">
        <v>56</v>
      </c>
      <c r="AD11" s="108">
        <v>179.43</v>
      </c>
      <c r="AE11" s="109">
        <v>46298</v>
      </c>
      <c r="AF11" s="108" t="s">
        <v>6</v>
      </c>
      <c r="AG11" s="108">
        <v>100</v>
      </c>
    </row>
    <row r="12" spans="1:36" ht="13.2" x14ac:dyDescent="0.25">
      <c r="A12" s="1"/>
      <c r="B12" s="85" t="s">
        <v>18</v>
      </c>
      <c r="C12" s="7">
        <v>5</v>
      </c>
      <c r="D12" s="7"/>
      <c r="E12" s="7">
        <v>5</v>
      </c>
      <c r="F12" s="8">
        <v>3</v>
      </c>
      <c r="G12" s="8">
        <v>3</v>
      </c>
      <c r="H12" s="7">
        <v>4</v>
      </c>
      <c r="I12" s="7">
        <v>4</v>
      </c>
      <c r="J12" s="7">
        <v>4</v>
      </c>
      <c r="K12" s="7"/>
      <c r="L12" s="11">
        <v>6</v>
      </c>
      <c r="M12" s="7">
        <v>7</v>
      </c>
      <c r="N12" s="7">
        <v>7</v>
      </c>
      <c r="O12" s="7"/>
      <c r="P12" s="7">
        <v>5</v>
      </c>
      <c r="Q12" s="7">
        <v>3</v>
      </c>
      <c r="R12" s="77">
        <v>3</v>
      </c>
      <c r="S12" s="21">
        <v>2</v>
      </c>
      <c r="T12" s="78">
        <v>2</v>
      </c>
      <c r="U12" s="104"/>
      <c r="V12" s="7"/>
      <c r="W12" s="7"/>
      <c r="X12" s="1"/>
      <c r="Y12" s="1"/>
      <c r="Z12" s="1"/>
      <c r="AA12" s="46">
        <v>10</v>
      </c>
      <c r="AB12" s="19">
        <v>44581</v>
      </c>
      <c r="AC12" s="19" t="s">
        <v>57</v>
      </c>
      <c r="AD12" s="19">
        <v>228.74</v>
      </c>
      <c r="AE12" s="80" t="s">
        <v>58</v>
      </c>
      <c r="AF12" s="19" t="s">
        <v>59</v>
      </c>
      <c r="AG12" s="19">
        <v>62</v>
      </c>
      <c r="AJ12" s="119">
        <f>270/1350</f>
        <v>0.2</v>
      </c>
    </row>
    <row r="13" spans="1:36" ht="13.2" x14ac:dyDescent="0.25">
      <c r="A13" s="1"/>
      <c r="B13" s="85" t="s">
        <v>20</v>
      </c>
      <c r="C13" s="7">
        <v>0</v>
      </c>
      <c r="D13" s="7"/>
      <c r="E13" s="7">
        <v>0</v>
      </c>
      <c r="F13" s="8">
        <v>3</v>
      </c>
      <c r="G13" s="8">
        <v>3</v>
      </c>
      <c r="H13" s="7">
        <v>2</v>
      </c>
      <c r="I13" s="7">
        <v>2</v>
      </c>
      <c r="J13" s="7">
        <v>1</v>
      </c>
      <c r="K13" s="7"/>
      <c r="L13" s="11">
        <v>2</v>
      </c>
      <c r="M13" s="7">
        <v>1</v>
      </c>
      <c r="N13" s="7">
        <v>0</v>
      </c>
      <c r="O13" s="7"/>
      <c r="P13" s="7">
        <v>2</v>
      </c>
      <c r="Q13" s="7">
        <v>0</v>
      </c>
      <c r="R13" s="77">
        <v>0</v>
      </c>
      <c r="S13" s="21">
        <v>3</v>
      </c>
      <c r="T13" s="78">
        <v>2</v>
      </c>
      <c r="U13" s="104"/>
      <c r="V13" s="7"/>
      <c r="W13" s="7"/>
      <c r="X13" s="1"/>
      <c r="Y13" s="1"/>
      <c r="Z13" s="1"/>
      <c r="AA13" s="46">
        <v>11</v>
      </c>
      <c r="AB13" s="19">
        <v>36248</v>
      </c>
      <c r="AC13" s="80" t="s">
        <v>60</v>
      </c>
      <c r="AD13" s="19">
        <v>264.39</v>
      </c>
      <c r="AE13" s="80">
        <v>46147</v>
      </c>
      <c r="AF13" s="19" t="s">
        <v>42</v>
      </c>
      <c r="AG13" s="19">
        <v>52</v>
      </c>
    </row>
    <row r="14" spans="1:36" ht="13.2" x14ac:dyDescent="0.25">
      <c r="A14" s="1"/>
      <c r="B14" s="85" t="s">
        <v>61</v>
      </c>
      <c r="C14" s="7">
        <v>185</v>
      </c>
      <c r="D14" s="7"/>
      <c r="E14" s="7">
        <v>177</v>
      </c>
      <c r="F14" s="8">
        <v>177</v>
      </c>
      <c r="G14" s="8">
        <v>177</v>
      </c>
      <c r="H14" s="11">
        <v>214</v>
      </c>
      <c r="I14" s="7">
        <v>213</v>
      </c>
      <c r="J14" s="7">
        <v>213</v>
      </c>
      <c r="K14" s="7"/>
      <c r="L14" s="11">
        <v>204</v>
      </c>
      <c r="M14" s="7">
        <v>187</v>
      </c>
      <c r="N14" s="7">
        <v>187</v>
      </c>
      <c r="O14" s="7"/>
      <c r="P14" s="7">
        <v>190</v>
      </c>
      <c r="Q14" s="7">
        <v>216</v>
      </c>
      <c r="R14" s="77">
        <v>216</v>
      </c>
      <c r="S14" s="21">
        <v>223</v>
      </c>
      <c r="T14" s="78">
        <v>198</v>
      </c>
      <c r="U14" s="46"/>
      <c r="V14" s="7"/>
      <c r="W14" s="7"/>
      <c r="X14" s="1"/>
      <c r="Y14" s="1"/>
      <c r="Z14" s="1"/>
      <c r="AA14" s="46">
        <v>12</v>
      </c>
      <c r="AB14" s="19">
        <v>2425</v>
      </c>
      <c r="AC14" s="80" t="s">
        <v>60</v>
      </c>
      <c r="AD14" s="19">
        <v>546.6</v>
      </c>
      <c r="AE14" s="80" t="s">
        <v>62</v>
      </c>
      <c r="AF14" s="19" t="s">
        <v>42</v>
      </c>
      <c r="AG14" s="19">
        <v>71</v>
      </c>
    </row>
    <row r="15" spans="1:36" ht="13.2" x14ac:dyDescent="0.25">
      <c r="A15" s="1"/>
      <c r="B15" s="85" t="s">
        <v>63</v>
      </c>
      <c r="C15" s="7">
        <v>40</v>
      </c>
      <c r="D15" s="7"/>
      <c r="E15" s="7">
        <v>33</v>
      </c>
      <c r="F15" s="8">
        <v>34</v>
      </c>
      <c r="G15" s="8">
        <v>34</v>
      </c>
      <c r="H15" s="7">
        <v>37</v>
      </c>
      <c r="I15" s="7">
        <v>37</v>
      </c>
      <c r="J15" s="7">
        <v>37</v>
      </c>
      <c r="K15" s="7"/>
      <c r="L15" s="11">
        <v>36</v>
      </c>
      <c r="M15" s="7">
        <v>35</v>
      </c>
      <c r="N15" s="7">
        <v>35</v>
      </c>
      <c r="O15" s="7"/>
      <c r="P15" s="7">
        <v>35</v>
      </c>
      <c r="Q15" s="7">
        <v>35</v>
      </c>
      <c r="R15" s="77">
        <v>35</v>
      </c>
      <c r="S15" s="21">
        <v>35</v>
      </c>
      <c r="T15" s="78">
        <v>32</v>
      </c>
      <c r="U15" s="81"/>
      <c r="V15" s="7"/>
      <c r="W15" s="7"/>
      <c r="X15" s="1"/>
      <c r="Y15" s="1"/>
      <c r="Z15" s="1"/>
      <c r="AA15" s="46"/>
      <c r="AB15" s="19"/>
      <c r="AC15" s="19"/>
      <c r="AD15" s="19"/>
      <c r="AE15" s="80"/>
      <c r="AF15" s="19"/>
      <c r="AG15" s="19"/>
    </row>
    <row r="16" spans="1:36" ht="13.2" x14ac:dyDescent="0.25">
      <c r="A16" s="1"/>
      <c r="B16" s="85" t="s">
        <v>24</v>
      </c>
      <c r="C16" s="7">
        <v>0</v>
      </c>
      <c r="D16" s="7"/>
      <c r="E16" s="7">
        <v>0</v>
      </c>
      <c r="F16" s="8">
        <v>0</v>
      </c>
      <c r="G16" s="8">
        <v>0</v>
      </c>
      <c r="H16" s="7">
        <v>0</v>
      </c>
      <c r="I16" s="7">
        <v>0</v>
      </c>
      <c r="J16" s="7">
        <v>0</v>
      </c>
      <c r="K16" s="7"/>
      <c r="L16" s="11">
        <v>0</v>
      </c>
      <c r="M16" s="7">
        <v>0</v>
      </c>
      <c r="N16" s="7">
        <v>0</v>
      </c>
      <c r="O16" s="7"/>
      <c r="P16" s="7">
        <v>0</v>
      </c>
      <c r="Q16" s="7">
        <v>0</v>
      </c>
      <c r="R16" s="77">
        <v>0</v>
      </c>
      <c r="S16" s="21">
        <v>0</v>
      </c>
      <c r="T16" s="78">
        <v>0</v>
      </c>
      <c r="U16" s="46"/>
      <c r="V16" s="7"/>
      <c r="W16" s="7"/>
      <c r="X16" s="1"/>
      <c r="Y16" s="1"/>
      <c r="Z16" s="106"/>
      <c r="AA16" s="46"/>
      <c r="AB16" s="19"/>
      <c r="AC16" s="19"/>
      <c r="AD16" s="19"/>
      <c r="AE16" s="80"/>
      <c r="AF16" s="19"/>
      <c r="AG16" s="19"/>
    </row>
    <row r="17" spans="1:33" ht="13.2" x14ac:dyDescent="0.25">
      <c r="A17" s="1"/>
      <c r="B17" s="85" t="s">
        <v>25</v>
      </c>
      <c r="C17" s="7">
        <v>0</v>
      </c>
      <c r="D17" s="7"/>
      <c r="E17" s="7">
        <v>0</v>
      </c>
      <c r="F17" s="8">
        <v>0</v>
      </c>
      <c r="G17" s="8">
        <v>0</v>
      </c>
      <c r="H17" s="7">
        <v>1</v>
      </c>
      <c r="I17" s="7">
        <v>1</v>
      </c>
      <c r="J17" s="7">
        <v>1</v>
      </c>
      <c r="K17" s="7"/>
      <c r="L17" s="11">
        <v>1</v>
      </c>
      <c r="M17" s="7">
        <v>1</v>
      </c>
      <c r="N17" s="7">
        <v>1</v>
      </c>
      <c r="O17" s="7"/>
      <c r="P17" s="7">
        <v>1</v>
      </c>
      <c r="Q17" s="7">
        <v>1</v>
      </c>
      <c r="R17" s="77">
        <v>1</v>
      </c>
      <c r="S17" s="21">
        <v>1</v>
      </c>
      <c r="T17" s="78">
        <v>1</v>
      </c>
      <c r="U17" s="46"/>
      <c r="V17" s="7"/>
      <c r="W17" s="7"/>
      <c r="X17" s="1"/>
      <c r="Y17" s="1"/>
      <c r="Z17" s="1"/>
      <c r="AA17" s="46"/>
      <c r="AB17" s="19"/>
      <c r="AC17" s="19"/>
      <c r="AD17" s="19"/>
      <c r="AE17" s="80"/>
      <c r="AF17" s="19"/>
      <c r="AG17" s="19"/>
    </row>
    <row r="18" spans="1:33" ht="13.2" x14ac:dyDescent="0.25">
      <c r="A18" s="1"/>
      <c r="B18" s="85" t="s">
        <v>26</v>
      </c>
      <c r="C18" s="7">
        <v>0</v>
      </c>
      <c r="D18" s="7"/>
      <c r="E18" s="7">
        <v>1</v>
      </c>
      <c r="F18" s="8">
        <v>1</v>
      </c>
      <c r="G18" s="8">
        <v>1</v>
      </c>
      <c r="H18" s="7">
        <v>3</v>
      </c>
      <c r="I18" s="7">
        <v>4</v>
      </c>
      <c r="J18" s="7">
        <v>4</v>
      </c>
      <c r="K18" s="7"/>
      <c r="L18" s="11">
        <v>4</v>
      </c>
      <c r="M18" s="7">
        <v>4</v>
      </c>
      <c r="N18" s="7">
        <v>4</v>
      </c>
      <c r="O18" s="7"/>
      <c r="P18" s="7">
        <v>4</v>
      </c>
      <c r="Q18" s="7">
        <v>5</v>
      </c>
      <c r="R18" s="77">
        <v>5</v>
      </c>
      <c r="S18" s="21">
        <v>7</v>
      </c>
      <c r="T18" s="78">
        <v>31</v>
      </c>
      <c r="U18" s="46"/>
      <c r="V18" s="7"/>
      <c r="W18" s="7"/>
      <c r="X18" s="1"/>
      <c r="Y18" s="1"/>
      <c r="Z18" s="1"/>
      <c r="AA18" s="46"/>
      <c r="AB18" s="19"/>
      <c r="AC18" s="19"/>
      <c r="AD18" s="19"/>
      <c r="AE18" s="80"/>
      <c r="AF18" s="19"/>
      <c r="AG18" s="19"/>
    </row>
    <row r="19" spans="1:33" ht="13.2" x14ac:dyDescent="0.25">
      <c r="A19" s="1"/>
      <c r="B19" s="85" t="s">
        <v>27</v>
      </c>
      <c r="C19" s="7">
        <v>0</v>
      </c>
      <c r="D19" s="7"/>
      <c r="E19" s="7">
        <v>0</v>
      </c>
      <c r="F19" s="8">
        <v>0</v>
      </c>
      <c r="G19" s="8">
        <v>0</v>
      </c>
      <c r="H19" s="7">
        <v>0</v>
      </c>
      <c r="I19" s="7">
        <v>0</v>
      </c>
      <c r="J19" s="7">
        <v>0</v>
      </c>
      <c r="K19" s="7"/>
      <c r="L19" s="11">
        <v>0</v>
      </c>
      <c r="M19" s="7">
        <v>0</v>
      </c>
      <c r="N19" s="7">
        <v>0</v>
      </c>
      <c r="O19" s="7"/>
      <c r="P19" s="7">
        <v>2</v>
      </c>
      <c r="Q19" s="7">
        <v>2</v>
      </c>
      <c r="R19" s="77">
        <v>2</v>
      </c>
      <c r="S19" s="21">
        <v>2</v>
      </c>
      <c r="T19" s="78">
        <v>2</v>
      </c>
      <c r="U19" s="46"/>
      <c r="V19" s="7"/>
      <c r="W19" s="7"/>
      <c r="X19" s="1"/>
      <c r="Y19" s="1"/>
      <c r="Z19" s="1"/>
      <c r="AA19" s="1"/>
      <c r="AD19" s="18"/>
    </row>
    <row r="20" spans="1:33" ht="13.2" x14ac:dyDescent="0.25">
      <c r="A20" s="1"/>
      <c r="B20" s="85" t="s">
        <v>28</v>
      </c>
      <c r="C20" s="7">
        <v>0</v>
      </c>
      <c r="D20" s="7"/>
      <c r="E20" s="7">
        <v>0</v>
      </c>
      <c r="F20" s="8">
        <v>0</v>
      </c>
      <c r="G20" s="8">
        <v>0</v>
      </c>
      <c r="H20" s="7">
        <v>1</v>
      </c>
      <c r="I20" s="7">
        <v>1</v>
      </c>
      <c r="J20" s="7">
        <v>1</v>
      </c>
      <c r="K20" s="7"/>
      <c r="L20" s="11">
        <v>1</v>
      </c>
      <c r="M20" s="7">
        <v>1</v>
      </c>
      <c r="N20" s="7">
        <v>1</v>
      </c>
      <c r="O20" s="7"/>
      <c r="P20" s="7">
        <v>1</v>
      </c>
      <c r="Q20" s="7">
        <v>1</v>
      </c>
      <c r="R20" s="77">
        <v>1</v>
      </c>
      <c r="S20" s="21">
        <v>1</v>
      </c>
      <c r="T20" s="78">
        <v>2</v>
      </c>
      <c r="U20" s="46"/>
      <c r="V20" s="7"/>
      <c r="W20" s="7"/>
      <c r="X20" s="1"/>
      <c r="Y20" s="1"/>
      <c r="Z20" s="1"/>
      <c r="AA20" s="1"/>
    </row>
    <row r="21" spans="1:33" ht="13.2" x14ac:dyDescent="0.25">
      <c r="A21" s="1"/>
      <c r="B21" s="4" t="s">
        <v>11</v>
      </c>
      <c r="C21" s="4">
        <f>SUM(C10:C20)</f>
        <v>286</v>
      </c>
      <c r="D21" s="4">
        <f>SUM(D10:D17)</f>
        <v>0</v>
      </c>
      <c r="E21" s="4">
        <f>SUM(E10:E20)</f>
        <v>271</v>
      </c>
      <c r="F21" s="4">
        <f>SUM(F10:F20)</f>
        <v>268</v>
      </c>
      <c r="G21" s="4">
        <f t="shared" ref="G21:W21" si="0">SUM(G10:G20)</f>
        <v>268</v>
      </c>
      <c r="H21" s="4">
        <f t="shared" si="0"/>
        <v>285</v>
      </c>
      <c r="I21" s="4">
        <f t="shared" si="0"/>
        <v>285</v>
      </c>
      <c r="J21" s="4">
        <f t="shared" si="0"/>
        <v>289</v>
      </c>
      <c r="K21" s="4">
        <f t="shared" si="0"/>
        <v>0</v>
      </c>
      <c r="L21" s="4">
        <f t="shared" si="0"/>
        <v>276</v>
      </c>
      <c r="M21" s="4">
        <f t="shared" si="0"/>
        <v>275</v>
      </c>
      <c r="N21" s="4">
        <f t="shared" si="0"/>
        <v>274</v>
      </c>
      <c r="O21" s="4">
        <f t="shared" si="0"/>
        <v>0</v>
      </c>
      <c r="P21" s="4">
        <f t="shared" si="0"/>
        <v>283</v>
      </c>
      <c r="Q21" s="4">
        <f t="shared" si="0"/>
        <v>283</v>
      </c>
      <c r="R21" s="4">
        <f t="shared" si="0"/>
        <v>311</v>
      </c>
      <c r="S21" s="4">
        <f t="shared" si="0"/>
        <v>321</v>
      </c>
      <c r="T21" s="4">
        <f t="shared" si="0"/>
        <v>316</v>
      </c>
      <c r="U21" s="4">
        <f t="shared" si="0"/>
        <v>0</v>
      </c>
      <c r="V21" s="4">
        <f t="shared" si="0"/>
        <v>0</v>
      </c>
      <c r="W21" s="4">
        <f t="shared" si="0"/>
        <v>0</v>
      </c>
      <c r="X21" s="1"/>
      <c r="Y21" s="1"/>
      <c r="Z21" s="1"/>
      <c r="AA21" s="1"/>
    </row>
    <row r="22" spans="1:33" ht="13.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33" ht="13.2" x14ac:dyDescent="0.25">
      <c r="A23" s="1"/>
      <c r="B23" s="22" t="s">
        <v>64</v>
      </c>
      <c r="C23" s="86">
        <v>1</v>
      </c>
      <c r="D23" s="6">
        <v>2</v>
      </c>
      <c r="E23" s="6">
        <v>3</v>
      </c>
      <c r="F23" s="87">
        <v>5</v>
      </c>
      <c r="G23" s="86">
        <v>8</v>
      </c>
      <c r="H23" s="6">
        <v>9</v>
      </c>
      <c r="I23" s="6">
        <v>10</v>
      </c>
      <c r="J23" s="6">
        <v>11</v>
      </c>
      <c r="K23" s="87">
        <v>12</v>
      </c>
      <c r="L23" s="86">
        <v>15</v>
      </c>
      <c r="M23" s="6">
        <v>16</v>
      </c>
      <c r="N23" s="6">
        <v>17</v>
      </c>
      <c r="O23" s="6">
        <v>18</v>
      </c>
      <c r="P23" s="87">
        <v>19</v>
      </c>
      <c r="Q23" s="86">
        <v>22</v>
      </c>
      <c r="R23" s="6">
        <v>23</v>
      </c>
      <c r="S23" s="6">
        <v>24</v>
      </c>
      <c r="T23" s="6">
        <v>25</v>
      </c>
      <c r="U23" s="87">
        <v>26</v>
      </c>
      <c r="V23" s="86">
        <v>29</v>
      </c>
      <c r="W23" s="87">
        <v>30</v>
      </c>
      <c r="X23" s="23" t="s">
        <v>11</v>
      </c>
      <c r="Y23" s="1"/>
      <c r="Z23" s="1"/>
      <c r="AA23" s="1"/>
    </row>
    <row r="24" spans="1:33" ht="13.2" x14ac:dyDescent="0.25">
      <c r="A24" s="1"/>
      <c r="B24" s="21" t="s">
        <v>2</v>
      </c>
      <c r="C24" s="46">
        <v>17</v>
      </c>
      <c r="D24" s="46">
        <v>17</v>
      </c>
      <c r="E24" s="46">
        <v>17</v>
      </c>
      <c r="F24" s="46">
        <v>17</v>
      </c>
      <c r="G24" s="46">
        <v>17</v>
      </c>
      <c r="H24" s="46">
        <v>17</v>
      </c>
      <c r="I24" s="46">
        <v>17</v>
      </c>
      <c r="J24" s="46">
        <v>17</v>
      </c>
      <c r="K24" s="46">
        <v>17</v>
      </c>
      <c r="L24" s="46">
        <v>17</v>
      </c>
      <c r="M24" s="46">
        <v>17</v>
      </c>
      <c r="N24" s="46">
        <v>17</v>
      </c>
      <c r="O24" s="46">
        <v>17</v>
      </c>
      <c r="P24" s="46">
        <v>17</v>
      </c>
      <c r="Q24" s="46">
        <v>17</v>
      </c>
      <c r="R24" s="46">
        <v>17</v>
      </c>
      <c r="S24" s="46">
        <v>17</v>
      </c>
      <c r="T24" s="46">
        <v>16</v>
      </c>
      <c r="U24" s="46">
        <v>15</v>
      </c>
      <c r="V24" s="46">
        <v>15</v>
      </c>
      <c r="W24" s="46">
        <v>15</v>
      </c>
      <c r="X24" s="21">
        <f>SUM(C24:W24)</f>
        <v>350</v>
      </c>
      <c r="Y24" s="1"/>
      <c r="Z24" s="1"/>
      <c r="AA24" s="1"/>
    </row>
    <row r="25" spans="1:33" ht="13.2" x14ac:dyDescent="0.25">
      <c r="A25" s="1"/>
      <c r="B25" s="21" t="s">
        <v>65</v>
      </c>
      <c r="C25" s="46">
        <v>0</v>
      </c>
      <c r="D25" s="46">
        <v>0</v>
      </c>
      <c r="E25" s="46">
        <v>13</v>
      </c>
      <c r="F25" s="46">
        <v>8</v>
      </c>
      <c r="G25" s="46">
        <v>3</v>
      </c>
      <c r="H25" s="46">
        <v>33</v>
      </c>
      <c r="I25" s="46" t="s">
        <v>66</v>
      </c>
      <c r="J25" s="46" t="s">
        <v>66</v>
      </c>
      <c r="K25" s="46" t="s">
        <v>66</v>
      </c>
      <c r="L25" s="46" t="s">
        <v>66</v>
      </c>
      <c r="M25" s="46">
        <v>11</v>
      </c>
      <c r="N25" s="46" t="s">
        <v>66</v>
      </c>
      <c r="O25" s="46" t="s">
        <v>66</v>
      </c>
      <c r="P25" s="46">
        <v>3</v>
      </c>
      <c r="Q25" s="46">
        <v>40</v>
      </c>
      <c r="R25" s="46">
        <v>30</v>
      </c>
      <c r="S25" s="46">
        <v>0</v>
      </c>
      <c r="T25" s="46">
        <v>47</v>
      </c>
      <c r="U25" s="46"/>
      <c r="V25" s="46"/>
      <c r="W25" s="46"/>
      <c r="X25" s="21">
        <f>SUM(C25:W25)</f>
        <v>188</v>
      </c>
      <c r="Y25" s="79">
        <f>X25-X24</f>
        <v>-162</v>
      </c>
      <c r="Z25" s="1"/>
      <c r="AA25" s="1"/>
    </row>
    <row r="26" spans="1:33" ht="13.2" x14ac:dyDescent="0.25">
      <c r="A26" s="1"/>
      <c r="B26" s="3"/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"/>
      <c r="Y26" s="1"/>
      <c r="Z26" s="1"/>
      <c r="AA26" s="1"/>
    </row>
    <row r="27" spans="1:33" ht="13.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Y27" s="1"/>
      <c r="Z27" s="1"/>
      <c r="AA27" s="1"/>
    </row>
    <row r="28" spans="1:33" ht="13.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3" ht="13.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3" ht="13.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3" ht="13.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3" ht="13.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2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2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2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2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2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2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2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2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2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2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2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2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2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2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2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2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2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2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2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2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2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2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2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2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2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2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2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2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2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2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2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2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2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2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2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2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2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2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2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2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2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2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2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2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2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2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2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2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2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2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2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2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2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2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2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2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2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2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2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2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2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2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2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2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2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2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2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2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2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2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2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2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2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2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2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2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2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2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2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2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2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2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2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2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2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2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2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2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2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2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2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2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2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2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</sheetData>
  <autoFilter ref="AA2:AG2" xr:uid="{9F0B89EE-7A7A-4DD1-9FE6-736B949DBD92}"/>
  <mergeCells count="5"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E22EE-2BFA-4431-8337-DB37E4B7A50D}">
  <sheetPr>
    <tabColor rgb="FF00B050"/>
    <outlinePr summaryBelow="0" summaryRight="0"/>
  </sheetPr>
  <dimension ref="A1:AG963"/>
  <sheetViews>
    <sheetView showGridLines="0" topLeftCell="L1" zoomScaleNormal="100" workbookViewId="0">
      <selection activeCell="AD26" sqref="AD26"/>
    </sheetView>
  </sheetViews>
  <sheetFormatPr defaultColWidth="12.6640625" defaultRowHeight="15.75" customHeight="1" x14ac:dyDescent="0.25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9" bestFit="1" customWidth="1"/>
    <col min="28" max="28" width="10.6640625" style="9" customWidth="1"/>
    <col min="29" max="29" width="13.44140625" style="9" customWidth="1"/>
    <col min="30" max="30" width="12.6640625" style="9"/>
    <col min="31" max="31" width="16" style="9" bestFit="1" customWidth="1"/>
    <col min="32" max="33" width="12.6640625" style="9"/>
  </cols>
  <sheetData>
    <row r="1" spans="1:33" ht="13.8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33" ht="13.2" x14ac:dyDescent="0.25">
      <c r="A2" s="1"/>
      <c r="B2" s="1"/>
      <c r="C2" s="134" t="s">
        <v>30</v>
      </c>
      <c r="D2" s="135"/>
      <c r="E2" s="135"/>
      <c r="F2" s="136"/>
      <c r="G2" s="134" t="s">
        <v>31</v>
      </c>
      <c r="H2" s="135"/>
      <c r="I2" s="135"/>
      <c r="J2" s="135"/>
      <c r="K2" s="136"/>
      <c r="L2" s="134" t="s">
        <v>32</v>
      </c>
      <c r="M2" s="135"/>
      <c r="N2" s="135"/>
      <c r="O2" s="135"/>
      <c r="P2" s="136"/>
      <c r="Q2" s="134" t="s">
        <v>33</v>
      </c>
      <c r="R2" s="135"/>
      <c r="S2" s="135"/>
      <c r="T2" s="135"/>
      <c r="U2" s="136"/>
      <c r="V2" s="134" t="s">
        <v>34</v>
      </c>
      <c r="W2" s="136"/>
      <c r="X2" s="1"/>
      <c r="Y2" s="1"/>
      <c r="Z2" s="3"/>
      <c r="AA2" s="17" t="s">
        <v>35</v>
      </c>
      <c r="AB2" s="17" t="s">
        <v>36</v>
      </c>
      <c r="AC2" s="17" t="s">
        <v>37</v>
      </c>
      <c r="AD2" s="17" t="s">
        <v>38</v>
      </c>
      <c r="AE2" s="17" t="s">
        <v>39</v>
      </c>
      <c r="AF2" s="17" t="s">
        <v>40</v>
      </c>
      <c r="AG2" s="17" t="s">
        <v>41</v>
      </c>
    </row>
    <row r="3" spans="1:33" ht="13.2" x14ac:dyDescent="0.25">
      <c r="A3" s="1"/>
      <c r="B3" s="1"/>
      <c r="C3" s="86">
        <v>1</v>
      </c>
      <c r="D3" s="6">
        <v>2</v>
      </c>
      <c r="E3" s="6">
        <v>3</v>
      </c>
      <c r="F3" s="87">
        <v>5</v>
      </c>
      <c r="G3" s="86">
        <v>8</v>
      </c>
      <c r="H3" s="6">
        <v>9</v>
      </c>
      <c r="I3" s="6">
        <v>10</v>
      </c>
      <c r="J3" s="6">
        <v>11</v>
      </c>
      <c r="K3" s="87">
        <v>12</v>
      </c>
      <c r="L3" s="86">
        <v>15</v>
      </c>
      <c r="M3" s="6">
        <v>16</v>
      </c>
      <c r="N3" s="6">
        <v>17</v>
      </c>
      <c r="O3" s="6">
        <v>18</v>
      </c>
      <c r="P3" s="87">
        <v>19</v>
      </c>
      <c r="Q3" s="86">
        <v>22</v>
      </c>
      <c r="R3" s="6">
        <v>23</v>
      </c>
      <c r="S3" s="6">
        <v>24</v>
      </c>
      <c r="T3" s="6">
        <v>25</v>
      </c>
      <c r="U3" s="87">
        <v>26</v>
      </c>
      <c r="V3" s="86">
        <v>29</v>
      </c>
      <c r="W3" s="87">
        <v>30</v>
      </c>
      <c r="X3" s="2"/>
      <c r="Y3" s="1"/>
      <c r="Z3" s="1"/>
      <c r="AA3" s="46">
        <v>1</v>
      </c>
      <c r="AB3" s="19">
        <v>23621</v>
      </c>
      <c r="AC3" s="80">
        <v>46148</v>
      </c>
      <c r="AD3" s="19">
        <v>273.19</v>
      </c>
      <c r="AE3" s="19" t="s">
        <v>67</v>
      </c>
      <c r="AF3" s="19" t="s">
        <v>68</v>
      </c>
      <c r="AG3" s="111">
        <v>79</v>
      </c>
    </row>
    <row r="4" spans="1:33" ht="13.2" x14ac:dyDescent="0.25">
      <c r="A4" s="1"/>
      <c r="B4" s="13" t="s">
        <v>43</v>
      </c>
      <c r="C4" s="88" t="s">
        <v>44</v>
      </c>
      <c r="D4" s="85" t="s">
        <v>45</v>
      </c>
      <c r="E4" s="85" t="s">
        <v>46</v>
      </c>
      <c r="F4" s="89" t="s">
        <v>46</v>
      </c>
      <c r="G4" s="88" t="s">
        <v>44</v>
      </c>
      <c r="H4" s="85" t="s">
        <v>44</v>
      </c>
      <c r="I4" s="85" t="s">
        <v>45</v>
      </c>
      <c r="J4" s="85" t="s">
        <v>46</v>
      </c>
      <c r="K4" s="89" t="s">
        <v>46</v>
      </c>
      <c r="L4" s="88" t="s">
        <v>44</v>
      </c>
      <c r="M4" s="85" t="s">
        <v>44</v>
      </c>
      <c r="N4" s="85" t="s">
        <v>45</v>
      </c>
      <c r="O4" s="85" t="s">
        <v>46</v>
      </c>
      <c r="P4" s="89" t="s">
        <v>46</v>
      </c>
      <c r="Q4" s="88" t="s">
        <v>44</v>
      </c>
      <c r="R4" s="85" t="s">
        <v>44</v>
      </c>
      <c r="S4" s="85" t="s">
        <v>45</v>
      </c>
      <c r="T4" s="85" t="s">
        <v>46</v>
      </c>
      <c r="U4" s="89" t="s">
        <v>46</v>
      </c>
      <c r="V4" s="88" t="s">
        <v>44</v>
      </c>
      <c r="W4" s="89" t="s">
        <v>44</v>
      </c>
      <c r="X4" s="15" t="s">
        <v>11</v>
      </c>
      <c r="Y4" s="1"/>
      <c r="Z4" s="1"/>
      <c r="AA4" s="46">
        <v>2</v>
      </c>
      <c r="AB4" s="19">
        <v>44106</v>
      </c>
      <c r="AC4" s="80">
        <v>46148</v>
      </c>
      <c r="AD4" s="19">
        <v>588.66</v>
      </c>
      <c r="AE4" s="80" t="s">
        <v>69</v>
      </c>
      <c r="AF4" s="19" t="s">
        <v>68</v>
      </c>
      <c r="AG4" s="111">
        <v>77</v>
      </c>
    </row>
    <row r="5" spans="1:33" ht="13.2" x14ac:dyDescent="0.25">
      <c r="A5" s="1"/>
      <c r="B5" s="14" t="s">
        <v>2</v>
      </c>
      <c r="C5" s="90">
        <v>3</v>
      </c>
      <c r="D5" s="7">
        <v>3</v>
      </c>
      <c r="E5" s="7">
        <v>3</v>
      </c>
      <c r="F5" s="91">
        <v>3</v>
      </c>
      <c r="G5" s="90">
        <v>3</v>
      </c>
      <c r="H5" s="7">
        <v>3</v>
      </c>
      <c r="I5" s="7">
        <v>3</v>
      </c>
      <c r="J5" s="7">
        <v>3</v>
      </c>
      <c r="K5" s="91">
        <v>3</v>
      </c>
      <c r="L5" s="90">
        <v>3</v>
      </c>
      <c r="M5" s="7">
        <v>3</v>
      </c>
      <c r="N5" s="7">
        <v>3</v>
      </c>
      <c r="O5" s="7">
        <v>2</v>
      </c>
      <c r="P5" s="91">
        <v>1</v>
      </c>
      <c r="Q5" s="90">
        <v>1</v>
      </c>
      <c r="R5" s="7">
        <v>1</v>
      </c>
      <c r="S5" s="7">
        <v>1</v>
      </c>
      <c r="T5" s="7">
        <v>1</v>
      </c>
      <c r="U5" s="91">
        <v>1</v>
      </c>
      <c r="V5" s="105">
        <v>1</v>
      </c>
      <c r="W5" s="91">
        <v>3</v>
      </c>
      <c r="X5" s="16">
        <f>SUM(C5:W5)</f>
        <v>48</v>
      </c>
      <c r="Y5" s="1"/>
      <c r="Z5" s="1"/>
      <c r="AA5" s="46">
        <v>3</v>
      </c>
      <c r="AB5" s="19">
        <v>44364</v>
      </c>
      <c r="AC5" s="80">
        <v>46148</v>
      </c>
      <c r="AD5" s="19">
        <v>653.28</v>
      </c>
      <c r="AE5" s="80">
        <v>46057</v>
      </c>
      <c r="AF5" s="19" t="s">
        <v>68</v>
      </c>
      <c r="AG5" s="111">
        <v>64</v>
      </c>
    </row>
    <row r="6" spans="1:33" ht="13.2" x14ac:dyDescent="0.25">
      <c r="A6" s="1"/>
      <c r="B6" s="14" t="s">
        <v>49</v>
      </c>
      <c r="C6" s="92">
        <v>0</v>
      </c>
      <c r="D6" s="93">
        <v>0</v>
      </c>
      <c r="E6" s="93">
        <v>0</v>
      </c>
      <c r="F6" s="94">
        <v>3</v>
      </c>
      <c r="G6" s="92">
        <v>1</v>
      </c>
      <c r="H6" s="93">
        <v>0</v>
      </c>
      <c r="I6" s="93">
        <v>0</v>
      </c>
      <c r="J6" s="93">
        <v>1</v>
      </c>
      <c r="K6" s="94">
        <v>2</v>
      </c>
      <c r="L6" s="92">
        <v>0</v>
      </c>
      <c r="M6" s="93">
        <v>0</v>
      </c>
      <c r="N6" s="93">
        <v>1</v>
      </c>
      <c r="O6" s="93">
        <v>5</v>
      </c>
      <c r="P6" s="94">
        <v>2</v>
      </c>
      <c r="Q6" s="92">
        <v>0</v>
      </c>
      <c r="R6" s="93">
        <v>0</v>
      </c>
      <c r="S6" s="93">
        <v>1</v>
      </c>
      <c r="T6" s="93">
        <v>1</v>
      </c>
      <c r="U6" s="94">
        <v>4</v>
      </c>
      <c r="V6" s="92"/>
      <c r="W6" s="94"/>
      <c r="X6" s="16">
        <f>SUM(C6:W6)</f>
        <v>21</v>
      </c>
      <c r="Y6" s="79">
        <f>X6-X5</f>
        <v>-27</v>
      </c>
      <c r="Z6" s="1"/>
      <c r="AA6" s="114">
        <v>4</v>
      </c>
      <c r="AB6" s="122">
        <v>29622</v>
      </c>
      <c r="AC6" s="113">
        <v>46240</v>
      </c>
      <c r="AD6" s="112">
        <v>415.4</v>
      </c>
      <c r="AE6" s="113" t="s">
        <v>70</v>
      </c>
      <c r="AF6" s="112" t="s">
        <v>71</v>
      </c>
      <c r="AG6" s="112">
        <v>377</v>
      </c>
    </row>
    <row r="7" spans="1:33" ht="13.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70"/>
      <c r="Z7" s="1"/>
      <c r="AA7" s="114">
        <v>5</v>
      </c>
      <c r="AB7" s="122">
        <v>40214</v>
      </c>
      <c r="AC7" s="113">
        <v>46332</v>
      </c>
      <c r="AD7" s="112">
        <v>245.45</v>
      </c>
      <c r="AE7" s="113" t="s">
        <v>72</v>
      </c>
      <c r="AF7" s="112" t="s">
        <v>68</v>
      </c>
      <c r="AG7" s="112">
        <v>104</v>
      </c>
    </row>
    <row r="8" spans="1:33" ht="13.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46">
        <v>6</v>
      </c>
      <c r="AB8" s="19">
        <v>16902</v>
      </c>
      <c r="AC8" s="80">
        <v>46362</v>
      </c>
      <c r="AD8" s="19">
        <v>168.9</v>
      </c>
      <c r="AE8" s="80" t="s">
        <v>73</v>
      </c>
      <c r="AF8" s="19" t="s">
        <v>68</v>
      </c>
      <c r="AG8" s="111">
        <v>50</v>
      </c>
    </row>
    <row r="9" spans="1:33" ht="13.2" x14ac:dyDescent="0.25">
      <c r="A9" s="1"/>
      <c r="B9" s="4" t="s">
        <v>54</v>
      </c>
      <c r="C9" s="86">
        <v>1</v>
      </c>
      <c r="D9" s="6">
        <v>2</v>
      </c>
      <c r="E9" s="6">
        <v>3</v>
      </c>
      <c r="F9" s="87">
        <v>5</v>
      </c>
      <c r="G9" s="86">
        <v>8</v>
      </c>
      <c r="H9" s="6">
        <v>9</v>
      </c>
      <c r="I9" s="6">
        <v>10</v>
      </c>
      <c r="J9" s="6">
        <v>11</v>
      </c>
      <c r="K9" s="87">
        <v>12</v>
      </c>
      <c r="L9" s="86">
        <v>15</v>
      </c>
      <c r="M9" s="6">
        <v>16</v>
      </c>
      <c r="N9" s="6">
        <v>17</v>
      </c>
      <c r="O9" s="6">
        <v>18</v>
      </c>
      <c r="P9" s="87">
        <v>19</v>
      </c>
      <c r="Q9" s="86">
        <v>22</v>
      </c>
      <c r="R9" s="6">
        <v>23</v>
      </c>
      <c r="S9" s="6">
        <v>24</v>
      </c>
      <c r="T9" s="6">
        <v>25</v>
      </c>
      <c r="U9" s="87">
        <v>26</v>
      </c>
      <c r="V9" s="86">
        <v>29</v>
      </c>
      <c r="W9" s="87">
        <v>30</v>
      </c>
      <c r="X9" s="1"/>
      <c r="Y9" s="1"/>
      <c r="Z9" s="1"/>
      <c r="AA9" s="46">
        <v>7</v>
      </c>
      <c r="AB9" s="19">
        <v>43912</v>
      </c>
      <c r="AC9" s="80">
        <v>46362</v>
      </c>
      <c r="AD9" s="19">
        <v>564.9</v>
      </c>
      <c r="AE9" s="80">
        <v>46057</v>
      </c>
      <c r="AF9" s="19" t="s">
        <v>68</v>
      </c>
      <c r="AG9" s="111">
        <v>71</v>
      </c>
    </row>
    <row r="10" spans="1:33" ht="13.2" x14ac:dyDescent="0.25">
      <c r="A10" s="1"/>
      <c r="B10" s="85" t="s">
        <v>16</v>
      </c>
      <c r="C10" s="7">
        <v>54</v>
      </c>
      <c r="D10" s="7"/>
      <c r="E10" s="7">
        <v>45</v>
      </c>
      <c r="F10" s="8">
        <v>51</v>
      </c>
      <c r="G10" s="8">
        <v>51</v>
      </c>
      <c r="H10" s="7">
        <v>31</v>
      </c>
      <c r="I10" s="7">
        <v>27</v>
      </c>
      <c r="J10" s="7">
        <v>10</v>
      </c>
      <c r="K10" s="7">
        <v>20</v>
      </c>
      <c r="L10" s="11">
        <v>0</v>
      </c>
      <c r="M10" s="7">
        <v>10</v>
      </c>
      <c r="N10" s="7">
        <v>0</v>
      </c>
      <c r="O10" s="7"/>
      <c r="P10" s="7">
        <v>0</v>
      </c>
      <c r="Q10" s="7">
        <v>0</v>
      </c>
      <c r="R10" s="77">
        <v>26</v>
      </c>
      <c r="S10" s="21">
        <v>3</v>
      </c>
      <c r="T10" s="78">
        <v>0</v>
      </c>
      <c r="U10" s="104"/>
      <c r="V10" s="7"/>
      <c r="W10" s="7"/>
      <c r="X10" s="1"/>
      <c r="Y10" s="1"/>
      <c r="Z10" s="1"/>
      <c r="AA10" s="46">
        <v>8</v>
      </c>
      <c r="AB10" s="84">
        <v>44200</v>
      </c>
      <c r="AC10" s="19" t="s">
        <v>74</v>
      </c>
      <c r="AD10" s="19">
        <v>203.45</v>
      </c>
      <c r="AE10" s="80" t="s">
        <v>75</v>
      </c>
      <c r="AF10" s="19" t="s">
        <v>68</v>
      </c>
      <c r="AG10" s="111">
        <v>51</v>
      </c>
    </row>
    <row r="11" spans="1:33" ht="13.2" x14ac:dyDescent="0.25">
      <c r="A11" s="1"/>
      <c r="B11" s="85" t="s">
        <v>17</v>
      </c>
      <c r="C11" s="7">
        <v>0</v>
      </c>
      <c r="D11" s="7"/>
      <c r="E11" s="7">
        <v>0</v>
      </c>
      <c r="F11" s="8">
        <v>1</v>
      </c>
      <c r="G11" s="8">
        <v>1</v>
      </c>
      <c r="H11" s="7">
        <v>1</v>
      </c>
      <c r="I11" s="7">
        <v>0</v>
      </c>
      <c r="J11" s="7">
        <v>0</v>
      </c>
      <c r="K11" s="7">
        <v>0</v>
      </c>
      <c r="L11" s="11">
        <v>0</v>
      </c>
      <c r="M11" s="7">
        <v>0</v>
      </c>
      <c r="N11" s="7">
        <v>0</v>
      </c>
      <c r="O11" s="7"/>
      <c r="P11" s="7">
        <v>0</v>
      </c>
      <c r="Q11" s="7">
        <v>0</v>
      </c>
      <c r="R11" s="77">
        <v>0</v>
      </c>
      <c r="S11" s="21">
        <v>0</v>
      </c>
      <c r="T11" s="78">
        <v>0</v>
      </c>
      <c r="U11" s="104"/>
      <c r="V11" s="7"/>
      <c r="W11" s="7"/>
      <c r="X11" s="1"/>
      <c r="Y11" s="1"/>
      <c r="Z11" s="1"/>
      <c r="AA11" s="114">
        <v>9</v>
      </c>
      <c r="AB11" s="122">
        <v>36451</v>
      </c>
      <c r="AC11" s="112" t="s">
        <v>56</v>
      </c>
      <c r="AD11" s="112">
        <f>187.79+210.45</f>
        <v>398.24</v>
      </c>
      <c r="AE11" s="113">
        <v>46358</v>
      </c>
      <c r="AF11" s="112" t="s">
        <v>76</v>
      </c>
      <c r="AG11" s="112">
        <v>126</v>
      </c>
    </row>
    <row r="12" spans="1:33" ht="13.2" x14ac:dyDescent="0.25">
      <c r="A12" s="1"/>
      <c r="B12" s="85" t="s">
        <v>18</v>
      </c>
      <c r="C12" s="7">
        <v>0</v>
      </c>
      <c r="D12" s="7"/>
      <c r="E12" s="7">
        <v>0</v>
      </c>
      <c r="F12" s="8">
        <v>0</v>
      </c>
      <c r="G12" s="8">
        <v>0</v>
      </c>
      <c r="H12" s="7">
        <v>0</v>
      </c>
      <c r="I12" s="7">
        <v>0</v>
      </c>
      <c r="J12" s="7">
        <v>0</v>
      </c>
      <c r="K12" s="7">
        <v>0</v>
      </c>
      <c r="L12" s="11">
        <v>0</v>
      </c>
      <c r="M12" s="7">
        <v>0</v>
      </c>
      <c r="N12" s="7">
        <v>0</v>
      </c>
      <c r="O12" s="7"/>
      <c r="P12" s="7">
        <v>0</v>
      </c>
      <c r="Q12" s="7">
        <v>0</v>
      </c>
      <c r="R12" s="77">
        <v>0</v>
      </c>
      <c r="S12" s="21">
        <v>0</v>
      </c>
      <c r="T12" s="78">
        <v>0</v>
      </c>
      <c r="U12" s="104"/>
      <c r="V12" s="7"/>
      <c r="W12" s="7"/>
      <c r="X12" s="1"/>
      <c r="Y12" s="1"/>
      <c r="Z12" s="1"/>
      <c r="AA12" s="46">
        <v>10</v>
      </c>
      <c r="AB12" s="19">
        <v>42285</v>
      </c>
      <c r="AC12" s="19" t="s">
        <v>77</v>
      </c>
      <c r="AD12" s="19">
        <v>1277</v>
      </c>
      <c r="AE12" s="80">
        <v>46026</v>
      </c>
      <c r="AF12" s="19" t="s">
        <v>78</v>
      </c>
      <c r="AG12" s="111">
        <v>78</v>
      </c>
    </row>
    <row r="13" spans="1:33" ht="13.2" x14ac:dyDescent="0.25">
      <c r="A13" s="1"/>
      <c r="B13" s="85" t="s">
        <v>20</v>
      </c>
      <c r="C13" s="7">
        <v>0</v>
      </c>
      <c r="D13" s="7"/>
      <c r="E13" s="7">
        <v>0</v>
      </c>
      <c r="F13" s="8">
        <v>0</v>
      </c>
      <c r="G13" s="8">
        <v>0</v>
      </c>
      <c r="H13" s="7">
        <v>0</v>
      </c>
      <c r="I13" s="7">
        <v>0</v>
      </c>
      <c r="J13" s="7">
        <v>0</v>
      </c>
      <c r="K13" s="7">
        <v>0</v>
      </c>
      <c r="L13" s="11">
        <v>0</v>
      </c>
      <c r="M13" s="7">
        <v>0</v>
      </c>
      <c r="N13" s="7">
        <v>0</v>
      </c>
      <c r="O13" s="7"/>
      <c r="P13" s="7">
        <v>0</v>
      </c>
      <c r="Q13" s="7">
        <v>0</v>
      </c>
      <c r="R13" s="77">
        <v>0</v>
      </c>
      <c r="S13" s="21">
        <v>0</v>
      </c>
      <c r="T13" s="78">
        <v>0</v>
      </c>
      <c r="U13" s="104"/>
      <c r="V13" s="7"/>
      <c r="W13" s="7"/>
      <c r="X13" s="1"/>
      <c r="Y13" s="1"/>
      <c r="Z13" s="1"/>
      <c r="AA13" s="46">
        <v>11</v>
      </c>
      <c r="AB13" s="19">
        <v>38884</v>
      </c>
      <c r="AC13" s="19" t="s">
        <v>77</v>
      </c>
      <c r="AD13" s="19">
        <v>278.36</v>
      </c>
      <c r="AE13" s="19" t="s">
        <v>79</v>
      </c>
      <c r="AF13" s="19" t="s">
        <v>68</v>
      </c>
      <c r="AG13" s="111">
        <v>62</v>
      </c>
    </row>
    <row r="14" spans="1:33" ht="13.2" x14ac:dyDescent="0.25">
      <c r="A14" s="1"/>
      <c r="B14" s="85" t="s">
        <v>61</v>
      </c>
      <c r="C14" s="7">
        <v>345</v>
      </c>
      <c r="D14" s="7"/>
      <c r="E14" s="7">
        <v>351</v>
      </c>
      <c r="F14" s="8">
        <v>356</v>
      </c>
      <c r="G14" s="8">
        <v>356</v>
      </c>
      <c r="H14" s="11">
        <v>371</v>
      </c>
      <c r="I14" s="7">
        <v>409</v>
      </c>
      <c r="J14" s="7">
        <v>422</v>
      </c>
      <c r="K14" s="7">
        <v>421</v>
      </c>
      <c r="L14" s="11">
        <v>707</v>
      </c>
      <c r="M14" s="7">
        <v>457</v>
      </c>
      <c r="N14" s="7">
        <v>464</v>
      </c>
      <c r="O14" s="7"/>
      <c r="P14" s="7">
        <v>482</v>
      </c>
      <c r="Q14" s="7">
        <v>472</v>
      </c>
      <c r="R14" s="77">
        <v>490</v>
      </c>
      <c r="S14" s="21">
        <v>507</v>
      </c>
      <c r="T14" s="78">
        <v>511</v>
      </c>
      <c r="U14" s="46"/>
      <c r="V14" s="7"/>
      <c r="W14" s="7"/>
      <c r="X14" s="1"/>
      <c r="Y14" s="1"/>
      <c r="Z14" s="1"/>
      <c r="AA14" s="46">
        <v>12</v>
      </c>
      <c r="AB14" s="84">
        <v>45080</v>
      </c>
      <c r="AC14" s="84" t="s">
        <v>77</v>
      </c>
      <c r="AD14" s="19">
        <v>164.75</v>
      </c>
      <c r="AE14" s="80" t="s">
        <v>80</v>
      </c>
      <c r="AF14" s="19" t="s">
        <v>81</v>
      </c>
      <c r="AG14" s="111">
        <v>49</v>
      </c>
    </row>
    <row r="15" spans="1:33" ht="13.2" x14ac:dyDescent="0.25">
      <c r="A15" s="1"/>
      <c r="B15" s="85" t="s">
        <v>63</v>
      </c>
      <c r="C15" s="7">
        <v>79</v>
      </c>
      <c r="D15" s="7"/>
      <c r="E15" s="7">
        <v>79</v>
      </c>
      <c r="F15" s="8">
        <v>79</v>
      </c>
      <c r="G15" s="8">
        <v>79</v>
      </c>
      <c r="H15" s="7">
        <v>79</v>
      </c>
      <c r="I15" s="7">
        <v>79</v>
      </c>
      <c r="J15" s="7">
        <v>79</v>
      </c>
      <c r="K15" s="7">
        <v>78</v>
      </c>
      <c r="L15" s="11">
        <v>102</v>
      </c>
      <c r="M15" s="7">
        <v>76</v>
      </c>
      <c r="N15" s="7">
        <v>75</v>
      </c>
      <c r="O15" s="7"/>
      <c r="P15" s="7">
        <v>75</v>
      </c>
      <c r="Q15" s="7">
        <v>74</v>
      </c>
      <c r="R15" s="77">
        <v>76</v>
      </c>
      <c r="S15" s="21">
        <v>77</v>
      </c>
      <c r="T15" s="78">
        <v>78</v>
      </c>
      <c r="U15" s="81"/>
      <c r="V15" s="7"/>
      <c r="W15" s="7"/>
      <c r="X15" s="1"/>
      <c r="Y15" s="1"/>
      <c r="Z15" s="1"/>
      <c r="AA15" s="46">
        <v>13</v>
      </c>
      <c r="AB15" s="84">
        <v>31636</v>
      </c>
      <c r="AC15" s="84" t="s">
        <v>77</v>
      </c>
      <c r="AD15" s="19">
        <v>287.23</v>
      </c>
      <c r="AE15" s="80" t="s">
        <v>58</v>
      </c>
      <c r="AF15" s="19" t="s">
        <v>68</v>
      </c>
      <c r="AG15" s="111">
        <v>65</v>
      </c>
    </row>
    <row r="16" spans="1:33" ht="13.2" x14ac:dyDescent="0.25">
      <c r="A16" s="1"/>
      <c r="B16" s="85" t="s">
        <v>24</v>
      </c>
      <c r="C16" s="7">
        <v>0</v>
      </c>
      <c r="D16" s="7"/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11">
        <v>1</v>
      </c>
      <c r="M16" s="7">
        <v>0</v>
      </c>
      <c r="N16" s="7">
        <v>1</v>
      </c>
      <c r="O16" s="7"/>
      <c r="P16" s="7">
        <v>1</v>
      </c>
      <c r="Q16" s="7">
        <v>1</v>
      </c>
      <c r="R16" s="77">
        <v>1</v>
      </c>
      <c r="S16" s="21">
        <v>1</v>
      </c>
      <c r="T16" s="78">
        <v>1</v>
      </c>
      <c r="U16" s="46"/>
      <c r="V16" s="7"/>
      <c r="W16" s="7"/>
      <c r="X16" s="1"/>
      <c r="Y16" s="1"/>
      <c r="Z16" s="1"/>
      <c r="AA16" s="46">
        <v>14</v>
      </c>
      <c r="AB16" s="19">
        <v>42559</v>
      </c>
      <c r="AC16" s="19" t="s">
        <v>82</v>
      </c>
      <c r="AD16" s="19">
        <v>484.4</v>
      </c>
      <c r="AE16" s="80" t="s">
        <v>83</v>
      </c>
      <c r="AF16" s="19" t="s">
        <v>68</v>
      </c>
      <c r="AG16" s="111">
        <v>56</v>
      </c>
    </row>
    <row r="17" spans="1:33" ht="13.2" x14ac:dyDescent="0.25">
      <c r="A17" s="1"/>
      <c r="B17" s="85" t="s">
        <v>25</v>
      </c>
      <c r="C17" s="7">
        <v>0</v>
      </c>
      <c r="D17" s="7"/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11">
        <v>2</v>
      </c>
      <c r="M17" s="7">
        <v>0</v>
      </c>
      <c r="N17" s="7">
        <v>0</v>
      </c>
      <c r="O17" s="7"/>
      <c r="P17" s="7">
        <v>0</v>
      </c>
      <c r="Q17" s="7">
        <v>0</v>
      </c>
      <c r="R17" s="77">
        <v>0</v>
      </c>
      <c r="S17" s="21">
        <v>0</v>
      </c>
      <c r="T17" s="78">
        <v>0</v>
      </c>
      <c r="U17" s="46"/>
      <c r="V17" s="7"/>
      <c r="W17" s="7"/>
      <c r="X17" s="1"/>
      <c r="Y17" s="1"/>
      <c r="Z17" s="1"/>
      <c r="AA17" s="114">
        <v>15</v>
      </c>
      <c r="AB17" s="122">
        <v>29084</v>
      </c>
      <c r="AC17" s="112" t="s">
        <v>82</v>
      </c>
      <c r="AD17" s="112">
        <v>201.15</v>
      </c>
      <c r="AE17" s="113" t="s">
        <v>84</v>
      </c>
      <c r="AF17" s="112" t="s">
        <v>68</v>
      </c>
      <c r="AG17" s="112">
        <v>154</v>
      </c>
    </row>
    <row r="18" spans="1:33" ht="13.2" x14ac:dyDescent="0.25">
      <c r="A18" s="1"/>
      <c r="B18" s="85" t="s">
        <v>26</v>
      </c>
      <c r="C18" s="7">
        <v>0</v>
      </c>
      <c r="D18" s="7"/>
      <c r="E18" s="7">
        <v>0</v>
      </c>
      <c r="F18" s="7">
        <v>0</v>
      </c>
      <c r="G18" s="7">
        <v>0</v>
      </c>
      <c r="H18" s="7">
        <v>0</v>
      </c>
      <c r="I18" s="7">
        <v>2</v>
      </c>
      <c r="J18" s="7">
        <v>6</v>
      </c>
      <c r="K18" s="7">
        <v>6</v>
      </c>
      <c r="L18" s="11">
        <v>12</v>
      </c>
      <c r="M18" s="7">
        <v>13</v>
      </c>
      <c r="N18" s="7">
        <v>14</v>
      </c>
      <c r="O18" s="7"/>
      <c r="P18" s="7">
        <v>16</v>
      </c>
      <c r="Q18" s="7">
        <v>25</v>
      </c>
      <c r="R18" s="77">
        <v>25</v>
      </c>
      <c r="S18" s="21">
        <v>26</v>
      </c>
      <c r="T18" s="78">
        <v>26</v>
      </c>
      <c r="U18" s="46"/>
      <c r="V18" s="7"/>
      <c r="W18" s="7"/>
      <c r="X18" s="1"/>
      <c r="Y18" s="1"/>
      <c r="Z18" s="1"/>
      <c r="AA18" s="114">
        <v>16</v>
      </c>
      <c r="AB18" s="122">
        <v>41123</v>
      </c>
      <c r="AC18" s="112" t="s">
        <v>85</v>
      </c>
      <c r="AD18" s="112">
        <v>629.9</v>
      </c>
      <c r="AE18" s="113">
        <v>46003</v>
      </c>
      <c r="AF18" s="112" t="s">
        <v>68</v>
      </c>
      <c r="AG18" s="112">
        <v>194</v>
      </c>
    </row>
    <row r="19" spans="1:33" ht="13.2" x14ac:dyDescent="0.25">
      <c r="A19" s="1"/>
      <c r="B19" s="85" t="s">
        <v>27</v>
      </c>
      <c r="C19" s="7">
        <v>0</v>
      </c>
      <c r="D19" s="7"/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11">
        <v>3</v>
      </c>
      <c r="M19" s="7">
        <v>0</v>
      </c>
      <c r="N19" s="7">
        <v>0</v>
      </c>
      <c r="O19" s="7"/>
      <c r="P19" s="7">
        <v>0</v>
      </c>
      <c r="Q19" s="7">
        <v>0</v>
      </c>
      <c r="R19" s="77">
        <v>0</v>
      </c>
      <c r="S19" s="21">
        <v>0</v>
      </c>
      <c r="T19" s="78">
        <v>0</v>
      </c>
      <c r="U19" s="46"/>
      <c r="V19" s="7"/>
      <c r="W19" s="7"/>
      <c r="X19" s="1"/>
      <c r="Y19" s="1"/>
      <c r="Z19" s="1"/>
      <c r="AA19" s="114">
        <v>17</v>
      </c>
      <c r="AB19" s="122">
        <v>38358</v>
      </c>
      <c r="AC19" s="112" t="s">
        <v>86</v>
      </c>
      <c r="AD19" s="112">
        <v>163.25</v>
      </c>
      <c r="AE19" s="113" t="s">
        <v>87</v>
      </c>
      <c r="AF19" s="112" t="s">
        <v>68</v>
      </c>
      <c r="AG19" s="112">
        <v>126</v>
      </c>
    </row>
    <row r="20" spans="1:33" ht="13.2" x14ac:dyDescent="0.25">
      <c r="A20" s="1"/>
      <c r="B20" s="85" t="s">
        <v>28</v>
      </c>
      <c r="C20" s="7">
        <v>0</v>
      </c>
      <c r="D20" s="7"/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11">
        <v>0</v>
      </c>
      <c r="M20" s="7">
        <v>0</v>
      </c>
      <c r="N20" s="7">
        <v>0</v>
      </c>
      <c r="O20" s="7"/>
      <c r="P20" s="7">
        <v>0</v>
      </c>
      <c r="Q20" s="7">
        <v>0</v>
      </c>
      <c r="R20" s="77">
        <v>0</v>
      </c>
      <c r="S20" s="21">
        <v>0</v>
      </c>
      <c r="T20" s="78">
        <v>0</v>
      </c>
      <c r="U20" s="46"/>
      <c r="V20" s="7"/>
      <c r="W20" s="7"/>
      <c r="X20" s="1"/>
      <c r="Y20" s="1"/>
      <c r="Z20" s="1"/>
      <c r="AA20" s="46">
        <v>18</v>
      </c>
      <c r="AB20" s="84">
        <v>30929</v>
      </c>
      <c r="AC20" s="19" t="s">
        <v>60</v>
      </c>
      <c r="AD20" s="19">
        <v>1258</v>
      </c>
      <c r="AE20" s="80">
        <v>46239</v>
      </c>
      <c r="AF20" s="19" t="s">
        <v>7</v>
      </c>
      <c r="AG20" s="111">
        <v>49</v>
      </c>
    </row>
    <row r="21" spans="1:33" ht="13.2" x14ac:dyDescent="0.25">
      <c r="A21" s="1"/>
      <c r="B21" s="4" t="s">
        <v>11</v>
      </c>
      <c r="C21" s="4">
        <f>SUM(C10:C20)</f>
        <v>478</v>
      </c>
      <c r="D21" s="4">
        <f>SUM(D10:D17)</f>
        <v>0</v>
      </c>
      <c r="E21" s="4">
        <f>SUM(E10:E20)</f>
        <v>475</v>
      </c>
      <c r="F21" s="4">
        <f>SUM(F10:F20)</f>
        <v>487</v>
      </c>
      <c r="G21" s="4">
        <f>SUM(G10:G20)</f>
        <v>487</v>
      </c>
      <c r="H21" s="4">
        <f t="shared" ref="H21:W21" si="0">SUM(H10:H20)</f>
        <v>482</v>
      </c>
      <c r="I21" s="4">
        <f t="shared" si="0"/>
        <v>517</v>
      </c>
      <c r="J21" s="4">
        <f t="shared" si="0"/>
        <v>517</v>
      </c>
      <c r="K21" s="4">
        <f t="shared" si="0"/>
        <v>525</v>
      </c>
      <c r="L21" s="4">
        <f t="shared" si="0"/>
        <v>827</v>
      </c>
      <c r="M21" s="4">
        <f t="shared" si="0"/>
        <v>556</v>
      </c>
      <c r="N21" s="4">
        <f t="shared" si="0"/>
        <v>554</v>
      </c>
      <c r="O21" s="4">
        <f t="shared" si="0"/>
        <v>0</v>
      </c>
      <c r="P21" s="4">
        <f t="shared" si="0"/>
        <v>574</v>
      </c>
      <c r="Q21" s="4">
        <f t="shared" si="0"/>
        <v>572</v>
      </c>
      <c r="R21" s="4">
        <f t="shared" si="0"/>
        <v>618</v>
      </c>
      <c r="S21" s="4">
        <f t="shared" si="0"/>
        <v>614</v>
      </c>
      <c r="T21" s="4">
        <f t="shared" si="0"/>
        <v>616</v>
      </c>
      <c r="U21" s="4">
        <f t="shared" si="0"/>
        <v>0</v>
      </c>
      <c r="V21" s="4">
        <f t="shared" si="0"/>
        <v>0</v>
      </c>
      <c r="W21" s="4">
        <f t="shared" si="0"/>
        <v>0</v>
      </c>
      <c r="X21" s="1"/>
      <c r="Y21" s="1"/>
      <c r="Z21" s="1"/>
      <c r="AA21" s="46">
        <v>19</v>
      </c>
      <c r="AB21" s="84">
        <v>28933</v>
      </c>
      <c r="AC21" s="19" t="s">
        <v>60</v>
      </c>
      <c r="AD21" s="19">
        <v>471.98</v>
      </c>
      <c r="AE21" s="80">
        <v>46239</v>
      </c>
      <c r="AF21" s="19" t="s">
        <v>7</v>
      </c>
      <c r="AG21" s="111">
        <v>49</v>
      </c>
    </row>
    <row r="22" spans="1:33" ht="13.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46">
        <v>20</v>
      </c>
      <c r="AB22" s="84">
        <v>38139</v>
      </c>
      <c r="AC22" s="19" t="s">
        <v>60</v>
      </c>
      <c r="AD22" s="19">
        <v>183.75</v>
      </c>
      <c r="AE22" s="80">
        <v>46239</v>
      </c>
      <c r="AF22" s="19" t="s">
        <v>88</v>
      </c>
      <c r="AG22" s="111">
        <v>49</v>
      </c>
    </row>
    <row r="23" spans="1:33" ht="13.2" x14ac:dyDescent="0.25">
      <c r="A23" s="1"/>
      <c r="B23" s="22" t="s">
        <v>64</v>
      </c>
      <c r="C23" s="86">
        <v>1</v>
      </c>
      <c r="D23" s="6">
        <v>2</v>
      </c>
      <c r="E23" s="6">
        <v>3</v>
      </c>
      <c r="F23" s="87">
        <v>5</v>
      </c>
      <c r="G23" s="86">
        <v>8</v>
      </c>
      <c r="H23" s="6">
        <v>9</v>
      </c>
      <c r="I23" s="6">
        <v>10</v>
      </c>
      <c r="J23" s="6">
        <v>11</v>
      </c>
      <c r="K23" s="87">
        <v>12</v>
      </c>
      <c r="L23" s="86">
        <v>15</v>
      </c>
      <c r="M23" s="6">
        <v>16</v>
      </c>
      <c r="N23" s="6">
        <v>17</v>
      </c>
      <c r="O23" s="6">
        <v>18</v>
      </c>
      <c r="P23" s="87">
        <v>19</v>
      </c>
      <c r="Q23" s="86">
        <v>22</v>
      </c>
      <c r="R23" s="6">
        <v>23</v>
      </c>
      <c r="S23" s="6">
        <v>24</v>
      </c>
      <c r="T23" s="6">
        <v>25</v>
      </c>
      <c r="U23" s="87">
        <v>26</v>
      </c>
      <c r="V23" s="86">
        <v>29</v>
      </c>
      <c r="W23" s="87">
        <v>30</v>
      </c>
      <c r="X23" s="23" t="s">
        <v>11</v>
      </c>
      <c r="Y23" s="1"/>
      <c r="Z23" s="1"/>
      <c r="AA23" s="46">
        <v>21</v>
      </c>
      <c r="AB23" s="84">
        <v>34343</v>
      </c>
      <c r="AC23" s="19" t="s">
        <v>60</v>
      </c>
      <c r="AD23" s="19">
        <v>504.17</v>
      </c>
      <c r="AE23" s="80">
        <v>46239</v>
      </c>
      <c r="AF23" s="19" t="s">
        <v>7</v>
      </c>
      <c r="AG23" s="111">
        <v>49</v>
      </c>
    </row>
    <row r="24" spans="1:33" ht="13.2" x14ac:dyDescent="0.25">
      <c r="A24" s="1"/>
      <c r="B24" s="21" t="s">
        <v>2</v>
      </c>
      <c r="C24" s="46">
        <v>17</v>
      </c>
      <c r="D24" s="46">
        <v>17</v>
      </c>
      <c r="E24" s="46">
        <v>17</v>
      </c>
      <c r="F24" s="46">
        <v>17</v>
      </c>
      <c r="G24" s="46">
        <v>17</v>
      </c>
      <c r="H24" s="46">
        <v>17</v>
      </c>
      <c r="I24" s="46">
        <v>17</v>
      </c>
      <c r="J24" s="46">
        <v>17</v>
      </c>
      <c r="K24" s="46">
        <v>17</v>
      </c>
      <c r="L24" s="46">
        <v>17</v>
      </c>
      <c r="M24" s="46">
        <v>17</v>
      </c>
      <c r="N24" s="46">
        <v>17</v>
      </c>
      <c r="O24" s="46">
        <v>17</v>
      </c>
      <c r="P24" s="46">
        <v>17</v>
      </c>
      <c r="Q24" s="46">
        <v>17</v>
      </c>
      <c r="R24" s="46">
        <v>17</v>
      </c>
      <c r="S24" s="46">
        <v>17</v>
      </c>
      <c r="T24" s="46">
        <v>16</v>
      </c>
      <c r="U24" s="46">
        <v>15</v>
      </c>
      <c r="V24" s="46">
        <v>15</v>
      </c>
      <c r="W24" s="46">
        <v>15</v>
      </c>
      <c r="X24" s="21">
        <f>SUM(C24:W24)</f>
        <v>350</v>
      </c>
      <c r="Y24" s="1"/>
      <c r="Z24" s="1"/>
      <c r="AA24" s="46"/>
      <c r="AB24" s="84"/>
      <c r="AC24" s="19"/>
      <c r="AD24" s="19"/>
      <c r="AE24" s="80"/>
      <c r="AF24" s="19"/>
      <c r="AG24" s="111"/>
    </row>
    <row r="25" spans="1:33" ht="13.2" x14ac:dyDescent="0.25">
      <c r="A25" s="1"/>
      <c r="B25" s="21" t="s">
        <v>65</v>
      </c>
      <c r="C25" s="46">
        <v>0</v>
      </c>
      <c r="D25" s="46">
        <v>0</v>
      </c>
      <c r="E25" s="46">
        <v>12</v>
      </c>
      <c r="F25" s="46">
        <v>20</v>
      </c>
      <c r="G25" s="46">
        <v>20</v>
      </c>
      <c r="H25" s="46">
        <v>21</v>
      </c>
      <c r="I25" s="46">
        <v>14</v>
      </c>
      <c r="J25" s="46">
        <v>25</v>
      </c>
      <c r="K25" s="46">
        <v>20</v>
      </c>
      <c r="L25" s="46">
        <v>10</v>
      </c>
      <c r="M25" s="46">
        <v>20</v>
      </c>
      <c r="N25" s="46">
        <v>0</v>
      </c>
      <c r="O25" s="46">
        <v>20</v>
      </c>
      <c r="P25" s="46">
        <v>20</v>
      </c>
      <c r="Q25" s="46">
        <v>20</v>
      </c>
      <c r="R25" s="46">
        <v>20</v>
      </c>
      <c r="S25" s="46">
        <v>20</v>
      </c>
      <c r="T25" s="46">
        <v>13</v>
      </c>
      <c r="U25" s="46"/>
      <c r="V25" s="46"/>
      <c r="W25" s="46"/>
      <c r="X25" s="21">
        <f>SUM(C25:W25)</f>
        <v>275</v>
      </c>
      <c r="Y25" s="79">
        <f>X25-X24</f>
        <v>-75</v>
      </c>
      <c r="Z25" s="1"/>
      <c r="AA25" s="46"/>
      <c r="AB25" s="84"/>
      <c r="AC25" s="19"/>
      <c r="AD25" s="19"/>
      <c r="AE25" s="80"/>
      <c r="AF25" s="19"/>
      <c r="AG25" s="111"/>
    </row>
    <row r="26" spans="1:33" ht="13.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Y26" s="1"/>
      <c r="Z26" s="1"/>
      <c r="AA26" s="1"/>
      <c r="AD26" s="18"/>
    </row>
    <row r="27" spans="1:33" ht="13.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3" ht="13.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3" ht="13.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3" ht="13.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3" ht="13.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3" ht="13.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2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2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2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2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2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2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2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2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2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2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2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2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2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2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2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2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2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2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2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2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2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2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2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2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2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2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2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2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2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2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2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2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2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2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2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2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2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2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2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2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2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2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2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2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2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2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2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2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2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2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2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2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2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2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2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2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2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2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2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2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2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2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2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2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2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2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2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2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2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2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2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2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2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2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2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2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2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2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2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2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2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2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2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2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2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2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2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2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2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2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2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2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2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2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</sheetData>
  <autoFilter ref="AA2:AG2" xr:uid="{CF6E22EE-2BFA-4431-8337-DB37E4B7A50D}">
    <sortState xmlns:xlrd2="http://schemas.microsoft.com/office/spreadsheetml/2017/richdata2" ref="AA3:AG23">
      <sortCondition ref="AC2"/>
    </sortState>
  </autoFilter>
  <mergeCells count="5"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7CB6-8F18-4755-A69F-B8D03F8EE2D4}">
  <sheetPr>
    <tabColor rgb="FF00B050"/>
    <outlinePr summaryBelow="0" summaryRight="0"/>
  </sheetPr>
  <dimension ref="A1:AG963"/>
  <sheetViews>
    <sheetView showGridLines="0" topLeftCell="L1" zoomScaleNormal="100" workbookViewId="0">
      <selection activeCell="AD14" sqref="AD14"/>
    </sheetView>
  </sheetViews>
  <sheetFormatPr defaultColWidth="12.6640625" defaultRowHeight="15.75" customHeight="1" x14ac:dyDescent="0.25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9" bestFit="1" customWidth="1"/>
    <col min="28" max="28" width="10.6640625" style="9" customWidth="1"/>
    <col min="29" max="29" width="13.44140625" style="9" customWidth="1"/>
    <col min="30" max="30" width="12.6640625" style="9"/>
    <col min="31" max="31" width="16" style="9" bestFit="1" customWidth="1"/>
    <col min="32" max="32" width="12.6640625" style="9"/>
  </cols>
  <sheetData>
    <row r="1" spans="1:33" ht="13.8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33" ht="13.2" x14ac:dyDescent="0.25">
      <c r="A2" s="1"/>
      <c r="B2" s="1"/>
      <c r="C2" s="134" t="s">
        <v>30</v>
      </c>
      <c r="D2" s="135"/>
      <c r="E2" s="135"/>
      <c r="F2" s="136"/>
      <c r="G2" s="134" t="s">
        <v>31</v>
      </c>
      <c r="H2" s="135"/>
      <c r="I2" s="135"/>
      <c r="J2" s="135"/>
      <c r="K2" s="136"/>
      <c r="L2" s="134" t="s">
        <v>32</v>
      </c>
      <c r="M2" s="135"/>
      <c r="N2" s="135"/>
      <c r="O2" s="135"/>
      <c r="P2" s="136"/>
      <c r="Q2" s="134" t="s">
        <v>33</v>
      </c>
      <c r="R2" s="135"/>
      <c r="S2" s="135"/>
      <c r="T2" s="135"/>
      <c r="U2" s="136"/>
      <c r="V2" s="134" t="s">
        <v>34</v>
      </c>
      <c r="W2" s="136"/>
      <c r="X2" s="1"/>
      <c r="Y2" s="1"/>
      <c r="Z2" s="3"/>
      <c r="AA2" s="17" t="s">
        <v>35</v>
      </c>
      <c r="AB2" s="17" t="s">
        <v>36</v>
      </c>
      <c r="AC2" s="17" t="s">
        <v>37</v>
      </c>
      <c r="AD2" s="17" t="s">
        <v>38</v>
      </c>
      <c r="AE2" s="17" t="s">
        <v>39</v>
      </c>
      <c r="AF2" s="17" t="s">
        <v>40</v>
      </c>
      <c r="AG2" s="17" t="s">
        <v>41</v>
      </c>
    </row>
    <row r="3" spans="1:33" ht="13.2" x14ac:dyDescent="0.25">
      <c r="A3" s="1"/>
      <c r="B3" s="1"/>
      <c r="C3" s="86">
        <v>1</v>
      </c>
      <c r="D3" s="6">
        <v>2</v>
      </c>
      <c r="E3" s="6">
        <v>3</v>
      </c>
      <c r="F3" s="87">
        <v>5</v>
      </c>
      <c r="G3" s="86">
        <v>8</v>
      </c>
      <c r="H3" s="6">
        <v>9</v>
      </c>
      <c r="I3" s="6">
        <v>10</v>
      </c>
      <c r="J3" s="6">
        <v>11</v>
      </c>
      <c r="K3" s="87">
        <v>12</v>
      </c>
      <c r="L3" s="86">
        <v>15</v>
      </c>
      <c r="M3" s="6">
        <v>16</v>
      </c>
      <c r="N3" s="6">
        <v>17</v>
      </c>
      <c r="O3" s="6">
        <v>18</v>
      </c>
      <c r="P3" s="87">
        <v>19</v>
      </c>
      <c r="Q3" s="86">
        <v>22</v>
      </c>
      <c r="R3" s="6">
        <v>23</v>
      </c>
      <c r="S3" s="6">
        <v>24</v>
      </c>
      <c r="T3" s="6">
        <v>25</v>
      </c>
      <c r="U3" s="87">
        <v>26</v>
      </c>
      <c r="V3" s="86">
        <v>29</v>
      </c>
      <c r="W3" s="87">
        <v>30</v>
      </c>
      <c r="X3" s="2"/>
      <c r="Y3" s="1"/>
      <c r="Z3" s="1"/>
      <c r="AA3" s="107">
        <v>1</v>
      </c>
      <c r="AB3" s="108">
        <v>26746</v>
      </c>
      <c r="AC3" s="109">
        <v>46148</v>
      </c>
      <c r="AD3" s="108">
        <v>309.64999999999998</v>
      </c>
      <c r="AE3" s="109">
        <v>46175</v>
      </c>
      <c r="AF3" s="108" t="s">
        <v>89</v>
      </c>
      <c r="AG3" s="108">
        <v>119</v>
      </c>
    </row>
    <row r="4" spans="1:33" ht="13.2" x14ac:dyDescent="0.25">
      <c r="A4" s="1"/>
      <c r="B4" s="13" t="s">
        <v>43</v>
      </c>
      <c r="C4" s="88" t="s">
        <v>44</v>
      </c>
      <c r="D4" s="85" t="s">
        <v>45</v>
      </c>
      <c r="E4" s="85" t="s">
        <v>46</v>
      </c>
      <c r="F4" s="89" t="s">
        <v>46</v>
      </c>
      <c r="G4" s="88" t="s">
        <v>44</v>
      </c>
      <c r="H4" s="85" t="s">
        <v>44</v>
      </c>
      <c r="I4" s="85" t="s">
        <v>45</v>
      </c>
      <c r="J4" s="85" t="s">
        <v>46</v>
      </c>
      <c r="K4" s="89" t="s">
        <v>46</v>
      </c>
      <c r="L4" s="88" t="s">
        <v>44</v>
      </c>
      <c r="M4" s="85" t="s">
        <v>44</v>
      </c>
      <c r="N4" s="85" t="s">
        <v>45</v>
      </c>
      <c r="O4" s="85" t="s">
        <v>46</v>
      </c>
      <c r="P4" s="89" t="s">
        <v>46</v>
      </c>
      <c r="Q4" s="88" t="s">
        <v>44</v>
      </c>
      <c r="R4" s="85" t="s">
        <v>44</v>
      </c>
      <c r="S4" s="85" t="s">
        <v>45</v>
      </c>
      <c r="T4" s="85" t="s">
        <v>46</v>
      </c>
      <c r="U4" s="89" t="s">
        <v>46</v>
      </c>
      <c r="V4" s="88" t="s">
        <v>44</v>
      </c>
      <c r="W4" s="89" t="s">
        <v>44</v>
      </c>
      <c r="X4" s="15" t="s">
        <v>11</v>
      </c>
      <c r="Y4" s="1"/>
      <c r="Z4" s="1"/>
      <c r="AA4" s="46">
        <v>2</v>
      </c>
      <c r="AB4" s="19">
        <v>42957</v>
      </c>
      <c r="AC4" s="80">
        <v>46362</v>
      </c>
      <c r="AD4" s="19">
        <v>169.73</v>
      </c>
      <c r="AE4" s="19" t="s">
        <v>90</v>
      </c>
      <c r="AF4" s="19" t="s">
        <v>7</v>
      </c>
      <c r="AG4" s="111">
        <v>49</v>
      </c>
    </row>
    <row r="5" spans="1:33" ht="13.2" x14ac:dyDescent="0.25">
      <c r="A5" s="1"/>
      <c r="B5" s="14" t="s">
        <v>2</v>
      </c>
      <c r="C5" s="90">
        <v>1</v>
      </c>
      <c r="D5" s="7">
        <v>1</v>
      </c>
      <c r="E5" s="7">
        <v>1</v>
      </c>
      <c r="F5" s="91">
        <v>1</v>
      </c>
      <c r="G5" s="90">
        <v>1</v>
      </c>
      <c r="H5" s="7">
        <v>1</v>
      </c>
      <c r="I5" s="7">
        <v>1</v>
      </c>
      <c r="J5" s="7">
        <v>1</v>
      </c>
      <c r="K5" s="91">
        <v>1</v>
      </c>
      <c r="L5" s="90">
        <v>1</v>
      </c>
      <c r="M5" s="7">
        <v>1</v>
      </c>
      <c r="N5" s="7">
        <v>1</v>
      </c>
      <c r="O5" s="7">
        <v>1</v>
      </c>
      <c r="P5" s="91">
        <v>1</v>
      </c>
      <c r="Q5" s="90">
        <v>1</v>
      </c>
      <c r="R5" s="7">
        <v>1</v>
      </c>
      <c r="S5" s="7">
        <v>1</v>
      </c>
      <c r="T5" s="7">
        <v>2</v>
      </c>
      <c r="U5" s="91">
        <v>2</v>
      </c>
      <c r="V5" s="105">
        <v>2</v>
      </c>
      <c r="W5" s="91">
        <v>2</v>
      </c>
      <c r="X5" s="16">
        <f>SUM(C5:W5)</f>
        <v>25</v>
      </c>
      <c r="Y5" s="1"/>
      <c r="Z5" s="1"/>
      <c r="AA5" s="46">
        <v>3</v>
      </c>
      <c r="AB5" s="19">
        <v>29236</v>
      </c>
      <c r="AC5" s="80" t="s">
        <v>85</v>
      </c>
      <c r="AD5" s="19">
        <v>718.11</v>
      </c>
      <c r="AE5" s="19" t="s">
        <v>90</v>
      </c>
      <c r="AF5" s="19" t="s">
        <v>7</v>
      </c>
      <c r="AG5" s="111">
        <v>61</v>
      </c>
    </row>
    <row r="6" spans="1:33" ht="13.8" thickBot="1" x14ac:dyDescent="0.3">
      <c r="A6" s="1"/>
      <c r="B6" s="14" t="s">
        <v>49</v>
      </c>
      <c r="C6" s="92">
        <v>0</v>
      </c>
      <c r="D6" s="93">
        <v>0</v>
      </c>
      <c r="E6" s="93">
        <v>0</v>
      </c>
      <c r="F6" s="94">
        <v>1</v>
      </c>
      <c r="G6" s="92">
        <v>0</v>
      </c>
      <c r="H6" s="93">
        <v>0</v>
      </c>
      <c r="I6" s="93">
        <v>0</v>
      </c>
      <c r="J6" s="93">
        <v>0</v>
      </c>
      <c r="K6" s="94">
        <v>1</v>
      </c>
      <c r="L6" s="92">
        <v>0</v>
      </c>
      <c r="M6" s="93">
        <v>0</v>
      </c>
      <c r="N6" s="93">
        <v>0</v>
      </c>
      <c r="O6" s="93">
        <v>0</v>
      </c>
      <c r="P6" s="94">
        <v>0</v>
      </c>
      <c r="Q6" s="92">
        <v>0</v>
      </c>
      <c r="R6" s="93">
        <v>0</v>
      </c>
      <c r="S6" s="93">
        <v>2</v>
      </c>
      <c r="T6" s="93"/>
      <c r="U6" s="94">
        <v>1</v>
      </c>
      <c r="V6" s="92"/>
      <c r="W6" s="94"/>
      <c r="X6" s="16">
        <f>SUM(C6:W6)</f>
        <v>5</v>
      </c>
      <c r="Y6" s="79">
        <f>X6-X5</f>
        <v>-20</v>
      </c>
      <c r="Z6" s="1"/>
      <c r="AA6" s="46">
        <v>4</v>
      </c>
      <c r="AB6" s="19">
        <v>44928</v>
      </c>
      <c r="AC6" s="80" t="s">
        <v>85</v>
      </c>
      <c r="AD6" s="19">
        <v>217.28</v>
      </c>
      <c r="AE6" s="80">
        <v>46178</v>
      </c>
      <c r="AF6" s="19" t="s">
        <v>8</v>
      </c>
      <c r="AG6" s="111">
        <v>49</v>
      </c>
    </row>
    <row r="7" spans="1:33" ht="13.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70"/>
      <c r="Z7" s="1"/>
      <c r="AA7" s="114"/>
      <c r="AB7" s="112">
        <v>44483</v>
      </c>
      <c r="AC7" s="113" t="s">
        <v>60</v>
      </c>
      <c r="AD7" s="112">
        <v>377.75</v>
      </c>
      <c r="AE7" s="113" t="s">
        <v>91</v>
      </c>
      <c r="AF7" s="112" t="s">
        <v>8</v>
      </c>
      <c r="AG7" s="112">
        <v>37</v>
      </c>
    </row>
    <row r="8" spans="1:33" ht="13.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46"/>
      <c r="AB8" s="19">
        <v>34645</v>
      </c>
      <c r="AC8" s="80">
        <v>46029</v>
      </c>
      <c r="AD8" s="19">
        <v>175.75</v>
      </c>
      <c r="AE8" s="19" t="s">
        <v>92</v>
      </c>
      <c r="AF8" s="19" t="s">
        <v>81</v>
      </c>
      <c r="AG8" s="111">
        <v>64</v>
      </c>
    </row>
    <row r="9" spans="1:33" ht="13.2" x14ac:dyDescent="0.25">
      <c r="A9" s="1"/>
      <c r="B9" s="4" t="s">
        <v>54</v>
      </c>
      <c r="C9" s="86">
        <v>1</v>
      </c>
      <c r="D9" s="6">
        <v>2</v>
      </c>
      <c r="E9" s="6">
        <v>3</v>
      </c>
      <c r="F9" s="87">
        <v>5</v>
      </c>
      <c r="G9" s="86">
        <v>8</v>
      </c>
      <c r="H9" s="6">
        <v>9</v>
      </c>
      <c r="I9" s="6">
        <v>10</v>
      </c>
      <c r="J9" s="6">
        <v>11</v>
      </c>
      <c r="K9" s="87">
        <v>12</v>
      </c>
      <c r="L9" s="86">
        <v>15</v>
      </c>
      <c r="M9" s="6">
        <v>16</v>
      </c>
      <c r="N9" s="6">
        <v>17</v>
      </c>
      <c r="O9" s="6">
        <v>18</v>
      </c>
      <c r="P9" s="87">
        <v>19</v>
      </c>
      <c r="Q9" s="86">
        <v>22</v>
      </c>
      <c r="R9" s="6">
        <v>23</v>
      </c>
      <c r="S9" s="6">
        <v>24</v>
      </c>
      <c r="T9" s="6">
        <v>25</v>
      </c>
      <c r="U9" s="87">
        <v>26</v>
      </c>
      <c r="V9" s="86">
        <v>29</v>
      </c>
      <c r="W9" s="87">
        <v>30</v>
      </c>
      <c r="X9" s="1"/>
      <c r="Y9" s="1"/>
      <c r="Z9" s="1"/>
      <c r="AA9" s="114">
        <v>5</v>
      </c>
      <c r="AB9" s="112">
        <v>38149</v>
      </c>
      <c r="AC9" s="112" t="s">
        <v>60</v>
      </c>
      <c r="AD9" s="112">
        <v>220.74</v>
      </c>
      <c r="AE9" s="113">
        <v>46176</v>
      </c>
      <c r="AF9" s="112" t="s">
        <v>93</v>
      </c>
      <c r="AG9" s="112">
        <v>112</v>
      </c>
    </row>
    <row r="10" spans="1:33" ht="13.2" x14ac:dyDescent="0.25">
      <c r="A10" s="1"/>
      <c r="B10" s="85" t="s">
        <v>16</v>
      </c>
      <c r="C10" s="7">
        <v>5</v>
      </c>
      <c r="D10" s="7"/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11"/>
      <c r="M10" s="7">
        <v>0</v>
      </c>
      <c r="N10" s="7">
        <v>16</v>
      </c>
      <c r="O10" s="7">
        <v>16</v>
      </c>
      <c r="P10" s="7">
        <v>16</v>
      </c>
      <c r="Q10" s="7">
        <v>0</v>
      </c>
      <c r="R10" s="77">
        <v>17</v>
      </c>
      <c r="S10" s="21">
        <v>1</v>
      </c>
      <c r="T10" s="78">
        <v>0</v>
      </c>
      <c r="U10" s="104"/>
      <c r="V10" s="7"/>
      <c r="W10" s="7"/>
      <c r="X10" s="1"/>
      <c r="Y10" s="1"/>
      <c r="Z10" s="1"/>
      <c r="AA10" s="46"/>
      <c r="AB10" s="19"/>
      <c r="AC10" s="19"/>
      <c r="AD10" s="19"/>
      <c r="AE10" s="80"/>
      <c r="AF10" s="19"/>
      <c r="AG10" s="111"/>
    </row>
    <row r="11" spans="1:33" ht="13.2" x14ac:dyDescent="0.25">
      <c r="A11" s="1"/>
      <c r="B11" s="85" t="s">
        <v>17</v>
      </c>
      <c r="C11" s="7">
        <v>0</v>
      </c>
      <c r="D11" s="7"/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11"/>
      <c r="M11" s="7">
        <v>0</v>
      </c>
      <c r="N11" s="7">
        <v>0</v>
      </c>
      <c r="O11" s="7">
        <v>0</v>
      </c>
      <c r="P11" s="7">
        <v>0</v>
      </c>
      <c r="Q11" s="7">
        <v>1</v>
      </c>
      <c r="R11" s="77">
        <v>1</v>
      </c>
      <c r="S11" s="21">
        <v>0</v>
      </c>
      <c r="T11" s="78">
        <v>0</v>
      </c>
      <c r="U11" s="104"/>
      <c r="V11" s="7"/>
      <c r="W11" s="7"/>
      <c r="X11" s="1"/>
      <c r="Y11" s="1"/>
      <c r="Z11" s="1"/>
      <c r="AA11" s="46"/>
      <c r="AB11" s="84"/>
      <c r="AC11" s="84"/>
      <c r="AD11" s="19"/>
      <c r="AE11" s="80"/>
      <c r="AF11" s="19"/>
      <c r="AG11" s="111"/>
    </row>
    <row r="12" spans="1:33" ht="13.2" x14ac:dyDescent="0.25">
      <c r="A12" s="1"/>
      <c r="B12" s="85" t="s">
        <v>18</v>
      </c>
      <c r="C12" s="7">
        <v>0</v>
      </c>
      <c r="D12" s="7"/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11"/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7">
        <v>0</v>
      </c>
      <c r="S12" s="21">
        <v>0</v>
      </c>
      <c r="T12" s="78">
        <v>0</v>
      </c>
      <c r="U12" s="104"/>
      <c r="V12" s="7"/>
      <c r="W12" s="7"/>
      <c r="X12" s="1"/>
      <c r="Y12" s="1"/>
      <c r="Z12" s="1"/>
      <c r="AA12" s="46"/>
      <c r="AB12" s="84"/>
      <c r="AC12" s="84"/>
      <c r="AD12" s="19"/>
      <c r="AE12" s="80"/>
      <c r="AF12" s="19"/>
      <c r="AG12" s="111"/>
    </row>
    <row r="13" spans="1:33" ht="13.2" x14ac:dyDescent="0.25">
      <c r="A13" s="1"/>
      <c r="B13" s="85" t="s">
        <v>20</v>
      </c>
      <c r="C13" s="7">
        <v>0</v>
      </c>
      <c r="D13" s="7"/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11"/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7">
        <v>0</v>
      </c>
      <c r="S13" s="21">
        <v>0</v>
      </c>
      <c r="T13" s="78">
        <v>0</v>
      </c>
      <c r="U13" s="104"/>
      <c r="V13" s="7"/>
      <c r="W13" s="7"/>
      <c r="X13" s="1"/>
      <c r="Y13" s="1"/>
      <c r="Z13" s="1"/>
      <c r="AA13" s="46"/>
      <c r="AB13" s="84"/>
      <c r="AC13" s="84"/>
      <c r="AD13" s="19"/>
      <c r="AE13" s="80"/>
      <c r="AF13" s="19"/>
      <c r="AG13" s="111"/>
    </row>
    <row r="14" spans="1:33" ht="13.2" x14ac:dyDescent="0.25">
      <c r="A14" s="1"/>
      <c r="B14" s="85" t="s">
        <v>61</v>
      </c>
      <c r="C14" s="7">
        <v>291</v>
      </c>
      <c r="D14" s="7"/>
      <c r="E14" s="7">
        <v>295</v>
      </c>
      <c r="F14" s="7">
        <v>295</v>
      </c>
      <c r="G14" s="8">
        <v>295</v>
      </c>
      <c r="H14" s="11">
        <v>307</v>
      </c>
      <c r="I14" s="7">
        <v>307</v>
      </c>
      <c r="J14" s="7">
        <v>307</v>
      </c>
      <c r="K14" s="7">
        <v>307</v>
      </c>
      <c r="L14" s="11"/>
      <c r="M14" s="7">
        <v>39</v>
      </c>
      <c r="N14" s="7">
        <v>307</v>
      </c>
      <c r="O14" s="7">
        <v>307</v>
      </c>
      <c r="P14" s="7">
        <v>307</v>
      </c>
      <c r="Q14" s="7">
        <v>321</v>
      </c>
      <c r="R14" s="77">
        <v>333</v>
      </c>
      <c r="S14" s="21">
        <v>343</v>
      </c>
      <c r="T14" s="78">
        <v>335</v>
      </c>
      <c r="U14" s="46"/>
      <c r="V14" s="7"/>
      <c r="W14" s="7"/>
      <c r="X14" s="1"/>
      <c r="Y14" s="1"/>
      <c r="Z14" s="1"/>
      <c r="AD14" s="18"/>
    </row>
    <row r="15" spans="1:33" ht="13.2" x14ac:dyDescent="0.25">
      <c r="A15" s="1"/>
      <c r="B15" s="85" t="s">
        <v>63</v>
      </c>
      <c r="C15" s="7">
        <v>30</v>
      </c>
      <c r="D15" s="7"/>
      <c r="E15" s="7">
        <v>30</v>
      </c>
      <c r="F15" s="7">
        <v>30</v>
      </c>
      <c r="G15" s="8">
        <v>29</v>
      </c>
      <c r="H15" s="7">
        <v>31</v>
      </c>
      <c r="I15" s="7">
        <v>31</v>
      </c>
      <c r="J15" s="7">
        <v>31</v>
      </c>
      <c r="K15" s="7">
        <v>31</v>
      </c>
      <c r="L15" s="11"/>
      <c r="M15" s="7">
        <v>5</v>
      </c>
      <c r="N15" s="7">
        <v>31</v>
      </c>
      <c r="O15" s="7">
        <v>31</v>
      </c>
      <c r="P15" s="7">
        <v>31</v>
      </c>
      <c r="Q15" s="7">
        <v>31</v>
      </c>
      <c r="R15" s="77">
        <v>32</v>
      </c>
      <c r="S15" s="21">
        <v>32</v>
      </c>
      <c r="T15" s="78">
        <v>33</v>
      </c>
      <c r="U15" s="81"/>
      <c r="V15" s="7"/>
      <c r="W15" s="7"/>
      <c r="X15" s="1"/>
      <c r="Y15" s="1"/>
      <c r="Z15" s="1"/>
      <c r="AA15" s="1"/>
    </row>
    <row r="16" spans="1:33" ht="13.2" x14ac:dyDescent="0.25">
      <c r="A16" s="1"/>
      <c r="B16" s="85" t="s">
        <v>24</v>
      </c>
      <c r="C16" s="7">
        <v>0</v>
      </c>
      <c r="D16" s="7"/>
      <c r="E16" s="7">
        <v>0</v>
      </c>
      <c r="F16" s="7">
        <v>0</v>
      </c>
      <c r="G16" s="8">
        <v>0</v>
      </c>
      <c r="H16" s="7">
        <v>1</v>
      </c>
      <c r="I16" s="7">
        <v>1</v>
      </c>
      <c r="J16" s="7">
        <v>1</v>
      </c>
      <c r="K16" s="7">
        <v>1</v>
      </c>
      <c r="L16" s="11"/>
      <c r="M16" s="7">
        <v>0</v>
      </c>
      <c r="N16" s="7">
        <v>1</v>
      </c>
      <c r="O16" s="7">
        <v>1</v>
      </c>
      <c r="P16" s="7">
        <v>1</v>
      </c>
      <c r="Q16" s="7">
        <v>1</v>
      </c>
      <c r="R16" s="77">
        <v>1</v>
      </c>
      <c r="S16" s="21">
        <v>1</v>
      </c>
      <c r="T16" s="78">
        <v>1</v>
      </c>
      <c r="U16" s="46"/>
      <c r="V16" s="7"/>
      <c r="W16" s="7"/>
      <c r="X16" s="1"/>
      <c r="Y16" s="1"/>
      <c r="Z16" s="1"/>
      <c r="AA16" s="1"/>
    </row>
    <row r="17" spans="1:27" ht="13.2" x14ac:dyDescent="0.25">
      <c r="A17" s="1"/>
      <c r="B17" s="85" t="s">
        <v>25</v>
      </c>
      <c r="C17" s="7">
        <v>0</v>
      </c>
      <c r="D17" s="7"/>
      <c r="E17" s="7">
        <v>1</v>
      </c>
      <c r="F17" s="7">
        <v>1</v>
      </c>
      <c r="G17" s="8">
        <v>1</v>
      </c>
      <c r="H17" s="7">
        <v>2</v>
      </c>
      <c r="I17" s="7">
        <v>2</v>
      </c>
      <c r="J17" s="7">
        <v>2</v>
      </c>
      <c r="K17" s="7">
        <v>2</v>
      </c>
      <c r="L17" s="11"/>
      <c r="M17" s="7">
        <v>0</v>
      </c>
      <c r="N17" s="7">
        <v>2</v>
      </c>
      <c r="O17" s="7">
        <v>2</v>
      </c>
      <c r="P17" s="7">
        <v>2</v>
      </c>
      <c r="Q17" s="7">
        <v>2</v>
      </c>
      <c r="R17" s="77">
        <v>2</v>
      </c>
      <c r="S17" s="21">
        <v>3</v>
      </c>
      <c r="T17" s="78">
        <v>3</v>
      </c>
      <c r="U17" s="46"/>
      <c r="V17" s="7"/>
      <c r="W17" s="7"/>
      <c r="X17" s="1"/>
      <c r="Y17" s="1"/>
      <c r="Z17" s="1"/>
      <c r="AA17" s="1"/>
    </row>
    <row r="18" spans="1:27" ht="13.2" x14ac:dyDescent="0.25">
      <c r="A18" s="1"/>
      <c r="B18" s="85" t="s">
        <v>26</v>
      </c>
      <c r="C18" s="7">
        <v>0</v>
      </c>
      <c r="D18" s="7"/>
      <c r="E18" s="7">
        <v>1</v>
      </c>
      <c r="F18" s="7">
        <v>1</v>
      </c>
      <c r="G18" s="8">
        <v>1</v>
      </c>
      <c r="H18" s="7">
        <v>1</v>
      </c>
      <c r="I18" s="7">
        <v>1</v>
      </c>
      <c r="J18" s="7">
        <v>1</v>
      </c>
      <c r="K18" s="7">
        <v>1</v>
      </c>
      <c r="L18" s="11"/>
      <c r="M18" s="7">
        <v>0</v>
      </c>
      <c r="N18" s="7">
        <v>1</v>
      </c>
      <c r="O18" s="7">
        <v>1</v>
      </c>
      <c r="P18" s="7">
        <v>1</v>
      </c>
      <c r="Q18" s="7">
        <v>1</v>
      </c>
      <c r="R18" s="77">
        <v>2</v>
      </c>
      <c r="S18" s="21">
        <v>5</v>
      </c>
      <c r="T18" s="78">
        <v>10</v>
      </c>
      <c r="U18" s="46"/>
      <c r="V18" s="7"/>
      <c r="W18" s="7"/>
      <c r="X18" s="1"/>
      <c r="Y18" s="1"/>
      <c r="Z18" s="1"/>
      <c r="AA18" s="1"/>
    </row>
    <row r="19" spans="1:27" ht="13.2" x14ac:dyDescent="0.25">
      <c r="A19" s="1"/>
      <c r="B19" s="85" t="s">
        <v>27</v>
      </c>
      <c r="C19" s="7">
        <v>0</v>
      </c>
      <c r="D19" s="7"/>
      <c r="E19" s="7">
        <v>0</v>
      </c>
      <c r="F19" s="7">
        <v>0</v>
      </c>
      <c r="G19" s="8">
        <v>0</v>
      </c>
      <c r="H19" s="7">
        <v>3</v>
      </c>
      <c r="I19" s="7">
        <v>3</v>
      </c>
      <c r="J19" s="7">
        <v>3</v>
      </c>
      <c r="K19" s="7">
        <v>3</v>
      </c>
      <c r="L19" s="11"/>
      <c r="M19" s="7">
        <v>0</v>
      </c>
      <c r="N19" s="7">
        <v>3</v>
      </c>
      <c r="O19" s="7">
        <v>3</v>
      </c>
      <c r="P19" s="7">
        <v>3</v>
      </c>
      <c r="Q19" s="7">
        <v>4</v>
      </c>
      <c r="R19" s="77">
        <v>4</v>
      </c>
      <c r="S19" s="21">
        <v>4</v>
      </c>
      <c r="T19" s="78">
        <v>4</v>
      </c>
      <c r="U19" s="46"/>
      <c r="V19" s="7"/>
      <c r="W19" s="7"/>
      <c r="X19" s="1"/>
      <c r="Y19" s="1"/>
      <c r="Z19" s="1"/>
      <c r="AA19" s="1"/>
    </row>
    <row r="20" spans="1:27" ht="13.2" x14ac:dyDescent="0.25">
      <c r="A20" s="1"/>
      <c r="B20" s="85" t="s">
        <v>28</v>
      </c>
      <c r="C20" s="7">
        <v>0</v>
      </c>
      <c r="D20" s="7"/>
      <c r="E20" s="7">
        <v>0</v>
      </c>
      <c r="F20" s="7">
        <v>0</v>
      </c>
      <c r="G20" s="8">
        <v>0</v>
      </c>
      <c r="H20" s="7">
        <v>0</v>
      </c>
      <c r="I20" s="7">
        <v>0</v>
      </c>
      <c r="J20" s="7">
        <v>0</v>
      </c>
      <c r="K20" s="7">
        <v>0</v>
      </c>
      <c r="L20" s="11"/>
      <c r="M20" s="7">
        <v>0</v>
      </c>
      <c r="N20" s="7">
        <v>0</v>
      </c>
      <c r="O20" s="7">
        <v>0</v>
      </c>
      <c r="P20" s="7">
        <v>0</v>
      </c>
      <c r="Q20" s="7">
        <v>0</v>
      </c>
      <c r="R20" s="77">
        <v>0</v>
      </c>
      <c r="S20" s="21">
        <v>0</v>
      </c>
      <c r="T20" s="78">
        <v>0</v>
      </c>
      <c r="U20" s="46"/>
      <c r="V20" s="7"/>
      <c r="W20" s="7"/>
      <c r="X20" s="1"/>
      <c r="Y20" s="1"/>
      <c r="Z20" s="1"/>
      <c r="AA20" s="1"/>
    </row>
    <row r="21" spans="1:27" ht="13.2" x14ac:dyDescent="0.25">
      <c r="A21" s="1"/>
      <c r="B21" s="4" t="s">
        <v>11</v>
      </c>
      <c r="C21" s="4">
        <f>SUM(C10:C20)</f>
        <v>326</v>
      </c>
      <c r="D21" s="4">
        <f>SUM(D10:D17)</f>
        <v>0</v>
      </c>
      <c r="E21" s="4">
        <f>SUM(E10:E20)</f>
        <v>327</v>
      </c>
      <c r="F21" s="4">
        <f>SUM(F10:F17)</f>
        <v>326</v>
      </c>
      <c r="G21" s="4">
        <f>SUM(G10:G17)</f>
        <v>325</v>
      </c>
      <c r="H21" s="4">
        <f>SUM(H10:H20)</f>
        <v>345</v>
      </c>
      <c r="I21" s="4">
        <f>SUM(I10:I20)</f>
        <v>345</v>
      </c>
      <c r="J21" s="4">
        <f>SUM(J10:J20)</f>
        <v>345</v>
      </c>
      <c r="K21" s="4">
        <f>SUM(K10:K20)</f>
        <v>345</v>
      </c>
      <c r="L21" s="4">
        <f>SUM(L10:L20)</f>
        <v>0</v>
      </c>
      <c r="M21" s="4">
        <f t="shared" ref="M21:W21" si="0">SUM(M10:M20)</f>
        <v>44</v>
      </c>
      <c r="N21" s="4">
        <f t="shared" si="0"/>
        <v>361</v>
      </c>
      <c r="O21" s="4">
        <f>SUM(O10:O20)</f>
        <v>361</v>
      </c>
      <c r="P21" s="4">
        <f t="shared" si="0"/>
        <v>361</v>
      </c>
      <c r="Q21" s="4">
        <f>SUM(Q10:Q20)</f>
        <v>361</v>
      </c>
      <c r="R21" s="4">
        <f t="shared" si="0"/>
        <v>392</v>
      </c>
      <c r="S21" s="4">
        <f t="shared" si="0"/>
        <v>389</v>
      </c>
      <c r="T21" s="4">
        <f t="shared" si="0"/>
        <v>386</v>
      </c>
      <c r="U21" s="4">
        <f t="shared" si="0"/>
        <v>0</v>
      </c>
      <c r="V21" s="4">
        <f t="shared" si="0"/>
        <v>0</v>
      </c>
      <c r="W21" s="4">
        <f t="shared" si="0"/>
        <v>0</v>
      </c>
      <c r="X21" s="1"/>
      <c r="Y21" s="1"/>
      <c r="Z21" s="1"/>
      <c r="AA21" s="1"/>
    </row>
    <row r="22" spans="1:27" ht="13.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2" x14ac:dyDescent="0.25">
      <c r="A23" s="1"/>
      <c r="B23" s="22" t="s">
        <v>64</v>
      </c>
      <c r="C23" s="86">
        <v>1</v>
      </c>
      <c r="D23" s="6">
        <v>2</v>
      </c>
      <c r="E23" s="6">
        <v>3</v>
      </c>
      <c r="F23" s="87">
        <v>5</v>
      </c>
      <c r="G23" s="86">
        <v>8</v>
      </c>
      <c r="H23" s="6">
        <v>9</v>
      </c>
      <c r="I23" s="6">
        <v>10</v>
      </c>
      <c r="J23" s="6">
        <v>11</v>
      </c>
      <c r="K23" s="87">
        <v>12</v>
      </c>
      <c r="L23" s="86">
        <v>15</v>
      </c>
      <c r="M23" s="6">
        <v>16</v>
      </c>
      <c r="N23" s="6">
        <v>17</v>
      </c>
      <c r="O23" s="6">
        <v>18</v>
      </c>
      <c r="P23" s="87">
        <v>19</v>
      </c>
      <c r="Q23" s="86">
        <v>22</v>
      </c>
      <c r="R23" s="6">
        <v>23</v>
      </c>
      <c r="S23" s="6">
        <v>24</v>
      </c>
      <c r="T23" s="6">
        <v>25</v>
      </c>
      <c r="U23" s="87">
        <v>26</v>
      </c>
      <c r="V23" s="86">
        <v>29</v>
      </c>
      <c r="W23" s="87">
        <v>30</v>
      </c>
      <c r="X23" s="23" t="s">
        <v>11</v>
      </c>
      <c r="Y23" s="1"/>
      <c r="Z23" s="1"/>
      <c r="AA23" s="1"/>
    </row>
    <row r="24" spans="1:27" ht="13.2" x14ac:dyDescent="0.25">
      <c r="A24" s="1"/>
      <c r="B24" s="21" t="s">
        <v>2</v>
      </c>
      <c r="C24" s="46">
        <v>17</v>
      </c>
      <c r="D24" s="46">
        <v>17</v>
      </c>
      <c r="E24" s="46">
        <v>17</v>
      </c>
      <c r="F24" s="46">
        <v>17</v>
      </c>
      <c r="G24" s="46">
        <v>17</v>
      </c>
      <c r="H24" s="46">
        <v>17</v>
      </c>
      <c r="I24" s="46">
        <v>17</v>
      </c>
      <c r="J24" s="46">
        <v>17</v>
      </c>
      <c r="K24" s="46">
        <v>17</v>
      </c>
      <c r="L24" s="46">
        <v>17</v>
      </c>
      <c r="M24" s="46">
        <v>17</v>
      </c>
      <c r="N24" s="46">
        <v>17</v>
      </c>
      <c r="O24" s="46">
        <v>17</v>
      </c>
      <c r="P24" s="46">
        <v>17</v>
      </c>
      <c r="Q24" s="46">
        <v>17</v>
      </c>
      <c r="R24" s="46">
        <v>17</v>
      </c>
      <c r="S24" s="46">
        <v>17</v>
      </c>
      <c r="T24" s="46">
        <v>16</v>
      </c>
      <c r="U24" s="46">
        <v>15</v>
      </c>
      <c r="V24" s="46">
        <v>15</v>
      </c>
      <c r="W24" s="46">
        <v>15</v>
      </c>
      <c r="X24" s="21">
        <f>SUM(C24:W24)</f>
        <v>350</v>
      </c>
      <c r="Y24" s="1"/>
      <c r="Z24" s="1"/>
      <c r="AA24" s="1"/>
    </row>
    <row r="25" spans="1:27" ht="13.2" x14ac:dyDescent="0.25">
      <c r="A25" s="1"/>
      <c r="B25" s="21" t="s">
        <v>65</v>
      </c>
      <c r="C25" s="46">
        <v>20</v>
      </c>
      <c r="D25" s="46">
        <v>23</v>
      </c>
      <c r="E25" s="46">
        <v>4</v>
      </c>
      <c r="F25" s="46">
        <v>14</v>
      </c>
      <c r="G25" s="46">
        <v>29</v>
      </c>
      <c r="H25" s="46">
        <v>8</v>
      </c>
      <c r="I25" s="46">
        <v>0</v>
      </c>
      <c r="J25" s="46">
        <v>0</v>
      </c>
      <c r="K25" s="46">
        <v>0</v>
      </c>
      <c r="L25" s="46">
        <v>0</v>
      </c>
      <c r="M25" s="46">
        <v>0</v>
      </c>
      <c r="N25" s="46">
        <v>0</v>
      </c>
      <c r="O25" s="46">
        <v>0</v>
      </c>
      <c r="P25" s="46">
        <v>0</v>
      </c>
      <c r="Q25" s="46">
        <v>21</v>
      </c>
      <c r="R25" s="46">
        <v>16</v>
      </c>
      <c r="S25" s="46">
        <v>62</v>
      </c>
      <c r="T25" s="46">
        <v>35</v>
      </c>
      <c r="U25" s="46"/>
      <c r="V25" s="46"/>
      <c r="W25" s="46"/>
      <c r="X25" s="21">
        <f>SUM(C25:W25)</f>
        <v>232</v>
      </c>
      <c r="Y25" s="79">
        <f>X25-X24</f>
        <v>-118</v>
      </c>
      <c r="Z25" s="1"/>
      <c r="AA25" s="1"/>
    </row>
    <row r="26" spans="1:27" ht="13.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Y26" s="1"/>
      <c r="Z26" s="1"/>
      <c r="AA26" s="1"/>
    </row>
    <row r="27" spans="1:27" ht="13.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2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2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2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2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2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2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2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2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2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2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2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2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2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2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2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2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2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2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2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2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2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2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2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2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2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2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2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2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2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2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2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2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2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2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2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2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2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2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2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2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2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2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2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2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2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2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2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2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2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2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2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2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2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2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2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2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2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2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2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2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2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2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2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2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2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2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2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2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2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2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2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2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2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2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2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2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2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2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2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2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2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2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2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2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2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2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2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2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2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2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2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2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2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2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</sheetData>
  <mergeCells count="5"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A423B-0350-4096-8FA9-3F65019560E7}">
  <sheetPr>
    <tabColor rgb="FF00B050"/>
    <outlinePr summaryBelow="0" summaryRight="0"/>
  </sheetPr>
  <dimension ref="A1:AG960"/>
  <sheetViews>
    <sheetView showGridLines="0" topLeftCell="C4" zoomScaleNormal="100" workbookViewId="0">
      <selection activeCell="AD31" sqref="AD31"/>
    </sheetView>
  </sheetViews>
  <sheetFormatPr defaultColWidth="12.6640625" defaultRowHeight="15.75" customHeight="1" x14ac:dyDescent="0.25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9" bestFit="1" customWidth="1"/>
    <col min="28" max="28" width="10.6640625" style="9" customWidth="1"/>
    <col min="29" max="29" width="13.44140625" style="9" customWidth="1"/>
    <col min="30" max="30" width="12.6640625" style="9"/>
    <col min="31" max="31" width="16" style="9" bestFit="1" customWidth="1"/>
    <col min="32" max="32" width="12.6640625" style="9"/>
  </cols>
  <sheetData>
    <row r="1" spans="1:33" ht="13.2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33" ht="13.2" x14ac:dyDescent="0.25">
      <c r="A2" s="1"/>
      <c r="B2" s="1"/>
      <c r="C2" s="134" t="s">
        <v>30</v>
      </c>
      <c r="D2" s="135"/>
      <c r="E2" s="135"/>
      <c r="F2" s="136"/>
      <c r="G2" s="134" t="s">
        <v>31</v>
      </c>
      <c r="H2" s="135"/>
      <c r="I2" s="135"/>
      <c r="J2" s="135"/>
      <c r="K2" s="136"/>
      <c r="L2" s="134" t="s">
        <v>32</v>
      </c>
      <c r="M2" s="135"/>
      <c r="N2" s="135"/>
      <c r="O2" s="135"/>
      <c r="P2" s="136"/>
      <c r="Q2" s="134" t="s">
        <v>33</v>
      </c>
      <c r="R2" s="135"/>
      <c r="S2" s="135"/>
      <c r="T2" s="135"/>
      <c r="U2" s="136"/>
      <c r="V2" s="134" t="s">
        <v>34</v>
      </c>
      <c r="W2" s="136"/>
      <c r="X2" s="1"/>
      <c r="Y2" s="1"/>
      <c r="Z2" s="3"/>
      <c r="AA2" s="17" t="s">
        <v>35</v>
      </c>
      <c r="AB2" s="17" t="s">
        <v>36</v>
      </c>
      <c r="AC2" s="17" t="s">
        <v>37</v>
      </c>
      <c r="AD2" s="17" t="s">
        <v>38</v>
      </c>
      <c r="AE2" s="17" t="s">
        <v>39</v>
      </c>
      <c r="AF2" s="17" t="s">
        <v>40</v>
      </c>
      <c r="AG2" s="17" t="s">
        <v>41</v>
      </c>
    </row>
    <row r="3" spans="1:33" ht="13.2" x14ac:dyDescent="0.25">
      <c r="A3" s="1"/>
      <c r="B3" s="1"/>
      <c r="C3" s="86">
        <v>1</v>
      </c>
      <c r="D3" s="6">
        <v>2</v>
      </c>
      <c r="E3" s="6">
        <v>3</v>
      </c>
      <c r="F3" s="87">
        <v>5</v>
      </c>
      <c r="G3" s="86">
        <v>8</v>
      </c>
      <c r="H3" s="6">
        <v>9</v>
      </c>
      <c r="I3" s="6">
        <v>10</v>
      </c>
      <c r="J3" s="6">
        <v>11</v>
      </c>
      <c r="K3" s="87">
        <v>12</v>
      </c>
      <c r="L3" s="86">
        <v>15</v>
      </c>
      <c r="M3" s="6">
        <v>16</v>
      </c>
      <c r="N3" s="6">
        <v>17</v>
      </c>
      <c r="O3" s="6">
        <v>18</v>
      </c>
      <c r="P3" s="87">
        <v>19</v>
      </c>
      <c r="Q3" s="86">
        <v>22</v>
      </c>
      <c r="R3" s="6">
        <v>23</v>
      </c>
      <c r="S3" s="6">
        <v>24</v>
      </c>
      <c r="T3" s="6">
        <v>25</v>
      </c>
      <c r="U3" s="87">
        <v>26</v>
      </c>
      <c r="V3" s="86">
        <v>29</v>
      </c>
      <c r="W3" s="87">
        <v>30</v>
      </c>
      <c r="X3" s="2"/>
      <c r="Y3" s="1"/>
      <c r="Z3" s="1"/>
      <c r="AA3" s="46">
        <v>1</v>
      </c>
      <c r="AB3" s="19">
        <v>33463</v>
      </c>
      <c r="AC3" s="80">
        <v>46087</v>
      </c>
      <c r="AD3" s="19">
        <v>745.8</v>
      </c>
      <c r="AE3" s="19" t="s">
        <v>94</v>
      </c>
      <c r="AF3" s="19" t="s">
        <v>71</v>
      </c>
      <c r="AG3" s="111">
        <v>70</v>
      </c>
    </row>
    <row r="4" spans="1:33" ht="13.2" x14ac:dyDescent="0.25">
      <c r="A4" s="1"/>
      <c r="B4" s="13" t="s">
        <v>43</v>
      </c>
      <c r="C4" s="88" t="s">
        <v>44</v>
      </c>
      <c r="D4" s="85" t="s">
        <v>45</v>
      </c>
      <c r="E4" s="85" t="s">
        <v>46</v>
      </c>
      <c r="F4" s="89" t="s">
        <v>46</v>
      </c>
      <c r="G4" s="88" t="s">
        <v>44</v>
      </c>
      <c r="H4" s="85" t="s">
        <v>44</v>
      </c>
      <c r="I4" s="85" t="s">
        <v>45</v>
      </c>
      <c r="J4" s="85" t="s">
        <v>46</v>
      </c>
      <c r="K4" s="89" t="s">
        <v>46</v>
      </c>
      <c r="L4" s="88" t="s">
        <v>44</v>
      </c>
      <c r="M4" s="85" t="s">
        <v>44</v>
      </c>
      <c r="N4" s="85" t="s">
        <v>45</v>
      </c>
      <c r="O4" s="85" t="s">
        <v>46</v>
      </c>
      <c r="P4" s="89" t="s">
        <v>46</v>
      </c>
      <c r="Q4" s="88" t="s">
        <v>44</v>
      </c>
      <c r="R4" s="85" t="s">
        <v>44</v>
      </c>
      <c r="S4" s="85" t="s">
        <v>45</v>
      </c>
      <c r="T4" s="85" t="s">
        <v>46</v>
      </c>
      <c r="U4" s="89" t="s">
        <v>46</v>
      </c>
      <c r="V4" s="88" t="s">
        <v>44</v>
      </c>
      <c r="W4" s="89" t="s">
        <v>44</v>
      </c>
      <c r="X4" s="15" t="s">
        <v>11</v>
      </c>
      <c r="Y4" s="1"/>
      <c r="Z4" s="1"/>
      <c r="AA4" s="46">
        <v>2</v>
      </c>
      <c r="AB4" s="19">
        <v>42936</v>
      </c>
      <c r="AC4" s="80">
        <v>46087</v>
      </c>
      <c r="AD4" s="19">
        <v>183.75</v>
      </c>
      <c r="AE4" s="80" t="s">
        <v>95</v>
      </c>
      <c r="AF4" s="19" t="s">
        <v>71</v>
      </c>
      <c r="AG4" s="111">
        <v>64</v>
      </c>
    </row>
    <row r="5" spans="1:33" ht="13.2" x14ac:dyDescent="0.25">
      <c r="A5" s="1"/>
      <c r="B5" s="14" t="s">
        <v>2</v>
      </c>
      <c r="C5" s="90">
        <v>2</v>
      </c>
      <c r="D5" s="7">
        <v>2</v>
      </c>
      <c r="E5" s="7">
        <v>2</v>
      </c>
      <c r="F5" s="91">
        <v>2</v>
      </c>
      <c r="G5" s="90">
        <v>2</v>
      </c>
      <c r="H5" s="7">
        <v>2</v>
      </c>
      <c r="I5" s="7">
        <v>2</v>
      </c>
      <c r="J5" s="7">
        <v>2</v>
      </c>
      <c r="K5" s="91">
        <v>2</v>
      </c>
      <c r="L5" s="90">
        <v>1</v>
      </c>
      <c r="M5" s="7">
        <v>1</v>
      </c>
      <c r="N5" s="7">
        <v>1</v>
      </c>
      <c r="O5" s="7">
        <v>1</v>
      </c>
      <c r="P5" s="91">
        <v>1</v>
      </c>
      <c r="Q5" s="90">
        <v>1</v>
      </c>
      <c r="R5" s="7">
        <v>1</v>
      </c>
      <c r="S5" s="7">
        <v>1</v>
      </c>
      <c r="T5" s="7">
        <v>1</v>
      </c>
      <c r="U5" s="91">
        <v>1</v>
      </c>
      <c r="V5" s="105">
        <v>1</v>
      </c>
      <c r="W5" s="91">
        <v>1</v>
      </c>
      <c r="X5" s="16">
        <f>SUM(C5:W5)</f>
        <v>30</v>
      </c>
      <c r="Y5" s="1"/>
      <c r="Z5" s="1"/>
      <c r="AA5" s="46">
        <v>3</v>
      </c>
      <c r="AB5" s="19">
        <v>30921</v>
      </c>
      <c r="AC5" s="80">
        <v>46148</v>
      </c>
      <c r="AD5" s="19">
        <v>210.65</v>
      </c>
      <c r="AE5" s="19" t="s">
        <v>67</v>
      </c>
      <c r="AF5" s="19" t="s">
        <v>71</v>
      </c>
      <c r="AG5" s="111">
        <v>79</v>
      </c>
    </row>
    <row r="6" spans="1:33" ht="13.8" thickBot="1" x14ac:dyDescent="0.3">
      <c r="A6" s="1"/>
      <c r="B6" s="14" t="s">
        <v>49</v>
      </c>
      <c r="C6" s="92">
        <v>0</v>
      </c>
      <c r="D6" s="93">
        <v>0</v>
      </c>
      <c r="E6" s="93">
        <v>2</v>
      </c>
      <c r="F6" s="94">
        <v>1</v>
      </c>
      <c r="G6" s="92">
        <v>0</v>
      </c>
      <c r="H6" s="93">
        <v>1</v>
      </c>
      <c r="I6" s="93">
        <v>3</v>
      </c>
      <c r="J6" s="93">
        <v>4</v>
      </c>
      <c r="K6" s="94">
        <v>0</v>
      </c>
      <c r="L6" s="92">
        <v>0</v>
      </c>
      <c r="M6" s="93">
        <v>0</v>
      </c>
      <c r="N6" s="93">
        <v>2</v>
      </c>
      <c r="O6" s="93">
        <v>1</v>
      </c>
      <c r="P6" s="94">
        <v>1</v>
      </c>
      <c r="Q6" s="92">
        <v>1</v>
      </c>
      <c r="R6" s="93">
        <v>1</v>
      </c>
      <c r="S6" s="93">
        <v>1</v>
      </c>
      <c r="T6" s="93">
        <v>3</v>
      </c>
      <c r="U6" s="94">
        <v>2</v>
      </c>
      <c r="V6" s="92"/>
      <c r="W6" s="94">
        <v>1</v>
      </c>
      <c r="X6" s="16">
        <f>SUM(C6:W6)</f>
        <v>24</v>
      </c>
      <c r="Y6" s="79">
        <f>X6-X5</f>
        <v>-6</v>
      </c>
      <c r="Z6" s="1"/>
      <c r="AA6" s="46">
        <v>4</v>
      </c>
      <c r="AB6" s="19">
        <v>12165</v>
      </c>
      <c r="AC6" s="80">
        <v>46271</v>
      </c>
      <c r="AD6" s="19">
        <v>420.18</v>
      </c>
      <c r="AE6" s="80" t="s">
        <v>96</v>
      </c>
      <c r="AF6" s="19" t="s">
        <v>71</v>
      </c>
      <c r="AG6" s="111">
        <v>55</v>
      </c>
    </row>
    <row r="7" spans="1:33" ht="13.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70"/>
      <c r="Z7" s="1"/>
      <c r="AA7" s="46">
        <v>5</v>
      </c>
      <c r="AB7" s="19">
        <v>28192</v>
      </c>
      <c r="AC7" s="80">
        <v>46301</v>
      </c>
      <c r="AD7" s="19">
        <v>264.45</v>
      </c>
      <c r="AE7" s="80">
        <v>46238</v>
      </c>
      <c r="AF7" s="19" t="s">
        <v>71</v>
      </c>
      <c r="AG7" s="111">
        <v>63</v>
      </c>
    </row>
    <row r="8" spans="1:33" ht="13.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46">
        <v>6</v>
      </c>
      <c r="AB8" s="19">
        <v>37151</v>
      </c>
      <c r="AC8" s="80">
        <v>46301</v>
      </c>
      <c r="AD8" s="19">
        <v>411.74</v>
      </c>
      <c r="AE8" s="19" t="s">
        <v>67</v>
      </c>
      <c r="AF8" s="19" t="s">
        <v>71</v>
      </c>
      <c r="AG8" s="111">
        <v>84</v>
      </c>
    </row>
    <row r="9" spans="1:33" ht="13.2" x14ac:dyDescent="0.25">
      <c r="A9" s="1"/>
      <c r="B9" s="4" t="s">
        <v>54</v>
      </c>
      <c r="C9" s="86">
        <v>1</v>
      </c>
      <c r="D9" s="6">
        <v>2</v>
      </c>
      <c r="E9" s="6">
        <v>3</v>
      </c>
      <c r="F9" s="87">
        <v>5</v>
      </c>
      <c r="G9" s="86">
        <v>8</v>
      </c>
      <c r="H9" s="6">
        <v>9</v>
      </c>
      <c r="I9" s="6">
        <v>10</v>
      </c>
      <c r="J9" s="6">
        <v>11</v>
      </c>
      <c r="K9" s="87">
        <v>12</v>
      </c>
      <c r="L9" s="86">
        <v>15</v>
      </c>
      <c r="M9" s="6">
        <v>16</v>
      </c>
      <c r="N9" s="6">
        <v>17</v>
      </c>
      <c r="O9" s="6">
        <v>18</v>
      </c>
      <c r="P9" s="87">
        <v>19</v>
      </c>
      <c r="Q9" s="86">
        <v>22</v>
      </c>
      <c r="R9" s="6">
        <v>23</v>
      </c>
      <c r="S9" s="6">
        <v>24</v>
      </c>
      <c r="T9" s="6">
        <v>25</v>
      </c>
      <c r="U9" s="87">
        <v>26</v>
      </c>
      <c r="V9" s="86">
        <v>29</v>
      </c>
      <c r="W9" s="87">
        <v>30</v>
      </c>
      <c r="X9" s="1"/>
      <c r="Y9" s="1"/>
      <c r="Z9" s="1"/>
      <c r="AA9" s="46">
        <v>7</v>
      </c>
      <c r="AB9" s="19">
        <v>44572</v>
      </c>
      <c r="AC9" s="80">
        <v>46301</v>
      </c>
      <c r="AD9" s="19">
        <v>391.55</v>
      </c>
      <c r="AE9" s="80" t="s">
        <v>97</v>
      </c>
      <c r="AF9" s="19" t="s">
        <v>71</v>
      </c>
      <c r="AG9" s="111">
        <v>80</v>
      </c>
    </row>
    <row r="10" spans="1:33" ht="13.2" x14ac:dyDescent="0.25">
      <c r="A10" s="1"/>
      <c r="B10" s="85" t="s">
        <v>16</v>
      </c>
      <c r="C10" s="7">
        <v>50</v>
      </c>
      <c r="D10" s="7"/>
      <c r="E10" s="7">
        <v>50</v>
      </c>
      <c r="F10" s="8">
        <v>26</v>
      </c>
      <c r="G10" s="8">
        <v>26</v>
      </c>
      <c r="H10" s="7">
        <v>2</v>
      </c>
      <c r="I10" s="7">
        <v>0</v>
      </c>
      <c r="J10" s="7">
        <v>0</v>
      </c>
      <c r="K10" s="7"/>
      <c r="L10" s="7">
        <v>0</v>
      </c>
      <c r="M10" s="7">
        <v>10</v>
      </c>
      <c r="N10" s="7">
        <v>9</v>
      </c>
      <c r="O10" s="7"/>
      <c r="P10" s="7">
        <v>0</v>
      </c>
      <c r="Q10" s="7">
        <v>0</v>
      </c>
      <c r="R10" s="77">
        <v>14</v>
      </c>
      <c r="S10" s="21">
        <v>11</v>
      </c>
      <c r="T10" s="78">
        <v>0</v>
      </c>
      <c r="U10" s="104"/>
      <c r="V10" s="7"/>
      <c r="W10" s="7"/>
      <c r="X10" s="1"/>
      <c r="Y10" s="1"/>
      <c r="Z10" s="1"/>
      <c r="AA10" s="46">
        <v>8</v>
      </c>
      <c r="AB10" s="19">
        <v>601</v>
      </c>
      <c r="AC10" s="80">
        <v>46332</v>
      </c>
      <c r="AD10" s="19">
        <v>819.5</v>
      </c>
      <c r="AE10" s="80">
        <v>46238</v>
      </c>
      <c r="AF10" s="19" t="s">
        <v>71</v>
      </c>
      <c r="AG10" s="111">
        <v>64</v>
      </c>
    </row>
    <row r="11" spans="1:33" ht="13.2" x14ac:dyDescent="0.25">
      <c r="A11" s="1"/>
      <c r="B11" s="85" t="s">
        <v>17</v>
      </c>
      <c r="C11" s="7">
        <v>14</v>
      </c>
      <c r="D11" s="7"/>
      <c r="E11" s="7">
        <v>14</v>
      </c>
      <c r="F11" s="8">
        <v>7</v>
      </c>
      <c r="G11" s="8">
        <v>4</v>
      </c>
      <c r="H11" s="7">
        <v>0</v>
      </c>
      <c r="I11" s="7">
        <v>0</v>
      </c>
      <c r="J11" s="7">
        <v>0</v>
      </c>
      <c r="K11" s="7"/>
      <c r="L11" s="7">
        <v>0</v>
      </c>
      <c r="M11" s="7">
        <v>0</v>
      </c>
      <c r="N11" s="7">
        <v>0</v>
      </c>
      <c r="O11" s="7"/>
      <c r="P11" s="7">
        <v>0</v>
      </c>
      <c r="Q11" s="7">
        <v>0</v>
      </c>
      <c r="R11" s="77">
        <v>0</v>
      </c>
      <c r="S11" s="21">
        <v>0</v>
      </c>
      <c r="T11" s="78">
        <v>0</v>
      </c>
      <c r="U11" s="104"/>
      <c r="V11" s="7"/>
      <c r="W11" s="7"/>
      <c r="X11" s="1"/>
      <c r="Y11" s="1"/>
      <c r="Z11" s="1"/>
      <c r="AA11" s="46">
        <v>9</v>
      </c>
      <c r="AB11" s="19">
        <v>32604</v>
      </c>
      <c r="AC11" s="80">
        <v>46332</v>
      </c>
      <c r="AD11" s="19">
        <v>183.35</v>
      </c>
      <c r="AE11" s="80" t="s">
        <v>98</v>
      </c>
      <c r="AF11" s="19" t="s">
        <v>71</v>
      </c>
      <c r="AG11" s="111">
        <v>72</v>
      </c>
    </row>
    <row r="12" spans="1:33" ht="13.2" x14ac:dyDescent="0.25">
      <c r="A12" s="1"/>
      <c r="B12" s="85" t="s">
        <v>18</v>
      </c>
      <c r="C12" s="7">
        <v>0</v>
      </c>
      <c r="D12" s="7"/>
      <c r="E12" s="7">
        <v>0</v>
      </c>
      <c r="F12" s="8">
        <v>0</v>
      </c>
      <c r="G12" s="8">
        <v>0</v>
      </c>
      <c r="H12" s="7">
        <v>1</v>
      </c>
      <c r="I12" s="7">
        <v>0</v>
      </c>
      <c r="J12" s="7">
        <v>0</v>
      </c>
      <c r="K12" s="7"/>
      <c r="L12" s="7">
        <v>0</v>
      </c>
      <c r="M12" s="7">
        <v>0</v>
      </c>
      <c r="N12" s="7">
        <v>0</v>
      </c>
      <c r="O12" s="7"/>
      <c r="P12" s="7">
        <v>0</v>
      </c>
      <c r="Q12" s="7">
        <v>0</v>
      </c>
      <c r="R12" s="77">
        <v>0</v>
      </c>
      <c r="S12" s="21">
        <v>0</v>
      </c>
      <c r="T12" s="78">
        <v>0</v>
      </c>
      <c r="U12" s="104"/>
      <c r="V12" s="7"/>
      <c r="W12" s="7"/>
      <c r="X12" s="1"/>
      <c r="Y12" s="1"/>
      <c r="Z12" s="1"/>
      <c r="AA12" s="46">
        <v>10</v>
      </c>
      <c r="AB12" s="19">
        <v>30889</v>
      </c>
      <c r="AC12" s="80">
        <v>46332</v>
      </c>
      <c r="AD12" s="19">
        <v>994.8</v>
      </c>
      <c r="AE12" s="80" t="s">
        <v>90</v>
      </c>
      <c r="AF12" s="19" t="s">
        <v>71</v>
      </c>
      <c r="AG12" s="111">
        <v>48</v>
      </c>
    </row>
    <row r="13" spans="1:33" ht="13.2" x14ac:dyDescent="0.25">
      <c r="A13" s="1"/>
      <c r="B13" s="85" t="s">
        <v>20</v>
      </c>
      <c r="C13" s="7">
        <v>0</v>
      </c>
      <c r="D13" s="7"/>
      <c r="E13" s="7">
        <v>0</v>
      </c>
      <c r="F13" s="8">
        <v>0</v>
      </c>
      <c r="G13" s="8">
        <v>0</v>
      </c>
      <c r="H13" s="7">
        <v>0</v>
      </c>
      <c r="I13" s="7">
        <v>0</v>
      </c>
      <c r="J13" s="7">
        <v>0</v>
      </c>
      <c r="K13" s="7"/>
      <c r="L13" s="7">
        <v>0</v>
      </c>
      <c r="M13" s="7">
        <v>0</v>
      </c>
      <c r="N13" s="7">
        <v>0</v>
      </c>
      <c r="O13" s="7"/>
      <c r="P13" s="7">
        <v>0</v>
      </c>
      <c r="Q13" s="7">
        <v>0</v>
      </c>
      <c r="R13" s="77">
        <v>0</v>
      </c>
      <c r="S13" s="21">
        <v>0</v>
      </c>
      <c r="T13" s="78">
        <v>0</v>
      </c>
      <c r="U13" s="104"/>
      <c r="V13" s="7"/>
      <c r="W13" s="7"/>
      <c r="X13" s="1"/>
      <c r="Y13" s="1"/>
      <c r="Z13" s="1"/>
      <c r="AA13" s="46">
        <v>11</v>
      </c>
      <c r="AB13" s="19">
        <v>20583</v>
      </c>
      <c r="AC13" s="80">
        <v>46332</v>
      </c>
      <c r="AD13" s="19">
        <v>1658</v>
      </c>
      <c r="AE13" s="80" t="s">
        <v>99</v>
      </c>
      <c r="AF13" s="19" t="s">
        <v>71</v>
      </c>
      <c r="AG13" s="111">
        <v>57</v>
      </c>
    </row>
    <row r="14" spans="1:33" ht="13.2" x14ac:dyDescent="0.25">
      <c r="A14" s="1"/>
      <c r="B14" s="85" t="s">
        <v>61</v>
      </c>
      <c r="C14" s="7">
        <v>147</v>
      </c>
      <c r="D14" s="7"/>
      <c r="E14" s="7">
        <v>120</v>
      </c>
      <c r="F14" s="8">
        <v>141</v>
      </c>
      <c r="G14" s="8">
        <v>143</v>
      </c>
      <c r="H14" s="11">
        <v>169</v>
      </c>
      <c r="I14" s="7">
        <v>169</v>
      </c>
      <c r="J14" s="7">
        <v>167</v>
      </c>
      <c r="K14" s="7"/>
      <c r="L14" s="11">
        <v>169</v>
      </c>
      <c r="M14" s="7">
        <v>170</v>
      </c>
      <c r="N14" s="7">
        <v>167</v>
      </c>
      <c r="O14" s="7"/>
      <c r="P14" s="7">
        <v>177</v>
      </c>
      <c r="Q14" s="7">
        <v>173</v>
      </c>
      <c r="R14" s="77">
        <v>179</v>
      </c>
      <c r="S14" s="21">
        <v>187</v>
      </c>
      <c r="T14" s="78">
        <v>193</v>
      </c>
      <c r="U14" s="46"/>
      <c r="V14" s="7"/>
      <c r="W14" s="7"/>
      <c r="X14" s="1"/>
      <c r="Y14" s="1"/>
      <c r="Z14" s="1"/>
      <c r="AA14" s="46">
        <v>12</v>
      </c>
      <c r="AB14" s="19">
        <v>21387</v>
      </c>
      <c r="AC14" s="80" t="s">
        <v>100</v>
      </c>
      <c r="AD14" s="19">
        <v>239.95</v>
      </c>
      <c r="AE14" s="80" t="s">
        <v>101</v>
      </c>
      <c r="AF14" s="19" t="s">
        <v>71</v>
      </c>
      <c r="AG14" s="111">
        <v>56</v>
      </c>
    </row>
    <row r="15" spans="1:33" ht="13.2" x14ac:dyDescent="0.25">
      <c r="A15" s="1"/>
      <c r="B15" s="85" t="s">
        <v>63</v>
      </c>
      <c r="C15" s="7">
        <v>47</v>
      </c>
      <c r="D15" s="7"/>
      <c r="E15" s="7">
        <v>45</v>
      </c>
      <c r="F15" s="8">
        <v>49</v>
      </c>
      <c r="G15" s="8">
        <v>49</v>
      </c>
      <c r="H15" s="7">
        <v>63</v>
      </c>
      <c r="I15" s="7">
        <v>62</v>
      </c>
      <c r="J15" s="7">
        <v>62</v>
      </c>
      <c r="K15" s="7"/>
      <c r="L15" s="11">
        <v>62</v>
      </c>
      <c r="M15" s="7">
        <v>65</v>
      </c>
      <c r="N15" s="7">
        <v>66</v>
      </c>
      <c r="O15" s="7"/>
      <c r="P15" s="7">
        <v>68</v>
      </c>
      <c r="Q15" s="7">
        <v>68</v>
      </c>
      <c r="R15" s="77">
        <v>70</v>
      </c>
      <c r="S15" s="21">
        <v>69</v>
      </c>
      <c r="T15" s="78">
        <v>69</v>
      </c>
      <c r="U15" s="81"/>
      <c r="V15" s="7"/>
      <c r="W15" s="7"/>
      <c r="X15" s="1"/>
      <c r="Y15" s="1"/>
      <c r="Z15" s="1"/>
      <c r="AA15" s="114">
        <v>13</v>
      </c>
      <c r="AB15" s="112">
        <v>35547</v>
      </c>
      <c r="AC15" s="113" t="s">
        <v>100</v>
      </c>
      <c r="AD15" s="112">
        <v>207.34</v>
      </c>
      <c r="AE15" s="113" t="s">
        <v>102</v>
      </c>
      <c r="AF15" s="112" t="s">
        <v>71</v>
      </c>
      <c r="AG15" s="112">
        <v>145</v>
      </c>
    </row>
    <row r="16" spans="1:33" ht="13.2" x14ac:dyDescent="0.25">
      <c r="A16" s="1"/>
      <c r="B16" s="85" t="s">
        <v>24</v>
      </c>
      <c r="C16" s="7">
        <v>0</v>
      </c>
      <c r="D16" s="7"/>
      <c r="E16" s="7">
        <v>0</v>
      </c>
      <c r="F16" s="8">
        <v>1</v>
      </c>
      <c r="G16" s="8">
        <v>1</v>
      </c>
      <c r="H16" s="7">
        <v>4</v>
      </c>
      <c r="I16" s="7">
        <v>4</v>
      </c>
      <c r="J16" s="7">
        <v>4</v>
      </c>
      <c r="K16" s="7"/>
      <c r="L16" s="11">
        <v>5</v>
      </c>
      <c r="M16" s="7">
        <v>6</v>
      </c>
      <c r="N16" s="7">
        <v>6</v>
      </c>
      <c r="O16" s="7"/>
      <c r="P16" s="7">
        <v>6</v>
      </c>
      <c r="Q16" s="7">
        <v>5</v>
      </c>
      <c r="R16" s="77">
        <v>6</v>
      </c>
      <c r="S16" s="21">
        <v>6</v>
      </c>
      <c r="T16" s="78">
        <v>6</v>
      </c>
      <c r="U16" s="46"/>
      <c r="V16" s="7"/>
      <c r="W16" s="7"/>
      <c r="X16" s="1"/>
      <c r="Y16" s="1"/>
      <c r="Z16" s="1"/>
      <c r="AA16" s="46">
        <v>14</v>
      </c>
      <c r="AB16" s="19">
        <v>42774</v>
      </c>
      <c r="AC16" s="80" t="s">
        <v>77</v>
      </c>
      <c r="AD16" s="19">
        <v>829</v>
      </c>
      <c r="AE16" s="80">
        <v>46057</v>
      </c>
      <c r="AF16" s="19" t="s">
        <v>103</v>
      </c>
      <c r="AG16" s="111">
        <v>77</v>
      </c>
    </row>
    <row r="17" spans="1:33" ht="13.2" x14ac:dyDescent="0.25">
      <c r="A17" s="1"/>
      <c r="B17" s="85" t="s">
        <v>25</v>
      </c>
      <c r="C17" s="7">
        <v>0</v>
      </c>
      <c r="D17" s="7"/>
      <c r="E17" s="7">
        <v>0</v>
      </c>
      <c r="F17" s="8">
        <v>0</v>
      </c>
      <c r="G17" s="8">
        <v>0</v>
      </c>
      <c r="H17" s="7">
        <v>0</v>
      </c>
      <c r="I17" s="7">
        <v>0</v>
      </c>
      <c r="J17" s="7">
        <v>1</v>
      </c>
      <c r="K17" s="7"/>
      <c r="L17" s="11">
        <v>1</v>
      </c>
      <c r="M17" s="7">
        <v>2</v>
      </c>
      <c r="N17" s="7">
        <v>2</v>
      </c>
      <c r="O17" s="7"/>
      <c r="P17" s="7">
        <v>2</v>
      </c>
      <c r="Q17" s="7">
        <v>2</v>
      </c>
      <c r="R17" s="77">
        <v>2</v>
      </c>
      <c r="S17" s="21">
        <v>2</v>
      </c>
      <c r="T17" s="78">
        <v>2</v>
      </c>
      <c r="U17" s="46"/>
      <c r="V17" s="7"/>
      <c r="W17" s="7"/>
      <c r="X17" s="1"/>
      <c r="Y17" s="1"/>
      <c r="Z17" s="1"/>
      <c r="AA17" s="46">
        <v>15</v>
      </c>
      <c r="AB17" s="19">
        <v>38903</v>
      </c>
      <c r="AC17" s="80" t="s">
        <v>82</v>
      </c>
      <c r="AD17" s="19">
        <v>617</v>
      </c>
      <c r="AE17" s="80">
        <v>46269</v>
      </c>
      <c r="AF17" s="19" t="s">
        <v>71</v>
      </c>
      <c r="AG17" s="111">
        <v>71</v>
      </c>
    </row>
    <row r="18" spans="1:33" ht="13.2" x14ac:dyDescent="0.25">
      <c r="A18" s="1"/>
      <c r="B18" s="85" t="s">
        <v>26</v>
      </c>
      <c r="C18" s="7">
        <v>0</v>
      </c>
      <c r="D18" s="7"/>
      <c r="E18" s="7">
        <v>8</v>
      </c>
      <c r="F18" s="8">
        <v>8</v>
      </c>
      <c r="G18" s="8">
        <v>8</v>
      </c>
      <c r="H18" s="7">
        <v>8</v>
      </c>
      <c r="I18" s="7">
        <v>8</v>
      </c>
      <c r="J18" s="7">
        <v>9</v>
      </c>
      <c r="K18" s="7"/>
      <c r="L18" s="11">
        <v>9</v>
      </c>
      <c r="M18" s="7">
        <v>10</v>
      </c>
      <c r="N18" s="7">
        <v>11</v>
      </c>
      <c r="O18" s="7"/>
      <c r="P18" s="7">
        <v>11</v>
      </c>
      <c r="Q18" s="7">
        <v>13</v>
      </c>
      <c r="R18" s="7">
        <v>13</v>
      </c>
      <c r="S18" s="21">
        <v>13</v>
      </c>
      <c r="T18" s="78">
        <v>13</v>
      </c>
      <c r="U18" s="46"/>
      <c r="V18" s="7"/>
      <c r="W18" s="7"/>
      <c r="X18" s="1"/>
      <c r="Y18" s="1"/>
      <c r="Z18" s="1"/>
      <c r="AA18" s="114">
        <v>16</v>
      </c>
      <c r="AB18" s="112">
        <v>10376</v>
      </c>
      <c r="AC18" s="113" t="s">
        <v>104</v>
      </c>
      <c r="AD18" s="112">
        <v>892.99</v>
      </c>
      <c r="AE18" s="113">
        <v>45756</v>
      </c>
      <c r="AF18" s="112" t="s">
        <v>10</v>
      </c>
      <c r="AG18" s="112">
        <v>291</v>
      </c>
    </row>
    <row r="19" spans="1:33" ht="13.2" x14ac:dyDescent="0.25">
      <c r="A19" s="1"/>
      <c r="B19" s="85" t="s">
        <v>27</v>
      </c>
      <c r="C19" s="7">
        <v>0</v>
      </c>
      <c r="D19" s="7"/>
      <c r="E19" s="7">
        <v>1</v>
      </c>
      <c r="F19" s="8">
        <v>7</v>
      </c>
      <c r="G19" s="8">
        <v>7</v>
      </c>
      <c r="H19" s="7">
        <v>9</v>
      </c>
      <c r="I19" s="7">
        <v>10</v>
      </c>
      <c r="J19" s="7">
        <v>10</v>
      </c>
      <c r="K19" s="7"/>
      <c r="L19" s="11">
        <v>10</v>
      </c>
      <c r="M19" s="7">
        <v>12</v>
      </c>
      <c r="N19" s="7">
        <v>13</v>
      </c>
      <c r="O19" s="7"/>
      <c r="P19" s="7">
        <v>13</v>
      </c>
      <c r="Q19" s="7">
        <v>13</v>
      </c>
      <c r="R19" s="77">
        <v>14</v>
      </c>
      <c r="S19" s="21">
        <v>14</v>
      </c>
      <c r="T19" s="78">
        <v>15</v>
      </c>
      <c r="U19" s="46"/>
      <c r="V19" s="7"/>
      <c r="W19" s="7"/>
      <c r="X19" s="1"/>
      <c r="Y19" s="1"/>
      <c r="Z19" s="1"/>
      <c r="AA19" s="46">
        <v>17</v>
      </c>
      <c r="AB19" s="19">
        <v>41363</v>
      </c>
      <c r="AC19" s="80" t="s">
        <v>105</v>
      </c>
      <c r="AD19" s="19">
        <v>536.6</v>
      </c>
      <c r="AE19" s="80" t="s">
        <v>73</v>
      </c>
      <c r="AF19" s="19" t="s">
        <v>71</v>
      </c>
      <c r="AG19" s="111">
        <v>61</v>
      </c>
    </row>
    <row r="20" spans="1:33" ht="13.2" x14ac:dyDescent="0.25">
      <c r="A20" s="1"/>
      <c r="B20" s="85" t="s">
        <v>28</v>
      </c>
      <c r="C20" s="7">
        <v>0</v>
      </c>
      <c r="D20" s="7"/>
      <c r="E20" s="7">
        <v>1</v>
      </c>
      <c r="F20" s="8">
        <v>2</v>
      </c>
      <c r="G20" s="8">
        <v>2</v>
      </c>
      <c r="H20" s="7">
        <v>3</v>
      </c>
      <c r="I20" s="7">
        <v>3</v>
      </c>
      <c r="J20" s="7">
        <v>3</v>
      </c>
      <c r="K20" s="7"/>
      <c r="L20" s="11">
        <v>3</v>
      </c>
      <c r="M20" s="7">
        <v>3</v>
      </c>
      <c r="N20" s="7">
        <v>3</v>
      </c>
      <c r="O20" s="7"/>
      <c r="P20" s="7">
        <v>3</v>
      </c>
      <c r="Q20" s="7">
        <v>3</v>
      </c>
      <c r="R20" s="77">
        <v>3</v>
      </c>
      <c r="S20" s="21">
        <v>3</v>
      </c>
      <c r="T20" s="78">
        <v>4</v>
      </c>
      <c r="U20" s="46"/>
      <c r="V20" s="7"/>
      <c r="W20" s="7"/>
      <c r="X20" s="1"/>
      <c r="Y20" s="1"/>
      <c r="Z20" s="1"/>
      <c r="AA20" s="46">
        <v>18</v>
      </c>
      <c r="AB20" s="19">
        <v>40966</v>
      </c>
      <c r="AC20" s="80" t="s">
        <v>85</v>
      </c>
      <c r="AD20" s="19">
        <v>497.4</v>
      </c>
      <c r="AE20" s="80">
        <v>46239</v>
      </c>
      <c r="AF20" s="19" t="s">
        <v>71</v>
      </c>
      <c r="AG20" s="111">
        <v>47</v>
      </c>
    </row>
    <row r="21" spans="1:33" ht="13.2" x14ac:dyDescent="0.25">
      <c r="A21" s="1"/>
      <c r="B21" s="4" t="s">
        <v>11</v>
      </c>
      <c r="C21" s="4">
        <f>SUM(C10:C20)</f>
        <v>258</v>
      </c>
      <c r="D21" s="4">
        <f>SUM(D10:D17)</f>
        <v>0</v>
      </c>
      <c r="E21" s="4">
        <f>SUM(E10:E20)</f>
        <v>239</v>
      </c>
      <c r="F21" s="4">
        <f>SUM(F10:F20)</f>
        <v>241</v>
      </c>
      <c r="G21" s="4">
        <f t="shared" ref="G21:W21" si="0">SUM(G10:G20)</f>
        <v>240</v>
      </c>
      <c r="H21" s="4">
        <f t="shared" si="0"/>
        <v>259</v>
      </c>
      <c r="I21" s="4">
        <f t="shared" si="0"/>
        <v>256</v>
      </c>
      <c r="J21" s="4">
        <f t="shared" si="0"/>
        <v>256</v>
      </c>
      <c r="K21" s="4">
        <f t="shared" si="0"/>
        <v>0</v>
      </c>
      <c r="L21" s="4">
        <f t="shared" si="0"/>
        <v>259</v>
      </c>
      <c r="M21" s="4">
        <f t="shared" si="0"/>
        <v>278</v>
      </c>
      <c r="N21" s="4">
        <f t="shared" si="0"/>
        <v>277</v>
      </c>
      <c r="O21" s="4">
        <f t="shared" si="0"/>
        <v>0</v>
      </c>
      <c r="P21" s="4">
        <f t="shared" si="0"/>
        <v>280</v>
      </c>
      <c r="Q21" s="4">
        <f t="shared" si="0"/>
        <v>277</v>
      </c>
      <c r="R21" s="4">
        <f t="shared" si="0"/>
        <v>301</v>
      </c>
      <c r="S21" s="4">
        <f t="shared" si="0"/>
        <v>305</v>
      </c>
      <c r="T21" s="4">
        <f t="shared" si="0"/>
        <v>302</v>
      </c>
      <c r="U21" s="4">
        <f t="shared" si="0"/>
        <v>0</v>
      </c>
      <c r="V21" s="4">
        <f t="shared" si="0"/>
        <v>0</v>
      </c>
      <c r="W21" s="4">
        <f t="shared" si="0"/>
        <v>0</v>
      </c>
      <c r="X21" s="1"/>
      <c r="Y21" s="1"/>
      <c r="Z21" s="1"/>
      <c r="AA21" s="46">
        <v>19</v>
      </c>
      <c r="AB21" s="19">
        <v>33732</v>
      </c>
      <c r="AC21" s="80" t="s">
        <v>86</v>
      </c>
      <c r="AD21" s="19">
        <v>587.41</v>
      </c>
      <c r="AE21" s="80" t="s">
        <v>73</v>
      </c>
      <c r="AF21" s="19" t="s">
        <v>71</v>
      </c>
      <c r="AG21" s="111">
        <v>63</v>
      </c>
    </row>
    <row r="22" spans="1:33" ht="13.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46">
        <v>20</v>
      </c>
      <c r="AB22" s="19">
        <v>43985</v>
      </c>
      <c r="AC22" s="80" t="s">
        <v>86</v>
      </c>
      <c r="AD22" s="19">
        <v>331.04</v>
      </c>
      <c r="AE22" s="80">
        <v>46208</v>
      </c>
      <c r="AF22" s="19" t="s">
        <v>71</v>
      </c>
      <c r="AG22" s="111">
        <v>49</v>
      </c>
    </row>
    <row r="23" spans="1:33" ht="13.2" x14ac:dyDescent="0.25">
      <c r="A23" s="1"/>
      <c r="B23" s="22" t="s">
        <v>64</v>
      </c>
      <c r="C23" s="86">
        <v>1</v>
      </c>
      <c r="D23" s="6">
        <v>2</v>
      </c>
      <c r="E23" s="6">
        <v>3</v>
      </c>
      <c r="F23" s="87">
        <v>5</v>
      </c>
      <c r="G23" s="86">
        <v>8</v>
      </c>
      <c r="H23" s="6">
        <v>9</v>
      </c>
      <c r="I23" s="6">
        <v>10</v>
      </c>
      <c r="J23" s="6">
        <v>11</v>
      </c>
      <c r="K23" s="87">
        <v>12</v>
      </c>
      <c r="L23" s="86">
        <v>15</v>
      </c>
      <c r="M23" s="6">
        <v>16</v>
      </c>
      <c r="N23" s="6">
        <v>17</v>
      </c>
      <c r="O23" s="6">
        <v>18</v>
      </c>
      <c r="P23" s="87">
        <v>19</v>
      </c>
      <c r="Q23" s="86">
        <v>22</v>
      </c>
      <c r="R23" s="6">
        <v>23</v>
      </c>
      <c r="S23" s="6">
        <v>24</v>
      </c>
      <c r="T23" s="6">
        <v>25</v>
      </c>
      <c r="U23" s="87">
        <v>26</v>
      </c>
      <c r="V23" s="86">
        <v>29</v>
      </c>
      <c r="W23" s="87">
        <v>30</v>
      </c>
      <c r="X23" s="23" t="s">
        <v>11</v>
      </c>
      <c r="Y23" s="1"/>
      <c r="Z23" s="1"/>
      <c r="AA23" s="114">
        <v>21</v>
      </c>
      <c r="AB23" s="112">
        <v>26794</v>
      </c>
      <c r="AC23" s="113" t="s">
        <v>106</v>
      </c>
      <c r="AD23" s="112">
        <v>631.20000000000005</v>
      </c>
      <c r="AE23" s="113">
        <v>44866</v>
      </c>
      <c r="AF23" s="112" t="s">
        <v>93</v>
      </c>
      <c r="AG23" s="112">
        <v>1626</v>
      </c>
    </row>
    <row r="24" spans="1:33" ht="13.2" x14ac:dyDescent="0.25">
      <c r="A24" s="1"/>
      <c r="B24" s="21" t="s">
        <v>2</v>
      </c>
      <c r="C24" s="46">
        <v>17</v>
      </c>
      <c r="D24" s="46">
        <v>17</v>
      </c>
      <c r="E24" s="46">
        <v>17</v>
      </c>
      <c r="F24" s="46">
        <v>17</v>
      </c>
      <c r="G24" s="46">
        <v>17</v>
      </c>
      <c r="H24" s="46">
        <v>17</v>
      </c>
      <c r="I24" s="46">
        <v>17</v>
      </c>
      <c r="J24" s="46">
        <v>17</v>
      </c>
      <c r="K24" s="46">
        <v>17</v>
      </c>
      <c r="L24" s="46">
        <v>17</v>
      </c>
      <c r="M24" s="46">
        <v>17</v>
      </c>
      <c r="N24" s="46">
        <v>17</v>
      </c>
      <c r="O24" s="46">
        <v>17</v>
      </c>
      <c r="P24" s="46">
        <v>17</v>
      </c>
      <c r="Q24" s="46">
        <v>17</v>
      </c>
      <c r="R24" s="46">
        <v>17</v>
      </c>
      <c r="S24" s="46">
        <v>17</v>
      </c>
      <c r="T24" s="46">
        <v>16</v>
      </c>
      <c r="U24" s="46">
        <v>15</v>
      </c>
      <c r="V24" s="46">
        <v>15</v>
      </c>
      <c r="W24" s="46">
        <v>15</v>
      </c>
      <c r="X24" s="21">
        <f>SUM(C24:W24)</f>
        <v>350</v>
      </c>
      <c r="Y24" s="1"/>
      <c r="Z24" s="1"/>
      <c r="AA24" s="114">
        <v>22</v>
      </c>
      <c r="AB24" s="112">
        <v>41617</v>
      </c>
      <c r="AC24" s="113" t="s">
        <v>60</v>
      </c>
      <c r="AD24" s="112">
        <v>4653.17</v>
      </c>
      <c r="AE24" s="113" t="s">
        <v>107</v>
      </c>
      <c r="AF24" s="112" t="s">
        <v>71</v>
      </c>
      <c r="AG24" s="112">
        <v>42</v>
      </c>
    </row>
    <row r="25" spans="1:33" ht="13.2" x14ac:dyDescent="0.25">
      <c r="A25" s="1"/>
      <c r="B25" s="21" t="s">
        <v>65</v>
      </c>
      <c r="C25" s="46">
        <v>0</v>
      </c>
      <c r="D25" s="46">
        <v>0</v>
      </c>
      <c r="E25" s="46">
        <v>0</v>
      </c>
      <c r="F25" s="46">
        <v>30</v>
      </c>
      <c r="G25" s="46">
        <v>30</v>
      </c>
      <c r="H25" s="46">
        <v>25</v>
      </c>
      <c r="I25" s="46">
        <v>13</v>
      </c>
      <c r="J25" s="46">
        <v>20</v>
      </c>
      <c r="K25" s="46">
        <v>41</v>
      </c>
      <c r="L25" s="46">
        <v>24</v>
      </c>
      <c r="M25" s="46">
        <v>23</v>
      </c>
      <c r="N25" s="46">
        <v>21</v>
      </c>
      <c r="O25" s="46">
        <v>18</v>
      </c>
      <c r="P25" s="46">
        <v>20</v>
      </c>
      <c r="Q25" s="46">
        <v>24</v>
      </c>
      <c r="R25" s="46">
        <v>24</v>
      </c>
      <c r="S25" s="46">
        <v>24</v>
      </c>
      <c r="T25" s="46">
        <v>19</v>
      </c>
      <c r="U25" s="46">
        <v>0</v>
      </c>
      <c r="V25" s="46"/>
      <c r="W25" s="46"/>
      <c r="X25" s="21">
        <f>SUM(C25:W25)</f>
        <v>356</v>
      </c>
      <c r="Y25" s="79">
        <f>X25-X24</f>
        <v>6</v>
      </c>
      <c r="Z25" s="1"/>
      <c r="AA25" s="46">
        <v>23</v>
      </c>
      <c r="AB25" s="19">
        <v>20012</v>
      </c>
      <c r="AC25" s="80" t="s">
        <v>60</v>
      </c>
      <c r="AD25" s="19">
        <v>173</v>
      </c>
      <c r="AE25" s="80" t="s">
        <v>51</v>
      </c>
      <c r="AF25" s="19" t="s">
        <v>71</v>
      </c>
      <c r="AG25" s="111">
        <v>70</v>
      </c>
    </row>
    <row r="26" spans="1:33" ht="13.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Y26" s="1"/>
      <c r="Z26" s="1"/>
      <c r="AA26" s="46">
        <v>24</v>
      </c>
      <c r="AB26" s="19">
        <v>31923</v>
      </c>
      <c r="AC26" s="80" t="s">
        <v>108</v>
      </c>
      <c r="AD26" s="19">
        <v>714.78</v>
      </c>
      <c r="AE26" s="80">
        <v>46147</v>
      </c>
      <c r="AF26" s="19" t="s">
        <v>71</v>
      </c>
      <c r="AG26" s="111">
        <v>56</v>
      </c>
    </row>
    <row r="27" spans="1:33" ht="13.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46"/>
      <c r="AB27" s="19"/>
      <c r="AC27" s="80"/>
      <c r="AD27" s="19"/>
      <c r="AE27" s="80"/>
      <c r="AF27" s="19"/>
      <c r="AG27" s="111"/>
    </row>
    <row r="28" spans="1:33" ht="13.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46"/>
      <c r="AB28" s="19"/>
      <c r="AC28" s="80"/>
      <c r="AD28" s="19"/>
      <c r="AE28" s="80"/>
      <c r="AF28" s="19"/>
      <c r="AG28" s="111"/>
    </row>
    <row r="29" spans="1:33" ht="13.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3" ht="13.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3" ht="13.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D31" s="18"/>
    </row>
    <row r="32" spans="1:33" ht="13.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2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2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2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2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2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2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2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2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2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2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2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2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2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2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2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2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2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2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2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2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2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2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2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2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2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2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2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2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2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2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2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2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2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2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2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2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2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2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2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2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2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2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2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2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2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2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2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2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2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2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2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2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2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2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2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2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2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2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2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2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2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2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2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2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2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2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2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2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2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2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2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2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2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2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2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2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2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2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2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2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2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2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2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2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2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2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2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2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2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2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2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2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2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2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</sheetData>
  <autoFilter ref="AA2:AG2" xr:uid="{852A423B-0350-4096-8FA9-3F65019560E7}">
    <sortState xmlns:xlrd2="http://schemas.microsoft.com/office/spreadsheetml/2017/richdata2" ref="AA3:AG26">
      <sortCondition ref="AC2"/>
    </sortState>
  </autoFilter>
  <mergeCells count="5"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EAFD5-4A59-419D-BEC5-C68D6BB30D6D}">
  <sheetPr>
    <tabColor theme="7"/>
    <outlinePr summaryBelow="0" summaryRight="0"/>
  </sheetPr>
  <dimension ref="A1:AG963"/>
  <sheetViews>
    <sheetView showGridLines="0" topLeftCell="L1" zoomScaleNormal="100" workbookViewId="0">
      <selection activeCell="AD21" sqref="AD21"/>
    </sheetView>
  </sheetViews>
  <sheetFormatPr defaultColWidth="12.6640625" defaultRowHeight="15.75" customHeight="1" x14ac:dyDescent="0.25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9" bestFit="1" customWidth="1"/>
    <col min="28" max="28" width="10.6640625" style="9" customWidth="1"/>
    <col min="29" max="29" width="13.44140625" style="9" customWidth="1"/>
    <col min="30" max="30" width="12.6640625" style="9"/>
    <col min="31" max="31" width="16" style="9" bestFit="1" customWidth="1"/>
    <col min="32" max="32" width="12.6640625" style="9"/>
  </cols>
  <sheetData>
    <row r="1" spans="1:33" ht="13.8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33" ht="13.2" x14ac:dyDescent="0.25">
      <c r="A2" s="1"/>
      <c r="B2" s="1"/>
      <c r="C2" s="134" t="s">
        <v>30</v>
      </c>
      <c r="D2" s="135"/>
      <c r="E2" s="135"/>
      <c r="F2" s="136"/>
      <c r="G2" s="134" t="s">
        <v>31</v>
      </c>
      <c r="H2" s="135"/>
      <c r="I2" s="135"/>
      <c r="J2" s="135"/>
      <c r="K2" s="136"/>
      <c r="L2" s="134" t="s">
        <v>32</v>
      </c>
      <c r="M2" s="135"/>
      <c r="N2" s="135"/>
      <c r="O2" s="135"/>
      <c r="P2" s="136"/>
      <c r="Q2" s="134" t="s">
        <v>33</v>
      </c>
      <c r="R2" s="135"/>
      <c r="S2" s="135"/>
      <c r="T2" s="135"/>
      <c r="U2" s="136"/>
      <c r="V2" s="134" t="s">
        <v>34</v>
      </c>
      <c r="W2" s="136"/>
      <c r="X2" s="1"/>
      <c r="Y2" s="1"/>
      <c r="Z2" s="3"/>
      <c r="AA2" s="17" t="s">
        <v>35</v>
      </c>
      <c r="AB2" s="17" t="s">
        <v>36</v>
      </c>
      <c r="AC2" s="17" t="s">
        <v>37</v>
      </c>
      <c r="AD2" s="17" t="s">
        <v>38</v>
      </c>
      <c r="AE2" s="17" t="s">
        <v>39</v>
      </c>
      <c r="AF2" s="17" t="s">
        <v>40</v>
      </c>
      <c r="AG2" s="17" t="s">
        <v>41</v>
      </c>
    </row>
    <row r="3" spans="1:33" ht="13.2" x14ac:dyDescent="0.25">
      <c r="A3" s="1"/>
      <c r="B3" s="1"/>
      <c r="C3" s="86">
        <v>1</v>
      </c>
      <c r="D3" s="6">
        <v>2</v>
      </c>
      <c r="E3" s="6">
        <v>3</v>
      </c>
      <c r="F3" s="87">
        <v>5</v>
      </c>
      <c r="G3" s="86">
        <v>8</v>
      </c>
      <c r="H3" s="6">
        <v>9</v>
      </c>
      <c r="I3" s="6">
        <v>10</v>
      </c>
      <c r="J3" s="6">
        <v>11</v>
      </c>
      <c r="K3" s="87">
        <v>12</v>
      </c>
      <c r="L3" s="86">
        <v>15</v>
      </c>
      <c r="M3" s="6">
        <v>16</v>
      </c>
      <c r="N3" s="6">
        <v>17</v>
      </c>
      <c r="O3" s="6">
        <v>18</v>
      </c>
      <c r="P3" s="87">
        <v>19</v>
      </c>
      <c r="Q3" s="86">
        <v>22</v>
      </c>
      <c r="R3" s="6">
        <v>23</v>
      </c>
      <c r="S3" s="6">
        <v>24</v>
      </c>
      <c r="T3" s="6">
        <v>25</v>
      </c>
      <c r="U3" s="87">
        <v>26</v>
      </c>
      <c r="V3" s="86">
        <v>29</v>
      </c>
      <c r="W3" s="87">
        <v>30</v>
      </c>
      <c r="X3" s="2"/>
      <c r="Y3" s="1"/>
      <c r="Z3" s="1"/>
      <c r="AA3" s="46">
        <v>1</v>
      </c>
      <c r="AB3" s="19">
        <v>40650</v>
      </c>
      <c r="AC3" s="80">
        <v>46028</v>
      </c>
      <c r="AD3" s="19">
        <v>343.01</v>
      </c>
      <c r="AE3" s="80" t="s">
        <v>58</v>
      </c>
      <c r="AF3" s="19" t="s">
        <v>10</v>
      </c>
      <c r="AG3" s="111">
        <v>48</v>
      </c>
    </row>
    <row r="4" spans="1:33" ht="13.2" x14ac:dyDescent="0.25">
      <c r="A4" s="1"/>
      <c r="B4" s="13" t="s">
        <v>43</v>
      </c>
      <c r="C4" s="88" t="s">
        <v>44</v>
      </c>
      <c r="D4" s="85" t="s">
        <v>45</v>
      </c>
      <c r="E4" s="85" t="s">
        <v>46</v>
      </c>
      <c r="F4" s="89" t="s">
        <v>46</v>
      </c>
      <c r="G4" s="88" t="s">
        <v>44</v>
      </c>
      <c r="H4" s="85" t="s">
        <v>44</v>
      </c>
      <c r="I4" s="85" t="s">
        <v>45</v>
      </c>
      <c r="J4" s="85" t="s">
        <v>46</v>
      </c>
      <c r="K4" s="89" t="s">
        <v>46</v>
      </c>
      <c r="L4" s="88" t="s">
        <v>44</v>
      </c>
      <c r="M4" s="85" t="s">
        <v>44</v>
      </c>
      <c r="N4" s="85" t="s">
        <v>45</v>
      </c>
      <c r="O4" s="85" t="s">
        <v>46</v>
      </c>
      <c r="P4" s="89" t="s">
        <v>46</v>
      </c>
      <c r="Q4" s="88" t="s">
        <v>44</v>
      </c>
      <c r="R4" s="85" t="s">
        <v>44</v>
      </c>
      <c r="S4" s="85" t="s">
        <v>45</v>
      </c>
      <c r="T4" s="85" t="s">
        <v>46</v>
      </c>
      <c r="U4" s="89" t="s">
        <v>46</v>
      </c>
      <c r="V4" s="88" t="s">
        <v>44</v>
      </c>
      <c r="W4" s="89" t="s">
        <v>44</v>
      </c>
      <c r="X4" s="15" t="s">
        <v>11</v>
      </c>
      <c r="Y4" s="1"/>
      <c r="Z4" s="1"/>
      <c r="AA4" s="46">
        <v>2</v>
      </c>
      <c r="AB4" s="19">
        <v>43357</v>
      </c>
      <c r="AC4" s="80">
        <v>46087</v>
      </c>
      <c r="AD4" s="19">
        <v>441.99</v>
      </c>
      <c r="AE4" s="19" t="s">
        <v>62</v>
      </c>
      <c r="AF4" s="19" t="s">
        <v>10</v>
      </c>
      <c r="AG4" s="111">
        <v>48</v>
      </c>
    </row>
    <row r="5" spans="1:33" ht="13.2" x14ac:dyDescent="0.25">
      <c r="A5" s="1"/>
      <c r="B5" s="14" t="s">
        <v>2</v>
      </c>
      <c r="C5" s="90">
        <v>1</v>
      </c>
      <c r="D5" s="7">
        <v>1</v>
      </c>
      <c r="E5" s="7">
        <v>1</v>
      </c>
      <c r="F5" s="91">
        <v>1</v>
      </c>
      <c r="G5" s="90">
        <v>1</v>
      </c>
      <c r="H5" s="7">
        <v>1</v>
      </c>
      <c r="I5" s="7">
        <v>1</v>
      </c>
      <c r="J5" s="7">
        <v>1</v>
      </c>
      <c r="K5" s="91">
        <v>1</v>
      </c>
      <c r="L5" s="90">
        <v>1</v>
      </c>
      <c r="M5" s="7">
        <v>1</v>
      </c>
      <c r="N5" s="7">
        <v>1</v>
      </c>
      <c r="O5" s="7">
        <v>1</v>
      </c>
      <c r="P5" s="91">
        <v>1</v>
      </c>
      <c r="Q5" s="90">
        <v>1</v>
      </c>
      <c r="R5" s="7">
        <v>1</v>
      </c>
      <c r="S5" s="7">
        <v>1</v>
      </c>
      <c r="T5" s="7">
        <v>2</v>
      </c>
      <c r="U5" s="91">
        <v>2</v>
      </c>
      <c r="V5" s="105">
        <v>2</v>
      </c>
      <c r="W5" s="91">
        <v>2</v>
      </c>
      <c r="X5" s="16">
        <f>SUM(C5:W5)</f>
        <v>25</v>
      </c>
      <c r="Y5" s="1"/>
      <c r="Z5" s="1"/>
      <c r="AA5" s="46">
        <v>3</v>
      </c>
      <c r="AB5" s="19">
        <v>43013</v>
      </c>
      <c r="AC5" s="80">
        <v>46148</v>
      </c>
      <c r="AD5" s="19">
        <v>533.70000000000005</v>
      </c>
      <c r="AE5" s="19" t="s">
        <v>58</v>
      </c>
      <c r="AF5" s="19" t="s">
        <v>10</v>
      </c>
      <c r="AG5" s="111">
        <v>52</v>
      </c>
    </row>
    <row r="6" spans="1:33" ht="13.2" x14ac:dyDescent="0.25">
      <c r="A6" s="1"/>
      <c r="B6" s="14" t="s">
        <v>49</v>
      </c>
      <c r="C6" s="92">
        <v>1</v>
      </c>
      <c r="D6" s="93">
        <v>0</v>
      </c>
      <c r="E6" s="93">
        <v>1</v>
      </c>
      <c r="F6" s="94">
        <v>1</v>
      </c>
      <c r="G6" s="92">
        <v>0</v>
      </c>
      <c r="H6" s="93">
        <v>3</v>
      </c>
      <c r="I6" s="93">
        <v>1</v>
      </c>
      <c r="J6" s="93">
        <v>2</v>
      </c>
      <c r="K6" s="94">
        <v>1</v>
      </c>
      <c r="L6" s="92">
        <v>1</v>
      </c>
      <c r="M6" s="93">
        <v>1</v>
      </c>
      <c r="N6" s="93">
        <v>0</v>
      </c>
      <c r="O6" s="93">
        <v>2</v>
      </c>
      <c r="P6" s="94">
        <v>2</v>
      </c>
      <c r="Q6" s="92">
        <v>0</v>
      </c>
      <c r="R6" s="93">
        <v>0</v>
      </c>
      <c r="S6" s="93">
        <v>0</v>
      </c>
      <c r="T6" s="93">
        <v>1</v>
      </c>
      <c r="U6" s="94">
        <v>1</v>
      </c>
      <c r="V6" s="92"/>
      <c r="W6" s="94"/>
      <c r="X6" s="16">
        <f>SUM(C6:W6)</f>
        <v>18</v>
      </c>
      <c r="Y6" s="79">
        <f>X6-X5</f>
        <v>-7</v>
      </c>
      <c r="Z6" s="1"/>
      <c r="AA6" s="46">
        <v>4</v>
      </c>
      <c r="AB6" s="19">
        <v>38936</v>
      </c>
      <c r="AC6" s="80">
        <v>46271</v>
      </c>
      <c r="AD6" s="19">
        <v>179.85</v>
      </c>
      <c r="AE6" s="19" t="s">
        <v>109</v>
      </c>
      <c r="AF6" s="19" t="s">
        <v>110</v>
      </c>
      <c r="AG6" s="111">
        <v>49</v>
      </c>
    </row>
    <row r="7" spans="1:33" ht="13.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70"/>
      <c r="Z7" s="1"/>
      <c r="AA7" s="46">
        <v>5</v>
      </c>
      <c r="AB7" s="19">
        <v>7546</v>
      </c>
      <c r="AC7" s="80">
        <v>46271</v>
      </c>
      <c r="AD7" s="19">
        <v>369.95</v>
      </c>
      <c r="AE7" s="80" t="s">
        <v>73</v>
      </c>
      <c r="AF7" s="19" t="s">
        <v>10</v>
      </c>
      <c r="AG7" s="111">
        <v>47</v>
      </c>
    </row>
    <row r="8" spans="1:33" ht="13.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14">
        <v>6</v>
      </c>
      <c r="AB8" s="112">
        <v>34899</v>
      </c>
      <c r="AC8" s="113">
        <v>46271</v>
      </c>
      <c r="AD8" s="112">
        <v>363.95</v>
      </c>
      <c r="AE8" s="112" t="s">
        <v>111</v>
      </c>
      <c r="AF8" s="112" t="s">
        <v>10</v>
      </c>
      <c r="AG8" s="112">
        <v>111</v>
      </c>
    </row>
    <row r="9" spans="1:33" ht="13.2" x14ac:dyDescent="0.25">
      <c r="A9" s="1"/>
      <c r="B9" s="4" t="s">
        <v>54</v>
      </c>
      <c r="C9" s="86">
        <v>1</v>
      </c>
      <c r="D9" s="6">
        <v>2</v>
      </c>
      <c r="E9" s="6">
        <v>3</v>
      </c>
      <c r="F9" s="87">
        <v>5</v>
      </c>
      <c r="G9" s="86">
        <v>8</v>
      </c>
      <c r="H9" s="6">
        <v>9</v>
      </c>
      <c r="I9" s="6">
        <v>10</v>
      </c>
      <c r="J9" s="6">
        <v>11</v>
      </c>
      <c r="K9" s="87">
        <v>12</v>
      </c>
      <c r="L9" s="86">
        <v>15</v>
      </c>
      <c r="M9" s="6">
        <v>16</v>
      </c>
      <c r="N9" s="6">
        <v>17</v>
      </c>
      <c r="O9" s="6">
        <v>18</v>
      </c>
      <c r="P9" s="87">
        <v>19</v>
      </c>
      <c r="Q9" s="86">
        <v>22</v>
      </c>
      <c r="R9" s="6">
        <v>23</v>
      </c>
      <c r="S9" s="6">
        <v>24</v>
      </c>
      <c r="T9" s="6">
        <v>25</v>
      </c>
      <c r="U9" s="87">
        <v>26</v>
      </c>
      <c r="V9" s="86">
        <v>29</v>
      </c>
      <c r="W9" s="87">
        <v>30</v>
      </c>
      <c r="X9" s="1"/>
      <c r="Y9" s="1"/>
      <c r="Z9" s="1"/>
      <c r="AA9" s="46">
        <v>7</v>
      </c>
      <c r="AB9" s="19">
        <v>25124</v>
      </c>
      <c r="AC9" s="80">
        <v>46301</v>
      </c>
      <c r="AD9" s="19">
        <v>349.55</v>
      </c>
      <c r="AE9" s="80" t="s">
        <v>101</v>
      </c>
      <c r="AF9" s="19" t="s">
        <v>10</v>
      </c>
      <c r="AG9" s="111">
        <v>49</v>
      </c>
    </row>
    <row r="10" spans="1:33" ht="13.2" x14ac:dyDescent="0.25">
      <c r="A10" s="1"/>
      <c r="B10" s="85" t="s">
        <v>16</v>
      </c>
      <c r="C10" s="7">
        <v>15</v>
      </c>
      <c r="D10" s="7"/>
      <c r="E10" s="7">
        <v>8</v>
      </c>
      <c r="F10" s="8">
        <v>9</v>
      </c>
      <c r="G10" s="8">
        <v>5</v>
      </c>
      <c r="H10" s="7">
        <v>7</v>
      </c>
      <c r="I10" s="7">
        <v>7</v>
      </c>
      <c r="J10" s="7">
        <v>8</v>
      </c>
      <c r="K10" s="7"/>
      <c r="L10" s="11">
        <v>1</v>
      </c>
      <c r="M10" s="7">
        <v>13</v>
      </c>
      <c r="N10" s="7">
        <v>13</v>
      </c>
      <c r="O10" s="7"/>
      <c r="P10" s="7">
        <v>14</v>
      </c>
      <c r="Q10" s="7">
        <v>13</v>
      </c>
      <c r="R10" s="77">
        <v>5</v>
      </c>
      <c r="S10" s="21">
        <v>7</v>
      </c>
      <c r="T10" s="78">
        <v>7</v>
      </c>
      <c r="U10" s="104"/>
      <c r="V10" s="7"/>
      <c r="W10" s="7"/>
      <c r="X10" s="1"/>
      <c r="Y10" s="1"/>
      <c r="Z10" s="1"/>
      <c r="AA10" s="46">
        <v>8</v>
      </c>
      <c r="AB10" s="19">
        <v>25071</v>
      </c>
      <c r="AC10" s="80">
        <v>46332</v>
      </c>
      <c r="AD10" s="19">
        <v>211.05</v>
      </c>
      <c r="AE10" s="80">
        <v>46269</v>
      </c>
      <c r="AF10" s="19" t="s">
        <v>10</v>
      </c>
      <c r="AG10" s="111">
        <v>63</v>
      </c>
    </row>
    <row r="11" spans="1:33" ht="13.2" x14ac:dyDescent="0.25">
      <c r="A11" s="1"/>
      <c r="B11" s="85" t="s">
        <v>17</v>
      </c>
      <c r="C11" s="7">
        <v>4</v>
      </c>
      <c r="D11" s="7"/>
      <c r="E11" s="7">
        <v>4</v>
      </c>
      <c r="F11" s="8">
        <v>2</v>
      </c>
      <c r="G11" s="8">
        <v>2</v>
      </c>
      <c r="H11" s="7">
        <v>4</v>
      </c>
      <c r="I11" s="7">
        <v>4</v>
      </c>
      <c r="J11" s="7">
        <v>4</v>
      </c>
      <c r="K11" s="7"/>
      <c r="L11" s="11">
        <v>3</v>
      </c>
      <c r="M11" s="7">
        <v>3</v>
      </c>
      <c r="N11" s="7">
        <v>3</v>
      </c>
      <c r="O11" s="7"/>
      <c r="P11" s="7">
        <v>3</v>
      </c>
      <c r="Q11" s="7">
        <v>4</v>
      </c>
      <c r="R11" s="77">
        <v>1</v>
      </c>
      <c r="S11" s="21">
        <v>2</v>
      </c>
      <c r="T11" s="78">
        <v>2</v>
      </c>
      <c r="U11" s="104"/>
      <c r="V11" s="7"/>
      <c r="W11" s="7"/>
      <c r="X11" s="1"/>
      <c r="Y11" s="1"/>
      <c r="Z11" s="1"/>
      <c r="AA11" s="114">
        <v>9</v>
      </c>
      <c r="AB11" s="112">
        <v>40561</v>
      </c>
      <c r="AC11" s="113">
        <v>46332</v>
      </c>
      <c r="AD11" s="112">
        <f>3765.85+3458.25</f>
        <v>7224.1</v>
      </c>
      <c r="AE11" s="112" t="s">
        <v>112</v>
      </c>
      <c r="AF11" s="112" t="s">
        <v>10</v>
      </c>
      <c r="AG11" s="112">
        <v>105</v>
      </c>
    </row>
    <row r="12" spans="1:33" ht="13.2" x14ac:dyDescent="0.25">
      <c r="A12" s="1"/>
      <c r="B12" s="85" t="s">
        <v>18</v>
      </c>
      <c r="C12" s="7">
        <v>4</v>
      </c>
      <c r="D12" s="7"/>
      <c r="E12" s="7">
        <v>4</v>
      </c>
      <c r="F12" s="8">
        <v>2</v>
      </c>
      <c r="G12" s="8">
        <v>2</v>
      </c>
      <c r="H12" s="7">
        <v>3</v>
      </c>
      <c r="I12" s="7">
        <v>3</v>
      </c>
      <c r="J12" s="7">
        <v>3</v>
      </c>
      <c r="K12" s="7"/>
      <c r="L12" s="11">
        <v>2</v>
      </c>
      <c r="M12" s="7">
        <v>2</v>
      </c>
      <c r="N12" s="7">
        <v>3</v>
      </c>
      <c r="O12" s="7"/>
      <c r="P12" s="7">
        <v>2</v>
      </c>
      <c r="Q12" s="7">
        <v>3</v>
      </c>
      <c r="R12" s="77">
        <v>1</v>
      </c>
      <c r="S12" s="21">
        <v>3</v>
      </c>
      <c r="T12" s="78">
        <v>2</v>
      </c>
      <c r="U12" s="104"/>
      <c r="V12" s="7"/>
      <c r="W12" s="7"/>
      <c r="X12" s="1"/>
      <c r="Y12" s="1"/>
      <c r="Z12" s="1"/>
      <c r="AA12" s="46">
        <v>10</v>
      </c>
      <c r="AB12" s="19">
        <v>44255</v>
      </c>
      <c r="AC12" s="80">
        <v>46362</v>
      </c>
      <c r="AD12" s="19">
        <v>380.76</v>
      </c>
      <c r="AE12" s="19" t="s">
        <v>62</v>
      </c>
      <c r="AF12" s="19" t="s">
        <v>113</v>
      </c>
      <c r="AG12" s="111">
        <v>57</v>
      </c>
    </row>
    <row r="13" spans="1:33" ht="13.2" x14ac:dyDescent="0.25">
      <c r="A13" s="1"/>
      <c r="B13" s="85" t="s">
        <v>20</v>
      </c>
      <c r="C13" s="7">
        <v>1</v>
      </c>
      <c r="D13" s="7"/>
      <c r="E13" s="7">
        <v>1</v>
      </c>
      <c r="F13" s="8">
        <v>4</v>
      </c>
      <c r="G13" s="8">
        <v>4</v>
      </c>
      <c r="H13" s="7">
        <v>1</v>
      </c>
      <c r="I13" s="7">
        <v>1</v>
      </c>
      <c r="J13" s="7">
        <v>0</v>
      </c>
      <c r="K13" s="7"/>
      <c r="L13" s="11">
        <v>2</v>
      </c>
      <c r="M13" s="7">
        <v>2</v>
      </c>
      <c r="N13" s="7">
        <v>0</v>
      </c>
      <c r="O13" s="7"/>
      <c r="P13" s="7">
        <v>0</v>
      </c>
      <c r="Q13" s="7">
        <v>0</v>
      </c>
      <c r="R13" s="77">
        <v>0</v>
      </c>
      <c r="S13" s="21">
        <v>1</v>
      </c>
      <c r="T13" s="78">
        <v>2</v>
      </c>
      <c r="U13" s="104"/>
      <c r="V13" s="7"/>
      <c r="W13" s="7"/>
      <c r="X13" s="1"/>
      <c r="Y13" s="1"/>
      <c r="Z13" s="1"/>
      <c r="AA13" s="46">
        <v>11</v>
      </c>
      <c r="AB13" s="19">
        <v>44062</v>
      </c>
      <c r="AC13" s="80" t="s">
        <v>114</v>
      </c>
      <c r="AD13" s="19">
        <v>275.35000000000002</v>
      </c>
      <c r="AE13" s="19" t="s">
        <v>115</v>
      </c>
      <c r="AF13" s="19" t="s">
        <v>10</v>
      </c>
      <c r="AG13" s="111">
        <v>49</v>
      </c>
    </row>
    <row r="14" spans="1:33" ht="13.2" x14ac:dyDescent="0.25">
      <c r="A14" s="1"/>
      <c r="B14" s="85" t="s">
        <v>61</v>
      </c>
      <c r="C14" s="7">
        <v>131</v>
      </c>
      <c r="D14" s="7"/>
      <c r="E14" s="7">
        <v>130</v>
      </c>
      <c r="F14" s="8">
        <v>130</v>
      </c>
      <c r="G14" s="8">
        <v>132</v>
      </c>
      <c r="H14" s="11">
        <v>135</v>
      </c>
      <c r="I14" s="7">
        <v>135</v>
      </c>
      <c r="J14" s="7">
        <v>135</v>
      </c>
      <c r="K14" s="7"/>
      <c r="L14" s="11">
        <v>136</v>
      </c>
      <c r="M14" s="7">
        <v>144</v>
      </c>
      <c r="N14" s="7">
        <v>142</v>
      </c>
      <c r="O14" s="7"/>
      <c r="P14" s="7">
        <v>139</v>
      </c>
      <c r="Q14" s="7">
        <v>138</v>
      </c>
      <c r="R14" s="77">
        <v>137</v>
      </c>
      <c r="S14" s="21">
        <v>145</v>
      </c>
      <c r="T14" s="78">
        <v>136</v>
      </c>
      <c r="U14" s="46"/>
      <c r="V14" s="7"/>
      <c r="W14" s="7"/>
      <c r="X14" s="1"/>
      <c r="Y14" s="1"/>
      <c r="Z14" s="1"/>
      <c r="AA14" s="46">
        <v>12</v>
      </c>
      <c r="AB14" s="19">
        <v>38812</v>
      </c>
      <c r="AC14" s="80" t="s">
        <v>116</v>
      </c>
      <c r="AD14" s="19">
        <v>238.95</v>
      </c>
      <c r="AE14" s="80">
        <v>46057</v>
      </c>
      <c r="AF14" s="19" t="s">
        <v>10</v>
      </c>
      <c r="AG14" s="111">
        <v>75</v>
      </c>
    </row>
    <row r="15" spans="1:33" ht="13.2" x14ac:dyDescent="0.25">
      <c r="A15" s="1"/>
      <c r="B15" s="85" t="s">
        <v>63</v>
      </c>
      <c r="C15" s="7">
        <v>49</v>
      </c>
      <c r="D15" s="7"/>
      <c r="E15" s="7">
        <v>48</v>
      </c>
      <c r="F15" s="8">
        <v>46</v>
      </c>
      <c r="G15" s="8">
        <v>47</v>
      </c>
      <c r="H15" s="7">
        <v>52</v>
      </c>
      <c r="I15" s="7">
        <v>52</v>
      </c>
      <c r="J15" s="7">
        <v>51</v>
      </c>
      <c r="K15" s="7"/>
      <c r="L15" s="11">
        <v>53</v>
      </c>
      <c r="M15" s="7">
        <v>55</v>
      </c>
      <c r="N15" s="7">
        <v>56</v>
      </c>
      <c r="O15" s="7"/>
      <c r="P15" s="7">
        <v>56</v>
      </c>
      <c r="Q15" s="7">
        <v>56</v>
      </c>
      <c r="R15" s="77">
        <v>58</v>
      </c>
      <c r="S15" s="21">
        <v>58</v>
      </c>
      <c r="T15" s="78">
        <v>61</v>
      </c>
      <c r="U15" s="81"/>
      <c r="V15" s="7"/>
      <c r="W15" s="7"/>
      <c r="X15" s="1"/>
      <c r="Y15" s="1"/>
      <c r="Z15" s="1"/>
      <c r="AA15" s="46">
        <v>13</v>
      </c>
      <c r="AB15" s="19">
        <v>39732</v>
      </c>
      <c r="AC15" s="80" t="s">
        <v>77</v>
      </c>
      <c r="AD15" s="19">
        <v>221.45</v>
      </c>
      <c r="AE15" s="19" t="s">
        <v>94</v>
      </c>
      <c r="AF15" s="19" t="s">
        <v>117</v>
      </c>
      <c r="AG15" s="111">
        <v>85</v>
      </c>
    </row>
    <row r="16" spans="1:33" ht="13.2" x14ac:dyDescent="0.25">
      <c r="A16" s="1"/>
      <c r="B16" s="85" t="s">
        <v>24</v>
      </c>
      <c r="C16" s="7">
        <v>0</v>
      </c>
      <c r="D16" s="7"/>
      <c r="E16" s="7">
        <v>1</v>
      </c>
      <c r="F16" s="8">
        <v>2</v>
      </c>
      <c r="G16" s="8">
        <v>2</v>
      </c>
      <c r="H16" s="7">
        <v>3</v>
      </c>
      <c r="I16" s="7">
        <v>3</v>
      </c>
      <c r="J16" s="7">
        <v>3</v>
      </c>
      <c r="K16" s="7"/>
      <c r="L16" s="11">
        <v>3</v>
      </c>
      <c r="M16" s="7">
        <v>3</v>
      </c>
      <c r="N16" s="7">
        <v>3</v>
      </c>
      <c r="O16" s="7"/>
      <c r="P16" s="7">
        <v>3</v>
      </c>
      <c r="Q16" s="7">
        <v>3</v>
      </c>
      <c r="R16" s="77">
        <v>4</v>
      </c>
      <c r="S16" s="21">
        <v>5</v>
      </c>
      <c r="T16" s="78">
        <v>6</v>
      </c>
      <c r="U16" s="46"/>
      <c r="V16" s="7"/>
      <c r="W16" s="7"/>
      <c r="X16" s="1"/>
      <c r="Y16" s="1"/>
      <c r="Z16" s="1"/>
      <c r="AA16" s="46">
        <v>14</v>
      </c>
      <c r="AB16" s="19">
        <v>35511</v>
      </c>
      <c r="AC16" s="80" t="s">
        <v>77</v>
      </c>
      <c r="AD16" s="19">
        <v>413.4</v>
      </c>
      <c r="AE16" s="80">
        <v>46269</v>
      </c>
      <c r="AF16" s="19" t="s">
        <v>10</v>
      </c>
      <c r="AG16" s="111">
        <v>70</v>
      </c>
    </row>
    <row r="17" spans="1:33" ht="13.2" x14ac:dyDescent="0.25">
      <c r="A17" s="1"/>
      <c r="B17" s="85" t="s">
        <v>25</v>
      </c>
      <c r="C17" s="7">
        <v>0</v>
      </c>
      <c r="D17" s="7"/>
      <c r="E17" s="7">
        <v>6</v>
      </c>
      <c r="F17" s="8">
        <v>6</v>
      </c>
      <c r="G17" s="8">
        <v>6</v>
      </c>
      <c r="H17" s="7">
        <v>7</v>
      </c>
      <c r="I17" s="7">
        <v>7</v>
      </c>
      <c r="J17" s="7">
        <v>7</v>
      </c>
      <c r="K17" s="7"/>
      <c r="L17" s="11">
        <v>7</v>
      </c>
      <c r="M17" s="7">
        <v>8</v>
      </c>
      <c r="N17" s="7">
        <v>8</v>
      </c>
      <c r="O17" s="7"/>
      <c r="P17" s="7">
        <v>8</v>
      </c>
      <c r="Q17" s="7">
        <v>8</v>
      </c>
      <c r="R17" s="77">
        <v>8</v>
      </c>
      <c r="S17" s="21">
        <v>8</v>
      </c>
      <c r="T17" s="78">
        <v>8</v>
      </c>
      <c r="U17" s="46"/>
      <c r="V17" s="7"/>
      <c r="W17" s="7"/>
      <c r="X17" s="1"/>
      <c r="Y17" s="1"/>
      <c r="Z17" s="1"/>
      <c r="AA17" s="46">
        <v>15</v>
      </c>
      <c r="AB17" s="19">
        <v>29827</v>
      </c>
      <c r="AC17" s="80" t="s">
        <v>82</v>
      </c>
      <c r="AD17" s="19">
        <v>265.14999999999998</v>
      </c>
      <c r="AE17" s="19" t="s">
        <v>73</v>
      </c>
      <c r="AF17" s="19" t="s">
        <v>10</v>
      </c>
      <c r="AG17" s="111">
        <v>57</v>
      </c>
    </row>
    <row r="18" spans="1:33" ht="13.2" x14ac:dyDescent="0.25">
      <c r="A18" s="1"/>
      <c r="B18" s="85" t="s">
        <v>26</v>
      </c>
      <c r="C18" s="7">
        <v>0</v>
      </c>
      <c r="D18" s="7"/>
      <c r="E18" s="7">
        <v>0</v>
      </c>
      <c r="F18" s="8">
        <v>1</v>
      </c>
      <c r="G18" s="8">
        <v>1</v>
      </c>
      <c r="H18" s="7">
        <v>1</v>
      </c>
      <c r="I18" s="7">
        <v>1</v>
      </c>
      <c r="J18" s="7">
        <v>1</v>
      </c>
      <c r="K18" s="7"/>
      <c r="L18" s="11">
        <v>3</v>
      </c>
      <c r="M18" s="7">
        <v>5</v>
      </c>
      <c r="N18" s="7">
        <v>6</v>
      </c>
      <c r="O18" s="7"/>
      <c r="P18" s="7">
        <v>14</v>
      </c>
      <c r="Q18" s="7">
        <v>15</v>
      </c>
      <c r="R18" s="77">
        <v>16</v>
      </c>
      <c r="S18" s="21">
        <v>19</v>
      </c>
      <c r="T18" s="78">
        <v>23</v>
      </c>
      <c r="U18" s="46"/>
      <c r="V18" s="7"/>
      <c r="W18" s="7"/>
      <c r="X18" s="1"/>
      <c r="Y18" s="1"/>
      <c r="Z18" s="1"/>
      <c r="AA18" s="46">
        <v>16</v>
      </c>
      <c r="AB18" s="19">
        <v>32789</v>
      </c>
      <c r="AC18" s="80" t="s">
        <v>82</v>
      </c>
      <c r="AD18" s="19">
        <v>501.46</v>
      </c>
      <c r="AE18" s="19" t="s">
        <v>118</v>
      </c>
      <c r="AF18" s="19" t="s">
        <v>10</v>
      </c>
      <c r="AG18" s="111">
        <v>85</v>
      </c>
    </row>
    <row r="19" spans="1:33" ht="13.2" x14ac:dyDescent="0.25">
      <c r="A19" s="1"/>
      <c r="B19" s="85" t="s">
        <v>27</v>
      </c>
      <c r="C19" s="7">
        <v>0</v>
      </c>
      <c r="D19" s="7"/>
      <c r="E19" s="7">
        <v>0</v>
      </c>
      <c r="F19" s="8">
        <v>0</v>
      </c>
      <c r="G19" s="8">
        <v>1</v>
      </c>
      <c r="H19" s="7">
        <v>2</v>
      </c>
      <c r="I19" s="7">
        <v>2</v>
      </c>
      <c r="J19" s="7">
        <v>2</v>
      </c>
      <c r="K19" s="7"/>
      <c r="L19" s="11">
        <v>2</v>
      </c>
      <c r="M19" s="7">
        <v>4</v>
      </c>
      <c r="N19" s="7">
        <v>4</v>
      </c>
      <c r="O19" s="7"/>
      <c r="P19" s="7">
        <v>5</v>
      </c>
      <c r="Q19" s="7">
        <v>5</v>
      </c>
      <c r="R19" s="77">
        <v>5</v>
      </c>
      <c r="S19" s="21">
        <v>11</v>
      </c>
      <c r="T19" s="78">
        <v>10</v>
      </c>
      <c r="U19" s="46"/>
      <c r="V19" s="7"/>
      <c r="W19" s="7"/>
      <c r="X19" s="1"/>
      <c r="Y19" s="1"/>
      <c r="Z19" s="1"/>
      <c r="AA19" s="115">
        <v>17</v>
      </c>
      <c r="AB19" s="116">
        <v>43804</v>
      </c>
      <c r="AC19" s="117" t="s">
        <v>86</v>
      </c>
      <c r="AD19" s="116">
        <v>300.68</v>
      </c>
      <c r="AE19" s="116" t="s">
        <v>62</v>
      </c>
      <c r="AF19" s="116" t="s">
        <v>10</v>
      </c>
      <c r="AG19" s="118">
        <v>70</v>
      </c>
    </row>
    <row r="20" spans="1:33" ht="13.2" x14ac:dyDescent="0.25">
      <c r="A20" s="1"/>
      <c r="B20" s="85" t="s">
        <v>28</v>
      </c>
      <c r="C20" s="7">
        <v>0</v>
      </c>
      <c r="D20" s="7"/>
      <c r="E20" s="7">
        <v>0</v>
      </c>
      <c r="F20" s="8">
        <v>0</v>
      </c>
      <c r="G20" s="8">
        <v>0</v>
      </c>
      <c r="H20" s="7">
        <v>0</v>
      </c>
      <c r="I20" s="7">
        <v>0</v>
      </c>
      <c r="J20" s="7">
        <v>0</v>
      </c>
      <c r="K20" s="7"/>
      <c r="L20" s="11">
        <v>0</v>
      </c>
      <c r="M20" s="7">
        <v>2</v>
      </c>
      <c r="N20" s="7">
        <v>2</v>
      </c>
      <c r="O20" s="7"/>
      <c r="P20" s="7">
        <v>3</v>
      </c>
      <c r="Q20" s="7">
        <v>3</v>
      </c>
      <c r="R20" s="77">
        <v>3</v>
      </c>
      <c r="S20" s="21">
        <v>4</v>
      </c>
      <c r="T20" s="78">
        <v>4</v>
      </c>
      <c r="U20" s="46"/>
      <c r="V20" s="7"/>
      <c r="W20" s="7"/>
      <c r="X20" s="1"/>
      <c r="Y20" s="1"/>
      <c r="Z20" s="1"/>
      <c r="AA20" s="115">
        <v>18</v>
      </c>
      <c r="AB20" s="116">
        <v>13483</v>
      </c>
      <c r="AC20" s="117" t="s">
        <v>60</v>
      </c>
      <c r="AD20" s="116">
        <v>179.85</v>
      </c>
      <c r="AE20" s="116" t="s">
        <v>73</v>
      </c>
      <c r="AF20" s="116" t="s">
        <v>10</v>
      </c>
      <c r="AG20" s="118">
        <v>64</v>
      </c>
    </row>
    <row r="21" spans="1:33" ht="13.2" x14ac:dyDescent="0.25">
      <c r="A21" s="1"/>
      <c r="B21" s="4" t="s">
        <v>11</v>
      </c>
      <c r="C21" s="4">
        <f>SUM(C10:C20)</f>
        <v>204</v>
      </c>
      <c r="D21" s="4">
        <f>SUM(D10:D17)</f>
        <v>0</v>
      </c>
      <c r="E21" s="4">
        <f>SUM(E10:E20)</f>
        <v>202</v>
      </c>
      <c r="F21" s="4">
        <f>SUM(F10:F17)</f>
        <v>201</v>
      </c>
      <c r="G21" s="4">
        <f>SUM(G10:G17)</f>
        <v>200</v>
      </c>
      <c r="H21" s="4">
        <f>SUM(H10:H20)</f>
        <v>215</v>
      </c>
      <c r="I21" s="4">
        <f>SUM(I10:I20)</f>
        <v>215</v>
      </c>
      <c r="J21" s="4">
        <f>SUM(J10:J20)</f>
        <v>214</v>
      </c>
      <c r="K21" s="4">
        <f>SUM(K10:K20)</f>
        <v>0</v>
      </c>
      <c r="L21" s="4">
        <f>SUM(L10:L20)</f>
        <v>212</v>
      </c>
      <c r="M21" s="4">
        <f t="shared" ref="M21:W21" si="0">SUM(M10:M20)</f>
        <v>241</v>
      </c>
      <c r="N21" s="4">
        <f t="shared" si="0"/>
        <v>240</v>
      </c>
      <c r="O21" s="4">
        <f>SUM(O10:O20)</f>
        <v>0</v>
      </c>
      <c r="P21" s="4">
        <f t="shared" si="0"/>
        <v>247</v>
      </c>
      <c r="Q21" s="4">
        <f>SUM(Q10:Q20)</f>
        <v>248</v>
      </c>
      <c r="R21" s="4">
        <f t="shared" si="0"/>
        <v>238</v>
      </c>
      <c r="S21" s="4">
        <f>SUM(S10:S20)</f>
        <v>263</v>
      </c>
      <c r="T21" s="4">
        <f t="shared" si="0"/>
        <v>261</v>
      </c>
      <c r="U21" s="4">
        <f t="shared" si="0"/>
        <v>0</v>
      </c>
      <c r="V21" s="4">
        <f t="shared" si="0"/>
        <v>0</v>
      </c>
      <c r="W21" s="4">
        <f t="shared" si="0"/>
        <v>0</v>
      </c>
      <c r="X21" s="1"/>
      <c r="Y21" s="1"/>
      <c r="Z21" s="1"/>
      <c r="AA21" s="1"/>
      <c r="AD21" s="18"/>
    </row>
    <row r="22" spans="1:33" ht="13.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33" ht="13.2" x14ac:dyDescent="0.25">
      <c r="A23" s="1"/>
      <c r="B23" s="22" t="s">
        <v>64</v>
      </c>
      <c r="C23" s="86">
        <v>1</v>
      </c>
      <c r="D23" s="6">
        <v>2</v>
      </c>
      <c r="E23" s="6">
        <v>3</v>
      </c>
      <c r="F23" s="87">
        <v>5</v>
      </c>
      <c r="G23" s="86">
        <v>8</v>
      </c>
      <c r="H23" s="6">
        <v>9</v>
      </c>
      <c r="I23" s="6">
        <v>10</v>
      </c>
      <c r="J23" s="6">
        <v>11</v>
      </c>
      <c r="K23" s="87">
        <v>12</v>
      </c>
      <c r="L23" s="86">
        <v>15</v>
      </c>
      <c r="M23" s="6">
        <v>16</v>
      </c>
      <c r="N23" s="6">
        <v>17</v>
      </c>
      <c r="O23" s="6">
        <v>18</v>
      </c>
      <c r="P23" s="87">
        <v>19</v>
      </c>
      <c r="Q23" s="86">
        <v>22</v>
      </c>
      <c r="R23" s="6">
        <v>23</v>
      </c>
      <c r="S23" s="6">
        <v>24</v>
      </c>
      <c r="T23" s="6">
        <v>25</v>
      </c>
      <c r="U23" s="87">
        <v>26</v>
      </c>
      <c r="V23" s="86">
        <v>29</v>
      </c>
      <c r="W23" s="87">
        <v>30</v>
      </c>
      <c r="X23" s="23" t="s">
        <v>11</v>
      </c>
      <c r="Y23" s="1"/>
      <c r="Z23" s="1"/>
      <c r="AA23" s="1"/>
    </row>
    <row r="24" spans="1:33" ht="13.2" x14ac:dyDescent="0.25">
      <c r="A24" s="1"/>
      <c r="B24" s="21" t="s">
        <v>2</v>
      </c>
      <c r="C24" s="46">
        <v>17</v>
      </c>
      <c r="D24" s="46">
        <v>17</v>
      </c>
      <c r="E24" s="46">
        <v>17</v>
      </c>
      <c r="F24" s="46">
        <v>17</v>
      </c>
      <c r="G24" s="46">
        <v>17</v>
      </c>
      <c r="H24" s="46">
        <v>17</v>
      </c>
      <c r="I24" s="46">
        <v>17</v>
      </c>
      <c r="J24" s="46">
        <v>17</v>
      </c>
      <c r="K24" s="46">
        <v>17</v>
      </c>
      <c r="L24" s="46">
        <v>17</v>
      </c>
      <c r="M24" s="46">
        <v>17</v>
      </c>
      <c r="N24" s="46">
        <v>17</v>
      </c>
      <c r="O24" s="46">
        <v>17</v>
      </c>
      <c r="P24" s="46">
        <v>17</v>
      </c>
      <c r="Q24" s="46">
        <v>17</v>
      </c>
      <c r="R24" s="46">
        <v>17</v>
      </c>
      <c r="S24" s="46">
        <v>17</v>
      </c>
      <c r="T24" s="46">
        <v>16</v>
      </c>
      <c r="U24" s="46">
        <v>15</v>
      </c>
      <c r="V24" s="46">
        <v>15</v>
      </c>
      <c r="W24" s="46">
        <v>15</v>
      </c>
      <c r="X24" s="21">
        <f>SUM(C24:W24)</f>
        <v>350</v>
      </c>
      <c r="Y24" s="1"/>
      <c r="Z24" s="1"/>
      <c r="AA24" s="1"/>
    </row>
    <row r="25" spans="1:33" ht="13.2" x14ac:dyDescent="0.25">
      <c r="A25" s="1"/>
      <c r="B25" s="21" t="s">
        <v>65</v>
      </c>
      <c r="C25" s="46">
        <v>12</v>
      </c>
      <c r="D25" s="46">
        <v>8</v>
      </c>
      <c r="E25" s="46">
        <v>10</v>
      </c>
      <c r="F25" s="46">
        <v>7</v>
      </c>
      <c r="G25" s="46">
        <v>13</v>
      </c>
      <c r="H25" s="46">
        <v>2</v>
      </c>
      <c r="I25" s="46">
        <v>0</v>
      </c>
      <c r="J25" s="46">
        <v>3</v>
      </c>
      <c r="K25" s="46">
        <v>12</v>
      </c>
      <c r="L25" s="46">
        <v>15</v>
      </c>
      <c r="M25" s="46">
        <v>24</v>
      </c>
      <c r="N25" s="46">
        <v>6</v>
      </c>
      <c r="O25" s="46">
        <v>11</v>
      </c>
      <c r="P25" s="46">
        <v>12</v>
      </c>
      <c r="Q25" s="46">
        <f>30-12</f>
        <v>18</v>
      </c>
      <c r="R25" s="46">
        <v>11</v>
      </c>
      <c r="S25" s="46">
        <v>23</v>
      </c>
      <c r="T25" s="46">
        <v>34</v>
      </c>
      <c r="U25" s="46">
        <v>34</v>
      </c>
      <c r="V25" s="46"/>
      <c r="W25" s="46"/>
      <c r="X25" s="21">
        <f>SUM(C25:W25)</f>
        <v>255</v>
      </c>
      <c r="Y25" s="79">
        <f>X25-X24</f>
        <v>-95</v>
      </c>
      <c r="Z25" s="1"/>
      <c r="AA25" s="1"/>
    </row>
    <row r="26" spans="1:33" ht="13.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Y26" s="1"/>
      <c r="Z26" s="1"/>
      <c r="AA26" s="1"/>
    </row>
    <row r="27" spans="1:33" ht="13.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3" ht="13.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3" ht="13.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3" ht="13.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3" ht="13.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3" ht="13.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2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2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2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2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2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2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2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2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2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2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2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2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2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2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2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2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2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2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2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2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2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2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2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2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2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2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2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2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2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2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2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2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2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2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2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2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2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2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2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2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2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2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2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2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2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2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2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2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2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2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2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2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2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2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2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2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2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2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2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2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2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2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2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2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2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2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2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2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2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2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2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2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2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2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2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2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2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2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2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2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2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2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2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2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2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2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2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2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2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2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2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2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2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2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</sheetData>
  <autoFilter ref="AA2:AG2" xr:uid="{A59EAFD5-4A59-419D-BEC5-C68D6BB30D6D}">
    <sortState xmlns:xlrd2="http://schemas.microsoft.com/office/spreadsheetml/2017/richdata2" ref="AA3:AG20">
      <sortCondition ref="AC2"/>
    </sortState>
  </autoFilter>
  <mergeCells count="5"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B8288-4445-457C-80C2-A9DB2D26F43A}">
  <dimension ref="A1:M32"/>
  <sheetViews>
    <sheetView showGridLines="0" topLeftCell="A12" workbookViewId="0">
      <selection activeCell="A7" sqref="A7:A10"/>
    </sheetView>
  </sheetViews>
  <sheetFormatPr defaultRowHeight="13.2" x14ac:dyDescent="0.25"/>
  <cols>
    <col min="1" max="1" width="20" customWidth="1"/>
    <col min="2" max="2" width="28.109375" customWidth="1"/>
    <col min="9" max="9" width="9.109375" style="44"/>
    <col min="13" max="13" width="22" customWidth="1"/>
  </cols>
  <sheetData>
    <row r="1" spans="1:13" x14ac:dyDescent="0.25">
      <c r="B1" s="27" t="s">
        <v>119</v>
      </c>
    </row>
    <row r="5" spans="1:13" x14ac:dyDescent="0.25">
      <c r="A5" s="137" t="s">
        <v>120</v>
      </c>
      <c r="C5" t="s">
        <v>68</v>
      </c>
      <c r="D5" t="s">
        <v>6</v>
      </c>
      <c r="E5" t="s">
        <v>7</v>
      </c>
      <c r="F5" t="s">
        <v>71</v>
      </c>
      <c r="G5" t="s">
        <v>10</v>
      </c>
    </row>
    <row r="6" spans="1:13" x14ac:dyDescent="0.25">
      <c r="A6" s="138"/>
      <c r="B6" s="32" t="s">
        <v>54</v>
      </c>
      <c r="C6" s="33">
        <v>8</v>
      </c>
      <c r="D6" s="33">
        <v>8</v>
      </c>
      <c r="E6" s="33">
        <v>8</v>
      </c>
      <c r="F6" s="33">
        <v>8</v>
      </c>
      <c r="G6" s="33">
        <v>8</v>
      </c>
      <c r="H6" s="33" t="s">
        <v>11</v>
      </c>
    </row>
    <row r="7" spans="1:13" x14ac:dyDescent="0.25">
      <c r="A7" s="139" t="s">
        <v>121</v>
      </c>
      <c r="B7" s="95" t="s">
        <v>16</v>
      </c>
      <c r="C7" s="30">
        <v>146</v>
      </c>
      <c r="D7" s="30">
        <v>85</v>
      </c>
      <c r="E7" s="30">
        <v>79</v>
      </c>
      <c r="F7" s="30">
        <v>67</v>
      </c>
      <c r="G7" s="30">
        <v>41</v>
      </c>
      <c r="H7" s="40">
        <f>SUM(C7:G7)</f>
        <v>418</v>
      </c>
      <c r="I7" s="146">
        <f>SUM(H7:H10)</f>
        <v>944</v>
      </c>
    </row>
    <row r="8" spans="1:13" x14ac:dyDescent="0.25">
      <c r="A8" s="140"/>
      <c r="B8" s="96" t="s">
        <v>17</v>
      </c>
      <c r="C8" s="28">
        <v>100</v>
      </c>
      <c r="D8" s="28">
        <v>47</v>
      </c>
      <c r="E8" s="28">
        <v>53</v>
      </c>
      <c r="F8" s="28">
        <v>59</v>
      </c>
      <c r="G8" s="28">
        <v>43</v>
      </c>
      <c r="H8" s="41">
        <f t="shared" ref="H8:H15" si="0">SUM(C8:G8)</f>
        <v>302</v>
      </c>
      <c r="I8" s="144"/>
    </row>
    <row r="9" spans="1:13" x14ac:dyDescent="0.25">
      <c r="A9" s="140"/>
      <c r="B9" s="96" t="s">
        <v>18</v>
      </c>
      <c r="C9" s="28">
        <v>53</v>
      </c>
      <c r="D9" s="28">
        <v>47</v>
      </c>
      <c r="E9" s="28">
        <v>38</v>
      </c>
      <c r="F9" s="28">
        <v>41</v>
      </c>
      <c r="G9" s="28">
        <v>24</v>
      </c>
      <c r="H9" s="41">
        <f t="shared" si="0"/>
        <v>203</v>
      </c>
      <c r="I9" s="144"/>
    </row>
    <row r="10" spans="1:13" x14ac:dyDescent="0.25">
      <c r="A10" s="141"/>
      <c r="B10" s="97" t="s">
        <v>20</v>
      </c>
      <c r="C10" s="35">
        <v>0</v>
      </c>
      <c r="D10" s="35">
        <v>0</v>
      </c>
      <c r="E10" s="35">
        <v>21</v>
      </c>
      <c r="F10" s="35">
        <v>0</v>
      </c>
      <c r="G10" s="35">
        <v>0</v>
      </c>
      <c r="H10" s="43">
        <f t="shared" si="0"/>
        <v>21</v>
      </c>
      <c r="I10" s="145"/>
      <c r="L10" s="143" t="s">
        <v>122</v>
      </c>
      <c r="M10" s="143"/>
    </row>
    <row r="11" spans="1:13" x14ac:dyDescent="0.25">
      <c r="A11" s="139" t="s">
        <v>123</v>
      </c>
      <c r="B11" s="95" t="s">
        <v>61</v>
      </c>
      <c r="C11" s="34">
        <v>4</v>
      </c>
      <c r="D11" s="34">
        <v>10</v>
      </c>
      <c r="E11" s="34">
        <v>20</v>
      </c>
      <c r="F11" s="34">
        <v>15</v>
      </c>
      <c r="G11" s="34">
        <v>2</v>
      </c>
      <c r="H11" s="40">
        <f t="shared" si="0"/>
        <v>51</v>
      </c>
      <c r="I11" s="144">
        <f>SUM(H11:H15)</f>
        <v>129</v>
      </c>
      <c r="L11" s="10" t="s">
        <v>1</v>
      </c>
      <c r="M11" s="10" t="s">
        <v>3</v>
      </c>
    </row>
    <row r="12" spans="1:13" x14ac:dyDescent="0.25">
      <c r="A12" s="140"/>
      <c r="B12" s="96" t="s">
        <v>63</v>
      </c>
      <c r="C12" s="29">
        <v>27</v>
      </c>
      <c r="D12" s="28">
        <v>8</v>
      </c>
      <c r="E12" s="28">
        <v>5</v>
      </c>
      <c r="F12" s="28">
        <v>7</v>
      </c>
      <c r="G12" s="28">
        <v>6</v>
      </c>
      <c r="H12" s="41">
        <f t="shared" si="0"/>
        <v>53</v>
      </c>
      <c r="I12" s="144"/>
      <c r="L12" s="96" t="s">
        <v>68</v>
      </c>
      <c r="M12" s="8">
        <v>8</v>
      </c>
    </row>
    <row r="13" spans="1:13" x14ac:dyDescent="0.25">
      <c r="A13" s="140"/>
      <c r="B13" s="96" t="s">
        <v>124</v>
      </c>
      <c r="C13" s="29">
        <v>7</v>
      </c>
      <c r="D13" s="28">
        <v>2</v>
      </c>
      <c r="E13" s="28">
        <v>0</v>
      </c>
      <c r="F13" s="28">
        <v>3</v>
      </c>
      <c r="G13" s="28">
        <v>8</v>
      </c>
      <c r="H13" s="41">
        <f t="shared" si="0"/>
        <v>20</v>
      </c>
      <c r="I13" s="144"/>
      <c r="L13" s="96" t="s">
        <v>6</v>
      </c>
      <c r="M13" s="8">
        <v>5</v>
      </c>
    </row>
    <row r="14" spans="1:13" x14ac:dyDescent="0.25">
      <c r="A14" s="140"/>
      <c r="B14" s="96" t="s">
        <v>125</v>
      </c>
      <c r="C14" s="29">
        <v>3</v>
      </c>
      <c r="D14" s="28">
        <v>0</v>
      </c>
      <c r="E14" s="28">
        <v>0</v>
      </c>
      <c r="F14" s="28">
        <v>0</v>
      </c>
      <c r="G14" s="28">
        <v>0</v>
      </c>
      <c r="H14" s="41">
        <f t="shared" si="0"/>
        <v>3</v>
      </c>
      <c r="I14" s="144"/>
      <c r="L14" s="96" t="s">
        <v>7</v>
      </c>
      <c r="M14" s="8">
        <v>2</v>
      </c>
    </row>
    <row r="15" spans="1:13" x14ac:dyDescent="0.25">
      <c r="A15" s="142"/>
      <c r="B15" s="98" t="s">
        <v>25</v>
      </c>
      <c r="C15" s="31">
        <v>0</v>
      </c>
      <c r="D15" s="31">
        <v>0</v>
      </c>
      <c r="E15" s="31">
        <v>2</v>
      </c>
      <c r="F15" s="31">
        <v>0</v>
      </c>
      <c r="G15" s="31">
        <v>0</v>
      </c>
      <c r="H15" s="42">
        <f t="shared" si="0"/>
        <v>2</v>
      </c>
      <c r="I15" s="145"/>
      <c r="L15" s="96" t="s">
        <v>9</v>
      </c>
      <c r="M15" s="8">
        <v>9</v>
      </c>
    </row>
    <row r="16" spans="1:13" x14ac:dyDescent="0.25">
      <c r="C16" s="26">
        <f>SUM(C7:C15)</f>
        <v>340</v>
      </c>
      <c r="D16" s="26">
        <f>SUM(D7:D15)</f>
        <v>199</v>
      </c>
      <c r="E16" s="26">
        <f>SUM(E7:E15)</f>
        <v>218</v>
      </c>
      <c r="F16" s="26">
        <f>SUM(F7:F15)</f>
        <v>192</v>
      </c>
      <c r="G16" s="26">
        <f>SUM(G7:G15)</f>
        <v>124</v>
      </c>
      <c r="H16">
        <f>SUM(C16:G16)</f>
        <v>1073</v>
      </c>
      <c r="L16" s="96" t="s">
        <v>10</v>
      </c>
      <c r="M16" s="8">
        <v>15</v>
      </c>
    </row>
    <row r="17" spans="1:13" x14ac:dyDescent="0.25">
      <c r="L17" s="12" t="s">
        <v>11</v>
      </c>
      <c r="M17" s="5">
        <v>39</v>
      </c>
    </row>
    <row r="19" spans="1:13" x14ac:dyDescent="0.25">
      <c r="A19" s="137" t="s">
        <v>126</v>
      </c>
      <c r="C19" t="s">
        <v>68</v>
      </c>
      <c r="D19" t="s">
        <v>6</v>
      </c>
      <c r="E19" t="s">
        <v>7</v>
      </c>
      <c r="F19" t="s">
        <v>71</v>
      </c>
      <c r="G19" t="s">
        <v>10</v>
      </c>
    </row>
    <row r="20" spans="1:13" x14ac:dyDescent="0.25">
      <c r="A20" s="138"/>
      <c r="B20" s="24" t="s">
        <v>54</v>
      </c>
      <c r="C20" s="25">
        <v>17</v>
      </c>
      <c r="D20" s="25">
        <v>17</v>
      </c>
      <c r="E20" s="25">
        <v>17</v>
      </c>
      <c r="F20" s="25">
        <v>17</v>
      </c>
      <c r="G20" s="25">
        <v>17</v>
      </c>
      <c r="H20" s="33" t="s">
        <v>11</v>
      </c>
      <c r="L20" s="143" t="s">
        <v>127</v>
      </c>
      <c r="M20" s="143"/>
    </row>
    <row r="21" spans="1:13" x14ac:dyDescent="0.25">
      <c r="A21" s="139" t="s">
        <v>128</v>
      </c>
      <c r="B21" s="95" t="s">
        <v>16</v>
      </c>
      <c r="C21" s="36">
        <v>156</v>
      </c>
      <c r="D21" s="36">
        <v>96</v>
      </c>
      <c r="E21" s="36">
        <v>83</v>
      </c>
      <c r="F21" s="36">
        <v>83</v>
      </c>
      <c r="G21" s="36">
        <v>54</v>
      </c>
      <c r="H21" s="40">
        <f>SUM(C21:G21)</f>
        <v>472</v>
      </c>
      <c r="I21" s="146">
        <f>SUM(H21:H24)</f>
        <v>808</v>
      </c>
      <c r="L21" s="45" t="s">
        <v>1</v>
      </c>
      <c r="M21" s="45" t="s">
        <v>2</v>
      </c>
    </row>
    <row r="22" spans="1:13" x14ac:dyDescent="0.25">
      <c r="A22" s="140"/>
      <c r="B22" s="96" t="s">
        <v>17</v>
      </c>
      <c r="C22" s="21">
        <v>48</v>
      </c>
      <c r="D22" s="21">
        <v>59</v>
      </c>
      <c r="E22" s="21">
        <v>4</v>
      </c>
      <c r="F22" s="21">
        <v>15</v>
      </c>
      <c r="G22" s="21">
        <v>13</v>
      </c>
      <c r="H22" s="41">
        <f t="shared" ref="H22:H29" si="1">SUM(C22:G22)</f>
        <v>139</v>
      </c>
      <c r="I22" s="144"/>
      <c r="L22" s="96" t="s">
        <v>68</v>
      </c>
      <c r="M22" s="28">
        <v>360</v>
      </c>
    </row>
    <row r="23" spans="1:13" x14ac:dyDescent="0.25">
      <c r="A23" s="140"/>
      <c r="B23" s="96" t="s">
        <v>18</v>
      </c>
      <c r="C23" s="21">
        <v>95</v>
      </c>
      <c r="D23" s="21">
        <v>11</v>
      </c>
      <c r="E23" s="21">
        <v>24</v>
      </c>
      <c r="F23" s="21">
        <v>31</v>
      </c>
      <c r="G23" s="21">
        <v>24</v>
      </c>
      <c r="H23" s="41">
        <f t="shared" si="1"/>
        <v>185</v>
      </c>
      <c r="I23" s="144"/>
      <c r="L23" s="96" t="s">
        <v>6</v>
      </c>
      <c r="M23" s="28">
        <v>197</v>
      </c>
    </row>
    <row r="24" spans="1:13" x14ac:dyDescent="0.25">
      <c r="A24" s="141"/>
      <c r="B24" s="97" t="s">
        <v>20</v>
      </c>
      <c r="C24" s="39">
        <v>1</v>
      </c>
      <c r="D24" s="39">
        <v>0</v>
      </c>
      <c r="E24" s="39">
        <v>8</v>
      </c>
      <c r="F24" s="39">
        <v>0</v>
      </c>
      <c r="G24" s="39">
        <v>3</v>
      </c>
      <c r="H24" s="43">
        <f t="shared" si="1"/>
        <v>12</v>
      </c>
      <c r="I24" s="145"/>
      <c r="L24" s="96" t="s">
        <v>7</v>
      </c>
      <c r="M24" s="28">
        <v>218</v>
      </c>
    </row>
    <row r="25" spans="1:13" x14ac:dyDescent="0.25">
      <c r="A25" s="139" t="s">
        <v>123</v>
      </c>
      <c r="B25" s="95" t="s">
        <v>61</v>
      </c>
      <c r="C25" s="38">
        <v>65</v>
      </c>
      <c r="D25" s="38">
        <v>47</v>
      </c>
      <c r="E25" s="38">
        <v>120</v>
      </c>
      <c r="F25" s="36">
        <v>56</v>
      </c>
      <c r="G25" s="36">
        <v>28</v>
      </c>
      <c r="H25" s="40">
        <f t="shared" si="1"/>
        <v>316</v>
      </c>
      <c r="I25" s="144">
        <f>SUM(H25:H29)</f>
        <v>546</v>
      </c>
      <c r="L25" s="96" t="s">
        <v>9</v>
      </c>
      <c r="M25" s="28">
        <v>187</v>
      </c>
    </row>
    <row r="26" spans="1:13" x14ac:dyDescent="0.25">
      <c r="A26" s="140"/>
      <c r="B26" s="96" t="s">
        <v>63</v>
      </c>
      <c r="C26" s="21">
        <v>37</v>
      </c>
      <c r="D26" s="21">
        <v>17</v>
      </c>
      <c r="E26" s="21">
        <v>9</v>
      </c>
      <c r="F26" s="21">
        <v>15</v>
      </c>
      <c r="G26" s="21">
        <v>19</v>
      </c>
      <c r="H26" s="41">
        <f t="shared" si="1"/>
        <v>97</v>
      </c>
      <c r="I26" s="144"/>
      <c r="L26" s="96" t="s">
        <v>10</v>
      </c>
      <c r="M26" s="28">
        <v>112</v>
      </c>
    </row>
    <row r="27" spans="1:13" x14ac:dyDescent="0.25">
      <c r="A27" s="140"/>
      <c r="B27" s="96" t="s">
        <v>124</v>
      </c>
      <c r="C27" s="21">
        <v>45</v>
      </c>
      <c r="D27" s="21">
        <v>13</v>
      </c>
      <c r="E27" s="21">
        <v>16</v>
      </c>
      <c r="F27" s="21">
        <v>19</v>
      </c>
      <c r="G27" s="21">
        <v>15</v>
      </c>
      <c r="H27" s="41">
        <f t="shared" si="1"/>
        <v>108</v>
      </c>
      <c r="I27" s="144"/>
      <c r="L27" s="20" t="s">
        <v>11</v>
      </c>
      <c r="M27" s="20">
        <f>SUM(M22:M26)</f>
        <v>1074</v>
      </c>
    </row>
    <row r="28" spans="1:13" x14ac:dyDescent="0.25">
      <c r="A28" s="140"/>
      <c r="B28" s="96" t="s">
        <v>125</v>
      </c>
      <c r="C28" s="21">
        <v>4</v>
      </c>
      <c r="D28" s="21">
        <v>0</v>
      </c>
      <c r="E28" s="21">
        <v>1</v>
      </c>
      <c r="F28" s="21">
        <v>1</v>
      </c>
      <c r="G28" s="21">
        <v>1</v>
      </c>
      <c r="H28" s="41">
        <f t="shared" si="1"/>
        <v>7</v>
      </c>
      <c r="I28" s="144"/>
    </row>
    <row r="29" spans="1:13" x14ac:dyDescent="0.25">
      <c r="A29" s="142"/>
      <c r="B29" s="98" t="s">
        <v>25</v>
      </c>
      <c r="C29" s="37">
        <v>5</v>
      </c>
      <c r="D29" s="37">
        <v>1</v>
      </c>
      <c r="E29" s="37">
        <v>10</v>
      </c>
      <c r="F29" s="37">
        <v>2</v>
      </c>
      <c r="G29" s="37">
        <v>0</v>
      </c>
      <c r="H29" s="42">
        <f t="shared" si="1"/>
        <v>18</v>
      </c>
      <c r="I29" s="145"/>
    </row>
    <row r="30" spans="1:13" x14ac:dyDescent="0.25">
      <c r="C30" s="26">
        <f>SUM(C21:C29)</f>
        <v>456</v>
      </c>
      <c r="D30" s="26">
        <f>SUM(D21:D29)</f>
        <v>244</v>
      </c>
      <c r="E30" s="26">
        <f>SUM(E21:E29)</f>
        <v>275</v>
      </c>
      <c r="F30" s="26">
        <f>SUM(F21:F29)</f>
        <v>222</v>
      </c>
      <c r="G30" s="26">
        <f>SUM(G21:G29)</f>
        <v>157</v>
      </c>
      <c r="H30">
        <f>SUM(C30:G30)</f>
        <v>1354</v>
      </c>
    </row>
    <row r="32" spans="1:13" x14ac:dyDescent="0.25">
      <c r="G32" s="27" t="s">
        <v>129</v>
      </c>
      <c r="H32" s="27">
        <f>H30-H16</f>
        <v>281</v>
      </c>
    </row>
  </sheetData>
  <mergeCells count="12">
    <mergeCell ref="A25:A29"/>
    <mergeCell ref="L10:M10"/>
    <mergeCell ref="I11:I15"/>
    <mergeCell ref="I25:I29"/>
    <mergeCell ref="I7:I10"/>
    <mergeCell ref="I21:I24"/>
    <mergeCell ref="L20:M20"/>
    <mergeCell ref="A5:A6"/>
    <mergeCell ref="A19:A20"/>
    <mergeCell ref="A7:A10"/>
    <mergeCell ref="A11:A15"/>
    <mergeCell ref="A21:A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Painel Geral</vt:lpstr>
      <vt:lpstr>Ariane</vt:lpstr>
      <vt:lpstr>Camila</vt:lpstr>
      <vt:lpstr>Cristielen</vt:lpstr>
      <vt:lpstr>Natalia</vt:lpstr>
      <vt:lpstr>Tatiana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</dc:creator>
  <cp:keywords/>
  <dc:description/>
  <cp:lastModifiedBy>Matheus de Freitas Echevarria</cp:lastModifiedBy>
  <cp:revision/>
  <dcterms:created xsi:type="dcterms:W3CDTF">2026-04-08T19:12:46Z</dcterms:created>
  <dcterms:modified xsi:type="dcterms:W3CDTF">2026-06-26T18:28:03Z</dcterms:modified>
  <cp:category/>
  <cp:contentStatus/>
</cp:coreProperties>
</file>
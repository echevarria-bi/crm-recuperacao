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marfood-my.sharepoint.com/personal/matheus_freitas_marfoods_com_br/Documents/Área de Trabalho/projeto_recuperacao/"/>
    </mc:Choice>
  </mc:AlternateContent>
  <xr:revisionPtr revIDLastSave="46" documentId="8_{8E0FE364-25CB-463E-85D6-47CE8031AF55}" xr6:coauthVersionLast="47" xr6:coauthVersionMax="47" xr10:uidLastSave="{4CE71B5C-D809-489A-AFB7-C619BE685179}"/>
  <bookViews>
    <workbookView xWindow="-108" yWindow="-108" windowWidth="23256" windowHeight="12456" activeTab="2" xr2:uid="{00000000-000D-0000-FFFF-FFFF00000000}"/>
  </bookViews>
  <sheets>
    <sheet name="Painel Geral - Abril" sheetId="22" r:id="rId1"/>
    <sheet name="Painel Geral - Maio " sheetId="23" r:id="rId2"/>
    <sheet name="Painel Geral - Junho" sheetId="10" r:id="rId3"/>
    <sheet name="EVOLUCAO DOS MESES" sheetId="20" r:id="rId4"/>
    <sheet name="Ariane" sheetId="14" state="hidden" r:id="rId5"/>
    <sheet name="Camila" sheetId="16" state="hidden" r:id="rId6"/>
    <sheet name="Cristielen" sheetId="17" state="hidden" r:id="rId7"/>
    <sheet name="Natalia" sheetId="18" state="hidden" r:id="rId8"/>
    <sheet name="Tatiana" sheetId="19" state="hidden" r:id="rId9"/>
    <sheet name="FATURAMENTO RECUPERACAO" sheetId="21" r:id="rId10"/>
    <sheet name="Planilha1" sheetId="11" state="hidden" r:id="rId11"/>
  </sheets>
  <definedNames>
    <definedName name="_xlnm._FilterDatabase" localSheetId="4" hidden="1">Ariane!$AA$2:$AH$2</definedName>
    <definedName name="_xlnm._FilterDatabase" localSheetId="5" hidden="1">Camila!$AA$2:$AH$2</definedName>
    <definedName name="_xlnm._FilterDatabase" localSheetId="6" hidden="1">Cristielen!$AA$2:$AH$2</definedName>
    <definedName name="_xlnm._FilterDatabase" localSheetId="9" hidden="1">'FATURAMENTO RECUPERACAO'!$A$1:$E$220</definedName>
    <definedName name="_xlnm._FilterDatabase" localSheetId="7" hidden="1">Natalia!$AA$2:$AH$2</definedName>
    <definedName name="_xlnm._FilterDatabase" localSheetId="2" hidden="1">'Painel Geral - Junho'!#REF!</definedName>
    <definedName name="_xlnm._FilterDatabase" localSheetId="8" hidden="1">Tatiana!$AA$2:$AH$2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0" i="10" l="1"/>
  <c r="AR38" i="23"/>
  <c r="AQ38" i="23"/>
  <c r="AP38" i="23"/>
  <c r="AO38" i="23"/>
  <c r="AN38" i="23"/>
  <c r="AM38" i="23"/>
  <c r="AL38" i="23"/>
  <c r="AK38" i="23"/>
  <c r="AJ38" i="23"/>
  <c r="AI38" i="23"/>
  <c r="AH38" i="23"/>
  <c r="AG38" i="23"/>
  <c r="AF38" i="23"/>
  <c r="AE38" i="23"/>
  <c r="AD38" i="23"/>
  <c r="AC38" i="23"/>
  <c r="AA38" i="23"/>
  <c r="Z38" i="23"/>
  <c r="Y38" i="23"/>
  <c r="X38" i="23"/>
  <c r="W38" i="23"/>
  <c r="V38" i="23"/>
  <c r="U38" i="23"/>
  <c r="T38" i="23"/>
  <c r="S38" i="23"/>
  <c r="R38" i="23"/>
  <c r="Q38" i="23"/>
  <c r="P38" i="23"/>
  <c r="O38" i="23"/>
  <c r="N38" i="23"/>
  <c r="M38" i="23"/>
  <c r="L38" i="23"/>
  <c r="K38" i="23"/>
  <c r="J38" i="23"/>
  <c r="I38" i="23"/>
  <c r="H38" i="23"/>
  <c r="G38" i="23"/>
  <c r="F38" i="23"/>
  <c r="E38" i="23"/>
  <c r="C37" i="23"/>
  <c r="D37" i="23" s="1"/>
  <c r="B37" i="23"/>
  <c r="C36" i="23"/>
  <c r="D36" i="23" s="1"/>
  <c r="B36" i="23"/>
  <c r="C35" i="23"/>
  <c r="D35" i="23" s="1"/>
  <c r="B35" i="23"/>
  <c r="C34" i="23"/>
  <c r="D34" i="23" s="1"/>
  <c r="B34" i="23"/>
  <c r="AB33" i="23"/>
  <c r="AB38" i="23" s="1"/>
  <c r="B33" i="23"/>
  <c r="B38" i="23" s="1"/>
  <c r="F28" i="23"/>
  <c r="E28" i="23"/>
  <c r="D28" i="23"/>
  <c r="C28" i="23"/>
  <c r="B28" i="23"/>
  <c r="G27" i="23"/>
  <c r="G26" i="23"/>
  <c r="G25" i="23"/>
  <c r="G24" i="23"/>
  <c r="G23" i="23"/>
  <c r="G22" i="23"/>
  <c r="G21" i="23"/>
  <c r="G19" i="23"/>
  <c r="G18" i="23"/>
  <c r="G17" i="23"/>
  <c r="G16" i="23"/>
  <c r="AR10" i="23"/>
  <c r="AQ10" i="23"/>
  <c r="AP10" i="23"/>
  <c r="AO10" i="23"/>
  <c r="AN10" i="23"/>
  <c r="AM10" i="23"/>
  <c r="AL10" i="23"/>
  <c r="AK10" i="23"/>
  <c r="AJ10" i="23"/>
  <c r="AI10" i="23"/>
  <c r="AH10" i="23"/>
  <c r="AG10" i="23"/>
  <c r="AF10" i="23"/>
  <c r="AE10" i="23"/>
  <c r="AD10" i="23"/>
  <c r="AC10" i="23"/>
  <c r="AB10" i="23"/>
  <c r="AA10" i="23"/>
  <c r="Z10" i="23"/>
  <c r="Y10" i="23"/>
  <c r="X10" i="23"/>
  <c r="W10" i="23"/>
  <c r="V10" i="23"/>
  <c r="U10" i="23"/>
  <c r="T10" i="23"/>
  <c r="S10" i="23"/>
  <c r="R10" i="23"/>
  <c r="Q10" i="23"/>
  <c r="P10" i="23"/>
  <c r="O10" i="23"/>
  <c r="N10" i="23"/>
  <c r="M10" i="23"/>
  <c r="L10" i="23"/>
  <c r="K10" i="23"/>
  <c r="J10" i="23"/>
  <c r="I10" i="23"/>
  <c r="H10" i="23"/>
  <c r="G10" i="23"/>
  <c r="F10" i="23"/>
  <c r="E10" i="23"/>
  <c r="C9" i="23"/>
  <c r="D9" i="23" s="1"/>
  <c r="B9" i="23"/>
  <c r="C8" i="23"/>
  <c r="B8" i="23"/>
  <c r="D8" i="23" s="1"/>
  <c r="C7" i="23"/>
  <c r="D7" i="23" s="1"/>
  <c r="B7" i="23"/>
  <c r="C6" i="23"/>
  <c r="D6" i="23" s="1"/>
  <c r="B6" i="23"/>
  <c r="B10" i="23" s="1"/>
  <c r="C5" i="23"/>
  <c r="C10" i="23" s="1"/>
  <c r="B5" i="23"/>
  <c r="D10" i="23" l="1"/>
  <c r="B11" i="23"/>
  <c r="B12" i="23"/>
  <c r="D5" i="23"/>
  <c r="C33" i="23"/>
  <c r="D33" i="23" l="1"/>
  <c r="C38" i="23"/>
  <c r="D38" i="23" s="1"/>
  <c r="Z40" i="22" l="1"/>
  <c r="Y40" i="22"/>
  <c r="X40" i="22"/>
  <c r="W40" i="22"/>
  <c r="V40" i="22"/>
  <c r="U40" i="22"/>
  <c r="T40" i="22"/>
  <c r="S40" i="22"/>
  <c r="R40" i="22"/>
  <c r="Q40" i="22"/>
  <c r="P40" i="22"/>
  <c r="O40" i="22"/>
  <c r="N40" i="22"/>
  <c r="M40" i="22"/>
  <c r="L40" i="22"/>
  <c r="K40" i="22"/>
  <c r="J40" i="22"/>
  <c r="I40" i="22"/>
  <c r="H40" i="22"/>
  <c r="G40" i="22"/>
  <c r="F40" i="22"/>
  <c r="E40" i="22"/>
  <c r="B40" i="22"/>
  <c r="C39" i="22"/>
  <c r="D39" i="22" s="1"/>
  <c r="C38" i="22"/>
  <c r="D38" i="22" s="1"/>
  <c r="C37" i="22"/>
  <c r="D37" i="22" s="1"/>
  <c r="C36" i="22"/>
  <c r="D36" i="22" s="1"/>
  <c r="C35" i="22"/>
  <c r="D35" i="22" s="1"/>
  <c r="F30" i="22"/>
  <c r="E30" i="22"/>
  <c r="D30" i="22"/>
  <c r="C30" i="22"/>
  <c r="B30" i="22"/>
  <c r="G29" i="22"/>
  <c r="G28" i="22"/>
  <c r="G27" i="22"/>
  <c r="G26" i="22"/>
  <c r="G25" i="22"/>
  <c r="G24" i="22"/>
  <c r="G23" i="22"/>
  <c r="G22" i="22"/>
  <c r="G21" i="22"/>
  <c r="G20" i="22"/>
  <c r="G18" i="22"/>
  <c r="G17" i="22"/>
  <c r="G16" i="22"/>
  <c r="G15" i="22"/>
  <c r="AR9" i="22"/>
  <c r="AQ9" i="22"/>
  <c r="AP9" i="22"/>
  <c r="AO9" i="22"/>
  <c r="AN9" i="22"/>
  <c r="AM9" i="22"/>
  <c r="AL9" i="22"/>
  <c r="AK9" i="22"/>
  <c r="AJ9" i="22"/>
  <c r="AI9" i="22"/>
  <c r="AH9" i="22"/>
  <c r="AG9" i="22"/>
  <c r="AF9" i="22"/>
  <c r="AE9" i="22"/>
  <c r="AD9" i="22"/>
  <c r="AC9" i="22"/>
  <c r="AB9" i="22"/>
  <c r="AA9" i="22"/>
  <c r="Z9" i="22"/>
  <c r="Y9" i="22"/>
  <c r="X9" i="22"/>
  <c r="W9" i="22"/>
  <c r="V9" i="22"/>
  <c r="U9" i="22"/>
  <c r="T9" i="22"/>
  <c r="S9" i="22"/>
  <c r="R9" i="22"/>
  <c r="Q9" i="22"/>
  <c r="P9" i="22"/>
  <c r="O9" i="22"/>
  <c r="N9" i="22"/>
  <c r="M9" i="22"/>
  <c r="L9" i="22"/>
  <c r="K9" i="22"/>
  <c r="J9" i="22"/>
  <c r="I9" i="22"/>
  <c r="H9" i="22"/>
  <c r="G9" i="22"/>
  <c r="F9" i="22"/>
  <c r="E9" i="22"/>
  <c r="B9" i="22"/>
  <c r="C8" i="22"/>
  <c r="D8" i="22" s="1"/>
  <c r="C7" i="22"/>
  <c r="D7" i="22" s="1"/>
  <c r="C6" i="22"/>
  <c r="D6" i="22" s="1"/>
  <c r="C5" i="22"/>
  <c r="D5" i="22" s="1"/>
  <c r="C4" i="22"/>
  <c r="C9" i="22" l="1"/>
  <c r="B10" i="22"/>
  <c r="B11" i="22" s="1"/>
  <c r="D9" i="22"/>
  <c r="C40" i="22"/>
  <c r="D40" i="22" s="1"/>
  <c r="D4" i="22"/>
  <c r="E29" i="20" l="1"/>
  <c r="B45" i="10" s="1"/>
  <c r="E30" i="20"/>
  <c r="B46" i="10" s="1"/>
  <c r="E31" i="20"/>
  <c r="B47" i="10" s="1"/>
  <c r="E32" i="20"/>
  <c r="B48" i="10" s="1"/>
  <c r="E33" i="20"/>
  <c r="B49" i="10" s="1"/>
  <c r="E28" i="20"/>
  <c r="B44" i="10" s="1"/>
  <c r="D29" i="20"/>
  <c r="B45" i="23" s="1"/>
  <c r="D30" i="20"/>
  <c r="B46" i="23" s="1"/>
  <c r="D31" i="20"/>
  <c r="B47" i="23" s="1"/>
  <c r="D32" i="20"/>
  <c r="B48" i="23" s="1"/>
  <c r="D33" i="20"/>
  <c r="B49" i="23" s="1"/>
  <c r="D28" i="20"/>
  <c r="B44" i="23" s="1"/>
  <c r="C28" i="20"/>
  <c r="B44" i="22" s="1"/>
  <c r="C30" i="20"/>
  <c r="B46" i="22" s="1"/>
  <c r="C31" i="20"/>
  <c r="B47" i="22" s="1"/>
  <c r="C32" i="20"/>
  <c r="C33" i="20"/>
  <c r="B49" i="22" s="1"/>
  <c r="C29" i="20"/>
  <c r="B45" i="22" s="1"/>
  <c r="C63" i="20"/>
  <c r="E12" i="20"/>
  <c r="B2" i="10" s="1"/>
  <c r="D12" i="20"/>
  <c r="B2" i="23" s="1"/>
  <c r="C12" i="20"/>
  <c r="C64" i="20"/>
  <c r="C62" i="20"/>
  <c r="M27" i="11"/>
  <c r="H22" i="11"/>
  <c r="H23" i="11"/>
  <c r="H24" i="11"/>
  <c r="H25" i="11"/>
  <c r="H26" i="11"/>
  <c r="H27" i="11"/>
  <c r="H28" i="11"/>
  <c r="H29" i="11"/>
  <c r="H21" i="11"/>
  <c r="I21" i="11" s="1"/>
  <c r="H8" i="11"/>
  <c r="H9" i="11"/>
  <c r="H10" i="11"/>
  <c r="H11" i="11"/>
  <c r="H12" i="11"/>
  <c r="H13" i="11"/>
  <c r="H14" i="11"/>
  <c r="H15" i="11"/>
  <c r="H7" i="11"/>
  <c r="I7" i="11" s="1"/>
  <c r="G30" i="11"/>
  <c r="F30" i="11"/>
  <c r="E30" i="11"/>
  <c r="D30" i="11"/>
  <c r="C30" i="11"/>
  <c r="H30" i="11" s="1"/>
  <c r="G16" i="11"/>
  <c r="F16" i="11"/>
  <c r="E16" i="11"/>
  <c r="D16" i="11"/>
  <c r="C16" i="11"/>
  <c r="H16" i="11" s="1"/>
  <c r="F32" i="20" l="1"/>
  <c r="D48" i="20" s="1"/>
  <c r="B48" i="22"/>
  <c r="B50" i="10"/>
  <c r="B50" i="23"/>
  <c r="B50" i="22"/>
  <c r="F33" i="20"/>
  <c r="D47" i="20" s="1"/>
  <c r="F28" i="20"/>
  <c r="D51" i="20" s="1"/>
  <c r="F31" i="20"/>
  <c r="D52" i="20" s="1"/>
  <c r="C57" i="20"/>
  <c r="C58" i="20"/>
  <c r="C56" i="20"/>
  <c r="F29" i="20"/>
  <c r="D49" i="20" s="1"/>
  <c r="F30" i="20"/>
  <c r="D50" i="20" s="1"/>
  <c r="H32" i="11"/>
  <c r="I11" i="11"/>
  <c r="I25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tc={92AF0188-AF8F-437A-93FF-6CE35FF3AE8F}</author>
    <author>tc={87EEC17F-A377-4E73-9CA5-B2853704F35E}</author>
    <author>tc={1DA4D6C7-11D4-4C9E-9ADF-338040561A3A}</author>
    <author>tc={EDA04156-2E47-4289-9E90-416D04A8D72E}</author>
  </authors>
  <commentList>
    <comment ref="P35" authorId="0" shapeId="0" xr:uid="{46BBF290-91AC-4A16-9CFB-E2AA280B97B9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Estava ausente no dia 23-4 quinta-feira</t>
        </r>
      </text>
    </comment>
    <comment ref="R35" authorId="1" shapeId="0" xr:uid="{5DE4189D-88C1-44EA-92FF-3E565367D328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Estava ausente no dia 23-4 quinta-feira</t>
        </r>
      </text>
    </comment>
    <comment ref="P36" authorId="2" shapeId="0" xr:uid="{75E3887D-9584-4F4F-86AF-7F4139A39ECC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Por conta da ausência da Anna, não conseguiu dar atenção do CRM. Ocorreu muitos problemas nas entregas da Anna em 23-4.</t>
        </r>
      </text>
    </comment>
    <comment ref="L38" authorId="3" shapeId="0" xr:uid="{4DBB6E04-12C5-438D-9D08-51CE0C16D3AD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Está de Folga em 20-4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tc={9621AC28-801A-4D64-99C7-91F18B3BDB75}</author>
    <author>tc={33BE1FFB-FDDA-4B3F-A8F8-624EEEC3628D}</author>
    <author>tc={6A847DE1-0ABF-44DC-96BE-84A355F46E97}</author>
    <author>tc={82B99570-C34F-4015-ABF4-6182A222862F}</author>
    <author>tc={136442F3-B454-45C5-8C5F-1BF912BCE939}</author>
  </authors>
  <commentList>
    <comment ref="AP34" authorId="0" shapeId="0" xr:uid="{B3C231E9-9D3C-4C7F-B603-23C47E53E8E2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Focou em outra lista, mas conseguiu bater a sua meta de contatos.</t>
        </r>
      </text>
    </comment>
    <comment ref="AB36" authorId="1" shapeId="0" xr:uid="{0D576315-861A-4171-B7C5-A2226A2AF5E7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Alta demanda</t>
        </r>
      </text>
    </comment>
    <comment ref="AD36" authorId="2" shapeId="0" xr:uid="{A5AB28C5-E76B-462B-B81F-531DDF5B6403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Alta demanda</t>
        </r>
      </text>
    </comment>
    <comment ref="AF36" authorId="3" shapeId="0" xr:uid="{53AECE93-147B-4B3C-A7F7-E69120F3BCFF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Alta demanda</t>
        </r>
      </text>
    </comment>
    <comment ref="AH36" authorId="4" shapeId="0" xr:uid="{2E205A84-B166-44D7-8FD0-96C9E61DCC16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Alta demanda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tc={110EB2BA-EE12-4A9C-93B2-C753A07193CE}</author>
    <author>tc={596ABB47-70D4-46F5-A058-C2D8FC71DA00}</author>
    <author>tc={12217CA1-EE75-466D-8AC1-B512AF571836}</author>
    <author>tc={4A1C36D5-D063-4B03-A1E3-F9A60A439D30}</author>
    <author>tc={ADC094F8-93F0-4C7A-9967-253DC3480842}</author>
    <author>tc={3AFBAA46-DA48-43CC-A985-16F12C06064C}</author>
    <author>tc={94A9765C-382E-41B7-B3FE-188F1629B79C}</author>
    <author>tc={3C82105C-9F43-428D-A71B-E102B2635881}</author>
    <author>tc={08A637E7-8E81-4229-B448-3015AF2A88CC}</author>
    <author>tc={6900338A-6CA0-497B-B2EF-5A255D172477}</author>
    <author>tc={D9644057-1701-4477-AEA5-AF092045E589}</author>
    <author>tc={79F78E51-A178-4AE7-8B42-DA6DAFFEEE30}</author>
    <author>tc={657A8C87-DC61-4A23-8D1C-2D38D5F1BE12}</author>
    <author>tc={EF276022-B394-4A52-8308-51345081745B}</author>
  </authors>
  <commentList>
    <comment ref="AL33" authorId="0" shapeId="0" xr:uid="{110EB2BA-EE12-4A9C-93B2-C753A07193CE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Alta demanda não gerou tarefas.</t>
        </r>
      </text>
    </comment>
    <comment ref="R35" authorId="1" shapeId="0" xr:uid="{596ABB47-70D4-46F5-A058-C2D8FC71DA00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  </r>
      </text>
    </comment>
    <comment ref="T35" authorId="2" shapeId="0" xr:uid="{12217CA1-EE75-466D-8AC1-B512AF571836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  </r>
      </text>
    </comment>
    <comment ref="V35" authorId="3" shapeId="0" xr:uid="{4A1C36D5-D063-4B03-A1E3-F9A60A439D30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  </r>
      </text>
    </comment>
    <comment ref="X35" authorId="4" shapeId="0" xr:uid="{ADC094F8-93F0-4C7A-9967-253DC3480842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  </r>
      </text>
    </comment>
    <comment ref="Z35" authorId="5" shapeId="0" xr:uid="{3AFBAA46-DA48-43CC-A985-16F12C06064C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  </r>
      </text>
    </comment>
    <comment ref="AB35" authorId="6" shapeId="0" xr:uid="{94A9765C-382E-41B7-B3FE-188F1629B79C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  </r>
      </text>
    </comment>
    <comment ref="AD35" authorId="7" shapeId="0" xr:uid="{3C82105C-9F43-428D-A71B-E102B2635881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  </r>
      </text>
    </comment>
    <comment ref="AF35" authorId="8" shapeId="0" xr:uid="{08A637E7-8E81-4229-B448-3015AF2A88CC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  </r>
      </text>
    </comment>
    <comment ref="F36" authorId="9" shapeId="0" xr:uid="{6900338A-6CA0-497B-B2EF-5A255D172477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Focou em finalizar tarefas pendentes.</t>
        </r>
      </text>
    </comment>
    <comment ref="H36" authorId="10" shapeId="0" xr:uid="{D9644057-1701-4477-AEA5-AF092045E589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Focou em finalizar tarefas pendentes.</t>
        </r>
      </text>
    </comment>
    <comment ref="J36" authorId="11" shapeId="0" xr:uid="{79F78E51-A178-4AE7-8B42-DA6DAFFEEE30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Focou em finalizar tarefas pendentes.</t>
        </r>
      </text>
    </comment>
    <comment ref="AP36" authorId="12" shapeId="0" xr:uid="{657A8C87-DC61-4A23-8D1C-2D38D5F1BE12}">
      <text>
        <r>
          <rPr>
            <sz val="10"/>
            <color rgb="FF000000"/>
            <rFont val="Arial"/>
            <scheme val="minor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Folga 26/6
</t>
        </r>
      </text>
    </comment>
    <comment ref="R37" authorId="13" shapeId="0" xr:uid="{EF276022-B394-4A52-8308-51345081745B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Volume intenso na sua carteira de clientes.</t>
        </r>
      </text>
    </comment>
  </commentList>
</comments>
</file>

<file path=xl/sharedStrings.xml><?xml version="1.0" encoding="utf-8"?>
<sst xmlns="http://schemas.openxmlformats.org/spreadsheetml/2006/main" count="1699" uniqueCount="343">
  <si>
    <t>META RECUPERAÇÃO</t>
  </si>
  <si>
    <t>Profissional</t>
  </si>
  <si>
    <t>Meta</t>
  </si>
  <si>
    <t>Realizado</t>
  </si>
  <si>
    <t>%</t>
  </si>
  <si>
    <t>Real</t>
  </si>
  <si>
    <t>Ariane</t>
  </si>
  <si>
    <t>Camila</t>
  </si>
  <si>
    <t>Cristielen</t>
  </si>
  <si>
    <t>Natália</t>
  </si>
  <si>
    <t>Tatiana</t>
  </si>
  <si>
    <t>Total</t>
  </si>
  <si>
    <t>Conversão Total (Televendas + RCA)</t>
  </si>
  <si>
    <t>Excedente</t>
  </si>
  <si>
    <t>Faixa de Inatividade</t>
  </si>
  <si>
    <t>45 a 59 Risco</t>
  </si>
  <si>
    <t>60 a 74 Atenção</t>
  </si>
  <si>
    <t>75 a 84 Crítico</t>
  </si>
  <si>
    <t>85 a 90 Urgente</t>
  </si>
  <si>
    <t>Motivos</t>
  </si>
  <si>
    <t>Não atendeu/Não retornou</t>
  </si>
  <si>
    <t>Contatos Efetivo</t>
  </si>
  <si>
    <t>Baixado/Outros</t>
  </si>
  <si>
    <t>Ativo por temporada</t>
  </si>
  <si>
    <t>Conversão / Venda RCA Externo</t>
  </si>
  <si>
    <t>Telefone incorreto</t>
  </si>
  <si>
    <t>Problema Financeiro</t>
  </si>
  <si>
    <t xml:space="preserve">META CONTATOS </t>
  </si>
  <si>
    <t>Semana 1</t>
  </si>
  <si>
    <t>Semana 2</t>
  </si>
  <si>
    <t>Semana 3</t>
  </si>
  <si>
    <t>Semana 4</t>
  </si>
  <si>
    <t>Semana 5</t>
  </si>
  <si>
    <t>Qtdade</t>
  </si>
  <si>
    <t>ID:</t>
  </si>
  <si>
    <t>Nova Venda</t>
  </si>
  <si>
    <t>Valor</t>
  </si>
  <si>
    <t>Penultima venda</t>
  </si>
  <si>
    <t>RCA</t>
  </si>
  <si>
    <t>Prazo</t>
  </si>
  <si>
    <t>Moacir</t>
  </si>
  <si>
    <t>Meta Conversão</t>
  </si>
  <si>
    <t>s</t>
  </si>
  <si>
    <t>t</t>
  </si>
  <si>
    <t>q</t>
  </si>
  <si>
    <t>Lauren</t>
  </si>
  <si>
    <t>Conversão</t>
  </si>
  <si>
    <t>André</t>
  </si>
  <si>
    <t>Henrique</t>
  </si>
  <si>
    <t>Item</t>
  </si>
  <si>
    <t>Douglas</t>
  </si>
  <si>
    <t>Não atendeu</t>
  </si>
  <si>
    <t>Contato Efetivo</t>
  </si>
  <si>
    <t>Meta Contato</t>
  </si>
  <si>
    <t>P</t>
  </si>
  <si>
    <t>Anna</t>
  </si>
  <si>
    <t>Natalia</t>
  </si>
  <si>
    <t>Larissa</t>
  </si>
  <si>
    <t>Rose</t>
  </si>
  <si>
    <t>Franciele</t>
  </si>
  <si>
    <t>Jairo</t>
  </si>
  <si>
    <t>Eduarda</t>
  </si>
  <si>
    <t>Elisiane</t>
  </si>
  <si>
    <t>Renata</t>
  </si>
  <si>
    <t>Andreia</t>
  </si>
  <si>
    <t>Evandro</t>
  </si>
  <si>
    <t>Ulisses</t>
  </si>
  <si>
    <t>Comparação do dia 8 para 17/4</t>
  </si>
  <si>
    <t>POSIÇÃO 8/4</t>
  </si>
  <si>
    <t>Entrou</t>
  </si>
  <si>
    <t>META CONVERSÃO FEITA</t>
  </si>
  <si>
    <t>Foi trabalhado</t>
  </si>
  <si>
    <t>Baixado Bloqueado/Prob Financeiro</t>
  </si>
  <si>
    <t>Pedido Mínimo</t>
  </si>
  <si>
    <t>POSIÇÃO 17/4</t>
  </si>
  <si>
    <t>META LIGAÇÃO/MENSAGEM</t>
  </si>
  <si>
    <t>Ataulizou entrou</t>
  </si>
  <si>
    <t>NOVOS</t>
  </si>
  <si>
    <t>Indicador</t>
  </si>
  <si>
    <t>Abril</t>
  </si>
  <si>
    <t>Maio</t>
  </si>
  <si>
    <t>Junho</t>
  </si>
  <si>
    <t>Conversões Totais</t>
  </si>
  <si>
    <t>Excedente / GAP</t>
  </si>
  <si>
    <t>Meta de Contatos</t>
  </si>
  <si>
    <t>Contatos Realizados</t>
  </si>
  <si>
    <t>Valor Recuperado</t>
  </si>
  <si>
    <t>Mês</t>
  </si>
  <si>
    <t>Conversões</t>
  </si>
  <si>
    <t>Variação</t>
  </si>
  <si>
    <t>-</t>
  </si>
  <si>
    <t>Atingiu?</t>
  </si>
  <si>
    <t>Não</t>
  </si>
  <si>
    <t>Sim</t>
  </si>
  <si>
    <t>Posição</t>
  </si>
  <si>
    <t>Resultado</t>
  </si>
  <si>
    <t>RESUMO</t>
  </si>
  <si>
    <t>CONTATOS</t>
  </si>
  <si>
    <t>VALOR RECUPERADO POR MÊS</t>
  </si>
  <si>
    <t>RANKING FINANCEIRO DO TRIMESTRE</t>
  </si>
  <si>
    <t>EVOLUÇÃO FINANCEIRA</t>
  </si>
  <si>
    <t>RESUMO DO TRIMESTRE</t>
  </si>
  <si>
    <t>Meta de Clientes Recuperados</t>
  </si>
  <si>
    <t>Realizado de Clientes Recuperados</t>
  </si>
  <si>
    <t>% Meta Recuperados</t>
  </si>
  <si>
    <t>% Meta Contato</t>
  </si>
  <si>
    <t>CONVERSÕES ( Tele + RCAs )</t>
  </si>
  <si>
    <t>RECUPERADOS</t>
  </si>
  <si>
    <t>Totais Recuperados</t>
  </si>
  <si>
    <t>RECUPERADOS POR RCA</t>
  </si>
  <si>
    <t>Painel CRM - Abril</t>
  </si>
  <si>
    <t>Painel CRM - Maio</t>
  </si>
  <si>
    <t>Painel CRM - Junho</t>
  </si>
  <si>
    <t>META</t>
  </si>
  <si>
    <t>REAL</t>
  </si>
  <si>
    <r>
      <t xml:space="preserve">Contatos Realizados- </t>
    </r>
    <r>
      <rPr>
        <b/>
        <sz val="8"/>
        <color rgb="FFFF0000"/>
        <rFont val="Arial"/>
        <family val="2"/>
        <scheme val="minor"/>
      </rPr>
      <t>CONTROLE META</t>
    </r>
  </si>
  <si>
    <t>Alexsandro</t>
  </si>
  <si>
    <t>xx</t>
  </si>
  <si>
    <t>Esteio</t>
  </si>
  <si>
    <t>MARCOS OLIVEIRA RODRIGUES</t>
  </si>
  <si>
    <t>47.829.257 CAROLINE DE OLIVEIRA FIGUEIRO</t>
  </si>
  <si>
    <t>ANGELICA DA COSTA SCHUMACHER</t>
  </si>
  <si>
    <t>LUANA DA CUNHA LEGEMANN</t>
  </si>
  <si>
    <t>TAMIRIS MAGALHAES DE OLIVEIRA</t>
  </si>
  <si>
    <t>26.553.758 JOICY BOTELHO MEDEIROS</t>
  </si>
  <si>
    <t>60.588.164 DIELI MARIANO ANTUNES</t>
  </si>
  <si>
    <t>58.961.833 ERICK DA SILVA DUARTE</t>
  </si>
  <si>
    <t>ADAO MESQUITA MENDES</t>
  </si>
  <si>
    <t>ANA MARTINS SODRE</t>
  </si>
  <si>
    <t>COMERCIO SABIO LTDA</t>
  </si>
  <si>
    <t>LUANA POGORZELSKI WEBER</t>
  </si>
  <si>
    <t>CLEONICE SILVA CAMEJO KLOECKNER</t>
  </si>
  <si>
    <t>50.494.223 VIVIANE JACQUES GOMES JARDIM</t>
  </si>
  <si>
    <t>NADIA GOMES BITTENCOURT ZEFERINO</t>
  </si>
  <si>
    <t>P P DE LEON ANAN LTDA</t>
  </si>
  <si>
    <t>PEDRO A VON MUHLEN &amp; CIA LTDA</t>
  </si>
  <si>
    <t>NICK SOUZA FARIAS</t>
  </si>
  <si>
    <t>DALVA SCHEFFER HOMEM</t>
  </si>
  <si>
    <t>JADIANE DE SOUZA MIRANDA</t>
  </si>
  <si>
    <t>CLAUDIO LUIZ ANTONIO DA SILVA</t>
  </si>
  <si>
    <t>ROSELE MEDINA GASQUE</t>
  </si>
  <si>
    <t>CLIENTE</t>
  </si>
  <si>
    <t>58.161.664 SIMONE CARVALHO DA SILVA</t>
  </si>
  <si>
    <t>CATIA MICHELE BONILHA PINTO</t>
  </si>
  <si>
    <t>MARCELO SPALDING SCHUMACHER</t>
  </si>
  <si>
    <t>40.327.341 FABIANO DUTRA MELLO</t>
  </si>
  <si>
    <t>27.694.894 CLAUDETE LAVI MARQUES</t>
  </si>
  <si>
    <t>62.638.466 LUANA TAIS DA ROCHA RIBEIRO</t>
  </si>
  <si>
    <t>PERETTO COMERCIO DE ALIMENTOS LTDA</t>
  </si>
  <si>
    <t>BROTHERS CAFETERIA LTDA</t>
  </si>
  <si>
    <t>63.837.950 LUCAS SANTOS CRUZ</t>
  </si>
  <si>
    <t>CATHERINE OKCHSTEIN KELBERT 78874645015</t>
  </si>
  <si>
    <t>TANIA LIMA DA COSTA 47171812049</t>
  </si>
  <si>
    <t>MOACIR DOMINGOS MOCELLIN</t>
  </si>
  <si>
    <t>SUL BEER BAR LTDA</t>
  </si>
  <si>
    <t>60.267.140 KESIA TELLES RODRIGUES CHAVES</t>
  </si>
  <si>
    <t>JONAS MENDES VIEIRA</t>
  </si>
  <si>
    <t>57.087.406 RODRIGO RAMOS FORTUNATO</t>
  </si>
  <si>
    <t>JULIA MACHADO FERREIRA</t>
  </si>
  <si>
    <t>ROSELENE CARVALHO BIBIANO</t>
  </si>
  <si>
    <t>SINGULAR GOURMET GASTRONOMIA LTDA</t>
  </si>
  <si>
    <t>56.356.834 SABRINA VITORIA OLIVEIRA DA SILVA</t>
  </si>
  <si>
    <t>CAROLAINE MACHADO</t>
  </si>
  <si>
    <t>LUCILENE BATISTA DE OLIVEIRA</t>
  </si>
  <si>
    <t>BRUNO TELLES CAMARGO</t>
  </si>
  <si>
    <t>SCARTEZZINI E GRIEBELER LTDA</t>
  </si>
  <si>
    <t>SANDRO DE OLIVEIRA TORMAN</t>
  </si>
  <si>
    <t>GIOVANA BORTOLOTTI LTDA</t>
  </si>
  <si>
    <t>FABIANE SANTOS CARVALHO</t>
  </si>
  <si>
    <t>EMILENE DA SILVA RAMOS</t>
  </si>
  <si>
    <t>54.188.182 NEUZA MARIA NAZARIO DOS SANTOS</t>
  </si>
  <si>
    <t>DARCIRIO PEREIRA DOS SANTOS JUNIOR</t>
  </si>
  <si>
    <t>DARLEI MOREIRA</t>
  </si>
  <si>
    <t>SCHAEFER SORVETERIA LTDA</t>
  </si>
  <si>
    <t>27.921.852 ANIR JOVENIL FAOTTO</t>
  </si>
  <si>
    <t>VILMAR FRANCISCO DE INHAIA</t>
  </si>
  <si>
    <t>JULIO CESAR VIANA PRATES 43984363087</t>
  </si>
  <si>
    <t>LUCAS WILLIAN DE MOURA MACHADO</t>
  </si>
  <si>
    <t>VIVIANE BASTOS COSTAS</t>
  </si>
  <si>
    <t>53.660.499 MIRTENES GOMES MENEZES</t>
  </si>
  <si>
    <t>ACALENTO NUCLEO DE EDUCACAO INFANTIL LTDA</t>
  </si>
  <si>
    <t>57.081.732 EVELIN EDUARDA SESTHERAIM</t>
  </si>
  <si>
    <t>51.971.735 MONICA CRISTIANE ALVES</t>
  </si>
  <si>
    <t>LISANDRA MARIA LUDWIG</t>
  </si>
  <si>
    <t>62.668.950 ANA PAULA DA SILVA</t>
  </si>
  <si>
    <t/>
  </si>
  <si>
    <t>COMERCIAL DE ALIMENTOS FRANGO NO POTE LIVRAMENTO LTDA</t>
  </si>
  <si>
    <t>CARMEN BORGES</t>
  </si>
  <si>
    <t>TIAGO SANTOS DE PAULA 02799573002</t>
  </si>
  <si>
    <t>12.683.141 CATLEN CHAIANA DA SILVA TEIXE</t>
  </si>
  <si>
    <t>RAFAEL FRANCO DOS SANTOS</t>
  </si>
  <si>
    <t>LANCHONETE VRM LTDA</t>
  </si>
  <si>
    <t>MASTER PIZZA PIZZARIA LTDA</t>
  </si>
  <si>
    <t>62.199.517 CLAUDIMARA VICENTINA DE CARVALHO BEISE</t>
  </si>
  <si>
    <t>46.445.588 MEIRY JANE FARIAS NEGIDIO</t>
  </si>
  <si>
    <t>ROSALINA RIBEIRO GOES VAZZATA 9798472802</t>
  </si>
  <si>
    <t>CASA DI PAOLO GALETO E GRELHADOS BENTO EIRELI</t>
  </si>
  <si>
    <t>RESTAURANTE SAN GENNARO LTDA</t>
  </si>
  <si>
    <t>AIRTON J.C. DE FARIAS</t>
  </si>
  <si>
    <t>JISIANE DA SILVA FONSECA</t>
  </si>
  <si>
    <t>BEAR ICE GELO EM CUBOS LTDA</t>
  </si>
  <si>
    <t>63.126.225 REGIS PEREIRA DE LIMA</t>
  </si>
  <si>
    <t>CAMILA MACHADO ELICKER 00477725066</t>
  </si>
  <si>
    <t>DANIEL JOSE OLIVEIRA DE OLIVEIRA</t>
  </si>
  <si>
    <t>57.953.114 RAFAEL LIMA DE OLIVEIRA</t>
  </si>
  <si>
    <t>LUIZ TORALES</t>
  </si>
  <si>
    <t>JOTANIL COMERCIO DE ALIMENTOS LTDA</t>
  </si>
  <si>
    <t>CRISTIANE TELES VIEIRA LTDA</t>
  </si>
  <si>
    <t>LUIS FERNANDO SILVA HENRIQUE 00868555061</t>
  </si>
  <si>
    <t>JUCA LANCHES LTDA ME</t>
  </si>
  <si>
    <t>14.409.681 FERNANDO LUDWIG DE BITENCOURT</t>
  </si>
  <si>
    <t>JAQUELINE DA SILVA</t>
  </si>
  <si>
    <t>CLIENTES</t>
  </si>
  <si>
    <t>GIULIANO WROBLESKI DE ALMEIDA</t>
  </si>
  <si>
    <t>SIMONE MARIA DA COSTA SOARES 71508686068</t>
  </si>
  <si>
    <t>DORNELLES &amp; DORNELLES LTDA</t>
  </si>
  <si>
    <t>ANA RUTH PEREIRA DA VEIGA</t>
  </si>
  <si>
    <t>RAYSSA VITORIA DE FREITAS SILVA</t>
  </si>
  <si>
    <t>JOCELI MARTINS</t>
  </si>
  <si>
    <t>60.160.620 TATIANE PINHEIRO FURTADO DE OLIVEIRA</t>
  </si>
  <si>
    <t>50.531.220 DOUGLAS CARVALHO GARCIA DA SILVA</t>
  </si>
  <si>
    <t>NATHALIA SOUZA TASSONI</t>
  </si>
  <si>
    <t>62.816.739 TIAGO DA COSTA BORGES</t>
  </si>
  <si>
    <t>VITORIA DA SILVA GUTIERREZ</t>
  </si>
  <si>
    <t>CAFE DA PRAIA RESTAURANTE E CAFETERIA LT</t>
  </si>
  <si>
    <t>DOMENICO FOOD LTDA</t>
  </si>
  <si>
    <t>60.313.027 DIEGO MANOEL DA SILVA</t>
  </si>
  <si>
    <t>MARCELO LIGABUE LANCHES</t>
  </si>
  <si>
    <t>NEIVA TEREZINHA PEREIRA</t>
  </si>
  <si>
    <t>MONICA DIAS DA SILVA</t>
  </si>
  <si>
    <t>KAUE SILVA</t>
  </si>
  <si>
    <t>49.146.914 GIULLIANO BONNEMBERG CAMARGO DA SILVA</t>
  </si>
  <si>
    <t>RAIZ RESTAURANTE LTDA</t>
  </si>
  <si>
    <t>63.201.191 JULIANO SILVA SOUZA</t>
  </si>
  <si>
    <t>63.389.815 TAINARA LOPES MONTEIRO</t>
  </si>
  <si>
    <t>48.380.544 ROZEMERY MARTINS DE SOUZA</t>
  </si>
  <si>
    <t>48.972.716 ADRIANA LUIZA ELSENBACK DA SILVA</t>
  </si>
  <si>
    <t>HOSPITAL BDW POA LTDA</t>
  </si>
  <si>
    <t>ELISANGELA ROSCA MARIANO</t>
  </si>
  <si>
    <t>62.220.880 DIENEFER TAINARA FROS DA LUZ</t>
  </si>
  <si>
    <t>BISTRO GAIA COZINHA CRIATIVA LTDA</t>
  </si>
  <si>
    <t>MARCOS CATAFESTA DA SILVA 29550793087</t>
  </si>
  <si>
    <t>MICHELE FROS ARAUJO 02613129018</t>
  </si>
  <si>
    <t>28.679.102 MANOEL DIEGO MORAIS GAUTERIO</t>
  </si>
  <si>
    <t>ROBERTA GRAZIANE DA SILVA</t>
  </si>
  <si>
    <t>MIATTO CAFE LTDA</t>
  </si>
  <si>
    <t>PITANGA ESCOLA DE EDUCAC?O INFANTIL LTDA</t>
  </si>
  <si>
    <t>JOSIENE SILVA MESQUITA</t>
  </si>
  <si>
    <t>44.571.711 ADRIANA GOMES DE AVILA</t>
  </si>
  <si>
    <t>ANDRE REY MOLLER</t>
  </si>
  <si>
    <t>47.801.176 PAULO ROBERTO VARGAS DE OLIVEIRA</t>
  </si>
  <si>
    <t>LANCHERIA BOM SABOR LTDA</t>
  </si>
  <si>
    <t>40.199.704 GUILHERME PERES LEAL</t>
  </si>
  <si>
    <t>FERNANDA CACERES</t>
  </si>
  <si>
    <t>ALECSANDRO SILVEIRA CRISTOV?O</t>
  </si>
  <si>
    <t>MINIMERCADO PAI E FILHO</t>
  </si>
  <si>
    <t>SARA MADALENA SILVA DE SOUZA</t>
  </si>
  <si>
    <t>MADU FOODS LTDA</t>
  </si>
  <si>
    <t>ARTE EM PAO PADARIA LTDA</t>
  </si>
  <si>
    <t>52.636.111 LUIZ AMPESSAN JUNIOR</t>
  </si>
  <si>
    <t>BAR E LANCHERIA REALEZA EIRELI</t>
  </si>
  <si>
    <t>ANDRESSA VARGAS DE AZEVEDO</t>
  </si>
  <si>
    <t>60.426.891 YSMAEL SIQUEIRA SILVA DA SILVA</t>
  </si>
  <si>
    <t>49.363.694 ANTONIO GELSON DE OLIVEIRA AR</t>
  </si>
  <si>
    <t>CONFEITARIA ZONA SUL LTDA</t>
  </si>
  <si>
    <t>57.274.207 BRUNA NASCIMENTO SILVA</t>
  </si>
  <si>
    <t>ALEXIA PIETRA MEDEIROS</t>
  </si>
  <si>
    <t>DIOVANI DA SILVA</t>
  </si>
  <si>
    <t>LANCHONETE O SANTO LTDA</t>
  </si>
  <si>
    <t>ELDER YURI CUNHA LOPES 04484948095</t>
  </si>
  <si>
    <t>JOSE CARLOS DE OLIVEIRA</t>
  </si>
  <si>
    <t>TALISSON SASSO HOMEM</t>
  </si>
  <si>
    <t>44.109.137 EZEQUIEL DOS SANTOS</t>
  </si>
  <si>
    <t>GONI CONSULTORIA LTDA</t>
  </si>
  <si>
    <t>36.020.214 BRUNA TERESINHA MENDES RENE D</t>
  </si>
  <si>
    <t>DOUGLAS DE MORAES HOMEM</t>
  </si>
  <si>
    <t>CLAUDETE MLLER ENGELMANN</t>
  </si>
  <si>
    <t>ANGELICA BLANGER JORDON</t>
  </si>
  <si>
    <t>ACF COMERCIO DE ALIMENTOS LTDA</t>
  </si>
  <si>
    <t>ANDREW TAROUCO MONTIEL</t>
  </si>
  <si>
    <t>OFICINA DOS SONHOS CASA DE FESTAS LTDA</t>
  </si>
  <si>
    <t>JO?O BATISTA PEREIRA DA SILVA</t>
  </si>
  <si>
    <t>TAFAIEL HENRIQUE DAL CASTEL</t>
  </si>
  <si>
    <t>ASSOCIACAO DE ASSISTENCIA SOCIAL BOM PAS</t>
  </si>
  <si>
    <t>LERIDA KARINA DA COSTA MORAES</t>
  </si>
  <si>
    <t>56.127.975 JOELMA ARAUJO FAGUNDES</t>
  </si>
  <si>
    <t>LUCIANE TERESINHA BORGES 83405240034</t>
  </si>
  <si>
    <t>CABO HORN BAR LTDA</t>
  </si>
  <si>
    <t>63.411.527 LUCIANO GARCIA CARVALHO</t>
  </si>
  <si>
    <t>LAURECI AVILA MASSENA</t>
  </si>
  <si>
    <t>F T M COMERCIO DE BEBIDAS LTDA</t>
  </si>
  <si>
    <t>DIEGO BATISTA MOREIRA</t>
  </si>
  <si>
    <t>ANDREW SILVA DE MELO</t>
  </si>
  <si>
    <t>MIRIAN VERARDI DE SOUZA</t>
  </si>
  <si>
    <t>JANA RICARDO DE PAULA</t>
  </si>
  <si>
    <t>KELLY SOARES BORGES</t>
  </si>
  <si>
    <t>CLAUDIA LISBOA</t>
  </si>
  <si>
    <t>SUZANA MOTTA BRAGA PACHECO</t>
  </si>
  <si>
    <t>EVALDO SOUZA DE OLIVEIRA 66786240097</t>
  </si>
  <si>
    <t>IONE DE FATIMA SANTOS ROSA</t>
  </si>
  <si>
    <t>ELIVONE DA SILVA FORTE</t>
  </si>
  <si>
    <t>ELENICE NOGUEIRA DOMINGUES KONRADT 01936202000</t>
  </si>
  <si>
    <t>TRI INDUSTRIA CAMISETAS &amp; EVENTOS LTDA</t>
  </si>
  <si>
    <t>DAIANE FESTINALLI &amp; CIA LTDA</t>
  </si>
  <si>
    <t>57.732.143 CARINA APARECIDA BORGES</t>
  </si>
  <si>
    <t>CARLA FABIANE DE OLIVEIRA ABREU</t>
  </si>
  <si>
    <t>ELAINE PEREIRA DA SILVA</t>
  </si>
  <si>
    <t>KELLI CRISTINA ARAUJO</t>
  </si>
  <si>
    <t>ORY LAUX &amp; CIA LTDA</t>
  </si>
  <si>
    <t>TIAGO DIAS</t>
  </si>
  <si>
    <t>INDUSTRIA DE ALIMENTOS DU VALLE LTDA</t>
  </si>
  <si>
    <t>ANA CLAUDIA DE SOUZA ANGELO</t>
  </si>
  <si>
    <t>ANDERSON PADILHA DOS SANTOS</t>
  </si>
  <si>
    <t>ANDRE LEANDRO SCHNEIDER</t>
  </si>
  <si>
    <t>49.789.249 CAROLINE DOS SANTOS LUIZ</t>
  </si>
  <si>
    <t>CHURRASCARIA GARFO E BOMBACHA LTDA</t>
  </si>
  <si>
    <t>56.058.941 TAIS COSTA DE OLIVEIRA SILVA</t>
  </si>
  <si>
    <t>BENDITO SABOR LTDA</t>
  </si>
  <si>
    <t>SANDRA MARIA GEHLEN</t>
  </si>
  <si>
    <t>CARLOS EDUARDO SCHMITT</t>
  </si>
  <si>
    <t>LANCHERIA TIA JU LTDA</t>
  </si>
  <si>
    <t>PORTO SUSHI RESTAURANTE LTDA</t>
  </si>
  <si>
    <t>PMA COMERCIO DE BEBIDAS LTDA</t>
  </si>
  <si>
    <t>JULIA SILVA DOS SANTOS</t>
  </si>
  <si>
    <t>LIMAS MERCADO LTDA</t>
  </si>
  <si>
    <t>55.863.802 FRANCIELI RIBEIRO GOSS</t>
  </si>
  <si>
    <t>GISLAINE LOPES 00680937056</t>
  </si>
  <si>
    <t>FIN INDUSTRIA DE ALIMENTOS LTDA</t>
  </si>
  <si>
    <t>JC CENTRO TERAPEUTICO SALVANDO VIDAS LTD</t>
  </si>
  <si>
    <t>FATURAMENTO</t>
  </si>
  <si>
    <t xml:space="preserve">MÊS </t>
  </si>
  <si>
    <t>ID CLIENTE</t>
  </si>
  <si>
    <t>TELEVENDEDORA</t>
  </si>
  <si>
    <t>JULIANE DA SILVA CORRÊA</t>
  </si>
  <si>
    <t>Conversão / Televendas</t>
  </si>
  <si>
    <t>Contatos Realizados (Não conta pra meta)</t>
  </si>
  <si>
    <t>META CONTATOS - DETERMINADA DE 15 À 30/04</t>
  </si>
  <si>
    <t>META POSITIVAÇÃO</t>
  </si>
  <si>
    <t>conversão total (Televendas + RCA)</t>
  </si>
  <si>
    <t>GAP</t>
  </si>
  <si>
    <t>META CONTATOS - DETERMINADA DE 04/05 À 29/05</t>
  </si>
  <si>
    <r>
      <t xml:space="preserve">DADOS DO DIA - </t>
    </r>
    <r>
      <rPr>
        <b/>
        <i/>
        <sz val="11"/>
        <color rgb="FF000000"/>
        <rFont val="Calibri"/>
      </rPr>
      <t>PAINEL CONSOLIDADO</t>
    </r>
  </si>
  <si>
    <t>TOTAL DO MÊS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</si>
</sst>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44" formatCode="_-&quot;R$&quot;\ * #,##0.00_-;\-&quot;R$&quot;\ * #,##0.00_-;_-&quot;R$&quot;\ * &quot;-&quot;??_-;_-@_-"/>
  </numFmts>
  <fonts count="7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8"/>
      <color theme="1"/>
      <name val="Arial"/>
      <family val="2"/>
      <scheme val="minor"/>
    </font>
    <font>
      <sz val="8"/>
      <name val="Arial"/>
      <family val="2"/>
      <scheme val="minor"/>
    </font>
    <font>
      <sz val="10"/>
      <color theme="0"/>
      <name val="Arial"/>
      <family val="2"/>
      <scheme val="minor"/>
    </font>
    <font>
      <sz val="8"/>
      <color theme="0"/>
      <name val="Arial"/>
      <family val="2"/>
      <scheme val="minor"/>
    </font>
    <font>
      <sz val="8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8"/>
      <color rgb="FFFF0000"/>
      <name val="Arial"/>
      <family val="2"/>
      <scheme val="minor"/>
    </font>
    <font>
      <sz val="9"/>
      <color rgb="FF000000"/>
      <name val="Calibri"/>
      <family val="2"/>
    </font>
    <font>
      <sz val="9"/>
      <name val="Calibri"/>
      <family val="2"/>
    </font>
    <font>
      <b/>
      <sz val="9"/>
      <color rgb="FF000000"/>
      <name val="Calibri"/>
      <family val="2"/>
    </font>
    <font>
      <sz val="8"/>
      <color rgb="FF000000"/>
      <name val="Calibri"/>
      <family val="2"/>
    </font>
    <font>
      <b/>
      <sz val="9"/>
      <color rgb="FFFF0000"/>
      <name val="Calibri"/>
      <family val="2"/>
    </font>
    <font>
      <b/>
      <sz val="14"/>
      <color rgb="FFFF0000"/>
      <name val="Calibri"/>
      <family val="2"/>
    </font>
    <font>
      <sz val="14"/>
      <color rgb="FF000000"/>
      <name val="Calibri"/>
      <family val="2"/>
    </font>
    <font>
      <b/>
      <sz val="18"/>
      <color rgb="FFFF0000"/>
      <name val="Calibri"/>
      <family val="2"/>
    </font>
    <font>
      <b/>
      <sz val="8"/>
      <color rgb="FF000000"/>
      <name val="Calibri"/>
      <family val="2"/>
    </font>
    <font>
      <b/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sz val="9"/>
      <color rgb="FF000000"/>
      <name val="Calibri"/>
    </font>
    <font>
      <sz val="9"/>
      <name val="Calibri"/>
    </font>
    <font>
      <sz val="9"/>
      <color rgb="FFFFFFFF"/>
      <name val="Calibri"/>
    </font>
    <font>
      <sz val="8"/>
      <color rgb="FF242424"/>
      <name val="Segoe UI"/>
      <family val="2"/>
    </font>
    <font>
      <sz val="9"/>
      <color rgb="FFFFFFFF"/>
      <name val="Calibri"/>
      <family val="2"/>
    </font>
    <font>
      <sz val="10"/>
      <color rgb="FFFFFFFF"/>
      <name val="Arial"/>
      <family val="2"/>
      <scheme val="minor"/>
    </font>
    <font>
      <sz val="8"/>
      <color rgb="FFFFFFFF"/>
      <name val="Arial"/>
      <family val="2"/>
      <scheme val="minor"/>
    </font>
    <font>
      <sz val="10"/>
      <color rgb="FFFF0000"/>
      <name val="Arial"/>
      <scheme val="minor"/>
    </font>
    <font>
      <b/>
      <sz val="8"/>
      <color rgb="FF000000"/>
      <name val="Arial"/>
      <family val="2"/>
      <scheme val="minor"/>
    </font>
    <font>
      <b/>
      <sz val="8"/>
      <color rgb="FFFFFFFF"/>
      <name val="Arial"/>
      <family val="2"/>
      <scheme val="minor"/>
    </font>
    <font>
      <b/>
      <sz val="9"/>
      <color rgb="FFFFFFFF"/>
      <name val="Calibri"/>
      <family val="2"/>
    </font>
    <font>
      <sz val="10"/>
      <color rgb="FF000000"/>
      <name val="Arial"/>
      <scheme val="minor"/>
    </font>
    <font>
      <sz val="18"/>
      <color theme="3"/>
      <name val="Arial"/>
      <family val="2"/>
      <scheme val="major"/>
    </font>
    <font>
      <b/>
      <sz val="15"/>
      <color theme="3"/>
      <name val="Arial"/>
      <family val="2"/>
      <scheme val="minor"/>
    </font>
    <font>
      <b/>
      <sz val="13"/>
      <color theme="3"/>
      <name val="Arial"/>
      <family val="2"/>
      <scheme val="minor"/>
    </font>
    <font>
      <b/>
      <sz val="11"/>
      <color theme="3"/>
      <name val="Arial"/>
      <family val="2"/>
      <scheme val="minor"/>
    </font>
    <font>
      <sz val="11"/>
      <color rgb="FF006100"/>
      <name val="Arial"/>
      <family val="2"/>
      <scheme val="minor"/>
    </font>
    <font>
      <sz val="11"/>
      <color rgb="FF9C0006"/>
      <name val="Arial"/>
      <family val="2"/>
      <scheme val="minor"/>
    </font>
    <font>
      <sz val="11"/>
      <color rgb="FF9C5700"/>
      <name val="Arial"/>
      <family val="2"/>
      <scheme val="minor"/>
    </font>
    <font>
      <sz val="11"/>
      <color rgb="FF3F3F76"/>
      <name val="Arial"/>
      <family val="2"/>
      <scheme val="minor"/>
    </font>
    <font>
      <b/>
      <sz val="11"/>
      <color rgb="FF3F3F3F"/>
      <name val="Arial"/>
      <family val="2"/>
      <scheme val="minor"/>
    </font>
    <font>
      <b/>
      <sz val="11"/>
      <color rgb="FFFA7D00"/>
      <name val="Arial"/>
      <family val="2"/>
      <scheme val="minor"/>
    </font>
    <font>
      <sz val="11"/>
      <color rgb="FFFA7D00"/>
      <name val="Arial"/>
      <family val="2"/>
      <scheme val="minor"/>
    </font>
    <font>
      <b/>
      <sz val="11"/>
      <color theme="0"/>
      <name val="Arial"/>
      <family val="2"/>
      <scheme val="minor"/>
    </font>
    <font>
      <sz val="11"/>
      <color rgb="FFFF0000"/>
      <name val="Arial"/>
      <family val="2"/>
      <scheme val="minor"/>
    </font>
    <font>
      <i/>
      <sz val="11"/>
      <color rgb="FF7F7F7F"/>
      <name val="Arial"/>
      <family val="2"/>
      <scheme val="minor"/>
    </font>
    <font>
      <b/>
      <sz val="11"/>
      <color theme="1"/>
      <name val="Arial"/>
      <family val="2"/>
      <scheme val="minor"/>
    </font>
    <font>
      <sz val="11"/>
      <color theme="0"/>
      <name val="Arial"/>
      <family val="2"/>
      <scheme val="minor"/>
    </font>
    <font>
      <sz val="11"/>
      <name val="Calibri"/>
      <family val="2"/>
    </font>
    <font>
      <sz val="10"/>
      <color rgb="FF000000"/>
      <name val="Arial Unicode MS"/>
    </font>
    <font>
      <sz val="11"/>
      <name val="Calibri"/>
      <charset val="1"/>
    </font>
    <font>
      <sz val="10"/>
      <color rgb="FF000000"/>
      <name val="Arial"/>
    </font>
    <font>
      <sz val="8"/>
      <name val="Arial"/>
      <scheme val="minor"/>
    </font>
    <font>
      <b/>
      <sz val="11"/>
      <name val="Calibri"/>
      <family val="2"/>
    </font>
    <font>
      <sz val="9"/>
      <color theme="0"/>
      <name val="Calibri"/>
    </font>
    <font>
      <b/>
      <sz val="9"/>
      <color theme="0"/>
      <name val="Calibri"/>
    </font>
    <font>
      <sz val="9"/>
      <color theme="1"/>
      <name val="Calibri"/>
    </font>
    <font>
      <sz val="8"/>
      <color rgb="FF000000"/>
      <name val="Calibri"/>
    </font>
    <font>
      <b/>
      <sz val="9"/>
      <color rgb="FF000000"/>
      <name val="Calibri"/>
    </font>
    <font>
      <sz val="8"/>
      <color theme="1"/>
      <name val="Arial"/>
      <scheme val="minor"/>
    </font>
    <font>
      <b/>
      <sz val="9"/>
      <color rgb="FFFF0000"/>
      <name val="Calibri"/>
    </font>
    <font>
      <sz val="9"/>
      <color theme="0"/>
      <name val="Calibri"/>
      <family val="2"/>
    </font>
    <font>
      <b/>
      <sz val="9"/>
      <color theme="0"/>
      <name val="Calibri"/>
      <family val="2"/>
    </font>
    <font>
      <sz val="9"/>
      <color theme="1"/>
      <name val="Calibri"/>
      <family val="2"/>
    </font>
    <font>
      <b/>
      <sz val="8"/>
      <color rgb="FFFF0000"/>
      <name val="Calibri"/>
      <family val="2"/>
    </font>
    <font>
      <b/>
      <sz val="11"/>
      <color rgb="FF000000"/>
      <name val="Calibri"/>
    </font>
    <font>
      <b/>
      <i/>
      <sz val="11"/>
      <color rgb="FF000000"/>
      <name val="Calibri"/>
    </font>
    <font>
      <sz val="11"/>
      <color rgb="FF000000"/>
      <name val="Calibri"/>
      <family val="2"/>
    </font>
  </fonts>
  <fills count="56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499984740745262"/>
        <bgColor rgb="FF134F5C"/>
      </patternFill>
    </fill>
    <fill>
      <patternFill patternType="solid">
        <fgColor theme="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93D93"/>
        <bgColor rgb="FF000000"/>
      </patternFill>
    </fill>
    <fill>
      <patternFill patternType="solid">
        <fgColor rgb="FF093D93"/>
        <bgColor rgb="FF666666"/>
      </patternFill>
    </fill>
    <fill>
      <patternFill patternType="solid">
        <fgColor rgb="FF093D93"/>
        <bgColor rgb="FF134F5C"/>
      </patternFill>
    </fill>
    <fill>
      <patternFill patternType="solid">
        <fgColor rgb="FFFFFFFF"/>
        <bgColor rgb="FF000000"/>
      </patternFill>
    </fill>
    <fill>
      <patternFill patternType="solid">
        <fgColor rgb="FFFBBC04"/>
        <bgColor rgb="FF000000"/>
      </patternFill>
    </fill>
    <fill>
      <patternFill patternType="solid">
        <fgColor rgb="FFEA4335"/>
        <bgColor rgb="FF000000"/>
      </patternFill>
    </fill>
    <fill>
      <patternFill patternType="solid">
        <fgColor rgb="FFFDE49B"/>
        <bgColor rgb="FF000000"/>
      </patternFill>
    </fill>
    <fill>
      <patternFill patternType="solid">
        <fgColor rgb="FFFEF2CD"/>
        <bgColor rgb="FF000000"/>
      </patternFill>
    </fill>
    <fill>
      <patternFill patternType="solid">
        <fgColor rgb="FF4285F4"/>
        <bgColor rgb="FF000000"/>
      </patternFill>
    </fill>
    <fill>
      <patternFill patternType="solid">
        <fgColor rgb="FFFF6D01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indexed="64"/>
      </patternFill>
    </fill>
    <fill>
      <patternFill patternType="solid">
        <fgColor theme="4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 tint="-0.14999847407452621"/>
        <bgColor indexed="64"/>
      </patternFill>
    </fill>
  </fills>
  <borders count="64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rgb="FF000000"/>
      </left>
      <right style="dotted">
        <color rgb="FF000000"/>
      </right>
      <top style="medium">
        <color rgb="FF000000"/>
      </top>
      <bottom style="dotted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dotted">
        <color rgb="FF000000"/>
      </left>
      <right style="dotted">
        <color rgb="FF000000"/>
      </right>
      <top style="medium">
        <color rgb="FF000000"/>
      </top>
      <bottom style="dotted">
        <color rgb="FF000000"/>
      </bottom>
      <diagonal/>
    </border>
    <border>
      <left style="dotted">
        <color rgb="FF000000"/>
      </left>
      <right/>
      <top style="medium">
        <color rgb="FF000000"/>
      </top>
      <bottom style="dotted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medium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 style="dotted">
        <color rgb="FF000000"/>
      </right>
      <top style="dotted">
        <color rgb="FF000000"/>
      </top>
      <bottom style="medium">
        <color rgb="FF000000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/>
      <top/>
      <bottom style="dash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medium">
        <color rgb="FF000000"/>
      </bottom>
      <diagonal/>
    </border>
    <border>
      <left style="medium">
        <color rgb="FF000000"/>
      </left>
      <right style="dotted">
        <color rgb="FF000000"/>
      </right>
      <top style="dotted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dotted">
        <color rgb="FF000000"/>
      </left>
      <right/>
      <top style="dotted">
        <color rgb="FF000000"/>
      </top>
      <bottom style="medium">
        <color rgb="FF000000"/>
      </bottom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dashed">
        <color rgb="FF000000"/>
      </left>
      <right style="dashed">
        <color rgb="FF000000"/>
      </right>
      <top/>
      <bottom/>
      <diagonal/>
    </border>
    <border>
      <left style="dashed">
        <color rgb="FF000000"/>
      </left>
      <right/>
      <top/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rgb="FF000000"/>
      </left>
      <right/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dashed">
        <color rgb="FF000000"/>
      </left>
      <right style="dashed">
        <color rgb="FF000000"/>
      </right>
      <top/>
      <bottom style="dashed">
        <color rgb="FF000000"/>
      </bottom>
      <diagonal/>
    </border>
    <border>
      <left style="dashed">
        <color rgb="FF000000"/>
      </left>
      <right/>
      <top/>
      <bottom style="dashed">
        <color rgb="FF000000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dashed">
        <color rgb="FF000000"/>
      </left>
      <right/>
      <top style="dashed">
        <color rgb="FF000000"/>
      </top>
      <bottom style="dashed">
        <color rgb="FF000000"/>
      </bottom>
      <diagonal/>
    </border>
  </borders>
  <cellStyleXfs count="3650">
    <xf numFmtId="0" fontId="0" fillId="0" borderId="0"/>
    <xf numFmtId="44" fontId="34" fillId="0" borderId="0" applyFont="0" applyFill="0" applyBorder="0" applyAlignment="0" applyProtection="0"/>
    <xf numFmtId="0" fontId="35" fillId="0" borderId="0" applyNumberFormat="0" applyFill="0" applyBorder="0" applyAlignment="0" applyProtection="0"/>
    <xf numFmtId="0" fontId="36" fillId="0" borderId="51" applyNumberFormat="0" applyFill="0" applyAlignment="0" applyProtection="0"/>
    <xf numFmtId="0" fontId="37" fillId="0" borderId="52" applyNumberFormat="0" applyFill="0" applyAlignment="0" applyProtection="0"/>
    <xf numFmtId="0" fontId="38" fillId="0" borderId="53" applyNumberFormat="0" applyFill="0" applyAlignment="0" applyProtection="0"/>
    <xf numFmtId="0" fontId="38" fillId="0" borderId="0" applyNumberFormat="0" applyFill="0" applyBorder="0" applyAlignment="0" applyProtection="0"/>
    <xf numFmtId="0" fontId="39" fillId="19" borderId="0" applyNumberFormat="0" applyBorder="0" applyAlignment="0" applyProtection="0"/>
    <xf numFmtId="0" fontId="40" fillId="20" borderId="0" applyNumberFormat="0" applyBorder="0" applyAlignment="0" applyProtection="0"/>
    <xf numFmtId="0" fontId="41" fillId="21" borderId="0" applyNumberFormat="0" applyBorder="0" applyAlignment="0" applyProtection="0"/>
    <xf numFmtId="0" fontId="42" fillId="22" borderId="54" applyNumberFormat="0" applyAlignment="0" applyProtection="0"/>
    <xf numFmtId="0" fontId="43" fillId="23" borderId="55" applyNumberFormat="0" applyAlignment="0" applyProtection="0"/>
    <xf numFmtId="0" fontId="44" fillId="23" borderId="54" applyNumberFormat="0" applyAlignment="0" applyProtection="0"/>
    <xf numFmtId="0" fontId="45" fillId="0" borderId="56" applyNumberFormat="0" applyFill="0" applyAlignment="0" applyProtection="0"/>
    <xf numFmtId="0" fontId="46" fillId="24" borderId="57" applyNumberFormat="0" applyAlignment="0" applyProtection="0"/>
    <xf numFmtId="0" fontId="47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9" fillId="0" borderId="59" applyNumberFormat="0" applyFill="0" applyAlignment="0" applyProtection="0"/>
    <xf numFmtId="0" fontId="50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50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50" fillId="34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50" fillId="38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50" fillId="42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50" fillId="46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51" fillId="0" borderId="0"/>
    <xf numFmtId="0" fontId="4" fillId="0" borderId="0"/>
    <xf numFmtId="0" fontId="4" fillId="25" borderId="58" applyNumberFormat="0" applyFont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44" fontId="51" fillId="0" borderId="0" applyFont="0" applyFill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53" fillId="0" borderId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44" fontId="53" fillId="0" borderId="0" applyFont="0" applyFill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4" fillId="0" borderId="0"/>
    <xf numFmtId="44" fontId="34" fillId="0" borderId="0" applyFont="0" applyFill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51" fillId="0" borderId="0"/>
    <xf numFmtId="0" fontId="3" fillId="0" borderId="0"/>
    <xf numFmtId="0" fontId="3" fillId="25" borderId="58" applyNumberFormat="0" applyFont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44" fontId="51" fillId="0" borderId="0" applyFont="0" applyFill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4" fontId="53" fillId="0" borderId="0" applyFont="0" applyFill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4" fontId="34" fillId="0" borderId="0" applyFont="0" applyFill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4" fontId="51" fillId="0" borderId="0" applyFont="0" applyFill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45" borderId="0" applyNumberFormat="0" applyBorder="0" applyAlignment="0" applyProtection="0"/>
    <xf numFmtId="0" fontId="2" fillId="35" borderId="0" applyNumberFormat="0" applyBorder="0" applyAlignment="0" applyProtection="0"/>
    <xf numFmtId="0" fontId="2" fillId="35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31" borderId="0" applyNumberFormat="0" applyBorder="0" applyAlignment="0" applyProtection="0"/>
    <xf numFmtId="0" fontId="2" fillId="48" borderId="0" applyNumberFormat="0" applyBorder="0" applyAlignment="0" applyProtection="0"/>
    <xf numFmtId="0" fontId="2" fillId="27" borderId="0" applyNumberFormat="0" applyBorder="0" applyAlignment="0" applyProtection="0"/>
    <xf numFmtId="0" fontId="2" fillId="48" borderId="0" applyNumberFormat="0" applyBorder="0" applyAlignment="0" applyProtection="0"/>
    <xf numFmtId="0" fontId="2" fillId="29" borderId="0" applyNumberFormat="0" applyBorder="0" applyAlignment="0" applyProtection="0"/>
    <xf numFmtId="0" fontId="2" fillId="28" borderId="0" applyNumberFormat="0" applyBorder="0" applyAlignment="0" applyProtection="0"/>
    <xf numFmtId="0" fontId="2" fillId="45" borderId="0" applyNumberFormat="0" applyBorder="0" applyAlignment="0" applyProtection="0"/>
    <xf numFmtId="0" fontId="2" fillId="44" borderId="0" applyNumberFormat="0" applyBorder="0" applyAlignment="0" applyProtection="0"/>
    <xf numFmtId="0" fontId="2" fillId="48" borderId="0" applyNumberFormat="0" applyBorder="0" applyAlignment="0" applyProtection="0"/>
    <xf numFmtId="0" fontId="2" fillId="0" borderId="0"/>
    <xf numFmtId="0" fontId="2" fillId="48" borderId="0" applyNumberFormat="0" applyBorder="0" applyAlignment="0" applyProtection="0"/>
    <xf numFmtId="0" fontId="2" fillId="47" borderId="0" applyNumberFormat="0" applyBorder="0" applyAlignment="0" applyProtection="0"/>
    <xf numFmtId="0" fontId="2" fillId="36" borderId="0" applyNumberFormat="0" applyBorder="0" applyAlignment="0" applyProtection="0"/>
    <xf numFmtId="0" fontId="2" fillId="35" borderId="0" applyNumberFormat="0" applyBorder="0" applyAlignment="0" applyProtection="0"/>
    <xf numFmtId="0" fontId="2" fillId="41" borderId="0" applyNumberFormat="0" applyBorder="0" applyAlignment="0" applyProtection="0"/>
    <xf numFmtId="0" fontId="2" fillId="29" borderId="0" applyNumberFormat="0" applyBorder="0" applyAlignment="0" applyProtection="0"/>
    <xf numFmtId="0" fontId="2" fillId="32" borderId="0" applyNumberFormat="0" applyBorder="0" applyAlignment="0" applyProtection="0"/>
    <xf numFmtId="0" fontId="2" fillId="25" borderId="58" applyNumberFormat="0" applyFont="0" applyAlignment="0" applyProtection="0"/>
    <xf numFmtId="0" fontId="2" fillId="29" borderId="0" applyNumberFormat="0" applyBorder="0" applyAlignment="0" applyProtection="0"/>
    <xf numFmtId="0" fontId="2" fillId="35" borderId="0" applyNumberFormat="0" applyBorder="0" applyAlignment="0" applyProtection="0"/>
    <xf numFmtId="0" fontId="2" fillId="40" borderId="0" applyNumberFormat="0" applyBorder="0" applyAlignment="0" applyProtection="0"/>
    <xf numFmtId="0" fontId="2" fillId="35" borderId="0" applyNumberFormat="0" applyBorder="0" applyAlignment="0" applyProtection="0"/>
    <xf numFmtId="0" fontId="2" fillId="29" borderId="0" applyNumberFormat="0" applyBorder="0" applyAlignment="0" applyProtection="0"/>
    <xf numFmtId="0" fontId="2" fillId="33" borderId="0" applyNumberFormat="0" applyBorder="0" applyAlignment="0" applyProtection="0"/>
    <xf numFmtId="0" fontId="2" fillId="39" borderId="0" applyNumberFormat="0" applyBorder="0" applyAlignment="0" applyProtection="0"/>
    <xf numFmtId="0" fontId="2" fillId="25" borderId="58" applyNumberFormat="0" applyFont="0" applyAlignment="0" applyProtection="0"/>
    <xf numFmtId="0" fontId="2" fillId="43" borderId="0" applyNumberFormat="0" applyBorder="0" applyAlignment="0" applyProtection="0"/>
    <xf numFmtId="0" fontId="2" fillId="25" borderId="58" applyNumberFormat="0" applyFont="0" applyAlignment="0" applyProtection="0"/>
    <xf numFmtId="0" fontId="2" fillId="40" borderId="0" applyNumberFormat="0" applyBorder="0" applyAlignment="0" applyProtection="0"/>
    <xf numFmtId="0" fontId="2" fillId="33" borderId="0" applyNumberFormat="0" applyBorder="0" applyAlignment="0" applyProtection="0"/>
    <xf numFmtId="0" fontId="2" fillId="45" borderId="0" applyNumberFormat="0" applyBorder="0" applyAlignment="0" applyProtection="0"/>
    <xf numFmtId="0" fontId="2" fillId="35" borderId="0" applyNumberFormat="0" applyBorder="0" applyAlignment="0" applyProtection="0"/>
    <xf numFmtId="0" fontId="2" fillId="43" borderId="0" applyNumberFormat="0" applyBorder="0" applyAlignment="0" applyProtection="0"/>
    <xf numFmtId="0" fontId="2" fillId="27" borderId="0" applyNumberFormat="0" applyBorder="0" applyAlignment="0" applyProtection="0"/>
    <xf numFmtId="0" fontId="2" fillId="35" borderId="0" applyNumberFormat="0" applyBorder="0" applyAlignment="0" applyProtection="0"/>
    <xf numFmtId="0" fontId="2" fillId="39" borderId="0" applyNumberFormat="0" applyBorder="0" applyAlignment="0" applyProtection="0"/>
    <xf numFmtId="0" fontId="2" fillId="36" borderId="0" applyNumberFormat="0" applyBorder="0" applyAlignment="0" applyProtection="0"/>
    <xf numFmtId="0" fontId="2" fillId="41" borderId="0" applyNumberFormat="0" applyBorder="0" applyAlignment="0" applyProtection="0"/>
    <xf numFmtId="0" fontId="2" fillId="33" borderId="0" applyNumberFormat="0" applyBorder="0" applyAlignment="0" applyProtection="0"/>
    <xf numFmtId="0" fontId="2" fillId="41" borderId="0" applyNumberFormat="0" applyBorder="0" applyAlignment="0" applyProtection="0"/>
    <xf numFmtId="0" fontId="2" fillId="25" borderId="58" applyNumberFormat="0" applyFont="0" applyAlignment="0" applyProtection="0"/>
    <xf numFmtId="0" fontId="2" fillId="25" borderId="58" applyNumberFormat="0" applyFont="0" applyAlignment="0" applyProtection="0"/>
    <xf numFmtId="0" fontId="2" fillId="31" borderId="0" applyNumberFormat="0" applyBorder="0" applyAlignment="0" applyProtection="0"/>
    <xf numFmtId="0" fontId="2" fillId="25" borderId="58" applyNumberFormat="0" applyFont="0" applyAlignment="0" applyProtection="0"/>
    <xf numFmtId="0" fontId="2" fillId="37" borderId="0" applyNumberFormat="0" applyBorder="0" applyAlignment="0" applyProtection="0"/>
    <xf numFmtId="0" fontId="2" fillId="49" borderId="0" applyNumberFormat="0" applyBorder="0" applyAlignment="0" applyProtection="0"/>
    <xf numFmtId="0" fontId="2" fillId="49" borderId="0" applyNumberFormat="0" applyBorder="0" applyAlignment="0" applyProtection="0"/>
    <xf numFmtId="0" fontId="2" fillId="29" borderId="0" applyNumberFormat="0" applyBorder="0" applyAlignment="0" applyProtection="0"/>
    <xf numFmtId="0" fontId="2" fillId="25" borderId="58" applyNumberFormat="0" applyFont="0" applyAlignment="0" applyProtection="0"/>
    <xf numFmtId="0" fontId="2" fillId="31" borderId="0" applyNumberFormat="0" applyBorder="0" applyAlignment="0" applyProtection="0"/>
    <xf numFmtId="0" fontId="2" fillId="27" borderId="0" applyNumberFormat="0" applyBorder="0" applyAlignment="0" applyProtection="0"/>
    <xf numFmtId="0" fontId="2" fillId="33" borderId="0" applyNumberFormat="0" applyBorder="0" applyAlignment="0" applyProtection="0"/>
    <xf numFmtId="0" fontId="2" fillId="31" borderId="0" applyNumberFormat="0" applyBorder="0" applyAlignment="0" applyProtection="0"/>
    <xf numFmtId="0" fontId="2" fillId="47" borderId="0" applyNumberFormat="0" applyBorder="0" applyAlignment="0" applyProtection="0"/>
    <xf numFmtId="0" fontId="2" fillId="25" borderId="58" applyNumberFormat="0" applyFont="0" applyAlignment="0" applyProtection="0"/>
    <xf numFmtId="0" fontId="2" fillId="37" borderId="0" applyNumberFormat="0" applyBorder="0" applyAlignment="0" applyProtection="0"/>
    <xf numFmtId="0" fontId="2" fillId="33" borderId="0" applyNumberFormat="0" applyBorder="0" applyAlignment="0" applyProtection="0"/>
    <xf numFmtId="0" fontId="2" fillId="45" borderId="0" applyNumberFormat="0" applyBorder="0" applyAlignment="0" applyProtection="0"/>
    <xf numFmtId="0" fontId="2" fillId="44" borderId="0" applyNumberFormat="0" applyBorder="0" applyAlignment="0" applyProtection="0"/>
    <xf numFmtId="0" fontId="2" fillId="0" borderId="0"/>
    <xf numFmtId="0" fontId="2" fillId="45" borderId="0" applyNumberFormat="0" applyBorder="0" applyAlignment="0" applyProtection="0"/>
    <xf numFmtId="0" fontId="2" fillId="36" borderId="0" applyNumberFormat="0" applyBorder="0" applyAlignment="0" applyProtection="0"/>
    <xf numFmtId="0" fontId="2" fillId="31" borderId="0" applyNumberFormat="0" applyBorder="0" applyAlignment="0" applyProtection="0"/>
    <xf numFmtId="0" fontId="2" fillId="49" borderId="0" applyNumberFormat="0" applyBorder="0" applyAlignment="0" applyProtection="0"/>
    <xf numFmtId="0" fontId="2" fillId="37" borderId="0" applyNumberFormat="0" applyBorder="0" applyAlignment="0" applyProtection="0"/>
    <xf numFmtId="0" fontId="2" fillId="44" borderId="0" applyNumberFormat="0" applyBorder="0" applyAlignment="0" applyProtection="0"/>
    <xf numFmtId="0" fontId="2" fillId="47" borderId="0" applyNumberFormat="0" applyBorder="0" applyAlignment="0" applyProtection="0"/>
    <xf numFmtId="0" fontId="2" fillId="25" borderId="58" applyNumberFormat="0" applyFont="0" applyAlignment="0" applyProtection="0"/>
    <xf numFmtId="0" fontId="2" fillId="39" borderId="0" applyNumberFormat="0" applyBorder="0" applyAlignment="0" applyProtection="0"/>
    <xf numFmtId="0" fontId="2" fillId="41" borderId="0" applyNumberFormat="0" applyBorder="0" applyAlignment="0" applyProtection="0"/>
    <xf numFmtId="0" fontId="2" fillId="39" borderId="0" applyNumberFormat="0" applyBorder="0" applyAlignment="0" applyProtection="0"/>
    <xf numFmtId="0" fontId="2" fillId="49" borderId="0" applyNumberFormat="0" applyBorder="0" applyAlignment="0" applyProtection="0"/>
    <xf numFmtId="0" fontId="2" fillId="32" borderId="0" applyNumberFormat="0" applyBorder="0" applyAlignment="0" applyProtection="0"/>
    <xf numFmtId="0" fontId="2" fillId="44" borderId="0" applyNumberFormat="0" applyBorder="0" applyAlignment="0" applyProtection="0"/>
    <xf numFmtId="0" fontId="2" fillId="35" borderId="0" applyNumberFormat="0" applyBorder="0" applyAlignment="0" applyProtection="0"/>
    <xf numFmtId="0" fontId="2" fillId="47" borderId="0" applyNumberFormat="0" applyBorder="0" applyAlignment="0" applyProtection="0"/>
    <xf numFmtId="0" fontId="2" fillId="39" borderId="0" applyNumberFormat="0" applyBorder="0" applyAlignment="0" applyProtection="0"/>
    <xf numFmtId="0" fontId="2" fillId="43" borderId="0" applyNumberFormat="0" applyBorder="0" applyAlignment="0" applyProtection="0"/>
    <xf numFmtId="0" fontId="2" fillId="36" borderId="0" applyNumberFormat="0" applyBorder="0" applyAlignment="0" applyProtection="0"/>
    <xf numFmtId="0" fontId="2" fillId="29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33" borderId="0" applyNumberFormat="0" applyBorder="0" applyAlignment="0" applyProtection="0"/>
    <xf numFmtId="0" fontId="2" fillId="47" borderId="0" applyNumberFormat="0" applyBorder="0" applyAlignment="0" applyProtection="0"/>
    <xf numFmtId="0" fontId="2" fillId="45" borderId="0" applyNumberFormat="0" applyBorder="0" applyAlignment="0" applyProtection="0"/>
    <xf numFmtId="0" fontId="2" fillId="48" borderId="0" applyNumberFormat="0" applyBorder="0" applyAlignment="0" applyProtection="0"/>
    <xf numFmtId="0" fontId="2" fillId="27" borderId="0" applyNumberFormat="0" applyBorder="0" applyAlignment="0" applyProtection="0"/>
    <xf numFmtId="0" fontId="2" fillId="37" borderId="0" applyNumberFormat="0" applyBorder="0" applyAlignment="0" applyProtection="0"/>
    <xf numFmtId="0" fontId="2" fillId="48" borderId="0" applyNumberFormat="0" applyBorder="0" applyAlignment="0" applyProtection="0"/>
    <xf numFmtId="44" fontId="53" fillId="0" borderId="0" applyFont="0" applyFill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36" borderId="0" applyNumberFormat="0" applyBorder="0" applyAlignment="0" applyProtection="0"/>
    <xf numFmtId="0" fontId="2" fillId="40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47" borderId="0" applyNumberFormat="0" applyBorder="0" applyAlignment="0" applyProtection="0"/>
    <xf numFmtId="0" fontId="2" fillId="37" borderId="0" applyNumberFormat="0" applyBorder="0" applyAlignment="0" applyProtection="0"/>
    <xf numFmtId="0" fontId="2" fillId="43" borderId="0" applyNumberFormat="0" applyBorder="0" applyAlignment="0" applyProtection="0"/>
    <xf numFmtId="0" fontId="2" fillId="0" borderId="0"/>
    <xf numFmtId="0" fontId="2" fillId="40" borderId="0" applyNumberFormat="0" applyBorder="0" applyAlignment="0" applyProtection="0"/>
    <xf numFmtId="0" fontId="2" fillId="48" borderId="0" applyNumberFormat="0" applyBorder="0" applyAlignment="0" applyProtection="0"/>
    <xf numFmtId="0" fontId="2" fillId="48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8" borderId="0" applyNumberFormat="0" applyBorder="0" applyAlignment="0" applyProtection="0"/>
    <xf numFmtId="0" fontId="2" fillId="44" borderId="0" applyNumberFormat="0" applyBorder="0" applyAlignment="0" applyProtection="0"/>
    <xf numFmtId="0" fontId="2" fillId="36" borderId="0" applyNumberFormat="0" applyBorder="0" applyAlignment="0" applyProtection="0"/>
    <xf numFmtId="0" fontId="2" fillId="43" borderId="0" applyNumberFormat="0" applyBorder="0" applyAlignment="0" applyProtection="0"/>
    <xf numFmtId="0" fontId="2" fillId="41" borderId="0" applyNumberFormat="0" applyBorder="0" applyAlignment="0" applyProtection="0"/>
    <xf numFmtId="0" fontId="2" fillId="28" borderId="0" applyNumberFormat="0" applyBorder="0" applyAlignment="0" applyProtection="0"/>
    <xf numFmtId="0" fontId="2" fillId="39" borderId="0" applyNumberFormat="0" applyBorder="0" applyAlignment="0" applyProtection="0"/>
    <xf numFmtId="0" fontId="2" fillId="32" borderId="0" applyNumberFormat="0" applyBorder="0" applyAlignment="0" applyProtection="0"/>
    <xf numFmtId="0" fontId="2" fillId="29" borderId="0" applyNumberFormat="0" applyBorder="0" applyAlignment="0" applyProtection="0"/>
    <xf numFmtId="0" fontId="2" fillId="27" borderId="0" applyNumberFormat="0" applyBorder="0" applyAlignment="0" applyProtection="0"/>
    <xf numFmtId="0" fontId="2" fillId="36" borderId="0" applyNumberFormat="0" applyBorder="0" applyAlignment="0" applyProtection="0"/>
    <xf numFmtId="0" fontId="2" fillId="35" borderId="0" applyNumberFormat="0" applyBorder="0" applyAlignment="0" applyProtection="0"/>
    <xf numFmtId="0" fontId="2" fillId="40" borderId="0" applyNumberFormat="0" applyBorder="0" applyAlignment="0" applyProtection="0"/>
    <xf numFmtId="0" fontId="2" fillId="32" borderId="0" applyNumberFormat="0" applyBorder="0" applyAlignment="0" applyProtection="0"/>
    <xf numFmtId="0" fontId="2" fillId="43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7" borderId="0" applyNumberFormat="0" applyBorder="0" applyAlignment="0" applyProtection="0"/>
    <xf numFmtId="0" fontId="2" fillId="36" borderId="0" applyNumberFormat="0" applyBorder="0" applyAlignment="0" applyProtection="0"/>
    <xf numFmtId="0" fontId="2" fillId="33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28" borderId="0" applyNumberFormat="0" applyBorder="0" applyAlignment="0" applyProtection="0"/>
    <xf numFmtId="0" fontId="2" fillId="27" borderId="0" applyNumberFormat="0" applyBorder="0" applyAlignment="0" applyProtection="0"/>
    <xf numFmtId="0" fontId="2" fillId="40" borderId="0" applyNumberFormat="0" applyBorder="0" applyAlignment="0" applyProtection="0"/>
    <xf numFmtId="0" fontId="2" fillId="32" borderId="0" applyNumberFormat="0" applyBorder="0" applyAlignment="0" applyProtection="0"/>
    <xf numFmtId="0" fontId="2" fillId="0" borderId="0"/>
    <xf numFmtId="0" fontId="2" fillId="0" borderId="0"/>
    <xf numFmtId="0" fontId="2" fillId="33" borderId="0" applyNumberFormat="0" applyBorder="0" applyAlignment="0" applyProtection="0"/>
    <xf numFmtId="0" fontId="2" fillId="48" borderId="0" applyNumberFormat="0" applyBorder="0" applyAlignment="0" applyProtection="0"/>
    <xf numFmtId="0" fontId="2" fillId="37" borderId="0" applyNumberFormat="0" applyBorder="0" applyAlignment="0" applyProtection="0"/>
    <xf numFmtId="0" fontId="2" fillId="25" borderId="58" applyNumberFormat="0" applyFont="0" applyAlignment="0" applyProtection="0"/>
    <xf numFmtId="0" fontId="2" fillId="48" borderId="0" applyNumberFormat="0" applyBorder="0" applyAlignment="0" applyProtection="0"/>
    <xf numFmtId="0" fontId="2" fillId="41" borderId="0" applyNumberFormat="0" applyBorder="0" applyAlignment="0" applyProtection="0"/>
    <xf numFmtId="0" fontId="2" fillId="36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28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8" borderId="0" applyNumberFormat="0" applyBorder="0" applyAlignment="0" applyProtection="0"/>
    <xf numFmtId="0" fontId="2" fillId="43" borderId="0" applyNumberFormat="0" applyBorder="0" applyAlignment="0" applyProtection="0"/>
    <xf numFmtId="0" fontId="2" fillId="49" borderId="0" applyNumberFormat="0" applyBorder="0" applyAlignment="0" applyProtection="0"/>
    <xf numFmtId="0" fontId="2" fillId="33" borderId="0" applyNumberFormat="0" applyBorder="0" applyAlignment="0" applyProtection="0"/>
    <xf numFmtId="0" fontId="2" fillId="40" borderId="0" applyNumberFormat="0" applyBorder="0" applyAlignment="0" applyProtection="0"/>
    <xf numFmtId="0" fontId="2" fillId="39" borderId="0" applyNumberFormat="0" applyBorder="0" applyAlignment="0" applyProtection="0"/>
    <xf numFmtId="0" fontId="2" fillId="48" borderId="0" applyNumberFormat="0" applyBorder="0" applyAlignment="0" applyProtection="0"/>
    <xf numFmtId="0" fontId="2" fillId="0" borderId="0"/>
    <xf numFmtId="0" fontId="2" fillId="39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39" borderId="0" applyNumberFormat="0" applyBorder="0" applyAlignment="0" applyProtection="0"/>
    <xf numFmtId="0" fontId="2" fillId="47" borderId="0" applyNumberFormat="0" applyBorder="0" applyAlignment="0" applyProtection="0"/>
    <xf numFmtId="0" fontId="2" fillId="37" borderId="0" applyNumberFormat="0" applyBorder="0" applyAlignment="0" applyProtection="0"/>
    <xf numFmtId="0" fontId="2" fillId="25" borderId="58" applyNumberFormat="0" applyFont="0" applyAlignment="0" applyProtection="0"/>
    <xf numFmtId="0" fontId="2" fillId="41" borderId="0" applyNumberFormat="0" applyBorder="0" applyAlignment="0" applyProtection="0"/>
    <xf numFmtId="0" fontId="2" fillId="44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44" borderId="0" applyNumberFormat="0" applyBorder="0" applyAlignment="0" applyProtection="0"/>
    <xf numFmtId="0" fontId="2" fillId="49" borderId="0" applyNumberFormat="0" applyBorder="0" applyAlignment="0" applyProtection="0"/>
    <xf numFmtId="0" fontId="2" fillId="36" borderId="0" applyNumberFormat="0" applyBorder="0" applyAlignment="0" applyProtection="0"/>
    <xf numFmtId="0" fontId="2" fillId="43" borderId="0" applyNumberFormat="0" applyBorder="0" applyAlignment="0" applyProtection="0"/>
    <xf numFmtId="0" fontId="2" fillId="29" borderId="0" applyNumberFormat="0" applyBorder="0" applyAlignment="0" applyProtection="0"/>
    <xf numFmtId="0" fontId="2" fillId="0" borderId="0"/>
    <xf numFmtId="0" fontId="2" fillId="36" borderId="0" applyNumberFormat="0" applyBorder="0" applyAlignment="0" applyProtection="0"/>
    <xf numFmtId="0" fontId="2" fillId="28" borderId="0" applyNumberFormat="0" applyBorder="0" applyAlignment="0" applyProtection="0"/>
    <xf numFmtId="0" fontId="2" fillId="49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9" borderId="0" applyNumberFormat="0" applyBorder="0" applyAlignment="0" applyProtection="0"/>
    <xf numFmtId="0" fontId="2" fillId="31" borderId="0" applyNumberFormat="0" applyBorder="0" applyAlignment="0" applyProtection="0"/>
    <xf numFmtId="0" fontId="2" fillId="4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7" borderId="0" applyNumberFormat="0" applyBorder="0" applyAlignment="0" applyProtection="0"/>
    <xf numFmtId="0" fontId="2" fillId="43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9" borderId="0" applyNumberFormat="0" applyBorder="0" applyAlignment="0" applyProtection="0"/>
    <xf numFmtId="0" fontId="2" fillId="29" borderId="0" applyNumberFormat="0" applyBorder="0" applyAlignment="0" applyProtection="0"/>
    <xf numFmtId="0" fontId="2" fillId="0" borderId="0"/>
    <xf numFmtId="0" fontId="2" fillId="28" borderId="0" applyNumberFormat="0" applyBorder="0" applyAlignment="0" applyProtection="0"/>
    <xf numFmtId="0" fontId="2" fillId="39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41" borderId="0" applyNumberFormat="0" applyBorder="0" applyAlignment="0" applyProtection="0"/>
    <xf numFmtId="0" fontId="2" fillId="0" borderId="0"/>
    <xf numFmtId="0" fontId="2" fillId="36" borderId="0" applyNumberFormat="0" applyBorder="0" applyAlignment="0" applyProtection="0"/>
    <xf numFmtId="0" fontId="2" fillId="35" borderId="0" applyNumberFormat="0" applyBorder="0" applyAlignment="0" applyProtection="0"/>
    <xf numFmtId="0" fontId="2" fillId="28" borderId="0" applyNumberFormat="0" applyBorder="0" applyAlignment="0" applyProtection="0"/>
    <xf numFmtId="0" fontId="2" fillId="47" borderId="0" applyNumberFormat="0" applyBorder="0" applyAlignment="0" applyProtection="0"/>
    <xf numFmtId="0" fontId="2" fillId="28" borderId="0" applyNumberFormat="0" applyBorder="0" applyAlignment="0" applyProtection="0"/>
    <xf numFmtId="0" fontId="2" fillId="41" borderId="0" applyNumberFormat="0" applyBorder="0" applyAlignment="0" applyProtection="0"/>
    <xf numFmtId="0" fontId="2" fillId="33" borderId="0" applyNumberFormat="0" applyBorder="0" applyAlignment="0" applyProtection="0"/>
    <xf numFmtId="0" fontId="2" fillId="41" borderId="0" applyNumberFormat="0" applyBorder="0" applyAlignment="0" applyProtection="0"/>
    <xf numFmtId="0" fontId="2" fillId="28" borderId="0" applyNumberFormat="0" applyBorder="0" applyAlignment="0" applyProtection="0"/>
    <xf numFmtId="0" fontId="2" fillId="37" borderId="0" applyNumberFormat="0" applyBorder="0" applyAlignment="0" applyProtection="0"/>
    <xf numFmtId="0" fontId="2" fillId="27" borderId="0" applyNumberFormat="0" applyBorder="0" applyAlignment="0" applyProtection="0"/>
    <xf numFmtId="0" fontId="2" fillId="47" borderId="0" applyNumberFormat="0" applyBorder="0" applyAlignment="0" applyProtection="0"/>
    <xf numFmtId="0" fontId="2" fillId="37" borderId="0" applyNumberFormat="0" applyBorder="0" applyAlignment="0" applyProtection="0"/>
    <xf numFmtId="0" fontId="2" fillId="43" borderId="0" applyNumberFormat="0" applyBorder="0" applyAlignment="0" applyProtection="0"/>
    <xf numFmtId="0" fontId="2" fillId="0" borderId="0"/>
    <xf numFmtId="0" fontId="2" fillId="49" borderId="0" applyNumberFormat="0" applyBorder="0" applyAlignment="0" applyProtection="0"/>
    <xf numFmtId="0" fontId="2" fillId="0" borderId="0"/>
    <xf numFmtId="0" fontId="2" fillId="49" borderId="0" applyNumberFormat="0" applyBorder="0" applyAlignment="0" applyProtection="0"/>
    <xf numFmtId="0" fontId="2" fillId="37" borderId="0" applyNumberFormat="0" applyBorder="0" applyAlignment="0" applyProtection="0"/>
    <xf numFmtId="0" fontId="2" fillId="33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32" borderId="0" applyNumberFormat="0" applyBorder="0" applyAlignment="0" applyProtection="0"/>
    <xf numFmtId="0" fontId="2" fillId="35" borderId="0" applyNumberFormat="0" applyBorder="0" applyAlignment="0" applyProtection="0"/>
    <xf numFmtId="0" fontId="2" fillId="45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25" borderId="58" applyNumberFormat="0" applyFont="0" applyAlignment="0" applyProtection="0"/>
    <xf numFmtId="0" fontId="2" fillId="40" borderId="0" applyNumberFormat="0" applyBorder="0" applyAlignment="0" applyProtection="0"/>
    <xf numFmtId="0" fontId="2" fillId="47" borderId="0" applyNumberFormat="0" applyBorder="0" applyAlignment="0" applyProtection="0"/>
    <xf numFmtId="0" fontId="2" fillId="27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37" borderId="0" applyNumberFormat="0" applyBorder="0" applyAlignment="0" applyProtection="0"/>
    <xf numFmtId="0" fontId="2" fillId="47" borderId="0" applyNumberFormat="0" applyBorder="0" applyAlignment="0" applyProtection="0"/>
    <xf numFmtId="0" fontId="2" fillId="32" borderId="0" applyNumberFormat="0" applyBorder="0" applyAlignment="0" applyProtection="0"/>
    <xf numFmtId="0" fontId="2" fillId="35" borderId="0" applyNumberFormat="0" applyBorder="0" applyAlignment="0" applyProtection="0"/>
    <xf numFmtId="0" fontId="2" fillId="29" borderId="0" applyNumberFormat="0" applyBorder="0" applyAlignment="0" applyProtection="0"/>
    <xf numFmtId="0" fontId="2" fillId="45" borderId="0" applyNumberFormat="0" applyBorder="0" applyAlignment="0" applyProtection="0"/>
    <xf numFmtId="0" fontId="2" fillId="25" borderId="58" applyNumberFormat="0" applyFont="0" applyAlignment="0" applyProtection="0"/>
    <xf numFmtId="0" fontId="2" fillId="35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0" borderId="0"/>
    <xf numFmtId="0" fontId="2" fillId="36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5" borderId="58" applyNumberFormat="0" applyFont="0" applyAlignment="0" applyProtection="0"/>
    <xf numFmtId="0" fontId="2" fillId="33" borderId="0" applyNumberFormat="0" applyBorder="0" applyAlignment="0" applyProtection="0"/>
    <xf numFmtId="0" fontId="2" fillId="49" borderId="0" applyNumberFormat="0" applyBorder="0" applyAlignment="0" applyProtection="0"/>
    <xf numFmtId="0" fontId="2" fillId="29" borderId="0" applyNumberFormat="0" applyBorder="0" applyAlignment="0" applyProtection="0"/>
    <xf numFmtId="0" fontId="2" fillId="40" borderId="0" applyNumberFormat="0" applyBorder="0" applyAlignment="0" applyProtection="0"/>
    <xf numFmtId="0" fontId="2" fillId="37" borderId="0" applyNumberFormat="0" applyBorder="0" applyAlignment="0" applyProtection="0"/>
    <xf numFmtId="0" fontId="2" fillId="27" borderId="0" applyNumberFormat="0" applyBorder="0" applyAlignment="0" applyProtection="0"/>
    <xf numFmtId="0" fontId="2" fillId="45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35" borderId="0" applyNumberFormat="0" applyBorder="0" applyAlignment="0" applyProtection="0"/>
    <xf numFmtId="0" fontId="2" fillId="40" borderId="0" applyNumberFormat="0" applyBorder="0" applyAlignment="0" applyProtection="0"/>
    <xf numFmtId="0" fontId="2" fillId="31" borderId="0" applyNumberFormat="0" applyBorder="0" applyAlignment="0" applyProtection="0"/>
    <xf numFmtId="0" fontId="2" fillId="45" borderId="0" applyNumberFormat="0" applyBorder="0" applyAlignment="0" applyProtection="0"/>
    <xf numFmtId="0" fontId="2" fillId="41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41" borderId="0" applyNumberFormat="0" applyBorder="0" applyAlignment="0" applyProtection="0"/>
    <xf numFmtId="0" fontId="2" fillId="39" borderId="0" applyNumberFormat="0" applyBorder="0" applyAlignment="0" applyProtection="0"/>
    <xf numFmtId="0" fontId="2" fillId="27" borderId="0" applyNumberFormat="0" applyBorder="0" applyAlignment="0" applyProtection="0"/>
    <xf numFmtId="0" fontId="2" fillId="40" borderId="0" applyNumberFormat="0" applyBorder="0" applyAlignment="0" applyProtection="0"/>
    <xf numFmtId="0" fontId="2" fillId="27" borderId="0" applyNumberFormat="0" applyBorder="0" applyAlignment="0" applyProtection="0"/>
    <xf numFmtId="0" fontId="2" fillId="29" borderId="0" applyNumberFormat="0" applyBorder="0" applyAlignment="0" applyProtection="0"/>
    <xf numFmtId="0" fontId="2" fillId="40" borderId="0" applyNumberFormat="0" applyBorder="0" applyAlignment="0" applyProtection="0"/>
    <xf numFmtId="0" fontId="2" fillId="49" borderId="0" applyNumberFormat="0" applyBorder="0" applyAlignment="0" applyProtection="0"/>
    <xf numFmtId="0" fontId="2" fillId="32" borderId="0" applyNumberFormat="0" applyBorder="0" applyAlignment="0" applyProtection="0"/>
    <xf numFmtId="0" fontId="2" fillId="44" borderId="0" applyNumberFormat="0" applyBorder="0" applyAlignment="0" applyProtection="0"/>
    <xf numFmtId="0" fontId="2" fillId="39" borderId="0" applyNumberFormat="0" applyBorder="0" applyAlignment="0" applyProtection="0"/>
    <xf numFmtId="44" fontId="51" fillId="0" borderId="0" applyFont="0" applyFill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44" fontId="53" fillId="0" borderId="0" applyFont="0" applyFill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44" fontId="34" fillId="0" borderId="0" applyFont="0" applyFill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44" fontId="51" fillId="0" borderId="0" applyFont="0" applyFill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4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31" borderId="0" applyNumberFormat="0" applyBorder="0" applyAlignment="0" applyProtection="0"/>
    <xf numFmtId="0" fontId="1" fillId="48" borderId="0" applyNumberFormat="0" applyBorder="0" applyAlignment="0" applyProtection="0"/>
    <xf numFmtId="0" fontId="1" fillId="27" borderId="0" applyNumberFormat="0" applyBorder="0" applyAlignment="0" applyProtection="0"/>
    <xf numFmtId="0" fontId="1" fillId="48" borderId="0" applyNumberFormat="0" applyBorder="0" applyAlignment="0" applyProtection="0"/>
    <xf numFmtId="0" fontId="1" fillId="29" borderId="0" applyNumberFormat="0" applyBorder="0" applyAlignment="0" applyProtection="0"/>
    <xf numFmtId="0" fontId="1" fillId="28" borderId="0" applyNumberFormat="0" applyBorder="0" applyAlignment="0" applyProtection="0"/>
    <xf numFmtId="0" fontId="1" fillId="45" borderId="0" applyNumberFormat="0" applyBorder="0" applyAlignment="0" applyProtection="0"/>
    <xf numFmtId="0" fontId="1" fillId="44" borderId="0" applyNumberFormat="0" applyBorder="0" applyAlignment="0" applyProtection="0"/>
    <xf numFmtId="0" fontId="1" fillId="48" borderId="0" applyNumberFormat="0" applyBorder="0" applyAlignment="0" applyProtection="0"/>
    <xf numFmtId="0" fontId="1" fillId="0" borderId="0"/>
    <xf numFmtId="0" fontId="1" fillId="48" borderId="0" applyNumberFormat="0" applyBorder="0" applyAlignment="0" applyProtection="0"/>
    <xf numFmtId="0" fontId="1" fillId="47" borderId="0" applyNumberFormat="0" applyBorder="0" applyAlignment="0" applyProtection="0"/>
    <xf numFmtId="0" fontId="1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41" borderId="0" applyNumberFormat="0" applyBorder="0" applyAlignment="0" applyProtection="0"/>
    <xf numFmtId="0" fontId="1" fillId="29" borderId="0" applyNumberFormat="0" applyBorder="0" applyAlignment="0" applyProtection="0"/>
    <xf numFmtId="0" fontId="1" fillId="32" borderId="0" applyNumberFormat="0" applyBorder="0" applyAlignment="0" applyProtection="0"/>
    <xf numFmtId="0" fontId="1" fillId="25" borderId="58" applyNumberFormat="0" applyFont="0" applyAlignment="0" applyProtection="0"/>
    <xf numFmtId="0" fontId="1" fillId="29" borderId="0" applyNumberFormat="0" applyBorder="0" applyAlignment="0" applyProtection="0"/>
    <xf numFmtId="0" fontId="1" fillId="35" borderId="0" applyNumberFormat="0" applyBorder="0" applyAlignment="0" applyProtection="0"/>
    <xf numFmtId="0" fontId="1" fillId="40" borderId="0" applyNumberFormat="0" applyBorder="0" applyAlignment="0" applyProtection="0"/>
    <xf numFmtId="0" fontId="1" fillId="35" borderId="0" applyNumberFormat="0" applyBorder="0" applyAlignment="0" applyProtection="0"/>
    <xf numFmtId="0" fontId="1" fillId="29" borderId="0" applyNumberFormat="0" applyBorder="0" applyAlignment="0" applyProtection="0"/>
    <xf numFmtId="0" fontId="1" fillId="33" borderId="0" applyNumberFormat="0" applyBorder="0" applyAlignment="0" applyProtection="0"/>
    <xf numFmtId="0" fontId="1" fillId="39" borderId="0" applyNumberFormat="0" applyBorder="0" applyAlignment="0" applyProtection="0"/>
    <xf numFmtId="0" fontId="1" fillId="25" borderId="58" applyNumberFormat="0" applyFont="0" applyAlignment="0" applyProtection="0"/>
    <xf numFmtId="0" fontId="1" fillId="43" borderId="0" applyNumberFormat="0" applyBorder="0" applyAlignment="0" applyProtection="0"/>
    <xf numFmtId="0" fontId="1" fillId="25" borderId="58" applyNumberFormat="0" applyFont="0" applyAlignment="0" applyProtection="0"/>
    <xf numFmtId="0" fontId="1" fillId="40" borderId="0" applyNumberFormat="0" applyBorder="0" applyAlignment="0" applyProtection="0"/>
    <xf numFmtId="0" fontId="1" fillId="33" borderId="0" applyNumberFormat="0" applyBorder="0" applyAlignment="0" applyProtection="0"/>
    <xf numFmtId="0" fontId="1" fillId="45" borderId="0" applyNumberFormat="0" applyBorder="0" applyAlignment="0" applyProtection="0"/>
    <xf numFmtId="0" fontId="1" fillId="35" borderId="0" applyNumberFormat="0" applyBorder="0" applyAlignment="0" applyProtection="0"/>
    <xf numFmtId="0" fontId="1" fillId="43" borderId="0" applyNumberFormat="0" applyBorder="0" applyAlignment="0" applyProtection="0"/>
    <xf numFmtId="0" fontId="1" fillId="27" borderId="0" applyNumberFormat="0" applyBorder="0" applyAlignment="0" applyProtection="0"/>
    <xf numFmtId="0" fontId="1" fillId="35" borderId="0" applyNumberFormat="0" applyBorder="0" applyAlignment="0" applyProtection="0"/>
    <xf numFmtId="0" fontId="1" fillId="39" borderId="0" applyNumberFormat="0" applyBorder="0" applyAlignment="0" applyProtection="0"/>
    <xf numFmtId="0" fontId="1" fillId="36" borderId="0" applyNumberFormat="0" applyBorder="0" applyAlignment="0" applyProtection="0"/>
    <xf numFmtId="0" fontId="1" fillId="41" borderId="0" applyNumberFormat="0" applyBorder="0" applyAlignment="0" applyProtection="0"/>
    <xf numFmtId="0" fontId="1" fillId="33" borderId="0" applyNumberFormat="0" applyBorder="0" applyAlignment="0" applyProtection="0"/>
    <xf numFmtId="0" fontId="1" fillId="41" borderId="0" applyNumberFormat="0" applyBorder="0" applyAlignment="0" applyProtection="0"/>
    <xf numFmtId="0" fontId="1" fillId="25" borderId="58" applyNumberFormat="0" applyFont="0" applyAlignment="0" applyProtection="0"/>
    <xf numFmtId="0" fontId="1" fillId="25" borderId="58" applyNumberFormat="0" applyFont="0" applyAlignment="0" applyProtection="0"/>
    <xf numFmtId="0" fontId="1" fillId="31" borderId="0" applyNumberFormat="0" applyBorder="0" applyAlignment="0" applyProtection="0"/>
    <xf numFmtId="0" fontId="1" fillId="25" borderId="58" applyNumberFormat="0" applyFont="0" applyAlignment="0" applyProtection="0"/>
    <xf numFmtId="0" fontId="1" fillId="37" borderId="0" applyNumberFormat="0" applyBorder="0" applyAlignment="0" applyProtection="0"/>
    <xf numFmtId="0" fontId="1" fillId="49" borderId="0" applyNumberFormat="0" applyBorder="0" applyAlignment="0" applyProtection="0"/>
    <xf numFmtId="0" fontId="1" fillId="49" borderId="0" applyNumberFormat="0" applyBorder="0" applyAlignment="0" applyProtection="0"/>
    <xf numFmtId="0" fontId="1" fillId="29" borderId="0" applyNumberFormat="0" applyBorder="0" applyAlignment="0" applyProtection="0"/>
    <xf numFmtId="0" fontId="1" fillId="25" borderId="58" applyNumberFormat="0" applyFont="0" applyAlignment="0" applyProtection="0"/>
    <xf numFmtId="0" fontId="1" fillId="31" borderId="0" applyNumberFormat="0" applyBorder="0" applyAlignment="0" applyProtection="0"/>
    <xf numFmtId="0" fontId="1" fillId="27" borderId="0" applyNumberFormat="0" applyBorder="0" applyAlignment="0" applyProtection="0"/>
    <xf numFmtId="0" fontId="1" fillId="33" borderId="0" applyNumberFormat="0" applyBorder="0" applyAlignment="0" applyProtection="0"/>
    <xf numFmtId="0" fontId="1" fillId="31" borderId="0" applyNumberFormat="0" applyBorder="0" applyAlignment="0" applyProtection="0"/>
    <xf numFmtId="0" fontId="1" fillId="47" borderId="0" applyNumberFormat="0" applyBorder="0" applyAlignment="0" applyProtection="0"/>
    <xf numFmtId="0" fontId="1" fillId="25" borderId="58" applyNumberFormat="0" applyFont="0" applyAlignment="0" applyProtection="0"/>
    <xf numFmtId="0" fontId="1" fillId="37" borderId="0" applyNumberFormat="0" applyBorder="0" applyAlignment="0" applyProtection="0"/>
    <xf numFmtId="0" fontId="1" fillId="33" borderId="0" applyNumberFormat="0" applyBorder="0" applyAlignment="0" applyProtection="0"/>
    <xf numFmtId="0" fontId="1" fillId="45" borderId="0" applyNumberFormat="0" applyBorder="0" applyAlignment="0" applyProtection="0"/>
    <xf numFmtId="0" fontId="1" fillId="44" borderId="0" applyNumberFormat="0" applyBorder="0" applyAlignment="0" applyProtection="0"/>
    <xf numFmtId="0" fontId="1" fillId="0" borderId="0"/>
    <xf numFmtId="0" fontId="1" fillId="45" borderId="0" applyNumberFormat="0" applyBorder="0" applyAlignment="0" applyProtection="0"/>
    <xf numFmtId="0" fontId="1" fillId="36" borderId="0" applyNumberFormat="0" applyBorder="0" applyAlignment="0" applyProtection="0"/>
    <xf numFmtId="0" fontId="1" fillId="31" borderId="0" applyNumberFormat="0" applyBorder="0" applyAlignment="0" applyProtection="0"/>
    <xf numFmtId="0" fontId="1" fillId="49" borderId="0" applyNumberFormat="0" applyBorder="0" applyAlignment="0" applyProtection="0"/>
    <xf numFmtId="0" fontId="1" fillId="37" borderId="0" applyNumberFormat="0" applyBorder="0" applyAlignment="0" applyProtection="0"/>
    <xf numFmtId="0" fontId="1" fillId="44" borderId="0" applyNumberFormat="0" applyBorder="0" applyAlignment="0" applyProtection="0"/>
    <xf numFmtId="0" fontId="1" fillId="47" borderId="0" applyNumberFormat="0" applyBorder="0" applyAlignment="0" applyProtection="0"/>
    <xf numFmtId="0" fontId="1" fillId="25" borderId="58" applyNumberFormat="0" applyFont="0" applyAlignment="0" applyProtection="0"/>
    <xf numFmtId="0" fontId="1" fillId="39" borderId="0" applyNumberFormat="0" applyBorder="0" applyAlignment="0" applyProtection="0"/>
    <xf numFmtId="0" fontId="1" fillId="41" borderId="0" applyNumberFormat="0" applyBorder="0" applyAlignment="0" applyProtection="0"/>
    <xf numFmtId="0" fontId="1" fillId="39" borderId="0" applyNumberFormat="0" applyBorder="0" applyAlignment="0" applyProtection="0"/>
    <xf numFmtId="0" fontId="1" fillId="49" borderId="0" applyNumberFormat="0" applyBorder="0" applyAlignment="0" applyProtection="0"/>
    <xf numFmtId="0" fontId="1" fillId="32" borderId="0" applyNumberFormat="0" applyBorder="0" applyAlignment="0" applyProtection="0"/>
    <xf numFmtId="0" fontId="1" fillId="44" borderId="0" applyNumberFormat="0" applyBorder="0" applyAlignment="0" applyProtection="0"/>
    <xf numFmtId="0" fontId="1" fillId="35" borderId="0" applyNumberFormat="0" applyBorder="0" applyAlignment="0" applyProtection="0"/>
    <xf numFmtId="0" fontId="1" fillId="47" borderId="0" applyNumberFormat="0" applyBorder="0" applyAlignment="0" applyProtection="0"/>
    <xf numFmtId="0" fontId="1" fillId="39" borderId="0" applyNumberFormat="0" applyBorder="0" applyAlignment="0" applyProtection="0"/>
    <xf numFmtId="0" fontId="1" fillId="43" borderId="0" applyNumberFormat="0" applyBorder="0" applyAlignment="0" applyProtection="0"/>
    <xf numFmtId="0" fontId="1" fillId="36" borderId="0" applyNumberFormat="0" applyBorder="0" applyAlignment="0" applyProtection="0"/>
    <xf numFmtId="0" fontId="1" fillId="29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3" borderId="0" applyNumberFormat="0" applyBorder="0" applyAlignment="0" applyProtection="0"/>
    <xf numFmtId="0" fontId="1" fillId="47" borderId="0" applyNumberFormat="0" applyBorder="0" applyAlignment="0" applyProtection="0"/>
    <xf numFmtId="0" fontId="1" fillId="45" borderId="0" applyNumberFormat="0" applyBorder="0" applyAlignment="0" applyProtection="0"/>
    <xf numFmtId="0" fontId="1" fillId="48" borderId="0" applyNumberFormat="0" applyBorder="0" applyAlignment="0" applyProtection="0"/>
    <xf numFmtId="0" fontId="1" fillId="27" borderId="0" applyNumberFormat="0" applyBorder="0" applyAlignment="0" applyProtection="0"/>
    <xf numFmtId="0" fontId="1" fillId="37" borderId="0" applyNumberFormat="0" applyBorder="0" applyAlignment="0" applyProtection="0"/>
    <xf numFmtId="0" fontId="1" fillId="48" borderId="0" applyNumberFormat="0" applyBorder="0" applyAlignment="0" applyProtection="0"/>
    <xf numFmtId="44" fontId="53" fillId="0" borderId="0" applyFont="0" applyFill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36" borderId="0" applyNumberFormat="0" applyBorder="0" applyAlignment="0" applyProtection="0"/>
    <xf numFmtId="0" fontId="1" fillId="40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47" borderId="0" applyNumberFormat="0" applyBorder="0" applyAlignment="0" applyProtection="0"/>
    <xf numFmtId="0" fontId="1" fillId="37" borderId="0" applyNumberFormat="0" applyBorder="0" applyAlignment="0" applyProtection="0"/>
    <xf numFmtId="0" fontId="1" fillId="43" borderId="0" applyNumberFormat="0" applyBorder="0" applyAlignment="0" applyProtection="0"/>
    <xf numFmtId="0" fontId="1" fillId="0" borderId="0"/>
    <xf numFmtId="0" fontId="1" fillId="40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8" borderId="0" applyNumberFormat="0" applyBorder="0" applyAlignment="0" applyProtection="0"/>
    <xf numFmtId="0" fontId="1" fillId="44" borderId="0" applyNumberFormat="0" applyBorder="0" applyAlignment="0" applyProtection="0"/>
    <xf numFmtId="0" fontId="1" fillId="36" borderId="0" applyNumberFormat="0" applyBorder="0" applyAlignment="0" applyProtection="0"/>
    <xf numFmtId="0" fontId="1" fillId="43" borderId="0" applyNumberFormat="0" applyBorder="0" applyAlignment="0" applyProtection="0"/>
    <xf numFmtId="0" fontId="1" fillId="41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2" borderId="0" applyNumberFormat="0" applyBorder="0" applyAlignment="0" applyProtection="0"/>
    <xf numFmtId="0" fontId="1" fillId="29" borderId="0" applyNumberFormat="0" applyBorder="0" applyAlignment="0" applyProtection="0"/>
    <xf numFmtId="0" fontId="1" fillId="27" borderId="0" applyNumberFormat="0" applyBorder="0" applyAlignment="0" applyProtection="0"/>
    <xf numFmtId="0" fontId="1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40" borderId="0" applyNumberFormat="0" applyBorder="0" applyAlignment="0" applyProtection="0"/>
    <xf numFmtId="0" fontId="1" fillId="32" borderId="0" applyNumberFormat="0" applyBorder="0" applyAlignment="0" applyProtection="0"/>
    <xf numFmtId="0" fontId="1" fillId="43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7" borderId="0" applyNumberFormat="0" applyBorder="0" applyAlignment="0" applyProtection="0"/>
    <xf numFmtId="0" fontId="1" fillId="36" borderId="0" applyNumberFormat="0" applyBorder="0" applyAlignment="0" applyProtection="0"/>
    <xf numFmtId="0" fontId="1" fillId="33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28" borderId="0" applyNumberFormat="0" applyBorder="0" applyAlignment="0" applyProtection="0"/>
    <xf numFmtId="0" fontId="1" fillId="27" borderId="0" applyNumberFormat="0" applyBorder="0" applyAlignment="0" applyProtection="0"/>
    <xf numFmtId="0" fontId="1" fillId="40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33" borderId="0" applyNumberFormat="0" applyBorder="0" applyAlignment="0" applyProtection="0"/>
    <xf numFmtId="0" fontId="1" fillId="48" borderId="0" applyNumberFormat="0" applyBorder="0" applyAlignment="0" applyProtection="0"/>
    <xf numFmtId="0" fontId="1" fillId="37" borderId="0" applyNumberFormat="0" applyBorder="0" applyAlignment="0" applyProtection="0"/>
    <xf numFmtId="0" fontId="1" fillId="25" borderId="58" applyNumberFormat="0" applyFont="0" applyAlignment="0" applyProtection="0"/>
    <xf numFmtId="0" fontId="1" fillId="48" borderId="0" applyNumberFormat="0" applyBorder="0" applyAlignment="0" applyProtection="0"/>
    <xf numFmtId="0" fontId="1" fillId="41" borderId="0" applyNumberFormat="0" applyBorder="0" applyAlignment="0" applyProtection="0"/>
    <xf numFmtId="0" fontId="1" fillId="36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28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8" borderId="0" applyNumberFormat="0" applyBorder="0" applyAlignment="0" applyProtection="0"/>
    <xf numFmtId="0" fontId="1" fillId="43" borderId="0" applyNumberFormat="0" applyBorder="0" applyAlignment="0" applyProtection="0"/>
    <xf numFmtId="0" fontId="1" fillId="49" borderId="0" applyNumberFormat="0" applyBorder="0" applyAlignment="0" applyProtection="0"/>
    <xf numFmtId="0" fontId="1" fillId="33" borderId="0" applyNumberFormat="0" applyBorder="0" applyAlignment="0" applyProtection="0"/>
    <xf numFmtId="0" fontId="1" fillId="40" borderId="0" applyNumberFormat="0" applyBorder="0" applyAlignment="0" applyProtection="0"/>
    <xf numFmtId="0" fontId="1" fillId="39" borderId="0" applyNumberFormat="0" applyBorder="0" applyAlignment="0" applyProtection="0"/>
    <xf numFmtId="0" fontId="1" fillId="48" borderId="0" applyNumberFormat="0" applyBorder="0" applyAlignment="0" applyProtection="0"/>
    <xf numFmtId="0" fontId="1" fillId="0" borderId="0"/>
    <xf numFmtId="0" fontId="1" fillId="39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39" borderId="0" applyNumberFormat="0" applyBorder="0" applyAlignment="0" applyProtection="0"/>
    <xf numFmtId="0" fontId="1" fillId="47" borderId="0" applyNumberFormat="0" applyBorder="0" applyAlignment="0" applyProtection="0"/>
    <xf numFmtId="0" fontId="1" fillId="37" borderId="0" applyNumberFormat="0" applyBorder="0" applyAlignment="0" applyProtection="0"/>
    <xf numFmtId="0" fontId="1" fillId="25" borderId="58" applyNumberFormat="0" applyFont="0" applyAlignment="0" applyProtection="0"/>
    <xf numFmtId="0" fontId="1" fillId="41" borderId="0" applyNumberFormat="0" applyBorder="0" applyAlignment="0" applyProtection="0"/>
    <xf numFmtId="0" fontId="1" fillId="44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44" borderId="0" applyNumberFormat="0" applyBorder="0" applyAlignment="0" applyProtection="0"/>
    <xf numFmtId="0" fontId="1" fillId="49" borderId="0" applyNumberFormat="0" applyBorder="0" applyAlignment="0" applyProtection="0"/>
    <xf numFmtId="0" fontId="1" fillId="36" borderId="0" applyNumberFormat="0" applyBorder="0" applyAlignment="0" applyProtection="0"/>
    <xf numFmtId="0" fontId="1" fillId="43" borderId="0" applyNumberFormat="0" applyBorder="0" applyAlignment="0" applyProtection="0"/>
    <xf numFmtId="0" fontId="1" fillId="29" borderId="0" applyNumberFormat="0" applyBorder="0" applyAlignment="0" applyProtection="0"/>
    <xf numFmtId="0" fontId="1" fillId="0" borderId="0"/>
    <xf numFmtId="0" fontId="1" fillId="36" borderId="0" applyNumberFormat="0" applyBorder="0" applyAlignment="0" applyProtection="0"/>
    <xf numFmtId="0" fontId="1" fillId="28" borderId="0" applyNumberFormat="0" applyBorder="0" applyAlignment="0" applyProtection="0"/>
    <xf numFmtId="0" fontId="1" fillId="49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9" borderId="0" applyNumberFormat="0" applyBorder="0" applyAlignment="0" applyProtection="0"/>
    <xf numFmtId="0" fontId="1" fillId="31" borderId="0" applyNumberFormat="0" applyBorder="0" applyAlignment="0" applyProtection="0"/>
    <xf numFmtId="0" fontId="1" fillId="4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7" borderId="0" applyNumberFormat="0" applyBorder="0" applyAlignment="0" applyProtection="0"/>
    <xf numFmtId="0" fontId="1" fillId="43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9" borderId="0" applyNumberFormat="0" applyBorder="0" applyAlignment="0" applyProtection="0"/>
    <xf numFmtId="0" fontId="1" fillId="29" borderId="0" applyNumberFormat="0" applyBorder="0" applyAlignment="0" applyProtection="0"/>
    <xf numFmtId="0" fontId="1" fillId="0" borderId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41" borderId="0" applyNumberFormat="0" applyBorder="0" applyAlignment="0" applyProtection="0"/>
    <xf numFmtId="0" fontId="1" fillId="0" borderId="0"/>
    <xf numFmtId="0" fontId="1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28" borderId="0" applyNumberFormat="0" applyBorder="0" applyAlignment="0" applyProtection="0"/>
    <xf numFmtId="0" fontId="1" fillId="47" borderId="0" applyNumberFormat="0" applyBorder="0" applyAlignment="0" applyProtection="0"/>
    <xf numFmtId="0" fontId="1" fillId="28" borderId="0" applyNumberFormat="0" applyBorder="0" applyAlignment="0" applyProtection="0"/>
    <xf numFmtId="0" fontId="1" fillId="41" borderId="0" applyNumberFormat="0" applyBorder="0" applyAlignment="0" applyProtection="0"/>
    <xf numFmtId="0" fontId="1" fillId="33" borderId="0" applyNumberFormat="0" applyBorder="0" applyAlignment="0" applyProtection="0"/>
    <xf numFmtId="0" fontId="1" fillId="41" borderId="0" applyNumberFormat="0" applyBorder="0" applyAlignment="0" applyProtection="0"/>
    <xf numFmtId="0" fontId="1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27" borderId="0" applyNumberFormat="0" applyBorder="0" applyAlignment="0" applyProtection="0"/>
    <xf numFmtId="0" fontId="1" fillId="47" borderId="0" applyNumberFormat="0" applyBorder="0" applyAlignment="0" applyProtection="0"/>
    <xf numFmtId="0" fontId="1" fillId="37" borderId="0" applyNumberFormat="0" applyBorder="0" applyAlignment="0" applyProtection="0"/>
    <xf numFmtId="0" fontId="1" fillId="43" borderId="0" applyNumberFormat="0" applyBorder="0" applyAlignment="0" applyProtection="0"/>
    <xf numFmtId="0" fontId="1" fillId="0" borderId="0"/>
    <xf numFmtId="0" fontId="1" fillId="49" borderId="0" applyNumberFormat="0" applyBorder="0" applyAlignment="0" applyProtection="0"/>
    <xf numFmtId="0" fontId="1" fillId="0" borderId="0"/>
    <xf numFmtId="0" fontId="1" fillId="49" borderId="0" applyNumberFormat="0" applyBorder="0" applyAlignment="0" applyProtection="0"/>
    <xf numFmtId="0" fontId="1" fillId="37" borderId="0" applyNumberFormat="0" applyBorder="0" applyAlignment="0" applyProtection="0"/>
    <xf numFmtId="0" fontId="1" fillId="33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45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25" borderId="58" applyNumberFormat="0" applyFont="0" applyAlignment="0" applyProtection="0"/>
    <xf numFmtId="0" fontId="1" fillId="40" borderId="0" applyNumberFormat="0" applyBorder="0" applyAlignment="0" applyProtection="0"/>
    <xf numFmtId="0" fontId="1" fillId="47" borderId="0" applyNumberFormat="0" applyBorder="0" applyAlignment="0" applyProtection="0"/>
    <xf numFmtId="0" fontId="1" fillId="27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37" borderId="0" applyNumberFormat="0" applyBorder="0" applyAlignment="0" applyProtection="0"/>
    <xf numFmtId="0" fontId="1" fillId="47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29" borderId="0" applyNumberFormat="0" applyBorder="0" applyAlignment="0" applyProtection="0"/>
    <xf numFmtId="0" fontId="1" fillId="45" borderId="0" applyNumberFormat="0" applyBorder="0" applyAlignment="0" applyProtection="0"/>
    <xf numFmtId="0" fontId="1" fillId="25" borderId="58" applyNumberFormat="0" applyFont="0" applyAlignment="0" applyProtection="0"/>
    <xf numFmtId="0" fontId="1" fillId="35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36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5" borderId="58" applyNumberFormat="0" applyFont="0" applyAlignment="0" applyProtection="0"/>
    <xf numFmtId="0" fontId="1" fillId="33" borderId="0" applyNumberFormat="0" applyBorder="0" applyAlignment="0" applyProtection="0"/>
    <xf numFmtId="0" fontId="1" fillId="49" borderId="0" applyNumberFormat="0" applyBorder="0" applyAlignment="0" applyProtection="0"/>
    <xf numFmtId="0" fontId="1" fillId="29" borderId="0" applyNumberFormat="0" applyBorder="0" applyAlignment="0" applyProtection="0"/>
    <xf numFmtId="0" fontId="1" fillId="40" borderId="0" applyNumberFormat="0" applyBorder="0" applyAlignment="0" applyProtection="0"/>
    <xf numFmtId="0" fontId="1" fillId="37" borderId="0" applyNumberFormat="0" applyBorder="0" applyAlignment="0" applyProtection="0"/>
    <xf numFmtId="0" fontId="1" fillId="27" borderId="0" applyNumberFormat="0" applyBorder="0" applyAlignment="0" applyProtection="0"/>
    <xf numFmtId="0" fontId="1" fillId="45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35" borderId="0" applyNumberFormat="0" applyBorder="0" applyAlignment="0" applyProtection="0"/>
    <xf numFmtId="0" fontId="1" fillId="40" borderId="0" applyNumberFormat="0" applyBorder="0" applyAlignment="0" applyProtection="0"/>
    <xf numFmtId="0" fontId="1" fillId="31" borderId="0" applyNumberFormat="0" applyBorder="0" applyAlignment="0" applyProtection="0"/>
    <xf numFmtId="0" fontId="1" fillId="45" borderId="0" applyNumberFormat="0" applyBorder="0" applyAlignment="0" applyProtection="0"/>
    <xf numFmtId="0" fontId="1" fillId="41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41" borderId="0" applyNumberFormat="0" applyBorder="0" applyAlignment="0" applyProtection="0"/>
    <xf numFmtId="0" fontId="1" fillId="39" borderId="0" applyNumberFormat="0" applyBorder="0" applyAlignment="0" applyProtection="0"/>
    <xf numFmtId="0" fontId="1" fillId="27" borderId="0" applyNumberFormat="0" applyBorder="0" applyAlignment="0" applyProtection="0"/>
    <xf numFmtId="0" fontId="1" fillId="40" borderId="0" applyNumberFormat="0" applyBorder="0" applyAlignment="0" applyProtection="0"/>
    <xf numFmtId="0" fontId="1" fillId="27" borderId="0" applyNumberFormat="0" applyBorder="0" applyAlignment="0" applyProtection="0"/>
    <xf numFmtId="0" fontId="1" fillId="29" borderId="0" applyNumberFormat="0" applyBorder="0" applyAlignment="0" applyProtection="0"/>
    <xf numFmtId="0" fontId="1" fillId="40" borderId="0" applyNumberFormat="0" applyBorder="0" applyAlignment="0" applyProtection="0"/>
    <xf numFmtId="0" fontId="1" fillId="49" borderId="0" applyNumberFormat="0" applyBorder="0" applyAlignment="0" applyProtection="0"/>
    <xf numFmtId="0" fontId="1" fillId="32" borderId="0" applyNumberFormat="0" applyBorder="0" applyAlignment="0" applyProtection="0"/>
    <xf numFmtId="0" fontId="1" fillId="44" borderId="0" applyNumberFormat="0" applyBorder="0" applyAlignment="0" applyProtection="0"/>
    <xf numFmtId="0" fontId="1" fillId="39" borderId="0" applyNumberFormat="0" applyBorder="0" applyAlignment="0" applyProtection="0"/>
    <xf numFmtId="44" fontId="51" fillId="0" borderId="0" applyFont="0" applyFill="0" applyBorder="0" applyAlignment="0" applyProtection="0"/>
    <xf numFmtId="44" fontId="53" fillId="0" borderId="0" applyFont="0" applyFill="0" applyBorder="0" applyAlignment="0" applyProtection="0"/>
    <xf numFmtId="0" fontId="53" fillId="0" borderId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44" fontId="53" fillId="0" borderId="0" applyFont="0" applyFill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44" fontId="34" fillId="0" borderId="0" applyFont="0" applyFill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44" fontId="51" fillId="0" borderId="0" applyFont="0" applyFill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4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31" borderId="0" applyNumberFormat="0" applyBorder="0" applyAlignment="0" applyProtection="0"/>
    <xf numFmtId="0" fontId="1" fillId="48" borderId="0" applyNumberFormat="0" applyBorder="0" applyAlignment="0" applyProtection="0"/>
    <xf numFmtId="0" fontId="1" fillId="27" borderId="0" applyNumberFormat="0" applyBorder="0" applyAlignment="0" applyProtection="0"/>
    <xf numFmtId="0" fontId="1" fillId="48" borderId="0" applyNumberFormat="0" applyBorder="0" applyAlignment="0" applyProtection="0"/>
    <xf numFmtId="0" fontId="1" fillId="29" borderId="0" applyNumberFormat="0" applyBorder="0" applyAlignment="0" applyProtection="0"/>
    <xf numFmtId="0" fontId="1" fillId="28" borderId="0" applyNumberFormat="0" applyBorder="0" applyAlignment="0" applyProtection="0"/>
    <xf numFmtId="0" fontId="1" fillId="45" borderId="0" applyNumberFormat="0" applyBorder="0" applyAlignment="0" applyProtection="0"/>
    <xf numFmtId="0" fontId="1" fillId="44" borderId="0" applyNumberFormat="0" applyBorder="0" applyAlignment="0" applyProtection="0"/>
    <xf numFmtId="0" fontId="1" fillId="48" borderId="0" applyNumberFormat="0" applyBorder="0" applyAlignment="0" applyProtection="0"/>
    <xf numFmtId="0" fontId="1" fillId="0" borderId="0"/>
    <xf numFmtId="0" fontId="1" fillId="48" borderId="0" applyNumberFormat="0" applyBorder="0" applyAlignment="0" applyProtection="0"/>
    <xf numFmtId="0" fontId="1" fillId="47" borderId="0" applyNumberFormat="0" applyBorder="0" applyAlignment="0" applyProtection="0"/>
    <xf numFmtId="0" fontId="1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41" borderId="0" applyNumberFormat="0" applyBorder="0" applyAlignment="0" applyProtection="0"/>
    <xf numFmtId="0" fontId="1" fillId="29" borderId="0" applyNumberFormat="0" applyBorder="0" applyAlignment="0" applyProtection="0"/>
    <xf numFmtId="0" fontId="1" fillId="32" borderId="0" applyNumberFormat="0" applyBorder="0" applyAlignment="0" applyProtection="0"/>
    <xf numFmtId="0" fontId="1" fillId="25" borderId="58" applyNumberFormat="0" applyFont="0" applyAlignment="0" applyProtection="0"/>
    <xf numFmtId="0" fontId="1" fillId="29" borderId="0" applyNumberFormat="0" applyBorder="0" applyAlignment="0" applyProtection="0"/>
    <xf numFmtId="0" fontId="1" fillId="35" borderId="0" applyNumberFormat="0" applyBorder="0" applyAlignment="0" applyProtection="0"/>
    <xf numFmtId="0" fontId="1" fillId="40" borderId="0" applyNumberFormat="0" applyBorder="0" applyAlignment="0" applyProtection="0"/>
    <xf numFmtId="0" fontId="1" fillId="35" borderId="0" applyNumberFormat="0" applyBorder="0" applyAlignment="0" applyProtection="0"/>
    <xf numFmtId="0" fontId="1" fillId="29" borderId="0" applyNumberFormat="0" applyBorder="0" applyAlignment="0" applyProtection="0"/>
    <xf numFmtId="0" fontId="1" fillId="33" borderId="0" applyNumberFormat="0" applyBorder="0" applyAlignment="0" applyProtection="0"/>
    <xf numFmtId="0" fontId="1" fillId="39" borderId="0" applyNumberFormat="0" applyBorder="0" applyAlignment="0" applyProtection="0"/>
    <xf numFmtId="0" fontId="1" fillId="25" borderId="58" applyNumberFormat="0" applyFont="0" applyAlignment="0" applyProtection="0"/>
    <xf numFmtId="0" fontId="1" fillId="43" borderId="0" applyNumberFormat="0" applyBorder="0" applyAlignment="0" applyProtection="0"/>
    <xf numFmtId="0" fontId="1" fillId="25" borderId="58" applyNumberFormat="0" applyFont="0" applyAlignment="0" applyProtection="0"/>
    <xf numFmtId="0" fontId="1" fillId="40" borderId="0" applyNumberFormat="0" applyBorder="0" applyAlignment="0" applyProtection="0"/>
    <xf numFmtId="0" fontId="1" fillId="33" borderId="0" applyNumberFormat="0" applyBorder="0" applyAlignment="0" applyProtection="0"/>
    <xf numFmtId="0" fontId="1" fillId="45" borderId="0" applyNumberFormat="0" applyBorder="0" applyAlignment="0" applyProtection="0"/>
    <xf numFmtId="0" fontId="1" fillId="35" borderId="0" applyNumberFormat="0" applyBorder="0" applyAlignment="0" applyProtection="0"/>
    <xf numFmtId="0" fontId="1" fillId="43" borderId="0" applyNumberFormat="0" applyBorder="0" applyAlignment="0" applyProtection="0"/>
    <xf numFmtId="0" fontId="1" fillId="27" borderId="0" applyNumberFormat="0" applyBorder="0" applyAlignment="0" applyProtection="0"/>
    <xf numFmtId="0" fontId="1" fillId="35" borderId="0" applyNumberFormat="0" applyBorder="0" applyAlignment="0" applyProtection="0"/>
    <xf numFmtId="0" fontId="1" fillId="39" borderId="0" applyNumberFormat="0" applyBorder="0" applyAlignment="0" applyProtection="0"/>
    <xf numFmtId="0" fontId="1" fillId="36" borderId="0" applyNumberFormat="0" applyBorder="0" applyAlignment="0" applyProtection="0"/>
    <xf numFmtId="0" fontId="1" fillId="41" borderId="0" applyNumberFormat="0" applyBorder="0" applyAlignment="0" applyProtection="0"/>
    <xf numFmtId="0" fontId="1" fillId="33" borderId="0" applyNumberFormat="0" applyBorder="0" applyAlignment="0" applyProtection="0"/>
    <xf numFmtId="0" fontId="1" fillId="41" borderId="0" applyNumberFormat="0" applyBorder="0" applyAlignment="0" applyProtection="0"/>
    <xf numFmtId="0" fontId="1" fillId="25" borderId="58" applyNumberFormat="0" applyFont="0" applyAlignment="0" applyProtection="0"/>
    <xf numFmtId="0" fontId="1" fillId="25" borderId="58" applyNumberFormat="0" applyFont="0" applyAlignment="0" applyProtection="0"/>
    <xf numFmtId="0" fontId="1" fillId="31" borderId="0" applyNumberFormat="0" applyBorder="0" applyAlignment="0" applyProtection="0"/>
    <xf numFmtId="0" fontId="1" fillId="25" borderId="58" applyNumberFormat="0" applyFont="0" applyAlignment="0" applyProtection="0"/>
    <xf numFmtId="0" fontId="1" fillId="37" borderId="0" applyNumberFormat="0" applyBorder="0" applyAlignment="0" applyProtection="0"/>
    <xf numFmtId="0" fontId="1" fillId="49" borderId="0" applyNumberFormat="0" applyBorder="0" applyAlignment="0" applyProtection="0"/>
    <xf numFmtId="0" fontId="1" fillId="49" borderId="0" applyNumberFormat="0" applyBorder="0" applyAlignment="0" applyProtection="0"/>
    <xf numFmtId="0" fontId="1" fillId="29" borderId="0" applyNumberFormat="0" applyBorder="0" applyAlignment="0" applyProtection="0"/>
    <xf numFmtId="0" fontId="1" fillId="25" borderId="58" applyNumberFormat="0" applyFont="0" applyAlignment="0" applyProtection="0"/>
    <xf numFmtId="0" fontId="1" fillId="31" borderId="0" applyNumberFormat="0" applyBorder="0" applyAlignment="0" applyProtection="0"/>
    <xf numFmtId="0" fontId="1" fillId="27" borderId="0" applyNumberFormat="0" applyBorder="0" applyAlignment="0" applyProtection="0"/>
    <xf numFmtId="0" fontId="1" fillId="33" borderId="0" applyNumberFormat="0" applyBorder="0" applyAlignment="0" applyProtection="0"/>
    <xf numFmtId="0" fontId="1" fillId="31" borderId="0" applyNumberFormat="0" applyBorder="0" applyAlignment="0" applyProtection="0"/>
    <xf numFmtId="0" fontId="1" fillId="47" borderId="0" applyNumberFormat="0" applyBorder="0" applyAlignment="0" applyProtection="0"/>
    <xf numFmtId="0" fontId="1" fillId="25" borderId="58" applyNumberFormat="0" applyFont="0" applyAlignment="0" applyProtection="0"/>
    <xf numFmtId="0" fontId="1" fillId="37" borderId="0" applyNumberFormat="0" applyBorder="0" applyAlignment="0" applyProtection="0"/>
    <xf numFmtId="0" fontId="1" fillId="33" borderId="0" applyNumberFormat="0" applyBorder="0" applyAlignment="0" applyProtection="0"/>
    <xf numFmtId="0" fontId="1" fillId="45" borderId="0" applyNumberFormat="0" applyBorder="0" applyAlignment="0" applyProtection="0"/>
    <xf numFmtId="0" fontId="1" fillId="44" borderId="0" applyNumberFormat="0" applyBorder="0" applyAlignment="0" applyProtection="0"/>
    <xf numFmtId="0" fontId="1" fillId="0" borderId="0"/>
    <xf numFmtId="0" fontId="1" fillId="45" borderId="0" applyNumberFormat="0" applyBorder="0" applyAlignment="0" applyProtection="0"/>
    <xf numFmtId="0" fontId="1" fillId="36" borderId="0" applyNumberFormat="0" applyBorder="0" applyAlignment="0" applyProtection="0"/>
    <xf numFmtId="0" fontId="1" fillId="31" borderId="0" applyNumberFormat="0" applyBorder="0" applyAlignment="0" applyProtection="0"/>
    <xf numFmtId="0" fontId="1" fillId="49" borderId="0" applyNumberFormat="0" applyBorder="0" applyAlignment="0" applyProtection="0"/>
    <xf numFmtId="0" fontId="1" fillId="37" borderId="0" applyNumberFormat="0" applyBorder="0" applyAlignment="0" applyProtection="0"/>
    <xf numFmtId="0" fontId="1" fillId="44" borderId="0" applyNumberFormat="0" applyBorder="0" applyAlignment="0" applyProtection="0"/>
    <xf numFmtId="0" fontId="1" fillId="47" borderId="0" applyNumberFormat="0" applyBorder="0" applyAlignment="0" applyProtection="0"/>
    <xf numFmtId="0" fontId="1" fillId="25" borderId="58" applyNumberFormat="0" applyFont="0" applyAlignment="0" applyProtection="0"/>
    <xf numFmtId="0" fontId="1" fillId="39" borderId="0" applyNumberFormat="0" applyBorder="0" applyAlignment="0" applyProtection="0"/>
    <xf numFmtId="0" fontId="1" fillId="41" borderId="0" applyNumberFormat="0" applyBorder="0" applyAlignment="0" applyProtection="0"/>
    <xf numFmtId="0" fontId="1" fillId="39" borderId="0" applyNumberFormat="0" applyBorder="0" applyAlignment="0" applyProtection="0"/>
    <xf numFmtId="0" fontId="1" fillId="49" borderId="0" applyNumberFormat="0" applyBorder="0" applyAlignment="0" applyProtection="0"/>
    <xf numFmtId="0" fontId="1" fillId="32" borderId="0" applyNumberFormat="0" applyBorder="0" applyAlignment="0" applyProtection="0"/>
    <xf numFmtId="0" fontId="1" fillId="44" borderId="0" applyNumberFormat="0" applyBorder="0" applyAlignment="0" applyProtection="0"/>
    <xf numFmtId="0" fontId="1" fillId="35" borderId="0" applyNumberFormat="0" applyBorder="0" applyAlignment="0" applyProtection="0"/>
    <xf numFmtId="0" fontId="1" fillId="47" borderId="0" applyNumberFormat="0" applyBorder="0" applyAlignment="0" applyProtection="0"/>
    <xf numFmtId="0" fontId="1" fillId="39" borderId="0" applyNumberFormat="0" applyBorder="0" applyAlignment="0" applyProtection="0"/>
    <xf numFmtId="0" fontId="1" fillId="43" borderId="0" applyNumberFormat="0" applyBorder="0" applyAlignment="0" applyProtection="0"/>
    <xf numFmtId="0" fontId="1" fillId="36" borderId="0" applyNumberFormat="0" applyBorder="0" applyAlignment="0" applyProtection="0"/>
    <xf numFmtId="0" fontId="1" fillId="29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3" borderId="0" applyNumberFormat="0" applyBorder="0" applyAlignment="0" applyProtection="0"/>
    <xf numFmtId="0" fontId="1" fillId="47" borderId="0" applyNumberFormat="0" applyBorder="0" applyAlignment="0" applyProtection="0"/>
    <xf numFmtId="0" fontId="1" fillId="45" borderId="0" applyNumberFormat="0" applyBorder="0" applyAlignment="0" applyProtection="0"/>
    <xf numFmtId="0" fontId="1" fillId="48" borderId="0" applyNumberFormat="0" applyBorder="0" applyAlignment="0" applyProtection="0"/>
    <xf numFmtId="0" fontId="1" fillId="27" borderId="0" applyNumberFormat="0" applyBorder="0" applyAlignment="0" applyProtection="0"/>
    <xf numFmtId="0" fontId="1" fillId="37" borderId="0" applyNumberFormat="0" applyBorder="0" applyAlignment="0" applyProtection="0"/>
    <xf numFmtId="0" fontId="1" fillId="48" borderId="0" applyNumberFormat="0" applyBorder="0" applyAlignment="0" applyProtection="0"/>
    <xf numFmtId="44" fontId="53" fillId="0" borderId="0" applyFont="0" applyFill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36" borderId="0" applyNumberFormat="0" applyBorder="0" applyAlignment="0" applyProtection="0"/>
    <xf numFmtId="0" fontId="1" fillId="40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47" borderId="0" applyNumberFormat="0" applyBorder="0" applyAlignment="0" applyProtection="0"/>
    <xf numFmtId="0" fontId="1" fillId="37" borderId="0" applyNumberFormat="0" applyBorder="0" applyAlignment="0" applyProtection="0"/>
    <xf numFmtId="0" fontId="1" fillId="43" borderId="0" applyNumberFormat="0" applyBorder="0" applyAlignment="0" applyProtection="0"/>
    <xf numFmtId="0" fontId="1" fillId="0" borderId="0"/>
    <xf numFmtId="0" fontId="1" fillId="40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8" borderId="0" applyNumberFormat="0" applyBorder="0" applyAlignment="0" applyProtection="0"/>
    <xf numFmtId="0" fontId="1" fillId="44" borderId="0" applyNumberFormat="0" applyBorder="0" applyAlignment="0" applyProtection="0"/>
    <xf numFmtId="0" fontId="1" fillId="36" borderId="0" applyNumberFormat="0" applyBorder="0" applyAlignment="0" applyProtection="0"/>
    <xf numFmtId="0" fontId="1" fillId="43" borderId="0" applyNumberFormat="0" applyBorder="0" applyAlignment="0" applyProtection="0"/>
    <xf numFmtId="0" fontId="1" fillId="41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2" borderId="0" applyNumberFormat="0" applyBorder="0" applyAlignment="0" applyProtection="0"/>
    <xf numFmtId="0" fontId="1" fillId="29" borderId="0" applyNumberFormat="0" applyBorder="0" applyAlignment="0" applyProtection="0"/>
    <xf numFmtId="0" fontId="1" fillId="27" borderId="0" applyNumberFormat="0" applyBorder="0" applyAlignment="0" applyProtection="0"/>
    <xf numFmtId="0" fontId="1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40" borderId="0" applyNumberFormat="0" applyBorder="0" applyAlignment="0" applyProtection="0"/>
    <xf numFmtId="0" fontId="1" fillId="32" borderId="0" applyNumberFormat="0" applyBorder="0" applyAlignment="0" applyProtection="0"/>
    <xf numFmtId="0" fontId="1" fillId="43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7" borderId="0" applyNumberFormat="0" applyBorder="0" applyAlignment="0" applyProtection="0"/>
    <xf numFmtId="0" fontId="1" fillId="36" borderId="0" applyNumberFormat="0" applyBorder="0" applyAlignment="0" applyProtection="0"/>
    <xf numFmtId="0" fontId="1" fillId="33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0" borderId="0"/>
    <xf numFmtId="0" fontId="1" fillId="28" borderId="0" applyNumberFormat="0" applyBorder="0" applyAlignment="0" applyProtection="0"/>
    <xf numFmtId="0" fontId="1" fillId="27" borderId="0" applyNumberFormat="0" applyBorder="0" applyAlignment="0" applyProtection="0"/>
    <xf numFmtId="0" fontId="1" fillId="40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33" borderId="0" applyNumberFormat="0" applyBorder="0" applyAlignment="0" applyProtection="0"/>
    <xf numFmtId="0" fontId="1" fillId="48" borderId="0" applyNumberFormat="0" applyBorder="0" applyAlignment="0" applyProtection="0"/>
    <xf numFmtId="0" fontId="1" fillId="37" borderId="0" applyNumberFormat="0" applyBorder="0" applyAlignment="0" applyProtection="0"/>
    <xf numFmtId="0" fontId="1" fillId="25" borderId="58" applyNumberFormat="0" applyFont="0" applyAlignment="0" applyProtection="0"/>
    <xf numFmtId="0" fontId="1" fillId="48" borderId="0" applyNumberFormat="0" applyBorder="0" applyAlignment="0" applyProtection="0"/>
    <xf numFmtId="0" fontId="1" fillId="41" borderId="0" applyNumberFormat="0" applyBorder="0" applyAlignment="0" applyProtection="0"/>
    <xf numFmtId="0" fontId="1" fillId="36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28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8" borderId="0" applyNumberFormat="0" applyBorder="0" applyAlignment="0" applyProtection="0"/>
    <xf numFmtId="0" fontId="1" fillId="43" borderId="0" applyNumberFormat="0" applyBorder="0" applyAlignment="0" applyProtection="0"/>
    <xf numFmtId="0" fontId="1" fillId="49" borderId="0" applyNumberFormat="0" applyBorder="0" applyAlignment="0" applyProtection="0"/>
    <xf numFmtId="0" fontId="1" fillId="33" borderId="0" applyNumberFormat="0" applyBorder="0" applyAlignment="0" applyProtection="0"/>
    <xf numFmtId="0" fontId="1" fillId="40" borderId="0" applyNumberFormat="0" applyBorder="0" applyAlignment="0" applyProtection="0"/>
    <xf numFmtId="0" fontId="1" fillId="39" borderId="0" applyNumberFormat="0" applyBorder="0" applyAlignment="0" applyProtection="0"/>
    <xf numFmtId="0" fontId="1" fillId="48" borderId="0" applyNumberFormat="0" applyBorder="0" applyAlignment="0" applyProtection="0"/>
    <xf numFmtId="0" fontId="1" fillId="0" borderId="0"/>
    <xf numFmtId="0" fontId="1" fillId="39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39" borderId="0" applyNumberFormat="0" applyBorder="0" applyAlignment="0" applyProtection="0"/>
    <xf numFmtId="0" fontId="1" fillId="47" borderId="0" applyNumberFormat="0" applyBorder="0" applyAlignment="0" applyProtection="0"/>
    <xf numFmtId="0" fontId="1" fillId="37" borderId="0" applyNumberFormat="0" applyBorder="0" applyAlignment="0" applyProtection="0"/>
    <xf numFmtId="0" fontId="1" fillId="25" borderId="58" applyNumberFormat="0" applyFont="0" applyAlignment="0" applyProtection="0"/>
    <xf numFmtId="0" fontId="1" fillId="41" borderId="0" applyNumberFormat="0" applyBorder="0" applyAlignment="0" applyProtection="0"/>
    <xf numFmtId="0" fontId="1" fillId="44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44" borderId="0" applyNumberFormat="0" applyBorder="0" applyAlignment="0" applyProtection="0"/>
    <xf numFmtId="0" fontId="1" fillId="49" borderId="0" applyNumberFormat="0" applyBorder="0" applyAlignment="0" applyProtection="0"/>
    <xf numFmtId="0" fontId="1" fillId="36" borderId="0" applyNumberFormat="0" applyBorder="0" applyAlignment="0" applyProtection="0"/>
    <xf numFmtId="0" fontId="1" fillId="43" borderId="0" applyNumberFormat="0" applyBorder="0" applyAlignment="0" applyProtection="0"/>
    <xf numFmtId="0" fontId="1" fillId="29" borderId="0" applyNumberFormat="0" applyBorder="0" applyAlignment="0" applyProtection="0"/>
    <xf numFmtId="0" fontId="1" fillId="0" borderId="0"/>
    <xf numFmtId="0" fontId="1" fillId="36" borderId="0" applyNumberFormat="0" applyBorder="0" applyAlignment="0" applyProtection="0"/>
    <xf numFmtId="0" fontId="1" fillId="28" borderId="0" applyNumberFormat="0" applyBorder="0" applyAlignment="0" applyProtection="0"/>
    <xf numFmtId="0" fontId="1" fillId="49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9" borderId="0" applyNumberFormat="0" applyBorder="0" applyAlignment="0" applyProtection="0"/>
    <xf numFmtId="0" fontId="1" fillId="31" borderId="0" applyNumberFormat="0" applyBorder="0" applyAlignment="0" applyProtection="0"/>
    <xf numFmtId="0" fontId="1" fillId="4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7" borderId="0" applyNumberFormat="0" applyBorder="0" applyAlignment="0" applyProtection="0"/>
    <xf numFmtId="0" fontId="1" fillId="43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9" borderId="0" applyNumberFormat="0" applyBorder="0" applyAlignment="0" applyProtection="0"/>
    <xf numFmtId="0" fontId="1" fillId="29" borderId="0" applyNumberFormat="0" applyBorder="0" applyAlignment="0" applyProtection="0"/>
    <xf numFmtId="0" fontId="1" fillId="0" borderId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41" borderId="0" applyNumberFormat="0" applyBorder="0" applyAlignment="0" applyProtection="0"/>
    <xf numFmtId="0" fontId="1" fillId="0" borderId="0"/>
    <xf numFmtId="0" fontId="1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28" borderId="0" applyNumberFormat="0" applyBorder="0" applyAlignment="0" applyProtection="0"/>
    <xf numFmtId="0" fontId="1" fillId="47" borderId="0" applyNumberFormat="0" applyBorder="0" applyAlignment="0" applyProtection="0"/>
    <xf numFmtId="0" fontId="1" fillId="28" borderId="0" applyNumberFormat="0" applyBorder="0" applyAlignment="0" applyProtection="0"/>
    <xf numFmtId="0" fontId="1" fillId="41" borderId="0" applyNumberFormat="0" applyBorder="0" applyAlignment="0" applyProtection="0"/>
    <xf numFmtId="0" fontId="1" fillId="33" borderId="0" applyNumberFormat="0" applyBorder="0" applyAlignment="0" applyProtection="0"/>
    <xf numFmtId="0" fontId="1" fillId="41" borderId="0" applyNumberFormat="0" applyBorder="0" applyAlignment="0" applyProtection="0"/>
    <xf numFmtId="0" fontId="1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27" borderId="0" applyNumberFormat="0" applyBorder="0" applyAlignment="0" applyProtection="0"/>
    <xf numFmtId="0" fontId="1" fillId="47" borderId="0" applyNumberFormat="0" applyBorder="0" applyAlignment="0" applyProtection="0"/>
    <xf numFmtId="0" fontId="1" fillId="37" borderId="0" applyNumberFormat="0" applyBorder="0" applyAlignment="0" applyProtection="0"/>
    <xf numFmtId="0" fontId="1" fillId="43" borderId="0" applyNumberFormat="0" applyBorder="0" applyAlignment="0" applyProtection="0"/>
    <xf numFmtId="0" fontId="1" fillId="0" borderId="0"/>
    <xf numFmtId="0" fontId="1" fillId="49" borderId="0" applyNumberFormat="0" applyBorder="0" applyAlignment="0" applyProtection="0"/>
    <xf numFmtId="0" fontId="1" fillId="0" borderId="0"/>
    <xf numFmtId="0" fontId="1" fillId="49" borderId="0" applyNumberFormat="0" applyBorder="0" applyAlignment="0" applyProtection="0"/>
    <xf numFmtId="0" fontId="1" fillId="37" borderId="0" applyNumberFormat="0" applyBorder="0" applyAlignment="0" applyProtection="0"/>
    <xf numFmtId="0" fontId="1" fillId="33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45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25" borderId="58" applyNumberFormat="0" applyFont="0" applyAlignment="0" applyProtection="0"/>
    <xf numFmtId="0" fontId="1" fillId="40" borderId="0" applyNumberFormat="0" applyBorder="0" applyAlignment="0" applyProtection="0"/>
    <xf numFmtId="0" fontId="1" fillId="47" borderId="0" applyNumberFormat="0" applyBorder="0" applyAlignment="0" applyProtection="0"/>
    <xf numFmtId="0" fontId="1" fillId="27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37" borderId="0" applyNumberFormat="0" applyBorder="0" applyAlignment="0" applyProtection="0"/>
    <xf numFmtId="0" fontId="1" fillId="47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29" borderId="0" applyNumberFormat="0" applyBorder="0" applyAlignment="0" applyProtection="0"/>
    <xf numFmtId="0" fontId="1" fillId="45" borderId="0" applyNumberFormat="0" applyBorder="0" applyAlignment="0" applyProtection="0"/>
    <xf numFmtId="0" fontId="1" fillId="25" borderId="58" applyNumberFormat="0" applyFont="0" applyAlignment="0" applyProtection="0"/>
    <xf numFmtId="0" fontId="1" fillId="35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36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5" borderId="58" applyNumberFormat="0" applyFont="0" applyAlignment="0" applyProtection="0"/>
    <xf numFmtId="0" fontId="1" fillId="33" borderId="0" applyNumberFormat="0" applyBorder="0" applyAlignment="0" applyProtection="0"/>
    <xf numFmtId="0" fontId="1" fillId="49" borderId="0" applyNumberFormat="0" applyBorder="0" applyAlignment="0" applyProtection="0"/>
    <xf numFmtId="0" fontId="1" fillId="29" borderId="0" applyNumberFormat="0" applyBorder="0" applyAlignment="0" applyProtection="0"/>
    <xf numFmtId="0" fontId="1" fillId="40" borderId="0" applyNumberFormat="0" applyBorder="0" applyAlignment="0" applyProtection="0"/>
    <xf numFmtId="0" fontId="1" fillId="37" borderId="0" applyNumberFormat="0" applyBorder="0" applyAlignment="0" applyProtection="0"/>
    <xf numFmtId="0" fontId="1" fillId="27" borderId="0" applyNumberFormat="0" applyBorder="0" applyAlignment="0" applyProtection="0"/>
    <xf numFmtId="0" fontId="1" fillId="45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35" borderId="0" applyNumberFormat="0" applyBorder="0" applyAlignment="0" applyProtection="0"/>
    <xf numFmtId="0" fontId="1" fillId="40" borderId="0" applyNumberFormat="0" applyBorder="0" applyAlignment="0" applyProtection="0"/>
    <xf numFmtId="0" fontId="1" fillId="31" borderId="0" applyNumberFormat="0" applyBorder="0" applyAlignment="0" applyProtection="0"/>
    <xf numFmtId="0" fontId="1" fillId="45" borderId="0" applyNumberFormat="0" applyBorder="0" applyAlignment="0" applyProtection="0"/>
    <xf numFmtId="0" fontId="1" fillId="41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41" borderId="0" applyNumberFormat="0" applyBorder="0" applyAlignment="0" applyProtection="0"/>
    <xf numFmtId="0" fontId="1" fillId="39" borderId="0" applyNumberFormat="0" applyBorder="0" applyAlignment="0" applyProtection="0"/>
    <xf numFmtId="0" fontId="1" fillId="27" borderId="0" applyNumberFormat="0" applyBorder="0" applyAlignment="0" applyProtection="0"/>
    <xf numFmtId="0" fontId="1" fillId="40" borderId="0" applyNumberFormat="0" applyBorder="0" applyAlignment="0" applyProtection="0"/>
    <xf numFmtId="0" fontId="1" fillId="27" borderId="0" applyNumberFormat="0" applyBorder="0" applyAlignment="0" applyProtection="0"/>
    <xf numFmtId="0" fontId="1" fillId="29" borderId="0" applyNumberFormat="0" applyBorder="0" applyAlignment="0" applyProtection="0"/>
    <xf numFmtId="0" fontId="1" fillId="40" borderId="0" applyNumberFormat="0" applyBorder="0" applyAlignment="0" applyProtection="0"/>
    <xf numFmtId="0" fontId="1" fillId="49" borderId="0" applyNumberFormat="0" applyBorder="0" applyAlignment="0" applyProtection="0"/>
    <xf numFmtId="0" fontId="1" fillId="32" borderId="0" applyNumberFormat="0" applyBorder="0" applyAlignment="0" applyProtection="0"/>
    <xf numFmtId="0" fontId="1" fillId="44" borderId="0" applyNumberFormat="0" applyBorder="0" applyAlignment="0" applyProtection="0"/>
    <xf numFmtId="0" fontId="1" fillId="39" borderId="0" applyNumberFormat="0" applyBorder="0" applyAlignment="0" applyProtection="0"/>
    <xf numFmtId="44" fontId="51" fillId="0" borderId="0" applyFont="0" applyFill="0" applyBorder="0" applyAlignment="0" applyProtection="0"/>
  </cellStyleXfs>
  <cellXfs count="295">
    <xf numFmtId="0" fontId="0" fillId="0" borderId="0" xfId="0"/>
    <xf numFmtId="0" fontId="8" fillId="3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8" fillId="3" borderId="4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7" fillId="3" borderId="21" xfId="0" applyFont="1" applyFill="1" applyBorder="1" applyAlignment="1">
      <alignment horizontal="center"/>
    </xf>
    <xf numFmtId="0" fontId="8" fillId="4" borderId="21" xfId="0" applyFont="1" applyFill="1" applyBorder="1" applyAlignment="1">
      <alignment horizontal="center"/>
    </xf>
    <xf numFmtId="0" fontId="7" fillId="3" borderId="3" xfId="0" applyFont="1" applyFill="1" applyBorder="1" applyAlignment="1">
      <alignment horizontal="center"/>
    </xf>
    <xf numFmtId="0" fontId="0" fillId="6" borderId="0" xfId="0" applyFill="1"/>
    <xf numFmtId="0" fontId="6" fillId="0" borderId="2" xfId="0" applyFont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0" fontId="7" fillId="3" borderId="16" xfId="0" applyFont="1" applyFill="1" applyBorder="1" applyAlignment="1">
      <alignment horizontal="center"/>
    </xf>
    <xf numFmtId="0" fontId="8" fillId="4" borderId="16" xfId="0" applyFont="1" applyFill="1" applyBorder="1" applyAlignment="1">
      <alignment horizontal="center"/>
    </xf>
    <xf numFmtId="0" fontId="6" fillId="5" borderId="9" xfId="0" applyFont="1" applyFill="1" applyBorder="1" applyAlignment="1">
      <alignment horizontal="center"/>
    </xf>
    <xf numFmtId="0" fontId="6" fillId="0" borderId="16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0" borderId="23" xfId="0" applyFont="1" applyBorder="1" applyAlignment="1">
      <alignment horizontal="center"/>
    </xf>
    <xf numFmtId="0" fontId="5" fillId="5" borderId="9" xfId="0" applyFont="1" applyFill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0" fillId="0" borderId="10" xfId="0" applyBorder="1"/>
    <xf numFmtId="0" fontId="0" fillId="0" borderId="17" xfId="0" applyBorder="1"/>
    <xf numFmtId="0" fontId="0" fillId="0" borderId="28" xfId="0" applyBorder="1"/>
    <xf numFmtId="0" fontId="0" fillId="0" borderId="29" xfId="0" applyBorder="1"/>
    <xf numFmtId="0" fontId="0" fillId="0" borderId="0" xfId="0" applyAlignment="1">
      <alignment horizontal="center" vertical="center"/>
    </xf>
    <xf numFmtId="0" fontId="8" fillId="3" borderId="31" xfId="0" applyFont="1" applyFill="1" applyBorder="1" applyAlignment="1">
      <alignment horizontal="center"/>
    </xf>
    <xf numFmtId="0" fontId="12" fillId="0" borderId="0" xfId="0" applyFont="1"/>
    <xf numFmtId="0" fontId="13" fillId="0" borderId="1" xfId="0" applyFont="1" applyBorder="1" applyAlignment="1">
      <alignment horizontal="center"/>
    </xf>
    <xf numFmtId="9" fontId="13" fillId="0" borderId="5" xfId="0" applyNumberFormat="1" applyFont="1" applyBorder="1" applyAlignment="1">
      <alignment horizontal="center"/>
    </xf>
    <xf numFmtId="0" fontId="12" fillId="0" borderId="2" xfId="0" applyFont="1" applyBorder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2" xfId="0" applyFont="1" applyBorder="1" applyAlignment="1">
      <alignment horizontal="center"/>
    </xf>
    <xf numFmtId="9" fontId="13" fillId="0" borderId="2" xfId="0" applyNumberFormat="1" applyFont="1" applyBorder="1" applyAlignment="1">
      <alignment horizontal="center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vertical="center"/>
    </xf>
    <xf numFmtId="0" fontId="15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6" fillId="0" borderId="0" xfId="0" applyFont="1" applyAlignment="1">
      <alignment vertical="center"/>
    </xf>
    <xf numFmtId="0" fontId="5" fillId="2" borderId="9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16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19" fillId="0" borderId="0" xfId="0" applyFont="1"/>
    <xf numFmtId="0" fontId="12" fillId="0" borderId="41" xfId="0" applyFont="1" applyBorder="1" applyAlignment="1">
      <alignment vertical="center"/>
    </xf>
    <xf numFmtId="0" fontId="6" fillId="0" borderId="35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4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0" fontId="21" fillId="0" borderId="48" xfId="0" applyFont="1" applyBorder="1" applyAlignment="1">
      <alignment horizontal="center" vertical="center" wrapText="1"/>
    </xf>
    <xf numFmtId="0" fontId="21" fillId="0" borderId="48" xfId="0" applyFont="1" applyBorder="1" applyAlignment="1">
      <alignment horizontal="right" vertical="center" wrapText="1"/>
    </xf>
    <xf numFmtId="0" fontId="0" fillId="0" borderId="48" xfId="0" applyBorder="1" applyAlignment="1">
      <alignment vertical="center" wrapText="1"/>
    </xf>
    <xf numFmtId="0" fontId="0" fillId="0" borderId="48" xfId="0" applyBorder="1" applyAlignment="1">
      <alignment horizontal="right" vertical="center" wrapText="1"/>
    </xf>
    <xf numFmtId="3" fontId="0" fillId="0" borderId="48" xfId="0" applyNumberFormat="1" applyBorder="1" applyAlignment="1">
      <alignment horizontal="right" vertical="center" wrapText="1"/>
    </xf>
    <xf numFmtId="9" fontId="21" fillId="0" borderId="48" xfId="0" applyNumberFormat="1" applyFont="1" applyBorder="1" applyAlignment="1">
      <alignment horizontal="right" vertical="center" wrapText="1"/>
    </xf>
    <xf numFmtId="0" fontId="0" fillId="0" borderId="48" xfId="0" applyBorder="1"/>
    <xf numFmtId="8" fontId="0" fillId="0" borderId="48" xfId="0" applyNumberFormat="1" applyBorder="1"/>
    <xf numFmtId="9" fontId="0" fillId="0" borderId="48" xfId="0" applyNumberFormat="1" applyBorder="1"/>
    <xf numFmtId="0" fontId="10" fillId="7" borderId="0" xfId="0" applyFont="1" applyFill="1"/>
    <xf numFmtId="0" fontId="22" fillId="0" borderId="48" xfId="0" applyFont="1" applyBorder="1" applyAlignment="1">
      <alignment vertical="center" wrapText="1"/>
    </xf>
    <xf numFmtId="0" fontId="22" fillId="0" borderId="48" xfId="0" applyFont="1" applyBorder="1"/>
    <xf numFmtId="0" fontId="23" fillId="2" borderId="48" xfId="0" applyFont="1" applyFill="1" applyBorder="1" applyAlignment="1">
      <alignment horizontal="center"/>
    </xf>
    <xf numFmtId="0" fontId="24" fillId="0" borderId="48" xfId="0" applyFont="1" applyBorder="1" applyAlignment="1">
      <alignment horizontal="center"/>
    </xf>
    <xf numFmtId="9" fontId="24" fillId="0" borderId="48" xfId="0" applyNumberFormat="1" applyFont="1" applyBorder="1" applyAlignment="1">
      <alignment horizontal="center"/>
    </xf>
    <xf numFmtId="0" fontId="12" fillId="2" borderId="48" xfId="0" applyFont="1" applyFill="1" applyBorder="1" applyAlignment="1">
      <alignment horizontal="center"/>
    </xf>
    <xf numFmtId="0" fontId="25" fillId="8" borderId="48" xfId="0" applyFont="1" applyFill="1" applyBorder="1" applyAlignment="1">
      <alignment horizontal="center"/>
    </xf>
    <xf numFmtId="9" fontId="25" fillId="8" borderId="48" xfId="0" applyNumberFormat="1" applyFont="1" applyFill="1" applyBorder="1" applyAlignment="1">
      <alignment horizontal="center"/>
    </xf>
    <xf numFmtId="0" fontId="27" fillId="8" borderId="48" xfId="0" applyFont="1" applyFill="1" applyBorder="1" applyAlignment="1">
      <alignment horizontal="center"/>
    </xf>
    <xf numFmtId="9" fontId="27" fillId="8" borderId="48" xfId="0" applyNumberFormat="1" applyFont="1" applyFill="1" applyBorder="1" applyAlignment="1">
      <alignment horizontal="center"/>
    </xf>
    <xf numFmtId="0" fontId="13" fillId="7" borderId="48" xfId="0" applyFont="1" applyFill="1" applyBorder="1" applyAlignment="1">
      <alignment horizontal="center"/>
    </xf>
    <xf numFmtId="9" fontId="13" fillId="7" borderId="48" xfId="0" applyNumberFormat="1" applyFont="1" applyFill="1" applyBorder="1" applyAlignment="1">
      <alignment horizontal="center"/>
    </xf>
    <xf numFmtId="0" fontId="0" fillId="7" borderId="48" xfId="0" applyFill="1" applyBorder="1"/>
    <xf numFmtId="0" fontId="26" fillId="7" borderId="48" xfId="0" applyFont="1" applyFill="1" applyBorder="1"/>
    <xf numFmtId="0" fontId="10" fillId="7" borderId="49" xfId="0" applyFont="1" applyFill="1" applyBorder="1"/>
    <xf numFmtId="0" fontId="26" fillId="7" borderId="49" xfId="0" applyFont="1" applyFill="1" applyBorder="1"/>
    <xf numFmtId="0" fontId="9" fillId="0" borderId="2" xfId="0" applyFont="1" applyBorder="1" applyAlignment="1">
      <alignment horizontal="center"/>
    </xf>
    <xf numFmtId="0" fontId="28" fillId="9" borderId="2" xfId="0" applyFont="1" applyFill="1" applyBorder="1" applyAlignment="1">
      <alignment horizontal="center"/>
    </xf>
    <xf numFmtId="0" fontId="29" fillId="10" borderId="35" xfId="0" applyFont="1" applyFill="1" applyBorder="1" applyAlignment="1">
      <alignment horizontal="center"/>
    </xf>
    <xf numFmtId="0" fontId="29" fillId="10" borderId="1" xfId="0" applyFont="1" applyFill="1" applyBorder="1" applyAlignment="1">
      <alignment horizontal="center"/>
    </xf>
    <xf numFmtId="0" fontId="29" fillId="10" borderId="36" xfId="0" applyFont="1" applyFill="1" applyBorder="1" applyAlignment="1">
      <alignment horizontal="center"/>
    </xf>
    <xf numFmtId="0" fontId="9" fillId="2" borderId="18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30" fillId="0" borderId="0" xfId="0" applyFont="1"/>
    <xf numFmtId="0" fontId="31" fillId="0" borderId="0" xfId="0" applyFont="1" applyAlignment="1">
      <alignment horizontal="center"/>
    </xf>
    <xf numFmtId="0" fontId="10" fillId="12" borderId="2" xfId="0" applyFont="1" applyFill="1" applyBorder="1" applyAlignment="1">
      <alignment horizontal="center"/>
    </xf>
    <xf numFmtId="0" fontId="0" fillId="11" borderId="0" xfId="0" applyFill="1"/>
    <xf numFmtId="0" fontId="0" fillId="11" borderId="2" xfId="0" applyFill="1" applyBorder="1" applyAlignment="1">
      <alignment horizontal="center"/>
    </xf>
    <xf numFmtId="14" fontId="0" fillId="11" borderId="2" xfId="0" applyNumberFormat="1" applyFill="1" applyBorder="1" applyAlignment="1">
      <alignment horizontal="center"/>
    </xf>
    <xf numFmtId="0" fontId="28" fillId="9" borderId="7" xfId="0" applyFont="1" applyFill="1" applyBorder="1" applyAlignment="1">
      <alignment horizontal="center"/>
    </xf>
    <xf numFmtId="0" fontId="9" fillId="2" borderId="35" xfId="0" applyFont="1" applyFill="1" applyBorder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9" fillId="2" borderId="36" xfId="0" applyFont="1" applyFill="1" applyBorder="1" applyAlignment="1">
      <alignment horizontal="center"/>
    </xf>
    <xf numFmtId="0" fontId="9" fillId="2" borderId="8" xfId="0" applyFont="1" applyFill="1" applyBorder="1" applyAlignment="1">
      <alignment horizontal="center"/>
    </xf>
    <xf numFmtId="0" fontId="9" fillId="2" borderId="7" xfId="0" applyFont="1" applyFill="1" applyBorder="1" applyAlignment="1">
      <alignment horizontal="center"/>
    </xf>
    <xf numFmtId="0" fontId="9" fillId="0" borderId="35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36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37" xfId="0" applyFont="1" applyBorder="1" applyAlignment="1">
      <alignment horizontal="center"/>
    </xf>
    <xf numFmtId="0" fontId="9" fillId="0" borderId="38" xfId="0" applyFont="1" applyBorder="1" applyAlignment="1">
      <alignment horizontal="center"/>
    </xf>
    <xf numFmtId="0" fontId="9" fillId="0" borderId="39" xfId="0" applyFont="1" applyBorder="1" applyAlignment="1">
      <alignment horizontal="center"/>
    </xf>
    <xf numFmtId="0" fontId="32" fillId="13" borderId="0" xfId="0" applyFont="1" applyFill="1" applyAlignment="1">
      <alignment horizontal="center"/>
    </xf>
    <xf numFmtId="0" fontId="28" fillId="8" borderId="1" xfId="0" applyFont="1" applyFill="1" applyBorder="1" applyAlignment="1">
      <alignment horizontal="center"/>
    </xf>
    <xf numFmtId="0" fontId="0" fillId="14" borderId="2" xfId="0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14" fontId="0" fillId="14" borderId="2" xfId="0" applyNumberFormat="1" applyFill="1" applyBorder="1" applyAlignment="1">
      <alignment horizontal="center"/>
    </xf>
    <xf numFmtId="0" fontId="9" fillId="11" borderId="1" xfId="0" applyFont="1" applyFill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9" fillId="0" borderId="33" xfId="0" applyFont="1" applyBorder="1" applyAlignment="1">
      <alignment horizontal="center"/>
    </xf>
    <xf numFmtId="0" fontId="9" fillId="11" borderId="33" xfId="0" applyFont="1" applyFill="1" applyBorder="1" applyAlignment="1">
      <alignment horizontal="center"/>
    </xf>
    <xf numFmtId="0" fontId="12" fillId="11" borderId="2" xfId="0" applyFont="1" applyFill="1" applyBorder="1" applyAlignment="1">
      <alignment horizontal="center"/>
    </xf>
    <xf numFmtId="0" fontId="0" fillId="11" borderId="2" xfId="0" applyFill="1" applyBorder="1" applyAlignment="1">
      <alignment horizontal="center" wrapText="1"/>
    </xf>
    <xf numFmtId="0" fontId="0" fillId="11" borderId="0" xfId="0" applyFill="1" applyAlignment="1">
      <alignment horizontal="center"/>
    </xf>
    <xf numFmtId="0" fontId="9" fillId="11" borderId="0" xfId="0" applyFont="1" applyFill="1" applyAlignment="1">
      <alignment horizontal="center"/>
    </xf>
    <xf numFmtId="0" fontId="0" fillId="15" borderId="2" xfId="0" applyFill="1" applyBorder="1" applyAlignment="1">
      <alignment horizontal="center"/>
    </xf>
    <xf numFmtId="0" fontId="9" fillId="15" borderId="2" xfId="0" applyFont="1" applyFill="1" applyBorder="1" applyAlignment="1">
      <alignment horizontal="center"/>
    </xf>
    <xf numFmtId="0" fontId="0" fillId="15" borderId="2" xfId="0" applyFill="1" applyBorder="1" applyAlignment="1">
      <alignment horizontal="center" wrapText="1"/>
    </xf>
    <xf numFmtId="14" fontId="0" fillId="15" borderId="2" xfId="0" applyNumberFormat="1" applyFill="1" applyBorder="1" applyAlignment="1">
      <alignment horizontal="center"/>
    </xf>
    <xf numFmtId="14" fontId="0" fillId="11" borderId="2" xfId="0" applyNumberFormat="1" applyFill="1" applyBorder="1" applyAlignment="1">
      <alignment horizontal="center" wrapText="1"/>
    </xf>
    <xf numFmtId="0" fontId="9" fillId="11" borderId="16" xfId="0" applyFont="1" applyFill="1" applyBorder="1" applyAlignment="1">
      <alignment horizontal="center"/>
    </xf>
    <xf numFmtId="0" fontId="22" fillId="0" borderId="0" xfId="0" applyFont="1"/>
    <xf numFmtId="0" fontId="22" fillId="0" borderId="0" xfId="0" applyFont="1" applyAlignment="1">
      <alignment horizontal="center"/>
    </xf>
    <xf numFmtId="0" fontId="22" fillId="11" borderId="2" xfId="0" applyFont="1" applyFill="1" applyBorder="1" applyAlignment="1">
      <alignment horizontal="center"/>
    </xf>
    <xf numFmtId="14" fontId="22" fillId="11" borderId="2" xfId="0" applyNumberFormat="1" applyFont="1" applyFill="1" applyBorder="1" applyAlignment="1">
      <alignment horizontal="center"/>
    </xf>
    <xf numFmtId="0" fontId="22" fillId="0" borderId="2" xfId="0" applyFont="1" applyBorder="1" applyAlignment="1">
      <alignment horizontal="center"/>
    </xf>
    <xf numFmtId="0" fontId="22" fillId="15" borderId="2" xfId="0" applyFont="1" applyFill="1" applyBorder="1" applyAlignment="1">
      <alignment horizontal="center"/>
    </xf>
    <xf numFmtId="14" fontId="22" fillId="15" borderId="2" xfId="0" applyNumberFormat="1" applyFont="1" applyFill="1" applyBorder="1" applyAlignment="1">
      <alignment horizontal="center"/>
    </xf>
    <xf numFmtId="0" fontId="22" fillId="11" borderId="16" xfId="0" applyFont="1" applyFill="1" applyBorder="1" applyAlignment="1">
      <alignment horizontal="center"/>
    </xf>
    <xf numFmtId="14" fontId="22" fillId="11" borderId="16" xfId="0" applyNumberFormat="1" applyFont="1" applyFill="1" applyBorder="1" applyAlignment="1">
      <alignment horizontal="center"/>
    </xf>
    <xf numFmtId="0" fontId="22" fillId="0" borderId="16" xfId="0" applyFont="1" applyBorder="1" applyAlignment="1">
      <alignment horizontal="center"/>
    </xf>
    <xf numFmtId="0" fontId="22" fillId="0" borderId="2" xfId="0" applyFont="1" applyBorder="1"/>
    <xf numFmtId="0" fontId="22" fillId="11" borderId="0" xfId="0" applyFont="1" applyFill="1" applyAlignment="1">
      <alignment horizontal="center"/>
    </xf>
    <xf numFmtId="0" fontId="27" fillId="8" borderId="0" xfId="0" applyFont="1" applyFill="1" applyAlignment="1">
      <alignment horizontal="center"/>
    </xf>
    <xf numFmtId="0" fontId="27" fillId="8" borderId="43" xfId="0" applyFont="1" applyFill="1" applyBorder="1" applyAlignment="1">
      <alignment horizontal="center"/>
    </xf>
    <xf numFmtId="0" fontId="27" fillId="8" borderId="44" xfId="0" applyFont="1" applyFill="1" applyBorder="1" applyAlignment="1">
      <alignment horizontal="center"/>
    </xf>
    <xf numFmtId="0" fontId="27" fillId="16" borderId="2" xfId="0" applyFont="1" applyFill="1" applyBorder="1" applyAlignment="1">
      <alignment horizontal="center"/>
    </xf>
    <xf numFmtId="0" fontId="27" fillId="17" borderId="2" xfId="0" applyFont="1" applyFill="1" applyBorder="1" applyAlignment="1">
      <alignment horizontal="center"/>
    </xf>
    <xf numFmtId="0" fontId="12" fillId="2" borderId="2" xfId="0" applyFont="1" applyFill="1" applyBorder="1" applyAlignment="1">
      <alignment horizontal="center"/>
    </xf>
    <xf numFmtId="0" fontId="27" fillId="8" borderId="3" xfId="0" applyFont="1" applyFill="1" applyBorder="1" applyAlignment="1">
      <alignment horizontal="center"/>
    </xf>
    <xf numFmtId="0" fontId="27" fillId="8" borderId="1" xfId="0" applyFont="1" applyFill="1" applyBorder="1" applyAlignment="1">
      <alignment horizontal="center"/>
    </xf>
    <xf numFmtId="9" fontId="27" fillId="8" borderId="5" xfId="0" applyNumberFormat="1" applyFont="1" applyFill="1" applyBorder="1" applyAlignment="1">
      <alignment horizontal="center"/>
    </xf>
    <xf numFmtId="0" fontId="27" fillId="8" borderId="2" xfId="0" applyFont="1" applyFill="1" applyBorder="1" applyAlignment="1">
      <alignment horizontal="center"/>
    </xf>
    <xf numFmtId="0" fontId="33" fillId="8" borderId="15" xfId="0" applyFont="1" applyFill="1" applyBorder="1" applyAlignment="1">
      <alignment horizontal="center" vertical="center"/>
    </xf>
    <xf numFmtId="0" fontId="12" fillId="18" borderId="2" xfId="0" applyFont="1" applyFill="1" applyBorder="1" applyAlignment="1">
      <alignment horizontal="center" vertical="center"/>
    </xf>
    <xf numFmtId="0" fontId="12" fillId="18" borderId="2" xfId="0" applyFont="1" applyFill="1" applyBorder="1" applyAlignment="1">
      <alignment horizontal="center"/>
    </xf>
    <xf numFmtId="0" fontId="33" fillId="8" borderId="15" xfId="0" applyFont="1" applyFill="1" applyBorder="1" applyAlignment="1">
      <alignment horizontal="center" vertical="center" wrapText="1"/>
    </xf>
    <xf numFmtId="0" fontId="33" fillId="8" borderId="14" xfId="0" applyFont="1" applyFill="1" applyBorder="1" applyAlignment="1">
      <alignment horizontal="center" vertical="center"/>
    </xf>
    <xf numFmtId="0" fontId="27" fillId="8" borderId="31" xfId="0" applyFont="1" applyFill="1" applyBorder="1" applyAlignment="1">
      <alignment horizontal="center"/>
    </xf>
    <xf numFmtId="0" fontId="27" fillId="8" borderId="32" xfId="0" applyFont="1" applyFill="1" applyBorder="1" applyAlignment="1">
      <alignment horizontal="center"/>
    </xf>
    <xf numFmtId="9" fontId="27" fillId="8" borderId="2" xfId="0" applyNumberFormat="1" applyFont="1" applyFill="1" applyBorder="1" applyAlignment="1">
      <alignment horizontal="center"/>
    </xf>
    <xf numFmtId="0" fontId="22" fillId="14" borderId="2" xfId="0" applyFont="1" applyFill="1" applyBorder="1" applyAlignment="1">
      <alignment horizontal="center"/>
    </xf>
    <xf numFmtId="14" fontId="22" fillId="14" borderId="2" xfId="0" applyNumberFormat="1" applyFont="1" applyFill="1" applyBorder="1" applyAlignment="1">
      <alignment horizontal="center"/>
    </xf>
    <xf numFmtId="0" fontId="22" fillId="11" borderId="2" xfId="0" applyFont="1" applyFill="1" applyBorder="1" applyAlignment="1">
      <alignment horizontal="center" wrapText="1"/>
    </xf>
    <xf numFmtId="14" fontId="22" fillId="0" borderId="2" xfId="0" applyNumberFormat="1" applyFont="1" applyBorder="1" applyAlignment="1">
      <alignment horizontal="center"/>
    </xf>
    <xf numFmtId="44" fontId="0" fillId="0" borderId="48" xfId="0" applyNumberFormat="1" applyBorder="1"/>
    <xf numFmtId="0" fontId="0" fillId="13" borderId="2" xfId="0" applyFill="1" applyBorder="1" applyAlignment="1">
      <alignment horizontal="center"/>
    </xf>
    <xf numFmtId="0" fontId="9" fillId="13" borderId="2" xfId="0" applyFont="1" applyFill="1" applyBorder="1" applyAlignment="1">
      <alignment horizontal="center"/>
    </xf>
    <xf numFmtId="0" fontId="0" fillId="13" borderId="2" xfId="0" applyFill="1" applyBorder="1" applyAlignment="1">
      <alignment horizontal="center" wrapText="1"/>
    </xf>
    <xf numFmtId="14" fontId="0" fillId="13" borderId="2" xfId="0" applyNumberFormat="1" applyFill="1" applyBorder="1" applyAlignment="1">
      <alignment horizontal="center"/>
    </xf>
    <xf numFmtId="10" fontId="22" fillId="0" borderId="48" xfId="0" applyNumberFormat="1" applyFont="1" applyBorder="1"/>
    <xf numFmtId="10" fontId="52" fillId="0" borderId="48" xfId="0" applyNumberFormat="1" applyFont="1" applyBorder="1" applyAlignment="1">
      <alignment vertical="center"/>
    </xf>
    <xf numFmtId="0" fontId="54" fillId="50" borderId="48" xfId="306" applyFont="1" applyFill="1" applyBorder="1" applyAlignment="1">
      <alignment horizontal="center"/>
    </xf>
    <xf numFmtId="0" fontId="54" fillId="50" borderId="48" xfId="306" applyFont="1" applyFill="1" applyBorder="1" applyAlignment="1">
      <alignment horizontal="center" wrapText="1"/>
    </xf>
    <xf numFmtId="0" fontId="54" fillId="52" borderId="48" xfId="306" applyFont="1" applyFill="1" applyBorder="1" applyAlignment="1">
      <alignment horizontal="center"/>
    </xf>
    <xf numFmtId="0" fontId="54" fillId="51" borderId="48" xfId="306" applyFont="1" applyFill="1" applyBorder="1" applyAlignment="1">
      <alignment horizontal="center"/>
    </xf>
    <xf numFmtId="0" fontId="54" fillId="7" borderId="48" xfId="306" applyFont="1" applyFill="1" applyBorder="1" applyAlignment="1">
      <alignment horizontal="center"/>
    </xf>
    <xf numFmtId="0" fontId="0" fillId="5" borderId="60" xfId="0" applyFill="1" applyBorder="1" applyAlignment="1">
      <alignment horizontal="center"/>
    </xf>
    <xf numFmtId="0" fontId="53" fillId="0" borderId="48" xfId="306" applyBorder="1" applyAlignment="1">
      <alignment horizontal="center"/>
    </xf>
    <xf numFmtId="0" fontId="0" fillId="5" borderId="61" xfId="0" applyFill="1" applyBorder="1" applyAlignment="1">
      <alignment horizontal="center"/>
    </xf>
    <xf numFmtId="0" fontId="0" fillId="5" borderId="62" xfId="0" applyFill="1" applyBorder="1" applyAlignment="1">
      <alignment horizontal="center"/>
    </xf>
    <xf numFmtId="0" fontId="56" fillId="53" borderId="48" xfId="306" applyFont="1" applyFill="1" applyBorder="1" applyAlignment="1">
      <alignment horizontal="center"/>
    </xf>
    <xf numFmtId="44" fontId="56" fillId="53" borderId="48" xfId="1" applyFont="1" applyFill="1" applyBorder="1" applyAlignment="1">
      <alignment horizontal="center"/>
    </xf>
    <xf numFmtId="44" fontId="53" fillId="7" borderId="48" xfId="1" applyFont="1" applyFill="1" applyBorder="1" applyAlignment="1">
      <alignment horizontal="center"/>
    </xf>
    <xf numFmtId="44" fontId="53" fillId="51" borderId="48" xfId="1" applyFont="1" applyFill="1" applyBorder="1" applyAlignment="1">
      <alignment horizontal="center"/>
    </xf>
    <xf numFmtId="44" fontId="0" fillId="5" borderId="62" xfId="1" applyFont="1" applyFill="1" applyBorder="1" applyAlignment="1">
      <alignment horizontal="center"/>
    </xf>
    <xf numFmtId="44" fontId="0" fillId="5" borderId="60" xfId="1" applyFont="1" applyFill="1" applyBorder="1" applyAlignment="1">
      <alignment horizontal="center"/>
    </xf>
    <xf numFmtId="44" fontId="0" fillId="0" borderId="48" xfId="1" applyFont="1" applyBorder="1"/>
    <xf numFmtId="0" fontId="23" fillId="5" borderId="0" xfId="0" applyFont="1" applyFill="1"/>
    <xf numFmtId="0" fontId="57" fillId="3" borderId="2" xfId="0" applyFont="1" applyFill="1" applyBorder="1" applyAlignment="1">
      <alignment horizontal="center"/>
    </xf>
    <xf numFmtId="0" fontId="23" fillId="0" borderId="0" xfId="0" applyFont="1"/>
    <xf numFmtId="0" fontId="57" fillId="3" borderId="4" xfId="0" applyFont="1" applyFill="1" applyBorder="1" applyAlignment="1">
      <alignment horizontal="center"/>
    </xf>
    <xf numFmtId="0" fontId="57" fillId="3" borderId="63" xfId="0" applyFont="1" applyFill="1" applyBorder="1" applyAlignment="1">
      <alignment horizontal="center"/>
    </xf>
    <xf numFmtId="0" fontId="57" fillId="51" borderId="2" xfId="0" applyFont="1" applyFill="1" applyBorder="1" applyAlignment="1">
      <alignment horizontal="center"/>
    </xf>
    <xf numFmtId="0" fontId="57" fillId="54" borderId="2" xfId="0" applyFont="1" applyFill="1" applyBorder="1" applyAlignment="1">
      <alignment horizontal="center"/>
    </xf>
    <xf numFmtId="0" fontId="59" fillId="2" borderId="2" xfId="0" applyFont="1" applyFill="1" applyBorder="1" applyAlignment="1">
      <alignment horizontal="center"/>
    </xf>
    <xf numFmtId="0" fontId="24" fillId="0" borderId="1" xfId="0" applyFont="1" applyBorder="1" applyAlignment="1">
      <alignment horizontal="center"/>
    </xf>
    <xf numFmtId="9" fontId="24" fillId="0" borderId="5" xfId="0" applyNumberFormat="1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3" fillId="5" borderId="2" xfId="0" applyFont="1" applyFill="1" applyBorder="1" applyAlignment="1">
      <alignment horizontal="center"/>
    </xf>
    <xf numFmtId="0" fontId="57" fillId="3" borderId="3" xfId="0" applyFont="1" applyFill="1" applyBorder="1" applyAlignment="1">
      <alignment horizontal="center"/>
    </xf>
    <xf numFmtId="0" fontId="57" fillId="3" borderId="1" xfId="0" applyFont="1" applyFill="1" applyBorder="1" applyAlignment="1">
      <alignment horizontal="center"/>
    </xf>
    <xf numFmtId="9" fontId="57" fillId="3" borderId="5" xfId="0" applyNumberFormat="1" applyFont="1" applyFill="1" applyBorder="1" applyAlignment="1">
      <alignment horizontal="center"/>
    </xf>
    <xf numFmtId="0" fontId="57" fillId="5" borderId="0" xfId="0" applyFont="1" applyFill="1" applyAlignment="1">
      <alignment horizontal="center"/>
    </xf>
    <xf numFmtId="9" fontId="57" fillId="5" borderId="0" xfId="0" applyNumberFormat="1" applyFont="1" applyFill="1" applyAlignment="1">
      <alignment horizontal="center"/>
    </xf>
    <xf numFmtId="0" fontId="60" fillId="0" borderId="0" xfId="0" applyFont="1" applyAlignment="1">
      <alignment horizontal="center"/>
    </xf>
    <xf numFmtId="0" fontId="58" fillId="3" borderId="16" xfId="0" applyFont="1" applyFill="1" applyBorder="1" applyAlignment="1">
      <alignment horizontal="center" vertical="center"/>
    </xf>
    <xf numFmtId="0" fontId="58" fillId="3" borderId="15" xfId="0" applyFont="1" applyFill="1" applyBorder="1" applyAlignment="1">
      <alignment horizontal="center" vertical="center" wrapText="1"/>
    </xf>
    <xf numFmtId="0" fontId="58" fillId="3" borderId="15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55" borderId="2" xfId="0" applyFont="1" applyFill="1" applyBorder="1" applyAlignment="1">
      <alignment horizontal="center" vertical="center"/>
    </xf>
    <xf numFmtId="0" fontId="62" fillId="0" borderId="1" xfId="0" applyFont="1" applyBorder="1" applyAlignment="1">
      <alignment horizontal="center"/>
    </xf>
    <xf numFmtId="0" fontId="23" fillId="55" borderId="2" xfId="0" applyFont="1" applyFill="1" applyBorder="1" applyAlignment="1">
      <alignment horizontal="center"/>
    </xf>
    <xf numFmtId="0" fontId="63" fillId="0" borderId="0" xfId="0" applyFont="1"/>
    <xf numFmtId="0" fontId="62" fillId="0" borderId="0" xfId="0" applyFont="1" applyAlignment="1">
      <alignment horizontal="center"/>
    </xf>
    <xf numFmtId="0" fontId="62" fillId="0" borderId="5" xfId="0" applyFont="1" applyBorder="1" applyAlignment="1">
      <alignment horizontal="center"/>
    </xf>
    <xf numFmtId="0" fontId="63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0" fontId="59" fillId="0" borderId="2" xfId="0" applyFont="1" applyBorder="1" applyAlignment="1">
      <alignment horizontal="center"/>
    </xf>
    <xf numFmtId="0" fontId="59" fillId="0" borderId="17" xfId="0" applyFont="1" applyBorder="1" applyAlignment="1">
      <alignment horizontal="center"/>
    </xf>
    <xf numFmtId="0" fontId="62" fillId="5" borderId="2" xfId="0" applyFont="1" applyFill="1" applyBorder="1" applyAlignment="1">
      <alignment horizontal="center"/>
    </xf>
    <xf numFmtId="0" fontId="62" fillId="0" borderId="2" xfId="0" applyFont="1" applyBorder="1" applyAlignment="1">
      <alignment horizontal="center"/>
    </xf>
    <xf numFmtId="0" fontId="62" fillId="0" borderId="17" xfId="0" applyFont="1" applyBorder="1" applyAlignment="1">
      <alignment horizontal="center"/>
    </xf>
    <xf numFmtId="0" fontId="58" fillId="3" borderId="14" xfId="0" applyFont="1" applyFill="1" applyBorder="1" applyAlignment="1">
      <alignment horizontal="center" vertical="center"/>
    </xf>
    <xf numFmtId="0" fontId="57" fillId="3" borderId="0" xfId="0" applyFont="1" applyFill="1" applyAlignment="1">
      <alignment horizontal="center"/>
    </xf>
    <xf numFmtId="0" fontId="23" fillId="0" borderId="0" xfId="0" applyFont="1" applyAlignment="1">
      <alignment horizontal="center"/>
    </xf>
    <xf numFmtId="0" fontId="57" fillId="3" borderId="31" xfId="0" applyFont="1" applyFill="1" applyBorder="1" applyAlignment="1">
      <alignment horizontal="center"/>
    </xf>
    <xf numFmtId="0" fontId="57" fillId="3" borderId="32" xfId="0" applyFont="1" applyFill="1" applyBorder="1" applyAlignment="1">
      <alignment horizontal="center"/>
    </xf>
    <xf numFmtId="0" fontId="24" fillId="0" borderId="2" xfId="0" applyFont="1" applyBorder="1" applyAlignment="1">
      <alignment horizontal="center"/>
    </xf>
    <xf numFmtId="9" fontId="24" fillId="0" borderId="2" xfId="0" applyNumberFormat="1" applyFont="1" applyBorder="1" applyAlignment="1">
      <alignment horizontal="center"/>
    </xf>
    <xf numFmtId="9" fontId="57" fillId="3" borderId="2" xfId="0" applyNumberFormat="1" applyFont="1" applyFill="1" applyBorder="1" applyAlignment="1">
      <alignment horizontal="center"/>
    </xf>
    <xf numFmtId="0" fontId="64" fillId="3" borderId="2" xfId="0" applyFont="1" applyFill="1" applyBorder="1" applyAlignment="1">
      <alignment horizontal="center"/>
    </xf>
    <xf numFmtId="0" fontId="64" fillId="3" borderId="43" xfId="0" applyFont="1" applyFill="1" applyBorder="1" applyAlignment="1">
      <alignment horizontal="center"/>
    </xf>
    <xf numFmtId="0" fontId="64" fillId="3" borderId="44" xfId="0" applyFont="1" applyFill="1" applyBorder="1" applyAlignment="1">
      <alignment horizontal="center"/>
    </xf>
    <xf numFmtId="0" fontId="64" fillId="51" borderId="2" xfId="0" applyFont="1" applyFill="1" applyBorder="1" applyAlignment="1">
      <alignment horizontal="center"/>
    </xf>
    <xf numFmtId="0" fontId="64" fillId="54" borderId="2" xfId="0" applyFont="1" applyFill="1" applyBorder="1" applyAlignment="1">
      <alignment horizontal="center"/>
    </xf>
    <xf numFmtId="0" fontId="66" fillId="2" borderId="2" xfId="0" applyFont="1" applyFill="1" applyBorder="1" applyAlignment="1">
      <alignment horizontal="center"/>
    </xf>
    <xf numFmtId="0" fontId="12" fillId="5" borderId="2" xfId="0" applyFont="1" applyFill="1" applyBorder="1" applyAlignment="1">
      <alignment horizontal="center"/>
    </xf>
    <xf numFmtId="0" fontId="64" fillId="3" borderId="3" xfId="0" applyFont="1" applyFill="1" applyBorder="1" applyAlignment="1">
      <alignment horizontal="center"/>
    </xf>
    <xf numFmtId="0" fontId="64" fillId="3" borderId="1" xfId="0" applyFont="1" applyFill="1" applyBorder="1" applyAlignment="1">
      <alignment horizontal="center"/>
    </xf>
    <xf numFmtId="9" fontId="64" fillId="3" borderId="5" xfId="0" applyNumberFormat="1" applyFont="1" applyFill="1" applyBorder="1" applyAlignment="1">
      <alignment horizontal="center"/>
    </xf>
    <xf numFmtId="0" fontId="67" fillId="0" borderId="0" xfId="0" applyFont="1" applyAlignment="1">
      <alignment horizontal="center"/>
    </xf>
    <xf numFmtId="0" fontId="65" fillId="3" borderId="15" xfId="0" applyFont="1" applyFill="1" applyBorder="1" applyAlignment="1">
      <alignment horizontal="center" vertical="center"/>
    </xf>
    <xf numFmtId="0" fontId="12" fillId="55" borderId="2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12" fillId="55" borderId="2" xfId="0" applyFont="1" applyFill="1" applyBorder="1" applyAlignment="1">
      <alignment horizontal="center"/>
    </xf>
    <xf numFmtId="2" fontId="70" fillId="0" borderId="0" xfId="0" applyNumberFormat="1" applyFont="1"/>
    <xf numFmtId="0" fontId="65" fillId="3" borderId="15" xfId="0" applyFont="1" applyFill="1" applyBorder="1" applyAlignment="1">
      <alignment horizontal="center" vertical="center" wrapText="1"/>
    </xf>
    <xf numFmtId="0" fontId="65" fillId="3" borderId="14" xfId="0" applyFont="1" applyFill="1" applyBorder="1" applyAlignment="1">
      <alignment horizontal="center" vertical="center"/>
    </xf>
    <xf numFmtId="0" fontId="64" fillId="3" borderId="0" xfId="0" applyFont="1" applyFill="1" applyAlignment="1">
      <alignment horizontal="center"/>
    </xf>
    <xf numFmtId="0" fontId="64" fillId="3" borderId="31" xfId="0" applyFont="1" applyFill="1" applyBorder="1" applyAlignment="1">
      <alignment horizontal="center"/>
    </xf>
    <xf numFmtId="0" fontId="64" fillId="3" borderId="32" xfId="0" applyFont="1" applyFill="1" applyBorder="1" applyAlignment="1">
      <alignment horizontal="center"/>
    </xf>
    <xf numFmtId="9" fontId="64" fillId="3" borderId="2" xfId="0" applyNumberFormat="1" applyFont="1" applyFill="1" applyBorder="1" applyAlignment="1">
      <alignment horizontal="center"/>
    </xf>
    <xf numFmtId="8" fontId="12" fillId="0" borderId="0" xfId="0" applyNumberFormat="1" applyFont="1" applyAlignment="1">
      <alignment horizontal="center"/>
    </xf>
    <xf numFmtId="8" fontId="12" fillId="0" borderId="0" xfId="0" applyNumberFormat="1" applyFont="1"/>
    <xf numFmtId="44" fontId="12" fillId="0" borderId="0" xfId="0" applyNumberFormat="1" applyFont="1"/>
    <xf numFmtId="44" fontId="22" fillId="0" borderId="48" xfId="1" applyFont="1" applyBorder="1"/>
    <xf numFmtId="0" fontId="14" fillId="6" borderId="11" xfId="0" applyFont="1" applyFill="1" applyBorder="1" applyAlignment="1">
      <alignment horizontal="center"/>
    </xf>
    <xf numFmtId="0" fontId="14" fillId="6" borderId="12" xfId="0" applyFont="1" applyFill="1" applyBorder="1" applyAlignment="1">
      <alignment horizontal="center"/>
    </xf>
    <xf numFmtId="0" fontId="14" fillId="6" borderId="13" xfId="0" applyFont="1" applyFill="1" applyBorder="1" applyAlignment="1">
      <alignment horizontal="center"/>
    </xf>
    <xf numFmtId="0" fontId="68" fillId="6" borderId="11" xfId="0" applyFont="1" applyFill="1" applyBorder="1" applyAlignment="1">
      <alignment horizontal="center"/>
    </xf>
    <xf numFmtId="0" fontId="68" fillId="6" borderId="12" xfId="0" applyFont="1" applyFill="1" applyBorder="1" applyAlignment="1">
      <alignment horizontal="center"/>
    </xf>
    <xf numFmtId="0" fontId="68" fillId="6" borderId="13" xfId="0" applyFont="1" applyFill="1" applyBorder="1" applyAlignment="1">
      <alignment horizontal="center"/>
    </xf>
    <xf numFmtId="0" fontId="58" fillId="3" borderId="2" xfId="0" applyFont="1" applyFill="1" applyBorder="1" applyAlignment="1">
      <alignment horizontal="center"/>
    </xf>
    <xf numFmtId="0" fontId="61" fillId="6" borderId="11" xfId="0" applyFont="1" applyFill="1" applyBorder="1" applyAlignment="1">
      <alignment horizontal="center"/>
    </xf>
    <xf numFmtId="0" fontId="61" fillId="6" borderId="12" xfId="0" applyFont="1" applyFill="1" applyBorder="1" applyAlignment="1">
      <alignment horizontal="center"/>
    </xf>
    <xf numFmtId="0" fontId="61" fillId="6" borderId="13" xfId="0" applyFont="1" applyFill="1" applyBorder="1" applyAlignment="1">
      <alignment horizontal="center"/>
    </xf>
    <xf numFmtId="0" fontId="57" fillId="3" borderId="2" xfId="0" applyFont="1" applyFill="1" applyBorder="1" applyAlignment="1">
      <alignment horizontal="center"/>
    </xf>
    <xf numFmtId="0" fontId="65" fillId="3" borderId="2" xfId="0" applyFont="1" applyFill="1" applyBorder="1" applyAlignment="1">
      <alignment horizontal="center"/>
    </xf>
    <xf numFmtId="0" fontId="64" fillId="3" borderId="2" xfId="0" applyFont="1" applyFill="1" applyBorder="1" applyAlignment="1">
      <alignment horizontal="center"/>
    </xf>
    <xf numFmtId="0" fontId="64" fillId="3" borderId="40" xfId="0" applyFont="1" applyFill="1" applyBorder="1" applyAlignment="1">
      <alignment horizontal="center"/>
    </xf>
    <xf numFmtId="0" fontId="64" fillId="3" borderId="34" xfId="0" applyFont="1" applyFill="1" applyBorder="1" applyAlignment="1">
      <alignment horizontal="center"/>
    </xf>
    <xf numFmtId="0" fontId="64" fillId="3" borderId="42" xfId="0" applyFont="1" applyFill="1" applyBorder="1" applyAlignment="1">
      <alignment horizontal="center"/>
    </xf>
    <xf numFmtId="0" fontId="14" fillId="12" borderId="11" xfId="0" applyFont="1" applyFill="1" applyBorder="1" applyAlignment="1">
      <alignment horizontal="center"/>
    </xf>
    <xf numFmtId="0" fontId="14" fillId="12" borderId="12" xfId="0" applyFont="1" applyFill="1" applyBorder="1" applyAlignment="1">
      <alignment horizontal="center"/>
    </xf>
    <xf numFmtId="0" fontId="33" fillId="8" borderId="17" xfId="0" applyFont="1" applyFill="1" applyBorder="1" applyAlignment="1">
      <alignment horizontal="center"/>
    </xf>
    <xf numFmtId="0" fontId="33" fillId="8" borderId="34" xfId="0" applyFont="1" applyFill="1" applyBorder="1" applyAlignment="1">
      <alignment horizontal="center"/>
    </xf>
    <xf numFmtId="0" fontId="27" fillId="8" borderId="17" xfId="0" applyFont="1" applyFill="1" applyBorder="1" applyAlignment="1">
      <alignment horizontal="center"/>
    </xf>
    <xf numFmtId="0" fontId="27" fillId="8" borderId="34" xfId="0" applyFont="1" applyFill="1" applyBorder="1" applyAlignment="1">
      <alignment horizontal="center"/>
    </xf>
    <xf numFmtId="0" fontId="27" fillId="8" borderId="42" xfId="0" applyFont="1" applyFill="1" applyBorder="1" applyAlignment="1">
      <alignment horizontal="center"/>
    </xf>
    <xf numFmtId="0" fontId="14" fillId="12" borderId="13" xfId="0" applyFont="1" applyFill="1" applyBorder="1" applyAlignment="1">
      <alignment horizontal="center"/>
    </xf>
    <xf numFmtId="0" fontId="27" fillId="8" borderId="40" xfId="0" applyFont="1" applyFill="1" applyBorder="1" applyAlignment="1">
      <alignment horizontal="center"/>
    </xf>
    <xf numFmtId="0" fontId="9" fillId="0" borderId="50" xfId="0" applyFont="1" applyBorder="1"/>
    <xf numFmtId="0" fontId="9" fillId="0" borderId="0" xfId="0" applyFont="1"/>
    <xf numFmtId="0" fontId="0" fillId="0" borderId="0" xfId="0"/>
    <xf numFmtId="0" fontId="31" fillId="12" borderId="45" xfId="0" applyFont="1" applyFill="1" applyBorder="1" applyAlignment="1">
      <alignment horizontal="center"/>
    </xf>
    <xf numFmtId="0" fontId="31" fillId="12" borderId="46" xfId="0" applyFont="1" applyFill="1" applyBorder="1" applyAlignment="1">
      <alignment horizontal="center"/>
    </xf>
    <xf numFmtId="0" fontId="31" fillId="12" borderId="47" xfId="0" applyFont="1" applyFill="1" applyBorder="1" applyAlignment="1">
      <alignment horizontal="center"/>
    </xf>
    <xf numFmtId="0" fontId="22" fillId="0" borderId="0" xfId="0" applyFont="1"/>
    <xf numFmtId="0" fontId="0" fillId="0" borderId="6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6" borderId="0" xfId="0" applyFill="1" applyAlignment="1">
      <alignment horizontal="center"/>
    </xf>
    <xf numFmtId="0" fontId="0" fillId="6" borderId="30" xfId="0" applyFill="1" applyBorder="1" applyAlignment="1">
      <alignment horizontal="center"/>
    </xf>
    <xf numFmtId="0" fontId="0" fillId="0" borderId="24" xfId="0" applyBorder="1" applyAlignment="1">
      <alignment horizontal="center"/>
    </xf>
  </cellXfs>
  <cellStyles count="3650">
    <cellStyle name="20% - Ênfase1" xfId="19" builtinId="30" customBuiltin="1"/>
    <cellStyle name="20% - Ênfase1 10" xfId="208" xr:uid="{03F3DDFE-B458-4B3A-95E4-88076EE1643A}"/>
    <cellStyle name="20% - Ênfase1 10 2" xfId="814" xr:uid="{A71D94BF-7D49-402C-B6CA-14657A068BA3}"/>
    <cellStyle name="20% - Ênfase1 10 2 2" xfId="1417" xr:uid="{FC3726ED-3142-49C6-B600-E1DDA6F9014B}"/>
    <cellStyle name="20% - Ênfase1 10 2 2 2" xfId="3269" xr:uid="{1DEAE129-B7CF-426B-B03B-8231F214E1C1}"/>
    <cellStyle name="20% - Ênfase1 10 2 3" xfId="2342" xr:uid="{48A46E64-D245-4705-9033-E88BD37D5BE8}"/>
    <cellStyle name="20% - Ênfase1 10 3" xfId="490" xr:uid="{77526AE8-A8BD-464E-BB22-69356F9DD250}"/>
    <cellStyle name="20% - Ênfase1 10 3 2" xfId="1553" xr:uid="{1F7B9CFF-A6DA-4832-AF6C-9F2C5AA16B6F}"/>
    <cellStyle name="20% - Ênfase1 10 3 2 2" xfId="3405" xr:uid="{DACA99E5-74F9-4FF8-B6D3-513CAF6CBF65}"/>
    <cellStyle name="20% - Ênfase1 10 3 3" xfId="2478" xr:uid="{45C1D1BA-09D1-45A3-A069-B5C8D238763F}"/>
    <cellStyle name="20% - Ênfase1 10 4" xfId="1095" xr:uid="{16717D80-AA5F-46B3-A8F0-7C3B7A35E92E}"/>
    <cellStyle name="20% - Ênfase1 10 4 2" xfId="2947" xr:uid="{C12BD4B6-C957-445C-8542-14620FCCA5FA}"/>
    <cellStyle name="20% - Ênfase1 10 5" xfId="2020" xr:uid="{29CC4243-54BB-45F6-B7F9-C8A9E8F81542}"/>
    <cellStyle name="20% - Ênfase1 11" xfId="228" xr:uid="{CE0BDD4E-E245-4BDC-B394-3A87B44FDCA2}"/>
    <cellStyle name="20% - Ênfase1 11 2" xfId="834" xr:uid="{C77DE7D9-2502-45EC-A102-97F3DF086178}"/>
    <cellStyle name="20% - Ênfase1 11 2 2" xfId="1437" xr:uid="{6A86EADF-1529-45A0-A4B5-00B70DAAE3E8}"/>
    <cellStyle name="20% - Ênfase1 11 2 2 2" xfId="3289" xr:uid="{AC48F143-2BF8-474A-B974-53ABBD64478D}"/>
    <cellStyle name="20% - Ênfase1 11 2 3" xfId="2362" xr:uid="{98F15237-5747-4161-8649-C77D4C4F68B2}"/>
    <cellStyle name="20% - Ênfase1 11 3" xfId="510" xr:uid="{8CA777E6-025C-4F1F-A56B-FF6E561FE342}"/>
    <cellStyle name="20% - Ênfase1 11 3 2" xfId="1823" xr:uid="{8FF9AF24-F539-4000-92C0-34E1210E1162}"/>
    <cellStyle name="20% - Ênfase1 11 3 2 2" xfId="3636" xr:uid="{B80B38C7-B61C-4BCE-946C-E50B537298FB}"/>
    <cellStyle name="20% - Ênfase1 11 3 3" xfId="2748" xr:uid="{AB989906-A0C4-4682-9CA6-547B5BA3FF71}"/>
    <cellStyle name="20% - Ênfase1 11 4" xfId="1115" xr:uid="{1A4F5B85-421A-4658-8359-E4E8A142F5C9}"/>
    <cellStyle name="20% - Ênfase1 11 4 2" xfId="2967" xr:uid="{84FA4234-6643-442E-85A2-91A827290EB6}"/>
    <cellStyle name="20% - Ênfase1 11 5" xfId="2040" xr:uid="{95FE37D6-79F9-4E86-969E-B7B108F6B148}"/>
    <cellStyle name="20% - Ênfase1 12" xfId="248" xr:uid="{5260C8F4-16B1-4607-8E73-E30A7A9C7AD4}"/>
    <cellStyle name="20% - Ênfase1 12 2" xfId="854" xr:uid="{2DD29298-FA61-4233-88A4-9A7F95583CB8}"/>
    <cellStyle name="20% - Ênfase1 12 2 2" xfId="1457" xr:uid="{D836AAA3-F2C7-4E9B-8E74-EB1470FAABA6}"/>
    <cellStyle name="20% - Ênfase1 12 2 2 2" xfId="3309" xr:uid="{B80D853B-5352-46C5-9D99-FCD938B0235E}"/>
    <cellStyle name="20% - Ênfase1 12 2 3" xfId="2382" xr:uid="{33EDE8C8-D51C-410F-84FC-850AFEBE7BFF}"/>
    <cellStyle name="20% - Ênfase1 12 3" xfId="530" xr:uid="{1C96FD0A-5E51-4397-B941-66743537465F}"/>
    <cellStyle name="20% - Ênfase1 12 3 2" xfId="1522" xr:uid="{63AF3F52-C1E4-4A76-92FE-0D8412B5E8DE}"/>
    <cellStyle name="20% - Ênfase1 12 3 2 2" xfId="3374" xr:uid="{B940353A-B8FD-4AB1-9262-F80A4959C93F}"/>
    <cellStyle name="20% - Ênfase1 12 3 3" xfId="2447" xr:uid="{CE5AB464-DDA2-4F9D-884D-B7DAB60C61DB}"/>
    <cellStyle name="20% - Ênfase1 12 4" xfId="1135" xr:uid="{C8197006-D599-4DD2-A105-587F233D49E4}"/>
    <cellStyle name="20% - Ênfase1 12 4 2" xfId="2987" xr:uid="{6159BD9D-72AC-4F3D-9862-F701A10C9AAB}"/>
    <cellStyle name="20% - Ênfase1 12 5" xfId="2060" xr:uid="{36AF58DF-1C3E-4E93-BBC1-7C7B3A2C5CD5}"/>
    <cellStyle name="20% - Ênfase1 13" xfId="268" xr:uid="{64DD8187-813D-49CF-8957-FD62A314E152}"/>
    <cellStyle name="20% - Ênfase1 13 2" xfId="874" xr:uid="{F6F128EC-C968-4A78-9518-244B612396F6}"/>
    <cellStyle name="20% - Ênfase1 13 2 2" xfId="1477" xr:uid="{593A3251-3F3A-47FA-BE73-CD6A7F580F7D}"/>
    <cellStyle name="20% - Ênfase1 13 2 2 2" xfId="3329" xr:uid="{2BF6A226-A3C2-4CD2-AAFB-34F1709B2878}"/>
    <cellStyle name="20% - Ênfase1 13 2 3" xfId="2402" xr:uid="{ED3F5CF4-D0C7-4BDC-97BD-1109B8B8D4D3}"/>
    <cellStyle name="20% - Ênfase1 13 3" xfId="550" xr:uid="{335C648C-E0B6-45A3-B8E3-353F71DF34CA}"/>
    <cellStyle name="20% - Ênfase1 13 3 2" xfId="1827" xr:uid="{6ED8F859-0EF7-434C-A418-9D473CAB6851}"/>
    <cellStyle name="20% - Ênfase1 13 3 2 2" xfId="3640" xr:uid="{CA29B7EB-905D-4BCA-8933-2BAA1D744D9E}"/>
    <cellStyle name="20% - Ênfase1 13 3 3" xfId="2752" xr:uid="{AC266DDA-E7F8-4BBC-9FB3-040E925A908A}"/>
    <cellStyle name="20% - Ênfase1 13 4" xfId="1155" xr:uid="{5AF761A3-EB62-4377-9BD3-F45140F16AFE}"/>
    <cellStyle name="20% - Ênfase1 13 4 2" xfId="3007" xr:uid="{1485EB70-8E07-4D1E-8E1A-8BFE4F44CE0E}"/>
    <cellStyle name="20% - Ênfase1 13 5" xfId="2080" xr:uid="{4CB15E8B-3B86-4FE3-909E-D30646208B0D}"/>
    <cellStyle name="20% - Ênfase1 14" xfId="288" xr:uid="{D9368D2D-6CF5-4A7D-A3B7-18F560D126C1}"/>
    <cellStyle name="20% - Ênfase1 14 2" xfId="894" xr:uid="{9B52CEC8-68E9-432C-A2BE-510A551C87F6}"/>
    <cellStyle name="20% - Ênfase1 14 2 2" xfId="1497" xr:uid="{D142F549-8C1A-437D-A6F9-23EFE6443519}"/>
    <cellStyle name="20% - Ênfase1 14 2 2 2" xfId="3349" xr:uid="{1538B8D8-CF4A-4F9A-951A-55ACFE99A6CA}"/>
    <cellStyle name="20% - Ênfase1 14 2 3" xfId="2422" xr:uid="{69952AE3-7983-4BD0-8AA1-8F4A8F595F97}"/>
    <cellStyle name="20% - Ênfase1 14 3" xfId="570" xr:uid="{377B537B-8F38-420E-A894-CE4825762BFC}"/>
    <cellStyle name="20% - Ênfase1 14 3 2" xfId="1807" xr:uid="{12D86FE0-92B7-4BA0-A026-B6B021A97030}"/>
    <cellStyle name="20% - Ênfase1 14 3 2 2" xfId="3620" xr:uid="{FC202C97-580F-43C5-B1C5-F393B201D6D4}"/>
    <cellStyle name="20% - Ênfase1 14 3 3" xfId="2732" xr:uid="{95B9C122-4F83-4FE4-ADE6-04442562A17E}"/>
    <cellStyle name="20% - Ênfase1 14 4" xfId="1175" xr:uid="{E7198352-B7B7-4577-AB94-B3F0F62C8E5D}"/>
    <cellStyle name="20% - Ênfase1 14 4 2" xfId="3027" xr:uid="{77AB31AE-CE01-49A0-9F69-76633B99BFF6}"/>
    <cellStyle name="20% - Ênfase1 14 5" xfId="2100" xr:uid="{F8C535C9-118F-4DCB-8C76-D375BC3DD127}"/>
    <cellStyle name="20% - Ênfase1 15" xfId="590" xr:uid="{5AE35A5D-C228-44D1-940B-987767311555}"/>
    <cellStyle name="20% - Ênfase1 15 2" xfId="1653" xr:uid="{9BFF61E5-D11C-40E4-97D0-B9A678FFEF5C}"/>
    <cellStyle name="20% - Ênfase1 15 2 2" xfId="2578" xr:uid="{37AC77D0-2B4B-4591-AEE4-D4C83931D505}"/>
    <cellStyle name="20% - Ênfase1 15 3" xfId="1195" xr:uid="{0E684CD6-49FA-4665-826C-3F862CF72156}"/>
    <cellStyle name="20% - Ênfase1 15 3 2" xfId="3047" xr:uid="{F22585C4-EA47-4AFA-8198-EA03B7A11595}"/>
    <cellStyle name="20% - Ênfase1 15 4" xfId="2120" xr:uid="{9C447012-BCBC-4A1B-BDBC-9814AF196281}"/>
    <cellStyle name="20% - Ênfase1 16" xfId="610" xr:uid="{A2324834-F3CE-4A90-B0CC-438962118533}"/>
    <cellStyle name="20% - Ênfase1 16 2" xfId="1673" xr:uid="{8C41ECDD-2F18-4DDC-97CB-37EE7F77BB1B}"/>
    <cellStyle name="20% - Ênfase1 16 2 2" xfId="2598" xr:uid="{4591BBBC-0A20-4C2A-A5E8-A838FA35A208}"/>
    <cellStyle name="20% - Ênfase1 16 3" xfId="1215" xr:uid="{012AD039-0514-4A25-BEB4-C4BA960F7977}"/>
    <cellStyle name="20% - Ênfase1 16 3 2" xfId="3067" xr:uid="{36A8C98E-EA2C-4B49-A86B-2C9DC1816A81}"/>
    <cellStyle name="20% - Ênfase1 16 4" xfId="2140" xr:uid="{237410EC-9B1F-4E8B-8E42-8674A198C819}"/>
    <cellStyle name="20% - Ênfase1 17" xfId="630" xr:uid="{D5F1ABDA-0C0C-4713-AFE3-1B8189352B0B}"/>
    <cellStyle name="20% - Ênfase1 17 2" xfId="1234" xr:uid="{116FEE59-37BC-49F7-B993-24367DF8A08A}"/>
    <cellStyle name="20% - Ênfase1 17 2 2" xfId="3086" xr:uid="{045D22D3-1F34-481B-A103-0212D58FBC30}"/>
    <cellStyle name="20% - Ênfase1 17 3" xfId="2159" xr:uid="{A662C668-CDA9-4004-BA5A-A40366B854DC}"/>
    <cellStyle name="20% - Ênfase1 18" xfId="307" xr:uid="{46C01D40-8EEB-4CF1-A966-B713A9615991}"/>
    <cellStyle name="20% - Ênfase1 18 2" xfId="1570" xr:uid="{899A758C-76FE-4C0E-A813-0419A3AE5F52}"/>
    <cellStyle name="20% - Ênfase1 18 2 2" xfId="3422" xr:uid="{36ECD6A6-369F-4C3A-8A8C-2AD3960811D6}"/>
    <cellStyle name="20% - Ênfase1 18 3" xfId="2495" xr:uid="{90FD0C01-28B3-4840-A3CE-E90B2D893EB0}"/>
    <cellStyle name="20% - Ênfase1 19" xfId="912" xr:uid="{F72AEC7E-225E-4C98-98A7-B212FD9D2A43}"/>
    <cellStyle name="20% - Ênfase1 19 2" xfId="2764" xr:uid="{29F7FCC3-2FD6-4358-9F8A-804D03D10980}"/>
    <cellStyle name="20% - Ênfase1 2" xfId="47" xr:uid="{111972F4-A8FD-48EA-A93B-9C7DB990AF72}"/>
    <cellStyle name="20% - Ênfase1 2 2" xfId="653" xr:uid="{C9C0E7DB-FA15-4977-93A4-0696BB5CC0AF}"/>
    <cellStyle name="20% - Ênfase1 2 2 2" xfId="1256" xr:uid="{91541286-E687-4EBE-967B-A7AC6E19DB47}"/>
    <cellStyle name="20% - Ênfase1 2 2 2 2" xfId="3108" xr:uid="{4C7B56C8-77CD-4AB0-B69C-F0E96DAE0F29}"/>
    <cellStyle name="20% - Ênfase1 2 2 3" xfId="2181" xr:uid="{B37B59D5-77A3-48F2-A3C7-2D9A640328A8}"/>
    <cellStyle name="20% - Ênfase1 2 3" xfId="329" xr:uid="{655C18EB-7584-4DF8-9FA5-81962BB0EC06}"/>
    <cellStyle name="20% - Ênfase1 2 3 2" xfId="1692" xr:uid="{4368DC6A-9269-4235-A61D-C81FA434949D}"/>
    <cellStyle name="20% - Ênfase1 2 3 2 2" xfId="3505" xr:uid="{A0D53A23-20C9-4B9A-880B-8452F03C08D7}"/>
    <cellStyle name="20% - Ênfase1 2 3 3" xfId="2617" xr:uid="{77CE99D5-D2B3-46DD-B0C9-2238A29415FE}"/>
    <cellStyle name="20% - Ênfase1 2 4" xfId="934" xr:uid="{BD799812-2A36-4357-A750-DE1E6ADDC014}"/>
    <cellStyle name="20% - Ênfase1 2 4 2" xfId="2786" xr:uid="{265B1287-3E0E-4B4E-9CFD-CC50C9829A5C}"/>
    <cellStyle name="20% - Ênfase1 2 5" xfId="1859" xr:uid="{1E18D5A8-D861-4C3D-B3C8-BF2AFDFBF9D2}"/>
    <cellStyle name="20% - Ênfase1 20" xfId="1837" xr:uid="{5EE3349C-FF42-4BFE-AF03-96D88775F2CE}"/>
    <cellStyle name="20% - Ênfase1 3" xfId="65" xr:uid="{934CE407-E40F-458D-8E89-39A32828614A}"/>
    <cellStyle name="20% - Ênfase1 3 2" xfId="671" xr:uid="{6A84FE43-97CE-40C4-8441-B833979C2D37}"/>
    <cellStyle name="20% - Ênfase1 3 2 2" xfId="1274" xr:uid="{5E6CCFA6-A89C-4F46-ADE2-0D8C5C278719}"/>
    <cellStyle name="20% - Ênfase1 3 2 2 2" xfId="3126" xr:uid="{FA59EDC5-D3D7-4794-904B-D20286ED2D35}"/>
    <cellStyle name="20% - Ênfase1 3 2 3" xfId="2199" xr:uid="{12A190D4-A79D-4082-B70F-33D4758D1905}"/>
    <cellStyle name="20% - Ênfase1 3 3" xfId="347" xr:uid="{F8E88433-8DC3-4F60-9392-F5E1724A85DB}"/>
    <cellStyle name="20% - Ênfase1 3 3 2" xfId="1829" xr:uid="{1B7A61BD-616A-4A10-B72C-D03B361D1BB3}"/>
    <cellStyle name="20% - Ênfase1 3 3 2 2" xfId="3642" xr:uid="{AE7C018F-0488-4D22-8CB3-2B3E862C121F}"/>
    <cellStyle name="20% - Ênfase1 3 3 3" xfId="2754" xr:uid="{3C372EF0-8260-49E7-A460-91B0AB683BB3}"/>
    <cellStyle name="20% - Ênfase1 3 4" xfId="952" xr:uid="{135FE03D-8758-4034-8174-8F723A765E9C}"/>
    <cellStyle name="20% - Ênfase1 3 4 2" xfId="2804" xr:uid="{6C9BCB10-E6C0-4C3A-BFD0-0FE6F006916A}"/>
    <cellStyle name="20% - Ênfase1 3 5" xfId="1877" xr:uid="{CB78E80C-F43C-4189-975D-23636A28BD95}"/>
    <cellStyle name="20% - Ênfase1 4" xfId="87" xr:uid="{4F7F7515-BBE9-45E1-BFEC-D9D9B980A4C8}"/>
    <cellStyle name="20% - Ênfase1 4 2" xfId="693" xr:uid="{52BF4ABB-E280-4E93-A161-EE6DB62E9696}"/>
    <cellStyle name="20% - Ênfase1 4 2 2" xfId="1296" xr:uid="{BE83D0FF-8C1A-4DE3-B841-30240DD7B77B}"/>
    <cellStyle name="20% - Ênfase1 4 2 2 2" xfId="3148" xr:uid="{8F60C802-B2E9-4501-B872-678FA32E2C84}"/>
    <cellStyle name="20% - Ênfase1 4 2 3" xfId="2221" xr:uid="{8B1DB475-235D-44A3-8DC1-34E79AB586C1}"/>
    <cellStyle name="20% - Ênfase1 4 3" xfId="369" xr:uid="{4F343FE0-1C13-473C-AF32-3F770B4F1B77}"/>
    <cellStyle name="20% - Ênfase1 4 3 2" xfId="1790" xr:uid="{F33534B0-E2D9-47E9-8DFC-FC3E7B68F87A}"/>
    <cellStyle name="20% - Ênfase1 4 3 2 2" xfId="3603" xr:uid="{61E3B603-9B28-402F-BE63-CAA4955B4CA8}"/>
    <cellStyle name="20% - Ênfase1 4 3 3" xfId="2715" xr:uid="{BB33B709-A182-4179-8865-35B790E75F0D}"/>
    <cellStyle name="20% - Ênfase1 4 4" xfId="974" xr:uid="{05DA0B45-04A2-4400-B615-ECD0A6BC99A1}"/>
    <cellStyle name="20% - Ênfase1 4 4 2" xfId="2826" xr:uid="{7E33F2FB-AD45-4351-85DB-DE3E0DC589BC}"/>
    <cellStyle name="20% - Ênfase1 4 5" xfId="1899" xr:uid="{C18E7A05-7B34-4A41-A8F7-DC4AB6E15B15}"/>
    <cellStyle name="20% - Ênfase1 5" xfId="107" xr:uid="{38CE0385-BD62-43B8-B532-836725856649}"/>
    <cellStyle name="20% - Ênfase1 5 2" xfId="713" xr:uid="{E9819724-A1F1-4369-91C3-F1BB1A6CAEF4}"/>
    <cellStyle name="20% - Ênfase1 5 2 2" xfId="1316" xr:uid="{59915B28-95A3-4597-8809-614F302B0E44}"/>
    <cellStyle name="20% - Ênfase1 5 2 2 2" xfId="3168" xr:uid="{F155CA5B-8375-4CF1-9F22-B62EDA2E99AA}"/>
    <cellStyle name="20% - Ênfase1 5 2 3" xfId="2241" xr:uid="{C2837627-BA2B-43DF-A51C-81666E38F0D7}"/>
    <cellStyle name="20% - Ênfase1 5 3" xfId="389" xr:uid="{9ECA69CF-EFEC-4464-AEF3-824918E3754E}"/>
    <cellStyle name="20% - Ênfase1 5 3 2" xfId="1635" xr:uid="{0EE215F4-1DAE-404D-B0DC-CEA48614A324}"/>
    <cellStyle name="20% - Ênfase1 5 3 2 2" xfId="3487" xr:uid="{9B9703FE-2AA8-422E-B22D-F665D6279010}"/>
    <cellStyle name="20% - Ênfase1 5 3 3" xfId="2560" xr:uid="{4EBB888F-B023-4EBB-A9EE-D1112E6FF18E}"/>
    <cellStyle name="20% - Ênfase1 5 4" xfId="994" xr:uid="{CA2613A7-E60C-4A63-83F9-545D6F83B290}"/>
    <cellStyle name="20% - Ênfase1 5 4 2" xfId="2846" xr:uid="{B2208CB7-6D0C-4953-9C4D-EB1353CC1628}"/>
    <cellStyle name="20% - Ênfase1 5 5" xfId="1919" xr:uid="{9BDC47B6-FDD9-47C0-98A2-79F5212663D7}"/>
    <cellStyle name="20% - Ênfase1 6" xfId="127" xr:uid="{31626FB4-FF64-4F23-916A-FFFE0F894E06}"/>
    <cellStyle name="20% - Ênfase1 6 2" xfId="733" xr:uid="{5A50A511-952A-4805-8BA9-4C1200E38ECE}"/>
    <cellStyle name="20% - Ênfase1 6 2 2" xfId="1336" xr:uid="{C6416DCC-B3D7-42B9-9384-815E5839CCD0}"/>
    <cellStyle name="20% - Ênfase1 6 2 2 2" xfId="3188" xr:uid="{216D297D-37CB-4E14-B118-37BEDE0AEB01}"/>
    <cellStyle name="20% - Ênfase1 6 2 3" xfId="2261" xr:uid="{C48C759F-4563-4620-A1FA-716EF0FE1DE1}"/>
    <cellStyle name="20% - Ênfase1 6 3" xfId="409" xr:uid="{A2905DE5-459A-40D2-ADF3-02EC83651BA5}"/>
    <cellStyle name="20% - Ênfase1 6 3 2" xfId="1806" xr:uid="{ECFB0006-EB48-4A1E-9736-8979AE10FB40}"/>
    <cellStyle name="20% - Ênfase1 6 3 2 2" xfId="3619" xr:uid="{8EF410B3-5ECB-44CB-B02B-A641925ACEDC}"/>
    <cellStyle name="20% - Ênfase1 6 3 3" xfId="2731" xr:uid="{B360BBB3-EE21-46DD-B717-22E519388D67}"/>
    <cellStyle name="20% - Ênfase1 6 4" xfId="1014" xr:uid="{017D52B0-6A70-462B-BBD0-82EE04DC1894}"/>
    <cellStyle name="20% - Ênfase1 6 4 2" xfId="2866" xr:uid="{B04554F0-B26B-4137-8013-DF193CE9D12A}"/>
    <cellStyle name="20% - Ênfase1 6 5" xfId="1939" xr:uid="{35B6F60E-1C27-4C05-827F-4824E3D5FC1D}"/>
    <cellStyle name="20% - Ênfase1 7" xfId="147" xr:uid="{448E0D87-FE30-47CE-B834-E195C9B4AE5B}"/>
    <cellStyle name="20% - Ênfase1 7 2" xfId="753" xr:uid="{817498D5-FEF4-4F6A-90A1-53867A5D0EAC}"/>
    <cellStyle name="20% - Ênfase1 7 2 2" xfId="1356" xr:uid="{0D9CFB3E-033D-4CE0-9A01-BC75BF0DF811}"/>
    <cellStyle name="20% - Ênfase1 7 2 2 2" xfId="3208" xr:uid="{99BEF059-382D-411F-BF22-A7E3EF4EDA32}"/>
    <cellStyle name="20% - Ênfase1 7 2 3" xfId="2281" xr:uid="{ECDFFFF0-8E97-4CCB-AD40-335550846F32}"/>
    <cellStyle name="20% - Ênfase1 7 3" xfId="429" xr:uid="{9F763770-0199-4265-886F-FC7E20D275AF}"/>
    <cellStyle name="20% - Ênfase1 7 3 2" xfId="1814" xr:uid="{B6903566-207C-4086-AF47-6062B153529D}"/>
    <cellStyle name="20% - Ênfase1 7 3 2 2" xfId="3627" xr:uid="{48AEE28B-7FA9-4177-AA22-7BA8A8B05ECB}"/>
    <cellStyle name="20% - Ênfase1 7 3 3" xfId="2739" xr:uid="{2B94AA7B-A262-4349-B01D-0D00A36877BB}"/>
    <cellStyle name="20% - Ênfase1 7 4" xfId="1034" xr:uid="{E21D5DCE-E2FD-4463-B81C-68332F943738}"/>
    <cellStyle name="20% - Ênfase1 7 4 2" xfId="2886" xr:uid="{B22B3D01-3BB1-444D-B4EC-D26536538C30}"/>
    <cellStyle name="20% - Ênfase1 7 5" xfId="1959" xr:uid="{DBF39433-FCA7-4929-AE0D-3A75685762A8}"/>
    <cellStyle name="20% - Ênfase1 8" xfId="167" xr:uid="{C102F080-F8C0-4C84-96B5-5E51D4466399}"/>
    <cellStyle name="20% - Ênfase1 8 2" xfId="773" xr:uid="{168CEA90-29CA-4993-B8C1-802D139934ED}"/>
    <cellStyle name="20% - Ênfase1 8 2 2" xfId="1376" xr:uid="{A77E11E3-4FE5-40AD-B73F-FC0D36077EEE}"/>
    <cellStyle name="20% - Ênfase1 8 2 2 2" xfId="3228" xr:uid="{E485E557-ADC8-40D3-9D67-A847B3FB83F3}"/>
    <cellStyle name="20% - Ênfase1 8 2 3" xfId="2301" xr:uid="{13D71DED-E6B1-4361-A680-ADE6F30CBE5B}"/>
    <cellStyle name="20% - Ênfase1 8 3" xfId="449" xr:uid="{858A7E23-FAD7-4B03-85D8-D8416D528835}"/>
    <cellStyle name="20% - Ênfase1 8 3 2" xfId="1769" xr:uid="{4DF87247-F49C-4BD0-A8DB-CF045712138A}"/>
    <cellStyle name="20% - Ênfase1 8 3 2 2" xfId="3582" xr:uid="{C879A0E3-9114-448A-9FE5-757CB101F009}"/>
    <cellStyle name="20% - Ênfase1 8 3 3" xfId="2694" xr:uid="{6A6F5B38-FCC2-45C5-9011-C14C3118BF5C}"/>
    <cellStyle name="20% - Ênfase1 8 4" xfId="1054" xr:uid="{D1AEDDB6-A4A8-4D54-8CD6-52E32794E15D}"/>
    <cellStyle name="20% - Ênfase1 8 4 2" xfId="2906" xr:uid="{FFDFAA78-E0EC-40CA-94A2-2F6A64762293}"/>
    <cellStyle name="20% - Ênfase1 8 5" xfId="1979" xr:uid="{562CCDAD-63AA-405B-B6D3-7A84D050391F}"/>
    <cellStyle name="20% - Ênfase1 9" xfId="187" xr:uid="{330140E1-7B54-4DA0-9C95-71961980FB8A}"/>
    <cellStyle name="20% - Ênfase1 9 2" xfId="793" xr:uid="{FE0FBDEA-1288-4CCB-B0A7-11EF2AF9CABC}"/>
    <cellStyle name="20% - Ênfase1 9 2 2" xfId="1396" xr:uid="{523A26B6-2687-48C0-9DE0-319B33E975AE}"/>
    <cellStyle name="20% - Ênfase1 9 2 2 2" xfId="3248" xr:uid="{2E9B2BF1-B866-4D0F-9593-069B8E792AF3}"/>
    <cellStyle name="20% - Ênfase1 9 2 3" xfId="2321" xr:uid="{CE707952-046D-4197-868F-C7883C5A37D9}"/>
    <cellStyle name="20% - Ênfase1 9 3" xfId="469" xr:uid="{8FBC3053-4993-4700-85B3-8803B0CD60A7}"/>
    <cellStyle name="20% - Ênfase1 9 3 2" xfId="1606" xr:uid="{0BBA2A61-FCA4-4CD7-B67F-B8A3A8EDA967}"/>
    <cellStyle name="20% - Ênfase1 9 3 2 2" xfId="3458" xr:uid="{6AE49DFF-4BCA-4F1D-B4C2-D51A41929EF3}"/>
    <cellStyle name="20% - Ênfase1 9 3 3" xfId="2531" xr:uid="{4E49A616-7766-4D99-8556-9727C251512D}"/>
    <cellStyle name="20% - Ênfase1 9 4" xfId="1074" xr:uid="{4EC110AF-C230-4D36-B89A-16E8BBF4F19A}"/>
    <cellStyle name="20% - Ênfase1 9 4 2" xfId="2926" xr:uid="{28ED0B4F-6362-407F-BF87-7F72F4FBAF95}"/>
    <cellStyle name="20% - Ênfase1 9 5" xfId="1999" xr:uid="{D3949164-1AE2-4CE4-88A8-8FB98541BE13}"/>
    <cellStyle name="20% - Ênfase2" xfId="23" builtinId="34" customBuiltin="1"/>
    <cellStyle name="20% - Ênfase2 10" xfId="211" xr:uid="{02D9761D-E9B2-491D-9C9A-D0AB7D3DAF0D}"/>
    <cellStyle name="20% - Ênfase2 10 2" xfId="817" xr:uid="{725D6760-6839-4D6A-A905-6828A364A8E9}"/>
    <cellStyle name="20% - Ênfase2 10 2 2" xfId="1420" xr:uid="{5DBCF773-B03F-4260-9589-21B67C985B18}"/>
    <cellStyle name="20% - Ênfase2 10 2 2 2" xfId="3272" xr:uid="{05BB0187-4468-4E3A-BDEA-12AEC7FD19CF}"/>
    <cellStyle name="20% - Ênfase2 10 2 3" xfId="2345" xr:uid="{F764E6BC-177A-4D67-88EF-7D594C351357}"/>
    <cellStyle name="20% - Ênfase2 10 3" xfId="493" xr:uid="{031B737A-03FB-429D-ABF6-475D34046042}"/>
    <cellStyle name="20% - Ênfase2 10 3 2" xfId="1755" xr:uid="{4ECF64BC-07DD-42A9-A4C3-E22639672A62}"/>
    <cellStyle name="20% - Ênfase2 10 3 2 2" xfId="3568" xr:uid="{B2D09352-78DC-487C-921D-EDE3BA799B5F}"/>
    <cellStyle name="20% - Ênfase2 10 3 3" xfId="2680" xr:uid="{94B95052-B6F1-41A0-BBCC-79D6813C6724}"/>
    <cellStyle name="20% - Ênfase2 10 4" xfId="1098" xr:uid="{23B7F8BD-95A6-484C-861B-D662F8E524FF}"/>
    <cellStyle name="20% - Ênfase2 10 4 2" xfId="2950" xr:uid="{682FF402-C412-4369-B112-CED0E6B44AAC}"/>
    <cellStyle name="20% - Ênfase2 10 5" xfId="2023" xr:uid="{FC62C89D-9AC4-48AC-BC0B-0664F90891F0}"/>
    <cellStyle name="20% - Ênfase2 11" xfId="231" xr:uid="{A5505092-035C-4F71-A7F5-959A26FFBB83}"/>
    <cellStyle name="20% - Ênfase2 11 2" xfId="837" xr:uid="{DF7D7F84-A9D8-40D5-BDC2-9B3F148E7D37}"/>
    <cellStyle name="20% - Ênfase2 11 2 2" xfId="1440" xr:uid="{46B8EC39-11B6-412D-8925-BA43A306F1C5}"/>
    <cellStyle name="20% - Ênfase2 11 2 2 2" xfId="3292" xr:uid="{6AC134AE-5D72-481A-8677-5C966CF1E152}"/>
    <cellStyle name="20% - Ênfase2 11 2 3" xfId="2365" xr:uid="{3593FB7B-D3EA-4B6A-B820-504D4F321901}"/>
    <cellStyle name="20% - Ênfase2 11 3" xfId="513" xr:uid="{4324D326-8D4F-417D-A9FE-12D641A360C8}"/>
    <cellStyle name="20% - Ênfase2 11 3 2" xfId="1740" xr:uid="{4FBAF9CE-C1A3-4C47-8975-3445F2BC7FEF}"/>
    <cellStyle name="20% - Ênfase2 11 3 2 2" xfId="3553" xr:uid="{85BD1088-69CE-4876-864F-3CFAE9F1E11A}"/>
    <cellStyle name="20% - Ênfase2 11 3 3" xfId="2665" xr:uid="{B6C09872-7D7A-4431-A7ED-89EB58FF5288}"/>
    <cellStyle name="20% - Ênfase2 11 4" xfId="1118" xr:uid="{A1109F1A-F95B-410D-A0AA-6DBB5B572392}"/>
    <cellStyle name="20% - Ênfase2 11 4 2" xfId="2970" xr:uid="{E6955CE3-A14C-4285-A0A3-BF3CE5EFD048}"/>
    <cellStyle name="20% - Ênfase2 11 5" xfId="2043" xr:uid="{C28716F1-2F20-45D2-9475-FF7AAB2AA76E}"/>
    <cellStyle name="20% - Ênfase2 12" xfId="251" xr:uid="{0733B38F-9EAA-4DEA-B238-4FA77961D289}"/>
    <cellStyle name="20% - Ênfase2 12 2" xfId="857" xr:uid="{EDF5DD9B-FA1D-4580-8494-BE0343FECEA4}"/>
    <cellStyle name="20% - Ênfase2 12 2 2" xfId="1460" xr:uid="{58215169-9D2D-4D01-BFA5-45B9BD537BAF}"/>
    <cellStyle name="20% - Ênfase2 12 2 2 2" xfId="3312" xr:uid="{62F8F7D9-AA0E-431D-B8E1-13B1C5207561}"/>
    <cellStyle name="20% - Ênfase2 12 2 3" xfId="2385" xr:uid="{6BB00196-A9B8-414C-BA35-8868A8D5925C}"/>
    <cellStyle name="20% - Ênfase2 12 3" xfId="533" xr:uid="{78513388-EA7D-4C9D-8A37-8FE8FFDC1586}"/>
    <cellStyle name="20% - Ênfase2 12 3 2" xfId="1562" xr:uid="{49C8C1CE-736C-4B06-A5D1-C93925A6E5FE}"/>
    <cellStyle name="20% - Ênfase2 12 3 2 2" xfId="3414" xr:uid="{D6F2A8C9-04F5-4643-B24C-102D89210A98}"/>
    <cellStyle name="20% - Ênfase2 12 3 3" xfId="2487" xr:uid="{DE03AA70-D91F-4826-AAC7-D4225E374069}"/>
    <cellStyle name="20% - Ênfase2 12 4" xfId="1138" xr:uid="{DDD0FB9F-BA3B-43EE-BD7E-76D16BD08852}"/>
    <cellStyle name="20% - Ênfase2 12 4 2" xfId="2990" xr:uid="{B2108026-549D-49A7-925A-2F6E16E96A17}"/>
    <cellStyle name="20% - Ênfase2 12 5" xfId="2063" xr:uid="{FD27F0FB-ED8C-4D66-8EC7-A8EBE5681812}"/>
    <cellStyle name="20% - Ênfase2 13" xfId="271" xr:uid="{39D92AD9-12C9-4B41-A1FC-555641A00009}"/>
    <cellStyle name="20% - Ênfase2 13 2" xfId="877" xr:uid="{02EC85BC-E425-43A3-A9C3-8C4A5E885E08}"/>
    <cellStyle name="20% - Ênfase2 13 2 2" xfId="1480" xr:uid="{F55C3AB1-3E6B-4BF9-95C9-7C4AD0A3C341}"/>
    <cellStyle name="20% - Ênfase2 13 2 2 2" xfId="3332" xr:uid="{9D5F99E7-AFC7-4732-9F7B-FF67C995FBA1}"/>
    <cellStyle name="20% - Ênfase2 13 2 3" xfId="2405" xr:uid="{079C5370-2697-4375-8DA4-437E73ECE74A}"/>
    <cellStyle name="20% - Ênfase2 13 3" xfId="553" xr:uid="{59A16CFD-ECD0-4909-9343-B40FB3F83B2F}"/>
    <cellStyle name="20% - Ênfase2 13 3 2" xfId="1802" xr:uid="{C31777C3-D895-45BD-B5DF-9EC075773ED0}"/>
    <cellStyle name="20% - Ênfase2 13 3 2 2" xfId="3615" xr:uid="{32E966D3-8000-4250-9C20-2388DA6FFDC5}"/>
    <cellStyle name="20% - Ênfase2 13 3 3" xfId="2727" xr:uid="{0AFA847D-836A-49D7-B31D-F71074B31ECD}"/>
    <cellStyle name="20% - Ênfase2 13 4" xfId="1158" xr:uid="{5A9FDD29-BFC6-40FC-8038-8A0FB5913BAD}"/>
    <cellStyle name="20% - Ênfase2 13 4 2" xfId="3010" xr:uid="{7F3DE363-172B-493A-91C3-F4CD727C310D}"/>
    <cellStyle name="20% - Ênfase2 13 5" xfId="2083" xr:uid="{F224A3B6-8850-4791-AB94-98407E70B1D4}"/>
    <cellStyle name="20% - Ênfase2 14" xfId="291" xr:uid="{E9D1B6F2-92EF-4249-8763-AB4D32134F3A}"/>
    <cellStyle name="20% - Ênfase2 14 2" xfId="897" xr:uid="{413D0E09-1256-4C46-B98C-EC34C318AA49}"/>
    <cellStyle name="20% - Ênfase2 14 2 2" xfId="1500" xr:uid="{0F225D0E-C8A5-4B52-B2F4-BE59BAC273EB}"/>
    <cellStyle name="20% - Ênfase2 14 2 2 2" xfId="3352" xr:uid="{943BCDE0-E757-425F-BF64-3241A1B52AE0}"/>
    <cellStyle name="20% - Ênfase2 14 2 3" xfId="2425" xr:uid="{97ED949F-011D-4466-8AA9-C57585E115BD}"/>
    <cellStyle name="20% - Ênfase2 14 3" xfId="573" xr:uid="{9CB8DAC4-54BC-4E1F-96CE-154EDB38AF89}"/>
    <cellStyle name="20% - Ênfase2 14 3 2" xfId="1520" xr:uid="{D97C6D29-EA8D-4329-85BA-B12FA19F5E57}"/>
    <cellStyle name="20% - Ênfase2 14 3 2 2" xfId="3372" xr:uid="{C0F3F482-B66E-4945-B3F6-DBDDD081F757}"/>
    <cellStyle name="20% - Ênfase2 14 3 3" xfId="2445" xr:uid="{2608D903-00BD-4940-8F50-BF3BFA056B3E}"/>
    <cellStyle name="20% - Ênfase2 14 4" xfId="1178" xr:uid="{643729F6-E5EE-406D-978B-8B56D1A1088C}"/>
    <cellStyle name="20% - Ênfase2 14 4 2" xfId="3030" xr:uid="{C8D9448F-F39A-46E5-9FF1-6CA64353AF2E}"/>
    <cellStyle name="20% - Ênfase2 14 5" xfId="2103" xr:uid="{E32B27D3-1A38-4B52-B0BE-CD18B7353571}"/>
    <cellStyle name="20% - Ênfase2 15" xfId="593" xr:uid="{A6A261AA-B956-43AB-94C6-26505F5FAC89}"/>
    <cellStyle name="20% - Ênfase2 15 2" xfId="1656" xr:uid="{26A45383-7D17-4A32-98F6-EED289AF95FB}"/>
    <cellStyle name="20% - Ênfase2 15 2 2" xfId="2581" xr:uid="{5DFA7E82-334A-4B88-87A9-E0FAB50B49D9}"/>
    <cellStyle name="20% - Ênfase2 15 3" xfId="1198" xr:uid="{829E49F0-E63E-4851-8609-B60E251B4635}"/>
    <cellStyle name="20% - Ênfase2 15 3 2" xfId="3050" xr:uid="{9B1BA0DF-A445-4441-9A7A-66CFE142CF82}"/>
    <cellStyle name="20% - Ênfase2 15 4" xfId="2123" xr:uid="{E87FCE3D-224F-42FA-90D1-1A5DC4A0C115}"/>
    <cellStyle name="20% - Ênfase2 16" xfId="613" xr:uid="{FFD4CACD-E9B8-4EF4-B782-67BFB211A698}"/>
    <cellStyle name="20% - Ênfase2 16 2" xfId="1676" xr:uid="{0C2C8789-A0F3-4216-B885-F42AA550405B}"/>
    <cellStyle name="20% - Ênfase2 16 2 2" xfId="2601" xr:uid="{AD16A36A-2BA1-47E8-A4EF-0664B159DC6F}"/>
    <cellStyle name="20% - Ênfase2 16 3" xfId="1218" xr:uid="{FF97C699-BCA7-4C99-A319-B59DB34A9B50}"/>
    <cellStyle name="20% - Ênfase2 16 3 2" xfId="3070" xr:uid="{B9BAF459-C6FB-4A5B-9593-CE737B9B79ED}"/>
    <cellStyle name="20% - Ênfase2 16 4" xfId="2143" xr:uid="{63707C5F-5FEE-4F7A-B644-0FC47116127C}"/>
    <cellStyle name="20% - Ênfase2 17" xfId="633" xr:uid="{BC94BCC6-4395-434D-9E0C-86EB6332C826}"/>
    <cellStyle name="20% - Ênfase2 17 2" xfId="1237" xr:uid="{315C44DA-5445-4BAE-99DF-CEE874B427F8}"/>
    <cellStyle name="20% - Ênfase2 17 2 2" xfId="3089" xr:uid="{2E1233CE-616C-49DF-8845-7BF4BEBE26B9}"/>
    <cellStyle name="20% - Ênfase2 17 3" xfId="2162" xr:uid="{32533072-AF85-4866-A32A-927B5D34EB3E}"/>
    <cellStyle name="20% - Ênfase2 18" xfId="310" xr:uid="{0D4E1D39-80FB-44CC-BDED-81D2D98F81CA}"/>
    <cellStyle name="20% - Ênfase2 18 2" xfId="1753" xr:uid="{001B9887-DB92-4B74-A4A9-32FA994B151D}"/>
    <cellStyle name="20% - Ênfase2 18 2 2" xfId="3566" xr:uid="{196CC3BF-491C-46A2-B39C-E4358D853A0E}"/>
    <cellStyle name="20% - Ênfase2 18 3" xfId="2678" xr:uid="{259A2A29-D94A-4AB0-B180-E4A9CB2D0EB8}"/>
    <cellStyle name="20% - Ênfase2 19" xfId="915" xr:uid="{95A7A71D-446E-40BF-8B65-EB21B324A488}"/>
    <cellStyle name="20% - Ênfase2 19 2" xfId="2767" xr:uid="{BEBB0E74-2FB3-4086-BE85-BA8BAA8AECA8}"/>
    <cellStyle name="20% - Ênfase2 2" xfId="50" xr:uid="{1D0AB4F5-BD54-42D7-8DE9-48E1A00A7369}"/>
    <cellStyle name="20% - Ênfase2 2 2" xfId="656" xr:uid="{F289D022-7E18-4CD0-B21A-0E6F957405AA}"/>
    <cellStyle name="20% - Ênfase2 2 2 2" xfId="1259" xr:uid="{65ACAAA3-3D3B-40F6-8108-95A6178758B8}"/>
    <cellStyle name="20% - Ênfase2 2 2 2 2" xfId="3111" xr:uid="{9B9A7184-22BF-4EE5-A92C-24C34B6A4481}"/>
    <cellStyle name="20% - Ênfase2 2 2 3" xfId="2184" xr:uid="{DB967659-3905-4478-8E50-281C52EC6FCD}"/>
    <cellStyle name="20% - Ênfase2 2 3" xfId="332" xr:uid="{8438B473-6C77-4CEB-B29E-9E5FB2D4C9CD}"/>
    <cellStyle name="20% - Ênfase2 2 3 2" xfId="1582" xr:uid="{227D52BC-86BC-4DBA-BE91-F0F8694AFCCF}"/>
    <cellStyle name="20% - Ênfase2 2 3 2 2" xfId="3434" xr:uid="{026416B5-F062-4E3C-ABCC-B3F978D820B7}"/>
    <cellStyle name="20% - Ênfase2 2 3 3" xfId="2507" xr:uid="{CFE5E4AC-83CF-4208-88B1-8C2EDACF0151}"/>
    <cellStyle name="20% - Ênfase2 2 4" xfId="937" xr:uid="{16A1B849-1910-49F1-90E8-FC2EB56A6037}"/>
    <cellStyle name="20% - Ênfase2 2 4 2" xfId="2789" xr:uid="{059508BE-7CB8-450F-AC96-372FA3FC1C03}"/>
    <cellStyle name="20% - Ênfase2 2 5" xfId="1862" xr:uid="{D889CB6D-72E6-42C4-8E06-ACE241B93AA1}"/>
    <cellStyle name="20% - Ênfase2 20" xfId="1840" xr:uid="{FDC9587C-9986-4184-B264-A7944AC76F50}"/>
    <cellStyle name="20% - Ênfase2 3" xfId="68" xr:uid="{1E54899E-F1C9-40F6-BF78-9A1011BBD5F7}"/>
    <cellStyle name="20% - Ênfase2 3 2" xfId="674" xr:uid="{7CA97794-72E8-4F7C-A880-66C1424CFE67}"/>
    <cellStyle name="20% - Ênfase2 3 2 2" xfId="1277" xr:uid="{F2FCAFE8-81C2-476F-8667-DB9F1293BAE2}"/>
    <cellStyle name="20% - Ênfase2 3 2 2 2" xfId="3129" xr:uid="{677FDE05-2654-4DDD-8E48-C02435C8900C}"/>
    <cellStyle name="20% - Ênfase2 3 2 3" xfId="2202" xr:uid="{D2F41DF2-5D9C-4B16-9AC5-33BF3783D284}"/>
    <cellStyle name="20% - Ênfase2 3 3" xfId="350" xr:uid="{7DA09FA3-2E12-4514-8556-BBE8C55A5EE0}"/>
    <cellStyle name="20% - Ênfase2 3 3 2" xfId="1569" xr:uid="{50C2E05B-DA3F-4F9B-998F-487456782AD5}"/>
    <cellStyle name="20% - Ênfase2 3 3 2 2" xfId="3421" xr:uid="{B7AC334F-B245-4AD0-8BCC-C856657E65E7}"/>
    <cellStyle name="20% - Ênfase2 3 3 3" xfId="2494" xr:uid="{2BA54356-C7B5-41D8-A79B-435CCFA0D1A2}"/>
    <cellStyle name="20% - Ênfase2 3 4" xfId="955" xr:uid="{702A51A6-132A-4319-84DA-45001EAFCE33}"/>
    <cellStyle name="20% - Ênfase2 3 4 2" xfId="2807" xr:uid="{D3AB25B8-D354-43CB-B5B9-B7485D192ECA}"/>
    <cellStyle name="20% - Ênfase2 3 5" xfId="1880" xr:uid="{810C77C7-D615-4D14-943F-D7C9A63F1A8F}"/>
    <cellStyle name="20% - Ênfase2 4" xfId="90" xr:uid="{FFB4D482-EEAD-423A-BEC7-45D4ECD7B444}"/>
    <cellStyle name="20% - Ênfase2 4 2" xfId="696" xr:uid="{C71DD0E9-8759-4E9A-9212-DC184834534D}"/>
    <cellStyle name="20% - Ênfase2 4 2 2" xfId="1299" xr:uid="{5E709FB4-7A2F-40C6-B49E-0AFD643C4F51}"/>
    <cellStyle name="20% - Ênfase2 4 2 2 2" xfId="3151" xr:uid="{FCF0E30C-7FFC-41AF-9814-A55655F9A94A}"/>
    <cellStyle name="20% - Ênfase2 4 2 3" xfId="2224" xr:uid="{C317ABFD-EF66-47CE-A125-E6911B120413}"/>
    <cellStyle name="20% - Ênfase2 4 3" xfId="372" xr:uid="{65304694-327C-49CE-BCCE-78744182710B}"/>
    <cellStyle name="20% - Ênfase2 4 3 2" xfId="1754" xr:uid="{B5D8C967-D93F-42A9-9522-760BD8D4401E}"/>
    <cellStyle name="20% - Ênfase2 4 3 2 2" xfId="3567" xr:uid="{837109B7-D454-42CB-9916-9F61A31C3DD8}"/>
    <cellStyle name="20% - Ênfase2 4 3 3" xfId="2679" xr:uid="{9A585AA1-47A1-4BBC-99FC-687F1ED29073}"/>
    <cellStyle name="20% - Ênfase2 4 4" xfId="977" xr:uid="{01131E99-40E8-4F51-B3BB-E5153E541F35}"/>
    <cellStyle name="20% - Ênfase2 4 4 2" xfId="2829" xr:uid="{4BFAE506-46DC-48A9-BE0E-7D476699AD42}"/>
    <cellStyle name="20% - Ênfase2 4 5" xfId="1902" xr:uid="{CF961A7D-4554-481F-AF9D-95A92E10CFF9}"/>
    <cellStyle name="20% - Ênfase2 5" xfId="110" xr:uid="{2D7AB08D-C519-4C21-A3B8-F3EED46454DB}"/>
    <cellStyle name="20% - Ênfase2 5 2" xfId="716" xr:uid="{B7DBBA89-0830-4A3B-A8FA-D7DA1069D4F6}"/>
    <cellStyle name="20% - Ênfase2 5 2 2" xfId="1319" xr:uid="{2CFE0174-A527-413E-AB1A-3AE187A04F0B}"/>
    <cellStyle name="20% - Ênfase2 5 2 2 2" xfId="3171" xr:uid="{D25F6FC5-8F1B-46FD-9D03-4876CB7762CC}"/>
    <cellStyle name="20% - Ênfase2 5 2 3" xfId="2244" xr:uid="{4AAF4BCE-DF19-4D34-8C46-6C3CE6B09FAC}"/>
    <cellStyle name="20% - Ênfase2 5 3" xfId="392" xr:uid="{EAFF609D-B466-4E61-B4A2-AC631844C340}"/>
    <cellStyle name="20% - Ênfase2 5 3 2" xfId="1747" xr:uid="{2ADF75A8-3309-4B39-A35A-13A6F6ED4934}"/>
    <cellStyle name="20% - Ênfase2 5 3 2 2" xfId="3560" xr:uid="{BE9D9FE9-F7C4-4875-8440-989442D30880}"/>
    <cellStyle name="20% - Ênfase2 5 3 3" xfId="2672" xr:uid="{230EB1AD-62F6-4333-BF35-E1F757A46FF0}"/>
    <cellStyle name="20% - Ênfase2 5 4" xfId="997" xr:uid="{CF2DA218-0816-4025-869B-982ED5486807}"/>
    <cellStyle name="20% - Ênfase2 5 4 2" xfId="2849" xr:uid="{56CBDEE1-D47A-499F-A108-30FE4F4E3479}"/>
    <cellStyle name="20% - Ênfase2 5 5" xfId="1922" xr:uid="{B60120A1-9189-41A9-B48D-F09166E8499D}"/>
    <cellStyle name="20% - Ênfase2 6" xfId="130" xr:uid="{E58549FE-0F4C-4956-B42D-BF9ECD58548C}"/>
    <cellStyle name="20% - Ênfase2 6 2" xfId="736" xr:uid="{1C27273B-FC97-4C1A-8D7E-25FF262CE74C}"/>
    <cellStyle name="20% - Ênfase2 6 2 2" xfId="1339" xr:uid="{E3626580-12F6-4406-86DA-78D9E64F30F9}"/>
    <cellStyle name="20% - Ênfase2 6 2 2 2" xfId="3191" xr:uid="{2ACBFD7C-2BCB-47F2-8398-C84C5834E4EE}"/>
    <cellStyle name="20% - Ênfase2 6 2 3" xfId="2264" xr:uid="{CD149177-B144-4A83-A7FE-07E2DB15BD17}"/>
    <cellStyle name="20% - Ênfase2 6 3" xfId="412" xr:uid="{A865FCED-E6B3-47B4-9F5F-BD037605E04C}"/>
    <cellStyle name="20% - Ênfase2 6 3 2" xfId="1801" xr:uid="{B6CD5D06-13FD-4CC3-9662-96A7EA4BC3D5}"/>
    <cellStyle name="20% - Ênfase2 6 3 2 2" xfId="3614" xr:uid="{CCF14B5B-C0B5-47D2-895D-984A276B7FBA}"/>
    <cellStyle name="20% - Ênfase2 6 3 3" xfId="2726" xr:uid="{DC4FEFDC-9A27-425D-81D0-68FB2DF99DF4}"/>
    <cellStyle name="20% - Ênfase2 6 4" xfId="1017" xr:uid="{ED48DCDA-8463-4580-B581-D81C95A12563}"/>
    <cellStyle name="20% - Ênfase2 6 4 2" xfId="2869" xr:uid="{E83D32FD-85C3-4FAE-B17E-3A5B5D2A9107}"/>
    <cellStyle name="20% - Ênfase2 6 5" xfId="1942" xr:uid="{0A5B0A27-4D5B-4204-BF65-AD2544A909E1}"/>
    <cellStyle name="20% - Ênfase2 7" xfId="150" xr:uid="{4266AE74-0485-4ADC-A47A-D16066BD83F3}"/>
    <cellStyle name="20% - Ênfase2 7 2" xfId="756" xr:uid="{4001F028-CE7D-46CF-8393-E484BC5FCC7C}"/>
    <cellStyle name="20% - Ênfase2 7 2 2" xfId="1359" xr:uid="{71EE3A9D-5215-4F20-A55D-FFA21040329C}"/>
    <cellStyle name="20% - Ênfase2 7 2 2 2" xfId="3211" xr:uid="{4D9B4EEA-B8F5-42C5-81D9-B8DE67ABBD20}"/>
    <cellStyle name="20% - Ênfase2 7 2 3" xfId="2284" xr:uid="{13953236-A500-4B97-935F-5B61879D3722}"/>
    <cellStyle name="20% - Ênfase2 7 3" xfId="432" xr:uid="{D23D0AB7-BC4F-4720-804A-66C224A199FA}"/>
    <cellStyle name="20% - Ênfase2 7 3 2" xfId="1820" xr:uid="{A47CE3DE-2FD9-4F9A-A738-A1A5C6870A00}"/>
    <cellStyle name="20% - Ênfase2 7 3 2 2" xfId="3633" xr:uid="{965816BD-4729-4825-B6A9-3063F8362457}"/>
    <cellStyle name="20% - Ênfase2 7 3 3" xfId="2745" xr:uid="{39F66A79-AEFA-414F-B67C-C49505E76841}"/>
    <cellStyle name="20% - Ênfase2 7 4" xfId="1037" xr:uid="{01E6EBC7-91D7-4BC6-A954-9ECA82E606A4}"/>
    <cellStyle name="20% - Ênfase2 7 4 2" xfId="2889" xr:uid="{8ABAC480-2E8F-482E-B183-6F69EB3AAB89}"/>
    <cellStyle name="20% - Ênfase2 7 5" xfId="1962" xr:uid="{3260250F-9D7E-4535-B446-E01068F849A2}"/>
    <cellStyle name="20% - Ênfase2 8" xfId="170" xr:uid="{BA9D7670-92C0-4AA0-BB03-D49F3C15F89F}"/>
    <cellStyle name="20% - Ênfase2 8 2" xfId="776" xr:uid="{AC7E0B2C-8AEA-4506-AC6F-0BD02B634963}"/>
    <cellStyle name="20% - Ênfase2 8 2 2" xfId="1379" xr:uid="{B37691F1-CE8B-46CE-A314-B31866C6E2B4}"/>
    <cellStyle name="20% - Ênfase2 8 2 2 2" xfId="3231" xr:uid="{F0E7D02F-6983-46F3-AC2A-9E8F0C0C10D3}"/>
    <cellStyle name="20% - Ênfase2 8 2 3" xfId="2304" xr:uid="{A50C3661-A2FA-4C9A-A13B-70BDA55D5A88}"/>
    <cellStyle name="20% - Ênfase2 8 3" xfId="452" xr:uid="{09EA90A3-FFCA-4093-AC73-31EE45185AF9}"/>
    <cellStyle name="20% - Ênfase2 8 3 2" xfId="1572" xr:uid="{247BE2BE-3C51-404D-8326-C1CB683BC81F}"/>
    <cellStyle name="20% - Ênfase2 8 3 2 2" xfId="3424" xr:uid="{7DA75120-6E6A-4DCA-A292-88B2B0BD9CD8}"/>
    <cellStyle name="20% - Ênfase2 8 3 3" xfId="2497" xr:uid="{24FDC10B-0109-4E53-BABE-0B19176D1962}"/>
    <cellStyle name="20% - Ênfase2 8 4" xfId="1057" xr:uid="{050BA80A-482A-4367-B51D-54AE01D26503}"/>
    <cellStyle name="20% - Ênfase2 8 4 2" xfId="2909" xr:uid="{8D58A026-89CE-4AFF-B251-669F89B1DFD1}"/>
    <cellStyle name="20% - Ênfase2 8 5" xfId="1982" xr:uid="{C1426429-059F-47BC-83C5-76B134D33E01}"/>
    <cellStyle name="20% - Ênfase2 9" xfId="190" xr:uid="{43271D06-EEA7-42EB-B6A0-8BD973F361BB}"/>
    <cellStyle name="20% - Ênfase2 9 2" xfId="796" xr:uid="{56B7FD01-355D-4699-B5E9-EC1FBA53295A}"/>
    <cellStyle name="20% - Ênfase2 9 2 2" xfId="1399" xr:uid="{9A4CB6A0-5045-41FB-AC29-7F9E7F98164D}"/>
    <cellStyle name="20% - Ênfase2 9 2 2 2" xfId="3251" xr:uid="{BE9DF46D-454E-41D6-AB8D-D1C2124DE9D6}"/>
    <cellStyle name="20% - Ênfase2 9 2 3" xfId="2324" xr:uid="{24516F18-A276-493C-9797-9B65737B9F1E}"/>
    <cellStyle name="20% - Ênfase2 9 3" xfId="472" xr:uid="{CA8C80B1-3D7E-44B7-A114-765EE3D415C5}"/>
    <cellStyle name="20% - Ênfase2 9 3 2" xfId="1746" xr:uid="{EA820E2B-008D-437F-B4D6-696E0B3DCBF5}"/>
    <cellStyle name="20% - Ênfase2 9 3 2 2" xfId="3559" xr:uid="{7E2BD416-C669-40AF-AE27-CB4B3B91A86A}"/>
    <cellStyle name="20% - Ênfase2 9 3 3" xfId="2671" xr:uid="{C5529E16-3DF8-41CD-B649-12BDA7918F55}"/>
    <cellStyle name="20% - Ênfase2 9 4" xfId="1077" xr:uid="{B91C5CB1-4639-4B1B-B14F-99E5A7418EDD}"/>
    <cellStyle name="20% - Ênfase2 9 4 2" xfId="2929" xr:uid="{C55B95BA-0D52-47B6-BBD9-FE0898716726}"/>
    <cellStyle name="20% - Ênfase2 9 5" xfId="2002" xr:uid="{310B1523-C1F5-4A66-9075-D8D77479D1CC}"/>
    <cellStyle name="20% - Ênfase3" xfId="27" builtinId="38" customBuiltin="1"/>
    <cellStyle name="20% - Ênfase3 10" xfId="214" xr:uid="{B7D8BC10-6B81-4797-B6F1-2708C88B7AB4}"/>
    <cellStyle name="20% - Ênfase3 10 2" xfId="820" xr:uid="{0829B962-7F28-40F0-A34B-8CDE8C2E4CBA}"/>
    <cellStyle name="20% - Ênfase3 10 2 2" xfId="1423" xr:uid="{4935D110-9B13-4561-A488-AFF6ADF8D8E1}"/>
    <cellStyle name="20% - Ênfase3 10 2 2 2" xfId="3275" xr:uid="{8FEFE657-D0DD-40B9-AA25-88A8C423FC7F}"/>
    <cellStyle name="20% - Ênfase3 10 2 3" xfId="2348" xr:uid="{6DFD5BDC-6096-4FCF-AFDF-E8E97FF03BEC}"/>
    <cellStyle name="20% - Ênfase3 10 3" xfId="496" xr:uid="{33C8B4A7-588E-4196-9B50-6E911F4B21FB}"/>
    <cellStyle name="20% - Ênfase3 10 3 2" xfId="1517" xr:uid="{F97E6EF0-1235-473A-9F60-974AD8F6A3D4}"/>
    <cellStyle name="20% - Ênfase3 10 3 2 2" xfId="3369" xr:uid="{B15C6443-0B36-448F-B83A-0F3C9122974E}"/>
    <cellStyle name="20% - Ênfase3 10 3 3" xfId="2442" xr:uid="{693DC628-1673-429F-9C0F-B40A54FE86BA}"/>
    <cellStyle name="20% - Ênfase3 10 4" xfId="1101" xr:uid="{08143710-5049-406A-A06D-932420BD49C3}"/>
    <cellStyle name="20% - Ênfase3 10 4 2" xfId="2953" xr:uid="{3CB15EE3-096F-4BD2-9B6B-FE75925314E2}"/>
    <cellStyle name="20% - Ênfase3 10 5" xfId="2026" xr:uid="{4A567D57-4117-4FC7-BEAC-D1F2436957ED}"/>
    <cellStyle name="20% - Ênfase3 11" xfId="234" xr:uid="{69F75B44-B650-4307-9482-19B308050968}"/>
    <cellStyle name="20% - Ênfase3 11 2" xfId="840" xr:uid="{B0367894-3D1E-4688-A71D-A0D0602F2A93}"/>
    <cellStyle name="20% - Ênfase3 11 2 2" xfId="1443" xr:uid="{9BBA35E9-1C08-48DF-8F70-C1A73599B765}"/>
    <cellStyle name="20% - Ênfase3 11 2 2 2" xfId="3295" xr:uid="{52090500-AAAC-478C-BCAD-79C61FCDF41E}"/>
    <cellStyle name="20% - Ênfase3 11 2 3" xfId="2368" xr:uid="{ACAF6DFA-F6EF-4964-A5B3-7E52BD5F6D62}"/>
    <cellStyle name="20% - Ênfase3 11 3" xfId="516" xr:uid="{C8FB0A3E-F532-4C9B-BD0D-F220C5570EE6}"/>
    <cellStyle name="20% - Ênfase3 11 3 2" xfId="1516" xr:uid="{1890A40F-5629-49BB-82D4-2BB49A51BC43}"/>
    <cellStyle name="20% - Ênfase3 11 3 2 2" xfId="3368" xr:uid="{05F32C51-8822-43C9-A29C-31D90411582F}"/>
    <cellStyle name="20% - Ênfase3 11 3 3" xfId="2441" xr:uid="{C7288440-A6CB-4ED3-9FEB-AC5967E0554E}"/>
    <cellStyle name="20% - Ênfase3 11 4" xfId="1121" xr:uid="{BAE94379-7C85-4A69-B32E-E9BD66B9E73E}"/>
    <cellStyle name="20% - Ênfase3 11 4 2" xfId="2973" xr:uid="{7B28CA4F-8D24-4387-A798-9CD4FBC69A5C}"/>
    <cellStyle name="20% - Ênfase3 11 5" xfId="2046" xr:uid="{ECB2A48B-6A20-4056-B352-3D8C55751AFD}"/>
    <cellStyle name="20% - Ênfase3 12" xfId="254" xr:uid="{E936E8D8-5C09-4106-9D8A-7E071EC101F6}"/>
    <cellStyle name="20% - Ênfase3 12 2" xfId="860" xr:uid="{4062540C-964B-4D4F-888E-FAE164662D69}"/>
    <cellStyle name="20% - Ênfase3 12 2 2" xfId="1463" xr:uid="{7BAB7727-4DD6-4969-B74A-1D74500B4BFC}"/>
    <cellStyle name="20% - Ênfase3 12 2 2 2" xfId="3315" xr:uid="{21C774AE-F969-4CFC-862D-3EA3E9E49CB6}"/>
    <cellStyle name="20% - Ênfase3 12 2 3" xfId="2388" xr:uid="{5A822285-2C63-44E7-9883-CC01C693788C}"/>
    <cellStyle name="20% - Ênfase3 12 3" xfId="536" xr:uid="{9B5331BD-828E-46AA-9EB2-7CC062A628A2}"/>
    <cellStyle name="20% - Ênfase3 12 3 2" xfId="1796" xr:uid="{F2E0A155-CC79-494F-A90A-0C037D96EFE1}"/>
    <cellStyle name="20% - Ênfase3 12 3 2 2" xfId="3609" xr:uid="{3AA1BD35-BEEA-47F5-BC47-A1A836FED728}"/>
    <cellStyle name="20% - Ênfase3 12 3 3" xfId="2721" xr:uid="{4925BF85-D99D-4C5D-99BB-7BC14CC243C5}"/>
    <cellStyle name="20% - Ênfase3 12 4" xfId="1141" xr:uid="{D8D57321-BCE0-4B61-BD46-7FC671014EA2}"/>
    <cellStyle name="20% - Ênfase3 12 4 2" xfId="2993" xr:uid="{BBE438A5-D88D-4B4C-91AF-115A2DF3958C}"/>
    <cellStyle name="20% - Ênfase3 12 5" xfId="2066" xr:uid="{6E8B0D40-215C-4523-8229-E1E7B5267317}"/>
    <cellStyle name="20% - Ênfase3 13" xfId="274" xr:uid="{7972506F-32F3-429A-909C-C77EA3BBF131}"/>
    <cellStyle name="20% - Ênfase3 13 2" xfId="880" xr:uid="{6BC87E14-2C3B-49E5-876A-E7ECC1AC282A}"/>
    <cellStyle name="20% - Ênfase3 13 2 2" xfId="1483" xr:uid="{811235AE-47BA-4DB5-8EBA-F0E65A05BC0C}"/>
    <cellStyle name="20% - Ênfase3 13 2 2 2" xfId="3335" xr:uid="{55D429DC-F29D-46CB-B9A0-D5C26688C789}"/>
    <cellStyle name="20% - Ênfase3 13 2 3" xfId="2408" xr:uid="{C490EE14-BABC-42A2-8ECF-457DEC57D555}"/>
    <cellStyle name="20% - Ênfase3 13 3" xfId="556" xr:uid="{00005EE5-DD20-4D3D-B36C-3B75EF0D11CC}"/>
    <cellStyle name="20% - Ênfase3 13 3 2" xfId="1551" xr:uid="{498584C4-0ECF-4779-AD9C-DF8E4CAEAA9C}"/>
    <cellStyle name="20% - Ênfase3 13 3 2 2" xfId="3403" xr:uid="{BEA0101B-88B6-4C00-AFD3-0F9FC8611C58}"/>
    <cellStyle name="20% - Ênfase3 13 3 3" xfId="2476" xr:uid="{8354858D-FFD4-4664-AD16-49D08BBB24BB}"/>
    <cellStyle name="20% - Ênfase3 13 4" xfId="1161" xr:uid="{8F6F716A-B8A0-429C-915F-C9E16B0F7F24}"/>
    <cellStyle name="20% - Ênfase3 13 4 2" xfId="3013" xr:uid="{9543F5CB-14B5-4A88-9463-806B3E97B7E3}"/>
    <cellStyle name="20% - Ênfase3 13 5" xfId="2086" xr:uid="{18C02636-228B-418E-AE53-D76378F70B59}"/>
    <cellStyle name="20% - Ênfase3 14" xfId="294" xr:uid="{9CD1B4E0-7A8A-40E6-A8AE-F51967F2939C}"/>
    <cellStyle name="20% - Ênfase3 14 2" xfId="900" xr:uid="{224F732F-0F8A-4277-A400-FE9C61580140}"/>
    <cellStyle name="20% - Ênfase3 14 2 2" xfId="1503" xr:uid="{A707439C-986D-4F9B-9B9B-F462D373E35D}"/>
    <cellStyle name="20% - Ênfase3 14 2 2 2" xfId="3355" xr:uid="{F05AC124-EED8-4E20-99A5-D13C632C7B34}"/>
    <cellStyle name="20% - Ênfase3 14 2 3" xfId="2428" xr:uid="{790F4FCF-6CA4-4C8A-8C37-1ECD88AEB0BD}"/>
    <cellStyle name="20% - Ênfase3 14 3" xfId="576" xr:uid="{D5399129-8291-4F24-BAE3-A701131667E9}"/>
    <cellStyle name="20% - Ênfase3 14 3 2" xfId="1539" xr:uid="{70E97CE8-C081-45FA-82B5-50CF6B3649A6}"/>
    <cellStyle name="20% - Ênfase3 14 3 2 2" xfId="3391" xr:uid="{B80C1239-B80C-48D0-B0F7-806F19E33E5F}"/>
    <cellStyle name="20% - Ênfase3 14 3 3" xfId="2464" xr:uid="{3778756E-AA33-4C83-9154-2ADEAD3903DC}"/>
    <cellStyle name="20% - Ênfase3 14 4" xfId="1181" xr:uid="{9519642E-87D4-4F5E-939E-F9C87FB8440D}"/>
    <cellStyle name="20% - Ênfase3 14 4 2" xfId="3033" xr:uid="{B41F2B70-1ED1-48CA-A2A1-DEDAC8613302}"/>
    <cellStyle name="20% - Ênfase3 14 5" xfId="2106" xr:uid="{9D8E1782-0A20-4964-817E-7B4824B46CE6}"/>
    <cellStyle name="20% - Ênfase3 15" xfId="596" xr:uid="{86C0E934-1F2A-4FD3-B488-3C098F8D3CAC}"/>
    <cellStyle name="20% - Ênfase3 15 2" xfId="1659" xr:uid="{58E1DE87-B35F-4715-87D4-41C0757ACBAA}"/>
    <cellStyle name="20% - Ênfase3 15 2 2" xfId="2584" xr:uid="{B02EFD8F-6009-4D8E-9990-B190E2A75C3E}"/>
    <cellStyle name="20% - Ênfase3 15 3" xfId="1201" xr:uid="{B72DF659-4434-44FC-A48C-11856AF89BA6}"/>
    <cellStyle name="20% - Ênfase3 15 3 2" xfId="3053" xr:uid="{BD216EAE-FFDB-499F-AFCA-402D160044AF}"/>
    <cellStyle name="20% - Ênfase3 15 4" xfId="2126" xr:uid="{A7904D56-CD8D-4970-9CEF-BFB5CD57B611}"/>
    <cellStyle name="20% - Ênfase3 16" xfId="616" xr:uid="{375935D9-74D5-429D-8B31-CE3DEACC2857}"/>
    <cellStyle name="20% - Ênfase3 16 2" xfId="1679" xr:uid="{B5543729-507C-42FF-AAD5-330710A72B5E}"/>
    <cellStyle name="20% - Ênfase3 16 2 2" xfId="2604" xr:uid="{9E0A1884-B449-4910-9575-E27DF7DBB017}"/>
    <cellStyle name="20% - Ênfase3 16 3" xfId="1221" xr:uid="{4CE33BCE-0493-4937-9FB1-E87AFB9E0C37}"/>
    <cellStyle name="20% - Ênfase3 16 3 2" xfId="3073" xr:uid="{CCB31C52-97EF-4BD8-B2A0-03557F9828A3}"/>
    <cellStyle name="20% - Ênfase3 16 4" xfId="2146" xr:uid="{8F5B9DB5-A27F-43F4-A5B2-1F04E436154A}"/>
    <cellStyle name="20% - Ênfase3 17" xfId="636" xr:uid="{3FCCFAD4-B444-4780-967B-B17B967761C0}"/>
    <cellStyle name="20% - Ênfase3 17 2" xfId="1240" xr:uid="{0E4099DA-F2EB-4D7A-BD13-7BB6509059CF}"/>
    <cellStyle name="20% - Ênfase3 17 2 2" xfId="3092" xr:uid="{5D830635-D6D4-4250-B906-543BA59B1CF0}"/>
    <cellStyle name="20% - Ênfase3 17 3" xfId="2165" xr:uid="{A342172C-19DB-46DE-A973-96549A185715}"/>
    <cellStyle name="20% - Ênfase3 18" xfId="313" xr:uid="{37A1055D-8745-44C0-80BF-ED75342F82BC}"/>
    <cellStyle name="20% - Ênfase3 18 2" xfId="1594" xr:uid="{317B8118-80FD-4AB4-9467-E561D821B6AA}"/>
    <cellStyle name="20% - Ênfase3 18 2 2" xfId="3446" xr:uid="{2A2AF045-53B8-419E-955F-636D511F89D4}"/>
    <cellStyle name="20% - Ênfase3 18 3" xfId="2519" xr:uid="{8DD61C58-92A9-434B-9FF8-DBE9458460C9}"/>
    <cellStyle name="20% - Ênfase3 19" xfId="918" xr:uid="{E9C86268-B568-499D-AB00-C63D570AB124}"/>
    <cellStyle name="20% - Ênfase3 19 2" xfId="2770" xr:uid="{9B295645-FBEC-4991-93FB-6A09D77FA70A}"/>
    <cellStyle name="20% - Ênfase3 2" xfId="53" xr:uid="{AD8A4591-A30C-42C4-BB94-BD4FFEC1BD5E}"/>
    <cellStyle name="20% - Ênfase3 2 2" xfId="659" xr:uid="{C3CFA692-B117-4903-AA91-22AFDAD4434F}"/>
    <cellStyle name="20% - Ênfase3 2 2 2" xfId="1262" xr:uid="{DC62D16F-E9D0-4F93-AB2D-9AEC04A98ECE}"/>
    <cellStyle name="20% - Ênfase3 2 2 2 2" xfId="3114" xr:uid="{01545F15-FB0A-4406-A312-DB46367BD6F6}"/>
    <cellStyle name="20% - Ênfase3 2 2 3" xfId="2187" xr:uid="{68587CCA-53D6-4AAC-B1CE-5913BF0CDE2D}"/>
    <cellStyle name="20% - Ênfase3 2 3" xfId="335" xr:uid="{85E9D60D-E667-4A96-B15B-E0E074034AED}"/>
    <cellStyle name="20% - Ênfase3 2 3 2" xfId="1554" xr:uid="{6EA24560-D073-4DDD-8FD0-9CC19C899E2C}"/>
    <cellStyle name="20% - Ênfase3 2 3 2 2" xfId="3406" xr:uid="{69B8998D-A598-45DE-9114-EF2548A8DD80}"/>
    <cellStyle name="20% - Ênfase3 2 3 3" xfId="2479" xr:uid="{506A13DC-8F31-42C0-812E-AA7D8CE1836B}"/>
    <cellStyle name="20% - Ênfase3 2 4" xfId="940" xr:uid="{3E3EC23D-14DB-4EEB-80FF-C13A2CE90A04}"/>
    <cellStyle name="20% - Ênfase3 2 4 2" xfId="2792" xr:uid="{8FF23457-75EC-4400-8747-BEBE067290F3}"/>
    <cellStyle name="20% - Ênfase3 2 5" xfId="1865" xr:uid="{8E8619AA-A5EB-4417-9EDC-8E6804677856}"/>
    <cellStyle name="20% - Ênfase3 20" xfId="1843" xr:uid="{870DC1DA-D070-4692-822B-3F156B0A204A}"/>
    <cellStyle name="20% - Ênfase3 3" xfId="71" xr:uid="{4A958920-3F1F-402A-9FC6-82A60584A6C9}"/>
    <cellStyle name="20% - Ênfase3 3 2" xfId="677" xr:uid="{2BDF1129-75E4-45C7-B0DF-5E8489E835CE}"/>
    <cellStyle name="20% - Ênfase3 3 2 2" xfId="1280" xr:uid="{7903A787-0691-4CD0-950C-05298551BAFD}"/>
    <cellStyle name="20% - Ênfase3 3 2 2 2" xfId="3132" xr:uid="{DB41630E-F532-4399-A0CD-A853FA8B824E}"/>
    <cellStyle name="20% - Ênfase3 3 2 3" xfId="2205" xr:uid="{77376C71-9831-4961-94E8-041626700465}"/>
    <cellStyle name="20% - Ênfase3 3 3" xfId="353" xr:uid="{65119A2E-84D1-4810-9FF5-C47E1AE0E2FF}"/>
    <cellStyle name="20% - Ênfase3 3 3 2" xfId="1533" xr:uid="{F00152D3-95F9-46D9-8D63-F205E8D67692}"/>
    <cellStyle name="20% - Ênfase3 3 3 2 2" xfId="3385" xr:uid="{69454D13-8CAC-4627-8DB9-705E44031432}"/>
    <cellStyle name="20% - Ênfase3 3 3 3" xfId="2458" xr:uid="{B4F6C7B0-1027-4104-BECC-9F0364CD3ADC}"/>
    <cellStyle name="20% - Ênfase3 3 4" xfId="958" xr:uid="{F38F9205-BB62-4C51-90DB-4D33E8BC7ED6}"/>
    <cellStyle name="20% - Ênfase3 3 4 2" xfId="2810" xr:uid="{04EAB957-B595-4A01-BB7C-455C8317AACA}"/>
    <cellStyle name="20% - Ênfase3 3 5" xfId="1883" xr:uid="{1DD7A278-515F-4815-8C75-BF5AB07469F1}"/>
    <cellStyle name="20% - Ênfase3 4" xfId="93" xr:uid="{3705752C-F04B-47FD-9DCB-59CCD0A694AA}"/>
    <cellStyle name="20% - Ênfase3 4 2" xfId="699" xr:uid="{157E55A5-C2EA-45E3-8454-7FF84015703F}"/>
    <cellStyle name="20% - Ênfase3 4 2 2" xfId="1302" xr:uid="{E3AB79D0-EA95-405B-9011-69B27335752A}"/>
    <cellStyle name="20% - Ênfase3 4 2 2 2" xfId="3154" xr:uid="{83C3D1FC-5E48-4628-847E-3BA5878B6067}"/>
    <cellStyle name="20% - Ênfase3 4 2 3" xfId="2227" xr:uid="{5EEDC3C7-5987-4FC1-B3DE-A5B225501D87}"/>
    <cellStyle name="20% - Ênfase3 4 3" xfId="375" xr:uid="{36FBEED7-E2C2-4D2B-9E02-74D4473DBE2B}"/>
    <cellStyle name="20% - Ênfase3 4 3 2" xfId="1782" xr:uid="{88233C1E-7643-4FD9-BFE0-FFA0CCE2E61A}"/>
    <cellStyle name="20% - Ênfase3 4 3 2 2" xfId="3595" xr:uid="{F5798EC1-C783-4169-BEB4-72BD279C7DF8}"/>
    <cellStyle name="20% - Ênfase3 4 3 3" xfId="2707" xr:uid="{727CF85D-4F02-41D3-8A6E-7061E78AB83C}"/>
    <cellStyle name="20% - Ênfase3 4 4" xfId="980" xr:uid="{03D7F228-DEAA-4BF0-8664-6B7F26F06AF1}"/>
    <cellStyle name="20% - Ênfase3 4 4 2" xfId="2832" xr:uid="{480DF61E-D4EC-4193-91FB-C47F83B2133C}"/>
    <cellStyle name="20% - Ênfase3 4 5" xfId="1905" xr:uid="{0D0797EE-5B5A-43D4-9333-8FDB75FD5FC8}"/>
    <cellStyle name="20% - Ênfase3 5" xfId="113" xr:uid="{2AA8916E-33E3-4625-B3AB-380F452AA5D6}"/>
    <cellStyle name="20% - Ênfase3 5 2" xfId="719" xr:uid="{63A5DFB5-8A54-4106-87B8-EFD22F8D687B}"/>
    <cellStyle name="20% - Ênfase3 5 2 2" xfId="1322" xr:uid="{897CCCBA-D3E9-4D0A-B8AB-B6C573EEF3D3}"/>
    <cellStyle name="20% - Ênfase3 5 2 2 2" xfId="3174" xr:uid="{1A7C8790-45F4-4043-8E2F-D85D2F51E4B1}"/>
    <cellStyle name="20% - Ênfase3 5 2 3" xfId="2247" xr:uid="{F567FFA4-3E7B-41A1-A2AF-BEE54F4F3CC3}"/>
    <cellStyle name="20% - Ênfase3 5 3" xfId="395" xr:uid="{F99840E4-E1C9-415C-9412-14E1B1DF69E0}"/>
    <cellStyle name="20% - Ênfase3 5 3 2" xfId="1800" xr:uid="{1976D658-2EE8-4176-BBA7-6346D911C1B9}"/>
    <cellStyle name="20% - Ênfase3 5 3 2 2" xfId="3613" xr:uid="{9012C48D-56EC-475F-BF4B-046F90B13ABC}"/>
    <cellStyle name="20% - Ênfase3 5 3 3" xfId="2725" xr:uid="{4D2B6284-8A4D-4E13-915D-BC0425FADDD4}"/>
    <cellStyle name="20% - Ênfase3 5 4" xfId="1000" xr:uid="{9C80D2D0-F331-4BED-BAE5-CDB6D58F5A16}"/>
    <cellStyle name="20% - Ênfase3 5 4 2" xfId="2852" xr:uid="{E1946A94-A580-4CA2-BC5C-3F98134BF563}"/>
    <cellStyle name="20% - Ênfase3 5 5" xfId="1925" xr:uid="{F0832882-9BD1-430D-A3E4-CE7E2405558E}"/>
    <cellStyle name="20% - Ênfase3 6" xfId="133" xr:uid="{C4523531-48D0-4EF5-92A4-2BF4195D2CA9}"/>
    <cellStyle name="20% - Ênfase3 6 2" xfId="739" xr:uid="{41CB2FB2-053D-40B7-A32D-FCC934126FBD}"/>
    <cellStyle name="20% - Ênfase3 6 2 2" xfId="1342" xr:uid="{C2F6028C-121E-47F9-A8F7-ADED69BDC81E}"/>
    <cellStyle name="20% - Ênfase3 6 2 2 2" xfId="3194" xr:uid="{3448CD53-4E2E-4F62-9D3A-405C8F59016F}"/>
    <cellStyle name="20% - Ênfase3 6 2 3" xfId="2267" xr:uid="{7A1F097A-3D3D-4130-92DE-CC148E21B7F0}"/>
    <cellStyle name="20% - Ênfase3 6 3" xfId="415" xr:uid="{2CF5411A-ACA8-4B09-A702-DF0A05047259}"/>
    <cellStyle name="20% - Ênfase3 6 3 2" xfId="1760" xr:uid="{941A0F14-A7DA-4D01-9974-AD3B705BA336}"/>
    <cellStyle name="20% - Ênfase3 6 3 2 2" xfId="3573" xr:uid="{4925E53E-7499-436C-BD22-DA703AFCCCC9}"/>
    <cellStyle name="20% - Ênfase3 6 3 3" xfId="2685" xr:uid="{199ABF78-5D1D-4A27-8E1F-4FF700C1533F}"/>
    <cellStyle name="20% - Ênfase3 6 4" xfId="1020" xr:uid="{FC098512-BE57-4236-8B2E-0F9778A912A1}"/>
    <cellStyle name="20% - Ênfase3 6 4 2" xfId="2872" xr:uid="{5C720E69-FB8E-4C0E-BEAB-F2A774F08D4D}"/>
    <cellStyle name="20% - Ênfase3 6 5" xfId="1945" xr:uid="{D4C1DAE6-BE4C-41D8-BFB4-C907835EF4FB}"/>
    <cellStyle name="20% - Ênfase3 7" xfId="153" xr:uid="{20B9617F-53F3-4C3D-A275-227C96CA8B06}"/>
    <cellStyle name="20% - Ênfase3 7 2" xfId="759" xr:uid="{56EC272F-3843-4BB5-A34F-45A4397852BD}"/>
    <cellStyle name="20% - Ênfase3 7 2 2" xfId="1362" xr:uid="{0B4F6198-EEA9-4557-AA79-659558271A04}"/>
    <cellStyle name="20% - Ênfase3 7 2 2 2" xfId="3214" xr:uid="{24659FB6-1A52-4325-9F22-668518752438}"/>
    <cellStyle name="20% - Ênfase3 7 2 3" xfId="2287" xr:uid="{7570E34D-D267-486D-B0B9-1EDF621AAC98}"/>
    <cellStyle name="20% - Ênfase3 7 3" xfId="435" xr:uid="{E281BDAA-B533-495B-9628-E67E733DF50B}"/>
    <cellStyle name="20% - Ênfase3 7 3 2" xfId="1818" xr:uid="{45BE74B8-B72D-43E1-91C7-E543E7EC9B73}"/>
    <cellStyle name="20% - Ênfase3 7 3 2 2" xfId="3631" xr:uid="{B0F61278-157E-4F5A-B779-7BB167EA3AA1}"/>
    <cellStyle name="20% - Ênfase3 7 3 3" xfId="2743" xr:uid="{6E4B249E-3FDF-4DBD-831F-69B6E610029E}"/>
    <cellStyle name="20% - Ênfase3 7 4" xfId="1040" xr:uid="{0B9EC411-1E99-4C08-B3CE-4C4219FE7F6C}"/>
    <cellStyle name="20% - Ênfase3 7 4 2" xfId="2892" xr:uid="{B85DA41C-B6CB-40C2-9562-EF2BD995CF60}"/>
    <cellStyle name="20% - Ênfase3 7 5" xfId="1965" xr:uid="{F2E9827A-6979-4EC4-969C-485C27BEFB64}"/>
    <cellStyle name="20% - Ênfase3 8" xfId="173" xr:uid="{51EA8F61-99F4-4046-B895-F2B33DD3A4FF}"/>
    <cellStyle name="20% - Ênfase3 8 2" xfId="779" xr:uid="{97B70783-AA90-49FE-B9D3-8D2DAA7CA26D}"/>
    <cellStyle name="20% - Ênfase3 8 2 2" xfId="1382" xr:uid="{7480859D-E66E-4A61-97D0-1BB55974BDC1}"/>
    <cellStyle name="20% - Ênfase3 8 2 2 2" xfId="3234" xr:uid="{BF37F211-2314-4C16-B982-40272AF6CA4A}"/>
    <cellStyle name="20% - Ênfase3 8 2 3" xfId="2307" xr:uid="{2CEE6654-F59B-4C2C-B988-D7072F74E886}"/>
    <cellStyle name="20% - Ênfase3 8 3" xfId="455" xr:uid="{E1B2DD32-EC9D-4C04-9B08-14D65F563ECB}"/>
    <cellStyle name="20% - Ênfase3 8 3 2" xfId="1637" xr:uid="{B36A13A4-A56B-477C-A6E2-8561420F3D01}"/>
    <cellStyle name="20% - Ênfase3 8 3 2 2" xfId="3489" xr:uid="{636FDD0D-9C7E-4C5F-9099-FA1D10FFA191}"/>
    <cellStyle name="20% - Ênfase3 8 3 3" xfId="2562" xr:uid="{CB2CD246-3292-4F76-A789-EBC924D5A6E9}"/>
    <cellStyle name="20% - Ênfase3 8 4" xfId="1060" xr:uid="{96BE6D6B-977A-4DB5-8756-864F73BF32D3}"/>
    <cellStyle name="20% - Ênfase3 8 4 2" xfId="2912" xr:uid="{916DA1E1-A00D-45D7-9B8A-CB10D7BD1850}"/>
    <cellStyle name="20% - Ênfase3 8 5" xfId="1985" xr:uid="{45BC5998-E2B1-4738-AA9A-9C5C1848236C}"/>
    <cellStyle name="20% - Ênfase3 9" xfId="193" xr:uid="{7193A8B7-CE64-4B9D-8050-A240CBE0426B}"/>
    <cellStyle name="20% - Ênfase3 9 2" xfId="799" xr:uid="{3600FB13-36C9-477E-A943-1FE6AD8D2C1F}"/>
    <cellStyle name="20% - Ênfase3 9 2 2" xfId="1402" xr:uid="{BB0BAA62-A851-49D1-9132-9CE5DF72078A}"/>
    <cellStyle name="20% - Ênfase3 9 2 2 2" xfId="3254" xr:uid="{AD71D7DF-BC50-4D1A-A392-3DDCE7F2886F}"/>
    <cellStyle name="20% - Ênfase3 9 2 3" xfId="2327" xr:uid="{FDC993C6-4B83-443F-BF6C-A3794F08B778}"/>
    <cellStyle name="20% - Ênfase3 9 3" xfId="475" xr:uid="{1B57F737-15B6-4276-8B2D-FBCACC2E075D}"/>
    <cellStyle name="20% - Ênfase3 9 3 2" xfId="1541" xr:uid="{5DF2A030-A903-4D2C-BF3F-1AFC18986D4F}"/>
    <cellStyle name="20% - Ênfase3 9 3 2 2" xfId="3393" xr:uid="{0DA042F7-DA26-4FD7-AAF0-C60ED4DAB836}"/>
    <cellStyle name="20% - Ênfase3 9 3 3" xfId="2466" xr:uid="{2D4932C4-32AC-48DC-ABE2-93A41A2CE683}"/>
    <cellStyle name="20% - Ênfase3 9 4" xfId="1080" xr:uid="{E53A45B0-E03C-4C3F-A6BF-1A4B9AA9A5FE}"/>
    <cellStyle name="20% - Ênfase3 9 4 2" xfId="2932" xr:uid="{6B05E8A4-A5AE-4B57-B2AE-9BA3FAC76875}"/>
    <cellStyle name="20% - Ênfase3 9 5" xfId="2005" xr:uid="{0DF9010A-B968-4986-BFF4-77E469557C80}"/>
    <cellStyle name="20% - Ênfase4" xfId="31" builtinId="42" customBuiltin="1"/>
    <cellStyle name="20% - Ênfase4 10" xfId="217" xr:uid="{F1151F5C-CE6D-47D2-A23B-0167CC02EC78}"/>
    <cellStyle name="20% - Ênfase4 10 2" xfId="823" xr:uid="{047A5B44-A7A5-436A-8C82-29C74EE784E3}"/>
    <cellStyle name="20% - Ênfase4 10 2 2" xfId="1426" xr:uid="{D3C4BCDD-1608-4959-9B19-BEFED90C9D25}"/>
    <cellStyle name="20% - Ênfase4 10 2 2 2" xfId="3278" xr:uid="{ADB55985-C536-4121-B786-04F2ED3E3EED}"/>
    <cellStyle name="20% - Ênfase4 10 2 3" xfId="2351" xr:uid="{0533FF43-2946-4BDE-9A28-7DCF7582F0A4}"/>
    <cellStyle name="20% - Ênfase4 10 3" xfId="499" xr:uid="{83DEDD61-8816-410F-9BA7-C432A3DB0A26}"/>
    <cellStyle name="20% - Ênfase4 10 3 2" xfId="1714" xr:uid="{7A054FDB-0D77-4A53-97EB-C6B3E899CEEF}"/>
    <cellStyle name="20% - Ênfase4 10 3 2 2" xfId="3527" xr:uid="{5C60C7A2-5A76-47E9-9226-3357AE54B683}"/>
    <cellStyle name="20% - Ênfase4 10 3 3" xfId="2639" xr:uid="{9C29B6F4-37F6-430C-9F14-D4E642E5E90E}"/>
    <cellStyle name="20% - Ênfase4 10 4" xfId="1104" xr:uid="{73BF57E0-3DD3-4591-B6FD-AB7127168E4E}"/>
    <cellStyle name="20% - Ênfase4 10 4 2" xfId="2956" xr:uid="{EDFF0CF5-82EC-4127-820E-2415BC887766}"/>
    <cellStyle name="20% - Ênfase4 10 5" xfId="2029" xr:uid="{BC4538C2-636C-44F1-9275-63FED9CF7812}"/>
    <cellStyle name="20% - Ênfase4 11" xfId="237" xr:uid="{2909A310-7B03-4416-98BA-8294E39A3C79}"/>
    <cellStyle name="20% - Ênfase4 11 2" xfId="843" xr:uid="{A83BBDA9-EAA3-4B8C-AA28-3F395BEBE4F7}"/>
    <cellStyle name="20% - Ênfase4 11 2 2" xfId="1446" xr:uid="{E8C35A89-DD4B-4A0F-9DA1-234B1B174EE3}"/>
    <cellStyle name="20% - Ênfase4 11 2 2 2" xfId="3298" xr:uid="{F550C26D-225C-4A8B-BA14-BA55FB096A6C}"/>
    <cellStyle name="20% - Ênfase4 11 2 3" xfId="2371" xr:uid="{73CD207E-2D4B-4FC6-BCBF-E7DB5572C513}"/>
    <cellStyle name="20% - Ênfase4 11 3" xfId="519" xr:uid="{F517CAE1-6B13-4562-B288-B8948D0968B9}"/>
    <cellStyle name="20% - Ênfase4 11 3 2" xfId="1835" xr:uid="{D9710BAD-13D4-4029-AB3B-B7AB4D3D6FB9}"/>
    <cellStyle name="20% - Ênfase4 11 3 2 2" xfId="3648" xr:uid="{14FD90ED-6B58-4966-86C3-B731EADD9383}"/>
    <cellStyle name="20% - Ênfase4 11 3 3" xfId="2760" xr:uid="{A446E13F-3571-49AB-8ED9-012C414013C0}"/>
    <cellStyle name="20% - Ênfase4 11 4" xfId="1124" xr:uid="{D374F2F6-7AB4-4E02-83F5-01E829A19893}"/>
    <cellStyle name="20% - Ênfase4 11 4 2" xfId="2976" xr:uid="{6DA155E2-EBCB-4924-BF73-FA68DEBAF6E6}"/>
    <cellStyle name="20% - Ênfase4 11 5" xfId="2049" xr:uid="{9E146FCD-F439-402B-9652-6FBB194CBE2C}"/>
    <cellStyle name="20% - Ênfase4 12" xfId="257" xr:uid="{303AE62C-6757-4C58-BC3C-8EDD0CEE8C81}"/>
    <cellStyle name="20% - Ênfase4 12 2" xfId="863" xr:uid="{A607A4C3-1E80-461D-8BCC-9599EDE2AC50}"/>
    <cellStyle name="20% - Ênfase4 12 2 2" xfId="1466" xr:uid="{B880344E-9E45-4271-8A12-A2D2BF33AC0C}"/>
    <cellStyle name="20% - Ênfase4 12 2 2 2" xfId="3318" xr:uid="{CF5ED871-9C07-4EF5-841A-B2C249B6B2C2}"/>
    <cellStyle name="20% - Ênfase4 12 2 3" xfId="2391" xr:uid="{BE0991C0-FF97-4EB1-BBEA-B5C03AAB7351}"/>
    <cellStyle name="20% - Ênfase4 12 3" xfId="539" xr:uid="{3457310B-41F3-4C36-B325-3E185C901BBF}"/>
    <cellStyle name="20% - Ênfase4 12 3 2" xfId="1752" xr:uid="{B8372B37-E2A5-4369-9D07-6E777AD8DEEB}"/>
    <cellStyle name="20% - Ênfase4 12 3 2 2" xfId="3565" xr:uid="{99B95B35-7019-45D6-88FE-FCFF3172175B}"/>
    <cellStyle name="20% - Ênfase4 12 3 3" xfId="2677" xr:uid="{13115E54-02A5-4702-AC90-F803CC6BEB24}"/>
    <cellStyle name="20% - Ênfase4 12 4" xfId="1144" xr:uid="{B517C28D-E53F-43C9-9F2A-87B050922501}"/>
    <cellStyle name="20% - Ênfase4 12 4 2" xfId="2996" xr:uid="{20252BCF-2CE3-4103-9AA1-FB2E4FCABBBB}"/>
    <cellStyle name="20% - Ênfase4 12 5" xfId="2069" xr:uid="{76E17FDD-3F91-4AA9-9DEB-4D03F457A4E8}"/>
    <cellStyle name="20% - Ênfase4 13" xfId="277" xr:uid="{666B8B53-9D4B-4D24-85D1-F49C96D13FCB}"/>
    <cellStyle name="20% - Ênfase4 13 2" xfId="883" xr:uid="{079FA675-838C-4926-8A2D-A1406F61E66E}"/>
    <cellStyle name="20% - Ênfase4 13 2 2" xfId="1486" xr:uid="{09B32323-90F2-4E7F-B061-148E53351DDF}"/>
    <cellStyle name="20% - Ênfase4 13 2 2 2" xfId="3338" xr:uid="{A1C6E91B-1EF2-4C47-B29E-4D8010C847C2}"/>
    <cellStyle name="20% - Ênfase4 13 2 3" xfId="2411" xr:uid="{359DDB93-F242-4472-914D-43696B41831C}"/>
    <cellStyle name="20% - Ênfase4 13 3" xfId="559" xr:uid="{E7DE79CA-61F2-42F6-9D8C-9173E9A0F2C9}"/>
    <cellStyle name="20% - Ênfase4 13 3 2" xfId="1544" xr:uid="{0BC85D78-BAE0-4FC0-88A2-E0E50A4D1A14}"/>
    <cellStyle name="20% - Ênfase4 13 3 2 2" xfId="3396" xr:uid="{00F1BD53-308E-4EA7-A513-40BDF9CB39D8}"/>
    <cellStyle name="20% - Ênfase4 13 3 3" xfId="2469" xr:uid="{1A76E719-B6EE-4BA7-9DD3-3D3A07865324}"/>
    <cellStyle name="20% - Ênfase4 13 4" xfId="1164" xr:uid="{85179A10-1311-4A22-9C55-5957A8BAB03B}"/>
    <cellStyle name="20% - Ênfase4 13 4 2" xfId="3016" xr:uid="{708D04B5-EDCD-4EFF-9D3A-165178B77F8B}"/>
    <cellStyle name="20% - Ênfase4 13 5" xfId="2089" xr:uid="{FACCAC91-45C9-4FBB-B1F0-31EAA7756772}"/>
    <cellStyle name="20% - Ênfase4 14" xfId="297" xr:uid="{B711625D-7420-4E0E-9100-D99C57216820}"/>
    <cellStyle name="20% - Ênfase4 14 2" xfId="903" xr:uid="{95B51BD7-46E9-4A80-87EC-797D9D53EA37}"/>
    <cellStyle name="20% - Ênfase4 14 2 2" xfId="1506" xr:uid="{17953B54-6B0D-4B64-B0C4-3891F1468861}"/>
    <cellStyle name="20% - Ênfase4 14 2 2 2" xfId="3358" xr:uid="{704A1B53-C678-469F-AFD1-811718E200F6}"/>
    <cellStyle name="20% - Ênfase4 14 2 3" xfId="2431" xr:uid="{D76B62D1-EBEC-4858-9640-83306844FAC7}"/>
    <cellStyle name="20% - Ênfase4 14 3" xfId="579" xr:uid="{F4194E45-A9B1-440A-9A14-643B4F18A2C5}"/>
    <cellStyle name="20% - Ênfase4 14 3 2" xfId="1555" xr:uid="{044ADB2E-35A5-465E-8E08-B0BA520DDB3A}"/>
    <cellStyle name="20% - Ênfase4 14 3 2 2" xfId="3407" xr:uid="{BA859FC0-2F7D-4312-B232-3EA83E6EB10C}"/>
    <cellStyle name="20% - Ênfase4 14 3 3" xfId="2480" xr:uid="{5EEFF5AD-6002-4E16-BE98-4B9A36CAD0DE}"/>
    <cellStyle name="20% - Ênfase4 14 4" xfId="1184" xr:uid="{38B190EA-2873-4DD0-91C7-9FBB149F1E19}"/>
    <cellStyle name="20% - Ênfase4 14 4 2" xfId="3036" xr:uid="{B8802A84-DBCB-44F2-882E-B66E9BB362D6}"/>
    <cellStyle name="20% - Ênfase4 14 5" xfId="2109" xr:uid="{90CEEF65-9EF2-478C-8A40-3E1C66E348C4}"/>
    <cellStyle name="20% - Ênfase4 15" xfId="599" xr:uid="{A1636C80-22D4-4103-849A-40FF4627A8E6}"/>
    <cellStyle name="20% - Ênfase4 15 2" xfId="1662" xr:uid="{0358E6B5-F498-41D0-A3A2-3AC810285C10}"/>
    <cellStyle name="20% - Ênfase4 15 2 2" xfId="2587" xr:uid="{6F5725CF-5D19-46F9-BD9C-44753F60FE86}"/>
    <cellStyle name="20% - Ênfase4 15 3" xfId="1204" xr:uid="{6200188F-A9B4-4691-823F-4ECAC3F0ECB2}"/>
    <cellStyle name="20% - Ênfase4 15 3 2" xfId="3056" xr:uid="{E385F5C0-095C-47B0-B8AD-D14F0BD17E92}"/>
    <cellStyle name="20% - Ênfase4 15 4" xfId="2129" xr:uid="{1483A9FA-BE25-4F21-A830-7766E7AD9518}"/>
    <cellStyle name="20% - Ênfase4 16" xfId="619" xr:uid="{162D3797-3E09-450C-B774-4DF53E6BADC4}"/>
    <cellStyle name="20% - Ênfase4 16 2" xfId="1682" xr:uid="{1C4CA091-4829-4F83-8DE2-15605B5CA622}"/>
    <cellStyle name="20% - Ênfase4 16 2 2" xfId="2607" xr:uid="{A0D6784B-6E7F-4DB3-BE30-227D8C5FD098}"/>
    <cellStyle name="20% - Ênfase4 16 3" xfId="1224" xr:uid="{D04896B4-9B1E-4EC1-B313-1BFE170FFA2F}"/>
    <cellStyle name="20% - Ênfase4 16 3 2" xfId="3076" xr:uid="{E1FED15C-D3D7-409B-B28F-8104F56249B4}"/>
    <cellStyle name="20% - Ênfase4 16 4" xfId="2149" xr:uid="{3C1E733A-AFEF-4004-8C82-10827C55A52C}"/>
    <cellStyle name="20% - Ênfase4 17" xfId="639" xr:uid="{EF8B0C4C-907E-4049-8954-C03FD03FC264}"/>
    <cellStyle name="20% - Ênfase4 17 2" xfId="1243" xr:uid="{FCF7BCE8-18D0-407C-8641-D9F70E8AD35B}"/>
    <cellStyle name="20% - Ênfase4 17 2 2" xfId="3095" xr:uid="{E2E63AE6-8A99-44F9-BF39-AB75AD5E5EDA}"/>
    <cellStyle name="20% - Ênfase4 17 3" xfId="2168" xr:uid="{09F9BF54-7C1A-48A0-A055-A5C1F8DB9036}"/>
    <cellStyle name="20% - Ênfase4 18" xfId="316" xr:uid="{DDEE68C8-0471-4392-BC80-E15F959C0C4B}"/>
    <cellStyle name="20% - Ênfase4 18 2" xfId="1717" xr:uid="{188B96A1-4CF4-4499-8E7E-63B1EEC7AA73}"/>
    <cellStyle name="20% - Ênfase4 18 2 2" xfId="3530" xr:uid="{C792EB6F-8A24-4ED6-B90A-0FDA64F819B9}"/>
    <cellStyle name="20% - Ênfase4 18 3" xfId="2642" xr:uid="{B20A264F-8CF1-4AEA-A34F-B9169E1C4F5B}"/>
    <cellStyle name="20% - Ênfase4 19" xfId="921" xr:uid="{00EA9B67-567C-4033-BFFD-97258E4FBEDD}"/>
    <cellStyle name="20% - Ênfase4 19 2" xfId="2773" xr:uid="{7BF30325-7D2B-4D5B-9B0D-55E7531393AA}"/>
    <cellStyle name="20% - Ênfase4 2" xfId="56" xr:uid="{1EDEF5F3-1C96-45F8-9D63-0B32804DF88A}"/>
    <cellStyle name="20% - Ênfase4 2 2" xfId="662" xr:uid="{3D5E6E59-30F1-4315-BEA9-6C6E28F3A352}"/>
    <cellStyle name="20% - Ênfase4 2 2 2" xfId="1265" xr:uid="{2CE1079E-8729-4C36-BFDC-AFD6799C61E0}"/>
    <cellStyle name="20% - Ênfase4 2 2 2 2" xfId="3117" xr:uid="{E656D38F-541C-413E-9819-6E1ED3B7365D}"/>
    <cellStyle name="20% - Ênfase4 2 2 3" xfId="2190" xr:uid="{06C155FF-9B8D-4672-B491-32DE9535EEF0}"/>
    <cellStyle name="20% - Ênfase4 2 3" xfId="338" xr:uid="{BB6EC91C-AD11-4857-9291-D399222B633A}"/>
    <cellStyle name="20% - Ênfase4 2 3 2" xfId="1590" xr:uid="{05F7D2BF-3CD1-43D0-9891-07262EE099CE}"/>
    <cellStyle name="20% - Ênfase4 2 3 2 2" xfId="3442" xr:uid="{6B8A7E02-5282-4D45-BF90-8024D8779716}"/>
    <cellStyle name="20% - Ênfase4 2 3 3" xfId="2515" xr:uid="{146C2DED-D4E6-43A3-B662-1902EB435266}"/>
    <cellStyle name="20% - Ênfase4 2 4" xfId="943" xr:uid="{6C589D63-90DC-4113-BE20-23F919AC3F64}"/>
    <cellStyle name="20% - Ênfase4 2 4 2" xfId="2795" xr:uid="{BF1F97DF-1EB6-47DF-8F82-EA9FEAB30555}"/>
    <cellStyle name="20% - Ênfase4 2 5" xfId="1868" xr:uid="{5491F9B0-2041-44CF-BE05-F92F5BDD32A7}"/>
    <cellStyle name="20% - Ênfase4 20" xfId="1846" xr:uid="{B3664DCB-9832-4B6F-917F-72CDC51C3E79}"/>
    <cellStyle name="20% - Ênfase4 3" xfId="74" xr:uid="{5CA6EEA9-4724-4C27-9ED0-89E896926874}"/>
    <cellStyle name="20% - Ênfase4 3 2" xfId="680" xr:uid="{1235825A-0CBC-44FF-BFEA-71C1D95DB111}"/>
    <cellStyle name="20% - Ênfase4 3 2 2" xfId="1283" xr:uid="{FD84EB55-4462-4361-8EE6-65CB2808917D}"/>
    <cellStyle name="20% - Ênfase4 3 2 2 2" xfId="3135" xr:uid="{9C11AF3E-D669-4F6C-9284-99AA2BF934F3}"/>
    <cellStyle name="20% - Ênfase4 3 2 3" xfId="2208" xr:uid="{EA480FCE-FC1D-40E8-B550-75708EC857BD}"/>
    <cellStyle name="20% - Ênfase4 3 3" xfId="356" xr:uid="{1BECAF31-B5A5-458E-ACF2-C8C2C1215D3F}"/>
    <cellStyle name="20% - Ênfase4 3 3 2" xfId="1748" xr:uid="{9853796C-F74A-477E-BA6B-FCB14C11E8FB}"/>
    <cellStyle name="20% - Ênfase4 3 3 2 2" xfId="3561" xr:uid="{B2CFABCB-A5DC-4116-84F9-231ADB8D4F34}"/>
    <cellStyle name="20% - Ênfase4 3 3 3" xfId="2673" xr:uid="{44FED595-628A-4C51-A0EF-ADAEB2B368CE}"/>
    <cellStyle name="20% - Ênfase4 3 4" xfId="961" xr:uid="{1CE6BC61-37EE-480E-B9FE-7A04D259BECB}"/>
    <cellStyle name="20% - Ênfase4 3 4 2" xfId="2813" xr:uid="{729B81AB-11CD-48DD-944E-60D5F06D5989}"/>
    <cellStyle name="20% - Ênfase4 3 5" xfId="1886" xr:uid="{4EBA8F37-250E-443E-A8CE-0969FAA0B85E}"/>
    <cellStyle name="20% - Ênfase4 4" xfId="96" xr:uid="{5CD2084E-5323-4C72-B137-2F54D1367C11}"/>
    <cellStyle name="20% - Ênfase4 4 2" xfId="702" xr:uid="{DE3D130F-E001-4D98-88B3-5C4BC4C55B8A}"/>
    <cellStyle name="20% - Ênfase4 4 2 2" xfId="1305" xr:uid="{B58AEB83-F2D7-4CC1-8085-EBA2C2539570}"/>
    <cellStyle name="20% - Ênfase4 4 2 2 2" xfId="3157" xr:uid="{507C27E6-3171-493D-9FC1-28A61A19972B}"/>
    <cellStyle name="20% - Ênfase4 4 2 3" xfId="2230" xr:uid="{88AB19D9-64DA-4EDD-9622-4B02A82C230A}"/>
    <cellStyle name="20% - Ênfase4 4 3" xfId="378" xr:uid="{0F3A5387-ABBE-492B-9CBA-445C745F1ADF}"/>
    <cellStyle name="20% - Ênfase4 4 3 2" xfId="1596" xr:uid="{1F7E803B-FADC-4DAB-84EE-BE6C73A7F537}"/>
    <cellStyle name="20% - Ênfase4 4 3 2 2" xfId="3448" xr:uid="{0F9424C3-F904-4050-9E52-759B6ED69098}"/>
    <cellStyle name="20% - Ênfase4 4 3 3" xfId="2521" xr:uid="{C83686BB-6974-4434-9E1C-E4A7EC8039B9}"/>
    <cellStyle name="20% - Ênfase4 4 4" xfId="983" xr:uid="{E5AFDF6F-0BFA-4FFF-BCC8-8C102C60EF4B}"/>
    <cellStyle name="20% - Ênfase4 4 4 2" xfId="2835" xr:uid="{BCE884B6-27B5-445E-A592-2E7F6513EDDB}"/>
    <cellStyle name="20% - Ênfase4 4 5" xfId="1908" xr:uid="{6FF43D39-F77A-4E15-B068-6F0D1F1CEF1B}"/>
    <cellStyle name="20% - Ênfase4 5" xfId="116" xr:uid="{A870645B-E53A-4517-94CD-CF8C11EEF5E2}"/>
    <cellStyle name="20% - Ênfase4 5 2" xfId="722" xr:uid="{C5AC6A59-F15B-4AF9-ACDD-FE967901D1BE}"/>
    <cellStyle name="20% - Ênfase4 5 2 2" xfId="1325" xr:uid="{4B4C67AF-C0AD-4EF3-A815-2C067424EE1E}"/>
    <cellStyle name="20% - Ênfase4 5 2 2 2" xfId="3177" xr:uid="{F8A0B129-09DC-4F4A-96C5-6D767CA51B9C}"/>
    <cellStyle name="20% - Ênfase4 5 2 3" xfId="2250" xr:uid="{7B69CBC7-BAA2-4815-BF8B-FB1C24DBC978}"/>
    <cellStyle name="20% - Ênfase4 5 3" xfId="398" xr:uid="{8CEEFE5A-04F2-4970-B148-04892CCCA576}"/>
    <cellStyle name="20% - Ênfase4 5 3 2" xfId="1742" xr:uid="{7EF5D68B-87C1-418B-ADC6-D59F08AE0D1C}"/>
    <cellStyle name="20% - Ênfase4 5 3 2 2" xfId="3555" xr:uid="{646D4522-CADB-45D6-9DEB-EBFAE0F7663F}"/>
    <cellStyle name="20% - Ênfase4 5 3 3" xfId="2667" xr:uid="{D2002397-AC9B-41A0-B50E-DB4EE4FE1810}"/>
    <cellStyle name="20% - Ênfase4 5 4" xfId="1003" xr:uid="{F2DA79AC-426E-457C-A171-C24015EB6F90}"/>
    <cellStyle name="20% - Ênfase4 5 4 2" xfId="2855" xr:uid="{7A5A7A42-3C4B-4296-8526-741D2CE68A46}"/>
    <cellStyle name="20% - Ênfase4 5 5" xfId="1928" xr:uid="{DB5C88F5-18FF-4CE8-802B-E56F76B3CB8E}"/>
    <cellStyle name="20% - Ênfase4 6" xfId="136" xr:uid="{F13A259B-FBC1-4978-B828-83033D60F84C}"/>
    <cellStyle name="20% - Ênfase4 6 2" xfId="742" xr:uid="{3B595303-61C7-41C1-8A13-ED43FDA95F46}"/>
    <cellStyle name="20% - Ênfase4 6 2 2" xfId="1345" xr:uid="{2BD3521F-0AD2-4B14-B5BC-2D46CD211191}"/>
    <cellStyle name="20% - Ênfase4 6 2 2 2" xfId="3197" xr:uid="{702B7677-EE1B-45DA-8CD1-5A16575C9CEF}"/>
    <cellStyle name="20% - Ênfase4 6 2 3" xfId="2270" xr:uid="{BF622656-FF75-4D89-9517-1FB51FD38EA0}"/>
    <cellStyle name="20% - Ênfase4 6 3" xfId="418" xr:uid="{B7C718E7-C405-459F-BDEF-A184078A425E}"/>
    <cellStyle name="20% - Ênfase4 6 3 2" xfId="1588" xr:uid="{D84216D5-65CD-4F79-BB06-C3F79D7EEE8D}"/>
    <cellStyle name="20% - Ênfase4 6 3 2 2" xfId="3440" xr:uid="{3F6230DF-67A1-41B6-A36D-A31EF1B8CE91}"/>
    <cellStyle name="20% - Ênfase4 6 3 3" xfId="2513" xr:uid="{0C9726CF-6FAB-4715-A0B1-72D07FC1BBA5}"/>
    <cellStyle name="20% - Ênfase4 6 4" xfId="1023" xr:uid="{2A4A3B4C-F79D-4263-974F-D4238F83D5AF}"/>
    <cellStyle name="20% - Ênfase4 6 4 2" xfId="2875" xr:uid="{1A3D3D08-C804-4855-9C93-2CE13E75051A}"/>
    <cellStyle name="20% - Ênfase4 6 5" xfId="1948" xr:uid="{31628386-34CA-4952-9BA2-66BD89A2894A}"/>
    <cellStyle name="20% - Ênfase4 7" xfId="156" xr:uid="{CC677621-B8DF-4327-8F15-9327FDC8C207}"/>
    <cellStyle name="20% - Ênfase4 7 2" xfId="762" xr:uid="{174CC804-B3C7-44BD-A3BA-2E1ECFB71533}"/>
    <cellStyle name="20% - Ênfase4 7 2 2" xfId="1365" xr:uid="{676EC7DD-4612-483C-A4E9-A7E08068F604}"/>
    <cellStyle name="20% - Ênfase4 7 2 2 2" xfId="3217" xr:uid="{991E4CF1-929D-49F7-83E7-2611CAE14094}"/>
    <cellStyle name="20% - Ênfase4 7 2 3" xfId="2290" xr:uid="{52175F01-952C-4272-852B-112D79DBF463}"/>
    <cellStyle name="20% - Ênfase4 7 3" xfId="438" xr:uid="{01062251-F584-4294-AD7D-9526D1168A6D}"/>
    <cellStyle name="20% - Ênfase4 7 3 2" xfId="1826" xr:uid="{402A99B1-7FD6-4DBE-9AE5-9B5D2FAD89C5}"/>
    <cellStyle name="20% - Ênfase4 7 3 2 2" xfId="3639" xr:uid="{16EA46E6-57D4-4512-88D3-43129A137C81}"/>
    <cellStyle name="20% - Ênfase4 7 3 3" xfId="2751" xr:uid="{99D25132-0325-49EF-88A1-2BD05DA6174C}"/>
    <cellStyle name="20% - Ênfase4 7 4" xfId="1043" xr:uid="{13413A05-0406-460B-B5C5-D60D48E55DB3}"/>
    <cellStyle name="20% - Ênfase4 7 4 2" xfId="2895" xr:uid="{185027AB-2916-4495-8CD4-3AD775B2A8C6}"/>
    <cellStyle name="20% - Ênfase4 7 5" xfId="1968" xr:uid="{8504B70A-3517-4C4D-AA59-2BA94DC64C04}"/>
    <cellStyle name="20% - Ênfase4 8" xfId="176" xr:uid="{6BFF59DE-6795-43CB-89C5-3596ED0553AF}"/>
    <cellStyle name="20% - Ênfase4 8 2" xfId="782" xr:uid="{DF74451A-6E23-44AA-B512-46D1B176ECF7}"/>
    <cellStyle name="20% - Ênfase4 8 2 2" xfId="1385" xr:uid="{49A05F44-F171-42D1-889B-7770FFEACC56}"/>
    <cellStyle name="20% - Ênfase4 8 2 2 2" xfId="3237" xr:uid="{0078CF3E-888D-475F-880C-3BE5ECC02A46}"/>
    <cellStyle name="20% - Ênfase4 8 2 3" xfId="2310" xr:uid="{4F29BE60-445B-49B8-BCAB-918A48CDFCDB}"/>
    <cellStyle name="20% - Ênfase4 8 3" xfId="458" xr:uid="{33D6A02E-11DF-45E8-8862-9B014840B349}"/>
    <cellStyle name="20% - Ênfase4 8 3 2" xfId="1632" xr:uid="{E691728C-6FBB-40A6-81F1-3725EF4A42D3}"/>
    <cellStyle name="20% - Ênfase4 8 3 2 2" xfId="3484" xr:uid="{7F143522-586E-4FE9-846D-D2900E392FF5}"/>
    <cellStyle name="20% - Ênfase4 8 3 3" xfId="2557" xr:uid="{7167A2E3-A3FB-4D23-A8CB-0422E5D674EB}"/>
    <cellStyle name="20% - Ênfase4 8 4" xfId="1063" xr:uid="{092BDC15-2DFD-41B8-B7C6-48469BDE1256}"/>
    <cellStyle name="20% - Ênfase4 8 4 2" xfId="2915" xr:uid="{E659B383-FF70-4FE0-AC45-A826344147CD}"/>
    <cellStyle name="20% - Ênfase4 8 5" xfId="1988" xr:uid="{C9BE0313-4488-40FB-9CEC-30F29E679312}"/>
    <cellStyle name="20% - Ênfase4 9" xfId="196" xr:uid="{1C107C3A-3217-4BEC-BF6D-4AE245093A21}"/>
    <cellStyle name="20% - Ênfase4 9 2" xfId="802" xr:uid="{AF3369B3-F0D2-4ACB-8A48-9940F7C455CF}"/>
    <cellStyle name="20% - Ênfase4 9 2 2" xfId="1405" xr:uid="{4AE02500-5718-4BDD-977D-82C897045F44}"/>
    <cellStyle name="20% - Ênfase4 9 2 2 2" xfId="3257" xr:uid="{69F14496-086F-41A4-8F22-2E49BFA9703B}"/>
    <cellStyle name="20% - Ênfase4 9 2 3" xfId="2330" xr:uid="{56919C6D-95FA-4AAF-BD1D-389AE533CC5B}"/>
    <cellStyle name="20% - Ênfase4 9 3" xfId="478" xr:uid="{93057E7F-69A9-4723-AF53-81D370BBBE07}"/>
    <cellStyle name="20% - Ênfase4 9 3 2" xfId="1720" xr:uid="{BF8AA26C-1A83-4B09-8EE0-5C27E87BDC0C}"/>
    <cellStyle name="20% - Ênfase4 9 3 2 2" xfId="3533" xr:uid="{A36C1623-3D00-43B4-9373-3F2585AE7375}"/>
    <cellStyle name="20% - Ênfase4 9 3 3" xfId="2645" xr:uid="{FF3882D7-039E-49E2-B967-D2695D5B2BED}"/>
    <cellStyle name="20% - Ênfase4 9 4" xfId="1083" xr:uid="{C856A1FA-8570-4CDC-BF36-5AB74C9EF3A2}"/>
    <cellStyle name="20% - Ênfase4 9 4 2" xfId="2935" xr:uid="{1B39FF73-D169-4E99-B3C6-7B186640ED92}"/>
    <cellStyle name="20% - Ênfase4 9 5" xfId="2008" xr:uid="{05087203-4FAC-42D2-823D-84889313E905}"/>
    <cellStyle name="20% - Ênfase5" xfId="35" builtinId="46" customBuiltin="1"/>
    <cellStyle name="20% - Ênfase5 10" xfId="220" xr:uid="{E51799A8-9E61-46C8-B8B9-1F1698C2B19A}"/>
    <cellStyle name="20% - Ênfase5 10 2" xfId="826" xr:uid="{2BFA116E-1391-4DC4-917D-10E2C4244E3B}"/>
    <cellStyle name="20% - Ênfase5 10 2 2" xfId="1429" xr:uid="{120FD81C-6A16-4893-8728-DB7FB6461648}"/>
    <cellStyle name="20% - Ênfase5 10 2 2 2" xfId="3281" xr:uid="{7FECC7ED-3A9B-4B4C-92A5-E71CEACE1E1A}"/>
    <cellStyle name="20% - Ênfase5 10 2 3" xfId="2354" xr:uid="{0A9C4E41-5D25-4B86-A88C-06DB9CF054C9}"/>
    <cellStyle name="20% - Ênfase5 10 3" xfId="502" xr:uid="{1F845255-6297-467D-9706-F198911A0A58}"/>
    <cellStyle name="20% - Ênfase5 10 3 2" xfId="1710" xr:uid="{2E44FBD4-E12D-4C04-AD25-75B5B3C15626}"/>
    <cellStyle name="20% - Ênfase5 10 3 2 2" xfId="3523" xr:uid="{923AB00F-DBAC-451B-AD31-C3671265C66D}"/>
    <cellStyle name="20% - Ênfase5 10 3 3" xfId="2635" xr:uid="{D8E5E49C-DA41-42DB-AE41-4B35D57FBB17}"/>
    <cellStyle name="20% - Ênfase5 10 4" xfId="1107" xr:uid="{9CDDE127-08A0-4E1C-BBD6-DAE11C7D5DBD}"/>
    <cellStyle name="20% - Ênfase5 10 4 2" xfId="2959" xr:uid="{7E2E36E4-53F4-4695-9476-8A9C82FD2755}"/>
    <cellStyle name="20% - Ênfase5 10 5" xfId="2032" xr:uid="{179D9065-8360-4788-9A42-D0423E7EE19D}"/>
    <cellStyle name="20% - Ênfase5 11" xfId="240" xr:uid="{B38FF362-2C86-47A5-A705-657ADFE034C1}"/>
    <cellStyle name="20% - Ênfase5 11 2" xfId="846" xr:uid="{90587341-D5D5-4464-ACD5-39DA870C7FBC}"/>
    <cellStyle name="20% - Ênfase5 11 2 2" xfId="1449" xr:uid="{2A4AE643-D68E-4304-9E93-5E05E2AB7E1A}"/>
    <cellStyle name="20% - Ênfase5 11 2 2 2" xfId="3301" xr:uid="{E40476A3-D1C2-4E6F-8E7A-31F25C285541}"/>
    <cellStyle name="20% - Ênfase5 11 2 3" xfId="2374" xr:uid="{8EFE66FD-9E03-4DEA-9863-9BE9643CC493}"/>
    <cellStyle name="20% - Ênfase5 11 3" xfId="522" xr:uid="{E6B9A7DF-DA69-4440-8617-9A44CA9E7B67}"/>
    <cellStyle name="20% - Ênfase5 11 3 2" xfId="1640" xr:uid="{07168DFF-0928-4C78-9BF0-365758C37CAE}"/>
    <cellStyle name="20% - Ênfase5 11 3 2 2" xfId="3492" xr:uid="{F11868B4-6FE4-4451-9A74-188E20A18DF4}"/>
    <cellStyle name="20% - Ênfase5 11 3 3" xfId="2565" xr:uid="{4A5005F9-95E5-43F3-8E24-D29FF74CE3EB}"/>
    <cellStyle name="20% - Ênfase5 11 4" xfId="1127" xr:uid="{3F1FDAC9-75ED-4728-BD9D-5CE7E2A17937}"/>
    <cellStyle name="20% - Ênfase5 11 4 2" xfId="2979" xr:uid="{0D030733-7C70-4CC6-BBAF-BA1A77E9B1AB}"/>
    <cellStyle name="20% - Ênfase5 11 5" xfId="2052" xr:uid="{9C4B9233-B0A1-4FA2-9351-AE64D7AEAA76}"/>
    <cellStyle name="20% - Ênfase5 12" xfId="260" xr:uid="{00102785-E7C3-4168-8E02-90DB3E715D5A}"/>
    <cellStyle name="20% - Ênfase5 12 2" xfId="866" xr:uid="{1D158B27-BD84-4695-B92A-2DDD08CDA583}"/>
    <cellStyle name="20% - Ênfase5 12 2 2" xfId="1469" xr:uid="{6F50ABDF-4467-473A-A72F-2373445DCB04}"/>
    <cellStyle name="20% - Ênfase5 12 2 2 2" xfId="3321" xr:uid="{884665B5-D8A7-4E94-8FCE-FDADB08E8B1F}"/>
    <cellStyle name="20% - Ênfase5 12 2 3" xfId="2394" xr:uid="{D62D629B-CA3E-4AD8-AD69-1163B1F5C30E}"/>
    <cellStyle name="20% - Ênfase5 12 3" xfId="542" xr:uid="{9FA6A41C-C576-4144-B650-A0115AA4B14B}"/>
    <cellStyle name="20% - Ênfase5 12 3 2" xfId="1618" xr:uid="{975D92C5-1C46-4FD2-9DA6-ACFCAED00189}"/>
    <cellStyle name="20% - Ênfase5 12 3 2 2" xfId="3470" xr:uid="{C7C64292-7D6B-4773-BCA9-988483F38059}"/>
    <cellStyle name="20% - Ênfase5 12 3 3" xfId="2543" xr:uid="{80EBFE27-C3A9-48F8-8067-909258ED4030}"/>
    <cellStyle name="20% - Ênfase5 12 4" xfId="1147" xr:uid="{0666B4DA-FE3C-4F32-B320-C05B6D7FFC6D}"/>
    <cellStyle name="20% - Ênfase5 12 4 2" xfId="2999" xr:uid="{5EB15386-52C4-4726-B50C-83006A3C9BD1}"/>
    <cellStyle name="20% - Ênfase5 12 5" xfId="2072" xr:uid="{DC5799FC-C491-4076-B77F-660FE624CCF0}"/>
    <cellStyle name="20% - Ênfase5 13" xfId="280" xr:uid="{11689850-CFB7-4ED4-A9C5-851056C271F4}"/>
    <cellStyle name="20% - Ênfase5 13 2" xfId="886" xr:uid="{AA2EEDBF-AB9D-49C8-A550-C741F835EA95}"/>
    <cellStyle name="20% - Ênfase5 13 2 2" xfId="1489" xr:uid="{B4006636-8EF0-4D96-A32E-1A0B56698EF4}"/>
    <cellStyle name="20% - Ênfase5 13 2 2 2" xfId="3341" xr:uid="{C9B86CFF-83EE-4BC1-9CDB-329580AA1151}"/>
    <cellStyle name="20% - Ênfase5 13 2 3" xfId="2414" xr:uid="{593621CD-D10B-4B31-B8CB-EB6EFF8BC2D1}"/>
    <cellStyle name="20% - Ênfase5 13 3" xfId="562" xr:uid="{BFF98775-6FA3-43AB-8583-A337FFDA3F69}"/>
    <cellStyle name="20% - Ênfase5 13 3 2" xfId="1552" xr:uid="{8D1FB46D-5C9D-4BCA-8CCD-89333C12D03A}"/>
    <cellStyle name="20% - Ênfase5 13 3 2 2" xfId="3404" xr:uid="{DA4D7B0D-6902-4A3B-9E8A-A09C765F125D}"/>
    <cellStyle name="20% - Ênfase5 13 3 3" xfId="2477" xr:uid="{CFF3FF01-1869-4ACB-A7CB-3632B0611DB8}"/>
    <cellStyle name="20% - Ênfase5 13 4" xfId="1167" xr:uid="{F23C1CD6-EB31-4767-BFBE-719EDA606CDD}"/>
    <cellStyle name="20% - Ênfase5 13 4 2" xfId="3019" xr:uid="{DA7C7E07-2D73-46DF-AD8D-F82D0D98DD38}"/>
    <cellStyle name="20% - Ênfase5 13 5" xfId="2092" xr:uid="{76D2BFB6-A77A-4256-B66D-C556DB0E1FCE}"/>
    <cellStyle name="20% - Ênfase5 14" xfId="300" xr:uid="{68D23ED1-41B4-49E6-97AC-4711077D94D4}"/>
    <cellStyle name="20% - Ênfase5 14 2" xfId="906" xr:uid="{DEC46075-64E8-4EA1-8F9F-59B459ED189E}"/>
    <cellStyle name="20% - Ênfase5 14 2 2" xfId="1509" xr:uid="{C30CA2E0-0733-4935-BB34-E35868B2918D}"/>
    <cellStyle name="20% - Ênfase5 14 2 2 2" xfId="3361" xr:uid="{DC0955F2-73EB-4F24-8CAB-088E7C730946}"/>
    <cellStyle name="20% - Ênfase5 14 2 3" xfId="2434" xr:uid="{6F332873-33DB-4569-A7E8-E4EC5FD17F5D}"/>
    <cellStyle name="20% - Ênfase5 14 3" xfId="582" xr:uid="{E4E245BA-27A6-402D-B50A-05D0BF614A41}"/>
    <cellStyle name="20% - Ênfase5 14 3 2" xfId="1597" xr:uid="{DAEC786D-7C2B-4D10-B3DB-F1F456673034}"/>
    <cellStyle name="20% - Ênfase5 14 3 2 2" xfId="3449" xr:uid="{A5A7E2B3-A6E4-4DAC-A8B0-47656D8B70D4}"/>
    <cellStyle name="20% - Ênfase5 14 3 3" xfId="2522" xr:uid="{AA72790B-E186-4348-BB23-F6CE2EECE3E7}"/>
    <cellStyle name="20% - Ênfase5 14 4" xfId="1187" xr:uid="{5C57340A-31B3-4688-8374-2AA47ABD15A4}"/>
    <cellStyle name="20% - Ênfase5 14 4 2" xfId="3039" xr:uid="{97CCA624-C6DD-413C-BB29-8D04AFB7D9E3}"/>
    <cellStyle name="20% - Ênfase5 14 5" xfId="2112" xr:uid="{571A9B28-5295-49A9-9954-F4DD5C9688FE}"/>
    <cellStyle name="20% - Ênfase5 15" xfId="602" xr:uid="{5CCBF429-AF00-4D4C-943C-4508825029FE}"/>
    <cellStyle name="20% - Ênfase5 15 2" xfId="1665" xr:uid="{A4C413BB-2FB7-4205-A1A5-361A518FD871}"/>
    <cellStyle name="20% - Ênfase5 15 2 2" xfId="2590" xr:uid="{0CECEA1A-B330-4F92-B948-AE4C7087CAC7}"/>
    <cellStyle name="20% - Ênfase5 15 3" xfId="1207" xr:uid="{D3B22A80-618E-4755-B829-D292EF2D0819}"/>
    <cellStyle name="20% - Ênfase5 15 3 2" xfId="3059" xr:uid="{0F6FD035-DE07-42F9-AB37-6BF8B39626CA}"/>
    <cellStyle name="20% - Ênfase5 15 4" xfId="2132" xr:uid="{43732993-EAB3-4EED-83CD-2E74C0E11D3C}"/>
    <cellStyle name="20% - Ênfase5 16" xfId="622" xr:uid="{0B671881-D8BD-490A-B287-B94F4AC5B724}"/>
    <cellStyle name="20% - Ênfase5 16 2" xfId="1685" xr:uid="{9412EC41-9B92-4645-A8FE-AD13E517A05E}"/>
    <cellStyle name="20% - Ênfase5 16 2 2" xfId="2610" xr:uid="{A736D815-F553-4165-BFFD-9B5AC1266EB2}"/>
    <cellStyle name="20% - Ênfase5 16 3" xfId="1227" xr:uid="{CBE5E452-A612-4DF0-A9EA-CA88022C632E}"/>
    <cellStyle name="20% - Ênfase5 16 3 2" xfId="3079" xr:uid="{E3345573-E69B-4B32-9D4C-4E1960E13B21}"/>
    <cellStyle name="20% - Ênfase5 16 4" xfId="2152" xr:uid="{592923ED-9C3A-42B4-8C0D-06179ED336C3}"/>
    <cellStyle name="20% - Ênfase5 17" xfId="642" xr:uid="{2EA1E9C0-088E-49B4-9908-71820978CDDB}"/>
    <cellStyle name="20% - Ênfase5 17 2" xfId="1246" xr:uid="{89C67715-E7B6-4892-AFFC-EE7E84E37C57}"/>
    <cellStyle name="20% - Ênfase5 17 2 2" xfId="3098" xr:uid="{355C70B8-EB54-472A-8E05-ACAFFB20BD64}"/>
    <cellStyle name="20% - Ênfase5 17 3" xfId="2171" xr:uid="{4DAA1AAA-93EC-45D6-A687-49F70ACA740D}"/>
    <cellStyle name="20% - Ênfase5 18" xfId="319" xr:uid="{38BFBB84-89C9-416C-A5F3-8DDC305A8BF6}"/>
    <cellStyle name="20% - Ênfase5 18 2" xfId="1772" xr:uid="{0DF2E926-8564-43AB-A421-2D34D29609D0}"/>
    <cellStyle name="20% - Ênfase5 18 2 2" xfId="3585" xr:uid="{E69955F0-0366-466B-975A-E3EC9ABFC2C9}"/>
    <cellStyle name="20% - Ênfase5 18 3" xfId="2697" xr:uid="{7728D18D-B61A-4D22-9894-84926A2BA047}"/>
    <cellStyle name="20% - Ênfase5 19" xfId="924" xr:uid="{BCA058B2-EFBE-487D-ABC7-FDCCBAB536DE}"/>
    <cellStyle name="20% - Ênfase5 19 2" xfId="2776" xr:uid="{715FD01C-70A6-406D-8D6B-1B468ED39CBB}"/>
    <cellStyle name="20% - Ênfase5 2" xfId="59" xr:uid="{2EA5F57E-55C4-4F1F-A735-3AB145574709}"/>
    <cellStyle name="20% - Ênfase5 2 2" xfId="665" xr:uid="{7B291522-DC9B-4E13-9562-6A6CAE8AECF9}"/>
    <cellStyle name="20% - Ênfase5 2 2 2" xfId="1268" xr:uid="{3C9BA0C1-A4F8-44C4-B0D6-60FC2DE28B8D}"/>
    <cellStyle name="20% - Ênfase5 2 2 2 2" xfId="3120" xr:uid="{0FB94BA3-4280-461E-808C-CFE7A7C6836C}"/>
    <cellStyle name="20% - Ênfase5 2 2 3" xfId="2193" xr:uid="{7E52868D-C73B-4E14-BD55-F69A6AA6E1AA}"/>
    <cellStyle name="20% - Ênfase5 2 3" xfId="341" xr:uid="{5A48C3CB-7B77-490D-BD3A-3735E07B5777}"/>
    <cellStyle name="20% - Ênfase5 2 3 2" xfId="1737" xr:uid="{7C1BDACC-C19A-4A6C-A39C-718B20B523B0}"/>
    <cellStyle name="20% - Ênfase5 2 3 2 2" xfId="3550" xr:uid="{24A423E8-3B84-4F8B-A48B-172166887A02}"/>
    <cellStyle name="20% - Ênfase5 2 3 3" xfId="2662" xr:uid="{5F724480-5AAA-4C25-ADE8-A58944FB6806}"/>
    <cellStyle name="20% - Ênfase5 2 4" xfId="946" xr:uid="{BBF892AE-3A20-486C-BC7B-C6E7D90545F3}"/>
    <cellStyle name="20% - Ênfase5 2 4 2" xfId="2798" xr:uid="{90C1DA9E-E32E-49F9-970B-A3EB4B15A64B}"/>
    <cellStyle name="20% - Ênfase5 2 5" xfId="1871" xr:uid="{70645E8E-A82E-4DB3-BEDE-CE3E92744FD4}"/>
    <cellStyle name="20% - Ênfase5 20" xfId="1849" xr:uid="{DE0A008D-7238-4C84-9A38-8BAD97A61940}"/>
    <cellStyle name="20% - Ênfase5 3" xfId="77" xr:uid="{DC51F1A4-3652-4B17-A70C-DEED1C5BBE51}"/>
    <cellStyle name="20% - Ênfase5 3 2" xfId="683" xr:uid="{C583F2C6-45E0-4520-A48F-7FB581F62DDF}"/>
    <cellStyle name="20% - Ênfase5 3 2 2" xfId="1286" xr:uid="{522D1690-CD9B-48CA-BE2A-7F12E59D611E}"/>
    <cellStyle name="20% - Ênfase5 3 2 2 2" xfId="3138" xr:uid="{C9A09439-61B4-436A-94EA-30557080A141}"/>
    <cellStyle name="20% - Ênfase5 3 2 3" xfId="2211" xr:uid="{35BF1700-8E87-468F-B1BD-A715EB82FC78}"/>
    <cellStyle name="20% - Ênfase5 3 3" xfId="359" xr:uid="{E025A2BD-BCB8-4484-ABDE-7413B1ECF4DC}"/>
    <cellStyle name="20% - Ênfase5 3 3 2" xfId="1784" xr:uid="{B29AF9F5-2258-43DA-A615-8577806B38FD}"/>
    <cellStyle name="20% - Ênfase5 3 3 2 2" xfId="3597" xr:uid="{83E40A65-A5E7-4AE2-966E-C31AB93282F5}"/>
    <cellStyle name="20% - Ênfase5 3 3 3" xfId="2709" xr:uid="{22A7D978-4CFB-432B-83BE-428D2BB23126}"/>
    <cellStyle name="20% - Ênfase5 3 4" xfId="964" xr:uid="{1909FFFA-F58B-4E3F-88F6-851E2BD9A7F6}"/>
    <cellStyle name="20% - Ênfase5 3 4 2" xfId="2816" xr:uid="{94426EA9-BAC8-44FE-BF00-A2231B63D406}"/>
    <cellStyle name="20% - Ênfase5 3 5" xfId="1889" xr:uid="{6B8C7033-3EF8-420D-A447-65B41C3247CF}"/>
    <cellStyle name="20% - Ênfase5 4" xfId="99" xr:uid="{6D41EE81-170B-4545-8EA4-4AA805EB898D}"/>
    <cellStyle name="20% - Ênfase5 4 2" xfId="705" xr:uid="{2CDA603B-9CC0-488B-9206-F971DA30B4F8}"/>
    <cellStyle name="20% - Ênfase5 4 2 2" xfId="1308" xr:uid="{CA3F9A41-1DA1-4825-BB38-7234D07F9FB2}"/>
    <cellStyle name="20% - Ênfase5 4 2 2 2" xfId="3160" xr:uid="{3AB21F17-A85A-4376-AA0E-4A8ED08B5EA5}"/>
    <cellStyle name="20% - Ênfase5 4 2 3" xfId="2233" xr:uid="{A723071F-8731-4E99-9CCD-B9B1490EF7FD}"/>
    <cellStyle name="20% - Ênfase5 4 3" xfId="381" xr:uid="{4724A3FB-BFE1-4E90-B62C-072F93D56D2B}"/>
    <cellStyle name="20% - Ênfase5 4 3 2" xfId="1745" xr:uid="{46675A70-7638-4A76-AE1E-EE70BB673913}"/>
    <cellStyle name="20% - Ênfase5 4 3 2 2" xfId="3558" xr:uid="{1428216C-1774-4595-B5CF-160630B1D8F1}"/>
    <cellStyle name="20% - Ênfase5 4 3 3" xfId="2670" xr:uid="{ADA2E756-D47F-4502-AEDD-38D23B1C95D9}"/>
    <cellStyle name="20% - Ênfase5 4 4" xfId="986" xr:uid="{E3199C50-17A7-4CDD-A923-917639531932}"/>
    <cellStyle name="20% - Ênfase5 4 4 2" xfId="2838" xr:uid="{0E781629-A8FF-42E3-89CF-C6A958819A81}"/>
    <cellStyle name="20% - Ênfase5 4 5" xfId="1911" xr:uid="{F15BC985-5B26-44CA-92EE-4A19ACA6169D}"/>
    <cellStyle name="20% - Ênfase5 5" xfId="119" xr:uid="{85437FC1-D5BF-4E3D-94F6-7208878EBF85}"/>
    <cellStyle name="20% - Ênfase5 5 2" xfId="725" xr:uid="{3CEA99CF-7264-4875-808B-CDCDFA3D9619}"/>
    <cellStyle name="20% - Ênfase5 5 2 2" xfId="1328" xr:uid="{58776E48-7D3C-4425-91F9-C46B4E294D93}"/>
    <cellStyle name="20% - Ênfase5 5 2 2 2" xfId="3180" xr:uid="{207E473F-2603-4361-B216-999571E46CD1}"/>
    <cellStyle name="20% - Ênfase5 5 2 3" xfId="2253" xr:uid="{7BE8F512-CBEF-40E7-AE5D-17148AC99827}"/>
    <cellStyle name="20% - Ênfase5 5 3" xfId="401" xr:uid="{386231BD-43F4-48AA-AFD6-355D3BCE9A17}"/>
    <cellStyle name="20% - Ênfase5 5 3 2" xfId="1718" xr:uid="{154965C7-570A-4139-B7A8-D9FF7D755CFB}"/>
    <cellStyle name="20% - Ênfase5 5 3 2 2" xfId="3531" xr:uid="{B9D0A6B4-F3CE-4BC4-95C0-C1598A3DD5E3}"/>
    <cellStyle name="20% - Ênfase5 5 3 3" xfId="2643" xr:uid="{74593FFF-6A48-4FE3-BA56-CEE2CE71B33F}"/>
    <cellStyle name="20% - Ênfase5 5 4" xfId="1006" xr:uid="{632BF4A7-3DEB-4073-A6F4-1188D845AABE}"/>
    <cellStyle name="20% - Ênfase5 5 4 2" xfId="2858" xr:uid="{BEC8EF60-6F54-4C79-9184-92AA8744D4A7}"/>
    <cellStyle name="20% - Ênfase5 5 5" xfId="1931" xr:uid="{2B5EB03F-B558-451D-8114-BDE53E8304A2}"/>
    <cellStyle name="20% - Ênfase5 6" xfId="139" xr:uid="{CEBC864B-3314-4195-851B-C361069920F8}"/>
    <cellStyle name="20% - Ênfase5 6 2" xfId="745" xr:uid="{BDB3D180-8775-4972-99EF-1D62D889066F}"/>
    <cellStyle name="20% - Ênfase5 6 2 2" xfId="1348" xr:uid="{860DA316-5717-4604-8E97-B806F665FCA5}"/>
    <cellStyle name="20% - Ênfase5 6 2 2 2" xfId="3200" xr:uid="{30334A9C-A763-4D12-A044-ECE98F50DCB4}"/>
    <cellStyle name="20% - Ênfase5 6 2 3" xfId="2273" xr:uid="{44911529-2F00-45BF-BCF1-CD826D4EE62B}"/>
    <cellStyle name="20% - Ênfase5 6 3" xfId="421" xr:uid="{DFA2FD53-B78A-4B8D-82B7-6BF4DEA6FBB2}"/>
    <cellStyle name="20% - Ênfase5 6 3 2" xfId="1629" xr:uid="{EE292580-195F-4533-BBF0-73C4C2992686}"/>
    <cellStyle name="20% - Ênfase5 6 3 2 2" xfId="3481" xr:uid="{5E47AB5C-2C60-4DA5-8E2E-4190CD76C8D6}"/>
    <cellStyle name="20% - Ênfase5 6 3 3" xfId="2554" xr:uid="{B9AC5953-EDE2-4E3B-AD4C-195E2FD08C77}"/>
    <cellStyle name="20% - Ênfase5 6 4" xfId="1026" xr:uid="{DD64B5C1-B4FF-4529-85D7-29378F1D547D}"/>
    <cellStyle name="20% - Ênfase5 6 4 2" xfId="2878" xr:uid="{D282C169-017A-4550-A63F-8087971B1B6A}"/>
    <cellStyle name="20% - Ênfase5 6 5" xfId="1951" xr:uid="{EC2ACD22-EA6C-4942-8D46-A10297AF9656}"/>
    <cellStyle name="20% - Ênfase5 7" xfId="159" xr:uid="{413C8780-F1E5-414F-8306-1B05270E506F}"/>
    <cellStyle name="20% - Ênfase5 7 2" xfId="765" xr:uid="{9A6A91C7-7256-4DC5-9491-430C133230E5}"/>
    <cellStyle name="20% - Ênfase5 7 2 2" xfId="1368" xr:uid="{34B494D2-94AE-4712-A1CD-70C5E06F709D}"/>
    <cellStyle name="20% - Ênfase5 7 2 2 2" xfId="3220" xr:uid="{A8CA24E2-2764-47BA-A789-D18757E4F3F5}"/>
    <cellStyle name="20% - Ênfase5 7 2 3" xfId="2293" xr:uid="{2AED4BA2-3DB9-4A39-8121-51101AFE1C8B}"/>
    <cellStyle name="20% - Ênfase5 7 3" xfId="441" xr:uid="{B563D25B-BDCE-4280-88C5-6847AEDDD959}"/>
    <cellStyle name="20% - Ênfase5 7 3 2" xfId="1792" xr:uid="{7D5B6465-CB64-40FE-AC62-2952168461B5}"/>
    <cellStyle name="20% - Ênfase5 7 3 2 2" xfId="3605" xr:uid="{B0C12E6A-0D11-4D0A-B297-E1879C5C9501}"/>
    <cellStyle name="20% - Ênfase5 7 3 3" xfId="2717" xr:uid="{70B85501-6DE8-49DA-8111-61783F80803A}"/>
    <cellStyle name="20% - Ênfase5 7 4" xfId="1046" xr:uid="{8E58D72D-02FC-494E-BA21-3852089B018B}"/>
    <cellStyle name="20% - Ênfase5 7 4 2" xfId="2898" xr:uid="{B0ECFA9B-F385-4E69-813F-9BEFC1A60700}"/>
    <cellStyle name="20% - Ênfase5 7 5" xfId="1971" xr:uid="{F77F0C21-6426-45EB-A1F7-7B10B1B417AE}"/>
    <cellStyle name="20% - Ênfase5 8" xfId="179" xr:uid="{6594CECF-1551-4F25-B0FF-2A15688EF5D2}"/>
    <cellStyle name="20% - Ênfase5 8 2" xfId="785" xr:uid="{FED10C2A-C564-4BD4-BB5D-F2793ECFE442}"/>
    <cellStyle name="20% - Ênfase5 8 2 2" xfId="1388" xr:uid="{46376FCE-D992-463D-9369-BCB843A6D727}"/>
    <cellStyle name="20% - Ênfase5 8 2 2 2" xfId="3240" xr:uid="{9474867D-E849-4126-9582-1E81B3BB3D01}"/>
    <cellStyle name="20% - Ênfase5 8 2 3" xfId="2313" xr:uid="{69A955D1-F0B3-4C04-BCFA-A4C4D1BA3047}"/>
    <cellStyle name="20% - Ênfase5 8 3" xfId="461" xr:uid="{11B6196B-9E8B-4168-A379-8CA795B5B4F3}"/>
    <cellStyle name="20% - Ênfase5 8 3 2" xfId="1546" xr:uid="{91CB4E97-20ED-4F50-AB90-8A4F5CFE62CD}"/>
    <cellStyle name="20% - Ênfase5 8 3 2 2" xfId="3398" xr:uid="{B1096779-3100-4065-991F-D233BC0834FC}"/>
    <cellStyle name="20% - Ênfase5 8 3 3" xfId="2471" xr:uid="{EBDDFC5B-18B6-4138-9FFA-3AD4D9CE9F96}"/>
    <cellStyle name="20% - Ênfase5 8 4" xfId="1066" xr:uid="{B7CF5ED9-AB1D-471F-9CFE-3BD373DC9133}"/>
    <cellStyle name="20% - Ênfase5 8 4 2" xfId="2918" xr:uid="{0ADCD95F-973B-4D5E-A89E-00B45BE3BD1B}"/>
    <cellStyle name="20% - Ênfase5 8 5" xfId="1991" xr:uid="{09BD9020-754A-484B-AF28-4875EEAE3A2C}"/>
    <cellStyle name="20% - Ênfase5 9" xfId="199" xr:uid="{11F7D2E1-FDCB-4A1E-A304-9D86068907D8}"/>
    <cellStyle name="20% - Ênfase5 9 2" xfId="805" xr:uid="{502538D0-4A7F-4162-8148-B80C3DE2986E}"/>
    <cellStyle name="20% - Ênfase5 9 2 2" xfId="1408" xr:uid="{BFE7BB04-E56D-49A0-A2F9-7634A1D17CA1}"/>
    <cellStyle name="20% - Ênfase5 9 2 2 2" xfId="3260" xr:uid="{7293FCAB-BAC5-462F-B475-2FBDCF950287}"/>
    <cellStyle name="20% - Ênfase5 9 2 3" xfId="2333" xr:uid="{D6B50659-E47A-4B15-84A8-E6797D2D513D}"/>
    <cellStyle name="20% - Ênfase5 9 3" xfId="481" xr:uid="{D4FB17CB-7466-44AD-8B13-9C44DA5419C9}"/>
    <cellStyle name="20% - Ênfase5 9 3 2" xfId="1731" xr:uid="{DB2F7D4D-B86D-4CAF-9CF7-E3139B9F614A}"/>
    <cellStyle name="20% - Ênfase5 9 3 2 2" xfId="3544" xr:uid="{3E97EAEC-F4CC-4A56-8E76-91701902DBFB}"/>
    <cellStyle name="20% - Ênfase5 9 3 3" xfId="2656" xr:uid="{E03A0708-69DA-4116-917D-58BA6B09A53F}"/>
    <cellStyle name="20% - Ênfase5 9 4" xfId="1086" xr:uid="{65DFC777-53C8-4C87-8E12-D3CE8BD4C2F5}"/>
    <cellStyle name="20% - Ênfase5 9 4 2" xfId="2938" xr:uid="{900ABACA-0269-4FBD-BF26-CE109A44A9CC}"/>
    <cellStyle name="20% - Ênfase5 9 5" xfId="2011" xr:uid="{19F6ECBF-850E-4A84-A2F2-50F47C0C6E0A}"/>
    <cellStyle name="20% - Ênfase6" xfId="39" builtinId="50" customBuiltin="1"/>
    <cellStyle name="20% - Ênfase6 10" xfId="223" xr:uid="{66A3B2E9-38A2-4A6C-84FA-7BBF2161D586}"/>
    <cellStyle name="20% - Ênfase6 10 2" xfId="829" xr:uid="{5A9BFF8D-6037-4628-BF62-63CA61560002}"/>
    <cellStyle name="20% - Ênfase6 10 2 2" xfId="1432" xr:uid="{0F779A1D-F642-4EF8-B1B5-9C5CB7DC7199}"/>
    <cellStyle name="20% - Ênfase6 10 2 2 2" xfId="3284" xr:uid="{87133181-3B02-412F-AB06-6325A65DA18B}"/>
    <cellStyle name="20% - Ênfase6 10 2 3" xfId="2357" xr:uid="{6DA981C6-1A9C-491E-B3F0-51FA81CD751D}"/>
    <cellStyle name="20% - Ênfase6 10 3" xfId="505" xr:uid="{52E9B64B-FB69-4DE0-9819-54F9E83B0DF5}"/>
    <cellStyle name="20% - Ênfase6 10 3 2" xfId="1744" xr:uid="{A4CAE074-2FC9-4320-BD10-3936ACFC95E7}"/>
    <cellStyle name="20% - Ênfase6 10 3 2 2" xfId="3557" xr:uid="{03F04B05-1AD6-4215-AE87-A8BD573635CE}"/>
    <cellStyle name="20% - Ênfase6 10 3 3" xfId="2669" xr:uid="{9A57C24B-CD13-4EDB-8B3E-F74904C41686}"/>
    <cellStyle name="20% - Ênfase6 10 4" xfId="1110" xr:uid="{39A863FE-D56C-4BA2-8313-ACF4113AA48B}"/>
    <cellStyle name="20% - Ênfase6 10 4 2" xfId="2962" xr:uid="{D430FF60-68B0-43A4-9E81-53EAB1766C27}"/>
    <cellStyle name="20% - Ênfase6 10 5" xfId="2035" xr:uid="{D07E6279-0878-4269-AADC-AF3AED4A9238}"/>
    <cellStyle name="20% - Ênfase6 11" xfId="243" xr:uid="{1242967B-162D-4771-8686-384408AF88F8}"/>
    <cellStyle name="20% - Ênfase6 11 2" xfId="849" xr:uid="{AF268A05-6B6B-4E21-BF76-F041138ADEF8}"/>
    <cellStyle name="20% - Ênfase6 11 2 2" xfId="1452" xr:uid="{1E79FDA5-6AF6-4F61-B114-833B9B84A872}"/>
    <cellStyle name="20% - Ênfase6 11 2 2 2" xfId="3304" xr:uid="{3F75325D-E7F5-495C-97E1-D064069191EF}"/>
    <cellStyle name="20% - Ênfase6 11 2 3" xfId="2377" xr:uid="{CB46DC95-363D-475C-A966-6F168A6BBEF8}"/>
    <cellStyle name="20% - Ênfase6 11 3" xfId="525" xr:uid="{50BD75AA-C971-4767-9E1C-42D223AA7CE4}"/>
    <cellStyle name="20% - Ênfase6 11 3 2" xfId="1794" xr:uid="{60FF5008-B2DD-46BC-AB1F-07E762D827D1}"/>
    <cellStyle name="20% - Ênfase6 11 3 2 2" xfId="3607" xr:uid="{BE1CE245-4028-43EC-A15A-44C3C9B0C4E0}"/>
    <cellStyle name="20% - Ênfase6 11 3 3" xfId="2719" xr:uid="{AB20010A-AA9A-4D9F-AA55-0E30E6364697}"/>
    <cellStyle name="20% - Ênfase6 11 4" xfId="1130" xr:uid="{E409BF62-C686-4FFA-906C-EDBDDA988519}"/>
    <cellStyle name="20% - Ênfase6 11 4 2" xfId="2982" xr:uid="{901CB8D2-3269-49D4-837C-ED4702B8F157}"/>
    <cellStyle name="20% - Ênfase6 11 5" xfId="2055" xr:uid="{451692B6-848F-4410-9911-52FA38500F1A}"/>
    <cellStyle name="20% - Ênfase6 12" xfId="263" xr:uid="{5E296180-046A-4E2D-8377-C3579EAD4EC0}"/>
    <cellStyle name="20% - Ênfase6 12 2" xfId="869" xr:uid="{C6126A95-B5F6-4F4A-96D3-EA4D5BE8BECF}"/>
    <cellStyle name="20% - Ênfase6 12 2 2" xfId="1472" xr:uid="{5C39E28C-197A-4A22-B8C5-33DFF44A89CC}"/>
    <cellStyle name="20% - Ênfase6 12 2 2 2" xfId="3324" xr:uid="{AC3F5A41-15C4-4F87-B2E8-29D9E420F8DC}"/>
    <cellStyle name="20% - Ênfase6 12 2 3" xfId="2397" xr:uid="{0C75BE94-62B8-4196-AD6A-A047F45DC223}"/>
    <cellStyle name="20% - Ênfase6 12 3" xfId="545" xr:uid="{A45F0FBD-74A3-492C-B30E-DCB4918DC9B2}"/>
    <cellStyle name="20% - Ênfase6 12 3 2" xfId="1789" xr:uid="{18FB9375-6B4B-4FD2-A54E-358C11CEFF9C}"/>
    <cellStyle name="20% - Ênfase6 12 3 2 2" xfId="3602" xr:uid="{666C7E7B-FE49-4694-AA10-749A55F5C681}"/>
    <cellStyle name="20% - Ênfase6 12 3 3" xfId="2714" xr:uid="{72BE6B36-217F-4EFD-990A-2770B6042F18}"/>
    <cellStyle name="20% - Ênfase6 12 4" xfId="1150" xr:uid="{0ACBDD94-8891-496A-9A8D-4A53DE5A4DAA}"/>
    <cellStyle name="20% - Ênfase6 12 4 2" xfId="3002" xr:uid="{17085C6E-4E15-4D8D-BA17-D156E1171E58}"/>
    <cellStyle name="20% - Ênfase6 12 5" xfId="2075" xr:uid="{285A0EA9-0A40-4F69-84AC-4606E520FC2C}"/>
    <cellStyle name="20% - Ênfase6 13" xfId="283" xr:uid="{72CB5B41-192C-4C13-81F8-6073AD449AEC}"/>
    <cellStyle name="20% - Ênfase6 13 2" xfId="889" xr:uid="{C55B4B46-C69D-4E13-B3B0-A79BA3E3E3C8}"/>
    <cellStyle name="20% - Ênfase6 13 2 2" xfId="1492" xr:uid="{4AD94489-71F9-474B-84BC-865E1E379564}"/>
    <cellStyle name="20% - Ênfase6 13 2 2 2" xfId="3344" xr:uid="{52C230B9-CB7D-416F-A24E-90F3B51AA5E2}"/>
    <cellStyle name="20% - Ênfase6 13 2 3" xfId="2417" xr:uid="{0D73DCC4-E14C-4063-A830-4ABD709CD27D}"/>
    <cellStyle name="20% - Ênfase6 13 3" xfId="565" xr:uid="{3B46F0F2-73CB-4620-A0C0-AEC21DE157D4}"/>
    <cellStyle name="20% - Ênfase6 13 3 2" xfId="1741" xr:uid="{758C6E0C-36E1-4D28-8C28-89C48AFA351B}"/>
    <cellStyle name="20% - Ênfase6 13 3 2 2" xfId="3554" xr:uid="{3BEF8A6E-BEA6-4A85-9530-268872B2E60D}"/>
    <cellStyle name="20% - Ênfase6 13 3 3" xfId="2666" xr:uid="{F7C0E77B-F470-4345-8918-0607DCB51C3C}"/>
    <cellStyle name="20% - Ênfase6 13 4" xfId="1170" xr:uid="{27296227-A7D3-4AAE-B526-2871EFB90489}"/>
    <cellStyle name="20% - Ênfase6 13 4 2" xfId="3022" xr:uid="{FACE5EA9-2B80-40D8-87E1-1474E5F1EF3A}"/>
    <cellStyle name="20% - Ênfase6 13 5" xfId="2095" xr:uid="{1AD240F7-2C2A-4EDE-AD69-72A647843989}"/>
    <cellStyle name="20% - Ênfase6 14" xfId="303" xr:uid="{4E5711E0-B20B-4290-9DF0-BB3F54A12BCE}"/>
    <cellStyle name="20% - Ênfase6 14 2" xfId="909" xr:uid="{54951E83-6905-4F27-B70A-5BF0D6CB2855}"/>
    <cellStyle name="20% - Ênfase6 14 2 2" xfId="1512" xr:uid="{ED36616B-548D-4984-B0E7-778163EC8208}"/>
    <cellStyle name="20% - Ênfase6 14 2 2 2" xfId="3364" xr:uid="{EBD2A948-DC8B-4D90-B5DB-5B6D261D3E4F}"/>
    <cellStyle name="20% - Ênfase6 14 2 3" xfId="2437" xr:uid="{586DAC0F-F557-43B1-A415-7EBE82AE35B3}"/>
    <cellStyle name="20% - Ênfase6 14 3" xfId="585" xr:uid="{24DACEA2-9614-424A-97B1-EF344FDDBCCB}"/>
    <cellStyle name="20% - Ênfase6 14 3 2" xfId="1721" xr:uid="{C6F1E689-7949-4ABD-8B5A-D6C6D7B2DA45}"/>
    <cellStyle name="20% - Ênfase6 14 3 2 2" xfId="3534" xr:uid="{8986FB91-DEB4-4FA3-810E-D706859F1EA9}"/>
    <cellStyle name="20% - Ênfase6 14 3 3" xfId="2646" xr:uid="{0073B367-104F-4295-8DCF-8777AC920F7F}"/>
    <cellStyle name="20% - Ênfase6 14 4" xfId="1190" xr:uid="{7F394FB7-9B5A-4E49-945E-01305F743655}"/>
    <cellStyle name="20% - Ênfase6 14 4 2" xfId="3042" xr:uid="{0C068BE1-EBB2-4F1F-B7B3-0E61F4BF9641}"/>
    <cellStyle name="20% - Ênfase6 14 5" xfId="2115" xr:uid="{03A85B18-0551-4BBB-86E0-54786FCA36FA}"/>
    <cellStyle name="20% - Ênfase6 15" xfId="605" xr:uid="{A91557A6-4F2A-487A-802F-F2A1EA86CA6B}"/>
    <cellStyle name="20% - Ênfase6 15 2" xfId="1668" xr:uid="{3B4E8B26-6D48-4E42-8E81-B8ED0BB971B1}"/>
    <cellStyle name="20% - Ênfase6 15 2 2" xfId="2593" xr:uid="{FC06DD48-CF8C-4278-8F13-EF0CEF95E0D6}"/>
    <cellStyle name="20% - Ênfase6 15 3" xfId="1210" xr:uid="{D73F0F2F-E9D7-46ED-A165-0BA5ED068ECC}"/>
    <cellStyle name="20% - Ênfase6 15 3 2" xfId="3062" xr:uid="{50E517C6-9CA0-4657-8E6F-D04112E1BC0A}"/>
    <cellStyle name="20% - Ênfase6 15 4" xfId="2135" xr:uid="{139EC7C4-0D3B-44C3-9B6A-52B48F1EE396}"/>
    <cellStyle name="20% - Ênfase6 16" xfId="625" xr:uid="{797DC5AB-6ADE-421F-A4E2-1075B6696514}"/>
    <cellStyle name="20% - Ênfase6 16 2" xfId="1688" xr:uid="{382DEE2D-98A4-41C5-864E-6626A5F6F077}"/>
    <cellStyle name="20% - Ênfase6 16 2 2" xfId="2613" xr:uid="{376B9CE8-758E-4098-9BC0-A8B31FAE0B0B}"/>
    <cellStyle name="20% - Ênfase6 16 3" xfId="1230" xr:uid="{68EABEA0-E7A4-4B3A-9117-F63CE5E97F6E}"/>
    <cellStyle name="20% - Ênfase6 16 3 2" xfId="3082" xr:uid="{FC09E63E-9788-4359-A068-2B8CDC3985E5}"/>
    <cellStyle name="20% - Ênfase6 16 4" xfId="2155" xr:uid="{DCD886E9-A53F-46C0-991C-E884E15D1320}"/>
    <cellStyle name="20% - Ênfase6 17" xfId="645" xr:uid="{3DADD0BF-34E9-4411-822C-D25D66AECB30}"/>
    <cellStyle name="20% - Ênfase6 17 2" xfId="1249" xr:uid="{5DE8FAF7-409F-406D-94C7-5566BE082328}"/>
    <cellStyle name="20% - Ênfase6 17 2 2" xfId="3101" xr:uid="{226423D9-C632-4E67-B257-BABCBD86FF88}"/>
    <cellStyle name="20% - Ênfase6 17 3" xfId="2174" xr:uid="{83C74066-FF3A-4580-B344-DC30A852C9F4}"/>
    <cellStyle name="20% - Ênfase6 18" xfId="322" xr:uid="{549D2126-633F-4A12-9343-8AD9E1BDC199}"/>
    <cellStyle name="20% - Ênfase6 18 2" xfId="1595" xr:uid="{56165515-6496-43A6-A42E-7BE44E24514C}"/>
    <cellStyle name="20% - Ênfase6 18 2 2" xfId="3447" xr:uid="{73D84395-4B08-4995-9300-D56E70A4DA24}"/>
    <cellStyle name="20% - Ênfase6 18 3" xfId="2520" xr:uid="{BFA9418A-6D78-4B83-B8EF-7D9AF71FA8E7}"/>
    <cellStyle name="20% - Ênfase6 19" xfId="927" xr:uid="{734144D0-707A-41E8-8147-E3E4561F3DBD}"/>
    <cellStyle name="20% - Ênfase6 19 2" xfId="2779" xr:uid="{4E7D52F8-C8AE-495C-AD8F-E7F768B3DB26}"/>
    <cellStyle name="20% - Ênfase6 2" xfId="62" xr:uid="{1195F3DB-2333-4C70-B53A-E4C198F0C026}"/>
    <cellStyle name="20% - Ênfase6 2 2" xfId="668" xr:uid="{42AFB587-6119-458A-92D1-0E675BBADC05}"/>
    <cellStyle name="20% - Ênfase6 2 2 2" xfId="1271" xr:uid="{BF1F50F3-5CA6-44AF-B7D4-8F0163D6E79E}"/>
    <cellStyle name="20% - Ênfase6 2 2 2 2" xfId="3123" xr:uid="{EA730F5C-6DD8-4338-B526-65F912C73080}"/>
    <cellStyle name="20% - Ênfase6 2 2 3" xfId="2196" xr:uid="{F67715DB-2B27-4973-B275-EE45E5835E66}"/>
    <cellStyle name="20% - Ênfase6 2 3" xfId="344" xr:uid="{467976A7-10F3-4DEB-BC0C-B9223437B340}"/>
    <cellStyle name="20% - Ênfase6 2 3 2" xfId="1610" xr:uid="{A2867CA7-8B08-4819-B6D7-F60972C97376}"/>
    <cellStyle name="20% - Ênfase6 2 3 2 2" xfId="3462" xr:uid="{D80617A4-0B06-4D5D-B5EB-E96034E467E2}"/>
    <cellStyle name="20% - Ênfase6 2 3 3" xfId="2535" xr:uid="{A53BFF09-3AD1-4BFD-B1B7-80EA4A8D643F}"/>
    <cellStyle name="20% - Ênfase6 2 4" xfId="949" xr:uid="{4EF626DC-44D8-4C61-8435-BB818D345D5B}"/>
    <cellStyle name="20% - Ênfase6 2 4 2" xfId="2801" xr:uid="{5128EC55-CF75-4483-80B1-29366F00377B}"/>
    <cellStyle name="20% - Ênfase6 2 5" xfId="1874" xr:uid="{A2A4433E-1E7A-440F-8214-7DA15AFE7FEE}"/>
    <cellStyle name="20% - Ênfase6 20" xfId="1852" xr:uid="{AFDCD64A-E9D4-4E1D-BF95-D96EF40EC47F}"/>
    <cellStyle name="20% - Ênfase6 3" xfId="80" xr:uid="{D3CBF768-9836-4D97-9B16-36EAC7B3DD80}"/>
    <cellStyle name="20% - Ênfase6 3 2" xfId="686" xr:uid="{91B652A3-E6D4-446C-AA93-ED5FC6CD1D59}"/>
    <cellStyle name="20% - Ênfase6 3 2 2" xfId="1289" xr:uid="{F25A5D1E-911F-4020-8CC1-14042BBDDC2C}"/>
    <cellStyle name="20% - Ênfase6 3 2 2 2" xfId="3141" xr:uid="{BB599CDD-3DAC-42A7-9884-9817A9BF0C4A}"/>
    <cellStyle name="20% - Ênfase6 3 2 3" xfId="2214" xr:uid="{17A32698-9EFF-4008-89D4-4EC1398E7F3D}"/>
    <cellStyle name="20% - Ênfase6 3 3" xfId="362" xr:uid="{CC598543-3947-4976-92EE-A52420180B30}"/>
    <cellStyle name="20% - Ênfase6 3 3 2" xfId="1762" xr:uid="{4BD92F3A-D564-4A60-BBA9-5363AF4997FB}"/>
    <cellStyle name="20% - Ênfase6 3 3 2 2" xfId="3575" xr:uid="{1DE1D14F-334A-42BE-ADD0-14B3A065E7AF}"/>
    <cellStyle name="20% - Ênfase6 3 3 3" xfId="2687" xr:uid="{368FA13A-ABE6-4BF2-B7DB-99F66E190056}"/>
    <cellStyle name="20% - Ênfase6 3 4" xfId="967" xr:uid="{7CF598ED-2B0E-4F55-A32B-A8289CF6FAF2}"/>
    <cellStyle name="20% - Ênfase6 3 4 2" xfId="2819" xr:uid="{BD800922-1834-4564-A2F8-E8F096878C56}"/>
    <cellStyle name="20% - Ênfase6 3 5" xfId="1892" xr:uid="{23EC267C-CDEA-4C9A-88C4-0284AF1500C5}"/>
    <cellStyle name="20% - Ênfase6 4" xfId="102" xr:uid="{65262CE8-A933-4D30-B430-3442821F7FCD}"/>
    <cellStyle name="20% - Ênfase6 4 2" xfId="708" xr:uid="{F240DE53-D8E7-46A0-9EBE-DCBAF0CDF0CB}"/>
    <cellStyle name="20% - Ênfase6 4 2 2" xfId="1311" xr:uid="{83D32DC6-52CD-43F0-A145-434A744728D2}"/>
    <cellStyle name="20% - Ênfase6 4 2 2 2" xfId="3163" xr:uid="{134B13B3-710A-4E8E-B625-FCB83EFBDB96}"/>
    <cellStyle name="20% - Ênfase6 4 2 3" xfId="2236" xr:uid="{B2EA9663-4B80-4C2F-9EF8-814F4207DBBA}"/>
    <cellStyle name="20% - Ênfase6 4 3" xfId="384" xr:uid="{E1F3EA79-CCD7-4BAA-9814-74E3336886D1}"/>
    <cellStyle name="20% - Ênfase6 4 3 2" xfId="1586" xr:uid="{4FDE3A49-1BDC-455D-A721-390A618CC25D}"/>
    <cellStyle name="20% - Ênfase6 4 3 2 2" xfId="3438" xr:uid="{88549AE1-2063-43E0-8E70-9F015571208D}"/>
    <cellStyle name="20% - Ênfase6 4 3 3" xfId="2511" xr:uid="{395C44B5-9CF6-494B-A0DF-9B00395323D0}"/>
    <cellStyle name="20% - Ênfase6 4 4" xfId="989" xr:uid="{5BCD71DF-8D4F-4D45-88EC-9045B07DD0BE}"/>
    <cellStyle name="20% - Ênfase6 4 4 2" xfId="2841" xr:uid="{41DBCD30-C1FE-4088-8719-4EE56E7CDC0B}"/>
    <cellStyle name="20% - Ênfase6 4 5" xfId="1914" xr:uid="{FC4D9C7A-54AC-427A-9339-70D19A0DD3DB}"/>
    <cellStyle name="20% - Ênfase6 5" xfId="122" xr:uid="{50D666E3-B89A-4142-98CE-C88769FD6ADF}"/>
    <cellStyle name="20% - Ênfase6 5 2" xfId="728" xr:uid="{D5FE4EA4-0F99-4FF6-B425-CE4B1AB0FA3F}"/>
    <cellStyle name="20% - Ênfase6 5 2 2" xfId="1331" xr:uid="{40C5E2A9-BF75-440A-A6FE-C83947763F82}"/>
    <cellStyle name="20% - Ênfase6 5 2 2 2" xfId="3183" xr:uid="{B5B980C7-51C1-42AD-8A60-9EADCDE49D2E}"/>
    <cellStyle name="20% - Ênfase6 5 2 3" xfId="2256" xr:uid="{1C26B5D1-1ED6-417B-9B6E-BBB268181D82}"/>
    <cellStyle name="20% - Ênfase6 5 3" xfId="404" xr:uid="{16B3A8B8-11E9-4F66-BA4E-2C2A648E4EDA}"/>
    <cellStyle name="20% - Ênfase6 5 3 2" xfId="1603" xr:uid="{55E0BFC1-D23D-46D2-AB29-25BE4F95D571}"/>
    <cellStyle name="20% - Ênfase6 5 3 2 2" xfId="3455" xr:uid="{3951D130-B4D2-42EF-8051-C33FE630A461}"/>
    <cellStyle name="20% - Ênfase6 5 3 3" xfId="2528" xr:uid="{BFA2C0A8-60F1-4614-AAD1-8D0A62ED93A1}"/>
    <cellStyle name="20% - Ênfase6 5 4" xfId="1009" xr:uid="{A14FFB74-CCA9-41E8-BE3C-2477CBBD6170}"/>
    <cellStyle name="20% - Ênfase6 5 4 2" xfId="2861" xr:uid="{C404EFDE-0612-489B-8A1B-37B1F545F28E}"/>
    <cellStyle name="20% - Ênfase6 5 5" xfId="1934" xr:uid="{BF8E7DCF-7150-4A1E-9731-1D9A32918B4E}"/>
    <cellStyle name="20% - Ênfase6 6" xfId="142" xr:uid="{00CE925C-640A-4E04-BCF4-AE7465A5A5B0}"/>
    <cellStyle name="20% - Ênfase6 6 2" xfId="748" xr:uid="{B28F3188-F802-45E1-9740-0FC218093D60}"/>
    <cellStyle name="20% - Ênfase6 6 2 2" xfId="1351" xr:uid="{CC6E84A9-57CC-483D-B09C-1320D9865276}"/>
    <cellStyle name="20% - Ênfase6 6 2 2 2" xfId="3203" xr:uid="{C7B69E6D-82AA-4008-BFEA-D87DAE6D3971}"/>
    <cellStyle name="20% - Ênfase6 6 2 3" xfId="2276" xr:uid="{46077CF5-E1E0-49CA-84A4-5DDA3962EDE3}"/>
    <cellStyle name="20% - Ênfase6 6 3" xfId="424" xr:uid="{DB5B38CA-6CCF-4B0D-ADB0-3A31FF7FFA12}"/>
    <cellStyle name="20% - Ênfase6 6 3 2" xfId="1616" xr:uid="{3ED49D18-4492-4C63-BFA8-E26FB7190F28}"/>
    <cellStyle name="20% - Ênfase6 6 3 2 2" xfId="3468" xr:uid="{7A66BFDF-0D50-442B-8735-A465AD1B483E}"/>
    <cellStyle name="20% - Ênfase6 6 3 3" xfId="2541" xr:uid="{585C5BCB-DB72-4CEE-9BEC-0077DD537C0C}"/>
    <cellStyle name="20% - Ênfase6 6 4" xfId="1029" xr:uid="{EC2A627E-8A1F-44BD-BA9C-9506B6D009DB}"/>
    <cellStyle name="20% - Ênfase6 6 4 2" xfId="2881" xr:uid="{1EB2318B-6310-4F71-A7BD-5D7C8A997B5C}"/>
    <cellStyle name="20% - Ênfase6 6 5" xfId="1954" xr:uid="{603584E5-43B7-4FB5-837F-89B9A1103B40}"/>
    <cellStyle name="20% - Ênfase6 7" xfId="162" xr:uid="{F44DA96E-B1E5-4D24-B551-5DD9F9629B7B}"/>
    <cellStyle name="20% - Ênfase6 7 2" xfId="768" xr:uid="{7364B9E3-CE88-45A7-A4C0-81089C5010AE}"/>
    <cellStyle name="20% - Ênfase6 7 2 2" xfId="1371" xr:uid="{57F5EC05-F15F-4D67-8503-860D2C6D0BB9}"/>
    <cellStyle name="20% - Ênfase6 7 2 2 2" xfId="3223" xr:uid="{119C0327-1A8B-4D70-8236-201127D168F0}"/>
    <cellStyle name="20% - Ênfase6 7 2 3" xfId="2296" xr:uid="{D19940DF-22B6-4ABF-AFE9-27F2DFE37726}"/>
    <cellStyle name="20% - Ênfase6 7 3" xfId="444" xr:uid="{41983B12-1B18-4FA1-A286-F2E050E1A416}"/>
    <cellStyle name="20% - Ênfase6 7 3 2" xfId="1770" xr:uid="{F0C7A352-FFFA-4E40-8B3D-F6A7B52A8DAD}"/>
    <cellStyle name="20% - Ênfase6 7 3 2 2" xfId="3583" xr:uid="{6F926DEE-D6DB-41C4-9759-22D538893F93}"/>
    <cellStyle name="20% - Ênfase6 7 3 3" xfId="2695" xr:uid="{41AF6247-783A-4179-BFC8-C90EA6FCAAE6}"/>
    <cellStyle name="20% - Ênfase6 7 4" xfId="1049" xr:uid="{A8988256-819F-41F7-A7F4-09522900D11D}"/>
    <cellStyle name="20% - Ênfase6 7 4 2" xfId="2901" xr:uid="{30CBF9DF-5BEA-48A4-9502-9B379594CB8A}"/>
    <cellStyle name="20% - Ênfase6 7 5" xfId="1974" xr:uid="{4A4BE94A-7267-44B0-B250-074C970CD54D}"/>
    <cellStyle name="20% - Ênfase6 8" xfId="182" xr:uid="{59D40456-AC20-48B9-AB28-42F96FC4D66E}"/>
    <cellStyle name="20% - Ênfase6 8 2" xfId="788" xr:uid="{28428FE3-AAF9-4A19-9EE1-D080ED841DF3}"/>
    <cellStyle name="20% - Ênfase6 8 2 2" xfId="1391" xr:uid="{DD1896DB-72FB-4AC0-A924-7F9E00B3C3E8}"/>
    <cellStyle name="20% - Ênfase6 8 2 2 2" xfId="3243" xr:uid="{18E53880-3BC2-437A-A5F9-CD4FD0D5DBF3}"/>
    <cellStyle name="20% - Ênfase6 8 2 3" xfId="2316" xr:uid="{C8750FFA-EF1D-4129-8E6D-817106A686AE}"/>
    <cellStyle name="20% - Ênfase6 8 3" xfId="464" xr:uid="{CB265F74-B198-4981-9C13-4AD8F208F80D}"/>
    <cellStyle name="20% - Ênfase6 8 3 2" xfId="1531" xr:uid="{FA0D4B68-0EAE-4D0A-A5F1-6AC2CE9D8DBC}"/>
    <cellStyle name="20% - Ênfase6 8 3 2 2" xfId="3383" xr:uid="{09B22A11-0A44-40D0-BC32-DAF37DE4F961}"/>
    <cellStyle name="20% - Ênfase6 8 3 3" xfId="2456" xr:uid="{8625DB80-E499-45F8-A392-9D2C80723806}"/>
    <cellStyle name="20% - Ênfase6 8 4" xfId="1069" xr:uid="{E3FAC89D-7C90-4B33-A331-4E5FBC4CAC1F}"/>
    <cellStyle name="20% - Ênfase6 8 4 2" xfId="2921" xr:uid="{E9D04C66-F407-4136-A2ED-F0F56A89A21C}"/>
    <cellStyle name="20% - Ênfase6 8 5" xfId="1994" xr:uid="{D8693091-05D3-48CB-9C50-641660B1BA02}"/>
    <cellStyle name="20% - Ênfase6 9" xfId="202" xr:uid="{170357BE-F822-4FDD-BC67-BCCF39A23C17}"/>
    <cellStyle name="20% - Ênfase6 9 2" xfId="808" xr:uid="{9DC40F45-1323-47FB-A295-8A6EC6750926}"/>
    <cellStyle name="20% - Ênfase6 9 2 2" xfId="1411" xr:uid="{92B75FE8-4F43-49D6-9B23-B07271F70442}"/>
    <cellStyle name="20% - Ênfase6 9 2 2 2" xfId="3263" xr:uid="{62FA5CAF-B062-4C23-B988-6BD18B62B60C}"/>
    <cellStyle name="20% - Ênfase6 9 2 3" xfId="2336" xr:uid="{DD35E7F5-0F51-4E54-854B-D8133D361D99}"/>
    <cellStyle name="20% - Ênfase6 9 3" xfId="484" xr:uid="{B7F887CE-DBCC-48A2-B4DC-48D5DF23FF65}"/>
    <cellStyle name="20% - Ênfase6 9 3 2" xfId="1573" xr:uid="{5A48E36C-42F6-47BF-B5A5-A8568590D966}"/>
    <cellStyle name="20% - Ênfase6 9 3 2 2" xfId="3425" xr:uid="{13F1DF42-F2E7-4CF9-B2F7-746B65E52D9C}"/>
    <cellStyle name="20% - Ênfase6 9 3 3" xfId="2498" xr:uid="{3AC8AB9F-9DAE-407C-B278-757777EAEC8F}"/>
    <cellStyle name="20% - Ênfase6 9 4" xfId="1089" xr:uid="{796E3967-A3A3-4558-8ED6-12F95D696F15}"/>
    <cellStyle name="20% - Ênfase6 9 4 2" xfId="2941" xr:uid="{662DB2D2-4CA2-4C55-A9C4-63743A73CA26}"/>
    <cellStyle name="20% - Ênfase6 9 5" xfId="2014" xr:uid="{DD1F29B1-A4A2-41DE-B753-CDE3AAD73201}"/>
    <cellStyle name="40% - Ênfase1" xfId="20" builtinId="31" customBuiltin="1"/>
    <cellStyle name="40% - Ênfase1 10" xfId="209" xr:uid="{B114C9DA-43D0-45CB-A1C4-6FB2A0B5763A}"/>
    <cellStyle name="40% - Ênfase1 10 2" xfId="815" xr:uid="{778C75CA-D793-46D8-A549-A045152B345B}"/>
    <cellStyle name="40% - Ênfase1 10 2 2" xfId="1418" xr:uid="{DB2C7C59-20D9-4880-A8C6-9EB5BA8C391E}"/>
    <cellStyle name="40% - Ênfase1 10 2 2 2" xfId="3270" xr:uid="{D893833E-C087-449A-8699-EB30FADE8B6F}"/>
    <cellStyle name="40% - Ênfase1 10 2 3" xfId="2343" xr:uid="{1D982583-1AFF-4B59-A772-155E2D9EB96F}"/>
    <cellStyle name="40% - Ênfase1 10 3" xfId="491" xr:uid="{995D7FD8-B46B-4C06-9405-33CC1607A0DE}"/>
    <cellStyle name="40% - Ênfase1 10 3 2" xfId="1631" xr:uid="{6E7ED1C2-8331-458D-968D-BE6AE7323775}"/>
    <cellStyle name="40% - Ênfase1 10 3 2 2" xfId="3483" xr:uid="{F8E54A97-43DC-4E83-BAE0-C25683EA551C}"/>
    <cellStyle name="40% - Ênfase1 10 3 3" xfId="2556" xr:uid="{7A0F1907-858B-4776-837A-A7743A8B858C}"/>
    <cellStyle name="40% - Ênfase1 10 4" xfId="1096" xr:uid="{68F30939-D3BB-4FCB-ADA0-7BA4FAD5FEB8}"/>
    <cellStyle name="40% - Ênfase1 10 4 2" xfId="2948" xr:uid="{870BE642-127B-41A3-BF48-A683331D2B2D}"/>
    <cellStyle name="40% - Ênfase1 10 5" xfId="2021" xr:uid="{99D02EAC-A819-4484-A5BE-043478A48F27}"/>
    <cellStyle name="40% - Ênfase1 11" xfId="229" xr:uid="{3ECB341A-45B1-40B9-8B39-81806F94EA5B}"/>
    <cellStyle name="40% - Ênfase1 11 2" xfId="835" xr:uid="{36D3FD86-6972-4470-BCC6-E5CAD700A05E}"/>
    <cellStyle name="40% - Ênfase1 11 2 2" xfId="1438" xr:uid="{0E6DE728-A235-48D3-A9A8-3FF29B45CF1F}"/>
    <cellStyle name="40% - Ênfase1 11 2 2 2" xfId="3290" xr:uid="{D2DA6253-9FE7-4391-9B96-2213ED88041D}"/>
    <cellStyle name="40% - Ênfase1 11 2 3" xfId="2363" xr:uid="{893ADC03-A21C-4736-9AE8-E8390A4B2E51}"/>
    <cellStyle name="40% - Ênfase1 11 3" xfId="511" xr:uid="{56B79F6A-3FAF-4D5E-9DCC-137CDEBF786B}"/>
    <cellStyle name="40% - Ênfase1 11 3 2" xfId="1691" xr:uid="{5283919E-1ACF-41D7-9363-7F566AF1ACD6}"/>
    <cellStyle name="40% - Ênfase1 11 3 2 2" xfId="3504" xr:uid="{1F8B43C9-FE23-4A86-A737-EEF7E146D062}"/>
    <cellStyle name="40% - Ênfase1 11 3 3" xfId="2616" xr:uid="{055833E4-9366-4C2F-9104-F9C3960E127C}"/>
    <cellStyle name="40% - Ênfase1 11 4" xfId="1116" xr:uid="{36D0F3E1-BB83-44C5-AA4B-FF817108322F}"/>
    <cellStyle name="40% - Ênfase1 11 4 2" xfId="2968" xr:uid="{951C4BD5-5636-4E4A-96E0-1DBE122BF8EA}"/>
    <cellStyle name="40% - Ênfase1 11 5" xfId="2041" xr:uid="{247FEA42-6418-4445-8B10-DAE9C7F4A3B8}"/>
    <cellStyle name="40% - Ênfase1 12" xfId="249" xr:uid="{2F689C53-3496-465F-928A-ECC8F6F2D3E3}"/>
    <cellStyle name="40% - Ênfase1 12 2" xfId="855" xr:uid="{E4E13D16-6ACB-403E-A86A-8FE746CCD2C2}"/>
    <cellStyle name="40% - Ênfase1 12 2 2" xfId="1458" xr:uid="{21DF4FBA-3E76-463D-8169-2103B1DFDE16}"/>
    <cellStyle name="40% - Ênfase1 12 2 2 2" xfId="3310" xr:uid="{1444D8BE-CF2B-4AB1-840E-FD9FE60D71DE}"/>
    <cellStyle name="40% - Ênfase1 12 2 3" xfId="2383" xr:uid="{9D8B7F1A-98BB-4E76-A77C-23BC4A384127}"/>
    <cellStyle name="40% - Ênfase1 12 3" xfId="531" xr:uid="{16845ECD-2CC7-4C56-9A0F-CC6A4993D6CC}"/>
    <cellStyle name="40% - Ênfase1 12 3 2" xfId="1706" xr:uid="{C513123C-31C0-4874-8D0F-55E0DA060295}"/>
    <cellStyle name="40% - Ênfase1 12 3 2 2" xfId="3519" xr:uid="{B2D4F315-18A5-4F62-ABC6-8BF2E1A4B388}"/>
    <cellStyle name="40% - Ênfase1 12 3 3" xfId="2631" xr:uid="{3A67FF2C-5D26-477B-A30C-055AD27F79BE}"/>
    <cellStyle name="40% - Ênfase1 12 4" xfId="1136" xr:uid="{C9B974BA-8C3D-4DCA-B6EC-C548B43164CF}"/>
    <cellStyle name="40% - Ênfase1 12 4 2" xfId="2988" xr:uid="{190E789A-9DC2-4640-8D33-1BD4B6F4A1CF}"/>
    <cellStyle name="40% - Ênfase1 12 5" xfId="2061" xr:uid="{0A2137CB-76AE-4D9D-84BB-D2B66CC06C05}"/>
    <cellStyle name="40% - Ênfase1 13" xfId="269" xr:uid="{6B4A6474-E4F9-459F-AC66-E804F3983588}"/>
    <cellStyle name="40% - Ênfase1 13 2" xfId="875" xr:uid="{14ECF224-474E-4122-A0AD-47A4229C065D}"/>
    <cellStyle name="40% - Ênfase1 13 2 2" xfId="1478" xr:uid="{434BBCF2-00DA-47DD-BF02-9DDDEE45A994}"/>
    <cellStyle name="40% - Ênfase1 13 2 2 2" xfId="3330" xr:uid="{96FFFFB4-8626-4915-A379-A8A9CBF97D83}"/>
    <cellStyle name="40% - Ênfase1 13 2 3" xfId="2403" xr:uid="{B2F0A723-EF75-4B81-A6EB-0CCDF66C0DDC}"/>
    <cellStyle name="40% - Ênfase1 13 3" xfId="551" xr:uid="{C938D9B7-5A72-4E2E-9524-CE74C93D2938}"/>
    <cellStyle name="40% - Ênfase1 13 3 2" xfId="1626" xr:uid="{F2A457C6-F2B1-46E8-A1D6-30781C5B605D}"/>
    <cellStyle name="40% - Ênfase1 13 3 2 2" xfId="3478" xr:uid="{6E754E70-A3BA-4E81-9270-4BF7DCEA7764}"/>
    <cellStyle name="40% - Ênfase1 13 3 3" xfId="2551" xr:uid="{2DC310AB-4138-4060-B659-A25D6874AD95}"/>
    <cellStyle name="40% - Ênfase1 13 4" xfId="1156" xr:uid="{A1F88DBC-9605-4C39-8719-959E15F2E29B}"/>
    <cellStyle name="40% - Ênfase1 13 4 2" xfId="3008" xr:uid="{005C9529-5D10-4E37-932B-168D002C2A6A}"/>
    <cellStyle name="40% - Ênfase1 13 5" xfId="2081" xr:uid="{29F1E484-0BDC-4059-8E3F-DBD3B076EF66}"/>
    <cellStyle name="40% - Ênfase1 14" xfId="289" xr:uid="{B092D708-E6EB-435C-9757-086D144319C3}"/>
    <cellStyle name="40% - Ênfase1 14 2" xfId="895" xr:uid="{6BBE6961-0E74-4B0A-8B61-BFEE6DC8F7AF}"/>
    <cellStyle name="40% - Ênfase1 14 2 2" xfId="1498" xr:uid="{ACB1F8A7-95D4-4673-A6AB-CB0FEAB75C6D}"/>
    <cellStyle name="40% - Ênfase1 14 2 2 2" xfId="3350" xr:uid="{A47408D5-BF14-454E-9416-73E8D815EE58}"/>
    <cellStyle name="40% - Ênfase1 14 2 3" xfId="2423" xr:uid="{D985579D-4786-4FCB-9BAD-604375DDC4AE}"/>
    <cellStyle name="40% - Ênfase1 14 3" xfId="571" xr:uid="{FC96BA1D-5F5A-436A-B306-19485C7CBA95}"/>
    <cellStyle name="40% - Ênfase1 14 3 2" xfId="1601" xr:uid="{779C17BB-914A-4208-ACAC-8EAB9A5E9610}"/>
    <cellStyle name="40% - Ênfase1 14 3 2 2" xfId="3453" xr:uid="{F8C0699A-D003-42B9-AB37-7DF23D9F7427}"/>
    <cellStyle name="40% - Ênfase1 14 3 3" xfId="2526" xr:uid="{3E331642-53C4-4644-A641-69CCE8A0EB29}"/>
    <cellStyle name="40% - Ênfase1 14 4" xfId="1176" xr:uid="{2328DD2B-50E6-4356-B1A3-9F57FD808772}"/>
    <cellStyle name="40% - Ênfase1 14 4 2" xfId="3028" xr:uid="{C06C629C-DCA2-4557-89B9-28EFB8FFD136}"/>
    <cellStyle name="40% - Ênfase1 14 5" xfId="2101" xr:uid="{919C4FF4-F352-4FAA-8B29-85C5FCD82E57}"/>
    <cellStyle name="40% - Ênfase1 15" xfId="591" xr:uid="{68AA2841-DFFC-4DC7-8523-6F67FA15FFAC}"/>
    <cellStyle name="40% - Ênfase1 15 2" xfId="1654" xr:uid="{EB7A9553-22AB-4278-AF59-D326313F1EB1}"/>
    <cellStyle name="40% - Ênfase1 15 2 2" xfId="2579" xr:uid="{369174D7-43F4-459B-BF2D-312EB7E51C6B}"/>
    <cellStyle name="40% - Ênfase1 15 3" xfId="1196" xr:uid="{5D9B11BB-C4ED-49B6-BD97-1DDE1B192780}"/>
    <cellStyle name="40% - Ênfase1 15 3 2" xfId="3048" xr:uid="{08AFD1BB-43E9-417B-A8E8-DFE501ACFF11}"/>
    <cellStyle name="40% - Ênfase1 15 4" xfId="2121" xr:uid="{F373B314-307C-4381-BCD9-5D4BF37DF464}"/>
    <cellStyle name="40% - Ênfase1 16" xfId="611" xr:uid="{C1A1F1E4-FC1F-4E3F-8A70-55810B75ECE3}"/>
    <cellStyle name="40% - Ênfase1 16 2" xfId="1674" xr:uid="{5071C000-7DA0-49F9-ACCF-A3D5E0822BDC}"/>
    <cellStyle name="40% - Ênfase1 16 2 2" xfId="2599" xr:uid="{CFCB2380-FC66-465A-BD5D-493FF31A25B3}"/>
    <cellStyle name="40% - Ênfase1 16 3" xfId="1216" xr:uid="{EA45A1D4-6DF6-49DB-B6D1-8F9375B66E36}"/>
    <cellStyle name="40% - Ênfase1 16 3 2" xfId="3068" xr:uid="{B865A84D-6264-408D-8B48-224638CFC70C}"/>
    <cellStyle name="40% - Ênfase1 16 4" xfId="2141" xr:uid="{2771FB90-35EF-4450-B98F-802DEA51727A}"/>
    <cellStyle name="40% - Ênfase1 17" xfId="631" xr:uid="{403CC2BB-4E52-46A7-8442-A99155FFA8DA}"/>
    <cellStyle name="40% - Ênfase1 17 2" xfId="1235" xr:uid="{B9C85878-6D90-44AE-993F-523005391108}"/>
    <cellStyle name="40% - Ênfase1 17 2 2" xfId="3087" xr:uid="{EF6FBAE8-90DD-4AB0-90AB-D08FC81F8CB1}"/>
    <cellStyle name="40% - Ênfase1 17 3" xfId="2160" xr:uid="{BB5D88B0-5643-4D34-9B85-6702992F1AF7}"/>
    <cellStyle name="40% - Ênfase1 18" xfId="308" xr:uid="{740FF10C-1D07-45D8-8A41-19EB28B3194D}"/>
    <cellStyle name="40% - Ênfase1 18 2" xfId="1525" xr:uid="{DC7DC3AF-94BA-40BD-A2B7-CAB81F868254}"/>
    <cellStyle name="40% - Ênfase1 18 2 2" xfId="3377" xr:uid="{F4D74921-A6D6-4846-9001-63A61F4E614C}"/>
    <cellStyle name="40% - Ênfase1 18 3" xfId="2450" xr:uid="{28F8C992-B61A-4981-AC43-B462C6C18DE8}"/>
    <cellStyle name="40% - Ênfase1 19" xfId="913" xr:uid="{CA4215EE-88B4-42D9-B379-6DDD93DC9DA6}"/>
    <cellStyle name="40% - Ênfase1 19 2" xfId="2765" xr:uid="{D130DC29-E13B-469D-8948-19BF1353DE8E}"/>
    <cellStyle name="40% - Ênfase1 2" xfId="48" xr:uid="{FEC20DBB-64B3-479F-A11B-717162751A32}"/>
    <cellStyle name="40% - Ênfase1 2 2" xfId="654" xr:uid="{3C0A533B-8260-4464-B58B-89CD443F4E29}"/>
    <cellStyle name="40% - Ênfase1 2 2 2" xfId="1257" xr:uid="{66CFB529-2852-4F67-B02E-16ACF3414F9A}"/>
    <cellStyle name="40% - Ênfase1 2 2 2 2" xfId="3109" xr:uid="{B4562942-EFF1-4542-B80C-33E1A72EE160}"/>
    <cellStyle name="40% - Ênfase1 2 2 3" xfId="2182" xr:uid="{FDD60BB1-7E94-4F98-8EFD-6E0A39FAA812}"/>
    <cellStyle name="40% - Ênfase1 2 3" xfId="330" xr:uid="{AABD299E-6398-435A-A47D-AC9A9E5CD165}"/>
    <cellStyle name="40% - Ênfase1 2 3 2" xfId="1735" xr:uid="{1FC4E175-8519-4B0A-BCEB-8F651A5FA3D6}"/>
    <cellStyle name="40% - Ênfase1 2 3 2 2" xfId="3548" xr:uid="{53207AFC-5AB0-4C4B-9028-538CE3C4D7B0}"/>
    <cellStyle name="40% - Ênfase1 2 3 3" xfId="2660" xr:uid="{6AC03908-2E20-4DB6-97B7-181F576FDD52}"/>
    <cellStyle name="40% - Ênfase1 2 4" xfId="935" xr:uid="{92ABFEEA-06A4-47D3-B2FC-201EF8E44DE0}"/>
    <cellStyle name="40% - Ênfase1 2 4 2" xfId="2787" xr:uid="{5DCF4D4A-F78C-450A-AAC2-A141AC593E13}"/>
    <cellStyle name="40% - Ênfase1 2 5" xfId="1860" xr:uid="{7EA61AED-48EF-4B14-8C5F-46661ADF61D6}"/>
    <cellStyle name="40% - Ênfase1 20" xfId="1838" xr:uid="{75246792-1DA4-42C5-A513-57AF335D70B6}"/>
    <cellStyle name="40% - Ênfase1 3" xfId="66" xr:uid="{341E7645-79D8-488F-83C6-EF3210A658B9}"/>
    <cellStyle name="40% - Ênfase1 3 2" xfId="672" xr:uid="{EA414AD1-E3C1-423B-8CBE-AA1400A1D7F9}"/>
    <cellStyle name="40% - Ênfase1 3 2 2" xfId="1275" xr:uid="{2F4D5FD8-9E2E-41E5-98BD-C6B0E151264C}"/>
    <cellStyle name="40% - Ênfase1 3 2 2 2" xfId="3127" xr:uid="{EEFA0C8A-5093-4222-8CB0-00CCDAC72740}"/>
    <cellStyle name="40% - Ênfase1 3 2 3" xfId="2200" xr:uid="{42DFA9AA-3903-4013-B3DE-109838BB7053}"/>
    <cellStyle name="40% - Ênfase1 3 3" xfId="348" xr:uid="{49AB1AD6-2692-4F02-8D5D-5565BFA8A56B}"/>
    <cellStyle name="40% - Ênfase1 3 3 2" xfId="1767" xr:uid="{2598D005-7A36-4B40-BFC3-DDD93E1E0389}"/>
    <cellStyle name="40% - Ênfase1 3 3 2 2" xfId="3580" xr:uid="{F6B70DF7-B21E-4CBF-B48B-283882B6A0E3}"/>
    <cellStyle name="40% - Ênfase1 3 3 3" xfId="2692" xr:uid="{491150BB-E464-402A-A726-F4790D08BAAE}"/>
    <cellStyle name="40% - Ênfase1 3 4" xfId="953" xr:uid="{39339F04-FDD5-44E4-B305-E96305CC9841}"/>
    <cellStyle name="40% - Ênfase1 3 4 2" xfId="2805" xr:uid="{83AEBD74-C1DD-48C0-AC5F-DDB17E0DCCB8}"/>
    <cellStyle name="40% - Ênfase1 3 5" xfId="1878" xr:uid="{8F0E58A5-D2C5-4FFA-82F6-DCD3A77DD504}"/>
    <cellStyle name="40% - Ênfase1 4" xfId="88" xr:uid="{61C87B42-7388-45B3-AF3D-3E393894E096}"/>
    <cellStyle name="40% - Ênfase1 4 2" xfId="694" xr:uid="{067E3CDF-F57A-4470-9BBD-9CB515FB01F2}"/>
    <cellStyle name="40% - Ênfase1 4 2 2" xfId="1297" xr:uid="{C6595EAD-DE46-4262-86B5-A124AD1CD0BF}"/>
    <cellStyle name="40% - Ênfase1 4 2 2 2" xfId="3149" xr:uid="{6B26282E-11A3-4396-A518-AB4BE41D6E1E}"/>
    <cellStyle name="40% - Ênfase1 4 2 3" xfId="2222" xr:uid="{FC1127CD-BF11-46FD-9760-DAA6E269ED9A}"/>
    <cellStyle name="40% - Ênfase1 4 3" xfId="370" xr:uid="{CD443A36-41DF-4EAC-887F-944D72D955A6}"/>
    <cellStyle name="40% - Ênfase1 4 3 2" xfId="1600" xr:uid="{20DAAB99-B69F-4402-829C-BA29D921815C}"/>
    <cellStyle name="40% - Ênfase1 4 3 2 2" xfId="3452" xr:uid="{6E6AB757-9C6A-4F40-B379-8B85B0ACC4D2}"/>
    <cellStyle name="40% - Ênfase1 4 3 3" xfId="2525" xr:uid="{ABB119D4-18E3-46E6-BC7B-BDE4A55B5863}"/>
    <cellStyle name="40% - Ênfase1 4 4" xfId="975" xr:uid="{C712BAE1-DE20-4070-93A9-9B4CC70A53F2}"/>
    <cellStyle name="40% - Ênfase1 4 4 2" xfId="2827" xr:uid="{915997CE-A82B-4748-A6BA-4C3BFF2018E8}"/>
    <cellStyle name="40% - Ênfase1 4 5" xfId="1900" xr:uid="{B2E60C9F-52E0-474E-9DB8-9DF72CBC8F67}"/>
    <cellStyle name="40% - Ênfase1 5" xfId="108" xr:uid="{B8060DD2-21DD-4B98-AEC8-FB914AD6C472}"/>
    <cellStyle name="40% - Ênfase1 5 2" xfId="714" xr:uid="{82452C11-988B-45F8-994A-FB3E492C446E}"/>
    <cellStyle name="40% - Ênfase1 5 2 2" xfId="1317" xr:uid="{C86646D5-58D8-4DE8-9C64-3E7DF59631B2}"/>
    <cellStyle name="40% - Ênfase1 5 2 2 2" xfId="3169" xr:uid="{2DF1D3B0-33FE-4B91-95E0-DAB03E0EA1F2}"/>
    <cellStyle name="40% - Ênfase1 5 2 3" xfId="2242" xr:uid="{DA5DF6AF-B856-46ED-9126-0FCC7D75EEFB}"/>
    <cellStyle name="40% - Ênfase1 5 3" xfId="390" xr:uid="{AE57A2E6-CDDE-440F-BC48-3284B6F0B536}"/>
    <cellStyle name="40% - Ênfase1 5 3 2" xfId="1763" xr:uid="{A77D32B0-5628-4A38-B254-0FA869CA4650}"/>
    <cellStyle name="40% - Ênfase1 5 3 2 2" xfId="3576" xr:uid="{1AB72D4F-B2EB-436B-9CD4-91E3FD0E8AF0}"/>
    <cellStyle name="40% - Ênfase1 5 3 3" xfId="2688" xr:uid="{8994226A-0D69-4077-8C75-8E4AEF263E27}"/>
    <cellStyle name="40% - Ênfase1 5 4" xfId="995" xr:uid="{74E0F986-0DFF-4C31-8A93-4EA355732871}"/>
    <cellStyle name="40% - Ênfase1 5 4 2" xfId="2847" xr:uid="{AB70077D-2E73-4D72-AD61-CA7482042D17}"/>
    <cellStyle name="40% - Ênfase1 5 5" xfId="1920" xr:uid="{376B33A1-583A-4AA9-9631-D0F7C0443895}"/>
    <cellStyle name="40% - Ênfase1 6" xfId="128" xr:uid="{A1E767C0-AB93-4A70-9419-4AA904332A58}"/>
    <cellStyle name="40% - Ênfase1 6 2" xfId="734" xr:uid="{D0EC3D76-8487-411C-BD61-BC4088A27E07}"/>
    <cellStyle name="40% - Ênfase1 6 2 2" xfId="1337" xr:uid="{DBB1549C-027A-47F6-A329-0637D6D26BD7}"/>
    <cellStyle name="40% - Ênfase1 6 2 2 2" xfId="3189" xr:uid="{DB8BE930-468A-444E-A32E-EE97A29D7161}"/>
    <cellStyle name="40% - Ênfase1 6 2 3" xfId="2262" xr:uid="{EF3586C8-DC1D-4230-9DBA-D80DDC373EA0}"/>
    <cellStyle name="40% - Ênfase1 6 3" xfId="410" xr:uid="{8A35EAF8-5639-4938-95FB-1B8655D49543}"/>
    <cellStyle name="40% - Ênfase1 6 3 2" xfId="1623" xr:uid="{3DE344D0-6B0F-44EC-804C-DF4D5DB1F4CD}"/>
    <cellStyle name="40% - Ênfase1 6 3 2 2" xfId="3475" xr:uid="{7112C83D-03BB-411E-BDB6-DFA941B297E9}"/>
    <cellStyle name="40% - Ênfase1 6 3 3" xfId="2548" xr:uid="{DCE32E9C-3594-4537-A3C7-D6F326B543A9}"/>
    <cellStyle name="40% - Ênfase1 6 4" xfId="1015" xr:uid="{7596247B-B0B1-42E8-A6EE-5F5D6CCF6B5D}"/>
    <cellStyle name="40% - Ênfase1 6 4 2" xfId="2867" xr:uid="{536DA353-06CC-46F1-8872-F4B08F30F56B}"/>
    <cellStyle name="40% - Ênfase1 6 5" xfId="1940" xr:uid="{39ACEDBC-46BA-4F8F-B5C6-3BE1F5B6BAFB}"/>
    <cellStyle name="40% - Ênfase1 7" xfId="148" xr:uid="{E4DE5FD4-B149-4B6A-831E-D06B7870152B}"/>
    <cellStyle name="40% - Ênfase1 7 2" xfId="754" xr:uid="{23AB83EE-DD2C-431A-844D-0E7697230C4C}"/>
    <cellStyle name="40% - Ênfase1 7 2 2" xfId="1357" xr:uid="{22E65F5D-A8FA-4B79-AFFE-8E59C0D4EB50}"/>
    <cellStyle name="40% - Ênfase1 7 2 2 2" xfId="3209" xr:uid="{636C844F-7946-4CE4-A098-FBC98914FD60}"/>
    <cellStyle name="40% - Ênfase1 7 2 3" xfId="2282" xr:uid="{9382B89D-BFE3-4836-A180-483F185EA25E}"/>
    <cellStyle name="40% - Ênfase1 7 3" xfId="430" xr:uid="{F14A6310-C7D1-4E68-825D-6EAD19EF84F9}"/>
    <cellStyle name="40% - Ênfase1 7 3 2" xfId="1751" xr:uid="{554127FB-14F7-4EAF-870C-F84173C1FD93}"/>
    <cellStyle name="40% - Ênfase1 7 3 2 2" xfId="3564" xr:uid="{FCB1EAC7-6D29-4F1A-AC64-661B38EAE100}"/>
    <cellStyle name="40% - Ênfase1 7 3 3" xfId="2676" xr:uid="{0C397153-CA8B-41A4-9511-23B10DE21181}"/>
    <cellStyle name="40% - Ênfase1 7 4" xfId="1035" xr:uid="{9EA46BF4-449F-4F18-95B3-265DA6DBE4CA}"/>
    <cellStyle name="40% - Ênfase1 7 4 2" xfId="2887" xr:uid="{C6EB6CE3-075E-402C-BE44-27AE8707ACC4}"/>
    <cellStyle name="40% - Ênfase1 7 5" xfId="1960" xr:uid="{82BD6397-B73C-4BD6-AFC8-57F17A3DD938}"/>
    <cellStyle name="40% - Ênfase1 8" xfId="168" xr:uid="{506C945C-DC56-4CB7-8A60-6D468FB235D0}"/>
    <cellStyle name="40% - Ênfase1 8 2" xfId="774" xr:uid="{64F4079C-3C14-4BAE-8288-78F6A31B2AAB}"/>
    <cellStyle name="40% - Ênfase1 8 2 2" xfId="1377" xr:uid="{4489B5EA-2593-47D1-B729-FB9F51720D64}"/>
    <cellStyle name="40% - Ênfase1 8 2 2 2" xfId="3229" xr:uid="{759FC74C-1ECE-4B9D-AD05-08ADE34B2964}"/>
    <cellStyle name="40% - Ênfase1 8 2 3" xfId="2302" xr:uid="{EE175BDC-BAD4-4654-BB54-AFCE2944DA3D}"/>
    <cellStyle name="40% - Ênfase1 8 3" xfId="450" xr:uid="{C132E87F-9E8E-4649-A2F0-2304564A5BD2}"/>
    <cellStyle name="40% - Ênfase1 8 3 2" xfId="1761" xr:uid="{40A0B12C-ECA0-4AD7-9705-FB01E328950E}"/>
    <cellStyle name="40% - Ênfase1 8 3 2 2" xfId="3574" xr:uid="{9EB679A6-2952-4E34-889C-D49D34EE33F7}"/>
    <cellStyle name="40% - Ênfase1 8 3 3" xfId="2686" xr:uid="{0817B136-0134-4BD8-A088-105495D2D2D2}"/>
    <cellStyle name="40% - Ênfase1 8 4" xfId="1055" xr:uid="{DD6751FC-686B-4090-BDBE-675962E24E36}"/>
    <cellStyle name="40% - Ênfase1 8 4 2" xfId="2907" xr:uid="{7C17E439-20C2-4ADB-B767-28868EF340F6}"/>
    <cellStyle name="40% - Ênfase1 8 5" xfId="1980" xr:uid="{13B1BA89-8AE8-40F1-AFB4-48FD38537A08}"/>
    <cellStyle name="40% - Ênfase1 9" xfId="188" xr:uid="{5718BE37-9AAF-4386-8681-0D9F98927A80}"/>
    <cellStyle name="40% - Ênfase1 9 2" xfId="794" xr:uid="{6CA6EED3-194B-4F39-92AD-3C28FB3C0421}"/>
    <cellStyle name="40% - Ênfase1 9 2 2" xfId="1397" xr:uid="{B322F014-10AB-4FC8-9ADA-E4072A1111E5}"/>
    <cellStyle name="40% - Ênfase1 9 2 2 2" xfId="3249" xr:uid="{13785C0B-9096-449E-91A5-BCAA2DF9C101}"/>
    <cellStyle name="40% - Ênfase1 9 2 3" xfId="2322" xr:uid="{961262A2-A282-4265-BAF8-69B29F3E7F88}"/>
    <cellStyle name="40% - Ênfase1 9 3" xfId="470" xr:uid="{0663EF77-0C9E-479E-9353-AABB12918F4B}"/>
    <cellStyle name="40% - Ênfase1 9 3 2" xfId="1824" xr:uid="{EE10F588-CD88-4B0E-8153-D793192E7AEA}"/>
    <cellStyle name="40% - Ênfase1 9 3 2 2" xfId="3637" xr:uid="{631CD93A-FB26-4BD6-AADC-5AE26EAA73D1}"/>
    <cellStyle name="40% - Ênfase1 9 3 3" xfId="2749" xr:uid="{3872AB91-B41A-4396-BE6A-D8DA92372742}"/>
    <cellStyle name="40% - Ênfase1 9 4" xfId="1075" xr:uid="{3736D986-8609-4567-9766-A1A602F0D489}"/>
    <cellStyle name="40% - Ênfase1 9 4 2" xfId="2927" xr:uid="{120274D4-2766-4A74-A741-8A353A8B4213}"/>
    <cellStyle name="40% - Ênfase1 9 5" xfId="2000" xr:uid="{2E990A93-46C1-4609-A675-760FDE73FF49}"/>
    <cellStyle name="40% - Ênfase2" xfId="24" builtinId="35" customBuiltin="1"/>
    <cellStyle name="40% - Ênfase2 10" xfId="212" xr:uid="{5AD88108-E246-45AF-AC9E-36525ED7005A}"/>
    <cellStyle name="40% - Ênfase2 10 2" xfId="818" xr:uid="{BBD808B0-65AE-459D-94AD-B2E98E0EC47B}"/>
    <cellStyle name="40% - Ênfase2 10 2 2" xfId="1421" xr:uid="{083D251F-8FA9-4996-9072-4E9EE30EC00C}"/>
    <cellStyle name="40% - Ênfase2 10 2 2 2" xfId="3273" xr:uid="{750C511C-21A9-4576-94BB-9C2F409A0FC7}"/>
    <cellStyle name="40% - Ênfase2 10 2 3" xfId="2346" xr:uid="{D3B4ADD8-97BC-4EBC-99C0-20A0172A6640}"/>
    <cellStyle name="40% - Ênfase2 10 3" xfId="494" xr:uid="{34FAD5A6-E3BD-4C6A-A700-A543909F10DA}"/>
    <cellStyle name="40% - Ênfase2 10 3 2" xfId="1643" xr:uid="{DADC5343-934A-46E3-A98B-A072901A944E}"/>
    <cellStyle name="40% - Ênfase2 10 3 2 2" xfId="3495" xr:uid="{2BBFA529-5875-40A7-A342-20F6A4DA4D91}"/>
    <cellStyle name="40% - Ênfase2 10 3 3" xfId="2568" xr:uid="{66DC70DB-20BB-4300-BA00-90E89C369E8C}"/>
    <cellStyle name="40% - Ênfase2 10 4" xfId="1099" xr:uid="{7C9CD0D1-26C8-4EDA-A63E-29F66ABA44DE}"/>
    <cellStyle name="40% - Ênfase2 10 4 2" xfId="2951" xr:uid="{1061CAC6-9D1C-4E6D-9416-BCFD3A2FE50F}"/>
    <cellStyle name="40% - Ênfase2 10 5" xfId="2024" xr:uid="{F4CF0B9B-043C-4886-A9ED-84D2808E4AA8}"/>
    <cellStyle name="40% - Ênfase2 11" xfId="232" xr:uid="{2E080036-1BAE-4576-824B-739D4BDCAA08}"/>
    <cellStyle name="40% - Ênfase2 11 2" xfId="838" xr:uid="{141A0177-8B97-4E61-ADC1-4399F0FC562D}"/>
    <cellStyle name="40% - Ênfase2 11 2 2" xfId="1441" xr:uid="{CC10906C-41F0-4277-991B-EA6BA03EDCB8}"/>
    <cellStyle name="40% - Ênfase2 11 2 2 2" xfId="3293" xr:uid="{5510DB3B-7917-42C4-83D4-002695B91C21}"/>
    <cellStyle name="40% - Ênfase2 11 2 3" xfId="2366" xr:uid="{6C911A3D-2404-424D-8253-C78D9289FD90}"/>
    <cellStyle name="40% - Ênfase2 11 3" xfId="514" xr:uid="{9447C148-962A-4349-95C5-BDAAAA9DF1BC}"/>
    <cellStyle name="40% - Ênfase2 11 3 2" xfId="1795" xr:uid="{57B2F448-4F33-433F-934F-C6AE5426FD0E}"/>
    <cellStyle name="40% - Ênfase2 11 3 2 2" xfId="3608" xr:uid="{ABC7ECD9-C97C-40CD-BD3D-502D71BE1B10}"/>
    <cellStyle name="40% - Ênfase2 11 3 3" xfId="2720" xr:uid="{A8096062-FDF6-40AF-9F7B-F491D979E59E}"/>
    <cellStyle name="40% - Ênfase2 11 4" xfId="1119" xr:uid="{BE22DE02-0D8A-4F67-8383-25EDA293A21D}"/>
    <cellStyle name="40% - Ênfase2 11 4 2" xfId="2971" xr:uid="{DA88D8F9-1423-421A-8C33-64C5137BB22E}"/>
    <cellStyle name="40% - Ênfase2 11 5" xfId="2044" xr:uid="{738136C7-48E3-4B7A-8FA2-F90E47E363D9}"/>
    <cellStyle name="40% - Ênfase2 12" xfId="252" xr:uid="{1B17FB0C-C87E-4F34-AAB2-7BBE75752194}"/>
    <cellStyle name="40% - Ênfase2 12 2" xfId="858" xr:uid="{170544A3-44FD-415E-9BCD-B167BB01E15B}"/>
    <cellStyle name="40% - Ênfase2 12 2 2" xfId="1461" xr:uid="{1A717F41-8792-47B4-93CC-DF88E548B1CD}"/>
    <cellStyle name="40% - Ênfase2 12 2 2 2" xfId="3313" xr:uid="{7024EBE3-1F42-492A-8EF8-D5CAAC723527}"/>
    <cellStyle name="40% - Ênfase2 12 2 3" xfId="2386" xr:uid="{2768ED7E-ACF6-4C34-A9E4-E8B6D84F14BF}"/>
    <cellStyle name="40% - Ênfase2 12 3" xfId="534" xr:uid="{B067E8C2-79D3-490A-8A81-80AC7F483DBE}"/>
    <cellStyle name="40% - Ênfase2 12 3 2" xfId="1592" xr:uid="{99D9B058-2610-4D7B-A62A-DA922E25A029}"/>
    <cellStyle name="40% - Ênfase2 12 3 2 2" xfId="3444" xr:uid="{41DE513A-C631-4194-9564-153F39C25FBE}"/>
    <cellStyle name="40% - Ênfase2 12 3 3" xfId="2517" xr:uid="{20E36BD3-7A8A-45BC-9F68-002663EDF0F9}"/>
    <cellStyle name="40% - Ênfase2 12 4" xfId="1139" xr:uid="{BD56048A-C173-42BF-9FD6-DC98644F26F9}"/>
    <cellStyle name="40% - Ênfase2 12 4 2" xfId="2991" xr:uid="{BB3B1092-0C6D-47B8-9C9D-795268AD565D}"/>
    <cellStyle name="40% - Ênfase2 12 5" xfId="2064" xr:uid="{6481511C-4BEC-411A-8C2E-537AC8E9D673}"/>
    <cellStyle name="40% - Ênfase2 13" xfId="272" xr:uid="{977EBEA3-3664-4D04-A664-AE0F2EBAEBAC}"/>
    <cellStyle name="40% - Ênfase2 13 2" xfId="878" xr:uid="{253095E9-D6EF-4501-9DB3-5A20F34601A5}"/>
    <cellStyle name="40% - Ênfase2 13 2 2" xfId="1481" xr:uid="{5B10031D-67CF-4F99-A484-3CF54C5172B3}"/>
    <cellStyle name="40% - Ênfase2 13 2 2 2" xfId="3333" xr:uid="{FBC2C4E5-430D-42DF-AE8D-C97B3795631E}"/>
    <cellStyle name="40% - Ênfase2 13 2 3" xfId="2406" xr:uid="{C55C5768-18D7-431F-B3C1-14E0480302A7}"/>
    <cellStyle name="40% - Ênfase2 13 3" xfId="554" xr:uid="{7A939B4A-32A8-460E-8510-B705677A88D7}"/>
    <cellStyle name="40% - Ênfase2 13 3 2" xfId="1644" xr:uid="{8F176CD7-9B57-482C-9EB3-AE7FE6609A92}"/>
    <cellStyle name="40% - Ênfase2 13 3 2 2" xfId="3496" xr:uid="{F09EF00F-9B56-44AF-A77D-6CA4FEF9484C}"/>
    <cellStyle name="40% - Ênfase2 13 3 3" xfId="2569" xr:uid="{5C48AD27-EAC2-45F7-A779-77D6CDE49348}"/>
    <cellStyle name="40% - Ênfase2 13 4" xfId="1159" xr:uid="{40FDC481-4763-4BA1-A60C-6E50991DE1A4}"/>
    <cellStyle name="40% - Ênfase2 13 4 2" xfId="3011" xr:uid="{4BBEA346-02DA-4A4A-94EB-42AD17FC6F46}"/>
    <cellStyle name="40% - Ênfase2 13 5" xfId="2084" xr:uid="{1BCE7400-C304-44CE-9926-3A3F45A7DBAE}"/>
    <cellStyle name="40% - Ênfase2 14" xfId="292" xr:uid="{295B4FA6-0D9B-4314-A7BF-5D273D018348}"/>
    <cellStyle name="40% - Ênfase2 14 2" xfId="898" xr:uid="{3F16F211-7F19-419C-BB9E-47135A4623CA}"/>
    <cellStyle name="40% - Ênfase2 14 2 2" xfId="1501" xr:uid="{7031BAAE-F35D-4FB3-A9C6-EC0C16F08AEB}"/>
    <cellStyle name="40% - Ênfase2 14 2 2 2" xfId="3353" xr:uid="{8DC00BA4-AA6A-406F-BCDD-DA63C87D854D}"/>
    <cellStyle name="40% - Ênfase2 14 2 3" xfId="2426" xr:uid="{7B1AA284-270F-4B0F-B0F9-A6B18F12A8E2}"/>
    <cellStyle name="40% - Ênfase2 14 3" xfId="574" xr:uid="{F61010B7-ED6D-4E03-86EA-20CC9A624824}"/>
    <cellStyle name="40% - Ênfase2 14 3 2" xfId="1833" xr:uid="{D6FFB426-18F4-43C1-827C-D9E0704BFE46}"/>
    <cellStyle name="40% - Ênfase2 14 3 2 2" xfId="3646" xr:uid="{4A8D76C7-7899-49EA-BB53-0C1118B5D067}"/>
    <cellStyle name="40% - Ênfase2 14 3 3" xfId="2758" xr:uid="{C489B6FA-7EB2-4F3E-9B60-3B67F50D125B}"/>
    <cellStyle name="40% - Ênfase2 14 4" xfId="1179" xr:uid="{82A0194D-1CB6-45DE-81B5-7857302C25B4}"/>
    <cellStyle name="40% - Ênfase2 14 4 2" xfId="3031" xr:uid="{0CA16FCA-CA44-4053-A7F0-4659F114C304}"/>
    <cellStyle name="40% - Ênfase2 14 5" xfId="2104" xr:uid="{85F4527E-D200-4987-865F-F439B03C5E83}"/>
    <cellStyle name="40% - Ênfase2 15" xfId="594" xr:uid="{9042D995-A7D8-4788-9178-6504656F32B7}"/>
    <cellStyle name="40% - Ênfase2 15 2" xfId="1657" xr:uid="{4E3EC3D6-E2F2-4D1A-BCAC-DA0609048A72}"/>
    <cellStyle name="40% - Ênfase2 15 2 2" xfId="2582" xr:uid="{5F4017B1-F47F-479B-B648-E8CC090A33CF}"/>
    <cellStyle name="40% - Ênfase2 15 3" xfId="1199" xr:uid="{A333A60D-0F6F-4481-9030-9664020C77B9}"/>
    <cellStyle name="40% - Ênfase2 15 3 2" xfId="3051" xr:uid="{7C7EB86A-8CCF-4547-B17B-ACE473D9C572}"/>
    <cellStyle name="40% - Ênfase2 15 4" xfId="2124" xr:uid="{B1788952-89B4-4071-B6DE-843E85C9F87D}"/>
    <cellStyle name="40% - Ênfase2 16" xfId="614" xr:uid="{7E77E3FE-BA60-4D8E-9678-28A3D90E353F}"/>
    <cellStyle name="40% - Ênfase2 16 2" xfId="1677" xr:uid="{CAA87516-0298-4A53-9969-675FC12C9B36}"/>
    <cellStyle name="40% - Ênfase2 16 2 2" xfId="2602" xr:uid="{9029CEF9-4C87-43E1-B5E0-7CDCACC056A7}"/>
    <cellStyle name="40% - Ênfase2 16 3" xfId="1219" xr:uid="{1E221217-79D9-4F47-9701-8559456ADBBC}"/>
    <cellStyle name="40% - Ênfase2 16 3 2" xfId="3071" xr:uid="{DD916C08-06AE-4F73-8991-A360B38FF70D}"/>
    <cellStyle name="40% - Ênfase2 16 4" xfId="2144" xr:uid="{997BB6A3-3A97-407F-8FFB-A900F83720D8}"/>
    <cellStyle name="40% - Ênfase2 17" xfId="634" xr:uid="{A270E103-D8EC-4D48-83D0-DDC616C2A118}"/>
    <cellStyle name="40% - Ênfase2 17 2" xfId="1238" xr:uid="{52CC6D33-FB37-489B-A96F-4B94F3D329D0}"/>
    <cellStyle name="40% - Ênfase2 17 2 2" xfId="3090" xr:uid="{201BA160-A3EA-4A51-A7D5-EC34E3072C6E}"/>
    <cellStyle name="40% - Ênfase2 17 3" xfId="2163" xr:uid="{47371AD5-539D-4A95-9EC5-050986D6349A}"/>
    <cellStyle name="40% - Ênfase2 18" xfId="311" xr:uid="{F22C00B2-A8C8-4F44-AFEA-4257C3349ED9}"/>
    <cellStyle name="40% - Ênfase2 18 2" xfId="1536" xr:uid="{A6DEF40C-8C1A-4C50-A362-E7AFC253D2CC}"/>
    <cellStyle name="40% - Ênfase2 18 2 2" xfId="3388" xr:uid="{E8DBE2D3-2B4F-43D4-8C76-505DF731ABA3}"/>
    <cellStyle name="40% - Ênfase2 18 3" xfId="2461" xr:uid="{C833EE33-BCE2-4BB0-9F87-5DEAD9ADC49C}"/>
    <cellStyle name="40% - Ênfase2 19" xfId="916" xr:uid="{359FCC23-F7E4-45CE-B679-EB3774784D9B}"/>
    <cellStyle name="40% - Ênfase2 19 2" xfId="2768" xr:uid="{ED13CB99-2B2C-4F78-A033-F5841B034411}"/>
    <cellStyle name="40% - Ênfase2 2" xfId="51" xr:uid="{69E0D125-01D2-433D-87BE-2B7DE26755C4}"/>
    <cellStyle name="40% - Ênfase2 2 2" xfId="657" xr:uid="{4C273F2F-183C-407E-9803-2C4290BFDF92}"/>
    <cellStyle name="40% - Ênfase2 2 2 2" xfId="1260" xr:uid="{9DE0D694-07D9-48E3-AD55-D51E417F92C5}"/>
    <cellStyle name="40% - Ênfase2 2 2 2 2" xfId="3112" xr:uid="{C3860A8B-6D51-4EC6-9A59-BE8FF6EDE1A2}"/>
    <cellStyle name="40% - Ênfase2 2 2 3" xfId="2185" xr:uid="{FEAD2A23-4989-4970-8A1D-E6B490436910}"/>
    <cellStyle name="40% - Ênfase2 2 3" xfId="333" xr:uid="{C796E05C-E7C1-42D7-BE58-916D2BAB6083}"/>
    <cellStyle name="40% - Ênfase2 2 3 2" xfId="1694" xr:uid="{F2A00FD5-E24C-4546-99CB-B9C961E31192}"/>
    <cellStyle name="40% - Ênfase2 2 3 2 2" xfId="3507" xr:uid="{97C96F64-6AD5-45F7-A208-7B154DAD9347}"/>
    <cellStyle name="40% - Ênfase2 2 3 3" xfId="2619" xr:uid="{E4FBA2B8-F9B2-4C4A-A509-8EDE0A6B7F70}"/>
    <cellStyle name="40% - Ênfase2 2 4" xfId="938" xr:uid="{59FBC091-0BA4-496E-934E-4ABC6A5C0893}"/>
    <cellStyle name="40% - Ênfase2 2 4 2" xfId="2790" xr:uid="{929C8DA5-31E3-4022-9188-9B38C7C3FFAF}"/>
    <cellStyle name="40% - Ênfase2 2 5" xfId="1863" xr:uid="{8E7C3B75-0383-4E03-983F-E8C379CCAB82}"/>
    <cellStyle name="40% - Ênfase2 20" xfId="1841" xr:uid="{C4631B14-68EF-45DE-B101-3CF8D5F58F42}"/>
    <cellStyle name="40% - Ênfase2 3" xfId="69" xr:uid="{BD512388-C12C-4FAB-8A70-0F0F7520E43F}"/>
    <cellStyle name="40% - Ênfase2 3 2" xfId="675" xr:uid="{88F85DF4-F931-4E82-9213-F9ECBEDA3235}"/>
    <cellStyle name="40% - Ênfase2 3 2 2" xfId="1278" xr:uid="{D612FBEA-4DC4-4D26-94F6-78347283BDFA}"/>
    <cellStyle name="40% - Ênfase2 3 2 2 2" xfId="3130" xr:uid="{F1085EF1-1A0C-4E50-BB51-F77ADE088881}"/>
    <cellStyle name="40% - Ênfase2 3 2 3" xfId="2203" xr:uid="{9BE3E704-3362-4898-B516-B57453A01718}"/>
    <cellStyle name="40% - Ênfase2 3 3" xfId="351" xr:uid="{85466066-D928-4C2F-A2DE-0797A0C06B89}"/>
    <cellStyle name="40% - Ênfase2 3 3 2" xfId="1633" xr:uid="{49318F19-2624-4AB4-9F55-AE59564D5D14}"/>
    <cellStyle name="40% - Ênfase2 3 3 2 2" xfId="3485" xr:uid="{6FCDADD6-E120-400D-9C51-847EFBAB4344}"/>
    <cellStyle name="40% - Ênfase2 3 3 3" xfId="2558" xr:uid="{5A0F7FFA-636F-49F6-A8DB-AC5D7545A0F6}"/>
    <cellStyle name="40% - Ênfase2 3 4" xfId="956" xr:uid="{438255A4-59EA-435A-B50A-CBD4FB9CB5B3}"/>
    <cellStyle name="40% - Ênfase2 3 4 2" xfId="2808" xr:uid="{CFB65ED8-4847-4EAC-92E2-7E2A2F463D9D}"/>
    <cellStyle name="40% - Ênfase2 3 5" xfId="1881" xr:uid="{E49B48AF-C4F1-43B5-BE3C-7D15600E8780}"/>
    <cellStyle name="40% - Ênfase2 4" xfId="91" xr:uid="{632CE022-D767-47BC-9D85-843C74ED8214}"/>
    <cellStyle name="40% - Ênfase2 4 2" xfId="697" xr:uid="{FCBBE97F-2D62-4C81-A9EE-E1B8AA993E8E}"/>
    <cellStyle name="40% - Ênfase2 4 2 2" xfId="1300" xr:uid="{D7604B1F-EAC7-4B01-853B-7E251E43E4E8}"/>
    <cellStyle name="40% - Ênfase2 4 2 2 2" xfId="3152" xr:uid="{BBB81E56-7045-4219-B99F-A6DC2A8379FF}"/>
    <cellStyle name="40% - Ênfase2 4 2 3" xfId="2225" xr:uid="{EC88EDD0-0056-4531-978F-855660E517E0}"/>
    <cellStyle name="40% - Ênfase2 4 3" xfId="373" xr:uid="{53EDF3A8-1A6A-443B-A6E2-2FF32D75ACA5}"/>
    <cellStyle name="40% - Ênfase2 4 3 2" xfId="1705" xr:uid="{68EE1C77-451F-4E0F-AAAB-49DB91C9F1FB}"/>
    <cellStyle name="40% - Ênfase2 4 3 2 2" xfId="3518" xr:uid="{C9A4329D-04E9-4F5C-A7D9-721817259465}"/>
    <cellStyle name="40% - Ênfase2 4 3 3" xfId="2630" xr:uid="{A31F876F-B687-4C4F-A67E-442F4BED79EC}"/>
    <cellStyle name="40% - Ênfase2 4 4" xfId="978" xr:uid="{5C5FDAE4-C3A6-4F8C-BD41-22EFC4E91C2F}"/>
    <cellStyle name="40% - Ênfase2 4 4 2" xfId="2830" xr:uid="{F644FA5F-EC74-4AAA-A5AB-F7EAE72A9D00}"/>
    <cellStyle name="40% - Ênfase2 4 5" xfId="1903" xr:uid="{99B37583-9AC7-4465-BEF5-E56414419C9B}"/>
    <cellStyle name="40% - Ênfase2 5" xfId="111" xr:uid="{0BFF451B-5FFC-4D92-A491-B8D058351AA1}"/>
    <cellStyle name="40% - Ênfase2 5 2" xfId="717" xr:uid="{1CF23BD0-89DE-4DD8-9342-4F429F8A23E3}"/>
    <cellStyle name="40% - Ênfase2 5 2 2" xfId="1320" xr:uid="{2505AAC0-D16C-4F7A-AEB7-01EDE93CAC30}"/>
    <cellStyle name="40% - Ênfase2 5 2 2 2" xfId="3172" xr:uid="{6B085880-1827-4F7F-8B6F-D524CE9DC620}"/>
    <cellStyle name="40% - Ênfase2 5 2 3" xfId="2245" xr:uid="{BFD9FACC-1C81-453C-901C-3DBD9BA266D6}"/>
    <cellStyle name="40% - Ênfase2 5 3" xfId="393" xr:uid="{E431D38C-0042-490C-848B-3450362B917B}"/>
    <cellStyle name="40% - Ênfase2 5 3 2" xfId="1704" xr:uid="{06E657EA-C09F-43A9-928A-8F10EB8E5291}"/>
    <cellStyle name="40% - Ênfase2 5 3 2 2" xfId="3517" xr:uid="{CCF5CFA2-69C0-4CDA-98E4-108D090A0A7C}"/>
    <cellStyle name="40% - Ênfase2 5 3 3" xfId="2629" xr:uid="{7B837951-C9B4-430C-BC93-6D0DD16E26E7}"/>
    <cellStyle name="40% - Ênfase2 5 4" xfId="998" xr:uid="{F3E1332C-BE91-46C9-ABF6-D54B6B487CED}"/>
    <cellStyle name="40% - Ênfase2 5 4 2" xfId="2850" xr:uid="{036496AB-0E83-4288-9504-1FC8B65BF031}"/>
    <cellStyle name="40% - Ênfase2 5 5" xfId="1923" xr:uid="{A9C6CBB4-633B-410A-93D5-C06735E21F85}"/>
    <cellStyle name="40% - Ênfase2 6" xfId="131" xr:uid="{D96A3368-7A26-4A74-8606-49C288E0EC51}"/>
    <cellStyle name="40% - Ênfase2 6 2" xfId="737" xr:uid="{30065616-3F57-4E1B-AA57-26CE3FEBB21A}"/>
    <cellStyle name="40% - Ênfase2 6 2 2" xfId="1340" xr:uid="{9CFF03C7-E4E1-4982-8EB2-58AACDE8208F}"/>
    <cellStyle name="40% - Ênfase2 6 2 2 2" xfId="3192" xr:uid="{AC257AE2-4F6A-480F-9AC3-C008BDB34FE2}"/>
    <cellStyle name="40% - Ênfase2 6 2 3" xfId="2265" xr:uid="{FEE8E860-0A30-4EF5-9D94-DEE7267FB255}"/>
    <cellStyle name="40% - Ênfase2 6 3" xfId="413" xr:uid="{6E91DBF4-24BC-4F4B-93D1-CD2DADAEC318}"/>
    <cellStyle name="40% - Ênfase2 6 3 2" xfId="1756" xr:uid="{D19AE4C4-4C0E-4100-9E12-2C3E4ACE01B9}"/>
    <cellStyle name="40% - Ênfase2 6 3 2 2" xfId="3569" xr:uid="{E1D16CAF-2E3D-43B3-8ED6-FD4CAED4BC3E}"/>
    <cellStyle name="40% - Ênfase2 6 3 3" xfId="2681" xr:uid="{2DB200D4-A3D9-4302-B037-73B8CAC09245}"/>
    <cellStyle name="40% - Ênfase2 6 4" xfId="1018" xr:uid="{C900E839-B87F-4FC0-9FDA-F0F333DCA8F4}"/>
    <cellStyle name="40% - Ênfase2 6 4 2" xfId="2870" xr:uid="{86AAE54E-46F9-4AA2-9423-9AC6E038C9EB}"/>
    <cellStyle name="40% - Ênfase2 6 5" xfId="1943" xr:uid="{E335266F-0362-4E62-BAE9-A310D67C5C70}"/>
    <cellStyle name="40% - Ênfase2 7" xfId="151" xr:uid="{9488F101-49D5-46F3-9F30-967BB007565F}"/>
    <cellStyle name="40% - Ênfase2 7 2" xfId="757" xr:uid="{AD5B9522-66CF-4E2E-B363-0070E1BF2A05}"/>
    <cellStyle name="40% - Ênfase2 7 2 2" xfId="1360" xr:uid="{E04E2D63-755F-462A-8710-AFFF8113ED44}"/>
    <cellStyle name="40% - Ênfase2 7 2 2 2" xfId="3212" xr:uid="{8558D1E1-5360-4200-85DB-28B6D2AF9A03}"/>
    <cellStyle name="40% - Ênfase2 7 2 3" xfId="2285" xr:uid="{1ABC4423-8CD5-4E11-AF47-5912459E978F}"/>
    <cellStyle name="40% - Ênfase2 7 3" xfId="433" xr:uid="{606D5B5E-09DB-44F1-A429-1DD2E5BA6FFA}"/>
    <cellStyle name="40% - Ênfase2 7 3 2" xfId="1781" xr:uid="{1BA72BA1-C65C-4DCF-AB70-965E0D1A4C6B}"/>
    <cellStyle name="40% - Ênfase2 7 3 2 2" xfId="3594" xr:uid="{9DECE45D-2747-4597-AE21-33C06B05CCAB}"/>
    <cellStyle name="40% - Ênfase2 7 3 3" xfId="2706" xr:uid="{DB50EFDD-9465-479C-9C63-160CE4F060CA}"/>
    <cellStyle name="40% - Ênfase2 7 4" xfId="1038" xr:uid="{F50A0AD2-15FC-44B0-8A33-A344E867130F}"/>
    <cellStyle name="40% - Ênfase2 7 4 2" xfId="2890" xr:uid="{2DE075D9-63DD-44A3-A12E-DE599C2BD393}"/>
    <cellStyle name="40% - Ênfase2 7 5" xfId="1963" xr:uid="{83C9E355-D744-4FC5-AEDA-DA023D4FD45E}"/>
    <cellStyle name="40% - Ênfase2 8" xfId="171" xr:uid="{322F19FA-61AB-409D-BE65-249BD740B69C}"/>
    <cellStyle name="40% - Ênfase2 8 2" xfId="777" xr:uid="{D55E5EA5-AA09-4349-AB63-BC7F3A9718B4}"/>
    <cellStyle name="40% - Ênfase2 8 2 2" xfId="1380" xr:uid="{E2634F43-FFEB-420E-8738-1CE45C41BE50}"/>
    <cellStyle name="40% - Ênfase2 8 2 2 2" xfId="3232" xr:uid="{54E677C3-04E9-40A4-A997-6D22A9F69020}"/>
    <cellStyle name="40% - Ênfase2 8 2 3" xfId="2305" xr:uid="{AC47711D-4944-4747-A6E4-68E7741A59E8}"/>
    <cellStyle name="40% - Ênfase2 8 3" xfId="453" xr:uid="{2591C632-E68B-4ADA-A64B-068C2B84BA97}"/>
    <cellStyle name="40% - Ênfase2 8 3 2" xfId="1639" xr:uid="{C9E33CB1-6D91-4C9D-A2A8-199B94A51C0C}"/>
    <cellStyle name="40% - Ênfase2 8 3 2 2" xfId="3491" xr:uid="{79554D93-5FD7-496D-A76D-9E9D399879E1}"/>
    <cellStyle name="40% - Ênfase2 8 3 3" xfId="2564" xr:uid="{3F5C8B6F-EA01-4040-B4C5-46127FC57D05}"/>
    <cellStyle name="40% - Ênfase2 8 4" xfId="1058" xr:uid="{2E8DF9EB-3370-4396-A79C-4FB7078ED0D4}"/>
    <cellStyle name="40% - Ênfase2 8 4 2" xfId="2910" xr:uid="{76183E07-A239-4826-98B7-D640AE3B49F7}"/>
    <cellStyle name="40% - Ênfase2 8 5" xfId="1983" xr:uid="{EF5591B9-BE09-46FB-9FAB-77D15C07AE1C}"/>
    <cellStyle name="40% - Ênfase2 9" xfId="191" xr:uid="{9C7A5921-82C4-4D27-AC9E-04EF1BE0B69F}"/>
    <cellStyle name="40% - Ênfase2 9 2" xfId="797" xr:uid="{A08B68BE-966D-4748-AF33-0F7097A78AF2}"/>
    <cellStyle name="40% - Ênfase2 9 2 2" xfId="1400" xr:uid="{A049CC87-7F9F-4740-8CC6-DAF295F0C7B8}"/>
    <cellStyle name="40% - Ênfase2 9 2 2 2" xfId="3252" xr:uid="{BCBFA4CA-21E4-4F54-BB41-658BCEB68611}"/>
    <cellStyle name="40% - Ênfase2 9 2 3" xfId="2325" xr:uid="{FD7318CB-6EC2-4C5E-98F0-BE8143BA9C22}"/>
    <cellStyle name="40% - Ênfase2 9 3" xfId="473" xr:uid="{E373575A-3F67-4586-83AB-86CA86B1F28F}"/>
    <cellStyle name="40% - Ênfase2 9 3 2" xfId="1803" xr:uid="{626B6F45-B53B-4F49-8BE9-22F39023C151}"/>
    <cellStyle name="40% - Ênfase2 9 3 2 2" xfId="3616" xr:uid="{8D613FF7-4A49-49E6-BFA6-272B32C2054E}"/>
    <cellStyle name="40% - Ênfase2 9 3 3" xfId="2728" xr:uid="{1F4F7925-BCC2-4A60-BA61-B0782A00160B}"/>
    <cellStyle name="40% - Ênfase2 9 4" xfId="1078" xr:uid="{C2C55BC6-10B4-44F6-AD12-775A25AA0EF6}"/>
    <cellStyle name="40% - Ênfase2 9 4 2" xfId="2930" xr:uid="{A8C7D1F5-D8E4-4F97-A6F8-64A7C0DA3507}"/>
    <cellStyle name="40% - Ênfase2 9 5" xfId="2003" xr:uid="{5FC7FE38-BD88-46D1-8E19-93B4AD3ABC94}"/>
    <cellStyle name="40% - Ênfase3" xfId="28" builtinId="39" customBuiltin="1"/>
    <cellStyle name="40% - Ênfase3 10" xfId="215" xr:uid="{7B2950BA-C79B-4275-9D14-DB18EFE4E51E}"/>
    <cellStyle name="40% - Ênfase3 10 2" xfId="821" xr:uid="{77EF0F69-192C-4BF4-AB27-99F774164A3B}"/>
    <cellStyle name="40% - Ênfase3 10 2 2" xfId="1424" xr:uid="{F4CAC10B-44B7-4BEA-B46B-AA3D17376603}"/>
    <cellStyle name="40% - Ênfase3 10 2 2 2" xfId="3276" xr:uid="{DF6514BE-D073-49FF-8CF9-6EEDA3BBBFA6}"/>
    <cellStyle name="40% - Ênfase3 10 2 3" xfId="2349" xr:uid="{CA691282-184E-432E-8E31-31EE8F4AC501}"/>
    <cellStyle name="40% - Ênfase3 10 3" xfId="497" xr:uid="{17F3FBE1-4F92-4EA1-8C78-FDB578B7E921}"/>
    <cellStyle name="40% - Ênfase3 10 3 2" xfId="1614" xr:uid="{121BE612-ED1D-422F-B750-B2E083A23927}"/>
    <cellStyle name="40% - Ênfase3 10 3 2 2" xfId="3466" xr:uid="{6A3B88EF-F15A-46D7-BCE8-EB75F8416DCA}"/>
    <cellStyle name="40% - Ênfase3 10 3 3" xfId="2539" xr:uid="{55936C2B-C0A0-4EAC-B9C0-96DBEA91D879}"/>
    <cellStyle name="40% - Ênfase3 10 4" xfId="1102" xr:uid="{F2F6C4ED-C948-4322-8AC2-8D34989DECE6}"/>
    <cellStyle name="40% - Ênfase3 10 4 2" xfId="2954" xr:uid="{85E1F525-55F0-419D-9CE6-8A84B1BE6220}"/>
    <cellStyle name="40% - Ênfase3 10 5" xfId="2027" xr:uid="{260CD408-FF9B-40E9-845A-26882AAF5119}"/>
    <cellStyle name="40% - Ênfase3 11" xfId="235" xr:uid="{EE03BEA0-5D93-4EB5-AC6B-15739AA6CCD3}"/>
    <cellStyle name="40% - Ênfase3 11 2" xfId="841" xr:uid="{563A7979-98C1-4610-863D-8E07593B9565}"/>
    <cellStyle name="40% - Ênfase3 11 2 2" xfId="1444" xr:uid="{3124C40B-5F6A-446B-80AE-1ADD3AD8342D}"/>
    <cellStyle name="40% - Ênfase3 11 2 2 2" xfId="3296" xr:uid="{17C9B2F3-84FD-48DD-AA71-37C13EA0E70A}"/>
    <cellStyle name="40% - Ênfase3 11 2 3" xfId="2369" xr:uid="{BCB630B6-E48F-45C6-B5AD-0F1A2A71EA54}"/>
    <cellStyle name="40% - Ênfase3 11 3" xfId="517" xr:uid="{1980D4B3-346F-4B92-B155-1B5CBBE2CA00}"/>
    <cellStyle name="40% - Ênfase3 11 3 2" xfId="1734" xr:uid="{A3026C1C-B961-4712-9743-E1570B26A307}"/>
    <cellStyle name="40% - Ênfase3 11 3 2 2" xfId="3547" xr:uid="{AE48763E-EA66-43A9-B866-C574CF4A971D}"/>
    <cellStyle name="40% - Ênfase3 11 3 3" xfId="2659" xr:uid="{9B53532C-8F7E-4D7E-8264-C21538C8F4E6}"/>
    <cellStyle name="40% - Ênfase3 11 4" xfId="1122" xr:uid="{B4F7CD9E-87BD-4368-93B5-E8ACFD2B0D09}"/>
    <cellStyle name="40% - Ênfase3 11 4 2" xfId="2974" xr:uid="{DF59ADB1-0BA7-4C64-B35F-A06033249F62}"/>
    <cellStyle name="40% - Ênfase3 11 5" xfId="2047" xr:uid="{59289491-E5AF-4C85-8A6A-65549230D568}"/>
    <cellStyle name="40% - Ênfase3 12" xfId="255" xr:uid="{21B54C05-8881-4979-BD57-40C38FE54D4C}"/>
    <cellStyle name="40% - Ênfase3 12 2" xfId="861" xr:uid="{A0358CC3-522C-43BD-A033-C59C5D12A3AE}"/>
    <cellStyle name="40% - Ênfase3 12 2 2" xfId="1464" xr:uid="{B3BC950A-FA2B-43C7-926C-1C0B1BF29396}"/>
    <cellStyle name="40% - Ênfase3 12 2 2 2" xfId="3316" xr:uid="{92A78F5E-3A5B-4B91-9F32-6397D343843A}"/>
    <cellStyle name="40% - Ênfase3 12 2 3" xfId="2389" xr:uid="{3A395A97-0421-4C07-A28C-E985B399A04D}"/>
    <cellStyle name="40% - Ênfase3 12 3" xfId="537" xr:uid="{DACDF3B9-92D6-40F2-BBEE-6CF8F72C236F}"/>
    <cellStyle name="40% - Ênfase3 12 3 2" xfId="1646" xr:uid="{69791916-5797-446F-90FA-5650C67314FB}"/>
    <cellStyle name="40% - Ênfase3 12 3 2 2" xfId="3498" xr:uid="{B22C6487-F34A-4FFC-B7E3-90D298499DA7}"/>
    <cellStyle name="40% - Ênfase3 12 3 3" xfId="2571" xr:uid="{51B96B88-08BD-448D-BDE0-E2141071242A}"/>
    <cellStyle name="40% - Ênfase3 12 4" xfId="1142" xr:uid="{3BB0B2BD-8F02-4A0D-9C14-A69F74F6DD01}"/>
    <cellStyle name="40% - Ênfase3 12 4 2" xfId="2994" xr:uid="{4A2E11E9-3CD2-4848-9D43-BACAFDB62B26}"/>
    <cellStyle name="40% - Ênfase3 12 5" xfId="2067" xr:uid="{3C820F6E-DDDB-4A3F-B1BE-D21C726614B8}"/>
    <cellStyle name="40% - Ênfase3 13" xfId="275" xr:uid="{5349ED36-C2FD-4C33-8763-1B968FD79217}"/>
    <cellStyle name="40% - Ênfase3 13 2" xfId="881" xr:uid="{B6557573-9F7B-4471-99E6-464E97DC7EBB}"/>
    <cellStyle name="40% - Ênfase3 13 2 2" xfId="1484" xr:uid="{5A8A3A26-3816-496C-A78A-2748E7501959}"/>
    <cellStyle name="40% - Ênfase3 13 2 2 2" xfId="3336" xr:uid="{143E70E8-271F-4EFF-AF36-DD449993929B}"/>
    <cellStyle name="40% - Ênfase3 13 2 3" xfId="2409" xr:uid="{B7BF6FFC-CAE0-4AAB-962C-5F5CF29842D8}"/>
    <cellStyle name="40% - Ênfase3 13 3" xfId="557" xr:uid="{54FDA111-86AE-4E46-81C3-F43D5A5961B8}"/>
    <cellStyle name="40% - Ênfase3 13 3 2" xfId="1805" xr:uid="{01B6AFB6-AF72-46C6-9A75-EF77E9545B80}"/>
    <cellStyle name="40% - Ênfase3 13 3 2 2" xfId="3618" xr:uid="{0D02AA02-BA43-42E2-AC7A-203E7C59F4C3}"/>
    <cellStyle name="40% - Ênfase3 13 3 3" xfId="2730" xr:uid="{9C7BD1D9-9877-4DA4-8326-9A4E3405BB7C}"/>
    <cellStyle name="40% - Ênfase3 13 4" xfId="1162" xr:uid="{3EECFA28-0909-48B1-B0E3-132520B4EE5A}"/>
    <cellStyle name="40% - Ênfase3 13 4 2" xfId="3014" xr:uid="{48F6F6AF-3815-4648-8089-0653A98BF9A3}"/>
    <cellStyle name="40% - Ênfase3 13 5" xfId="2087" xr:uid="{D1D1FB06-404B-4C45-87AA-A471203C4955}"/>
    <cellStyle name="40% - Ênfase3 14" xfId="295" xr:uid="{DC89AD65-D6BF-4363-BE1F-8C2522C1625B}"/>
    <cellStyle name="40% - Ênfase3 14 2" xfId="901" xr:uid="{49BD2BF3-1872-4643-A10C-AF479C06A226}"/>
    <cellStyle name="40% - Ênfase3 14 2 2" xfId="1504" xr:uid="{488294A3-5F17-4370-9D57-B745EF95E2D1}"/>
    <cellStyle name="40% - Ênfase3 14 2 2 2" xfId="3356" xr:uid="{140FBF72-8305-4258-A2DD-4425830495DD}"/>
    <cellStyle name="40% - Ênfase3 14 2 3" xfId="2429" xr:uid="{1E0E4F3D-0133-40BA-82D0-2F0C4E5176FF}"/>
    <cellStyle name="40% - Ênfase3 14 3" xfId="577" xr:uid="{2DE52B29-70B1-431E-9674-F93F153EEA05}"/>
    <cellStyle name="40% - Ênfase3 14 3 2" xfId="1636" xr:uid="{A39487CB-1368-4347-98E6-DE51EDB51B5D}"/>
    <cellStyle name="40% - Ênfase3 14 3 2 2" xfId="3488" xr:uid="{BD8DD030-D94A-4072-9354-F8148C031615}"/>
    <cellStyle name="40% - Ênfase3 14 3 3" xfId="2561" xr:uid="{0511DD0C-D761-4520-A699-114D08F5E9DB}"/>
    <cellStyle name="40% - Ênfase3 14 4" xfId="1182" xr:uid="{D7E8019D-3159-4CF9-A534-059353DCB17D}"/>
    <cellStyle name="40% - Ênfase3 14 4 2" xfId="3034" xr:uid="{7E079D20-09D5-4483-9E2F-80FF64924E5B}"/>
    <cellStyle name="40% - Ênfase3 14 5" xfId="2107" xr:uid="{6B6B5933-6539-4142-A519-04517C9BCE7B}"/>
    <cellStyle name="40% - Ênfase3 15" xfId="597" xr:uid="{F92E4B15-1A2B-45F7-808A-F4828BDE162F}"/>
    <cellStyle name="40% - Ênfase3 15 2" xfId="1660" xr:uid="{A712D2EC-6580-4DE7-BB75-4296621FA4F1}"/>
    <cellStyle name="40% - Ênfase3 15 2 2" xfId="2585" xr:uid="{776965F8-2798-48EC-ACAF-48AE321F9C0A}"/>
    <cellStyle name="40% - Ênfase3 15 3" xfId="1202" xr:uid="{6BEE969D-EB68-4C1D-AC2B-2F02638D421D}"/>
    <cellStyle name="40% - Ênfase3 15 3 2" xfId="3054" xr:uid="{5B76E7D4-3D41-4C30-BA97-F7ACF2BFDB21}"/>
    <cellStyle name="40% - Ênfase3 15 4" xfId="2127" xr:uid="{57EA633F-1D07-42C5-B97A-8E74D8710A1F}"/>
    <cellStyle name="40% - Ênfase3 16" xfId="617" xr:uid="{1F85710B-4598-40FE-8B03-13F6280D322A}"/>
    <cellStyle name="40% - Ênfase3 16 2" xfId="1680" xr:uid="{E9934B70-9EE9-4D96-848F-C8B0A5352709}"/>
    <cellStyle name="40% - Ênfase3 16 2 2" xfId="2605" xr:uid="{432C41B8-4CFC-4DE4-859F-76791F74A35A}"/>
    <cellStyle name="40% - Ênfase3 16 3" xfId="1222" xr:uid="{CE1BC5AC-4914-4246-9EC5-F68F387DB625}"/>
    <cellStyle name="40% - Ênfase3 16 3 2" xfId="3074" xr:uid="{E93ADFFA-EE01-414D-86F6-F9F9E5F41004}"/>
    <cellStyle name="40% - Ênfase3 16 4" xfId="2147" xr:uid="{5F94C517-203D-4E91-93E8-59D136A32C36}"/>
    <cellStyle name="40% - Ênfase3 17" xfId="637" xr:uid="{5E1C5C8E-B275-40C0-A531-092AC96EA4CA}"/>
    <cellStyle name="40% - Ênfase3 17 2" xfId="1241" xr:uid="{A25C1905-56BD-451D-AFD8-DF7DBF4410C9}"/>
    <cellStyle name="40% - Ênfase3 17 2 2" xfId="3093" xr:uid="{648206A4-CA4B-4210-8E3C-4B5590677117}"/>
    <cellStyle name="40% - Ênfase3 17 3" xfId="2166" xr:uid="{F407F9D7-884E-4D48-9232-EFE65CB099F3}"/>
    <cellStyle name="40% - Ênfase3 18" xfId="314" xr:uid="{B0E48346-8A45-482A-962A-59B94A4C1068}"/>
    <cellStyle name="40% - Ênfase3 18 2" xfId="1730" xr:uid="{ADB5124A-41FD-42F5-849C-98EBF5DC80FD}"/>
    <cellStyle name="40% - Ênfase3 18 2 2" xfId="3543" xr:uid="{FB01C859-9CFE-4789-91EB-302D7050D314}"/>
    <cellStyle name="40% - Ênfase3 18 3" xfId="2655" xr:uid="{184D8CB5-200D-45B5-8822-6DFAE3C7DEE0}"/>
    <cellStyle name="40% - Ênfase3 19" xfId="919" xr:uid="{D48BCC58-623E-4A3A-A8C1-B4AE95AA8E7C}"/>
    <cellStyle name="40% - Ênfase3 19 2" xfId="2771" xr:uid="{7A51E1B6-DA5F-4CF8-901F-4D52F74CF942}"/>
    <cellStyle name="40% - Ênfase3 2" xfId="54" xr:uid="{34317D80-D37B-4264-A086-BE1C059579B9}"/>
    <cellStyle name="40% - Ênfase3 2 2" xfId="660" xr:uid="{16CB0DB2-915F-4FE1-A73F-5AD39989A7B0}"/>
    <cellStyle name="40% - Ênfase3 2 2 2" xfId="1263" xr:uid="{B5A8EE10-69E8-450F-8A02-88958EE280EF}"/>
    <cellStyle name="40% - Ênfase3 2 2 2 2" xfId="3115" xr:uid="{73D177ED-54A3-4FC9-82E9-9322D3C5A146}"/>
    <cellStyle name="40% - Ênfase3 2 2 3" xfId="2188" xr:uid="{F080EBA3-AF71-492E-B1D0-756C4157A2A0}"/>
    <cellStyle name="40% - Ênfase3 2 3" xfId="336" xr:uid="{72E8AA0F-1CDD-425E-A320-C3735A7721CB}"/>
    <cellStyle name="40% - Ênfase3 2 3 2" xfId="1581" xr:uid="{F781DAAA-F69C-474A-9D7F-23EE4A68E708}"/>
    <cellStyle name="40% - Ênfase3 2 3 2 2" xfId="3433" xr:uid="{A1B966D6-0F1A-43FC-8E1C-B03BDCDDD29F}"/>
    <cellStyle name="40% - Ênfase3 2 3 3" xfId="2506" xr:uid="{26D7DC75-6B6C-4CDB-A39A-3E288CCC5795}"/>
    <cellStyle name="40% - Ênfase3 2 4" xfId="941" xr:uid="{5D5B2D28-50EC-4168-B7AA-D85C8C8BEBC0}"/>
    <cellStyle name="40% - Ênfase3 2 4 2" xfId="2793" xr:uid="{B5D38058-692F-4561-A258-D8E7071257AB}"/>
    <cellStyle name="40% - Ênfase3 2 5" xfId="1866" xr:uid="{42DE38E8-B863-40C6-86C1-6DB460C77E4C}"/>
    <cellStyle name="40% - Ênfase3 20" xfId="1844" xr:uid="{744C9644-FF10-493B-8EEB-EEE0359D7407}"/>
    <cellStyle name="40% - Ênfase3 3" xfId="72" xr:uid="{BCB17C80-884F-4856-8166-1E3985A808C6}"/>
    <cellStyle name="40% - Ênfase3 3 2" xfId="678" xr:uid="{57695811-6A0C-45F9-AB8A-51EA5454E9E9}"/>
    <cellStyle name="40% - Ênfase3 3 2 2" xfId="1281" xr:uid="{98BA04AD-00B9-43D1-9A47-4CCB453AE9AF}"/>
    <cellStyle name="40% - Ênfase3 3 2 2 2" xfId="3133" xr:uid="{A08AB593-F42A-4BBB-85C7-59100C60D6B9}"/>
    <cellStyle name="40% - Ênfase3 3 2 3" xfId="2206" xr:uid="{AD8108F3-8083-45BE-B417-C22BFC35C7B4}"/>
    <cellStyle name="40% - Ênfase3 3 3" xfId="354" xr:uid="{704E0533-BF38-4516-84AD-13F90ECB2A95}"/>
    <cellStyle name="40% - Ênfase3 3 3 2" xfId="1556" xr:uid="{FD088353-21CB-4958-BE8E-3B55CAF578B1}"/>
    <cellStyle name="40% - Ênfase3 3 3 2 2" xfId="3408" xr:uid="{65B7CBA5-AFE7-4966-AECF-E24AECA68542}"/>
    <cellStyle name="40% - Ênfase3 3 3 3" xfId="2481" xr:uid="{42988D47-3168-4901-B3D5-3586A53C6D33}"/>
    <cellStyle name="40% - Ênfase3 3 4" xfId="959" xr:uid="{6F905736-519B-4988-84AA-56CEA269E6C7}"/>
    <cellStyle name="40% - Ênfase3 3 4 2" xfId="2811" xr:uid="{4CACCA96-F603-4719-845C-3E6C261078E7}"/>
    <cellStyle name="40% - Ênfase3 3 5" xfId="1884" xr:uid="{F34C2288-76D3-4856-B8BF-7E06AD1FBE43}"/>
    <cellStyle name="40% - Ênfase3 4" xfId="94" xr:uid="{EAF29AC3-DCCE-4060-A3E7-0C267F3948CC}"/>
    <cellStyle name="40% - Ênfase3 4 2" xfId="700" xr:uid="{7B40216D-D3C9-4DD9-A82D-A0FD3CE8BF8A}"/>
    <cellStyle name="40% - Ênfase3 4 2 2" xfId="1303" xr:uid="{8C9D62BA-3BF4-4CC3-8A58-5BD66CA1C2E5}"/>
    <cellStyle name="40% - Ênfase3 4 2 2 2" xfId="3155" xr:uid="{08BC1B8A-A2A1-4EB2-B1EA-D91294CE5F36}"/>
    <cellStyle name="40% - Ênfase3 4 2 3" xfId="2228" xr:uid="{0D743BD9-FE8B-4A21-B3BA-28EC55B75419}"/>
    <cellStyle name="40% - Ênfase3 4 3" xfId="376" xr:uid="{263BE12C-2C1C-4946-8239-3271EB616D37}"/>
    <cellStyle name="40% - Ênfase3 4 3 2" xfId="1598" xr:uid="{AA1130AE-D5EC-49BE-8E2B-3E9E29ABF488}"/>
    <cellStyle name="40% - Ênfase3 4 3 2 2" xfId="3450" xr:uid="{3A039240-42B7-40B7-9A86-9F19694AC022}"/>
    <cellStyle name="40% - Ênfase3 4 3 3" xfId="2523" xr:uid="{A09EF084-EB2A-4F31-AB20-EAFEFF1CD4B3}"/>
    <cellStyle name="40% - Ênfase3 4 4" xfId="981" xr:uid="{6B510901-7FED-461D-AF56-182904FD3DF2}"/>
    <cellStyle name="40% - Ênfase3 4 4 2" xfId="2833" xr:uid="{8661EB29-7E33-412F-9AA3-E9578D7424F7}"/>
    <cellStyle name="40% - Ênfase3 4 5" xfId="1906" xr:uid="{C008FB22-3B3D-459A-803C-2C877586A679}"/>
    <cellStyle name="40% - Ênfase3 5" xfId="114" xr:uid="{6112C47A-3371-45A9-8A42-E3F39071E8D0}"/>
    <cellStyle name="40% - Ênfase3 5 2" xfId="720" xr:uid="{87183952-AA17-427D-A79B-14F9F0CB8937}"/>
    <cellStyle name="40% - Ênfase3 5 2 2" xfId="1323" xr:uid="{55F0EDB5-A619-41C6-A4C6-3413695CF214}"/>
    <cellStyle name="40% - Ênfase3 5 2 2 2" xfId="3175" xr:uid="{B32BE920-405E-4334-A913-DF1D31F40C82}"/>
    <cellStyle name="40% - Ênfase3 5 2 3" xfId="2248" xr:uid="{D396B66D-A85B-43C7-8642-41DDB5D48041}"/>
    <cellStyle name="40% - Ênfase3 5 3" xfId="396" xr:uid="{6768EAE8-0F42-4147-B3BC-10E96AFE12E5}"/>
    <cellStyle name="40% - Ênfase3 5 3 2" xfId="1628" xr:uid="{66C12775-3831-44BC-AD76-C4E9DB69E7CD}"/>
    <cellStyle name="40% - Ênfase3 5 3 2 2" xfId="3480" xr:uid="{5D44E5F8-13A5-49D4-9D01-F998725AFD21}"/>
    <cellStyle name="40% - Ênfase3 5 3 3" xfId="2553" xr:uid="{6DC56D05-CECC-428B-B460-0751E23EB66B}"/>
    <cellStyle name="40% - Ênfase3 5 4" xfId="1001" xr:uid="{27F19163-62F7-4553-8A77-12A5CB1FD516}"/>
    <cellStyle name="40% - Ênfase3 5 4 2" xfId="2853" xr:uid="{56A933A5-B301-4393-9D2B-651285B6C830}"/>
    <cellStyle name="40% - Ênfase3 5 5" xfId="1926" xr:uid="{8E90B370-9118-49B6-9828-2280373D7E6E}"/>
    <cellStyle name="40% - Ênfase3 6" xfId="134" xr:uid="{32799108-BE8D-4F88-BAF7-00EA9CCC1C05}"/>
    <cellStyle name="40% - Ênfase3 6 2" xfId="740" xr:uid="{C95F9784-115E-4468-B345-98FA99DA6A17}"/>
    <cellStyle name="40% - Ênfase3 6 2 2" xfId="1343" xr:uid="{A7842269-8D51-422D-A318-C7D19CEACD9C}"/>
    <cellStyle name="40% - Ênfase3 6 2 2 2" xfId="3195" xr:uid="{A1F727B3-1294-4E47-A535-DC33AE361C92}"/>
    <cellStyle name="40% - Ênfase3 6 2 3" xfId="2268" xr:uid="{FA6D1C23-155C-413F-B5C0-69F1CE15F3CB}"/>
    <cellStyle name="40% - Ênfase3 6 3" xfId="416" xr:uid="{97A09E15-6368-4673-A680-2F843D9EFA1C}"/>
    <cellStyle name="40% - Ênfase3 6 3 2" xfId="1612" xr:uid="{4F08F30C-2372-4D16-B6B7-E627C94B707F}"/>
    <cellStyle name="40% - Ênfase3 6 3 2 2" xfId="3464" xr:uid="{793FD655-311B-4853-A604-7258C9893C62}"/>
    <cellStyle name="40% - Ênfase3 6 3 3" xfId="2537" xr:uid="{3BD155CD-E207-4D2E-B56C-725D3FD0A4C7}"/>
    <cellStyle name="40% - Ênfase3 6 4" xfId="1021" xr:uid="{79BAB026-4C98-4E46-A86E-BC539E6686C4}"/>
    <cellStyle name="40% - Ênfase3 6 4 2" xfId="2873" xr:uid="{FD91DAE6-C694-4073-B740-AAFB83B5EE32}"/>
    <cellStyle name="40% - Ênfase3 6 5" xfId="1946" xr:uid="{23D5B173-70B9-4821-BAA6-322FB9A4CA07}"/>
    <cellStyle name="40% - Ênfase3 7" xfId="154" xr:uid="{8F1CA208-CD53-4686-BB26-3849A5722201}"/>
    <cellStyle name="40% - Ênfase3 7 2" xfId="760" xr:uid="{80A2E249-7E13-4446-89A0-9C87B09805DB}"/>
    <cellStyle name="40% - Ênfase3 7 2 2" xfId="1363" xr:uid="{9B96518F-8595-4E27-B9D4-DB774EE14D40}"/>
    <cellStyle name="40% - Ênfase3 7 2 2 2" xfId="3215" xr:uid="{0856B327-9A98-406E-AE08-9CCB44E82228}"/>
    <cellStyle name="40% - Ênfase3 7 2 3" xfId="2288" xr:uid="{908AF98B-D275-4803-832D-C1AD9CBAD8DE}"/>
    <cellStyle name="40% - Ênfase3 7 3" xfId="436" xr:uid="{712B7FC9-6952-436C-9C2F-2B66EF0E77E4}"/>
    <cellStyle name="40% - Ênfase3 7 3 2" xfId="1532" xr:uid="{2C050D82-61AC-40FB-9F38-AE58A44DC936}"/>
    <cellStyle name="40% - Ênfase3 7 3 2 2" xfId="3384" xr:uid="{477CAFEE-3DDA-4243-B3DB-2EA3A0B34DBD}"/>
    <cellStyle name="40% - Ênfase3 7 3 3" xfId="2457" xr:uid="{135EF3AD-9569-4809-9FBF-4779AAD7EBF9}"/>
    <cellStyle name="40% - Ênfase3 7 4" xfId="1041" xr:uid="{FFBA2E24-8DD9-48F5-93B8-73F6B1FFF38B}"/>
    <cellStyle name="40% - Ênfase3 7 4 2" xfId="2893" xr:uid="{489C9799-4E7C-4164-9C34-23ECD1E63A84}"/>
    <cellStyle name="40% - Ênfase3 7 5" xfId="1966" xr:uid="{AD67B28C-8226-471B-A0EC-138555CDD26B}"/>
    <cellStyle name="40% - Ênfase3 8" xfId="174" xr:uid="{C8335F2E-481F-40DE-B066-D7315C466635}"/>
    <cellStyle name="40% - Ênfase3 8 2" xfId="780" xr:uid="{7D29644B-CEF9-42F0-9427-B6828EAF85DE}"/>
    <cellStyle name="40% - Ênfase3 8 2 2" xfId="1383" xr:uid="{566D211C-4959-4082-B5F3-8F9F78678150}"/>
    <cellStyle name="40% - Ênfase3 8 2 2 2" xfId="3235" xr:uid="{CAA28A04-9176-4976-813D-91CB59BEA9D8}"/>
    <cellStyle name="40% - Ênfase3 8 2 3" xfId="2308" xr:uid="{79641B53-F693-42B7-8F90-83EAAB1EF1A4}"/>
    <cellStyle name="40% - Ênfase3 8 3" xfId="456" xr:uid="{76D649E9-100F-4666-91FD-919A0B79B822}"/>
    <cellStyle name="40% - Ênfase3 8 3 2" xfId="1759" xr:uid="{8B18D3C9-ADA6-4462-A1AA-C19BDCFC9BF3}"/>
    <cellStyle name="40% - Ênfase3 8 3 2 2" xfId="3572" xr:uid="{833B64BA-C521-4512-AF50-F3C96CBAC090}"/>
    <cellStyle name="40% - Ênfase3 8 3 3" xfId="2684" xr:uid="{A7C7CC1E-4201-41D3-9B76-60B63A805E0A}"/>
    <cellStyle name="40% - Ênfase3 8 4" xfId="1061" xr:uid="{C4DDEF47-55AB-4BE9-90FB-192A506A4DBF}"/>
    <cellStyle name="40% - Ênfase3 8 4 2" xfId="2913" xr:uid="{2E5109ED-B8C2-4CD4-A575-197B169C20A8}"/>
    <cellStyle name="40% - Ênfase3 8 5" xfId="1986" xr:uid="{BF5E1302-50CD-4CE2-8382-700CEC4A0152}"/>
    <cellStyle name="40% - Ênfase3 9" xfId="194" xr:uid="{EDC21DFE-441E-4F4F-B57F-B7562C633459}"/>
    <cellStyle name="40% - Ênfase3 9 2" xfId="800" xr:uid="{4539B764-8A68-484B-B9AD-7248C83FB55D}"/>
    <cellStyle name="40% - Ênfase3 9 2 2" xfId="1403" xr:uid="{EB4C952B-1DB8-4918-9263-5663355B4689}"/>
    <cellStyle name="40% - Ênfase3 9 2 2 2" xfId="3255" xr:uid="{B4C4D383-BB26-44A3-9BFD-BAEAFAFC3106}"/>
    <cellStyle name="40% - Ênfase3 9 2 3" xfId="2328" xr:uid="{E55CC854-52C2-4BA5-A175-7D7D41664E54}"/>
    <cellStyle name="40% - Ênfase3 9 3" xfId="476" xr:uid="{950C17AB-98AC-4AD7-AF4B-657211E62594}"/>
    <cellStyle name="40% - Ênfase3 9 3 2" xfId="1703" xr:uid="{C07C5B27-EBB0-46B5-AA7B-50484CB782BB}"/>
    <cellStyle name="40% - Ênfase3 9 3 2 2" xfId="3516" xr:uid="{668E2ACF-3703-49C4-B509-83E6A67769CC}"/>
    <cellStyle name="40% - Ênfase3 9 3 3" xfId="2628" xr:uid="{C9672E80-5AA7-41D9-BF1F-77A4BF464E82}"/>
    <cellStyle name="40% - Ênfase3 9 4" xfId="1081" xr:uid="{0DCC36AC-4125-4E7B-9504-96AD704A6E27}"/>
    <cellStyle name="40% - Ênfase3 9 4 2" xfId="2933" xr:uid="{10B090B0-411B-4764-A36D-06B7293F2CF0}"/>
    <cellStyle name="40% - Ênfase3 9 5" xfId="2006" xr:uid="{F9DD441C-1435-4356-ABF9-BAA8E696DE64}"/>
    <cellStyle name="40% - Ênfase4" xfId="32" builtinId="43" customBuiltin="1"/>
    <cellStyle name="40% - Ênfase4 10" xfId="218" xr:uid="{4C5DCF16-8044-4D68-B5BD-5BF8E5FB4FF9}"/>
    <cellStyle name="40% - Ênfase4 10 2" xfId="824" xr:uid="{2A34730E-6179-40A2-8E16-8F36BC1A4925}"/>
    <cellStyle name="40% - Ênfase4 10 2 2" xfId="1427" xr:uid="{A4C0346E-914F-446F-93C3-A601B1403CF0}"/>
    <cellStyle name="40% - Ênfase4 10 2 2 2" xfId="3279" xr:uid="{94A558D0-4471-4EDA-9D8F-168AE5A7F3C9}"/>
    <cellStyle name="40% - Ênfase4 10 2 3" xfId="2352" xr:uid="{7B4BFDA7-2CC8-4709-9AD8-36F2C5960334}"/>
    <cellStyle name="40% - Ênfase4 10 3" xfId="500" xr:uid="{251151C2-B603-46D4-A7DC-EA3C09201B28}"/>
    <cellStyle name="40% - Ênfase4 10 3 2" xfId="1540" xr:uid="{D7C975A1-BB33-49F1-932F-F3D074866A30}"/>
    <cellStyle name="40% - Ênfase4 10 3 2 2" xfId="3392" xr:uid="{2524A030-9EF1-4869-810C-4A35DE76F92B}"/>
    <cellStyle name="40% - Ênfase4 10 3 3" xfId="2465" xr:uid="{F06125C6-90A5-4D64-86C5-4E74D8858BEA}"/>
    <cellStyle name="40% - Ênfase4 10 4" xfId="1105" xr:uid="{7F4C1C56-BDB9-4549-A9DA-46FE9114111F}"/>
    <cellStyle name="40% - Ênfase4 10 4 2" xfId="2957" xr:uid="{FFCF7413-3334-47A0-85CC-C017BB089F45}"/>
    <cellStyle name="40% - Ênfase4 10 5" xfId="2030" xr:uid="{688AD284-5113-4F1F-B128-60044B405374}"/>
    <cellStyle name="40% - Ênfase4 11" xfId="238" xr:uid="{97AD8C1D-12AA-4D03-A71B-378BB9CF42AF}"/>
    <cellStyle name="40% - Ênfase4 11 2" xfId="844" xr:uid="{9327DCEA-23AA-4031-8894-3818A424F3CD}"/>
    <cellStyle name="40% - Ênfase4 11 2 2" xfId="1447" xr:uid="{101486E0-340B-4EC4-AB97-22DFCC9AC962}"/>
    <cellStyle name="40% - Ênfase4 11 2 2 2" xfId="3299" xr:uid="{E9806F0E-5E48-4DE7-B7F6-B53899939525}"/>
    <cellStyle name="40% - Ênfase4 11 2 3" xfId="2372" xr:uid="{8C165ECE-CA2B-4806-9D7A-42A74BBF9410}"/>
    <cellStyle name="40% - Ênfase4 11 3" xfId="520" xr:uid="{72B8B376-3397-4E16-B63F-ED5E5510DECD}"/>
    <cellStyle name="40% - Ênfase4 11 3 2" xfId="1707" xr:uid="{892E518F-3FEB-489E-B71A-5945D2BD48D3}"/>
    <cellStyle name="40% - Ênfase4 11 3 2 2" xfId="3520" xr:uid="{892AC9EE-7C7E-40A4-8850-493BC213F267}"/>
    <cellStyle name="40% - Ênfase4 11 3 3" xfId="2632" xr:uid="{7AE80A9F-BDE9-4ECB-981A-3E9D963E6D9D}"/>
    <cellStyle name="40% - Ênfase4 11 4" xfId="1125" xr:uid="{054D9715-D46F-4CA8-A6AB-E36F8C2F7D6B}"/>
    <cellStyle name="40% - Ênfase4 11 4 2" xfId="2977" xr:uid="{6A387791-AEDF-46CE-BF59-3D29189D5B4C}"/>
    <cellStyle name="40% - Ênfase4 11 5" xfId="2050" xr:uid="{D5E3F43C-56E6-43BC-9823-12A2C08D0CC8}"/>
    <cellStyle name="40% - Ênfase4 12" xfId="258" xr:uid="{53A0DC36-80AD-4001-B80A-D82A894B152A}"/>
    <cellStyle name="40% - Ênfase4 12 2" xfId="864" xr:uid="{9F2D4102-D92B-4694-AF2B-67610D4BB7F7}"/>
    <cellStyle name="40% - Ênfase4 12 2 2" xfId="1467" xr:uid="{5DCD3CC4-FA3C-4508-B46C-2D8B5EB607E9}"/>
    <cellStyle name="40% - Ênfase4 12 2 2 2" xfId="3319" xr:uid="{4B67C267-DE08-46E1-B84F-A64DC310E30C}"/>
    <cellStyle name="40% - Ênfase4 12 2 3" xfId="2392" xr:uid="{A6A1640B-70E4-438C-8152-E193735D1EE4}"/>
    <cellStyle name="40% - Ênfase4 12 3" xfId="540" xr:uid="{22D81E99-1A6B-40FA-A9D5-9C5609CAA311}"/>
    <cellStyle name="40% - Ênfase4 12 3 2" xfId="1831" xr:uid="{04CF6D76-05D1-438A-B7D4-72767B2915F0}"/>
    <cellStyle name="40% - Ênfase4 12 3 2 2" xfId="3644" xr:uid="{78D2C57D-E971-4ACD-9A65-EA2DB108E1C9}"/>
    <cellStyle name="40% - Ênfase4 12 3 3" xfId="2756" xr:uid="{7A2EDF44-133B-4FC7-B81E-0766CE256DD6}"/>
    <cellStyle name="40% - Ênfase4 12 4" xfId="1145" xr:uid="{730E9E9C-9135-4418-8B1C-1B7463ADB6E1}"/>
    <cellStyle name="40% - Ênfase4 12 4 2" xfId="2997" xr:uid="{28183426-BBC9-4735-9C46-D5F047B3198E}"/>
    <cellStyle name="40% - Ênfase4 12 5" xfId="2070" xr:uid="{A2F33915-04EA-4DA8-9133-CE2838A75B96}"/>
    <cellStyle name="40% - Ênfase4 13" xfId="278" xr:uid="{7F8BCE78-F0B6-4989-919B-8443D7432171}"/>
    <cellStyle name="40% - Ênfase4 13 2" xfId="884" xr:uid="{0FFFA6DF-0466-401F-8301-0BB842A6642A}"/>
    <cellStyle name="40% - Ênfase4 13 2 2" xfId="1487" xr:uid="{F8561576-E8B3-4D5E-91D5-09BCCAEA9E35}"/>
    <cellStyle name="40% - Ênfase4 13 2 2 2" xfId="3339" xr:uid="{843269E9-7A39-4D28-A51A-BB71CB438045}"/>
    <cellStyle name="40% - Ênfase4 13 2 3" xfId="2412" xr:uid="{E4FDCB58-9DA9-417A-B548-C862123D3808}"/>
    <cellStyle name="40% - Ênfase4 13 3" xfId="560" xr:uid="{F53BBB8A-28D4-49FA-B804-300D3A49526E}"/>
    <cellStyle name="40% - Ênfase4 13 3 2" xfId="1743" xr:uid="{E175A468-D7A3-426F-878C-7D1DC679BC09}"/>
    <cellStyle name="40% - Ênfase4 13 3 2 2" xfId="3556" xr:uid="{C274E1D7-29C4-432A-BEA2-17F7115FF9C1}"/>
    <cellStyle name="40% - Ênfase4 13 3 3" xfId="2668" xr:uid="{DF4D2A0B-3B54-4052-9FAC-99DC0BB1D916}"/>
    <cellStyle name="40% - Ênfase4 13 4" xfId="1165" xr:uid="{CBAF71AF-FAB8-41CA-9316-A7CB5E538A70}"/>
    <cellStyle name="40% - Ênfase4 13 4 2" xfId="3017" xr:uid="{FB57D45F-C5C7-45D0-87C3-ECAF8A38236D}"/>
    <cellStyle name="40% - Ênfase4 13 5" xfId="2090" xr:uid="{68BC8F12-7109-41FA-BB0E-BE83DEA60CB5}"/>
    <cellStyle name="40% - Ênfase4 14" xfId="298" xr:uid="{D1D72439-0E56-42C8-83FE-DA37C8331CDC}"/>
    <cellStyle name="40% - Ênfase4 14 2" xfId="904" xr:uid="{CE21CB7B-30FB-4FE8-922F-3221134D8CFF}"/>
    <cellStyle name="40% - Ênfase4 14 2 2" xfId="1507" xr:uid="{2309C551-785B-4ED5-BFAE-43BDD0DB090B}"/>
    <cellStyle name="40% - Ênfase4 14 2 2 2" xfId="3359" xr:uid="{E8F48DA8-C56E-4797-A4A7-FFE6476774A4}"/>
    <cellStyle name="40% - Ênfase4 14 2 3" xfId="2432" xr:uid="{8E6BA340-8647-4796-A8B3-5CDB96818D5A}"/>
    <cellStyle name="40% - Ênfase4 14 3" xfId="580" xr:uid="{9BB37E7B-4930-44D0-9C9D-DC57DF4A9B61}"/>
    <cellStyle name="40% - Ênfase4 14 3 2" xfId="1788" xr:uid="{C18BEBA7-81E2-4B46-BB6B-85446B529729}"/>
    <cellStyle name="40% - Ênfase4 14 3 2 2" xfId="3601" xr:uid="{0B0B3BDB-A29D-408F-9A47-2DFC5C8D96D6}"/>
    <cellStyle name="40% - Ênfase4 14 3 3" xfId="2713" xr:uid="{8735747E-30E1-47F5-945F-E4CEC62D4286}"/>
    <cellStyle name="40% - Ênfase4 14 4" xfId="1185" xr:uid="{B99E4CAD-20CC-4329-B8E4-BDC582AAA427}"/>
    <cellStyle name="40% - Ênfase4 14 4 2" xfId="3037" xr:uid="{7D7863CE-344B-492D-9655-090B2CFE676E}"/>
    <cellStyle name="40% - Ênfase4 14 5" xfId="2110" xr:uid="{F60AF272-C54A-4BC3-BCDA-9BF737C5E135}"/>
    <cellStyle name="40% - Ênfase4 15" xfId="600" xr:uid="{388EA917-7A66-474E-91C8-71EF07AD5BFD}"/>
    <cellStyle name="40% - Ênfase4 15 2" xfId="1663" xr:uid="{9892F748-5D27-42B2-B69B-F552AD1F92DE}"/>
    <cellStyle name="40% - Ênfase4 15 2 2" xfId="2588" xr:uid="{87B02B90-CC98-4DA3-8EC7-DC672D4863FB}"/>
    <cellStyle name="40% - Ênfase4 15 3" xfId="1205" xr:uid="{16DD2611-756C-4921-B30B-51C80A731748}"/>
    <cellStyle name="40% - Ênfase4 15 3 2" xfId="3057" xr:uid="{FDDB5F23-1F8C-42AB-8A03-4FDB7F3E7C9C}"/>
    <cellStyle name="40% - Ênfase4 15 4" xfId="2130" xr:uid="{3478F878-989D-40B9-925A-AD5D54064A91}"/>
    <cellStyle name="40% - Ênfase4 16" xfId="620" xr:uid="{69960F01-D289-40E5-952F-0BC1DC4CA4E6}"/>
    <cellStyle name="40% - Ênfase4 16 2" xfId="1683" xr:uid="{E9B0037B-6C5F-41F9-8171-6C07E8A80645}"/>
    <cellStyle name="40% - Ênfase4 16 2 2" xfId="2608" xr:uid="{18CFB41F-ECC8-4F26-B6A6-BDDAF3683B69}"/>
    <cellStyle name="40% - Ênfase4 16 3" xfId="1225" xr:uid="{A0AA7256-EC0B-4F14-BCC3-234449C4CADF}"/>
    <cellStyle name="40% - Ênfase4 16 3 2" xfId="3077" xr:uid="{063412F6-2C69-4068-8BE2-E4D6C91F8731}"/>
    <cellStyle name="40% - Ênfase4 16 4" xfId="2150" xr:uid="{7E4F7DC2-78EE-4F88-9202-67AC9C1C9225}"/>
    <cellStyle name="40% - Ênfase4 17" xfId="640" xr:uid="{4FA3A290-7F11-4361-8282-0CE870B0D265}"/>
    <cellStyle name="40% - Ênfase4 17 2" xfId="1244" xr:uid="{65B0342C-0379-4F55-B9FA-FCB430BEBFE2}"/>
    <cellStyle name="40% - Ênfase4 17 2 2" xfId="3096" xr:uid="{734A53B1-05EB-43F4-9D04-08156B1452C1}"/>
    <cellStyle name="40% - Ênfase4 17 3" xfId="2169" xr:uid="{7E87A448-3DB3-43DA-8C51-FFDFA7AE3F51}"/>
    <cellStyle name="40% - Ênfase4 18" xfId="317" xr:uid="{F11119B1-0D7A-4CCE-8E35-CCB8CB84E690}"/>
    <cellStyle name="40% - Ênfase4 18 2" xfId="1613" xr:uid="{DC109D07-E74A-4ECB-84BF-8374BD733BC1}"/>
    <cellStyle name="40% - Ênfase4 18 2 2" xfId="3465" xr:uid="{AEB57835-FA95-4446-ACC2-A8BD3CABEBF9}"/>
    <cellStyle name="40% - Ênfase4 18 3" xfId="2538" xr:uid="{077C1927-5AF0-426F-AE4C-861DC929FE38}"/>
    <cellStyle name="40% - Ênfase4 19" xfId="922" xr:uid="{2AD63B87-6B6B-4427-9434-34EFADC2DED8}"/>
    <cellStyle name="40% - Ênfase4 19 2" xfId="2774" xr:uid="{33A8BFD0-8D1D-4628-809C-92D4C71C89E5}"/>
    <cellStyle name="40% - Ênfase4 2" xfId="57" xr:uid="{9B4947D8-F219-410D-850C-C8C694E1741D}"/>
    <cellStyle name="40% - Ênfase4 2 2" xfId="663" xr:uid="{EB00EB99-10DE-4CC4-910B-BFE21D0334F8}"/>
    <cellStyle name="40% - Ênfase4 2 2 2" xfId="1266" xr:uid="{4DF0BFDB-D9E5-455B-AD7C-6FFD75DCB069}"/>
    <cellStyle name="40% - Ênfase4 2 2 2 2" xfId="3118" xr:uid="{D9F3D067-D915-435A-BCA6-8FE71AABA5F2}"/>
    <cellStyle name="40% - Ênfase4 2 2 3" xfId="2191" xr:uid="{DBA53361-99FD-4E06-A63C-7CE19D954F27}"/>
    <cellStyle name="40% - Ênfase4 2 3" xfId="339" xr:uid="{DE388013-247E-4B4A-B957-4F08B58B40EC}"/>
    <cellStyle name="40% - Ênfase4 2 3 2" xfId="1828" xr:uid="{4AF98760-3375-4092-920C-0D7EF032A69E}"/>
    <cellStyle name="40% - Ênfase4 2 3 2 2" xfId="3641" xr:uid="{090C7BDE-0F90-446E-AE60-2156B4608664}"/>
    <cellStyle name="40% - Ênfase4 2 3 3" xfId="2753" xr:uid="{5B4EA9A5-996C-446F-B632-935CC36A0E73}"/>
    <cellStyle name="40% - Ênfase4 2 4" xfId="944" xr:uid="{B83D380E-69F9-40A0-B3DD-F30FE4430039}"/>
    <cellStyle name="40% - Ênfase4 2 4 2" xfId="2796" xr:uid="{EE5F280C-9B95-4DB9-B45A-035A250523CE}"/>
    <cellStyle name="40% - Ênfase4 2 5" xfId="1869" xr:uid="{51950831-588C-4DBE-A803-14DD918FA327}"/>
    <cellStyle name="40% - Ênfase4 20" xfId="1847" xr:uid="{4689A0CF-7710-454B-8842-4F2E6EC68213}"/>
    <cellStyle name="40% - Ênfase4 3" xfId="75" xr:uid="{AC141FA4-8539-484C-AC36-5921559B6067}"/>
    <cellStyle name="40% - Ênfase4 3 2" xfId="681" xr:uid="{09ED7B9E-0909-4BE3-8C89-173B2E489A44}"/>
    <cellStyle name="40% - Ênfase4 3 2 2" xfId="1284" xr:uid="{87C79D1B-5072-455E-A7C0-D0F841BD27DE}"/>
    <cellStyle name="40% - Ênfase4 3 2 2 2" xfId="3136" xr:uid="{FFC4D0BD-BAF0-48BA-A00F-1EFF538F24AD}"/>
    <cellStyle name="40% - Ênfase4 3 2 3" xfId="2209" xr:uid="{FC5C0501-3D8D-4F04-9341-44CCED437761}"/>
    <cellStyle name="40% - Ênfase4 3 3" xfId="357" xr:uid="{1D4A5FF2-4BFA-49C3-B049-79A448C64EC7}"/>
    <cellStyle name="40% - Ênfase4 3 3 2" xfId="1693" xr:uid="{38B1B852-B517-409F-9223-8B1F82A83B68}"/>
    <cellStyle name="40% - Ênfase4 3 3 2 2" xfId="3506" xr:uid="{9B1C9BB5-D7ED-407D-91C2-885BFA04EDB8}"/>
    <cellStyle name="40% - Ênfase4 3 3 3" xfId="2618" xr:uid="{A5754504-F42B-4B28-A7B1-1E03BB6744E6}"/>
    <cellStyle name="40% - Ênfase4 3 4" xfId="962" xr:uid="{C3AD9B88-AF25-4FFB-B2CF-4E55EBF60D6D}"/>
    <cellStyle name="40% - Ênfase4 3 4 2" xfId="2814" xr:uid="{5288F7BD-A02C-49C6-A424-AA5F72621C97}"/>
    <cellStyle name="40% - Ênfase4 3 5" xfId="1887" xr:uid="{652B0F9D-C829-4C04-80B0-6116D8C2D542}"/>
    <cellStyle name="40% - Ênfase4 4" xfId="97" xr:uid="{485579B7-F151-4B69-8AA5-1ACFDF79AFB5}"/>
    <cellStyle name="40% - Ênfase4 4 2" xfId="703" xr:uid="{204968C1-AEE8-42D6-B934-691F94F90795}"/>
    <cellStyle name="40% - Ênfase4 4 2 2" xfId="1306" xr:uid="{46A8F269-6939-476A-A1BE-F78751C6037B}"/>
    <cellStyle name="40% - Ênfase4 4 2 2 2" xfId="3158" xr:uid="{B27D1B34-70EB-45B5-A0F7-6EAE12FDE086}"/>
    <cellStyle name="40% - Ênfase4 4 2 3" xfId="2231" xr:uid="{269802C7-7C0C-487B-9022-070BB1A048E7}"/>
    <cellStyle name="40% - Ênfase4 4 3" xfId="379" xr:uid="{1C0AAD4E-0FC4-4B10-BBD3-FBFEE60B9E6C}"/>
    <cellStyle name="40% - Ênfase4 4 3 2" xfId="1713" xr:uid="{044BC02A-8634-4954-BAA9-EB588D56487D}"/>
    <cellStyle name="40% - Ênfase4 4 3 2 2" xfId="3526" xr:uid="{90BF06F4-43E8-4AEC-BCBE-916EBFEDFF15}"/>
    <cellStyle name="40% - Ênfase4 4 3 3" xfId="2638" xr:uid="{632BE191-13C2-4A14-9E90-E5CBCA3360E9}"/>
    <cellStyle name="40% - Ênfase4 4 4" xfId="984" xr:uid="{6C9CAA0E-5411-4CD0-9BF8-0BF803F10DBC}"/>
    <cellStyle name="40% - Ênfase4 4 4 2" xfId="2836" xr:uid="{9DC40A5C-8DF0-4D61-B682-8AB47F9A3B91}"/>
    <cellStyle name="40% - Ênfase4 4 5" xfId="1909" xr:uid="{ED8CA35C-AC74-4482-90B2-492E58A0F0D1}"/>
    <cellStyle name="40% - Ênfase4 5" xfId="117" xr:uid="{A4900EBD-3656-4EF4-92BF-393A121BB979}"/>
    <cellStyle name="40% - Ênfase4 5 2" xfId="723" xr:uid="{08185879-9CFE-4ED3-BDB9-B7EC1B80D9FA}"/>
    <cellStyle name="40% - Ênfase4 5 2 2" xfId="1326" xr:uid="{B4B29736-127E-4921-B0C8-3D1113DD2BB5}"/>
    <cellStyle name="40% - Ênfase4 5 2 2 2" xfId="3178" xr:uid="{F4D26FF3-E480-419D-8567-1ABD5F067206}"/>
    <cellStyle name="40% - Ênfase4 5 2 3" xfId="2251" xr:uid="{31EE27F5-3A4E-4A89-B435-6BFE7F411EB2}"/>
    <cellStyle name="40% - Ênfase4 5 3" xfId="399" xr:uid="{367273DD-4C90-4354-B62C-C0F3DC256E1A}"/>
    <cellStyle name="40% - Ênfase4 5 3 2" xfId="1638" xr:uid="{F3A35638-633A-46F8-AE9E-AB2F7DA5EB6F}"/>
    <cellStyle name="40% - Ênfase4 5 3 2 2" xfId="3490" xr:uid="{08E511CF-30BE-4C50-A25D-856E1031DE1A}"/>
    <cellStyle name="40% - Ênfase4 5 3 3" xfId="2563" xr:uid="{54C4204E-6C00-4217-A9FC-439009A89059}"/>
    <cellStyle name="40% - Ênfase4 5 4" xfId="1004" xr:uid="{5689F15B-DE29-4A84-9611-922103BF58F0}"/>
    <cellStyle name="40% - Ênfase4 5 4 2" xfId="2856" xr:uid="{4F5455C3-84F0-4351-A7B7-075CCF62137D}"/>
    <cellStyle name="40% - Ênfase4 5 5" xfId="1929" xr:uid="{184B694D-4FA6-4760-80C3-E1D5967774D8}"/>
    <cellStyle name="40% - Ênfase4 6" xfId="137" xr:uid="{651C839C-C3DE-4228-A5E4-71AF152D76E4}"/>
    <cellStyle name="40% - Ênfase4 6 2" xfId="743" xr:uid="{54444599-5505-42FB-982B-56133ABE5221}"/>
    <cellStyle name="40% - Ênfase4 6 2 2" xfId="1346" xr:uid="{8171FC23-4AE3-4CC9-989B-B0C29D4703F8}"/>
    <cellStyle name="40% - Ênfase4 6 2 2 2" xfId="3198" xr:uid="{CA9F0691-9298-4571-9DA1-970EC444E261}"/>
    <cellStyle name="40% - Ênfase4 6 2 3" xfId="2271" xr:uid="{A2CD2479-E044-4E26-813B-F5A5E1D69615}"/>
    <cellStyle name="40% - Ênfase4 6 3" xfId="419" xr:uid="{D49C4984-8F5E-43E2-9830-2EB7BB2276E3}"/>
    <cellStyle name="40% - Ênfase4 6 3 2" xfId="1620" xr:uid="{FB34647F-6B2F-4136-8686-B1A8D2ECECE1}"/>
    <cellStyle name="40% - Ênfase4 6 3 2 2" xfId="3472" xr:uid="{82C94996-7CCF-4026-B6C4-C32E0BBCA033}"/>
    <cellStyle name="40% - Ênfase4 6 3 3" xfId="2545" xr:uid="{52580E59-DA03-46BC-9386-C337F71FB2DE}"/>
    <cellStyle name="40% - Ênfase4 6 4" xfId="1024" xr:uid="{8FD920FE-672D-4300-9AF5-D5D28CAAC000}"/>
    <cellStyle name="40% - Ênfase4 6 4 2" xfId="2876" xr:uid="{24488CF5-0259-4187-B0BF-6652197C9400}"/>
    <cellStyle name="40% - Ênfase4 6 5" xfId="1949" xr:uid="{D29F7817-3BCB-4684-9D20-1C3C680FDE7D}"/>
    <cellStyle name="40% - Ênfase4 7" xfId="157" xr:uid="{95949C3C-F007-4BC7-8070-CC7A36B28F9E}"/>
    <cellStyle name="40% - Ênfase4 7 2" xfId="763" xr:uid="{A625E3CE-9215-4499-AD12-631F1508FBA7}"/>
    <cellStyle name="40% - Ênfase4 7 2 2" xfId="1366" xr:uid="{038212E9-C9D7-4712-81B8-EF1C864B0222}"/>
    <cellStyle name="40% - Ênfase4 7 2 2 2" xfId="3218" xr:uid="{E613AFD2-180E-4E9F-B0CA-29F8229E7AA8}"/>
    <cellStyle name="40% - Ênfase4 7 2 3" xfId="2291" xr:uid="{155788C3-B997-4812-9535-9231BFA2EC67}"/>
    <cellStyle name="40% - Ênfase4 7 3" xfId="439" xr:uid="{680D3569-70B5-4C5D-B48E-863D9CC535F2}"/>
    <cellStyle name="40% - Ênfase4 7 3 2" xfId="1812" xr:uid="{E3AABEE7-C91C-4273-A6A2-AE5460F76A6D}"/>
    <cellStyle name="40% - Ênfase4 7 3 2 2" xfId="3625" xr:uid="{6405964D-9691-4D92-97D6-5630E3B2328D}"/>
    <cellStyle name="40% - Ênfase4 7 3 3" xfId="2737" xr:uid="{F3B8462B-2FDC-499E-B00B-D6A7A1EC03C3}"/>
    <cellStyle name="40% - Ênfase4 7 4" xfId="1044" xr:uid="{134A87F9-8C2B-4CB7-BEDB-5AD03FE95CDC}"/>
    <cellStyle name="40% - Ênfase4 7 4 2" xfId="2896" xr:uid="{ECDDABAA-A7D9-46A3-96DA-7CB8DE05A6F1}"/>
    <cellStyle name="40% - Ênfase4 7 5" xfId="1969" xr:uid="{95A584FF-1838-403D-A716-7971849686BB}"/>
    <cellStyle name="40% - Ênfase4 8" xfId="177" xr:uid="{CD2EC6BB-2A43-4A95-8D26-BE82EC96F66A}"/>
    <cellStyle name="40% - Ênfase4 8 2" xfId="783" xr:uid="{CB96F359-B117-4734-ACBD-2BF485196C13}"/>
    <cellStyle name="40% - Ênfase4 8 2 2" xfId="1386" xr:uid="{E1198440-73FD-4BE8-A870-DB76CDF70CC9}"/>
    <cellStyle name="40% - Ênfase4 8 2 2 2" xfId="3238" xr:uid="{31C459CA-E5B8-4528-9C53-0AE73F973C29}"/>
    <cellStyle name="40% - Ênfase4 8 2 3" xfId="2311" xr:uid="{BBF1413B-02F2-420F-88CA-BDBB6A88BDAB}"/>
    <cellStyle name="40% - Ênfase4 8 3" xfId="459" xr:uid="{C9212DD7-85C7-41F7-932E-029745A4F02B}"/>
    <cellStyle name="40% - Ênfase4 8 3 2" xfId="1548" xr:uid="{10C37AFE-3B16-4637-9836-15749980887E}"/>
    <cellStyle name="40% - Ênfase4 8 3 2 2" xfId="3400" xr:uid="{8A947631-08B5-4AC1-BCA1-E0F1CFFF946C}"/>
    <cellStyle name="40% - Ênfase4 8 3 3" xfId="2473" xr:uid="{FA8CCFDB-87A3-4FCF-92D8-54E485377C15}"/>
    <cellStyle name="40% - Ênfase4 8 4" xfId="1064" xr:uid="{58B3B0CE-2BDC-4F4D-AA58-6D260FD10E0D}"/>
    <cellStyle name="40% - Ênfase4 8 4 2" xfId="2916" xr:uid="{9B729F1B-65BD-43DA-98E8-6516B1365754}"/>
    <cellStyle name="40% - Ênfase4 8 5" xfId="1989" xr:uid="{D6FD6157-AF8E-4004-94C4-E8C324B1A2AD}"/>
    <cellStyle name="40% - Ênfase4 9" xfId="197" xr:uid="{1B39F0AD-5E0F-4FF2-BA2B-9BBB05C14069}"/>
    <cellStyle name="40% - Ênfase4 9 2" xfId="803" xr:uid="{EDAB8CE8-E368-467D-8DD1-B504CA7A2704}"/>
    <cellStyle name="40% - Ênfase4 9 2 2" xfId="1406" xr:uid="{824CB933-039C-4E91-A304-C00229115B3C}"/>
    <cellStyle name="40% - Ênfase4 9 2 2 2" xfId="3258" xr:uid="{FC2A2AEE-0C26-4B68-95DB-6608D03772CE}"/>
    <cellStyle name="40% - Ênfase4 9 2 3" xfId="2331" xr:uid="{20CFABFB-F4E0-4C48-932A-A91C9AF5A62E}"/>
    <cellStyle name="40% - Ênfase4 9 3" xfId="479" xr:uid="{1BEA24AC-1D60-4E91-A8D8-96C8B367968A}"/>
    <cellStyle name="40% - Ênfase4 9 3 2" xfId="1819" xr:uid="{54981670-1B4E-4D88-B81D-4CCF63C31C95}"/>
    <cellStyle name="40% - Ênfase4 9 3 2 2" xfId="3632" xr:uid="{CF75DB84-CFCE-428A-9CBD-D025907FAB42}"/>
    <cellStyle name="40% - Ênfase4 9 3 3" xfId="2744" xr:uid="{F30A90E3-8B47-43D2-9504-28139799EE9C}"/>
    <cellStyle name="40% - Ênfase4 9 4" xfId="1084" xr:uid="{AFFCACEF-7D90-4567-BD52-73A4B4392113}"/>
    <cellStyle name="40% - Ênfase4 9 4 2" xfId="2936" xr:uid="{5686263B-2E9E-4181-B3F0-C6E520226A45}"/>
    <cellStyle name="40% - Ênfase4 9 5" xfId="2009" xr:uid="{2314AC7E-9DCD-4DBC-BD4C-C2B4F12259E8}"/>
    <cellStyle name="40% - Ênfase5" xfId="36" builtinId="47" customBuiltin="1"/>
    <cellStyle name="40% - Ênfase5 10" xfId="221" xr:uid="{E102B7CF-802C-4346-8854-CB20C2338BDA}"/>
    <cellStyle name="40% - Ênfase5 10 2" xfId="827" xr:uid="{F2003989-996B-4F52-A81C-667AB3B72966}"/>
    <cellStyle name="40% - Ênfase5 10 2 2" xfId="1430" xr:uid="{AC17CBA0-B5B7-4F97-93C9-EAA8C4C98058}"/>
    <cellStyle name="40% - Ênfase5 10 2 2 2" xfId="3282" xr:uid="{84DD1857-3974-4CC2-95B5-65CA896E69B8}"/>
    <cellStyle name="40% - Ênfase5 10 2 3" xfId="2355" xr:uid="{B1BE0323-A89F-4DCE-94C4-3E00CFF93A7B}"/>
    <cellStyle name="40% - Ênfase5 10 3" xfId="503" xr:uid="{8DE3DDB3-E9B1-4013-90E7-005DFB26F50B}"/>
    <cellStyle name="40% - Ênfase5 10 3 2" xfId="1627" xr:uid="{55B62045-876C-4712-A17E-9F588C0AA06A}"/>
    <cellStyle name="40% - Ênfase5 10 3 2 2" xfId="3479" xr:uid="{AD5F22DE-548F-4994-9D2B-28A943F4B970}"/>
    <cellStyle name="40% - Ênfase5 10 3 3" xfId="2552" xr:uid="{564B0104-766D-46BA-A83B-FB7D99D49765}"/>
    <cellStyle name="40% - Ênfase5 10 4" xfId="1108" xr:uid="{7A3A2203-CAD1-48CA-85EB-3059F0FD7BC4}"/>
    <cellStyle name="40% - Ênfase5 10 4 2" xfId="2960" xr:uid="{63FF0F64-71ED-4B21-89F2-71351623D32E}"/>
    <cellStyle name="40% - Ênfase5 10 5" xfId="2033" xr:uid="{F38E1794-0DE2-431C-B08E-9F99E2371963}"/>
    <cellStyle name="40% - Ênfase5 11" xfId="241" xr:uid="{FFDC3CA6-579C-4442-9354-72FCED3157A6}"/>
    <cellStyle name="40% - Ênfase5 11 2" xfId="847" xr:uid="{34302548-C7D9-4652-BFDA-9C26C09AFFB5}"/>
    <cellStyle name="40% - Ênfase5 11 2 2" xfId="1450" xr:uid="{D3E0DDFE-C013-43BB-8C44-4473A9602A3C}"/>
    <cellStyle name="40% - Ênfase5 11 2 2 2" xfId="3302" xr:uid="{B6A36465-9A3D-46CF-B7D4-65C860A3F9D0}"/>
    <cellStyle name="40% - Ênfase5 11 2 3" xfId="2375" xr:uid="{4429DA40-CAD2-466C-A89E-0CB36CE95DBA}"/>
    <cellStyle name="40% - Ênfase5 11 3" xfId="523" xr:uid="{306B1098-2F65-4A89-AE48-C63F8CE04993}"/>
    <cellStyle name="40% - Ênfase5 11 3 2" xfId="1593" xr:uid="{25662A5B-935B-4668-B052-97E882569C6E}"/>
    <cellStyle name="40% - Ênfase5 11 3 2 2" xfId="3445" xr:uid="{D1E58259-6DBC-4183-9FA6-535263B0D0E1}"/>
    <cellStyle name="40% - Ênfase5 11 3 3" xfId="2518" xr:uid="{F013CFF0-93A2-4CA1-B59E-E7E032E25157}"/>
    <cellStyle name="40% - Ênfase5 11 4" xfId="1128" xr:uid="{B3E15A4C-3CD1-4C72-8769-94258E9A05DC}"/>
    <cellStyle name="40% - Ênfase5 11 4 2" xfId="2980" xr:uid="{FE0B774C-3F0F-4AB2-8517-36A7B9674CE2}"/>
    <cellStyle name="40% - Ênfase5 11 5" xfId="2053" xr:uid="{714D9C53-EE5E-48D1-B466-A69EE03C3FB9}"/>
    <cellStyle name="40% - Ênfase5 12" xfId="261" xr:uid="{FED181A1-3FA0-4CB2-A401-4824AB7D069A}"/>
    <cellStyle name="40% - Ênfase5 12 2" xfId="867" xr:uid="{E288E33B-0EB8-4EE2-AE6D-B4A9BCBD010C}"/>
    <cellStyle name="40% - Ênfase5 12 2 2" xfId="1470" xr:uid="{DCF5D399-884B-4AD6-AD09-C36D5B86BD62}"/>
    <cellStyle name="40% - Ênfase5 12 2 2 2" xfId="3322" xr:uid="{74927223-5B85-4F6F-B1AD-1562B3ED073F}"/>
    <cellStyle name="40% - Ênfase5 12 2 3" xfId="2395" xr:uid="{8FB45962-AE00-4193-97DF-B255BC8E5D78}"/>
    <cellStyle name="40% - Ênfase5 12 3" xfId="543" xr:uid="{742C43BD-41C2-463C-BB5D-EA398A179941}"/>
    <cellStyle name="40% - Ênfase5 12 3 2" xfId="1834" xr:uid="{06717A43-6121-49DC-82E1-9BD533178E01}"/>
    <cellStyle name="40% - Ênfase5 12 3 2 2" xfId="3647" xr:uid="{1E8965B2-721C-4A7F-B2C3-D145A3AE63A5}"/>
    <cellStyle name="40% - Ênfase5 12 3 3" xfId="2759" xr:uid="{805033D8-5ACF-46D9-AF84-6D03EF233160}"/>
    <cellStyle name="40% - Ênfase5 12 4" xfId="1148" xr:uid="{81F3B638-25AA-4FB4-987E-30FD47FFE0C7}"/>
    <cellStyle name="40% - Ênfase5 12 4 2" xfId="3000" xr:uid="{BB339D9F-CE21-4BCC-8E85-341B1A3E85E7}"/>
    <cellStyle name="40% - Ênfase5 12 5" xfId="2073" xr:uid="{BF141FE8-ED33-4F29-BD8D-6BFB595C4848}"/>
    <cellStyle name="40% - Ênfase5 13" xfId="281" xr:uid="{86CC2E29-B840-468B-964E-B8D0466B974A}"/>
    <cellStyle name="40% - Ênfase5 13 2" xfId="887" xr:uid="{B86561B6-FC05-44D3-BA04-9DD9D95F9DA2}"/>
    <cellStyle name="40% - Ênfase5 13 2 2" xfId="1490" xr:uid="{D3A817FC-F0A9-4905-87E6-9BA029F8CFE1}"/>
    <cellStyle name="40% - Ênfase5 13 2 2 2" xfId="3342" xr:uid="{B1E664DD-ECA6-42FD-8A0E-519B9AEFE45E}"/>
    <cellStyle name="40% - Ênfase5 13 2 3" xfId="2415" xr:uid="{A46ABFC0-98EE-48A6-9D82-5A1BBFAD980D}"/>
    <cellStyle name="40% - Ênfase5 13 3" xfId="563" xr:uid="{001A92C9-7A0B-4C03-B6C9-C8101E5D72BC}"/>
    <cellStyle name="40% - Ênfase5 13 3 2" xfId="1719" xr:uid="{B877F4EF-C977-4C9C-A0E4-305E97EA29B4}"/>
    <cellStyle name="40% - Ênfase5 13 3 2 2" xfId="3532" xr:uid="{8055D8C9-A2CF-4ADF-8904-BFEE1E30B217}"/>
    <cellStyle name="40% - Ênfase5 13 3 3" xfId="2644" xr:uid="{B0DE4F30-9511-4BAD-A6ED-D49052A1E6B7}"/>
    <cellStyle name="40% - Ênfase5 13 4" xfId="1168" xr:uid="{48F0D97F-6D18-4FCA-A1EF-F3AEDA680B77}"/>
    <cellStyle name="40% - Ênfase5 13 4 2" xfId="3020" xr:uid="{A09785B5-C9FA-4178-8C1C-2252ED75D79E}"/>
    <cellStyle name="40% - Ênfase5 13 5" xfId="2093" xr:uid="{38F9129E-CEB2-4726-BD2D-7FD0EDD705B0}"/>
    <cellStyle name="40% - Ênfase5 14" xfId="301" xr:uid="{7577470F-7704-476D-A530-06FC9942416F}"/>
    <cellStyle name="40% - Ênfase5 14 2" xfId="907" xr:uid="{CDDBA2D1-E7EF-4014-9CED-B3F8E42C80B7}"/>
    <cellStyle name="40% - Ênfase5 14 2 2" xfId="1510" xr:uid="{678C5F46-7787-4CA2-9B65-0BF581764767}"/>
    <cellStyle name="40% - Ênfase5 14 2 2 2" xfId="3362" xr:uid="{F5E7B63D-9F7F-490E-9096-A5832E69447E}"/>
    <cellStyle name="40% - Ênfase5 14 2 3" xfId="2435" xr:uid="{32D570B0-0D24-48FA-988E-BE02814C312B}"/>
    <cellStyle name="40% - Ênfase5 14 3" xfId="583" xr:uid="{F4F719C7-1121-45A8-A199-A77D6597C683}"/>
    <cellStyle name="40% - Ênfase5 14 3 2" xfId="1527" xr:uid="{9BA022A9-BB60-4240-9433-65C1EFDE5236}"/>
    <cellStyle name="40% - Ênfase5 14 3 2 2" xfId="3379" xr:uid="{52FF01A5-E9FD-45D2-BFD8-51F38F5D50F3}"/>
    <cellStyle name="40% - Ênfase5 14 3 3" xfId="2452" xr:uid="{3EC33566-8D5A-4903-8DDE-357A62E17D90}"/>
    <cellStyle name="40% - Ênfase5 14 4" xfId="1188" xr:uid="{8699075F-8D86-4DFC-A1A9-4109FD455E3E}"/>
    <cellStyle name="40% - Ênfase5 14 4 2" xfId="3040" xr:uid="{6793F721-7328-444A-8579-27938775D4FF}"/>
    <cellStyle name="40% - Ênfase5 14 5" xfId="2113" xr:uid="{FCF5A907-EC22-4E9E-AC45-0B88DA380ACB}"/>
    <cellStyle name="40% - Ênfase5 15" xfId="603" xr:uid="{C8D8FE50-C8FD-4328-A49C-D0CCBFDE6E94}"/>
    <cellStyle name="40% - Ênfase5 15 2" xfId="1666" xr:uid="{67008D15-405C-4A05-A7E2-5F64A8A712E5}"/>
    <cellStyle name="40% - Ênfase5 15 2 2" xfId="2591" xr:uid="{32566E03-1870-4D4A-B2C0-5D5353A521EA}"/>
    <cellStyle name="40% - Ênfase5 15 3" xfId="1208" xr:uid="{73D62864-4F92-4BD9-A056-D96F2284A3DC}"/>
    <cellStyle name="40% - Ênfase5 15 3 2" xfId="3060" xr:uid="{AD0CBB8E-B196-432C-B853-53901497B48C}"/>
    <cellStyle name="40% - Ênfase5 15 4" xfId="2133" xr:uid="{49A99C25-CBDE-400F-80C2-5E7037A182D8}"/>
    <cellStyle name="40% - Ênfase5 16" xfId="623" xr:uid="{27CE4E98-D844-4330-BB80-E2661DC81AFF}"/>
    <cellStyle name="40% - Ênfase5 16 2" xfId="1686" xr:uid="{F622B07C-9B58-4E60-B5D3-81AD99CE1E27}"/>
    <cellStyle name="40% - Ênfase5 16 2 2" xfId="2611" xr:uid="{F735190B-94A0-4956-A954-DE29726AD86E}"/>
    <cellStyle name="40% - Ênfase5 16 3" xfId="1228" xr:uid="{B43EC7AD-E156-43DE-AF43-6DBA0351DD16}"/>
    <cellStyle name="40% - Ênfase5 16 3 2" xfId="3080" xr:uid="{36FC9ED1-607E-427E-B9B6-0FB0C6875B45}"/>
    <cellStyle name="40% - Ênfase5 16 4" xfId="2153" xr:uid="{7A038CBD-B02F-47D5-B2E5-21C29EA3DFEA}"/>
    <cellStyle name="40% - Ênfase5 17" xfId="643" xr:uid="{E5A31F49-41F9-45A8-B808-9F12EE8628EE}"/>
    <cellStyle name="40% - Ênfase5 17 2" xfId="1247" xr:uid="{4327749A-548D-413E-AAF4-FBEFA2CD9E7F}"/>
    <cellStyle name="40% - Ênfase5 17 2 2" xfId="3099" xr:uid="{3AD09E27-7331-42CF-972B-B8B95EBDEEBF}"/>
    <cellStyle name="40% - Ênfase5 17 3" xfId="2172" xr:uid="{DC7B74E6-DC5C-48E4-936A-5DCFB63CA325}"/>
    <cellStyle name="40% - Ênfase5 18" xfId="320" xr:uid="{320A00A1-E812-48C6-88BE-EB26B094C108}"/>
    <cellStyle name="40% - Ênfase5 18 2" xfId="1518" xr:uid="{F02C3600-C8D9-4BBA-A4A2-661FDC89EE16}"/>
    <cellStyle name="40% - Ênfase5 18 2 2" xfId="3370" xr:uid="{09AC9019-2612-4F61-8DEE-7DFE41439AAD}"/>
    <cellStyle name="40% - Ênfase5 18 3" xfId="2443" xr:uid="{63F71793-6CFE-4078-8C84-6DA2FFB6B7CA}"/>
    <cellStyle name="40% - Ênfase5 19" xfId="925" xr:uid="{8AAFD829-C860-4488-AD25-02CEE16A451A}"/>
    <cellStyle name="40% - Ênfase5 19 2" xfId="2777" xr:uid="{E095F64D-43F5-41EA-B516-8B29D96A2C60}"/>
    <cellStyle name="40% - Ênfase5 2" xfId="60" xr:uid="{299C899E-474D-4783-9B7F-2B76C82931F3}"/>
    <cellStyle name="40% - Ênfase5 2 2" xfId="666" xr:uid="{CD6000C5-6359-495A-B670-84C59F115911}"/>
    <cellStyle name="40% - Ênfase5 2 2 2" xfId="1269" xr:uid="{DA0A76F4-1156-4E47-B6EB-4FBCA396A0CC}"/>
    <cellStyle name="40% - Ênfase5 2 2 2 2" xfId="3121" xr:uid="{3769772F-5BEB-4354-8353-2DF1EB5607C4}"/>
    <cellStyle name="40% - Ênfase5 2 2 3" xfId="2194" xr:uid="{49957A5A-AE5D-4CDD-8F9A-12944F64F8D8}"/>
    <cellStyle name="40% - Ênfase5 2 3" xfId="342" xr:uid="{931A2A0D-8AE2-4EE0-9E07-2CFBEFA8C499}"/>
    <cellStyle name="40% - Ênfase5 2 3 2" xfId="1519" xr:uid="{2CFB8AC7-5200-4931-91DB-5E918761B89F}"/>
    <cellStyle name="40% - Ênfase5 2 3 2 2" xfId="3371" xr:uid="{D822107E-B6F5-41A4-953D-B5A1DDE86D52}"/>
    <cellStyle name="40% - Ênfase5 2 3 3" xfId="2444" xr:uid="{8E4097F5-9536-4BEE-A16E-5CC715122E42}"/>
    <cellStyle name="40% - Ênfase5 2 4" xfId="947" xr:uid="{24BFE45D-3874-4948-89BC-C2F05739B761}"/>
    <cellStyle name="40% - Ênfase5 2 4 2" xfId="2799" xr:uid="{42D2F19F-8879-495C-8856-8615F0DC9B82}"/>
    <cellStyle name="40% - Ênfase5 2 5" xfId="1872" xr:uid="{74E802F2-C74B-4572-9531-EB94848B6B25}"/>
    <cellStyle name="40% - Ênfase5 20" xfId="1850" xr:uid="{FAFFE1D5-2FB7-482A-88E5-1C2E40FDFDA6}"/>
    <cellStyle name="40% - Ênfase5 3" xfId="78" xr:uid="{5DDDD063-A30F-4197-B28A-582864D9286A}"/>
    <cellStyle name="40% - Ênfase5 3 2" xfId="684" xr:uid="{3D415646-A022-41CA-B380-71896B04C237}"/>
    <cellStyle name="40% - Ênfase5 3 2 2" xfId="1287" xr:uid="{140F1EBD-7B20-4C09-8DCE-85C76ED44F2C}"/>
    <cellStyle name="40% - Ênfase5 3 2 2 2" xfId="3139" xr:uid="{4A3E067D-4A32-46D8-A833-27EAD60BE19F}"/>
    <cellStyle name="40% - Ênfase5 3 2 3" xfId="2212" xr:uid="{BEF75038-B7E4-43C3-976C-1FD7BD2E50E9}"/>
    <cellStyle name="40% - Ênfase5 3 3" xfId="360" xr:uid="{90B3B40D-BDEC-4E1A-95BA-0B2BC339CD23}"/>
    <cellStyle name="40% - Ênfase5 3 3 2" xfId="1578" xr:uid="{8C9417C9-D90C-4317-86C1-BC71AA28D4FD}"/>
    <cellStyle name="40% - Ênfase5 3 3 2 2" xfId="3430" xr:uid="{CE8C453C-5B68-4EF7-8E0E-211C83CC397E}"/>
    <cellStyle name="40% - Ênfase5 3 3 3" xfId="2503" xr:uid="{22C568B1-92A3-4225-88EA-8E8668AD58AF}"/>
    <cellStyle name="40% - Ênfase5 3 4" xfId="965" xr:uid="{A45DA86B-1F57-404E-9D7D-85BD4F4267B1}"/>
    <cellStyle name="40% - Ênfase5 3 4 2" xfId="2817" xr:uid="{F59B04E0-14F7-4036-BC13-B9A568CC7028}"/>
    <cellStyle name="40% - Ênfase5 3 5" xfId="1890" xr:uid="{C4A41F2D-065E-4CDF-AC1F-FED29F7E91E4}"/>
    <cellStyle name="40% - Ênfase5 4" xfId="100" xr:uid="{9B160DB7-3AD2-46F1-836D-9A55BE4CD1CF}"/>
    <cellStyle name="40% - Ênfase5 4 2" xfId="706" xr:uid="{7841B4F1-FEF9-4189-A828-DD2AD4F40996}"/>
    <cellStyle name="40% - Ênfase5 4 2 2" xfId="1309" xr:uid="{DC60C7A8-062F-4B23-82B6-338C3F85E4FC}"/>
    <cellStyle name="40% - Ênfase5 4 2 2 2" xfId="3161" xr:uid="{96D4318A-14F4-4FB6-A3D6-1DF602829C96}"/>
    <cellStyle name="40% - Ênfase5 4 2 3" xfId="2234" xr:uid="{436356CF-BF52-4513-BD61-4C606DCF9EF6}"/>
    <cellStyle name="40% - Ênfase5 4 3" xfId="382" xr:uid="{552F5D78-295F-4AD5-B901-105017535A9E}"/>
    <cellStyle name="40% - Ênfase5 4 3 2" xfId="1738" xr:uid="{DC578504-969D-45C6-885C-0D42AB69F5D6}"/>
    <cellStyle name="40% - Ênfase5 4 3 2 2" xfId="3551" xr:uid="{92997D84-675E-4578-BC5E-85224CFDD794}"/>
    <cellStyle name="40% - Ênfase5 4 3 3" xfId="2663" xr:uid="{1D8F177B-BB0F-421F-BBC7-5A7A3EC1155D}"/>
    <cellStyle name="40% - Ênfase5 4 4" xfId="987" xr:uid="{41507F1A-093F-4E19-B12C-51B336CA2625}"/>
    <cellStyle name="40% - Ênfase5 4 4 2" xfId="2839" xr:uid="{19600672-267B-4E27-8881-DB8278A68A2A}"/>
    <cellStyle name="40% - Ênfase5 4 5" xfId="1912" xr:uid="{3E1CBF60-8208-47E4-AA2D-D478395AF8F5}"/>
    <cellStyle name="40% - Ênfase5 5" xfId="120" xr:uid="{01976F6C-26A0-468A-B1CC-E5FBDC4198EF}"/>
    <cellStyle name="40% - Ênfase5 5 2" xfId="726" xr:uid="{67086F17-7E44-4FE0-80A1-C1E12FE3F13F}"/>
    <cellStyle name="40% - Ênfase5 5 2 2" xfId="1329" xr:uid="{E764FFFB-45E1-4C80-8891-54037232B7BB}"/>
    <cellStyle name="40% - Ênfase5 5 2 2 2" xfId="3181" xr:uid="{8C140E78-5C12-4093-ADEA-69284040D70A}"/>
    <cellStyle name="40% - Ênfase5 5 2 3" xfId="2254" xr:uid="{AAF990F2-A0E4-4D99-B820-2AEE4FEB6A59}"/>
    <cellStyle name="40% - Ênfase5 5 3" xfId="402" xr:uid="{2650EAB0-B436-415B-8C46-5E13A69CCD52}"/>
    <cellStyle name="40% - Ênfase5 5 3 2" xfId="1816" xr:uid="{8AC2BF3F-C3C6-49A2-BEE5-D53C2951EAE4}"/>
    <cellStyle name="40% - Ênfase5 5 3 2 2" xfId="3629" xr:uid="{C9CA0167-EF29-4FCC-B010-695A22F0D9E2}"/>
    <cellStyle name="40% - Ênfase5 5 3 3" xfId="2741" xr:uid="{41129A59-6CF6-4F46-A407-9650DCE6FC3F}"/>
    <cellStyle name="40% - Ênfase5 5 4" xfId="1007" xr:uid="{9E5CDE3B-5648-431E-B38A-A2E60BDCCB80}"/>
    <cellStyle name="40% - Ênfase5 5 4 2" xfId="2859" xr:uid="{2B374800-2246-4B57-A465-2E629FDE1D0C}"/>
    <cellStyle name="40% - Ênfase5 5 5" xfId="1932" xr:uid="{73B5246C-B654-440C-9041-C752A7FD5AFC}"/>
    <cellStyle name="40% - Ênfase5 6" xfId="140" xr:uid="{E6D0A73A-E93E-41F8-93A3-47FA05EB1DCD}"/>
    <cellStyle name="40% - Ênfase5 6 2" xfId="746" xr:uid="{E519D6D2-E9E5-49F2-AC37-3B027C5205CF}"/>
    <cellStyle name="40% - Ênfase5 6 2 2" xfId="1349" xr:uid="{46866774-CD4A-49C6-9822-6FEFED66B53E}"/>
    <cellStyle name="40% - Ênfase5 6 2 2 2" xfId="3201" xr:uid="{B9553A1F-3D36-4355-8C7E-AB76F11FB112}"/>
    <cellStyle name="40% - Ênfase5 6 2 3" xfId="2274" xr:uid="{C622AB55-B83F-455B-B6EE-C9F593856B83}"/>
    <cellStyle name="40% - Ênfase5 6 3" xfId="422" xr:uid="{6AB8EA0A-DB5E-4C28-865D-3D853BB6EC8A}"/>
    <cellStyle name="40% - Ênfase5 6 3 2" xfId="1728" xr:uid="{1E93785D-43C3-48D2-B89F-C074C88E0B7C}"/>
    <cellStyle name="40% - Ênfase5 6 3 2 2" xfId="3541" xr:uid="{C9EFB6C4-244F-4F3C-A78B-8410FC17486F}"/>
    <cellStyle name="40% - Ênfase5 6 3 3" xfId="2653" xr:uid="{D25D02CD-B568-4590-885B-4FCCB373F859}"/>
    <cellStyle name="40% - Ênfase5 6 4" xfId="1027" xr:uid="{BE4654D0-51F0-41A3-901F-A4A062752E2A}"/>
    <cellStyle name="40% - Ênfase5 6 4 2" xfId="2879" xr:uid="{1D12FFA7-129A-424D-B0F6-2C26F106FDF3}"/>
    <cellStyle name="40% - Ênfase5 6 5" xfId="1952" xr:uid="{F9A3D05D-B629-4174-940E-69B703392437}"/>
    <cellStyle name="40% - Ênfase5 7" xfId="160" xr:uid="{F71EE162-91EB-4252-8857-BF3840203376}"/>
    <cellStyle name="40% - Ênfase5 7 2" xfId="766" xr:uid="{91D039D5-7858-43F3-8DE0-BFF11D33A8F8}"/>
    <cellStyle name="40% - Ênfase5 7 2 2" xfId="1369" xr:uid="{D05E3979-1574-4B91-9FFA-9994BED19D7F}"/>
    <cellStyle name="40% - Ênfase5 7 2 2 2" xfId="3221" xr:uid="{080DDDCE-FDB7-497A-A063-524419257C76}"/>
    <cellStyle name="40% - Ênfase5 7 2 3" xfId="2294" xr:uid="{7369FE65-20D4-4368-A221-565BBA052B43}"/>
    <cellStyle name="40% - Ênfase5 7 3" xfId="442" xr:uid="{52B48089-5446-4A64-9188-265AB15BC37A}"/>
    <cellStyle name="40% - Ênfase5 7 3 2" xfId="1585" xr:uid="{173918BD-24F6-4B4D-9985-2A9208FA96D3}"/>
    <cellStyle name="40% - Ênfase5 7 3 2 2" xfId="3437" xr:uid="{FB1B4848-C05E-4452-864F-04FA899CBCC9}"/>
    <cellStyle name="40% - Ênfase5 7 3 3" xfId="2510" xr:uid="{6F14A776-B3D6-43CE-B633-B685274ABAF7}"/>
    <cellStyle name="40% - Ênfase5 7 4" xfId="1047" xr:uid="{7561D513-B7D2-4F67-8905-685C1EF02B93}"/>
    <cellStyle name="40% - Ênfase5 7 4 2" xfId="2899" xr:uid="{0939B030-A015-4954-BF53-C816AB999042}"/>
    <cellStyle name="40% - Ênfase5 7 5" xfId="1972" xr:uid="{AE4E471B-751D-470E-80AE-3F0F783FDC70}"/>
    <cellStyle name="40% - Ênfase5 8" xfId="180" xr:uid="{52B89739-CF7D-4221-921E-16386432C73F}"/>
    <cellStyle name="40% - Ênfase5 8 2" xfId="786" xr:uid="{EF2F0DBC-A156-4D76-B222-B18D9A6BF0C1}"/>
    <cellStyle name="40% - Ênfase5 8 2 2" xfId="1389" xr:uid="{6E16BFAD-BA1E-499E-A166-A0A71DCD2F0C}"/>
    <cellStyle name="40% - Ênfase5 8 2 2 2" xfId="3241" xr:uid="{BA9392A1-CCC4-41BD-B611-8B45A6257C34}"/>
    <cellStyle name="40% - Ênfase5 8 2 3" xfId="2314" xr:uid="{EABA89B0-C674-420C-833E-8E00C3FEDF88}"/>
    <cellStyle name="40% - Ênfase5 8 3" xfId="462" xr:uid="{AADBC78E-9896-42FE-98B2-80ED31C62D46}"/>
    <cellStyle name="40% - Ênfase5 8 3 2" xfId="1785" xr:uid="{499CC4FB-3CD5-41E1-A777-1AFFE35EE09D}"/>
    <cellStyle name="40% - Ênfase5 8 3 2 2" xfId="3598" xr:uid="{E00EABF9-179F-4DFB-A30E-375E92D51F23}"/>
    <cellStyle name="40% - Ênfase5 8 3 3" xfId="2710" xr:uid="{49EB5375-D6A2-4056-8E98-A68A1C807441}"/>
    <cellStyle name="40% - Ênfase5 8 4" xfId="1067" xr:uid="{6F5D6C2A-2D05-45A0-B602-4DBB74295BE1}"/>
    <cellStyle name="40% - Ênfase5 8 4 2" xfId="2919" xr:uid="{1ED21E53-AB83-472A-B6F4-FE9D94EB58F3}"/>
    <cellStyle name="40% - Ênfase5 8 5" xfId="1992" xr:uid="{26C1F7B8-52B9-4CAC-9AFC-A8D5BB516477}"/>
    <cellStyle name="40% - Ênfase5 9" xfId="200" xr:uid="{6DE0675C-0399-4002-9163-BE467FA1458D}"/>
    <cellStyle name="40% - Ênfase5 9 2" xfId="806" xr:uid="{5EABEE5F-12F3-4B7F-B1C6-73D0D53FD44D}"/>
    <cellStyle name="40% - Ênfase5 9 2 2" xfId="1409" xr:uid="{7280B18D-DCD3-4E70-80C5-298F02DCD201}"/>
    <cellStyle name="40% - Ênfase5 9 2 2 2" xfId="3261" xr:uid="{7C16DBBA-6B92-490D-9188-D8B53C2946F6}"/>
    <cellStyle name="40% - Ênfase5 9 2 3" xfId="2334" xr:uid="{9FC53F92-A838-48D6-B727-26D786A24983}"/>
    <cellStyle name="40% - Ênfase5 9 3" xfId="482" xr:uid="{FEAA185C-B239-4E50-934A-1DE29A599DBF}"/>
    <cellStyle name="40% - Ênfase5 9 3 2" xfId="1725" xr:uid="{B3715C24-F195-410C-84BD-AE267DF76967}"/>
    <cellStyle name="40% - Ênfase5 9 3 2 2" xfId="3538" xr:uid="{958F9DD3-989C-4832-97F8-32B5A73FBF1D}"/>
    <cellStyle name="40% - Ênfase5 9 3 3" xfId="2650" xr:uid="{6478219D-B76A-4974-938B-FF8C1DA2C8E3}"/>
    <cellStyle name="40% - Ênfase5 9 4" xfId="1087" xr:uid="{94781B61-79DE-4CF0-93D9-90B218AC1378}"/>
    <cellStyle name="40% - Ênfase5 9 4 2" xfId="2939" xr:uid="{3DE87DF4-6446-40F3-A0ED-7048C3563BDD}"/>
    <cellStyle name="40% - Ênfase5 9 5" xfId="2012" xr:uid="{EFF051CE-1057-45EC-9C55-9A82D94203CA}"/>
    <cellStyle name="40% - Ênfase6" xfId="40" builtinId="51" customBuiltin="1"/>
    <cellStyle name="40% - Ênfase6 10" xfId="224" xr:uid="{AB8D4560-C289-498F-A106-7359AF1A578A}"/>
    <cellStyle name="40% - Ênfase6 10 2" xfId="830" xr:uid="{E5E2EBCC-112F-49D2-BAAC-F4D2A3355FF2}"/>
    <cellStyle name="40% - Ênfase6 10 2 2" xfId="1433" xr:uid="{4CA1E3A1-8393-49E5-919E-442000D1F6E0}"/>
    <cellStyle name="40% - Ênfase6 10 2 2 2" xfId="3285" xr:uid="{5F0C5B81-AE1E-417C-ADC2-872FC1A1D132}"/>
    <cellStyle name="40% - Ênfase6 10 2 3" xfId="2358" xr:uid="{E865CEA9-9FC1-4B90-B3E0-61567A460ED6}"/>
    <cellStyle name="40% - Ênfase6 10 3" xfId="506" xr:uid="{56601354-EE0C-46E7-8428-BCBAE1EB3A89}"/>
    <cellStyle name="40% - Ênfase6 10 3 2" xfId="1611" xr:uid="{399F69F8-3FEC-4C72-A142-63A764E36D16}"/>
    <cellStyle name="40% - Ênfase6 10 3 2 2" xfId="3463" xr:uid="{B2DC6BDD-8220-4CD3-A39D-089670CD9F28}"/>
    <cellStyle name="40% - Ênfase6 10 3 3" xfId="2536" xr:uid="{7FB42498-981D-46C9-BE36-28FCD5F4F8C8}"/>
    <cellStyle name="40% - Ênfase6 10 4" xfId="1111" xr:uid="{1700E37D-246F-429E-9768-BD9F62D53B04}"/>
    <cellStyle name="40% - Ênfase6 10 4 2" xfId="2963" xr:uid="{7D86FE1B-73D3-436E-A164-A4D4D94B3AF5}"/>
    <cellStyle name="40% - Ênfase6 10 5" xfId="2036" xr:uid="{B897C729-A06C-44AF-93DB-B0E0BB074EA1}"/>
    <cellStyle name="40% - Ênfase6 11" xfId="244" xr:uid="{1D944349-5AA6-4FE3-A0CB-75D05BAA154E}"/>
    <cellStyle name="40% - Ênfase6 11 2" xfId="850" xr:uid="{68EDA78F-7D41-4653-BD9E-B688C3538E22}"/>
    <cellStyle name="40% - Ênfase6 11 2 2" xfId="1453" xr:uid="{561CFE1A-69BE-4A7B-93A7-CE02CCA71217}"/>
    <cellStyle name="40% - Ênfase6 11 2 2 2" xfId="3305" xr:uid="{39CF98A3-1537-4A10-A723-575115D99D96}"/>
    <cellStyle name="40% - Ênfase6 11 2 3" xfId="2378" xr:uid="{454CA0E8-7855-4042-AACF-E7B6BC0AD737}"/>
    <cellStyle name="40% - Ênfase6 11 3" xfId="526" xr:uid="{49150952-DF0A-44C7-82E4-CB33966E2608}"/>
    <cellStyle name="40% - Ênfase6 11 3 2" xfId="1608" xr:uid="{9FC86FA0-B945-486F-A396-EEF9115DE942}"/>
    <cellStyle name="40% - Ênfase6 11 3 2 2" xfId="3460" xr:uid="{F8D20590-3C5B-49CE-8986-94C484FD2D49}"/>
    <cellStyle name="40% - Ênfase6 11 3 3" xfId="2533" xr:uid="{86CBE16C-00E3-4442-BE91-276884559079}"/>
    <cellStyle name="40% - Ênfase6 11 4" xfId="1131" xr:uid="{33428723-5E71-4DEB-83F2-7E3432DB06F4}"/>
    <cellStyle name="40% - Ênfase6 11 4 2" xfId="2983" xr:uid="{93416E1A-EF23-438E-A172-75E95C9B6A4D}"/>
    <cellStyle name="40% - Ênfase6 11 5" xfId="2056" xr:uid="{288BC69F-388E-481E-AB3F-B6F642EDA0D2}"/>
    <cellStyle name="40% - Ênfase6 12" xfId="264" xr:uid="{181F9801-1B03-4EDD-9BB6-914C4D4916EF}"/>
    <cellStyle name="40% - Ênfase6 12 2" xfId="870" xr:uid="{83DD030E-CA68-4E6C-8404-4C20CF0DD340}"/>
    <cellStyle name="40% - Ênfase6 12 2 2" xfId="1473" xr:uid="{F6E44768-1AFB-4E1C-909D-DDB3A28E432B}"/>
    <cellStyle name="40% - Ênfase6 12 2 2 2" xfId="3325" xr:uid="{9FF2B23D-188D-453E-BF76-6F737E1FB05D}"/>
    <cellStyle name="40% - Ênfase6 12 2 3" xfId="2398" xr:uid="{AEB16863-C134-4FB6-8633-A25A44FFDC30}"/>
    <cellStyle name="40% - Ênfase6 12 3" xfId="546" xr:uid="{E70489D5-475B-4096-9400-4FEA61E0A708}"/>
    <cellStyle name="40% - Ênfase6 12 3 2" xfId="1715" xr:uid="{DB2E5401-F2E8-4CC8-A0F5-6F95D3C812AD}"/>
    <cellStyle name="40% - Ênfase6 12 3 2 2" xfId="3528" xr:uid="{B07AD9A8-F6C9-47D9-9835-AA239CBB30DE}"/>
    <cellStyle name="40% - Ênfase6 12 3 3" xfId="2640" xr:uid="{F48A5436-5F4F-428D-A2DE-EB05B7FC18E8}"/>
    <cellStyle name="40% - Ênfase6 12 4" xfId="1151" xr:uid="{76FAF974-C8E4-4886-BFD4-E5FB51608BC6}"/>
    <cellStyle name="40% - Ênfase6 12 4 2" xfId="3003" xr:uid="{BBC3B902-F780-46E3-9F11-3E26C2794E6C}"/>
    <cellStyle name="40% - Ênfase6 12 5" xfId="2076" xr:uid="{3D7CB08C-4E34-4A4A-B73B-DD869166C4DF}"/>
    <cellStyle name="40% - Ênfase6 13" xfId="284" xr:uid="{6A805904-30CB-4DB1-A30E-F16A927FF205}"/>
    <cellStyle name="40% - Ênfase6 13 2" xfId="890" xr:uid="{1C900440-6D36-434A-8674-E7FDF07C4643}"/>
    <cellStyle name="40% - Ênfase6 13 2 2" xfId="1493" xr:uid="{F685AFF6-D617-4CAE-A096-948BF02A3084}"/>
    <cellStyle name="40% - Ênfase6 13 2 2 2" xfId="3345" xr:uid="{8E9ACFC2-48BF-4F1D-8069-7879AE0D5DBD}"/>
    <cellStyle name="40% - Ênfase6 13 2 3" xfId="2418" xr:uid="{3ABBA85C-D392-45FC-B42E-6B2E39FAC817}"/>
    <cellStyle name="40% - Ênfase6 13 3" xfId="566" xr:uid="{58B0414F-92ED-4360-BC34-77B7E304F42F}"/>
    <cellStyle name="40% - Ênfase6 13 3 2" xfId="1605" xr:uid="{4CDB86BC-96F8-4041-A8D7-AC25B1564771}"/>
    <cellStyle name="40% - Ênfase6 13 3 2 2" xfId="3457" xr:uid="{B1E4B6A4-0138-4532-99A1-CD536700D49F}"/>
    <cellStyle name="40% - Ênfase6 13 3 3" xfId="2530" xr:uid="{76B67875-B171-449B-ACCB-7437FEE036D2}"/>
    <cellStyle name="40% - Ênfase6 13 4" xfId="1171" xr:uid="{B2A961F4-8599-47B1-8E29-F4CBB4CCBBBA}"/>
    <cellStyle name="40% - Ênfase6 13 4 2" xfId="3023" xr:uid="{6CD4C139-442F-4DDE-907A-10E0054039CF}"/>
    <cellStyle name="40% - Ênfase6 13 5" xfId="2096" xr:uid="{3D843A3E-D894-4EE9-86C5-1ECC3B84F43B}"/>
    <cellStyle name="40% - Ênfase6 14" xfId="304" xr:uid="{FB631DFF-5853-4CFC-A011-276DD21B7DA2}"/>
    <cellStyle name="40% - Ênfase6 14 2" xfId="910" xr:uid="{A75266F6-6320-4302-867C-D5D5E5103760}"/>
    <cellStyle name="40% - Ênfase6 14 2 2" xfId="1513" xr:uid="{FC24E5BC-11B8-4050-9C42-843A18FE86D8}"/>
    <cellStyle name="40% - Ênfase6 14 2 2 2" xfId="3365" xr:uid="{939AA648-5CB4-4C5B-B08C-AB758353194F}"/>
    <cellStyle name="40% - Ênfase6 14 2 3" xfId="2438" xr:uid="{44B82FD7-484D-46CC-A352-B83D1FCAEBF4}"/>
    <cellStyle name="40% - Ênfase6 14 3" xfId="586" xr:uid="{0E4251F7-825E-4482-B6A7-14A035DFB82E}"/>
    <cellStyle name="40% - Ênfase6 14 3 2" xfId="1523" xr:uid="{F4F73DAD-C568-4B7E-9959-1A7B979E1698}"/>
    <cellStyle name="40% - Ênfase6 14 3 2 2" xfId="3375" xr:uid="{E4CFA7A3-8817-41B2-A3F8-3D70252464D2}"/>
    <cellStyle name="40% - Ênfase6 14 3 3" xfId="2448" xr:uid="{7CEE663E-2C42-4CD2-B5D6-6907C2BBF056}"/>
    <cellStyle name="40% - Ênfase6 14 4" xfId="1191" xr:uid="{3A8B6F5E-673F-4754-947D-65F3EB8A1080}"/>
    <cellStyle name="40% - Ênfase6 14 4 2" xfId="3043" xr:uid="{6723D427-7617-46CD-8A37-0073BEFEF3F4}"/>
    <cellStyle name="40% - Ênfase6 14 5" xfId="2116" xr:uid="{5ADC6885-45C8-434D-AE36-811C593DA1B6}"/>
    <cellStyle name="40% - Ênfase6 15" xfId="606" xr:uid="{6A5E6F2E-7227-40E6-9C27-EFEA3AAB9E10}"/>
    <cellStyle name="40% - Ênfase6 15 2" xfId="1669" xr:uid="{50BB46F2-F9C7-40F5-97EC-B11097AE9B51}"/>
    <cellStyle name="40% - Ênfase6 15 2 2" xfId="2594" xr:uid="{9239EC67-0921-481D-A126-50FC8A2F97EE}"/>
    <cellStyle name="40% - Ênfase6 15 3" xfId="1211" xr:uid="{21D58DE4-A7A8-46A2-B2B5-2CE0364E8C7B}"/>
    <cellStyle name="40% - Ênfase6 15 3 2" xfId="3063" xr:uid="{AF1984D8-3DD5-4A35-A237-F3D695C42876}"/>
    <cellStyle name="40% - Ênfase6 15 4" xfId="2136" xr:uid="{5F4B0050-55BC-4B50-AB40-8B4EB97329DD}"/>
    <cellStyle name="40% - Ênfase6 16" xfId="626" xr:uid="{528FFBF3-16BC-439E-A485-35B43A1B993C}"/>
    <cellStyle name="40% - Ênfase6 16 2" xfId="1689" xr:uid="{5AAFCA0C-82EB-43B5-8B18-240E6904E990}"/>
    <cellStyle name="40% - Ênfase6 16 2 2" xfId="2614" xr:uid="{46911FCD-B0DD-42E1-B9A0-8B5C662A5C2D}"/>
    <cellStyle name="40% - Ênfase6 16 3" xfId="1231" xr:uid="{9F2EA102-B724-4143-9269-6CAFC410049B}"/>
    <cellStyle name="40% - Ênfase6 16 3 2" xfId="3083" xr:uid="{471ABEF1-2EF9-41F8-8AEE-35E64B8060BD}"/>
    <cellStyle name="40% - Ênfase6 16 4" xfId="2156" xr:uid="{2561AC99-2482-4573-993E-E7EA92A02C09}"/>
    <cellStyle name="40% - Ênfase6 17" xfId="646" xr:uid="{B45C06E6-D3F4-4B3D-9E57-706A5924BD4B}"/>
    <cellStyle name="40% - Ênfase6 17 2" xfId="1250" xr:uid="{4547F9C0-7E56-411B-9125-EAD9AD8C466C}"/>
    <cellStyle name="40% - Ênfase6 17 2 2" xfId="3102" xr:uid="{91580801-665D-4300-AF78-B7976950B7B6}"/>
    <cellStyle name="40% - Ênfase6 17 3" xfId="2175" xr:uid="{C05AED4E-6670-4ABB-B2B7-ED43DC8E801B}"/>
    <cellStyle name="40% - Ênfase6 18" xfId="323" xr:uid="{73A3B3A0-E4DA-44F7-8DF9-FB3559557BC5}"/>
    <cellStyle name="40% - Ênfase6 18 2" xfId="1698" xr:uid="{04B2B18B-E8CE-4248-A63E-3867B6DAEAE8}"/>
    <cellStyle name="40% - Ênfase6 18 2 2" xfId="3511" xr:uid="{55D1B5B0-74C3-406A-B788-ECB24FDEB4B6}"/>
    <cellStyle name="40% - Ênfase6 18 3" xfId="2623" xr:uid="{A1CA3B51-0BCD-4D8C-A9DA-74DCB70FE6FA}"/>
    <cellStyle name="40% - Ênfase6 19" xfId="928" xr:uid="{95D56721-F3C7-4943-BBE5-7DB680E1C5E0}"/>
    <cellStyle name="40% - Ênfase6 19 2" xfId="2780" xr:uid="{65A6BF0D-A61A-4571-BD02-C86360E0694F}"/>
    <cellStyle name="40% - Ênfase6 2" xfId="63" xr:uid="{8E841718-0617-4B1B-B43C-1EB740D159D6}"/>
    <cellStyle name="40% - Ênfase6 2 2" xfId="669" xr:uid="{D46A129E-667A-4FD1-B291-120D07539D02}"/>
    <cellStyle name="40% - Ênfase6 2 2 2" xfId="1272" xr:uid="{A599656E-15E5-4A85-AE90-0B7E3AF21E32}"/>
    <cellStyle name="40% - Ênfase6 2 2 2 2" xfId="3124" xr:uid="{2F8E51DC-F40B-44E0-B307-5E765F6695B7}"/>
    <cellStyle name="40% - Ênfase6 2 2 3" xfId="2197" xr:uid="{A5ACAA2B-7442-42D0-9ECF-0F3191E48D34}"/>
    <cellStyle name="40% - Ênfase6 2 3" xfId="345" xr:uid="{23490D30-0862-476B-8156-9B9F883FB307}"/>
    <cellStyle name="40% - Ênfase6 2 3 2" xfId="1701" xr:uid="{7CA94E66-9669-4993-B70E-C510693561EB}"/>
    <cellStyle name="40% - Ênfase6 2 3 2 2" xfId="3514" xr:uid="{6B80C7FC-D91F-4920-AF84-B1C20562E886}"/>
    <cellStyle name="40% - Ênfase6 2 3 3" xfId="2626" xr:uid="{6C9534C9-E7EB-4419-94F4-B28A5ABFBE34}"/>
    <cellStyle name="40% - Ênfase6 2 4" xfId="950" xr:uid="{AB435E26-A6D4-460B-8903-6B9E1D5EF943}"/>
    <cellStyle name="40% - Ênfase6 2 4 2" xfId="2802" xr:uid="{C23FA21D-5440-4546-A462-BA2845F91110}"/>
    <cellStyle name="40% - Ênfase6 2 5" xfId="1875" xr:uid="{C26D95C1-8D44-4DF4-8B35-53FBDF6399C2}"/>
    <cellStyle name="40% - Ênfase6 20" xfId="1853" xr:uid="{AD2A79E2-471E-4561-B71E-7ADACD7967AB}"/>
    <cellStyle name="40% - Ênfase6 3" xfId="81" xr:uid="{A6B2B891-4D55-47CA-9822-03A59391FAB2}"/>
    <cellStyle name="40% - Ênfase6 3 2" xfId="687" xr:uid="{C5D1611B-3171-463B-9BB4-3577115EF466}"/>
    <cellStyle name="40% - Ênfase6 3 2 2" xfId="1290" xr:uid="{A77D7F09-2429-4921-A4AF-01F75E1A0EC0}"/>
    <cellStyle name="40% - Ênfase6 3 2 2 2" xfId="3142" xr:uid="{F274A36F-3BD6-484E-8CAE-AB109DF12AE1}"/>
    <cellStyle name="40% - Ênfase6 3 2 3" xfId="2215" xr:uid="{747C4864-20F0-460F-872F-2A8D8F5443B7}"/>
    <cellStyle name="40% - Ênfase6 3 3" xfId="363" xr:uid="{60BEDFEB-3732-452F-A491-969274EF1515}"/>
    <cellStyle name="40% - Ênfase6 3 3 2" xfId="1530" xr:uid="{8EF2B39D-0104-4019-8D04-2FD13FB88A11}"/>
    <cellStyle name="40% - Ênfase6 3 3 2 2" xfId="3382" xr:uid="{B994E64E-8BD8-417D-A1D9-DEEF9C864B0A}"/>
    <cellStyle name="40% - Ênfase6 3 3 3" xfId="2455" xr:uid="{6AAA71EB-94C8-4C30-8388-42C84C10A146}"/>
    <cellStyle name="40% - Ênfase6 3 4" xfId="968" xr:uid="{6DD28198-93A7-432C-BA03-895BC633295C}"/>
    <cellStyle name="40% - Ênfase6 3 4 2" xfId="2820" xr:uid="{B71B753B-21C3-4B11-9DF1-058D322161F2}"/>
    <cellStyle name="40% - Ênfase6 3 5" xfId="1893" xr:uid="{840C450C-BBB3-4D49-BFA7-FC04DCBE2837}"/>
    <cellStyle name="40% - Ênfase6 4" xfId="103" xr:uid="{F585B17B-D5D8-4572-BC6F-B6357DDE609D}"/>
    <cellStyle name="40% - Ênfase6 4 2" xfId="709" xr:uid="{D3836CD8-3921-466C-9772-A19F1889B8BA}"/>
    <cellStyle name="40% - Ênfase6 4 2 2" xfId="1312" xr:uid="{BB5B9FFA-3EED-487D-9472-FC89C288480B}"/>
    <cellStyle name="40% - Ênfase6 4 2 2 2" xfId="3164" xr:uid="{B13D0FFE-EA33-4896-BC0E-F96D3205B436}"/>
    <cellStyle name="40% - Ênfase6 4 2 3" xfId="2237" xr:uid="{EDF18D71-F9CF-4E3D-BA4E-8076C85DE639}"/>
    <cellStyle name="40% - Ênfase6 4 3" xfId="385" xr:uid="{4401A785-2ABE-457D-8412-BECFFA91CB8B}"/>
    <cellStyle name="40% - Ênfase6 4 3 2" xfId="1622" xr:uid="{2B5BDD8B-9472-49F3-B6E9-60532592EA0A}"/>
    <cellStyle name="40% - Ênfase6 4 3 2 2" xfId="3474" xr:uid="{78231355-8E37-4AAC-8785-022844BC4FA2}"/>
    <cellStyle name="40% - Ênfase6 4 3 3" xfId="2547" xr:uid="{027EEA8C-F3CF-4039-A3B3-B3A0E6AD8422}"/>
    <cellStyle name="40% - Ênfase6 4 4" xfId="990" xr:uid="{94BA4C7E-F564-49D6-9482-E3E67630C1F8}"/>
    <cellStyle name="40% - Ênfase6 4 4 2" xfId="2842" xr:uid="{F7AE4282-50F9-48D5-A3E1-EDD2BA678902}"/>
    <cellStyle name="40% - Ênfase6 4 5" xfId="1915" xr:uid="{93177675-8B86-484E-9AE2-F1A1FA0BEB3B}"/>
    <cellStyle name="40% - Ênfase6 5" xfId="123" xr:uid="{00BAE5A6-DA56-445D-90A8-E600CF66896D}"/>
    <cellStyle name="40% - Ênfase6 5 2" xfId="729" xr:uid="{2C4312E6-F243-467D-B6BF-F750563B099E}"/>
    <cellStyle name="40% - Ênfase6 5 2 2" xfId="1332" xr:uid="{BB0F257C-75C5-4A91-9972-B6E943EE4DE8}"/>
    <cellStyle name="40% - Ênfase6 5 2 2 2" xfId="3184" xr:uid="{7719141F-070C-4E43-8C3F-28507AE93085}"/>
    <cellStyle name="40% - Ênfase6 5 2 3" xfId="2257" xr:uid="{1468E94A-1A26-4B50-B005-A17385E16603}"/>
    <cellStyle name="40% - Ênfase6 5 3" xfId="405" xr:uid="{7FE97531-E3D6-430C-B85D-082204B98621}"/>
    <cellStyle name="40% - Ênfase6 5 3 2" xfId="1709" xr:uid="{1C5A61EE-C3DC-4A9E-892D-CB9E4EF23C09}"/>
    <cellStyle name="40% - Ênfase6 5 3 2 2" xfId="3522" xr:uid="{A7314D2B-D66D-4324-90DF-D2B331B1EB3D}"/>
    <cellStyle name="40% - Ênfase6 5 3 3" xfId="2634" xr:uid="{7EF09A29-BD53-4984-8C18-EC1412D04674}"/>
    <cellStyle name="40% - Ênfase6 5 4" xfId="1010" xr:uid="{1998CC76-4A33-4CC2-BD21-AFBD9C5C6454}"/>
    <cellStyle name="40% - Ênfase6 5 4 2" xfId="2862" xr:uid="{7B621902-929A-47C8-B7EF-0F4B9E21CD94}"/>
    <cellStyle name="40% - Ênfase6 5 5" xfId="1935" xr:uid="{64598618-C961-418D-A671-F5A1AB009B9D}"/>
    <cellStyle name="40% - Ênfase6 6" xfId="143" xr:uid="{3C28A8B2-46A5-4B82-BC3C-084C0A10C4D6}"/>
    <cellStyle name="40% - Ênfase6 6 2" xfId="749" xr:uid="{756B1F3B-60E3-42E5-8E85-7A65506F8F91}"/>
    <cellStyle name="40% - Ênfase6 6 2 2" xfId="1352" xr:uid="{C61CCB7B-4290-429E-B700-69784B61B958}"/>
    <cellStyle name="40% - Ênfase6 6 2 2 2" xfId="3204" xr:uid="{5967A2B3-EF26-4CB2-9634-F596427F61E1}"/>
    <cellStyle name="40% - Ênfase6 6 2 3" xfId="2277" xr:uid="{9515F36C-246B-4F43-A7FA-180A87298955}"/>
    <cellStyle name="40% - Ênfase6 6 3" xfId="425" xr:uid="{108FCEB2-8061-4806-BEA1-DFDD08D2C68C}"/>
    <cellStyle name="40% - Ênfase6 6 3 2" xfId="1621" xr:uid="{F19E80BC-7E5B-4F93-AEF5-4E15086787D7}"/>
    <cellStyle name="40% - Ênfase6 6 3 2 2" xfId="3473" xr:uid="{D1F2CD6F-B8BB-4879-B745-8ED943E80999}"/>
    <cellStyle name="40% - Ênfase6 6 3 3" xfId="2546" xr:uid="{7E5077D8-3D58-408C-833C-24F7247279DB}"/>
    <cellStyle name="40% - Ênfase6 6 4" xfId="1030" xr:uid="{6F0E0836-F1D3-4DD6-BC02-CCAEE582D019}"/>
    <cellStyle name="40% - Ênfase6 6 4 2" xfId="2882" xr:uid="{E4531191-41DC-41BA-B796-A74C505986A5}"/>
    <cellStyle name="40% - Ênfase6 6 5" xfId="1955" xr:uid="{F5B2720B-D16F-4296-9546-ABA0D9E79C61}"/>
    <cellStyle name="40% - Ênfase6 7" xfId="163" xr:uid="{0265A171-9FC7-4CA7-A6FC-D41FE81DA173}"/>
    <cellStyle name="40% - Ênfase6 7 2" xfId="769" xr:uid="{CC1A861A-9745-4E57-AC22-8E35F5585A3C}"/>
    <cellStyle name="40% - Ênfase6 7 2 2" xfId="1372" xr:uid="{7F1163AC-EC47-479A-AD7F-71D7C05D8A65}"/>
    <cellStyle name="40% - Ênfase6 7 2 2 2" xfId="3224" xr:uid="{FA3A536B-36D5-410E-895F-68F9CE35E2DA}"/>
    <cellStyle name="40% - Ênfase6 7 2 3" xfId="2297" xr:uid="{60439CDC-4BD8-4FE1-8E87-3CE1890B158C}"/>
    <cellStyle name="40% - Ênfase6 7 3" xfId="445" xr:uid="{17876BD6-8F97-49A7-938C-484171D672AA}"/>
    <cellStyle name="40% - Ênfase6 7 3 2" xfId="1521" xr:uid="{E080BD5D-1933-43AC-AE68-A18DAB2053C8}"/>
    <cellStyle name="40% - Ênfase6 7 3 2 2" xfId="3373" xr:uid="{561EEC2E-190E-4110-84AE-DE62D520D053}"/>
    <cellStyle name="40% - Ênfase6 7 3 3" xfId="2446" xr:uid="{4F821125-B806-4E02-B47F-9B8C47B9945B}"/>
    <cellStyle name="40% - Ênfase6 7 4" xfId="1050" xr:uid="{476C81B8-46AF-4955-8824-E52126A87E04}"/>
    <cellStyle name="40% - Ênfase6 7 4 2" xfId="2902" xr:uid="{EFC9E25D-7938-45AC-8354-0E1E0736C670}"/>
    <cellStyle name="40% - Ênfase6 7 5" xfId="1975" xr:uid="{BFB05A96-2018-4C11-9FD8-0F8EDE8D7AA1}"/>
    <cellStyle name="40% - Ênfase6 8" xfId="183" xr:uid="{DE66FFAA-AF05-4FF6-9088-A4663B4DC342}"/>
    <cellStyle name="40% - Ênfase6 8 2" xfId="789" xr:uid="{189A58A6-4D01-4C29-B45C-9C7507F52DBF}"/>
    <cellStyle name="40% - Ênfase6 8 2 2" xfId="1392" xr:uid="{A15D8146-7D54-4D7F-A4A6-4EF54AE59F97}"/>
    <cellStyle name="40% - Ênfase6 8 2 2 2" xfId="3244" xr:uid="{89856C68-7416-4769-8725-299F7712961F}"/>
    <cellStyle name="40% - Ênfase6 8 2 3" xfId="2317" xr:uid="{B944342E-AA27-469D-AE16-DBE7C682A7D3}"/>
    <cellStyle name="40% - Ênfase6 8 3" xfId="465" xr:uid="{B77877AC-95B0-4E22-8BE4-6D0B56D8C0E4}"/>
    <cellStyle name="40% - Ênfase6 8 3 2" xfId="1648" xr:uid="{DA5ABEC6-EEDE-42D0-95B9-4FF000D2F14D}"/>
    <cellStyle name="40% - Ênfase6 8 3 2 2" xfId="3500" xr:uid="{80C50083-02AA-4F49-BDDE-2FE3CA76ADA4}"/>
    <cellStyle name="40% - Ênfase6 8 3 3" xfId="2573" xr:uid="{1E2909E1-C2F5-498F-B8F7-FAC5FDFF6CAE}"/>
    <cellStyle name="40% - Ênfase6 8 4" xfId="1070" xr:uid="{3D021E77-BA74-4BF3-9E19-FD797D4B0CC6}"/>
    <cellStyle name="40% - Ênfase6 8 4 2" xfId="2922" xr:uid="{98C1DDD8-B32E-4721-B8AC-27DF08369D6B}"/>
    <cellStyle name="40% - Ênfase6 8 5" xfId="1995" xr:uid="{D5FF9847-3B57-41D5-9BE7-CC1F84429B2E}"/>
    <cellStyle name="40% - Ênfase6 9" xfId="203" xr:uid="{537BE0FA-7370-4085-87EB-73CB69EB7787}"/>
    <cellStyle name="40% - Ênfase6 9 2" xfId="809" xr:uid="{470030FB-483F-465F-94FB-AFDBCDCE0734}"/>
    <cellStyle name="40% - Ênfase6 9 2 2" xfId="1412" xr:uid="{780C676F-9167-4C20-9664-968A354118BB}"/>
    <cellStyle name="40% - Ênfase6 9 2 2 2" xfId="3264" xr:uid="{871D39DC-4219-40CF-9229-129F59D5BA20}"/>
    <cellStyle name="40% - Ênfase6 9 2 3" xfId="2337" xr:uid="{6D126BF4-85B6-4BB5-B241-8E8DAB5871BA}"/>
    <cellStyle name="40% - Ênfase6 9 3" xfId="485" xr:uid="{F634DC9A-21B3-4DC8-8BC0-C8E66D1BC47C}"/>
    <cellStyle name="40% - Ênfase6 9 3 2" xfId="1528" xr:uid="{57318FB8-1469-4E5C-9A01-AD36A4D06D49}"/>
    <cellStyle name="40% - Ênfase6 9 3 2 2" xfId="3380" xr:uid="{7ED70B60-683A-4ADC-BA84-D52D44A97684}"/>
    <cellStyle name="40% - Ênfase6 9 3 3" xfId="2453" xr:uid="{AB92B65A-ED6B-4373-BE02-C8763A3B5E3B}"/>
    <cellStyle name="40% - Ênfase6 9 4" xfId="1090" xr:uid="{7AAF60FC-CF92-439F-8521-1766FC973FE4}"/>
    <cellStyle name="40% - Ênfase6 9 4 2" xfId="2942" xr:uid="{9D2EC218-5038-492C-BFAA-7C4CEC5653AD}"/>
    <cellStyle name="40% - Ênfase6 9 5" xfId="2015" xr:uid="{7A8F136F-38AE-40EB-ADB2-A3CF5D88A86E}"/>
    <cellStyle name="60% - Ênfase1" xfId="21" builtinId="32" customBuiltin="1"/>
    <cellStyle name="60% - Ênfase1 10" xfId="210" xr:uid="{04C0ECD6-3432-440F-9F1F-CAA5458782C3}"/>
    <cellStyle name="60% - Ênfase1 10 2" xfId="816" xr:uid="{8C4AD702-6B6E-43F1-AE6B-230BCF29E9FF}"/>
    <cellStyle name="60% - Ênfase1 10 2 2" xfId="1419" xr:uid="{3A4B9726-0977-4AC9-A7D5-3B76DC1155C1}"/>
    <cellStyle name="60% - Ênfase1 10 2 2 2" xfId="3271" xr:uid="{E06BB622-36D9-412C-B938-D26B5906CC35}"/>
    <cellStyle name="60% - Ênfase1 10 2 3" xfId="2344" xr:uid="{3EE7C833-E5C8-4A89-85BD-05B34BE5785F}"/>
    <cellStyle name="60% - Ênfase1 10 3" xfId="492" xr:uid="{F0251DC3-51B0-4FB3-B7FE-F67F28C244F0}"/>
    <cellStyle name="60% - Ênfase1 10 3 2" xfId="1797" xr:uid="{58FE00E1-8B85-42A2-B80B-770BB7363078}"/>
    <cellStyle name="60% - Ênfase1 10 3 2 2" xfId="3610" xr:uid="{F92D0649-3EC7-4ABA-BCB7-DBFF80375CF8}"/>
    <cellStyle name="60% - Ênfase1 10 3 3" xfId="2722" xr:uid="{F71F094A-32DA-4777-9C01-650949BAFDFF}"/>
    <cellStyle name="60% - Ênfase1 10 4" xfId="1097" xr:uid="{95402B2A-E5AA-4F17-8C97-FD0E0A76480F}"/>
    <cellStyle name="60% - Ênfase1 10 4 2" xfId="2949" xr:uid="{0BA50A12-FC2E-497D-994F-1B24B16A2847}"/>
    <cellStyle name="60% - Ênfase1 10 5" xfId="2022" xr:uid="{BFCBF05E-112F-45BD-99A4-523E06A5D5C3}"/>
    <cellStyle name="60% - Ênfase1 11" xfId="230" xr:uid="{5D24BB91-F4DC-4D43-A70D-12B3B9C697F4}"/>
    <cellStyle name="60% - Ênfase1 11 2" xfId="836" xr:uid="{33A16C53-174C-4806-AEAD-035DC50B5156}"/>
    <cellStyle name="60% - Ênfase1 11 2 2" xfId="1439" xr:uid="{0D33AF01-ACDB-4F2A-9F7C-487B912B6D08}"/>
    <cellStyle name="60% - Ênfase1 11 2 2 2" xfId="3291" xr:uid="{4974F785-64DB-4F66-BB4E-2E65A46F23ED}"/>
    <cellStyle name="60% - Ênfase1 11 2 3" xfId="2364" xr:uid="{46ECC747-99D0-4BB4-BFDC-040BE5D0537E}"/>
    <cellStyle name="60% - Ênfase1 11 3" xfId="512" xr:uid="{B9641640-EE78-423C-B08C-863C0B6AD530}"/>
    <cellStyle name="60% - Ênfase1 11 3 2" xfId="1830" xr:uid="{80DB3863-7107-40AF-A38E-1F63B40753D3}"/>
    <cellStyle name="60% - Ênfase1 11 3 2 2" xfId="3643" xr:uid="{B3EE5DD0-F112-4DA1-AD29-37DF9B0E2273}"/>
    <cellStyle name="60% - Ênfase1 11 3 3" xfId="2755" xr:uid="{36D90140-7573-4C7D-8776-377D68C62F27}"/>
    <cellStyle name="60% - Ênfase1 11 4" xfId="1117" xr:uid="{8BD9B7B9-7BE3-4290-A3DE-C845C19F6137}"/>
    <cellStyle name="60% - Ênfase1 11 4 2" xfId="2969" xr:uid="{EB6699E3-2BD1-41BD-99C4-8CF07F750273}"/>
    <cellStyle name="60% - Ênfase1 11 5" xfId="2042" xr:uid="{303EDD9D-B42B-49EC-8687-8E1E904C6BD4}"/>
    <cellStyle name="60% - Ênfase1 12" xfId="250" xr:uid="{9C6B97D1-A895-4B9C-84FE-13545FE666C8}"/>
    <cellStyle name="60% - Ênfase1 12 2" xfId="856" xr:uid="{D3495A0A-8993-4A17-8048-059F79310649}"/>
    <cellStyle name="60% - Ênfase1 12 2 2" xfId="1459" xr:uid="{83F504DC-22FE-436B-A8E8-0BDAA7A0B059}"/>
    <cellStyle name="60% - Ênfase1 12 2 2 2" xfId="3311" xr:uid="{8DF3C276-1E2B-4585-A362-D1B79E8AA0E5}"/>
    <cellStyle name="60% - Ênfase1 12 2 3" xfId="2384" xr:uid="{C2F73EA8-5032-4181-A15D-F7CAE40654BE}"/>
    <cellStyle name="60% - Ênfase1 12 3" xfId="532" xr:uid="{C087FC6E-8B95-405A-9A69-A34C705A3B0D}"/>
    <cellStyle name="60% - Ênfase1 12 3 2" xfId="1625" xr:uid="{59353AA5-A890-40A0-9C4C-47415DADB0FB}"/>
    <cellStyle name="60% - Ênfase1 12 3 2 2" xfId="3477" xr:uid="{908836D5-5A5F-4F1A-9F72-EA43C64CCEA1}"/>
    <cellStyle name="60% - Ênfase1 12 3 3" xfId="2550" xr:uid="{9D2A55B6-C351-4106-B608-2F2AB60EDC26}"/>
    <cellStyle name="60% - Ênfase1 12 4" xfId="1137" xr:uid="{0AA1D5EE-FD86-446F-98A8-8F614E500F0B}"/>
    <cellStyle name="60% - Ênfase1 12 4 2" xfId="2989" xr:uid="{674FF835-CA98-4128-8A2D-2ACD95F90D3A}"/>
    <cellStyle name="60% - Ênfase1 12 5" xfId="2062" xr:uid="{642A6E8A-D92A-4717-91ED-7A45D7BC2D6A}"/>
    <cellStyle name="60% - Ênfase1 13" xfId="270" xr:uid="{1BD1A391-99C3-4396-A67F-9AA6A1131442}"/>
    <cellStyle name="60% - Ênfase1 13 2" xfId="876" xr:uid="{6EBEED4C-233C-4A20-A37D-7136356198FA}"/>
    <cellStyle name="60% - Ênfase1 13 2 2" xfId="1479" xr:uid="{8E057C3D-1C15-4D91-AE34-886E1BCA0701}"/>
    <cellStyle name="60% - Ênfase1 13 2 2 2" xfId="3331" xr:uid="{C4613F48-7423-4344-86B4-BB0C0F36F70F}"/>
    <cellStyle name="60% - Ênfase1 13 2 3" xfId="2404" xr:uid="{E0BED0AE-E3BA-4145-9218-50BC6EA351C5}"/>
    <cellStyle name="60% - Ênfase1 13 3" xfId="552" xr:uid="{375CDFF7-2C30-48F2-8724-7FE6E44AF9EB}"/>
    <cellStyle name="60% - Ênfase1 13 3 2" xfId="1524" xr:uid="{B470CB5F-EB26-4FFC-971A-4556E960C1A6}"/>
    <cellStyle name="60% - Ênfase1 13 3 2 2" xfId="3376" xr:uid="{6A159774-90CA-4687-A5B8-653332B40A11}"/>
    <cellStyle name="60% - Ênfase1 13 3 3" xfId="2449" xr:uid="{A2B2AE71-C916-45DC-9A33-12602D3018DC}"/>
    <cellStyle name="60% - Ênfase1 13 4" xfId="1157" xr:uid="{A030C7BE-932A-478F-843D-8791D439D401}"/>
    <cellStyle name="60% - Ênfase1 13 4 2" xfId="3009" xr:uid="{321CC0C5-250E-4BA2-AA86-079DCAA3280E}"/>
    <cellStyle name="60% - Ênfase1 13 5" xfId="2082" xr:uid="{03B1B8FF-CF77-4EC8-B7E0-D7DD05833461}"/>
    <cellStyle name="60% - Ênfase1 14" xfId="290" xr:uid="{B65CE55F-6500-40C8-8A7C-30AAEF1875BB}"/>
    <cellStyle name="60% - Ênfase1 14 2" xfId="896" xr:uid="{4AF23AC8-E82B-43A8-AA5B-8CAA57EB6C12}"/>
    <cellStyle name="60% - Ênfase1 14 2 2" xfId="1499" xr:uid="{80788FF7-C720-4FDE-854D-D13C71C326FF}"/>
    <cellStyle name="60% - Ênfase1 14 2 2 2" xfId="3351" xr:uid="{BED25709-6342-4F45-8007-806C16B2C9E8}"/>
    <cellStyle name="60% - Ênfase1 14 2 3" xfId="2424" xr:uid="{CEE33C2F-D6A3-4840-A012-05BD905662CA}"/>
    <cellStyle name="60% - Ênfase1 14 3" xfId="572" xr:uid="{7446CF0D-F095-4029-9902-8FE60D4B0DEC}"/>
    <cellStyle name="60% - Ênfase1 14 3 2" xfId="1538" xr:uid="{FD5802F1-577F-46F0-BE0C-4394D369E44F}"/>
    <cellStyle name="60% - Ênfase1 14 3 2 2" xfId="3390" xr:uid="{A4A4F907-E6A7-4595-B06C-D13FB2DE74EF}"/>
    <cellStyle name="60% - Ênfase1 14 3 3" xfId="2463" xr:uid="{716E46E1-0913-41EA-9A0A-C6B3ACCDBC65}"/>
    <cellStyle name="60% - Ênfase1 14 4" xfId="1177" xr:uid="{7E0CB194-991B-4ADA-A3FB-E62605746484}"/>
    <cellStyle name="60% - Ênfase1 14 4 2" xfId="3029" xr:uid="{AA0A7704-E160-42AA-B2D8-BF14D04E8E33}"/>
    <cellStyle name="60% - Ênfase1 14 5" xfId="2102" xr:uid="{63595649-041D-46B5-9FD9-AAE3767BF6CC}"/>
    <cellStyle name="60% - Ênfase1 15" xfId="592" xr:uid="{AF3BDEEB-2121-4171-9D5F-461F9383AD2D}"/>
    <cellStyle name="60% - Ênfase1 15 2" xfId="1655" xr:uid="{C0966570-6625-4AB1-A085-1CEA81E1579A}"/>
    <cellStyle name="60% - Ênfase1 15 2 2" xfId="2580" xr:uid="{BCEDEA11-CBA4-46A4-B5B9-D6956C04F9B4}"/>
    <cellStyle name="60% - Ênfase1 15 3" xfId="1197" xr:uid="{5A01C301-8229-44FD-AB2F-5BD4620B3360}"/>
    <cellStyle name="60% - Ênfase1 15 3 2" xfId="3049" xr:uid="{8508570D-86EA-4F69-9316-F9544BA6EF02}"/>
    <cellStyle name="60% - Ênfase1 15 4" xfId="2122" xr:uid="{E4977A9C-0114-4800-B120-CF12F498425D}"/>
    <cellStyle name="60% - Ênfase1 16" xfId="612" xr:uid="{141EFF5B-19B3-446B-9459-DF01FA32CFE4}"/>
    <cellStyle name="60% - Ênfase1 16 2" xfId="1675" xr:uid="{414B91A8-A062-40FF-9300-3E4782744621}"/>
    <cellStyle name="60% - Ênfase1 16 2 2" xfId="2600" xr:uid="{AA6ED20D-3F38-4DB6-BA11-B965695F91A4}"/>
    <cellStyle name="60% - Ênfase1 16 3" xfId="1217" xr:uid="{B11174E3-3BEA-4383-9300-B425177F96D7}"/>
    <cellStyle name="60% - Ênfase1 16 3 2" xfId="3069" xr:uid="{558A952F-4AA9-4672-8B56-033DCEA9CD96}"/>
    <cellStyle name="60% - Ênfase1 16 4" xfId="2142" xr:uid="{DF0C675E-8C3E-45AC-97CB-16A95DE5EAAD}"/>
    <cellStyle name="60% - Ênfase1 17" xfId="632" xr:uid="{2990D00B-394C-459F-A5B8-35A3613E3DA9}"/>
    <cellStyle name="60% - Ênfase1 17 2" xfId="1236" xr:uid="{F1BF89C6-2FAD-43DD-87EA-D98254DCB487}"/>
    <cellStyle name="60% - Ênfase1 17 2 2" xfId="3088" xr:uid="{F0BC789A-9995-47EA-BFF7-440868B15D8B}"/>
    <cellStyle name="60% - Ênfase1 17 3" xfId="2161" xr:uid="{F882A2AA-2678-437F-B3A4-5D7C67C7F8A6}"/>
    <cellStyle name="60% - Ênfase1 18" xfId="309" xr:uid="{21EFBE81-A528-411B-A263-4FC1E25A0E09}"/>
    <cellStyle name="60% - Ênfase1 18 2" xfId="1732" xr:uid="{144E9B35-A5BE-4C00-A236-A587801CFE9D}"/>
    <cellStyle name="60% - Ênfase1 18 2 2" xfId="3545" xr:uid="{2D3E05D0-D130-40A7-A637-3F3413D6EB3F}"/>
    <cellStyle name="60% - Ênfase1 18 3" xfId="2657" xr:uid="{9DAB37EE-04DD-4D61-AB27-38CF1147D177}"/>
    <cellStyle name="60% - Ênfase1 19" xfId="914" xr:uid="{10610F0C-4A66-4775-B77B-3B8EE1C1413C}"/>
    <cellStyle name="60% - Ênfase1 19 2" xfId="2766" xr:uid="{7FB6C82E-28C5-48D0-BA1B-F1853C8F777C}"/>
    <cellStyle name="60% - Ênfase1 2" xfId="49" xr:uid="{1B978E0D-68A3-4F50-A782-E9373DE8EAAA}"/>
    <cellStyle name="60% - Ênfase1 2 2" xfId="655" xr:uid="{2D2C8636-DC85-4167-8CBF-9E0641B01235}"/>
    <cellStyle name="60% - Ênfase1 2 2 2" xfId="1258" xr:uid="{3EAB4D1B-F8A5-4FD3-ABCD-EA1D45E1C77E}"/>
    <cellStyle name="60% - Ênfase1 2 2 2 2" xfId="3110" xr:uid="{565D3E43-7622-4915-849A-09F10C66E66A}"/>
    <cellStyle name="60% - Ênfase1 2 2 3" xfId="2183" xr:uid="{2470770C-1315-464E-BC02-7257690D4911}"/>
    <cellStyle name="60% - Ênfase1 2 3" xfId="331" xr:uid="{A1FB1E99-0678-4A44-9D01-5A0CA9A46038}"/>
    <cellStyle name="60% - Ênfase1 2 3 2" xfId="1542" xr:uid="{6CB40189-6D12-4DB5-9753-328459443EA4}"/>
    <cellStyle name="60% - Ênfase1 2 3 2 2" xfId="3394" xr:uid="{B0605400-145E-4A15-B8DD-473C9E08980B}"/>
    <cellStyle name="60% - Ênfase1 2 3 3" xfId="2467" xr:uid="{626CE178-1326-4E28-969B-ED9A4A561514}"/>
    <cellStyle name="60% - Ênfase1 2 4" xfId="936" xr:uid="{1B8B3CD0-40F3-45B7-A70B-A2C337D48CEA}"/>
    <cellStyle name="60% - Ênfase1 2 4 2" xfId="2788" xr:uid="{2C3B3EF7-706D-4E3F-A479-C277AD76564A}"/>
    <cellStyle name="60% - Ênfase1 2 5" xfId="1861" xr:uid="{7379247C-086B-40B4-B907-7EAB22E58CA3}"/>
    <cellStyle name="60% - Ênfase1 20" xfId="1839" xr:uid="{C767C60F-2815-4B35-A832-49E4D05EFFF0}"/>
    <cellStyle name="60% - Ênfase1 3" xfId="67" xr:uid="{375A8313-0BEB-423C-8F6A-CA1E1AA6EC74}"/>
    <cellStyle name="60% - Ênfase1 3 2" xfId="673" xr:uid="{B0C8E2BF-A286-4580-BE9D-9306E57F1E36}"/>
    <cellStyle name="60% - Ênfase1 3 2 2" xfId="1276" xr:uid="{A1F3DEEE-E62D-4A66-ADEC-14BEA1B74754}"/>
    <cellStyle name="60% - Ênfase1 3 2 2 2" xfId="3128" xr:uid="{90A78692-5F96-4282-9FEC-6C4CA67893FC}"/>
    <cellStyle name="60% - Ênfase1 3 2 3" xfId="2201" xr:uid="{5819C583-EF67-4E25-95E5-111068FCADED}"/>
    <cellStyle name="60% - Ênfase1 3 3" xfId="349" xr:uid="{2370C168-1D0B-4745-B6EF-BF494F204A4B}"/>
    <cellStyle name="60% - Ênfase1 3 3 2" xfId="1624" xr:uid="{477561AF-5317-4367-8494-4404F86F9F53}"/>
    <cellStyle name="60% - Ênfase1 3 3 2 2" xfId="3476" xr:uid="{2DB7A98E-ECB8-422B-AAAE-8D1296A94F50}"/>
    <cellStyle name="60% - Ênfase1 3 3 3" xfId="2549" xr:uid="{79DBE8F0-D588-4BED-9C6A-A6EF9ACCF1A3}"/>
    <cellStyle name="60% - Ênfase1 3 4" xfId="954" xr:uid="{54B4A317-2552-47DE-89E5-515FDF4BF2B4}"/>
    <cellStyle name="60% - Ênfase1 3 4 2" xfId="2806" xr:uid="{6DE9A626-C2DD-431D-B496-5DA341AACEF2}"/>
    <cellStyle name="60% - Ênfase1 3 5" xfId="1879" xr:uid="{CCA74D41-8F90-46D2-9EC7-6E8E15185E6B}"/>
    <cellStyle name="60% - Ênfase1 4" xfId="89" xr:uid="{0739D21B-0BFC-40A6-BDD7-4319C7598550}"/>
    <cellStyle name="60% - Ênfase1 4 2" xfId="695" xr:uid="{7DEA0A11-1653-485A-96FC-8744BCCF3B7E}"/>
    <cellStyle name="60% - Ênfase1 4 2 2" xfId="1298" xr:uid="{5E7EAD75-1CF0-41E1-BDAD-74EA8E231BE0}"/>
    <cellStyle name="60% - Ênfase1 4 2 2 2" xfId="3150" xr:uid="{51876025-461F-450F-B845-BD528AAE37A1}"/>
    <cellStyle name="60% - Ênfase1 4 2 3" xfId="2223" xr:uid="{17EA542F-4110-47B6-B592-F8BB92FEE926}"/>
    <cellStyle name="60% - Ênfase1 4 3" xfId="371" xr:uid="{EEC588B3-4D11-431F-BC82-51AFF4F21688}"/>
    <cellStyle name="60% - Ênfase1 4 3 2" xfId="1811" xr:uid="{9ADA63F8-3FFD-43B3-B88E-796A6BE3B933}"/>
    <cellStyle name="60% - Ênfase1 4 3 2 2" xfId="3624" xr:uid="{F28DCCC4-D52E-425E-8E91-454535474095}"/>
    <cellStyle name="60% - Ênfase1 4 3 3" xfId="2736" xr:uid="{573130B6-FF15-479F-8154-580938DBE4F2}"/>
    <cellStyle name="60% - Ênfase1 4 4" xfId="976" xr:uid="{1AB1AF9E-F008-4F38-BEA7-1767C5E22A4B}"/>
    <cellStyle name="60% - Ênfase1 4 4 2" xfId="2828" xr:uid="{7BA1EA86-ABF6-44BC-A1C2-9FC160D8660F}"/>
    <cellStyle name="60% - Ênfase1 4 5" xfId="1901" xr:uid="{92A5D87B-E263-4701-BEC0-B778F5D6433D}"/>
    <cellStyle name="60% - Ênfase1 5" xfId="109" xr:uid="{2F528672-70D5-4EFA-B7D1-0EBDBEE0CB65}"/>
    <cellStyle name="60% - Ênfase1 5 2" xfId="715" xr:uid="{186747E1-C279-4EE2-9349-03442FA3CAE0}"/>
    <cellStyle name="60% - Ênfase1 5 2 2" xfId="1318" xr:uid="{0C1BAAB4-935F-44E0-A344-3D845D58ECD0}"/>
    <cellStyle name="60% - Ênfase1 5 2 2 2" xfId="3170" xr:uid="{2F9BE2C7-61BC-4B41-A951-6C8883B6FA75}"/>
    <cellStyle name="60% - Ênfase1 5 2 3" xfId="2243" xr:uid="{10EA01E1-1129-4224-BBC6-671C4921BDDF}"/>
    <cellStyle name="60% - Ênfase1 5 3" xfId="391" xr:uid="{2D1B1597-3CFE-497F-8014-968C14FED19D}"/>
    <cellStyle name="60% - Ênfase1 5 3 2" xfId="1599" xr:uid="{A30BD979-5140-453B-A36F-F53D248A6501}"/>
    <cellStyle name="60% - Ênfase1 5 3 2 2" xfId="3451" xr:uid="{D7C19E8C-3F1A-4AA1-BD5F-47115E4952D4}"/>
    <cellStyle name="60% - Ênfase1 5 3 3" xfId="2524" xr:uid="{E561A536-5D8D-444B-A5ED-29530FF32795}"/>
    <cellStyle name="60% - Ênfase1 5 4" xfId="996" xr:uid="{66D612DE-A2FD-4112-8656-7309D3CC3F14}"/>
    <cellStyle name="60% - Ênfase1 5 4 2" xfId="2848" xr:uid="{0A5BAFF2-0688-4A30-BDEC-509CC75BAEFD}"/>
    <cellStyle name="60% - Ênfase1 5 5" xfId="1921" xr:uid="{D08E5F36-F04B-4E64-85B6-ACD9A3A44C4A}"/>
    <cellStyle name="60% - Ênfase1 6" xfId="129" xr:uid="{2954CB06-35F2-4726-A373-604EAC8498A5}"/>
    <cellStyle name="60% - Ênfase1 6 2" xfId="735" xr:uid="{EA9479C0-0A5C-404B-9F68-C42B9B9B09F6}"/>
    <cellStyle name="60% - Ênfase1 6 2 2" xfId="1338" xr:uid="{28049ED7-58A8-492B-9464-94F9FF6A0459}"/>
    <cellStyle name="60% - Ênfase1 6 2 2 2" xfId="3190" xr:uid="{54064CEE-3C0D-4829-9990-F2BB14E9DCD4}"/>
    <cellStyle name="60% - Ênfase1 6 2 3" xfId="2263" xr:uid="{7CE96259-F699-4FD6-A017-9131CF5C3F56}"/>
    <cellStyle name="60% - Ênfase1 6 3" xfId="411" xr:uid="{4D4896A3-6D44-4390-8B42-66847D8046BC}"/>
    <cellStyle name="60% - Ênfase1 6 3 2" xfId="1567" xr:uid="{14926C7B-4D18-4FDD-BA77-D7AD4DB28465}"/>
    <cellStyle name="60% - Ênfase1 6 3 2 2" xfId="3419" xr:uid="{5CCB042A-615E-485A-9E35-F5261A438C43}"/>
    <cellStyle name="60% - Ênfase1 6 3 3" xfId="2492" xr:uid="{8A99BEC6-6D29-4942-B0E7-A0DDC700EDC3}"/>
    <cellStyle name="60% - Ênfase1 6 4" xfId="1016" xr:uid="{F1137AAB-7A8F-4360-A57F-15DC724E96BB}"/>
    <cellStyle name="60% - Ênfase1 6 4 2" xfId="2868" xr:uid="{FCB22872-96C1-4EBD-A0DA-C5DB1DA772AA}"/>
    <cellStyle name="60% - Ênfase1 6 5" xfId="1941" xr:uid="{99C9A8C2-D0CE-426A-881E-8A7D81FC6247}"/>
    <cellStyle name="60% - Ênfase1 7" xfId="149" xr:uid="{C375077F-8826-400B-BF8F-07804DD5C1C6}"/>
    <cellStyle name="60% - Ênfase1 7 2" xfId="755" xr:uid="{3411938F-B6A7-488A-BA14-F1DF8E54348A}"/>
    <cellStyle name="60% - Ênfase1 7 2 2" xfId="1358" xr:uid="{7FE75BA9-575C-408F-BE65-A647791E6928}"/>
    <cellStyle name="60% - Ênfase1 7 2 2 2" xfId="3210" xr:uid="{7E5298F8-EBE8-464E-9A76-5259BAF9879C}"/>
    <cellStyle name="60% - Ênfase1 7 2 3" xfId="2283" xr:uid="{D0147F39-71DE-4F15-8F13-65424B843EF9}"/>
    <cellStyle name="60% - Ênfase1 7 3" xfId="431" xr:uid="{F581E834-BAE6-4A2D-96F0-BE2FB350612D}"/>
    <cellStyle name="60% - Ênfase1 7 3 2" xfId="1634" xr:uid="{2ACE9A47-B3F5-4D47-9AFA-D74A9D912143}"/>
    <cellStyle name="60% - Ênfase1 7 3 2 2" xfId="3486" xr:uid="{53933154-CF72-4E89-A77C-3E6E665A0C77}"/>
    <cellStyle name="60% - Ênfase1 7 3 3" xfId="2559" xr:uid="{CE27F43A-8209-4DB9-B900-05DEE1C5C9C2}"/>
    <cellStyle name="60% - Ênfase1 7 4" xfId="1036" xr:uid="{795DDB67-9041-402F-88C8-4F37D537521D}"/>
    <cellStyle name="60% - Ênfase1 7 4 2" xfId="2888" xr:uid="{B4983EBA-EBDB-4B72-B347-3879BF6D65EF}"/>
    <cellStyle name="60% - Ênfase1 7 5" xfId="1961" xr:uid="{D2770897-7144-48FC-A46D-30DD51F3CF55}"/>
    <cellStyle name="60% - Ênfase1 8" xfId="169" xr:uid="{8BC7AED0-1394-45AC-8366-EC11A52F79CF}"/>
    <cellStyle name="60% - Ênfase1 8 2" xfId="775" xr:uid="{4ADCA263-070E-4BCB-ABA0-6747CA5CA37B}"/>
    <cellStyle name="60% - Ênfase1 8 2 2" xfId="1378" xr:uid="{2B04D729-E56F-4BD4-9942-01F7289B5A53}"/>
    <cellStyle name="60% - Ênfase1 8 2 2 2" xfId="3230" xr:uid="{A7EA433E-B205-45C1-B7F0-75117E4962E7}"/>
    <cellStyle name="60% - Ênfase1 8 2 3" xfId="2303" xr:uid="{2C2562B4-51BA-45BD-84FD-22105287E91C}"/>
    <cellStyle name="60% - Ênfase1 8 3" xfId="451" xr:uid="{B31219A4-EF13-40AE-9E42-5330DC65207B}"/>
    <cellStyle name="60% - Ênfase1 8 3 2" xfId="1749" xr:uid="{152BCFE0-09B9-40B4-89FB-0665031774CA}"/>
    <cellStyle name="60% - Ênfase1 8 3 2 2" xfId="3562" xr:uid="{C63ED201-571B-4DD9-8914-B501182C16BB}"/>
    <cellStyle name="60% - Ênfase1 8 3 3" xfId="2674" xr:uid="{C0D210BC-B5CC-4E28-954A-FD7155AD97B7}"/>
    <cellStyle name="60% - Ênfase1 8 4" xfId="1056" xr:uid="{6B66B902-91C6-4EDD-AED5-A6828D1434CE}"/>
    <cellStyle name="60% - Ênfase1 8 4 2" xfId="2908" xr:uid="{24E931A5-F1B1-44D4-A217-740A400449F9}"/>
    <cellStyle name="60% - Ênfase1 8 5" xfId="1981" xr:uid="{23E7F2D8-10B1-4F76-8BF0-2DA554CF4586}"/>
    <cellStyle name="60% - Ênfase1 9" xfId="189" xr:uid="{C9B1557A-23EE-4D84-85E9-4F1FD983E66B}"/>
    <cellStyle name="60% - Ênfase1 9 2" xfId="795" xr:uid="{07B145E5-BA2B-49D9-8D17-A553CC78CB20}"/>
    <cellStyle name="60% - Ênfase1 9 2 2" xfId="1398" xr:uid="{5E553E11-7B62-4E83-9C2D-9B6614034ED3}"/>
    <cellStyle name="60% - Ênfase1 9 2 2 2" xfId="3250" xr:uid="{39A04989-DB96-428E-BF91-5EDF7B343CE6}"/>
    <cellStyle name="60% - Ênfase1 9 2 3" xfId="2323" xr:uid="{E5EFD736-D979-46EF-B1F2-8A3A7B935583}"/>
    <cellStyle name="60% - Ênfase1 9 3" xfId="471" xr:uid="{C12418A5-5B8A-48B4-8C91-4D9727A54104}"/>
    <cellStyle name="60% - Ênfase1 9 3 2" xfId="1535" xr:uid="{8F420F19-B3CC-44A8-95C3-17F7D7F5D9A7}"/>
    <cellStyle name="60% - Ênfase1 9 3 2 2" xfId="3387" xr:uid="{D3D46C02-C830-42DD-8C8E-CA0CB1589453}"/>
    <cellStyle name="60% - Ênfase1 9 3 3" xfId="2460" xr:uid="{87852BE4-894D-47A1-BACF-0024B0CD0E04}"/>
    <cellStyle name="60% - Ênfase1 9 4" xfId="1076" xr:uid="{80F30F06-0DAB-4817-8F6E-800A4C433928}"/>
    <cellStyle name="60% - Ênfase1 9 4 2" xfId="2928" xr:uid="{E85B0D38-C5CD-4A8C-A2F2-228DFBA7CEF6}"/>
    <cellStyle name="60% - Ênfase1 9 5" xfId="2001" xr:uid="{79C65451-5FFE-462C-AF5D-876798545EAF}"/>
    <cellStyle name="60% - Ênfase2" xfId="25" builtinId="36" customBuiltin="1"/>
    <cellStyle name="60% - Ênfase2 10" xfId="213" xr:uid="{7A8371DE-F3AC-4F9D-A85D-45941461D2D1}"/>
    <cellStyle name="60% - Ênfase2 10 2" xfId="819" xr:uid="{F0157E35-39E0-400F-82D8-724AC976F781}"/>
    <cellStyle name="60% - Ênfase2 10 2 2" xfId="1422" xr:uid="{9E4C3754-FDEB-42CB-9A29-F343FCB2751D}"/>
    <cellStyle name="60% - Ênfase2 10 2 2 2" xfId="3274" xr:uid="{9F7D01DB-35E6-4630-B6C2-63D84DDFC14C}"/>
    <cellStyle name="60% - Ênfase2 10 2 3" xfId="2347" xr:uid="{3440B2F2-60D7-4DEF-90B7-B979B640990F}"/>
    <cellStyle name="60% - Ênfase2 10 3" xfId="495" xr:uid="{7D8F4AD7-9B44-4A7B-B7FD-DAF23A0AE4F7}"/>
    <cellStyle name="60% - Ênfase2 10 3 2" xfId="1571" xr:uid="{DD76CB5C-0082-4189-970C-35BED7D08F20}"/>
    <cellStyle name="60% - Ênfase2 10 3 2 2" xfId="3423" xr:uid="{E5EE0202-D7BD-497B-B8E5-CDCDB6219612}"/>
    <cellStyle name="60% - Ênfase2 10 3 3" xfId="2496" xr:uid="{F433C60A-E941-406D-BFA2-315DA433E837}"/>
    <cellStyle name="60% - Ênfase2 10 4" xfId="1100" xr:uid="{CD3EB239-F774-46A6-9122-216658FDFF25}"/>
    <cellStyle name="60% - Ênfase2 10 4 2" xfId="2952" xr:uid="{E0ECFC71-24D2-42CF-9573-0F57B3B42442}"/>
    <cellStyle name="60% - Ênfase2 10 5" xfId="2025" xr:uid="{A7E52405-4522-4DE9-AA8A-522ED6EAABE2}"/>
    <cellStyle name="60% - Ênfase2 11" xfId="233" xr:uid="{82870B6D-7E45-40E8-97DC-BE535545823F}"/>
    <cellStyle name="60% - Ênfase2 11 2" xfId="839" xr:uid="{32459212-1491-4886-B99F-3531055EB7EE}"/>
    <cellStyle name="60% - Ênfase2 11 2 2" xfId="1442" xr:uid="{BAB7EF09-53DD-4897-9A19-67FA3EB6EFD9}"/>
    <cellStyle name="60% - Ênfase2 11 2 2 2" xfId="3294" xr:uid="{BAD6DBA9-3CE1-4385-82D2-10D90062209B}"/>
    <cellStyle name="60% - Ênfase2 11 2 3" xfId="2367" xr:uid="{9F55CCE6-13DA-427F-A581-983BE16886EC}"/>
    <cellStyle name="60% - Ênfase2 11 3" xfId="515" xr:uid="{D6D46FBD-A7D8-4AF1-BDFD-A8DE4DE3A166}"/>
    <cellStyle name="60% - Ênfase2 11 3 2" xfId="1727" xr:uid="{33565FE1-2676-4E70-8692-31B03FE16DA8}"/>
    <cellStyle name="60% - Ênfase2 11 3 2 2" xfId="3540" xr:uid="{06AB2BA7-6ADB-435D-88A4-9C3A463C9D02}"/>
    <cellStyle name="60% - Ênfase2 11 3 3" xfId="2652" xr:uid="{1EA0042A-3ECF-4571-A2B9-7FC329F1D5D0}"/>
    <cellStyle name="60% - Ênfase2 11 4" xfId="1120" xr:uid="{FD76A501-7D57-40EB-8A12-0B82D7DF96FE}"/>
    <cellStyle name="60% - Ênfase2 11 4 2" xfId="2972" xr:uid="{2EBAF29C-4ED9-4E8C-B1DB-472D4AC5DD32}"/>
    <cellStyle name="60% - Ênfase2 11 5" xfId="2045" xr:uid="{63795BDD-7E61-4686-B83C-ED80C54FA581}"/>
    <cellStyle name="60% - Ênfase2 12" xfId="253" xr:uid="{8B9924CB-13CC-496E-8765-A4386CEAD30F}"/>
    <cellStyle name="60% - Ênfase2 12 2" xfId="859" xr:uid="{07DE1340-0B0B-4349-AE18-0CBE640EF042}"/>
    <cellStyle name="60% - Ênfase2 12 2 2" xfId="1462" xr:uid="{64336478-BD32-42B4-907E-F6AFC8023844}"/>
    <cellStyle name="60% - Ênfase2 12 2 2 2" xfId="3314" xr:uid="{3168A115-466E-413A-ADA7-06C71F52BD92}"/>
    <cellStyle name="60% - Ênfase2 12 2 3" xfId="2387" xr:uid="{390C4BD8-1D56-41E4-ABF2-0FA879C7B4AD}"/>
    <cellStyle name="60% - Ênfase2 12 3" xfId="535" xr:uid="{2DBB1C61-2F54-4748-8032-8E352D496F65}"/>
    <cellStyle name="60% - Ênfase2 12 3 2" xfId="1697" xr:uid="{30E2401E-ABF5-47BA-A73E-F2313F7ADA5A}"/>
    <cellStyle name="60% - Ênfase2 12 3 2 2" xfId="3510" xr:uid="{AA322F71-4DC3-4508-A158-C0B4D7B4051F}"/>
    <cellStyle name="60% - Ênfase2 12 3 3" xfId="2622" xr:uid="{DED9A642-22CC-4F0C-8F98-C07B90C96D87}"/>
    <cellStyle name="60% - Ênfase2 12 4" xfId="1140" xr:uid="{CC6B3A3A-DE66-4017-A0D4-CEC8A34BC04C}"/>
    <cellStyle name="60% - Ênfase2 12 4 2" xfId="2992" xr:uid="{31DB85AA-51A1-45C6-AA65-EBC8DD40A1C6}"/>
    <cellStyle name="60% - Ênfase2 12 5" xfId="2065" xr:uid="{F9FABA9B-E5B9-40E7-825D-CCD37187F6CA}"/>
    <cellStyle name="60% - Ênfase2 13" xfId="273" xr:uid="{A7330128-2C8E-428A-9122-2A9F0DDE6F89}"/>
    <cellStyle name="60% - Ênfase2 13 2" xfId="879" xr:uid="{15F48659-749E-4FF6-B0D5-A39A2047F431}"/>
    <cellStyle name="60% - Ênfase2 13 2 2" xfId="1482" xr:uid="{9145E473-8D30-4EE4-9B16-137C3E1018EB}"/>
    <cellStyle name="60% - Ênfase2 13 2 2 2" xfId="3334" xr:uid="{4EBAA838-DBF5-454E-A982-616918D1592E}"/>
    <cellStyle name="60% - Ênfase2 13 2 3" xfId="2407" xr:uid="{D2FD6303-7292-45B1-AF0E-B29EAF89D132}"/>
    <cellStyle name="60% - Ênfase2 13 3" xfId="555" xr:uid="{337CFAEF-BAA2-428F-828A-45DA7FE3A310}"/>
    <cellStyle name="60% - Ênfase2 13 3 2" xfId="1712" xr:uid="{0C9E089A-3F24-4F60-8539-39B0A1C0625E}"/>
    <cellStyle name="60% - Ênfase2 13 3 2 2" xfId="3525" xr:uid="{E7D5F665-3C2D-439D-BDCD-ED6EC5505F4D}"/>
    <cellStyle name="60% - Ênfase2 13 3 3" xfId="2637" xr:uid="{7C29F8E4-8012-4A65-A8EF-3A95EAA3035D}"/>
    <cellStyle name="60% - Ênfase2 13 4" xfId="1160" xr:uid="{757651C7-ADC5-47BF-8365-AEDE646259DD}"/>
    <cellStyle name="60% - Ênfase2 13 4 2" xfId="3012" xr:uid="{D5BB185D-66E2-4D54-901D-AD6759397658}"/>
    <cellStyle name="60% - Ênfase2 13 5" xfId="2085" xr:uid="{4B98FA9E-5CD8-497B-874E-782B3931FC7F}"/>
    <cellStyle name="60% - Ênfase2 14" xfId="293" xr:uid="{C9618BB4-3055-4E00-919B-70594187B952}"/>
    <cellStyle name="60% - Ênfase2 14 2" xfId="899" xr:uid="{3A9EEF98-CF3C-40D9-BDFE-F604711A951A}"/>
    <cellStyle name="60% - Ênfase2 14 2 2" xfId="1502" xr:uid="{570CF9BE-7C30-4C88-98EB-D5C431F28EE7}"/>
    <cellStyle name="60% - Ênfase2 14 2 2 2" xfId="3354" xr:uid="{D94975B2-AA3A-4D73-A3CD-9522E8CFDD00}"/>
    <cellStyle name="60% - Ênfase2 14 2 3" xfId="2427" xr:uid="{1E5A2A5A-41A1-4C0F-A905-BA105F3B3D76}"/>
    <cellStyle name="60% - Ênfase2 14 3" xfId="575" xr:uid="{B6919ABA-8157-47EE-B49D-9C0F80D001F3}"/>
    <cellStyle name="60% - Ênfase2 14 3 2" xfId="1778" xr:uid="{CFD7B483-E891-487D-ABEE-642CD73BB376}"/>
    <cellStyle name="60% - Ênfase2 14 3 2 2" xfId="3591" xr:uid="{5543AC35-C729-413F-92B7-AD41A9044F29}"/>
    <cellStyle name="60% - Ênfase2 14 3 3" xfId="2703" xr:uid="{6476C234-549A-4D3D-94A7-55C565DAF3ED}"/>
    <cellStyle name="60% - Ênfase2 14 4" xfId="1180" xr:uid="{0F1F50D7-81AC-49EC-ACCE-EC5819C341A4}"/>
    <cellStyle name="60% - Ênfase2 14 4 2" xfId="3032" xr:uid="{13CBB73F-E557-4A62-A605-6EC9DC093231}"/>
    <cellStyle name="60% - Ênfase2 14 5" xfId="2105" xr:uid="{B4A47318-689E-413F-9535-5015C8945763}"/>
    <cellStyle name="60% - Ênfase2 15" xfId="595" xr:uid="{D70F095F-3B62-4BAC-8849-08F3508351AD}"/>
    <cellStyle name="60% - Ênfase2 15 2" xfId="1658" xr:uid="{22D26A50-2E43-4279-90F7-D135ECC0872A}"/>
    <cellStyle name="60% - Ênfase2 15 2 2" xfId="2583" xr:uid="{7B0E7CA9-F63A-471D-87D8-182AD6AEC5AD}"/>
    <cellStyle name="60% - Ênfase2 15 3" xfId="1200" xr:uid="{29290A0F-6B17-4910-95C9-96B68B6C11DB}"/>
    <cellStyle name="60% - Ênfase2 15 3 2" xfId="3052" xr:uid="{156B8E3D-C03A-40AF-8BA3-8E0F1F16C6AE}"/>
    <cellStyle name="60% - Ênfase2 15 4" xfId="2125" xr:uid="{57153DFD-419F-4709-9532-EB393CDAA9A3}"/>
    <cellStyle name="60% - Ênfase2 16" xfId="615" xr:uid="{A0A94DEA-ED8E-4B99-B38A-8BFC188C3310}"/>
    <cellStyle name="60% - Ênfase2 16 2" xfId="1678" xr:uid="{99F59C9B-0BC2-4FB9-93C1-B5B2E5D2BC87}"/>
    <cellStyle name="60% - Ênfase2 16 2 2" xfId="2603" xr:uid="{660BC1DE-CAC1-4B75-B6CB-AD5A1D38550E}"/>
    <cellStyle name="60% - Ênfase2 16 3" xfId="1220" xr:uid="{3B632C4B-35EF-437D-B5F2-3DD9511D73C5}"/>
    <cellStyle name="60% - Ênfase2 16 3 2" xfId="3072" xr:uid="{B2DA7C04-6337-4E8B-A696-9C64F264F496}"/>
    <cellStyle name="60% - Ênfase2 16 4" xfId="2145" xr:uid="{E4A9F1D8-A974-4387-A1B3-C9B2A2C3936D}"/>
    <cellStyle name="60% - Ênfase2 17" xfId="635" xr:uid="{E88B9806-0F50-44F5-9C2F-12476D925441}"/>
    <cellStyle name="60% - Ênfase2 17 2" xfId="1239" xr:uid="{A37D8BBE-824B-4607-B710-04F450A8ED1F}"/>
    <cellStyle name="60% - Ênfase2 17 2 2" xfId="3091" xr:uid="{24A9A3F3-9A04-40F3-B045-C3970706CE37}"/>
    <cellStyle name="60% - Ênfase2 17 3" xfId="2164" xr:uid="{8C8601B9-0B47-4E69-AA6C-9A560CB1CDD7}"/>
    <cellStyle name="60% - Ênfase2 18" xfId="312" xr:uid="{5F48BE4F-3DAA-45B2-B59C-077169E75F59}"/>
    <cellStyle name="60% - Ênfase2 18 2" xfId="1602" xr:uid="{FDC47C76-1F0A-4D67-A077-EB7068B812D0}"/>
    <cellStyle name="60% - Ênfase2 18 2 2" xfId="3454" xr:uid="{4CB3C848-D4AD-4095-BC57-820E9F8ED3EB}"/>
    <cellStyle name="60% - Ênfase2 18 3" xfId="2527" xr:uid="{F832D578-281C-4FBF-9020-6620ABF0C43B}"/>
    <cellStyle name="60% - Ênfase2 19" xfId="917" xr:uid="{A348F299-908D-4DF6-AC5F-16F3580C7959}"/>
    <cellStyle name="60% - Ênfase2 19 2" xfId="2769" xr:uid="{E485780B-85C4-4AD1-8406-5374B60B668D}"/>
    <cellStyle name="60% - Ênfase2 2" xfId="52" xr:uid="{395C6812-6D64-42F6-A463-B04090A5FA33}"/>
    <cellStyle name="60% - Ênfase2 2 2" xfId="658" xr:uid="{7D610D18-655C-4ADB-B659-D8F9B4D9E730}"/>
    <cellStyle name="60% - Ênfase2 2 2 2" xfId="1261" xr:uid="{9539BF48-1734-4634-B1B2-8FEF3DD0E749}"/>
    <cellStyle name="60% - Ênfase2 2 2 2 2" xfId="3113" xr:uid="{C8F01EFE-1BA6-42EE-9D35-446D1C4B4E1D}"/>
    <cellStyle name="60% - Ênfase2 2 2 3" xfId="2186" xr:uid="{968CF8D0-9536-449E-90C0-F18430DAE94F}"/>
    <cellStyle name="60% - Ênfase2 2 3" xfId="334" xr:uid="{3BCEEE36-6D8E-46AE-BBB9-8BA9E524F548}"/>
    <cellStyle name="60% - Ênfase2 2 3 2" xfId="1765" xr:uid="{B8F658EE-D024-426A-881C-FD5049EC0A5A}"/>
    <cellStyle name="60% - Ênfase2 2 3 2 2" xfId="3578" xr:uid="{28822876-05CB-433A-88E4-B9018DAE60B4}"/>
    <cellStyle name="60% - Ênfase2 2 3 3" xfId="2690" xr:uid="{ECE12B8E-4DF5-482D-918A-E62C244496A8}"/>
    <cellStyle name="60% - Ênfase2 2 4" xfId="939" xr:uid="{830FE0D5-989E-47C1-BA1A-038FA16060C5}"/>
    <cellStyle name="60% - Ênfase2 2 4 2" xfId="2791" xr:uid="{23B35DED-990C-4225-BFFD-0213184F0EBC}"/>
    <cellStyle name="60% - Ênfase2 2 5" xfId="1864" xr:uid="{BA220098-B5DC-4C63-B18C-4AA6FD5CADCB}"/>
    <cellStyle name="60% - Ênfase2 20" xfId="1842" xr:uid="{4274E36B-E41D-41E4-BA4E-C84DB93E5C33}"/>
    <cellStyle name="60% - Ênfase2 3" xfId="70" xr:uid="{848083EA-6AD3-48FF-AA03-622F16A52CA0}"/>
    <cellStyle name="60% - Ênfase2 3 2" xfId="676" xr:uid="{4A005360-64A9-4306-B56D-C7ED5C57A5A1}"/>
    <cellStyle name="60% - Ênfase2 3 2 2" xfId="1279" xr:uid="{36D8D521-1567-44E8-9E08-9317E4B93B32}"/>
    <cellStyle name="60% - Ênfase2 3 2 2 2" xfId="3131" xr:uid="{92DF6DBB-6D18-4A1B-88CA-F951803C65DC}"/>
    <cellStyle name="60% - Ênfase2 3 2 3" xfId="2204" xr:uid="{194AF837-4A95-4A8F-8A3C-37C1ECEE0C6F}"/>
    <cellStyle name="60% - Ênfase2 3 3" xfId="352" xr:uid="{0B264DFC-B82B-4CD3-8E35-3F5E4B92005F}"/>
    <cellStyle name="60% - Ênfase2 3 3 2" xfId="1576" xr:uid="{19783745-BB83-4765-A758-4E35664A54D1}"/>
    <cellStyle name="60% - Ênfase2 3 3 2 2" xfId="3428" xr:uid="{BC05028F-426D-4B87-85B8-AE28C35B4E9A}"/>
    <cellStyle name="60% - Ênfase2 3 3 3" xfId="2501" xr:uid="{25D1D9B8-696B-486B-817E-00B281AD95B2}"/>
    <cellStyle name="60% - Ênfase2 3 4" xfId="957" xr:uid="{806C2E89-EC83-41FB-B52D-00E9DE7CF852}"/>
    <cellStyle name="60% - Ênfase2 3 4 2" xfId="2809" xr:uid="{7673470E-3B7C-4F52-AE65-0A4997997EF1}"/>
    <cellStyle name="60% - Ênfase2 3 5" xfId="1882" xr:uid="{7123A9CA-7F5F-4051-BAA8-76110FA0D837}"/>
    <cellStyle name="60% - Ênfase2 4" xfId="92" xr:uid="{3F4C9724-3532-4F5E-8CD7-828F58B35322}"/>
    <cellStyle name="60% - Ênfase2 4 2" xfId="698" xr:uid="{9B86511A-F582-4B10-9752-503A434FA876}"/>
    <cellStyle name="60% - Ênfase2 4 2 2" xfId="1301" xr:uid="{0C05E494-E8D2-4C66-8634-5B0DC102AD1F}"/>
    <cellStyle name="60% - Ênfase2 4 2 2 2" xfId="3153" xr:uid="{250BF981-6CC9-483E-B4AB-C23769B8CE17}"/>
    <cellStyle name="60% - Ênfase2 4 2 3" xfId="2226" xr:uid="{8E989026-F403-4EE5-BD53-F2CB09604BF3}"/>
    <cellStyle name="60% - Ênfase2 4 3" xfId="374" xr:uid="{85971ED3-0AD1-4C7F-84FD-7DE2411A9465}"/>
    <cellStyle name="60% - Ênfase2 4 3 2" xfId="1809" xr:uid="{444BAD06-D096-4FD3-BCAB-F35AAD327B20}"/>
    <cellStyle name="60% - Ênfase2 4 3 2 2" xfId="3622" xr:uid="{88092E82-CDD4-4431-8AC1-8B410BFE9F63}"/>
    <cellStyle name="60% - Ênfase2 4 3 3" xfId="2734" xr:uid="{F5337F7A-A1E9-4748-9FCF-921978B8A1F8}"/>
    <cellStyle name="60% - Ênfase2 4 4" xfId="979" xr:uid="{FB3CD81B-44C2-4A3D-9E7E-581C882EEA02}"/>
    <cellStyle name="60% - Ênfase2 4 4 2" xfId="2831" xr:uid="{BD385CAF-7C89-4244-9D81-8394BE55DC53}"/>
    <cellStyle name="60% - Ênfase2 4 5" xfId="1904" xr:uid="{43E1151A-D8CD-429E-9C6D-E8E8DFA73C9B}"/>
    <cellStyle name="60% - Ênfase2 5" xfId="112" xr:uid="{4B2C688B-269F-40B7-A993-0D84F8D7EB67}"/>
    <cellStyle name="60% - Ênfase2 5 2" xfId="718" xr:uid="{494E6C18-9964-4140-8AAB-46CF5176F1D3}"/>
    <cellStyle name="60% - Ênfase2 5 2 2" xfId="1321" xr:uid="{43C2B436-7066-427A-BB7F-1F47003D61EA}"/>
    <cellStyle name="60% - Ênfase2 5 2 2 2" xfId="3173" xr:uid="{DA9D8721-2EB0-41E6-B8E7-F55CF872D3C0}"/>
    <cellStyle name="60% - Ênfase2 5 2 3" xfId="2246" xr:uid="{35C075C3-1B78-4FF6-8E91-078993ED4253}"/>
    <cellStyle name="60% - Ênfase2 5 3" xfId="394" xr:uid="{54E7EC54-28E8-4CBA-A955-AFCB587BB3FB}"/>
    <cellStyle name="60% - Ênfase2 5 3 2" xfId="1549" xr:uid="{557AB8E8-BE2A-4067-8486-93C5F6E37E1A}"/>
    <cellStyle name="60% - Ênfase2 5 3 2 2" xfId="3401" xr:uid="{8661BEE9-6453-4B2F-88D7-0A800A85794A}"/>
    <cellStyle name="60% - Ênfase2 5 3 3" xfId="2474" xr:uid="{C5185950-2C8C-49B9-90B0-C5D5312613DA}"/>
    <cellStyle name="60% - Ênfase2 5 4" xfId="999" xr:uid="{9E78E13B-AEF1-4639-9BD1-0531250E609D}"/>
    <cellStyle name="60% - Ênfase2 5 4 2" xfId="2851" xr:uid="{0A2E6335-F616-4FA1-94FC-FE9FC78C36AF}"/>
    <cellStyle name="60% - Ênfase2 5 5" xfId="1924" xr:uid="{525BED69-E934-4E23-A89C-73603CC84FF9}"/>
    <cellStyle name="60% - Ênfase2 6" xfId="132" xr:uid="{3AB2F68D-C880-4FA6-BD55-BFC91073B093}"/>
    <cellStyle name="60% - Ênfase2 6 2" xfId="738" xr:uid="{22B3B5B8-41C6-49FE-88B5-A244F0725F58}"/>
    <cellStyle name="60% - Ênfase2 6 2 2" xfId="1341" xr:uid="{7517AD94-CDB9-4AE6-9DD7-1529DDD01C17}"/>
    <cellStyle name="60% - Ênfase2 6 2 2 2" xfId="3193" xr:uid="{84743B86-9325-483B-A67D-28A56B503E91}"/>
    <cellStyle name="60% - Ênfase2 6 2 3" xfId="2266" xr:uid="{F617409E-EDEF-4D6C-8B99-04DE57442DE5}"/>
    <cellStyle name="60% - Ênfase2 6 3" xfId="414" xr:uid="{71A3989A-B68B-46C1-831A-EBDC30F47EE0}"/>
    <cellStyle name="60% - Ênfase2 6 3 2" xfId="1543" xr:uid="{2AE6A6EF-3C7D-420E-96E5-9D1320787F7D}"/>
    <cellStyle name="60% - Ênfase2 6 3 2 2" xfId="3395" xr:uid="{4BC8554D-05DC-4D32-BE2A-D82818E969F3}"/>
    <cellStyle name="60% - Ênfase2 6 3 3" xfId="2468" xr:uid="{D1D7896B-18C6-4B07-A05D-31271C37D5CC}"/>
    <cellStyle name="60% - Ênfase2 6 4" xfId="1019" xr:uid="{5029F1D6-1F21-4ACB-BE6F-ECC0466CF75A}"/>
    <cellStyle name="60% - Ênfase2 6 4 2" xfId="2871" xr:uid="{50881E12-5A40-4348-9E3A-B6F090B5FEFF}"/>
    <cellStyle name="60% - Ênfase2 6 5" xfId="1944" xr:uid="{C51B0080-7A5C-4638-A2AD-585D6261345D}"/>
    <cellStyle name="60% - Ênfase2 7" xfId="152" xr:uid="{F1E8DDC8-E5C1-4BEF-B3FA-91B4B11EE5C8}"/>
    <cellStyle name="60% - Ênfase2 7 2" xfId="758" xr:uid="{F65AB2A7-A57B-4F12-8BF3-C84540D00A5C}"/>
    <cellStyle name="60% - Ênfase2 7 2 2" xfId="1361" xr:uid="{1D474D05-FA54-46EA-B2B4-7ADCE10C35B8}"/>
    <cellStyle name="60% - Ênfase2 7 2 2 2" xfId="3213" xr:uid="{DB55C05B-88BE-4D32-93ED-52CEE5EA9F23}"/>
    <cellStyle name="60% - Ênfase2 7 2 3" xfId="2286" xr:uid="{17261DCC-A198-481E-84DA-F9C5F3B9978A}"/>
    <cellStyle name="60% - Ênfase2 7 3" xfId="434" xr:uid="{4A424225-5F3A-4EDC-9D04-36FC0F33D14E}"/>
    <cellStyle name="60% - Ênfase2 7 3 2" xfId="1558" xr:uid="{643A151A-2994-4C4A-AF2A-E1BC0C2F0522}"/>
    <cellStyle name="60% - Ênfase2 7 3 2 2" xfId="3410" xr:uid="{A7017333-095F-42E2-BC86-7813D8288C99}"/>
    <cellStyle name="60% - Ênfase2 7 3 3" xfId="2483" xr:uid="{049432B6-AF4D-41FF-B5FA-C9E3EEFE7687}"/>
    <cellStyle name="60% - Ênfase2 7 4" xfId="1039" xr:uid="{41142BDF-5B68-44B5-9020-0C7D285D72EC}"/>
    <cellStyle name="60% - Ênfase2 7 4 2" xfId="2891" xr:uid="{C91EAF50-0A96-4292-8E19-403CA4BDBA5E}"/>
    <cellStyle name="60% - Ênfase2 7 5" xfId="1964" xr:uid="{CCDE04D4-75FF-4B0D-A3BF-0317080ED938}"/>
    <cellStyle name="60% - Ênfase2 8" xfId="172" xr:uid="{7C5CCDBE-D161-4A55-B486-262698C71E06}"/>
    <cellStyle name="60% - Ênfase2 8 2" xfId="778" xr:uid="{5E1745BC-968F-4E27-B983-60A0EFABDB09}"/>
    <cellStyle name="60% - Ênfase2 8 2 2" xfId="1381" xr:uid="{DBA487A3-93F5-406D-A08A-A1104EBC5105}"/>
    <cellStyle name="60% - Ênfase2 8 2 2 2" xfId="3233" xr:uid="{CD966583-12B5-4EB7-BCE8-019CF307A92D}"/>
    <cellStyle name="60% - Ênfase2 8 2 3" xfId="2306" xr:uid="{B4DB396E-D29C-4CE1-99BB-BCB98E4D5B8A}"/>
    <cellStyle name="60% - Ênfase2 8 3" xfId="454" xr:uid="{7610B1AC-A2E0-44DE-8B0B-D14F874FA4B0}"/>
    <cellStyle name="60% - Ênfase2 8 3 2" xfId="1726" xr:uid="{E7C6A90D-E80F-4BA3-AF9B-A3FF6BF429A2}"/>
    <cellStyle name="60% - Ênfase2 8 3 2 2" xfId="3539" xr:uid="{EBDD75BF-2180-473A-961B-4B6655AA3EE0}"/>
    <cellStyle name="60% - Ênfase2 8 3 3" xfId="2651" xr:uid="{5D4FD40C-EC84-4F86-8E8B-CAC3AA43941B}"/>
    <cellStyle name="60% - Ênfase2 8 4" xfId="1059" xr:uid="{DAEAEE83-9F9D-476E-ACF9-05B5C5FBD4AD}"/>
    <cellStyle name="60% - Ênfase2 8 4 2" xfId="2911" xr:uid="{3F4CF61F-7A14-4A6E-9CAB-AF68F90773C8}"/>
    <cellStyle name="60% - Ênfase2 8 5" xfId="1984" xr:uid="{C5DA468C-CF3C-41F7-826F-3E90A69EBD90}"/>
    <cellStyle name="60% - Ênfase2 9" xfId="192" xr:uid="{52152B8E-4872-4EF9-B18B-E190C61CCCE2}"/>
    <cellStyle name="60% - Ênfase2 9 2" xfId="798" xr:uid="{BD06D832-9241-4C61-A3F1-802FC14BE7FB}"/>
    <cellStyle name="60% - Ênfase2 9 2 2" xfId="1401" xr:uid="{19F9FE81-B0A8-42A9-8784-D6CBF7AA966F}"/>
    <cellStyle name="60% - Ênfase2 9 2 2 2" xfId="3253" xr:uid="{A744A1F3-0D58-475D-A8ED-AA8DAAAB5F7B}"/>
    <cellStyle name="60% - Ênfase2 9 2 3" xfId="2326" xr:uid="{15AF1FAA-7175-4DF8-96EC-6A8F4945A81C}"/>
    <cellStyle name="60% - Ênfase2 9 3" xfId="474" xr:uid="{1B0C023B-3AAC-4F19-9943-3B9A686D1BE9}"/>
    <cellStyle name="60% - Ênfase2 9 3 2" xfId="1647" xr:uid="{DB1853CC-BDA6-4DF7-98EC-D4E96AD88217}"/>
    <cellStyle name="60% - Ênfase2 9 3 2 2" xfId="3499" xr:uid="{6FCC22A2-86A2-49A2-8379-B82F52020B0B}"/>
    <cellStyle name="60% - Ênfase2 9 3 3" xfId="2572" xr:uid="{E997E187-91F4-48F4-A89F-FB1CFAE83DBB}"/>
    <cellStyle name="60% - Ênfase2 9 4" xfId="1079" xr:uid="{E561871D-2725-428B-B825-00F4611739F4}"/>
    <cellStyle name="60% - Ênfase2 9 4 2" xfId="2931" xr:uid="{6A7EE0F4-205A-44B5-B2E3-138CA5895F7D}"/>
    <cellStyle name="60% - Ênfase2 9 5" xfId="2004" xr:uid="{9ADC9785-EF53-4A78-9280-EABF7341BEC9}"/>
    <cellStyle name="60% - Ênfase3" xfId="29" builtinId="40" customBuiltin="1"/>
    <cellStyle name="60% - Ênfase3 10" xfId="216" xr:uid="{51B97314-EED9-418F-8A16-D4FF858252FE}"/>
    <cellStyle name="60% - Ênfase3 10 2" xfId="822" xr:uid="{E418B34F-A904-4BC7-B895-752F108C90AE}"/>
    <cellStyle name="60% - Ênfase3 10 2 2" xfId="1425" xr:uid="{BBDFF6E2-318C-47E1-9F07-5FF2E2F94B58}"/>
    <cellStyle name="60% - Ênfase3 10 2 2 2" xfId="3277" xr:uid="{CD476EEC-8C1A-4D14-A7DE-06851E88D16A}"/>
    <cellStyle name="60% - Ênfase3 10 2 3" xfId="2350" xr:uid="{AA75DFB9-CFFF-4DC7-B1DD-1D35FB5B0CEA}"/>
    <cellStyle name="60% - Ênfase3 10 3" xfId="498" xr:uid="{F5B84353-6953-464F-95C6-29AEE07FA04B}"/>
    <cellStyle name="60% - Ênfase3 10 3 2" xfId="1617" xr:uid="{9367E880-387A-4113-B62F-BCEDF4A53277}"/>
    <cellStyle name="60% - Ênfase3 10 3 2 2" xfId="3469" xr:uid="{5A407BD2-759D-4502-8E10-B741A09448EE}"/>
    <cellStyle name="60% - Ênfase3 10 3 3" xfId="2542" xr:uid="{D013F200-A6BE-4543-940D-78F762454958}"/>
    <cellStyle name="60% - Ênfase3 10 4" xfId="1103" xr:uid="{33C812A5-2332-4A4B-AF09-3D5047C471EC}"/>
    <cellStyle name="60% - Ênfase3 10 4 2" xfId="2955" xr:uid="{D496393E-D2EA-4DB3-8D91-DA6049AC58A4}"/>
    <cellStyle name="60% - Ênfase3 10 5" xfId="2028" xr:uid="{E679CABA-60CC-4F58-9C5B-5BFD4F9AAF6E}"/>
    <cellStyle name="60% - Ênfase3 11" xfId="236" xr:uid="{DE5CA8F0-1A54-421D-8650-739145ACFD2B}"/>
    <cellStyle name="60% - Ênfase3 11 2" xfId="842" xr:uid="{572479E4-6F02-453A-8FA1-EF380FD165C0}"/>
    <cellStyle name="60% - Ênfase3 11 2 2" xfId="1445" xr:uid="{325ED80C-5E1C-4A9A-85A0-A62629B7C893}"/>
    <cellStyle name="60% - Ênfase3 11 2 2 2" xfId="3297" xr:uid="{DA70605C-AE16-4331-B32E-00E3F894974F}"/>
    <cellStyle name="60% - Ênfase3 11 2 3" xfId="2370" xr:uid="{AC87B736-23FE-4CBB-9040-F1E32FD7D9F0}"/>
    <cellStyle name="60% - Ênfase3 11 3" xfId="518" xr:uid="{E5171F97-B468-4240-BB76-F9372879D21D}"/>
    <cellStyle name="60% - Ênfase3 11 3 2" xfId="1699" xr:uid="{6E315F0B-B18F-4E6B-B207-FC46D8F13295}"/>
    <cellStyle name="60% - Ênfase3 11 3 2 2" xfId="3512" xr:uid="{07D5D8A8-A7CC-47D2-A53F-324302F952CE}"/>
    <cellStyle name="60% - Ênfase3 11 3 3" xfId="2624" xr:uid="{B9DB9C90-BB4C-413A-A57C-332ED169A737}"/>
    <cellStyle name="60% - Ênfase3 11 4" xfId="1123" xr:uid="{CB05AE4C-7C58-4ABF-BEC4-28C480D5AA0F}"/>
    <cellStyle name="60% - Ênfase3 11 4 2" xfId="2975" xr:uid="{A343893A-7F8B-4C20-820D-3435FAC8D4DA}"/>
    <cellStyle name="60% - Ênfase3 11 5" xfId="2048" xr:uid="{A3A49356-E0AD-4E5B-A44E-EBD2C2DCE0D7}"/>
    <cellStyle name="60% - Ênfase3 12" xfId="256" xr:uid="{BF24A514-CB36-40B5-A68B-E0944CC4C3F1}"/>
    <cellStyle name="60% - Ênfase3 12 2" xfId="862" xr:uid="{6900E96C-E3C2-471C-BD87-E04080531E42}"/>
    <cellStyle name="60% - Ênfase3 12 2 2" xfId="1465" xr:uid="{11CB8190-D281-4B0E-9D59-BED7E9704D16}"/>
    <cellStyle name="60% - Ênfase3 12 2 2 2" xfId="3317" xr:uid="{EAF7D010-C399-4C12-94AE-594FE69AD1F0}"/>
    <cellStyle name="60% - Ênfase3 12 2 3" xfId="2390" xr:uid="{C5D16EC4-AFFD-44CB-9A95-0B997E1494FB}"/>
    <cellStyle name="60% - Ênfase3 12 3" xfId="538" xr:uid="{ACD0D896-B37A-4205-AF8B-25E9D4B2DEFE}"/>
    <cellStyle name="60% - Ênfase3 12 3 2" xfId="1777" xr:uid="{7BF4153D-69A4-4C53-B5F5-D00A01668E55}"/>
    <cellStyle name="60% - Ênfase3 12 3 2 2" xfId="3590" xr:uid="{51C7A40C-36B6-415A-AEB1-DA5D25AAA982}"/>
    <cellStyle name="60% - Ênfase3 12 3 3" xfId="2702" xr:uid="{09120E4E-96F9-4092-86DC-52902EFDDFB2}"/>
    <cellStyle name="60% - Ênfase3 12 4" xfId="1143" xr:uid="{F488A74A-5E32-4A23-ABD6-BD41FBCE18F1}"/>
    <cellStyle name="60% - Ênfase3 12 4 2" xfId="2995" xr:uid="{48629AA9-3AA0-434C-864B-AF3391FC706E}"/>
    <cellStyle name="60% - Ênfase3 12 5" xfId="2068" xr:uid="{21F8E19C-C384-4E36-8693-2431B19E9707}"/>
    <cellStyle name="60% - Ênfase3 13" xfId="276" xr:uid="{C71BE05C-D54F-405A-A7FD-E35E7C6937C6}"/>
    <cellStyle name="60% - Ênfase3 13 2" xfId="882" xr:uid="{F1EFFBA7-A980-4BDA-A9D0-A302EEDD1983}"/>
    <cellStyle name="60% - Ênfase3 13 2 2" xfId="1485" xr:uid="{970B318D-0215-4789-83D8-5505C5963CAF}"/>
    <cellStyle name="60% - Ênfase3 13 2 2 2" xfId="3337" xr:uid="{DBB81AAA-FFF0-40B8-94FD-B7FB6F96C2F3}"/>
    <cellStyle name="60% - Ênfase3 13 2 3" xfId="2410" xr:uid="{7AFD0152-4780-4F65-AB19-B1988C98A92E}"/>
    <cellStyle name="60% - Ênfase3 13 3" xfId="558" xr:uid="{2B4AB216-143D-45CA-834B-51C24BAEAAE9}"/>
    <cellStyle name="60% - Ênfase3 13 3 2" xfId="1615" xr:uid="{14255495-9D4C-4522-A9C9-8C2737C996C6}"/>
    <cellStyle name="60% - Ênfase3 13 3 2 2" xfId="3467" xr:uid="{AB0CBCFE-6FCE-4296-B7C2-1CC3566997F2}"/>
    <cellStyle name="60% - Ênfase3 13 3 3" xfId="2540" xr:uid="{C1A44E9F-BCCD-4DFA-B982-8B6028EDB069}"/>
    <cellStyle name="60% - Ênfase3 13 4" xfId="1163" xr:uid="{659D2859-CB75-4B3A-8BF6-8CF84EAE8C8C}"/>
    <cellStyle name="60% - Ênfase3 13 4 2" xfId="3015" xr:uid="{2B79016B-3B85-44DD-BB80-B31CCF3809A3}"/>
    <cellStyle name="60% - Ênfase3 13 5" xfId="2088" xr:uid="{FC855A7F-9714-4F0B-8735-2E96B1B784A1}"/>
    <cellStyle name="60% - Ênfase3 14" xfId="296" xr:uid="{29CB97CD-6019-4939-88D0-DB16BA922804}"/>
    <cellStyle name="60% - Ênfase3 14 2" xfId="902" xr:uid="{A794903C-2A9D-450F-9416-A9FD3E44102D}"/>
    <cellStyle name="60% - Ênfase3 14 2 2" xfId="1505" xr:uid="{FBF3EA9D-32AE-4F4F-AA6E-C345D4F4EA23}"/>
    <cellStyle name="60% - Ênfase3 14 2 2 2" xfId="3357" xr:uid="{D72DEB18-249B-443A-9522-86AB8BCB66E3}"/>
    <cellStyle name="60% - Ênfase3 14 2 3" xfId="2430" xr:uid="{710CB214-B5CF-4F7B-9E7E-969B27C17F35}"/>
    <cellStyle name="60% - Ênfase3 14 3" xfId="578" xr:uid="{2360C725-B80F-4EA9-9565-22000B628544}"/>
    <cellStyle name="60% - Ênfase3 14 3 2" xfId="1771" xr:uid="{F3FFFF44-3843-4EF7-888F-673D892C9AD6}"/>
    <cellStyle name="60% - Ênfase3 14 3 2 2" xfId="3584" xr:uid="{BB58F63B-E87D-4ECA-8C46-36A015BDCA8E}"/>
    <cellStyle name="60% - Ênfase3 14 3 3" xfId="2696" xr:uid="{CBACDD7C-8B57-49D9-93DE-C0BB3F8EE61B}"/>
    <cellStyle name="60% - Ênfase3 14 4" xfId="1183" xr:uid="{3D6B63B2-47F9-4D08-BBF5-8719275434AF}"/>
    <cellStyle name="60% - Ênfase3 14 4 2" xfId="3035" xr:uid="{B9DFDDCB-1DD2-4718-8175-4CC15F361969}"/>
    <cellStyle name="60% - Ênfase3 14 5" xfId="2108" xr:uid="{E9EF8B5E-0AED-4482-99E6-A612F635C0D4}"/>
    <cellStyle name="60% - Ênfase3 15" xfId="598" xr:uid="{428D2FDF-8C58-4C5F-84B1-C58DA0009819}"/>
    <cellStyle name="60% - Ênfase3 15 2" xfId="1661" xr:uid="{DF563159-6BD2-4201-8E49-55CC31D08CCD}"/>
    <cellStyle name="60% - Ênfase3 15 2 2" xfId="2586" xr:uid="{72EEB8A5-05C9-4B8E-B565-27133AE23802}"/>
    <cellStyle name="60% - Ênfase3 15 3" xfId="1203" xr:uid="{AD2B2EFC-4FC0-466F-B817-752A82D07F7F}"/>
    <cellStyle name="60% - Ênfase3 15 3 2" xfId="3055" xr:uid="{4D22264A-EC62-431E-8DF9-35574FF98DB3}"/>
    <cellStyle name="60% - Ênfase3 15 4" xfId="2128" xr:uid="{12E8A481-1B34-4F3B-AA24-D17C65486A4F}"/>
    <cellStyle name="60% - Ênfase3 16" xfId="618" xr:uid="{9E7084C1-432B-4797-B24A-183792898541}"/>
    <cellStyle name="60% - Ênfase3 16 2" xfId="1681" xr:uid="{8A4F3A52-15FE-462D-B1A6-71AB93B00DD3}"/>
    <cellStyle name="60% - Ênfase3 16 2 2" xfId="2606" xr:uid="{C05521F7-BCDC-49E0-8675-643ADC95F114}"/>
    <cellStyle name="60% - Ênfase3 16 3" xfId="1223" xr:uid="{1F0E858B-E879-4750-BA86-DFA31077063A}"/>
    <cellStyle name="60% - Ênfase3 16 3 2" xfId="3075" xr:uid="{C0C26CD6-C6EF-4559-ACF0-F736270A2732}"/>
    <cellStyle name="60% - Ênfase3 16 4" xfId="2148" xr:uid="{A9C289BA-10A3-498E-AE0B-5B1ADB1E2BBA}"/>
    <cellStyle name="60% - Ênfase3 17" xfId="638" xr:uid="{76A58A2A-9997-47AD-8ED0-B9E090264681}"/>
    <cellStyle name="60% - Ênfase3 17 2" xfId="1242" xr:uid="{120DDD63-67FA-402A-B04D-1AEF216AF41B}"/>
    <cellStyle name="60% - Ênfase3 17 2 2" xfId="3094" xr:uid="{CD3618F3-80E9-41F9-A069-344687670A14}"/>
    <cellStyle name="60% - Ênfase3 17 3" xfId="2167" xr:uid="{BE32F112-3A39-4621-9432-34B50A786FAD}"/>
    <cellStyle name="60% - Ênfase3 18" xfId="315" xr:uid="{A9F291FA-F4AE-438D-BC96-607188AFF5B7}"/>
    <cellStyle name="60% - Ênfase3 18 2" xfId="1575" xr:uid="{C628FC65-F49D-4B25-A3D4-39025CBBFF36}"/>
    <cellStyle name="60% - Ênfase3 18 2 2" xfId="3427" xr:uid="{167763C7-9AA6-418E-8CC8-074A3C7669A9}"/>
    <cellStyle name="60% - Ênfase3 18 3" xfId="2500" xr:uid="{66ACF517-47A3-4064-8A40-E3017C8AA12C}"/>
    <cellStyle name="60% - Ênfase3 19" xfId="920" xr:uid="{C02CD745-2389-40CE-BA32-7E1DA8B587EB}"/>
    <cellStyle name="60% - Ênfase3 19 2" xfId="2772" xr:uid="{CA279B10-FB2C-4C6E-B8F9-DA605DA74C20}"/>
    <cellStyle name="60% - Ênfase3 2" xfId="55" xr:uid="{5B6C368A-A7F2-4CE5-88D1-89F021B55105}"/>
    <cellStyle name="60% - Ênfase3 2 2" xfId="661" xr:uid="{1C501AA9-EB43-4480-AE74-E91D0302D2A6}"/>
    <cellStyle name="60% - Ênfase3 2 2 2" xfId="1264" xr:uid="{D2139FD9-1CF1-44C6-8FE7-897B636F26FF}"/>
    <cellStyle name="60% - Ênfase3 2 2 2 2" xfId="3116" xr:uid="{705346CD-A1FD-4EF6-804A-B95579BEB83A}"/>
    <cellStyle name="60% - Ênfase3 2 2 3" xfId="2189" xr:uid="{82F06866-5E55-44D4-9709-4D907DA9DC17}"/>
    <cellStyle name="60% - Ênfase3 2 3" xfId="337" xr:uid="{AD6EA950-BD26-4F80-B645-B22A83FA0F7D}"/>
    <cellStyle name="60% - Ênfase3 2 3 2" xfId="1793" xr:uid="{E0AE96AC-0C34-45A1-89A8-B9EBE0081E74}"/>
    <cellStyle name="60% - Ênfase3 2 3 2 2" xfId="3606" xr:uid="{F8D3A111-47CF-42E0-860A-D109B5FFF0E9}"/>
    <cellStyle name="60% - Ênfase3 2 3 3" xfId="2718" xr:uid="{7C8A1AD6-237F-4B34-BBC3-AD1FD28DF4C3}"/>
    <cellStyle name="60% - Ênfase3 2 4" xfId="942" xr:uid="{DB780499-507A-4E1E-9DEF-DA3326E88084}"/>
    <cellStyle name="60% - Ênfase3 2 4 2" xfId="2794" xr:uid="{49399777-AE6C-41BD-BAAF-28A608311A10}"/>
    <cellStyle name="60% - Ênfase3 2 5" xfId="1867" xr:uid="{7E99110D-1C32-4E90-BFED-1164DBD0089C}"/>
    <cellStyle name="60% - Ênfase3 20" xfId="1845" xr:uid="{52F3EBE0-E2A2-4193-9771-D850C21F6AAE}"/>
    <cellStyle name="60% - Ênfase3 3" xfId="73" xr:uid="{CE627780-97EB-43F6-847F-5DFE3B2D58C8}"/>
    <cellStyle name="60% - Ênfase3 3 2" xfId="679" xr:uid="{31A981C0-C7C1-4716-BD37-54DA48AA3F00}"/>
    <cellStyle name="60% - Ênfase3 3 2 2" xfId="1282" xr:uid="{610B46E3-B172-4D1A-B99D-1AB5C174F4FC}"/>
    <cellStyle name="60% - Ênfase3 3 2 2 2" xfId="3134" xr:uid="{77764B9B-4A24-4988-B3AF-D3C2E3BF8AF8}"/>
    <cellStyle name="60% - Ênfase3 3 2 3" xfId="2207" xr:uid="{C5B6BBA2-5170-4AC6-BF4D-F972D97F77FB}"/>
    <cellStyle name="60% - Ênfase3 3 3" xfId="355" xr:uid="{38E44676-0ED2-498E-BBFB-0C77F7A19383}"/>
    <cellStyle name="60% - Ênfase3 3 3 2" xfId="1584" xr:uid="{E410F790-3197-43E2-80C9-1F797B778C62}"/>
    <cellStyle name="60% - Ênfase3 3 3 2 2" xfId="3436" xr:uid="{5723179A-B55E-4720-BE3E-346B437388E9}"/>
    <cellStyle name="60% - Ênfase3 3 3 3" xfId="2509" xr:uid="{24633B5D-C529-455A-BA5D-01E404C632A5}"/>
    <cellStyle name="60% - Ênfase3 3 4" xfId="960" xr:uid="{59711E5B-B357-4714-8A70-14692E53EF6C}"/>
    <cellStyle name="60% - Ênfase3 3 4 2" xfId="2812" xr:uid="{655AD7CE-8A9C-421E-BEDB-B1D72B0729A3}"/>
    <cellStyle name="60% - Ênfase3 3 5" xfId="1885" xr:uid="{F5FD4F77-C033-4518-8916-F3A26D9ACB88}"/>
    <cellStyle name="60% - Ênfase3 4" xfId="95" xr:uid="{DCC1ED50-36BB-4006-85C6-96C878333965}"/>
    <cellStyle name="60% - Ênfase3 4 2" xfId="701" xr:uid="{BE96547C-02E3-4811-B90D-33E1FD09478D}"/>
    <cellStyle name="60% - Ênfase3 4 2 2" xfId="1304" xr:uid="{8BB57229-2F98-4486-AE48-4C147E904096}"/>
    <cellStyle name="60% - Ênfase3 4 2 2 2" xfId="3156" xr:uid="{8339E90E-38B3-4012-93F2-6C2AF8EAD084}"/>
    <cellStyle name="60% - Ênfase3 4 2 3" xfId="2229" xr:uid="{A33A39E9-68A5-47C6-8012-6B2127A63297}"/>
    <cellStyle name="60% - Ênfase3 4 3" xfId="377" xr:uid="{D6575659-1D5B-4D1D-A975-B0FC4B191510}"/>
    <cellStyle name="60% - Ênfase3 4 3 2" xfId="1564" xr:uid="{3ECAA16B-CC03-4F0B-9C4E-B79280C91B50}"/>
    <cellStyle name="60% - Ênfase3 4 3 2 2" xfId="3416" xr:uid="{D8B354E9-A441-424B-9A51-72105E970CAF}"/>
    <cellStyle name="60% - Ênfase3 4 3 3" xfId="2489" xr:uid="{01735294-C755-4003-9414-EF7010CBB073}"/>
    <cellStyle name="60% - Ênfase3 4 4" xfId="982" xr:uid="{B8A0B1AC-31B8-47AF-9ACB-626B19EF072E}"/>
    <cellStyle name="60% - Ênfase3 4 4 2" xfId="2834" xr:uid="{773D3924-F4F6-4F10-B8F9-D3F8F4C11693}"/>
    <cellStyle name="60% - Ênfase3 4 5" xfId="1907" xr:uid="{A44D6AD3-D1CD-4F0C-B6C4-14595A7EE591}"/>
    <cellStyle name="60% - Ênfase3 5" xfId="115" xr:uid="{12B9041F-C33B-4BEE-8B0B-04025EDC0411}"/>
    <cellStyle name="60% - Ênfase3 5 2" xfId="721" xr:uid="{B30DC1FF-B5F9-46B8-9209-534C82A8B291}"/>
    <cellStyle name="60% - Ênfase3 5 2 2" xfId="1324" xr:uid="{2B75CC7A-C6F5-4BD3-A23E-949D10DA5984}"/>
    <cellStyle name="60% - Ênfase3 5 2 2 2" xfId="3176" xr:uid="{904E5C92-BFA6-455C-B836-F1DE9890DFE5}"/>
    <cellStyle name="60% - Ênfase3 5 2 3" xfId="2249" xr:uid="{A8A0B683-2755-4489-8581-730BFBD1FCF4}"/>
    <cellStyle name="60% - Ênfase3 5 3" xfId="397" xr:uid="{529BD588-A9BB-4646-824A-68E09CCA97B6}"/>
    <cellStyle name="60% - Ênfase3 5 3 2" xfId="1768" xr:uid="{3D293133-27A9-419F-8996-D9E6FBD2F6BE}"/>
    <cellStyle name="60% - Ênfase3 5 3 2 2" xfId="3581" xr:uid="{40C1A9B0-0FC5-47F6-8D9C-538ED883F0A6}"/>
    <cellStyle name="60% - Ênfase3 5 3 3" xfId="2693" xr:uid="{30EF3CA7-2749-4E35-83C4-0CBFAF26F5D4}"/>
    <cellStyle name="60% - Ênfase3 5 4" xfId="1002" xr:uid="{1D06F52B-2B3C-4BEF-BDA8-725371F7E5C2}"/>
    <cellStyle name="60% - Ênfase3 5 4 2" xfId="2854" xr:uid="{731F6E6F-02BD-47DC-94D4-C8FEBD6D4CF2}"/>
    <cellStyle name="60% - Ênfase3 5 5" xfId="1927" xr:uid="{04C024B3-F188-4B61-8414-D556D5F915A7}"/>
    <cellStyle name="60% - Ênfase3 6" xfId="135" xr:uid="{D8CD0E5C-B925-4931-99EC-2695A11CEBCD}"/>
    <cellStyle name="60% - Ênfase3 6 2" xfId="741" xr:uid="{8C26215B-AC70-4818-BE3B-AC770119BD2F}"/>
    <cellStyle name="60% - Ênfase3 6 2 2" xfId="1344" xr:uid="{B5E80838-D9CB-4B4C-80C8-535F11D9A9FC}"/>
    <cellStyle name="60% - Ênfase3 6 2 2 2" xfId="3196" xr:uid="{30A0FB68-3E0A-4BF6-B961-0ED58CC09DD3}"/>
    <cellStyle name="60% - Ênfase3 6 2 3" xfId="2269" xr:uid="{EBD8A000-29C6-447D-A577-65FAD9A3F187}"/>
    <cellStyle name="60% - Ênfase3 6 3" xfId="417" xr:uid="{016EE718-EDAF-48C4-BDC9-8AC78C87D2CB}"/>
    <cellStyle name="60% - Ênfase3 6 3 2" xfId="1813" xr:uid="{58E9F276-E879-4D87-B057-026482C1AEA1}"/>
    <cellStyle name="60% - Ênfase3 6 3 2 2" xfId="3626" xr:uid="{D54AC44A-E350-47A8-9980-B00E4B4DF5A2}"/>
    <cellStyle name="60% - Ênfase3 6 3 3" xfId="2738" xr:uid="{87B423C8-0C0C-4409-9895-5D049152BFA2}"/>
    <cellStyle name="60% - Ênfase3 6 4" xfId="1022" xr:uid="{507872CF-A410-48F7-ACC7-BBA582F3B6C6}"/>
    <cellStyle name="60% - Ênfase3 6 4 2" xfId="2874" xr:uid="{B672F0AB-E287-4A84-9B8C-60B87ED9D4C0}"/>
    <cellStyle name="60% - Ênfase3 6 5" xfId="1947" xr:uid="{5710AF70-0996-49F9-AE56-642403D13AED}"/>
    <cellStyle name="60% - Ênfase3 7" xfId="155" xr:uid="{242E6469-A7E9-44BC-B4B2-CB8B3F746801}"/>
    <cellStyle name="60% - Ênfase3 7 2" xfId="761" xr:uid="{8FBE49C9-0108-4E0A-A7B3-55AA38C4BC61}"/>
    <cellStyle name="60% - Ênfase3 7 2 2" xfId="1364" xr:uid="{CE142531-9D75-4A1F-A776-C332F6DD11CF}"/>
    <cellStyle name="60% - Ênfase3 7 2 2 2" xfId="3216" xr:uid="{E63987B3-7415-4F94-99D1-526561BE08A8}"/>
    <cellStyle name="60% - Ênfase3 7 2 3" xfId="2289" xr:uid="{F4A73F1E-9958-42E0-97EF-749920CDDCBC}"/>
    <cellStyle name="60% - Ênfase3 7 3" xfId="437" xr:uid="{E66AD9F2-77EC-4E7E-8635-5243F46704D7}"/>
    <cellStyle name="60% - Ênfase3 7 3 2" xfId="1722" xr:uid="{799839F7-A955-4CAC-90B5-643A43676277}"/>
    <cellStyle name="60% - Ênfase3 7 3 2 2" xfId="3535" xr:uid="{9E7828A6-4EB3-422B-97BB-5642AAA93DD1}"/>
    <cellStyle name="60% - Ênfase3 7 3 3" xfId="2647" xr:uid="{8A2EF360-A736-450A-9106-A87A33FF89DD}"/>
    <cellStyle name="60% - Ênfase3 7 4" xfId="1042" xr:uid="{8243ED29-EAA0-48F7-8175-13CC1A8D0A42}"/>
    <cellStyle name="60% - Ênfase3 7 4 2" xfId="2894" xr:uid="{D9890F15-3DD0-4523-9E4F-41823000A75E}"/>
    <cellStyle name="60% - Ênfase3 7 5" xfId="1967" xr:uid="{489E4D20-D34A-4376-8A9A-DD2A1EC91EA3}"/>
    <cellStyle name="60% - Ênfase3 8" xfId="175" xr:uid="{B914FF16-2AA1-44F0-A026-685C29054B15}"/>
    <cellStyle name="60% - Ênfase3 8 2" xfId="781" xr:uid="{1349EDC6-8200-475A-97B9-38F56EFCC04C}"/>
    <cellStyle name="60% - Ênfase3 8 2 2" xfId="1384" xr:uid="{A5608A13-6EFB-4342-8957-DB1D2B04F05A}"/>
    <cellStyle name="60% - Ênfase3 8 2 2 2" xfId="3236" xr:uid="{CD9CB58B-F533-4051-BF32-8EAEF1F72F0B}"/>
    <cellStyle name="60% - Ênfase3 8 2 3" xfId="2309" xr:uid="{98EFAF3C-0879-4326-ACB9-C6677DA55C56}"/>
    <cellStyle name="60% - Ênfase3 8 3" xfId="457" xr:uid="{CB3F813E-A86E-4DFC-A621-770223D985B7}"/>
    <cellStyle name="60% - Ênfase3 8 3 2" xfId="1645" xr:uid="{988CE292-0DC9-4174-B736-02CFAB384923}"/>
    <cellStyle name="60% - Ênfase3 8 3 2 2" xfId="3497" xr:uid="{25ED0F2C-AB37-4D66-9379-132A1D89622A}"/>
    <cellStyle name="60% - Ênfase3 8 3 3" xfId="2570" xr:uid="{5D3329D3-9855-443C-874B-66658205948D}"/>
    <cellStyle name="60% - Ênfase3 8 4" xfId="1062" xr:uid="{FA40CD26-D6FB-4C6B-B6BC-FE4E47A7B812}"/>
    <cellStyle name="60% - Ênfase3 8 4 2" xfId="2914" xr:uid="{1BA7ACAC-B0D3-4ADE-AA6E-6B46C89B5771}"/>
    <cellStyle name="60% - Ênfase3 8 5" xfId="1987" xr:uid="{6743D7BD-82D9-4D97-8FC7-9376D9D521CD}"/>
    <cellStyle name="60% - Ênfase3 9" xfId="195" xr:uid="{D61B79C6-2484-46A7-86ED-66E385A97474}"/>
    <cellStyle name="60% - Ênfase3 9 2" xfId="801" xr:uid="{4E871F91-CE42-44E6-91DA-C0E898214407}"/>
    <cellStyle name="60% - Ênfase3 9 2 2" xfId="1404" xr:uid="{2639A878-A5B6-4261-9A3B-7CBA924988D5}"/>
    <cellStyle name="60% - Ênfase3 9 2 2 2" xfId="3256" xr:uid="{2688BEEB-2B6B-4BF9-8DC6-728197419775}"/>
    <cellStyle name="60% - Ênfase3 9 2 3" xfId="2329" xr:uid="{68A54204-292E-4A5C-86FB-DD309949CC44}"/>
    <cellStyle name="60% - Ênfase3 9 3" xfId="477" xr:uid="{4C5BF3BF-440B-4CA5-8300-D393498CBEE2}"/>
    <cellStyle name="60% - Ênfase3 9 3 2" xfId="1607" xr:uid="{CFA8EF13-3B25-43C7-8E05-96C98BD07406}"/>
    <cellStyle name="60% - Ênfase3 9 3 2 2" xfId="3459" xr:uid="{FE2A741E-B1CC-4192-BF41-0C9ADDC5A001}"/>
    <cellStyle name="60% - Ênfase3 9 3 3" xfId="2532" xr:uid="{0E77973F-AF92-4710-84A7-98AC79D79382}"/>
    <cellStyle name="60% - Ênfase3 9 4" xfId="1082" xr:uid="{2C4B1F16-2991-41B6-A020-A2CBC6FF025C}"/>
    <cellStyle name="60% - Ênfase3 9 4 2" xfId="2934" xr:uid="{59DDB718-2A12-41A1-8A9B-364EDB6CBCF3}"/>
    <cellStyle name="60% - Ênfase3 9 5" xfId="2007" xr:uid="{AAFAF170-4FA9-4BE1-AA13-DFCEC4A59131}"/>
    <cellStyle name="60% - Ênfase4" xfId="33" builtinId="44" customBuiltin="1"/>
    <cellStyle name="60% - Ênfase4 10" xfId="219" xr:uid="{E8FCF993-DFF6-484E-A1CF-C5917D10BC37}"/>
    <cellStyle name="60% - Ênfase4 10 2" xfId="825" xr:uid="{98D00DDE-57C5-4471-9CD1-3AB6B8C273A7}"/>
    <cellStyle name="60% - Ênfase4 10 2 2" xfId="1428" xr:uid="{AB4844D3-22DB-4D38-8AC5-B03F9A285538}"/>
    <cellStyle name="60% - Ênfase4 10 2 2 2" xfId="3280" xr:uid="{83B5184F-F525-43C1-9289-F086AEDFFFA5}"/>
    <cellStyle name="60% - Ênfase4 10 2 3" xfId="2353" xr:uid="{04EF73C3-CCE8-4C12-B899-9A33073FD493}"/>
    <cellStyle name="60% - Ênfase4 10 3" xfId="501" xr:uid="{6F4E6F8D-C529-4BE5-AF11-E426608227E8}"/>
    <cellStyle name="60% - Ênfase4 10 3 2" xfId="1764" xr:uid="{0CC752E5-3774-4880-938E-AB30C4756C7A}"/>
    <cellStyle name="60% - Ênfase4 10 3 2 2" xfId="3577" xr:uid="{69BAB7C4-5B62-43F6-B006-E7750DE4036B}"/>
    <cellStyle name="60% - Ênfase4 10 3 3" xfId="2689" xr:uid="{6D353469-5A7C-40C8-8EB6-5C329BD7651B}"/>
    <cellStyle name="60% - Ênfase4 10 4" xfId="1106" xr:uid="{ABF1434A-8139-49E1-9947-59CAEEADE663}"/>
    <cellStyle name="60% - Ênfase4 10 4 2" xfId="2958" xr:uid="{B2765B4F-CB7A-4A7A-8625-AEBE185373A2}"/>
    <cellStyle name="60% - Ênfase4 10 5" xfId="2031" xr:uid="{BF5E2FFC-8796-4A5D-9E70-82FCB1B95361}"/>
    <cellStyle name="60% - Ênfase4 11" xfId="239" xr:uid="{4D21577C-773B-4718-8CFC-37C6C35B113F}"/>
    <cellStyle name="60% - Ênfase4 11 2" xfId="845" xr:uid="{B9020397-F7AC-4517-92E3-5594430924D6}"/>
    <cellStyle name="60% - Ênfase4 11 2 2" xfId="1448" xr:uid="{6B7748E3-57DE-4F0F-8866-ABBDDAF6DF47}"/>
    <cellStyle name="60% - Ênfase4 11 2 2 2" xfId="3300" xr:uid="{3F10E387-B3D1-4F38-B421-6495787215C1}"/>
    <cellStyle name="60% - Ênfase4 11 2 3" xfId="2373" xr:uid="{58A6B8F9-467A-44B1-BCBF-254B3EF1A591}"/>
    <cellStyle name="60% - Ênfase4 11 3" xfId="521" xr:uid="{F9B77D91-5A7F-4774-B17A-A33F39C4DDC5}"/>
    <cellStyle name="60% - Ênfase4 11 3 2" xfId="1791" xr:uid="{FAD088C7-D215-41C8-8AC1-D463DE314D5C}"/>
    <cellStyle name="60% - Ênfase4 11 3 2 2" xfId="3604" xr:uid="{6FD05FCF-DD2E-459B-8E01-054004D27590}"/>
    <cellStyle name="60% - Ênfase4 11 3 3" xfId="2716" xr:uid="{9960E4DD-92D3-4364-8F33-C15423AEECFA}"/>
    <cellStyle name="60% - Ênfase4 11 4" xfId="1126" xr:uid="{9DB903C8-3040-45AA-AB6C-4C73B6A070DE}"/>
    <cellStyle name="60% - Ênfase4 11 4 2" xfId="2978" xr:uid="{FFE823CA-01AF-4E1A-972F-77B461650960}"/>
    <cellStyle name="60% - Ênfase4 11 5" xfId="2051" xr:uid="{07D4CE9B-96C6-48E1-B21D-8E78C59C0129}"/>
    <cellStyle name="60% - Ênfase4 12" xfId="259" xr:uid="{5096662E-A2DF-48A4-8695-86FD1A3CDA70}"/>
    <cellStyle name="60% - Ênfase4 12 2" xfId="865" xr:uid="{FBA3E9B6-44AA-4F74-A5C9-C6717448A413}"/>
    <cellStyle name="60% - Ênfase4 12 2 2" xfId="1468" xr:uid="{AF2283F1-1BC5-488B-B194-FB0B952BD03F}"/>
    <cellStyle name="60% - Ênfase4 12 2 2 2" xfId="3320" xr:uid="{C0361947-C277-4EE0-AFC5-A403DB483326}"/>
    <cellStyle name="60% - Ênfase4 12 2 3" xfId="2393" xr:uid="{5615E042-6B12-4D95-AD42-3CD3FE53874F}"/>
    <cellStyle name="60% - Ênfase4 12 3" xfId="541" xr:uid="{10B68ADC-202F-4D19-9100-E43BA8653563}"/>
    <cellStyle name="60% - Ênfase4 12 3 2" xfId="1534" xr:uid="{DE321F5C-194F-4B42-8C04-91196E966E24}"/>
    <cellStyle name="60% - Ênfase4 12 3 2 2" xfId="3386" xr:uid="{422F4AC1-70D6-414E-8D7C-C8ACE334742D}"/>
    <cellStyle name="60% - Ênfase4 12 3 3" xfId="2459" xr:uid="{D0486989-E5D5-4682-95B3-798DE264F96B}"/>
    <cellStyle name="60% - Ênfase4 12 4" xfId="1146" xr:uid="{67649AF8-7372-41F2-8E04-8A3795EA2B2D}"/>
    <cellStyle name="60% - Ênfase4 12 4 2" xfId="2998" xr:uid="{D3736643-D7B0-46C1-A381-99AE39731992}"/>
    <cellStyle name="60% - Ênfase4 12 5" xfId="2071" xr:uid="{B5BA9B1E-E71A-41A5-8AF2-9606DFF03017}"/>
    <cellStyle name="60% - Ênfase4 13" xfId="279" xr:uid="{89E79749-3452-4F74-A904-C643C7B6B9EE}"/>
    <cellStyle name="60% - Ênfase4 13 2" xfId="885" xr:uid="{3A8000C5-BA5C-4CF7-AA95-B348F1DD7173}"/>
    <cellStyle name="60% - Ênfase4 13 2 2" xfId="1488" xr:uid="{141184C7-C74E-48FF-92E0-F37BC9E142A5}"/>
    <cellStyle name="60% - Ênfase4 13 2 2 2" xfId="3340" xr:uid="{136AAF91-34C8-4355-B516-57B91F9776C9}"/>
    <cellStyle name="60% - Ênfase4 13 2 3" xfId="2413" xr:uid="{05C027DA-73E7-4104-BDC0-4AA3D86102A2}"/>
    <cellStyle name="60% - Ênfase4 13 3" xfId="561" xr:uid="{EE6DB8B3-EAC2-4D04-B369-687E872B61FE}"/>
    <cellStyle name="60% - Ênfase4 13 3 2" xfId="1589" xr:uid="{5D12F113-525C-41E7-B07F-92963E77AD47}"/>
    <cellStyle name="60% - Ênfase4 13 3 2 2" xfId="3441" xr:uid="{7E491C86-12BB-46C2-80A1-0CB2C149049E}"/>
    <cellStyle name="60% - Ênfase4 13 3 3" xfId="2514" xr:uid="{1D7F2412-DD1A-49C5-A2D3-C2F0BF8F3470}"/>
    <cellStyle name="60% - Ênfase4 13 4" xfId="1166" xr:uid="{159580DA-6402-41B1-BC38-07468BBD23B0}"/>
    <cellStyle name="60% - Ênfase4 13 4 2" xfId="3018" xr:uid="{F7F33343-30FE-49C1-BAFC-F668151DC624}"/>
    <cellStyle name="60% - Ênfase4 13 5" xfId="2091" xr:uid="{0063D503-9F45-497D-8428-4695A4D930F3}"/>
    <cellStyle name="60% - Ênfase4 14" xfId="299" xr:uid="{B9872F01-8628-48D0-BE74-C9B723073C3E}"/>
    <cellStyle name="60% - Ênfase4 14 2" xfId="905" xr:uid="{221B660E-F467-4D9C-AA09-274F7FCD48E0}"/>
    <cellStyle name="60% - Ênfase4 14 2 2" xfId="1508" xr:uid="{208BEAD6-5C0D-4BF1-9B1F-83068EBAA337}"/>
    <cellStyle name="60% - Ênfase4 14 2 2 2" xfId="3360" xr:uid="{1AF7E583-5D69-41CB-B3BE-0BB1B84C3663}"/>
    <cellStyle name="60% - Ênfase4 14 2 3" xfId="2433" xr:uid="{87AFCC81-8F0C-4F25-BAF4-60FDEA9B342B}"/>
    <cellStyle name="60% - Ênfase4 14 3" xfId="581" xr:uid="{A13E0FA6-F43B-4175-8A3F-7A85B45EDDB3}"/>
    <cellStyle name="60% - Ênfase4 14 3 2" xfId="1708" xr:uid="{CF302358-CDF2-49BE-9088-51BD8927712D}"/>
    <cellStyle name="60% - Ênfase4 14 3 2 2" xfId="3521" xr:uid="{26F1B2B7-7B75-494D-919D-8E0D823E8482}"/>
    <cellStyle name="60% - Ênfase4 14 3 3" xfId="2633" xr:uid="{ED7EF103-1971-49D2-B826-5999B5F9A215}"/>
    <cellStyle name="60% - Ênfase4 14 4" xfId="1186" xr:uid="{82BF99AB-DAB6-4ED8-9FF2-5D8860F4507E}"/>
    <cellStyle name="60% - Ênfase4 14 4 2" xfId="3038" xr:uid="{AF07EB61-0B9A-4FAA-A43D-23403677483A}"/>
    <cellStyle name="60% - Ênfase4 14 5" xfId="2111" xr:uid="{A97695BB-FE9F-40FA-BF22-A2E26570B4F9}"/>
    <cellStyle name="60% - Ênfase4 15" xfId="601" xr:uid="{EBBE06FF-5136-4C1D-AAF8-F8B2FFFCD875}"/>
    <cellStyle name="60% - Ênfase4 15 2" xfId="1664" xr:uid="{FC5D65E9-407C-4C5A-9447-64E017352CD4}"/>
    <cellStyle name="60% - Ênfase4 15 2 2" xfId="2589" xr:uid="{6D21E05A-82D4-4E2F-83C6-B0233EF02573}"/>
    <cellStyle name="60% - Ênfase4 15 3" xfId="1206" xr:uid="{2CC76374-F2E5-4DE8-BDA8-0A6C56DEC8FA}"/>
    <cellStyle name="60% - Ênfase4 15 3 2" xfId="3058" xr:uid="{77C5B749-2113-4B94-9B6B-10EB90373516}"/>
    <cellStyle name="60% - Ênfase4 15 4" xfId="2131" xr:uid="{9DED660B-EEBA-4163-B109-793E8A9B5D66}"/>
    <cellStyle name="60% - Ênfase4 16" xfId="621" xr:uid="{D4F5D006-B34F-4989-8730-1A0A8B9AB41B}"/>
    <cellStyle name="60% - Ênfase4 16 2" xfId="1684" xr:uid="{8ECCB943-CB32-4465-9212-72D2AE4DC00A}"/>
    <cellStyle name="60% - Ênfase4 16 2 2" xfId="2609" xr:uid="{6FB8F28C-26CC-4E5D-8E64-C6ABE0BDD07F}"/>
    <cellStyle name="60% - Ênfase4 16 3" xfId="1226" xr:uid="{1F4367BA-B2E8-46D1-8132-371A47F94C20}"/>
    <cellStyle name="60% - Ênfase4 16 3 2" xfId="3078" xr:uid="{74B40531-CBCA-425F-9E90-E00D79400C05}"/>
    <cellStyle name="60% - Ênfase4 16 4" xfId="2151" xr:uid="{1A75C3DB-31A6-496C-80F1-9A7F73BDA737}"/>
    <cellStyle name="60% - Ênfase4 17" xfId="641" xr:uid="{8B73B7FC-4A94-4C9E-AAB7-461A2A9A0EDA}"/>
    <cellStyle name="60% - Ênfase4 17 2" xfId="1245" xr:uid="{EDB33451-2250-446A-9389-66E14EA5804C}"/>
    <cellStyle name="60% - Ênfase4 17 2 2" xfId="3097" xr:uid="{CB3046FA-C84C-4437-B7CF-154C7B4B9A44}"/>
    <cellStyle name="60% - Ênfase4 17 3" xfId="2170" xr:uid="{A53C09FC-BDD1-4ECD-8C79-EDE29B7043D3}"/>
    <cellStyle name="60% - Ênfase4 18" xfId="318" xr:uid="{E9B747C6-6B87-4797-8459-A59DE308D231}"/>
    <cellStyle name="60% - Ênfase4 18 2" xfId="1559" xr:uid="{0A9DC9FE-46EF-4F90-96C6-86899486413A}"/>
    <cellStyle name="60% - Ênfase4 18 2 2" xfId="3411" xr:uid="{F86ACEA4-08F8-45B4-B649-2DB89FA0F9F1}"/>
    <cellStyle name="60% - Ênfase4 18 3" xfId="2484" xr:uid="{99734247-1350-4E47-B20C-83E7475012F3}"/>
    <cellStyle name="60% - Ênfase4 19" xfId="923" xr:uid="{B4036DD8-38AE-4B5D-90A6-86DF19DF43E9}"/>
    <cellStyle name="60% - Ênfase4 19 2" xfId="2775" xr:uid="{A2AA175F-F599-43B2-96A9-7ED20CBD4B6D}"/>
    <cellStyle name="60% - Ênfase4 2" xfId="58" xr:uid="{ED86A1F8-FF71-4BF9-93C1-2F5F6BE0B7F6}"/>
    <cellStyle name="60% - Ênfase4 2 2" xfId="664" xr:uid="{B25B4A57-6904-49E9-B885-8F424D4CFA2F}"/>
    <cellStyle name="60% - Ênfase4 2 2 2" xfId="1267" xr:uid="{0FFEEBAE-9BA9-4699-96FC-F9BFC3802218}"/>
    <cellStyle name="60% - Ênfase4 2 2 2 2" xfId="3119" xr:uid="{EC0875BC-8BD2-4550-A35E-7BE4D0AEB313}"/>
    <cellStyle name="60% - Ênfase4 2 2 3" xfId="2192" xr:uid="{9FD8E859-FA06-45FD-B644-7D7182436586}"/>
    <cellStyle name="60% - Ênfase4 2 3" xfId="340" xr:uid="{E1BABF6C-2B4F-4C05-B9AC-D79F2B56BBD7}"/>
    <cellStyle name="60% - Ênfase4 2 3 2" xfId="1766" xr:uid="{326C3013-9871-456E-91C1-81415F469261}"/>
    <cellStyle name="60% - Ênfase4 2 3 2 2" xfId="3579" xr:uid="{E50B899D-6B03-43C3-B231-2F0DFC2E8441}"/>
    <cellStyle name="60% - Ênfase4 2 3 3" xfId="2691" xr:uid="{88EFF111-3248-4F3E-AFA8-564B53666024}"/>
    <cellStyle name="60% - Ênfase4 2 4" xfId="945" xr:uid="{E72D5BB5-9177-4891-ACFA-28174AFA7005}"/>
    <cellStyle name="60% - Ênfase4 2 4 2" xfId="2797" xr:uid="{33ECC860-450E-49E2-B57B-97152F245249}"/>
    <cellStyle name="60% - Ênfase4 2 5" xfId="1870" xr:uid="{2960E198-B238-4176-837C-90CCFF49F743}"/>
    <cellStyle name="60% - Ênfase4 20" xfId="1848" xr:uid="{B17627C4-E3DF-4E93-9529-8F8E7FF06F4A}"/>
    <cellStyle name="60% - Ênfase4 3" xfId="76" xr:uid="{FD8EB090-FA22-41E9-8C51-58D6B5D47C01}"/>
    <cellStyle name="60% - Ênfase4 3 2" xfId="682" xr:uid="{374615C5-B8C8-4FFD-BFAF-2F79A1B99FA6}"/>
    <cellStyle name="60% - Ênfase4 3 2 2" xfId="1285" xr:uid="{B821C28B-C280-4657-B08E-B5C9517AAB96}"/>
    <cellStyle name="60% - Ênfase4 3 2 2 2" xfId="3137" xr:uid="{86C70D10-A0FB-48D4-A3D5-6995CCCA780D}"/>
    <cellStyle name="60% - Ênfase4 3 2 3" xfId="2210" xr:uid="{F24B08C9-D0DA-4022-8842-25E8ED4C3681}"/>
    <cellStyle name="60% - Ênfase4 3 3" xfId="358" xr:uid="{0ECF8254-E61D-4FC8-AF40-B17F31C44605}"/>
    <cellStyle name="60% - Ênfase4 3 3 2" xfId="1757" xr:uid="{73AD0E70-F10A-4DD2-989E-4F22966176A2}"/>
    <cellStyle name="60% - Ênfase4 3 3 2 2" xfId="3570" xr:uid="{5BDB3BDA-C420-4851-A7D6-188B77C6049F}"/>
    <cellStyle name="60% - Ênfase4 3 3 3" xfId="2682" xr:uid="{2212F59F-9FCC-496F-B8F1-4F3121D8B44D}"/>
    <cellStyle name="60% - Ênfase4 3 4" xfId="963" xr:uid="{997C8CC1-B8E6-43FB-ADFF-B4C240013DAE}"/>
    <cellStyle name="60% - Ênfase4 3 4 2" xfId="2815" xr:uid="{2F70CBF8-C1B5-493F-AD6B-EB8A8D9B765D}"/>
    <cellStyle name="60% - Ênfase4 3 5" xfId="1888" xr:uid="{851C9FBB-2BF0-4D96-A4A1-6C16458A6474}"/>
    <cellStyle name="60% - Ênfase4 4" xfId="98" xr:uid="{322AB64E-0B80-4765-8DEA-9FF9E6A8B894}"/>
    <cellStyle name="60% - Ênfase4 4 2" xfId="704" xr:uid="{7203A931-A703-4975-8EE6-DC7A4F25FCE1}"/>
    <cellStyle name="60% - Ênfase4 4 2 2" xfId="1307" xr:uid="{032F678C-3117-40FD-B2C5-17452C398CA6}"/>
    <cellStyle name="60% - Ênfase4 4 2 2 2" xfId="3159" xr:uid="{370D6C67-087A-48D8-B1F7-CF0203616648}"/>
    <cellStyle name="60% - Ênfase4 4 2 3" xfId="2232" xr:uid="{A4941E9E-0E75-4878-8139-CAEDC80891FF}"/>
    <cellStyle name="60% - Ênfase4 4 3" xfId="380" xr:uid="{839DB3DE-B050-447A-9BB4-65F6D18EECD2}"/>
    <cellStyle name="60% - Ênfase4 4 3 2" xfId="1822" xr:uid="{39B27520-C261-479E-BD9C-73E51F16E243}"/>
    <cellStyle name="60% - Ênfase4 4 3 2 2" xfId="3635" xr:uid="{C2CB5E8C-F623-44AB-8273-3E37A5C2EA10}"/>
    <cellStyle name="60% - Ênfase4 4 3 3" xfId="2747" xr:uid="{88D0E044-C4F9-4BCC-86B6-18019FF1FC27}"/>
    <cellStyle name="60% - Ênfase4 4 4" xfId="985" xr:uid="{D3E071D7-2F7D-434E-A756-DE337271C14E}"/>
    <cellStyle name="60% - Ênfase4 4 4 2" xfId="2837" xr:uid="{BF2D5498-5BE8-4CCD-A80C-D2209B2D08A0}"/>
    <cellStyle name="60% - Ênfase4 4 5" xfId="1910" xr:uid="{CE22A96D-64F9-42D2-87A0-B157E025DE4F}"/>
    <cellStyle name="60% - Ênfase4 5" xfId="118" xr:uid="{9F996B77-2DC5-4F39-87D0-E2752DEFF60B}"/>
    <cellStyle name="60% - Ênfase4 5 2" xfId="724" xr:uid="{D2EAB337-947B-466D-84B2-166C64953770}"/>
    <cellStyle name="60% - Ênfase4 5 2 2" xfId="1327" xr:uid="{C874A6E3-0E27-44C0-A570-3B67CF83193F}"/>
    <cellStyle name="60% - Ênfase4 5 2 2 2" xfId="3179" xr:uid="{B014493F-7E3F-4532-B9C5-42415E0E2F39}"/>
    <cellStyle name="60% - Ênfase4 5 2 3" xfId="2252" xr:uid="{29684AC6-268B-49DF-A3B1-01F75450373A}"/>
    <cellStyle name="60% - Ênfase4 5 3" xfId="400" xr:uid="{72F44A54-1182-444F-835D-017AD7F60A03}"/>
    <cellStyle name="60% - Ênfase4 5 3 2" xfId="1557" xr:uid="{2C996493-9C6C-4C29-B570-D1F1911C258E}"/>
    <cellStyle name="60% - Ênfase4 5 3 2 2" xfId="3409" xr:uid="{8A1EB73F-6CEE-4681-87CA-972870FC6820}"/>
    <cellStyle name="60% - Ênfase4 5 3 3" xfId="2482" xr:uid="{018F5395-2149-4528-BB86-D4524610423F}"/>
    <cellStyle name="60% - Ênfase4 5 4" xfId="1005" xr:uid="{71B744E3-A85C-4C0E-98E7-4564FD569DDF}"/>
    <cellStyle name="60% - Ênfase4 5 4 2" xfId="2857" xr:uid="{0173DE07-F002-45E2-BE30-A07ED98B3D4F}"/>
    <cellStyle name="60% - Ênfase4 5 5" xfId="1930" xr:uid="{34860D9A-DC1D-467A-8045-D9790AAC5E0D}"/>
    <cellStyle name="60% - Ênfase4 6" xfId="138" xr:uid="{FA0EF99F-E918-4FC4-84BA-423CA76A6ABA}"/>
    <cellStyle name="60% - Ênfase4 6 2" xfId="744" xr:uid="{C2667093-CC8F-4DAD-9BA1-841595FCD326}"/>
    <cellStyle name="60% - Ênfase4 6 2 2" xfId="1347" xr:uid="{408585F3-A036-4CAA-B2E3-073E48D81537}"/>
    <cellStyle name="60% - Ênfase4 6 2 2 2" xfId="3199" xr:uid="{EA318593-126F-4F63-9515-0D8662B6C329}"/>
    <cellStyle name="60% - Ênfase4 6 2 3" xfId="2272" xr:uid="{3DC55FE1-A370-4EF6-803D-D7751502DB94}"/>
    <cellStyle name="60% - Ênfase4 6 3" xfId="420" xr:uid="{E50E44C9-6334-4648-A7C7-523605F1CF1F}"/>
    <cellStyle name="60% - Ênfase4 6 3 2" xfId="1724" xr:uid="{3A8765B6-6135-4718-8B96-E119F4945333}"/>
    <cellStyle name="60% - Ênfase4 6 3 2 2" xfId="3537" xr:uid="{22F8817B-B115-4558-8667-8C379EB3C3D6}"/>
    <cellStyle name="60% - Ênfase4 6 3 3" xfId="2649" xr:uid="{998A48DF-76D4-4B03-A98D-1E73E40E4164}"/>
    <cellStyle name="60% - Ênfase4 6 4" xfId="1025" xr:uid="{39CFF0EF-74AB-441B-A129-00C857496BC5}"/>
    <cellStyle name="60% - Ênfase4 6 4 2" xfId="2877" xr:uid="{C3B1227A-7704-4D28-8869-B8FBF2FB9BCA}"/>
    <cellStyle name="60% - Ênfase4 6 5" xfId="1950" xr:uid="{9051E5E0-D208-45AB-B6A1-5CF1117387ED}"/>
    <cellStyle name="60% - Ênfase4 7" xfId="158" xr:uid="{3A6EE53B-99EF-453F-8439-E9D7567644F9}"/>
    <cellStyle name="60% - Ênfase4 7 2" xfId="764" xr:uid="{5B72C95D-5FA7-47B0-8F21-7563BAD46285}"/>
    <cellStyle name="60% - Ênfase4 7 2 2" xfId="1367" xr:uid="{ED23583C-2A04-43DA-8B68-FA39B3807A39}"/>
    <cellStyle name="60% - Ênfase4 7 2 2 2" xfId="3219" xr:uid="{716D757B-DC62-4D98-BE5E-B7DEE0E75985}"/>
    <cellStyle name="60% - Ênfase4 7 2 3" xfId="2292" xr:uid="{F0F053F4-C9C0-4C16-830C-6069FC57A577}"/>
    <cellStyle name="60% - Ênfase4 7 3" xfId="440" xr:uid="{83EE2E88-C183-4743-9782-6C1F734E639D}"/>
    <cellStyle name="60% - Ênfase4 7 3 2" xfId="1630" xr:uid="{795B564A-EA3E-430C-9244-15100DAB3BDE}"/>
    <cellStyle name="60% - Ênfase4 7 3 2 2" xfId="3482" xr:uid="{8E4254A0-1C77-451D-9F82-168C9D8C6468}"/>
    <cellStyle name="60% - Ênfase4 7 3 3" xfId="2555" xr:uid="{51EF86EB-A96F-4CE9-9869-5A5BE6068B19}"/>
    <cellStyle name="60% - Ênfase4 7 4" xfId="1045" xr:uid="{40A6B335-A289-4D4B-BC54-89C40AD0CF09}"/>
    <cellStyle name="60% - Ênfase4 7 4 2" xfId="2897" xr:uid="{8855C1E7-BDEE-45CA-A4C2-033F2B1DA655}"/>
    <cellStyle name="60% - Ênfase4 7 5" xfId="1970" xr:uid="{F718BF13-B1FB-4431-94E2-A1E67FD32E3B}"/>
    <cellStyle name="60% - Ênfase4 8" xfId="178" xr:uid="{BF85FC86-BE09-4052-8CCE-2ECF4C68A91A}"/>
    <cellStyle name="60% - Ênfase4 8 2" xfId="784" xr:uid="{A793E10F-93B3-4ADA-A422-8A51F7AFEF5F}"/>
    <cellStyle name="60% - Ênfase4 8 2 2" xfId="1387" xr:uid="{9ED06C6E-62B7-4CF9-A670-A43C98448E9B}"/>
    <cellStyle name="60% - Ênfase4 8 2 2 2" xfId="3239" xr:uid="{9F4C4923-61E4-463A-9F7D-93F5F3B5302C}"/>
    <cellStyle name="60% - Ênfase4 8 2 3" xfId="2312" xr:uid="{20A4E11D-D0CA-426B-BA9E-B45C6BCA7879}"/>
    <cellStyle name="60% - Ênfase4 8 3" xfId="460" xr:uid="{4072B9BE-2C46-4F0A-9C1A-8C4C090DD35E}"/>
    <cellStyle name="60% - Ênfase4 8 3 2" xfId="1825" xr:uid="{CB30AFFD-CE0E-4DE4-8929-6A1C756970A2}"/>
    <cellStyle name="60% - Ênfase4 8 3 2 2" xfId="3638" xr:uid="{3EC6654B-DD02-4283-9719-37CFDC218139}"/>
    <cellStyle name="60% - Ênfase4 8 3 3" xfId="2750" xr:uid="{98E626E0-618C-46A9-960A-12D9F8987FB2}"/>
    <cellStyle name="60% - Ênfase4 8 4" xfId="1065" xr:uid="{66962CED-4413-40B7-BC28-FAD800433D93}"/>
    <cellStyle name="60% - Ênfase4 8 4 2" xfId="2917" xr:uid="{B0E79311-57EE-431F-88BF-230B9047139C}"/>
    <cellStyle name="60% - Ênfase4 8 5" xfId="1990" xr:uid="{2DE25F95-FEDB-4FB0-9D6A-B4C3D3DA563C}"/>
    <cellStyle name="60% - Ênfase4 9" xfId="198" xr:uid="{A7C2DD66-EAE2-47AA-855F-CC0FFB5929CA}"/>
    <cellStyle name="60% - Ênfase4 9 2" xfId="804" xr:uid="{2D515840-A540-4F2B-99D4-101CEA5595E9}"/>
    <cellStyle name="60% - Ênfase4 9 2 2" xfId="1407" xr:uid="{D4DD4F4E-00C3-47E3-9917-6723FDD6FC46}"/>
    <cellStyle name="60% - Ênfase4 9 2 2 2" xfId="3259" xr:uid="{2C4324D9-B9F7-45E9-9848-D854893ECD6D}"/>
    <cellStyle name="60% - Ênfase4 9 2 3" xfId="2332" xr:uid="{028CCA22-632D-4052-87DF-73B04A581E40}"/>
    <cellStyle name="60% - Ênfase4 9 3" xfId="480" xr:uid="{05A3110B-92B7-4CCF-B8B0-99FEA8CE3EB1}"/>
    <cellStyle name="60% - Ênfase4 9 3 2" xfId="1702" xr:uid="{C7256C94-D135-45D8-83D0-10DA5EBCC4D8}"/>
    <cellStyle name="60% - Ênfase4 9 3 2 2" xfId="3515" xr:uid="{67719C26-4AE6-4239-AF83-67CB3ACDF848}"/>
    <cellStyle name="60% - Ênfase4 9 3 3" xfId="2627" xr:uid="{9E44553A-490D-451C-ACAB-53EB5B812586}"/>
    <cellStyle name="60% - Ênfase4 9 4" xfId="1085" xr:uid="{681BECCD-55BE-4026-AD1E-AA381C8BD7EA}"/>
    <cellStyle name="60% - Ênfase4 9 4 2" xfId="2937" xr:uid="{739203FA-D31A-4791-AB63-218AC4F5314C}"/>
    <cellStyle name="60% - Ênfase4 9 5" xfId="2010" xr:uid="{CED8FE66-9239-412A-AAD5-35545883A386}"/>
    <cellStyle name="60% - Ênfase5" xfId="37" builtinId="48" customBuiltin="1"/>
    <cellStyle name="60% - Ênfase5 10" xfId="222" xr:uid="{01CDF56A-FAF2-4458-B0F8-92FD84D1A799}"/>
    <cellStyle name="60% - Ênfase5 10 2" xfId="828" xr:uid="{9BEE1B1F-07C5-409E-99C2-676440D5E3D6}"/>
    <cellStyle name="60% - Ênfase5 10 2 2" xfId="1431" xr:uid="{B5060569-AAF5-41F4-A25D-B039BACE45B0}"/>
    <cellStyle name="60% - Ênfase5 10 2 2 2" xfId="3283" xr:uid="{3E0E32C3-562A-47CA-A5FA-A0FA1BDF5F4C}"/>
    <cellStyle name="60% - Ênfase5 10 2 3" xfId="2356" xr:uid="{8CC4CF7E-FF63-40F4-93EB-2AB4474F71D5}"/>
    <cellStyle name="60% - Ênfase5 10 3" xfId="504" xr:uid="{EF306F99-23C9-4EC6-9EE8-AA6170DBF082}"/>
    <cellStyle name="60% - Ênfase5 10 3 2" xfId="1786" xr:uid="{61D6185F-C766-49E4-ACA2-F12BBFF215D6}"/>
    <cellStyle name="60% - Ênfase5 10 3 2 2" xfId="3599" xr:uid="{B1090DCF-3EA5-481F-B24C-D96584FE053A}"/>
    <cellStyle name="60% - Ênfase5 10 3 3" xfId="2711" xr:uid="{AF50E7FE-4956-4B22-B4E2-FF04459BCEEA}"/>
    <cellStyle name="60% - Ênfase5 10 4" xfId="1109" xr:uid="{CAD486E7-AB1C-4AA0-B182-1CE733743EE4}"/>
    <cellStyle name="60% - Ênfase5 10 4 2" xfId="2961" xr:uid="{2AC472BE-5624-47A9-BDDB-8C3D72C58550}"/>
    <cellStyle name="60% - Ênfase5 10 5" xfId="2034" xr:uid="{7C52B56B-90EF-4F7C-AF49-5CC147A09DB5}"/>
    <cellStyle name="60% - Ênfase5 11" xfId="242" xr:uid="{66445083-5951-49C5-BEDF-AE7930A05A58}"/>
    <cellStyle name="60% - Ênfase5 11 2" xfId="848" xr:uid="{4B71480E-963B-413A-9E24-E9DB6C669E29}"/>
    <cellStyle name="60% - Ênfase5 11 2 2" xfId="1451" xr:uid="{533CDA37-F224-49F4-9811-A89566CF1598}"/>
    <cellStyle name="60% - Ênfase5 11 2 2 2" xfId="3303" xr:uid="{7FA6EEFE-A9E4-42B3-AA7F-608FE4A35694}"/>
    <cellStyle name="60% - Ênfase5 11 2 3" xfId="2376" xr:uid="{5BC05199-2718-4993-A243-9FC726AB089F}"/>
    <cellStyle name="60% - Ênfase5 11 3" xfId="524" xr:uid="{9CED15E0-F219-414B-A6D4-BC5F9F79D5D0}"/>
    <cellStyle name="60% - Ênfase5 11 3 2" xfId="1515" xr:uid="{8775CA32-B9FD-49CF-94F9-386F2DCCD216}"/>
    <cellStyle name="60% - Ênfase5 11 3 2 2" xfId="3367" xr:uid="{4428C5BB-5101-435A-B24D-99B0093573C2}"/>
    <cellStyle name="60% - Ênfase5 11 3 3" xfId="2440" xr:uid="{D3F099BC-2865-4B1B-9F06-C84FD279047F}"/>
    <cellStyle name="60% - Ênfase5 11 4" xfId="1129" xr:uid="{BDA31D3B-857B-4629-A671-FFA0B7DC943C}"/>
    <cellStyle name="60% - Ênfase5 11 4 2" xfId="2981" xr:uid="{9B4E56C0-D9BA-4BDE-B5C2-31BFF97A05B5}"/>
    <cellStyle name="60% - Ênfase5 11 5" xfId="2054" xr:uid="{1BC0E08F-AE6E-4200-A922-F4381B149D83}"/>
    <cellStyle name="60% - Ênfase5 12" xfId="262" xr:uid="{8361F9C8-ECA7-49FB-810E-9D3010B5F1C5}"/>
    <cellStyle name="60% - Ênfase5 12 2" xfId="868" xr:uid="{8ABEE8EA-BFF9-4505-B94B-5FFED9395CD4}"/>
    <cellStyle name="60% - Ênfase5 12 2 2" xfId="1471" xr:uid="{314CCBC6-FDA2-46A1-B214-82D841D49B88}"/>
    <cellStyle name="60% - Ênfase5 12 2 2 2" xfId="3323" xr:uid="{0DF55608-C25E-42DD-A967-FD4EBB4931D4}"/>
    <cellStyle name="60% - Ênfase5 12 2 3" xfId="2396" xr:uid="{8D1B8815-CA3E-47FA-8E12-D78E3B904513}"/>
    <cellStyle name="60% - Ênfase5 12 3" xfId="544" xr:uid="{4A32F9D2-D3CF-4833-89B6-038AF8262267}"/>
    <cellStyle name="60% - Ênfase5 12 3 2" xfId="1821" xr:uid="{F4F5736B-2D1E-413E-B035-3E9353CF7196}"/>
    <cellStyle name="60% - Ênfase5 12 3 2 2" xfId="3634" xr:uid="{FB49D669-C04A-4DD3-B2EB-BE13BC729EAE}"/>
    <cellStyle name="60% - Ênfase5 12 3 3" xfId="2746" xr:uid="{02578041-47A3-46AE-B8D9-8224F355C918}"/>
    <cellStyle name="60% - Ênfase5 12 4" xfId="1149" xr:uid="{B055E865-F1D5-4421-A742-A0070B09CD87}"/>
    <cellStyle name="60% - Ênfase5 12 4 2" xfId="3001" xr:uid="{23F749F9-995E-488D-A40D-A41EE2798F8B}"/>
    <cellStyle name="60% - Ênfase5 12 5" xfId="2074" xr:uid="{1B5471BF-1A7C-41C6-A413-91E4911888D1}"/>
    <cellStyle name="60% - Ênfase5 13" xfId="282" xr:uid="{DBBD619F-8F8A-4B77-B1F5-7C837BA740B1}"/>
    <cellStyle name="60% - Ênfase5 13 2" xfId="888" xr:uid="{68A5631C-A614-402E-9EF7-34ED01299F7B}"/>
    <cellStyle name="60% - Ênfase5 13 2 2" xfId="1491" xr:uid="{36D7D1E2-7AB7-49AE-8CAA-8B82218D855C}"/>
    <cellStyle name="60% - Ênfase5 13 2 2 2" xfId="3343" xr:uid="{325C01DB-60C1-4B5C-80E3-26C89F4F64A5}"/>
    <cellStyle name="60% - Ênfase5 13 2 3" xfId="2416" xr:uid="{99242283-ABD6-4F26-B462-E556FD66342B}"/>
    <cellStyle name="60% - Ênfase5 13 3" xfId="564" xr:uid="{785BD54B-0004-4072-834D-10BD8867F24E}"/>
    <cellStyle name="60% - Ênfase5 13 3 2" xfId="1783" xr:uid="{2B026D36-45E8-4837-BB65-C5E87D151DF7}"/>
    <cellStyle name="60% - Ênfase5 13 3 2 2" xfId="3596" xr:uid="{30C9014C-A526-4722-B145-A0B6EFF3F37A}"/>
    <cellStyle name="60% - Ênfase5 13 3 3" xfId="2708" xr:uid="{85F74334-C04E-4ACB-A505-17EA6A28902A}"/>
    <cellStyle name="60% - Ênfase5 13 4" xfId="1169" xr:uid="{9F4ADC36-2016-4EEA-BE1C-E2D9E0C6CCA8}"/>
    <cellStyle name="60% - Ênfase5 13 4 2" xfId="3021" xr:uid="{B0A99FEF-8AB2-4A5D-8C6D-89296781E812}"/>
    <cellStyle name="60% - Ênfase5 13 5" xfId="2094" xr:uid="{DCEB4436-260E-4893-9B5E-D0D40A4949DF}"/>
    <cellStyle name="60% - Ênfase5 14" xfId="302" xr:uid="{6118ECB9-353D-4CA5-B095-81F6E0CFB315}"/>
    <cellStyle name="60% - Ênfase5 14 2" xfId="908" xr:uid="{A5AF0D6E-9FF5-481A-9809-8BE09B4F69D9}"/>
    <cellStyle name="60% - Ênfase5 14 2 2" xfId="1511" xr:uid="{8426A059-B0F4-4F3A-BF89-12D6ED565B25}"/>
    <cellStyle name="60% - Ênfase5 14 2 2 2" xfId="3363" xr:uid="{7E0C6E11-0F7B-4E82-BE2E-B38B46011DDC}"/>
    <cellStyle name="60% - Ênfase5 14 2 3" xfId="2436" xr:uid="{F06DE1F3-709C-4F24-998D-AC06B16E31A9}"/>
    <cellStyle name="60% - Ênfase5 14 3" xfId="584" xr:uid="{6E810FA5-4811-4877-88BD-233DFE33B283}"/>
    <cellStyle name="60% - Ênfase5 14 3 2" xfId="1580" xr:uid="{105EC0CC-2B2B-4AFF-8364-0F8972A4C40A}"/>
    <cellStyle name="60% - Ênfase5 14 3 2 2" xfId="3432" xr:uid="{9A6B44FA-76B2-47DC-9AD7-31B63F9E23FC}"/>
    <cellStyle name="60% - Ênfase5 14 3 3" xfId="2505" xr:uid="{56F68EFD-0B75-4D33-B907-E778454D4515}"/>
    <cellStyle name="60% - Ênfase5 14 4" xfId="1189" xr:uid="{AC7A60A2-27BD-4F23-88D9-6EEE4A4E6924}"/>
    <cellStyle name="60% - Ênfase5 14 4 2" xfId="3041" xr:uid="{88A47F4D-4C41-4646-8384-4F48B5573959}"/>
    <cellStyle name="60% - Ênfase5 14 5" xfId="2114" xr:uid="{CDAFF7D4-8264-4EBE-9066-41154BC2D3C1}"/>
    <cellStyle name="60% - Ênfase5 15" xfId="604" xr:uid="{AB03FBEB-E249-459E-8A02-35EABBD3BF7C}"/>
    <cellStyle name="60% - Ênfase5 15 2" xfId="1667" xr:uid="{D5FE8D01-4795-4D9A-ADF9-6C058D1B01A0}"/>
    <cellStyle name="60% - Ênfase5 15 2 2" xfId="2592" xr:uid="{BBF4E145-163D-431D-82ED-1903E11DFD0F}"/>
    <cellStyle name="60% - Ênfase5 15 3" xfId="1209" xr:uid="{CA4306A9-1E55-4200-BE0A-6DB008454D00}"/>
    <cellStyle name="60% - Ênfase5 15 3 2" xfId="3061" xr:uid="{6065CFE9-1494-4609-938A-A701438ACC54}"/>
    <cellStyle name="60% - Ênfase5 15 4" xfId="2134" xr:uid="{7985BDC4-477D-4980-B0AF-CA4E0F67FB86}"/>
    <cellStyle name="60% - Ênfase5 16" xfId="624" xr:uid="{6C1189BD-D88D-4D3F-9CD5-524B3B155677}"/>
    <cellStyle name="60% - Ênfase5 16 2" xfId="1687" xr:uid="{65DCA010-7CBC-401B-A4FE-2157471B4404}"/>
    <cellStyle name="60% - Ênfase5 16 2 2" xfId="2612" xr:uid="{2CCCDFAB-20EB-4FCA-A623-D990E2C5C9E7}"/>
    <cellStyle name="60% - Ênfase5 16 3" xfId="1229" xr:uid="{E8B032B7-8A49-46C5-B8C9-50F48B079705}"/>
    <cellStyle name="60% - Ênfase5 16 3 2" xfId="3081" xr:uid="{595B1384-7CA4-4FEA-A7BE-26412B3AA6C8}"/>
    <cellStyle name="60% - Ênfase5 16 4" xfId="2154" xr:uid="{F15DBE62-5B3A-49A6-8B8D-34F1B8A1ECD5}"/>
    <cellStyle name="60% - Ênfase5 17" xfId="644" xr:uid="{6A0CE33B-C440-4C0E-BB99-588AAE32467D}"/>
    <cellStyle name="60% - Ênfase5 17 2" xfId="1248" xr:uid="{A091A6BB-DCF9-434A-B1C3-CC198EACBC09}"/>
    <cellStyle name="60% - Ênfase5 17 2 2" xfId="3100" xr:uid="{7FB300CA-E0BE-4C17-A522-C069361E4051}"/>
    <cellStyle name="60% - Ênfase5 17 3" xfId="2173" xr:uid="{49EC1529-D6EB-417B-8C6A-628385279305}"/>
    <cellStyle name="60% - Ênfase5 18" xfId="321" xr:uid="{C2EBCEA6-F27F-4993-99A6-828D6A15164A}"/>
    <cellStyle name="60% - Ênfase5 18 2" xfId="1604" xr:uid="{D7185241-594A-48A4-98E8-10F8AB17200C}"/>
    <cellStyle name="60% - Ênfase5 18 2 2" xfId="3456" xr:uid="{44839978-0648-4E4F-8956-3EBC85D68798}"/>
    <cellStyle name="60% - Ênfase5 18 3" xfId="2529" xr:uid="{3862229C-3CAC-4969-9E2E-595BB01E7715}"/>
    <cellStyle name="60% - Ênfase5 19" xfId="926" xr:uid="{46BAC999-D4A9-43F2-81A0-93A477DA210A}"/>
    <cellStyle name="60% - Ênfase5 19 2" xfId="2778" xr:uid="{7FEFBF6E-BCDA-4786-8358-41C644E3389A}"/>
    <cellStyle name="60% - Ênfase5 2" xfId="61" xr:uid="{9082DAA8-F484-4183-8CD1-92F66CB47A83}"/>
    <cellStyle name="60% - Ênfase5 2 2" xfId="667" xr:uid="{4633810D-379E-4CE8-A1E3-4171E3EE958C}"/>
    <cellStyle name="60% - Ênfase5 2 2 2" xfId="1270" xr:uid="{CE556AA3-1292-4689-AA39-D0F51083C21F}"/>
    <cellStyle name="60% - Ênfase5 2 2 2 2" xfId="3122" xr:uid="{19CB1DB6-742D-4CDB-9291-5D2BF60A3B36}"/>
    <cellStyle name="60% - Ênfase5 2 2 3" xfId="2195" xr:uid="{534B3323-1FBB-4698-83B7-1423A0A12ECB}"/>
    <cellStyle name="60% - Ênfase5 2 3" xfId="343" xr:uid="{EED1B034-A807-43E6-9B5F-BCA6EFE824F1}"/>
    <cellStyle name="60% - Ênfase5 2 3 2" xfId="1550" xr:uid="{1936B3EF-85EF-4837-9C75-250E6BADDFC4}"/>
    <cellStyle name="60% - Ênfase5 2 3 2 2" xfId="3402" xr:uid="{85445439-7240-4249-9389-9182510910FA}"/>
    <cellStyle name="60% - Ênfase5 2 3 3" xfId="2475" xr:uid="{BB92D816-C7CB-40C8-966B-3A39DEF475C7}"/>
    <cellStyle name="60% - Ênfase5 2 4" xfId="948" xr:uid="{4E052555-3890-42B8-9F2A-F647552F12C2}"/>
    <cellStyle name="60% - Ênfase5 2 4 2" xfId="2800" xr:uid="{E81C7A85-6298-42A5-9365-FC00FD28965D}"/>
    <cellStyle name="60% - Ênfase5 2 5" xfId="1873" xr:uid="{DE063A60-D658-4CE7-877A-D5F7D2FDD9BB}"/>
    <cellStyle name="60% - Ênfase5 20" xfId="1851" xr:uid="{33F0407F-7EEC-4DD5-AF92-1FF9694E8B03}"/>
    <cellStyle name="60% - Ênfase5 3" xfId="79" xr:uid="{6685BCC8-EF4F-434A-8A81-30906C0A313F}"/>
    <cellStyle name="60% - Ênfase5 3 2" xfId="685" xr:uid="{BBD3DCFF-CA67-4C1D-8C75-49FCA17CD6D9}"/>
    <cellStyle name="60% - Ênfase5 3 2 2" xfId="1288" xr:uid="{97BDA636-A91E-4ED9-A846-288C91D5E866}"/>
    <cellStyle name="60% - Ênfase5 3 2 2 2" xfId="3140" xr:uid="{530A9590-D8BE-4A2D-A4FF-DA2324265BE6}"/>
    <cellStyle name="60% - Ênfase5 3 2 3" xfId="2213" xr:uid="{16B61189-88FD-4631-BD67-0C40049C2AB2}"/>
    <cellStyle name="60% - Ênfase5 3 3" xfId="361" xr:uid="{4F1C3913-4989-4270-B999-DF5C0BB9CA7D}"/>
    <cellStyle name="60% - Ênfase5 3 3 2" xfId="1817" xr:uid="{42CDDEF9-0023-42FA-9D2D-77087A5E0FC1}"/>
    <cellStyle name="60% - Ênfase5 3 3 2 2" xfId="3630" xr:uid="{6FB74E40-251C-4D5A-9F93-830A74762A63}"/>
    <cellStyle name="60% - Ênfase5 3 3 3" xfId="2742" xr:uid="{03CF9EDC-167B-4011-80EB-735D555FAF9D}"/>
    <cellStyle name="60% - Ênfase5 3 4" xfId="966" xr:uid="{F798C0C0-533F-4D4D-8E4C-164E45E8B710}"/>
    <cellStyle name="60% - Ênfase5 3 4 2" xfId="2818" xr:uid="{A7E8CB62-01A4-4E00-8E57-1D0379B9C2F9}"/>
    <cellStyle name="60% - Ênfase5 3 5" xfId="1891" xr:uid="{D26018E8-3016-4F99-84F4-B2FC5FDD6FA1}"/>
    <cellStyle name="60% - Ênfase5 4" xfId="101" xr:uid="{F19694B1-21BC-4927-B643-F7F6135FA689}"/>
    <cellStyle name="60% - Ênfase5 4 2" xfId="707" xr:uid="{C2E4273A-E460-45F0-9E68-5A239F0BAEF1}"/>
    <cellStyle name="60% - Ênfase5 4 2 2" xfId="1310" xr:uid="{7FF3F368-A7BE-4CC5-9107-2D938DC024DA}"/>
    <cellStyle name="60% - Ênfase5 4 2 2 2" xfId="3162" xr:uid="{4D23AA43-B957-413B-B1AE-68CE5AB1AE1F}"/>
    <cellStyle name="60% - Ênfase5 4 2 3" xfId="2235" xr:uid="{E6B403C3-98A7-4066-9A61-A47E789C2BC2}"/>
    <cellStyle name="60% - Ênfase5 4 3" xfId="383" xr:uid="{8BEC1412-B3F4-4A2C-ACEB-AA54067A758E}"/>
    <cellStyle name="60% - Ênfase5 4 3 2" xfId="1641" xr:uid="{3B8B4CE5-3F09-4B87-9F62-DC42AE0AC469}"/>
    <cellStyle name="60% - Ênfase5 4 3 2 2" xfId="3493" xr:uid="{70EDEF98-E13C-4530-9FE2-7932D7037C5B}"/>
    <cellStyle name="60% - Ênfase5 4 3 3" xfId="2566" xr:uid="{F17E55DA-0099-4334-9754-20251CA34B16}"/>
    <cellStyle name="60% - Ênfase5 4 4" xfId="988" xr:uid="{C99D0F39-C06D-4216-B614-D59F72664883}"/>
    <cellStyle name="60% - Ênfase5 4 4 2" xfId="2840" xr:uid="{63A43ED9-3B37-474C-83F9-B956F3124F59}"/>
    <cellStyle name="60% - Ênfase5 4 5" xfId="1913" xr:uid="{22082AE9-31CD-4572-B049-BA99241961FD}"/>
    <cellStyle name="60% - Ênfase5 5" xfId="121" xr:uid="{CCB7DBBA-5A81-4799-A018-0FA0275419EB}"/>
    <cellStyle name="60% - Ênfase5 5 2" xfId="727" xr:uid="{7E2D0C1A-E43C-4760-A5AE-CA68B300E2E5}"/>
    <cellStyle name="60% - Ênfase5 5 2 2" xfId="1330" xr:uid="{13DDA1C1-A9BA-4DCA-A661-7B83F877193A}"/>
    <cellStyle name="60% - Ênfase5 5 2 2 2" xfId="3182" xr:uid="{B61F2C83-C129-422E-9DD3-EFF23EC3F366}"/>
    <cellStyle name="60% - Ênfase5 5 2 3" xfId="2255" xr:uid="{FE888A5A-682A-4C96-ACC5-1E9D4864B10E}"/>
    <cellStyle name="60% - Ênfase5 5 3" xfId="403" xr:uid="{30949281-03A6-438D-9A60-7582C0D5EA9E}"/>
    <cellStyle name="60% - Ênfase5 5 3 2" xfId="1798" xr:uid="{D3AC19F0-0388-4B67-A66E-DEB30C7B9932}"/>
    <cellStyle name="60% - Ênfase5 5 3 2 2" xfId="3611" xr:uid="{0798EC01-6E32-449F-9845-87D9D2EEED8B}"/>
    <cellStyle name="60% - Ênfase5 5 3 3" xfId="2723" xr:uid="{33019FA0-88BB-4554-B166-11EFEDCBCF19}"/>
    <cellStyle name="60% - Ênfase5 5 4" xfId="1008" xr:uid="{CA6C0F80-51B8-4395-A3FE-C08AE2D83855}"/>
    <cellStyle name="60% - Ênfase5 5 4 2" xfId="2860" xr:uid="{CCB51A95-BAAE-44DA-96DF-C06FD16AD066}"/>
    <cellStyle name="60% - Ênfase5 5 5" xfId="1933" xr:uid="{B249C901-7E10-4F0D-9EB8-81A3221CDA28}"/>
    <cellStyle name="60% - Ênfase5 6" xfId="141" xr:uid="{3171C594-2517-4D22-BF59-12B0DBFFE0AE}"/>
    <cellStyle name="60% - Ênfase5 6 2" xfId="747" xr:uid="{2C61943A-5AD2-40A5-AFBF-3458D43CE14C}"/>
    <cellStyle name="60% - Ênfase5 6 2 2" xfId="1350" xr:uid="{1DA00F49-C65C-4264-BFB0-2F3B69CCE950}"/>
    <cellStyle name="60% - Ênfase5 6 2 2 2" xfId="3202" xr:uid="{4B1C7993-C4F4-4E63-BC65-1B1B2E4B9E10}"/>
    <cellStyle name="60% - Ênfase5 6 2 3" xfId="2275" xr:uid="{7564C36B-D8FC-4630-8795-C9050D7E34C7}"/>
    <cellStyle name="60% - Ênfase5 6 3" xfId="423" xr:uid="{8ACE7D79-477C-41E9-9DE8-4E9F0F0D9308}"/>
    <cellStyle name="60% - Ênfase5 6 3 2" xfId="1526" xr:uid="{F553AF06-1B59-41EB-AEB4-4DC543B01631}"/>
    <cellStyle name="60% - Ênfase5 6 3 2 2" xfId="3378" xr:uid="{D067837E-6CC9-4F3B-9FE6-57F2E409650C}"/>
    <cellStyle name="60% - Ênfase5 6 3 3" xfId="2451" xr:uid="{3BE5BBED-3ACD-417B-B32D-4E947B2A1E81}"/>
    <cellStyle name="60% - Ênfase5 6 4" xfId="1028" xr:uid="{3024CF35-053A-4757-B7D0-E31A9C72E219}"/>
    <cellStyle name="60% - Ênfase5 6 4 2" xfId="2880" xr:uid="{B766D555-3BEC-4534-8E01-DD67EB865A42}"/>
    <cellStyle name="60% - Ênfase5 6 5" xfId="1953" xr:uid="{F6111528-C68B-46C4-9BE3-F51ABB7AF068}"/>
    <cellStyle name="60% - Ênfase5 7" xfId="161" xr:uid="{E5618465-1DC6-4B8C-9B8F-1B3FD13379BB}"/>
    <cellStyle name="60% - Ênfase5 7 2" xfId="767" xr:uid="{BDEC2C9D-ED5F-43D8-BC04-6C5F81A77D51}"/>
    <cellStyle name="60% - Ênfase5 7 2 2" xfId="1370" xr:uid="{3B4CA467-682F-4DC5-BFA0-467E0FA2BC4A}"/>
    <cellStyle name="60% - Ênfase5 7 2 2 2" xfId="3222" xr:uid="{F777E533-9D1B-40A4-8D1D-4F4C761DE9E8}"/>
    <cellStyle name="60% - Ênfase5 7 2 3" xfId="2295" xr:uid="{3475CD4D-9368-4E97-974C-620785619B65}"/>
    <cellStyle name="60% - Ênfase5 7 3" xfId="443" xr:uid="{FFE3C0FF-4114-4C5A-B50E-8650249D9018}"/>
    <cellStyle name="60% - Ênfase5 7 3 2" xfId="1577" xr:uid="{9BAE1DDB-C5D5-404B-AA02-7BD3A229CDCB}"/>
    <cellStyle name="60% - Ênfase5 7 3 2 2" xfId="3429" xr:uid="{D5D49E27-3AE5-46CB-9D80-D7F849794D3F}"/>
    <cellStyle name="60% - Ênfase5 7 3 3" xfId="2502" xr:uid="{158E2753-B1B9-4CA3-A435-A0AE6E5377D3}"/>
    <cellStyle name="60% - Ênfase5 7 4" xfId="1048" xr:uid="{82047A58-F24E-440D-9B8C-8BA85032C093}"/>
    <cellStyle name="60% - Ênfase5 7 4 2" xfId="2900" xr:uid="{5F075A68-46BB-4F78-91B4-3012E4B4FB01}"/>
    <cellStyle name="60% - Ênfase5 7 5" xfId="1973" xr:uid="{A0A0E576-C98F-488D-BD9F-7CF484C253D2}"/>
    <cellStyle name="60% - Ênfase5 8" xfId="181" xr:uid="{566F5B9E-47DE-423D-9D3E-823EE514EB98}"/>
    <cellStyle name="60% - Ênfase5 8 2" xfId="787" xr:uid="{5C58A014-DE10-49EC-AB7A-E3D8CD219B6A}"/>
    <cellStyle name="60% - Ênfase5 8 2 2" xfId="1390" xr:uid="{A08F2B7E-BED3-4715-A8FE-338B30DED768}"/>
    <cellStyle name="60% - Ênfase5 8 2 2 2" xfId="3242" xr:uid="{2837CCAC-F358-4249-A8A4-819945453493}"/>
    <cellStyle name="60% - Ênfase5 8 2 3" xfId="2315" xr:uid="{3FEFF9E8-E8F6-4096-9927-5E6CB9253ED3}"/>
    <cellStyle name="60% - Ênfase5 8 3" xfId="463" xr:uid="{1F6AE067-2E22-4B5A-8AB8-368C39BC7068}"/>
    <cellStyle name="60% - Ênfase5 8 3 2" xfId="1642" xr:uid="{CADA07AC-77D5-4FD8-A943-9B339023D7FD}"/>
    <cellStyle name="60% - Ênfase5 8 3 2 2" xfId="3494" xr:uid="{13C74C8E-378A-4632-9BB9-20C5B5F38512}"/>
    <cellStyle name="60% - Ênfase5 8 3 3" xfId="2567" xr:uid="{A22127A9-DDA6-4373-BE5E-FB65E802DE22}"/>
    <cellStyle name="60% - Ênfase5 8 4" xfId="1068" xr:uid="{BB5BC8EE-43ED-413F-A334-86AA3F5B908D}"/>
    <cellStyle name="60% - Ênfase5 8 4 2" xfId="2920" xr:uid="{95122776-8B5B-4834-BFF2-85F14B40F1EC}"/>
    <cellStyle name="60% - Ênfase5 8 5" xfId="1993" xr:uid="{F03D0003-4E79-41C7-A812-87E8DBDDA945}"/>
    <cellStyle name="60% - Ênfase5 9" xfId="201" xr:uid="{0846DF20-96F2-4394-A9EB-9D1512F3A634}"/>
    <cellStyle name="60% - Ênfase5 9 2" xfId="807" xr:uid="{FC660D86-A112-4431-BEEA-993CF0E557CD}"/>
    <cellStyle name="60% - Ênfase5 9 2 2" xfId="1410" xr:uid="{C4B9E711-46BD-4447-85E9-2A0337E6411F}"/>
    <cellStyle name="60% - Ênfase5 9 2 2 2" xfId="3262" xr:uid="{3E240994-F2D3-4F0A-ACCB-627ED074AE84}"/>
    <cellStyle name="60% - Ênfase5 9 2 3" xfId="2335" xr:uid="{A8D0506E-1E51-48E3-BCE2-B97E8B39AA0F}"/>
    <cellStyle name="60% - Ênfase5 9 3" xfId="483" xr:uid="{B50E526E-8E07-480B-92FF-6DF587CE01BF}"/>
    <cellStyle name="60% - Ênfase5 9 3 2" xfId="1815" xr:uid="{4FADB338-DB5F-44B8-BA30-0F89C4147203}"/>
    <cellStyle name="60% - Ênfase5 9 3 2 2" xfId="3628" xr:uid="{6790F0DB-4889-44BE-9265-318FED7BDFD2}"/>
    <cellStyle name="60% - Ênfase5 9 3 3" xfId="2740" xr:uid="{B1D709F8-5AF2-42DB-AB85-B9E6846556CF}"/>
    <cellStyle name="60% - Ênfase5 9 4" xfId="1088" xr:uid="{8E1C35CA-176E-4157-BFE7-A5638E033AB8}"/>
    <cellStyle name="60% - Ênfase5 9 4 2" xfId="2940" xr:uid="{BDAAC21A-18BD-4778-BE4D-6D8A16A58231}"/>
    <cellStyle name="60% - Ênfase5 9 5" xfId="2013" xr:uid="{C7059E45-E747-469F-9840-7D23E5B4421A}"/>
    <cellStyle name="60% - Ênfase6" xfId="41" builtinId="52" customBuiltin="1"/>
    <cellStyle name="60% - Ênfase6 10" xfId="225" xr:uid="{01A99B50-7964-4CB2-8B33-435718B4DDF1}"/>
    <cellStyle name="60% - Ênfase6 10 2" xfId="831" xr:uid="{E006DE61-03B7-41AB-81A2-80B7F2AB453D}"/>
    <cellStyle name="60% - Ênfase6 10 2 2" xfId="1434" xr:uid="{6EED136F-0B48-4E91-A3C6-B68159DFA66A}"/>
    <cellStyle name="60% - Ênfase6 10 2 2 2" xfId="3286" xr:uid="{E7103CDA-176F-4B42-9CCD-AE34B2FD3EF3}"/>
    <cellStyle name="60% - Ênfase6 10 2 3" xfId="2359" xr:uid="{EA9B989C-AA28-4602-9660-5AA0F6B8411E}"/>
    <cellStyle name="60% - Ênfase6 10 3" xfId="507" xr:uid="{2701D0AF-EBE6-4E8E-B356-6AD86C9ACB82}"/>
    <cellStyle name="60% - Ênfase6 10 3 2" xfId="1776" xr:uid="{3967B6FD-19FB-4DDA-B0AB-8655F60DD875}"/>
    <cellStyle name="60% - Ênfase6 10 3 2 2" xfId="3589" xr:uid="{96E0BA95-1B54-4C01-AC94-A3962D308449}"/>
    <cellStyle name="60% - Ênfase6 10 3 3" xfId="2701" xr:uid="{AA3295B8-CDFC-49FC-850A-140881238FC5}"/>
    <cellStyle name="60% - Ênfase6 10 4" xfId="1112" xr:uid="{878CBAFD-6774-45B4-836B-BC54CE8A9DCB}"/>
    <cellStyle name="60% - Ênfase6 10 4 2" xfId="2964" xr:uid="{D1667164-58FE-4790-856F-EFB5D6E572FD}"/>
    <cellStyle name="60% - Ênfase6 10 5" xfId="2037" xr:uid="{5F82BAE7-7F5F-471C-823F-0854F493E216}"/>
    <cellStyle name="60% - Ênfase6 11" xfId="245" xr:uid="{89856CB8-B537-47FB-A09B-1DDE91DBF022}"/>
    <cellStyle name="60% - Ênfase6 11 2" xfId="851" xr:uid="{DEFEC9C7-E369-45B9-9289-A59DB1556E0B}"/>
    <cellStyle name="60% - Ênfase6 11 2 2" xfId="1454" xr:uid="{9673D228-D9FD-440D-90D4-D1F0416C9A5B}"/>
    <cellStyle name="60% - Ênfase6 11 2 2 2" xfId="3306" xr:uid="{6B2889A8-333B-4957-A8ED-67F75547622B}"/>
    <cellStyle name="60% - Ênfase6 11 2 3" xfId="2379" xr:uid="{49EE7689-DC07-47BF-95C9-6E1BFF73AF85}"/>
    <cellStyle name="60% - Ênfase6 11 3" xfId="527" xr:uid="{143C7669-10BF-4E41-BB7E-D7715712CAA7}"/>
    <cellStyle name="60% - Ênfase6 11 3 2" xfId="1779" xr:uid="{0677549B-E5DD-4D86-B8ED-38756B88F665}"/>
    <cellStyle name="60% - Ênfase6 11 3 2 2" xfId="3592" xr:uid="{53E4A927-65D1-4E28-A3C5-F63933820563}"/>
    <cellStyle name="60% - Ênfase6 11 3 3" xfId="2704" xr:uid="{F71EAB1F-6029-477B-8BD2-A594F4771D3E}"/>
    <cellStyle name="60% - Ênfase6 11 4" xfId="1132" xr:uid="{B7CACD09-378D-4443-9262-E9C0C774CDBA}"/>
    <cellStyle name="60% - Ênfase6 11 4 2" xfId="2984" xr:uid="{985A65B4-2A6E-4E64-87B9-E7DBAF2767E8}"/>
    <cellStyle name="60% - Ênfase6 11 5" xfId="2057" xr:uid="{3A2EC064-5D9B-4896-A808-2F9102650F0B}"/>
    <cellStyle name="60% - Ênfase6 12" xfId="265" xr:uid="{450A59B4-DC9A-4265-81A4-176F7E476130}"/>
    <cellStyle name="60% - Ênfase6 12 2" xfId="871" xr:uid="{96B9F6EC-C2AA-435A-AE1B-978CD632897A}"/>
    <cellStyle name="60% - Ênfase6 12 2 2" xfId="1474" xr:uid="{18A70626-6593-44C5-825F-08E21B3FFEBC}"/>
    <cellStyle name="60% - Ênfase6 12 2 2 2" xfId="3326" xr:uid="{6CB06155-660C-419B-847B-8029B051DE5F}"/>
    <cellStyle name="60% - Ênfase6 12 2 3" xfId="2399" xr:uid="{A6B07BF7-ADD2-4FA1-93AA-13A856CDD8DB}"/>
    <cellStyle name="60% - Ênfase6 12 3" xfId="547" xr:uid="{6867069C-64BB-49B6-AED8-DC05F65BC0AC}"/>
    <cellStyle name="60% - Ênfase6 12 3 2" xfId="1649" xr:uid="{3DA757D2-8F89-446B-B031-0E49B3627344}"/>
    <cellStyle name="60% - Ênfase6 12 3 2 2" xfId="3501" xr:uid="{3E3E6457-25BC-4032-8263-AE4D867898CD}"/>
    <cellStyle name="60% - Ênfase6 12 3 3" xfId="2574" xr:uid="{122CB980-73A1-4E6B-8BF6-916A5174B268}"/>
    <cellStyle name="60% - Ênfase6 12 4" xfId="1152" xr:uid="{319F698C-22C3-4464-9338-C389FCA3FB61}"/>
    <cellStyle name="60% - Ênfase6 12 4 2" xfId="3004" xr:uid="{4B239554-8EE5-4B73-AA3E-F7611E7A3875}"/>
    <cellStyle name="60% - Ênfase6 12 5" xfId="2077" xr:uid="{12222B21-E3B6-49A3-B6C8-DC43B97B81A3}"/>
    <cellStyle name="60% - Ênfase6 13" xfId="285" xr:uid="{1F220838-F3B0-40B5-BDAE-9E75CA6A3A0F}"/>
    <cellStyle name="60% - Ênfase6 13 2" xfId="891" xr:uid="{575FC7EC-65AB-40CB-AF25-8A6C12198725}"/>
    <cellStyle name="60% - Ênfase6 13 2 2" xfId="1494" xr:uid="{F0436893-817B-405B-B175-C683724B6A55}"/>
    <cellStyle name="60% - Ênfase6 13 2 2 2" xfId="3346" xr:uid="{F5746479-4950-433B-8A1B-D4BB9DDCCECE}"/>
    <cellStyle name="60% - Ênfase6 13 2 3" xfId="2419" xr:uid="{47F323FB-B6D9-4FA4-9165-7201BBE2D02B}"/>
    <cellStyle name="60% - Ênfase6 13 3" xfId="567" xr:uid="{6AB2EB67-6341-4F56-8D4E-EC24984FE211}"/>
    <cellStyle name="60% - Ênfase6 13 3 2" xfId="1711" xr:uid="{5920FC75-75F6-4470-BC2B-A6E6A827F52A}"/>
    <cellStyle name="60% - Ênfase6 13 3 2 2" xfId="3524" xr:uid="{87BC8549-8CCB-49FD-8ECF-8244E84A4634}"/>
    <cellStyle name="60% - Ênfase6 13 3 3" xfId="2636" xr:uid="{63F7AA35-F9DB-4BA4-8A9D-ED7F5AD06532}"/>
    <cellStyle name="60% - Ênfase6 13 4" xfId="1172" xr:uid="{E4CC063F-FB93-480B-8206-55D6DA3FDF3A}"/>
    <cellStyle name="60% - Ênfase6 13 4 2" xfId="3024" xr:uid="{70BC0C93-1B33-483F-960C-32EC0176A104}"/>
    <cellStyle name="60% - Ênfase6 13 5" xfId="2097" xr:uid="{488F0DD5-0C4A-4FD9-9564-9CB6B8EAF0CD}"/>
    <cellStyle name="60% - Ênfase6 14" xfId="305" xr:uid="{55384C32-71C1-41B8-9A3F-716381FEF7C8}"/>
    <cellStyle name="60% - Ênfase6 14 2" xfId="911" xr:uid="{6710AB44-5DBC-4E41-99BA-A5C86F04C143}"/>
    <cellStyle name="60% - Ênfase6 14 2 2" xfId="1514" xr:uid="{319376F7-0279-46EF-992A-431BED8E18B4}"/>
    <cellStyle name="60% - Ênfase6 14 2 2 2" xfId="3366" xr:uid="{66E41792-52E4-4C12-9825-12778A682E01}"/>
    <cellStyle name="60% - Ênfase6 14 2 3" xfId="2439" xr:uid="{6DDA5A2B-390E-402E-8017-61A5235DD1C0}"/>
    <cellStyle name="60% - Ênfase6 14 3" xfId="587" xr:uid="{E52C9EC9-A7A2-4572-8B94-1138CB7CA70F}"/>
    <cellStyle name="60% - Ênfase6 14 3 2" xfId="1566" xr:uid="{8FEA3EB6-80EC-4412-A83F-F7788508E343}"/>
    <cellStyle name="60% - Ênfase6 14 3 2 2" xfId="3418" xr:uid="{D1A6B355-9DE1-4E38-ACE0-2AAB73E7DD00}"/>
    <cellStyle name="60% - Ênfase6 14 3 3" xfId="2491" xr:uid="{E7AACF1B-B361-4602-8BDB-0EEDD1F5C9B3}"/>
    <cellStyle name="60% - Ênfase6 14 4" xfId="1192" xr:uid="{D3E8B96E-0AE4-41C8-9AE8-E77D75DB52CA}"/>
    <cellStyle name="60% - Ênfase6 14 4 2" xfId="3044" xr:uid="{A04A2F1D-765A-43F4-8541-9CAE528C8125}"/>
    <cellStyle name="60% - Ênfase6 14 5" xfId="2117" xr:uid="{F4AC19C3-22C3-4470-947A-813A106210CA}"/>
    <cellStyle name="60% - Ênfase6 15" xfId="607" xr:uid="{F71D9B2E-D5F9-4F4E-9664-93BE7AD773E4}"/>
    <cellStyle name="60% - Ênfase6 15 2" xfId="1670" xr:uid="{DAF4F434-F51B-46CB-BBB0-7A1DAAA57596}"/>
    <cellStyle name="60% - Ênfase6 15 2 2" xfId="2595" xr:uid="{6F8F4A82-85AE-4A8B-8E87-F97C2CFC1133}"/>
    <cellStyle name="60% - Ênfase6 15 3" xfId="1212" xr:uid="{B84BBAC0-1CEC-4805-A8EB-46F3ACD6C5B3}"/>
    <cellStyle name="60% - Ênfase6 15 3 2" xfId="3064" xr:uid="{D45703A0-221A-4868-A636-59B103BFA683}"/>
    <cellStyle name="60% - Ênfase6 15 4" xfId="2137" xr:uid="{AA4AB98B-0CF0-4A25-A6F9-7B9F6E51282D}"/>
    <cellStyle name="60% - Ênfase6 16" xfId="627" xr:uid="{D94FEBAE-0337-46AF-B294-D8284B2C6E23}"/>
    <cellStyle name="60% - Ênfase6 16 2" xfId="1690" xr:uid="{6CF887E6-B829-484D-B095-B9068CA69231}"/>
    <cellStyle name="60% - Ênfase6 16 2 2" xfId="2615" xr:uid="{F3F180E7-DD7E-4423-BC6C-2696AFB44A24}"/>
    <cellStyle name="60% - Ênfase6 16 3" xfId="1232" xr:uid="{B8E403DE-16F6-458B-8D8D-329D670E45F3}"/>
    <cellStyle name="60% - Ênfase6 16 3 2" xfId="3084" xr:uid="{BBDFDDEB-D211-4FCC-B1A3-6DEDF1D97C36}"/>
    <cellStyle name="60% - Ênfase6 16 4" xfId="2157" xr:uid="{491F2E27-523B-40F5-A0EF-BBFF2B62B36E}"/>
    <cellStyle name="60% - Ênfase6 17" xfId="647" xr:uid="{11650B38-034E-4417-B607-9EEE4D19E71B}"/>
    <cellStyle name="60% - Ênfase6 17 2" xfId="1251" xr:uid="{C2590897-BD4C-4877-B090-77317B8B8618}"/>
    <cellStyle name="60% - Ênfase6 17 2 2" xfId="3103" xr:uid="{DF80740D-A9E2-4F1A-B399-4C64D1AA65D4}"/>
    <cellStyle name="60% - Ênfase6 17 3" xfId="2176" xr:uid="{DE2E35AB-74B4-467D-9A5C-8055B9A1B263}"/>
    <cellStyle name="60% - Ênfase6 18" xfId="324" xr:uid="{9EDB95C9-E6E5-490E-89A5-B42988CE7A5A}"/>
    <cellStyle name="60% - Ênfase6 18 2" xfId="1739" xr:uid="{844B7299-5A66-4FB8-A51A-0EB02735ECC0}"/>
    <cellStyle name="60% - Ênfase6 18 2 2" xfId="3552" xr:uid="{497FC19E-F724-4C05-97A1-CB18403DF392}"/>
    <cellStyle name="60% - Ênfase6 18 3" xfId="2664" xr:uid="{4EF94972-28DF-4D94-B23E-DD1CD9BF3FA8}"/>
    <cellStyle name="60% - Ênfase6 19" xfId="929" xr:uid="{B05F1FA4-B12E-477D-B126-BA6930CD66BE}"/>
    <cellStyle name="60% - Ênfase6 19 2" xfId="2781" xr:uid="{CB0E3844-6F6B-4A6C-A568-74DBD8099632}"/>
    <cellStyle name="60% - Ênfase6 2" xfId="64" xr:uid="{8CD7B364-2EC8-4CBE-86C6-BB859D0FBB58}"/>
    <cellStyle name="60% - Ênfase6 2 2" xfId="670" xr:uid="{8B078E26-AC9C-4D3B-B1FB-DABE5C052628}"/>
    <cellStyle name="60% - Ênfase6 2 2 2" xfId="1273" xr:uid="{0535351C-B0CF-4B7C-8E69-0708D83627F8}"/>
    <cellStyle name="60% - Ênfase6 2 2 2 2" xfId="3125" xr:uid="{A9C54BEA-2417-4636-91B6-4DCF42640E13}"/>
    <cellStyle name="60% - Ênfase6 2 2 3" xfId="2198" xr:uid="{863BA95F-F44E-45B6-9969-A37FBA014C6D}"/>
    <cellStyle name="60% - Ênfase6 2 3" xfId="346" xr:uid="{080B7E39-7E9F-4131-A0F8-71494C99D99B}"/>
    <cellStyle name="60% - Ênfase6 2 3 2" xfId="1591" xr:uid="{F6D6BB22-9520-4B69-9F62-045B18FF960A}"/>
    <cellStyle name="60% - Ênfase6 2 3 2 2" xfId="3443" xr:uid="{3E574765-3FC1-49C4-8503-4ADF7DBBCB36}"/>
    <cellStyle name="60% - Ênfase6 2 3 3" xfId="2516" xr:uid="{6430CFEB-AF88-43AF-8C3E-67F348EAC69E}"/>
    <cellStyle name="60% - Ênfase6 2 4" xfId="951" xr:uid="{D9710052-1A22-46B4-8F17-C377F603963A}"/>
    <cellStyle name="60% - Ênfase6 2 4 2" xfId="2803" xr:uid="{BAD1180E-3C4C-4FF4-B3A8-4E4BA8B73467}"/>
    <cellStyle name="60% - Ênfase6 2 5" xfId="1876" xr:uid="{503FC3A3-5451-4B67-8539-D09C983EF7F8}"/>
    <cellStyle name="60% - Ênfase6 20" xfId="1854" xr:uid="{1E6EA5D1-A68C-4D35-8CA8-7811DE7DF630}"/>
    <cellStyle name="60% - Ênfase6 3" xfId="82" xr:uid="{6A7AC104-6670-4EC4-ADCB-BE92FA13E8D2}"/>
    <cellStyle name="60% - Ênfase6 3 2" xfId="688" xr:uid="{49E2866D-9809-41A7-9A66-DB264267D3A9}"/>
    <cellStyle name="60% - Ênfase6 3 2 2" xfId="1291" xr:uid="{3AD46832-0B7F-4155-9997-AD82F2A5B054}"/>
    <cellStyle name="60% - Ênfase6 3 2 2 2" xfId="3143" xr:uid="{345319AB-364C-4B36-971E-6AF521566410}"/>
    <cellStyle name="60% - Ênfase6 3 2 3" xfId="2216" xr:uid="{6D3858B9-5730-48D6-B595-1BBAAC4FECF9}"/>
    <cellStyle name="60% - Ênfase6 3 3" xfId="364" xr:uid="{93545CB2-C273-4A17-AAFB-BC0E399BB244}"/>
    <cellStyle name="60% - Ênfase6 3 3 2" xfId="1832" xr:uid="{DFAF3C80-31B6-4809-804A-8B0080797EA5}"/>
    <cellStyle name="60% - Ênfase6 3 3 2 2" xfId="3645" xr:uid="{3B4EFE1D-4B55-454F-A0F2-5874F2466D40}"/>
    <cellStyle name="60% - Ênfase6 3 3 3" xfId="2757" xr:uid="{9144A04D-B29C-432C-847A-4CA15B577276}"/>
    <cellStyle name="60% - Ênfase6 3 4" xfId="969" xr:uid="{8D3D52C7-7F1C-4E58-A2CA-907B3B884202}"/>
    <cellStyle name="60% - Ênfase6 3 4 2" xfId="2821" xr:uid="{8DA66920-87A2-4689-BB73-0D3FC6A805FF}"/>
    <cellStyle name="60% - Ênfase6 3 5" xfId="1894" xr:uid="{FD28A6E6-028C-404A-8B9B-B9B7D0C4A39F}"/>
    <cellStyle name="60% - Ênfase6 4" xfId="104" xr:uid="{D147BD1A-6F53-4F9F-9912-C6C9875F7BA3}"/>
    <cellStyle name="60% - Ênfase6 4 2" xfId="710" xr:uid="{981D222D-2539-44AB-B5F5-6B4403981248}"/>
    <cellStyle name="60% - Ênfase6 4 2 2" xfId="1313" xr:uid="{6C51FD70-1445-4017-B486-811D7B551D6B}"/>
    <cellStyle name="60% - Ênfase6 4 2 2 2" xfId="3165" xr:uid="{5791CC8A-5842-4168-A023-63AC43E445F0}"/>
    <cellStyle name="60% - Ênfase6 4 2 3" xfId="2238" xr:uid="{BCB28E40-B485-4A79-8431-D2189A3CC6F2}"/>
    <cellStyle name="60% - Ênfase6 4 3" xfId="386" xr:uid="{DDB08616-351E-4F18-9A94-33107747499F}"/>
    <cellStyle name="60% - Ênfase6 4 3 2" xfId="1583" xr:uid="{27F24DE2-12AA-4980-A0FB-E4D4316C4530}"/>
    <cellStyle name="60% - Ênfase6 4 3 2 2" xfId="3435" xr:uid="{D6858053-5F63-4171-A624-F17AB76A5F35}"/>
    <cellStyle name="60% - Ênfase6 4 3 3" xfId="2508" xr:uid="{41FA9069-149C-4E1F-8780-984A6168DBD3}"/>
    <cellStyle name="60% - Ênfase6 4 4" xfId="991" xr:uid="{C3FE494C-09FC-40E9-BC3F-DAA80E38F799}"/>
    <cellStyle name="60% - Ênfase6 4 4 2" xfId="2843" xr:uid="{713BCB46-2737-489B-AF95-48CF9FA079BD}"/>
    <cellStyle name="60% - Ênfase6 4 5" xfId="1916" xr:uid="{017B7930-0116-4A08-833B-F2BDF86B2907}"/>
    <cellStyle name="60% - Ênfase6 5" xfId="124" xr:uid="{BDB74E1A-5538-4034-83C8-CEEB685EDBB9}"/>
    <cellStyle name="60% - Ênfase6 5 2" xfId="730" xr:uid="{12436612-394C-45BB-A6C2-CBCEEDAACCEE}"/>
    <cellStyle name="60% - Ênfase6 5 2 2" xfId="1333" xr:uid="{9EB00BED-73A5-4E49-AB71-CAA95FF5192C}"/>
    <cellStyle name="60% - Ênfase6 5 2 2 2" xfId="3185" xr:uid="{0FB6C8EC-67BB-4724-8E65-A148DFC3C7D7}"/>
    <cellStyle name="60% - Ênfase6 5 2 3" xfId="2258" xr:uid="{B014CDAA-51D0-4F3A-93C3-70D867EC1079}"/>
    <cellStyle name="60% - Ênfase6 5 3" xfId="406" xr:uid="{55A1C3ED-FD99-460A-ACCA-BEBB1CE3DB04}"/>
    <cellStyle name="60% - Ênfase6 5 3 2" xfId="1736" xr:uid="{948CA513-06BE-48EF-A29B-D809AF0E03BB}"/>
    <cellStyle name="60% - Ênfase6 5 3 2 2" xfId="3549" xr:uid="{96284664-4678-4FAC-A001-6AC00BD594B9}"/>
    <cellStyle name="60% - Ênfase6 5 3 3" xfId="2661" xr:uid="{5B778D93-5213-404F-854F-A2EF7E67BA6B}"/>
    <cellStyle name="60% - Ênfase6 5 4" xfId="1011" xr:uid="{D29EAD97-8CC0-4735-8404-363F048DDDBD}"/>
    <cellStyle name="60% - Ênfase6 5 4 2" xfId="2863" xr:uid="{9A3AD40C-7D16-4537-BD22-402DD9DD7935}"/>
    <cellStyle name="60% - Ênfase6 5 5" xfId="1936" xr:uid="{DB5ABF4A-B732-4A16-A3EC-793DDB7F14B4}"/>
    <cellStyle name="60% - Ênfase6 6" xfId="144" xr:uid="{EFB37A44-694A-4974-AF5B-09E47116CA90}"/>
    <cellStyle name="60% - Ênfase6 6 2" xfId="750" xr:uid="{A28E63DA-1281-4A2E-895C-D641B1705E84}"/>
    <cellStyle name="60% - Ênfase6 6 2 2" xfId="1353" xr:uid="{590ED896-AE7A-4A45-B300-44981D4DBF62}"/>
    <cellStyle name="60% - Ênfase6 6 2 2 2" xfId="3205" xr:uid="{BE22699B-DA69-4F51-ADBE-EADF7C91232E}"/>
    <cellStyle name="60% - Ênfase6 6 2 3" xfId="2278" xr:uid="{709D3B19-825C-4D47-9837-737237014F88}"/>
    <cellStyle name="60% - Ênfase6 6 3" xfId="426" xr:uid="{082DC916-8417-424E-B859-906DFC5F1F29}"/>
    <cellStyle name="60% - Ênfase6 6 3 2" xfId="1774" xr:uid="{3DE38E63-A8D9-491D-92CE-DE2B704C2AEB}"/>
    <cellStyle name="60% - Ênfase6 6 3 2 2" xfId="3587" xr:uid="{45DC1ECA-0C23-4CEE-95DC-D16A88B0A0F3}"/>
    <cellStyle name="60% - Ênfase6 6 3 3" xfId="2699" xr:uid="{998CF28C-4A18-4538-825B-0B455D9E0A58}"/>
    <cellStyle name="60% - Ênfase6 6 4" xfId="1031" xr:uid="{C7867F24-3814-4541-A8AD-ED143272F320}"/>
    <cellStyle name="60% - Ênfase6 6 4 2" xfId="2883" xr:uid="{56ED5C4F-CB47-4A0B-8D3B-3C9FB64D00B7}"/>
    <cellStyle name="60% - Ênfase6 6 5" xfId="1956" xr:uid="{AE5F7EC1-FF05-4B3C-84F7-AA037708B178}"/>
    <cellStyle name="60% - Ênfase6 7" xfId="164" xr:uid="{207A0BA8-AA79-4E2E-98CE-FD519B02AF8D}"/>
    <cellStyle name="60% - Ênfase6 7 2" xfId="770" xr:uid="{BC197265-E932-48E1-8E69-C4D05AF554AA}"/>
    <cellStyle name="60% - Ênfase6 7 2 2" xfId="1373" xr:uid="{E8517688-D6C4-426B-9CFC-4A1644962E72}"/>
    <cellStyle name="60% - Ênfase6 7 2 2 2" xfId="3225" xr:uid="{C7B42ACF-4D3C-4D72-84E3-AAE3AEC00DB4}"/>
    <cellStyle name="60% - Ênfase6 7 2 3" xfId="2298" xr:uid="{596618BD-8935-4BBB-A2F2-2F99213002E1}"/>
    <cellStyle name="60% - Ênfase6 7 3" xfId="446" xr:uid="{CA9225A4-9D43-499F-838C-0E1C4D8FB4D3}"/>
    <cellStyle name="60% - Ênfase6 7 3 2" xfId="1729" xr:uid="{67E2845F-6649-46C1-B6D1-BB33A4B52592}"/>
    <cellStyle name="60% - Ênfase6 7 3 2 2" xfId="3542" xr:uid="{0A3FF320-FCE1-413C-A318-9B64293B4B3D}"/>
    <cellStyle name="60% - Ênfase6 7 3 3" xfId="2654" xr:uid="{6824A3E9-FC4A-48A1-A2F1-EBFE1E210099}"/>
    <cellStyle name="60% - Ênfase6 7 4" xfId="1051" xr:uid="{8E785F21-2420-4747-AEA9-18D5D7794B2A}"/>
    <cellStyle name="60% - Ênfase6 7 4 2" xfId="2903" xr:uid="{5B0F9D2C-7551-4794-9035-E638E4665E1A}"/>
    <cellStyle name="60% - Ênfase6 7 5" xfId="1976" xr:uid="{96919558-ABE7-4BCE-9D6C-CD6697A9CFFF}"/>
    <cellStyle name="60% - Ênfase6 8" xfId="184" xr:uid="{3058F36B-A2FD-4BA3-9EBE-D2537874A396}"/>
    <cellStyle name="60% - Ênfase6 8 2" xfId="790" xr:uid="{2368118E-D538-488C-B37E-4EBD7F4C05E5}"/>
    <cellStyle name="60% - Ênfase6 8 2 2" xfId="1393" xr:uid="{445F4C77-8C8E-4713-9253-B7D0D31FF96E}"/>
    <cellStyle name="60% - Ênfase6 8 2 2 2" xfId="3245" xr:uid="{6FC8FA22-7022-4DEA-B12E-C5A45C47703A}"/>
    <cellStyle name="60% - Ênfase6 8 2 3" xfId="2318" xr:uid="{E4ABACD5-5C8D-4C25-B5BF-078D859FC9EE}"/>
    <cellStyle name="60% - Ênfase6 8 3" xfId="466" xr:uid="{DAB174F4-07E3-4189-AC2E-76522173E17D}"/>
    <cellStyle name="60% - Ênfase6 8 3 2" xfId="1565" xr:uid="{09569B6E-428D-4B5B-AEDA-B14ADE90C3EA}"/>
    <cellStyle name="60% - Ênfase6 8 3 2 2" xfId="3417" xr:uid="{E4239AA7-B0A9-4B2A-A7EE-E540EDCF8030}"/>
    <cellStyle name="60% - Ênfase6 8 3 3" xfId="2490" xr:uid="{56D86371-C934-4D81-BB31-814321B6E9BD}"/>
    <cellStyle name="60% - Ênfase6 8 4" xfId="1071" xr:uid="{11400FF7-6034-4CBA-9410-2ED7C2FB2F85}"/>
    <cellStyle name="60% - Ênfase6 8 4 2" xfId="2923" xr:uid="{BC6EE999-7823-414C-8AEE-2365C4E2200B}"/>
    <cellStyle name="60% - Ênfase6 8 5" xfId="1996" xr:uid="{ABAB4DBD-F89B-48D8-AE37-16E0FAA14594}"/>
    <cellStyle name="60% - Ênfase6 9" xfId="204" xr:uid="{C85EC72B-5563-48CD-925A-282CBBF5EE50}"/>
    <cellStyle name="60% - Ênfase6 9 2" xfId="810" xr:uid="{3D3DF609-09DB-456C-AB24-4317C7280B72}"/>
    <cellStyle name="60% - Ênfase6 9 2 2" xfId="1413" xr:uid="{AD8E303F-8CA6-45EC-9D91-AB4ACD985F6F}"/>
    <cellStyle name="60% - Ênfase6 9 2 2 2" xfId="3265" xr:uid="{89085F03-AF79-4DB1-AA8B-58EACE51E3A3}"/>
    <cellStyle name="60% - Ênfase6 9 2 3" xfId="2338" xr:uid="{78BEB77D-E431-4904-9DBE-CCEEF1A809D4}"/>
    <cellStyle name="60% - Ênfase6 9 3" xfId="486" xr:uid="{D50CEE2E-7306-4FAD-A69C-5804D8BC4906}"/>
    <cellStyle name="60% - Ênfase6 9 3 2" xfId="1810" xr:uid="{37007731-B3C1-4F8A-9FF1-91C6B1ACF2C8}"/>
    <cellStyle name="60% - Ênfase6 9 3 2 2" xfId="3623" xr:uid="{3DB54B20-482F-4573-9FBC-5033D5609D4F}"/>
    <cellStyle name="60% - Ênfase6 9 3 3" xfId="2735" xr:uid="{AB5AD145-3143-43FD-877D-F2533FC5514C}"/>
    <cellStyle name="60% - Ênfase6 9 4" xfId="1091" xr:uid="{721689C6-DEC5-4FC3-ACC4-C7F37B87D55D}"/>
    <cellStyle name="60% - Ênfase6 9 4 2" xfId="2943" xr:uid="{4A9592F2-AB83-4719-9778-EF69F45AF54A}"/>
    <cellStyle name="60% - Ênfase6 9 5" xfId="2016" xr:uid="{A6FE5587-5F27-4073-8AC6-0F05ED578CA1}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10" builtinId="20" customBuiltin="1"/>
    <cellStyle name="Moeda" xfId="1" builtinId="4"/>
    <cellStyle name="Moeda 2" xfId="205" xr:uid="{C358B1E8-6321-4A56-A04C-2BBCA7DE998D}"/>
    <cellStyle name="Moeda 2 2" xfId="811" xr:uid="{04BF5AE7-4C52-4C0B-B968-27BE137ECF8E}"/>
    <cellStyle name="Moeda 2 2 2" xfId="1836" xr:uid="{0001ED41-B4C8-4A29-802E-3BC6B5A334AE}"/>
    <cellStyle name="Moeda 2 2 2 2" xfId="3649" xr:uid="{DD0086DD-6118-4E16-ADDC-C4C594A3CC9C}"/>
    <cellStyle name="Moeda 2 2 3" xfId="2761" xr:uid="{D5E3CC3C-3AF2-4F0F-8767-387327801B58}"/>
    <cellStyle name="Moeda 2 3" xfId="1414" xr:uid="{E18A11C7-0BA6-4464-B54D-B9FBCF8A0A24}"/>
    <cellStyle name="Moeda 2 3 2" xfId="3266" xr:uid="{C54F4AB2-CEED-4DB8-89E0-D822D5AAD322}"/>
    <cellStyle name="Moeda 2 4" xfId="2339" xr:uid="{636AB726-2EA3-44A5-86B3-BB84F927F040}"/>
    <cellStyle name="Moeda 3" xfId="629" xr:uid="{B1BFCDC7-A72B-432D-A8F1-A94B5773C2C7}"/>
    <cellStyle name="Moeda 3 2" xfId="1233" xr:uid="{17E9CBD4-67B9-448C-8A93-84AFB648914C}"/>
    <cellStyle name="Moeda 3 2 2" xfId="3085" xr:uid="{C3C25C0C-4285-44CA-9A70-ABA45121601D}"/>
    <cellStyle name="Moeda 3 3" xfId="2158" xr:uid="{E5D8CEAE-F977-48BF-A614-F6898B13EEA7}"/>
    <cellStyle name="Moeda 4" xfId="487" xr:uid="{2EB8865E-E2B5-4DEA-BE4B-5F28CE28507E}"/>
    <cellStyle name="Moeda 4 2" xfId="1609" xr:uid="{4C2CF24D-E450-442B-B372-4845345A59C3}"/>
    <cellStyle name="Moeda 4 2 2" xfId="3461" xr:uid="{BA71DB8D-BBD8-4F36-93F4-7F1B81B60952}"/>
    <cellStyle name="Moeda 4 3" xfId="2534" xr:uid="{D1695CDA-8D65-4BC8-ABD8-7207CBE90E91}"/>
    <cellStyle name="Moeda 5" xfId="1092" xr:uid="{825002CC-6326-4646-8669-9F227DCB3449}"/>
    <cellStyle name="Moeda 5 2" xfId="2944" xr:uid="{6206E047-D0D2-44AB-87CE-376BF94F2B9A}"/>
    <cellStyle name="Moeda 6" xfId="2762" xr:uid="{FF68B8DE-F5DD-4AB3-9D71-8E5C51A6BFDC}"/>
    <cellStyle name="Moeda 7" xfId="2017" xr:uid="{4B297EE6-1FE0-4B43-AB8D-AAC13FEC47E6}"/>
    <cellStyle name="Neutro" xfId="9" builtinId="28" customBuiltin="1"/>
    <cellStyle name="Normal" xfId="0" builtinId="0"/>
    <cellStyle name="Normal 10" xfId="206" xr:uid="{52EA8688-6ABA-4B27-BCF4-85A44BB10618}"/>
    <cellStyle name="Normal 10 2" xfId="812" xr:uid="{719DF5A5-CC09-4DE7-ABCD-93C6CDB7390A}"/>
    <cellStyle name="Normal 10 2 2" xfId="1415" xr:uid="{343EA8FA-37D1-4E91-BD19-7F6B13AA729E}"/>
    <cellStyle name="Normal 10 2 2 2" xfId="3267" xr:uid="{FA23F90C-F025-4C2C-AC73-87664B6BE509}"/>
    <cellStyle name="Normal 10 2 3" xfId="2340" xr:uid="{8B3BCAE1-0726-4327-B7B5-5C0288C29628}"/>
    <cellStyle name="Normal 10 3" xfId="488" xr:uid="{3131942F-234D-48C2-82DF-02A388749FAB}"/>
    <cellStyle name="Normal 10 3 2" xfId="1695" xr:uid="{3BAB2BFD-AF21-4092-99B9-429059F99EF1}"/>
    <cellStyle name="Normal 10 3 2 2" xfId="3508" xr:uid="{E8962B94-6D14-4F4A-AC06-80142999C4D1}"/>
    <cellStyle name="Normal 10 3 3" xfId="2620" xr:uid="{11B480C6-74F9-4D1B-AB4B-8A9623C529DC}"/>
    <cellStyle name="Normal 10 4" xfId="1093" xr:uid="{FE7715F2-289C-429A-9653-94BB4E0D837D}"/>
    <cellStyle name="Normal 10 4 2" xfId="2945" xr:uid="{F75D653A-CB31-487D-8C29-DB151C0A4CCE}"/>
    <cellStyle name="Normal 10 5" xfId="2018" xr:uid="{979D6D1C-D5F3-46B0-9A59-6C8AA3DF6EB4}"/>
    <cellStyle name="Normal 11" xfId="226" xr:uid="{A24BD1A0-2FCB-4B94-A3C1-1D6D2361AC60}"/>
    <cellStyle name="Normal 11 2" xfId="832" xr:uid="{BDA17EAB-CCFF-4EFE-8995-308569C1C453}"/>
    <cellStyle name="Normal 11 2 2" xfId="1435" xr:uid="{95A1D00B-41A5-46E9-98C3-7656134B778A}"/>
    <cellStyle name="Normal 11 2 2 2" xfId="3287" xr:uid="{F433C396-6A22-4FCF-B4BB-E1EB2D5ADA71}"/>
    <cellStyle name="Normal 11 2 3" xfId="2360" xr:uid="{073D886B-EDED-4691-BE5A-1C1111153B64}"/>
    <cellStyle name="Normal 11 3" xfId="508" xr:uid="{F2DBA547-A24A-4FFF-9F7A-7CCFAF712EAE}"/>
    <cellStyle name="Normal 11 3 2" xfId="1750" xr:uid="{EE306929-2B97-48CB-9A87-666E5AF3F84A}"/>
    <cellStyle name="Normal 11 3 2 2" xfId="3563" xr:uid="{06682BE0-62CC-425F-AB06-EC8D54FE4797}"/>
    <cellStyle name="Normal 11 3 3" xfId="2675" xr:uid="{474D0A94-DAA9-45FB-943D-E55EB33E10DE}"/>
    <cellStyle name="Normal 11 4" xfId="1113" xr:uid="{4B75BC05-B609-47E1-BA04-9B1C114C3DC4}"/>
    <cellStyle name="Normal 11 4 2" xfId="2965" xr:uid="{08AA2664-36AF-4766-9735-54ECEB107F7C}"/>
    <cellStyle name="Normal 11 5" xfId="2038" xr:uid="{640F88F6-7E1C-47A8-884C-E104179A9DA4}"/>
    <cellStyle name="Normal 12" xfId="246" xr:uid="{8286CE3E-B487-4D18-9225-164EA4DF7A81}"/>
    <cellStyle name="Normal 12 2" xfId="852" xr:uid="{B109D0DC-8952-4D2C-852C-6A0607ADD227}"/>
    <cellStyle name="Normal 12 2 2" xfId="1455" xr:uid="{4014FC7A-A07D-48E7-B8CB-666D4476EA27}"/>
    <cellStyle name="Normal 12 2 2 2" xfId="3307" xr:uid="{F7F116B9-ECC3-4A07-8611-55BAB9F825B0}"/>
    <cellStyle name="Normal 12 2 3" xfId="2380" xr:uid="{A7907DBB-200E-4341-83F0-C378EF2A88C4}"/>
    <cellStyle name="Normal 12 3" xfId="528" xr:uid="{3DB32697-6338-41D6-85EE-4D48BEDF4ED7}"/>
    <cellStyle name="Normal 12 3 2" xfId="1733" xr:uid="{0693719D-5786-4B35-A336-3DF03743E392}"/>
    <cellStyle name="Normal 12 3 2 2" xfId="3546" xr:uid="{DABF65AE-ED0A-4BBC-BDCA-1C682EB88BC9}"/>
    <cellStyle name="Normal 12 3 3" xfId="2658" xr:uid="{290E2107-9512-44B9-9BF3-468A424A6EF0}"/>
    <cellStyle name="Normal 12 4" xfId="1133" xr:uid="{BDB8DFFE-9A05-4CEE-8F7C-EBEB114DBF45}"/>
    <cellStyle name="Normal 12 4 2" xfId="2985" xr:uid="{EC2030EC-2948-4577-98E5-0B4B271711ED}"/>
    <cellStyle name="Normal 12 5" xfId="2058" xr:uid="{126134B5-C975-44C8-B0D5-B3DBF1D235D0}"/>
    <cellStyle name="Normal 13" xfId="266" xr:uid="{1271FFD7-90A6-46A3-8696-71EF5D0D6E8A}"/>
    <cellStyle name="Normal 13 2" xfId="872" xr:uid="{626EB6C4-2E2D-4E89-B160-AF35DCF91755}"/>
    <cellStyle name="Normal 13 2 2" xfId="1475" xr:uid="{A7EC8E44-C909-4D5B-9EE7-6D03CAA4E276}"/>
    <cellStyle name="Normal 13 2 2 2" xfId="3327" xr:uid="{85E4E86F-126B-4103-9DDC-70F571298CC8}"/>
    <cellStyle name="Normal 13 2 3" xfId="2400" xr:uid="{10018E62-6210-4EE6-B86E-76E3BCE0894E}"/>
    <cellStyle name="Normal 13 3" xfId="548" xr:uid="{9D4F3F79-31FE-438A-90B7-7841570ED940}"/>
    <cellStyle name="Normal 13 3 2" xfId="1579" xr:uid="{CFAF4004-4272-4C95-A67F-D6076E70DB9B}"/>
    <cellStyle name="Normal 13 3 2 2" xfId="3431" xr:uid="{1281AF68-E6EC-4614-95E1-4A410A6D2A45}"/>
    <cellStyle name="Normal 13 3 3" xfId="2504" xr:uid="{7AAB7B6E-8498-4EAA-A82E-996057CE3406}"/>
    <cellStyle name="Normal 13 4" xfId="1153" xr:uid="{5BBB839E-E2BA-4E8A-9299-47E7B2DB0695}"/>
    <cellStyle name="Normal 13 4 2" xfId="3005" xr:uid="{B03F2813-234F-4819-BDDD-D2FBA0C39A92}"/>
    <cellStyle name="Normal 13 5" xfId="2078" xr:uid="{CA8A4D3B-8821-4F86-B032-F21BA00F60BF}"/>
    <cellStyle name="Normal 14" xfId="286" xr:uid="{C12884F1-AFE4-47F2-AE46-471EA1046DF6}"/>
    <cellStyle name="Normal 14 2" xfId="892" xr:uid="{019E9F45-753E-43A3-9A08-CEF91BD5CDD2}"/>
    <cellStyle name="Normal 14 2 2" xfId="1495" xr:uid="{38313C51-D900-418B-8A7A-B31550A3FF72}"/>
    <cellStyle name="Normal 14 2 2 2" xfId="3347" xr:uid="{7F811A07-FE66-4D8D-BA12-70ED3819E215}"/>
    <cellStyle name="Normal 14 2 3" xfId="2420" xr:uid="{F5A3D9B1-88F4-4990-9003-941BC5582D1A}"/>
    <cellStyle name="Normal 14 3" xfId="568" xr:uid="{137F51E8-0294-4BF9-84A1-631353926072}"/>
    <cellStyle name="Normal 14 3 2" xfId="1529" xr:uid="{2F1BDE2C-1C7B-4D50-82D1-DE6B6236D5E1}"/>
    <cellStyle name="Normal 14 3 2 2" xfId="3381" xr:uid="{A737E654-67B9-4A7C-89FE-2B2E4F013099}"/>
    <cellStyle name="Normal 14 3 3" xfId="2454" xr:uid="{F0AFB4A5-EE13-42B4-8D96-3C7257A8BE7E}"/>
    <cellStyle name="Normal 14 4" xfId="1173" xr:uid="{29B48E3F-BE6A-4CF4-8E26-B553756D9FB2}"/>
    <cellStyle name="Normal 14 4 2" xfId="3025" xr:uid="{5795A64C-05E9-422A-9F43-10C948CB7B4E}"/>
    <cellStyle name="Normal 14 5" xfId="2098" xr:uid="{C90A0426-A83E-4BC0-91C8-509250F0704F}"/>
    <cellStyle name="Normal 15" xfId="42" xr:uid="{AD793E29-C3B8-42B2-8CE8-34F41C7C44EC}"/>
    <cellStyle name="Normal 15 2" xfId="648" xr:uid="{2889E66B-CB0B-476E-A6E4-7179944ABE65}"/>
    <cellStyle name="Normal 15 3" xfId="588" xr:uid="{D6F07341-AC0C-48DE-83B1-E499C234350F}"/>
    <cellStyle name="Normal 15 3 2" xfId="1651" xr:uid="{8B0C9EAA-F9FF-4A85-B59F-1B5099D407C4}"/>
    <cellStyle name="Normal 15 3 2 2" xfId="3503" xr:uid="{75CD6D88-386F-4452-905E-0395BBC81FCC}"/>
    <cellStyle name="Normal 15 3 3" xfId="2576" xr:uid="{8B667070-8338-4E41-80CD-18B49F05D603}"/>
    <cellStyle name="Normal 15 4" xfId="1193" xr:uid="{D4D5645C-9689-49AD-B108-526B018AFBB7}"/>
    <cellStyle name="Normal 15 4 2" xfId="3045" xr:uid="{8CD23715-BB22-42D3-8300-215D64B31A88}"/>
    <cellStyle name="Normal 15 5" xfId="2118" xr:uid="{4E0741F9-2082-4556-9955-E55A3060F690}"/>
    <cellStyle name="Normal 16" xfId="608" xr:uid="{C7286E5F-F2A7-4715-91BF-F126D0CD098D}"/>
    <cellStyle name="Normal 16 2" xfId="1671" xr:uid="{BCECC0C6-1751-4906-89B7-2CE54F72E2E1}"/>
    <cellStyle name="Normal 16 2 2" xfId="2596" xr:uid="{A9833B1E-D1AA-42DE-82CD-32617E34B36A}"/>
    <cellStyle name="Normal 16 3" xfId="1213" xr:uid="{BA6C4435-3CB7-44F0-8C7D-BFCE2FE14F78}"/>
    <cellStyle name="Normal 16 3 2" xfId="3065" xr:uid="{BC01435B-A6C4-4421-A8FD-D20ACB592003}"/>
    <cellStyle name="Normal 16 4" xfId="2138" xr:uid="{15E52CB0-14C5-4887-A58F-80059C626EA2}"/>
    <cellStyle name="Normal 17" xfId="628" xr:uid="{F79F9B41-3A63-4E4B-BAE0-7247CCE16E0E}"/>
    <cellStyle name="Normal 18" xfId="306" xr:uid="{0C9EC187-A426-4B0A-83BE-5A5B8CD3C21C}"/>
    <cellStyle name="Normal 19" xfId="2763" xr:uid="{A1B4905A-3000-4B5B-97E3-1A025C393BF9}"/>
    <cellStyle name="Normal 2" xfId="43" xr:uid="{D9D5843D-53D9-4FE9-A127-F7FB1393AC7F}"/>
    <cellStyle name="Normal 2 2" xfId="83" xr:uid="{1326CB81-CE8E-45D3-BACD-C3FEA76E6A23}"/>
    <cellStyle name="Normal 2 2 2" xfId="689" xr:uid="{21FC1B28-F0F2-4818-BC70-0A6C2731FF28}"/>
    <cellStyle name="Normal 2 2 2 2" xfId="1292" xr:uid="{731655FB-8817-4C8C-B173-CECCC60B3E6C}"/>
    <cellStyle name="Normal 2 2 2 2 2" xfId="3144" xr:uid="{6DB0965A-3D41-4956-AE49-FAB6AF3A3E3E}"/>
    <cellStyle name="Normal 2 2 2 3" xfId="2217" xr:uid="{E528DE2C-3309-4054-BF65-BCF0B7C09C8F}"/>
    <cellStyle name="Normal 2 2 3" xfId="365" xr:uid="{15ED2303-89ED-4474-99B2-869D9E01E164}"/>
    <cellStyle name="Normal 2 2 3 2" xfId="1619" xr:uid="{0788AACB-7753-427F-861D-E8CEE622B336}"/>
    <cellStyle name="Normal 2 2 3 2 2" xfId="3471" xr:uid="{8A390539-F9FC-4803-91DF-953909EA8C48}"/>
    <cellStyle name="Normal 2 2 3 3" xfId="2544" xr:uid="{DCADBC7C-A056-4E3D-A735-214F8C62D415}"/>
    <cellStyle name="Normal 2 2 4" xfId="970" xr:uid="{ECF787B5-BF4F-4FAB-8BD8-EFBFCAB2C884}"/>
    <cellStyle name="Normal 2 2 4 2" xfId="2822" xr:uid="{7FD7F840-00B4-4E77-A4D1-C7E9B7C87941}"/>
    <cellStyle name="Normal 2 2 5" xfId="1895" xr:uid="{0A7C270A-B6F5-4988-A9AF-2BD6F34467EF}"/>
    <cellStyle name="Normal 2 3" xfId="649" xr:uid="{2CFC7E5A-8BF4-4FCD-9425-37E4C9B6A23C}"/>
    <cellStyle name="Normal 2 3 2" xfId="1252" xr:uid="{FB7231DD-1E67-43CC-958F-2B7258518933}"/>
    <cellStyle name="Normal 2 3 2 2" xfId="3104" xr:uid="{1492BEEB-D983-4EE1-9F26-E6028E6D9BE3}"/>
    <cellStyle name="Normal 2 3 3" xfId="2177" xr:uid="{3EC90885-AD6F-4D4C-854C-75DD97E29689}"/>
    <cellStyle name="Normal 2 4" xfId="325" xr:uid="{F4B5C27C-EE82-4A02-954A-96B1FC0BFCB8}"/>
    <cellStyle name="Normal 2 4 2" xfId="1696" xr:uid="{F93E1438-24FB-40E9-B499-7D6B90FC12B3}"/>
    <cellStyle name="Normal 2 4 2 2" xfId="3509" xr:uid="{2C569F47-BF7C-482A-A975-A8A065983158}"/>
    <cellStyle name="Normal 2 4 3" xfId="2621" xr:uid="{AC9B7461-76E1-4743-B631-262641116569}"/>
    <cellStyle name="Normal 2 5" xfId="930" xr:uid="{3DDE6217-2CA6-430C-81F8-4C111B641DD5}"/>
    <cellStyle name="Normal 2 5 2" xfId="2782" xr:uid="{365446CA-385C-4BF0-B9A0-5C0E81DFCC3A}"/>
    <cellStyle name="Normal 2 6" xfId="1855" xr:uid="{DF21EEB1-73BD-445D-A6AB-436246E4DE4E}"/>
    <cellStyle name="Normal 3" xfId="45" xr:uid="{9ECCD3D0-3993-4A51-A741-4D3024879ABB}"/>
    <cellStyle name="Normal 3 2" xfId="651" xr:uid="{FA54A73A-EEB0-447D-8F13-41860B7E0E17}"/>
    <cellStyle name="Normal 3 2 2" xfId="1254" xr:uid="{501DFF57-73BA-4F5F-9065-43BEF55C80E3}"/>
    <cellStyle name="Normal 3 2 2 2" xfId="3106" xr:uid="{67D4F345-B778-4D6B-8E0F-6D633DED07F3}"/>
    <cellStyle name="Normal 3 2 3" xfId="2179" xr:uid="{68F0E395-301D-42D3-8D1B-63664F1275ED}"/>
    <cellStyle name="Normal 3 3" xfId="327" xr:uid="{FE89BE18-C7B6-4F36-9B51-D5C74AA9CE4E}"/>
    <cellStyle name="Normal 3 3 2" xfId="1775" xr:uid="{26919B35-DC86-45CC-9421-671CB5454589}"/>
    <cellStyle name="Normal 3 3 2 2" xfId="3588" xr:uid="{A1BA8B15-C98F-4993-865A-A4CEDCCB45E3}"/>
    <cellStyle name="Normal 3 3 3" xfId="2700" xr:uid="{377925BA-D1C8-4913-8904-8B715EA27BEA}"/>
    <cellStyle name="Normal 3 4" xfId="932" xr:uid="{A4518AA3-0B4A-4C4C-9CDB-C216282C27F8}"/>
    <cellStyle name="Normal 3 4 2" xfId="2784" xr:uid="{8C2602E3-4D55-4B9F-B843-C01E3A1198BB}"/>
    <cellStyle name="Normal 3 5" xfId="1857" xr:uid="{CAE06799-83FA-4245-B75A-BF92A6607E90}"/>
    <cellStyle name="Normal 4" xfId="85" xr:uid="{02878D3A-0A77-4041-9535-119EBE97DC6B}"/>
    <cellStyle name="Normal 4 2" xfId="691" xr:uid="{6866C87D-7013-4FC4-BE68-806C8DC668E4}"/>
    <cellStyle name="Normal 4 2 2" xfId="1294" xr:uid="{3E11D59E-1BF3-4961-9F99-5C33D77B1A9F}"/>
    <cellStyle name="Normal 4 2 2 2" xfId="3146" xr:uid="{0FF50C7F-9886-47B4-AC5B-4337987394CD}"/>
    <cellStyle name="Normal 4 2 3" xfId="2219" xr:uid="{23A36ADC-E5C0-4322-884F-CF88CA6092A6}"/>
    <cellStyle name="Normal 4 3" xfId="367" xr:uid="{8E6BB195-3B44-4135-98B3-F1F7F728B303}"/>
    <cellStyle name="Normal 4 3 2" xfId="1716" xr:uid="{2CE1986B-746A-481C-955A-2D9C14A62FE5}"/>
    <cellStyle name="Normal 4 3 2 2" xfId="3529" xr:uid="{6ADDCE9E-7FE5-4637-B55D-49DF1EC62535}"/>
    <cellStyle name="Normal 4 3 3" xfId="2641" xr:uid="{E7DE6E84-0371-4AEC-BED8-609BDC2180D6}"/>
    <cellStyle name="Normal 4 4" xfId="972" xr:uid="{9020D08B-0F18-411A-8C85-0AA923664CAD}"/>
    <cellStyle name="Normal 4 4 2" xfId="2824" xr:uid="{C3594061-C353-40F8-816D-94F09401A92B}"/>
    <cellStyle name="Normal 4 5" xfId="1897" xr:uid="{F17DEC98-910A-4A1E-8C56-5462B43029E1}"/>
    <cellStyle name="Normal 5" xfId="105" xr:uid="{8131EDB7-9782-4620-8BDF-11EB038AD75F}"/>
    <cellStyle name="Normal 5 2" xfId="711" xr:uid="{13A4FBB5-BB9C-46BA-A424-15763950397A}"/>
    <cellStyle name="Normal 5 2 2" xfId="1314" xr:uid="{78B0626B-5F6E-427A-95C6-DEDB88903101}"/>
    <cellStyle name="Normal 5 2 2 2" xfId="3166" xr:uid="{B2B44ADE-9777-4DD3-A1FB-2434CB02A813}"/>
    <cellStyle name="Normal 5 2 3" xfId="2239" xr:uid="{E1732A52-2E30-4316-9CE1-BFECDE071A32}"/>
    <cellStyle name="Normal 5 3" xfId="387" xr:uid="{95663632-16D4-436C-B183-B39A6345A0EA}"/>
    <cellStyle name="Normal 5 3 2" xfId="1650" xr:uid="{885D637D-EAAD-4DE5-876F-D27822B1CF36}"/>
    <cellStyle name="Normal 5 3 2 2" xfId="3502" xr:uid="{A9F74E5F-27C3-4598-990F-2D3017284B42}"/>
    <cellStyle name="Normal 5 3 3" xfId="2575" xr:uid="{727F7DD7-C491-4A6A-923E-F24CB36C42D6}"/>
    <cellStyle name="Normal 5 4" xfId="992" xr:uid="{E225C3B9-16F8-49E8-A80C-323169761A93}"/>
    <cellStyle name="Normal 5 4 2" xfId="2844" xr:uid="{4AB3E9D7-60A8-4A8D-BCED-794794AD8086}"/>
    <cellStyle name="Normal 5 5" xfId="1917" xr:uid="{2725FB8E-EFEE-4F0A-8D54-5E0C80707810}"/>
    <cellStyle name="Normal 6" xfId="125" xr:uid="{C5AD32DA-A85E-4DD0-9170-F0F29D0D7D58}"/>
    <cellStyle name="Normal 6 2" xfId="731" xr:uid="{FC95916D-E86F-4BC5-BF6D-89E1276F484A}"/>
    <cellStyle name="Normal 6 2 2" xfId="1334" xr:uid="{71E6799D-9506-4FE3-A3FB-0D650730DC9A}"/>
    <cellStyle name="Normal 6 2 2 2" xfId="3186" xr:uid="{4D0C18B7-1B8A-41A3-AE0D-5D3D1BC27C3D}"/>
    <cellStyle name="Normal 6 2 3" xfId="2259" xr:uid="{A07512B1-1A71-479F-A5F8-BAA144005C9F}"/>
    <cellStyle name="Normal 6 3" xfId="407" xr:uid="{0258D161-1822-487B-ABA2-D79CF30D1267}"/>
    <cellStyle name="Normal 6 3 2" xfId="1780" xr:uid="{D56ECCA0-18E4-4F0C-9389-2DA43053D819}"/>
    <cellStyle name="Normal 6 3 2 2" xfId="3593" xr:uid="{2D267065-4785-4064-B96D-D4552C854354}"/>
    <cellStyle name="Normal 6 3 3" xfId="2705" xr:uid="{FDE2B151-0720-4DAC-8A00-3CBC593AE8C1}"/>
    <cellStyle name="Normal 6 4" xfId="1012" xr:uid="{AA792E8F-109D-449A-8B42-BC9C296096BA}"/>
    <cellStyle name="Normal 6 4 2" xfId="2864" xr:uid="{B2784681-1954-40DB-95F5-3B07B3C87463}"/>
    <cellStyle name="Normal 6 5" xfId="1937" xr:uid="{109E2981-50D6-4A6E-8B50-1FD0FD3846E2}"/>
    <cellStyle name="Normal 7" xfId="145" xr:uid="{329A46D1-1DF4-4342-8806-B640A3779777}"/>
    <cellStyle name="Normal 7 2" xfId="751" xr:uid="{D49E99F3-9347-4132-A84C-E860378A2A13}"/>
    <cellStyle name="Normal 7 2 2" xfId="1354" xr:uid="{E0DBE11F-D74D-4F87-A62B-D5632B94448C}"/>
    <cellStyle name="Normal 7 2 2 2" xfId="3206" xr:uid="{DC0EF679-4751-4CEA-83A8-B4FD4237CE02}"/>
    <cellStyle name="Normal 7 2 3" xfId="2279" xr:uid="{8A66D583-A615-4957-B57B-3B2CA9A1BD7A}"/>
    <cellStyle name="Normal 7 3" xfId="427" xr:uid="{8E10B45A-AE54-4B67-B4FC-BEDC5EB5FA51}"/>
    <cellStyle name="Normal 7 3 2" xfId="1804" xr:uid="{98E4E695-34D3-4142-B2B7-CFD297050636}"/>
    <cellStyle name="Normal 7 3 2 2" xfId="3617" xr:uid="{F19E9B31-A017-4C5C-9B89-F73C5E4EE1CA}"/>
    <cellStyle name="Normal 7 3 3" xfId="2729" xr:uid="{C130585D-4388-494A-B0DC-82FA7A0D2CE3}"/>
    <cellStyle name="Normal 7 4" xfId="1032" xr:uid="{CDC4513E-3BB3-469B-91B9-81A260661F38}"/>
    <cellStyle name="Normal 7 4 2" xfId="2884" xr:uid="{538A5B1B-A13D-459C-AB74-1F15F6DDB075}"/>
    <cellStyle name="Normal 7 5" xfId="1957" xr:uid="{3836AF32-4054-4477-A913-F2E0F1CB9492}"/>
    <cellStyle name="Normal 8" xfId="165" xr:uid="{39EE5707-61AF-49B3-A8FA-6915AE4FA7AC}"/>
    <cellStyle name="Normal 8 2" xfId="771" xr:uid="{0BD42B9F-81F4-4822-BB43-4FA720B9B5D5}"/>
    <cellStyle name="Normal 8 2 2" xfId="1374" xr:uid="{51AF47B5-150B-403C-BBEA-76D43DBBB1F6}"/>
    <cellStyle name="Normal 8 2 2 2" xfId="3226" xr:uid="{56F9C362-7188-48FD-AB15-E172ACE6880F}"/>
    <cellStyle name="Normal 8 2 3" xfId="2299" xr:uid="{2E13ABD4-B810-4FB1-97F6-0AC8D9FBE4E9}"/>
    <cellStyle name="Normal 8 3" xfId="447" xr:uid="{31E917EC-9FB2-4180-A6F2-E96D3C28F7BB}"/>
    <cellStyle name="Normal 8 3 2" xfId="1758" xr:uid="{50DBB081-A059-4D73-8486-71152233B131}"/>
    <cellStyle name="Normal 8 3 2 2" xfId="3571" xr:uid="{ACE1A436-6B22-44AB-9F83-F35AEBF5BACE}"/>
    <cellStyle name="Normal 8 3 3" xfId="2683" xr:uid="{429DDE36-B255-4042-B6AF-EE57E02FE228}"/>
    <cellStyle name="Normal 8 4" xfId="1052" xr:uid="{EC2719A3-CBC0-43F3-A2FA-234E400173E0}"/>
    <cellStyle name="Normal 8 4 2" xfId="2904" xr:uid="{4FC2108D-A26A-4B9B-9486-328287F65656}"/>
    <cellStyle name="Normal 8 5" xfId="1977" xr:uid="{155D673F-43AE-483C-BE97-891B946734C1}"/>
    <cellStyle name="Normal 9" xfId="185" xr:uid="{FCFC8B46-E911-4524-A969-5BFE48910E9F}"/>
    <cellStyle name="Normal 9 2" xfId="791" xr:uid="{37E6ADD4-33C7-44EB-9671-686111CF8BEF}"/>
    <cellStyle name="Normal 9 2 2" xfId="1394" xr:uid="{EE6FF826-B2D7-452E-BFCE-4EAC95EC78F3}"/>
    <cellStyle name="Normal 9 2 2 2" xfId="3246" xr:uid="{4839A114-5050-4837-BF1D-719C21615429}"/>
    <cellStyle name="Normal 9 2 3" xfId="2319" xr:uid="{75D07AF1-B48C-4732-8C6D-0BD4487B5480}"/>
    <cellStyle name="Normal 9 3" xfId="467" xr:uid="{F25A183E-384C-4BB1-B6B4-A4B60EBEFCFD}"/>
    <cellStyle name="Normal 9 3 2" xfId="1773" xr:uid="{F2944BEE-0859-4813-957D-ABE49A2A838B}"/>
    <cellStyle name="Normal 9 3 2 2" xfId="3586" xr:uid="{C35B0D7E-C48B-4915-9F89-EA3CD9FC203F}"/>
    <cellStyle name="Normal 9 3 3" xfId="2698" xr:uid="{08F17456-06DE-4D38-87C6-E4B7E892B623}"/>
    <cellStyle name="Normal 9 4" xfId="1072" xr:uid="{8BAB4BB5-CA58-403C-9B33-0976CBB907F4}"/>
    <cellStyle name="Normal 9 4 2" xfId="2924" xr:uid="{3A406444-25C1-4B0D-BCB5-02D9DC384E6E}"/>
    <cellStyle name="Normal 9 5" xfId="1997" xr:uid="{EF8E42E8-EE60-4D16-B985-50F18F030C2F}"/>
    <cellStyle name="Nota 10" xfId="207" xr:uid="{F28D267C-7869-42C7-BB48-2C6B23114D07}"/>
    <cellStyle name="Nota 10 2" xfId="813" xr:uid="{F4B94B1E-6BBC-47B3-826A-DA7880E2E44F}"/>
    <cellStyle name="Nota 10 2 2" xfId="1416" xr:uid="{2D12DA2F-72CA-4D06-8D43-27AC8A3D687D}"/>
    <cellStyle name="Nota 10 2 2 2" xfId="3268" xr:uid="{0AE6A892-EED4-42C8-843C-12208DB1E36B}"/>
    <cellStyle name="Nota 10 2 3" xfId="2341" xr:uid="{1A40BA0C-A241-4B0C-B56C-8332CB042B55}"/>
    <cellStyle name="Nota 10 3" xfId="489" xr:uid="{96F75B7A-5682-4AE8-8792-85D1A27BFC80}"/>
    <cellStyle name="Nota 10 3 2" xfId="1560" xr:uid="{82FABE61-55B4-4011-A70A-C988BC8A24A4}"/>
    <cellStyle name="Nota 10 3 2 2" xfId="3412" xr:uid="{E3CF9B1B-3F18-4E42-8B17-2F2BC0612933}"/>
    <cellStyle name="Nota 10 3 3" xfId="2485" xr:uid="{7A613487-34F0-4498-882B-B315D2C84A2E}"/>
    <cellStyle name="Nota 10 4" xfId="1094" xr:uid="{FDBE98F9-C143-43F8-A660-4246902ACBFA}"/>
    <cellStyle name="Nota 10 4 2" xfId="2946" xr:uid="{BF8F7F12-93FD-4D7B-B0DA-823679419BAC}"/>
    <cellStyle name="Nota 10 5" xfId="2019" xr:uid="{953D803D-2322-451D-A37B-B35D1200F91F}"/>
    <cellStyle name="Nota 11" xfId="227" xr:uid="{B6EDEC0D-6D6C-43F7-BCA7-38251031E852}"/>
    <cellStyle name="Nota 11 2" xfId="833" xr:uid="{E05F1743-7649-44C6-B5D0-4DDA7F4EECAB}"/>
    <cellStyle name="Nota 11 2 2" xfId="1436" xr:uid="{D74DD230-5456-469E-A0EE-8CF2E8ED899B}"/>
    <cellStyle name="Nota 11 2 2 2" xfId="3288" xr:uid="{DDCA5326-F142-49F1-95B7-4E0942042605}"/>
    <cellStyle name="Nota 11 2 3" xfId="2361" xr:uid="{54D1060D-8795-4F2F-989F-3A457C9EAF53}"/>
    <cellStyle name="Nota 11 3" xfId="509" xr:uid="{14EF967D-5FFD-4DAD-8FE2-F11F84CE6955}"/>
    <cellStyle name="Nota 11 3 2" xfId="1723" xr:uid="{009C8450-7BEC-44C7-9D7F-B9D0D90E25A3}"/>
    <cellStyle name="Nota 11 3 2 2" xfId="3536" xr:uid="{16258B52-2AFF-45D9-8E7B-1F7A73586018}"/>
    <cellStyle name="Nota 11 3 3" xfId="2648" xr:uid="{76377BB2-41B8-49BF-8EED-DAAA2ED5FDB2}"/>
    <cellStyle name="Nota 11 4" xfId="1114" xr:uid="{1F35C3CC-A611-49EE-AC51-178898DD99B8}"/>
    <cellStyle name="Nota 11 4 2" xfId="2966" xr:uid="{16CA4EE9-9F4A-4CE3-BD77-A7C0376811A2}"/>
    <cellStyle name="Nota 11 5" xfId="2039" xr:uid="{62917E06-02B5-416D-A217-C4BB2B4648C9}"/>
    <cellStyle name="Nota 12" xfId="247" xr:uid="{3772FFA9-FDA9-434B-A42B-5268D862B818}"/>
    <cellStyle name="Nota 12 2" xfId="853" xr:uid="{DF22951E-1906-42E7-8760-3EF5CCB12CA4}"/>
    <cellStyle name="Nota 12 2 2" xfId="1456" xr:uid="{995C9776-B417-4593-9CC8-ACF4A6566AC9}"/>
    <cellStyle name="Nota 12 2 2 2" xfId="3308" xr:uid="{5ECDE0B3-8829-44E7-9F47-CDE91E023C9F}"/>
    <cellStyle name="Nota 12 2 3" xfId="2381" xr:uid="{2528A6F8-BDF0-40B7-AC6D-26856E694D80}"/>
    <cellStyle name="Nota 12 3" xfId="529" xr:uid="{F5A0D180-7DF7-4BEE-89C8-60ABA8F85030}"/>
    <cellStyle name="Nota 12 3 2" xfId="1561" xr:uid="{66F6913B-DA1C-4154-80B3-5047F9D52479}"/>
    <cellStyle name="Nota 12 3 2 2" xfId="3413" xr:uid="{095F3A7B-8A4C-48BE-831C-558726564F93}"/>
    <cellStyle name="Nota 12 3 3" xfId="2486" xr:uid="{21F9B816-175A-40C0-AF16-C1384EAF1B3E}"/>
    <cellStyle name="Nota 12 4" xfId="1134" xr:uid="{AF9E94C3-0227-4D46-87EF-7D309D556A26}"/>
    <cellStyle name="Nota 12 4 2" xfId="2986" xr:uid="{FE1E1A61-E957-44EE-801F-FF09E631101E}"/>
    <cellStyle name="Nota 12 5" xfId="2059" xr:uid="{D8088018-CDA2-4CB2-9875-6BCB3C85E9B7}"/>
    <cellStyle name="Nota 13" xfId="267" xr:uid="{8006A443-A720-4F6C-A168-990EB483FFB7}"/>
    <cellStyle name="Nota 13 2" xfId="873" xr:uid="{6834AC77-7081-4312-BE09-A22C163D5ED5}"/>
    <cellStyle name="Nota 13 2 2" xfId="1476" xr:uid="{03749827-F931-4F91-B3FD-2CD651790423}"/>
    <cellStyle name="Nota 13 2 2 2" xfId="3328" xr:uid="{AE971985-B3CE-4CA2-995E-8F4C69C505E8}"/>
    <cellStyle name="Nota 13 2 3" xfId="2401" xr:uid="{58D2FF75-0C77-4753-8F12-EFE35E0EDE27}"/>
    <cellStyle name="Nota 13 3" xfId="549" xr:uid="{9EAEEBD0-39A0-4E7C-BD74-63F96A7DCFD4}"/>
    <cellStyle name="Nota 13 3 2" xfId="1799" xr:uid="{7E3B7631-5512-49C2-9290-09D6D6D4BC0B}"/>
    <cellStyle name="Nota 13 3 2 2" xfId="3612" xr:uid="{DCF0118F-2B9D-4D9F-81BC-4ECC851B4672}"/>
    <cellStyle name="Nota 13 3 3" xfId="2724" xr:uid="{6D20535E-FAAE-4D6C-A58A-913C2F533C4C}"/>
    <cellStyle name="Nota 13 4" xfId="1154" xr:uid="{60A2DB97-1151-4665-B0FA-F00A69F47A9B}"/>
    <cellStyle name="Nota 13 4 2" xfId="3006" xr:uid="{4491F586-53BD-4195-942E-7166BAE8EC34}"/>
    <cellStyle name="Nota 13 5" xfId="2079" xr:uid="{C7B37248-7B74-42AD-A73B-DE3A140207F8}"/>
    <cellStyle name="Nota 14" xfId="287" xr:uid="{3D82CC99-035B-4E1D-885F-A5FCC514E2C8}"/>
    <cellStyle name="Nota 14 2" xfId="893" xr:uid="{B6CEA656-27BF-4898-9A2F-E6EA67A9121F}"/>
    <cellStyle name="Nota 14 2 2" xfId="1496" xr:uid="{E13E6BE0-4BC8-4D9F-A3A9-BCB92DEE74BF}"/>
    <cellStyle name="Nota 14 2 2 2" xfId="3348" xr:uid="{AEEF82A3-DADE-4E21-BFC0-415A2B80EC12}"/>
    <cellStyle name="Nota 14 2 3" xfId="2421" xr:uid="{BACA67A7-5A01-4593-A6A5-C00DA28C4B94}"/>
    <cellStyle name="Nota 14 3" xfId="569" xr:uid="{D6F7BA52-BC25-4614-A3E0-2D4B60271D90}"/>
    <cellStyle name="Nota 14 3 2" xfId="1787" xr:uid="{5AEBD01B-0D6A-4DF2-B99E-F1DE05379A25}"/>
    <cellStyle name="Nota 14 3 2 2" xfId="3600" xr:uid="{FBDFEF43-A43E-4B16-9C2B-7A8653F8BCA5}"/>
    <cellStyle name="Nota 14 3 3" xfId="2712" xr:uid="{215B8393-EFDD-4753-A4DE-4CE0BB9E1480}"/>
    <cellStyle name="Nota 14 4" xfId="1174" xr:uid="{74D80C52-83F3-44E9-ADFD-AA60B0028C60}"/>
    <cellStyle name="Nota 14 4 2" xfId="3026" xr:uid="{0E73F5A2-F749-4E12-8372-D7C436CCCEF2}"/>
    <cellStyle name="Nota 14 5" xfId="2099" xr:uid="{DDE22055-EF7C-4AE0-A6FE-F4E5D42C5A0C}"/>
    <cellStyle name="Nota 15" xfId="589" xr:uid="{A55D8985-8470-4B42-AD4D-FAD37C91B0CD}"/>
    <cellStyle name="Nota 15 2" xfId="1652" xr:uid="{52964F5E-2C0B-455A-83D8-F7E2F01A147A}"/>
    <cellStyle name="Nota 15 2 2" xfId="2577" xr:uid="{2C87B29D-6272-402C-8A35-92C5F419D0D1}"/>
    <cellStyle name="Nota 15 3" xfId="1194" xr:uid="{B7387EE3-70E7-473B-990C-31622CC3FC32}"/>
    <cellStyle name="Nota 15 3 2" xfId="3046" xr:uid="{8F0B6389-222C-41D8-9DE8-A34B8CD0345D}"/>
    <cellStyle name="Nota 15 4" xfId="2119" xr:uid="{6938586D-0A5A-4A28-BA86-DAE81E9539F8}"/>
    <cellStyle name="Nota 16" xfId="609" xr:uid="{B5570CEF-A6B0-4C20-906E-7D3134779D2D}"/>
    <cellStyle name="Nota 16 2" xfId="1672" xr:uid="{D17899E7-610E-4EE5-8DEE-0F2C9B7B8A4C}"/>
    <cellStyle name="Nota 16 2 2" xfId="2597" xr:uid="{9BE53931-0676-4FA0-9C37-967C5D2DF91C}"/>
    <cellStyle name="Nota 16 3" xfId="1214" xr:uid="{BA7F77C1-63A5-4C69-BAA3-69EB30B29D09}"/>
    <cellStyle name="Nota 16 3 2" xfId="3066" xr:uid="{8DEEF008-652D-4192-90B5-8CB983AAA990}"/>
    <cellStyle name="Nota 16 4" xfId="2139" xr:uid="{98880E19-F6E3-417E-8E45-9F0ED6DE8B4F}"/>
    <cellStyle name="Nota 2" xfId="44" xr:uid="{2BA39D1D-93C3-4A30-9A50-5D1747E745AD}"/>
    <cellStyle name="Nota 2 2" xfId="84" xr:uid="{8AF55E36-D1C5-43A2-ADAB-64859DE2D9AD}"/>
    <cellStyle name="Nota 2 2 2" xfId="690" xr:uid="{ACBAE632-26D3-406E-8CEE-36C67AD9E88F}"/>
    <cellStyle name="Nota 2 2 2 2" xfId="1293" xr:uid="{06E1078C-BDE7-4DE5-88DC-0085FFDBD6F2}"/>
    <cellStyle name="Nota 2 2 2 2 2" xfId="3145" xr:uid="{B748CC4E-BE0B-4483-B12A-C40A86579CC8}"/>
    <cellStyle name="Nota 2 2 2 3" xfId="2218" xr:uid="{3F7F196B-CEFC-4848-A8A7-26ABFC789983}"/>
    <cellStyle name="Nota 2 2 3" xfId="366" xr:uid="{CC4FFD06-ED86-40DF-98CC-6C270206F5BA}"/>
    <cellStyle name="Nota 2 2 3 2" xfId="1563" xr:uid="{AF316874-5961-4C8C-BBB3-D4A4757A4D15}"/>
    <cellStyle name="Nota 2 2 3 2 2" xfId="3415" xr:uid="{2DF18021-988A-4B19-B29A-22BCDC6F20B5}"/>
    <cellStyle name="Nota 2 2 3 3" xfId="2488" xr:uid="{29E4D474-DAA0-4590-8F0A-2F3E59371725}"/>
    <cellStyle name="Nota 2 2 4" xfId="971" xr:uid="{0D2FB7B7-CE70-4B94-B742-77159C822821}"/>
    <cellStyle name="Nota 2 2 4 2" xfId="2823" xr:uid="{34F47A31-AC54-4581-8EBF-1E41C39E986F}"/>
    <cellStyle name="Nota 2 2 5" xfId="1896" xr:uid="{617B6163-8B11-4188-8114-0E54E8175BE4}"/>
    <cellStyle name="Nota 2 3" xfId="650" xr:uid="{AA0036DD-E535-4CDF-A4E5-0712E5F22FB6}"/>
    <cellStyle name="Nota 2 3 2" xfId="1253" xr:uid="{86DA5A45-5CDE-456C-9477-A3D7B905F5A7}"/>
    <cellStyle name="Nota 2 3 2 2" xfId="3105" xr:uid="{8307D874-0577-4518-9A8D-D7043F7F83A3}"/>
    <cellStyle name="Nota 2 3 3" xfId="2178" xr:uid="{A748DEE4-C0D5-464A-86A1-3A16B2716742}"/>
    <cellStyle name="Nota 2 4" xfId="326" xr:uid="{87AAC3C7-FB10-4B30-96C5-BA32CD39CD1B}"/>
    <cellStyle name="Nota 2 4 2" xfId="1587" xr:uid="{948A61BA-8D62-416B-BCAA-00940965F37A}"/>
    <cellStyle name="Nota 2 4 2 2" xfId="3439" xr:uid="{FEEDFEC4-5E34-43ED-B3B8-E818F952B3BD}"/>
    <cellStyle name="Nota 2 4 3" xfId="2512" xr:uid="{AB05E4E8-EEEC-4FB0-A02B-04B020AA31F5}"/>
    <cellStyle name="Nota 2 5" xfId="931" xr:uid="{E1FF3AC1-E75B-44CA-B1D8-288B88C7E44C}"/>
    <cellStyle name="Nota 2 5 2" xfId="2783" xr:uid="{0C93CFF0-1E27-4333-ABE6-F9FE50398D2E}"/>
    <cellStyle name="Nota 2 6" xfId="1856" xr:uid="{DF3F9403-F851-4717-8F47-0D1044C3C2A2}"/>
    <cellStyle name="Nota 3" xfId="46" xr:uid="{F9C3B7A1-34E8-4C21-96ED-0350B14E1BAF}"/>
    <cellStyle name="Nota 3 2" xfId="652" xr:uid="{426E39B1-CF2D-49D6-917F-1B889BE5B304}"/>
    <cellStyle name="Nota 3 2 2" xfId="1255" xr:uid="{09B93275-1E5F-4420-92D7-B269B1FBD56F}"/>
    <cellStyle name="Nota 3 2 2 2" xfId="3107" xr:uid="{A091416B-635E-4D76-BD58-3727D1A5871A}"/>
    <cellStyle name="Nota 3 2 3" xfId="2180" xr:uid="{96575C90-C9A6-4FF2-BE7F-49700441105E}"/>
    <cellStyle name="Nota 3 3" xfId="328" xr:uid="{13ED8B5F-CCBF-472D-9E3F-46D9EA6156AA}"/>
    <cellStyle name="Nota 3 3 2" xfId="1568" xr:uid="{798A2F71-9D22-47EB-9410-E6561BC7332D}"/>
    <cellStyle name="Nota 3 3 2 2" xfId="3420" xr:uid="{7AEFDD04-0FC5-4836-AEFD-2B4E692707EB}"/>
    <cellStyle name="Nota 3 3 3" xfId="2493" xr:uid="{083C4E06-2175-4678-A74A-2CC36A4AB062}"/>
    <cellStyle name="Nota 3 4" xfId="933" xr:uid="{F5E88E33-FBCE-45D4-B17E-31A2613963D2}"/>
    <cellStyle name="Nota 3 4 2" xfId="2785" xr:uid="{CE495E8C-8575-4335-B297-101D058D426A}"/>
    <cellStyle name="Nota 3 5" xfId="1858" xr:uid="{903B6CC3-0A7F-42CD-B805-2DCC5CA80ADF}"/>
    <cellStyle name="Nota 4" xfId="86" xr:uid="{89E827D9-AFB6-4BFB-85B4-9F8B4EC3D64B}"/>
    <cellStyle name="Nota 4 2" xfId="692" xr:uid="{4596A705-B5DF-485B-BE6F-64357CC63757}"/>
    <cellStyle name="Nota 4 2 2" xfId="1295" xr:uid="{FA546978-2F14-4A53-BDCC-B5ED5E433812}"/>
    <cellStyle name="Nota 4 2 2 2" xfId="3147" xr:uid="{36A77666-2EB3-43FD-BA95-A6C7FD6A5EF0}"/>
    <cellStyle name="Nota 4 2 3" xfId="2220" xr:uid="{04912C3C-93DA-4E68-A779-F70A5B27B761}"/>
    <cellStyle name="Nota 4 3" xfId="368" xr:uid="{35BA2C3A-5F68-4148-B24F-F65F4BE7D5E7}"/>
    <cellStyle name="Nota 4 3 2" xfId="1547" xr:uid="{5842682D-B89D-4A7A-987A-C6A0E202804C}"/>
    <cellStyle name="Nota 4 3 2 2" xfId="3399" xr:uid="{2BA46C97-C737-4C0B-8745-C47BCD1E774C}"/>
    <cellStyle name="Nota 4 3 3" xfId="2472" xr:uid="{3D860D58-9F99-4EAA-AE29-965AC8996EB4}"/>
    <cellStyle name="Nota 4 4" xfId="973" xr:uid="{8C67F07E-59F4-40F0-BD59-2F35AE0CB60B}"/>
    <cellStyle name="Nota 4 4 2" xfId="2825" xr:uid="{098FE8B9-8420-4899-8B1A-9B7383BCEF37}"/>
    <cellStyle name="Nota 4 5" xfId="1898" xr:uid="{4CD16D79-EBE4-4494-B9FD-DB369DA99F87}"/>
    <cellStyle name="Nota 5" xfId="106" xr:uid="{49DC13EA-0598-41BB-A1B9-14D10152CD35}"/>
    <cellStyle name="Nota 5 2" xfId="712" xr:uid="{09F7681C-6A2C-4D90-A5CB-9C97D3A3BA1C}"/>
    <cellStyle name="Nota 5 2 2" xfId="1315" xr:uid="{4798F2B4-41C7-4EAF-91E4-5F58682A2DA6}"/>
    <cellStyle name="Nota 5 2 2 2" xfId="3167" xr:uid="{B7A71011-83CA-40FF-BAF9-4D4A09015988}"/>
    <cellStyle name="Nota 5 2 3" xfId="2240" xr:uid="{50BBDF84-9C7D-4D67-A868-CF68AA8C94B9}"/>
    <cellStyle name="Nota 5 3" xfId="388" xr:uid="{EEF01C48-5D31-4A03-8439-A0829BC86424}"/>
    <cellStyle name="Nota 5 3 2" xfId="1537" xr:uid="{414F5EE3-C962-4A23-93B3-5B89207E32BD}"/>
    <cellStyle name="Nota 5 3 2 2" xfId="3389" xr:uid="{7661B821-5F92-4037-81B3-710966E3B027}"/>
    <cellStyle name="Nota 5 3 3" xfId="2462" xr:uid="{8C1DEB96-EAE8-41A0-9BC4-78A194FC46D2}"/>
    <cellStyle name="Nota 5 4" xfId="993" xr:uid="{56624690-506C-409C-B9DA-FDAB3535DBAF}"/>
    <cellStyle name="Nota 5 4 2" xfId="2845" xr:uid="{2DF5D107-EE68-4477-AAAE-F25BF9F5D1FC}"/>
    <cellStyle name="Nota 5 5" xfId="1918" xr:uid="{03512FFE-FA13-4C89-8531-986DE16E107E}"/>
    <cellStyle name="Nota 6" xfId="126" xr:uid="{DFDB2A70-1052-4902-9D9F-1B8C1819077F}"/>
    <cellStyle name="Nota 6 2" xfId="732" xr:uid="{B2ECB32B-E4AF-4426-B1BB-9539E8F2398C}"/>
    <cellStyle name="Nota 6 2 2" xfId="1335" xr:uid="{22D10C88-7C0F-4570-9F1C-A1BF7E58BE1E}"/>
    <cellStyle name="Nota 6 2 2 2" xfId="3187" xr:uid="{3A061632-6087-418D-9002-737C6CA6BA8A}"/>
    <cellStyle name="Nota 6 2 3" xfId="2260" xr:uid="{1CD38B7B-379B-4E04-BE1D-C6A31DE4BA06}"/>
    <cellStyle name="Nota 6 3" xfId="408" xr:uid="{8F8D4B6C-510F-46BA-8638-DC3CCF242C8F}"/>
    <cellStyle name="Nota 6 3 2" xfId="1808" xr:uid="{30F40675-A42C-4BEF-B0E1-2F35332DAEC2}"/>
    <cellStyle name="Nota 6 3 2 2" xfId="3621" xr:uid="{515D28B0-64AA-47CB-97D9-E0BBAF3B4A3E}"/>
    <cellStyle name="Nota 6 3 3" xfId="2733" xr:uid="{7859A0DB-45F6-4222-8536-72071D6A7C92}"/>
    <cellStyle name="Nota 6 4" xfId="1013" xr:uid="{5CE73F38-6D6A-42A9-88DC-C7D88D2D6A2C}"/>
    <cellStyle name="Nota 6 4 2" xfId="2865" xr:uid="{E577AEEB-AC66-4D5B-A6A9-20488A3FEEC3}"/>
    <cellStyle name="Nota 6 5" xfId="1938" xr:uid="{4B44E422-B75B-4044-8BC4-F2D3AE36003F}"/>
    <cellStyle name="Nota 7" xfId="146" xr:uid="{E9C9B1AA-F508-4A3C-A98D-5019AD2029EC}"/>
    <cellStyle name="Nota 7 2" xfId="752" xr:uid="{AAA3A243-44A3-41A1-B0DD-13AE2DED5CC7}"/>
    <cellStyle name="Nota 7 2 2" xfId="1355" xr:uid="{D97039BC-9538-4487-B972-5AF57A4AA973}"/>
    <cellStyle name="Nota 7 2 2 2" xfId="3207" xr:uid="{977B0675-BBF4-438A-8B7D-82902DD599AD}"/>
    <cellStyle name="Nota 7 2 3" xfId="2280" xr:uid="{79443F56-4246-4BC6-9639-E8BD0B15AFF2}"/>
    <cellStyle name="Nota 7 3" xfId="428" xr:uid="{7A90A0C4-4298-4E28-86A3-16B359A93AC2}"/>
    <cellStyle name="Nota 7 3 2" xfId="1700" xr:uid="{4763C652-E130-4296-936A-0BDF08F10CA9}"/>
    <cellStyle name="Nota 7 3 2 2" xfId="3513" xr:uid="{C2E32A43-E225-4C85-A1E0-FDF505F98A67}"/>
    <cellStyle name="Nota 7 3 3" xfId="2625" xr:uid="{CB4462D9-819B-4CC6-A42D-7BB7FB65F040}"/>
    <cellStyle name="Nota 7 4" xfId="1033" xr:uid="{989BCB13-C0F3-46F7-865F-8E457CBCA673}"/>
    <cellStyle name="Nota 7 4 2" xfId="2885" xr:uid="{954ED0EA-02BE-4A54-A5E1-F30F5603E864}"/>
    <cellStyle name="Nota 7 5" xfId="1958" xr:uid="{9386E181-9675-46D1-BD59-896B56A44246}"/>
    <cellStyle name="Nota 8" xfId="166" xr:uid="{A409477E-3567-4402-BF7E-8D0793745BD2}"/>
    <cellStyle name="Nota 8 2" xfId="772" xr:uid="{5090A927-D3CB-476B-BA74-F3B27BEAE2F6}"/>
    <cellStyle name="Nota 8 2 2" xfId="1375" xr:uid="{9F069689-98EB-4D4E-8BED-142DEB1601C7}"/>
    <cellStyle name="Nota 8 2 2 2" xfId="3227" xr:uid="{0071207E-4994-45AA-8BBA-88F05B56CB6F}"/>
    <cellStyle name="Nota 8 2 3" xfId="2300" xr:uid="{9E8DBEA0-B6F9-4090-A283-8BF8C5A48E46}"/>
    <cellStyle name="Nota 8 3" xfId="448" xr:uid="{A16ADF80-CE84-4806-9AB6-6D314B141320}"/>
    <cellStyle name="Nota 8 3 2" xfId="1545" xr:uid="{501B7DA3-1213-4395-A6C1-E21464A925EC}"/>
    <cellStyle name="Nota 8 3 2 2" xfId="3397" xr:uid="{395557A9-6BB6-4E44-9779-860F312115D8}"/>
    <cellStyle name="Nota 8 3 3" xfId="2470" xr:uid="{F95D1692-6EF9-49E9-AB5B-8AAFDFE0BC29}"/>
    <cellStyle name="Nota 8 4" xfId="1053" xr:uid="{02BFC272-D1B7-41FA-BEE1-CC4F0EC587BE}"/>
    <cellStyle name="Nota 8 4 2" xfId="2905" xr:uid="{BBB1C3A2-7E71-4801-8404-B8CF0909C4BA}"/>
    <cellStyle name="Nota 8 5" xfId="1978" xr:uid="{F3212D74-6ABD-40F5-91B2-AF10B1CBA117}"/>
    <cellStyle name="Nota 9" xfId="186" xr:uid="{836242BB-66E9-4099-A805-8A77927BEBC6}"/>
    <cellStyle name="Nota 9 2" xfId="792" xr:uid="{61585616-4C6C-46ED-A01C-7D239D4989A7}"/>
    <cellStyle name="Nota 9 2 2" xfId="1395" xr:uid="{CA74B163-C13A-4A9E-95D7-FAD2C7DEDD20}"/>
    <cellStyle name="Nota 9 2 2 2" xfId="3247" xr:uid="{03129CF2-4CC2-4C93-9536-971D9F67DB98}"/>
    <cellStyle name="Nota 9 2 3" xfId="2320" xr:uid="{A45F933D-85AA-401B-9193-BC29BBE597B0}"/>
    <cellStyle name="Nota 9 3" xfId="468" xr:uid="{F8D965CC-313E-49A7-900D-C6FBF12C34F2}"/>
    <cellStyle name="Nota 9 3 2" xfId="1574" xr:uid="{460D00B8-C046-410E-82F3-78CF9A55E0E5}"/>
    <cellStyle name="Nota 9 3 2 2" xfId="3426" xr:uid="{557D0B98-83CE-442E-B062-B38E0D1A9800}"/>
    <cellStyle name="Nota 9 3 3" xfId="2499" xr:uid="{CBF4FCFA-2156-4B98-A895-B756876260A5}"/>
    <cellStyle name="Nota 9 4" xfId="1073" xr:uid="{8AA7F144-D713-40F8-8236-DDA05998DADD}"/>
    <cellStyle name="Nota 9 4 2" xfId="2925" xr:uid="{E4DCBDB7-30E2-419C-8370-5808F9D60657}"/>
    <cellStyle name="Nota 9 5" xfId="1998" xr:uid="{0A785791-0797-4C48-9CC9-16460CF3BAD1}"/>
    <cellStyle name="Ruim" xfId="8" builtinId="27" customBuiltin="1"/>
    <cellStyle name="Saída" xfId="11" builtinId="21" customBuiltin="1"/>
    <cellStyle name="Texto de Aviso" xfId="15" builtinId="11" customBuiltin="1"/>
    <cellStyle name="Texto Explicativo" xfId="16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7" builtinId="25" customBuiltin="1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B28A1A93-5AC4-489D-B206-F060AFB24AB5}"/>
  <namedSheetView name="Exibir2" id="{B50C5215-93C7-48DF-B841-E5B22AD87D82}"/>
</namedSheetViews>
</file>

<file path=xl/persons/person.xml><?xml version="1.0" encoding="utf-8"?>
<personList xmlns="http://schemas.microsoft.com/office/spreadsheetml/2018/threadedcomments" xmlns:x="http://schemas.openxmlformats.org/spreadsheetml/2006/main">
  <person displayName="Franciele Lohse" id="{44369FFA-F47C-4A66-A745-03C574EFFD0D}" userId="S::franciele.lohse@marfoods.com.br::655332e4-4eb5-4e7c-95f5-cfe539a10a54" providerId="AD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L33" dT="2026-06-25T11:21:47.98" personId="{44369FFA-F47C-4A66-A745-03C574EFFD0D}" id="{110EB2BA-EE12-4A9C-93B2-C753A07193CE}">
    <text>Alta demanda não gerou tarefas.</text>
  </threadedComment>
  <threadedComment ref="R35" dT="2026-06-11T03:52:53.34" personId="{44369FFA-F47C-4A66-A745-03C574EFFD0D}" id="{596ABB47-70D4-46F5-A058-C2D8FC71DA00}">
    <text>Ausente neste dia, motivo: saúde/filho.</text>
  </threadedComment>
  <threadedComment ref="T35" dT="2026-06-11T03:52:53.34" personId="{44369FFA-F47C-4A66-A745-03C574EFFD0D}" id="{12217CA1-EE75-466D-8AC1-B512AF571836}">
    <text>Ausente neste dia, motivo: saúde/filho.</text>
  </threadedComment>
  <threadedComment ref="V35" dT="2026-06-11T03:52:53.34" personId="{44369FFA-F47C-4A66-A745-03C574EFFD0D}" id="{4A1C36D5-D063-4B03-A1E3-F9A60A439D30}">
    <text>Ausente neste dia, motivo: saúde/filho.</text>
  </threadedComment>
  <threadedComment ref="X35" dT="2026-06-11T03:52:53.34" personId="{44369FFA-F47C-4A66-A745-03C574EFFD0D}" id="{ADC094F8-93F0-4C7A-9967-253DC3480842}">
    <text>Ausente neste dia, motivo: saúde/filho.</text>
  </threadedComment>
  <threadedComment ref="Z35" dT="2026-06-11T03:52:53.34" personId="{44369FFA-F47C-4A66-A745-03C574EFFD0D}" id="{3AFBAA46-DA48-43CC-A985-16F12C06064C}">
    <text>Ausente neste dia, motivo: saúde/filho.</text>
  </threadedComment>
  <threadedComment ref="AB35" dT="2026-06-11T03:52:53.34" personId="{44369FFA-F47C-4A66-A745-03C574EFFD0D}" id="{94A9765C-382E-41B7-B3FE-188F1629B79C}">
    <text>Ausente neste dia, motivo: saúde/filho.</text>
  </threadedComment>
  <threadedComment ref="AD35" dT="2026-06-11T03:52:53.34" personId="{44369FFA-F47C-4A66-A745-03C574EFFD0D}" id="{3C82105C-9F43-428D-A71B-E102B2635881}">
    <text>Ausente neste dia, motivo: saúde/filho.</text>
  </threadedComment>
  <threadedComment ref="AF35" dT="2026-06-11T03:52:53.34" personId="{44369FFA-F47C-4A66-A745-03C574EFFD0D}" id="{08A637E7-8E81-4229-B448-3015AF2A88CC}">
    <text>Ausente neste dia, motivo: saúde/filho.</text>
  </threadedComment>
  <threadedComment ref="F36" dT="2026-06-05T01:40:50.67" personId="{44369FFA-F47C-4A66-A745-03C574EFFD0D}" id="{6900338A-6CA0-497B-B2EF-5A255D172477}">
    <text>Focou em finalizar tarefas pendentes.</text>
  </threadedComment>
  <threadedComment ref="H36" dT="2026-06-05T01:40:50.67" personId="{44369FFA-F47C-4A66-A745-03C574EFFD0D}" id="{D9644057-1701-4477-AEA5-AF092045E589}">
    <text>Focou em finalizar tarefas pendentes.</text>
  </threadedComment>
  <threadedComment ref="J36" dT="2026-06-05T01:40:50.67" personId="{44369FFA-F47C-4A66-A745-03C574EFFD0D}" id="{79F78E51-A178-4AE7-8B42-DA6DAFFEEE30}">
    <text>Focou em finalizar tarefas pendentes.</text>
  </threadedComment>
  <threadedComment ref="AP36" dT="2026-06-26T19:55:25.23" personId="{44369FFA-F47C-4A66-A745-03C574EFFD0D}" id="{657A8C87-DC61-4A23-8D1C-2D38D5F1BE12}">
    <text xml:space="preserve">Folga 26/6
</text>
  </threadedComment>
  <threadedComment ref="R37" dT="2026-06-11T03:53:22.47" personId="{44369FFA-F47C-4A66-A745-03C574EFFD0D}" id="{EF276022-B394-4A52-8308-51345081745B}">
    <text>Volume intenso na sua carteira de clientes.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2114A-6DDC-4501-BCF8-C8423F966AE5}">
  <sheetPr>
    <tabColor theme="8" tint="-0.249977111117893"/>
  </sheetPr>
  <dimension ref="A1:AR50"/>
  <sheetViews>
    <sheetView workbookViewId="0">
      <selection activeCell="J21" sqref="J21"/>
    </sheetView>
  </sheetViews>
  <sheetFormatPr defaultColWidth="9.109375" defaultRowHeight="12"/>
  <cols>
    <col min="1" max="1" width="31.109375" style="186" customWidth="1"/>
    <col min="2" max="2" width="14.33203125" style="221" bestFit="1" customWidth="1"/>
    <col min="3" max="3" width="8.33203125" style="186" customWidth="1"/>
    <col min="4" max="4" width="9.109375" style="186"/>
    <col min="5" max="5" width="8.44140625" style="186" customWidth="1"/>
    <col min="6" max="6" width="9.109375" style="186"/>
    <col min="7" max="7" width="10.33203125" style="186" customWidth="1"/>
    <col min="8" max="9" width="10.6640625" style="186" customWidth="1"/>
    <col min="10" max="10" width="12.33203125" style="186" customWidth="1"/>
    <col min="11" max="20" width="10.6640625" style="186" customWidth="1"/>
    <col min="21" max="16384" width="9.109375" style="186"/>
  </cols>
  <sheetData>
    <row r="1" spans="1:44" ht="12.6" thickBot="1"/>
    <row r="2" spans="1:44" ht="12.6" thickBot="1">
      <c r="A2" s="253" t="s">
        <v>337</v>
      </c>
      <c r="B2" s="254"/>
      <c r="C2" s="254"/>
      <c r="D2" s="255"/>
      <c r="E2" s="263">
        <v>1</v>
      </c>
      <c r="F2" s="263"/>
      <c r="G2" s="263">
        <v>2</v>
      </c>
      <c r="H2" s="263"/>
      <c r="I2" s="263">
        <v>6</v>
      </c>
      <c r="J2" s="263"/>
      <c r="K2" s="263">
        <v>7</v>
      </c>
      <c r="L2" s="263"/>
      <c r="M2" s="263">
        <v>8</v>
      </c>
      <c r="N2" s="263"/>
      <c r="O2" s="263">
        <v>9</v>
      </c>
      <c r="P2" s="263"/>
      <c r="Q2" s="263">
        <v>10</v>
      </c>
      <c r="R2" s="263"/>
      <c r="S2" s="263">
        <v>13</v>
      </c>
      <c r="T2" s="263"/>
      <c r="U2" s="263">
        <v>14</v>
      </c>
      <c r="V2" s="263"/>
      <c r="W2" s="263">
        <v>15</v>
      </c>
      <c r="X2" s="263"/>
      <c r="Y2" s="263">
        <v>16</v>
      </c>
      <c r="Z2" s="263"/>
      <c r="AA2" s="263">
        <v>17</v>
      </c>
      <c r="AB2" s="263"/>
      <c r="AC2" s="263">
        <v>20</v>
      </c>
      <c r="AD2" s="263"/>
      <c r="AE2" s="259">
        <v>22</v>
      </c>
      <c r="AF2" s="259"/>
      <c r="AG2" s="259">
        <v>23</v>
      </c>
      <c r="AH2" s="259"/>
      <c r="AI2" s="259">
        <v>24</v>
      </c>
      <c r="AJ2" s="259"/>
      <c r="AK2" s="259">
        <v>27</v>
      </c>
      <c r="AL2" s="259"/>
      <c r="AM2" s="259">
        <v>28</v>
      </c>
      <c r="AN2" s="259"/>
      <c r="AO2" s="259">
        <v>29</v>
      </c>
      <c r="AP2" s="259"/>
      <c r="AQ2" s="259">
        <v>30</v>
      </c>
      <c r="AR2" s="259"/>
    </row>
    <row r="3" spans="1:44">
      <c r="A3" s="187" t="s">
        <v>1</v>
      </c>
      <c r="B3" s="187" t="s">
        <v>2</v>
      </c>
      <c r="C3" s="187" t="s">
        <v>3</v>
      </c>
      <c r="D3" s="188" t="s">
        <v>4</v>
      </c>
      <c r="E3" s="189" t="s">
        <v>2</v>
      </c>
      <c r="F3" s="190" t="s">
        <v>5</v>
      </c>
      <c r="G3" s="189" t="s">
        <v>2</v>
      </c>
      <c r="H3" s="190" t="s">
        <v>5</v>
      </c>
      <c r="I3" s="189" t="s">
        <v>2</v>
      </c>
      <c r="J3" s="190" t="s">
        <v>5</v>
      </c>
      <c r="K3" s="189" t="s">
        <v>2</v>
      </c>
      <c r="L3" s="190" t="s">
        <v>5</v>
      </c>
      <c r="M3" s="189" t="s">
        <v>2</v>
      </c>
      <c r="N3" s="190" t="s">
        <v>5</v>
      </c>
      <c r="O3" s="189" t="s">
        <v>2</v>
      </c>
      <c r="P3" s="190" t="s">
        <v>5</v>
      </c>
      <c r="Q3" s="189" t="s">
        <v>2</v>
      </c>
      <c r="R3" s="190" t="s">
        <v>5</v>
      </c>
      <c r="S3" s="189" t="s">
        <v>2</v>
      </c>
      <c r="T3" s="190" t="s">
        <v>5</v>
      </c>
      <c r="U3" s="189" t="s">
        <v>2</v>
      </c>
      <c r="V3" s="190" t="s">
        <v>5</v>
      </c>
      <c r="W3" s="189" t="s">
        <v>2</v>
      </c>
      <c r="X3" s="190" t="s">
        <v>5</v>
      </c>
      <c r="Y3" s="189" t="s">
        <v>2</v>
      </c>
      <c r="Z3" s="190" t="s">
        <v>5</v>
      </c>
      <c r="AA3" s="189" t="s">
        <v>2</v>
      </c>
      <c r="AB3" s="190" t="s">
        <v>5</v>
      </c>
      <c r="AC3" s="189" t="s">
        <v>2</v>
      </c>
      <c r="AD3" s="190" t="s">
        <v>5</v>
      </c>
      <c r="AE3" s="189" t="s">
        <v>2</v>
      </c>
      <c r="AF3" s="190" t="s">
        <v>5</v>
      </c>
      <c r="AG3" s="189" t="s">
        <v>2</v>
      </c>
      <c r="AH3" s="190" t="s">
        <v>5</v>
      </c>
      <c r="AI3" s="189" t="s">
        <v>2</v>
      </c>
      <c r="AJ3" s="190" t="s">
        <v>5</v>
      </c>
      <c r="AK3" s="189" t="s">
        <v>2</v>
      </c>
      <c r="AL3" s="190" t="s">
        <v>5</v>
      </c>
      <c r="AM3" s="189" t="s">
        <v>2</v>
      </c>
      <c r="AN3" s="190" t="s">
        <v>5</v>
      </c>
      <c r="AO3" s="189" t="s">
        <v>2</v>
      </c>
      <c r="AP3" s="190" t="s">
        <v>5</v>
      </c>
      <c r="AQ3" s="189" t="s">
        <v>2</v>
      </c>
      <c r="AR3" s="190" t="s">
        <v>5</v>
      </c>
    </row>
    <row r="4" spans="1:44">
      <c r="A4" s="191" t="s">
        <v>55</v>
      </c>
      <c r="B4" s="192">
        <v>72</v>
      </c>
      <c r="C4" s="192">
        <f>F4+H4+J4+L4+N4+P4+R4+T4+V4+X4+Z4+AB4+AD4+AF4+AH4+AJ4+AL4+AN4+AP4+AR4</f>
        <v>20</v>
      </c>
      <c r="D4" s="193">
        <f t="shared" ref="D4:D9" si="0">C4/B4</f>
        <v>0.27777777777777779</v>
      </c>
      <c r="E4" s="194">
        <v>4</v>
      </c>
      <c r="F4" s="194">
        <v>2</v>
      </c>
      <c r="G4" s="194">
        <v>4</v>
      </c>
      <c r="H4" s="194">
        <v>0</v>
      </c>
      <c r="I4" s="194">
        <v>4</v>
      </c>
      <c r="J4" s="194">
        <v>0</v>
      </c>
      <c r="K4" s="194">
        <v>4</v>
      </c>
      <c r="L4" s="194">
        <v>0</v>
      </c>
      <c r="M4" s="194">
        <v>4</v>
      </c>
      <c r="N4" s="194">
        <v>0</v>
      </c>
      <c r="O4" s="194">
        <v>4</v>
      </c>
      <c r="P4" s="194">
        <v>2</v>
      </c>
      <c r="Q4" s="194">
        <v>4</v>
      </c>
      <c r="R4" s="194">
        <v>0</v>
      </c>
      <c r="S4" s="194">
        <v>4</v>
      </c>
      <c r="T4" s="194">
        <v>0</v>
      </c>
      <c r="U4" s="194">
        <v>4</v>
      </c>
      <c r="V4" s="194">
        <v>1</v>
      </c>
      <c r="W4" s="194">
        <v>4</v>
      </c>
      <c r="X4" s="194">
        <v>0</v>
      </c>
      <c r="Y4" s="194">
        <v>4</v>
      </c>
      <c r="Z4" s="194">
        <v>3</v>
      </c>
      <c r="AA4" s="194">
        <v>4</v>
      </c>
      <c r="AB4" s="194">
        <v>0</v>
      </c>
      <c r="AC4" s="194">
        <v>4</v>
      </c>
      <c r="AD4" s="194">
        <v>1</v>
      </c>
      <c r="AE4" s="194">
        <v>4</v>
      </c>
      <c r="AF4" s="195">
        <v>3</v>
      </c>
      <c r="AG4" s="194">
        <v>4</v>
      </c>
      <c r="AH4" s="194">
        <v>1</v>
      </c>
      <c r="AI4" s="194">
        <v>4</v>
      </c>
      <c r="AJ4" s="194">
        <v>0</v>
      </c>
      <c r="AK4" s="194">
        <v>4</v>
      </c>
      <c r="AL4" s="194">
        <v>3</v>
      </c>
      <c r="AM4" s="194">
        <v>4</v>
      </c>
      <c r="AN4" s="194">
        <v>2</v>
      </c>
      <c r="AO4" s="194">
        <v>4</v>
      </c>
      <c r="AP4" s="194">
        <v>2</v>
      </c>
      <c r="AQ4" s="194">
        <v>4</v>
      </c>
      <c r="AR4" s="194">
        <v>0</v>
      </c>
    </row>
    <row r="5" spans="1:44">
      <c r="A5" s="191" t="s">
        <v>6</v>
      </c>
      <c r="B5" s="192">
        <v>39</v>
      </c>
      <c r="C5" s="192">
        <f t="shared" ref="C5:C8" si="1">F5+H5+J5+L5+N5+P5+R5+T5+V5+X5+Z5+AB5+AD5+AF5+AH5+AJ5+AL5+AN5+AP5+AR5</f>
        <v>11</v>
      </c>
      <c r="D5" s="193">
        <f t="shared" si="0"/>
        <v>0.28205128205128205</v>
      </c>
      <c r="E5" s="194">
        <v>2</v>
      </c>
      <c r="F5" s="194">
        <v>0</v>
      </c>
      <c r="G5" s="194">
        <v>2</v>
      </c>
      <c r="H5" s="194">
        <v>0</v>
      </c>
      <c r="I5" s="194">
        <v>2</v>
      </c>
      <c r="J5" s="194">
        <v>0</v>
      </c>
      <c r="K5" s="194">
        <v>2</v>
      </c>
      <c r="L5" s="194">
        <v>0</v>
      </c>
      <c r="M5" s="194">
        <v>2</v>
      </c>
      <c r="N5" s="194">
        <v>0</v>
      </c>
      <c r="O5" s="194">
        <v>2</v>
      </c>
      <c r="P5" s="194">
        <v>0</v>
      </c>
      <c r="Q5" s="194">
        <v>2</v>
      </c>
      <c r="R5" s="194">
        <v>0</v>
      </c>
      <c r="S5" s="194">
        <v>2</v>
      </c>
      <c r="T5" s="194">
        <v>1</v>
      </c>
      <c r="U5" s="194">
        <v>2</v>
      </c>
      <c r="V5" s="194">
        <v>0</v>
      </c>
      <c r="W5" s="194">
        <v>2</v>
      </c>
      <c r="X5" s="194">
        <v>1</v>
      </c>
      <c r="Y5" s="194">
        <v>2</v>
      </c>
      <c r="Z5" s="194">
        <v>4</v>
      </c>
      <c r="AA5" s="194">
        <v>2</v>
      </c>
      <c r="AB5" s="194">
        <v>0</v>
      </c>
      <c r="AC5" s="194">
        <v>2</v>
      </c>
      <c r="AD5" s="194">
        <v>1</v>
      </c>
      <c r="AE5" s="194">
        <v>2</v>
      </c>
      <c r="AF5" s="195">
        <v>1</v>
      </c>
      <c r="AG5" s="194">
        <v>2</v>
      </c>
      <c r="AH5" s="194">
        <v>1</v>
      </c>
      <c r="AI5" s="194">
        <v>2</v>
      </c>
      <c r="AJ5" s="194">
        <v>0</v>
      </c>
      <c r="AK5" s="194">
        <v>2</v>
      </c>
      <c r="AL5" s="194">
        <v>1</v>
      </c>
      <c r="AM5" s="194">
        <v>2</v>
      </c>
      <c r="AN5" s="194">
        <v>1</v>
      </c>
      <c r="AO5" s="194">
        <v>2</v>
      </c>
      <c r="AP5" s="194">
        <v>0</v>
      </c>
      <c r="AQ5" s="194">
        <v>2</v>
      </c>
      <c r="AR5" s="194">
        <v>0</v>
      </c>
    </row>
    <row r="6" spans="1:44">
      <c r="A6" s="191" t="s">
        <v>7</v>
      </c>
      <c r="B6" s="192">
        <v>44</v>
      </c>
      <c r="C6" s="192">
        <f t="shared" si="1"/>
        <v>3</v>
      </c>
      <c r="D6" s="193">
        <f t="shared" si="0"/>
        <v>6.8181818181818177E-2</v>
      </c>
      <c r="E6" s="194">
        <v>3</v>
      </c>
      <c r="F6" s="194">
        <v>0</v>
      </c>
      <c r="G6" s="194">
        <v>3</v>
      </c>
      <c r="H6" s="194">
        <v>0</v>
      </c>
      <c r="I6" s="194">
        <v>3</v>
      </c>
      <c r="J6" s="194">
        <v>0</v>
      </c>
      <c r="K6" s="194">
        <v>3</v>
      </c>
      <c r="L6" s="194">
        <v>0</v>
      </c>
      <c r="M6" s="194">
        <v>3</v>
      </c>
      <c r="N6" s="194">
        <v>0</v>
      </c>
      <c r="O6" s="194">
        <v>3</v>
      </c>
      <c r="P6" s="194">
        <v>0</v>
      </c>
      <c r="Q6" s="194">
        <v>3</v>
      </c>
      <c r="R6" s="194">
        <v>0</v>
      </c>
      <c r="S6" s="194">
        <v>3</v>
      </c>
      <c r="T6" s="194">
        <v>0</v>
      </c>
      <c r="U6" s="194">
        <v>3</v>
      </c>
      <c r="V6" s="194">
        <v>0</v>
      </c>
      <c r="W6" s="194">
        <v>3</v>
      </c>
      <c r="X6" s="194">
        <v>0</v>
      </c>
      <c r="Y6" s="194">
        <v>3</v>
      </c>
      <c r="Z6" s="194">
        <v>1</v>
      </c>
      <c r="AA6" s="194">
        <v>3</v>
      </c>
      <c r="AB6" s="194">
        <v>0</v>
      </c>
      <c r="AC6" s="194">
        <v>3</v>
      </c>
      <c r="AD6" s="194">
        <v>0</v>
      </c>
      <c r="AE6" s="194">
        <v>3</v>
      </c>
      <c r="AF6" s="195">
        <v>0</v>
      </c>
      <c r="AG6" s="194">
        <v>3</v>
      </c>
      <c r="AH6" s="194">
        <v>0</v>
      </c>
      <c r="AI6" s="194">
        <v>3</v>
      </c>
      <c r="AJ6" s="194">
        <v>1</v>
      </c>
      <c r="AK6" s="194">
        <v>3</v>
      </c>
      <c r="AL6" s="194">
        <v>0</v>
      </c>
      <c r="AM6" s="194">
        <v>3</v>
      </c>
      <c r="AN6" s="194">
        <v>1</v>
      </c>
      <c r="AO6" s="194">
        <v>3</v>
      </c>
      <c r="AP6" s="194">
        <v>0</v>
      </c>
      <c r="AQ6" s="194">
        <v>3</v>
      </c>
      <c r="AR6" s="194">
        <v>0</v>
      </c>
    </row>
    <row r="7" spans="1:44">
      <c r="A7" s="191" t="s">
        <v>9</v>
      </c>
      <c r="B7" s="192">
        <v>37</v>
      </c>
      <c r="C7" s="192">
        <f t="shared" si="1"/>
        <v>17</v>
      </c>
      <c r="D7" s="193">
        <f t="shared" si="0"/>
        <v>0.45945945945945948</v>
      </c>
      <c r="E7" s="194">
        <v>2</v>
      </c>
      <c r="F7" s="194">
        <v>0</v>
      </c>
      <c r="G7" s="194">
        <v>2</v>
      </c>
      <c r="H7" s="194">
        <v>0</v>
      </c>
      <c r="I7" s="194">
        <v>2</v>
      </c>
      <c r="J7" s="194">
        <v>1</v>
      </c>
      <c r="K7" s="194">
        <v>2</v>
      </c>
      <c r="L7" s="194">
        <v>0</v>
      </c>
      <c r="M7" s="194">
        <v>2</v>
      </c>
      <c r="N7" s="194">
        <v>0</v>
      </c>
      <c r="O7" s="194">
        <v>2</v>
      </c>
      <c r="P7" s="194">
        <v>2</v>
      </c>
      <c r="Q7" s="194">
        <v>2</v>
      </c>
      <c r="R7" s="194">
        <v>2</v>
      </c>
      <c r="S7" s="194">
        <v>2</v>
      </c>
      <c r="T7" s="194">
        <v>1</v>
      </c>
      <c r="U7" s="194">
        <v>2</v>
      </c>
      <c r="V7" s="194">
        <v>1</v>
      </c>
      <c r="W7" s="194">
        <v>2</v>
      </c>
      <c r="X7" s="194">
        <v>1</v>
      </c>
      <c r="Y7" s="194">
        <v>2</v>
      </c>
      <c r="Z7" s="194">
        <v>0</v>
      </c>
      <c r="AA7" s="194">
        <v>2</v>
      </c>
      <c r="AB7" s="194">
        <v>0</v>
      </c>
      <c r="AC7" s="194">
        <v>2</v>
      </c>
      <c r="AD7" s="194">
        <v>0</v>
      </c>
      <c r="AE7" s="194">
        <v>2</v>
      </c>
      <c r="AF7" s="195">
        <v>1</v>
      </c>
      <c r="AG7" s="194">
        <v>2</v>
      </c>
      <c r="AH7" s="194">
        <v>1</v>
      </c>
      <c r="AI7" s="194">
        <v>2</v>
      </c>
      <c r="AJ7" s="194">
        <v>1</v>
      </c>
      <c r="AK7" s="194">
        <v>2</v>
      </c>
      <c r="AL7" s="194">
        <v>1</v>
      </c>
      <c r="AM7" s="194">
        <v>2</v>
      </c>
      <c r="AN7" s="194">
        <v>5</v>
      </c>
      <c r="AO7" s="194">
        <v>2</v>
      </c>
      <c r="AP7" s="194">
        <v>0</v>
      </c>
      <c r="AQ7" s="194">
        <v>2</v>
      </c>
      <c r="AR7" s="194">
        <v>0</v>
      </c>
    </row>
    <row r="8" spans="1:44">
      <c r="A8" s="191" t="s">
        <v>10</v>
      </c>
      <c r="B8" s="192">
        <v>22</v>
      </c>
      <c r="C8" s="192">
        <f t="shared" si="1"/>
        <v>22</v>
      </c>
      <c r="D8" s="193">
        <f t="shared" si="0"/>
        <v>1</v>
      </c>
      <c r="E8" s="194">
        <v>2</v>
      </c>
      <c r="F8" s="194">
        <v>0</v>
      </c>
      <c r="G8" s="194">
        <v>2</v>
      </c>
      <c r="H8" s="194">
        <v>1</v>
      </c>
      <c r="I8" s="194">
        <v>1</v>
      </c>
      <c r="J8" s="194">
        <v>0</v>
      </c>
      <c r="K8" s="194">
        <v>1</v>
      </c>
      <c r="L8" s="194">
        <v>3</v>
      </c>
      <c r="M8" s="194">
        <v>1</v>
      </c>
      <c r="N8" s="194">
        <v>2</v>
      </c>
      <c r="O8" s="194">
        <v>1</v>
      </c>
      <c r="P8" s="194">
        <v>1</v>
      </c>
      <c r="Q8" s="194">
        <v>1</v>
      </c>
      <c r="R8" s="194">
        <v>1</v>
      </c>
      <c r="S8" s="194">
        <v>1</v>
      </c>
      <c r="T8" s="194">
        <v>3</v>
      </c>
      <c r="U8" s="194">
        <v>1</v>
      </c>
      <c r="V8" s="194">
        <v>0</v>
      </c>
      <c r="W8" s="194">
        <v>1</v>
      </c>
      <c r="X8" s="194">
        <v>2</v>
      </c>
      <c r="Y8" s="194">
        <v>1</v>
      </c>
      <c r="Z8" s="194">
        <v>0</v>
      </c>
      <c r="AA8" s="194">
        <v>1</v>
      </c>
      <c r="AB8" s="194">
        <v>0</v>
      </c>
      <c r="AC8" s="194">
        <v>1</v>
      </c>
      <c r="AD8" s="194">
        <v>3</v>
      </c>
      <c r="AE8" s="194">
        <v>1</v>
      </c>
      <c r="AF8" s="195">
        <v>1</v>
      </c>
      <c r="AG8" s="194">
        <v>1</v>
      </c>
      <c r="AH8" s="195">
        <v>1</v>
      </c>
      <c r="AI8" s="194">
        <v>1</v>
      </c>
      <c r="AJ8" s="195">
        <v>0</v>
      </c>
      <c r="AK8" s="194">
        <v>1</v>
      </c>
      <c r="AL8" s="195">
        <v>2</v>
      </c>
      <c r="AM8" s="194">
        <v>1</v>
      </c>
      <c r="AN8" s="195">
        <v>1</v>
      </c>
      <c r="AO8" s="194">
        <v>1</v>
      </c>
      <c r="AP8" s="195">
        <v>1</v>
      </c>
      <c r="AQ8" s="194">
        <v>1</v>
      </c>
      <c r="AR8" s="195">
        <v>0</v>
      </c>
    </row>
    <row r="9" spans="1:44">
      <c r="A9" s="196" t="s">
        <v>11</v>
      </c>
      <c r="B9" s="197">
        <f>SUM(B4:B8)</f>
        <v>214</v>
      </c>
      <c r="C9" s="197">
        <f>SUM(C4:C8)</f>
        <v>73</v>
      </c>
      <c r="D9" s="198">
        <f t="shared" si="0"/>
        <v>0.34112149532710279</v>
      </c>
      <c r="E9" s="185">
        <f>SUM(E4:E8)</f>
        <v>13</v>
      </c>
      <c r="F9" s="185">
        <f>SUM(F4:F8)</f>
        <v>2</v>
      </c>
      <c r="G9" s="185">
        <f>SUM(G4:G8)</f>
        <v>13</v>
      </c>
      <c r="H9" s="185">
        <f t="shared" ref="H9:Z9" si="2">SUM(H4:H8)</f>
        <v>1</v>
      </c>
      <c r="I9" s="185">
        <f t="shared" si="2"/>
        <v>12</v>
      </c>
      <c r="J9" s="185">
        <f t="shared" si="2"/>
        <v>1</v>
      </c>
      <c r="K9" s="185">
        <f t="shared" si="2"/>
        <v>12</v>
      </c>
      <c r="L9" s="185">
        <f t="shared" si="2"/>
        <v>3</v>
      </c>
      <c r="M9" s="185">
        <f t="shared" si="2"/>
        <v>12</v>
      </c>
      <c r="N9" s="185">
        <f t="shared" si="2"/>
        <v>2</v>
      </c>
      <c r="O9" s="185">
        <f t="shared" si="2"/>
        <v>12</v>
      </c>
      <c r="P9" s="185">
        <f t="shared" si="2"/>
        <v>5</v>
      </c>
      <c r="Q9" s="185">
        <f t="shared" si="2"/>
        <v>12</v>
      </c>
      <c r="R9" s="185">
        <f t="shared" si="2"/>
        <v>3</v>
      </c>
      <c r="S9" s="185">
        <f t="shared" si="2"/>
        <v>12</v>
      </c>
      <c r="T9" s="185">
        <f t="shared" si="2"/>
        <v>5</v>
      </c>
      <c r="U9" s="185">
        <f t="shared" si="2"/>
        <v>12</v>
      </c>
      <c r="V9" s="185">
        <f t="shared" si="2"/>
        <v>2</v>
      </c>
      <c r="W9" s="185">
        <f t="shared" si="2"/>
        <v>12</v>
      </c>
      <c r="X9" s="185">
        <f t="shared" si="2"/>
        <v>4</v>
      </c>
      <c r="Y9" s="185">
        <f t="shared" si="2"/>
        <v>12</v>
      </c>
      <c r="Z9" s="185">
        <f t="shared" si="2"/>
        <v>8</v>
      </c>
      <c r="AA9" s="185">
        <f>SUM(AA4:AA8)</f>
        <v>12</v>
      </c>
      <c r="AB9" s="185">
        <f t="shared" ref="AB9:AD9" si="3">SUM(AB4:AB8)</f>
        <v>0</v>
      </c>
      <c r="AC9" s="185">
        <f>SUM(AC4:AC8)</f>
        <v>12</v>
      </c>
      <c r="AD9" s="185">
        <f t="shared" si="3"/>
        <v>5</v>
      </c>
      <c r="AE9" s="185">
        <f>SUM(AE4:AE8)</f>
        <v>12</v>
      </c>
      <c r="AF9" s="185">
        <f t="shared" ref="AF9:AH9" si="4">SUM(AF4:AF8)</f>
        <v>6</v>
      </c>
      <c r="AG9" s="185">
        <f>SUM(AG4:AG8)</f>
        <v>12</v>
      </c>
      <c r="AH9" s="185">
        <f t="shared" si="4"/>
        <v>4</v>
      </c>
      <c r="AI9" s="185">
        <f>SUM(AI4:AI8)</f>
        <v>12</v>
      </c>
      <c r="AJ9" s="185">
        <f t="shared" ref="AJ9:AL9" si="5">SUM(AJ4:AJ8)</f>
        <v>2</v>
      </c>
      <c r="AK9" s="185">
        <f>SUM(AK4:AK8)</f>
        <v>12</v>
      </c>
      <c r="AL9" s="185">
        <f t="shared" si="5"/>
        <v>7</v>
      </c>
      <c r="AM9" s="185">
        <f>SUM(AM4:AM8)</f>
        <v>12</v>
      </c>
      <c r="AN9" s="185">
        <f t="shared" ref="AN9" si="6">SUM(AN4:AN8)</f>
        <v>10</v>
      </c>
      <c r="AO9" s="185">
        <f>SUM(AO4:AO8)</f>
        <v>12</v>
      </c>
      <c r="AP9" s="185">
        <f>SUM(AP4:AP8)</f>
        <v>3</v>
      </c>
      <c r="AQ9" s="185">
        <f>SUM(AQ4:AQ8)</f>
        <v>12</v>
      </c>
      <c r="AR9" s="185">
        <f t="shared" ref="AR9" si="7">SUM(AR4:AR8)</f>
        <v>0</v>
      </c>
    </row>
    <row r="10" spans="1:44" s="184" customFormat="1">
      <c r="A10" s="37" t="s">
        <v>12</v>
      </c>
      <c r="B10" s="39">
        <f>C9+G25</f>
        <v>243</v>
      </c>
      <c r="C10" s="199"/>
      <c r="D10" s="200"/>
      <c r="E10" s="199"/>
      <c r="F10" s="199"/>
      <c r="G10" s="199"/>
      <c r="H10" s="199"/>
      <c r="I10" s="199"/>
      <c r="J10" s="199"/>
      <c r="K10" s="199"/>
      <c r="L10" s="199"/>
      <c r="M10" s="199"/>
      <c r="N10" s="199"/>
      <c r="O10" s="199"/>
      <c r="P10" s="199"/>
      <c r="Q10" s="199"/>
      <c r="R10" s="199"/>
      <c r="S10" s="199"/>
      <c r="T10" s="199"/>
      <c r="U10" s="199"/>
      <c r="V10" s="199"/>
      <c r="W10" s="199"/>
      <c r="X10" s="199"/>
      <c r="Y10" s="199"/>
      <c r="Z10" s="199"/>
      <c r="AA10" s="199"/>
      <c r="AB10" s="199"/>
      <c r="AC10" s="199"/>
      <c r="AD10" s="199"/>
      <c r="AE10" s="199"/>
      <c r="AF10" s="199"/>
      <c r="AG10" s="199"/>
      <c r="AH10" s="199"/>
      <c r="AI10" s="199"/>
      <c r="AJ10" s="199"/>
      <c r="AK10" s="199"/>
      <c r="AL10" s="199"/>
      <c r="AM10" s="199"/>
      <c r="AN10" s="199"/>
      <c r="AO10" s="199"/>
      <c r="AP10" s="199"/>
      <c r="AQ10" s="199"/>
      <c r="AR10" s="199"/>
    </row>
    <row r="11" spans="1:44">
      <c r="A11" s="37" t="s">
        <v>13</v>
      </c>
      <c r="B11" s="39">
        <f>B10-B9</f>
        <v>29</v>
      </c>
      <c r="C11" s="201"/>
    </row>
    <row r="12" spans="1:44" ht="12.6" thickBot="1"/>
    <row r="13" spans="1:44" ht="15" thickBot="1">
      <c r="A13" s="256" t="s">
        <v>341</v>
      </c>
      <c r="B13" s="257"/>
      <c r="C13" s="257"/>
      <c r="D13" s="257"/>
      <c r="E13" s="257"/>
      <c r="F13" s="257"/>
      <c r="G13" s="258"/>
    </row>
    <row r="14" spans="1:44">
      <c r="A14" s="202" t="s">
        <v>14</v>
      </c>
      <c r="B14" s="203" t="s">
        <v>55</v>
      </c>
      <c r="C14" s="204" t="s">
        <v>6</v>
      </c>
      <c r="D14" s="204" t="s">
        <v>7</v>
      </c>
      <c r="E14" s="204" t="s">
        <v>9</v>
      </c>
      <c r="F14" s="204" t="s">
        <v>10</v>
      </c>
      <c r="G14" s="204" t="s">
        <v>11</v>
      </c>
      <c r="N14" s="205"/>
      <c r="O14" s="205"/>
      <c r="P14" s="205"/>
      <c r="Q14" s="205"/>
      <c r="R14" s="205"/>
      <c r="S14" s="205"/>
      <c r="T14" s="205"/>
      <c r="U14" s="205"/>
      <c r="V14" s="205"/>
      <c r="W14" s="205"/>
      <c r="X14" s="205"/>
    </row>
    <row r="15" spans="1:44" ht="15" customHeight="1">
      <c r="A15" s="206" t="s">
        <v>15</v>
      </c>
      <c r="B15" s="207">
        <v>3</v>
      </c>
      <c r="C15" s="207">
        <v>1</v>
      </c>
      <c r="D15" s="207">
        <v>1</v>
      </c>
      <c r="E15" s="207">
        <v>6</v>
      </c>
      <c r="F15" s="207">
        <v>11</v>
      </c>
      <c r="G15" s="208">
        <f>SUM(B15:F15)</f>
        <v>22</v>
      </c>
    </row>
    <row r="16" spans="1:44" ht="15" customHeight="1">
      <c r="A16" s="206" t="s">
        <v>16</v>
      </c>
      <c r="B16" s="207">
        <v>2</v>
      </c>
      <c r="C16" s="207">
        <v>3</v>
      </c>
      <c r="D16" s="207">
        <v>0</v>
      </c>
      <c r="E16" s="207">
        <v>10</v>
      </c>
      <c r="F16" s="207">
        <v>6</v>
      </c>
      <c r="G16" s="208">
        <f>SUM(B16:F16)</f>
        <v>21</v>
      </c>
      <c r="K16" s="205"/>
      <c r="L16" s="205"/>
      <c r="M16" s="205"/>
    </row>
    <row r="17" spans="1:16" ht="15" customHeight="1">
      <c r="A17" s="206" t="s">
        <v>17</v>
      </c>
      <c r="B17" s="207">
        <v>36</v>
      </c>
      <c r="C17" s="207">
        <v>0</v>
      </c>
      <c r="D17" s="207">
        <v>1</v>
      </c>
      <c r="E17" s="207">
        <v>0</v>
      </c>
      <c r="F17" s="207">
        <v>2</v>
      </c>
      <c r="G17" s="208">
        <f>SUM(B17:F17)</f>
        <v>39</v>
      </c>
      <c r="J17" s="209"/>
    </row>
    <row r="18" spans="1:16" ht="15" customHeight="1">
      <c r="A18" s="206" t="s">
        <v>18</v>
      </c>
      <c r="B18" s="207">
        <v>0</v>
      </c>
      <c r="C18" s="207">
        <v>1</v>
      </c>
      <c r="D18" s="207">
        <v>0</v>
      </c>
      <c r="E18" s="207">
        <v>0</v>
      </c>
      <c r="F18" s="207">
        <v>2</v>
      </c>
      <c r="G18" s="208">
        <f>SUM(B18:F18)</f>
        <v>3</v>
      </c>
    </row>
    <row r="19" spans="1:16" ht="15" customHeight="1">
      <c r="A19" s="203" t="s">
        <v>19</v>
      </c>
      <c r="B19" s="203" t="s">
        <v>55</v>
      </c>
      <c r="C19" s="204" t="s">
        <v>6</v>
      </c>
      <c r="D19" s="204" t="s">
        <v>7</v>
      </c>
      <c r="E19" s="204" t="s">
        <v>9</v>
      </c>
      <c r="F19" s="204" t="s">
        <v>10</v>
      </c>
      <c r="G19" s="204" t="s">
        <v>11</v>
      </c>
    </row>
    <row r="20" spans="1:16" ht="15" customHeight="1">
      <c r="A20" s="206" t="s">
        <v>51</v>
      </c>
      <c r="B20" s="207">
        <v>238</v>
      </c>
      <c r="C20" s="207">
        <v>181</v>
      </c>
      <c r="D20" s="207">
        <v>241</v>
      </c>
      <c r="E20" s="207">
        <v>149</v>
      </c>
      <c r="F20" s="211">
        <v>85</v>
      </c>
      <c r="G20" s="208">
        <f t="shared" ref="G20:G28" si="8">SUM(B20:F20)</f>
        <v>894</v>
      </c>
      <c r="P20" s="54"/>
    </row>
    <row r="21" spans="1:16" ht="15" customHeight="1">
      <c r="A21" s="206" t="s">
        <v>21</v>
      </c>
      <c r="B21" s="207">
        <v>62</v>
      </c>
      <c r="C21" s="207">
        <v>40</v>
      </c>
      <c r="D21" s="207">
        <v>25</v>
      </c>
      <c r="E21" s="207">
        <v>44</v>
      </c>
      <c r="F21" s="211">
        <v>27</v>
      </c>
      <c r="G21" s="208">
        <f t="shared" si="8"/>
        <v>198</v>
      </c>
      <c r="J21" s="209"/>
    </row>
    <row r="22" spans="1:16" s="213" customFormat="1" ht="15" customHeight="1">
      <c r="A22" s="206" t="s">
        <v>22</v>
      </c>
      <c r="B22" s="207">
        <v>25</v>
      </c>
      <c r="C22" s="207">
        <v>7</v>
      </c>
      <c r="D22" s="207">
        <v>5</v>
      </c>
      <c r="E22" s="207">
        <v>15</v>
      </c>
      <c r="F22" s="211">
        <v>12</v>
      </c>
      <c r="G22" s="208">
        <f t="shared" si="8"/>
        <v>64</v>
      </c>
      <c r="H22" s="212"/>
      <c r="K22" s="210"/>
    </row>
    <row r="23" spans="1:16" ht="15" customHeight="1">
      <c r="A23" s="206" t="s">
        <v>73</v>
      </c>
      <c r="B23" s="207">
        <v>4</v>
      </c>
      <c r="C23" s="207">
        <v>0</v>
      </c>
      <c r="D23" s="207">
        <v>0</v>
      </c>
      <c r="E23" s="207">
        <v>0</v>
      </c>
      <c r="F23" s="211">
        <v>0</v>
      </c>
      <c r="G23" s="208">
        <f t="shared" si="8"/>
        <v>4</v>
      </c>
      <c r="K23" s="210"/>
    </row>
    <row r="24" spans="1:16" ht="15" customHeight="1">
      <c r="A24" s="206" t="s">
        <v>23</v>
      </c>
      <c r="B24" s="207">
        <v>8</v>
      </c>
      <c r="C24" s="207">
        <v>3</v>
      </c>
      <c r="D24" s="207">
        <v>17</v>
      </c>
      <c r="E24" s="207">
        <v>6</v>
      </c>
      <c r="F24" s="211">
        <v>3</v>
      </c>
      <c r="G24" s="208">
        <f t="shared" si="8"/>
        <v>37</v>
      </c>
    </row>
    <row r="25" spans="1:16" ht="15" customHeight="1">
      <c r="A25" s="206" t="s">
        <v>24</v>
      </c>
      <c r="B25" s="207">
        <v>62</v>
      </c>
      <c r="C25" s="207">
        <v>34</v>
      </c>
      <c r="D25" s="207">
        <v>18</v>
      </c>
      <c r="E25" s="207">
        <v>34</v>
      </c>
      <c r="F25" s="211">
        <v>22</v>
      </c>
      <c r="G25" s="208">
        <f>SUM(B25:F25)</f>
        <v>170</v>
      </c>
      <c r="H25" s="209"/>
    </row>
    <row r="26" spans="1:16" ht="15" customHeight="1">
      <c r="A26" s="206" t="s">
        <v>25</v>
      </c>
      <c r="B26" s="207">
        <v>25</v>
      </c>
      <c r="C26" s="207">
        <v>10</v>
      </c>
      <c r="D26" s="207">
        <v>2</v>
      </c>
      <c r="E26" s="207">
        <v>18</v>
      </c>
      <c r="F26" s="211">
        <v>2</v>
      </c>
      <c r="G26" s="208">
        <f t="shared" si="8"/>
        <v>57</v>
      </c>
      <c r="H26" s="209"/>
    </row>
    <row r="27" spans="1:16" ht="15" customHeight="1">
      <c r="A27" s="206" t="s">
        <v>26</v>
      </c>
      <c r="B27" s="207">
        <v>3</v>
      </c>
      <c r="C27" s="207">
        <v>2</v>
      </c>
      <c r="D27" s="207">
        <v>2</v>
      </c>
      <c r="E27" s="207">
        <v>5</v>
      </c>
      <c r="F27" s="211">
        <v>8</v>
      </c>
      <c r="G27" s="208">
        <f t="shared" si="8"/>
        <v>20</v>
      </c>
      <c r="H27" s="209"/>
    </row>
    <row r="28" spans="1:16" ht="15" customHeight="1">
      <c r="A28" s="206" t="s">
        <v>334</v>
      </c>
      <c r="B28" s="195">
        <v>20</v>
      </c>
      <c r="C28" s="214">
        <v>11</v>
      </c>
      <c r="D28" s="214">
        <v>3</v>
      </c>
      <c r="E28" s="214">
        <v>17</v>
      </c>
      <c r="F28" s="215">
        <v>22</v>
      </c>
      <c r="G28" s="208">
        <f t="shared" si="8"/>
        <v>73</v>
      </c>
    </row>
    <row r="29" spans="1:16" ht="15" customHeight="1">
      <c r="A29" s="206" t="s">
        <v>335</v>
      </c>
      <c r="B29" s="216">
        <v>373</v>
      </c>
      <c r="C29" s="217">
        <v>249</v>
      </c>
      <c r="D29" s="217">
        <v>333</v>
      </c>
      <c r="E29" s="217">
        <v>307</v>
      </c>
      <c r="F29" s="218">
        <v>179</v>
      </c>
      <c r="G29" s="208">
        <f>SUM(B29:F29)</f>
        <v>1441</v>
      </c>
    </row>
    <row r="30" spans="1:16">
      <c r="A30" s="219" t="s">
        <v>11</v>
      </c>
      <c r="B30" s="220">
        <f>SUM(B15:B27)</f>
        <v>468</v>
      </c>
      <c r="C30" s="220">
        <f>SUM(C15:C27)</f>
        <v>282</v>
      </c>
      <c r="D30" s="220">
        <f>SUM(D15:D29)</f>
        <v>648</v>
      </c>
      <c r="E30" s="220">
        <f>SUM(E15:E27)</f>
        <v>287</v>
      </c>
      <c r="F30" s="220">
        <f>SUM(F15:F27)</f>
        <v>180</v>
      </c>
      <c r="G30" s="221"/>
    </row>
    <row r="33" spans="1:26" ht="12.6" thickBot="1">
      <c r="A33" s="260" t="s">
        <v>336</v>
      </c>
      <c r="B33" s="261"/>
      <c r="C33" s="261"/>
      <c r="D33" s="262"/>
      <c r="E33" s="263">
        <v>15</v>
      </c>
      <c r="F33" s="263"/>
      <c r="G33" s="263">
        <v>16</v>
      </c>
      <c r="H33" s="263"/>
      <c r="I33" s="263">
        <v>17</v>
      </c>
      <c r="J33" s="263"/>
      <c r="K33" s="263">
        <v>20</v>
      </c>
      <c r="L33" s="263"/>
      <c r="M33" s="259">
        <v>22</v>
      </c>
      <c r="N33" s="259"/>
      <c r="O33" s="259">
        <v>23</v>
      </c>
      <c r="P33" s="259"/>
      <c r="Q33" s="259">
        <v>24</v>
      </c>
      <c r="R33" s="259"/>
      <c r="S33" s="259">
        <v>27</v>
      </c>
      <c r="T33" s="259"/>
      <c r="U33" s="259">
        <v>28</v>
      </c>
      <c r="V33" s="259"/>
      <c r="W33" s="259">
        <v>29</v>
      </c>
      <c r="X33" s="259"/>
      <c r="Y33" s="259">
        <v>30</v>
      </c>
      <c r="Z33" s="259"/>
    </row>
    <row r="34" spans="1:26">
      <c r="A34" s="222" t="s">
        <v>1</v>
      </c>
      <c r="B34" s="222" t="s">
        <v>2</v>
      </c>
      <c r="C34" s="222" t="s">
        <v>3</v>
      </c>
      <c r="D34" s="223" t="s">
        <v>4</v>
      </c>
      <c r="E34" s="189" t="s">
        <v>2</v>
      </c>
      <c r="F34" s="190" t="s">
        <v>5</v>
      </c>
      <c r="G34" s="189" t="s">
        <v>2</v>
      </c>
      <c r="H34" s="190" t="s">
        <v>5</v>
      </c>
      <c r="I34" s="189" t="s">
        <v>2</v>
      </c>
      <c r="J34" s="190" t="s">
        <v>5</v>
      </c>
      <c r="K34" s="189" t="s">
        <v>2</v>
      </c>
      <c r="L34" s="190" t="s">
        <v>5</v>
      </c>
      <c r="M34" s="189" t="s">
        <v>2</v>
      </c>
      <c r="N34" s="190" t="s">
        <v>5</v>
      </c>
      <c r="O34" s="189" t="s">
        <v>2</v>
      </c>
      <c r="P34" s="190" t="s">
        <v>5</v>
      </c>
      <c r="Q34" s="189" t="s">
        <v>2</v>
      </c>
      <c r="R34" s="190" t="s">
        <v>5</v>
      </c>
      <c r="S34" s="189" t="s">
        <v>2</v>
      </c>
      <c r="T34" s="190" t="s">
        <v>5</v>
      </c>
      <c r="U34" s="189" t="s">
        <v>2</v>
      </c>
      <c r="V34" s="190" t="s">
        <v>5</v>
      </c>
      <c r="W34" s="189" t="s">
        <v>2</v>
      </c>
      <c r="X34" s="190" t="s">
        <v>5</v>
      </c>
      <c r="Y34" s="189" t="s">
        <v>2</v>
      </c>
      <c r="Z34" s="190" t="s">
        <v>5</v>
      </c>
    </row>
    <row r="35" spans="1:26">
      <c r="A35" s="191" t="s">
        <v>55</v>
      </c>
      <c r="B35" s="224">
        <v>360</v>
      </c>
      <c r="C35" s="224">
        <f>F35+H35+J35+L35+N35+P35+R35+T35+V35+X35+Z35</f>
        <v>295</v>
      </c>
      <c r="D35" s="225">
        <f t="shared" ref="D35:D40" si="9">C35/B35</f>
        <v>0.81944444444444442</v>
      </c>
      <c r="E35" s="194">
        <v>33</v>
      </c>
      <c r="F35" s="194">
        <v>33</v>
      </c>
      <c r="G35" s="194">
        <v>33</v>
      </c>
      <c r="H35" s="194">
        <v>32</v>
      </c>
      <c r="I35" s="194">
        <v>33</v>
      </c>
      <c r="J35" s="194">
        <v>0</v>
      </c>
      <c r="K35" s="194">
        <v>33</v>
      </c>
      <c r="L35" s="194">
        <v>33</v>
      </c>
      <c r="M35" s="194">
        <v>33</v>
      </c>
      <c r="N35" s="194">
        <v>33</v>
      </c>
      <c r="O35" s="194">
        <v>33</v>
      </c>
      <c r="P35" s="194">
        <v>0</v>
      </c>
      <c r="Q35" s="194">
        <v>33</v>
      </c>
      <c r="R35" s="194">
        <v>0</v>
      </c>
      <c r="S35" s="194">
        <v>33</v>
      </c>
      <c r="T35" s="194">
        <v>32</v>
      </c>
      <c r="U35" s="194">
        <v>33</v>
      </c>
      <c r="V35" s="194">
        <v>31</v>
      </c>
      <c r="W35" s="194">
        <v>33</v>
      </c>
      <c r="X35" s="194">
        <v>31</v>
      </c>
      <c r="Y35" s="194">
        <v>33</v>
      </c>
      <c r="Z35" s="194">
        <v>70</v>
      </c>
    </row>
    <row r="36" spans="1:26">
      <c r="A36" s="191" t="s">
        <v>6</v>
      </c>
      <c r="B36" s="224">
        <v>197</v>
      </c>
      <c r="C36" s="224">
        <f t="shared" ref="C36:C39" si="10">F36+H36+J36+L36+N36+P36+R36+T36+V36+X36+Z36</f>
        <v>185</v>
      </c>
      <c r="D36" s="225">
        <f t="shared" si="9"/>
        <v>0.93908629441624369</v>
      </c>
      <c r="E36" s="194">
        <v>18</v>
      </c>
      <c r="F36" s="194">
        <v>7</v>
      </c>
      <c r="G36" s="194">
        <v>18</v>
      </c>
      <c r="H36" s="194">
        <v>14</v>
      </c>
      <c r="I36" s="194">
        <v>18</v>
      </c>
      <c r="J36" s="194">
        <v>2</v>
      </c>
      <c r="K36" s="194">
        <v>18</v>
      </c>
      <c r="L36" s="194">
        <v>20</v>
      </c>
      <c r="M36" s="194">
        <v>18</v>
      </c>
      <c r="N36" s="194">
        <v>23</v>
      </c>
      <c r="O36" s="194">
        <v>18</v>
      </c>
      <c r="P36" s="194">
        <v>1</v>
      </c>
      <c r="Q36" s="194">
        <v>18</v>
      </c>
      <c r="R36" s="195">
        <v>31</v>
      </c>
      <c r="S36" s="194">
        <v>18</v>
      </c>
      <c r="T36" s="194">
        <v>16</v>
      </c>
      <c r="U36" s="194">
        <v>18</v>
      </c>
      <c r="V36" s="194">
        <v>18</v>
      </c>
      <c r="W36" s="194">
        <v>18</v>
      </c>
      <c r="X36" s="194">
        <v>23</v>
      </c>
      <c r="Y36" s="194">
        <v>18</v>
      </c>
      <c r="Z36" s="194">
        <v>30</v>
      </c>
    </row>
    <row r="37" spans="1:26">
      <c r="A37" s="191" t="s">
        <v>7</v>
      </c>
      <c r="B37" s="224">
        <v>218</v>
      </c>
      <c r="C37" s="224">
        <f t="shared" si="10"/>
        <v>218</v>
      </c>
      <c r="D37" s="225">
        <f t="shared" si="9"/>
        <v>1</v>
      </c>
      <c r="E37" s="194">
        <v>20</v>
      </c>
      <c r="F37" s="194">
        <v>20</v>
      </c>
      <c r="G37" s="194">
        <v>20</v>
      </c>
      <c r="H37" s="194">
        <v>26</v>
      </c>
      <c r="I37" s="194">
        <v>20</v>
      </c>
      <c r="J37" s="194">
        <v>22</v>
      </c>
      <c r="K37" s="194">
        <v>20</v>
      </c>
      <c r="L37" s="194">
        <v>21</v>
      </c>
      <c r="M37" s="194">
        <v>20</v>
      </c>
      <c r="N37" s="194">
        <v>25</v>
      </c>
      <c r="O37" s="194">
        <v>20</v>
      </c>
      <c r="P37" s="194">
        <v>20</v>
      </c>
      <c r="Q37" s="194">
        <v>20</v>
      </c>
      <c r="R37" s="195">
        <v>26</v>
      </c>
      <c r="S37" s="194">
        <v>20</v>
      </c>
      <c r="T37" s="194">
        <v>12</v>
      </c>
      <c r="U37" s="194">
        <v>20</v>
      </c>
      <c r="V37" s="194">
        <v>22</v>
      </c>
      <c r="W37" s="194">
        <v>20</v>
      </c>
      <c r="X37" s="194">
        <v>23</v>
      </c>
      <c r="Y37" s="194">
        <v>20</v>
      </c>
      <c r="Z37" s="194">
        <v>1</v>
      </c>
    </row>
    <row r="38" spans="1:26">
      <c r="A38" s="191" t="s">
        <v>9</v>
      </c>
      <c r="B38" s="224">
        <v>187</v>
      </c>
      <c r="C38" s="224">
        <f t="shared" si="10"/>
        <v>190</v>
      </c>
      <c r="D38" s="225">
        <f t="shared" si="9"/>
        <v>1.0160427807486632</v>
      </c>
      <c r="E38" s="194">
        <v>17</v>
      </c>
      <c r="F38" s="194">
        <v>20</v>
      </c>
      <c r="G38" s="194">
        <v>17</v>
      </c>
      <c r="H38" s="194">
        <v>17</v>
      </c>
      <c r="I38" s="194">
        <v>17</v>
      </c>
      <c r="J38" s="194">
        <v>12</v>
      </c>
      <c r="K38" s="194">
        <v>17</v>
      </c>
      <c r="L38" s="194">
        <v>0</v>
      </c>
      <c r="M38" s="194">
        <v>17</v>
      </c>
      <c r="N38" s="194">
        <v>17</v>
      </c>
      <c r="O38" s="194">
        <v>17</v>
      </c>
      <c r="P38" s="194">
        <v>23</v>
      </c>
      <c r="Q38" s="194">
        <v>17</v>
      </c>
      <c r="R38" s="195">
        <v>20</v>
      </c>
      <c r="S38" s="194">
        <v>17</v>
      </c>
      <c r="T38" s="194">
        <v>23</v>
      </c>
      <c r="U38" s="194">
        <v>17</v>
      </c>
      <c r="V38" s="194">
        <v>20</v>
      </c>
      <c r="W38" s="194">
        <v>17</v>
      </c>
      <c r="X38" s="194">
        <v>19</v>
      </c>
      <c r="Y38" s="194">
        <v>17</v>
      </c>
      <c r="Z38" s="194">
        <v>19</v>
      </c>
    </row>
    <row r="39" spans="1:26">
      <c r="A39" s="191" t="s">
        <v>10</v>
      </c>
      <c r="B39" s="224">
        <v>112</v>
      </c>
      <c r="C39" s="224">
        <f t="shared" si="10"/>
        <v>115</v>
      </c>
      <c r="D39" s="225">
        <f t="shared" si="9"/>
        <v>1.0267857142857142</v>
      </c>
      <c r="E39" s="194">
        <v>12</v>
      </c>
      <c r="F39" s="194">
        <v>12</v>
      </c>
      <c r="G39" s="194">
        <v>12</v>
      </c>
      <c r="H39" s="194">
        <v>13</v>
      </c>
      <c r="I39" s="194">
        <v>13</v>
      </c>
      <c r="J39" s="194">
        <v>0</v>
      </c>
      <c r="K39" s="194">
        <v>12</v>
      </c>
      <c r="L39" s="194">
        <v>1</v>
      </c>
      <c r="M39" s="194">
        <v>12</v>
      </c>
      <c r="N39" s="194">
        <v>4</v>
      </c>
      <c r="O39" s="194">
        <v>12</v>
      </c>
      <c r="P39" s="194">
        <v>15</v>
      </c>
      <c r="Q39" s="194">
        <v>12</v>
      </c>
      <c r="R39" s="195">
        <v>32</v>
      </c>
      <c r="S39" s="194">
        <v>12</v>
      </c>
      <c r="T39" s="194">
        <v>4</v>
      </c>
      <c r="U39" s="194">
        <v>12</v>
      </c>
      <c r="V39" s="194">
        <v>2</v>
      </c>
      <c r="W39" s="194">
        <v>12</v>
      </c>
      <c r="X39" s="194">
        <v>28</v>
      </c>
      <c r="Y39" s="194">
        <v>12</v>
      </c>
      <c r="Z39" s="194">
        <v>4</v>
      </c>
    </row>
    <row r="40" spans="1:26">
      <c r="A40" s="185" t="s">
        <v>11</v>
      </c>
      <c r="B40" s="185">
        <f>SUM(B35:B39)</f>
        <v>1074</v>
      </c>
      <c r="C40" s="185">
        <f>SUM(C35:C39)</f>
        <v>1003</v>
      </c>
      <c r="D40" s="226">
        <f t="shared" si="9"/>
        <v>0.93389199255121047</v>
      </c>
      <c r="E40" s="185">
        <f t="shared" ref="E40:Z40" si="11">SUM(E35:E39)</f>
        <v>100</v>
      </c>
      <c r="F40" s="185">
        <f t="shared" si="11"/>
        <v>92</v>
      </c>
      <c r="G40" s="185">
        <f t="shared" si="11"/>
        <v>100</v>
      </c>
      <c r="H40" s="185">
        <f t="shared" si="11"/>
        <v>102</v>
      </c>
      <c r="I40" s="185">
        <f t="shared" si="11"/>
        <v>101</v>
      </c>
      <c r="J40" s="185">
        <f t="shared" si="11"/>
        <v>36</v>
      </c>
      <c r="K40" s="185">
        <f t="shared" si="11"/>
        <v>100</v>
      </c>
      <c r="L40" s="185">
        <f t="shared" si="11"/>
        <v>75</v>
      </c>
      <c r="M40" s="185">
        <f t="shared" si="11"/>
        <v>100</v>
      </c>
      <c r="N40" s="185">
        <f t="shared" si="11"/>
        <v>102</v>
      </c>
      <c r="O40" s="185">
        <f t="shared" si="11"/>
        <v>100</v>
      </c>
      <c r="P40" s="185">
        <f t="shared" si="11"/>
        <v>59</v>
      </c>
      <c r="Q40" s="185">
        <f t="shared" si="11"/>
        <v>100</v>
      </c>
      <c r="R40" s="185">
        <f t="shared" si="11"/>
        <v>109</v>
      </c>
      <c r="S40" s="185">
        <f t="shared" si="11"/>
        <v>100</v>
      </c>
      <c r="T40" s="185">
        <f t="shared" si="11"/>
        <v>87</v>
      </c>
      <c r="U40" s="185">
        <f t="shared" si="11"/>
        <v>100</v>
      </c>
      <c r="V40" s="185">
        <f t="shared" si="11"/>
        <v>93</v>
      </c>
      <c r="W40" s="185">
        <f t="shared" si="11"/>
        <v>100</v>
      </c>
      <c r="X40" s="185">
        <f t="shared" si="11"/>
        <v>124</v>
      </c>
      <c r="Y40" s="185">
        <f t="shared" si="11"/>
        <v>100</v>
      </c>
      <c r="Z40" s="185">
        <f t="shared" si="11"/>
        <v>124</v>
      </c>
    </row>
    <row r="43" spans="1:26" ht="13.2">
      <c r="A43" s="61" t="s">
        <v>332</v>
      </c>
      <c r="B43" s="61" t="s">
        <v>329</v>
      </c>
      <c r="C43" s="210"/>
      <c r="D43" s="210"/>
    </row>
    <row r="44" spans="1:26" ht="13.2">
      <c r="A44" s="61" t="s">
        <v>55</v>
      </c>
      <c r="B44" s="62">
        <f>'EVOLUCAO DOS MESES'!C28</f>
        <v>8881.9274910000004</v>
      </c>
      <c r="C44" s="210"/>
      <c r="D44" s="210"/>
    </row>
    <row r="45" spans="1:26" ht="13.2">
      <c r="A45" s="61" t="s">
        <v>6</v>
      </c>
      <c r="B45" s="62">
        <f>'EVOLUCAO DOS MESES'!C29</f>
        <v>14368.270000000004</v>
      </c>
      <c r="C45" s="210"/>
      <c r="D45" s="210"/>
    </row>
    <row r="46" spans="1:26" ht="13.2">
      <c r="A46" s="61" t="s">
        <v>7</v>
      </c>
      <c r="B46" s="62">
        <f>'EVOLUCAO DOS MESES'!C30</f>
        <v>1344.6200000000001</v>
      </c>
      <c r="C46" s="210"/>
      <c r="D46" s="210"/>
    </row>
    <row r="47" spans="1:26" ht="13.2">
      <c r="A47" s="61" t="s">
        <v>8</v>
      </c>
      <c r="B47" s="62">
        <f>'EVOLUCAO DOS MESES'!C31</f>
        <v>0</v>
      </c>
      <c r="C47" s="210"/>
      <c r="D47" s="210"/>
    </row>
    <row r="48" spans="1:26" ht="13.2">
      <c r="A48" s="66" t="s">
        <v>56</v>
      </c>
      <c r="B48" s="62">
        <f>'EVOLUCAO DOS MESES'!C32</f>
        <v>31780.950000000004</v>
      </c>
    </row>
    <row r="49" spans="1:2" ht="13.2">
      <c r="A49" s="61" t="s">
        <v>10</v>
      </c>
      <c r="B49" s="62">
        <f>'EVOLUCAO DOS MESES'!C33</f>
        <v>40272.470000000008</v>
      </c>
    </row>
    <row r="50" spans="1:2" ht="13.2">
      <c r="A50" s="61" t="s">
        <v>342</v>
      </c>
      <c r="B50" s="62">
        <f>SUM(B44:B49)</f>
        <v>96648.237491000007</v>
      </c>
    </row>
  </sheetData>
  <mergeCells count="34">
    <mergeCell ref="AM2:AN2"/>
    <mergeCell ref="AA2:AB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W33:X33"/>
    <mergeCell ref="Y33:Z33"/>
    <mergeCell ref="AO2:AP2"/>
    <mergeCell ref="AQ2:AR2"/>
    <mergeCell ref="A33:D33"/>
    <mergeCell ref="E33:F33"/>
    <mergeCell ref="G33:H33"/>
    <mergeCell ref="I33:J33"/>
    <mergeCell ref="K33:L33"/>
    <mergeCell ref="M33:N33"/>
    <mergeCell ref="O33:P33"/>
    <mergeCell ref="AC2:AD2"/>
    <mergeCell ref="AE2:AF2"/>
    <mergeCell ref="AG2:AH2"/>
    <mergeCell ref="AI2:AJ2"/>
    <mergeCell ref="AK2:AL2"/>
    <mergeCell ref="A2:D2"/>
    <mergeCell ref="A13:G13"/>
    <mergeCell ref="Q33:R33"/>
    <mergeCell ref="S33:T33"/>
    <mergeCell ref="U33:V33"/>
  </mergeCells>
  <pageMargins left="0.511811024" right="0.511811024" top="0.78740157499999996" bottom="0.78740157499999996" header="0.31496062000000002" footer="0.3149606200000000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138C8-753C-4C9B-AEEF-41D018BDD9AA}">
  <sheetPr>
    <tabColor theme="8" tint="-0.249977111117893"/>
  </sheetPr>
  <dimension ref="A2:AR50"/>
  <sheetViews>
    <sheetView workbookViewId="0">
      <selection activeCell="A14" sqref="A14:G14"/>
    </sheetView>
  </sheetViews>
  <sheetFormatPr defaultColWidth="9.109375" defaultRowHeight="12"/>
  <cols>
    <col min="1" max="1" width="31.109375" style="30" customWidth="1"/>
    <col min="2" max="2" width="14.33203125" style="37" bestFit="1" customWidth="1"/>
    <col min="3" max="3" width="8.33203125" style="30" customWidth="1"/>
    <col min="4" max="4" width="9.109375" style="30"/>
    <col min="5" max="5" width="8.44140625" style="30" customWidth="1"/>
    <col min="6" max="6" width="9.109375" style="30"/>
    <col min="7" max="7" width="10.33203125" style="30" customWidth="1"/>
    <col min="8" max="9" width="10.6640625" style="30" customWidth="1"/>
    <col min="10" max="10" width="12.33203125" style="30" customWidth="1"/>
    <col min="11" max="20" width="10.6640625" style="30" customWidth="1"/>
    <col min="21" max="16384" width="9.109375" style="30"/>
  </cols>
  <sheetData>
    <row r="2" spans="1:44" ht="12.6" thickBot="1">
      <c r="A2" s="186" t="s">
        <v>329</v>
      </c>
      <c r="B2" s="249">
        <f>'EVOLUCAO DOS MESES'!D12</f>
        <v>30682.985000000001</v>
      </c>
    </row>
    <row r="3" spans="1:44" ht="12.6" thickBot="1">
      <c r="A3" s="253" t="s">
        <v>337</v>
      </c>
      <c r="B3" s="254"/>
      <c r="C3" s="254"/>
      <c r="D3" s="255"/>
      <c r="E3" s="268">
        <v>4</v>
      </c>
      <c r="F3" s="267"/>
      <c r="G3" s="265">
        <v>5</v>
      </c>
      <c r="H3" s="265"/>
      <c r="I3" s="265">
        <v>6</v>
      </c>
      <c r="J3" s="265"/>
      <c r="K3" s="265">
        <v>7</v>
      </c>
      <c r="L3" s="265"/>
      <c r="M3" s="265">
        <v>8</v>
      </c>
      <c r="N3" s="265"/>
      <c r="O3" s="265">
        <v>11</v>
      </c>
      <c r="P3" s="265"/>
      <c r="Q3" s="264">
        <v>12</v>
      </c>
      <c r="R3" s="264"/>
      <c r="S3" s="264">
        <v>13</v>
      </c>
      <c r="T3" s="264"/>
      <c r="U3" s="264">
        <v>14</v>
      </c>
      <c r="V3" s="264"/>
      <c r="W3" s="264">
        <v>15</v>
      </c>
      <c r="X3" s="264"/>
      <c r="Y3" s="265">
        <v>18</v>
      </c>
      <c r="Z3" s="265"/>
      <c r="AA3" s="265">
        <v>19</v>
      </c>
      <c r="AB3" s="265"/>
      <c r="AC3" s="264">
        <v>20</v>
      </c>
      <c r="AD3" s="264"/>
      <c r="AE3" s="264">
        <v>21</v>
      </c>
      <c r="AF3" s="264"/>
      <c r="AG3" s="264">
        <v>22</v>
      </c>
      <c r="AH3" s="264"/>
      <c r="AI3" s="264">
        <v>25</v>
      </c>
      <c r="AJ3" s="264"/>
      <c r="AK3" s="264">
        <v>26</v>
      </c>
      <c r="AL3" s="264"/>
      <c r="AM3" s="264">
        <v>27</v>
      </c>
      <c r="AN3" s="264"/>
      <c r="AO3" s="264">
        <v>28</v>
      </c>
      <c r="AP3" s="264"/>
      <c r="AQ3" s="264">
        <v>29</v>
      </c>
      <c r="AR3" s="264"/>
    </row>
    <row r="4" spans="1:44">
      <c r="A4" s="228" t="s">
        <v>1</v>
      </c>
      <c r="B4" s="228" t="s">
        <v>2</v>
      </c>
      <c r="C4" s="228" t="s">
        <v>3</v>
      </c>
      <c r="D4" s="229" t="s">
        <v>4</v>
      </c>
      <c r="E4" s="230" t="s">
        <v>2</v>
      </c>
      <c r="F4" s="231" t="s">
        <v>5</v>
      </c>
      <c r="G4" s="230" t="s">
        <v>2</v>
      </c>
      <c r="H4" s="231" t="s">
        <v>5</v>
      </c>
      <c r="I4" s="230" t="s">
        <v>2</v>
      </c>
      <c r="J4" s="231" t="s">
        <v>5</v>
      </c>
      <c r="K4" s="230" t="s">
        <v>2</v>
      </c>
      <c r="L4" s="231" t="s">
        <v>5</v>
      </c>
      <c r="M4" s="230" t="s">
        <v>2</v>
      </c>
      <c r="N4" s="231" t="s">
        <v>5</v>
      </c>
      <c r="O4" s="230" t="s">
        <v>2</v>
      </c>
      <c r="P4" s="231" t="s">
        <v>5</v>
      </c>
      <c r="Q4" s="230" t="s">
        <v>2</v>
      </c>
      <c r="R4" s="231" t="s">
        <v>5</v>
      </c>
      <c r="S4" s="230" t="s">
        <v>2</v>
      </c>
      <c r="T4" s="231" t="s">
        <v>5</v>
      </c>
      <c r="U4" s="230" t="s">
        <v>2</v>
      </c>
      <c r="V4" s="231" t="s">
        <v>5</v>
      </c>
      <c r="W4" s="230" t="s">
        <v>2</v>
      </c>
      <c r="X4" s="231" t="s">
        <v>5</v>
      </c>
      <c r="Y4" s="230" t="s">
        <v>2</v>
      </c>
      <c r="Z4" s="231" t="s">
        <v>5</v>
      </c>
      <c r="AA4" s="230" t="s">
        <v>2</v>
      </c>
      <c r="AB4" s="231" t="s">
        <v>5</v>
      </c>
      <c r="AC4" s="230" t="s">
        <v>2</v>
      </c>
      <c r="AD4" s="231" t="s">
        <v>5</v>
      </c>
      <c r="AE4" s="230" t="s">
        <v>2</v>
      </c>
      <c r="AF4" s="231" t="s">
        <v>5</v>
      </c>
      <c r="AG4" s="230" t="s">
        <v>2</v>
      </c>
      <c r="AH4" s="231" t="s">
        <v>5</v>
      </c>
      <c r="AI4" s="230" t="s">
        <v>2</v>
      </c>
      <c r="AJ4" s="231" t="s">
        <v>5</v>
      </c>
      <c r="AK4" s="230" t="s">
        <v>2</v>
      </c>
      <c r="AL4" s="231" t="s">
        <v>5</v>
      </c>
      <c r="AM4" s="230" t="s">
        <v>2</v>
      </c>
      <c r="AN4" s="231" t="s">
        <v>5</v>
      </c>
      <c r="AO4" s="230" t="s">
        <v>2</v>
      </c>
      <c r="AP4" s="231" t="s">
        <v>5</v>
      </c>
      <c r="AQ4" s="230" t="s">
        <v>2</v>
      </c>
      <c r="AR4" s="231" t="s">
        <v>5</v>
      </c>
    </row>
    <row r="5" spans="1:44">
      <c r="A5" s="232" t="s">
        <v>6</v>
      </c>
      <c r="B5" s="31">
        <f>E5+G5+I5+K5+M5+O5+Q5+S5+U5+W5+Y5+AA5+AC5+AE5+AG5+AI5+AK5+AM5+AO5+AQ5</f>
        <v>30</v>
      </c>
      <c r="C5" s="31">
        <f>F5+H5+J5+L5+N5+P5+R5+T5+V5+X5+Z5+AB5+AD5+AF5+AH5+AJ5+AL5+AN5+AP5+AR5</f>
        <v>10</v>
      </c>
      <c r="D5" s="32">
        <f>C5/B5</f>
        <v>0.33333333333333331</v>
      </c>
      <c r="E5" s="33">
        <v>1</v>
      </c>
      <c r="F5" s="33">
        <v>0</v>
      </c>
      <c r="G5" s="33">
        <v>1</v>
      </c>
      <c r="H5" s="33">
        <v>2</v>
      </c>
      <c r="I5" s="33">
        <v>1</v>
      </c>
      <c r="J5" s="33">
        <v>0</v>
      </c>
      <c r="K5" s="33">
        <v>1</v>
      </c>
      <c r="L5" s="33">
        <v>1</v>
      </c>
      <c r="M5" s="33">
        <v>1</v>
      </c>
      <c r="N5" s="33">
        <v>0</v>
      </c>
      <c r="O5" s="33">
        <v>1</v>
      </c>
      <c r="P5" s="33">
        <v>0</v>
      </c>
      <c r="Q5" s="33">
        <v>1</v>
      </c>
      <c r="R5" s="33">
        <v>0</v>
      </c>
      <c r="S5" s="33">
        <v>1</v>
      </c>
      <c r="T5" s="33">
        <v>0</v>
      </c>
      <c r="U5" s="33">
        <v>1</v>
      </c>
      <c r="V5" s="33">
        <v>0</v>
      </c>
      <c r="W5" s="33">
        <v>1</v>
      </c>
      <c r="X5" s="33">
        <v>1</v>
      </c>
      <c r="Y5" s="33">
        <v>2</v>
      </c>
      <c r="Z5" s="33">
        <v>0</v>
      </c>
      <c r="AA5" s="33">
        <v>2</v>
      </c>
      <c r="AB5" s="33">
        <v>0</v>
      </c>
      <c r="AC5" s="33">
        <v>2</v>
      </c>
      <c r="AD5" s="233">
        <v>2</v>
      </c>
      <c r="AE5" s="33">
        <v>2</v>
      </c>
      <c r="AF5" s="33">
        <v>1</v>
      </c>
      <c r="AG5" s="33">
        <v>2</v>
      </c>
      <c r="AH5" s="33">
        <v>0</v>
      </c>
      <c r="AI5" s="33">
        <v>2</v>
      </c>
      <c r="AJ5" s="33">
        <v>0</v>
      </c>
      <c r="AK5" s="33">
        <v>2</v>
      </c>
      <c r="AL5" s="33">
        <v>1</v>
      </c>
      <c r="AM5" s="33">
        <v>2</v>
      </c>
      <c r="AN5" s="33">
        <v>1</v>
      </c>
      <c r="AO5" s="33">
        <v>2</v>
      </c>
      <c r="AP5" s="33">
        <v>1</v>
      </c>
      <c r="AQ5" s="33">
        <v>2</v>
      </c>
      <c r="AR5" s="33">
        <v>0</v>
      </c>
    </row>
    <row r="6" spans="1:44">
      <c r="A6" s="232" t="s">
        <v>8</v>
      </c>
      <c r="B6" s="31">
        <f t="shared" ref="B6:C9" si="0">E6+G6+I6+K6+M6+O6+Q6+S6+U6+W6+Y6+AA6+AC6+AE6+AG6+AI6+AK6+AM6+AO6+AQ6</f>
        <v>26</v>
      </c>
      <c r="C6" s="31">
        <f t="shared" si="0"/>
        <v>3</v>
      </c>
      <c r="D6" s="32">
        <f>C6/B6</f>
        <v>0.11538461538461539</v>
      </c>
      <c r="E6" s="33">
        <v>1</v>
      </c>
      <c r="F6" s="33">
        <v>0</v>
      </c>
      <c r="G6" s="33">
        <v>1</v>
      </c>
      <c r="H6" s="33">
        <v>0</v>
      </c>
      <c r="I6" s="33">
        <v>1</v>
      </c>
      <c r="J6" s="33">
        <v>0</v>
      </c>
      <c r="K6" s="33">
        <v>1</v>
      </c>
      <c r="L6" s="33">
        <v>0</v>
      </c>
      <c r="M6" s="33">
        <v>1</v>
      </c>
      <c r="N6" s="33">
        <v>0</v>
      </c>
      <c r="O6" s="33">
        <v>1</v>
      </c>
      <c r="P6" s="33">
        <v>0</v>
      </c>
      <c r="Q6" s="33">
        <v>1</v>
      </c>
      <c r="R6" s="33">
        <v>0</v>
      </c>
      <c r="S6" s="33">
        <v>1</v>
      </c>
      <c r="T6" s="33">
        <v>0</v>
      </c>
      <c r="U6" s="33">
        <v>1</v>
      </c>
      <c r="V6" s="33">
        <v>0</v>
      </c>
      <c r="W6" s="33">
        <v>1</v>
      </c>
      <c r="X6" s="33">
        <v>0</v>
      </c>
      <c r="Y6" s="33">
        <v>1</v>
      </c>
      <c r="Z6" s="33">
        <v>0</v>
      </c>
      <c r="AA6" s="33">
        <v>1</v>
      </c>
      <c r="AB6" s="33">
        <v>0</v>
      </c>
      <c r="AC6" s="33">
        <v>1</v>
      </c>
      <c r="AD6" s="233">
        <v>1</v>
      </c>
      <c r="AE6" s="33">
        <v>1</v>
      </c>
      <c r="AF6" s="33">
        <v>0</v>
      </c>
      <c r="AG6" s="33">
        <v>2</v>
      </c>
      <c r="AH6" s="33">
        <v>1</v>
      </c>
      <c r="AI6" s="33">
        <v>2</v>
      </c>
      <c r="AJ6" s="33">
        <v>0</v>
      </c>
      <c r="AK6" s="33">
        <v>2</v>
      </c>
      <c r="AL6" s="33">
        <v>0</v>
      </c>
      <c r="AM6" s="33">
        <v>2</v>
      </c>
      <c r="AN6" s="33">
        <v>0</v>
      </c>
      <c r="AO6" s="33">
        <v>2</v>
      </c>
      <c r="AP6" s="33">
        <v>0</v>
      </c>
      <c r="AQ6" s="33">
        <v>2</v>
      </c>
      <c r="AR6" s="33">
        <v>1</v>
      </c>
    </row>
    <row r="7" spans="1:44">
      <c r="A7" s="232" t="s">
        <v>7</v>
      </c>
      <c r="B7" s="31">
        <f t="shared" si="0"/>
        <v>50</v>
      </c>
      <c r="C7" s="31">
        <f t="shared" si="0"/>
        <v>18</v>
      </c>
      <c r="D7" s="32">
        <f>C7/B7</f>
        <v>0.36</v>
      </c>
      <c r="E7" s="33">
        <v>2</v>
      </c>
      <c r="F7" s="233">
        <v>2</v>
      </c>
      <c r="G7" s="33">
        <v>2</v>
      </c>
      <c r="H7" s="233">
        <v>3</v>
      </c>
      <c r="I7" s="33">
        <v>2</v>
      </c>
      <c r="J7" s="233">
        <v>1</v>
      </c>
      <c r="K7" s="33">
        <v>2</v>
      </c>
      <c r="L7" s="233">
        <v>2</v>
      </c>
      <c r="M7" s="33">
        <v>2</v>
      </c>
      <c r="N7" s="233">
        <v>3</v>
      </c>
      <c r="O7" s="33">
        <v>2</v>
      </c>
      <c r="P7" s="33">
        <v>0</v>
      </c>
      <c r="Q7" s="33">
        <v>2</v>
      </c>
      <c r="R7" s="33">
        <v>0</v>
      </c>
      <c r="S7" s="33">
        <v>2</v>
      </c>
      <c r="T7" s="33">
        <v>2</v>
      </c>
      <c r="U7" s="33">
        <v>2</v>
      </c>
      <c r="V7" s="33">
        <v>0</v>
      </c>
      <c r="W7" s="33">
        <v>2</v>
      </c>
      <c r="X7" s="33">
        <v>0</v>
      </c>
      <c r="Y7" s="33">
        <v>3</v>
      </c>
      <c r="Z7" s="33">
        <v>0</v>
      </c>
      <c r="AA7" s="33">
        <v>3</v>
      </c>
      <c r="AB7" s="33">
        <v>0</v>
      </c>
      <c r="AC7" s="33">
        <v>3</v>
      </c>
      <c r="AD7" s="233">
        <v>0</v>
      </c>
      <c r="AE7" s="33">
        <v>3</v>
      </c>
      <c r="AF7" s="33">
        <v>1</v>
      </c>
      <c r="AG7" s="33">
        <v>3</v>
      </c>
      <c r="AH7" s="33">
        <v>1</v>
      </c>
      <c r="AI7" s="33">
        <v>3</v>
      </c>
      <c r="AJ7" s="33">
        <v>0</v>
      </c>
      <c r="AK7" s="33">
        <v>3</v>
      </c>
      <c r="AL7" s="33">
        <v>1</v>
      </c>
      <c r="AM7" s="33">
        <v>3</v>
      </c>
      <c r="AN7" s="33">
        <v>0</v>
      </c>
      <c r="AO7" s="33">
        <v>3</v>
      </c>
      <c r="AP7" s="33">
        <v>2</v>
      </c>
      <c r="AQ7" s="33">
        <v>3</v>
      </c>
      <c r="AR7" s="33">
        <v>0</v>
      </c>
    </row>
    <row r="8" spans="1:44">
      <c r="A8" s="232" t="s">
        <v>9</v>
      </c>
      <c r="B8" s="31">
        <f t="shared" si="0"/>
        <v>33</v>
      </c>
      <c r="C8" s="31">
        <f t="shared" si="0"/>
        <v>9</v>
      </c>
      <c r="D8" s="32">
        <f>C8/B8</f>
        <v>0.27272727272727271</v>
      </c>
      <c r="E8" s="33">
        <v>2</v>
      </c>
      <c r="F8" s="233">
        <v>1</v>
      </c>
      <c r="G8" s="33">
        <v>2</v>
      </c>
      <c r="H8" s="233">
        <v>0</v>
      </c>
      <c r="I8" s="33">
        <v>2</v>
      </c>
      <c r="J8" s="233">
        <v>1</v>
      </c>
      <c r="K8" s="33">
        <v>2</v>
      </c>
      <c r="L8" s="233">
        <v>0</v>
      </c>
      <c r="M8" s="33">
        <v>2</v>
      </c>
      <c r="N8" s="233">
        <v>0</v>
      </c>
      <c r="O8" s="33">
        <v>2</v>
      </c>
      <c r="P8" s="233">
        <v>0</v>
      </c>
      <c r="Q8" s="33">
        <v>2</v>
      </c>
      <c r="R8" s="233">
        <v>1</v>
      </c>
      <c r="S8" s="33">
        <v>2</v>
      </c>
      <c r="T8" s="33">
        <v>0</v>
      </c>
      <c r="U8" s="33">
        <v>2</v>
      </c>
      <c r="V8" s="33">
        <v>0</v>
      </c>
      <c r="W8" s="33">
        <v>2</v>
      </c>
      <c r="X8" s="33">
        <v>0</v>
      </c>
      <c r="Y8" s="33">
        <v>2</v>
      </c>
      <c r="Z8" s="33">
        <v>0</v>
      </c>
      <c r="AA8" s="33">
        <v>2</v>
      </c>
      <c r="AB8" s="33">
        <v>0</v>
      </c>
      <c r="AC8" s="33">
        <v>2</v>
      </c>
      <c r="AD8" s="233">
        <v>0</v>
      </c>
      <c r="AE8" s="33">
        <v>1</v>
      </c>
      <c r="AF8" s="33">
        <v>0</v>
      </c>
      <c r="AG8" s="33">
        <v>1</v>
      </c>
      <c r="AH8" s="33">
        <v>0</v>
      </c>
      <c r="AI8" s="33">
        <v>1</v>
      </c>
      <c r="AJ8" s="33">
        <v>1</v>
      </c>
      <c r="AK8" s="33">
        <v>1</v>
      </c>
      <c r="AL8" s="33">
        <v>1</v>
      </c>
      <c r="AM8" s="33">
        <v>1</v>
      </c>
      <c r="AN8" s="33">
        <v>1</v>
      </c>
      <c r="AO8" s="33">
        <v>1</v>
      </c>
      <c r="AP8" s="33">
        <v>1</v>
      </c>
      <c r="AQ8" s="33">
        <v>1</v>
      </c>
      <c r="AR8" s="33">
        <v>2</v>
      </c>
    </row>
    <row r="9" spans="1:44">
      <c r="A9" s="232" t="s">
        <v>10</v>
      </c>
      <c r="B9" s="31">
        <f t="shared" si="0"/>
        <v>23</v>
      </c>
      <c r="C9" s="31">
        <f t="shared" si="0"/>
        <v>14</v>
      </c>
      <c r="D9" s="32">
        <f>C9/B9</f>
        <v>0.60869565217391308</v>
      </c>
      <c r="E9" s="33">
        <v>1</v>
      </c>
      <c r="F9" s="33">
        <v>0</v>
      </c>
      <c r="G9" s="33">
        <v>1</v>
      </c>
      <c r="H9" s="33">
        <v>0</v>
      </c>
      <c r="I9" s="33">
        <v>1</v>
      </c>
      <c r="J9" s="33">
        <v>0</v>
      </c>
      <c r="K9" s="33">
        <v>1</v>
      </c>
      <c r="L9" s="33">
        <v>1</v>
      </c>
      <c r="M9" s="33">
        <v>1</v>
      </c>
      <c r="N9" s="33">
        <v>0</v>
      </c>
      <c r="O9" s="33">
        <v>1</v>
      </c>
      <c r="P9" s="33">
        <v>0</v>
      </c>
      <c r="Q9" s="33">
        <v>1</v>
      </c>
      <c r="R9" s="33">
        <v>2</v>
      </c>
      <c r="S9" s="33">
        <v>1</v>
      </c>
      <c r="T9" s="33">
        <v>0</v>
      </c>
      <c r="U9" s="33">
        <v>1</v>
      </c>
      <c r="V9" s="33">
        <v>0</v>
      </c>
      <c r="W9" s="33">
        <v>1</v>
      </c>
      <c r="X9" s="33">
        <v>1</v>
      </c>
      <c r="Y9" s="33">
        <v>1</v>
      </c>
      <c r="Z9" s="33">
        <v>0</v>
      </c>
      <c r="AA9" s="33">
        <v>1</v>
      </c>
      <c r="AB9" s="33">
        <v>2</v>
      </c>
      <c r="AC9" s="33">
        <v>1</v>
      </c>
      <c r="AD9" s="233">
        <v>0</v>
      </c>
      <c r="AE9" s="33">
        <v>1</v>
      </c>
      <c r="AF9" s="233">
        <v>1</v>
      </c>
      <c r="AG9" s="33">
        <v>1</v>
      </c>
      <c r="AH9" s="233">
        <v>3</v>
      </c>
      <c r="AI9" s="33">
        <v>1</v>
      </c>
      <c r="AJ9" s="233">
        <v>0</v>
      </c>
      <c r="AK9" s="33">
        <v>1</v>
      </c>
      <c r="AL9" s="233">
        <v>1</v>
      </c>
      <c r="AM9" s="33">
        <v>2</v>
      </c>
      <c r="AN9" s="233">
        <v>0</v>
      </c>
      <c r="AO9" s="33">
        <v>2</v>
      </c>
      <c r="AP9" s="233">
        <v>0</v>
      </c>
      <c r="AQ9" s="33">
        <v>2</v>
      </c>
      <c r="AR9" s="233">
        <v>3</v>
      </c>
    </row>
    <row r="10" spans="1:44">
      <c r="A10" s="234" t="s">
        <v>11</v>
      </c>
      <c r="B10" s="235">
        <f>SUM(B5:B9)</f>
        <v>162</v>
      </c>
      <c r="C10" s="235">
        <f>SUM(C5:C9)</f>
        <v>54</v>
      </c>
      <c r="D10" s="236">
        <f t="shared" ref="D10" si="1">C10/B10</f>
        <v>0.33333333333333331</v>
      </c>
      <c r="E10" s="227">
        <f>SUM(E5:E9)</f>
        <v>7</v>
      </c>
      <c r="F10" s="227">
        <f>SUM(F5:F9)</f>
        <v>3</v>
      </c>
      <c r="G10" s="227">
        <f>SUM(G5:G9)</f>
        <v>7</v>
      </c>
      <c r="H10" s="227">
        <f>SUM(H5:H9)</f>
        <v>5</v>
      </c>
      <c r="I10" s="227">
        <f t="shared" ref="I10:X10" si="2">SUM(I5:I9)</f>
        <v>7</v>
      </c>
      <c r="J10" s="227">
        <f t="shared" si="2"/>
        <v>2</v>
      </c>
      <c r="K10" s="227">
        <f t="shared" si="2"/>
        <v>7</v>
      </c>
      <c r="L10" s="227">
        <f t="shared" si="2"/>
        <v>4</v>
      </c>
      <c r="M10" s="227">
        <f t="shared" si="2"/>
        <v>7</v>
      </c>
      <c r="N10" s="227">
        <f t="shared" si="2"/>
        <v>3</v>
      </c>
      <c r="O10" s="227">
        <f t="shared" si="2"/>
        <v>7</v>
      </c>
      <c r="P10" s="227">
        <f t="shared" si="2"/>
        <v>0</v>
      </c>
      <c r="Q10" s="227">
        <f t="shared" si="2"/>
        <v>7</v>
      </c>
      <c r="R10" s="227">
        <f t="shared" si="2"/>
        <v>3</v>
      </c>
      <c r="S10" s="227">
        <f t="shared" si="2"/>
        <v>7</v>
      </c>
      <c r="T10" s="227">
        <f t="shared" si="2"/>
        <v>2</v>
      </c>
      <c r="U10" s="227">
        <f t="shared" si="2"/>
        <v>7</v>
      </c>
      <c r="V10" s="227">
        <f t="shared" si="2"/>
        <v>0</v>
      </c>
      <c r="W10" s="227">
        <f t="shared" si="2"/>
        <v>7</v>
      </c>
      <c r="X10" s="227">
        <f t="shared" si="2"/>
        <v>2</v>
      </c>
      <c r="Y10" s="227">
        <f>SUM(Y5:Y9)</f>
        <v>9</v>
      </c>
      <c r="Z10" s="227">
        <f t="shared" ref="Z10:AB10" si="3">SUM(Z5:Z9)</f>
        <v>0</v>
      </c>
      <c r="AA10" s="227">
        <f>SUM(AA5:AA9)</f>
        <v>9</v>
      </c>
      <c r="AB10" s="227">
        <f t="shared" si="3"/>
        <v>2</v>
      </c>
      <c r="AC10" s="227">
        <f>SUM(AC5:AC9)</f>
        <v>9</v>
      </c>
      <c r="AD10" s="227">
        <f t="shared" ref="AD10:AF10" si="4">SUM(AD5:AD9)</f>
        <v>3</v>
      </c>
      <c r="AE10" s="227">
        <f>SUM(AE5:AE9)</f>
        <v>8</v>
      </c>
      <c r="AF10" s="227">
        <f t="shared" si="4"/>
        <v>3</v>
      </c>
      <c r="AG10" s="227">
        <f>SUM(AG5:AG9)</f>
        <v>9</v>
      </c>
      <c r="AH10" s="227">
        <f t="shared" ref="AH10:AJ10" si="5">SUM(AH5:AH9)</f>
        <v>5</v>
      </c>
      <c r="AI10" s="227">
        <f>SUM(AI5:AI9)</f>
        <v>9</v>
      </c>
      <c r="AJ10" s="227">
        <f t="shared" si="5"/>
        <v>1</v>
      </c>
      <c r="AK10" s="227">
        <f>SUM(AK5:AK9)</f>
        <v>9</v>
      </c>
      <c r="AL10" s="227">
        <f t="shared" ref="AL10" si="6">SUM(AL5:AL9)</f>
        <v>4</v>
      </c>
      <c r="AM10" s="227">
        <f>SUM(AM5:AM9)</f>
        <v>10</v>
      </c>
      <c r="AN10" s="227">
        <f>SUM(AN5:AN9)</f>
        <v>2</v>
      </c>
      <c r="AO10" s="227">
        <f>SUM(AO5:AO9)</f>
        <v>10</v>
      </c>
      <c r="AP10" s="227">
        <f t="shared" ref="AP10:AR10" si="7">SUM(AP5:AP9)</f>
        <v>4</v>
      </c>
      <c r="AQ10" s="227">
        <f>SUM(AQ5:AQ9)</f>
        <v>10</v>
      </c>
      <c r="AR10" s="227">
        <f t="shared" si="7"/>
        <v>6</v>
      </c>
    </row>
    <row r="11" spans="1:44">
      <c r="A11" s="48" t="s">
        <v>338</v>
      </c>
      <c r="B11" s="237">
        <f>C10+G25</f>
        <v>147</v>
      </c>
      <c r="C11" s="39"/>
    </row>
    <row r="12" spans="1:44">
      <c r="A12" s="48" t="s">
        <v>339</v>
      </c>
      <c r="B12" s="237">
        <f>B10-B11</f>
        <v>15</v>
      </c>
      <c r="C12" s="39"/>
    </row>
    <row r="14" spans="1:44" ht="12.75" customHeight="1" thickBot="1">
      <c r="A14" s="256" t="s">
        <v>341</v>
      </c>
      <c r="B14" s="257"/>
      <c r="C14" s="257"/>
      <c r="D14" s="257"/>
      <c r="E14" s="257"/>
      <c r="F14" s="257"/>
      <c r="G14" s="258"/>
    </row>
    <row r="15" spans="1:44">
      <c r="A15" s="238" t="s">
        <v>14</v>
      </c>
      <c r="B15" s="238" t="s">
        <v>6</v>
      </c>
      <c r="C15" s="238" t="s">
        <v>7</v>
      </c>
      <c r="D15" s="238" t="s">
        <v>8</v>
      </c>
      <c r="E15" s="238" t="s">
        <v>9</v>
      </c>
      <c r="F15" s="238" t="s">
        <v>10</v>
      </c>
      <c r="G15" s="238" t="s">
        <v>11</v>
      </c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</row>
    <row r="16" spans="1:44" ht="15" customHeight="1">
      <c r="A16" s="239" t="s">
        <v>15</v>
      </c>
      <c r="B16" s="240">
        <v>11</v>
      </c>
      <c r="C16" s="240">
        <v>0</v>
      </c>
      <c r="D16" s="240">
        <v>0</v>
      </c>
      <c r="E16" s="240">
        <v>40</v>
      </c>
      <c r="F16" s="240">
        <v>3</v>
      </c>
      <c r="G16" s="241">
        <f>SUM(B16:F16)</f>
        <v>54</v>
      </c>
      <c r="H16" s="50"/>
      <c r="J16" s="49"/>
      <c r="K16" s="41"/>
      <c r="L16" s="42"/>
    </row>
    <row r="17" spans="1:44" ht="15" customHeight="1">
      <c r="A17" s="239" t="s">
        <v>16</v>
      </c>
      <c r="B17" s="240">
        <v>7</v>
      </c>
      <c r="C17" s="240">
        <v>0</v>
      </c>
      <c r="D17" s="240">
        <v>0</v>
      </c>
      <c r="E17" s="240">
        <v>0</v>
      </c>
      <c r="F17" s="240">
        <v>2</v>
      </c>
      <c r="G17" s="241">
        <f>SUM(B17:F17)</f>
        <v>9</v>
      </c>
      <c r="H17" s="50"/>
      <c r="K17" s="41"/>
    </row>
    <row r="18" spans="1:44" ht="15" customHeight="1">
      <c r="A18" s="239" t="s">
        <v>17</v>
      </c>
      <c r="B18" s="240">
        <v>3</v>
      </c>
      <c r="C18" s="240">
        <v>0</v>
      </c>
      <c r="D18" s="240">
        <v>0</v>
      </c>
      <c r="E18" s="240">
        <v>0</v>
      </c>
      <c r="F18" s="240">
        <v>4</v>
      </c>
      <c r="G18" s="241">
        <f>SUM(B18:F18)</f>
        <v>7</v>
      </c>
      <c r="H18" s="50"/>
      <c r="J18" s="49"/>
      <c r="K18" s="242"/>
      <c r="M18" s="49"/>
      <c r="P18" s="49"/>
    </row>
    <row r="19" spans="1:44" ht="15" customHeight="1">
      <c r="A19" s="239" t="s">
        <v>18</v>
      </c>
      <c r="B19" s="240">
        <v>0</v>
      </c>
      <c r="C19" s="240">
        <v>0</v>
      </c>
      <c r="D19" s="240">
        <v>0</v>
      </c>
      <c r="E19" s="240">
        <v>0</v>
      </c>
      <c r="F19" s="240">
        <v>0</v>
      </c>
      <c r="G19" s="241">
        <f>SUM(B19:F19)</f>
        <v>0</v>
      </c>
      <c r="H19" s="50"/>
    </row>
    <row r="20" spans="1:44" ht="15" customHeight="1">
      <c r="A20" s="243" t="s">
        <v>19</v>
      </c>
      <c r="B20" s="238" t="s">
        <v>6</v>
      </c>
      <c r="C20" s="238" t="s">
        <v>7</v>
      </c>
      <c r="D20" s="238" t="s">
        <v>8</v>
      </c>
      <c r="E20" s="238" t="s">
        <v>9</v>
      </c>
      <c r="F20" s="238" t="s">
        <v>10</v>
      </c>
      <c r="G20" s="238" t="s">
        <v>11</v>
      </c>
    </row>
    <row r="21" spans="1:44" ht="15" customHeight="1">
      <c r="A21" s="239" t="s">
        <v>51</v>
      </c>
      <c r="B21" s="240">
        <v>188</v>
      </c>
      <c r="C21" s="240">
        <v>346</v>
      </c>
      <c r="D21" s="240">
        <v>279</v>
      </c>
      <c r="E21" s="240">
        <v>179</v>
      </c>
      <c r="F21" s="240">
        <v>125</v>
      </c>
      <c r="G21" s="241">
        <f t="shared" ref="G21:G27" si="8">SUM(B21:F21)</f>
        <v>1117</v>
      </c>
    </row>
    <row r="22" spans="1:44" ht="15" customHeight="1">
      <c r="A22" s="239" t="s">
        <v>21</v>
      </c>
      <c r="B22" s="240">
        <v>40</v>
      </c>
      <c r="C22" s="240">
        <v>79</v>
      </c>
      <c r="D22" s="240">
        <v>27</v>
      </c>
      <c r="E22" s="240">
        <v>53</v>
      </c>
      <c r="F22" s="240">
        <v>45</v>
      </c>
      <c r="G22" s="241">
        <f t="shared" si="8"/>
        <v>244</v>
      </c>
      <c r="J22" s="40"/>
      <c r="K22" s="41"/>
      <c r="L22" s="42"/>
    </row>
    <row r="23" spans="1:44" s="38" customFormat="1" ht="15" customHeight="1">
      <c r="A23" s="239" t="s">
        <v>22</v>
      </c>
      <c r="B23" s="240">
        <v>7</v>
      </c>
      <c r="C23" s="240">
        <v>1</v>
      </c>
      <c r="D23" s="240">
        <v>8</v>
      </c>
      <c r="E23" s="240">
        <v>1</v>
      </c>
      <c r="F23" s="240">
        <v>3</v>
      </c>
      <c r="G23" s="241">
        <f t="shared" si="8"/>
        <v>20</v>
      </c>
      <c r="H23" s="43"/>
    </row>
    <row r="24" spans="1:44" ht="15" customHeight="1">
      <c r="A24" s="239" t="s">
        <v>23</v>
      </c>
      <c r="B24" s="240">
        <v>1</v>
      </c>
      <c r="C24" s="240">
        <v>5</v>
      </c>
      <c r="D24" s="240">
        <v>7</v>
      </c>
      <c r="E24" s="240">
        <v>0</v>
      </c>
      <c r="F24" s="240">
        <v>4</v>
      </c>
      <c r="G24" s="241">
        <f t="shared" si="8"/>
        <v>17</v>
      </c>
    </row>
    <row r="25" spans="1:44" ht="15" customHeight="1">
      <c r="A25" s="239" t="s">
        <v>24</v>
      </c>
      <c r="B25" s="240">
        <v>19</v>
      </c>
      <c r="C25" s="240">
        <v>44</v>
      </c>
      <c r="D25" s="240">
        <v>12</v>
      </c>
      <c r="E25" s="240">
        <v>8</v>
      </c>
      <c r="F25" s="240">
        <v>10</v>
      </c>
      <c r="G25" s="241">
        <f>SUM(B25:F25)</f>
        <v>93</v>
      </c>
      <c r="H25" s="40"/>
    </row>
    <row r="26" spans="1:44" ht="15" customHeight="1">
      <c r="A26" s="239" t="s">
        <v>25</v>
      </c>
      <c r="B26" s="240">
        <v>2</v>
      </c>
      <c r="C26" s="240">
        <v>0</v>
      </c>
      <c r="D26" s="240">
        <v>38</v>
      </c>
      <c r="E26" s="240">
        <v>6</v>
      </c>
      <c r="F26" s="240">
        <v>4</v>
      </c>
      <c r="G26" s="241">
        <f t="shared" si="8"/>
        <v>50</v>
      </c>
      <c r="H26" s="48"/>
    </row>
    <row r="27" spans="1:44" ht="15" customHeight="1">
      <c r="A27" s="239" t="s">
        <v>26</v>
      </c>
      <c r="B27" s="240">
        <v>2</v>
      </c>
      <c r="C27" s="240">
        <v>6</v>
      </c>
      <c r="D27" s="240">
        <v>4</v>
      </c>
      <c r="E27" s="240">
        <v>0</v>
      </c>
      <c r="F27" s="240">
        <v>2</v>
      </c>
      <c r="G27" s="241">
        <f t="shared" si="8"/>
        <v>14</v>
      </c>
      <c r="H27" s="40"/>
    </row>
    <row r="28" spans="1:44">
      <c r="A28" s="244" t="s">
        <v>11</v>
      </c>
      <c r="B28" s="245">
        <f>SUM(B16:B27)</f>
        <v>280</v>
      </c>
      <c r="C28" s="245">
        <f>SUM(C16:C27)</f>
        <v>481</v>
      </c>
      <c r="D28" s="245">
        <f>SUM(D16:D27)</f>
        <v>375</v>
      </c>
      <c r="E28" s="245">
        <f>SUM(E16:E27)</f>
        <v>287</v>
      </c>
      <c r="F28" s="245">
        <f>SUM(F16:F27)</f>
        <v>202</v>
      </c>
      <c r="G28" s="37"/>
    </row>
    <row r="31" spans="1:44" ht="12.6" thickBot="1">
      <c r="A31" s="253" t="s">
        <v>340</v>
      </c>
      <c r="B31" s="254"/>
      <c r="C31" s="254"/>
      <c r="D31" s="255"/>
      <c r="E31" s="266">
        <v>4</v>
      </c>
      <c r="F31" s="267"/>
      <c r="G31" s="265">
        <v>5</v>
      </c>
      <c r="H31" s="265"/>
      <c r="I31" s="265">
        <v>6</v>
      </c>
      <c r="J31" s="265"/>
      <c r="K31" s="265">
        <v>7</v>
      </c>
      <c r="L31" s="265"/>
      <c r="M31" s="265">
        <v>8</v>
      </c>
      <c r="N31" s="265"/>
      <c r="O31" s="265">
        <v>11</v>
      </c>
      <c r="P31" s="265"/>
      <c r="Q31" s="264">
        <v>12</v>
      </c>
      <c r="R31" s="264"/>
      <c r="S31" s="264">
        <v>13</v>
      </c>
      <c r="T31" s="264"/>
      <c r="U31" s="264">
        <v>14</v>
      </c>
      <c r="V31" s="264"/>
      <c r="W31" s="264">
        <v>15</v>
      </c>
      <c r="X31" s="264"/>
      <c r="Y31" s="265">
        <v>18</v>
      </c>
      <c r="Z31" s="265"/>
      <c r="AA31" s="265">
        <v>19</v>
      </c>
      <c r="AB31" s="265"/>
      <c r="AC31" s="264">
        <v>20</v>
      </c>
      <c r="AD31" s="264"/>
      <c r="AE31" s="264">
        <v>21</v>
      </c>
      <c r="AF31" s="264"/>
      <c r="AG31" s="264">
        <v>22</v>
      </c>
      <c r="AH31" s="264"/>
      <c r="AI31" s="264">
        <v>25</v>
      </c>
      <c r="AJ31" s="264"/>
      <c r="AK31" s="264">
        <v>26</v>
      </c>
      <c r="AL31" s="264"/>
      <c r="AM31" s="264">
        <v>27</v>
      </c>
      <c r="AN31" s="264"/>
      <c r="AO31" s="264">
        <v>28</v>
      </c>
      <c r="AP31" s="264"/>
      <c r="AQ31" s="264">
        <v>29</v>
      </c>
      <c r="AR31" s="264"/>
    </row>
    <row r="32" spans="1:44">
      <c r="A32" s="246" t="s">
        <v>1</v>
      </c>
      <c r="B32" s="246" t="s">
        <v>2</v>
      </c>
      <c r="C32" s="246" t="s">
        <v>3</v>
      </c>
      <c r="D32" s="247" t="s">
        <v>4</v>
      </c>
      <c r="E32" s="230" t="s">
        <v>2</v>
      </c>
      <c r="F32" s="231" t="s">
        <v>5</v>
      </c>
      <c r="G32" s="230" t="s">
        <v>2</v>
      </c>
      <c r="H32" s="231" t="s">
        <v>5</v>
      </c>
      <c r="I32" s="230" t="s">
        <v>2</v>
      </c>
      <c r="J32" s="231" t="s">
        <v>5</v>
      </c>
      <c r="K32" s="230" t="s">
        <v>2</v>
      </c>
      <c r="L32" s="231" t="s">
        <v>5</v>
      </c>
      <c r="M32" s="230" t="s">
        <v>2</v>
      </c>
      <c r="N32" s="231" t="s">
        <v>5</v>
      </c>
      <c r="O32" s="230" t="s">
        <v>2</v>
      </c>
      <c r="P32" s="231" t="s">
        <v>5</v>
      </c>
      <c r="Q32" s="230" t="s">
        <v>2</v>
      </c>
      <c r="R32" s="231" t="s">
        <v>5</v>
      </c>
      <c r="S32" s="230" t="s">
        <v>2</v>
      </c>
      <c r="T32" s="231" t="s">
        <v>5</v>
      </c>
      <c r="U32" s="230" t="s">
        <v>2</v>
      </c>
      <c r="V32" s="231" t="s">
        <v>5</v>
      </c>
      <c r="W32" s="230" t="s">
        <v>2</v>
      </c>
      <c r="X32" s="231" t="s">
        <v>5</v>
      </c>
      <c r="Y32" s="230" t="s">
        <v>2</v>
      </c>
      <c r="Z32" s="231" t="s">
        <v>5</v>
      </c>
      <c r="AA32" s="230" t="s">
        <v>2</v>
      </c>
      <c r="AB32" s="231" t="s">
        <v>5</v>
      </c>
      <c r="AC32" s="230" t="s">
        <v>2</v>
      </c>
      <c r="AD32" s="231" t="s">
        <v>5</v>
      </c>
      <c r="AE32" s="230" t="s">
        <v>2</v>
      </c>
      <c r="AF32" s="231" t="s">
        <v>5</v>
      </c>
      <c r="AG32" s="230" t="s">
        <v>2</v>
      </c>
      <c r="AH32" s="231" t="s">
        <v>5</v>
      </c>
      <c r="AI32" s="230" t="s">
        <v>2</v>
      </c>
      <c r="AJ32" s="231" t="s">
        <v>5</v>
      </c>
      <c r="AK32" s="230" t="s">
        <v>2</v>
      </c>
      <c r="AL32" s="231" t="s">
        <v>5</v>
      </c>
      <c r="AM32" s="230" t="s">
        <v>2</v>
      </c>
      <c r="AN32" s="231" t="s">
        <v>5</v>
      </c>
      <c r="AO32" s="230" t="s">
        <v>2</v>
      </c>
      <c r="AP32" s="231" t="s">
        <v>5</v>
      </c>
      <c r="AQ32" s="230" t="s">
        <v>2</v>
      </c>
      <c r="AR32" s="231" t="s">
        <v>5</v>
      </c>
    </row>
    <row r="33" spans="1:44">
      <c r="A33" s="232" t="s">
        <v>6</v>
      </c>
      <c r="B33" s="35">
        <f>E33+G33+I33+K33+M33+O33+Q33+S33+U33+W33+Y33+AA33+AC33+AE33+AG33+AI33+AK33+AM33+AO33+AQ33</f>
        <v>299</v>
      </c>
      <c r="C33" s="35">
        <f>F33+H33+J33+L33+N33+P33+R33+T33+V33+X33+Z33+AB33+AD33+AF33+AH33+AJ33+AL33+AN33+AP33+AR33</f>
        <v>275</v>
      </c>
      <c r="D33" s="36">
        <f t="shared" ref="D33:D37" si="9">C33/B33</f>
        <v>0.91973244147157196</v>
      </c>
      <c r="E33" s="33">
        <v>15</v>
      </c>
      <c r="F33" s="33">
        <v>2</v>
      </c>
      <c r="G33" s="33">
        <v>15</v>
      </c>
      <c r="H33" s="33">
        <v>0</v>
      </c>
      <c r="I33" s="33">
        <v>15</v>
      </c>
      <c r="J33" s="33">
        <v>1</v>
      </c>
      <c r="K33" s="33">
        <v>15</v>
      </c>
      <c r="L33" s="33">
        <v>0</v>
      </c>
      <c r="M33" s="33">
        <v>15</v>
      </c>
      <c r="N33" s="33">
        <v>7</v>
      </c>
      <c r="O33" s="33">
        <v>15</v>
      </c>
      <c r="P33" s="33">
        <v>1</v>
      </c>
      <c r="Q33" s="33">
        <v>15</v>
      </c>
      <c r="R33" s="33">
        <v>13</v>
      </c>
      <c r="S33" s="33">
        <v>15</v>
      </c>
      <c r="T33" s="33">
        <v>22</v>
      </c>
      <c r="U33" s="33">
        <v>15</v>
      </c>
      <c r="V33" s="33">
        <v>6</v>
      </c>
      <c r="W33" s="33">
        <v>15</v>
      </c>
      <c r="X33" s="33">
        <v>31</v>
      </c>
      <c r="Y33" s="33">
        <v>15</v>
      </c>
      <c r="Z33" s="33">
        <v>31</v>
      </c>
      <c r="AA33" s="33">
        <v>15</v>
      </c>
      <c r="AB33" s="33">
        <f>40/2</f>
        <v>20</v>
      </c>
      <c r="AC33" s="33">
        <v>15</v>
      </c>
      <c r="AD33" s="33">
        <v>20</v>
      </c>
      <c r="AE33" s="33">
        <v>15</v>
      </c>
      <c r="AF33" s="33">
        <v>12</v>
      </c>
      <c r="AG33" s="33">
        <v>15</v>
      </c>
      <c r="AH33" s="33">
        <v>6</v>
      </c>
      <c r="AI33" s="33">
        <v>15</v>
      </c>
      <c r="AJ33" s="33">
        <v>19</v>
      </c>
      <c r="AK33" s="33">
        <v>15</v>
      </c>
      <c r="AL33" s="33">
        <v>24</v>
      </c>
      <c r="AM33" s="33">
        <v>15</v>
      </c>
      <c r="AN33" s="33">
        <v>9</v>
      </c>
      <c r="AO33" s="33">
        <v>15</v>
      </c>
      <c r="AP33" s="33">
        <v>4</v>
      </c>
      <c r="AQ33" s="33">
        <v>14</v>
      </c>
      <c r="AR33" s="33">
        <v>47</v>
      </c>
    </row>
    <row r="34" spans="1:44">
      <c r="A34" s="232" t="s">
        <v>8</v>
      </c>
      <c r="B34" s="35">
        <f t="shared" ref="B34:C37" si="10">E34+G34+I34+K34+M34+O34+Q34+S34+U34+W34+Y34+AA34+AC34+AE34+AG34+AI34+AK34+AM34+AO34+AQ34</f>
        <v>257</v>
      </c>
      <c r="C34" s="35">
        <f t="shared" si="10"/>
        <v>344</v>
      </c>
      <c r="D34" s="36">
        <f t="shared" si="9"/>
        <v>1.33852140077821</v>
      </c>
      <c r="E34" s="33">
        <v>13</v>
      </c>
      <c r="F34" s="33">
        <v>0</v>
      </c>
      <c r="G34" s="33">
        <v>13</v>
      </c>
      <c r="H34" s="33">
        <v>0</v>
      </c>
      <c r="I34" s="33">
        <v>13</v>
      </c>
      <c r="J34" s="33">
        <v>0</v>
      </c>
      <c r="K34" s="33">
        <v>13</v>
      </c>
      <c r="L34" s="33">
        <v>2</v>
      </c>
      <c r="M34" s="33">
        <v>13</v>
      </c>
      <c r="N34" s="33">
        <v>1</v>
      </c>
      <c r="O34" s="33">
        <v>13</v>
      </c>
      <c r="P34" s="33">
        <v>2</v>
      </c>
      <c r="Q34" s="33">
        <v>13</v>
      </c>
      <c r="R34" s="233">
        <v>15</v>
      </c>
      <c r="S34" s="33">
        <v>13</v>
      </c>
      <c r="T34" s="33">
        <v>18</v>
      </c>
      <c r="U34" s="33">
        <v>13</v>
      </c>
      <c r="V34" s="33">
        <v>24</v>
      </c>
      <c r="W34" s="33">
        <v>13</v>
      </c>
      <c r="X34" s="33">
        <v>29</v>
      </c>
      <c r="Y34" s="33">
        <v>13</v>
      </c>
      <c r="Z34" s="33">
        <v>28</v>
      </c>
      <c r="AA34" s="33">
        <v>13</v>
      </c>
      <c r="AB34" s="33">
        <v>4</v>
      </c>
      <c r="AC34" s="33">
        <v>13</v>
      </c>
      <c r="AD34" s="33">
        <v>20</v>
      </c>
      <c r="AE34" s="33">
        <v>13</v>
      </c>
      <c r="AF34" s="33">
        <v>30</v>
      </c>
      <c r="AG34" s="33">
        <v>13</v>
      </c>
      <c r="AH34" s="33">
        <v>42</v>
      </c>
      <c r="AI34" s="33">
        <v>13</v>
      </c>
      <c r="AJ34" s="33">
        <v>39</v>
      </c>
      <c r="AK34" s="33">
        <v>13</v>
      </c>
      <c r="AL34" s="33">
        <v>51</v>
      </c>
      <c r="AM34" s="33">
        <v>13</v>
      </c>
      <c r="AN34" s="33">
        <v>20</v>
      </c>
      <c r="AO34" s="33">
        <v>10</v>
      </c>
      <c r="AP34" s="33">
        <v>0</v>
      </c>
      <c r="AQ34" s="33">
        <v>13</v>
      </c>
      <c r="AR34" s="33">
        <v>19</v>
      </c>
    </row>
    <row r="35" spans="1:44">
      <c r="A35" s="232" t="s">
        <v>7</v>
      </c>
      <c r="B35" s="35">
        <f>E35+G35+I35+K35+M35+O35+Q35+S35+U35+W35+Y35+AA35+AC35+AE35+AG35+AI35+AK35+AM35+AO35+AQ35</f>
        <v>508</v>
      </c>
      <c r="C35" s="35">
        <f>F35+H35+J35+L35+N35+P35+R35+T35+V35+X35+Z35+AB35+AD35+AF35+AH35+AJ35+AL35+AN35+AP35+AR35</f>
        <v>510</v>
      </c>
      <c r="D35" s="36">
        <f t="shared" si="9"/>
        <v>1.0039370078740157</v>
      </c>
      <c r="E35" s="33">
        <v>33</v>
      </c>
      <c r="F35" s="33">
        <v>0</v>
      </c>
      <c r="G35" s="33">
        <v>25</v>
      </c>
      <c r="H35" s="33">
        <v>0</v>
      </c>
      <c r="I35" s="33">
        <v>25</v>
      </c>
      <c r="J35" s="33">
        <v>4</v>
      </c>
      <c r="K35" s="33">
        <v>25</v>
      </c>
      <c r="L35" s="33">
        <v>6</v>
      </c>
      <c r="M35" s="33">
        <v>25</v>
      </c>
      <c r="N35" s="33">
        <v>14</v>
      </c>
      <c r="O35" s="33">
        <v>25</v>
      </c>
      <c r="P35" s="33">
        <v>11</v>
      </c>
      <c r="Q35" s="33">
        <v>25</v>
      </c>
      <c r="R35" s="233">
        <v>4</v>
      </c>
      <c r="S35" s="33">
        <v>25</v>
      </c>
      <c r="T35" s="33">
        <v>26</v>
      </c>
      <c r="U35" s="33">
        <v>25</v>
      </c>
      <c r="V35" s="33">
        <v>12</v>
      </c>
      <c r="W35" s="33">
        <v>25</v>
      </c>
      <c r="X35" s="33">
        <v>38</v>
      </c>
      <c r="Y35" s="33">
        <v>25</v>
      </c>
      <c r="Z35" s="33">
        <v>20</v>
      </c>
      <c r="AA35" s="33">
        <v>25</v>
      </c>
      <c r="AB35" s="33">
        <v>7</v>
      </c>
      <c r="AC35" s="33">
        <v>25</v>
      </c>
      <c r="AD35" s="33">
        <v>10</v>
      </c>
      <c r="AE35" s="33">
        <v>25</v>
      </c>
      <c r="AF35" s="33">
        <v>32</v>
      </c>
      <c r="AG35" s="33">
        <v>25</v>
      </c>
      <c r="AH35" s="33">
        <v>41</v>
      </c>
      <c r="AI35" s="33">
        <v>25</v>
      </c>
      <c r="AJ35" s="33">
        <v>57</v>
      </c>
      <c r="AK35" s="33">
        <v>25</v>
      </c>
      <c r="AL35" s="33">
        <v>60</v>
      </c>
      <c r="AM35" s="33">
        <v>25</v>
      </c>
      <c r="AN35" s="33">
        <v>60</v>
      </c>
      <c r="AO35" s="33">
        <v>25</v>
      </c>
      <c r="AP35" s="33">
        <v>62</v>
      </c>
      <c r="AQ35" s="33">
        <v>25</v>
      </c>
      <c r="AR35" s="33">
        <v>46</v>
      </c>
    </row>
    <row r="36" spans="1:44">
      <c r="A36" s="232" t="s">
        <v>9</v>
      </c>
      <c r="B36" s="35">
        <f t="shared" si="10"/>
        <v>326</v>
      </c>
      <c r="C36" s="35">
        <f>F36+H36+J36+L36+N36+P36+R36+T36+V36+X36+Z36+AB36+AD36+AF36+AH36+AJ36+AL36+AN36+AP36+AR36</f>
        <v>331</v>
      </c>
      <c r="D36" s="36">
        <f t="shared" si="9"/>
        <v>1.0153374233128833</v>
      </c>
      <c r="E36" s="33">
        <v>22</v>
      </c>
      <c r="F36" s="33">
        <v>31</v>
      </c>
      <c r="G36" s="33">
        <v>16</v>
      </c>
      <c r="H36" s="33">
        <v>24</v>
      </c>
      <c r="I36" s="33">
        <v>16</v>
      </c>
      <c r="J36" s="33">
        <v>5</v>
      </c>
      <c r="K36" s="33">
        <v>16</v>
      </c>
      <c r="L36" s="33">
        <v>7</v>
      </c>
      <c r="M36" s="33">
        <v>16</v>
      </c>
      <c r="N36" s="33">
        <v>28</v>
      </c>
      <c r="O36" s="33">
        <v>16</v>
      </c>
      <c r="P36" s="33">
        <v>16</v>
      </c>
      <c r="Q36" s="33">
        <v>16</v>
      </c>
      <c r="R36" s="233">
        <v>1</v>
      </c>
      <c r="S36" s="33">
        <v>16</v>
      </c>
      <c r="T36" s="33">
        <v>25</v>
      </c>
      <c r="U36" s="33">
        <v>16</v>
      </c>
      <c r="V36" s="33">
        <v>14</v>
      </c>
      <c r="W36" s="33">
        <v>16</v>
      </c>
      <c r="X36" s="33">
        <v>5</v>
      </c>
      <c r="Y36" s="33">
        <v>16</v>
      </c>
      <c r="Z36" s="33">
        <v>17</v>
      </c>
      <c r="AA36" s="33">
        <v>16</v>
      </c>
      <c r="AB36" s="33">
        <v>0</v>
      </c>
      <c r="AC36" s="33">
        <v>16</v>
      </c>
      <c r="AD36" s="33">
        <v>0</v>
      </c>
      <c r="AE36" s="33">
        <v>16</v>
      </c>
      <c r="AF36" s="33">
        <v>0</v>
      </c>
      <c r="AG36" s="33">
        <v>16</v>
      </c>
      <c r="AH36" s="33">
        <v>0</v>
      </c>
      <c r="AI36" s="33">
        <v>16</v>
      </c>
      <c r="AJ36" s="33">
        <v>31</v>
      </c>
      <c r="AK36" s="33">
        <v>16</v>
      </c>
      <c r="AL36" s="33">
        <v>40</v>
      </c>
      <c r="AM36" s="33">
        <v>16</v>
      </c>
      <c r="AN36" s="33">
        <v>32</v>
      </c>
      <c r="AO36" s="33">
        <v>16</v>
      </c>
      <c r="AP36" s="33">
        <v>30</v>
      </c>
      <c r="AQ36" s="33">
        <v>16</v>
      </c>
      <c r="AR36" s="33">
        <v>25</v>
      </c>
    </row>
    <row r="37" spans="1:44">
      <c r="A37" s="232" t="s">
        <v>10</v>
      </c>
      <c r="B37" s="35">
        <f t="shared" si="10"/>
        <v>233</v>
      </c>
      <c r="C37" s="35">
        <f>F37+H37+J37+L37+N37+P37+R37+T37+V37+X37+Z37+AB37+AD37+AF37+AH37+AJ37+AL37+AN37+AP37+AR37</f>
        <v>241</v>
      </c>
      <c r="D37" s="36">
        <f t="shared" si="9"/>
        <v>1.0343347639484979</v>
      </c>
      <c r="E37" s="33">
        <v>12</v>
      </c>
      <c r="F37" s="33">
        <v>0</v>
      </c>
      <c r="G37" s="33">
        <v>12</v>
      </c>
      <c r="H37" s="33">
        <v>1</v>
      </c>
      <c r="I37" s="33">
        <v>12</v>
      </c>
      <c r="J37" s="33">
        <v>1</v>
      </c>
      <c r="K37" s="33">
        <v>12</v>
      </c>
      <c r="L37" s="33">
        <v>8</v>
      </c>
      <c r="M37" s="33">
        <v>12</v>
      </c>
      <c r="N37" s="33">
        <v>3</v>
      </c>
      <c r="O37" s="33">
        <v>12</v>
      </c>
      <c r="P37" s="33">
        <v>0</v>
      </c>
      <c r="Q37" s="33">
        <v>12</v>
      </c>
      <c r="R37" s="233">
        <v>21</v>
      </c>
      <c r="S37" s="33">
        <v>12</v>
      </c>
      <c r="T37" s="33">
        <v>11</v>
      </c>
      <c r="U37" s="33">
        <v>12</v>
      </c>
      <c r="V37" s="33">
        <v>19</v>
      </c>
      <c r="W37" s="33">
        <v>12</v>
      </c>
      <c r="X37" s="33">
        <v>1</v>
      </c>
      <c r="Y37" s="33">
        <v>12</v>
      </c>
      <c r="Z37" s="33">
        <v>29</v>
      </c>
      <c r="AA37" s="33">
        <v>12</v>
      </c>
      <c r="AB37" s="33">
        <v>6</v>
      </c>
      <c r="AC37" s="33">
        <v>12</v>
      </c>
      <c r="AD37" s="33">
        <v>1</v>
      </c>
      <c r="AE37" s="33">
        <v>12</v>
      </c>
      <c r="AF37" s="33">
        <v>3</v>
      </c>
      <c r="AG37" s="33">
        <v>12</v>
      </c>
      <c r="AH37" s="33">
        <v>35</v>
      </c>
      <c r="AI37" s="33">
        <v>12</v>
      </c>
      <c r="AJ37" s="33">
        <v>36</v>
      </c>
      <c r="AK37" s="33">
        <v>12</v>
      </c>
      <c r="AL37" s="33">
        <v>26</v>
      </c>
      <c r="AM37" s="33">
        <v>12</v>
      </c>
      <c r="AN37" s="33">
        <v>20</v>
      </c>
      <c r="AO37" s="33">
        <v>12</v>
      </c>
      <c r="AP37" s="33">
        <v>16</v>
      </c>
      <c r="AQ37" s="33">
        <v>5</v>
      </c>
      <c r="AR37" s="33">
        <v>4</v>
      </c>
    </row>
    <row r="38" spans="1:44">
      <c r="A38" s="227" t="s">
        <v>11</v>
      </c>
      <c r="B38" s="227">
        <f>SUM(B33:B37)</f>
        <v>1623</v>
      </c>
      <c r="C38" s="227">
        <f>SUM(C33:C37)</f>
        <v>1701</v>
      </c>
      <c r="D38" s="248">
        <f>C38/B38</f>
        <v>1.0480591497227356</v>
      </c>
      <c r="E38" s="227">
        <f t="shared" ref="E38:AR38" si="11">SUM(E33:E37)</f>
        <v>95</v>
      </c>
      <c r="F38" s="227">
        <f t="shared" si="11"/>
        <v>33</v>
      </c>
      <c r="G38" s="227">
        <f t="shared" si="11"/>
        <v>81</v>
      </c>
      <c r="H38" s="227">
        <f t="shared" si="11"/>
        <v>25</v>
      </c>
      <c r="I38" s="227">
        <f t="shared" si="11"/>
        <v>81</v>
      </c>
      <c r="J38" s="227">
        <f t="shared" si="11"/>
        <v>11</v>
      </c>
      <c r="K38" s="227">
        <f t="shared" si="11"/>
        <v>81</v>
      </c>
      <c r="L38" s="227">
        <f t="shared" si="11"/>
        <v>23</v>
      </c>
      <c r="M38" s="227">
        <f t="shared" si="11"/>
        <v>81</v>
      </c>
      <c r="N38" s="227">
        <f t="shared" si="11"/>
        <v>53</v>
      </c>
      <c r="O38" s="227">
        <f t="shared" si="11"/>
        <v>81</v>
      </c>
      <c r="P38" s="227">
        <f t="shared" si="11"/>
        <v>30</v>
      </c>
      <c r="Q38" s="227">
        <f t="shared" si="11"/>
        <v>81</v>
      </c>
      <c r="R38" s="227">
        <f t="shared" si="11"/>
        <v>54</v>
      </c>
      <c r="S38" s="227">
        <f t="shared" si="11"/>
        <v>81</v>
      </c>
      <c r="T38" s="227">
        <f t="shared" si="11"/>
        <v>102</v>
      </c>
      <c r="U38" s="227">
        <f>SUM(U33:U37)</f>
        <v>81</v>
      </c>
      <c r="V38" s="227">
        <f t="shared" si="11"/>
        <v>75</v>
      </c>
      <c r="W38" s="227">
        <f t="shared" si="11"/>
        <v>81</v>
      </c>
      <c r="X38" s="227">
        <f t="shared" si="11"/>
        <v>104</v>
      </c>
      <c r="Y38" s="227">
        <f t="shared" si="11"/>
        <v>81</v>
      </c>
      <c r="Z38" s="227">
        <f t="shared" si="11"/>
        <v>125</v>
      </c>
      <c r="AA38" s="227">
        <f t="shared" si="11"/>
        <v>81</v>
      </c>
      <c r="AB38" s="227">
        <f t="shared" si="11"/>
        <v>37</v>
      </c>
      <c r="AC38" s="227">
        <f t="shared" si="11"/>
        <v>81</v>
      </c>
      <c r="AD38" s="227">
        <f t="shared" si="11"/>
        <v>51</v>
      </c>
      <c r="AE38" s="227">
        <f t="shared" si="11"/>
        <v>81</v>
      </c>
      <c r="AF38" s="227">
        <f t="shared" si="11"/>
        <v>77</v>
      </c>
      <c r="AG38" s="227">
        <f t="shared" si="11"/>
        <v>81</v>
      </c>
      <c r="AH38" s="227">
        <f t="shared" si="11"/>
        <v>124</v>
      </c>
      <c r="AI38" s="227">
        <f t="shared" si="11"/>
        <v>81</v>
      </c>
      <c r="AJ38" s="227">
        <f t="shared" si="11"/>
        <v>182</v>
      </c>
      <c r="AK38" s="227">
        <f t="shared" si="11"/>
        <v>81</v>
      </c>
      <c r="AL38" s="227">
        <f t="shared" si="11"/>
        <v>201</v>
      </c>
      <c r="AM38" s="227">
        <f t="shared" si="11"/>
        <v>81</v>
      </c>
      <c r="AN38" s="227">
        <f t="shared" si="11"/>
        <v>141</v>
      </c>
      <c r="AO38" s="227">
        <f t="shared" si="11"/>
        <v>78</v>
      </c>
      <c r="AP38" s="227">
        <f t="shared" si="11"/>
        <v>112</v>
      </c>
      <c r="AQ38" s="227">
        <f t="shared" si="11"/>
        <v>73</v>
      </c>
      <c r="AR38" s="227">
        <f t="shared" si="11"/>
        <v>141</v>
      </c>
    </row>
    <row r="41" spans="1:44">
      <c r="C41" s="210"/>
    </row>
    <row r="42" spans="1:44">
      <c r="A42" s="251"/>
      <c r="C42" s="210"/>
    </row>
    <row r="43" spans="1:44" ht="13.2">
      <c r="A43" s="61" t="s">
        <v>332</v>
      </c>
      <c r="B43" s="61" t="s">
        <v>329</v>
      </c>
      <c r="C43" s="210"/>
    </row>
    <row r="44" spans="1:44" ht="13.2">
      <c r="A44" s="61" t="s">
        <v>55</v>
      </c>
      <c r="B44" s="183">
        <f>'EVOLUCAO DOS MESES'!D28</f>
        <v>0</v>
      </c>
      <c r="C44" s="210"/>
    </row>
    <row r="45" spans="1:44" ht="13.2">
      <c r="A45" s="61" t="s">
        <v>6</v>
      </c>
      <c r="B45" s="183">
        <f>'EVOLUCAO DOS MESES'!D29</f>
        <v>5323.0600020000011</v>
      </c>
      <c r="C45" s="210"/>
    </row>
    <row r="46" spans="1:44" ht="13.2">
      <c r="A46" s="61" t="s">
        <v>7</v>
      </c>
      <c r="B46" s="183">
        <f>'EVOLUCAO DOS MESES'!D30</f>
        <v>10823.154999999999</v>
      </c>
    </row>
    <row r="47" spans="1:44" ht="13.2">
      <c r="A47" s="61" t="s">
        <v>8</v>
      </c>
      <c r="B47" s="183">
        <f>'EVOLUCAO DOS MESES'!D31</f>
        <v>1370.55</v>
      </c>
    </row>
    <row r="48" spans="1:44" ht="13.2">
      <c r="A48" s="66" t="s">
        <v>56</v>
      </c>
      <c r="B48" s="252">
        <f>'EVOLUCAO DOS MESES'!D32</f>
        <v>5969.51</v>
      </c>
    </row>
    <row r="49" spans="1:2" ht="13.2">
      <c r="A49" s="61" t="s">
        <v>10</v>
      </c>
      <c r="B49" s="183">
        <f>'EVOLUCAO DOS MESES'!D33</f>
        <v>7196.7099980000012</v>
      </c>
    </row>
    <row r="50" spans="1:2" ht="13.2">
      <c r="A50" s="61" t="s">
        <v>342</v>
      </c>
      <c r="B50" s="183">
        <f>SUM(B44:B49)</f>
        <v>30682.985000000004</v>
      </c>
    </row>
  </sheetData>
  <mergeCells count="43">
    <mergeCell ref="M3:N3"/>
    <mergeCell ref="A3:D3"/>
    <mergeCell ref="E3:F3"/>
    <mergeCell ref="G3:H3"/>
    <mergeCell ref="I3:J3"/>
    <mergeCell ref="K3:L3"/>
    <mergeCell ref="AK3:AL3"/>
    <mergeCell ref="O3:P3"/>
    <mergeCell ref="Q3:R3"/>
    <mergeCell ref="S3:T3"/>
    <mergeCell ref="U3:V3"/>
    <mergeCell ref="W3:X3"/>
    <mergeCell ref="Y3:Z3"/>
    <mergeCell ref="Y31:Z31"/>
    <mergeCell ref="AM3:AN3"/>
    <mergeCell ref="AO3:AP3"/>
    <mergeCell ref="AQ3:AR3"/>
    <mergeCell ref="A14:G14"/>
    <mergeCell ref="A31:D31"/>
    <mergeCell ref="E31:F31"/>
    <mergeCell ref="G31:H31"/>
    <mergeCell ref="I31:J31"/>
    <mergeCell ref="K31:L31"/>
    <mergeCell ref="M31:N31"/>
    <mergeCell ref="AA3:AB3"/>
    <mergeCell ref="AC3:AD3"/>
    <mergeCell ref="AE3:AF3"/>
    <mergeCell ref="AG3:AH3"/>
    <mergeCell ref="AI3:AJ3"/>
    <mergeCell ref="O31:P31"/>
    <mergeCell ref="Q31:R31"/>
    <mergeCell ref="S31:T31"/>
    <mergeCell ref="U31:V31"/>
    <mergeCell ref="W31:X31"/>
    <mergeCell ref="AM31:AN31"/>
    <mergeCell ref="AO31:AP31"/>
    <mergeCell ref="AQ31:AR31"/>
    <mergeCell ref="AA31:AB31"/>
    <mergeCell ref="AC31:AD31"/>
    <mergeCell ref="AE31:AF31"/>
    <mergeCell ref="AG31:AH31"/>
    <mergeCell ref="AI31:AJ31"/>
    <mergeCell ref="AK31:AL31"/>
  </mergeCells>
  <pageMargins left="0.511811024" right="0.511811024" top="0.78740157499999996" bottom="0.78740157499999996" header="0.31496062000000002" footer="0.3149606200000000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46193-6EB5-458E-8649-7C8C2DEAE0BB}">
  <sheetPr>
    <tabColor theme="8" tint="-0.249977111117893"/>
  </sheetPr>
  <dimension ref="A2:AT50"/>
  <sheetViews>
    <sheetView showGridLines="0" tabSelected="1" workbookViewId="0">
      <selection activeCell="D13" sqref="D13"/>
    </sheetView>
  </sheetViews>
  <sheetFormatPr defaultColWidth="9.109375" defaultRowHeight="12"/>
  <cols>
    <col min="1" max="1" width="31.109375" style="30" customWidth="1"/>
    <col min="2" max="2" width="14.33203125" style="37" bestFit="1" customWidth="1"/>
    <col min="3" max="3" width="8.33203125" style="30" customWidth="1"/>
    <col min="4" max="4" width="9.109375" style="30" customWidth="1"/>
    <col min="5" max="5" width="8.44140625" style="30" customWidth="1"/>
    <col min="6" max="6" width="9.109375" style="30" customWidth="1"/>
    <col min="7" max="7" width="10.33203125" style="30" customWidth="1"/>
    <col min="8" max="9" width="10.6640625" style="30" customWidth="1"/>
    <col min="10" max="10" width="12.33203125" style="30" customWidth="1"/>
    <col min="11" max="20" width="10.6640625" style="30" customWidth="1"/>
    <col min="21" max="53" width="9.109375" style="30" customWidth="1"/>
    <col min="54" max="16384" width="9.109375" style="30"/>
  </cols>
  <sheetData>
    <row r="2" spans="1:46" ht="12.6" thickBot="1">
      <c r="A2" s="30" t="s">
        <v>329</v>
      </c>
      <c r="B2" s="250">
        <f>'EVOLUCAO DOS MESES'!E12</f>
        <v>8711.02</v>
      </c>
    </row>
    <row r="3" spans="1:46" ht="12.6" thickBot="1">
      <c r="A3" s="269" t="s">
        <v>0</v>
      </c>
      <c r="B3" s="270"/>
      <c r="C3" s="270"/>
      <c r="D3" s="270"/>
      <c r="E3" s="275">
        <v>1</v>
      </c>
      <c r="F3" s="274"/>
      <c r="G3" s="273">
        <v>2</v>
      </c>
      <c r="H3" s="274"/>
      <c r="I3" s="273">
        <v>3</v>
      </c>
      <c r="J3" s="274"/>
      <c r="K3" s="273">
        <v>5</v>
      </c>
      <c r="L3" s="274"/>
      <c r="M3" s="273">
        <v>8</v>
      </c>
      <c r="N3" s="274"/>
      <c r="O3" s="273">
        <v>9</v>
      </c>
      <c r="P3" s="274"/>
      <c r="Q3" s="271">
        <v>10</v>
      </c>
      <c r="R3" s="272"/>
      <c r="S3" s="271">
        <v>11</v>
      </c>
      <c r="T3" s="272"/>
      <c r="U3" s="271">
        <v>12</v>
      </c>
      <c r="V3" s="272"/>
      <c r="W3" s="271">
        <v>15</v>
      </c>
      <c r="X3" s="272"/>
      <c r="Y3" s="273">
        <v>16</v>
      </c>
      <c r="Z3" s="274"/>
      <c r="AA3" s="273">
        <v>17</v>
      </c>
      <c r="AB3" s="274"/>
      <c r="AC3" s="271">
        <v>18</v>
      </c>
      <c r="AD3" s="272"/>
      <c r="AE3" s="271">
        <v>19</v>
      </c>
      <c r="AF3" s="272"/>
      <c r="AG3" s="271">
        <v>22</v>
      </c>
      <c r="AH3" s="272"/>
      <c r="AI3" s="271">
        <v>23</v>
      </c>
      <c r="AJ3" s="272"/>
      <c r="AK3" s="271">
        <v>24</v>
      </c>
      <c r="AL3" s="272"/>
      <c r="AM3" s="271">
        <v>25</v>
      </c>
      <c r="AN3" s="272"/>
      <c r="AO3" s="271">
        <v>26</v>
      </c>
      <c r="AP3" s="272"/>
      <c r="AQ3" s="271">
        <v>29</v>
      </c>
      <c r="AR3" s="272"/>
      <c r="AS3" s="271">
        <v>30</v>
      </c>
      <c r="AT3" s="272"/>
    </row>
    <row r="4" spans="1:46">
      <c r="A4" s="140" t="s">
        <v>1</v>
      </c>
      <c r="B4" s="140" t="s">
        <v>2</v>
      </c>
      <c r="C4" s="140" t="s">
        <v>3</v>
      </c>
      <c r="D4" s="141" t="s">
        <v>4</v>
      </c>
      <c r="E4" s="142" t="s">
        <v>2</v>
      </c>
      <c r="F4" s="143" t="s">
        <v>5</v>
      </c>
      <c r="G4" s="142" t="s">
        <v>2</v>
      </c>
      <c r="H4" s="143" t="s">
        <v>5</v>
      </c>
      <c r="I4" s="142" t="s">
        <v>2</v>
      </c>
      <c r="J4" s="143" t="s">
        <v>5</v>
      </c>
      <c r="K4" s="142" t="s">
        <v>2</v>
      </c>
      <c r="L4" s="143" t="s">
        <v>5</v>
      </c>
      <c r="M4" s="142" t="s">
        <v>2</v>
      </c>
      <c r="N4" s="143" t="s">
        <v>5</v>
      </c>
      <c r="O4" s="142" t="s">
        <v>2</v>
      </c>
      <c r="P4" s="143" t="s">
        <v>5</v>
      </c>
      <c r="Q4" s="142" t="s">
        <v>2</v>
      </c>
      <c r="R4" s="143" t="s">
        <v>5</v>
      </c>
      <c r="S4" s="142" t="s">
        <v>2</v>
      </c>
      <c r="T4" s="143" t="s">
        <v>5</v>
      </c>
      <c r="U4" s="142" t="s">
        <v>2</v>
      </c>
      <c r="V4" s="143" t="s">
        <v>5</v>
      </c>
      <c r="W4" s="142" t="s">
        <v>2</v>
      </c>
      <c r="X4" s="143" t="s">
        <v>5</v>
      </c>
      <c r="Y4" s="142" t="s">
        <v>2</v>
      </c>
      <c r="Z4" s="143" t="s">
        <v>5</v>
      </c>
      <c r="AA4" s="142" t="s">
        <v>2</v>
      </c>
      <c r="AB4" s="143" t="s">
        <v>5</v>
      </c>
      <c r="AC4" s="142" t="s">
        <v>2</v>
      </c>
      <c r="AD4" s="143" t="s">
        <v>5</v>
      </c>
      <c r="AE4" s="142" t="s">
        <v>2</v>
      </c>
      <c r="AF4" s="143" t="s">
        <v>5</v>
      </c>
      <c r="AG4" s="142" t="s">
        <v>2</v>
      </c>
      <c r="AH4" s="143" t="s">
        <v>5</v>
      </c>
      <c r="AI4" s="142" t="s">
        <v>2</v>
      </c>
      <c r="AJ4" s="143" t="s">
        <v>5</v>
      </c>
      <c r="AK4" s="142" t="s">
        <v>2</v>
      </c>
      <c r="AL4" s="143" t="s">
        <v>5</v>
      </c>
      <c r="AM4" s="142" t="s">
        <v>2</v>
      </c>
      <c r="AN4" s="143" t="s">
        <v>5</v>
      </c>
      <c r="AO4" s="142" t="s">
        <v>2</v>
      </c>
      <c r="AP4" s="143" t="s">
        <v>5</v>
      </c>
      <c r="AQ4" s="142" t="s">
        <v>2</v>
      </c>
      <c r="AR4" s="143" t="s">
        <v>5</v>
      </c>
      <c r="AS4" s="142" t="s">
        <v>2</v>
      </c>
      <c r="AT4" s="143" t="s">
        <v>5</v>
      </c>
    </row>
    <row r="5" spans="1:46">
      <c r="A5" s="144" t="s">
        <v>6</v>
      </c>
      <c r="B5" s="31">
        <v>31</v>
      </c>
      <c r="C5" s="31">
        <v>16</v>
      </c>
      <c r="D5" s="32">
        <v>0.48</v>
      </c>
      <c r="E5" s="33">
        <v>1</v>
      </c>
      <c r="F5" s="33">
        <v>0</v>
      </c>
      <c r="G5" s="33">
        <v>1</v>
      </c>
      <c r="H5" s="33">
        <v>2</v>
      </c>
      <c r="I5" s="33">
        <v>1</v>
      </c>
      <c r="J5" s="33">
        <v>0</v>
      </c>
      <c r="K5" s="33">
        <v>1</v>
      </c>
      <c r="L5" s="33">
        <v>3</v>
      </c>
      <c r="M5" s="33">
        <v>1</v>
      </c>
      <c r="N5" s="33">
        <v>0</v>
      </c>
      <c r="O5" s="33">
        <v>1</v>
      </c>
      <c r="P5" s="33">
        <v>1</v>
      </c>
      <c r="Q5" s="33">
        <v>1</v>
      </c>
      <c r="R5" s="33">
        <v>0</v>
      </c>
      <c r="S5" s="33">
        <v>1</v>
      </c>
      <c r="T5" s="33">
        <v>1</v>
      </c>
      <c r="U5" s="33">
        <v>1</v>
      </c>
      <c r="V5" s="33">
        <v>0</v>
      </c>
      <c r="W5" s="33">
        <v>1</v>
      </c>
      <c r="X5" s="33">
        <v>1</v>
      </c>
      <c r="Y5" s="33">
        <v>1</v>
      </c>
      <c r="Z5" s="33">
        <v>1</v>
      </c>
      <c r="AA5" s="33">
        <v>2</v>
      </c>
      <c r="AB5" s="33">
        <v>0</v>
      </c>
      <c r="AC5" s="33">
        <v>2</v>
      </c>
      <c r="AD5" s="117">
        <v>1</v>
      </c>
      <c r="AE5" s="33">
        <v>2</v>
      </c>
      <c r="AF5" s="33">
        <v>0</v>
      </c>
      <c r="AG5" s="33">
        <v>2</v>
      </c>
      <c r="AH5" s="33">
        <v>0</v>
      </c>
      <c r="AI5" s="33">
        <v>2</v>
      </c>
      <c r="AJ5" s="33">
        <v>0</v>
      </c>
      <c r="AK5" s="33">
        <v>2</v>
      </c>
      <c r="AL5" s="33">
        <v>0</v>
      </c>
      <c r="AM5" s="33">
        <v>2</v>
      </c>
      <c r="AN5" s="33">
        <v>0</v>
      </c>
      <c r="AO5" s="33">
        <v>2</v>
      </c>
      <c r="AP5" s="33">
        <v>3</v>
      </c>
      <c r="AQ5" s="33">
        <v>2</v>
      </c>
      <c r="AR5" s="33">
        <v>1</v>
      </c>
      <c r="AS5" s="33">
        <v>2</v>
      </c>
      <c r="AT5" s="33">
        <v>1</v>
      </c>
    </row>
    <row r="6" spans="1:46">
      <c r="A6" s="144" t="s">
        <v>7</v>
      </c>
      <c r="B6" s="31">
        <v>48</v>
      </c>
      <c r="C6" s="31">
        <v>21</v>
      </c>
      <c r="D6" s="32">
        <v>0.44</v>
      </c>
      <c r="E6" s="33">
        <v>3</v>
      </c>
      <c r="F6" s="117">
        <v>0</v>
      </c>
      <c r="G6" s="33">
        <v>3</v>
      </c>
      <c r="H6" s="33">
        <v>0</v>
      </c>
      <c r="I6" s="33">
        <v>3</v>
      </c>
      <c r="J6" s="33">
        <v>0</v>
      </c>
      <c r="K6" s="33">
        <v>3</v>
      </c>
      <c r="L6" s="117">
        <v>3</v>
      </c>
      <c r="M6" s="33">
        <v>3</v>
      </c>
      <c r="N6" s="117">
        <v>1</v>
      </c>
      <c r="O6" s="33">
        <v>3</v>
      </c>
      <c r="P6" s="33">
        <v>0</v>
      </c>
      <c r="Q6" s="33">
        <v>3</v>
      </c>
      <c r="R6" s="33">
        <v>0</v>
      </c>
      <c r="S6" s="33">
        <v>3</v>
      </c>
      <c r="T6" s="33">
        <v>1</v>
      </c>
      <c r="U6" s="33">
        <v>3</v>
      </c>
      <c r="V6" s="33">
        <v>2</v>
      </c>
      <c r="W6" s="33">
        <v>3</v>
      </c>
      <c r="X6" s="33">
        <v>0</v>
      </c>
      <c r="Y6" s="33">
        <v>3</v>
      </c>
      <c r="Z6" s="33">
        <v>0</v>
      </c>
      <c r="AA6" s="33">
        <v>3</v>
      </c>
      <c r="AB6" s="33">
        <v>1</v>
      </c>
      <c r="AC6" s="33">
        <v>2</v>
      </c>
      <c r="AD6" s="117">
        <v>5</v>
      </c>
      <c r="AE6" s="33">
        <v>1</v>
      </c>
      <c r="AF6" s="33">
        <v>2</v>
      </c>
      <c r="AG6" s="33">
        <v>1</v>
      </c>
      <c r="AH6" s="33">
        <v>0</v>
      </c>
      <c r="AI6" s="33">
        <v>1</v>
      </c>
      <c r="AJ6" s="33">
        <v>0</v>
      </c>
      <c r="AK6" s="33">
        <v>1</v>
      </c>
      <c r="AL6" s="33">
        <v>1</v>
      </c>
      <c r="AM6" s="33">
        <v>1</v>
      </c>
      <c r="AN6" s="33">
        <v>1</v>
      </c>
      <c r="AO6" s="33">
        <v>1</v>
      </c>
      <c r="AP6" s="33">
        <v>4</v>
      </c>
      <c r="AQ6" s="33">
        <v>1</v>
      </c>
      <c r="AR6" s="33">
        <v>0</v>
      </c>
      <c r="AS6" s="33">
        <v>1</v>
      </c>
      <c r="AT6" s="33">
        <v>0</v>
      </c>
    </row>
    <row r="7" spans="1:46">
      <c r="A7" s="144" t="s">
        <v>8</v>
      </c>
      <c r="B7" s="31">
        <v>25</v>
      </c>
      <c r="C7" s="31">
        <v>7</v>
      </c>
      <c r="D7" s="32">
        <v>0.2</v>
      </c>
      <c r="E7" s="33">
        <v>1</v>
      </c>
      <c r="F7" s="33">
        <v>0</v>
      </c>
      <c r="G7" s="33">
        <v>1</v>
      </c>
      <c r="H7" s="33">
        <v>0</v>
      </c>
      <c r="I7" s="33">
        <v>1</v>
      </c>
      <c r="J7" s="33">
        <v>0</v>
      </c>
      <c r="K7" s="33">
        <v>1</v>
      </c>
      <c r="L7" s="33">
        <v>1</v>
      </c>
      <c r="M7" s="33">
        <v>1</v>
      </c>
      <c r="N7" s="33">
        <v>0</v>
      </c>
      <c r="O7" s="33">
        <v>1</v>
      </c>
      <c r="P7" s="33">
        <v>0</v>
      </c>
      <c r="Q7" s="33">
        <v>1</v>
      </c>
      <c r="R7" s="33">
        <v>0</v>
      </c>
      <c r="S7" s="33">
        <v>1</v>
      </c>
      <c r="T7" s="33">
        <v>0</v>
      </c>
      <c r="U7" s="33">
        <v>1</v>
      </c>
      <c r="V7" s="33">
        <v>1</v>
      </c>
      <c r="W7" s="33">
        <v>1</v>
      </c>
      <c r="X7" s="33">
        <v>0</v>
      </c>
      <c r="Y7" s="33">
        <v>1</v>
      </c>
      <c r="Z7" s="33">
        <v>0</v>
      </c>
      <c r="AA7" s="33">
        <v>1</v>
      </c>
      <c r="AB7" s="33">
        <v>0</v>
      </c>
      <c r="AC7" s="33">
        <v>1</v>
      </c>
      <c r="AD7" s="117">
        <v>0</v>
      </c>
      <c r="AE7" s="33">
        <v>1</v>
      </c>
      <c r="AF7" s="33">
        <v>0</v>
      </c>
      <c r="AG7" s="33">
        <v>1</v>
      </c>
      <c r="AH7" s="33">
        <v>0</v>
      </c>
      <c r="AI7" s="33">
        <v>1</v>
      </c>
      <c r="AJ7" s="33">
        <v>0</v>
      </c>
      <c r="AK7" s="33">
        <v>1</v>
      </c>
      <c r="AL7" s="33">
        <v>2</v>
      </c>
      <c r="AM7" s="33">
        <v>2</v>
      </c>
      <c r="AN7" s="33">
        <v>0</v>
      </c>
      <c r="AO7" s="33">
        <v>2</v>
      </c>
      <c r="AP7" s="33">
        <v>1</v>
      </c>
      <c r="AQ7" s="33">
        <v>2</v>
      </c>
      <c r="AR7" s="33">
        <v>0</v>
      </c>
      <c r="AS7" s="33">
        <v>2</v>
      </c>
      <c r="AT7" s="33">
        <v>0</v>
      </c>
    </row>
    <row r="8" spans="1:46">
      <c r="A8" s="144" t="s">
        <v>9</v>
      </c>
      <c r="B8" s="31">
        <v>30</v>
      </c>
      <c r="C8" s="31">
        <v>27</v>
      </c>
      <c r="D8" s="32">
        <v>0.9</v>
      </c>
      <c r="E8" s="33">
        <v>2</v>
      </c>
      <c r="F8" s="117">
        <v>0</v>
      </c>
      <c r="G8" s="33">
        <v>2</v>
      </c>
      <c r="H8" s="33">
        <v>0</v>
      </c>
      <c r="I8" s="33">
        <v>2</v>
      </c>
      <c r="J8" s="33">
        <v>2</v>
      </c>
      <c r="K8" s="33">
        <v>2</v>
      </c>
      <c r="L8" s="117">
        <v>1</v>
      </c>
      <c r="M8" s="33">
        <v>2</v>
      </c>
      <c r="N8" s="117">
        <v>0</v>
      </c>
      <c r="O8" s="33">
        <v>2</v>
      </c>
      <c r="P8" s="117">
        <v>1</v>
      </c>
      <c r="Q8" s="33">
        <v>2</v>
      </c>
      <c r="R8" s="117">
        <v>3</v>
      </c>
      <c r="S8" s="33">
        <v>2</v>
      </c>
      <c r="T8" s="33">
        <v>4</v>
      </c>
      <c r="U8" s="33">
        <v>2</v>
      </c>
      <c r="V8" s="33">
        <v>0</v>
      </c>
      <c r="W8" s="33">
        <v>1</v>
      </c>
      <c r="X8" s="33">
        <v>0</v>
      </c>
      <c r="Y8" s="33">
        <v>1</v>
      </c>
      <c r="Z8" s="33">
        <v>0</v>
      </c>
      <c r="AA8" s="33">
        <v>1</v>
      </c>
      <c r="AB8" s="33">
        <v>2</v>
      </c>
      <c r="AC8" s="33">
        <v>1</v>
      </c>
      <c r="AD8" s="117">
        <v>1</v>
      </c>
      <c r="AE8" s="33">
        <v>1</v>
      </c>
      <c r="AF8" s="33">
        <v>1</v>
      </c>
      <c r="AG8" s="33">
        <v>1</v>
      </c>
      <c r="AH8" s="33">
        <v>1</v>
      </c>
      <c r="AI8" s="33">
        <v>1</v>
      </c>
      <c r="AJ8" s="33">
        <v>1</v>
      </c>
      <c r="AK8" s="33">
        <v>1</v>
      </c>
      <c r="AL8" s="33">
        <v>1</v>
      </c>
      <c r="AM8" s="33">
        <v>1</v>
      </c>
      <c r="AN8" s="33">
        <v>3</v>
      </c>
      <c r="AO8" s="33">
        <v>1</v>
      </c>
      <c r="AP8" s="33">
        <v>2</v>
      </c>
      <c r="AQ8" s="33">
        <v>1</v>
      </c>
      <c r="AR8" s="33">
        <v>0</v>
      </c>
      <c r="AS8" s="33">
        <v>1</v>
      </c>
      <c r="AT8" s="33">
        <v>4</v>
      </c>
    </row>
    <row r="9" spans="1:46">
      <c r="A9" s="144" t="s">
        <v>10</v>
      </c>
      <c r="B9" s="31">
        <v>25</v>
      </c>
      <c r="C9" s="31">
        <v>20</v>
      </c>
      <c r="D9" s="32">
        <v>0.8</v>
      </c>
      <c r="E9" s="33">
        <v>1</v>
      </c>
      <c r="F9" s="33">
        <v>1</v>
      </c>
      <c r="G9" s="33">
        <v>1</v>
      </c>
      <c r="H9" s="33">
        <v>0</v>
      </c>
      <c r="I9" s="33">
        <v>1</v>
      </c>
      <c r="J9" s="33">
        <v>1</v>
      </c>
      <c r="K9" s="33">
        <v>1</v>
      </c>
      <c r="L9" s="33">
        <v>1</v>
      </c>
      <c r="M9" s="33">
        <v>1</v>
      </c>
      <c r="N9" s="33">
        <v>0</v>
      </c>
      <c r="O9" s="33">
        <v>1</v>
      </c>
      <c r="P9" s="33">
        <v>3</v>
      </c>
      <c r="Q9" s="33">
        <v>1</v>
      </c>
      <c r="R9" s="33">
        <v>1</v>
      </c>
      <c r="S9" s="33">
        <v>1</v>
      </c>
      <c r="T9" s="33">
        <v>2</v>
      </c>
      <c r="U9" s="33">
        <v>1</v>
      </c>
      <c r="V9" s="33">
        <v>1</v>
      </c>
      <c r="W9" s="33">
        <v>1</v>
      </c>
      <c r="X9" s="33">
        <v>1</v>
      </c>
      <c r="Y9" s="33">
        <v>1</v>
      </c>
      <c r="Z9" s="33">
        <v>1</v>
      </c>
      <c r="AA9" s="33">
        <v>1</v>
      </c>
      <c r="AB9" s="33">
        <v>0</v>
      </c>
      <c r="AC9" s="33">
        <v>1</v>
      </c>
      <c r="AD9" s="117">
        <v>2</v>
      </c>
      <c r="AE9" s="33">
        <v>1</v>
      </c>
      <c r="AF9" s="33">
        <v>2</v>
      </c>
      <c r="AG9" s="33">
        <v>1</v>
      </c>
      <c r="AH9" s="33">
        <v>0</v>
      </c>
      <c r="AI9" s="33">
        <v>1</v>
      </c>
      <c r="AJ9" s="33">
        <v>0</v>
      </c>
      <c r="AK9" s="33">
        <v>1</v>
      </c>
      <c r="AL9" s="33">
        <v>0</v>
      </c>
      <c r="AM9" s="33">
        <v>2</v>
      </c>
      <c r="AN9" s="33">
        <v>1</v>
      </c>
      <c r="AO9" s="33">
        <v>2</v>
      </c>
      <c r="AP9" s="33">
        <v>1</v>
      </c>
      <c r="AQ9" s="33">
        <v>2</v>
      </c>
      <c r="AR9" s="33">
        <v>0</v>
      </c>
      <c r="AS9" s="33">
        <v>2</v>
      </c>
      <c r="AT9" s="33">
        <v>2</v>
      </c>
    </row>
    <row r="10" spans="1:46">
      <c r="A10" s="145" t="s">
        <v>11</v>
      </c>
      <c r="B10" s="146">
        <v>159</v>
      </c>
      <c r="C10" s="146">
        <f>SUM(C5:C9)</f>
        <v>91</v>
      </c>
      <c r="D10" s="147">
        <v>0.55000000000000004</v>
      </c>
      <c r="E10" s="148">
        <v>8</v>
      </c>
      <c r="F10" s="148">
        <v>1</v>
      </c>
      <c r="G10" s="148">
        <v>8</v>
      </c>
      <c r="H10" s="148">
        <v>2</v>
      </c>
      <c r="I10" s="148">
        <v>8</v>
      </c>
      <c r="J10" s="148">
        <v>3</v>
      </c>
      <c r="K10" s="148">
        <v>8</v>
      </c>
      <c r="L10" s="148">
        <v>9</v>
      </c>
      <c r="M10" s="148">
        <v>8</v>
      </c>
      <c r="N10" s="148">
        <v>1</v>
      </c>
      <c r="O10" s="148">
        <v>8</v>
      </c>
      <c r="P10" s="148">
        <v>5</v>
      </c>
      <c r="Q10" s="148">
        <v>8</v>
      </c>
      <c r="R10" s="148">
        <v>4</v>
      </c>
      <c r="S10" s="148">
        <v>8</v>
      </c>
      <c r="T10" s="148">
        <v>8</v>
      </c>
      <c r="U10" s="148">
        <v>8</v>
      </c>
      <c r="V10" s="148">
        <v>4</v>
      </c>
      <c r="W10" s="148">
        <v>7</v>
      </c>
      <c r="X10" s="148">
        <v>2</v>
      </c>
      <c r="Y10" s="148">
        <v>7</v>
      </c>
      <c r="Z10" s="148">
        <v>2</v>
      </c>
      <c r="AA10" s="148">
        <v>8</v>
      </c>
      <c r="AB10" s="148">
        <v>3</v>
      </c>
      <c r="AC10" s="148">
        <v>7</v>
      </c>
      <c r="AD10" s="148">
        <v>9</v>
      </c>
      <c r="AE10" s="148">
        <v>6</v>
      </c>
      <c r="AF10" s="148">
        <v>5</v>
      </c>
      <c r="AG10" s="148">
        <v>6</v>
      </c>
      <c r="AH10" s="148">
        <v>1</v>
      </c>
      <c r="AI10" s="148">
        <v>6</v>
      </c>
      <c r="AJ10" s="148">
        <v>1</v>
      </c>
      <c r="AK10" s="148">
        <v>6</v>
      </c>
      <c r="AL10" s="148">
        <v>4</v>
      </c>
      <c r="AM10" s="148">
        <v>8</v>
      </c>
      <c r="AN10" s="148">
        <v>5</v>
      </c>
      <c r="AO10" s="148">
        <v>8</v>
      </c>
      <c r="AP10" s="148">
        <v>11</v>
      </c>
      <c r="AQ10" s="148">
        <v>8</v>
      </c>
      <c r="AR10" s="148">
        <v>1</v>
      </c>
      <c r="AS10" s="148">
        <v>8</v>
      </c>
      <c r="AT10" s="148">
        <v>7</v>
      </c>
    </row>
    <row r="11" spans="1:46">
      <c r="A11" s="53" t="s">
        <v>12</v>
      </c>
      <c r="B11" s="54">
        <v>218</v>
      </c>
      <c r="C11" s="39"/>
    </row>
    <row r="12" spans="1:46">
      <c r="A12" s="53" t="s">
        <v>13</v>
      </c>
      <c r="B12" s="54">
        <v>59</v>
      </c>
      <c r="C12" s="39"/>
    </row>
    <row r="13" spans="1:46" ht="12.6" thickBot="1"/>
    <row r="14" spans="1:46" ht="12.75" customHeight="1" thickBot="1">
      <c r="A14" s="256" t="s">
        <v>341</v>
      </c>
      <c r="B14" s="257"/>
      <c r="C14" s="257"/>
      <c r="D14" s="257"/>
      <c r="E14" s="257"/>
      <c r="F14" s="257"/>
      <c r="G14" s="258"/>
    </row>
    <row r="15" spans="1:46">
      <c r="A15" s="149" t="s">
        <v>14</v>
      </c>
      <c r="B15" s="149" t="s">
        <v>6</v>
      </c>
      <c r="C15" s="149" t="s">
        <v>7</v>
      </c>
      <c r="D15" s="149" t="s">
        <v>8</v>
      </c>
      <c r="E15" s="149" t="s">
        <v>9</v>
      </c>
      <c r="F15" s="149" t="s">
        <v>10</v>
      </c>
      <c r="G15" s="149" t="s">
        <v>11</v>
      </c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</row>
    <row r="16" spans="1:46" ht="15" customHeight="1">
      <c r="A16" s="150" t="s">
        <v>15</v>
      </c>
      <c r="B16" s="116">
        <v>35</v>
      </c>
      <c r="C16" s="102">
        <v>0</v>
      </c>
      <c r="D16" s="102">
        <v>0</v>
      </c>
      <c r="E16" s="102">
        <v>11</v>
      </c>
      <c r="F16" s="102">
        <v>6</v>
      </c>
      <c r="G16" s="151">
        <v>52</v>
      </c>
      <c r="H16" s="50"/>
      <c r="J16" s="49"/>
      <c r="K16" s="41"/>
      <c r="L16" s="42"/>
    </row>
    <row r="17" spans="1:46" ht="15" customHeight="1">
      <c r="A17" s="150" t="s">
        <v>16</v>
      </c>
      <c r="B17" s="116">
        <v>9</v>
      </c>
      <c r="C17" s="102">
        <v>0</v>
      </c>
      <c r="D17" s="102">
        <v>0</v>
      </c>
      <c r="E17" s="102">
        <v>0</v>
      </c>
      <c r="F17" s="102">
        <v>8</v>
      </c>
      <c r="G17" s="151">
        <v>17</v>
      </c>
      <c r="H17" s="50"/>
      <c r="K17" s="41"/>
    </row>
    <row r="18" spans="1:46" ht="15" customHeight="1">
      <c r="A18" s="150" t="s">
        <v>17</v>
      </c>
      <c r="B18" s="116">
        <v>4</v>
      </c>
      <c r="C18" s="102">
        <v>0</v>
      </c>
      <c r="D18" s="102">
        <v>0</v>
      </c>
      <c r="E18" s="102">
        <v>0</v>
      </c>
      <c r="F18" s="102">
        <v>3</v>
      </c>
      <c r="G18" s="151">
        <v>7</v>
      </c>
      <c r="H18" s="50"/>
      <c r="I18" s="41"/>
      <c r="J18" s="49"/>
      <c r="K18" s="41"/>
      <c r="M18" s="49"/>
      <c r="P18" s="49"/>
    </row>
    <row r="19" spans="1:46" ht="15" customHeight="1">
      <c r="A19" s="150" t="s">
        <v>18</v>
      </c>
      <c r="B19" s="116">
        <v>1</v>
      </c>
      <c r="C19" s="102">
        <v>0</v>
      </c>
      <c r="D19" s="102">
        <v>0</v>
      </c>
      <c r="E19" s="102">
        <v>0</v>
      </c>
      <c r="F19" s="102">
        <v>1</v>
      </c>
      <c r="G19" s="151">
        <v>2</v>
      </c>
      <c r="H19" s="50"/>
      <c r="I19" s="40"/>
    </row>
    <row r="20" spans="1:46" ht="15" customHeight="1">
      <c r="A20" s="152" t="s">
        <v>19</v>
      </c>
      <c r="B20" s="149" t="s">
        <v>6</v>
      </c>
      <c r="C20" s="149" t="s">
        <v>7</v>
      </c>
      <c r="D20" s="149" t="s">
        <v>8</v>
      </c>
      <c r="E20" s="149" t="s">
        <v>9</v>
      </c>
      <c r="F20" s="149" t="s">
        <v>10</v>
      </c>
      <c r="G20" s="149" t="s">
        <v>11</v>
      </c>
    </row>
    <row r="21" spans="1:46" ht="15" customHeight="1">
      <c r="A21" s="150" t="s">
        <v>20</v>
      </c>
      <c r="B21" s="87">
        <v>180</v>
      </c>
      <c r="C21" s="102">
        <v>530</v>
      </c>
      <c r="D21" s="87">
        <v>352</v>
      </c>
      <c r="E21" s="102">
        <v>197</v>
      </c>
      <c r="F21" s="102">
        <v>139</v>
      </c>
      <c r="G21" s="151">
        <v>1398</v>
      </c>
    </row>
    <row r="22" spans="1:46" ht="15" customHeight="1">
      <c r="A22" s="150" t="s">
        <v>21</v>
      </c>
      <c r="B22" s="117">
        <v>29</v>
      </c>
      <c r="C22" s="102">
        <v>75</v>
      </c>
      <c r="D22" s="117">
        <v>33</v>
      </c>
      <c r="E22" s="102">
        <v>69</v>
      </c>
      <c r="F22" s="102">
        <v>64</v>
      </c>
      <c r="G22" s="151">
        <v>270</v>
      </c>
      <c r="J22" s="40"/>
      <c r="K22" s="41"/>
      <c r="L22" s="42"/>
    </row>
    <row r="23" spans="1:46" s="38" customFormat="1" ht="15" customHeight="1">
      <c r="A23" s="150" t="s">
        <v>22</v>
      </c>
      <c r="B23" s="87">
        <v>0</v>
      </c>
      <c r="C23" s="102">
        <v>0</v>
      </c>
      <c r="D23" s="87">
        <v>1</v>
      </c>
      <c r="E23" s="102">
        <v>6</v>
      </c>
      <c r="F23" s="102">
        <v>7</v>
      </c>
      <c r="G23" s="151">
        <v>14</v>
      </c>
      <c r="H23" s="43"/>
    </row>
    <row r="24" spans="1:46" ht="15" customHeight="1">
      <c r="A24" s="150" t="s">
        <v>23</v>
      </c>
      <c r="B24" s="87">
        <v>1</v>
      </c>
      <c r="C24" s="102">
        <v>0</v>
      </c>
      <c r="D24" s="87">
        <v>3</v>
      </c>
      <c r="E24" s="102">
        <v>2</v>
      </c>
      <c r="F24" s="102">
        <v>9</v>
      </c>
      <c r="G24" s="151">
        <v>15</v>
      </c>
    </row>
    <row r="25" spans="1:46" ht="15" customHeight="1">
      <c r="A25" s="150" t="s">
        <v>24</v>
      </c>
      <c r="B25" s="87">
        <v>35</v>
      </c>
      <c r="C25" s="102">
        <v>42</v>
      </c>
      <c r="D25" s="87">
        <v>15</v>
      </c>
      <c r="E25" s="102">
        <v>14</v>
      </c>
      <c r="F25" s="102">
        <v>24</v>
      </c>
      <c r="G25" s="151">
        <v>130</v>
      </c>
      <c r="H25" s="40"/>
    </row>
    <row r="26" spans="1:46" ht="15" customHeight="1">
      <c r="A26" s="150" t="s">
        <v>25</v>
      </c>
      <c r="B26" s="87">
        <v>2</v>
      </c>
      <c r="C26" s="102">
        <v>0</v>
      </c>
      <c r="D26" s="87">
        <v>4</v>
      </c>
      <c r="E26" s="102">
        <v>15</v>
      </c>
      <c r="F26" s="102">
        <v>10</v>
      </c>
      <c r="G26" s="151">
        <v>31</v>
      </c>
      <c r="H26" s="48"/>
    </row>
    <row r="27" spans="1:46" ht="15" customHeight="1">
      <c r="A27" s="150" t="s">
        <v>26</v>
      </c>
      <c r="B27" s="87">
        <v>3</v>
      </c>
      <c r="C27" s="102">
        <v>0</v>
      </c>
      <c r="D27" s="87">
        <v>0</v>
      </c>
      <c r="E27" s="102">
        <v>4</v>
      </c>
      <c r="F27" s="102">
        <v>5</v>
      </c>
      <c r="G27" s="151">
        <v>12</v>
      </c>
      <c r="H27" s="40"/>
    </row>
    <row r="28" spans="1:46">
      <c r="A28" s="153" t="s">
        <v>11</v>
      </c>
      <c r="B28" s="139">
        <v>299</v>
      </c>
      <c r="C28" s="139">
        <v>647</v>
      </c>
      <c r="D28" s="139">
        <v>408</v>
      </c>
      <c r="E28" s="139">
        <v>318</v>
      </c>
      <c r="F28" s="139">
        <v>276</v>
      </c>
      <c r="G28" s="37"/>
    </row>
    <row r="30" spans="1:46" ht="12.6" thickBot="1"/>
    <row r="31" spans="1:46" ht="12.6" thickBot="1">
      <c r="A31" s="269" t="s">
        <v>27</v>
      </c>
      <c r="B31" s="270"/>
      <c r="C31" s="270"/>
      <c r="D31" s="276"/>
      <c r="E31" s="277">
        <v>1</v>
      </c>
      <c r="F31" s="274"/>
      <c r="G31" s="273">
        <v>2</v>
      </c>
      <c r="H31" s="274"/>
      <c r="I31" s="273">
        <v>3</v>
      </c>
      <c r="J31" s="274"/>
      <c r="K31" s="273">
        <v>5</v>
      </c>
      <c r="L31" s="274"/>
      <c r="M31" s="273">
        <v>8</v>
      </c>
      <c r="N31" s="274"/>
      <c r="O31" s="273">
        <v>9</v>
      </c>
      <c r="P31" s="274"/>
      <c r="Q31" s="271">
        <v>10</v>
      </c>
      <c r="R31" s="272"/>
      <c r="S31" s="271">
        <v>11</v>
      </c>
      <c r="T31" s="272"/>
      <c r="U31" s="271">
        <v>12</v>
      </c>
      <c r="V31" s="272"/>
      <c r="W31" s="271">
        <v>15</v>
      </c>
      <c r="X31" s="272"/>
      <c r="Y31" s="273">
        <v>16</v>
      </c>
      <c r="Z31" s="274"/>
      <c r="AA31" s="273">
        <v>17</v>
      </c>
      <c r="AB31" s="274"/>
      <c r="AC31" s="271">
        <v>18</v>
      </c>
      <c r="AD31" s="272"/>
      <c r="AE31" s="271">
        <v>19</v>
      </c>
      <c r="AF31" s="272"/>
      <c r="AG31" s="271">
        <v>22</v>
      </c>
      <c r="AH31" s="272"/>
      <c r="AI31" s="271">
        <v>23</v>
      </c>
      <c r="AJ31" s="272"/>
      <c r="AK31" s="271">
        <v>24</v>
      </c>
      <c r="AL31" s="272"/>
      <c r="AM31" s="271">
        <v>25</v>
      </c>
      <c r="AN31" s="272"/>
      <c r="AO31" s="271">
        <v>26</v>
      </c>
      <c r="AP31" s="272"/>
      <c r="AQ31" s="271">
        <v>29</v>
      </c>
      <c r="AR31" s="272"/>
      <c r="AS31" s="271">
        <v>30</v>
      </c>
      <c r="AT31" s="272"/>
    </row>
    <row r="32" spans="1:46">
      <c r="A32" s="154" t="s">
        <v>1</v>
      </c>
      <c r="B32" s="154" t="s">
        <v>2</v>
      </c>
      <c r="C32" s="154" t="s">
        <v>3</v>
      </c>
      <c r="D32" s="155" t="s">
        <v>4</v>
      </c>
      <c r="E32" s="142" t="s">
        <v>2</v>
      </c>
      <c r="F32" s="143" t="s">
        <v>5</v>
      </c>
      <c r="G32" s="142" t="s">
        <v>2</v>
      </c>
      <c r="H32" s="143" t="s">
        <v>5</v>
      </c>
      <c r="I32" s="142" t="s">
        <v>2</v>
      </c>
      <c r="J32" s="143" t="s">
        <v>5</v>
      </c>
      <c r="K32" s="142" t="s">
        <v>2</v>
      </c>
      <c r="L32" s="143" t="s">
        <v>5</v>
      </c>
      <c r="M32" s="142" t="s">
        <v>2</v>
      </c>
      <c r="N32" s="143" t="s">
        <v>5</v>
      </c>
      <c r="O32" s="142" t="s">
        <v>2</v>
      </c>
      <c r="P32" s="143" t="s">
        <v>5</v>
      </c>
      <c r="Q32" s="142" t="s">
        <v>2</v>
      </c>
      <c r="R32" s="143" t="s">
        <v>5</v>
      </c>
      <c r="S32" s="142" t="s">
        <v>2</v>
      </c>
      <c r="T32" s="143" t="s">
        <v>5</v>
      </c>
      <c r="U32" s="142" t="s">
        <v>2</v>
      </c>
      <c r="V32" s="143" t="s">
        <v>5</v>
      </c>
      <c r="W32" s="142" t="s">
        <v>2</v>
      </c>
      <c r="X32" s="143" t="s">
        <v>5</v>
      </c>
      <c r="Y32" s="142" t="s">
        <v>2</v>
      </c>
      <c r="Z32" s="143" t="s">
        <v>5</v>
      </c>
      <c r="AA32" s="142" t="s">
        <v>2</v>
      </c>
      <c r="AB32" s="143" t="s">
        <v>5</v>
      </c>
      <c r="AC32" s="142" t="s">
        <v>2</v>
      </c>
      <c r="AD32" s="143" t="s">
        <v>5</v>
      </c>
      <c r="AE32" s="142" t="s">
        <v>2</v>
      </c>
      <c r="AF32" s="143" t="s">
        <v>5</v>
      </c>
      <c r="AG32" s="142" t="s">
        <v>2</v>
      </c>
      <c r="AH32" s="143" t="s">
        <v>5</v>
      </c>
      <c r="AI32" s="142" t="s">
        <v>2</v>
      </c>
      <c r="AJ32" s="143" t="s">
        <v>5</v>
      </c>
      <c r="AK32" s="142" t="s">
        <v>2</v>
      </c>
      <c r="AL32" s="143" t="s">
        <v>5</v>
      </c>
      <c r="AM32" s="142" t="s">
        <v>2</v>
      </c>
      <c r="AN32" s="143" t="s">
        <v>5</v>
      </c>
      <c r="AO32" s="142" t="s">
        <v>2</v>
      </c>
      <c r="AP32" s="143" t="s">
        <v>5</v>
      </c>
      <c r="AQ32" s="142" t="s">
        <v>2</v>
      </c>
      <c r="AR32" s="143" t="s">
        <v>5</v>
      </c>
      <c r="AS32" s="142" t="s">
        <v>2</v>
      </c>
      <c r="AT32" s="143" t="s">
        <v>5</v>
      </c>
    </row>
    <row r="33" spans="1:46">
      <c r="A33" s="144" t="s">
        <v>6</v>
      </c>
      <c r="B33" s="35">
        <v>350</v>
      </c>
      <c r="C33" s="35">
        <v>332</v>
      </c>
      <c r="D33" s="36">
        <v>0.95</v>
      </c>
      <c r="E33" s="33">
        <v>17</v>
      </c>
      <c r="F33" s="33">
        <v>0</v>
      </c>
      <c r="G33" s="33">
        <v>17</v>
      </c>
      <c r="H33" s="33">
        <v>0</v>
      </c>
      <c r="I33" s="33">
        <v>17</v>
      </c>
      <c r="J33" s="33">
        <v>13</v>
      </c>
      <c r="K33" s="33">
        <v>17</v>
      </c>
      <c r="L33" s="33">
        <v>8</v>
      </c>
      <c r="M33" s="33">
        <v>17</v>
      </c>
      <c r="N33" s="33">
        <v>3</v>
      </c>
      <c r="O33" s="33">
        <v>17</v>
      </c>
      <c r="P33" s="33">
        <v>33</v>
      </c>
      <c r="Q33" s="33">
        <v>17</v>
      </c>
      <c r="R33" s="33">
        <v>10</v>
      </c>
      <c r="S33" s="33">
        <v>17</v>
      </c>
      <c r="T33" s="33">
        <v>10</v>
      </c>
      <c r="U33" s="33">
        <v>17</v>
      </c>
      <c r="V33" s="33">
        <v>12</v>
      </c>
      <c r="W33" s="33">
        <v>17</v>
      </c>
      <c r="X33" s="33">
        <v>12</v>
      </c>
      <c r="Y33" s="33">
        <v>17</v>
      </c>
      <c r="Z33" s="33">
        <v>11</v>
      </c>
      <c r="AA33" s="33">
        <v>17</v>
      </c>
      <c r="AB33" s="33">
        <v>10</v>
      </c>
      <c r="AC33" s="33">
        <v>17</v>
      </c>
      <c r="AD33" s="33">
        <v>0</v>
      </c>
      <c r="AE33" s="33">
        <v>17</v>
      </c>
      <c r="AF33" s="33">
        <v>3</v>
      </c>
      <c r="AG33" s="33">
        <v>16</v>
      </c>
      <c r="AH33" s="33">
        <v>40</v>
      </c>
      <c r="AI33" s="33">
        <v>16</v>
      </c>
      <c r="AJ33" s="33">
        <v>30</v>
      </c>
      <c r="AK33" s="33">
        <v>16</v>
      </c>
      <c r="AL33" s="33">
        <v>0</v>
      </c>
      <c r="AM33" s="33">
        <v>16</v>
      </c>
      <c r="AN33" s="33">
        <v>47</v>
      </c>
      <c r="AO33" s="33">
        <v>16</v>
      </c>
      <c r="AP33" s="33">
        <v>54</v>
      </c>
      <c r="AQ33" s="33">
        <v>16</v>
      </c>
      <c r="AR33" s="33">
        <v>36</v>
      </c>
      <c r="AS33" s="33">
        <v>16</v>
      </c>
      <c r="AT33" s="33"/>
    </row>
    <row r="34" spans="1:46">
      <c r="A34" s="144" t="s">
        <v>7</v>
      </c>
      <c r="B34" s="35">
        <v>350</v>
      </c>
      <c r="C34" s="35">
        <v>325</v>
      </c>
      <c r="D34" s="36">
        <v>0.93</v>
      </c>
      <c r="E34" s="33">
        <v>17</v>
      </c>
      <c r="F34" s="33">
        <v>0</v>
      </c>
      <c r="G34" s="33">
        <v>17</v>
      </c>
      <c r="H34" s="33">
        <v>0</v>
      </c>
      <c r="I34" s="33">
        <v>17</v>
      </c>
      <c r="J34" s="33">
        <v>12</v>
      </c>
      <c r="K34" s="33">
        <v>17</v>
      </c>
      <c r="L34" s="33">
        <v>20</v>
      </c>
      <c r="M34" s="33">
        <v>17</v>
      </c>
      <c r="N34" s="33">
        <v>20</v>
      </c>
      <c r="O34" s="33">
        <v>17</v>
      </c>
      <c r="P34" s="33">
        <v>21</v>
      </c>
      <c r="Q34" s="33">
        <v>17</v>
      </c>
      <c r="R34" s="33">
        <v>14</v>
      </c>
      <c r="S34" s="33">
        <v>17</v>
      </c>
      <c r="T34" s="33">
        <v>25</v>
      </c>
      <c r="U34" s="33">
        <v>17</v>
      </c>
      <c r="V34" s="33">
        <v>20</v>
      </c>
      <c r="W34" s="33">
        <v>17</v>
      </c>
      <c r="X34" s="33">
        <v>10</v>
      </c>
      <c r="Y34" s="33">
        <v>17</v>
      </c>
      <c r="Z34" s="33">
        <v>20</v>
      </c>
      <c r="AA34" s="33">
        <v>17</v>
      </c>
      <c r="AB34" s="33">
        <v>12</v>
      </c>
      <c r="AC34" s="33">
        <v>17</v>
      </c>
      <c r="AD34" s="33">
        <v>8</v>
      </c>
      <c r="AE34" s="33">
        <v>17</v>
      </c>
      <c r="AF34" s="33">
        <v>20</v>
      </c>
      <c r="AG34" s="33">
        <v>16</v>
      </c>
      <c r="AH34" s="33">
        <v>20</v>
      </c>
      <c r="AI34" s="33">
        <v>16</v>
      </c>
      <c r="AJ34" s="33">
        <v>20</v>
      </c>
      <c r="AK34" s="33">
        <v>16</v>
      </c>
      <c r="AL34" s="33">
        <v>20</v>
      </c>
      <c r="AM34" s="33">
        <v>16</v>
      </c>
      <c r="AN34" s="33">
        <v>13</v>
      </c>
      <c r="AO34" s="33">
        <v>16</v>
      </c>
      <c r="AP34" s="33">
        <v>20</v>
      </c>
      <c r="AQ34" s="33">
        <v>16</v>
      </c>
      <c r="AR34" s="33">
        <v>30</v>
      </c>
      <c r="AS34" s="33">
        <v>16</v>
      </c>
      <c r="AT34" s="33"/>
    </row>
    <row r="35" spans="1:46" ht="11.4" customHeight="1">
      <c r="A35" s="144" t="s">
        <v>8</v>
      </c>
      <c r="B35" s="35">
        <v>350</v>
      </c>
      <c r="C35" s="35">
        <v>312</v>
      </c>
      <c r="D35" s="36">
        <v>0.89</v>
      </c>
      <c r="E35" s="33">
        <v>17</v>
      </c>
      <c r="F35" s="33">
        <v>20</v>
      </c>
      <c r="G35" s="33">
        <v>17</v>
      </c>
      <c r="H35" s="33">
        <v>23</v>
      </c>
      <c r="I35" s="33">
        <v>17</v>
      </c>
      <c r="J35" s="33">
        <v>4</v>
      </c>
      <c r="K35" s="33">
        <v>17</v>
      </c>
      <c r="L35" s="33">
        <v>14</v>
      </c>
      <c r="M35" s="33">
        <v>17</v>
      </c>
      <c r="N35" s="33">
        <v>29</v>
      </c>
      <c r="O35" s="33">
        <v>17</v>
      </c>
      <c r="P35" s="33">
        <v>8</v>
      </c>
      <c r="Q35" s="33">
        <v>17</v>
      </c>
      <c r="R35" s="33">
        <v>0</v>
      </c>
      <c r="S35" s="33">
        <v>17</v>
      </c>
      <c r="T35" s="33">
        <v>0</v>
      </c>
      <c r="U35" s="33">
        <v>17</v>
      </c>
      <c r="V35" s="33">
        <v>0</v>
      </c>
      <c r="W35" s="33">
        <v>17</v>
      </c>
      <c r="X35" s="33">
        <v>0</v>
      </c>
      <c r="Y35" s="33">
        <v>17</v>
      </c>
      <c r="Z35" s="33">
        <v>0</v>
      </c>
      <c r="AA35" s="33">
        <v>17</v>
      </c>
      <c r="AB35" s="33">
        <v>0</v>
      </c>
      <c r="AC35" s="33">
        <v>17</v>
      </c>
      <c r="AD35" s="33">
        <v>0</v>
      </c>
      <c r="AE35" s="33">
        <v>17</v>
      </c>
      <c r="AF35" s="33">
        <v>0</v>
      </c>
      <c r="AG35" s="33">
        <v>16</v>
      </c>
      <c r="AH35" s="33">
        <v>21</v>
      </c>
      <c r="AI35" s="33">
        <v>16</v>
      </c>
      <c r="AJ35" s="33">
        <v>16</v>
      </c>
      <c r="AK35" s="33">
        <v>16</v>
      </c>
      <c r="AL35" s="33">
        <v>62</v>
      </c>
      <c r="AM35" s="33">
        <v>16</v>
      </c>
      <c r="AN35" s="33">
        <v>35</v>
      </c>
      <c r="AO35" s="33">
        <v>16</v>
      </c>
      <c r="AP35" s="33">
        <v>40</v>
      </c>
      <c r="AQ35" s="33">
        <v>16</v>
      </c>
      <c r="AR35" s="33">
        <v>40</v>
      </c>
      <c r="AS35" s="33">
        <v>16</v>
      </c>
      <c r="AT35" s="33"/>
    </row>
    <row r="36" spans="1:46">
      <c r="A36" s="144" t="s">
        <v>9</v>
      </c>
      <c r="B36" s="35">
        <v>350</v>
      </c>
      <c r="C36" s="35">
        <v>385</v>
      </c>
      <c r="D36" s="36">
        <v>1.1000000000000001</v>
      </c>
      <c r="E36" s="33">
        <v>17</v>
      </c>
      <c r="F36" s="33">
        <v>0</v>
      </c>
      <c r="G36" s="33">
        <v>17</v>
      </c>
      <c r="H36" s="33">
        <v>0</v>
      </c>
      <c r="I36" s="33">
        <v>17</v>
      </c>
      <c r="J36" s="33">
        <v>0</v>
      </c>
      <c r="K36" s="33">
        <v>17</v>
      </c>
      <c r="L36" s="33">
        <v>30</v>
      </c>
      <c r="M36" s="33">
        <v>17</v>
      </c>
      <c r="N36" s="33">
        <v>30</v>
      </c>
      <c r="O36" s="33">
        <v>17</v>
      </c>
      <c r="P36" s="33">
        <v>25</v>
      </c>
      <c r="Q36" s="33">
        <v>17</v>
      </c>
      <c r="R36" s="33">
        <v>13</v>
      </c>
      <c r="S36" s="33">
        <v>17</v>
      </c>
      <c r="T36" s="33">
        <v>20</v>
      </c>
      <c r="U36" s="33">
        <v>17</v>
      </c>
      <c r="V36" s="33">
        <v>41</v>
      </c>
      <c r="W36" s="33">
        <v>17</v>
      </c>
      <c r="X36" s="33">
        <v>24</v>
      </c>
      <c r="Y36" s="33">
        <v>17</v>
      </c>
      <c r="Z36" s="33">
        <v>23</v>
      </c>
      <c r="AA36" s="33">
        <v>17</v>
      </c>
      <c r="AB36" s="33">
        <v>21</v>
      </c>
      <c r="AC36" s="33">
        <v>17</v>
      </c>
      <c r="AD36" s="33">
        <v>18</v>
      </c>
      <c r="AE36" s="33">
        <v>17</v>
      </c>
      <c r="AF36" s="33">
        <v>20</v>
      </c>
      <c r="AG36" s="33">
        <v>16</v>
      </c>
      <c r="AH36" s="33">
        <v>24</v>
      </c>
      <c r="AI36" s="33">
        <v>16</v>
      </c>
      <c r="AJ36" s="33">
        <v>24</v>
      </c>
      <c r="AK36" s="33">
        <v>16</v>
      </c>
      <c r="AL36" s="33">
        <v>24</v>
      </c>
      <c r="AM36" s="33">
        <v>16</v>
      </c>
      <c r="AN36" s="33">
        <v>19</v>
      </c>
      <c r="AO36" s="33">
        <v>16</v>
      </c>
      <c r="AP36" s="33">
        <v>0</v>
      </c>
      <c r="AQ36" s="33">
        <v>16</v>
      </c>
      <c r="AR36" s="33">
        <v>29</v>
      </c>
      <c r="AS36" s="33">
        <v>16</v>
      </c>
      <c r="AT36" s="33"/>
    </row>
    <row r="37" spans="1:46">
      <c r="A37" s="144" t="s">
        <v>10</v>
      </c>
      <c r="B37" s="35">
        <v>350</v>
      </c>
      <c r="C37" s="35">
        <v>251</v>
      </c>
      <c r="D37" s="36">
        <v>0.72</v>
      </c>
      <c r="E37" s="33">
        <v>17</v>
      </c>
      <c r="F37" s="33">
        <v>12</v>
      </c>
      <c r="G37" s="33">
        <v>17</v>
      </c>
      <c r="H37" s="33">
        <v>8</v>
      </c>
      <c r="I37" s="33">
        <v>17</v>
      </c>
      <c r="J37" s="33">
        <v>10</v>
      </c>
      <c r="K37" s="33">
        <v>17</v>
      </c>
      <c r="L37" s="33">
        <v>7</v>
      </c>
      <c r="M37" s="33">
        <v>17</v>
      </c>
      <c r="N37" s="33">
        <v>13</v>
      </c>
      <c r="O37" s="33">
        <v>17</v>
      </c>
      <c r="P37" s="33">
        <v>2</v>
      </c>
      <c r="Q37" s="33">
        <v>17</v>
      </c>
      <c r="R37" s="33">
        <v>0</v>
      </c>
      <c r="S37" s="33">
        <v>17</v>
      </c>
      <c r="T37" s="33">
        <v>3</v>
      </c>
      <c r="U37" s="33">
        <v>17</v>
      </c>
      <c r="V37" s="33">
        <v>12</v>
      </c>
      <c r="W37" s="33">
        <v>17</v>
      </c>
      <c r="X37" s="33">
        <v>15</v>
      </c>
      <c r="Y37" s="33">
        <v>17</v>
      </c>
      <c r="Z37" s="33">
        <v>24</v>
      </c>
      <c r="AA37" s="33">
        <v>17</v>
      </c>
      <c r="AB37" s="33">
        <v>6</v>
      </c>
      <c r="AC37" s="33">
        <v>17</v>
      </c>
      <c r="AD37" s="33">
        <v>11</v>
      </c>
      <c r="AE37" s="33">
        <v>17</v>
      </c>
      <c r="AF37" s="33">
        <v>12</v>
      </c>
      <c r="AG37" s="33">
        <v>16</v>
      </c>
      <c r="AH37" s="33">
        <v>18</v>
      </c>
      <c r="AI37" s="33">
        <v>16</v>
      </c>
      <c r="AJ37" s="33">
        <v>11</v>
      </c>
      <c r="AK37" s="33">
        <v>16</v>
      </c>
      <c r="AL37" s="33">
        <v>23</v>
      </c>
      <c r="AM37" s="33">
        <v>16</v>
      </c>
      <c r="AN37" s="33">
        <v>34</v>
      </c>
      <c r="AO37" s="33">
        <v>16</v>
      </c>
      <c r="AP37" s="33">
        <v>20</v>
      </c>
      <c r="AQ37" s="33">
        <v>16</v>
      </c>
      <c r="AR37" s="33">
        <v>10</v>
      </c>
      <c r="AS37" s="33">
        <v>16</v>
      </c>
      <c r="AT37" s="33"/>
    </row>
    <row r="38" spans="1:46">
      <c r="A38" s="148" t="s">
        <v>11</v>
      </c>
      <c r="B38" s="148">
        <v>1750</v>
      </c>
      <c r="C38" s="148">
        <v>1605</v>
      </c>
      <c r="D38" s="156">
        <v>0.92</v>
      </c>
      <c r="E38" s="148">
        <v>85</v>
      </c>
      <c r="F38" s="148">
        <v>32</v>
      </c>
      <c r="G38" s="148">
        <v>85</v>
      </c>
      <c r="H38" s="148">
        <v>31</v>
      </c>
      <c r="I38" s="148">
        <v>85</v>
      </c>
      <c r="J38" s="148">
        <v>39</v>
      </c>
      <c r="K38" s="148">
        <v>85</v>
      </c>
      <c r="L38" s="148">
        <v>79</v>
      </c>
      <c r="M38" s="148">
        <v>85</v>
      </c>
      <c r="N38" s="148">
        <v>95</v>
      </c>
      <c r="O38" s="148">
        <v>85</v>
      </c>
      <c r="P38" s="148">
        <v>89</v>
      </c>
      <c r="Q38" s="148">
        <v>85</v>
      </c>
      <c r="R38" s="148">
        <v>37</v>
      </c>
      <c r="S38" s="148">
        <v>85</v>
      </c>
      <c r="T38" s="148">
        <v>58</v>
      </c>
      <c r="U38" s="148">
        <v>85</v>
      </c>
      <c r="V38" s="148">
        <v>85</v>
      </c>
      <c r="W38" s="148">
        <v>85</v>
      </c>
      <c r="X38" s="148">
        <v>61</v>
      </c>
      <c r="Y38" s="148">
        <v>85</v>
      </c>
      <c r="Z38" s="148">
        <v>78</v>
      </c>
      <c r="AA38" s="148">
        <v>85</v>
      </c>
      <c r="AB38" s="148">
        <v>49</v>
      </c>
      <c r="AC38" s="148">
        <v>85</v>
      </c>
      <c r="AD38" s="148">
        <v>37</v>
      </c>
      <c r="AE38" s="148">
        <v>85</v>
      </c>
      <c r="AF38" s="148">
        <v>55</v>
      </c>
      <c r="AG38" s="148">
        <v>80</v>
      </c>
      <c r="AH38" s="148">
        <v>123</v>
      </c>
      <c r="AI38" s="148">
        <v>80</v>
      </c>
      <c r="AJ38" s="148">
        <v>101</v>
      </c>
      <c r="AK38" s="148">
        <v>80</v>
      </c>
      <c r="AL38" s="148">
        <v>129</v>
      </c>
      <c r="AM38" s="148">
        <v>80</v>
      </c>
      <c r="AN38" s="148">
        <v>148</v>
      </c>
      <c r="AO38" s="148">
        <v>80</v>
      </c>
      <c r="AP38" s="148">
        <v>134</v>
      </c>
      <c r="AQ38" s="148">
        <v>80</v>
      </c>
      <c r="AR38" s="148">
        <v>145</v>
      </c>
      <c r="AS38" s="148">
        <v>80</v>
      </c>
      <c r="AT38" s="148">
        <v>0</v>
      </c>
    </row>
    <row r="42" spans="1:46">
      <c r="H42" s="88"/>
    </row>
    <row r="43" spans="1:46" ht="13.2">
      <c r="A43" s="61" t="s">
        <v>332</v>
      </c>
      <c r="B43" s="61" t="s">
        <v>329</v>
      </c>
      <c r="H43" s="88"/>
    </row>
    <row r="44" spans="1:46" ht="13.2">
      <c r="A44" s="61" t="s">
        <v>55</v>
      </c>
      <c r="B44" s="183">
        <f>'EVOLUCAO DOS MESES'!E28</f>
        <v>0</v>
      </c>
      <c r="H44" s="88"/>
    </row>
    <row r="45" spans="1:46" ht="13.2">
      <c r="A45" s="61" t="s">
        <v>6</v>
      </c>
      <c r="B45" s="183">
        <f>'EVOLUCAO DOS MESES'!E29</f>
        <v>2660.8</v>
      </c>
      <c r="H45" s="88"/>
    </row>
    <row r="46" spans="1:46" ht="13.2">
      <c r="A46" s="61" t="s">
        <v>7</v>
      </c>
      <c r="B46" s="183">
        <f>'EVOLUCAO DOS MESES'!E30</f>
        <v>1947.7400000000002</v>
      </c>
      <c r="H46" s="88"/>
    </row>
    <row r="47" spans="1:46" ht="13.2">
      <c r="A47" s="61" t="s">
        <v>8</v>
      </c>
      <c r="B47" s="183">
        <f>'EVOLUCAO DOS MESES'!E31</f>
        <v>309.64999999999998</v>
      </c>
    </row>
    <row r="48" spans="1:46" ht="13.2">
      <c r="A48" s="66" t="s">
        <v>56</v>
      </c>
      <c r="B48" s="252">
        <f>'EVOLUCAO DOS MESES'!E32</f>
        <v>1560.3799999999999</v>
      </c>
    </row>
    <row r="49" spans="1:2" ht="13.2">
      <c r="A49" s="61" t="s">
        <v>10</v>
      </c>
      <c r="B49" s="183">
        <f>'EVOLUCAO DOS MESES'!E33</f>
        <v>2232.4499999999998</v>
      </c>
    </row>
    <row r="50" spans="1:2" ht="13.2">
      <c r="A50" s="61" t="s">
        <v>342</v>
      </c>
      <c r="B50" s="183">
        <f>SUM(B44:B49)</f>
        <v>8711.02</v>
      </c>
    </row>
  </sheetData>
  <mergeCells count="45">
    <mergeCell ref="AS3:AT3"/>
    <mergeCell ref="AS31:AT31"/>
    <mergeCell ref="AQ3:AR3"/>
    <mergeCell ref="Y31:Z31"/>
    <mergeCell ref="AA31:AB31"/>
    <mergeCell ref="AC31:AD31"/>
    <mergeCell ref="AE31:AF31"/>
    <mergeCell ref="AG31:AH31"/>
    <mergeCell ref="AI31:AJ31"/>
    <mergeCell ref="AK31:AL31"/>
    <mergeCell ref="AM31:AN31"/>
    <mergeCell ref="AO31:AP31"/>
    <mergeCell ref="AQ31:AR31"/>
    <mergeCell ref="AO3:AP3"/>
    <mergeCell ref="Y3:Z3"/>
    <mergeCell ref="AM3:AN3"/>
    <mergeCell ref="AK3:AL3"/>
    <mergeCell ref="AI3:AJ3"/>
    <mergeCell ref="O3:P3"/>
    <mergeCell ref="U31:V31"/>
    <mergeCell ref="S31:T31"/>
    <mergeCell ref="Q3:R3"/>
    <mergeCell ref="S3:T3"/>
    <mergeCell ref="U3:V3"/>
    <mergeCell ref="AE3:AF3"/>
    <mergeCell ref="AG3:AH3"/>
    <mergeCell ref="AC3:AD3"/>
    <mergeCell ref="AA3:AB3"/>
    <mergeCell ref="Q31:R31"/>
    <mergeCell ref="A14:G14"/>
    <mergeCell ref="A3:D3"/>
    <mergeCell ref="W3:X3"/>
    <mergeCell ref="M31:N31"/>
    <mergeCell ref="E3:F3"/>
    <mergeCell ref="G3:H3"/>
    <mergeCell ref="I3:J3"/>
    <mergeCell ref="K3:L3"/>
    <mergeCell ref="M3:N3"/>
    <mergeCell ref="K31:L31"/>
    <mergeCell ref="W31:X31"/>
    <mergeCell ref="A31:D31"/>
    <mergeCell ref="E31:F31"/>
    <mergeCell ref="G31:H31"/>
    <mergeCell ref="I31:J31"/>
    <mergeCell ref="O31:P31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85B6C-8CD2-470A-ADB0-1122532A6334}">
  <sheetPr>
    <tabColor theme="5" tint="-0.249977111117893"/>
  </sheetPr>
  <dimension ref="B2:L64"/>
  <sheetViews>
    <sheetView topLeftCell="A36" zoomScaleNormal="100" workbookViewId="0">
      <selection activeCell="C25" sqref="C25"/>
    </sheetView>
  </sheetViews>
  <sheetFormatPr defaultRowHeight="13.2"/>
  <cols>
    <col min="2" max="2" width="43.44140625" bestFit="1" customWidth="1"/>
    <col min="3" max="3" width="14.33203125" bestFit="1" customWidth="1"/>
    <col min="4" max="4" width="13.33203125" bestFit="1" customWidth="1"/>
    <col min="5" max="5" width="12.21875" bestFit="1" customWidth="1"/>
    <col min="6" max="6" width="20.6640625" bestFit="1" customWidth="1"/>
    <col min="7" max="7" width="14" customWidth="1"/>
    <col min="8" max="8" width="14.88671875" bestFit="1" customWidth="1"/>
    <col min="9" max="9" width="13.44140625" bestFit="1" customWidth="1"/>
    <col min="11" max="11" width="13" bestFit="1" customWidth="1"/>
    <col min="14" max="14" width="13.44140625" bestFit="1" customWidth="1"/>
  </cols>
  <sheetData>
    <row r="2" spans="2:5">
      <c r="B2" s="64" t="s">
        <v>96</v>
      </c>
    </row>
    <row r="3" spans="2:5">
      <c r="B3" s="55" t="s">
        <v>78</v>
      </c>
      <c r="C3" s="56" t="s">
        <v>79</v>
      </c>
      <c r="D3" s="56" t="s">
        <v>80</v>
      </c>
      <c r="E3" s="56" t="s">
        <v>81</v>
      </c>
    </row>
    <row r="4" spans="2:5">
      <c r="B4" s="65" t="s">
        <v>82</v>
      </c>
      <c r="C4" s="56">
        <v>243</v>
      </c>
      <c r="D4" s="56">
        <v>147</v>
      </c>
      <c r="E4" s="56">
        <v>229</v>
      </c>
    </row>
    <row r="5" spans="2:5">
      <c r="B5" s="57" t="s">
        <v>83</v>
      </c>
      <c r="C5" s="58">
        <v>29</v>
      </c>
      <c r="D5" s="58">
        <v>-15</v>
      </c>
      <c r="E5" s="58">
        <v>70</v>
      </c>
    </row>
    <row r="6" spans="2:5">
      <c r="B6" s="57" t="s">
        <v>84</v>
      </c>
      <c r="C6" s="59">
        <v>1074</v>
      </c>
      <c r="D6" s="59">
        <v>1623</v>
      </c>
      <c r="E6" s="59">
        <v>1750</v>
      </c>
    </row>
    <row r="7" spans="2:5">
      <c r="B7" s="57" t="s">
        <v>85</v>
      </c>
      <c r="C7" s="59">
        <v>1003</v>
      </c>
      <c r="D7" s="59">
        <v>1701</v>
      </c>
      <c r="E7" s="61">
        <v>1657</v>
      </c>
    </row>
    <row r="8" spans="2:5">
      <c r="B8" s="65" t="s">
        <v>105</v>
      </c>
      <c r="C8" s="60">
        <v>0.93</v>
      </c>
      <c r="D8" s="60">
        <v>1.05</v>
      </c>
      <c r="E8" s="60">
        <v>0.95</v>
      </c>
    </row>
    <row r="9" spans="2:5">
      <c r="B9" s="65" t="s">
        <v>102</v>
      </c>
      <c r="C9" s="59">
        <v>214</v>
      </c>
      <c r="D9" s="59">
        <v>162</v>
      </c>
      <c r="E9" s="59">
        <v>159</v>
      </c>
    </row>
    <row r="10" spans="2:5">
      <c r="B10" s="65" t="s">
        <v>103</v>
      </c>
      <c r="C10" s="59">
        <v>73</v>
      </c>
      <c r="D10" s="59">
        <v>54</v>
      </c>
      <c r="E10" s="59">
        <v>88</v>
      </c>
    </row>
    <row r="11" spans="2:5">
      <c r="B11" s="65" t="s">
        <v>104</v>
      </c>
      <c r="C11" s="60">
        <v>0.34</v>
      </c>
      <c r="D11" s="60">
        <v>0.33</v>
      </c>
      <c r="E11" s="60">
        <v>0.55000000000000004</v>
      </c>
    </row>
    <row r="12" spans="2:5">
      <c r="B12" s="61" t="s">
        <v>86</v>
      </c>
      <c r="C12" s="62">
        <f>SUMIFS('FATURAMENTO RECUPERACAO'!D:D,'FATURAMENTO RECUPERACAO'!E:E,"Abril")</f>
        <v>96648.237490999993</v>
      </c>
      <c r="D12" s="62">
        <f>SUMIFS('FATURAMENTO RECUPERACAO'!D:D,'FATURAMENTO RECUPERACAO'!E:E,"Maio")</f>
        <v>30682.985000000001</v>
      </c>
      <c r="E12" s="62">
        <f>SUMIFS('FATURAMENTO RECUPERACAO'!D:D,'FATURAMENTO RECUPERACAO'!E:E,"Junho")</f>
        <v>8711.02</v>
      </c>
    </row>
    <row r="14" spans="2:5">
      <c r="B14" s="64" t="s">
        <v>106</v>
      </c>
    </row>
    <row r="15" spans="2:5">
      <c r="B15" s="61" t="s">
        <v>87</v>
      </c>
      <c r="C15" s="66" t="s">
        <v>88</v>
      </c>
      <c r="D15" s="61" t="s">
        <v>89</v>
      </c>
    </row>
    <row r="16" spans="2:5">
      <c r="B16" s="61" t="s">
        <v>79</v>
      </c>
      <c r="C16" s="61">
        <v>243</v>
      </c>
      <c r="D16" s="61" t="s">
        <v>90</v>
      </c>
    </row>
    <row r="17" spans="2:12">
      <c r="B17" s="61" t="s">
        <v>80</v>
      </c>
      <c r="C17" s="61">
        <v>147</v>
      </c>
      <c r="D17" s="63">
        <v>-0.4</v>
      </c>
    </row>
    <row r="18" spans="2:12">
      <c r="B18" s="61" t="s">
        <v>81</v>
      </c>
      <c r="C18" s="61">
        <v>229</v>
      </c>
      <c r="D18" s="63">
        <v>0.56000000000000005</v>
      </c>
    </row>
    <row r="20" spans="2:12">
      <c r="B20" s="64" t="s">
        <v>97</v>
      </c>
      <c r="H20" s="64" t="s">
        <v>107</v>
      </c>
    </row>
    <row r="21" spans="2:12">
      <c r="B21" s="61" t="s">
        <v>87</v>
      </c>
      <c r="C21" s="61" t="s">
        <v>2</v>
      </c>
      <c r="D21" s="61" t="s">
        <v>3</v>
      </c>
      <c r="E21" s="61" t="s">
        <v>4</v>
      </c>
      <c r="F21" s="61" t="s">
        <v>91</v>
      </c>
      <c r="H21" s="61" t="s">
        <v>87</v>
      </c>
      <c r="I21" s="61" t="s">
        <v>2</v>
      </c>
      <c r="J21" s="61" t="s">
        <v>3</v>
      </c>
      <c r="K21" s="61" t="s">
        <v>4</v>
      </c>
      <c r="L21" s="61" t="s">
        <v>91</v>
      </c>
    </row>
    <row r="22" spans="2:12">
      <c r="B22" s="61" t="s">
        <v>79</v>
      </c>
      <c r="C22" s="61">
        <v>1074</v>
      </c>
      <c r="D22" s="61">
        <v>1003</v>
      </c>
      <c r="E22" s="63">
        <v>0.93</v>
      </c>
      <c r="F22" s="61" t="s">
        <v>92</v>
      </c>
      <c r="H22" s="61" t="s">
        <v>79</v>
      </c>
      <c r="I22" s="61">
        <v>214</v>
      </c>
      <c r="J22" s="61">
        <v>73</v>
      </c>
      <c r="K22" s="60">
        <v>0.34</v>
      </c>
      <c r="L22" s="61" t="s">
        <v>92</v>
      </c>
    </row>
    <row r="23" spans="2:12">
      <c r="B23" s="61" t="s">
        <v>80</v>
      </c>
      <c r="C23" s="61">
        <v>1623</v>
      </c>
      <c r="D23" s="61">
        <v>1701</v>
      </c>
      <c r="E23" s="63">
        <v>1.05</v>
      </c>
      <c r="F23" s="61" t="s">
        <v>93</v>
      </c>
      <c r="H23" s="61" t="s">
        <v>80</v>
      </c>
      <c r="I23" s="61">
        <v>162</v>
      </c>
      <c r="J23" s="61">
        <v>54</v>
      </c>
      <c r="K23" s="60">
        <v>0.33</v>
      </c>
      <c r="L23" s="61" t="s">
        <v>92</v>
      </c>
    </row>
    <row r="24" spans="2:12">
      <c r="B24" s="61" t="s">
        <v>81</v>
      </c>
      <c r="C24" s="61">
        <v>1750</v>
      </c>
      <c r="D24" s="61">
        <v>1657</v>
      </c>
      <c r="E24" s="63">
        <v>0.95</v>
      </c>
      <c r="F24" s="61" t="s">
        <v>92</v>
      </c>
      <c r="H24" s="61" t="s">
        <v>81</v>
      </c>
      <c r="I24" s="61">
        <v>159</v>
      </c>
      <c r="J24" s="61">
        <v>91</v>
      </c>
      <c r="K24" s="60">
        <v>0.55000000000000004</v>
      </c>
      <c r="L24" s="61" t="s">
        <v>92</v>
      </c>
    </row>
    <row r="26" spans="2:12">
      <c r="B26" s="64" t="s">
        <v>98</v>
      </c>
    </row>
    <row r="27" spans="2:12">
      <c r="B27" s="61" t="s">
        <v>1</v>
      </c>
      <c r="C27" s="61" t="s">
        <v>79</v>
      </c>
      <c r="D27" s="61" t="s">
        <v>80</v>
      </c>
      <c r="E27" s="61" t="s">
        <v>81</v>
      </c>
      <c r="F27" s="61" t="s">
        <v>11</v>
      </c>
    </row>
    <row r="28" spans="2:12">
      <c r="B28" s="61" t="s">
        <v>55</v>
      </c>
      <c r="C28" s="62">
        <f>SUMIFS('FATURAMENTO RECUPERACAO'!D:D,'FATURAMENTO RECUPERACAO'!A:A,B28,'FATURAMENTO RECUPERACAO'!E:E,"Abril")</f>
        <v>8881.9274910000004</v>
      </c>
      <c r="D28" s="183">
        <f>SUMIFS('FATURAMENTO RECUPERACAO'!D:D,'FATURAMENTO RECUPERACAO'!A:A,B28,'FATURAMENTO RECUPERACAO'!E:E,"Maio")</f>
        <v>0</v>
      </c>
      <c r="E28" s="61">
        <f>SUMIFS('FATURAMENTO RECUPERACAO'!D:D,'FATURAMENTO RECUPERACAO'!A:A,B28,'FATURAMENTO RECUPERACAO'!E:E,"Junho")</f>
        <v>0</v>
      </c>
      <c r="F28" s="62">
        <f>SUM(C28:E28)</f>
        <v>8881.9274910000004</v>
      </c>
    </row>
    <row r="29" spans="2:12">
      <c r="B29" s="61" t="s">
        <v>6</v>
      </c>
      <c r="C29" s="62">
        <f>SUMIFS('FATURAMENTO RECUPERACAO'!D:D,'FATURAMENTO RECUPERACAO'!A:A,B29,'FATURAMENTO RECUPERACAO'!E:E,"Abril")</f>
        <v>14368.270000000004</v>
      </c>
      <c r="D29" s="183">
        <f>SUMIFS('FATURAMENTO RECUPERACAO'!D:D,'FATURAMENTO RECUPERACAO'!A:A,B29,'FATURAMENTO RECUPERACAO'!E:E,"Maio")</f>
        <v>5323.0600020000011</v>
      </c>
      <c r="E29" s="61">
        <f>SUMIFS('FATURAMENTO RECUPERACAO'!D:D,'FATURAMENTO RECUPERACAO'!A:A,B29,'FATURAMENTO RECUPERACAO'!E:E,"Junho")</f>
        <v>2660.8</v>
      </c>
      <c r="F29" s="62">
        <f t="shared" ref="F29:F33" si="0">SUM(C29:E29)</f>
        <v>22352.130002000005</v>
      </c>
    </row>
    <row r="30" spans="2:12">
      <c r="B30" s="61" t="s">
        <v>7</v>
      </c>
      <c r="C30" s="62">
        <f>SUMIFS('FATURAMENTO RECUPERACAO'!D:D,'FATURAMENTO RECUPERACAO'!A:A,B30,'FATURAMENTO RECUPERACAO'!E:E,"Abril")</f>
        <v>1344.6200000000001</v>
      </c>
      <c r="D30" s="183">
        <f>SUMIFS('FATURAMENTO RECUPERACAO'!D:D,'FATURAMENTO RECUPERACAO'!A:A,B30,'FATURAMENTO RECUPERACAO'!E:E,"Maio")</f>
        <v>10823.154999999999</v>
      </c>
      <c r="E30" s="61">
        <f>SUMIFS('FATURAMENTO RECUPERACAO'!D:D,'FATURAMENTO RECUPERACAO'!A:A,B30,'FATURAMENTO RECUPERACAO'!E:E,"Junho")</f>
        <v>1947.7400000000002</v>
      </c>
      <c r="F30" s="62">
        <f t="shared" si="0"/>
        <v>14115.514999999999</v>
      </c>
    </row>
    <row r="31" spans="2:12">
      <c r="B31" s="61" t="s">
        <v>8</v>
      </c>
      <c r="C31" s="62">
        <f>SUMIFS('FATURAMENTO RECUPERACAO'!D:D,'FATURAMENTO RECUPERACAO'!A:A,B31,'FATURAMENTO RECUPERACAO'!E:E,"Abril")</f>
        <v>0</v>
      </c>
      <c r="D31" s="183">
        <f>SUMIFS('FATURAMENTO RECUPERACAO'!D:D,'FATURAMENTO RECUPERACAO'!A:A,B31,'FATURAMENTO RECUPERACAO'!E:E,"Maio")</f>
        <v>1370.55</v>
      </c>
      <c r="E31" s="61">
        <f>SUMIFS('FATURAMENTO RECUPERACAO'!D:D,'FATURAMENTO RECUPERACAO'!A:A,B31,'FATURAMENTO RECUPERACAO'!E:E,"Junho")</f>
        <v>309.64999999999998</v>
      </c>
      <c r="F31" s="62">
        <f t="shared" si="0"/>
        <v>1680.1999999999998</v>
      </c>
    </row>
    <row r="32" spans="2:12">
      <c r="B32" s="66" t="s">
        <v>56</v>
      </c>
      <c r="C32" s="62">
        <f>SUMIFS('FATURAMENTO RECUPERACAO'!D:D,'FATURAMENTO RECUPERACAO'!A:A,B32,'FATURAMENTO RECUPERACAO'!E:E,"Abril")</f>
        <v>31780.950000000004</v>
      </c>
      <c r="D32" s="183">
        <f>SUMIFS('FATURAMENTO RECUPERACAO'!D:D,'FATURAMENTO RECUPERACAO'!A:A,B32,'FATURAMENTO RECUPERACAO'!E:E,"Maio")</f>
        <v>5969.51</v>
      </c>
      <c r="E32" s="61">
        <f>SUMIFS('FATURAMENTO RECUPERACAO'!D:D,'FATURAMENTO RECUPERACAO'!A:A,B32,'FATURAMENTO RECUPERACAO'!E:E,"Junho")</f>
        <v>1560.3799999999999</v>
      </c>
      <c r="F32" s="62">
        <f t="shared" si="0"/>
        <v>39310.840000000004</v>
      </c>
    </row>
    <row r="33" spans="2:11">
      <c r="B33" s="61" t="s">
        <v>10</v>
      </c>
      <c r="C33" s="62">
        <f>SUMIFS('FATURAMENTO RECUPERACAO'!D:D,'FATURAMENTO RECUPERACAO'!A:A,B33,'FATURAMENTO RECUPERACAO'!E:E,"Abril")</f>
        <v>40272.470000000008</v>
      </c>
      <c r="D33" s="183">
        <f>SUMIFS('FATURAMENTO RECUPERACAO'!D:D,'FATURAMENTO RECUPERACAO'!A:A,B33,'FATURAMENTO RECUPERACAO'!E:E,"Maio")</f>
        <v>7196.7099980000012</v>
      </c>
      <c r="E33" s="61">
        <f>SUMIFS('FATURAMENTO RECUPERACAO'!D:D,'FATURAMENTO RECUPERACAO'!A:A,B33,'FATURAMENTO RECUPERACAO'!E:E,"Junho")</f>
        <v>2232.4499999999998</v>
      </c>
      <c r="F33" s="62">
        <f t="shared" si="0"/>
        <v>49701.629998000004</v>
      </c>
    </row>
    <row r="35" spans="2:11">
      <c r="B35" s="79" t="s">
        <v>109</v>
      </c>
      <c r="F35" s="80" t="s">
        <v>111</v>
      </c>
      <c r="I35" s="80" t="s">
        <v>112</v>
      </c>
    </row>
    <row r="36" spans="2:11">
      <c r="B36" s="78" t="s">
        <v>110</v>
      </c>
      <c r="C36" s="66" t="s">
        <v>113</v>
      </c>
      <c r="D36" s="66" t="s">
        <v>114</v>
      </c>
      <c r="E36" s="66" t="s">
        <v>4</v>
      </c>
      <c r="F36" s="66" t="s">
        <v>113</v>
      </c>
      <c r="G36" s="66" t="s">
        <v>114</v>
      </c>
      <c r="H36" s="66" t="s">
        <v>4</v>
      </c>
      <c r="I36" s="66" t="s">
        <v>113</v>
      </c>
      <c r="J36" s="66" t="s">
        <v>114</v>
      </c>
      <c r="K36" s="66" t="s">
        <v>4</v>
      </c>
    </row>
    <row r="37" spans="2:11">
      <c r="B37" s="67" t="s">
        <v>55</v>
      </c>
      <c r="C37" s="68">
        <v>72</v>
      </c>
      <c r="D37" s="68">
        <v>20</v>
      </c>
      <c r="E37" s="69">
        <v>0.28000000000000003</v>
      </c>
      <c r="F37" s="75">
        <v>30</v>
      </c>
      <c r="G37" s="75">
        <v>10</v>
      </c>
      <c r="H37" s="76">
        <v>0.33</v>
      </c>
      <c r="I37" s="68"/>
      <c r="J37" s="68"/>
      <c r="K37" s="69"/>
    </row>
    <row r="38" spans="2:11">
      <c r="B38" s="67" t="s">
        <v>6</v>
      </c>
      <c r="C38" s="68">
        <v>39</v>
      </c>
      <c r="D38" s="68">
        <v>11</v>
      </c>
      <c r="E38" s="69">
        <v>0.28000000000000003</v>
      </c>
      <c r="F38" s="77"/>
      <c r="G38" s="77"/>
      <c r="H38" s="77"/>
      <c r="I38" s="68">
        <v>31</v>
      </c>
      <c r="J38" s="68">
        <v>16</v>
      </c>
      <c r="K38" s="69">
        <v>0.5161</v>
      </c>
    </row>
    <row r="39" spans="2:11">
      <c r="B39" s="67" t="s">
        <v>7</v>
      </c>
      <c r="C39" s="68">
        <v>44</v>
      </c>
      <c r="D39" s="68">
        <v>3</v>
      </c>
      <c r="E39" s="69">
        <v>7.0000000000000007E-2</v>
      </c>
      <c r="F39" s="75">
        <v>50</v>
      </c>
      <c r="G39" s="75">
        <v>18</v>
      </c>
      <c r="H39" s="76">
        <v>0.36</v>
      </c>
      <c r="I39" s="68">
        <v>48</v>
      </c>
      <c r="J39" s="68">
        <v>21</v>
      </c>
      <c r="K39" s="69">
        <v>0.4375</v>
      </c>
    </row>
    <row r="40" spans="2:11">
      <c r="B40" s="67" t="s">
        <v>9</v>
      </c>
      <c r="C40" s="68">
        <v>37</v>
      </c>
      <c r="D40" s="68">
        <v>17</v>
      </c>
      <c r="E40" s="69">
        <v>0.46</v>
      </c>
      <c r="F40" s="75">
        <v>33</v>
      </c>
      <c r="G40" s="75">
        <v>9</v>
      </c>
      <c r="H40" s="76">
        <v>0.27</v>
      </c>
      <c r="I40" s="68">
        <v>30</v>
      </c>
      <c r="J40" s="68">
        <v>27</v>
      </c>
      <c r="K40" s="69">
        <v>0.9</v>
      </c>
    </row>
    <row r="41" spans="2:11">
      <c r="B41" s="67" t="s">
        <v>10</v>
      </c>
      <c r="C41" s="68">
        <v>22</v>
      </c>
      <c r="D41" s="68">
        <v>22</v>
      </c>
      <c r="E41" s="69">
        <v>1</v>
      </c>
      <c r="F41" s="75">
        <v>23</v>
      </c>
      <c r="G41" s="75">
        <v>14</v>
      </c>
      <c r="H41" s="76">
        <v>0.61</v>
      </c>
      <c r="I41" s="68">
        <v>25</v>
      </c>
      <c r="J41" s="68">
        <v>20</v>
      </c>
      <c r="K41" s="69">
        <v>0.8</v>
      </c>
    </row>
    <row r="42" spans="2:11">
      <c r="B42" s="70" t="s">
        <v>8</v>
      </c>
      <c r="C42" s="61"/>
      <c r="D42" s="61"/>
      <c r="E42" s="61"/>
      <c r="F42" s="75">
        <v>26</v>
      </c>
      <c r="G42" s="75">
        <v>3</v>
      </c>
      <c r="H42" s="76">
        <v>0.12</v>
      </c>
      <c r="I42" s="68">
        <v>25</v>
      </c>
      <c r="J42" s="68">
        <v>7</v>
      </c>
      <c r="K42" s="69">
        <v>0.28000000000000003</v>
      </c>
    </row>
    <row r="43" spans="2:11">
      <c r="B43" s="71" t="s">
        <v>11</v>
      </c>
      <c r="C43" s="71">
        <v>214</v>
      </c>
      <c r="D43" s="71">
        <v>73</v>
      </c>
      <c r="E43" s="72">
        <v>0.34</v>
      </c>
      <c r="F43" s="73">
        <v>162</v>
      </c>
      <c r="G43" s="73">
        <v>54</v>
      </c>
      <c r="H43" s="74">
        <v>0.33</v>
      </c>
      <c r="I43" s="71">
        <v>159</v>
      </c>
      <c r="J43" s="71">
        <v>91</v>
      </c>
      <c r="K43" s="72">
        <v>0.57230000000000003</v>
      </c>
    </row>
    <row r="45" spans="2:11">
      <c r="B45" s="64" t="s">
        <v>99</v>
      </c>
    </row>
    <row r="46" spans="2:11">
      <c r="B46" s="61" t="s">
        <v>94</v>
      </c>
      <c r="C46" s="61" t="s">
        <v>1</v>
      </c>
      <c r="D46" s="61" t="s">
        <v>36</v>
      </c>
    </row>
    <row r="47" spans="2:11">
      <c r="B47" s="61">
        <v>1</v>
      </c>
      <c r="C47" s="61" t="s">
        <v>10</v>
      </c>
      <c r="D47" s="62">
        <f>F33</f>
        <v>49701.629998000004</v>
      </c>
    </row>
    <row r="48" spans="2:11">
      <c r="B48" s="61">
        <v>2</v>
      </c>
      <c r="C48" s="61" t="s">
        <v>9</v>
      </c>
      <c r="D48" s="62">
        <f>F32</f>
        <v>39310.840000000004</v>
      </c>
    </row>
    <row r="49" spans="2:4">
      <c r="B49" s="61">
        <v>3</v>
      </c>
      <c r="C49" s="61" t="s">
        <v>6</v>
      </c>
      <c r="D49" s="62">
        <f>F29</f>
        <v>22352.130002000005</v>
      </c>
    </row>
    <row r="50" spans="2:4">
      <c r="B50" s="61">
        <v>4</v>
      </c>
      <c r="C50" s="61" t="s">
        <v>7</v>
      </c>
      <c r="D50" s="62">
        <f>F30</f>
        <v>14115.514999999999</v>
      </c>
    </row>
    <row r="51" spans="2:4">
      <c r="B51" s="61">
        <v>5</v>
      </c>
      <c r="C51" s="61" t="s">
        <v>55</v>
      </c>
      <c r="D51" s="62">
        <f>F28</f>
        <v>8881.9274910000004</v>
      </c>
    </row>
    <row r="52" spans="2:4">
      <c r="B52" s="61">
        <v>6</v>
      </c>
      <c r="C52" s="61" t="s">
        <v>8</v>
      </c>
      <c r="D52" s="62">
        <f>F31</f>
        <v>1680.1999999999998</v>
      </c>
    </row>
    <row r="54" spans="2:4">
      <c r="B54" s="64" t="s">
        <v>100</v>
      </c>
    </row>
    <row r="55" spans="2:4">
      <c r="B55" s="61" t="s">
        <v>87</v>
      </c>
      <c r="C55" s="61" t="s">
        <v>36</v>
      </c>
      <c r="D55" s="61" t="s">
        <v>89</v>
      </c>
    </row>
    <row r="56" spans="2:4">
      <c r="B56" s="61" t="s">
        <v>79</v>
      </c>
      <c r="C56" s="62">
        <f>SUM(C28:C33)</f>
        <v>96648.237491000007</v>
      </c>
      <c r="D56" s="61" t="s">
        <v>90</v>
      </c>
    </row>
    <row r="57" spans="2:4">
      <c r="B57" s="61" t="s">
        <v>80</v>
      </c>
      <c r="C57" s="62">
        <f>SUM(D28:D33)</f>
        <v>30682.985000000004</v>
      </c>
      <c r="D57" s="166">
        <v>-0.6825</v>
      </c>
    </row>
    <row r="58" spans="2:4">
      <c r="B58" s="61" t="s">
        <v>81</v>
      </c>
      <c r="C58" s="62">
        <f>SUM(E28:E33)</f>
        <v>8711.02</v>
      </c>
      <c r="D58" s="167">
        <v>-0.71609999999999996</v>
      </c>
    </row>
    <row r="60" spans="2:4">
      <c r="B60" s="64" t="s">
        <v>101</v>
      </c>
    </row>
    <row r="61" spans="2:4">
      <c r="B61" s="61" t="s">
        <v>78</v>
      </c>
      <c r="C61" s="61" t="s">
        <v>95</v>
      </c>
    </row>
    <row r="62" spans="2:4">
      <c r="B62" s="61" t="s">
        <v>82</v>
      </c>
      <c r="C62" s="61">
        <f>SUM(C16:C18)</f>
        <v>619</v>
      </c>
    </row>
    <row r="63" spans="2:4">
      <c r="B63" s="61" t="s">
        <v>86</v>
      </c>
      <c r="C63" s="161">
        <f>SUM('FATURAMENTO RECUPERACAO'!D:D)</f>
        <v>136042.24249099992</v>
      </c>
    </row>
    <row r="64" spans="2:4">
      <c r="B64" s="66" t="s">
        <v>108</v>
      </c>
      <c r="C64" s="61">
        <f>SUM(J22:J24)</f>
        <v>218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B89EE-7A7A-4DD1-9FE6-736B949DBD92}">
  <sheetPr>
    <tabColor theme="7"/>
    <outlinePr summaryBelow="0" summaryRight="0"/>
  </sheetPr>
  <dimension ref="A1:AK964"/>
  <sheetViews>
    <sheetView showGridLines="0" zoomScaleNormal="100" workbookViewId="0">
      <selection activeCell="AC9" sqref="AC9"/>
    </sheetView>
  </sheetViews>
  <sheetFormatPr defaultColWidth="12.6640625" defaultRowHeight="15.75" customHeight="1"/>
  <cols>
    <col min="1" max="1" width="4.6640625" customWidth="1"/>
    <col min="2" max="2" width="31.44140625" customWidth="1"/>
    <col min="3" max="7" width="5.33203125" customWidth="1"/>
    <col min="8" max="16" width="4.6640625" customWidth="1"/>
    <col min="17" max="22" width="5.33203125" customWidth="1"/>
    <col min="23" max="23" width="5" customWidth="1"/>
    <col min="24" max="26" width="4.6640625" customWidth="1"/>
    <col min="27" max="27" width="7.5546875" style="3" bestFit="1" customWidth="1"/>
    <col min="28" max="28" width="10.6640625" style="3" customWidth="1"/>
    <col min="29" max="29" width="43.44140625" style="3" bestFit="1" customWidth="1"/>
    <col min="30" max="30" width="13.44140625" style="3" customWidth="1"/>
    <col min="31" max="31" width="12.6640625" style="3"/>
    <col min="32" max="32" width="16" style="3" bestFit="1" customWidth="1"/>
    <col min="33" max="33" width="12.6640625" style="3"/>
  </cols>
  <sheetData>
    <row r="1" spans="1:37" ht="13.8" thickBot="1">
      <c r="A1" s="88"/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J1" s="89"/>
    </row>
    <row r="2" spans="1:37" ht="13.2">
      <c r="A2" s="88"/>
      <c r="B2" s="88"/>
      <c r="C2" s="281" t="s">
        <v>28</v>
      </c>
      <c r="D2" s="282"/>
      <c r="E2" s="282"/>
      <c r="F2" s="283"/>
      <c r="G2" s="281" t="s">
        <v>29</v>
      </c>
      <c r="H2" s="282"/>
      <c r="I2" s="282"/>
      <c r="J2" s="282"/>
      <c r="K2" s="283"/>
      <c r="L2" s="281" t="s">
        <v>30</v>
      </c>
      <c r="M2" s="282"/>
      <c r="N2" s="282"/>
      <c r="O2" s="282"/>
      <c r="P2" s="283"/>
      <c r="Q2" s="281" t="s">
        <v>31</v>
      </c>
      <c r="R2" s="282"/>
      <c r="S2" s="282"/>
      <c r="T2" s="282"/>
      <c r="U2" s="283"/>
      <c r="V2" s="281" t="s">
        <v>32</v>
      </c>
      <c r="W2" s="282"/>
      <c r="X2" s="88"/>
      <c r="Y2" s="88"/>
      <c r="Z2" s="90"/>
      <c r="AA2" s="91" t="s">
        <v>33</v>
      </c>
      <c r="AB2" s="91" t="s">
        <v>34</v>
      </c>
      <c r="AC2" s="91" t="s">
        <v>141</v>
      </c>
      <c r="AD2" s="91" t="s">
        <v>35</v>
      </c>
      <c r="AE2" s="91" t="s">
        <v>36</v>
      </c>
      <c r="AF2" s="91" t="s">
        <v>37</v>
      </c>
      <c r="AG2" s="91" t="s">
        <v>38</v>
      </c>
      <c r="AH2" s="91" t="s">
        <v>39</v>
      </c>
      <c r="AJ2" s="92"/>
    </row>
    <row r="3" spans="1:37" ht="13.2">
      <c r="A3" s="88"/>
      <c r="B3" s="88"/>
      <c r="C3" s="83">
        <v>1</v>
      </c>
      <c r="D3" s="84">
        <v>2</v>
      </c>
      <c r="E3" s="84">
        <v>3</v>
      </c>
      <c r="F3" s="85">
        <v>5</v>
      </c>
      <c r="G3" s="83">
        <v>8</v>
      </c>
      <c r="H3" s="84">
        <v>9</v>
      </c>
      <c r="I3" s="84">
        <v>10</v>
      </c>
      <c r="J3" s="84">
        <v>11</v>
      </c>
      <c r="K3" s="85">
        <v>12</v>
      </c>
      <c r="L3" s="83">
        <v>15</v>
      </c>
      <c r="M3" s="84">
        <v>16</v>
      </c>
      <c r="N3" s="84">
        <v>17</v>
      </c>
      <c r="O3" s="84">
        <v>18</v>
      </c>
      <c r="P3" s="85">
        <v>19</v>
      </c>
      <c r="Q3" s="83">
        <v>22</v>
      </c>
      <c r="R3" s="84">
        <v>23</v>
      </c>
      <c r="S3" s="84">
        <v>24</v>
      </c>
      <c r="T3" s="84">
        <v>25</v>
      </c>
      <c r="U3" s="85">
        <v>26</v>
      </c>
      <c r="V3" s="83">
        <v>29</v>
      </c>
      <c r="W3" s="85">
        <v>30</v>
      </c>
      <c r="X3" s="278"/>
      <c r="Y3" s="279"/>
      <c r="Z3" s="88"/>
      <c r="AA3" s="87">
        <v>1</v>
      </c>
      <c r="AB3" s="93">
        <v>39905</v>
      </c>
      <c r="AC3" s="93" t="s">
        <v>142</v>
      </c>
      <c r="AD3" s="94">
        <v>46059</v>
      </c>
      <c r="AE3" s="93">
        <v>395.94</v>
      </c>
      <c r="AF3" s="94">
        <v>46298</v>
      </c>
      <c r="AG3" s="93" t="s">
        <v>40</v>
      </c>
      <c r="AH3" s="93">
        <v>84</v>
      </c>
    </row>
    <row r="4" spans="1:37" ht="13.2">
      <c r="A4" s="88"/>
      <c r="B4" s="95" t="s">
        <v>41</v>
      </c>
      <c r="C4" s="96" t="s">
        <v>42</v>
      </c>
      <c r="D4" s="97" t="s">
        <v>43</v>
      </c>
      <c r="E4" s="97" t="s">
        <v>44</v>
      </c>
      <c r="F4" s="98" t="s">
        <v>44</v>
      </c>
      <c r="G4" s="96" t="s">
        <v>42</v>
      </c>
      <c r="H4" s="97" t="s">
        <v>42</v>
      </c>
      <c r="I4" s="97" t="s">
        <v>43</v>
      </c>
      <c r="J4" s="97" t="s">
        <v>44</v>
      </c>
      <c r="K4" s="98" t="s">
        <v>44</v>
      </c>
      <c r="L4" s="96" t="s">
        <v>42</v>
      </c>
      <c r="M4" s="97" t="s">
        <v>42</v>
      </c>
      <c r="N4" s="97" t="s">
        <v>43</v>
      </c>
      <c r="O4" s="97" t="s">
        <v>44</v>
      </c>
      <c r="P4" s="98" t="s">
        <v>44</v>
      </c>
      <c r="Q4" s="96" t="s">
        <v>42</v>
      </c>
      <c r="R4" s="97" t="s">
        <v>42</v>
      </c>
      <c r="S4" s="97" t="s">
        <v>43</v>
      </c>
      <c r="T4" s="97" t="s">
        <v>44</v>
      </c>
      <c r="U4" s="98" t="s">
        <v>44</v>
      </c>
      <c r="V4" s="96" t="s">
        <v>42</v>
      </c>
      <c r="W4" s="98" t="s">
        <v>42</v>
      </c>
      <c r="X4" s="99" t="s">
        <v>11</v>
      </c>
      <c r="Y4" s="88"/>
      <c r="Z4" s="88"/>
      <c r="AA4" s="87">
        <v>2</v>
      </c>
      <c r="AB4" s="93">
        <v>35214</v>
      </c>
      <c r="AC4" s="93" t="s">
        <v>143</v>
      </c>
      <c r="AD4" s="94">
        <v>46059</v>
      </c>
      <c r="AE4" s="93">
        <v>536.37</v>
      </c>
      <c r="AF4" s="94">
        <v>46085</v>
      </c>
      <c r="AG4" s="93" t="s">
        <v>45</v>
      </c>
      <c r="AH4" s="93">
        <v>60</v>
      </c>
    </row>
    <row r="5" spans="1:37" ht="13.2">
      <c r="A5" s="88"/>
      <c r="B5" s="100" t="s">
        <v>2</v>
      </c>
      <c r="C5" s="101">
        <v>1</v>
      </c>
      <c r="D5" s="102">
        <v>1</v>
      </c>
      <c r="E5" s="102">
        <v>1</v>
      </c>
      <c r="F5" s="103">
        <v>1</v>
      </c>
      <c r="G5" s="101">
        <v>1</v>
      </c>
      <c r="H5" s="102">
        <v>1</v>
      </c>
      <c r="I5" s="102">
        <v>1</v>
      </c>
      <c r="J5" s="102">
        <v>1</v>
      </c>
      <c r="K5" s="103">
        <v>1</v>
      </c>
      <c r="L5" s="101">
        <v>1</v>
      </c>
      <c r="M5" s="102">
        <v>1</v>
      </c>
      <c r="N5" s="102">
        <v>2</v>
      </c>
      <c r="O5" s="102">
        <v>2</v>
      </c>
      <c r="P5" s="103">
        <v>2</v>
      </c>
      <c r="Q5" s="101">
        <v>2</v>
      </c>
      <c r="R5" s="102">
        <v>2</v>
      </c>
      <c r="S5" s="102">
        <v>2</v>
      </c>
      <c r="T5" s="102">
        <v>2</v>
      </c>
      <c r="U5" s="103">
        <v>2</v>
      </c>
      <c r="V5" s="51">
        <v>2</v>
      </c>
      <c r="W5" s="103">
        <v>2</v>
      </c>
      <c r="X5" s="104">
        <v>31</v>
      </c>
      <c r="Y5" s="88"/>
      <c r="Z5" s="88"/>
      <c r="AA5" s="87">
        <v>3</v>
      </c>
      <c r="AB5" s="93">
        <v>26900</v>
      </c>
      <c r="AC5" s="93" t="s">
        <v>144</v>
      </c>
      <c r="AD5" s="94">
        <v>46148</v>
      </c>
      <c r="AE5" s="93">
        <v>450.42</v>
      </c>
      <c r="AF5" s="94">
        <v>46096</v>
      </c>
      <c r="AG5" s="93" t="s">
        <v>6</v>
      </c>
      <c r="AH5" s="93">
        <v>82</v>
      </c>
    </row>
    <row r="6" spans="1:37" ht="13.8" thickBot="1">
      <c r="A6" s="88"/>
      <c r="B6" s="100" t="s">
        <v>46</v>
      </c>
      <c r="C6" s="105">
        <v>0</v>
      </c>
      <c r="D6" s="106">
        <v>2</v>
      </c>
      <c r="E6" s="106">
        <v>0</v>
      </c>
      <c r="F6" s="107">
        <v>3</v>
      </c>
      <c r="G6" s="105">
        <v>0</v>
      </c>
      <c r="H6" s="106">
        <v>1</v>
      </c>
      <c r="I6" s="106">
        <v>0</v>
      </c>
      <c r="J6" s="106">
        <v>1</v>
      </c>
      <c r="K6" s="107">
        <v>0</v>
      </c>
      <c r="L6" s="105">
        <v>1</v>
      </c>
      <c r="M6" s="106">
        <v>1</v>
      </c>
      <c r="N6" s="106">
        <v>0</v>
      </c>
      <c r="O6" s="106">
        <v>1</v>
      </c>
      <c r="P6" s="107">
        <v>0</v>
      </c>
      <c r="Q6" s="105">
        <v>0</v>
      </c>
      <c r="R6" s="106">
        <v>0</v>
      </c>
      <c r="S6" s="106">
        <v>0</v>
      </c>
      <c r="T6" s="106">
        <v>0</v>
      </c>
      <c r="U6" s="107">
        <v>3</v>
      </c>
      <c r="V6" s="105">
        <v>1</v>
      </c>
      <c r="W6" s="107">
        <v>2</v>
      </c>
      <c r="X6" s="104">
        <v>16</v>
      </c>
      <c r="Y6" s="108">
        <v>-15</v>
      </c>
      <c r="Z6" s="88"/>
      <c r="AA6" s="87">
        <v>4</v>
      </c>
      <c r="AB6" s="93">
        <v>25286</v>
      </c>
      <c r="AC6" s="93" t="s">
        <v>145</v>
      </c>
      <c r="AD6" s="94">
        <v>46148</v>
      </c>
      <c r="AE6" s="93">
        <v>1339.6</v>
      </c>
      <c r="AF6" s="94">
        <v>46057</v>
      </c>
      <c r="AG6" s="93" t="s">
        <v>47</v>
      </c>
      <c r="AH6" s="93">
        <v>64</v>
      </c>
    </row>
    <row r="7" spans="1:37" ht="13.2">
      <c r="A7" s="88"/>
      <c r="B7" s="88"/>
      <c r="C7" s="88"/>
      <c r="D7" s="88"/>
      <c r="E7" s="88"/>
      <c r="F7" s="88"/>
      <c r="G7" s="88"/>
      <c r="H7" s="88"/>
      <c r="I7" s="88"/>
      <c r="J7" s="88"/>
      <c r="K7" s="88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  <c r="AA7" s="87">
        <v>5</v>
      </c>
      <c r="AB7" s="93">
        <v>29748</v>
      </c>
      <c r="AC7" s="93" t="s">
        <v>146</v>
      </c>
      <c r="AD7" s="94">
        <v>46148</v>
      </c>
      <c r="AE7" s="93">
        <v>429.34</v>
      </c>
      <c r="AF7" s="94">
        <v>46129</v>
      </c>
      <c r="AG7" s="93" t="s">
        <v>6</v>
      </c>
      <c r="AH7" s="93">
        <v>49</v>
      </c>
    </row>
    <row r="8" spans="1:37" ht="13.2">
      <c r="A8" s="88"/>
      <c r="B8" s="88"/>
      <c r="C8" s="88"/>
      <c r="D8" s="88"/>
      <c r="E8" s="88"/>
      <c r="F8" s="88"/>
      <c r="G8" s="88"/>
      <c r="H8" s="88"/>
      <c r="I8" s="88"/>
      <c r="J8" s="88"/>
      <c r="K8" s="88"/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  <c r="AA8" s="87">
        <v>6</v>
      </c>
      <c r="AB8" s="93">
        <v>41967</v>
      </c>
      <c r="AC8" s="93" t="s">
        <v>147</v>
      </c>
      <c r="AD8" s="94">
        <v>46271</v>
      </c>
      <c r="AE8" s="93">
        <v>177.86</v>
      </c>
      <c r="AF8" s="94">
        <v>46098</v>
      </c>
      <c r="AG8" s="93" t="s">
        <v>48</v>
      </c>
      <c r="AH8" s="93">
        <v>84</v>
      </c>
    </row>
    <row r="9" spans="1:37" ht="13.2">
      <c r="A9" s="88"/>
      <c r="B9" s="109" t="s">
        <v>49</v>
      </c>
      <c r="C9" s="83">
        <v>1</v>
      </c>
      <c r="D9" s="84">
        <v>2</v>
      </c>
      <c r="E9" s="84">
        <v>3</v>
      </c>
      <c r="F9" s="85">
        <v>5</v>
      </c>
      <c r="G9" s="83">
        <v>8</v>
      </c>
      <c r="H9" s="84">
        <v>9</v>
      </c>
      <c r="I9" s="84">
        <v>10</v>
      </c>
      <c r="J9" s="84">
        <v>11</v>
      </c>
      <c r="K9" s="85">
        <v>12</v>
      </c>
      <c r="L9" s="83">
        <v>15</v>
      </c>
      <c r="M9" s="84">
        <v>16</v>
      </c>
      <c r="N9" s="84">
        <v>17</v>
      </c>
      <c r="O9" s="84">
        <v>18</v>
      </c>
      <c r="P9" s="85">
        <v>19</v>
      </c>
      <c r="Q9" s="83">
        <v>22</v>
      </c>
      <c r="R9" s="84">
        <v>23</v>
      </c>
      <c r="S9" s="84">
        <v>24</v>
      </c>
      <c r="T9" s="84">
        <v>25</v>
      </c>
      <c r="U9" s="85">
        <v>26</v>
      </c>
      <c r="V9" s="83">
        <v>29</v>
      </c>
      <c r="W9" s="85">
        <v>30</v>
      </c>
      <c r="X9" s="88"/>
      <c r="Y9" s="88"/>
      <c r="Z9" s="88"/>
      <c r="AA9" s="111">
        <v>7</v>
      </c>
      <c r="AB9" s="110">
        <v>40914</v>
      </c>
      <c r="AC9" s="110" t="s">
        <v>148</v>
      </c>
      <c r="AD9" s="112">
        <v>46332</v>
      </c>
      <c r="AE9" s="110">
        <v>9588</v>
      </c>
      <c r="AF9" s="112">
        <v>46145</v>
      </c>
      <c r="AG9" s="110" t="s">
        <v>6</v>
      </c>
      <c r="AH9" s="110">
        <v>98</v>
      </c>
    </row>
    <row r="10" spans="1:37" ht="13.2">
      <c r="A10" s="88"/>
      <c r="B10" s="97" t="s">
        <v>15</v>
      </c>
      <c r="C10" s="102">
        <v>47</v>
      </c>
      <c r="D10" s="102"/>
      <c r="E10" s="102">
        <v>46</v>
      </c>
      <c r="F10" s="2">
        <v>43</v>
      </c>
      <c r="G10" s="2">
        <v>43</v>
      </c>
      <c r="H10" s="102">
        <v>16</v>
      </c>
      <c r="I10" s="102">
        <v>16</v>
      </c>
      <c r="J10" s="102">
        <v>21</v>
      </c>
      <c r="K10" s="102"/>
      <c r="L10" s="113">
        <v>12</v>
      </c>
      <c r="M10" s="102">
        <v>29</v>
      </c>
      <c r="N10" s="102">
        <v>29</v>
      </c>
      <c r="O10" s="102"/>
      <c r="P10" s="102">
        <v>32</v>
      </c>
      <c r="Q10" s="102">
        <v>8</v>
      </c>
      <c r="R10" s="114">
        <v>37</v>
      </c>
      <c r="S10" s="81">
        <v>38</v>
      </c>
      <c r="T10" s="115">
        <v>37</v>
      </c>
      <c r="U10" s="116">
        <v>35</v>
      </c>
      <c r="V10" s="102">
        <v>25</v>
      </c>
      <c r="W10" s="102"/>
      <c r="X10" s="88"/>
      <c r="Y10" s="88"/>
      <c r="Z10" s="88"/>
      <c r="AA10" s="87">
        <v>8</v>
      </c>
      <c r="AB10" s="93">
        <v>44581</v>
      </c>
      <c r="AC10" s="93" t="s">
        <v>149</v>
      </c>
      <c r="AD10" s="94">
        <v>46188</v>
      </c>
      <c r="AE10" s="93">
        <v>228.74</v>
      </c>
      <c r="AF10" s="94">
        <v>46126</v>
      </c>
      <c r="AG10" s="93" t="s">
        <v>50</v>
      </c>
      <c r="AH10" s="93">
        <v>62</v>
      </c>
    </row>
    <row r="11" spans="1:37" ht="13.2">
      <c r="A11" s="88"/>
      <c r="B11" s="97" t="s">
        <v>16</v>
      </c>
      <c r="C11" s="102">
        <v>9</v>
      </c>
      <c r="D11" s="102"/>
      <c r="E11" s="102">
        <v>9</v>
      </c>
      <c r="F11" s="2">
        <v>7</v>
      </c>
      <c r="G11" s="2">
        <v>7</v>
      </c>
      <c r="H11" s="102">
        <v>7</v>
      </c>
      <c r="I11" s="102">
        <v>7</v>
      </c>
      <c r="J11" s="102">
        <v>7</v>
      </c>
      <c r="K11" s="102"/>
      <c r="L11" s="113">
        <v>10</v>
      </c>
      <c r="M11" s="102">
        <v>10</v>
      </c>
      <c r="N11" s="102">
        <v>10</v>
      </c>
      <c r="O11" s="102"/>
      <c r="P11" s="102">
        <v>11</v>
      </c>
      <c r="Q11" s="102">
        <v>12</v>
      </c>
      <c r="R11" s="114">
        <v>11</v>
      </c>
      <c r="S11" s="81">
        <v>9</v>
      </c>
      <c r="T11" s="115">
        <v>9</v>
      </c>
      <c r="U11" s="116">
        <v>9</v>
      </c>
      <c r="V11" s="102">
        <v>6</v>
      </c>
      <c r="W11" s="102"/>
      <c r="X11" s="88"/>
      <c r="Y11" s="88"/>
      <c r="Z11" s="88"/>
      <c r="AA11" s="111">
        <v>9</v>
      </c>
      <c r="AB11" s="110">
        <v>43131</v>
      </c>
      <c r="AC11" s="110" t="s">
        <v>150</v>
      </c>
      <c r="AD11" s="112">
        <v>46189</v>
      </c>
      <c r="AE11" s="110">
        <v>397.3</v>
      </c>
      <c r="AF11" s="112">
        <v>46237</v>
      </c>
      <c r="AG11" s="110" t="s">
        <v>6</v>
      </c>
      <c r="AH11" s="110">
        <v>100</v>
      </c>
    </row>
    <row r="12" spans="1:37" ht="13.2">
      <c r="A12" s="88"/>
      <c r="B12" s="97" t="s">
        <v>17</v>
      </c>
      <c r="C12" s="102">
        <v>5</v>
      </c>
      <c r="D12" s="102"/>
      <c r="E12" s="102">
        <v>5</v>
      </c>
      <c r="F12" s="2">
        <v>3</v>
      </c>
      <c r="G12" s="2">
        <v>3</v>
      </c>
      <c r="H12" s="102">
        <v>4</v>
      </c>
      <c r="I12" s="102">
        <v>4</v>
      </c>
      <c r="J12" s="102">
        <v>4</v>
      </c>
      <c r="K12" s="102"/>
      <c r="L12" s="113">
        <v>6</v>
      </c>
      <c r="M12" s="102">
        <v>7</v>
      </c>
      <c r="N12" s="102">
        <v>7</v>
      </c>
      <c r="O12" s="102"/>
      <c r="P12" s="102">
        <v>5</v>
      </c>
      <c r="Q12" s="102">
        <v>3</v>
      </c>
      <c r="R12" s="114">
        <v>3</v>
      </c>
      <c r="S12" s="81">
        <v>2</v>
      </c>
      <c r="T12" s="115">
        <v>2</v>
      </c>
      <c r="U12" s="116">
        <v>4</v>
      </c>
      <c r="V12" s="102">
        <v>4</v>
      </c>
      <c r="W12" s="102"/>
      <c r="X12" s="88"/>
      <c r="Y12" s="88"/>
      <c r="Z12" s="88"/>
      <c r="AA12" s="111">
        <v>10</v>
      </c>
      <c r="AB12" s="110">
        <v>27411</v>
      </c>
      <c r="AC12" s="110" t="s">
        <v>151</v>
      </c>
      <c r="AD12" s="112">
        <v>46191</v>
      </c>
      <c r="AE12" s="110">
        <v>179.43</v>
      </c>
      <c r="AF12" s="112">
        <v>46298</v>
      </c>
      <c r="AG12" s="110" t="s">
        <v>6</v>
      </c>
      <c r="AH12" s="110">
        <v>100</v>
      </c>
      <c r="AK12">
        <v>0.2</v>
      </c>
    </row>
    <row r="13" spans="1:37" ht="13.2">
      <c r="A13" s="88"/>
      <c r="B13" s="97" t="s">
        <v>18</v>
      </c>
      <c r="C13" s="102">
        <v>0</v>
      </c>
      <c r="D13" s="102"/>
      <c r="E13" s="102">
        <v>0</v>
      </c>
      <c r="F13" s="2">
        <v>3</v>
      </c>
      <c r="G13" s="2">
        <v>3</v>
      </c>
      <c r="H13" s="102">
        <v>2</v>
      </c>
      <c r="I13" s="102">
        <v>2</v>
      </c>
      <c r="J13" s="102">
        <v>1</v>
      </c>
      <c r="K13" s="102"/>
      <c r="L13" s="113">
        <v>2</v>
      </c>
      <c r="M13" s="102">
        <v>1</v>
      </c>
      <c r="N13" s="102">
        <v>0</v>
      </c>
      <c r="O13" s="102"/>
      <c r="P13" s="102">
        <v>2</v>
      </c>
      <c r="Q13" s="102">
        <v>0</v>
      </c>
      <c r="R13" s="114">
        <v>0</v>
      </c>
      <c r="S13" s="81">
        <v>3</v>
      </c>
      <c r="T13" s="115">
        <v>2</v>
      </c>
      <c r="U13" s="116">
        <v>1</v>
      </c>
      <c r="V13" s="102">
        <v>1</v>
      </c>
      <c r="W13" s="102"/>
      <c r="X13" s="88"/>
      <c r="Y13" s="88"/>
      <c r="Z13" s="88"/>
      <c r="AA13" s="87">
        <v>11</v>
      </c>
      <c r="AB13" s="93">
        <v>36248</v>
      </c>
      <c r="AC13" s="93" t="s">
        <v>152</v>
      </c>
      <c r="AD13" s="94">
        <v>46199</v>
      </c>
      <c r="AE13" s="93">
        <v>264.39</v>
      </c>
      <c r="AF13" s="94">
        <v>46147</v>
      </c>
      <c r="AG13" s="93" t="s">
        <v>40</v>
      </c>
      <c r="AH13" s="93">
        <v>52</v>
      </c>
    </row>
    <row r="14" spans="1:37" ht="13.2">
      <c r="A14" s="88"/>
      <c r="B14" s="97" t="s">
        <v>51</v>
      </c>
      <c r="C14" s="102">
        <v>185</v>
      </c>
      <c r="D14" s="102"/>
      <c r="E14" s="102">
        <v>177</v>
      </c>
      <c r="F14" s="2">
        <v>177</v>
      </c>
      <c r="G14" s="2">
        <v>177</v>
      </c>
      <c r="H14" s="113">
        <v>214</v>
      </c>
      <c r="I14" s="102">
        <v>213</v>
      </c>
      <c r="J14" s="102">
        <v>213</v>
      </c>
      <c r="K14" s="102"/>
      <c r="L14" s="113">
        <v>204</v>
      </c>
      <c r="M14" s="102">
        <v>187</v>
      </c>
      <c r="N14" s="102">
        <v>187</v>
      </c>
      <c r="O14" s="102"/>
      <c r="P14" s="102">
        <v>190</v>
      </c>
      <c r="Q14" s="102">
        <v>216</v>
      </c>
      <c r="R14" s="114">
        <v>216</v>
      </c>
      <c r="S14" s="81">
        <v>223</v>
      </c>
      <c r="T14" s="115">
        <v>198</v>
      </c>
      <c r="U14" s="87">
        <v>180</v>
      </c>
      <c r="V14" s="102">
        <v>189</v>
      </c>
      <c r="W14" s="102"/>
      <c r="X14" s="88"/>
      <c r="Y14" s="88"/>
      <c r="Z14" s="88"/>
      <c r="AA14" s="87">
        <v>12</v>
      </c>
      <c r="AB14" s="93">
        <v>2425</v>
      </c>
      <c r="AC14" s="93" t="s">
        <v>153</v>
      </c>
      <c r="AD14" s="94">
        <v>46199</v>
      </c>
      <c r="AE14" s="93">
        <v>546.6</v>
      </c>
      <c r="AF14" s="94">
        <v>46128</v>
      </c>
      <c r="AG14" s="93" t="s">
        <v>40</v>
      </c>
      <c r="AH14" s="93">
        <v>71</v>
      </c>
    </row>
    <row r="15" spans="1:37" ht="13.2">
      <c r="A15" s="88"/>
      <c r="B15" s="97" t="s">
        <v>52</v>
      </c>
      <c r="C15" s="102">
        <v>40</v>
      </c>
      <c r="D15" s="102"/>
      <c r="E15" s="102">
        <v>33</v>
      </c>
      <c r="F15" s="2">
        <v>34</v>
      </c>
      <c r="G15" s="2">
        <v>34</v>
      </c>
      <c r="H15" s="102">
        <v>37</v>
      </c>
      <c r="I15" s="102">
        <v>37</v>
      </c>
      <c r="J15" s="102">
        <v>37</v>
      </c>
      <c r="K15" s="102"/>
      <c r="L15" s="113">
        <v>36</v>
      </c>
      <c r="M15" s="102">
        <v>35</v>
      </c>
      <c r="N15" s="102">
        <v>35</v>
      </c>
      <c r="O15" s="102"/>
      <c r="P15" s="102">
        <v>35</v>
      </c>
      <c r="Q15" s="102">
        <v>35</v>
      </c>
      <c r="R15" s="114">
        <v>35</v>
      </c>
      <c r="S15" s="81">
        <v>35</v>
      </c>
      <c r="T15" s="115">
        <v>32</v>
      </c>
      <c r="U15" s="117">
        <v>29</v>
      </c>
      <c r="V15" s="102">
        <v>29</v>
      </c>
      <c r="W15" s="102"/>
      <c r="X15" s="88"/>
      <c r="Y15" s="88"/>
      <c r="Z15" s="88"/>
      <c r="AA15" s="87">
        <v>13</v>
      </c>
      <c r="AB15" s="118">
        <v>24254</v>
      </c>
      <c r="AC15" s="118" t="s">
        <v>154</v>
      </c>
      <c r="AD15" s="94">
        <v>46199</v>
      </c>
      <c r="AE15" s="93">
        <v>400.81</v>
      </c>
      <c r="AF15" s="94">
        <v>46129</v>
      </c>
      <c r="AG15" s="93" t="s">
        <v>116</v>
      </c>
      <c r="AH15" s="52">
        <v>70</v>
      </c>
    </row>
    <row r="16" spans="1:37" ht="13.2">
      <c r="A16" s="88"/>
      <c r="B16" s="97" t="s">
        <v>22</v>
      </c>
      <c r="C16" s="102">
        <v>0</v>
      </c>
      <c r="D16" s="102"/>
      <c r="E16" s="102">
        <v>0</v>
      </c>
      <c r="F16" s="2">
        <v>0</v>
      </c>
      <c r="G16" s="2">
        <v>0</v>
      </c>
      <c r="H16" s="102">
        <v>0</v>
      </c>
      <c r="I16" s="102">
        <v>0</v>
      </c>
      <c r="J16" s="102">
        <v>0</v>
      </c>
      <c r="K16" s="102"/>
      <c r="L16" s="113">
        <v>0</v>
      </c>
      <c r="M16" s="102">
        <v>0</v>
      </c>
      <c r="N16" s="102">
        <v>0</v>
      </c>
      <c r="O16" s="102"/>
      <c r="P16" s="102">
        <v>0</v>
      </c>
      <c r="Q16" s="102">
        <v>0</v>
      </c>
      <c r="R16" s="114">
        <v>0</v>
      </c>
      <c r="S16" s="81">
        <v>0</v>
      </c>
      <c r="T16" s="115">
        <v>0</v>
      </c>
      <c r="U16" s="87">
        <v>0</v>
      </c>
      <c r="V16" s="102">
        <v>0</v>
      </c>
      <c r="W16" s="102"/>
      <c r="X16" s="88"/>
      <c r="Y16" s="88"/>
      <c r="Z16" s="88"/>
      <c r="AA16" s="87">
        <v>14</v>
      </c>
      <c r="AB16" s="93">
        <v>42652</v>
      </c>
      <c r="AC16" s="93" t="s">
        <v>155</v>
      </c>
      <c r="AD16" s="94">
        <v>46202</v>
      </c>
      <c r="AE16" s="93">
        <v>221.73</v>
      </c>
      <c r="AF16" s="94">
        <v>46239</v>
      </c>
      <c r="AG16" s="93" t="s">
        <v>6</v>
      </c>
      <c r="AH16" s="93">
        <v>52</v>
      </c>
    </row>
    <row r="17" spans="1:34" ht="13.2">
      <c r="A17" s="88"/>
      <c r="B17" s="97" t="s">
        <v>23</v>
      </c>
      <c r="C17" s="102">
        <v>0</v>
      </c>
      <c r="D17" s="102"/>
      <c r="E17" s="102">
        <v>0</v>
      </c>
      <c r="F17" s="2">
        <v>0</v>
      </c>
      <c r="G17" s="2">
        <v>0</v>
      </c>
      <c r="H17" s="102">
        <v>1</v>
      </c>
      <c r="I17" s="102">
        <v>1</v>
      </c>
      <c r="J17" s="102">
        <v>1</v>
      </c>
      <c r="K17" s="102"/>
      <c r="L17" s="113">
        <v>1</v>
      </c>
      <c r="M17" s="102">
        <v>1</v>
      </c>
      <c r="N17" s="102">
        <v>1</v>
      </c>
      <c r="O17" s="102"/>
      <c r="P17" s="102">
        <v>1</v>
      </c>
      <c r="Q17" s="102">
        <v>1</v>
      </c>
      <c r="R17" s="114">
        <v>1</v>
      </c>
      <c r="S17" s="81">
        <v>1</v>
      </c>
      <c r="T17" s="115">
        <v>1</v>
      </c>
      <c r="U17" s="87">
        <v>1</v>
      </c>
      <c r="V17" s="102">
        <v>1</v>
      </c>
      <c r="W17" s="102"/>
      <c r="X17" s="88"/>
      <c r="Y17" s="88"/>
      <c r="Z17" s="88"/>
      <c r="AA17" s="87">
        <v>15</v>
      </c>
      <c r="AB17" s="93">
        <v>30292</v>
      </c>
      <c r="AC17" s="93" t="s">
        <v>156</v>
      </c>
      <c r="AD17" s="94">
        <v>46029</v>
      </c>
      <c r="AE17" s="93">
        <v>1797</v>
      </c>
      <c r="AF17" s="94">
        <v>46142</v>
      </c>
      <c r="AG17" s="93" t="s">
        <v>6</v>
      </c>
      <c r="AH17" s="93">
        <v>61</v>
      </c>
    </row>
    <row r="18" spans="1:34" ht="13.2">
      <c r="A18" s="88"/>
      <c r="B18" s="97" t="s">
        <v>24</v>
      </c>
      <c r="C18" s="102">
        <v>0</v>
      </c>
      <c r="D18" s="102"/>
      <c r="E18" s="102">
        <v>1</v>
      </c>
      <c r="F18" s="2">
        <v>1</v>
      </c>
      <c r="G18" s="2">
        <v>1</v>
      </c>
      <c r="H18" s="102">
        <v>3</v>
      </c>
      <c r="I18" s="102">
        <v>4</v>
      </c>
      <c r="J18" s="102">
        <v>4</v>
      </c>
      <c r="K18" s="102"/>
      <c r="L18" s="113">
        <v>4</v>
      </c>
      <c r="M18" s="102">
        <v>4</v>
      </c>
      <c r="N18" s="102">
        <v>4</v>
      </c>
      <c r="O18" s="102"/>
      <c r="P18" s="102">
        <v>4</v>
      </c>
      <c r="Q18" s="102">
        <v>5</v>
      </c>
      <c r="R18" s="114">
        <v>5</v>
      </c>
      <c r="S18" s="81">
        <v>7</v>
      </c>
      <c r="T18" s="115">
        <v>31</v>
      </c>
      <c r="U18" s="87">
        <v>35</v>
      </c>
      <c r="V18" s="102">
        <v>36</v>
      </c>
      <c r="W18" s="102"/>
      <c r="X18" s="88"/>
      <c r="Y18" s="88"/>
      <c r="Z18" s="88"/>
      <c r="AA18" s="87">
        <v>16</v>
      </c>
      <c r="AB18" s="93">
        <v>39127</v>
      </c>
      <c r="AC18" s="93" t="s">
        <v>157</v>
      </c>
      <c r="AD18" s="94">
        <v>46029</v>
      </c>
      <c r="AE18" s="93">
        <v>180.15</v>
      </c>
      <c r="AF18" s="94">
        <v>46239</v>
      </c>
      <c r="AG18" s="93" t="s">
        <v>6</v>
      </c>
      <c r="AH18" s="93">
        <v>52</v>
      </c>
    </row>
    <row r="19" spans="1:34" ht="13.2">
      <c r="A19" s="88"/>
      <c r="B19" s="97" t="s">
        <v>25</v>
      </c>
      <c r="C19" s="102">
        <v>0</v>
      </c>
      <c r="D19" s="102"/>
      <c r="E19" s="102">
        <v>0</v>
      </c>
      <c r="F19" s="2">
        <v>0</v>
      </c>
      <c r="G19" s="2">
        <v>0</v>
      </c>
      <c r="H19" s="102">
        <v>0</v>
      </c>
      <c r="I19" s="102">
        <v>0</v>
      </c>
      <c r="J19" s="102">
        <v>0</v>
      </c>
      <c r="K19" s="102"/>
      <c r="L19" s="113">
        <v>0</v>
      </c>
      <c r="M19" s="102">
        <v>0</v>
      </c>
      <c r="N19" s="102">
        <v>0</v>
      </c>
      <c r="O19" s="102"/>
      <c r="P19" s="102">
        <v>2</v>
      </c>
      <c r="Q19" s="102">
        <v>2</v>
      </c>
      <c r="R19" s="114">
        <v>2</v>
      </c>
      <c r="S19" s="81">
        <v>2</v>
      </c>
      <c r="T19" s="115">
        <v>2</v>
      </c>
      <c r="U19" s="87">
        <v>2</v>
      </c>
      <c r="V19" s="102">
        <v>2</v>
      </c>
      <c r="W19" s="102"/>
      <c r="X19" s="88"/>
      <c r="Y19" s="88"/>
      <c r="Z19" s="88"/>
      <c r="AA19" s="88"/>
      <c r="AE19" s="119">
        <v>17133.68</v>
      </c>
    </row>
    <row r="20" spans="1:34" ht="13.2">
      <c r="A20" s="88"/>
      <c r="B20" s="97" t="s">
        <v>26</v>
      </c>
      <c r="C20" s="102">
        <v>0</v>
      </c>
      <c r="D20" s="102"/>
      <c r="E20" s="102">
        <v>0</v>
      </c>
      <c r="F20" s="2">
        <v>0</v>
      </c>
      <c r="G20" s="2">
        <v>0</v>
      </c>
      <c r="H20" s="102">
        <v>1</v>
      </c>
      <c r="I20" s="102">
        <v>1</v>
      </c>
      <c r="J20" s="102">
        <v>1</v>
      </c>
      <c r="K20" s="102"/>
      <c r="L20" s="113">
        <v>1</v>
      </c>
      <c r="M20" s="102">
        <v>1</v>
      </c>
      <c r="N20" s="102">
        <v>1</v>
      </c>
      <c r="O20" s="102"/>
      <c r="P20" s="102">
        <v>1</v>
      </c>
      <c r="Q20" s="102">
        <v>1</v>
      </c>
      <c r="R20" s="114">
        <v>1</v>
      </c>
      <c r="S20" s="81">
        <v>1</v>
      </c>
      <c r="T20" s="115">
        <v>2</v>
      </c>
      <c r="U20" s="87">
        <v>3</v>
      </c>
      <c r="V20" s="102">
        <v>5</v>
      </c>
      <c r="W20" s="102"/>
      <c r="X20" s="88"/>
      <c r="Y20" s="88"/>
      <c r="Z20" s="88"/>
      <c r="AA20" s="88"/>
    </row>
    <row r="21" spans="1:34" ht="13.2">
      <c r="A21" s="88"/>
      <c r="B21" s="109" t="s">
        <v>11</v>
      </c>
      <c r="C21" s="109">
        <v>286</v>
      </c>
      <c r="D21" s="109">
        <v>0</v>
      </c>
      <c r="E21" s="109">
        <v>271</v>
      </c>
      <c r="F21" s="109">
        <v>268</v>
      </c>
      <c r="G21" s="109">
        <v>268</v>
      </c>
      <c r="H21" s="109">
        <v>285</v>
      </c>
      <c r="I21" s="109">
        <v>285</v>
      </c>
      <c r="J21" s="109">
        <v>289</v>
      </c>
      <c r="K21" s="109">
        <v>0</v>
      </c>
      <c r="L21" s="109">
        <v>276</v>
      </c>
      <c r="M21" s="109">
        <v>275</v>
      </c>
      <c r="N21" s="109">
        <v>274</v>
      </c>
      <c r="O21" s="109">
        <v>0</v>
      </c>
      <c r="P21" s="109">
        <v>283</v>
      </c>
      <c r="Q21" s="109">
        <v>283</v>
      </c>
      <c r="R21" s="109">
        <v>311</v>
      </c>
      <c r="S21" s="109">
        <v>321</v>
      </c>
      <c r="T21" s="109">
        <v>316</v>
      </c>
      <c r="U21" s="109">
        <v>299</v>
      </c>
      <c r="V21" s="109">
        <v>298</v>
      </c>
      <c r="W21" s="109">
        <v>0</v>
      </c>
      <c r="X21" s="88"/>
      <c r="Y21" s="88"/>
      <c r="Z21" s="88"/>
      <c r="AA21" s="88"/>
    </row>
    <row r="22" spans="1:34" ht="13.2">
      <c r="A22" s="88"/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  <c r="AA22" s="88"/>
    </row>
    <row r="23" spans="1:34" ht="13.2">
      <c r="A23" s="88"/>
      <c r="B23" s="82" t="s">
        <v>53</v>
      </c>
      <c r="C23" s="83">
        <v>1</v>
      </c>
      <c r="D23" s="84">
        <v>2</v>
      </c>
      <c r="E23" s="84">
        <v>3</v>
      </c>
      <c r="F23" s="85">
        <v>5</v>
      </c>
      <c r="G23" s="83">
        <v>8</v>
      </c>
      <c r="H23" s="84">
        <v>9</v>
      </c>
      <c r="I23" s="84">
        <v>10</v>
      </c>
      <c r="J23" s="84">
        <v>11</v>
      </c>
      <c r="K23" s="85">
        <v>12</v>
      </c>
      <c r="L23" s="83">
        <v>15</v>
      </c>
      <c r="M23" s="84">
        <v>16</v>
      </c>
      <c r="N23" s="84">
        <v>17</v>
      </c>
      <c r="O23" s="84">
        <v>18</v>
      </c>
      <c r="P23" s="85">
        <v>19</v>
      </c>
      <c r="Q23" s="83">
        <v>22</v>
      </c>
      <c r="R23" s="84">
        <v>23</v>
      </c>
      <c r="S23" s="84">
        <v>24</v>
      </c>
      <c r="T23" s="84">
        <v>25</v>
      </c>
      <c r="U23" s="85">
        <v>26</v>
      </c>
      <c r="V23" s="83">
        <v>29</v>
      </c>
      <c r="W23" s="85">
        <v>30</v>
      </c>
      <c r="X23" s="86" t="s">
        <v>11</v>
      </c>
      <c r="Y23" s="88"/>
      <c r="Z23" s="88"/>
      <c r="AA23" s="88"/>
    </row>
    <row r="24" spans="1:34" ht="13.2">
      <c r="A24" s="88"/>
      <c r="B24" s="81" t="s">
        <v>2</v>
      </c>
      <c r="C24" s="87">
        <v>17</v>
      </c>
      <c r="D24" s="87">
        <v>17</v>
      </c>
      <c r="E24" s="87">
        <v>17</v>
      </c>
      <c r="F24" s="87">
        <v>17</v>
      </c>
      <c r="G24" s="87">
        <v>17</v>
      </c>
      <c r="H24" s="87">
        <v>17</v>
      </c>
      <c r="I24" s="87">
        <v>17</v>
      </c>
      <c r="J24" s="87">
        <v>17</v>
      </c>
      <c r="K24" s="87">
        <v>17</v>
      </c>
      <c r="L24" s="87">
        <v>17</v>
      </c>
      <c r="M24" s="87">
        <v>17</v>
      </c>
      <c r="N24" s="87">
        <v>17</v>
      </c>
      <c r="O24" s="87">
        <v>17</v>
      </c>
      <c r="P24" s="87">
        <v>17</v>
      </c>
      <c r="Q24" s="87">
        <v>17</v>
      </c>
      <c r="R24" s="87">
        <v>17</v>
      </c>
      <c r="S24" s="87">
        <v>17</v>
      </c>
      <c r="T24" s="87">
        <v>16</v>
      </c>
      <c r="U24" s="87">
        <v>15</v>
      </c>
      <c r="V24" s="87">
        <v>15</v>
      </c>
      <c r="W24" s="87">
        <v>15</v>
      </c>
      <c r="X24" s="81">
        <v>350</v>
      </c>
      <c r="Y24" s="88"/>
      <c r="Z24" s="88"/>
      <c r="AA24" s="88"/>
    </row>
    <row r="25" spans="1:34" ht="13.2">
      <c r="A25" s="88"/>
      <c r="B25" s="81" t="s">
        <v>115</v>
      </c>
      <c r="C25" s="87">
        <v>0</v>
      </c>
      <c r="D25" s="87">
        <v>0</v>
      </c>
      <c r="E25" s="87">
        <v>13</v>
      </c>
      <c r="F25" s="87">
        <v>8</v>
      </c>
      <c r="G25" s="87">
        <v>3</v>
      </c>
      <c r="H25" s="87">
        <v>33</v>
      </c>
      <c r="I25" s="87" t="s">
        <v>54</v>
      </c>
      <c r="J25" s="87" t="s">
        <v>54</v>
      </c>
      <c r="K25" s="87" t="s">
        <v>54</v>
      </c>
      <c r="L25" s="87" t="s">
        <v>54</v>
      </c>
      <c r="M25" s="87">
        <v>11</v>
      </c>
      <c r="N25" s="87" t="s">
        <v>54</v>
      </c>
      <c r="O25" s="87" t="s">
        <v>54</v>
      </c>
      <c r="P25" s="87">
        <v>3</v>
      </c>
      <c r="Q25" s="87">
        <v>40</v>
      </c>
      <c r="R25" s="87">
        <v>30</v>
      </c>
      <c r="S25" s="87">
        <v>0</v>
      </c>
      <c r="T25" s="87">
        <v>47</v>
      </c>
      <c r="U25" s="87">
        <v>54</v>
      </c>
      <c r="V25" s="87">
        <v>36</v>
      </c>
      <c r="W25" s="87">
        <v>38</v>
      </c>
      <c r="X25" s="81">
        <v>316</v>
      </c>
      <c r="Y25" s="108">
        <v>-34</v>
      </c>
      <c r="Z25" s="88"/>
      <c r="AA25" s="88"/>
    </row>
    <row r="26" spans="1:34" ht="13.2">
      <c r="A26" s="88"/>
      <c r="B26" s="90"/>
      <c r="C26" s="120"/>
      <c r="D26" s="120"/>
      <c r="E26" s="120"/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88"/>
      <c r="Y26" s="88"/>
      <c r="Z26" s="88"/>
      <c r="AA26" s="88"/>
    </row>
    <row r="27" spans="1:34" ht="13.2">
      <c r="A27" s="88"/>
      <c r="B27" s="88"/>
      <c r="C27" s="88"/>
      <c r="D27" s="88"/>
      <c r="E27" s="88"/>
      <c r="F27" s="88"/>
      <c r="G27" s="88"/>
      <c r="H27" s="88"/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280"/>
      <c r="Y27" s="280"/>
      <c r="Z27" s="88"/>
      <c r="AA27" s="88"/>
    </row>
    <row r="28" spans="1:34" ht="13.2">
      <c r="A28" s="88"/>
      <c r="B28" s="88"/>
      <c r="C28" s="88"/>
      <c r="D28" s="88"/>
      <c r="E28" s="88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  <c r="AA28" s="88"/>
    </row>
    <row r="29" spans="1:34" ht="13.2">
      <c r="A29" s="88"/>
      <c r="B29" s="88"/>
      <c r="C29" s="88"/>
      <c r="D29" s="88"/>
      <c r="E29" s="88"/>
      <c r="F29" s="88"/>
      <c r="G29" s="88"/>
      <c r="H29" s="88"/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  <c r="AA29" s="88"/>
    </row>
    <row r="30" spans="1:34" ht="13.2">
      <c r="A30" s="88"/>
      <c r="B30" s="88"/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  <c r="AA30" s="88"/>
    </row>
    <row r="31" spans="1:34" ht="13.2">
      <c r="A31" s="88"/>
      <c r="B31" s="88"/>
      <c r="C31" s="88"/>
      <c r="D31" s="88"/>
      <c r="E31" s="88"/>
      <c r="F31" s="88"/>
      <c r="G31" s="88"/>
      <c r="H31" s="88"/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  <c r="AA31" s="88"/>
    </row>
    <row r="32" spans="1:34" ht="13.2">
      <c r="A32" s="88"/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  <c r="AA32" s="88"/>
    </row>
    <row r="33" spans="1:27" ht="13.2">
      <c r="A33" s="88"/>
      <c r="B33" s="88"/>
      <c r="C33" s="88"/>
      <c r="D33" s="88"/>
      <c r="E33" s="88"/>
      <c r="F33" s="88"/>
      <c r="G33" s="88"/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  <c r="AA33" s="88"/>
    </row>
    <row r="34" spans="1:27" ht="13.2">
      <c r="A34" s="88"/>
      <c r="B34" s="88"/>
      <c r="C34" s="88"/>
      <c r="D34" s="88"/>
      <c r="E34" s="88"/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  <c r="AA34" s="88"/>
    </row>
    <row r="35" spans="1:27" ht="13.2">
      <c r="A35" s="88"/>
      <c r="B35" s="88"/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  <c r="AA35" s="88"/>
    </row>
    <row r="36" spans="1:27" ht="13.2">
      <c r="A36" s="88"/>
      <c r="B36" s="88"/>
      <c r="C36" s="88"/>
      <c r="D36" s="88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</row>
    <row r="37" spans="1:27" ht="13.2">
      <c r="A37" s="88"/>
      <c r="B37" s="88"/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  <c r="AA37" s="88"/>
    </row>
    <row r="38" spans="1:27" ht="13.2">
      <c r="A38" s="88"/>
      <c r="B38" s="88"/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  <c r="AA38" s="88"/>
    </row>
    <row r="39" spans="1:27" ht="13.2">
      <c r="A39" s="88"/>
      <c r="B39" s="88"/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  <c r="AA39" s="88"/>
    </row>
    <row r="40" spans="1:27" ht="13.2">
      <c r="A40" s="88"/>
      <c r="B40" s="88"/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</row>
    <row r="41" spans="1:27" ht="13.2">
      <c r="A41" s="88"/>
      <c r="B41" s="88"/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</row>
    <row r="42" spans="1:27" ht="13.2">
      <c r="A42" s="88"/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</row>
    <row r="43" spans="1:27" ht="13.2">
      <c r="A43" s="88"/>
      <c r="B43" s="88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</row>
    <row r="44" spans="1:27" ht="13.2">
      <c r="A44" s="88"/>
      <c r="B44" s="88"/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</row>
    <row r="45" spans="1:27" ht="13.2">
      <c r="A45" s="88"/>
      <c r="B45" s="88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88"/>
    </row>
    <row r="46" spans="1:27" ht="13.2">
      <c r="A46" s="88"/>
      <c r="B46" s="88"/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  <c r="AA46" s="88"/>
    </row>
    <row r="47" spans="1:27" ht="13.2">
      <c r="A47" s="88"/>
      <c r="B47" s="88"/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  <c r="AA47" s="88"/>
    </row>
    <row r="48" spans="1:27" ht="13.2">
      <c r="A48" s="88"/>
      <c r="B48" s="88"/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  <c r="AA48" s="88"/>
    </row>
    <row r="49" spans="1:27" ht="13.2">
      <c r="A49" s="88"/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  <c r="AA49" s="88"/>
    </row>
    <row r="50" spans="1:27" ht="13.2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  <c r="AA50" s="88"/>
    </row>
    <row r="51" spans="1:27" ht="13.2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  <c r="AA51" s="88"/>
    </row>
    <row r="52" spans="1:27" ht="13.2">
      <c r="A52" s="88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  <c r="AA52" s="88"/>
    </row>
    <row r="53" spans="1:27" ht="13.2">
      <c r="A53" s="88"/>
      <c r="B53" s="88"/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  <c r="AA53" s="88"/>
    </row>
    <row r="54" spans="1:27" ht="13.2">
      <c r="A54" s="88"/>
      <c r="B54" s="88"/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  <c r="AA54" s="88"/>
    </row>
    <row r="55" spans="1:27" ht="13.2">
      <c r="A55" s="88"/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  <c r="AA55" s="88"/>
    </row>
    <row r="56" spans="1:27" ht="13.2">
      <c r="A56" s="88"/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  <c r="AA56" s="88"/>
    </row>
    <row r="57" spans="1:27" ht="13.2">
      <c r="A57" s="88"/>
      <c r="B57" s="88"/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  <c r="AA57" s="88"/>
    </row>
    <row r="58" spans="1:27" ht="13.2">
      <c r="A58" s="88"/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  <c r="AA58" s="88"/>
    </row>
    <row r="59" spans="1:27" ht="13.2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  <c r="AA59" s="88"/>
    </row>
    <row r="60" spans="1:27" ht="13.2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  <c r="AA60" s="88"/>
    </row>
    <row r="61" spans="1:27" ht="13.2">
      <c r="A61" s="88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  <c r="AA61" s="88"/>
    </row>
    <row r="62" spans="1:27" ht="13.2">
      <c r="A62" s="88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</row>
    <row r="63" spans="1:27" ht="13.2">
      <c r="A63" s="88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  <c r="AA63" s="88"/>
    </row>
    <row r="64" spans="1:27" ht="13.2">
      <c r="A64" s="88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  <c r="AA64" s="88"/>
    </row>
    <row r="65" spans="1:27" ht="13.2">
      <c r="A65" s="88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  <c r="AA65" s="88"/>
    </row>
    <row r="66" spans="1:27" ht="13.2">
      <c r="A66" s="88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  <c r="AA66" s="88"/>
    </row>
    <row r="67" spans="1:27" ht="13.2">
      <c r="A67" s="88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  <c r="AA67" s="88"/>
    </row>
    <row r="68" spans="1:27" ht="13.2">
      <c r="A68" s="88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  <c r="AA68" s="88"/>
    </row>
    <row r="69" spans="1:27" ht="13.2">
      <c r="A69" s="88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  <c r="AA69" s="88"/>
    </row>
    <row r="70" spans="1:27" ht="13.2">
      <c r="A70" s="88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  <c r="AA70" s="88"/>
    </row>
    <row r="71" spans="1:27" ht="13.2">
      <c r="A71" s="88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  <c r="AA71" s="88"/>
    </row>
    <row r="72" spans="1:27" ht="13.2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  <c r="AA72" s="88"/>
    </row>
    <row r="73" spans="1:27" ht="13.2">
      <c r="A73" s="88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  <c r="AA73" s="88"/>
    </row>
    <row r="74" spans="1:27" ht="13.2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  <c r="AA74" s="88"/>
    </row>
    <row r="75" spans="1:27" ht="13.2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  <c r="AA75" s="88"/>
    </row>
    <row r="76" spans="1:27" ht="13.2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  <c r="AA76" s="88"/>
    </row>
    <row r="77" spans="1:27" ht="13.2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  <c r="AA77" s="88"/>
    </row>
    <row r="78" spans="1:27" ht="13.2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  <c r="AA78" s="88"/>
    </row>
    <row r="79" spans="1:27" ht="13.2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  <c r="AA79" s="88"/>
    </row>
    <row r="80" spans="1:27" ht="13.2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  <c r="AA80" s="88"/>
    </row>
    <row r="81" spans="1:27" ht="13.2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  <c r="AA81" s="88"/>
    </row>
    <row r="82" spans="1:27" ht="13.2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  <c r="AA82" s="88"/>
    </row>
    <row r="83" spans="1:27" ht="13.2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  <c r="AA83" s="88"/>
    </row>
    <row r="84" spans="1:27" ht="13.2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  <c r="AA84" s="88"/>
    </row>
    <row r="85" spans="1:27" ht="13.2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  <c r="AA85" s="88"/>
    </row>
    <row r="86" spans="1:27" ht="13.2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  <c r="AA86" s="88"/>
    </row>
    <row r="87" spans="1:27" ht="13.2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  <c r="AA87" s="88"/>
    </row>
    <row r="88" spans="1:27" ht="13.2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  <c r="AA88" s="88"/>
    </row>
    <row r="89" spans="1:27" ht="13.2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  <c r="AA89" s="88"/>
    </row>
    <row r="90" spans="1:27" ht="13.2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  <c r="AA90" s="88"/>
    </row>
    <row r="91" spans="1:27" ht="13.2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  <c r="AA91" s="88"/>
    </row>
    <row r="92" spans="1:27" ht="13.2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  <c r="AA92" s="88"/>
    </row>
    <row r="93" spans="1:27" ht="13.2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  <c r="AA93" s="88"/>
    </row>
    <row r="94" spans="1:27" ht="13.2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  <c r="AA94" s="88"/>
    </row>
    <row r="95" spans="1:27" ht="13.2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  <c r="AA95" s="88"/>
    </row>
    <row r="96" spans="1:27" ht="13.2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  <c r="AA96" s="88"/>
    </row>
    <row r="97" spans="1:27" ht="13.2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  <c r="AA97" s="88"/>
    </row>
    <row r="98" spans="1:27" ht="13.2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  <c r="AA98" s="88"/>
    </row>
    <row r="99" spans="1:27" ht="13.2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  <c r="AA99" s="88"/>
    </row>
    <row r="100" spans="1:27" ht="13.2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  <c r="AA100" s="88"/>
    </row>
    <row r="101" spans="1:27" ht="13.2">
      <c r="A101" s="88"/>
      <c r="B101" s="88"/>
      <c r="C101" s="88"/>
      <c r="D101" s="88"/>
      <c r="E101" s="88"/>
      <c r="F101" s="88"/>
      <c r="G101" s="88"/>
      <c r="H101" s="88"/>
      <c r="I101" s="88"/>
      <c r="J101" s="88"/>
      <c r="K101" s="88"/>
      <c r="L101" s="88"/>
      <c r="M101" s="88"/>
      <c r="N101" s="88"/>
      <c r="O101" s="88"/>
      <c r="P101" s="88"/>
      <c r="Q101" s="88"/>
      <c r="R101" s="88"/>
      <c r="S101" s="88"/>
      <c r="T101" s="88"/>
      <c r="U101" s="88"/>
      <c r="V101" s="88"/>
      <c r="W101" s="88"/>
      <c r="X101" s="88"/>
      <c r="Y101" s="88"/>
      <c r="Z101" s="88"/>
      <c r="AA101" s="88"/>
    </row>
    <row r="102" spans="1:27" ht="13.2">
      <c r="A102" s="88"/>
      <c r="B102" s="88"/>
      <c r="C102" s="88"/>
      <c r="D102" s="88"/>
      <c r="E102" s="88"/>
      <c r="F102" s="88"/>
      <c r="G102" s="88"/>
      <c r="H102" s="88"/>
      <c r="I102" s="88"/>
      <c r="J102" s="88"/>
      <c r="K102" s="88"/>
      <c r="L102" s="88"/>
      <c r="M102" s="88"/>
      <c r="N102" s="88"/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8"/>
      <c r="Z102" s="88"/>
      <c r="AA102" s="88"/>
    </row>
    <row r="103" spans="1:27" ht="13.2">
      <c r="A103" s="88"/>
      <c r="B103" s="88"/>
      <c r="C103" s="88"/>
      <c r="D103" s="88"/>
      <c r="E103" s="88"/>
      <c r="F103" s="88"/>
      <c r="G103" s="88"/>
      <c r="H103" s="88"/>
      <c r="I103" s="88"/>
      <c r="J103" s="88"/>
      <c r="K103" s="88"/>
      <c r="L103" s="88"/>
      <c r="M103" s="88"/>
      <c r="N103" s="88"/>
      <c r="O103" s="88"/>
      <c r="P103" s="88"/>
      <c r="Q103" s="88"/>
      <c r="R103" s="88"/>
      <c r="S103" s="88"/>
      <c r="T103" s="88"/>
      <c r="U103" s="88"/>
      <c r="V103" s="88"/>
      <c r="W103" s="88"/>
      <c r="X103" s="88"/>
      <c r="Y103" s="88"/>
      <c r="Z103" s="88"/>
      <c r="AA103" s="88"/>
    </row>
    <row r="104" spans="1:27" ht="13.2">
      <c r="A104" s="88"/>
      <c r="B104" s="88"/>
      <c r="C104" s="88"/>
      <c r="D104" s="88"/>
      <c r="E104" s="88"/>
      <c r="F104" s="88"/>
      <c r="G104" s="88"/>
      <c r="H104" s="88"/>
      <c r="I104" s="88"/>
      <c r="J104" s="88"/>
      <c r="K104" s="88"/>
      <c r="L104" s="88"/>
      <c r="M104" s="88"/>
      <c r="N104" s="88"/>
      <c r="O104" s="88"/>
      <c r="P104" s="88"/>
      <c r="Q104" s="88"/>
      <c r="R104" s="88"/>
      <c r="S104" s="88"/>
      <c r="T104" s="88"/>
      <c r="U104" s="88"/>
      <c r="V104" s="88"/>
      <c r="W104" s="88"/>
      <c r="X104" s="88"/>
      <c r="Y104" s="88"/>
      <c r="Z104" s="88"/>
      <c r="AA104" s="88"/>
    </row>
    <row r="105" spans="1:27" ht="13.2">
      <c r="A105" s="88"/>
      <c r="B105" s="88"/>
      <c r="C105" s="88"/>
      <c r="D105" s="88"/>
      <c r="E105" s="88"/>
      <c r="F105" s="88"/>
      <c r="G105" s="88"/>
      <c r="H105" s="88"/>
      <c r="I105" s="88"/>
      <c r="J105" s="88"/>
      <c r="K105" s="88"/>
      <c r="L105" s="88"/>
      <c r="M105" s="88"/>
      <c r="N105" s="88"/>
      <c r="O105" s="88"/>
      <c r="P105" s="88"/>
      <c r="Q105" s="88"/>
      <c r="R105" s="88"/>
      <c r="S105" s="88"/>
      <c r="T105" s="88"/>
      <c r="U105" s="88"/>
      <c r="V105" s="88"/>
      <c r="W105" s="88"/>
      <c r="X105" s="88"/>
      <c r="Y105" s="88"/>
      <c r="Z105" s="88"/>
      <c r="AA105" s="88"/>
    </row>
    <row r="106" spans="1:27" ht="13.2">
      <c r="A106" s="88"/>
      <c r="B106" s="88"/>
      <c r="C106" s="88"/>
      <c r="D106" s="88"/>
      <c r="E106" s="88"/>
      <c r="F106" s="88"/>
      <c r="G106" s="88"/>
      <c r="H106" s="88"/>
      <c r="I106" s="88"/>
      <c r="J106" s="88"/>
      <c r="K106" s="88"/>
      <c r="L106" s="88"/>
      <c r="M106" s="88"/>
      <c r="N106" s="88"/>
      <c r="O106" s="88"/>
      <c r="P106" s="88"/>
      <c r="Q106" s="88"/>
      <c r="R106" s="88"/>
      <c r="S106" s="88"/>
      <c r="T106" s="88"/>
      <c r="U106" s="88"/>
      <c r="V106" s="88"/>
      <c r="W106" s="88"/>
      <c r="X106" s="88"/>
      <c r="Y106" s="88"/>
      <c r="Z106" s="88"/>
      <c r="AA106" s="88"/>
    </row>
    <row r="107" spans="1:27" ht="13.2">
      <c r="A107" s="88"/>
      <c r="B107" s="88"/>
      <c r="C107" s="88"/>
      <c r="D107" s="88"/>
      <c r="E107" s="88"/>
      <c r="F107" s="88"/>
      <c r="G107" s="88"/>
      <c r="H107" s="88"/>
      <c r="I107" s="88"/>
      <c r="J107" s="88"/>
      <c r="K107" s="88"/>
      <c r="L107" s="88"/>
      <c r="M107" s="88"/>
      <c r="N107" s="88"/>
      <c r="O107" s="88"/>
      <c r="P107" s="88"/>
      <c r="Q107" s="88"/>
      <c r="R107" s="88"/>
      <c r="S107" s="88"/>
      <c r="T107" s="88"/>
      <c r="U107" s="88"/>
      <c r="V107" s="88"/>
      <c r="W107" s="88"/>
      <c r="X107" s="88"/>
      <c r="Y107" s="88"/>
      <c r="Z107" s="88"/>
      <c r="AA107" s="88"/>
    </row>
    <row r="108" spans="1:27" ht="13.2">
      <c r="A108" s="88"/>
      <c r="B108" s="88"/>
      <c r="C108" s="88"/>
      <c r="D108" s="88"/>
      <c r="E108" s="88"/>
      <c r="F108" s="88"/>
      <c r="G108" s="88"/>
      <c r="H108" s="88"/>
      <c r="I108" s="88"/>
      <c r="J108" s="88"/>
      <c r="K108" s="88"/>
      <c r="L108" s="88"/>
      <c r="M108" s="88"/>
      <c r="N108" s="88"/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8"/>
      <c r="Z108" s="88"/>
      <c r="AA108" s="88"/>
    </row>
    <row r="109" spans="1:27" ht="13.2">
      <c r="A109" s="88"/>
      <c r="B109" s="88"/>
      <c r="C109" s="88"/>
      <c r="D109" s="88"/>
      <c r="E109" s="88"/>
      <c r="F109" s="88"/>
      <c r="G109" s="88"/>
      <c r="H109" s="88"/>
      <c r="I109" s="88"/>
      <c r="J109" s="88"/>
      <c r="K109" s="88"/>
      <c r="L109" s="88"/>
      <c r="M109" s="88"/>
      <c r="N109" s="88"/>
      <c r="O109" s="88"/>
      <c r="P109" s="88"/>
      <c r="Q109" s="88"/>
      <c r="R109" s="88"/>
      <c r="S109" s="88"/>
      <c r="T109" s="88"/>
      <c r="U109" s="88"/>
      <c r="V109" s="88"/>
      <c r="W109" s="88"/>
      <c r="X109" s="88"/>
      <c r="Y109" s="88"/>
      <c r="Z109" s="88"/>
      <c r="AA109" s="88"/>
    </row>
    <row r="110" spans="1:27" ht="13.2">
      <c r="A110" s="88"/>
      <c r="B110" s="88"/>
      <c r="C110" s="88"/>
      <c r="D110" s="88"/>
      <c r="E110" s="88"/>
      <c r="F110" s="88"/>
      <c r="G110" s="88"/>
      <c r="H110" s="88"/>
      <c r="I110" s="88"/>
      <c r="J110" s="88"/>
      <c r="K110" s="88"/>
      <c r="L110" s="88"/>
      <c r="M110" s="88"/>
      <c r="N110" s="88"/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8"/>
      <c r="Z110" s="88"/>
      <c r="AA110" s="88"/>
    </row>
    <row r="111" spans="1:27" ht="13.2">
      <c r="A111" s="88"/>
      <c r="B111" s="88"/>
      <c r="C111" s="88"/>
      <c r="D111" s="88"/>
      <c r="E111" s="88"/>
      <c r="F111" s="88"/>
      <c r="G111" s="88"/>
      <c r="H111" s="88"/>
      <c r="I111" s="88"/>
      <c r="J111" s="88"/>
      <c r="K111" s="88"/>
      <c r="L111" s="88"/>
      <c r="M111" s="88"/>
      <c r="N111" s="88"/>
      <c r="O111" s="88"/>
      <c r="P111" s="88"/>
      <c r="Q111" s="88"/>
      <c r="R111" s="88"/>
      <c r="S111" s="88"/>
      <c r="T111" s="88"/>
      <c r="U111" s="88"/>
      <c r="V111" s="88"/>
      <c r="W111" s="88"/>
      <c r="X111" s="88"/>
      <c r="Y111" s="88"/>
      <c r="Z111" s="88"/>
      <c r="AA111" s="88"/>
    </row>
    <row r="112" spans="1:27" ht="13.2">
      <c r="A112" s="88"/>
      <c r="B112" s="88"/>
      <c r="C112" s="88"/>
      <c r="D112" s="88"/>
      <c r="E112" s="88"/>
      <c r="F112" s="88"/>
      <c r="G112" s="88"/>
      <c r="H112" s="88"/>
      <c r="I112" s="88"/>
      <c r="J112" s="88"/>
      <c r="K112" s="88"/>
      <c r="L112" s="88"/>
      <c r="M112" s="88"/>
      <c r="N112" s="88"/>
      <c r="O112" s="88"/>
      <c r="P112" s="88"/>
      <c r="Q112" s="88"/>
      <c r="R112" s="88"/>
      <c r="S112" s="88"/>
      <c r="T112" s="88"/>
      <c r="U112" s="88"/>
      <c r="V112" s="88"/>
      <c r="W112" s="88"/>
      <c r="X112" s="88"/>
      <c r="Y112" s="88"/>
      <c r="Z112" s="88"/>
      <c r="AA112" s="88"/>
    </row>
    <row r="113" spans="1:27" ht="13.2">
      <c r="A113" s="88"/>
      <c r="B113" s="88"/>
      <c r="C113" s="88"/>
      <c r="D113" s="88"/>
      <c r="E113" s="88"/>
      <c r="F113" s="88"/>
      <c r="G113" s="88"/>
      <c r="H113" s="88"/>
      <c r="I113" s="88"/>
      <c r="J113" s="88"/>
      <c r="K113" s="88"/>
      <c r="L113" s="88"/>
      <c r="M113" s="88"/>
      <c r="N113" s="88"/>
      <c r="O113" s="88"/>
      <c r="P113" s="88"/>
      <c r="Q113" s="88"/>
      <c r="R113" s="88"/>
      <c r="S113" s="88"/>
      <c r="T113" s="88"/>
      <c r="U113" s="88"/>
      <c r="V113" s="88"/>
      <c r="W113" s="88"/>
      <c r="X113" s="88"/>
      <c r="Y113" s="88"/>
      <c r="Z113" s="88"/>
      <c r="AA113" s="88"/>
    </row>
    <row r="114" spans="1:27" ht="13.2">
      <c r="A114" s="88"/>
      <c r="B114" s="88"/>
      <c r="C114" s="88"/>
      <c r="D114" s="88"/>
      <c r="E114" s="88"/>
      <c r="F114" s="88"/>
      <c r="G114" s="88"/>
      <c r="H114" s="88"/>
      <c r="I114" s="88"/>
      <c r="J114" s="88"/>
      <c r="K114" s="88"/>
      <c r="L114" s="88"/>
      <c r="M114" s="88"/>
      <c r="N114" s="88"/>
      <c r="O114" s="88"/>
      <c r="P114" s="88"/>
      <c r="Q114" s="88"/>
      <c r="R114" s="88"/>
      <c r="S114" s="88"/>
      <c r="T114" s="88"/>
      <c r="U114" s="88"/>
      <c r="V114" s="88"/>
      <c r="W114" s="88"/>
      <c r="X114" s="88"/>
      <c r="Y114" s="88"/>
      <c r="Z114" s="88"/>
      <c r="AA114" s="88"/>
    </row>
    <row r="115" spans="1:27" ht="13.2">
      <c r="A115" s="88"/>
      <c r="B115" s="88"/>
      <c r="C115" s="88"/>
      <c r="D115" s="88"/>
      <c r="E115" s="88"/>
      <c r="F115" s="88"/>
      <c r="G115" s="88"/>
      <c r="H115" s="88"/>
      <c r="I115" s="88"/>
      <c r="J115" s="88"/>
      <c r="K115" s="88"/>
      <c r="L115" s="88"/>
      <c r="M115" s="88"/>
      <c r="N115" s="88"/>
      <c r="O115" s="88"/>
      <c r="P115" s="88"/>
      <c r="Q115" s="88"/>
      <c r="R115" s="88"/>
      <c r="S115" s="88"/>
      <c r="T115" s="88"/>
      <c r="U115" s="88"/>
      <c r="V115" s="88"/>
      <c r="W115" s="88"/>
      <c r="X115" s="88"/>
      <c r="Y115" s="88"/>
      <c r="Z115" s="88"/>
      <c r="AA115" s="88"/>
    </row>
    <row r="116" spans="1:27" ht="13.2">
      <c r="A116" s="88"/>
      <c r="B116" s="88"/>
      <c r="C116" s="88"/>
      <c r="D116" s="88"/>
      <c r="E116" s="88"/>
      <c r="F116" s="88"/>
      <c r="G116" s="88"/>
      <c r="H116" s="88"/>
      <c r="I116" s="88"/>
      <c r="J116" s="88"/>
      <c r="K116" s="88"/>
      <c r="L116" s="88"/>
      <c r="M116" s="88"/>
      <c r="N116" s="88"/>
      <c r="O116" s="88"/>
      <c r="P116" s="88"/>
      <c r="Q116" s="88"/>
      <c r="R116" s="88"/>
      <c r="S116" s="88"/>
      <c r="T116" s="88"/>
      <c r="U116" s="88"/>
      <c r="V116" s="88"/>
      <c r="W116" s="88"/>
      <c r="X116" s="88"/>
      <c r="Y116" s="88"/>
      <c r="Z116" s="88"/>
      <c r="AA116" s="88"/>
    </row>
    <row r="117" spans="1:27" ht="13.2">
      <c r="A117" s="88"/>
      <c r="B117" s="88"/>
      <c r="C117" s="88"/>
      <c r="D117" s="88"/>
      <c r="E117" s="88"/>
      <c r="F117" s="88"/>
      <c r="G117" s="88"/>
      <c r="H117" s="88"/>
      <c r="I117" s="88"/>
      <c r="J117" s="88"/>
      <c r="K117" s="88"/>
      <c r="L117" s="88"/>
      <c r="M117" s="88"/>
      <c r="N117" s="88"/>
      <c r="O117" s="88"/>
      <c r="P117" s="88"/>
      <c r="Q117" s="88"/>
      <c r="R117" s="88"/>
      <c r="S117" s="88"/>
      <c r="T117" s="88"/>
      <c r="U117" s="88"/>
      <c r="V117" s="88"/>
      <c r="W117" s="88"/>
      <c r="X117" s="88"/>
      <c r="Y117" s="88"/>
      <c r="Z117" s="88"/>
      <c r="AA117" s="88"/>
    </row>
    <row r="118" spans="1:27" ht="13.2">
      <c r="A118" s="88"/>
      <c r="B118" s="88"/>
      <c r="C118" s="88"/>
      <c r="D118" s="88"/>
      <c r="E118" s="88"/>
      <c r="F118" s="88"/>
      <c r="G118" s="88"/>
      <c r="H118" s="88"/>
      <c r="I118" s="88"/>
      <c r="J118" s="88"/>
      <c r="K118" s="88"/>
      <c r="L118" s="88"/>
      <c r="M118" s="88"/>
      <c r="N118" s="88"/>
      <c r="O118" s="88"/>
      <c r="P118" s="88"/>
      <c r="Q118" s="88"/>
      <c r="R118" s="88"/>
      <c r="S118" s="88"/>
      <c r="T118" s="88"/>
      <c r="U118" s="88"/>
      <c r="V118" s="88"/>
      <c r="W118" s="88"/>
      <c r="X118" s="88"/>
      <c r="Y118" s="88"/>
      <c r="Z118" s="88"/>
      <c r="AA118" s="88"/>
    </row>
    <row r="119" spans="1:27" ht="13.2">
      <c r="A119" s="88"/>
      <c r="B119" s="88"/>
      <c r="C119" s="88"/>
      <c r="D119" s="88"/>
      <c r="E119" s="88"/>
      <c r="F119" s="88"/>
      <c r="G119" s="88"/>
      <c r="H119" s="88"/>
      <c r="I119" s="88"/>
      <c r="J119" s="88"/>
      <c r="K119" s="88"/>
      <c r="L119" s="88"/>
      <c r="M119" s="88"/>
      <c r="N119" s="88"/>
      <c r="O119" s="88"/>
      <c r="P119" s="88"/>
      <c r="Q119" s="88"/>
      <c r="R119" s="88"/>
      <c r="S119" s="88"/>
      <c r="T119" s="88"/>
      <c r="U119" s="88"/>
      <c r="V119" s="88"/>
      <c r="W119" s="88"/>
      <c r="X119" s="88"/>
      <c r="Y119" s="88"/>
      <c r="Z119" s="88"/>
      <c r="AA119" s="88"/>
    </row>
    <row r="120" spans="1:27" ht="13.2">
      <c r="A120" s="88"/>
      <c r="B120" s="88"/>
      <c r="C120" s="88"/>
      <c r="D120" s="88"/>
      <c r="E120" s="88"/>
      <c r="F120" s="88"/>
      <c r="G120" s="88"/>
      <c r="H120" s="88"/>
      <c r="I120" s="88"/>
      <c r="J120" s="88"/>
      <c r="K120" s="88"/>
      <c r="L120" s="88"/>
      <c r="M120" s="88"/>
      <c r="N120" s="88"/>
      <c r="O120" s="88"/>
      <c r="P120" s="88"/>
      <c r="Q120" s="88"/>
      <c r="R120" s="88"/>
      <c r="S120" s="88"/>
      <c r="T120" s="88"/>
      <c r="U120" s="88"/>
      <c r="V120" s="88"/>
      <c r="W120" s="88"/>
      <c r="X120" s="88"/>
      <c r="Y120" s="88"/>
      <c r="Z120" s="88"/>
      <c r="AA120" s="88"/>
    </row>
    <row r="121" spans="1:27" ht="13.2">
      <c r="A121" s="88"/>
      <c r="B121" s="88"/>
      <c r="C121" s="88"/>
      <c r="D121" s="88"/>
      <c r="E121" s="88"/>
      <c r="F121" s="88"/>
      <c r="G121" s="88"/>
      <c r="H121" s="88"/>
      <c r="I121" s="88"/>
      <c r="J121" s="88"/>
      <c r="K121" s="88"/>
      <c r="L121" s="88"/>
      <c r="M121" s="88"/>
      <c r="N121" s="88"/>
      <c r="O121" s="88"/>
      <c r="P121" s="88"/>
      <c r="Q121" s="88"/>
      <c r="R121" s="88"/>
      <c r="S121" s="88"/>
      <c r="T121" s="88"/>
      <c r="U121" s="88"/>
      <c r="V121" s="88"/>
      <c r="W121" s="88"/>
      <c r="X121" s="88"/>
      <c r="Y121" s="88"/>
      <c r="Z121" s="88"/>
      <c r="AA121" s="88"/>
    </row>
    <row r="122" spans="1:27" ht="13.2">
      <c r="A122" s="88"/>
      <c r="B122" s="88"/>
      <c r="C122" s="88"/>
      <c r="D122" s="88"/>
      <c r="E122" s="88"/>
      <c r="F122" s="88"/>
      <c r="G122" s="88"/>
      <c r="H122" s="88"/>
      <c r="I122" s="88"/>
      <c r="J122" s="88"/>
      <c r="K122" s="88"/>
      <c r="L122" s="88"/>
      <c r="M122" s="88"/>
      <c r="N122" s="88"/>
      <c r="O122" s="88"/>
      <c r="P122" s="88"/>
      <c r="Q122" s="88"/>
      <c r="R122" s="88"/>
      <c r="S122" s="88"/>
      <c r="T122" s="88"/>
      <c r="U122" s="88"/>
      <c r="V122" s="88"/>
      <c r="W122" s="88"/>
      <c r="X122" s="88"/>
      <c r="Y122" s="88"/>
      <c r="Z122" s="88"/>
      <c r="AA122" s="88"/>
    </row>
    <row r="123" spans="1:27" ht="13.2">
      <c r="A123" s="88"/>
      <c r="B123" s="88"/>
      <c r="C123" s="88"/>
      <c r="D123" s="88"/>
      <c r="E123" s="88"/>
      <c r="F123" s="88"/>
      <c r="G123" s="88"/>
      <c r="H123" s="88"/>
      <c r="I123" s="88"/>
      <c r="J123" s="88"/>
      <c r="K123" s="88"/>
      <c r="L123" s="88"/>
      <c r="M123" s="88"/>
      <c r="N123" s="88"/>
      <c r="O123" s="88"/>
      <c r="P123" s="88"/>
      <c r="Q123" s="88"/>
      <c r="R123" s="88"/>
      <c r="S123" s="88"/>
      <c r="T123" s="88"/>
      <c r="U123" s="88"/>
      <c r="V123" s="88"/>
      <c r="W123" s="88"/>
      <c r="X123" s="88"/>
      <c r="Y123" s="88"/>
      <c r="Z123" s="88"/>
      <c r="AA123" s="88"/>
    </row>
    <row r="124" spans="1:27" ht="13.2">
      <c r="A124" s="88"/>
      <c r="B124" s="88"/>
      <c r="C124" s="88"/>
      <c r="D124" s="88"/>
      <c r="E124" s="88"/>
      <c r="F124" s="88"/>
      <c r="G124" s="88"/>
      <c r="H124" s="88"/>
      <c r="I124" s="88"/>
      <c r="J124" s="88"/>
      <c r="K124" s="88"/>
      <c r="L124" s="88"/>
      <c r="M124" s="88"/>
      <c r="N124" s="88"/>
      <c r="O124" s="88"/>
      <c r="P124" s="88"/>
      <c r="Q124" s="88"/>
      <c r="R124" s="88"/>
      <c r="S124" s="88"/>
      <c r="T124" s="88"/>
      <c r="U124" s="88"/>
      <c r="V124" s="88"/>
      <c r="W124" s="88"/>
      <c r="X124" s="88"/>
      <c r="Y124" s="88"/>
      <c r="Z124" s="88"/>
      <c r="AA124" s="88"/>
    </row>
    <row r="125" spans="1:27" ht="13.2">
      <c r="A125" s="88"/>
      <c r="B125" s="88"/>
      <c r="C125" s="88"/>
      <c r="D125" s="88"/>
      <c r="E125" s="88"/>
      <c r="F125" s="88"/>
      <c r="G125" s="88"/>
      <c r="H125" s="88"/>
      <c r="I125" s="88"/>
      <c r="J125" s="88"/>
      <c r="K125" s="88"/>
      <c r="L125" s="88"/>
      <c r="M125" s="88"/>
      <c r="N125" s="88"/>
      <c r="O125" s="88"/>
      <c r="P125" s="88"/>
      <c r="Q125" s="88"/>
      <c r="R125" s="88"/>
      <c r="S125" s="88"/>
      <c r="T125" s="88"/>
      <c r="U125" s="88"/>
      <c r="V125" s="88"/>
      <c r="W125" s="88"/>
      <c r="X125" s="88"/>
      <c r="Y125" s="88"/>
      <c r="Z125" s="88"/>
      <c r="AA125" s="88"/>
    </row>
    <row r="126" spans="1:27" ht="13.2">
      <c r="A126" s="88"/>
      <c r="B126" s="88"/>
      <c r="C126" s="88"/>
      <c r="D126" s="88"/>
      <c r="E126" s="88"/>
      <c r="F126" s="88"/>
      <c r="G126" s="88"/>
      <c r="H126" s="88"/>
      <c r="I126" s="88"/>
      <c r="J126" s="88"/>
      <c r="K126" s="88"/>
      <c r="L126" s="88"/>
      <c r="M126" s="88"/>
      <c r="N126" s="88"/>
      <c r="O126" s="88"/>
      <c r="P126" s="88"/>
      <c r="Q126" s="88"/>
      <c r="R126" s="88"/>
      <c r="S126" s="88"/>
      <c r="T126" s="88"/>
      <c r="U126" s="88"/>
      <c r="V126" s="88"/>
      <c r="W126" s="88"/>
      <c r="X126" s="88"/>
      <c r="Y126" s="88"/>
      <c r="Z126" s="88"/>
      <c r="AA126" s="88"/>
    </row>
    <row r="127" spans="1:27" ht="13.2">
      <c r="A127" s="88"/>
      <c r="B127" s="88"/>
      <c r="C127" s="88"/>
      <c r="D127" s="88"/>
      <c r="E127" s="88"/>
      <c r="F127" s="88"/>
      <c r="G127" s="88"/>
      <c r="H127" s="88"/>
      <c r="I127" s="88"/>
      <c r="J127" s="88"/>
      <c r="K127" s="88"/>
      <c r="L127" s="88"/>
      <c r="M127" s="88"/>
      <c r="N127" s="88"/>
      <c r="O127" s="88"/>
      <c r="P127" s="88"/>
      <c r="Q127" s="88"/>
      <c r="R127" s="88"/>
      <c r="S127" s="88"/>
      <c r="T127" s="88"/>
      <c r="U127" s="88"/>
      <c r="V127" s="88"/>
      <c r="W127" s="88"/>
      <c r="X127" s="88"/>
      <c r="Y127" s="88"/>
      <c r="Z127" s="88"/>
      <c r="AA127" s="88"/>
    </row>
    <row r="128" spans="1:27" ht="13.2">
      <c r="A128" s="88"/>
      <c r="B128" s="88"/>
      <c r="C128" s="88"/>
      <c r="D128" s="88"/>
      <c r="E128" s="88"/>
      <c r="F128" s="88"/>
      <c r="G128" s="88"/>
      <c r="H128" s="88"/>
      <c r="I128" s="88"/>
      <c r="J128" s="88"/>
      <c r="K128" s="88"/>
      <c r="L128" s="88"/>
      <c r="M128" s="88"/>
      <c r="N128" s="88"/>
      <c r="O128" s="88"/>
      <c r="P128" s="88"/>
      <c r="Q128" s="88"/>
      <c r="R128" s="88"/>
      <c r="S128" s="88"/>
      <c r="T128" s="88"/>
      <c r="U128" s="88"/>
      <c r="V128" s="88"/>
      <c r="W128" s="88"/>
      <c r="X128" s="88"/>
      <c r="Y128" s="88"/>
      <c r="Z128" s="88"/>
      <c r="AA128" s="88"/>
    </row>
    <row r="129" spans="1:27" ht="13.2">
      <c r="A129" s="88"/>
      <c r="B129" s="88"/>
      <c r="C129" s="88"/>
      <c r="D129" s="88"/>
      <c r="E129" s="88"/>
      <c r="F129" s="88"/>
      <c r="G129" s="88"/>
      <c r="H129" s="88"/>
      <c r="I129" s="88"/>
      <c r="J129" s="88"/>
      <c r="K129" s="88"/>
      <c r="L129" s="88"/>
      <c r="M129" s="88"/>
      <c r="N129" s="88"/>
      <c r="O129" s="88"/>
      <c r="P129" s="88"/>
      <c r="Q129" s="88"/>
      <c r="R129" s="88"/>
      <c r="S129" s="88"/>
      <c r="T129" s="88"/>
      <c r="U129" s="88"/>
      <c r="V129" s="88"/>
      <c r="W129" s="88"/>
      <c r="X129" s="88"/>
      <c r="Y129" s="88"/>
      <c r="Z129" s="88"/>
      <c r="AA129" s="88"/>
    </row>
    <row r="130" spans="1:27" ht="13.2">
      <c r="A130" s="88"/>
      <c r="B130" s="88"/>
      <c r="C130" s="88"/>
      <c r="D130" s="88"/>
      <c r="E130" s="88"/>
      <c r="F130" s="88"/>
      <c r="G130" s="88"/>
      <c r="H130" s="88"/>
      <c r="I130" s="88"/>
      <c r="J130" s="88"/>
      <c r="K130" s="88"/>
      <c r="L130" s="88"/>
      <c r="M130" s="88"/>
      <c r="N130" s="88"/>
      <c r="O130" s="88"/>
      <c r="P130" s="88"/>
      <c r="Q130" s="88"/>
      <c r="R130" s="88"/>
      <c r="S130" s="88"/>
      <c r="T130" s="88"/>
      <c r="U130" s="88"/>
      <c r="V130" s="88"/>
      <c r="W130" s="88"/>
      <c r="X130" s="88"/>
      <c r="Y130" s="88"/>
      <c r="Z130" s="88"/>
      <c r="AA130" s="88"/>
    </row>
    <row r="131" spans="1:27" ht="13.2">
      <c r="A131" s="88"/>
      <c r="B131" s="88"/>
      <c r="C131" s="88"/>
      <c r="D131" s="88"/>
      <c r="E131" s="88"/>
      <c r="F131" s="88"/>
      <c r="G131" s="88"/>
      <c r="H131" s="88"/>
      <c r="I131" s="88"/>
      <c r="J131" s="88"/>
      <c r="K131" s="88"/>
      <c r="L131" s="88"/>
      <c r="M131" s="88"/>
      <c r="N131" s="88"/>
      <c r="O131" s="88"/>
      <c r="P131" s="88"/>
      <c r="Q131" s="88"/>
      <c r="R131" s="88"/>
      <c r="S131" s="88"/>
      <c r="T131" s="88"/>
      <c r="U131" s="88"/>
      <c r="V131" s="88"/>
      <c r="W131" s="88"/>
      <c r="X131" s="88"/>
      <c r="Y131" s="88"/>
      <c r="Z131" s="88"/>
      <c r="AA131" s="88"/>
    </row>
    <row r="132" spans="1:27" ht="13.2">
      <c r="A132" s="88"/>
      <c r="B132" s="88"/>
      <c r="C132" s="88"/>
      <c r="D132" s="88"/>
      <c r="E132" s="88"/>
      <c r="F132" s="88"/>
      <c r="G132" s="88"/>
      <c r="H132" s="88"/>
      <c r="I132" s="88"/>
      <c r="J132" s="88"/>
      <c r="K132" s="88"/>
      <c r="L132" s="88"/>
      <c r="M132" s="88"/>
      <c r="N132" s="88"/>
      <c r="O132" s="88"/>
      <c r="P132" s="88"/>
      <c r="Q132" s="88"/>
      <c r="R132" s="88"/>
      <c r="S132" s="88"/>
      <c r="T132" s="88"/>
      <c r="U132" s="88"/>
      <c r="V132" s="88"/>
      <c r="W132" s="88"/>
      <c r="X132" s="88"/>
      <c r="Y132" s="88"/>
      <c r="Z132" s="88"/>
      <c r="AA132" s="88"/>
    </row>
    <row r="133" spans="1:27" ht="13.2">
      <c r="A133" s="88"/>
      <c r="B133" s="88"/>
      <c r="C133" s="88"/>
      <c r="D133" s="88"/>
      <c r="E133" s="88"/>
      <c r="F133" s="88"/>
      <c r="G133" s="88"/>
      <c r="H133" s="88"/>
      <c r="I133" s="88"/>
      <c r="J133" s="88"/>
      <c r="K133" s="88"/>
      <c r="L133" s="88"/>
      <c r="M133" s="88"/>
      <c r="N133" s="88"/>
      <c r="O133" s="88"/>
      <c r="P133" s="88"/>
      <c r="Q133" s="88"/>
      <c r="R133" s="88"/>
      <c r="S133" s="88"/>
      <c r="T133" s="88"/>
      <c r="U133" s="88"/>
      <c r="V133" s="88"/>
      <c r="W133" s="88"/>
      <c r="X133" s="88"/>
      <c r="Y133" s="88"/>
      <c r="Z133" s="88"/>
      <c r="AA133" s="88"/>
    </row>
    <row r="134" spans="1:27" ht="13.2">
      <c r="A134" s="88"/>
      <c r="B134" s="88"/>
      <c r="C134" s="88"/>
      <c r="D134" s="88"/>
      <c r="E134" s="88"/>
      <c r="F134" s="88"/>
      <c r="G134" s="88"/>
      <c r="H134" s="88"/>
      <c r="I134" s="88"/>
      <c r="J134" s="88"/>
      <c r="K134" s="88"/>
      <c r="L134" s="88"/>
      <c r="M134" s="88"/>
      <c r="N134" s="88"/>
      <c r="O134" s="88"/>
      <c r="P134" s="88"/>
      <c r="Q134" s="88"/>
      <c r="R134" s="88"/>
      <c r="S134" s="88"/>
      <c r="T134" s="88"/>
      <c r="U134" s="88"/>
      <c r="V134" s="88"/>
      <c r="W134" s="88"/>
      <c r="X134" s="88"/>
      <c r="Y134" s="88"/>
      <c r="Z134" s="88"/>
      <c r="AA134" s="88"/>
    </row>
    <row r="135" spans="1:27" ht="13.2">
      <c r="A135" s="88"/>
      <c r="B135" s="88"/>
      <c r="C135" s="88"/>
      <c r="D135" s="88"/>
      <c r="E135" s="88"/>
      <c r="F135" s="88"/>
      <c r="G135" s="88"/>
      <c r="H135" s="88"/>
      <c r="I135" s="88"/>
      <c r="J135" s="88"/>
      <c r="K135" s="88"/>
      <c r="L135" s="88"/>
      <c r="M135" s="88"/>
      <c r="N135" s="88"/>
      <c r="O135" s="88"/>
      <c r="P135" s="88"/>
      <c r="Q135" s="88"/>
      <c r="R135" s="88"/>
      <c r="S135" s="88"/>
      <c r="T135" s="88"/>
      <c r="U135" s="88"/>
      <c r="V135" s="88"/>
      <c r="W135" s="88"/>
      <c r="X135" s="88"/>
      <c r="Y135" s="88"/>
      <c r="Z135" s="88"/>
      <c r="AA135" s="88"/>
    </row>
    <row r="136" spans="1:27" ht="13.2">
      <c r="A136" s="88"/>
      <c r="B136" s="88"/>
      <c r="C136" s="88"/>
      <c r="D136" s="88"/>
      <c r="E136" s="88"/>
      <c r="F136" s="88"/>
      <c r="G136" s="88"/>
      <c r="H136" s="88"/>
      <c r="I136" s="88"/>
      <c r="J136" s="88"/>
      <c r="K136" s="88"/>
      <c r="L136" s="88"/>
      <c r="M136" s="88"/>
      <c r="N136" s="88"/>
      <c r="O136" s="88"/>
      <c r="P136" s="88"/>
      <c r="Q136" s="88"/>
      <c r="R136" s="88"/>
      <c r="S136" s="88"/>
      <c r="T136" s="88"/>
      <c r="U136" s="88"/>
      <c r="V136" s="88"/>
      <c r="W136" s="88"/>
      <c r="X136" s="88"/>
      <c r="Y136" s="88"/>
      <c r="Z136" s="88"/>
      <c r="AA136" s="88"/>
    </row>
    <row r="137" spans="1:27" ht="13.2">
      <c r="A137" s="88"/>
      <c r="B137" s="88"/>
      <c r="C137" s="88"/>
      <c r="D137" s="88"/>
      <c r="E137" s="88"/>
      <c r="F137" s="88"/>
      <c r="G137" s="88"/>
      <c r="H137" s="88"/>
      <c r="I137" s="88"/>
      <c r="J137" s="88"/>
      <c r="K137" s="88"/>
      <c r="L137" s="88"/>
      <c r="M137" s="88"/>
      <c r="N137" s="88"/>
      <c r="O137" s="88"/>
      <c r="P137" s="88"/>
      <c r="Q137" s="88"/>
      <c r="R137" s="88"/>
      <c r="S137" s="88"/>
      <c r="T137" s="88"/>
      <c r="U137" s="88"/>
      <c r="V137" s="88"/>
      <c r="W137" s="88"/>
      <c r="X137" s="88"/>
      <c r="Y137" s="88"/>
      <c r="Z137" s="88"/>
      <c r="AA137" s="88"/>
    </row>
    <row r="138" spans="1:27" ht="13.2">
      <c r="A138" s="88"/>
      <c r="B138" s="88"/>
      <c r="C138" s="88"/>
      <c r="D138" s="88"/>
      <c r="E138" s="88"/>
      <c r="F138" s="88"/>
      <c r="G138" s="88"/>
      <c r="H138" s="88"/>
      <c r="I138" s="88"/>
      <c r="J138" s="88"/>
      <c r="K138" s="88"/>
      <c r="L138" s="88"/>
      <c r="M138" s="88"/>
      <c r="N138" s="88"/>
      <c r="O138" s="88"/>
      <c r="P138" s="88"/>
      <c r="Q138" s="88"/>
      <c r="R138" s="88"/>
      <c r="S138" s="88"/>
      <c r="T138" s="88"/>
      <c r="U138" s="88"/>
      <c r="V138" s="88"/>
      <c r="W138" s="88"/>
      <c r="X138" s="88"/>
      <c r="Y138" s="88"/>
      <c r="Z138" s="88"/>
      <c r="AA138" s="88"/>
    </row>
    <row r="139" spans="1:27" ht="13.2">
      <c r="A139" s="88"/>
      <c r="B139" s="88"/>
      <c r="C139" s="88"/>
      <c r="D139" s="88"/>
      <c r="E139" s="88"/>
      <c r="F139" s="88"/>
      <c r="G139" s="88"/>
      <c r="H139" s="88"/>
      <c r="I139" s="88"/>
      <c r="J139" s="88"/>
      <c r="K139" s="88"/>
      <c r="L139" s="88"/>
      <c r="M139" s="88"/>
      <c r="N139" s="88"/>
      <c r="O139" s="88"/>
      <c r="P139" s="88"/>
      <c r="Q139" s="88"/>
      <c r="R139" s="88"/>
      <c r="S139" s="88"/>
      <c r="T139" s="88"/>
      <c r="U139" s="88"/>
      <c r="V139" s="88"/>
      <c r="W139" s="88"/>
      <c r="X139" s="88"/>
      <c r="Y139" s="88"/>
      <c r="Z139" s="88"/>
      <c r="AA139" s="88"/>
    </row>
    <row r="140" spans="1:27" ht="13.2">
      <c r="A140" s="88"/>
      <c r="B140" s="88"/>
      <c r="C140" s="88"/>
      <c r="D140" s="88"/>
      <c r="E140" s="88"/>
      <c r="F140" s="88"/>
      <c r="G140" s="88"/>
      <c r="H140" s="88"/>
      <c r="I140" s="88"/>
      <c r="J140" s="88"/>
      <c r="K140" s="88"/>
      <c r="L140" s="88"/>
      <c r="M140" s="88"/>
      <c r="N140" s="88"/>
      <c r="O140" s="88"/>
      <c r="P140" s="88"/>
      <c r="Q140" s="88"/>
      <c r="R140" s="88"/>
      <c r="S140" s="88"/>
      <c r="T140" s="88"/>
      <c r="U140" s="88"/>
      <c r="V140" s="88"/>
      <c r="W140" s="88"/>
      <c r="X140" s="88"/>
      <c r="Y140" s="88"/>
      <c r="Z140" s="88"/>
      <c r="AA140" s="88"/>
    </row>
    <row r="141" spans="1:27" ht="13.2">
      <c r="A141" s="88"/>
      <c r="B141" s="88"/>
      <c r="C141" s="88"/>
      <c r="D141" s="88"/>
      <c r="E141" s="88"/>
      <c r="F141" s="88"/>
      <c r="G141" s="88"/>
      <c r="H141" s="88"/>
      <c r="I141" s="88"/>
      <c r="J141" s="88"/>
      <c r="K141" s="88"/>
      <c r="L141" s="88"/>
      <c r="M141" s="88"/>
      <c r="N141" s="88"/>
      <c r="O141" s="88"/>
      <c r="P141" s="88"/>
      <c r="Q141" s="88"/>
      <c r="R141" s="88"/>
      <c r="S141" s="88"/>
      <c r="T141" s="88"/>
      <c r="U141" s="88"/>
      <c r="V141" s="88"/>
      <c r="W141" s="88"/>
      <c r="X141" s="88"/>
      <c r="Y141" s="88"/>
      <c r="Z141" s="88"/>
      <c r="AA141" s="88"/>
    </row>
    <row r="142" spans="1:27" ht="13.2">
      <c r="A142" s="88"/>
      <c r="B142" s="88"/>
      <c r="C142" s="88"/>
      <c r="D142" s="88"/>
      <c r="E142" s="88"/>
      <c r="F142" s="88"/>
      <c r="G142" s="88"/>
      <c r="H142" s="88"/>
      <c r="I142" s="88"/>
      <c r="J142" s="88"/>
      <c r="K142" s="88"/>
      <c r="L142" s="88"/>
      <c r="M142" s="88"/>
      <c r="N142" s="88"/>
      <c r="O142" s="88"/>
      <c r="P142" s="88"/>
      <c r="Q142" s="88"/>
      <c r="R142" s="88"/>
      <c r="S142" s="88"/>
      <c r="T142" s="88"/>
      <c r="U142" s="88"/>
      <c r="V142" s="88"/>
      <c r="W142" s="88"/>
      <c r="X142" s="88"/>
      <c r="Y142" s="88"/>
      <c r="Z142" s="88"/>
      <c r="AA142" s="88"/>
    </row>
    <row r="143" spans="1:27" ht="13.2">
      <c r="A143" s="88"/>
      <c r="B143" s="88"/>
      <c r="C143" s="88"/>
      <c r="D143" s="88"/>
      <c r="E143" s="88"/>
      <c r="F143" s="88"/>
      <c r="G143" s="88"/>
      <c r="H143" s="88"/>
      <c r="I143" s="88"/>
      <c r="J143" s="88"/>
      <c r="K143" s="88"/>
      <c r="L143" s="88"/>
      <c r="M143" s="88"/>
      <c r="N143" s="88"/>
      <c r="O143" s="88"/>
      <c r="P143" s="88"/>
      <c r="Q143" s="88"/>
      <c r="R143" s="88"/>
      <c r="S143" s="88"/>
      <c r="T143" s="88"/>
      <c r="U143" s="88"/>
      <c r="V143" s="88"/>
      <c r="W143" s="88"/>
      <c r="X143" s="88"/>
      <c r="Y143" s="88"/>
      <c r="Z143" s="88"/>
      <c r="AA143" s="88"/>
    </row>
    <row r="144" spans="1:27" ht="13.2">
      <c r="A144" s="88"/>
      <c r="B144" s="88"/>
      <c r="C144" s="88"/>
      <c r="D144" s="88"/>
      <c r="E144" s="88"/>
      <c r="F144" s="88"/>
      <c r="G144" s="88"/>
      <c r="H144" s="88"/>
      <c r="I144" s="88"/>
      <c r="J144" s="88"/>
      <c r="K144" s="88"/>
      <c r="L144" s="88"/>
      <c r="M144" s="88"/>
      <c r="N144" s="88"/>
      <c r="O144" s="88"/>
      <c r="P144" s="88"/>
      <c r="Q144" s="88"/>
      <c r="R144" s="88"/>
      <c r="S144" s="88"/>
      <c r="T144" s="88"/>
      <c r="U144" s="88"/>
      <c r="V144" s="88"/>
      <c r="W144" s="88"/>
      <c r="X144" s="88"/>
      <c r="Y144" s="88"/>
      <c r="Z144" s="88"/>
      <c r="AA144" s="88"/>
    </row>
    <row r="145" spans="1:27" ht="13.2">
      <c r="A145" s="88"/>
      <c r="B145" s="88"/>
      <c r="C145" s="88"/>
      <c r="D145" s="88"/>
      <c r="E145" s="88"/>
      <c r="F145" s="88"/>
      <c r="G145" s="88"/>
      <c r="H145" s="88"/>
      <c r="I145" s="88"/>
      <c r="J145" s="88"/>
      <c r="K145" s="88"/>
      <c r="L145" s="88"/>
      <c r="M145" s="88"/>
      <c r="N145" s="88"/>
      <c r="O145" s="88"/>
      <c r="P145" s="88"/>
      <c r="Q145" s="88"/>
      <c r="R145" s="88"/>
      <c r="S145" s="88"/>
      <c r="T145" s="88"/>
      <c r="U145" s="88"/>
      <c r="V145" s="88"/>
      <c r="W145" s="88"/>
      <c r="X145" s="88"/>
      <c r="Y145" s="88"/>
      <c r="Z145" s="88"/>
      <c r="AA145" s="88"/>
    </row>
    <row r="146" spans="1:27" ht="13.2">
      <c r="A146" s="88"/>
      <c r="B146" s="88"/>
      <c r="C146" s="88"/>
      <c r="D146" s="88"/>
      <c r="E146" s="88"/>
      <c r="F146" s="88"/>
      <c r="G146" s="88"/>
      <c r="H146" s="88"/>
      <c r="I146" s="88"/>
      <c r="J146" s="88"/>
      <c r="K146" s="88"/>
      <c r="L146" s="88"/>
      <c r="M146" s="88"/>
      <c r="N146" s="88"/>
      <c r="O146" s="88"/>
      <c r="P146" s="88"/>
      <c r="Q146" s="88"/>
      <c r="R146" s="88"/>
      <c r="S146" s="88"/>
      <c r="T146" s="88"/>
      <c r="U146" s="88"/>
      <c r="V146" s="88"/>
      <c r="W146" s="88"/>
      <c r="X146" s="88"/>
      <c r="Y146" s="88"/>
      <c r="Z146" s="88"/>
      <c r="AA146" s="88"/>
    </row>
    <row r="147" spans="1:27" ht="13.2">
      <c r="A147" s="88"/>
      <c r="B147" s="88"/>
      <c r="C147" s="88"/>
      <c r="D147" s="88"/>
      <c r="E147" s="88"/>
      <c r="F147" s="88"/>
      <c r="G147" s="88"/>
      <c r="H147" s="88"/>
      <c r="I147" s="88"/>
      <c r="J147" s="88"/>
      <c r="K147" s="88"/>
      <c r="L147" s="88"/>
      <c r="M147" s="88"/>
      <c r="N147" s="88"/>
      <c r="O147" s="88"/>
      <c r="P147" s="88"/>
      <c r="Q147" s="88"/>
      <c r="R147" s="88"/>
      <c r="S147" s="88"/>
      <c r="T147" s="88"/>
      <c r="U147" s="88"/>
      <c r="V147" s="88"/>
      <c r="W147" s="88"/>
      <c r="X147" s="88"/>
      <c r="Y147" s="88"/>
      <c r="Z147" s="88"/>
      <c r="AA147" s="88"/>
    </row>
    <row r="148" spans="1:27" ht="13.2">
      <c r="A148" s="88"/>
      <c r="B148" s="88"/>
      <c r="C148" s="88"/>
      <c r="D148" s="88"/>
      <c r="E148" s="88"/>
      <c r="F148" s="88"/>
      <c r="G148" s="88"/>
      <c r="H148" s="88"/>
      <c r="I148" s="88"/>
      <c r="J148" s="88"/>
      <c r="K148" s="88"/>
      <c r="L148" s="88"/>
      <c r="M148" s="88"/>
      <c r="N148" s="88"/>
      <c r="O148" s="88"/>
      <c r="P148" s="88"/>
      <c r="Q148" s="88"/>
      <c r="R148" s="88"/>
      <c r="S148" s="88"/>
      <c r="T148" s="88"/>
      <c r="U148" s="88"/>
      <c r="V148" s="88"/>
      <c r="W148" s="88"/>
      <c r="X148" s="88"/>
      <c r="Y148" s="88"/>
      <c r="Z148" s="88"/>
      <c r="AA148" s="88"/>
    </row>
    <row r="149" spans="1:27" ht="13.2">
      <c r="A149" s="88"/>
      <c r="B149" s="88"/>
      <c r="C149" s="88"/>
      <c r="D149" s="88"/>
      <c r="E149" s="88"/>
      <c r="F149" s="88"/>
      <c r="G149" s="88"/>
      <c r="H149" s="88"/>
      <c r="I149" s="88"/>
      <c r="J149" s="88"/>
      <c r="K149" s="88"/>
      <c r="L149" s="88"/>
      <c r="M149" s="88"/>
      <c r="N149" s="88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8"/>
      <c r="Z149" s="88"/>
      <c r="AA149" s="88"/>
    </row>
    <row r="150" spans="1:27" ht="13.2">
      <c r="A150" s="88"/>
      <c r="B150" s="88"/>
      <c r="C150" s="88"/>
      <c r="D150" s="88"/>
      <c r="E150" s="88"/>
      <c r="F150" s="88"/>
      <c r="G150" s="88"/>
      <c r="H150" s="88"/>
      <c r="I150" s="88"/>
      <c r="J150" s="88"/>
      <c r="K150" s="88"/>
      <c r="L150" s="88"/>
      <c r="M150" s="88"/>
      <c r="N150" s="88"/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8"/>
      <c r="Z150" s="88"/>
      <c r="AA150" s="88"/>
    </row>
    <row r="151" spans="1:27" ht="13.2">
      <c r="A151" s="88"/>
      <c r="B151" s="88"/>
      <c r="C151" s="88"/>
      <c r="D151" s="88"/>
      <c r="E151" s="88"/>
      <c r="F151" s="88"/>
      <c r="G151" s="88"/>
      <c r="H151" s="88"/>
      <c r="I151" s="88"/>
      <c r="J151" s="88"/>
      <c r="K151" s="88"/>
      <c r="L151" s="88"/>
      <c r="M151" s="88"/>
      <c r="N151" s="88"/>
      <c r="O151" s="88"/>
      <c r="P151" s="88"/>
      <c r="Q151" s="88"/>
      <c r="R151" s="88"/>
      <c r="S151" s="88"/>
      <c r="T151" s="88"/>
      <c r="U151" s="88"/>
      <c r="V151" s="88"/>
      <c r="W151" s="88"/>
      <c r="X151" s="88"/>
      <c r="Y151" s="88"/>
      <c r="Z151" s="88"/>
      <c r="AA151" s="88"/>
    </row>
    <row r="152" spans="1:27" ht="13.2">
      <c r="A152" s="88"/>
      <c r="B152" s="88"/>
      <c r="C152" s="88"/>
      <c r="D152" s="88"/>
      <c r="E152" s="88"/>
      <c r="F152" s="88"/>
      <c r="G152" s="88"/>
      <c r="H152" s="88"/>
      <c r="I152" s="88"/>
      <c r="J152" s="88"/>
      <c r="K152" s="88"/>
      <c r="L152" s="88"/>
      <c r="M152" s="88"/>
      <c r="N152" s="88"/>
      <c r="O152" s="88"/>
      <c r="P152" s="88"/>
      <c r="Q152" s="88"/>
      <c r="R152" s="88"/>
      <c r="S152" s="88"/>
      <c r="T152" s="88"/>
      <c r="U152" s="88"/>
      <c r="V152" s="88"/>
      <c r="W152" s="88"/>
      <c r="X152" s="88"/>
      <c r="Y152" s="88"/>
      <c r="Z152" s="88"/>
      <c r="AA152" s="88"/>
    </row>
    <row r="153" spans="1:27" ht="13.2">
      <c r="A153" s="88"/>
      <c r="B153" s="88"/>
      <c r="C153" s="88"/>
      <c r="D153" s="88"/>
      <c r="E153" s="88"/>
      <c r="F153" s="88"/>
      <c r="G153" s="88"/>
      <c r="H153" s="88"/>
      <c r="I153" s="88"/>
      <c r="J153" s="88"/>
      <c r="K153" s="88"/>
      <c r="L153" s="88"/>
      <c r="M153" s="88"/>
      <c r="N153" s="88"/>
      <c r="O153" s="88"/>
      <c r="P153" s="88"/>
      <c r="Q153" s="88"/>
      <c r="R153" s="88"/>
      <c r="S153" s="88"/>
      <c r="T153" s="88"/>
      <c r="U153" s="88"/>
      <c r="V153" s="88"/>
      <c r="W153" s="88"/>
      <c r="X153" s="88"/>
      <c r="Y153" s="88"/>
      <c r="Z153" s="88"/>
      <c r="AA153" s="88"/>
    </row>
    <row r="154" spans="1:27" ht="13.2">
      <c r="A154" s="88"/>
      <c r="B154" s="88"/>
      <c r="C154" s="88"/>
      <c r="D154" s="88"/>
      <c r="E154" s="88"/>
      <c r="F154" s="88"/>
      <c r="G154" s="88"/>
      <c r="H154" s="88"/>
      <c r="I154" s="88"/>
      <c r="J154" s="88"/>
      <c r="K154" s="88"/>
      <c r="L154" s="88"/>
      <c r="M154" s="88"/>
      <c r="N154" s="88"/>
      <c r="O154" s="88"/>
      <c r="P154" s="88"/>
      <c r="Q154" s="88"/>
      <c r="R154" s="88"/>
      <c r="S154" s="88"/>
      <c r="T154" s="88"/>
      <c r="U154" s="88"/>
      <c r="V154" s="88"/>
      <c r="W154" s="88"/>
      <c r="X154" s="88"/>
      <c r="Y154" s="88"/>
      <c r="Z154" s="88"/>
      <c r="AA154" s="88"/>
    </row>
    <row r="155" spans="1:27" ht="13.2">
      <c r="A155" s="88"/>
      <c r="B155" s="88"/>
      <c r="C155" s="88"/>
      <c r="D155" s="88"/>
      <c r="E155" s="88"/>
      <c r="F155" s="88"/>
      <c r="G155" s="88"/>
      <c r="H155" s="88"/>
      <c r="I155" s="88"/>
      <c r="J155" s="88"/>
      <c r="K155" s="88"/>
      <c r="L155" s="88"/>
      <c r="M155" s="88"/>
      <c r="N155" s="88"/>
      <c r="O155" s="88"/>
      <c r="P155" s="88"/>
      <c r="Q155" s="88"/>
      <c r="R155" s="88"/>
      <c r="S155" s="88"/>
      <c r="T155" s="88"/>
      <c r="U155" s="88"/>
      <c r="V155" s="88"/>
      <c r="W155" s="88"/>
      <c r="X155" s="88"/>
      <c r="Y155" s="88"/>
      <c r="Z155" s="88"/>
      <c r="AA155" s="88"/>
    </row>
    <row r="156" spans="1:27" ht="13.2">
      <c r="A156" s="88"/>
      <c r="B156" s="88"/>
      <c r="C156" s="88"/>
      <c r="D156" s="88"/>
      <c r="E156" s="88"/>
      <c r="F156" s="88"/>
      <c r="G156" s="88"/>
      <c r="H156" s="88"/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</row>
    <row r="157" spans="1:27" ht="13.2">
      <c r="A157" s="88"/>
      <c r="B157" s="88"/>
      <c r="C157" s="88"/>
      <c r="D157" s="88"/>
      <c r="E157" s="88"/>
      <c r="F157" s="88"/>
      <c r="G157" s="88"/>
      <c r="H157" s="88"/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</row>
    <row r="158" spans="1:27" ht="13.2">
      <c r="A158" s="88"/>
      <c r="B158" s="88"/>
      <c r="C158" s="88"/>
      <c r="D158" s="88"/>
      <c r="E158" s="88"/>
      <c r="F158" s="88"/>
      <c r="G158" s="88"/>
      <c r="H158" s="88"/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</row>
    <row r="159" spans="1:27" ht="13.2">
      <c r="A159" s="88"/>
      <c r="B159" s="88"/>
      <c r="C159" s="88"/>
      <c r="D159" s="88"/>
      <c r="E159" s="88"/>
      <c r="F159" s="88"/>
      <c r="G159" s="88"/>
      <c r="H159" s="88"/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</row>
    <row r="160" spans="1:27" ht="13.2">
      <c r="A160" s="88"/>
      <c r="B160" s="88"/>
      <c r="C160" s="88"/>
      <c r="D160" s="88"/>
      <c r="E160" s="88"/>
      <c r="F160" s="88"/>
      <c r="G160" s="88"/>
      <c r="H160" s="88"/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</row>
    <row r="161" spans="1:27" ht="13.2">
      <c r="A161" s="88"/>
      <c r="B161" s="88"/>
      <c r="C161" s="88"/>
      <c r="D161" s="88"/>
      <c r="E161" s="88"/>
      <c r="F161" s="88"/>
      <c r="G161" s="88"/>
      <c r="H161" s="88"/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</row>
    <row r="162" spans="1:27" ht="13.2">
      <c r="A162" s="88"/>
      <c r="B162" s="88"/>
      <c r="C162" s="88"/>
      <c r="D162" s="88"/>
      <c r="E162" s="88"/>
      <c r="F162" s="88"/>
      <c r="G162" s="88"/>
      <c r="H162" s="88"/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</row>
    <row r="163" spans="1:27" ht="13.2">
      <c r="A163" s="88"/>
      <c r="B163" s="88"/>
      <c r="C163" s="88"/>
      <c r="D163" s="88"/>
      <c r="E163" s="88"/>
      <c r="F163" s="88"/>
      <c r="G163" s="88"/>
      <c r="H163" s="88"/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</row>
    <row r="164" spans="1:27" ht="13.2">
      <c r="A164" s="88"/>
      <c r="B164" s="88"/>
      <c r="C164" s="88"/>
      <c r="D164" s="88"/>
      <c r="E164" s="88"/>
      <c r="F164" s="88"/>
      <c r="G164" s="88"/>
      <c r="H164" s="88"/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</row>
    <row r="165" spans="1:27" ht="13.2">
      <c r="A165" s="88"/>
      <c r="B165" s="88"/>
      <c r="C165" s="88"/>
      <c r="D165" s="88"/>
      <c r="E165" s="88"/>
      <c r="F165" s="88"/>
      <c r="G165" s="88"/>
      <c r="H165" s="88"/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</row>
    <row r="166" spans="1:27" ht="13.2">
      <c r="A166" s="88"/>
      <c r="B166" s="88"/>
      <c r="C166" s="88"/>
      <c r="D166" s="88"/>
      <c r="E166" s="88"/>
      <c r="F166" s="88"/>
      <c r="G166" s="88"/>
      <c r="H166" s="88"/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</row>
    <row r="167" spans="1:27" ht="13.2">
      <c r="A167" s="88"/>
      <c r="B167" s="88"/>
      <c r="C167" s="88"/>
      <c r="D167" s="88"/>
      <c r="E167" s="88"/>
      <c r="F167" s="88"/>
      <c r="G167" s="88"/>
      <c r="H167" s="88"/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</row>
    <row r="168" spans="1:27" ht="13.2">
      <c r="A168" s="88"/>
      <c r="B168" s="88"/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</row>
    <row r="169" spans="1:27" ht="13.2">
      <c r="A169" s="88"/>
      <c r="B169" s="88"/>
      <c r="C169" s="88"/>
      <c r="D169" s="88"/>
      <c r="E169" s="88"/>
      <c r="F169" s="88"/>
      <c r="G169" s="88"/>
      <c r="H169" s="88"/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88"/>
    </row>
    <row r="170" spans="1:27" ht="13.2">
      <c r="A170" s="88"/>
      <c r="B170" s="88"/>
      <c r="C170" s="88"/>
      <c r="D170" s="88"/>
      <c r="E170" s="88"/>
      <c r="F170" s="88"/>
      <c r="G170" s="88"/>
      <c r="H170" s="88"/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88"/>
    </row>
    <row r="171" spans="1:27" ht="13.2">
      <c r="A171" s="88"/>
      <c r="B171" s="88"/>
      <c r="C171" s="88"/>
      <c r="D171" s="88"/>
      <c r="E171" s="88"/>
      <c r="F171" s="88"/>
      <c r="G171" s="88"/>
      <c r="H171" s="88"/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  <c r="AA171" s="88"/>
    </row>
    <row r="172" spans="1:27" ht="13.2">
      <c r="A172" s="88"/>
      <c r="B172" s="88"/>
      <c r="C172" s="88"/>
      <c r="D172" s="88"/>
      <c r="E172" s="88"/>
      <c r="F172" s="88"/>
      <c r="G172" s="88"/>
      <c r="H172" s="88"/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  <c r="AA172" s="88"/>
    </row>
    <row r="173" spans="1:27" ht="13.2">
      <c r="A173" s="88"/>
      <c r="B173" s="88"/>
      <c r="C173" s="88"/>
      <c r="D173" s="88"/>
      <c r="E173" s="88"/>
      <c r="F173" s="88"/>
      <c r="G173" s="88"/>
      <c r="H173" s="88"/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</row>
    <row r="174" spans="1:27" ht="13.2">
      <c r="A174" s="88"/>
      <c r="B174" s="88"/>
      <c r="C174" s="88"/>
      <c r="D174" s="88"/>
      <c r="E174" s="88"/>
      <c r="F174" s="88"/>
      <c r="G174" s="88"/>
      <c r="H174" s="88"/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</row>
    <row r="175" spans="1:27" ht="13.2">
      <c r="A175" s="88"/>
      <c r="B175" s="88"/>
      <c r="C175" s="88"/>
      <c r="D175" s="88"/>
      <c r="E175" s="88"/>
      <c r="F175" s="88"/>
      <c r="G175" s="88"/>
      <c r="H175" s="88"/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/>
    </row>
    <row r="176" spans="1:27" ht="13.2">
      <c r="A176" s="88"/>
      <c r="B176" s="88"/>
      <c r="C176" s="88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</row>
    <row r="177" spans="1:27" ht="13.2">
      <c r="A177" s="88"/>
      <c r="B177" s="88"/>
      <c r="C177" s="88"/>
      <c r="D177" s="88"/>
      <c r="E177" s="88"/>
      <c r="F177" s="88"/>
      <c r="G177" s="88"/>
      <c r="H177" s="88"/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88"/>
    </row>
    <row r="178" spans="1:27" ht="13.2">
      <c r="A178" s="88"/>
      <c r="B178" s="88"/>
      <c r="C178" s="88"/>
      <c r="D178" s="88"/>
      <c r="E178" s="88"/>
      <c r="F178" s="88"/>
      <c r="G178" s="88"/>
      <c r="H178" s="88"/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88"/>
    </row>
    <row r="179" spans="1:27" ht="13.2">
      <c r="A179" s="88"/>
      <c r="B179" s="88"/>
      <c r="C179" s="88"/>
      <c r="D179" s="88"/>
      <c r="E179" s="88"/>
      <c r="F179" s="88"/>
      <c r="G179" s="88"/>
      <c r="H179" s="88"/>
      <c r="I179" s="88"/>
      <c r="J179" s="88"/>
      <c r="K179" s="88"/>
      <c r="L179" s="88"/>
      <c r="M179" s="88"/>
      <c r="N179" s="88"/>
      <c r="O179" s="88"/>
      <c r="P179" s="88"/>
      <c r="Q179" s="88"/>
      <c r="R179" s="88"/>
      <c r="S179" s="88"/>
      <c r="T179" s="88"/>
      <c r="U179" s="88"/>
      <c r="V179" s="88"/>
      <c r="W179" s="88"/>
      <c r="X179" s="88"/>
      <c r="Y179" s="88"/>
      <c r="Z179" s="88"/>
      <c r="AA179" s="88"/>
    </row>
    <row r="180" spans="1:27" ht="13.2">
      <c r="A180" s="88"/>
      <c r="B180" s="88"/>
      <c r="C180" s="88"/>
      <c r="D180" s="88"/>
      <c r="E180" s="88"/>
      <c r="F180" s="88"/>
      <c r="G180" s="88"/>
      <c r="H180" s="88"/>
      <c r="I180" s="88"/>
      <c r="J180" s="88"/>
      <c r="K180" s="88"/>
      <c r="L180" s="88"/>
      <c r="M180" s="88"/>
      <c r="N180" s="88"/>
      <c r="O180" s="88"/>
      <c r="P180" s="88"/>
      <c r="Q180" s="88"/>
      <c r="R180" s="88"/>
      <c r="S180" s="88"/>
      <c r="T180" s="88"/>
      <c r="U180" s="88"/>
      <c r="V180" s="88"/>
      <c r="W180" s="88"/>
      <c r="X180" s="88"/>
      <c r="Y180" s="88"/>
      <c r="Z180" s="88"/>
      <c r="AA180" s="88"/>
    </row>
    <row r="181" spans="1:27" ht="13.2">
      <c r="A181" s="88"/>
      <c r="B181" s="88"/>
      <c r="C181" s="88"/>
      <c r="D181" s="88"/>
      <c r="E181" s="88"/>
      <c r="F181" s="88"/>
      <c r="G181" s="88"/>
      <c r="H181" s="88"/>
      <c r="I181" s="88"/>
      <c r="J181" s="88"/>
      <c r="K181" s="88"/>
      <c r="L181" s="88"/>
      <c r="M181" s="88"/>
      <c r="N181" s="88"/>
      <c r="O181" s="88"/>
      <c r="P181" s="88"/>
      <c r="Q181" s="88"/>
      <c r="R181" s="88"/>
      <c r="S181" s="88"/>
      <c r="T181" s="88"/>
      <c r="U181" s="88"/>
      <c r="V181" s="88"/>
      <c r="W181" s="88"/>
      <c r="X181" s="88"/>
      <c r="Y181" s="88"/>
      <c r="Z181" s="88"/>
      <c r="AA181" s="88"/>
    </row>
    <row r="182" spans="1:27" ht="13.2">
      <c r="A182" s="88"/>
      <c r="B182" s="88"/>
      <c r="C182" s="88"/>
      <c r="D182" s="88"/>
      <c r="E182" s="88"/>
      <c r="F182" s="88"/>
      <c r="G182" s="88"/>
      <c r="H182" s="88"/>
      <c r="I182" s="88"/>
      <c r="J182" s="88"/>
      <c r="K182" s="88"/>
      <c r="L182" s="88"/>
      <c r="M182" s="88"/>
      <c r="N182" s="88"/>
      <c r="O182" s="88"/>
      <c r="P182" s="88"/>
      <c r="Q182" s="88"/>
      <c r="R182" s="88"/>
      <c r="S182" s="88"/>
      <c r="T182" s="88"/>
      <c r="U182" s="88"/>
      <c r="V182" s="88"/>
      <c r="W182" s="88"/>
      <c r="X182" s="88"/>
      <c r="Y182" s="88"/>
      <c r="Z182" s="88"/>
      <c r="AA182" s="88"/>
    </row>
    <row r="183" spans="1:27" ht="13.2">
      <c r="A183" s="88"/>
      <c r="B183" s="88"/>
      <c r="C183" s="88"/>
      <c r="D183" s="88"/>
      <c r="E183" s="88"/>
      <c r="F183" s="88"/>
      <c r="G183" s="88"/>
      <c r="H183" s="88"/>
      <c r="I183" s="88"/>
      <c r="J183" s="88"/>
      <c r="K183" s="88"/>
      <c r="L183" s="88"/>
      <c r="M183" s="88"/>
      <c r="N183" s="88"/>
      <c r="O183" s="88"/>
      <c r="P183" s="88"/>
      <c r="Q183" s="88"/>
      <c r="R183" s="88"/>
      <c r="S183" s="88"/>
      <c r="T183" s="88"/>
      <c r="U183" s="88"/>
      <c r="V183" s="88"/>
      <c r="W183" s="88"/>
      <c r="X183" s="88"/>
      <c r="Y183" s="88"/>
      <c r="Z183" s="88"/>
      <c r="AA183" s="88"/>
    </row>
    <row r="184" spans="1:27" ht="13.2">
      <c r="A184" s="88"/>
      <c r="B184" s="88"/>
      <c r="C184" s="88"/>
      <c r="D184" s="88"/>
      <c r="E184" s="88"/>
      <c r="F184" s="88"/>
      <c r="G184" s="88"/>
      <c r="H184" s="88"/>
      <c r="I184" s="88"/>
      <c r="J184" s="88"/>
      <c r="K184" s="88"/>
      <c r="L184" s="88"/>
      <c r="M184" s="88"/>
      <c r="N184" s="88"/>
      <c r="O184" s="88"/>
      <c r="P184" s="88"/>
      <c r="Q184" s="88"/>
      <c r="R184" s="88"/>
      <c r="S184" s="88"/>
      <c r="T184" s="88"/>
      <c r="U184" s="88"/>
      <c r="V184" s="88"/>
      <c r="W184" s="88"/>
      <c r="X184" s="88"/>
      <c r="Y184" s="88"/>
      <c r="Z184" s="88"/>
      <c r="AA184" s="88"/>
    </row>
    <row r="185" spans="1:27" ht="13.2">
      <c r="A185" s="88"/>
      <c r="B185" s="88"/>
      <c r="C185" s="88"/>
      <c r="D185" s="88"/>
      <c r="E185" s="88"/>
      <c r="F185" s="88"/>
      <c r="G185" s="88"/>
      <c r="H185" s="88"/>
      <c r="I185" s="88"/>
      <c r="J185" s="88"/>
      <c r="K185" s="88"/>
      <c r="L185" s="88"/>
      <c r="M185" s="88"/>
      <c r="N185" s="88"/>
      <c r="O185" s="88"/>
      <c r="P185" s="88"/>
      <c r="Q185" s="88"/>
      <c r="R185" s="88"/>
      <c r="S185" s="88"/>
      <c r="T185" s="88"/>
      <c r="U185" s="88"/>
      <c r="V185" s="88"/>
      <c r="W185" s="88"/>
      <c r="X185" s="88"/>
      <c r="Y185" s="88"/>
      <c r="Z185" s="88"/>
      <c r="AA185" s="88"/>
    </row>
    <row r="186" spans="1:27" ht="13.2">
      <c r="A186" s="88"/>
      <c r="B186" s="88"/>
      <c r="C186" s="88"/>
      <c r="D186" s="88"/>
      <c r="E186" s="88"/>
      <c r="F186" s="88"/>
      <c r="G186" s="88"/>
      <c r="H186" s="88"/>
      <c r="I186" s="88"/>
      <c r="J186" s="88"/>
      <c r="K186" s="88"/>
      <c r="L186" s="88"/>
      <c r="M186" s="88"/>
      <c r="N186" s="88"/>
      <c r="O186" s="88"/>
      <c r="P186" s="88"/>
      <c r="Q186" s="88"/>
      <c r="R186" s="88"/>
      <c r="S186" s="88"/>
      <c r="T186" s="88"/>
      <c r="U186" s="88"/>
      <c r="V186" s="88"/>
      <c r="W186" s="88"/>
      <c r="X186" s="88"/>
      <c r="Y186" s="88"/>
      <c r="Z186" s="88"/>
      <c r="AA186" s="88"/>
    </row>
    <row r="187" spans="1:27" ht="13.2">
      <c r="A187" s="88"/>
      <c r="B187" s="88"/>
      <c r="C187" s="88"/>
      <c r="D187" s="88"/>
      <c r="E187" s="88"/>
      <c r="F187" s="88"/>
      <c r="G187" s="88"/>
      <c r="H187" s="88"/>
      <c r="I187" s="88"/>
      <c r="J187" s="88"/>
      <c r="K187" s="88"/>
      <c r="L187" s="88"/>
      <c r="M187" s="88"/>
      <c r="N187" s="88"/>
      <c r="O187" s="88"/>
      <c r="P187" s="88"/>
      <c r="Q187" s="88"/>
      <c r="R187" s="88"/>
      <c r="S187" s="88"/>
      <c r="T187" s="88"/>
      <c r="U187" s="88"/>
      <c r="V187" s="88"/>
      <c r="W187" s="88"/>
      <c r="X187" s="88"/>
      <c r="Y187" s="88"/>
      <c r="Z187" s="88"/>
      <c r="AA187" s="88"/>
    </row>
    <row r="188" spans="1:27" ht="13.2">
      <c r="A188" s="88"/>
      <c r="B188" s="88"/>
      <c r="C188" s="88"/>
      <c r="D188" s="88"/>
      <c r="E188" s="88"/>
      <c r="F188" s="88"/>
      <c r="G188" s="88"/>
      <c r="H188" s="88"/>
      <c r="I188" s="88"/>
      <c r="J188" s="88"/>
      <c r="K188" s="88"/>
      <c r="L188" s="88"/>
      <c r="M188" s="88"/>
      <c r="N188" s="88"/>
      <c r="O188" s="88"/>
      <c r="P188" s="88"/>
      <c r="Q188" s="88"/>
      <c r="R188" s="88"/>
      <c r="S188" s="88"/>
      <c r="T188" s="88"/>
      <c r="U188" s="88"/>
      <c r="V188" s="88"/>
      <c r="W188" s="88"/>
      <c r="X188" s="88"/>
      <c r="Y188" s="88"/>
      <c r="Z188" s="88"/>
      <c r="AA188" s="88"/>
    </row>
    <row r="189" spans="1:27" ht="13.2">
      <c r="A189" s="88"/>
      <c r="B189" s="88"/>
      <c r="C189" s="88"/>
      <c r="D189" s="88"/>
      <c r="E189" s="88"/>
      <c r="F189" s="88"/>
      <c r="G189" s="88"/>
      <c r="H189" s="88"/>
      <c r="I189" s="88"/>
      <c r="J189" s="88"/>
      <c r="K189" s="88"/>
      <c r="L189" s="88"/>
      <c r="M189" s="88"/>
      <c r="N189" s="88"/>
      <c r="O189" s="88"/>
      <c r="P189" s="88"/>
      <c r="Q189" s="88"/>
      <c r="R189" s="88"/>
      <c r="S189" s="88"/>
      <c r="T189" s="88"/>
      <c r="U189" s="88"/>
      <c r="V189" s="88"/>
      <c r="W189" s="88"/>
      <c r="X189" s="88"/>
      <c r="Y189" s="88"/>
      <c r="Z189" s="88"/>
      <c r="AA189" s="88"/>
    </row>
    <row r="190" spans="1:27" ht="13.2">
      <c r="A190" s="88"/>
      <c r="B190" s="88"/>
      <c r="C190" s="88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  <c r="O190" s="88"/>
      <c r="P190" s="88"/>
      <c r="Q190" s="88"/>
      <c r="R190" s="88"/>
      <c r="S190" s="88"/>
      <c r="T190" s="88"/>
      <c r="U190" s="88"/>
      <c r="V190" s="88"/>
      <c r="W190" s="88"/>
      <c r="X190" s="88"/>
      <c r="Y190" s="88"/>
      <c r="Z190" s="88"/>
      <c r="AA190" s="88"/>
    </row>
    <row r="191" spans="1:27" ht="13.2">
      <c r="A191" s="88"/>
      <c r="B191" s="88"/>
      <c r="C191" s="88"/>
      <c r="D191" s="88"/>
      <c r="E191" s="88"/>
      <c r="F191" s="88"/>
      <c r="G191" s="88"/>
      <c r="H191" s="88"/>
      <c r="I191" s="88"/>
      <c r="J191" s="88"/>
      <c r="K191" s="88"/>
      <c r="L191" s="88"/>
      <c r="M191" s="88"/>
      <c r="N191" s="88"/>
      <c r="O191" s="88"/>
      <c r="P191" s="88"/>
      <c r="Q191" s="88"/>
      <c r="R191" s="88"/>
      <c r="S191" s="88"/>
      <c r="T191" s="88"/>
      <c r="U191" s="88"/>
      <c r="V191" s="88"/>
      <c r="W191" s="88"/>
      <c r="X191" s="88"/>
      <c r="Y191" s="88"/>
      <c r="Z191" s="88"/>
      <c r="AA191" s="88"/>
    </row>
    <row r="192" spans="1:27" ht="13.2">
      <c r="A192" s="88"/>
      <c r="B192" s="88"/>
      <c r="C192" s="88"/>
      <c r="D192" s="88"/>
      <c r="E192" s="88"/>
      <c r="F192" s="88"/>
      <c r="G192" s="88"/>
      <c r="H192" s="88"/>
      <c r="I192" s="88"/>
      <c r="J192" s="88"/>
      <c r="K192" s="88"/>
      <c r="L192" s="88"/>
      <c r="M192" s="88"/>
      <c r="N192" s="88"/>
      <c r="O192" s="88"/>
      <c r="P192" s="88"/>
      <c r="Q192" s="88"/>
      <c r="R192" s="88"/>
      <c r="S192" s="88"/>
      <c r="T192" s="88"/>
      <c r="U192" s="88"/>
      <c r="V192" s="88"/>
      <c r="W192" s="88"/>
      <c r="X192" s="88"/>
      <c r="Y192" s="88"/>
      <c r="Z192" s="88"/>
      <c r="AA192" s="88"/>
    </row>
    <row r="193" spans="1:27" ht="13.2">
      <c r="A193" s="88"/>
      <c r="B193" s="88"/>
      <c r="C193" s="88"/>
      <c r="D193" s="88"/>
      <c r="E193" s="88"/>
      <c r="F193" s="88"/>
      <c r="G193" s="88"/>
      <c r="H193" s="88"/>
      <c r="I193" s="88"/>
      <c r="J193" s="88"/>
      <c r="K193" s="88"/>
      <c r="L193" s="88"/>
      <c r="M193" s="88"/>
      <c r="N193" s="88"/>
      <c r="O193" s="88"/>
      <c r="P193" s="88"/>
      <c r="Q193" s="88"/>
      <c r="R193" s="88"/>
      <c r="S193" s="88"/>
      <c r="T193" s="88"/>
      <c r="U193" s="88"/>
      <c r="V193" s="88"/>
      <c r="W193" s="88"/>
      <c r="X193" s="88"/>
      <c r="Y193" s="88"/>
      <c r="Z193" s="88"/>
      <c r="AA193" s="88"/>
    </row>
    <row r="194" spans="1:27" ht="13.2">
      <c r="A194" s="88"/>
      <c r="B194" s="88"/>
      <c r="C194" s="88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  <c r="O194" s="88"/>
      <c r="P194" s="88"/>
      <c r="Q194" s="88"/>
      <c r="R194" s="88"/>
      <c r="S194" s="88"/>
      <c r="T194" s="88"/>
      <c r="U194" s="88"/>
      <c r="V194" s="88"/>
      <c r="W194" s="88"/>
      <c r="X194" s="88"/>
      <c r="Y194" s="88"/>
      <c r="Z194" s="88"/>
      <c r="AA194" s="88"/>
    </row>
    <row r="195" spans="1:27" ht="13.2">
      <c r="A195" s="88"/>
      <c r="B195" s="88"/>
      <c r="C195" s="88"/>
      <c r="D195" s="88"/>
      <c r="E195" s="88"/>
      <c r="F195" s="88"/>
      <c r="G195" s="88"/>
      <c r="H195" s="88"/>
      <c r="I195" s="88"/>
      <c r="J195" s="88"/>
      <c r="K195" s="88"/>
      <c r="L195" s="88"/>
      <c r="M195" s="88"/>
      <c r="N195" s="88"/>
      <c r="O195" s="88"/>
      <c r="P195" s="88"/>
      <c r="Q195" s="88"/>
      <c r="R195" s="88"/>
      <c r="S195" s="88"/>
      <c r="T195" s="88"/>
      <c r="U195" s="88"/>
      <c r="V195" s="88"/>
      <c r="W195" s="88"/>
      <c r="X195" s="88"/>
      <c r="Y195" s="88"/>
      <c r="Z195" s="88"/>
      <c r="AA195" s="88"/>
    </row>
    <row r="196" spans="1:27" ht="13.2">
      <c r="A196" s="88"/>
      <c r="B196" s="88"/>
      <c r="C196" s="88"/>
      <c r="D196" s="88"/>
      <c r="E196" s="88"/>
      <c r="F196" s="88"/>
      <c r="G196" s="88"/>
      <c r="H196" s="88"/>
      <c r="I196" s="88"/>
      <c r="J196" s="88"/>
      <c r="K196" s="88"/>
      <c r="L196" s="88"/>
      <c r="M196" s="88"/>
      <c r="N196" s="88"/>
      <c r="O196" s="88"/>
      <c r="P196" s="88"/>
      <c r="Q196" s="88"/>
      <c r="R196" s="88"/>
      <c r="S196" s="88"/>
      <c r="T196" s="88"/>
      <c r="U196" s="88"/>
      <c r="V196" s="88"/>
      <c r="W196" s="88"/>
      <c r="X196" s="88"/>
      <c r="Y196" s="88"/>
      <c r="Z196" s="88"/>
      <c r="AA196" s="88"/>
    </row>
    <row r="197" spans="1:27" ht="13.2">
      <c r="A197" s="88"/>
      <c r="B197" s="88"/>
      <c r="C197" s="88"/>
      <c r="D197" s="88"/>
      <c r="E197" s="88"/>
      <c r="F197" s="88"/>
      <c r="G197" s="88"/>
      <c r="H197" s="88"/>
      <c r="I197" s="88"/>
      <c r="J197" s="88"/>
      <c r="K197" s="88"/>
      <c r="L197" s="88"/>
      <c r="M197" s="88"/>
      <c r="N197" s="88"/>
      <c r="O197" s="88"/>
      <c r="P197" s="88"/>
      <c r="Q197" s="88"/>
      <c r="R197" s="88"/>
      <c r="S197" s="88"/>
      <c r="T197" s="88"/>
      <c r="U197" s="88"/>
      <c r="V197" s="88"/>
      <c r="W197" s="88"/>
      <c r="X197" s="88"/>
      <c r="Y197" s="88"/>
      <c r="Z197" s="88"/>
      <c r="AA197" s="88"/>
    </row>
    <row r="198" spans="1:27" ht="13.2">
      <c r="A198" s="88"/>
      <c r="B198" s="88"/>
      <c r="C198" s="88"/>
      <c r="D198" s="88"/>
      <c r="E198" s="88"/>
      <c r="F198" s="88"/>
      <c r="G198" s="88"/>
      <c r="H198" s="88"/>
      <c r="I198" s="88"/>
      <c r="J198" s="88"/>
      <c r="K198" s="88"/>
      <c r="L198" s="88"/>
      <c r="M198" s="88"/>
      <c r="N198" s="88"/>
      <c r="O198" s="88"/>
      <c r="P198" s="88"/>
      <c r="Q198" s="88"/>
      <c r="R198" s="88"/>
      <c r="S198" s="88"/>
      <c r="T198" s="88"/>
      <c r="U198" s="88"/>
      <c r="V198" s="88"/>
      <c r="W198" s="88"/>
      <c r="X198" s="88"/>
      <c r="Y198" s="88"/>
      <c r="Z198" s="88"/>
      <c r="AA198" s="88"/>
    </row>
    <row r="199" spans="1:27" ht="13.2">
      <c r="A199" s="88"/>
      <c r="B199" s="88"/>
      <c r="C199" s="88"/>
      <c r="D199" s="88"/>
      <c r="E199" s="88"/>
      <c r="F199" s="88"/>
      <c r="G199" s="88"/>
      <c r="H199" s="88"/>
      <c r="I199" s="88"/>
      <c r="J199" s="88"/>
      <c r="K199" s="88"/>
      <c r="L199" s="88"/>
      <c r="M199" s="88"/>
      <c r="N199" s="88"/>
      <c r="O199" s="88"/>
      <c r="P199" s="88"/>
      <c r="Q199" s="88"/>
      <c r="R199" s="88"/>
      <c r="S199" s="88"/>
      <c r="T199" s="88"/>
      <c r="U199" s="88"/>
      <c r="V199" s="88"/>
      <c r="W199" s="88"/>
      <c r="X199" s="88"/>
      <c r="Y199" s="88"/>
      <c r="Z199" s="88"/>
      <c r="AA199" s="88"/>
    </row>
    <row r="200" spans="1:27" ht="13.2">
      <c r="A200" s="88"/>
      <c r="B200" s="88"/>
      <c r="C200" s="88"/>
      <c r="D200" s="88"/>
      <c r="E200" s="88"/>
      <c r="F200" s="88"/>
      <c r="G200" s="88"/>
      <c r="H200" s="88"/>
      <c r="I200" s="88"/>
      <c r="J200" s="88"/>
      <c r="K200" s="88"/>
      <c r="L200" s="88"/>
      <c r="M200" s="88"/>
      <c r="N200" s="88"/>
      <c r="O200" s="88"/>
      <c r="P200" s="88"/>
      <c r="Q200" s="88"/>
      <c r="R200" s="88"/>
      <c r="S200" s="88"/>
      <c r="T200" s="88"/>
      <c r="U200" s="88"/>
      <c r="V200" s="88"/>
      <c r="W200" s="88"/>
      <c r="X200" s="88"/>
      <c r="Y200" s="88"/>
      <c r="Z200" s="88"/>
      <c r="AA200" s="88"/>
    </row>
    <row r="201" spans="1:27" ht="13.2">
      <c r="A201" s="88"/>
      <c r="B201" s="88"/>
      <c r="C201" s="88"/>
      <c r="D201" s="88"/>
      <c r="E201" s="88"/>
      <c r="F201" s="88"/>
      <c r="G201" s="88"/>
      <c r="H201" s="88"/>
      <c r="I201" s="88"/>
      <c r="J201" s="88"/>
      <c r="K201" s="88"/>
      <c r="L201" s="88"/>
      <c r="M201" s="88"/>
      <c r="N201" s="88"/>
      <c r="O201" s="88"/>
      <c r="P201" s="88"/>
      <c r="Q201" s="88"/>
      <c r="R201" s="88"/>
      <c r="S201" s="88"/>
      <c r="T201" s="88"/>
      <c r="U201" s="88"/>
      <c r="V201" s="88"/>
      <c r="W201" s="88"/>
      <c r="X201" s="88"/>
      <c r="Y201" s="88"/>
      <c r="Z201" s="88"/>
      <c r="AA201" s="88"/>
    </row>
    <row r="202" spans="1:27" ht="13.2">
      <c r="A202" s="88"/>
      <c r="B202" s="88"/>
      <c r="C202" s="88"/>
      <c r="D202" s="88"/>
      <c r="E202" s="88"/>
      <c r="F202" s="88"/>
      <c r="G202" s="88"/>
      <c r="H202" s="88"/>
      <c r="I202" s="88"/>
      <c r="J202" s="88"/>
      <c r="K202" s="88"/>
      <c r="L202" s="88"/>
      <c r="M202" s="88"/>
      <c r="N202" s="88"/>
      <c r="O202" s="88"/>
      <c r="P202" s="88"/>
      <c r="Q202" s="88"/>
      <c r="R202" s="88"/>
      <c r="S202" s="88"/>
      <c r="T202" s="88"/>
      <c r="U202" s="88"/>
      <c r="V202" s="88"/>
      <c r="W202" s="88"/>
      <c r="X202" s="88"/>
      <c r="Y202" s="88"/>
      <c r="Z202" s="88"/>
      <c r="AA202" s="88"/>
    </row>
    <row r="203" spans="1:27" ht="13.2">
      <c r="A203" s="88"/>
      <c r="B203" s="88"/>
      <c r="C203" s="88"/>
      <c r="D203" s="88"/>
      <c r="E203" s="88"/>
      <c r="F203" s="88"/>
      <c r="G203" s="88"/>
      <c r="H203" s="88"/>
      <c r="I203" s="88"/>
      <c r="J203" s="88"/>
      <c r="K203" s="88"/>
      <c r="L203" s="88"/>
      <c r="M203" s="88"/>
      <c r="N203" s="88"/>
      <c r="O203" s="88"/>
      <c r="P203" s="88"/>
      <c r="Q203" s="88"/>
      <c r="R203" s="88"/>
      <c r="S203" s="88"/>
      <c r="T203" s="88"/>
      <c r="U203" s="88"/>
      <c r="V203" s="88"/>
      <c r="W203" s="88"/>
      <c r="X203" s="88"/>
      <c r="Y203" s="88"/>
      <c r="Z203" s="88"/>
      <c r="AA203" s="88"/>
    </row>
    <row r="204" spans="1:27" ht="13.2">
      <c r="A204" s="88"/>
      <c r="B204" s="88"/>
      <c r="C204" s="88"/>
      <c r="D204" s="88"/>
      <c r="E204" s="88"/>
      <c r="F204" s="88"/>
      <c r="G204" s="88"/>
      <c r="H204" s="88"/>
      <c r="I204" s="88"/>
      <c r="J204" s="88"/>
      <c r="K204" s="88"/>
      <c r="L204" s="88"/>
      <c r="M204" s="88"/>
      <c r="N204" s="88"/>
      <c r="O204" s="88"/>
      <c r="P204" s="88"/>
      <c r="Q204" s="88"/>
      <c r="R204" s="88"/>
      <c r="S204" s="88"/>
      <c r="T204" s="88"/>
      <c r="U204" s="88"/>
      <c r="V204" s="88"/>
      <c r="W204" s="88"/>
      <c r="X204" s="88"/>
      <c r="Y204" s="88"/>
      <c r="Z204" s="88"/>
      <c r="AA204" s="88"/>
    </row>
    <row r="205" spans="1:27" ht="13.2">
      <c r="A205" s="88"/>
      <c r="B205" s="88"/>
      <c r="C205" s="88"/>
      <c r="D205" s="88"/>
      <c r="E205" s="88"/>
      <c r="F205" s="88"/>
      <c r="G205" s="88"/>
      <c r="H205" s="88"/>
      <c r="I205" s="88"/>
      <c r="J205" s="88"/>
      <c r="K205" s="88"/>
      <c r="L205" s="88"/>
      <c r="M205" s="88"/>
      <c r="N205" s="88"/>
      <c r="O205" s="88"/>
      <c r="P205" s="88"/>
      <c r="Q205" s="88"/>
      <c r="R205" s="88"/>
      <c r="S205" s="88"/>
      <c r="T205" s="88"/>
      <c r="U205" s="88"/>
      <c r="V205" s="88"/>
      <c r="W205" s="88"/>
      <c r="X205" s="88"/>
      <c r="Y205" s="88"/>
      <c r="Z205" s="88"/>
      <c r="AA205" s="88"/>
    </row>
    <row r="206" spans="1:27" ht="13.2">
      <c r="A206" s="88"/>
      <c r="B206" s="88"/>
      <c r="C206" s="88"/>
      <c r="D206" s="88"/>
      <c r="E206" s="88"/>
      <c r="F206" s="88"/>
      <c r="G206" s="88"/>
      <c r="H206" s="88"/>
      <c r="I206" s="88"/>
      <c r="J206" s="88"/>
      <c r="K206" s="88"/>
      <c r="L206" s="88"/>
      <c r="M206" s="88"/>
      <c r="N206" s="88"/>
      <c r="O206" s="88"/>
      <c r="P206" s="88"/>
      <c r="Q206" s="88"/>
      <c r="R206" s="88"/>
      <c r="S206" s="88"/>
      <c r="T206" s="88"/>
      <c r="U206" s="88"/>
      <c r="V206" s="88"/>
      <c r="W206" s="88"/>
      <c r="X206" s="88"/>
      <c r="Y206" s="88"/>
      <c r="Z206" s="88"/>
      <c r="AA206" s="88"/>
    </row>
    <row r="207" spans="1:27" ht="13.2">
      <c r="A207" s="88"/>
      <c r="B207" s="88"/>
      <c r="C207" s="88"/>
      <c r="D207" s="88"/>
      <c r="E207" s="88"/>
      <c r="F207" s="88"/>
      <c r="G207" s="88"/>
      <c r="H207" s="88"/>
      <c r="I207" s="88"/>
      <c r="J207" s="88"/>
      <c r="K207" s="88"/>
      <c r="L207" s="88"/>
      <c r="M207" s="88"/>
      <c r="N207" s="88"/>
      <c r="O207" s="88"/>
      <c r="P207" s="88"/>
      <c r="Q207" s="88"/>
      <c r="R207" s="88"/>
      <c r="S207" s="88"/>
      <c r="T207" s="88"/>
      <c r="U207" s="88"/>
      <c r="V207" s="88"/>
      <c r="W207" s="88"/>
      <c r="X207" s="88"/>
      <c r="Y207" s="88"/>
      <c r="Z207" s="88"/>
      <c r="AA207" s="88"/>
    </row>
    <row r="208" spans="1:27" ht="13.2">
      <c r="A208" s="88"/>
      <c r="B208" s="88"/>
      <c r="C208" s="88"/>
      <c r="D208" s="88"/>
      <c r="E208" s="88"/>
      <c r="F208" s="88"/>
      <c r="G208" s="88"/>
      <c r="H208" s="88"/>
      <c r="I208" s="88"/>
      <c r="J208" s="88"/>
      <c r="K208" s="88"/>
      <c r="L208" s="88"/>
      <c r="M208" s="88"/>
      <c r="N208" s="88"/>
      <c r="O208" s="88"/>
      <c r="P208" s="88"/>
      <c r="Q208" s="88"/>
      <c r="R208" s="88"/>
      <c r="S208" s="88"/>
      <c r="T208" s="88"/>
      <c r="U208" s="88"/>
      <c r="V208" s="88"/>
      <c r="W208" s="88"/>
      <c r="X208" s="88"/>
      <c r="Y208" s="88"/>
      <c r="Z208" s="88"/>
      <c r="AA208" s="88"/>
    </row>
    <row r="209" spans="1:27" ht="13.2">
      <c r="A209" s="88"/>
      <c r="B209" s="88"/>
      <c r="C209" s="88"/>
      <c r="D209" s="88"/>
      <c r="E209" s="88"/>
      <c r="F209" s="88"/>
      <c r="G209" s="88"/>
      <c r="H209" s="88"/>
      <c r="I209" s="88"/>
      <c r="J209" s="88"/>
      <c r="K209" s="88"/>
      <c r="L209" s="88"/>
      <c r="M209" s="88"/>
      <c r="N209" s="88"/>
      <c r="O209" s="88"/>
      <c r="P209" s="88"/>
      <c r="Q209" s="88"/>
      <c r="R209" s="88"/>
      <c r="S209" s="88"/>
      <c r="T209" s="88"/>
      <c r="U209" s="88"/>
      <c r="V209" s="88"/>
      <c r="W209" s="88"/>
      <c r="X209" s="88"/>
      <c r="Y209" s="88"/>
      <c r="Z209" s="88"/>
      <c r="AA209" s="88"/>
    </row>
    <row r="210" spans="1:27" ht="13.2">
      <c r="A210" s="88"/>
      <c r="B210" s="88"/>
      <c r="C210" s="88"/>
      <c r="D210" s="88"/>
      <c r="E210" s="88"/>
      <c r="F210" s="88"/>
      <c r="G210" s="88"/>
      <c r="H210" s="88"/>
      <c r="I210" s="88"/>
      <c r="J210" s="88"/>
      <c r="K210" s="88"/>
      <c r="L210" s="88"/>
      <c r="M210" s="88"/>
      <c r="N210" s="88"/>
      <c r="O210" s="88"/>
      <c r="P210" s="88"/>
      <c r="Q210" s="88"/>
      <c r="R210" s="88"/>
      <c r="S210" s="88"/>
      <c r="T210" s="88"/>
      <c r="U210" s="88"/>
      <c r="V210" s="88"/>
      <c r="W210" s="88"/>
      <c r="X210" s="88"/>
      <c r="Y210" s="88"/>
      <c r="Z210" s="88"/>
      <c r="AA210" s="88"/>
    </row>
    <row r="211" spans="1:27" ht="13.2">
      <c r="A211" s="88"/>
      <c r="B211" s="88"/>
      <c r="C211" s="88"/>
      <c r="D211" s="88"/>
      <c r="E211" s="88"/>
      <c r="F211" s="88"/>
      <c r="G211" s="88"/>
      <c r="H211" s="88"/>
      <c r="I211" s="88"/>
      <c r="J211" s="88"/>
      <c r="K211" s="88"/>
      <c r="L211" s="88"/>
      <c r="M211" s="88"/>
      <c r="N211" s="88"/>
      <c r="O211" s="88"/>
      <c r="P211" s="88"/>
      <c r="Q211" s="88"/>
      <c r="R211" s="88"/>
      <c r="S211" s="88"/>
      <c r="T211" s="88"/>
      <c r="U211" s="88"/>
      <c r="V211" s="88"/>
      <c r="W211" s="88"/>
      <c r="X211" s="88"/>
      <c r="Y211" s="88"/>
      <c r="Z211" s="88"/>
      <c r="AA211" s="88"/>
    </row>
    <row r="212" spans="1:27" ht="13.2">
      <c r="A212" s="88"/>
      <c r="B212" s="88"/>
      <c r="C212" s="88"/>
      <c r="D212" s="88"/>
      <c r="E212" s="88"/>
      <c r="F212" s="88"/>
      <c r="G212" s="88"/>
      <c r="H212" s="88"/>
      <c r="I212" s="88"/>
      <c r="J212" s="88"/>
      <c r="K212" s="88"/>
      <c r="L212" s="88"/>
      <c r="M212" s="88"/>
      <c r="N212" s="88"/>
      <c r="O212" s="88"/>
      <c r="P212" s="88"/>
      <c r="Q212" s="88"/>
      <c r="R212" s="88"/>
      <c r="S212" s="88"/>
      <c r="T212" s="88"/>
      <c r="U212" s="88"/>
      <c r="V212" s="88"/>
      <c r="W212" s="88"/>
      <c r="X212" s="88"/>
      <c r="Y212" s="88"/>
      <c r="Z212" s="88"/>
      <c r="AA212" s="88"/>
    </row>
    <row r="213" spans="1:27" ht="13.2">
      <c r="A213" s="88"/>
      <c r="B213" s="88"/>
      <c r="C213" s="88"/>
      <c r="D213" s="88"/>
      <c r="E213" s="88"/>
      <c r="F213" s="88"/>
      <c r="G213" s="88"/>
      <c r="H213" s="88"/>
      <c r="I213" s="88"/>
      <c r="J213" s="88"/>
      <c r="K213" s="88"/>
      <c r="L213" s="88"/>
      <c r="M213" s="88"/>
      <c r="N213" s="88"/>
      <c r="O213" s="88"/>
      <c r="P213" s="88"/>
      <c r="Q213" s="88"/>
      <c r="R213" s="88"/>
      <c r="S213" s="88"/>
      <c r="T213" s="88"/>
      <c r="U213" s="88"/>
      <c r="V213" s="88"/>
      <c r="W213" s="88"/>
      <c r="X213" s="88"/>
      <c r="Y213" s="88"/>
      <c r="Z213" s="88"/>
      <c r="AA213" s="88"/>
    </row>
    <row r="214" spans="1:27" ht="13.2">
      <c r="A214" s="88"/>
      <c r="B214" s="88"/>
      <c r="C214" s="88"/>
      <c r="D214" s="88"/>
      <c r="E214" s="88"/>
      <c r="F214" s="88"/>
      <c r="G214" s="88"/>
      <c r="H214" s="88"/>
      <c r="I214" s="88"/>
      <c r="J214" s="88"/>
      <c r="K214" s="88"/>
      <c r="L214" s="88"/>
      <c r="M214" s="88"/>
      <c r="N214" s="88"/>
      <c r="O214" s="88"/>
      <c r="P214" s="88"/>
      <c r="Q214" s="88"/>
      <c r="R214" s="88"/>
      <c r="S214" s="88"/>
      <c r="T214" s="88"/>
      <c r="U214" s="88"/>
      <c r="V214" s="88"/>
      <c r="W214" s="88"/>
      <c r="X214" s="88"/>
      <c r="Y214" s="88"/>
      <c r="Z214" s="88"/>
      <c r="AA214" s="88"/>
    </row>
    <row r="215" spans="1:27" ht="13.2">
      <c r="A215" s="88"/>
      <c r="B215" s="88"/>
      <c r="C215" s="88"/>
      <c r="D215" s="88"/>
      <c r="E215" s="88"/>
      <c r="F215" s="88"/>
      <c r="G215" s="88"/>
      <c r="H215" s="88"/>
      <c r="I215" s="88"/>
      <c r="J215" s="88"/>
      <c r="K215" s="88"/>
      <c r="L215" s="88"/>
      <c r="M215" s="88"/>
      <c r="N215" s="88"/>
      <c r="O215" s="88"/>
      <c r="P215" s="88"/>
      <c r="Q215" s="88"/>
      <c r="R215" s="88"/>
      <c r="S215" s="88"/>
      <c r="T215" s="88"/>
      <c r="U215" s="88"/>
      <c r="V215" s="88"/>
      <c r="W215" s="88"/>
      <c r="X215" s="88"/>
      <c r="Y215" s="88"/>
      <c r="Z215" s="88"/>
      <c r="AA215" s="88"/>
    </row>
    <row r="216" spans="1:27" ht="13.2">
      <c r="A216" s="88"/>
      <c r="B216" s="88"/>
      <c r="C216" s="88"/>
      <c r="D216" s="88"/>
      <c r="E216" s="88"/>
      <c r="F216" s="88"/>
      <c r="G216" s="88"/>
      <c r="H216" s="88"/>
      <c r="I216" s="88"/>
      <c r="J216" s="88"/>
      <c r="K216" s="88"/>
      <c r="L216" s="88"/>
      <c r="M216" s="88"/>
      <c r="N216" s="88"/>
      <c r="O216" s="88"/>
      <c r="P216" s="88"/>
      <c r="Q216" s="88"/>
      <c r="R216" s="88"/>
      <c r="S216" s="88"/>
      <c r="T216" s="88"/>
      <c r="U216" s="88"/>
      <c r="V216" s="88"/>
      <c r="W216" s="88"/>
      <c r="X216" s="88"/>
      <c r="Y216" s="88"/>
      <c r="Z216" s="88"/>
      <c r="AA216" s="88"/>
    </row>
    <row r="217" spans="1:27" ht="13.2">
      <c r="A217" s="88"/>
      <c r="B217" s="88"/>
      <c r="C217" s="88"/>
      <c r="D217" s="88"/>
      <c r="E217" s="88"/>
      <c r="F217" s="88"/>
      <c r="G217" s="88"/>
      <c r="H217" s="88"/>
      <c r="I217" s="88"/>
      <c r="J217" s="88"/>
      <c r="K217" s="88"/>
      <c r="L217" s="88"/>
      <c r="M217" s="88"/>
      <c r="N217" s="88"/>
      <c r="O217" s="88"/>
      <c r="P217" s="88"/>
      <c r="Q217" s="88"/>
      <c r="R217" s="88"/>
      <c r="S217" s="88"/>
      <c r="T217" s="88"/>
      <c r="U217" s="88"/>
      <c r="V217" s="88"/>
      <c r="W217" s="88"/>
      <c r="X217" s="88"/>
      <c r="Y217" s="88"/>
      <c r="Z217" s="88"/>
      <c r="AA217" s="88"/>
    </row>
    <row r="218" spans="1:27" ht="13.2">
      <c r="A218" s="88"/>
      <c r="B218" s="88"/>
      <c r="C218" s="88"/>
      <c r="D218" s="88"/>
      <c r="E218" s="88"/>
      <c r="F218" s="88"/>
      <c r="G218" s="88"/>
      <c r="H218" s="88"/>
      <c r="I218" s="88"/>
      <c r="J218" s="88"/>
      <c r="K218" s="88"/>
      <c r="L218" s="88"/>
      <c r="M218" s="88"/>
      <c r="N218" s="88"/>
      <c r="O218" s="88"/>
      <c r="P218" s="88"/>
      <c r="Q218" s="88"/>
      <c r="R218" s="88"/>
      <c r="S218" s="88"/>
      <c r="T218" s="88"/>
      <c r="U218" s="88"/>
      <c r="V218" s="88"/>
      <c r="W218" s="88"/>
      <c r="X218" s="88"/>
      <c r="Y218" s="88"/>
      <c r="Z218" s="88"/>
      <c r="AA218" s="88"/>
    </row>
    <row r="219" spans="1:27" ht="13.2">
      <c r="A219" s="88"/>
      <c r="B219" s="88"/>
      <c r="C219" s="88"/>
      <c r="D219" s="88"/>
      <c r="E219" s="88"/>
      <c r="F219" s="88"/>
      <c r="G219" s="88"/>
      <c r="H219" s="88"/>
      <c r="I219" s="88"/>
      <c r="J219" s="88"/>
      <c r="K219" s="88"/>
      <c r="L219" s="88"/>
      <c r="M219" s="88"/>
      <c r="N219" s="88"/>
      <c r="O219" s="88"/>
      <c r="P219" s="88"/>
      <c r="Q219" s="88"/>
      <c r="R219" s="88"/>
      <c r="S219" s="88"/>
      <c r="T219" s="88"/>
      <c r="U219" s="88"/>
      <c r="V219" s="88"/>
      <c r="W219" s="88"/>
      <c r="X219" s="88"/>
      <c r="Y219" s="88"/>
      <c r="Z219" s="88"/>
      <c r="AA219" s="88"/>
    </row>
    <row r="220" spans="1:27" ht="13.2">
      <c r="A220" s="88"/>
      <c r="B220" s="88"/>
      <c r="C220" s="88"/>
      <c r="D220" s="88"/>
      <c r="E220" s="88"/>
      <c r="F220" s="88"/>
      <c r="G220" s="88"/>
      <c r="H220" s="88"/>
      <c r="I220" s="88"/>
      <c r="J220" s="88"/>
      <c r="K220" s="88"/>
      <c r="L220" s="88"/>
      <c r="M220" s="88"/>
      <c r="N220" s="88"/>
      <c r="O220" s="88"/>
      <c r="P220" s="88"/>
      <c r="Q220" s="88"/>
      <c r="R220" s="88"/>
      <c r="S220" s="88"/>
      <c r="T220" s="88"/>
      <c r="U220" s="88"/>
      <c r="V220" s="88"/>
      <c r="W220" s="88"/>
      <c r="X220" s="88"/>
      <c r="Y220" s="88"/>
      <c r="Z220" s="88"/>
      <c r="AA220" s="88"/>
    </row>
    <row r="221" spans="1:27" ht="13.2">
      <c r="A221" s="88"/>
      <c r="B221" s="88"/>
      <c r="C221" s="88"/>
      <c r="D221" s="88"/>
      <c r="E221" s="88"/>
      <c r="F221" s="88"/>
      <c r="G221" s="88"/>
      <c r="H221" s="88"/>
      <c r="I221" s="88"/>
      <c r="J221" s="88"/>
      <c r="K221" s="88"/>
      <c r="L221" s="88"/>
      <c r="M221" s="88"/>
      <c r="N221" s="88"/>
      <c r="O221" s="88"/>
      <c r="P221" s="88"/>
      <c r="Q221" s="88"/>
      <c r="R221" s="88"/>
      <c r="S221" s="88"/>
      <c r="T221" s="88"/>
      <c r="U221" s="88"/>
      <c r="V221" s="88"/>
      <c r="W221" s="88"/>
      <c r="X221" s="88"/>
      <c r="Y221" s="88"/>
      <c r="Z221" s="88"/>
      <c r="AA221" s="88"/>
    </row>
    <row r="222" spans="1:27" ht="13.2">
      <c r="A222" s="88"/>
      <c r="B222" s="88"/>
      <c r="C222" s="88"/>
      <c r="D222" s="88"/>
      <c r="E222" s="88"/>
      <c r="F222" s="88"/>
      <c r="G222" s="88"/>
      <c r="H222" s="88"/>
      <c r="I222" s="88"/>
      <c r="J222" s="88"/>
      <c r="K222" s="88"/>
      <c r="L222" s="88"/>
      <c r="M222" s="88"/>
      <c r="N222" s="88"/>
      <c r="O222" s="88"/>
      <c r="P222" s="88"/>
      <c r="Q222" s="88"/>
      <c r="R222" s="88"/>
      <c r="S222" s="88"/>
      <c r="T222" s="88"/>
      <c r="U222" s="88"/>
      <c r="V222" s="88"/>
      <c r="W222" s="88"/>
      <c r="X222" s="88"/>
      <c r="Y222" s="88"/>
      <c r="Z222" s="88"/>
      <c r="AA222" s="88"/>
    </row>
    <row r="223" spans="1:27" ht="13.2">
      <c r="A223" s="88"/>
      <c r="B223" s="88"/>
      <c r="C223" s="88"/>
      <c r="D223" s="88"/>
      <c r="E223" s="88"/>
      <c r="F223" s="88"/>
      <c r="G223" s="88"/>
      <c r="H223" s="88"/>
      <c r="I223" s="88"/>
      <c r="J223" s="88"/>
      <c r="K223" s="88"/>
      <c r="L223" s="88"/>
      <c r="M223" s="88"/>
      <c r="N223" s="88"/>
      <c r="O223" s="88"/>
      <c r="P223" s="88"/>
      <c r="Q223" s="88"/>
      <c r="R223" s="88"/>
      <c r="S223" s="88"/>
      <c r="T223" s="88"/>
      <c r="U223" s="88"/>
      <c r="V223" s="88"/>
      <c r="W223" s="88"/>
      <c r="X223" s="88"/>
      <c r="Y223" s="88"/>
      <c r="Z223" s="88"/>
      <c r="AA223" s="88"/>
    </row>
    <row r="224" spans="1:27" ht="13.2">
      <c r="A224" s="88"/>
      <c r="B224" s="88"/>
      <c r="C224" s="88"/>
      <c r="D224" s="88"/>
      <c r="E224" s="88"/>
      <c r="F224" s="88"/>
      <c r="G224" s="88"/>
      <c r="H224" s="88"/>
      <c r="I224" s="88"/>
      <c r="J224" s="88"/>
      <c r="K224" s="88"/>
      <c r="L224" s="88"/>
      <c r="M224" s="88"/>
      <c r="N224" s="88"/>
      <c r="O224" s="88"/>
      <c r="P224" s="88"/>
      <c r="Q224" s="88"/>
      <c r="R224" s="88"/>
      <c r="S224" s="88"/>
      <c r="T224" s="88"/>
      <c r="U224" s="88"/>
      <c r="V224" s="88"/>
      <c r="W224" s="88"/>
      <c r="X224" s="88"/>
      <c r="Y224" s="88"/>
      <c r="Z224" s="88"/>
      <c r="AA224" s="88"/>
    </row>
    <row r="225" spans="1:27" ht="13.2">
      <c r="A225" s="88"/>
      <c r="B225" s="88"/>
      <c r="C225" s="88"/>
      <c r="D225" s="88"/>
      <c r="E225" s="88"/>
      <c r="F225" s="88"/>
      <c r="G225" s="88"/>
      <c r="H225" s="88"/>
      <c r="I225" s="88"/>
      <c r="J225" s="88"/>
      <c r="K225" s="88"/>
      <c r="L225" s="88"/>
      <c r="M225" s="88"/>
      <c r="N225" s="88"/>
      <c r="O225" s="88"/>
      <c r="P225" s="88"/>
      <c r="Q225" s="88"/>
      <c r="R225" s="88"/>
      <c r="S225" s="88"/>
      <c r="T225" s="88"/>
      <c r="U225" s="88"/>
      <c r="V225" s="88"/>
      <c r="W225" s="88"/>
      <c r="X225" s="88"/>
      <c r="Y225" s="88"/>
      <c r="Z225" s="88"/>
      <c r="AA225" s="88"/>
    </row>
    <row r="226" spans="1:27" ht="13.2">
      <c r="A226" s="88"/>
      <c r="B226" s="88"/>
      <c r="C226" s="88"/>
      <c r="D226" s="88"/>
      <c r="E226" s="88"/>
      <c r="F226" s="88"/>
      <c r="G226" s="88"/>
      <c r="H226" s="88"/>
      <c r="I226" s="88"/>
      <c r="J226" s="88"/>
      <c r="K226" s="88"/>
      <c r="L226" s="88"/>
      <c r="M226" s="88"/>
      <c r="N226" s="88"/>
      <c r="O226" s="88"/>
      <c r="P226" s="88"/>
      <c r="Q226" s="88"/>
      <c r="R226" s="88"/>
      <c r="S226" s="88"/>
      <c r="T226" s="88"/>
      <c r="U226" s="88"/>
      <c r="V226" s="88"/>
      <c r="W226" s="88"/>
      <c r="X226" s="88"/>
      <c r="Y226" s="88"/>
      <c r="Z226" s="88"/>
      <c r="AA226" s="88"/>
    </row>
    <row r="227" spans="1:27" ht="13.2">
      <c r="A227" s="88"/>
      <c r="B227" s="88"/>
      <c r="C227" s="88"/>
      <c r="D227" s="88"/>
      <c r="E227" s="88"/>
      <c r="F227" s="88"/>
      <c r="G227" s="88"/>
      <c r="H227" s="88"/>
      <c r="I227" s="88"/>
      <c r="J227" s="88"/>
      <c r="K227" s="88"/>
      <c r="L227" s="88"/>
      <c r="M227" s="88"/>
      <c r="N227" s="88"/>
      <c r="O227" s="88"/>
      <c r="P227" s="88"/>
      <c r="Q227" s="88"/>
      <c r="R227" s="88"/>
      <c r="S227" s="88"/>
      <c r="T227" s="88"/>
      <c r="U227" s="88"/>
      <c r="V227" s="88"/>
      <c r="W227" s="88"/>
      <c r="X227" s="88"/>
      <c r="Y227" s="88"/>
      <c r="Z227" s="88"/>
      <c r="AA227" s="88"/>
    </row>
    <row r="228" spans="1:27" ht="13.2">
      <c r="A228" s="88"/>
      <c r="B228" s="88"/>
      <c r="C228" s="88"/>
      <c r="D228" s="88"/>
      <c r="E228" s="88"/>
      <c r="F228" s="88"/>
      <c r="G228" s="88"/>
      <c r="H228" s="88"/>
      <c r="I228" s="88"/>
      <c r="J228" s="88"/>
      <c r="K228" s="88"/>
      <c r="L228" s="88"/>
      <c r="M228" s="88"/>
      <c r="N228" s="88"/>
      <c r="O228" s="88"/>
      <c r="P228" s="88"/>
      <c r="Q228" s="88"/>
      <c r="R228" s="88"/>
      <c r="S228" s="88"/>
      <c r="T228" s="88"/>
      <c r="U228" s="88"/>
      <c r="V228" s="88"/>
      <c r="W228" s="88"/>
      <c r="X228" s="88"/>
      <c r="Y228" s="88"/>
      <c r="Z228" s="88"/>
      <c r="AA228" s="88"/>
    </row>
    <row r="229" spans="1:27" ht="13.2">
      <c r="A229" s="88"/>
      <c r="B229" s="88"/>
      <c r="C229" s="88"/>
      <c r="D229" s="88"/>
      <c r="E229" s="88"/>
      <c r="F229" s="88"/>
      <c r="G229" s="88"/>
      <c r="H229" s="88"/>
      <c r="I229" s="88"/>
      <c r="J229" s="88"/>
      <c r="K229" s="88"/>
      <c r="L229" s="88"/>
      <c r="M229" s="88"/>
      <c r="N229" s="88"/>
      <c r="O229" s="88"/>
      <c r="P229" s="88"/>
      <c r="Q229" s="88"/>
      <c r="R229" s="88"/>
      <c r="S229" s="88"/>
      <c r="T229" s="88"/>
      <c r="U229" s="88"/>
      <c r="V229" s="88"/>
      <c r="W229" s="88"/>
      <c r="X229" s="88"/>
      <c r="Y229" s="88"/>
      <c r="Z229" s="88"/>
      <c r="AA229" s="88"/>
    </row>
    <row r="230" spans="1:27" ht="13.2">
      <c r="A230" s="88"/>
      <c r="B230" s="88"/>
      <c r="C230" s="88"/>
      <c r="D230" s="88"/>
      <c r="E230" s="88"/>
      <c r="F230" s="88"/>
      <c r="G230" s="88"/>
      <c r="H230" s="88"/>
      <c r="I230" s="88"/>
      <c r="J230" s="88"/>
      <c r="K230" s="88"/>
      <c r="L230" s="88"/>
      <c r="M230" s="88"/>
      <c r="N230" s="88"/>
      <c r="O230" s="88"/>
      <c r="P230" s="88"/>
      <c r="Q230" s="88"/>
      <c r="R230" s="88"/>
      <c r="S230" s="88"/>
      <c r="T230" s="88"/>
      <c r="U230" s="88"/>
      <c r="V230" s="88"/>
      <c r="W230" s="88"/>
      <c r="X230" s="88"/>
      <c r="Y230" s="88"/>
      <c r="Z230" s="88"/>
      <c r="AA230" s="88"/>
    </row>
    <row r="231" spans="1:27" ht="13.2">
      <c r="A231" s="88"/>
      <c r="B231" s="88"/>
      <c r="C231" s="88"/>
      <c r="D231" s="88"/>
      <c r="E231" s="88"/>
      <c r="F231" s="88"/>
      <c r="G231" s="88"/>
      <c r="H231" s="88"/>
      <c r="I231" s="88"/>
      <c r="J231" s="88"/>
      <c r="K231" s="88"/>
      <c r="L231" s="88"/>
      <c r="M231" s="88"/>
      <c r="N231" s="88"/>
      <c r="O231" s="88"/>
      <c r="P231" s="88"/>
      <c r="Q231" s="88"/>
      <c r="R231" s="88"/>
      <c r="S231" s="88"/>
      <c r="T231" s="88"/>
      <c r="U231" s="88"/>
      <c r="V231" s="88"/>
      <c r="W231" s="88"/>
      <c r="X231" s="88"/>
      <c r="Y231" s="88"/>
      <c r="Z231" s="88"/>
      <c r="AA231" s="88"/>
    </row>
    <row r="232" spans="1:27" ht="13.2">
      <c r="A232" s="88"/>
      <c r="B232" s="88"/>
      <c r="C232" s="88"/>
      <c r="D232" s="88"/>
      <c r="E232" s="88"/>
      <c r="F232" s="88"/>
      <c r="G232" s="88"/>
      <c r="H232" s="88"/>
      <c r="I232" s="88"/>
      <c r="J232" s="88"/>
      <c r="K232" s="88"/>
      <c r="L232" s="88"/>
      <c r="M232" s="88"/>
      <c r="N232" s="88"/>
      <c r="O232" s="88"/>
      <c r="P232" s="88"/>
      <c r="Q232" s="88"/>
      <c r="R232" s="88"/>
      <c r="S232" s="88"/>
      <c r="T232" s="88"/>
      <c r="U232" s="88"/>
      <c r="V232" s="88"/>
      <c r="W232" s="88"/>
      <c r="X232" s="88"/>
      <c r="Y232" s="88"/>
      <c r="Z232" s="88"/>
      <c r="AA232" s="88"/>
    </row>
    <row r="233" spans="1:27" ht="13.2">
      <c r="A233" s="88"/>
      <c r="B233" s="88"/>
      <c r="C233" s="88"/>
      <c r="D233" s="88"/>
      <c r="E233" s="88"/>
      <c r="F233" s="88"/>
      <c r="G233" s="88"/>
      <c r="H233" s="88"/>
      <c r="I233" s="88"/>
      <c r="J233" s="88"/>
      <c r="K233" s="88"/>
      <c r="L233" s="88"/>
      <c r="M233" s="88"/>
      <c r="N233" s="88"/>
      <c r="O233" s="88"/>
      <c r="P233" s="88"/>
      <c r="Q233" s="88"/>
      <c r="R233" s="88"/>
      <c r="S233" s="88"/>
      <c r="T233" s="88"/>
      <c r="U233" s="88"/>
      <c r="V233" s="88"/>
      <c r="W233" s="88"/>
      <c r="X233" s="88"/>
      <c r="Y233" s="88"/>
      <c r="Z233" s="88"/>
      <c r="AA233" s="88"/>
    </row>
    <row r="234" spans="1:27" ht="13.2">
      <c r="A234" s="88"/>
      <c r="B234" s="88"/>
      <c r="C234" s="88"/>
      <c r="D234" s="88"/>
      <c r="E234" s="88"/>
      <c r="F234" s="88"/>
      <c r="G234" s="88"/>
      <c r="H234" s="88"/>
      <c r="I234" s="88"/>
      <c r="J234" s="88"/>
      <c r="K234" s="88"/>
      <c r="L234" s="88"/>
      <c r="M234" s="88"/>
      <c r="N234" s="88"/>
      <c r="O234" s="88"/>
      <c r="P234" s="88"/>
      <c r="Q234" s="88"/>
      <c r="R234" s="88"/>
      <c r="S234" s="88"/>
      <c r="T234" s="88"/>
      <c r="U234" s="88"/>
      <c r="V234" s="88"/>
      <c r="W234" s="88"/>
      <c r="X234" s="88"/>
      <c r="Y234" s="88"/>
      <c r="Z234" s="88"/>
      <c r="AA234" s="88"/>
    </row>
    <row r="235" spans="1:27" ht="13.2">
      <c r="A235" s="88"/>
      <c r="B235" s="88"/>
      <c r="C235" s="88"/>
      <c r="D235" s="88"/>
      <c r="E235" s="88"/>
      <c r="F235" s="88"/>
      <c r="G235" s="88"/>
      <c r="H235" s="88"/>
      <c r="I235" s="88"/>
      <c r="J235" s="88"/>
      <c r="K235" s="88"/>
      <c r="L235" s="88"/>
      <c r="M235" s="88"/>
      <c r="N235" s="88"/>
      <c r="O235" s="88"/>
      <c r="P235" s="88"/>
      <c r="Q235" s="88"/>
      <c r="R235" s="88"/>
      <c r="S235" s="88"/>
      <c r="T235" s="88"/>
      <c r="U235" s="88"/>
      <c r="V235" s="88"/>
      <c r="W235" s="88"/>
      <c r="X235" s="88"/>
      <c r="Y235" s="88"/>
      <c r="Z235" s="88"/>
      <c r="AA235" s="88"/>
    </row>
    <row r="236" spans="1:27" ht="13.2">
      <c r="A236" s="88"/>
      <c r="B236" s="88"/>
      <c r="C236" s="88"/>
      <c r="D236" s="88"/>
      <c r="E236" s="88"/>
      <c r="F236" s="88"/>
      <c r="G236" s="88"/>
      <c r="H236" s="88"/>
      <c r="I236" s="88"/>
      <c r="J236" s="88"/>
      <c r="K236" s="88"/>
      <c r="L236" s="88"/>
      <c r="M236" s="88"/>
      <c r="N236" s="88"/>
      <c r="O236" s="88"/>
      <c r="P236" s="88"/>
      <c r="Q236" s="88"/>
      <c r="R236" s="88"/>
      <c r="S236" s="88"/>
      <c r="T236" s="88"/>
      <c r="U236" s="88"/>
      <c r="V236" s="88"/>
      <c r="W236" s="88"/>
      <c r="X236" s="88"/>
      <c r="Y236" s="88"/>
      <c r="Z236" s="88"/>
      <c r="AA236" s="88"/>
    </row>
    <row r="237" spans="1:27" ht="13.2">
      <c r="A237" s="88"/>
      <c r="B237" s="88"/>
      <c r="C237" s="88"/>
      <c r="D237" s="88"/>
      <c r="E237" s="88"/>
      <c r="F237" s="88"/>
      <c r="G237" s="88"/>
      <c r="H237" s="88"/>
      <c r="I237" s="88"/>
      <c r="J237" s="88"/>
      <c r="K237" s="88"/>
      <c r="L237" s="88"/>
      <c r="M237" s="88"/>
      <c r="N237" s="88"/>
      <c r="O237" s="88"/>
      <c r="P237" s="88"/>
      <c r="Q237" s="88"/>
      <c r="R237" s="88"/>
      <c r="S237" s="88"/>
      <c r="T237" s="88"/>
      <c r="U237" s="88"/>
      <c r="V237" s="88"/>
      <c r="W237" s="88"/>
      <c r="X237" s="88"/>
      <c r="Y237" s="88"/>
      <c r="Z237" s="88"/>
      <c r="AA237" s="88"/>
    </row>
    <row r="238" spans="1:27" ht="13.2">
      <c r="A238" s="88"/>
      <c r="B238" s="88"/>
      <c r="C238" s="88"/>
      <c r="D238" s="88"/>
      <c r="E238" s="88"/>
      <c r="F238" s="88"/>
      <c r="G238" s="88"/>
      <c r="H238" s="88"/>
      <c r="I238" s="88"/>
      <c r="J238" s="88"/>
      <c r="K238" s="88"/>
      <c r="L238" s="88"/>
      <c r="M238" s="88"/>
      <c r="N238" s="88"/>
      <c r="O238" s="88"/>
      <c r="P238" s="88"/>
      <c r="Q238" s="88"/>
      <c r="R238" s="88"/>
      <c r="S238" s="88"/>
      <c r="T238" s="88"/>
      <c r="U238" s="88"/>
      <c r="V238" s="88"/>
      <c r="W238" s="88"/>
      <c r="X238" s="88"/>
      <c r="Y238" s="88"/>
      <c r="Z238" s="88"/>
      <c r="AA238" s="88"/>
    </row>
    <row r="239" spans="1:27" ht="13.2">
      <c r="A239" s="88"/>
      <c r="B239" s="88"/>
      <c r="C239" s="88"/>
      <c r="D239" s="88"/>
      <c r="E239" s="88"/>
      <c r="F239" s="88"/>
      <c r="G239" s="88"/>
      <c r="H239" s="88"/>
      <c r="I239" s="88"/>
      <c r="J239" s="88"/>
      <c r="K239" s="88"/>
      <c r="L239" s="88"/>
      <c r="M239" s="88"/>
      <c r="N239" s="88"/>
      <c r="O239" s="88"/>
      <c r="P239" s="88"/>
      <c r="Q239" s="88"/>
      <c r="R239" s="88"/>
      <c r="S239" s="88"/>
      <c r="T239" s="88"/>
      <c r="U239" s="88"/>
      <c r="V239" s="88"/>
      <c r="W239" s="88"/>
      <c r="X239" s="88"/>
      <c r="Y239" s="88"/>
      <c r="Z239" s="88"/>
      <c r="AA239" s="88"/>
    </row>
    <row r="240" spans="1:27" ht="13.2">
      <c r="A240" s="88"/>
      <c r="B240" s="88"/>
      <c r="C240" s="88"/>
      <c r="D240" s="88"/>
      <c r="E240" s="88"/>
      <c r="F240" s="88"/>
      <c r="G240" s="88"/>
      <c r="H240" s="88"/>
      <c r="I240" s="88"/>
      <c r="J240" s="88"/>
      <c r="K240" s="88"/>
      <c r="L240" s="88"/>
      <c r="M240" s="88"/>
      <c r="N240" s="88"/>
      <c r="O240" s="88"/>
      <c r="P240" s="88"/>
      <c r="Q240" s="88"/>
      <c r="R240" s="88"/>
      <c r="S240" s="88"/>
      <c r="T240" s="88"/>
      <c r="U240" s="88"/>
      <c r="V240" s="88"/>
      <c r="W240" s="88"/>
      <c r="X240" s="88"/>
      <c r="Y240" s="88"/>
      <c r="Z240" s="88"/>
      <c r="AA240" s="88"/>
    </row>
    <row r="241" spans="1:27" ht="13.2">
      <c r="A241" s="88"/>
      <c r="B241" s="88"/>
      <c r="C241" s="88"/>
      <c r="D241" s="88"/>
      <c r="E241" s="88"/>
      <c r="F241" s="88"/>
      <c r="G241" s="88"/>
      <c r="H241" s="88"/>
      <c r="I241" s="88"/>
      <c r="J241" s="88"/>
      <c r="K241" s="88"/>
      <c r="L241" s="88"/>
      <c r="M241" s="88"/>
      <c r="N241" s="88"/>
      <c r="O241" s="88"/>
      <c r="P241" s="88"/>
      <c r="Q241" s="88"/>
      <c r="R241" s="88"/>
      <c r="S241" s="88"/>
      <c r="T241" s="88"/>
      <c r="U241" s="88"/>
      <c r="V241" s="88"/>
      <c r="W241" s="88"/>
      <c r="X241" s="88"/>
      <c r="Y241" s="88"/>
      <c r="Z241" s="88"/>
      <c r="AA241" s="88"/>
    </row>
    <row r="242" spans="1:27" ht="13.2">
      <c r="A242" s="88"/>
      <c r="B242" s="88"/>
      <c r="C242" s="88"/>
      <c r="D242" s="88"/>
      <c r="E242" s="88"/>
      <c r="F242" s="88"/>
      <c r="G242" s="88"/>
      <c r="H242" s="88"/>
      <c r="I242" s="88"/>
      <c r="J242" s="88"/>
      <c r="K242" s="88"/>
      <c r="L242" s="88"/>
      <c r="M242" s="88"/>
      <c r="N242" s="88"/>
      <c r="O242" s="88"/>
      <c r="P242" s="88"/>
      <c r="Q242" s="88"/>
      <c r="R242" s="88"/>
      <c r="S242" s="88"/>
      <c r="T242" s="88"/>
      <c r="U242" s="88"/>
      <c r="V242" s="88"/>
      <c r="W242" s="88"/>
      <c r="X242" s="88"/>
      <c r="Y242" s="88"/>
      <c r="Z242" s="88"/>
      <c r="AA242" s="88"/>
    </row>
    <row r="243" spans="1:27" ht="13.2">
      <c r="A243" s="88"/>
      <c r="B243" s="88"/>
      <c r="C243" s="88"/>
      <c r="D243" s="88"/>
      <c r="E243" s="88"/>
      <c r="F243" s="88"/>
      <c r="G243" s="88"/>
      <c r="H243" s="88"/>
      <c r="I243" s="88"/>
      <c r="J243" s="88"/>
      <c r="K243" s="88"/>
      <c r="L243" s="88"/>
      <c r="M243" s="88"/>
      <c r="N243" s="88"/>
      <c r="O243" s="88"/>
      <c r="P243" s="88"/>
      <c r="Q243" s="88"/>
      <c r="R243" s="88"/>
      <c r="S243" s="88"/>
      <c r="T243" s="88"/>
      <c r="U243" s="88"/>
      <c r="V243" s="88"/>
      <c r="W243" s="88"/>
      <c r="X243" s="88"/>
      <c r="Y243" s="88"/>
      <c r="Z243" s="88"/>
      <c r="AA243" s="88"/>
    </row>
    <row r="244" spans="1:27" ht="13.2">
      <c r="A244" s="88"/>
      <c r="B244" s="88"/>
      <c r="C244" s="88"/>
      <c r="D244" s="88"/>
      <c r="E244" s="88"/>
      <c r="F244" s="88"/>
      <c r="G244" s="88"/>
      <c r="H244" s="88"/>
      <c r="I244" s="88"/>
      <c r="J244" s="88"/>
      <c r="K244" s="88"/>
      <c r="L244" s="88"/>
      <c r="M244" s="88"/>
      <c r="N244" s="88"/>
      <c r="O244" s="88"/>
      <c r="P244" s="88"/>
      <c r="Q244" s="88"/>
      <c r="R244" s="88"/>
      <c r="S244" s="88"/>
      <c r="T244" s="88"/>
      <c r="U244" s="88"/>
      <c r="V244" s="88"/>
      <c r="W244" s="88"/>
      <c r="X244" s="88"/>
      <c r="Y244" s="88"/>
      <c r="Z244" s="88"/>
      <c r="AA244" s="88"/>
    </row>
    <row r="245" spans="1:27" ht="13.2">
      <c r="A245" s="88"/>
      <c r="B245" s="88"/>
      <c r="C245" s="88"/>
      <c r="D245" s="88"/>
      <c r="E245" s="88"/>
      <c r="F245" s="88"/>
      <c r="G245" s="88"/>
      <c r="H245" s="88"/>
      <c r="I245" s="88"/>
      <c r="J245" s="88"/>
      <c r="K245" s="88"/>
      <c r="L245" s="88"/>
      <c r="M245" s="88"/>
      <c r="N245" s="88"/>
      <c r="O245" s="88"/>
      <c r="P245" s="88"/>
      <c r="Q245" s="88"/>
      <c r="R245" s="88"/>
      <c r="S245" s="88"/>
      <c r="T245" s="88"/>
      <c r="U245" s="88"/>
      <c r="V245" s="88"/>
      <c r="W245" s="88"/>
      <c r="X245" s="88"/>
      <c r="Y245" s="88"/>
      <c r="Z245" s="88"/>
      <c r="AA245" s="88"/>
    </row>
    <row r="246" spans="1:27" ht="13.2">
      <c r="A246" s="88"/>
      <c r="B246" s="88"/>
      <c r="C246" s="88"/>
      <c r="D246" s="88"/>
      <c r="E246" s="88"/>
      <c r="F246" s="88"/>
      <c r="G246" s="88"/>
      <c r="H246" s="88"/>
      <c r="I246" s="88"/>
      <c r="J246" s="88"/>
      <c r="K246" s="88"/>
      <c r="L246" s="88"/>
      <c r="M246" s="88"/>
      <c r="N246" s="88"/>
      <c r="O246" s="88"/>
      <c r="P246" s="88"/>
      <c r="Q246" s="88"/>
      <c r="R246" s="88"/>
      <c r="S246" s="88"/>
      <c r="T246" s="88"/>
      <c r="U246" s="88"/>
      <c r="V246" s="88"/>
      <c r="W246" s="88"/>
      <c r="X246" s="88"/>
      <c r="Y246" s="88"/>
      <c r="Z246" s="88"/>
      <c r="AA246" s="88"/>
    </row>
    <row r="247" spans="1:27" ht="13.2">
      <c r="A247" s="88"/>
      <c r="B247" s="88"/>
      <c r="C247" s="88"/>
      <c r="D247" s="88"/>
      <c r="E247" s="88"/>
      <c r="F247" s="88"/>
      <c r="G247" s="88"/>
      <c r="H247" s="88"/>
      <c r="I247" s="88"/>
      <c r="J247" s="88"/>
      <c r="K247" s="88"/>
      <c r="L247" s="88"/>
      <c r="M247" s="88"/>
      <c r="N247" s="88"/>
      <c r="O247" s="88"/>
      <c r="P247" s="88"/>
      <c r="Q247" s="88"/>
      <c r="R247" s="88"/>
      <c r="S247" s="88"/>
      <c r="T247" s="88"/>
      <c r="U247" s="88"/>
      <c r="V247" s="88"/>
      <c r="W247" s="88"/>
      <c r="X247" s="88"/>
      <c r="Y247" s="88"/>
      <c r="Z247" s="88"/>
      <c r="AA247" s="88"/>
    </row>
    <row r="248" spans="1:27" ht="13.2">
      <c r="A248" s="88"/>
      <c r="B248" s="88"/>
      <c r="C248" s="88"/>
      <c r="D248" s="88"/>
      <c r="E248" s="88"/>
      <c r="F248" s="88"/>
      <c r="G248" s="88"/>
      <c r="H248" s="88"/>
      <c r="I248" s="88"/>
      <c r="J248" s="88"/>
      <c r="K248" s="88"/>
      <c r="L248" s="88"/>
      <c r="M248" s="88"/>
      <c r="N248" s="88"/>
      <c r="O248" s="88"/>
      <c r="P248" s="88"/>
      <c r="Q248" s="88"/>
      <c r="R248" s="88"/>
      <c r="S248" s="88"/>
      <c r="T248" s="88"/>
      <c r="U248" s="88"/>
      <c r="V248" s="88"/>
      <c r="W248" s="88"/>
      <c r="X248" s="88"/>
      <c r="Y248" s="88"/>
      <c r="Z248" s="88"/>
      <c r="AA248" s="88"/>
    </row>
    <row r="249" spans="1:27" ht="13.2">
      <c r="A249" s="88"/>
      <c r="B249" s="88"/>
      <c r="C249" s="88"/>
      <c r="D249" s="88"/>
      <c r="E249" s="88"/>
      <c r="F249" s="88"/>
      <c r="G249" s="88"/>
      <c r="H249" s="88"/>
      <c r="I249" s="88"/>
      <c r="J249" s="88"/>
      <c r="K249" s="88"/>
      <c r="L249" s="88"/>
      <c r="M249" s="88"/>
      <c r="N249" s="88"/>
      <c r="O249" s="88"/>
      <c r="P249" s="88"/>
      <c r="Q249" s="88"/>
      <c r="R249" s="88"/>
      <c r="S249" s="88"/>
      <c r="T249" s="88"/>
      <c r="U249" s="88"/>
      <c r="V249" s="88"/>
      <c r="W249" s="88"/>
      <c r="X249" s="88"/>
      <c r="Y249" s="88"/>
      <c r="Z249" s="88"/>
      <c r="AA249" s="88"/>
    </row>
    <row r="250" spans="1:27" ht="13.2">
      <c r="A250" s="88"/>
      <c r="B250" s="88"/>
      <c r="C250" s="88"/>
      <c r="D250" s="88"/>
      <c r="E250" s="88"/>
      <c r="F250" s="88"/>
      <c r="G250" s="88"/>
      <c r="H250" s="88"/>
      <c r="I250" s="88"/>
      <c r="J250" s="88"/>
      <c r="K250" s="88"/>
      <c r="L250" s="88"/>
      <c r="M250" s="88"/>
      <c r="N250" s="88"/>
      <c r="O250" s="88"/>
      <c r="P250" s="88"/>
      <c r="Q250" s="88"/>
      <c r="R250" s="88"/>
      <c r="S250" s="88"/>
      <c r="T250" s="88"/>
      <c r="U250" s="88"/>
      <c r="V250" s="88"/>
      <c r="W250" s="88"/>
      <c r="X250" s="88"/>
      <c r="Y250" s="88"/>
      <c r="Z250" s="88"/>
      <c r="AA250" s="88"/>
    </row>
    <row r="251" spans="1:27" ht="13.2">
      <c r="A251" s="88"/>
      <c r="B251" s="88"/>
      <c r="C251" s="88"/>
      <c r="D251" s="88"/>
      <c r="E251" s="88"/>
      <c r="F251" s="88"/>
      <c r="G251" s="88"/>
      <c r="H251" s="88"/>
      <c r="I251" s="88"/>
      <c r="J251" s="88"/>
      <c r="K251" s="88"/>
      <c r="L251" s="88"/>
      <c r="M251" s="88"/>
      <c r="N251" s="88"/>
      <c r="O251" s="88"/>
      <c r="P251" s="88"/>
      <c r="Q251" s="88"/>
      <c r="R251" s="88"/>
      <c r="S251" s="88"/>
      <c r="T251" s="88"/>
      <c r="U251" s="88"/>
      <c r="V251" s="88"/>
      <c r="W251" s="88"/>
      <c r="X251" s="88"/>
      <c r="Y251" s="88"/>
      <c r="Z251" s="88"/>
      <c r="AA251" s="88"/>
    </row>
    <row r="252" spans="1:27" ht="13.2">
      <c r="A252" s="88"/>
      <c r="B252" s="88"/>
      <c r="C252" s="88"/>
      <c r="D252" s="88"/>
      <c r="E252" s="88"/>
      <c r="F252" s="88"/>
      <c r="G252" s="88"/>
      <c r="H252" s="88"/>
      <c r="I252" s="88"/>
      <c r="J252" s="88"/>
      <c r="K252" s="88"/>
      <c r="L252" s="88"/>
      <c r="M252" s="88"/>
      <c r="N252" s="88"/>
      <c r="O252" s="88"/>
      <c r="P252" s="88"/>
      <c r="Q252" s="88"/>
      <c r="R252" s="88"/>
      <c r="S252" s="88"/>
      <c r="T252" s="88"/>
      <c r="U252" s="88"/>
      <c r="V252" s="88"/>
      <c r="W252" s="88"/>
      <c r="X252" s="88"/>
      <c r="Y252" s="88"/>
      <c r="Z252" s="88"/>
      <c r="AA252" s="88"/>
    </row>
    <row r="253" spans="1:27" ht="13.2">
      <c r="A253" s="88"/>
      <c r="B253" s="88"/>
      <c r="C253" s="88"/>
      <c r="D253" s="88"/>
      <c r="E253" s="88"/>
      <c r="F253" s="88"/>
      <c r="G253" s="88"/>
      <c r="H253" s="88"/>
      <c r="I253" s="88"/>
      <c r="J253" s="88"/>
      <c r="K253" s="88"/>
      <c r="L253" s="88"/>
      <c r="M253" s="88"/>
      <c r="N253" s="88"/>
      <c r="O253" s="88"/>
      <c r="P253" s="88"/>
      <c r="Q253" s="88"/>
      <c r="R253" s="88"/>
      <c r="S253" s="88"/>
      <c r="T253" s="88"/>
      <c r="U253" s="88"/>
      <c r="V253" s="88"/>
      <c r="W253" s="88"/>
      <c r="X253" s="88"/>
      <c r="Y253" s="88"/>
      <c r="Z253" s="88"/>
      <c r="AA253" s="88"/>
    </row>
    <row r="254" spans="1:27" ht="13.2">
      <c r="A254" s="88"/>
      <c r="B254" s="88"/>
      <c r="C254" s="88"/>
      <c r="D254" s="88"/>
      <c r="E254" s="88"/>
      <c r="F254" s="88"/>
      <c r="G254" s="88"/>
      <c r="H254" s="88"/>
      <c r="I254" s="88"/>
      <c r="J254" s="88"/>
      <c r="K254" s="88"/>
      <c r="L254" s="88"/>
      <c r="M254" s="88"/>
      <c r="N254" s="88"/>
      <c r="O254" s="88"/>
      <c r="P254" s="88"/>
      <c r="Q254" s="88"/>
      <c r="R254" s="88"/>
      <c r="S254" s="88"/>
      <c r="T254" s="88"/>
      <c r="U254" s="88"/>
      <c r="V254" s="88"/>
      <c r="W254" s="88"/>
      <c r="X254" s="88"/>
      <c r="Y254" s="88"/>
      <c r="Z254" s="88"/>
      <c r="AA254" s="88"/>
    </row>
    <row r="255" spans="1:27" ht="13.2">
      <c r="A255" s="88"/>
      <c r="B255" s="88"/>
      <c r="C255" s="88"/>
      <c r="D255" s="88"/>
      <c r="E255" s="88"/>
      <c r="F255" s="88"/>
      <c r="G255" s="88"/>
      <c r="H255" s="88"/>
      <c r="I255" s="88"/>
      <c r="J255" s="88"/>
      <c r="K255" s="88"/>
      <c r="L255" s="88"/>
      <c r="M255" s="88"/>
      <c r="N255" s="88"/>
      <c r="O255" s="88"/>
      <c r="P255" s="88"/>
      <c r="Q255" s="88"/>
      <c r="R255" s="88"/>
      <c r="S255" s="88"/>
      <c r="T255" s="88"/>
      <c r="U255" s="88"/>
      <c r="V255" s="88"/>
      <c r="W255" s="88"/>
      <c r="X255" s="88"/>
      <c r="Y255" s="88"/>
      <c r="Z255" s="88"/>
      <c r="AA255" s="88"/>
    </row>
    <row r="256" spans="1:27" ht="13.2">
      <c r="A256" s="88"/>
      <c r="B256" s="88"/>
      <c r="C256" s="88"/>
      <c r="D256" s="88"/>
      <c r="E256" s="88"/>
      <c r="F256" s="88"/>
      <c r="G256" s="88"/>
      <c r="H256" s="88"/>
      <c r="I256" s="88"/>
      <c r="J256" s="88"/>
      <c r="K256" s="88"/>
      <c r="L256" s="88"/>
      <c r="M256" s="88"/>
      <c r="N256" s="88"/>
      <c r="O256" s="88"/>
      <c r="P256" s="88"/>
      <c r="Q256" s="88"/>
      <c r="R256" s="88"/>
      <c r="S256" s="88"/>
      <c r="T256" s="88"/>
      <c r="U256" s="88"/>
      <c r="V256" s="88"/>
      <c r="W256" s="88"/>
      <c r="X256" s="88"/>
      <c r="Y256" s="88"/>
      <c r="Z256" s="88"/>
      <c r="AA256" s="88"/>
    </row>
    <row r="257" spans="1:27" ht="13.2">
      <c r="A257" s="88"/>
      <c r="B257" s="88"/>
      <c r="C257" s="88"/>
      <c r="D257" s="88"/>
      <c r="E257" s="88"/>
      <c r="F257" s="88"/>
      <c r="G257" s="88"/>
      <c r="H257" s="88"/>
      <c r="I257" s="88"/>
      <c r="J257" s="88"/>
      <c r="K257" s="88"/>
      <c r="L257" s="88"/>
      <c r="M257" s="88"/>
      <c r="N257" s="88"/>
      <c r="O257" s="88"/>
      <c r="P257" s="88"/>
      <c r="Q257" s="88"/>
      <c r="R257" s="88"/>
      <c r="S257" s="88"/>
      <c r="T257" s="88"/>
      <c r="U257" s="88"/>
      <c r="V257" s="88"/>
      <c r="W257" s="88"/>
      <c r="X257" s="88"/>
      <c r="Y257" s="88"/>
      <c r="Z257" s="88"/>
      <c r="AA257" s="88"/>
    </row>
    <row r="258" spans="1:27" ht="13.2">
      <c r="A258" s="88"/>
      <c r="B258" s="88"/>
      <c r="C258" s="88"/>
      <c r="D258" s="88"/>
      <c r="E258" s="88"/>
      <c r="F258" s="88"/>
      <c r="G258" s="88"/>
      <c r="H258" s="88"/>
      <c r="I258" s="88"/>
      <c r="J258" s="88"/>
      <c r="K258" s="88"/>
      <c r="L258" s="88"/>
      <c r="M258" s="88"/>
      <c r="N258" s="88"/>
      <c r="O258" s="88"/>
      <c r="P258" s="88"/>
      <c r="Q258" s="88"/>
      <c r="R258" s="88"/>
      <c r="S258" s="88"/>
      <c r="T258" s="88"/>
      <c r="U258" s="88"/>
      <c r="V258" s="88"/>
      <c r="W258" s="88"/>
      <c r="X258" s="88"/>
      <c r="Y258" s="88"/>
      <c r="Z258" s="88"/>
      <c r="AA258" s="88"/>
    </row>
    <row r="259" spans="1:27" ht="13.2">
      <c r="A259" s="88"/>
      <c r="B259" s="88"/>
      <c r="C259" s="88"/>
      <c r="D259" s="88"/>
      <c r="E259" s="88"/>
      <c r="F259" s="88"/>
      <c r="G259" s="88"/>
      <c r="H259" s="88"/>
      <c r="I259" s="88"/>
      <c r="J259" s="88"/>
      <c r="K259" s="88"/>
      <c r="L259" s="88"/>
      <c r="M259" s="88"/>
      <c r="N259" s="88"/>
      <c r="O259" s="88"/>
      <c r="P259" s="88"/>
      <c r="Q259" s="88"/>
      <c r="R259" s="88"/>
      <c r="S259" s="88"/>
      <c r="T259" s="88"/>
      <c r="U259" s="88"/>
      <c r="V259" s="88"/>
      <c r="W259" s="88"/>
      <c r="X259" s="88"/>
      <c r="Y259" s="88"/>
      <c r="Z259" s="88"/>
      <c r="AA259" s="88"/>
    </row>
    <row r="260" spans="1:27" ht="13.2">
      <c r="A260" s="88"/>
      <c r="B260" s="88"/>
      <c r="C260" s="88"/>
      <c r="D260" s="88"/>
      <c r="E260" s="88"/>
      <c r="F260" s="88"/>
      <c r="G260" s="88"/>
      <c r="H260" s="88"/>
      <c r="I260" s="88"/>
      <c r="J260" s="88"/>
      <c r="K260" s="88"/>
      <c r="L260" s="88"/>
      <c r="M260" s="88"/>
      <c r="N260" s="88"/>
      <c r="O260" s="88"/>
      <c r="P260" s="88"/>
      <c r="Q260" s="88"/>
      <c r="R260" s="88"/>
      <c r="S260" s="88"/>
      <c r="T260" s="88"/>
      <c r="U260" s="88"/>
      <c r="V260" s="88"/>
      <c r="W260" s="88"/>
      <c r="X260" s="88"/>
      <c r="Y260" s="88"/>
      <c r="Z260" s="88"/>
      <c r="AA260" s="88"/>
    </row>
    <row r="261" spans="1:27" ht="13.2">
      <c r="A261" s="88"/>
      <c r="B261" s="88"/>
      <c r="C261" s="88"/>
      <c r="D261" s="88"/>
      <c r="E261" s="88"/>
      <c r="F261" s="88"/>
      <c r="G261" s="88"/>
      <c r="H261" s="88"/>
      <c r="I261" s="88"/>
      <c r="J261" s="88"/>
      <c r="K261" s="88"/>
      <c r="L261" s="88"/>
      <c r="M261" s="88"/>
      <c r="N261" s="88"/>
      <c r="O261" s="88"/>
      <c r="P261" s="88"/>
      <c r="Q261" s="88"/>
      <c r="R261" s="88"/>
      <c r="S261" s="88"/>
      <c r="T261" s="88"/>
      <c r="U261" s="88"/>
      <c r="V261" s="88"/>
      <c r="W261" s="88"/>
      <c r="X261" s="88"/>
      <c r="Y261" s="88"/>
      <c r="Z261" s="88"/>
      <c r="AA261" s="88"/>
    </row>
    <row r="262" spans="1:27" ht="13.2">
      <c r="A262" s="88"/>
      <c r="B262" s="88"/>
      <c r="C262" s="88"/>
      <c r="D262" s="88"/>
      <c r="E262" s="88"/>
      <c r="F262" s="88"/>
      <c r="G262" s="88"/>
      <c r="H262" s="88"/>
      <c r="I262" s="88"/>
      <c r="J262" s="88"/>
      <c r="K262" s="88"/>
      <c r="L262" s="88"/>
      <c r="M262" s="88"/>
      <c r="N262" s="88"/>
      <c r="O262" s="88"/>
      <c r="P262" s="88"/>
      <c r="Q262" s="88"/>
      <c r="R262" s="88"/>
      <c r="S262" s="88"/>
      <c r="T262" s="88"/>
      <c r="U262" s="88"/>
      <c r="V262" s="88"/>
      <c r="W262" s="88"/>
      <c r="X262" s="88"/>
      <c r="Y262" s="88"/>
      <c r="Z262" s="88"/>
      <c r="AA262" s="88"/>
    </row>
    <row r="263" spans="1:27" ht="13.2">
      <c r="A263" s="88"/>
      <c r="B263" s="88"/>
      <c r="C263" s="88"/>
      <c r="D263" s="88"/>
      <c r="E263" s="88"/>
      <c r="F263" s="88"/>
      <c r="G263" s="88"/>
      <c r="H263" s="88"/>
      <c r="I263" s="88"/>
      <c r="J263" s="88"/>
      <c r="K263" s="88"/>
      <c r="L263" s="88"/>
      <c r="M263" s="88"/>
      <c r="N263" s="88"/>
      <c r="O263" s="88"/>
      <c r="P263" s="88"/>
      <c r="Q263" s="88"/>
      <c r="R263" s="88"/>
      <c r="S263" s="88"/>
      <c r="T263" s="88"/>
      <c r="U263" s="88"/>
      <c r="V263" s="88"/>
      <c r="W263" s="88"/>
      <c r="X263" s="88"/>
      <c r="Y263" s="88"/>
      <c r="Z263" s="88"/>
      <c r="AA263" s="88"/>
    </row>
    <row r="264" spans="1:27" ht="13.2">
      <c r="A264" s="88"/>
      <c r="B264" s="88"/>
      <c r="C264" s="88"/>
      <c r="D264" s="88"/>
      <c r="E264" s="88"/>
      <c r="F264" s="88"/>
      <c r="G264" s="88"/>
      <c r="H264" s="88"/>
      <c r="I264" s="88"/>
      <c r="J264" s="88"/>
      <c r="K264" s="88"/>
      <c r="L264" s="88"/>
      <c r="M264" s="88"/>
      <c r="N264" s="88"/>
      <c r="O264" s="88"/>
      <c r="P264" s="88"/>
      <c r="Q264" s="88"/>
      <c r="R264" s="88"/>
      <c r="S264" s="88"/>
      <c r="T264" s="88"/>
      <c r="U264" s="88"/>
      <c r="V264" s="88"/>
      <c r="W264" s="88"/>
      <c r="X264" s="88"/>
      <c r="Y264" s="88"/>
      <c r="Z264" s="88"/>
      <c r="AA264" s="88"/>
    </row>
    <row r="265" spans="1:27" ht="13.2">
      <c r="A265" s="88"/>
      <c r="B265" s="88"/>
      <c r="C265" s="88"/>
      <c r="D265" s="88"/>
      <c r="E265" s="88"/>
      <c r="F265" s="88"/>
      <c r="G265" s="88"/>
      <c r="H265" s="88"/>
      <c r="I265" s="88"/>
      <c r="J265" s="88"/>
      <c r="K265" s="88"/>
      <c r="L265" s="88"/>
      <c r="M265" s="88"/>
      <c r="N265" s="88"/>
      <c r="O265" s="88"/>
      <c r="P265" s="88"/>
      <c r="Q265" s="88"/>
      <c r="R265" s="88"/>
      <c r="S265" s="88"/>
      <c r="T265" s="88"/>
      <c r="U265" s="88"/>
      <c r="V265" s="88"/>
      <c r="W265" s="88"/>
      <c r="X265" s="88"/>
      <c r="Y265" s="88"/>
      <c r="Z265" s="88"/>
      <c r="AA265" s="88"/>
    </row>
    <row r="266" spans="1:27" ht="13.2">
      <c r="A266" s="88"/>
      <c r="B266" s="88"/>
      <c r="C266" s="88"/>
      <c r="D266" s="88"/>
      <c r="E266" s="88"/>
      <c r="F266" s="88"/>
      <c r="G266" s="88"/>
      <c r="H266" s="88"/>
      <c r="I266" s="88"/>
      <c r="J266" s="88"/>
      <c r="K266" s="88"/>
      <c r="L266" s="88"/>
      <c r="M266" s="88"/>
      <c r="N266" s="88"/>
      <c r="O266" s="88"/>
      <c r="P266" s="88"/>
      <c r="Q266" s="88"/>
      <c r="R266" s="88"/>
      <c r="S266" s="88"/>
      <c r="T266" s="88"/>
      <c r="U266" s="88"/>
      <c r="V266" s="88"/>
      <c r="W266" s="88"/>
      <c r="X266" s="88"/>
      <c r="Y266" s="88"/>
      <c r="Z266" s="88"/>
      <c r="AA266" s="88"/>
    </row>
    <row r="267" spans="1:27" ht="13.2">
      <c r="A267" s="88"/>
      <c r="B267" s="88"/>
      <c r="C267" s="88"/>
      <c r="D267" s="88"/>
      <c r="E267" s="88"/>
      <c r="F267" s="88"/>
      <c r="G267" s="88"/>
      <c r="H267" s="88"/>
      <c r="I267" s="88"/>
      <c r="J267" s="88"/>
      <c r="K267" s="88"/>
      <c r="L267" s="88"/>
      <c r="M267" s="88"/>
      <c r="N267" s="88"/>
      <c r="O267" s="88"/>
      <c r="P267" s="88"/>
      <c r="Q267" s="88"/>
      <c r="R267" s="88"/>
      <c r="S267" s="88"/>
      <c r="T267" s="88"/>
      <c r="U267" s="88"/>
      <c r="V267" s="88"/>
      <c r="W267" s="88"/>
      <c r="X267" s="88"/>
      <c r="Y267" s="88"/>
      <c r="Z267" s="88"/>
      <c r="AA267" s="88"/>
    </row>
    <row r="268" spans="1:27" ht="13.2">
      <c r="A268" s="88"/>
      <c r="B268" s="88"/>
      <c r="C268" s="88"/>
      <c r="D268" s="88"/>
      <c r="E268" s="88"/>
      <c r="F268" s="88"/>
      <c r="G268" s="88"/>
      <c r="H268" s="88"/>
      <c r="I268" s="88"/>
      <c r="J268" s="88"/>
      <c r="K268" s="88"/>
      <c r="L268" s="88"/>
      <c r="M268" s="88"/>
      <c r="N268" s="88"/>
      <c r="O268" s="88"/>
      <c r="P268" s="88"/>
      <c r="Q268" s="88"/>
      <c r="R268" s="88"/>
      <c r="S268" s="88"/>
      <c r="T268" s="88"/>
      <c r="U268" s="88"/>
      <c r="V268" s="88"/>
      <c r="W268" s="88"/>
      <c r="X268" s="88"/>
      <c r="Y268" s="88"/>
      <c r="Z268" s="88"/>
      <c r="AA268" s="88"/>
    </row>
    <row r="269" spans="1:27" ht="13.2">
      <c r="A269" s="88"/>
      <c r="B269" s="88"/>
      <c r="C269" s="88"/>
      <c r="D269" s="88"/>
      <c r="E269" s="88"/>
      <c r="F269" s="88"/>
      <c r="G269" s="88"/>
      <c r="H269" s="88"/>
      <c r="I269" s="88"/>
      <c r="J269" s="88"/>
      <c r="K269" s="88"/>
      <c r="L269" s="88"/>
      <c r="M269" s="88"/>
      <c r="N269" s="88"/>
      <c r="O269" s="88"/>
      <c r="P269" s="88"/>
      <c r="Q269" s="88"/>
      <c r="R269" s="88"/>
      <c r="S269" s="88"/>
      <c r="T269" s="88"/>
      <c r="U269" s="88"/>
      <c r="V269" s="88"/>
      <c r="W269" s="88"/>
      <c r="X269" s="88"/>
      <c r="Y269" s="88"/>
      <c r="Z269" s="88"/>
      <c r="AA269" s="88"/>
    </row>
    <row r="270" spans="1:27" ht="13.2">
      <c r="A270" s="88"/>
      <c r="B270" s="88"/>
      <c r="C270" s="88"/>
      <c r="D270" s="88"/>
      <c r="E270" s="88"/>
      <c r="F270" s="88"/>
      <c r="G270" s="88"/>
      <c r="H270" s="88"/>
      <c r="I270" s="88"/>
      <c r="J270" s="88"/>
      <c r="K270" s="88"/>
      <c r="L270" s="88"/>
      <c r="M270" s="88"/>
      <c r="N270" s="88"/>
      <c r="O270" s="88"/>
      <c r="P270" s="88"/>
      <c r="Q270" s="88"/>
      <c r="R270" s="88"/>
      <c r="S270" s="88"/>
      <c r="T270" s="88"/>
      <c r="U270" s="88"/>
      <c r="V270" s="88"/>
      <c r="W270" s="88"/>
      <c r="X270" s="88"/>
      <c r="Y270" s="88"/>
      <c r="Z270" s="88"/>
      <c r="AA270" s="88"/>
    </row>
    <row r="271" spans="1:27" ht="13.2">
      <c r="A271" s="88"/>
      <c r="B271" s="88"/>
      <c r="C271" s="88"/>
      <c r="D271" s="88"/>
      <c r="E271" s="88"/>
      <c r="F271" s="88"/>
      <c r="G271" s="88"/>
      <c r="H271" s="88"/>
      <c r="I271" s="88"/>
      <c r="J271" s="88"/>
      <c r="K271" s="88"/>
      <c r="L271" s="88"/>
      <c r="M271" s="88"/>
      <c r="N271" s="88"/>
      <c r="O271" s="88"/>
      <c r="P271" s="88"/>
      <c r="Q271" s="88"/>
      <c r="R271" s="88"/>
      <c r="S271" s="88"/>
      <c r="T271" s="88"/>
      <c r="U271" s="88"/>
      <c r="V271" s="88"/>
      <c r="W271" s="88"/>
      <c r="X271" s="88"/>
      <c r="Y271" s="88"/>
      <c r="Z271" s="88"/>
      <c r="AA271" s="88"/>
    </row>
    <row r="272" spans="1:27" ht="13.2">
      <c r="A272" s="88"/>
      <c r="B272" s="88"/>
      <c r="C272" s="88"/>
      <c r="D272" s="88"/>
      <c r="E272" s="88"/>
      <c r="F272" s="88"/>
      <c r="G272" s="88"/>
      <c r="H272" s="88"/>
      <c r="I272" s="88"/>
      <c r="J272" s="88"/>
      <c r="K272" s="88"/>
      <c r="L272" s="88"/>
      <c r="M272" s="88"/>
      <c r="N272" s="88"/>
      <c r="O272" s="88"/>
      <c r="P272" s="88"/>
      <c r="Q272" s="88"/>
      <c r="R272" s="88"/>
      <c r="S272" s="88"/>
      <c r="T272" s="88"/>
      <c r="U272" s="88"/>
      <c r="V272" s="88"/>
      <c r="W272" s="88"/>
      <c r="X272" s="88"/>
      <c r="Y272" s="88"/>
      <c r="Z272" s="88"/>
      <c r="AA272" s="88"/>
    </row>
    <row r="273" spans="1:27" ht="13.2">
      <c r="A273" s="88"/>
      <c r="B273" s="88"/>
      <c r="C273" s="88"/>
      <c r="D273" s="88"/>
      <c r="E273" s="88"/>
      <c r="F273" s="88"/>
      <c r="G273" s="88"/>
      <c r="H273" s="88"/>
      <c r="I273" s="88"/>
      <c r="J273" s="88"/>
      <c r="K273" s="88"/>
      <c r="L273" s="88"/>
      <c r="M273" s="88"/>
      <c r="N273" s="88"/>
      <c r="O273" s="88"/>
      <c r="P273" s="88"/>
      <c r="Q273" s="88"/>
      <c r="R273" s="88"/>
      <c r="S273" s="88"/>
      <c r="T273" s="88"/>
      <c r="U273" s="88"/>
      <c r="V273" s="88"/>
      <c r="W273" s="88"/>
      <c r="X273" s="88"/>
      <c r="Y273" s="88"/>
      <c r="Z273" s="88"/>
      <c r="AA273" s="88"/>
    </row>
    <row r="274" spans="1:27" ht="13.2">
      <c r="A274" s="88"/>
      <c r="B274" s="88"/>
      <c r="C274" s="88"/>
      <c r="D274" s="88"/>
      <c r="E274" s="88"/>
      <c r="F274" s="88"/>
      <c r="G274" s="88"/>
      <c r="H274" s="88"/>
      <c r="I274" s="88"/>
      <c r="J274" s="88"/>
      <c r="K274" s="88"/>
      <c r="L274" s="88"/>
      <c r="M274" s="88"/>
      <c r="N274" s="88"/>
      <c r="O274" s="88"/>
      <c r="P274" s="88"/>
      <c r="Q274" s="88"/>
      <c r="R274" s="88"/>
      <c r="S274" s="88"/>
      <c r="T274" s="88"/>
      <c r="U274" s="88"/>
      <c r="V274" s="88"/>
      <c r="W274" s="88"/>
      <c r="X274" s="88"/>
      <c r="Y274" s="88"/>
      <c r="Z274" s="88"/>
      <c r="AA274" s="88"/>
    </row>
    <row r="275" spans="1:27" ht="13.2">
      <c r="A275" s="88"/>
      <c r="B275" s="88"/>
      <c r="C275" s="88"/>
      <c r="D275" s="88"/>
      <c r="E275" s="88"/>
      <c r="F275" s="88"/>
      <c r="G275" s="88"/>
      <c r="H275" s="88"/>
      <c r="I275" s="88"/>
      <c r="J275" s="88"/>
      <c r="K275" s="88"/>
      <c r="L275" s="88"/>
      <c r="M275" s="88"/>
      <c r="N275" s="88"/>
      <c r="O275" s="88"/>
      <c r="P275" s="88"/>
      <c r="Q275" s="88"/>
      <c r="R275" s="88"/>
      <c r="S275" s="88"/>
      <c r="T275" s="88"/>
      <c r="U275" s="88"/>
      <c r="V275" s="88"/>
      <c r="W275" s="88"/>
      <c r="X275" s="88"/>
      <c r="Y275" s="88"/>
      <c r="Z275" s="88"/>
      <c r="AA275" s="88"/>
    </row>
    <row r="276" spans="1:27" ht="13.2">
      <c r="A276" s="88"/>
      <c r="B276" s="88"/>
      <c r="C276" s="88"/>
      <c r="D276" s="88"/>
      <c r="E276" s="88"/>
      <c r="F276" s="88"/>
      <c r="G276" s="88"/>
      <c r="H276" s="88"/>
      <c r="I276" s="88"/>
      <c r="J276" s="88"/>
      <c r="K276" s="88"/>
      <c r="L276" s="88"/>
      <c r="M276" s="88"/>
      <c r="N276" s="88"/>
      <c r="O276" s="88"/>
      <c r="P276" s="88"/>
      <c r="Q276" s="88"/>
      <c r="R276" s="88"/>
      <c r="S276" s="88"/>
      <c r="T276" s="88"/>
      <c r="U276" s="88"/>
      <c r="V276" s="88"/>
      <c r="W276" s="88"/>
      <c r="X276" s="88"/>
      <c r="Y276" s="88"/>
      <c r="Z276" s="88"/>
      <c r="AA276" s="88"/>
    </row>
    <row r="277" spans="1:27" ht="13.2">
      <c r="A277" s="88"/>
      <c r="B277" s="88"/>
      <c r="C277" s="88"/>
      <c r="D277" s="88"/>
      <c r="E277" s="88"/>
      <c r="F277" s="88"/>
      <c r="G277" s="88"/>
      <c r="H277" s="88"/>
      <c r="I277" s="88"/>
      <c r="J277" s="88"/>
      <c r="K277" s="88"/>
      <c r="L277" s="88"/>
      <c r="M277" s="88"/>
      <c r="N277" s="88"/>
      <c r="O277" s="88"/>
      <c r="P277" s="88"/>
      <c r="Q277" s="88"/>
      <c r="R277" s="88"/>
      <c r="S277" s="88"/>
      <c r="T277" s="88"/>
      <c r="U277" s="88"/>
      <c r="V277" s="88"/>
      <c r="W277" s="88"/>
      <c r="X277" s="88"/>
      <c r="Y277" s="88"/>
      <c r="Z277" s="88"/>
      <c r="AA277" s="88"/>
    </row>
    <row r="278" spans="1:27" ht="13.2">
      <c r="A278" s="88"/>
      <c r="B278" s="88"/>
      <c r="C278" s="88"/>
      <c r="D278" s="88"/>
      <c r="E278" s="88"/>
      <c r="F278" s="88"/>
      <c r="G278" s="88"/>
      <c r="H278" s="88"/>
      <c r="I278" s="88"/>
      <c r="J278" s="88"/>
      <c r="K278" s="88"/>
      <c r="L278" s="88"/>
      <c r="M278" s="88"/>
      <c r="N278" s="88"/>
      <c r="O278" s="88"/>
      <c r="P278" s="88"/>
      <c r="Q278" s="88"/>
      <c r="R278" s="88"/>
      <c r="S278" s="88"/>
      <c r="T278" s="88"/>
      <c r="U278" s="88"/>
      <c r="V278" s="88"/>
      <c r="W278" s="88"/>
      <c r="X278" s="88"/>
      <c r="Y278" s="88"/>
      <c r="Z278" s="88"/>
      <c r="AA278" s="88"/>
    </row>
    <row r="279" spans="1:27" ht="13.2">
      <c r="A279" s="88"/>
      <c r="B279" s="88"/>
      <c r="C279" s="88"/>
      <c r="D279" s="88"/>
      <c r="E279" s="88"/>
      <c r="F279" s="88"/>
      <c r="G279" s="88"/>
      <c r="H279" s="88"/>
      <c r="I279" s="88"/>
      <c r="J279" s="88"/>
      <c r="K279" s="88"/>
      <c r="L279" s="88"/>
      <c r="M279" s="88"/>
      <c r="N279" s="88"/>
      <c r="O279" s="88"/>
      <c r="P279" s="88"/>
      <c r="Q279" s="88"/>
      <c r="R279" s="88"/>
      <c r="S279" s="88"/>
      <c r="T279" s="88"/>
      <c r="U279" s="88"/>
      <c r="V279" s="88"/>
      <c r="W279" s="88"/>
      <c r="X279" s="88"/>
      <c r="Y279" s="88"/>
      <c r="Z279" s="88"/>
      <c r="AA279" s="88"/>
    </row>
    <row r="280" spans="1:27" ht="13.2">
      <c r="A280" s="88"/>
      <c r="B280" s="88"/>
      <c r="C280" s="88"/>
      <c r="D280" s="88"/>
      <c r="E280" s="88"/>
      <c r="F280" s="88"/>
      <c r="G280" s="88"/>
      <c r="H280" s="88"/>
      <c r="I280" s="88"/>
      <c r="J280" s="88"/>
      <c r="K280" s="88"/>
      <c r="L280" s="88"/>
      <c r="M280" s="88"/>
      <c r="N280" s="88"/>
      <c r="O280" s="88"/>
      <c r="P280" s="88"/>
      <c r="Q280" s="88"/>
      <c r="R280" s="88"/>
      <c r="S280" s="88"/>
      <c r="T280" s="88"/>
      <c r="U280" s="88"/>
      <c r="V280" s="88"/>
      <c r="W280" s="88"/>
      <c r="X280" s="88"/>
      <c r="Y280" s="88"/>
      <c r="Z280" s="88"/>
      <c r="AA280" s="88"/>
    </row>
    <row r="281" spans="1:27" ht="13.2">
      <c r="A281" s="88"/>
      <c r="B281" s="88"/>
      <c r="C281" s="88"/>
      <c r="D281" s="88"/>
      <c r="E281" s="88"/>
      <c r="F281" s="88"/>
      <c r="G281" s="88"/>
      <c r="H281" s="88"/>
      <c r="I281" s="88"/>
      <c r="J281" s="88"/>
      <c r="K281" s="88"/>
      <c r="L281" s="88"/>
      <c r="M281" s="88"/>
      <c r="N281" s="88"/>
      <c r="O281" s="88"/>
      <c r="P281" s="88"/>
      <c r="Q281" s="88"/>
      <c r="R281" s="88"/>
      <c r="S281" s="88"/>
      <c r="T281" s="88"/>
      <c r="U281" s="88"/>
      <c r="V281" s="88"/>
      <c r="W281" s="88"/>
      <c r="X281" s="88"/>
      <c r="Y281" s="88"/>
      <c r="Z281" s="88"/>
      <c r="AA281" s="88"/>
    </row>
    <row r="282" spans="1:27" ht="13.2">
      <c r="A282" s="88"/>
      <c r="B282" s="88"/>
      <c r="C282" s="88"/>
      <c r="D282" s="88"/>
      <c r="E282" s="88"/>
      <c r="F282" s="88"/>
      <c r="G282" s="88"/>
      <c r="H282" s="88"/>
      <c r="I282" s="88"/>
      <c r="J282" s="88"/>
      <c r="K282" s="88"/>
      <c r="L282" s="88"/>
      <c r="M282" s="88"/>
      <c r="N282" s="88"/>
      <c r="O282" s="88"/>
      <c r="P282" s="88"/>
      <c r="Q282" s="88"/>
      <c r="R282" s="88"/>
      <c r="S282" s="88"/>
      <c r="T282" s="88"/>
      <c r="U282" s="88"/>
      <c r="V282" s="88"/>
      <c r="W282" s="88"/>
      <c r="X282" s="88"/>
      <c r="Y282" s="88"/>
      <c r="Z282" s="88"/>
      <c r="AA282" s="88"/>
    </row>
    <row r="283" spans="1:27" ht="13.2">
      <c r="A283" s="88"/>
      <c r="B283" s="88"/>
      <c r="C283" s="88"/>
      <c r="D283" s="88"/>
      <c r="E283" s="88"/>
      <c r="F283" s="88"/>
      <c r="G283" s="88"/>
      <c r="H283" s="88"/>
      <c r="I283" s="88"/>
      <c r="J283" s="88"/>
      <c r="K283" s="88"/>
      <c r="L283" s="88"/>
      <c r="M283" s="88"/>
      <c r="N283" s="88"/>
      <c r="O283" s="88"/>
      <c r="P283" s="88"/>
      <c r="Q283" s="88"/>
      <c r="R283" s="88"/>
      <c r="S283" s="88"/>
      <c r="T283" s="88"/>
      <c r="U283" s="88"/>
      <c r="V283" s="88"/>
      <c r="W283" s="88"/>
      <c r="X283" s="88"/>
      <c r="Y283" s="88"/>
      <c r="Z283" s="88"/>
      <c r="AA283" s="88"/>
    </row>
    <row r="284" spans="1:27" ht="13.2">
      <c r="A284" s="88"/>
      <c r="B284" s="88"/>
      <c r="C284" s="88"/>
      <c r="D284" s="88"/>
      <c r="E284" s="88"/>
      <c r="F284" s="88"/>
      <c r="G284" s="88"/>
      <c r="H284" s="88"/>
      <c r="I284" s="88"/>
      <c r="J284" s="88"/>
      <c r="K284" s="88"/>
      <c r="L284" s="88"/>
      <c r="M284" s="88"/>
      <c r="N284" s="88"/>
      <c r="O284" s="88"/>
      <c r="P284" s="88"/>
      <c r="Q284" s="88"/>
      <c r="R284" s="88"/>
      <c r="S284" s="88"/>
      <c r="T284" s="88"/>
      <c r="U284" s="88"/>
      <c r="V284" s="88"/>
      <c r="W284" s="88"/>
      <c r="X284" s="88"/>
      <c r="Y284" s="88"/>
      <c r="Z284" s="88"/>
      <c r="AA284" s="88"/>
    </row>
    <row r="285" spans="1:27" ht="13.2">
      <c r="A285" s="88"/>
      <c r="B285" s="88"/>
      <c r="C285" s="88"/>
      <c r="D285" s="88"/>
      <c r="E285" s="88"/>
      <c r="F285" s="88"/>
      <c r="G285" s="88"/>
      <c r="H285" s="88"/>
      <c r="I285" s="88"/>
      <c r="J285" s="88"/>
      <c r="K285" s="88"/>
      <c r="L285" s="88"/>
      <c r="M285" s="88"/>
      <c r="N285" s="88"/>
      <c r="O285" s="88"/>
      <c r="P285" s="88"/>
      <c r="Q285" s="88"/>
      <c r="R285" s="88"/>
      <c r="S285" s="88"/>
      <c r="T285" s="88"/>
      <c r="U285" s="88"/>
      <c r="V285" s="88"/>
      <c r="W285" s="88"/>
      <c r="X285" s="88"/>
      <c r="Y285" s="88"/>
      <c r="Z285" s="88"/>
      <c r="AA285" s="88"/>
    </row>
    <row r="286" spans="1:27" ht="13.2">
      <c r="A286" s="88"/>
      <c r="B286" s="88"/>
      <c r="C286" s="88"/>
      <c r="D286" s="88"/>
      <c r="E286" s="88"/>
      <c r="F286" s="88"/>
      <c r="G286" s="88"/>
      <c r="H286" s="88"/>
      <c r="I286" s="88"/>
      <c r="J286" s="88"/>
      <c r="K286" s="88"/>
      <c r="L286" s="88"/>
      <c r="M286" s="88"/>
      <c r="N286" s="88"/>
      <c r="O286" s="88"/>
      <c r="P286" s="88"/>
      <c r="Q286" s="88"/>
      <c r="R286" s="88"/>
      <c r="S286" s="88"/>
      <c r="T286" s="88"/>
      <c r="U286" s="88"/>
      <c r="V286" s="88"/>
      <c r="W286" s="88"/>
      <c r="X286" s="88"/>
      <c r="Y286" s="88"/>
      <c r="Z286" s="88"/>
      <c r="AA286" s="88"/>
    </row>
    <row r="287" spans="1:27" ht="13.2">
      <c r="A287" s="88"/>
      <c r="B287" s="88"/>
      <c r="C287" s="88"/>
      <c r="D287" s="88"/>
      <c r="E287" s="88"/>
      <c r="F287" s="88"/>
      <c r="G287" s="88"/>
      <c r="H287" s="88"/>
      <c r="I287" s="88"/>
      <c r="J287" s="88"/>
      <c r="K287" s="88"/>
      <c r="L287" s="88"/>
      <c r="M287" s="88"/>
      <c r="N287" s="88"/>
      <c r="O287" s="88"/>
      <c r="P287" s="88"/>
      <c r="Q287" s="88"/>
      <c r="R287" s="88"/>
      <c r="S287" s="88"/>
      <c r="T287" s="88"/>
      <c r="U287" s="88"/>
      <c r="V287" s="88"/>
      <c r="W287" s="88"/>
      <c r="X287" s="88"/>
      <c r="Y287" s="88"/>
      <c r="Z287" s="88"/>
      <c r="AA287" s="88"/>
    </row>
    <row r="288" spans="1:27" ht="13.2">
      <c r="A288" s="88"/>
      <c r="B288" s="88"/>
      <c r="C288" s="88"/>
      <c r="D288" s="88"/>
      <c r="E288" s="88"/>
      <c r="F288" s="88"/>
      <c r="G288" s="88"/>
      <c r="H288" s="88"/>
      <c r="I288" s="88"/>
      <c r="J288" s="88"/>
      <c r="K288" s="88"/>
      <c r="L288" s="88"/>
      <c r="M288" s="88"/>
      <c r="N288" s="88"/>
      <c r="O288" s="88"/>
      <c r="P288" s="88"/>
      <c r="Q288" s="88"/>
      <c r="R288" s="88"/>
      <c r="S288" s="88"/>
      <c r="T288" s="88"/>
      <c r="U288" s="88"/>
      <c r="V288" s="88"/>
      <c r="W288" s="88"/>
      <c r="X288" s="88"/>
      <c r="Y288" s="88"/>
      <c r="Z288" s="88"/>
      <c r="AA288" s="88"/>
    </row>
    <row r="289" spans="1:27" ht="13.2">
      <c r="A289" s="88"/>
      <c r="B289" s="88"/>
      <c r="C289" s="88"/>
      <c r="D289" s="88"/>
      <c r="E289" s="88"/>
      <c r="F289" s="88"/>
      <c r="G289" s="88"/>
      <c r="H289" s="88"/>
      <c r="I289" s="88"/>
      <c r="J289" s="88"/>
      <c r="K289" s="88"/>
      <c r="L289" s="88"/>
      <c r="M289" s="88"/>
      <c r="N289" s="88"/>
      <c r="O289" s="88"/>
      <c r="P289" s="88"/>
      <c r="Q289" s="88"/>
      <c r="R289" s="88"/>
      <c r="S289" s="88"/>
      <c r="T289" s="88"/>
      <c r="U289" s="88"/>
      <c r="V289" s="88"/>
      <c r="W289" s="88"/>
      <c r="X289" s="88"/>
      <c r="Y289" s="88"/>
      <c r="Z289" s="88"/>
      <c r="AA289" s="88"/>
    </row>
    <row r="290" spans="1:27" ht="13.2">
      <c r="A290" s="88"/>
      <c r="B290" s="88"/>
      <c r="C290" s="88"/>
      <c r="D290" s="88"/>
      <c r="E290" s="88"/>
      <c r="F290" s="88"/>
      <c r="G290" s="88"/>
      <c r="H290" s="88"/>
      <c r="I290" s="88"/>
      <c r="J290" s="88"/>
      <c r="K290" s="88"/>
      <c r="L290" s="88"/>
      <c r="M290" s="88"/>
      <c r="N290" s="88"/>
      <c r="O290" s="88"/>
      <c r="P290" s="88"/>
      <c r="Q290" s="88"/>
      <c r="R290" s="88"/>
      <c r="S290" s="88"/>
      <c r="T290" s="88"/>
      <c r="U290" s="88"/>
      <c r="V290" s="88"/>
      <c r="W290" s="88"/>
      <c r="X290" s="88"/>
      <c r="Y290" s="88"/>
      <c r="Z290" s="88"/>
      <c r="AA290" s="88"/>
    </row>
    <row r="291" spans="1:27" ht="13.2">
      <c r="A291" s="88"/>
      <c r="B291" s="88"/>
      <c r="C291" s="88"/>
      <c r="D291" s="88"/>
      <c r="E291" s="88"/>
      <c r="F291" s="88"/>
      <c r="G291" s="88"/>
      <c r="H291" s="88"/>
      <c r="I291" s="88"/>
      <c r="J291" s="88"/>
      <c r="K291" s="88"/>
      <c r="L291" s="88"/>
      <c r="M291" s="88"/>
      <c r="N291" s="88"/>
      <c r="O291" s="88"/>
      <c r="P291" s="88"/>
      <c r="Q291" s="88"/>
      <c r="R291" s="88"/>
      <c r="S291" s="88"/>
      <c r="T291" s="88"/>
      <c r="U291" s="88"/>
      <c r="V291" s="88"/>
      <c r="W291" s="88"/>
      <c r="X291" s="88"/>
      <c r="Y291" s="88"/>
      <c r="Z291" s="88"/>
      <c r="AA291" s="88"/>
    </row>
    <row r="292" spans="1:27" ht="13.2">
      <c r="A292" s="88"/>
      <c r="B292" s="88"/>
      <c r="C292" s="88"/>
      <c r="D292" s="88"/>
      <c r="E292" s="88"/>
      <c r="F292" s="88"/>
      <c r="G292" s="88"/>
      <c r="H292" s="88"/>
      <c r="I292" s="88"/>
      <c r="J292" s="88"/>
      <c r="K292" s="88"/>
      <c r="L292" s="88"/>
      <c r="M292" s="88"/>
      <c r="N292" s="88"/>
      <c r="O292" s="88"/>
      <c r="P292" s="88"/>
      <c r="Q292" s="88"/>
      <c r="R292" s="88"/>
      <c r="S292" s="88"/>
      <c r="T292" s="88"/>
      <c r="U292" s="88"/>
      <c r="V292" s="88"/>
      <c r="W292" s="88"/>
      <c r="X292" s="88"/>
      <c r="Y292" s="88"/>
      <c r="Z292" s="88"/>
      <c r="AA292" s="88"/>
    </row>
    <row r="293" spans="1:27" ht="13.2">
      <c r="A293" s="88"/>
      <c r="B293" s="88"/>
      <c r="C293" s="88"/>
      <c r="D293" s="88"/>
      <c r="E293" s="88"/>
      <c r="F293" s="88"/>
      <c r="G293" s="88"/>
      <c r="H293" s="88"/>
      <c r="I293" s="88"/>
      <c r="J293" s="88"/>
      <c r="K293" s="88"/>
      <c r="L293" s="88"/>
      <c r="M293" s="88"/>
      <c r="N293" s="88"/>
      <c r="O293" s="88"/>
      <c r="P293" s="88"/>
      <c r="Q293" s="88"/>
      <c r="R293" s="88"/>
      <c r="S293" s="88"/>
      <c r="T293" s="88"/>
      <c r="U293" s="88"/>
      <c r="V293" s="88"/>
      <c r="W293" s="88"/>
      <c r="X293" s="88"/>
      <c r="Y293" s="88"/>
      <c r="Z293" s="88"/>
      <c r="AA293" s="88"/>
    </row>
    <row r="294" spans="1:27" ht="13.2">
      <c r="A294" s="88"/>
      <c r="B294" s="88"/>
      <c r="C294" s="88"/>
      <c r="D294" s="88"/>
      <c r="E294" s="88"/>
      <c r="F294" s="88"/>
      <c r="G294" s="88"/>
      <c r="H294" s="88"/>
      <c r="I294" s="88"/>
      <c r="J294" s="88"/>
      <c r="K294" s="88"/>
      <c r="L294" s="88"/>
      <c r="M294" s="88"/>
      <c r="N294" s="88"/>
      <c r="O294" s="88"/>
      <c r="P294" s="88"/>
      <c r="Q294" s="88"/>
      <c r="R294" s="88"/>
      <c r="S294" s="88"/>
      <c r="T294" s="88"/>
      <c r="U294" s="88"/>
      <c r="V294" s="88"/>
      <c r="W294" s="88"/>
      <c r="X294" s="88"/>
      <c r="Y294" s="88"/>
      <c r="Z294" s="88"/>
      <c r="AA294" s="88"/>
    </row>
    <row r="295" spans="1:27" ht="13.2">
      <c r="A295" s="88"/>
      <c r="B295" s="88"/>
      <c r="C295" s="88"/>
      <c r="D295" s="88"/>
      <c r="E295" s="88"/>
      <c r="F295" s="88"/>
      <c r="G295" s="88"/>
      <c r="H295" s="88"/>
      <c r="I295" s="88"/>
      <c r="J295" s="88"/>
      <c r="K295" s="88"/>
      <c r="L295" s="88"/>
      <c r="M295" s="88"/>
      <c r="N295" s="88"/>
      <c r="O295" s="88"/>
      <c r="P295" s="88"/>
      <c r="Q295" s="88"/>
      <c r="R295" s="88"/>
      <c r="S295" s="88"/>
      <c r="T295" s="88"/>
      <c r="U295" s="88"/>
      <c r="V295" s="88"/>
      <c r="W295" s="88"/>
      <c r="X295" s="88"/>
      <c r="Y295" s="88"/>
      <c r="Z295" s="88"/>
      <c r="AA295" s="88"/>
    </row>
    <row r="296" spans="1:27" ht="13.2">
      <c r="A296" s="88"/>
      <c r="B296" s="88"/>
      <c r="C296" s="88"/>
      <c r="D296" s="88"/>
      <c r="E296" s="88"/>
      <c r="F296" s="88"/>
      <c r="G296" s="88"/>
      <c r="H296" s="88"/>
      <c r="I296" s="88"/>
      <c r="J296" s="88"/>
      <c r="K296" s="88"/>
      <c r="L296" s="88"/>
      <c r="M296" s="88"/>
      <c r="N296" s="88"/>
      <c r="O296" s="88"/>
      <c r="P296" s="88"/>
      <c r="Q296" s="88"/>
      <c r="R296" s="88"/>
      <c r="S296" s="88"/>
      <c r="T296" s="88"/>
      <c r="U296" s="88"/>
      <c r="V296" s="88"/>
      <c r="W296" s="88"/>
      <c r="X296" s="88"/>
      <c r="Y296" s="88"/>
      <c r="Z296" s="88"/>
      <c r="AA296" s="88"/>
    </row>
    <row r="297" spans="1:27" ht="13.2">
      <c r="A297" s="88"/>
      <c r="B297" s="88"/>
      <c r="C297" s="88"/>
      <c r="D297" s="88"/>
      <c r="E297" s="88"/>
      <c r="F297" s="88"/>
      <c r="G297" s="88"/>
      <c r="H297" s="88"/>
      <c r="I297" s="88"/>
      <c r="J297" s="88"/>
      <c r="K297" s="88"/>
      <c r="L297" s="88"/>
      <c r="M297" s="88"/>
      <c r="N297" s="88"/>
      <c r="O297" s="88"/>
      <c r="P297" s="88"/>
      <c r="Q297" s="88"/>
      <c r="R297" s="88"/>
      <c r="S297" s="88"/>
      <c r="T297" s="88"/>
      <c r="U297" s="88"/>
      <c r="V297" s="88"/>
      <c r="W297" s="88"/>
      <c r="X297" s="88"/>
      <c r="Y297" s="88"/>
      <c r="Z297" s="88"/>
      <c r="AA297" s="88"/>
    </row>
    <row r="298" spans="1:27" ht="13.2">
      <c r="A298" s="88"/>
      <c r="B298" s="88"/>
      <c r="C298" s="88"/>
      <c r="D298" s="88"/>
      <c r="E298" s="88"/>
      <c r="F298" s="88"/>
      <c r="G298" s="88"/>
      <c r="H298" s="88"/>
      <c r="I298" s="88"/>
      <c r="J298" s="88"/>
      <c r="K298" s="88"/>
      <c r="L298" s="88"/>
      <c r="M298" s="88"/>
      <c r="N298" s="88"/>
      <c r="O298" s="88"/>
      <c r="P298" s="88"/>
      <c r="Q298" s="88"/>
      <c r="R298" s="88"/>
      <c r="S298" s="88"/>
      <c r="T298" s="88"/>
      <c r="U298" s="88"/>
      <c r="V298" s="88"/>
      <c r="W298" s="88"/>
      <c r="X298" s="88"/>
      <c r="Y298" s="88"/>
      <c r="Z298" s="88"/>
      <c r="AA298" s="88"/>
    </row>
    <row r="299" spans="1:27" ht="13.2">
      <c r="A299" s="88"/>
      <c r="B299" s="88"/>
      <c r="C299" s="88"/>
      <c r="D299" s="88"/>
      <c r="E299" s="88"/>
      <c r="F299" s="88"/>
      <c r="G299" s="88"/>
      <c r="H299" s="88"/>
      <c r="I299" s="88"/>
      <c r="J299" s="88"/>
      <c r="K299" s="88"/>
      <c r="L299" s="88"/>
      <c r="M299" s="88"/>
      <c r="N299" s="88"/>
      <c r="O299" s="88"/>
      <c r="P299" s="88"/>
      <c r="Q299" s="88"/>
      <c r="R299" s="88"/>
      <c r="S299" s="88"/>
      <c r="T299" s="88"/>
      <c r="U299" s="88"/>
      <c r="V299" s="88"/>
      <c r="W299" s="88"/>
      <c r="X299" s="88"/>
      <c r="Y299" s="88"/>
      <c r="Z299" s="88"/>
      <c r="AA299" s="88"/>
    </row>
    <row r="300" spans="1:27" ht="13.2">
      <c r="A300" s="88"/>
      <c r="B300" s="88"/>
      <c r="C300" s="88"/>
      <c r="D300" s="88"/>
      <c r="E300" s="88"/>
      <c r="F300" s="88"/>
      <c r="G300" s="88"/>
      <c r="H300" s="88"/>
      <c r="I300" s="88"/>
      <c r="J300" s="88"/>
      <c r="K300" s="88"/>
      <c r="L300" s="88"/>
      <c r="M300" s="88"/>
      <c r="N300" s="88"/>
      <c r="O300" s="88"/>
      <c r="P300" s="88"/>
      <c r="Q300" s="88"/>
      <c r="R300" s="88"/>
      <c r="S300" s="88"/>
      <c r="T300" s="88"/>
      <c r="U300" s="88"/>
      <c r="V300" s="88"/>
      <c r="W300" s="88"/>
      <c r="X300" s="88"/>
      <c r="Y300" s="88"/>
      <c r="Z300" s="88"/>
      <c r="AA300" s="88"/>
    </row>
    <row r="301" spans="1:27" ht="13.2">
      <c r="A301" s="88"/>
      <c r="B301" s="88"/>
      <c r="C301" s="88"/>
      <c r="D301" s="88"/>
      <c r="E301" s="88"/>
      <c r="F301" s="88"/>
      <c r="G301" s="88"/>
      <c r="H301" s="88"/>
      <c r="I301" s="88"/>
      <c r="J301" s="88"/>
      <c r="K301" s="88"/>
      <c r="L301" s="88"/>
      <c r="M301" s="88"/>
      <c r="N301" s="88"/>
      <c r="O301" s="88"/>
      <c r="P301" s="88"/>
      <c r="Q301" s="88"/>
      <c r="R301" s="88"/>
      <c r="S301" s="88"/>
      <c r="T301" s="88"/>
      <c r="U301" s="88"/>
      <c r="V301" s="88"/>
      <c r="W301" s="88"/>
      <c r="X301" s="88"/>
      <c r="Y301" s="88"/>
      <c r="Z301" s="88"/>
      <c r="AA301" s="88"/>
    </row>
    <row r="302" spans="1:27" ht="13.2">
      <c r="A302" s="88"/>
      <c r="B302" s="88"/>
      <c r="C302" s="88"/>
      <c r="D302" s="88"/>
      <c r="E302" s="88"/>
      <c r="F302" s="88"/>
      <c r="G302" s="88"/>
      <c r="H302" s="88"/>
      <c r="I302" s="88"/>
      <c r="J302" s="88"/>
      <c r="K302" s="88"/>
      <c r="L302" s="88"/>
      <c r="M302" s="88"/>
      <c r="N302" s="88"/>
      <c r="O302" s="88"/>
      <c r="P302" s="88"/>
      <c r="Q302" s="88"/>
      <c r="R302" s="88"/>
      <c r="S302" s="88"/>
      <c r="T302" s="88"/>
      <c r="U302" s="88"/>
      <c r="V302" s="88"/>
      <c r="W302" s="88"/>
      <c r="X302" s="88"/>
      <c r="Y302" s="88"/>
      <c r="Z302" s="88"/>
      <c r="AA302" s="88"/>
    </row>
    <row r="303" spans="1:27" ht="13.2">
      <c r="A303" s="88"/>
      <c r="B303" s="88"/>
      <c r="C303" s="88"/>
      <c r="D303" s="88"/>
      <c r="E303" s="88"/>
      <c r="F303" s="88"/>
      <c r="G303" s="88"/>
      <c r="H303" s="88"/>
      <c r="I303" s="88"/>
      <c r="J303" s="88"/>
      <c r="K303" s="88"/>
      <c r="L303" s="88"/>
      <c r="M303" s="88"/>
      <c r="N303" s="88"/>
      <c r="O303" s="88"/>
      <c r="P303" s="88"/>
      <c r="Q303" s="88"/>
      <c r="R303" s="88"/>
      <c r="S303" s="88"/>
      <c r="T303" s="88"/>
      <c r="U303" s="88"/>
      <c r="V303" s="88"/>
      <c r="W303" s="88"/>
      <c r="X303" s="88"/>
      <c r="Y303" s="88"/>
      <c r="Z303" s="88"/>
      <c r="AA303" s="88"/>
    </row>
    <row r="304" spans="1:27" ht="13.2">
      <c r="A304" s="88"/>
      <c r="B304" s="88"/>
      <c r="C304" s="88"/>
      <c r="D304" s="88"/>
      <c r="E304" s="88"/>
      <c r="F304" s="88"/>
      <c r="G304" s="88"/>
      <c r="H304" s="88"/>
      <c r="I304" s="88"/>
      <c r="J304" s="88"/>
      <c r="K304" s="88"/>
      <c r="L304" s="88"/>
      <c r="M304" s="88"/>
      <c r="N304" s="88"/>
      <c r="O304" s="88"/>
      <c r="P304" s="88"/>
      <c r="Q304" s="88"/>
      <c r="R304" s="88"/>
      <c r="S304" s="88"/>
      <c r="T304" s="88"/>
      <c r="U304" s="88"/>
      <c r="V304" s="88"/>
      <c r="W304" s="88"/>
      <c r="X304" s="88"/>
      <c r="Y304" s="88"/>
      <c r="Z304" s="88"/>
      <c r="AA304" s="88"/>
    </row>
    <row r="305" spans="1:27" ht="13.2">
      <c r="A305" s="88"/>
      <c r="B305" s="88"/>
      <c r="C305" s="88"/>
      <c r="D305" s="88"/>
      <c r="E305" s="88"/>
      <c r="F305" s="88"/>
      <c r="G305" s="88"/>
      <c r="H305" s="88"/>
      <c r="I305" s="88"/>
      <c r="J305" s="88"/>
      <c r="K305" s="88"/>
      <c r="L305" s="88"/>
      <c r="M305" s="88"/>
      <c r="N305" s="88"/>
      <c r="O305" s="88"/>
      <c r="P305" s="88"/>
      <c r="Q305" s="88"/>
      <c r="R305" s="88"/>
      <c r="S305" s="88"/>
      <c r="T305" s="88"/>
      <c r="U305" s="88"/>
      <c r="V305" s="88"/>
      <c r="W305" s="88"/>
      <c r="X305" s="88"/>
      <c r="Y305" s="88"/>
      <c r="Z305" s="88"/>
      <c r="AA305" s="88"/>
    </row>
    <row r="306" spans="1:27" ht="13.2">
      <c r="A306" s="88"/>
      <c r="B306" s="88"/>
      <c r="C306" s="88"/>
      <c r="D306" s="88"/>
      <c r="E306" s="88"/>
      <c r="F306" s="88"/>
      <c r="G306" s="88"/>
      <c r="H306" s="88"/>
      <c r="I306" s="88"/>
      <c r="J306" s="88"/>
      <c r="K306" s="88"/>
      <c r="L306" s="88"/>
      <c r="M306" s="88"/>
      <c r="N306" s="88"/>
      <c r="O306" s="88"/>
      <c r="P306" s="88"/>
      <c r="Q306" s="88"/>
      <c r="R306" s="88"/>
      <c r="S306" s="88"/>
      <c r="T306" s="88"/>
      <c r="U306" s="88"/>
      <c r="V306" s="88"/>
      <c r="W306" s="88"/>
      <c r="X306" s="88"/>
      <c r="Y306" s="88"/>
      <c r="Z306" s="88"/>
      <c r="AA306" s="88"/>
    </row>
    <row r="307" spans="1:27" ht="13.2">
      <c r="A307" s="88"/>
      <c r="B307" s="88"/>
      <c r="C307" s="88"/>
      <c r="D307" s="88"/>
      <c r="E307" s="88"/>
      <c r="F307" s="88"/>
      <c r="G307" s="88"/>
      <c r="H307" s="88"/>
      <c r="I307" s="88"/>
      <c r="J307" s="88"/>
      <c r="K307" s="88"/>
      <c r="L307" s="88"/>
      <c r="M307" s="88"/>
      <c r="N307" s="88"/>
      <c r="O307" s="88"/>
      <c r="P307" s="88"/>
      <c r="Q307" s="88"/>
      <c r="R307" s="88"/>
      <c r="S307" s="88"/>
      <c r="T307" s="88"/>
      <c r="U307" s="88"/>
      <c r="V307" s="88"/>
      <c r="W307" s="88"/>
      <c r="X307" s="88"/>
      <c r="Y307" s="88"/>
      <c r="Z307" s="88"/>
      <c r="AA307" s="88"/>
    </row>
    <row r="308" spans="1:27" ht="13.2">
      <c r="A308" s="88"/>
      <c r="B308" s="88"/>
      <c r="C308" s="88"/>
      <c r="D308" s="88"/>
      <c r="E308" s="88"/>
      <c r="F308" s="88"/>
      <c r="G308" s="88"/>
      <c r="H308" s="88"/>
      <c r="I308" s="88"/>
      <c r="J308" s="88"/>
      <c r="K308" s="88"/>
      <c r="L308" s="88"/>
      <c r="M308" s="88"/>
      <c r="N308" s="88"/>
      <c r="O308" s="88"/>
      <c r="P308" s="88"/>
      <c r="Q308" s="88"/>
      <c r="R308" s="88"/>
      <c r="S308" s="88"/>
      <c r="T308" s="88"/>
      <c r="U308" s="88"/>
      <c r="V308" s="88"/>
      <c r="W308" s="88"/>
      <c r="X308" s="88"/>
      <c r="Y308" s="88"/>
      <c r="Z308" s="88"/>
      <c r="AA308" s="88"/>
    </row>
    <row r="309" spans="1:27" ht="13.2">
      <c r="A309" s="88"/>
      <c r="B309" s="88"/>
      <c r="C309" s="88"/>
      <c r="D309" s="88"/>
      <c r="E309" s="88"/>
      <c r="F309" s="88"/>
      <c r="G309" s="88"/>
      <c r="H309" s="88"/>
      <c r="I309" s="88"/>
      <c r="J309" s="88"/>
      <c r="K309" s="88"/>
      <c r="L309" s="88"/>
      <c r="M309" s="88"/>
      <c r="N309" s="88"/>
      <c r="O309" s="88"/>
      <c r="P309" s="88"/>
      <c r="Q309" s="88"/>
      <c r="R309" s="88"/>
      <c r="S309" s="88"/>
      <c r="T309" s="88"/>
      <c r="U309" s="88"/>
      <c r="V309" s="88"/>
      <c r="W309" s="88"/>
      <c r="X309" s="88"/>
      <c r="Y309" s="88"/>
      <c r="Z309" s="88"/>
      <c r="AA309" s="88"/>
    </row>
    <row r="310" spans="1:27" ht="13.2">
      <c r="A310" s="88"/>
      <c r="B310" s="88"/>
      <c r="C310" s="88"/>
      <c r="D310" s="88"/>
      <c r="E310" s="88"/>
      <c r="F310" s="88"/>
      <c r="G310" s="88"/>
      <c r="H310" s="88"/>
      <c r="I310" s="88"/>
      <c r="J310" s="88"/>
      <c r="K310" s="88"/>
      <c r="L310" s="88"/>
      <c r="M310" s="88"/>
      <c r="N310" s="88"/>
      <c r="O310" s="88"/>
      <c r="P310" s="88"/>
      <c r="Q310" s="88"/>
      <c r="R310" s="88"/>
      <c r="S310" s="88"/>
      <c r="T310" s="88"/>
      <c r="U310" s="88"/>
      <c r="V310" s="88"/>
      <c r="W310" s="88"/>
      <c r="X310" s="88"/>
      <c r="Y310" s="88"/>
      <c r="Z310" s="88"/>
      <c r="AA310" s="88"/>
    </row>
    <row r="311" spans="1:27" ht="13.2">
      <c r="A311" s="88"/>
      <c r="B311" s="88"/>
      <c r="C311" s="88"/>
      <c r="D311" s="88"/>
      <c r="E311" s="88"/>
      <c r="F311" s="88"/>
      <c r="G311" s="88"/>
      <c r="H311" s="88"/>
      <c r="I311" s="88"/>
      <c r="J311" s="88"/>
      <c r="K311" s="88"/>
      <c r="L311" s="88"/>
      <c r="M311" s="88"/>
      <c r="N311" s="88"/>
      <c r="O311" s="88"/>
      <c r="P311" s="88"/>
      <c r="Q311" s="88"/>
      <c r="R311" s="88"/>
      <c r="S311" s="88"/>
      <c r="T311" s="88"/>
      <c r="U311" s="88"/>
      <c r="V311" s="88"/>
      <c r="W311" s="88"/>
      <c r="X311" s="88"/>
      <c r="Y311" s="88"/>
      <c r="Z311" s="88"/>
      <c r="AA311" s="88"/>
    </row>
    <row r="312" spans="1:27" ht="13.2">
      <c r="A312" s="88"/>
      <c r="B312" s="88"/>
      <c r="C312" s="88"/>
      <c r="D312" s="88"/>
      <c r="E312" s="88"/>
      <c r="F312" s="88"/>
      <c r="G312" s="88"/>
      <c r="H312" s="88"/>
      <c r="I312" s="88"/>
      <c r="J312" s="88"/>
      <c r="K312" s="88"/>
      <c r="L312" s="88"/>
      <c r="M312" s="88"/>
      <c r="N312" s="88"/>
      <c r="O312" s="88"/>
      <c r="P312" s="88"/>
      <c r="Q312" s="88"/>
      <c r="R312" s="88"/>
      <c r="S312" s="88"/>
      <c r="T312" s="88"/>
      <c r="U312" s="88"/>
      <c r="V312" s="88"/>
      <c r="W312" s="88"/>
      <c r="X312" s="88"/>
      <c r="Y312" s="88"/>
      <c r="Z312" s="88"/>
      <c r="AA312" s="88"/>
    </row>
    <row r="313" spans="1:27" ht="13.2">
      <c r="A313" s="88"/>
      <c r="B313" s="88"/>
      <c r="C313" s="88"/>
      <c r="D313" s="88"/>
      <c r="E313" s="88"/>
      <c r="F313" s="88"/>
      <c r="G313" s="88"/>
      <c r="H313" s="88"/>
      <c r="I313" s="88"/>
      <c r="J313" s="88"/>
      <c r="K313" s="88"/>
      <c r="L313" s="88"/>
      <c r="M313" s="88"/>
      <c r="N313" s="88"/>
      <c r="O313" s="88"/>
      <c r="P313" s="88"/>
      <c r="Q313" s="88"/>
      <c r="R313" s="88"/>
      <c r="S313" s="88"/>
      <c r="T313" s="88"/>
      <c r="U313" s="88"/>
      <c r="V313" s="88"/>
      <c r="W313" s="88"/>
      <c r="X313" s="88"/>
      <c r="Y313" s="88"/>
      <c r="Z313" s="88"/>
      <c r="AA313" s="88"/>
    </row>
    <row r="314" spans="1:27" ht="13.2">
      <c r="A314" s="88"/>
      <c r="B314" s="88"/>
      <c r="C314" s="88"/>
      <c r="D314" s="88"/>
      <c r="E314" s="88"/>
      <c r="F314" s="88"/>
      <c r="G314" s="88"/>
      <c r="H314" s="88"/>
      <c r="I314" s="88"/>
      <c r="J314" s="88"/>
      <c r="K314" s="88"/>
      <c r="L314" s="88"/>
      <c r="M314" s="88"/>
      <c r="N314" s="88"/>
      <c r="O314" s="88"/>
      <c r="P314" s="88"/>
      <c r="Q314" s="88"/>
      <c r="R314" s="88"/>
      <c r="S314" s="88"/>
      <c r="T314" s="88"/>
      <c r="U314" s="88"/>
      <c r="V314" s="88"/>
      <c r="W314" s="88"/>
      <c r="X314" s="88"/>
      <c r="Y314" s="88"/>
      <c r="Z314" s="88"/>
      <c r="AA314" s="88"/>
    </row>
    <row r="315" spans="1:27" ht="13.2">
      <c r="A315" s="88"/>
      <c r="B315" s="88"/>
      <c r="C315" s="88"/>
      <c r="D315" s="88"/>
      <c r="E315" s="88"/>
      <c r="F315" s="88"/>
      <c r="G315" s="88"/>
      <c r="H315" s="88"/>
      <c r="I315" s="88"/>
      <c r="J315" s="88"/>
      <c r="K315" s="88"/>
      <c r="L315" s="88"/>
      <c r="M315" s="88"/>
      <c r="N315" s="88"/>
      <c r="O315" s="88"/>
      <c r="P315" s="88"/>
      <c r="Q315" s="88"/>
      <c r="R315" s="88"/>
      <c r="S315" s="88"/>
      <c r="T315" s="88"/>
      <c r="U315" s="88"/>
      <c r="V315" s="88"/>
      <c r="W315" s="88"/>
      <c r="X315" s="88"/>
      <c r="Y315" s="88"/>
      <c r="Z315" s="88"/>
      <c r="AA315" s="88"/>
    </row>
    <row r="316" spans="1:27" ht="13.2">
      <c r="A316" s="88"/>
      <c r="B316" s="88"/>
      <c r="C316" s="88"/>
      <c r="D316" s="88"/>
      <c r="E316" s="88"/>
      <c r="F316" s="88"/>
      <c r="G316" s="88"/>
      <c r="H316" s="88"/>
      <c r="I316" s="88"/>
      <c r="J316" s="88"/>
      <c r="K316" s="88"/>
      <c r="L316" s="88"/>
      <c r="M316" s="88"/>
      <c r="N316" s="88"/>
      <c r="O316" s="88"/>
      <c r="P316" s="88"/>
      <c r="Q316" s="88"/>
      <c r="R316" s="88"/>
      <c r="S316" s="88"/>
      <c r="T316" s="88"/>
      <c r="U316" s="88"/>
      <c r="V316" s="88"/>
      <c r="W316" s="88"/>
      <c r="X316" s="88"/>
      <c r="Y316" s="88"/>
      <c r="Z316" s="88"/>
      <c r="AA316" s="88"/>
    </row>
    <row r="317" spans="1:27" ht="13.2">
      <c r="A317" s="88"/>
      <c r="B317" s="88"/>
      <c r="C317" s="88"/>
      <c r="D317" s="88"/>
      <c r="E317" s="88"/>
      <c r="F317" s="88"/>
      <c r="G317" s="88"/>
      <c r="H317" s="88"/>
      <c r="I317" s="88"/>
      <c r="J317" s="88"/>
      <c r="K317" s="88"/>
      <c r="L317" s="88"/>
      <c r="M317" s="88"/>
      <c r="N317" s="88"/>
      <c r="O317" s="88"/>
      <c r="P317" s="88"/>
      <c r="Q317" s="88"/>
      <c r="R317" s="88"/>
      <c r="S317" s="88"/>
      <c r="T317" s="88"/>
      <c r="U317" s="88"/>
      <c r="V317" s="88"/>
      <c r="W317" s="88"/>
      <c r="X317" s="88"/>
      <c r="Y317" s="88"/>
      <c r="Z317" s="88"/>
      <c r="AA317" s="88"/>
    </row>
    <row r="318" spans="1:27" ht="13.2">
      <c r="A318" s="88"/>
      <c r="B318" s="88"/>
      <c r="C318" s="88"/>
      <c r="D318" s="88"/>
      <c r="E318" s="88"/>
      <c r="F318" s="88"/>
      <c r="G318" s="88"/>
      <c r="H318" s="88"/>
      <c r="I318" s="88"/>
      <c r="J318" s="88"/>
      <c r="K318" s="88"/>
      <c r="L318" s="88"/>
      <c r="M318" s="88"/>
      <c r="N318" s="88"/>
      <c r="O318" s="88"/>
      <c r="P318" s="88"/>
      <c r="Q318" s="88"/>
      <c r="R318" s="88"/>
      <c r="S318" s="88"/>
      <c r="T318" s="88"/>
      <c r="U318" s="88"/>
      <c r="V318" s="88"/>
      <c r="W318" s="88"/>
      <c r="X318" s="88"/>
      <c r="Y318" s="88"/>
      <c r="Z318" s="88"/>
      <c r="AA318" s="88"/>
    </row>
    <row r="319" spans="1:27" ht="13.2">
      <c r="A319" s="88"/>
      <c r="B319" s="88"/>
      <c r="C319" s="88"/>
      <c r="D319" s="88"/>
      <c r="E319" s="88"/>
      <c r="F319" s="88"/>
      <c r="G319" s="88"/>
      <c r="H319" s="88"/>
      <c r="I319" s="88"/>
      <c r="J319" s="88"/>
      <c r="K319" s="88"/>
      <c r="L319" s="88"/>
      <c r="M319" s="88"/>
      <c r="N319" s="88"/>
      <c r="O319" s="88"/>
      <c r="P319" s="88"/>
      <c r="Q319" s="88"/>
      <c r="R319" s="88"/>
      <c r="S319" s="88"/>
      <c r="T319" s="88"/>
      <c r="U319" s="88"/>
      <c r="V319" s="88"/>
      <c r="W319" s="88"/>
      <c r="X319" s="88"/>
      <c r="Y319" s="88"/>
      <c r="Z319" s="88"/>
      <c r="AA319" s="88"/>
    </row>
    <row r="320" spans="1:27" ht="13.2">
      <c r="A320" s="88"/>
      <c r="B320" s="88"/>
      <c r="C320" s="88"/>
      <c r="D320" s="88"/>
      <c r="E320" s="88"/>
      <c r="F320" s="88"/>
      <c r="G320" s="88"/>
      <c r="H320" s="88"/>
      <c r="I320" s="88"/>
      <c r="J320" s="88"/>
      <c r="K320" s="88"/>
      <c r="L320" s="88"/>
      <c r="M320" s="88"/>
      <c r="N320" s="88"/>
      <c r="O320" s="88"/>
      <c r="P320" s="88"/>
      <c r="Q320" s="88"/>
      <c r="R320" s="88"/>
      <c r="S320" s="88"/>
      <c r="T320" s="88"/>
      <c r="U320" s="88"/>
      <c r="V320" s="88"/>
      <c r="W320" s="88"/>
      <c r="X320" s="88"/>
      <c r="Y320" s="88"/>
      <c r="Z320" s="88"/>
      <c r="AA320" s="88"/>
    </row>
    <row r="321" spans="1:27" ht="13.2">
      <c r="A321" s="88"/>
      <c r="B321" s="88"/>
      <c r="C321" s="88"/>
      <c r="D321" s="88"/>
      <c r="E321" s="88"/>
      <c r="F321" s="88"/>
      <c r="G321" s="88"/>
      <c r="H321" s="88"/>
      <c r="I321" s="88"/>
      <c r="J321" s="88"/>
      <c r="K321" s="88"/>
      <c r="L321" s="88"/>
      <c r="M321" s="88"/>
      <c r="N321" s="88"/>
      <c r="O321" s="88"/>
      <c r="P321" s="88"/>
      <c r="Q321" s="88"/>
      <c r="R321" s="88"/>
      <c r="S321" s="88"/>
      <c r="T321" s="88"/>
      <c r="U321" s="88"/>
      <c r="V321" s="88"/>
      <c r="W321" s="88"/>
      <c r="X321" s="88"/>
      <c r="Y321" s="88"/>
      <c r="Z321" s="88"/>
      <c r="AA321" s="88"/>
    </row>
    <row r="322" spans="1:27" ht="13.2">
      <c r="A322" s="88"/>
      <c r="B322" s="88"/>
      <c r="C322" s="88"/>
      <c r="D322" s="88"/>
      <c r="E322" s="88"/>
      <c r="F322" s="88"/>
      <c r="G322" s="88"/>
      <c r="H322" s="88"/>
      <c r="I322" s="88"/>
      <c r="J322" s="88"/>
      <c r="K322" s="88"/>
      <c r="L322" s="88"/>
      <c r="M322" s="88"/>
      <c r="N322" s="88"/>
      <c r="O322" s="88"/>
      <c r="P322" s="88"/>
      <c r="Q322" s="88"/>
      <c r="R322" s="88"/>
      <c r="S322" s="88"/>
      <c r="T322" s="88"/>
      <c r="U322" s="88"/>
      <c r="V322" s="88"/>
      <c r="W322" s="88"/>
      <c r="X322" s="88"/>
      <c r="Y322" s="88"/>
      <c r="Z322" s="88"/>
      <c r="AA322" s="88"/>
    </row>
    <row r="323" spans="1:27" ht="13.2">
      <c r="A323" s="88"/>
      <c r="B323" s="88"/>
      <c r="C323" s="88"/>
      <c r="D323" s="88"/>
      <c r="E323" s="88"/>
      <c r="F323" s="88"/>
      <c r="G323" s="88"/>
      <c r="H323" s="88"/>
      <c r="I323" s="88"/>
      <c r="J323" s="88"/>
      <c r="K323" s="88"/>
      <c r="L323" s="88"/>
      <c r="M323" s="88"/>
      <c r="N323" s="88"/>
      <c r="O323" s="88"/>
      <c r="P323" s="88"/>
      <c r="Q323" s="88"/>
      <c r="R323" s="88"/>
      <c r="S323" s="88"/>
      <c r="T323" s="88"/>
      <c r="U323" s="88"/>
      <c r="V323" s="88"/>
      <c r="W323" s="88"/>
      <c r="X323" s="88"/>
      <c r="Y323" s="88"/>
      <c r="Z323" s="88"/>
      <c r="AA323" s="88"/>
    </row>
    <row r="324" spans="1:27" ht="13.2">
      <c r="A324" s="88"/>
      <c r="B324" s="88"/>
      <c r="C324" s="88"/>
      <c r="D324" s="88"/>
      <c r="E324" s="88"/>
      <c r="F324" s="88"/>
      <c r="G324" s="88"/>
      <c r="H324" s="88"/>
      <c r="I324" s="88"/>
      <c r="J324" s="88"/>
      <c r="K324" s="88"/>
      <c r="L324" s="88"/>
      <c r="M324" s="88"/>
      <c r="N324" s="88"/>
      <c r="O324" s="88"/>
      <c r="P324" s="88"/>
      <c r="Q324" s="88"/>
      <c r="R324" s="88"/>
      <c r="S324" s="88"/>
      <c r="T324" s="88"/>
      <c r="U324" s="88"/>
      <c r="V324" s="88"/>
      <c r="W324" s="88"/>
      <c r="X324" s="88"/>
      <c r="Y324" s="88"/>
      <c r="Z324" s="88"/>
      <c r="AA324" s="88"/>
    </row>
    <row r="325" spans="1:27" ht="13.2">
      <c r="A325" s="88"/>
      <c r="B325" s="88"/>
      <c r="C325" s="88"/>
      <c r="D325" s="88"/>
      <c r="E325" s="88"/>
      <c r="F325" s="88"/>
      <c r="G325" s="88"/>
      <c r="H325" s="88"/>
      <c r="I325" s="88"/>
      <c r="J325" s="88"/>
      <c r="K325" s="88"/>
      <c r="L325" s="88"/>
      <c r="M325" s="88"/>
      <c r="N325" s="88"/>
      <c r="O325" s="88"/>
      <c r="P325" s="88"/>
      <c r="Q325" s="88"/>
      <c r="R325" s="88"/>
      <c r="S325" s="88"/>
      <c r="T325" s="88"/>
      <c r="U325" s="88"/>
      <c r="V325" s="88"/>
      <c r="W325" s="88"/>
      <c r="X325" s="88"/>
      <c r="Y325" s="88"/>
      <c r="Z325" s="88"/>
      <c r="AA325" s="88"/>
    </row>
    <row r="326" spans="1:27" ht="13.2">
      <c r="A326" s="88"/>
      <c r="B326" s="88"/>
      <c r="C326" s="88"/>
      <c r="D326" s="88"/>
      <c r="E326" s="88"/>
      <c r="F326" s="88"/>
      <c r="G326" s="88"/>
      <c r="H326" s="88"/>
      <c r="I326" s="88"/>
      <c r="J326" s="88"/>
      <c r="K326" s="88"/>
      <c r="L326" s="88"/>
      <c r="M326" s="88"/>
      <c r="N326" s="88"/>
      <c r="O326" s="88"/>
      <c r="P326" s="88"/>
      <c r="Q326" s="88"/>
      <c r="R326" s="88"/>
      <c r="S326" s="88"/>
      <c r="T326" s="88"/>
      <c r="U326" s="88"/>
      <c r="V326" s="88"/>
      <c r="W326" s="88"/>
      <c r="X326" s="88"/>
      <c r="Y326" s="88"/>
      <c r="Z326" s="88"/>
      <c r="AA326" s="88"/>
    </row>
    <row r="327" spans="1:27" ht="13.2">
      <c r="A327" s="88"/>
      <c r="B327" s="88"/>
      <c r="C327" s="88"/>
      <c r="D327" s="88"/>
      <c r="E327" s="88"/>
      <c r="F327" s="88"/>
      <c r="G327" s="88"/>
      <c r="H327" s="88"/>
      <c r="I327" s="88"/>
      <c r="J327" s="88"/>
      <c r="K327" s="88"/>
      <c r="L327" s="88"/>
      <c r="M327" s="88"/>
      <c r="N327" s="88"/>
      <c r="O327" s="88"/>
      <c r="P327" s="88"/>
      <c r="Q327" s="88"/>
      <c r="R327" s="88"/>
      <c r="S327" s="88"/>
      <c r="T327" s="88"/>
      <c r="U327" s="88"/>
      <c r="V327" s="88"/>
      <c r="W327" s="88"/>
      <c r="X327" s="88"/>
      <c r="Y327" s="88"/>
      <c r="Z327" s="88"/>
      <c r="AA327" s="88"/>
    </row>
    <row r="328" spans="1:27" ht="13.2">
      <c r="A328" s="88"/>
      <c r="B328" s="88"/>
      <c r="C328" s="88"/>
      <c r="D328" s="88"/>
      <c r="E328" s="88"/>
      <c r="F328" s="88"/>
      <c r="G328" s="88"/>
      <c r="H328" s="88"/>
      <c r="I328" s="88"/>
      <c r="J328" s="88"/>
      <c r="K328" s="88"/>
      <c r="L328" s="88"/>
      <c r="M328" s="88"/>
      <c r="N328" s="88"/>
      <c r="O328" s="88"/>
      <c r="P328" s="88"/>
      <c r="Q328" s="88"/>
      <c r="R328" s="88"/>
      <c r="S328" s="88"/>
      <c r="T328" s="88"/>
      <c r="U328" s="88"/>
      <c r="V328" s="88"/>
      <c r="W328" s="88"/>
      <c r="X328" s="88"/>
      <c r="Y328" s="88"/>
      <c r="Z328" s="88"/>
      <c r="AA328" s="88"/>
    </row>
    <row r="329" spans="1:27" ht="13.2">
      <c r="A329" s="88"/>
      <c r="B329" s="88"/>
      <c r="C329" s="88"/>
      <c r="D329" s="88"/>
      <c r="E329" s="88"/>
      <c r="F329" s="88"/>
      <c r="G329" s="88"/>
      <c r="H329" s="88"/>
      <c r="I329" s="88"/>
      <c r="J329" s="88"/>
      <c r="K329" s="88"/>
      <c r="L329" s="88"/>
      <c r="M329" s="88"/>
      <c r="N329" s="88"/>
      <c r="O329" s="88"/>
      <c r="P329" s="88"/>
      <c r="Q329" s="88"/>
      <c r="R329" s="88"/>
      <c r="S329" s="88"/>
      <c r="T329" s="88"/>
      <c r="U329" s="88"/>
      <c r="V329" s="88"/>
      <c r="W329" s="88"/>
      <c r="X329" s="88"/>
      <c r="Y329" s="88"/>
      <c r="Z329" s="88"/>
      <c r="AA329" s="88"/>
    </row>
    <row r="330" spans="1:27" ht="13.2">
      <c r="A330" s="88"/>
      <c r="B330" s="88"/>
      <c r="C330" s="88"/>
      <c r="D330" s="88"/>
      <c r="E330" s="88"/>
      <c r="F330" s="88"/>
      <c r="G330" s="88"/>
      <c r="H330" s="88"/>
      <c r="I330" s="88"/>
      <c r="J330" s="88"/>
      <c r="K330" s="88"/>
      <c r="L330" s="88"/>
      <c r="M330" s="88"/>
      <c r="N330" s="88"/>
      <c r="O330" s="88"/>
      <c r="P330" s="88"/>
      <c r="Q330" s="88"/>
      <c r="R330" s="88"/>
      <c r="S330" s="88"/>
      <c r="T330" s="88"/>
      <c r="U330" s="88"/>
      <c r="V330" s="88"/>
      <c r="W330" s="88"/>
      <c r="X330" s="88"/>
      <c r="Y330" s="88"/>
      <c r="Z330" s="88"/>
      <c r="AA330" s="88"/>
    </row>
    <row r="331" spans="1:27" ht="13.2">
      <c r="A331" s="88"/>
      <c r="B331" s="88"/>
      <c r="C331" s="88"/>
      <c r="D331" s="88"/>
      <c r="E331" s="88"/>
      <c r="F331" s="88"/>
      <c r="G331" s="88"/>
      <c r="H331" s="88"/>
      <c r="I331" s="88"/>
      <c r="J331" s="88"/>
      <c r="K331" s="88"/>
      <c r="L331" s="88"/>
      <c r="M331" s="88"/>
      <c r="N331" s="88"/>
      <c r="O331" s="88"/>
      <c r="P331" s="88"/>
      <c r="Q331" s="88"/>
      <c r="R331" s="88"/>
      <c r="S331" s="88"/>
      <c r="T331" s="88"/>
      <c r="U331" s="88"/>
      <c r="V331" s="88"/>
      <c r="W331" s="88"/>
      <c r="X331" s="88"/>
      <c r="Y331" s="88"/>
      <c r="Z331" s="88"/>
      <c r="AA331" s="88"/>
    </row>
    <row r="332" spans="1:27" ht="13.2">
      <c r="A332" s="88"/>
      <c r="B332" s="88"/>
      <c r="C332" s="88"/>
      <c r="D332" s="88"/>
      <c r="E332" s="88"/>
      <c r="F332" s="88"/>
      <c r="G332" s="88"/>
      <c r="H332" s="88"/>
      <c r="I332" s="88"/>
      <c r="J332" s="88"/>
      <c r="K332" s="88"/>
      <c r="L332" s="88"/>
      <c r="M332" s="88"/>
      <c r="N332" s="88"/>
      <c r="O332" s="88"/>
      <c r="P332" s="88"/>
      <c r="Q332" s="88"/>
      <c r="R332" s="88"/>
      <c r="S332" s="88"/>
      <c r="T332" s="88"/>
      <c r="U332" s="88"/>
      <c r="V332" s="88"/>
      <c r="W332" s="88"/>
      <c r="X332" s="88"/>
      <c r="Y332" s="88"/>
      <c r="Z332" s="88"/>
      <c r="AA332" s="88"/>
    </row>
    <row r="333" spans="1:27" ht="13.2">
      <c r="A333" s="88"/>
      <c r="B333" s="88"/>
      <c r="C333" s="88"/>
      <c r="D333" s="88"/>
      <c r="E333" s="88"/>
      <c r="F333" s="88"/>
      <c r="G333" s="88"/>
      <c r="H333" s="88"/>
      <c r="I333" s="88"/>
      <c r="J333" s="88"/>
      <c r="K333" s="88"/>
      <c r="L333" s="88"/>
      <c r="M333" s="88"/>
      <c r="N333" s="88"/>
      <c r="O333" s="88"/>
      <c r="P333" s="88"/>
      <c r="Q333" s="88"/>
      <c r="R333" s="88"/>
      <c r="S333" s="88"/>
      <c r="T333" s="88"/>
      <c r="U333" s="88"/>
      <c r="V333" s="88"/>
      <c r="W333" s="88"/>
      <c r="X333" s="88"/>
      <c r="Y333" s="88"/>
      <c r="Z333" s="88"/>
      <c r="AA333" s="88"/>
    </row>
    <row r="334" spans="1:27" ht="13.2">
      <c r="A334" s="88"/>
      <c r="B334" s="88"/>
      <c r="C334" s="88"/>
      <c r="D334" s="88"/>
      <c r="E334" s="88"/>
      <c r="F334" s="88"/>
      <c r="G334" s="88"/>
      <c r="H334" s="88"/>
      <c r="I334" s="88"/>
      <c r="J334" s="88"/>
      <c r="K334" s="88"/>
      <c r="L334" s="88"/>
      <c r="M334" s="88"/>
      <c r="N334" s="88"/>
      <c r="O334" s="88"/>
      <c r="P334" s="88"/>
      <c r="Q334" s="88"/>
      <c r="R334" s="88"/>
      <c r="S334" s="88"/>
      <c r="T334" s="88"/>
      <c r="U334" s="88"/>
      <c r="V334" s="88"/>
      <c r="W334" s="88"/>
      <c r="X334" s="88"/>
      <c r="Y334" s="88"/>
      <c r="Z334" s="88"/>
      <c r="AA334" s="88"/>
    </row>
    <row r="335" spans="1:27" ht="13.2">
      <c r="A335" s="88"/>
      <c r="B335" s="88"/>
      <c r="C335" s="88"/>
      <c r="D335" s="88"/>
      <c r="E335" s="88"/>
      <c r="F335" s="88"/>
      <c r="G335" s="88"/>
      <c r="H335" s="88"/>
      <c r="I335" s="88"/>
      <c r="J335" s="88"/>
      <c r="K335" s="88"/>
      <c r="L335" s="88"/>
      <c r="M335" s="88"/>
      <c r="N335" s="88"/>
      <c r="O335" s="88"/>
      <c r="P335" s="88"/>
      <c r="Q335" s="88"/>
      <c r="R335" s="88"/>
      <c r="S335" s="88"/>
      <c r="T335" s="88"/>
      <c r="U335" s="88"/>
      <c r="V335" s="88"/>
      <c r="W335" s="88"/>
      <c r="X335" s="88"/>
      <c r="Y335" s="88"/>
      <c r="Z335" s="88"/>
      <c r="AA335" s="88"/>
    </row>
    <row r="336" spans="1:27" ht="13.2">
      <c r="A336" s="88"/>
      <c r="B336" s="88"/>
      <c r="C336" s="88"/>
      <c r="D336" s="88"/>
      <c r="E336" s="88"/>
      <c r="F336" s="88"/>
      <c r="G336" s="88"/>
      <c r="H336" s="88"/>
      <c r="I336" s="88"/>
      <c r="J336" s="88"/>
      <c r="K336" s="88"/>
      <c r="L336" s="88"/>
      <c r="M336" s="88"/>
      <c r="N336" s="88"/>
      <c r="O336" s="88"/>
      <c r="P336" s="88"/>
      <c r="Q336" s="88"/>
      <c r="R336" s="88"/>
      <c r="S336" s="88"/>
      <c r="T336" s="88"/>
      <c r="U336" s="88"/>
      <c r="V336" s="88"/>
      <c r="W336" s="88"/>
      <c r="X336" s="88"/>
      <c r="Y336" s="88"/>
      <c r="Z336" s="88"/>
      <c r="AA336" s="88"/>
    </row>
    <row r="337" spans="1:27" ht="13.2">
      <c r="A337" s="88"/>
      <c r="B337" s="88"/>
      <c r="C337" s="88"/>
      <c r="D337" s="88"/>
      <c r="E337" s="88"/>
      <c r="F337" s="88"/>
      <c r="G337" s="88"/>
      <c r="H337" s="88"/>
      <c r="I337" s="88"/>
      <c r="J337" s="88"/>
      <c r="K337" s="88"/>
      <c r="L337" s="88"/>
      <c r="M337" s="88"/>
      <c r="N337" s="88"/>
      <c r="O337" s="88"/>
      <c r="P337" s="88"/>
      <c r="Q337" s="88"/>
      <c r="R337" s="88"/>
      <c r="S337" s="88"/>
      <c r="T337" s="88"/>
      <c r="U337" s="88"/>
      <c r="V337" s="88"/>
      <c r="W337" s="88"/>
      <c r="X337" s="88"/>
      <c r="Y337" s="88"/>
      <c r="Z337" s="88"/>
      <c r="AA337" s="88"/>
    </row>
    <row r="338" spans="1:27" ht="13.2">
      <c r="A338" s="88"/>
      <c r="B338" s="88"/>
      <c r="C338" s="88"/>
      <c r="D338" s="88"/>
      <c r="E338" s="88"/>
      <c r="F338" s="88"/>
      <c r="G338" s="88"/>
      <c r="H338" s="88"/>
      <c r="I338" s="88"/>
      <c r="J338" s="88"/>
      <c r="K338" s="88"/>
      <c r="L338" s="88"/>
      <c r="M338" s="88"/>
      <c r="N338" s="88"/>
      <c r="O338" s="88"/>
      <c r="P338" s="88"/>
      <c r="Q338" s="88"/>
      <c r="R338" s="88"/>
      <c r="S338" s="88"/>
      <c r="T338" s="88"/>
      <c r="U338" s="88"/>
      <c r="V338" s="88"/>
      <c r="W338" s="88"/>
      <c r="X338" s="88"/>
      <c r="Y338" s="88"/>
      <c r="Z338" s="88"/>
      <c r="AA338" s="88"/>
    </row>
    <row r="339" spans="1:27" ht="13.2">
      <c r="A339" s="88"/>
      <c r="B339" s="88"/>
      <c r="C339" s="88"/>
      <c r="D339" s="88"/>
      <c r="E339" s="88"/>
      <c r="F339" s="88"/>
      <c r="G339" s="88"/>
      <c r="H339" s="88"/>
      <c r="I339" s="88"/>
      <c r="J339" s="88"/>
      <c r="K339" s="88"/>
      <c r="L339" s="88"/>
      <c r="M339" s="88"/>
      <c r="N339" s="88"/>
      <c r="O339" s="88"/>
      <c r="P339" s="88"/>
      <c r="Q339" s="88"/>
      <c r="R339" s="88"/>
      <c r="S339" s="88"/>
      <c r="T339" s="88"/>
      <c r="U339" s="88"/>
      <c r="V339" s="88"/>
      <c r="W339" s="88"/>
      <c r="X339" s="88"/>
      <c r="Y339" s="88"/>
      <c r="Z339" s="88"/>
      <c r="AA339" s="88"/>
    </row>
    <row r="340" spans="1:27" ht="13.2">
      <c r="A340" s="88"/>
      <c r="B340" s="88"/>
      <c r="C340" s="88"/>
      <c r="D340" s="88"/>
      <c r="E340" s="88"/>
      <c r="F340" s="88"/>
      <c r="G340" s="88"/>
      <c r="H340" s="88"/>
      <c r="I340" s="88"/>
      <c r="J340" s="88"/>
      <c r="K340" s="88"/>
      <c r="L340" s="88"/>
      <c r="M340" s="88"/>
      <c r="N340" s="88"/>
      <c r="O340" s="88"/>
      <c r="P340" s="88"/>
      <c r="Q340" s="88"/>
      <c r="R340" s="88"/>
      <c r="S340" s="88"/>
      <c r="T340" s="88"/>
      <c r="U340" s="88"/>
      <c r="V340" s="88"/>
      <c r="W340" s="88"/>
      <c r="X340" s="88"/>
      <c r="Y340" s="88"/>
      <c r="Z340" s="88"/>
      <c r="AA340" s="88"/>
    </row>
    <row r="341" spans="1:27" ht="13.2">
      <c r="A341" s="88"/>
      <c r="B341" s="88"/>
      <c r="C341" s="88"/>
      <c r="D341" s="88"/>
      <c r="E341" s="88"/>
      <c r="F341" s="88"/>
      <c r="G341" s="88"/>
      <c r="H341" s="88"/>
      <c r="I341" s="88"/>
      <c r="J341" s="88"/>
      <c r="K341" s="88"/>
      <c r="L341" s="88"/>
      <c r="M341" s="88"/>
      <c r="N341" s="88"/>
      <c r="O341" s="88"/>
      <c r="P341" s="88"/>
      <c r="Q341" s="88"/>
      <c r="R341" s="88"/>
      <c r="S341" s="88"/>
      <c r="T341" s="88"/>
      <c r="U341" s="88"/>
      <c r="V341" s="88"/>
      <c r="W341" s="88"/>
      <c r="X341" s="88"/>
      <c r="Y341" s="88"/>
      <c r="Z341" s="88"/>
      <c r="AA341" s="88"/>
    </row>
    <row r="342" spans="1:27" ht="13.2">
      <c r="A342" s="88"/>
      <c r="B342" s="88"/>
      <c r="C342" s="88"/>
      <c r="D342" s="88"/>
      <c r="E342" s="88"/>
      <c r="F342" s="88"/>
      <c r="G342" s="88"/>
      <c r="H342" s="88"/>
      <c r="I342" s="88"/>
      <c r="J342" s="88"/>
      <c r="K342" s="88"/>
      <c r="L342" s="88"/>
      <c r="M342" s="88"/>
      <c r="N342" s="88"/>
      <c r="O342" s="88"/>
      <c r="P342" s="88"/>
      <c r="Q342" s="88"/>
      <c r="R342" s="88"/>
      <c r="S342" s="88"/>
      <c r="T342" s="88"/>
      <c r="U342" s="88"/>
      <c r="V342" s="88"/>
      <c r="W342" s="88"/>
      <c r="X342" s="88"/>
      <c r="Y342" s="88"/>
      <c r="Z342" s="88"/>
      <c r="AA342" s="88"/>
    </row>
    <row r="343" spans="1:27" ht="13.2">
      <c r="A343" s="88"/>
      <c r="B343" s="88"/>
      <c r="C343" s="88"/>
      <c r="D343" s="88"/>
      <c r="E343" s="88"/>
      <c r="F343" s="88"/>
      <c r="G343" s="88"/>
      <c r="H343" s="88"/>
      <c r="I343" s="88"/>
      <c r="J343" s="88"/>
      <c r="K343" s="88"/>
      <c r="L343" s="88"/>
      <c r="M343" s="88"/>
      <c r="N343" s="88"/>
      <c r="O343" s="88"/>
      <c r="P343" s="88"/>
      <c r="Q343" s="88"/>
      <c r="R343" s="88"/>
      <c r="S343" s="88"/>
      <c r="T343" s="88"/>
      <c r="U343" s="88"/>
      <c r="V343" s="88"/>
      <c r="W343" s="88"/>
      <c r="X343" s="88"/>
      <c r="Y343" s="88"/>
      <c r="Z343" s="88"/>
      <c r="AA343" s="88"/>
    </row>
    <row r="344" spans="1:27" ht="13.2">
      <c r="A344" s="88"/>
      <c r="B344" s="88"/>
      <c r="C344" s="88"/>
      <c r="D344" s="88"/>
      <c r="E344" s="88"/>
      <c r="F344" s="88"/>
      <c r="G344" s="88"/>
      <c r="H344" s="88"/>
      <c r="I344" s="88"/>
      <c r="J344" s="88"/>
      <c r="K344" s="88"/>
      <c r="L344" s="88"/>
      <c r="M344" s="88"/>
      <c r="N344" s="88"/>
      <c r="O344" s="88"/>
      <c r="P344" s="88"/>
      <c r="Q344" s="88"/>
      <c r="R344" s="88"/>
      <c r="S344" s="88"/>
      <c r="T344" s="88"/>
      <c r="U344" s="88"/>
      <c r="V344" s="88"/>
      <c r="W344" s="88"/>
      <c r="X344" s="88"/>
      <c r="Y344" s="88"/>
      <c r="Z344" s="88"/>
      <c r="AA344" s="88"/>
    </row>
    <row r="345" spans="1:27" ht="13.2">
      <c r="A345" s="88"/>
      <c r="B345" s="88"/>
      <c r="C345" s="88"/>
      <c r="D345" s="88"/>
      <c r="E345" s="88"/>
      <c r="F345" s="88"/>
      <c r="G345" s="88"/>
      <c r="H345" s="88"/>
      <c r="I345" s="88"/>
      <c r="J345" s="88"/>
      <c r="K345" s="88"/>
      <c r="L345" s="88"/>
      <c r="M345" s="88"/>
      <c r="N345" s="88"/>
      <c r="O345" s="88"/>
      <c r="P345" s="88"/>
      <c r="Q345" s="88"/>
      <c r="R345" s="88"/>
      <c r="S345" s="88"/>
      <c r="T345" s="88"/>
      <c r="U345" s="88"/>
      <c r="V345" s="88"/>
      <c r="W345" s="88"/>
      <c r="X345" s="88"/>
      <c r="Y345" s="88"/>
      <c r="Z345" s="88"/>
      <c r="AA345" s="88"/>
    </row>
    <row r="346" spans="1:27" ht="13.2">
      <c r="A346" s="88"/>
      <c r="B346" s="88"/>
      <c r="C346" s="88"/>
      <c r="D346" s="88"/>
      <c r="E346" s="88"/>
      <c r="F346" s="88"/>
      <c r="G346" s="88"/>
      <c r="H346" s="88"/>
      <c r="I346" s="88"/>
      <c r="J346" s="88"/>
      <c r="K346" s="88"/>
      <c r="L346" s="88"/>
      <c r="M346" s="88"/>
      <c r="N346" s="88"/>
      <c r="O346" s="88"/>
      <c r="P346" s="88"/>
      <c r="Q346" s="88"/>
      <c r="R346" s="88"/>
      <c r="S346" s="88"/>
      <c r="T346" s="88"/>
      <c r="U346" s="88"/>
      <c r="V346" s="88"/>
      <c r="W346" s="88"/>
      <c r="X346" s="88"/>
      <c r="Y346" s="88"/>
      <c r="Z346" s="88"/>
      <c r="AA346" s="88"/>
    </row>
    <row r="347" spans="1:27" ht="13.2">
      <c r="A347" s="88"/>
      <c r="B347" s="88"/>
      <c r="C347" s="88"/>
      <c r="D347" s="88"/>
      <c r="E347" s="88"/>
      <c r="F347" s="88"/>
      <c r="G347" s="88"/>
      <c r="H347" s="88"/>
      <c r="I347" s="88"/>
      <c r="J347" s="88"/>
      <c r="K347" s="88"/>
      <c r="L347" s="88"/>
      <c r="M347" s="88"/>
      <c r="N347" s="88"/>
      <c r="O347" s="88"/>
      <c r="P347" s="88"/>
      <c r="Q347" s="88"/>
      <c r="R347" s="88"/>
      <c r="S347" s="88"/>
      <c r="T347" s="88"/>
      <c r="U347" s="88"/>
      <c r="V347" s="88"/>
      <c r="W347" s="88"/>
      <c r="X347" s="88"/>
      <c r="Y347" s="88"/>
      <c r="Z347" s="88"/>
      <c r="AA347" s="88"/>
    </row>
    <row r="348" spans="1:27" ht="13.2">
      <c r="A348" s="88"/>
      <c r="B348" s="88"/>
      <c r="C348" s="88"/>
      <c r="D348" s="88"/>
      <c r="E348" s="88"/>
      <c r="F348" s="88"/>
      <c r="G348" s="88"/>
      <c r="H348" s="88"/>
      <c r="I348" s="88"/>
      <c r="J348" s="88"/>
      <c r="K348" s="88"/>
      <c r="L348" s="88"/>
      <c r="M348" s="88"/>
      <c r="N348" s="88"/>
      <c r="O348" s="88"/>
      <c r="P348" s="88"/>
      <c r="Q348" s="88"/>
      <c r="R348" s="88"/>
      <c r="S348" s="88"/>
      <c r="T348" s="88"/>
      <c r="U348" s="88"/>
      <c r="V348" s="88"/>
      <c r="W348" s="88"/>
      <c r="X348" s="88"/>
      <c r="Y348" s="88"/>
      <c r="Z348" s="88"/>
      <c r="AA348" s="88"/>
    </row>
    <row r="349" spans="1:27" ht="13.2">
      <c r="A349" s="88"/>
      <c r="B349" s="88"/>
      <c r="C349" s="88"/>
      <c r="D349" s="88"/>
      <c r="E349" s="88"/>
      <c r="F349" s="88"/>
      <c r="G349" s="88"/>
      <c r="H349" s="88"/>
      <c r="I349" s="88"/>
      <c r="J349" s="88"/>
      <c r="K349" s="88"/>
      <c r="L349" s="88"/>
      <c r="M349" s="88"/>
      <c r="N349" s="88"/>
      <c r="O349" s="88"/>
      <c r="P349" s="88"/>
      <c r="Q349" s="88"/>
      <c r="R349" s="88"/>
      <c r="S349" s="88"/>
      <c r="T349" s="88"/>
      <c r="U349" s="88"/>
      <c r="V349" s="88"/>
      <c r="W349" s="88"/>
      <c r="X349" s="88"/>
      <c r="Y349" s="88"/>
      <c r="Z349" s="88"/>
      <c r="AA349" s="88"/>
    </row>
    <row r="350" spans="1:27" ht="13.2">
      <c r="A350" s="88"/>
      <c r="B350" s="88"/>
      <c r="C350" s="88"/>
      <c r="D350" s="88"/>
      <c r="E350" s="88"/>
      <c r="F350" s="88"/>
      <c r="G350" s="88"/>
      <c r="H350" s="88"/>
      <c r="I350" s="88"/>
      <c r="J350" s="88"/>
      <c r="K350" s="88"/>
      <c r="L350" s="88"/>
      <c r="M350" s="88"/>
      <c r="N350" s="88"/>
      <c r="O350" s="88"/>
      <c r="P350" s="88"/>
      <c r="Q350" s="88"/>
      <c r="R350" s="88"/>
      <c r="S350" s="88"/>
      <c r="T350" s="88"/>
      <c r="U350" s="88"/>
      <c r="V350" s="88"/>
      <c r="W350" s="88"/>
      <c r="X350" s="88"/>
      <c r="Y350" s="88"/>
      <c r="Z350" s="88"/>
      <c r="AA350" s="88"/>
    </row>
    <row r="351" spans="1:27" ht="13.2">
      <c r="A351" s="88"/>
      <c r="B351" s="88"/>
      <c r="C351" s="88"/>
      <c r="D351" s="88"/>
      <c r="E351" s="88"/>
      <c r="F351" s="88"/>
      <c r="G351" s="88"/>
      <c r="H351" s="88"/>
      <c r="I351" s="88"/>
      <c r="J351" s="88"/>
      <c r="K351" s="88"/>
      <c r="L351" s="88"/>
      <c r="M351" s="88"/>
      <c r="N351" s="88"/>
      <c r="O351" s="88"/>
      <c r="P351" s="88"/>
      <c r="Q351" s="88"/>
      <c r="R351" s="88"/>
      <c r="S351" s="88"/>
      <c r="T351" s="88"/>
      <c r="U351" s="88"/>
      <c r="V351" s="88"/>
      <c r="W351" s="88"/>
      <c r="X351" s="88"/>
      <c r="Y351" s="88"/>
      <c r="Z351" s="88"/>
      <c r="AA351" s="88"/>
    </row>
    <row r="352" spans="1:27" ht="13.2">
      <c r="A352" s="88"/>
      <c r="B352" s="88"/>
      <c r="C352" s="88"/>
      <c r="D352" s="88"/>
      <c r="E352" s="88"/>
      <c r="F352" s="88"/>
      <c r="G352" s="88"/>
      <c r="H352" s="88"/>
      <c r="I352" s="88"/>
      <c r="J352" s="88"/>
      <c r="K352" s="88"/>
      <c r="L352" s="88"/>
      <c r="M352" s="88"/>
      <c r="N352" s="88"/>
      <c r="O352" s="88"/>
      <c r="P352" s="88"/>
      <c r="Q352" s="88"/>
      <c r="R352" s="88"/>
      <c r="S352" s="88"/>
      <c r="T352" s="88"/>
      <c r="U352" s="88"/>
      <c r="V352" s="88"/>
      <c r="W352" s="88"/>
      <c r="X352" s="88"/>
      <c r="Y352" s="88"/>
      <c r="Z352" s="88"/>
      <c r="AA352" s="88"/>
    </row>
    <row r="353" spans="1:27" ht="13.2">
      <c r="A353" s="88"/>
      <c r="B353" s="88"/>
      <c r="C353" s="88"/>
      <c r="D353" s="88"/>
      <c r="E353" s="88"/>
      <c r="F353" s="88"/>
      <c r="G353" s="88"/>
      <c r="H353" s="88"/>
      <c r="I353" s="88"/>
      <c r="J353" s="88"/>
      <c r="K353" s="88"/>
      <c r="L353" s="88"/>
      <c r="M353" s="88"/>
      <c r="N353" s="88"/>
      <c r="O353" s="88"/>
      <c r="P353" s="88"/>
      <c r="Q353" s="88"/>
      <c r="R353" s="88"/>
      <c r="S353" s="88"/>
      <c r="T353" s="88"/>
      <c r="U353" s="88"/>
      <c r="V353" s="88"/>
      <c r="W353" s="88"/>
      <c r="X353" s="88"/>
      <c r="Y353" s="88"/>
      <c r="Z353" s="88"/>
      <c r="AA353" s="88"/>
    </row>
    <row r="354" spans="1:27" ht="13.2">
      <c r="A354" s="88"/>
      <c r="B354" s="88"/>
      <c r="C354" s="88"/>
      <c r="D354" s="88"/>
      <c r="E354" s="88"/>
      <c r="F354" s="88"/>
      <c r="G354" s="88"/>
      <c r="H354" s="88"/>
      <c r="I354" s="88"/>
      <c r="J354" s="88"/>
      <c r="K354" s="88"/>
      <c r="L354" s="88"/>
      <c r="M354" s="88"/>
      <c r="N354" s="88"/>
      <c r="O354" s="88"/>
      <c r="P354" s="88"/>
      <c r="Q354" s="88"/>
      <c r="R354" s="88"/>
      <c r="S354" s="88"/>
      <c r="T354" s="88"/>
      <c r="U354" s="88"/>
      <c r="V354" s="88"/>
      <c r="W354" s="88"/>
      <c r="X354" s="88"/>
      <c r="Y354" s="88"/>
      <c r="Z354" s="88"/>
      <c r="AA354" s="88"/>
    </row>
    <row r="355" spans="1:27" ht="13.2">
      <c r="A355" s="88"/>
      <c r="B355" s="88"/>
      <c r="C355" s="88"/>
      <c r="D355" s="88"/>
      <c r="E355" s="88"/>
      <c r="F355" s="88"/>
      <c r="G355" s="88"/>
      <c r="H355" s="88"/>
      <c r="I355" s="88"/>
      <c r="J355" s="88"/>
      <c r="K355" s="88"/>
      <c r="L355" s="88"/>
      <c r="M355" s="88"/>
      <c r="N355" s="88"/>
      <c r="O355" s="88"/>
      <c r="P355" s="88"/>
      <c r="Q355" s="88"/>
      <c r="R355" s="88"/>
      <c r="S355" s="88"/>
      <c r="T355" s="88"/>
      <c r="U355" s="88"/>
      <c r="V355" s="88"/>
      <c r="W355" s="88"/>
      <c r="X355" s="88"/>
      <c r="Y355" s="88"/>
      <c r="Z355" s="88"/>
      <c r="AA355" s="88"/>
    </row>
    <row r="356" spans="1:27" ht="13.2">
      <c r="A356" s="88"/>
      <c r="B356" s="88"/>
      <c r="C356" s="88"/>
      <c r="D356" s="88"/>
      <c r="E356" s="88"/>
      <c r="F356" s="88"/>
      <c r="G356" s="88"/>
      <c r="H356" s="88"/>
      <c r="I356" s="88"/>
      <c r="J356" s="88"/>
      <c r="K356" s="88"/>
      <c r="L356" s="88"/>
      <c r="M356" s="88"/>
      <c r="N356" s="88"/>
      <c r="O356" s="88"/>
      <c r="P356" s="88"/>
      <c r="Q356" s="88"/>
      <c r="R356" s="88"/>
      <c r="S356" s="88"/>
      <c r="T356" s="88"/>
      <c r="U356" s="88"/>
      <c r="V356" s="88"/>
      <c r="W356" s="88"/>
      <c r="X356" s="88"/>
      <c r="Y356" s="88"/>
      <c r="Z356" s="88"/>
      <c r="AA356" s="88"/>
    </row>
    <row r="357" spans="1:27" ht="13.2">
      <c r="A357" s="88"/>
      <c r="B357" s="88"/>
      <c r="C357" s="88"/>
      <c r="D357" s="88"/>
      <c r="E357" s="88"/>
      <c r="F357" s="88"/>
      <c r="G357" s="88"/>
      <c r="H357" s="88"/>
      <c r="I357" s="88"/>
      <c r="J357" s="88"/>
      <c r="K357" s="88"/>
      <c r="L357" s="88"/>
      <c r="M357" s="88"/>
      <c r="N357" s="88"/>
      <c r="O357" s="88"/>
      <c r="P357" s="88"/>
      <c r="Q357" s="88"/>
      <c r="R357" s="88"/>
      <c r="S357" s="88"/>
      <c r="T357" s="88"/>
      <c r="U357" s="88"/>
      <c r="V357" s="88"/>
      <c r="W357" s="88"/>
      <c r="X357" s="88"/>
      <c r="Y357" s="88"/>
      <c r="Z357" s="88"/>
      <c r="AA357" s="88"/>
    </row>
    <row r="358" spans="1:27" ht="13.2">
      <c r="A358" s="88"/>
      <c r="B358" s="88"/>
      <c r="C358" s="88"/>
      <c r="D358" s="88"/>
      <c r="E358" s="88"/>
      <c r="F358" s="88"/>
      <c r="G358" s="88"/>
      <c r="H358" s="88"/>
      <c r="I358" s="88"/>
      <c r="J358" s="88"/>
      <c r="K358" s="88"/>
      <c r="L358" s="88"/>
      <c r="M358" s="88"/>
      <c r="N358" s="88"/>
      <c r="O358" s="88"/>
      <c r="P358" s="88"/>
      <c r="Q358" s="88"/>
      <c r="R358" s="88"/>
      <c r="S358" s="88"/>
      <c r="T358" s="88"/>
      <c r="U358" s="88"/>
      <c r="V358" s="88"/>
      <c r="W358" s="88"/>
      <c r="X358" s="88"/>
      <c r="Y358" s="88"/>
      <c r="Z358" s="88"/>
      <c r="AA358" s="88"/>
    </row>
    <row r="359" spans="1:27" ht="13.2">
      <c r="A359" s="88"/>
      <c r="B359" s="88"/>
      <c r="C359" s="88"/>
      <c r="D359" s="88"/>
      <c r="E359" s="88"/>
      <c r="F359" s="88"/>
      <c r="G359" s="88"/>
      <c r="H359" s="88"/>
      <c r="I359" s="88"/>
      <c r="J359" s="88"/>
      <c r="K359" s="88"/>
      <c r="L359" s="88"/>
      <c r="M359" s="88"/>
      <c r="N359" s="88"/>
      <c r="O359" s="88"/>
      <c r="P359" s="88"/>
      <c r="Q359" s="88"/>
      <c r="R359" s="88"/>
      <c r="S359" s="88"/>
      <c r="T359" s="88"/>
      <c r="U359" s="88"/>
      <c r="V359" s="88"/>
      <c r="W359" s="88"/>
      <c r="X359" s="88"/>
      <c r="Y359" s="88"/>
      <c r="Z359" s="88"/>
      <c r="AA359" s="88"/>
    </row>
    <row r="360" spans="1:27" ht="13.2">
      <c r="A360" s="88"/>
      <c r="B360" s="88"/>
      <c r="C360" s="88"/>
      <c r="D360" s="88"/>
      <c r="E360" s="88"/>
      <c r="F360" s="88"/>
      <c r="G360" s="88"/>
      <c r="H360" s="88"/>
      <c r="I360" s="88"/>
      <c r="J360" s="88"/>
      <c r="K360" s="88"/>
      <c r="L360" s="88"/>
      <c r="M360" s="88"/>
      <c r="N360" s="88"/>
      <c r="O360" s="88"/>
      <c r="P360" s="88"/>
      <c r="Q360" s="88"/>
      <c r="R360" s="88"/>
      <c r="S360" s="88"/>
      <c r="T360" s="88"/>
      <c r="U360" s="88"/>
      <c r="V360" s="88"/>
      <c r="W360" s="88"/>
      <c r="X360" s="88"/>
      <c r="Y360" s="88"/>
      <c r="Z360" s="88"/>
      <c r="AA360" s="88"/>
    </row>
    <row r="361" spans="1:27" ht="13.2">
      <c r="A361" s="88"/>
      <c r="B361" s="88"/>
      <c r="C361" s="88"/>
      <c r="D361" s="88"/>
      <c r="E361" s="88"/>
      <c r="F361" s="88"/>
      <c r="G361" s="88"/>
      <c r="H361" s="88"/>
      <c r="I361" s="88"/>
      <c r="J361" s="88"/>
      <c r="K361" s="88"/>
      <c r="L361" s="88"/>
      <c r="M361" s="88"/>
      <c r="N361" s="88"/>
      <c r="O361" s="88"/>
      <c r="P361" s="88"/>
      <c r="Q361" s="88"/>
      <c r="R361" s="88"/>
      <c r="S361" s="88"/>
      <c r="T361" s="88"/>
      <c r="U361" s="88"/>
      <c r="V361" s="88"/>
      <c r="W361" s="88"/>
      <c r="X361" s="88"/>
      <c r="Y361" s="88"/>
      <c r="Z361" s="88"/>
      <c r="AA361" s="88"/>
    </row>
    <row r="362" spans="1:27" ht="13.2">
      <c r="A362" s="88"/>
      <c r="B362" s="88"/>
      <c r="C362" s="88"/>
      <c r="D362" s="88"/>
      <c r="E362" s="88"/>
      <c r="F362" s="88"/>
      <c r="G362" s="88"/>
      <c r="H362" s="88"/>
      <c r="I362" s="88"/>
      <c r="J362" s="88"/>
      <c r="K362" s="88"/>
      <c r="L362" s="88"/>
      <c r="M362" s="88"/>
      <c r="N362" s="88"/>
      <c r="O362" s="88"/>
      <c r="P362" s="88"/>
      <c r="Q362" s="88"/>
      <c r="R362" s="88"/>
      <c r="S362" s="88"/>
      <c r="T362" s="88"/>
      <c r="U362" s="88"/>
      <c r="V362" s="88"/>
      <c r="W362" s="88"/>
      <c r="X362" s="88"/>
      <c r="Y362" s="88"/>
      <c r="Z362" s="88"/>
      <c r="AA362" s="88"/>
    </row>
    <row r="363" spans="1:27" ht="13.2">
      <c r="A363" s="88"/>
      <c r="B363" s="88"/>
      <c r="C363" s="88"/>
      <c r="D363" s="88"/>
      <c r="E363" s="88"/>
      <c r="F363" s="88"/>
      <c r="G363" s="88"/>
      <c r="H363" s="88"/>
      <c r="I363" s="88"/>
      <c r="J363" s="88"/>
      <c r="K363" s="88"/>
      <c r="L363" s="88"/>
      <c r="M363" s="88"/>
      <c r="N363" s="88"/>
      <c r="O363" s="88"/>
      <c r="P363" s="88"/>
      <c r="Q363" s="88"/>
      <c r="R363" s="88"/>
      <c r="S363" s="88"/>
      <c r="T363" s="88"/>
      <c r="U363" s="88"/>
      <c r="V363" s="88"/>
      <c r="W363" s="88"/>
      <c r="X363" s="88"/>
      <c r="Y363" s="88"/>
      <c r="Z363" s="88"/>
      <c r="AA363" s="88"/>
    </row>
    <row r="364" spans="1:27" ht="13.2">
      <c r="A364" s="88"/>
      <c r="B364" s="88"/>
      <c r="C364" s="88"/>
      <c r="D364" s="88"/>
      <c r="E364" s="88"/>
      <c r="F364" s="88"/>
      <c r="G364" s="88"/>
      <c r="H364" s="88"/>
      <c r="I364" s="88"/>
      <c r="J364" s="88"/>
      <c r="K364" s="88"/>
      <c r="L364" s="88"/>
      <c r="M364" s="88"/>
      <c r="N364" s="88"/>
      <c r="O364" s="88"/>
      <c r="P364" s="88"/>
      <c r="Q364" s="88"/>
      <c r="R364" s="88"/>
      <c r="S364" s="88"/>
      <c r="T364" s="88"/>
      <c r="U364" s="88"/>
      <c r="V364" s="88"/>
      <c r="W364" s="88"/>
      <c r="X364" s="88"/>
      <c r="Y364" s="88"/>
      <c r="Z364" s="88"/>
      <c r="AA364" s="88"/>
    </row>
    <row r="365" spans="1:27" ht="13.2">
      <c r="A365" s="88"/>
      <c r="B365" s="88"/>
      <c r="C365" s="88"/>
      <c r="D365" s="88"/>
      <c r="E365" s="88"/>
      <c r="F365" s="88"/>
      <c r="G365" s="88"/>
      <c r="H365" s="88"/>
      <c r="I365" s="88"/>
      <c r="J365" s="88"/>
      <c r="K365" s="88"/>
      <c r="L365" s="88"/>
      <c r="M365" s="88"/>
      <c r="N365" s="88"/>
      <c r="O365" s="88"/>
      <c r="P365" s="88"/>
      <c r="Q365" s="88"/>
      <c r="R365" s="88"/>
      <c r="S365" s="88"/>
      <c r="T365" s="88"/>
      <c r="U365" s="88"/>
      <c r="V365" s="88"/>
      <c r="W365" s="88"/>
      <c r="X365" s="88"/>
      <c r="Y365" s="88"/>
      <c r="Z365" s="88"/>
      <c r="AA365" s="88"/>
    </row>
    <row r="366" spans="1:27" ht="13.2">
      <c r="A366" s="88"/>
      <c r="B366" s="88"/>
      <c r="C366" s="88"/>
      <c r="D366" s="88"/>
      <c r="E366" s="88"/>
      <c r="F366" s="88"/>
      <c r="G366" s="88"/>
      <c r="H366" s="88"/>
      <c r="I366" s="88"/>
      <c r="J366" s="88"/>
      <c r="K366" s="88"/>
      <c r="L366" s="88"/>
      <c r="M366" s="88"/>
      <c r="N366" s="88"/>
      <c r="O366" s="88"/>
      <c r="P366" s="88"/>
      <c r="Q366" s="88"/>
      <c r="R366" s="88"/>
      <c r="S366" s="88"/>
      <c r="T366" s="88"/>
      <c r="U366" s="88"/>
      <c r="V366" s="88"/>
      <c r="W366" s="88"/>
      <c r="X366" s="88"/>
      <c r="Y366" s="88"/>
      <c r="Z366" s="88"/>
      <c r="AA366" s="88"/>
    </row>
    <row r="367" spans="1:27" ht="13.2">
      <c r="A367" s="88"/>
      <c r="B367" s="88"/>
      <c r="C367" s="88"/>
      <c r="D367" s="88"/>
      <c r="E367" s="88"/>
      <c r="F367" s="88"/>
      <c r="G367" s="88"/>
      <c r="H367" s="88"/>
      <c r="I367" s="88"/>
      <c r="J367" s="88"/>
      <c r="K367" s="88"/>
      <c r="L367" s="88"/>
      <c r="M367" s="88"/>
      <c r="N367" s="88"/>
      <c r="O367" s="88"/>
      <c r="P367" s="88"/>
      <c r="Q367" s="88"/>
      <c r="R367" s="88"/>
      <c r="S367" s="88"/>
      <c r="T367" s="88"/>
      <c r="U367" s="88"/>
      <c r="V367" s="88"/>
      <c r="W367" s="88"/>
      <c r="X367" s="88"/>
      <c r="Y367" s="88"/>
      <c r="Z367" s="88"/>
      <c r="AA367" s="88"/>
    </row>
    <row r="368" spans="1:27" ht="13.2">
      <c r="A368" s="88"/>
      <c r="B368" s="88"/>
      <c r="C368" s="88"/>
      <c r="D368" s="88"/>
      <c r="E368" s="88"/>
      <c r="F368" s="88"/>
      <c r="G368" s="88"/>
      <c r="H368" s="88"/>
      <c r="I368" s="88"/>
      <c r="J368" s="88"/>
      <c r="K368" s="88"/>
      <c r="L368" s="88"/>
      <c r="M368" s="88"/>
      <c r="N368" s="88"/>
      <c r="O368" s="88"/>
      <c r="P368" s="88"/>
      <c r="Q368" s="88"/>
      <c r="R368" s="88"/>
      <c r="S368" s="88"/>
      <c r="T368" s="88"/>
      <c r="U368" s="88"/>
      <c r="V368" s="88"/>
      <c r="W368" s="88"/>
      <c r="X368" s="88"/>
      <c r="Y368" s="88"/>
      <c r="Z368" s="88"/>
      <c r="AA368" s="88"/>
    </row>
    <row r="369" spans="1:27" ht="13.2">
      <c r="A369" s="88"/>
      <c r="B369" s="88"/>
      <c r="C369" s="88"/>
      <c r="D369" s="88"/>
      <c r="E369" s="88"/>
      <c r="F369" s="88"/>
      <c r="G369" s="88"/>
      <c r="H369" s="88"/>
      <c r="I369" s="88"/>
      <c r="J369" s="88"/>
      <c r="K369" s="88"/>
      <c r="L369" s="88"/>
      <c r="M369" s="88"/>
      <c r="N369" s="88"/>
      <c r="O369" s="88"/>
      <c r="P369" s="88"/>
      <c r="Q369" s="88"/>
      <c r="R369" s="88"/>
      <c r="S369" s="88"/>
      <c r="T369" s="88"/>
      <c r="U369" s="88"/>
      <c r="V369" s="88"/>
      <c r="W369" s="88"/>
      <c r="X369" s="88"/>
      <c r="Y369" s="88"/>
      <c r="Z369" s="88"/>
      <c r="AA369" s="88"/>
    </row>
    <row r="370" spans="1:27" ht="13.2">
      <c r="A370" s="88"/>
      <c r="B370" s="88"/>
      <c r="C370" s="88"/>
      <c r="D370" s="88"/>
      <c r="E370" s="88"/>
      <c r="F370" s="88"/>
      <c r="G370" s="88"/>
      <c r="H370" s="88"/>
      <c r="I370" s="88"/>
      <c r="J370" s="88"/>
      <c r="K370" s="88"/>
      <c r="L370" s="88"/>
      <c r="M370" s="88"/>
      <c r="N370" s="88"/>
      <c r="O370" s="88"/>
      <c r="P370" s="88"/>
      <c r="Q370" s="88"/>
      <c r="R370" s="88"/>
      <c r="S370" s="88"/>
      <c r="T370" s="88"/>
      <c r="U370" s="88"/>
      <c r="V370" s="88"/>
      <c r="W370" s="88"/>
      <c r="X370" s="88"/>
      <c r="Y370" s="88"/>
      <c r="Z370" s="88"/>
      <c r="AA370" s="88"/>
    </row>
    <row r="371" spans="1:27" ht="13.2">
      <c r="A371" s="88"/>
      <c r="B371" s="88"/>
      <c r="C371" s="88"/>
      <c r="D371" s="88"/>
      <c r="E371" s="88"/>
      <c r="F371" s="88"/>
      <c r="G371" s="88"/>
      <c r="H371" s="88"/>
      <c r="I371" s="88"/>
      <c r="J371" s="88"/>
      <c r="K371" s="88"/>
      <c r="L371" s="88"/>
      <c r="M371" s="88"/>
      <c r="N371" s="88"/>
      <c r="O371" s="88"/>
      <c r="P371" s="88"/>
      <c r="Q371" s="88"/>
      <c r="R371" s="88"/>
      <c r="S371" s="88"/>
      <c r="T371" s="88"/>
      <c r="U371" s="88"/>
      <c r="V371" s="88"/>
      <c r="W371" s="88"/>
      <c r="X371" s="88"/>
      <c r="Y371" s="88"/>
      <c r="Z371" s="88"/>
      <c r="AA371" s="88"/>
    </row>
    <row r="372" spans="1:27" ht="13.2">
      <c r="A372" s="88"/>
      <c r="B372" s="88"/>
      <c r="C372" s="88"/>
      <c r="D372" s="88"/>
      <c r="E372" s="88"/>
      <c r="F372" s="88"/>
      <c r="G372" s="88"/>
      <c r="H372" s="88"/>
      <c r="I372" s="88"/>
      <c r="J372" s="88"/>
      <c r="K372" s="88"/>
      <c r="L372" s="88"/>
      <c r="M372" s="88"/>
      <c r="N372" s="88"/>
      <c r="O372" s="88"/>
      <c r="P372" s="88"/>
      <c r="Q372" s="88"/>
      <c r="R372" s="88"/>
      <c r="S372" s="88"/>
      <c r="T372" s="88"/>
      <c r="U372" s="88"/>
      <c r="V372" s="88"/>
      <c r="W372" s="88"/>
      <c r="X372" s="88"/>
      <c r="Y372" s="88"/>
      <c r="Z372" s="88"/>
      <c r="AA372" s="88"/>
    </row>
    <row r="373" spans="1:27" ht="13.2">
      <c r="A373" s="88"/>
      <c r="B373" s="88"/>
      <c r="C373" s="88"/>
      <c r="D373" s="88"/>
      <c r="E373" s="88"/>
      <c r="F373" s="88"/>
      <c r="G373" s="88"/>
      <c r="H373" s="88"/>
      <c r="I373" s="88"/>
      <c r="J373" s="88"/>
      <c r="K373" s="88"/>
      <c r="L373" s="88"/>
      <c r="M373" s="88"/>
      <c r="N373" s="88"/>
      <c r="O373" s="88"/>
      <c r="P373" s="88"/>
      <c r="Q373" s="88"/>
      <c r="R373" s="88"/>
      <c r="S373" s="88"/>
      <c r="T373" s="88"/>
      <c r="U373" s="88"/>
      <c r="V373" s="88"/>
      <c r="W373" s="88"/>
      <c r="X373" s="88"/>
      <c r="Y373" s="88"/>
      <c r="Z373" s="88"/>
      <c r="AA373" s="88"/>
    </row>
    <row r="374" spans="1:27" ht="13.2">
      <c r="A374" s="88"/>
      <c r="B374" s="88"/>
      <c r="C374" s="88"/>
      <c r="D374" s="88"/>
      <c r="E374" s="88"/>
      <c r="F374" s="88"/>
      <c r="G374" s="88"/>
      <c r="H374" s="88"/>
      <c r="I374" s="88"/>
      <c r="J374" s="88"/>
      <c r="K374" s="88"/>
      <c r="L374" s="88"/>
      <c r="M374" s="88"/>
      <c r="N374" s="88"/>
      <c r="O374" s="88"/>
      <c r="P374" s="88"/>
      <c r="Q374" s="88"/>
      <c r="R374" s="88"/>
      <c r="S374" s="88"/>
      <c r="T374" s="88"/>
      <c r="U374" s="88"/>
      <c r="V374" s="88"/>
      <c r="W374" s="88"/>
      <c r="X374" s="88"/>
      <c r="Y374" s="88"/>
      <c r="Z374" s="88"/>
      <c r="AA374" s="88"/>
    </row>
    <row r="375" spans="1:27" ht="13.2">
      <c r="A375" s="88"/>
      <c r="B375" s="88"/>
      <c r="C375" s="88"/>
      <c r="D375" s="88"/>
      <c r="E375" s="88"/>
      <c r="F375" s="88"/>
      <c r="G375" s="88"/>
      <c r="H375" s="88"/>
      <c r="I375" s="88"/>
      <c r="J375" s="88"/>
      <c r="K375" s="88"/>
      <c r="L375" s="88"/>
      <c r="M375" s="88"/>
      <c r="N375" s="88"/>
      <c r="O375" s="88"/>
      <c r="P375" s="88"/>
      <c r="Q375" s="88"/>
      <c r="R375" s="88"/>
      <c r="S375" s="88"/>
      <c r="T375" s="88"/>
      <c r="U375" s="88"/>
      <c r="V375" s="88"/>
      <c r="W375" s="88"/>
      <c r="X375" s="88"/>
      <c r="Y375" s="88"/>
      <c r="Z375" s="88"/>
      <c r="AA375" s="88"/>
    </row>
    <row r="376" spans="1:27" ht="13.2">
      <c r="A376" s="88"/>
      <c r="B376" s="88"/>
      <c r="C376" s="88"/>
      <c r="D376" s="88"/>
      <c r="E376" s="88"/>
      <c r="F376" s="88"/>
      <c r="G376" s="88"/>
      <c r="H376" s="88"/>
      <c r="I376" s="88"/>
      <c r="J376" s="88"/>
      <c r="K376" s="88"/>
      <c r="L376" s="88"/>
      <c r="M376" s="88"/>
      <c r="N376" s="88"/>
      <c r="O376" s="88"/>
      <c r="P376" s="88"/>
      <c r="Q376" s="88"/>
      <c r="R376" s="88"/>
      <c r="S376" s="88"/>
      <c r="T376" s="88"/>
      <c r="U376" s="88"/>
      <c r="V376" s="88"/>
      <c r="W376" s="88"/>
      <c r="X376" s="88"/>
      <c r="Y376" s="88"/>
      <c r="Z376" s="88"/>
      <c r="AA376" s="88"/>
    </row>
    <row r="377" spans="1:27" ht="13.2">
      <c r="A377" s="88"/>
      <c r="B377" s="88"/>
      <c r="C377" s="88"/>
      <c r="D377" s="88"/>
      <c r="E377" s="88"/>
      <c r="F377" s="88"/>
      <c r="G377" s="88"/>
      <c r="H377" s="88"/>
      <c r="I377" s="88"/>
      <c r="J377" s="88"/>
      <c r="K377" s="88"/>
      <c r="L377" s="88"/>
      <c r="M377" s="88"/>
      <c r="N377" s="88"/>
      <c r="O377" s="88"/>
      <c r="P377" s="88"/>
      <c r="Q377" s="88"/>
      <c r="R377" s="88"/>
      <c r="S377" s="88"/>
      <c r="T377" s="88"/>
      <c r="U377" s="88"/>
      <c r="V377" s="88"/>
      <c r="W377" s="88"/>
      <c r="X377" s="88"/>
      <c r="Y377" s="88"/>
      <c r="Z377" s="88"/>
      <c r="AA377" s="88"/>
    </row>
    <row r="378" spans="1:27" ht="13.2">
      <c r="A378" s="88"/>
      <c r="B378" s="88"/>
      <c r="C378" s="88"/>
      <c r="D378" s="88"/>
      <c r="E378" s="88"/>
      <c r="F378" s="88"/>
      <c r="G378" s="88"/>
      <c r="H378" s="88"/>
      <c r="I378" s="88"/>
      <c r="J378" s="88"/>
      <c r="K378" s="88"/>
      <c r="L378" s="88"/>
      <c r="M378" s="88"/>
      <c r="N378" s="88"/>
      <c r="O378" s="88"/>
      <c r="P378" s="88"/>
      <c r="Q378" s="88"/>
      <c r="R378" s="88"/>
      <c r="S378" s="88"/>
      <c r="T378" s="88"/>
      <c r="U378" s="88"/>
      <c r="V378" s="88"/>
      <c r="W378" s="88"/>
      <c r="X378" s="88"/>
      <c r="Y378" s="88"/>
      <c r="Z378" s="88"/>
      <c r="AA378" s="88"/>
    </row>
    <row r="379" spans="1:27" ht="13.2">
      <c r="A379" s="88"/>
      <c r="B379" s="88"/>
      <c r="C379" s="88"/>
      <c r="D379" s="88"/>
      <c r="E379" s="88"/>
      <c r="F379" s="88"/>
      <c r="G379" s="88"/>
      <c r="H379" s="88"/>
      <c r="I379" s="88"/>
      <c r="J379" s="88"/>
      <c r="K379" s="88"/>
      <c r="L379" s="88"/>
      <c r="M379" s="88"/>
      <c r="N379" s="88"/>
      <c r="O379" s="88"/>
      <c r="P379" s="88"/>
      <c r="Q379" s="88"/>
      <c r="R379" s="88"/>
      <c r="S379" s="88"/>
      <c r="T379" s="88"/>
      <c r="U379" s="88"/>
      <c r="V379" s="88"/>
      <c r="W379" s="88"/>
      <c r="X379" s="88"/>
      <c r="Y379" s="88"/>
      <c r="Z379" s="88"/>
      <c r="AA379" s="88"/>
    </row>
    <row r="380" spans="1:27" ht="13.2">
      <c r="A380" s="88"/>
      <c r="B380" s="88"/>
      <c r="C380" s="88"/>
      <c r="D380" s="88"/>
      <c r="E380" s="88"/>
      <c r="F380" s="88"/>
      <c r="G380" s="88"/>
      <c r="H380" s="88"/>
      <c r="I380" s="88"/>
      <c r="J380" s="88"/>
      <c r="K380" s="88"/>
      <c r="L380" s="88"/>
      <c r="M380" s="88"/>
      <c r="N380" s="88"/>
      <c r="O380" s="88"/>
      <c r="P380" s="88"/>
      <c r="Q380" s="88"/>
      <c r="R380" s="88"/>
      <c r="S380" s="88"/>
      <c r="T380" s="88"/>
      <c r="U380" s="88"/>
      <c r="V380" s="88"/>
      <c r="W380" s="88"/>
      <c r="X380" s="88"/>
      <c r="Y380" s="88"/>
      <c r="Z380" s="88"/>
      <c r="AA380" s="88"/>
    </row>
    <row r="381" spans="1:27" ht="13.2">
      <c r="A381" s="88"/>
      <c r="B381" s="88"/>
      <c r="C381" s="88"/>
      <c r="D381" s="88"/>
      <c r="E381" s="88"/>
      <c r="F381" s="88"/>
      <c r="G381" s="88"/>
      <c r="H381" s="88"/>
      <c r="I381" s="88"/>
      <c r="J381" s="88"/>
      <c r="K381" s="88"/>
      <c r="L381" s="88"/>
      <c r="M381" s="88"/>
      <c r="N381" s="88"/>
      <c r="O381" s="88"/>
      <c r="P381" s="88"/>
      <c r="Q381" s="88"/>
      <c r="R381" s="88"/>
      <c r="S381" s="88"/>
      <c r="T381" s="88"/>
      <c r="U381" s="88"/>
      <c r="V381" s="88"/>
      <c r="W381" s="88"/>
      <c r="X381" s="88"/>
      <c r="Y381" s="88"/>
      <c r="Z381" s="88"/>
      <c r="AA381" s="88"/>
    </row>
    <row r="382" spans="1:27" ht="13.2">
      <c r="A382" s="88"/>
      <c r="B382" s="88"/>
      <c r="C382" s="88"/>
      <c r="D382" s="88"/>
      <c r="E382" s="88"/>
      <c r="F382" s="88"/>
      <c r="G382" s="88"/>
      <c r="H382" s="88"/>
      <c r="I382" s="88"/>
      <c r="J382" s="88"/>
      <c r="K382" s="88"/>
      <c r="L382" s="88"/>
      <c r="M382" s="88"/>
      <c r="N382" s="88"/>
      <c r="O382" s="88"/>
      <c r="P382" s="88"/>
      <c r="Q382" s="88"/>
      <c r="R382" s="88"/>
      <c r="S382" s="88"/>
      <c r="T382" s="88"/>
      <c r="U382" s="88"/>
      <c r="V382" s="88"/>
      <c r="W382" s="88"/>
      <c r="X382" s="88"/>
      <c r="Y382" s="88"/>
      <c r="Z382" s="88"/>
      <c r="AA382" s="88"/>
    </row>
    <row r="383" spans="1:27" ht="13.2">
      <c r="A383" s="88"/>
      <c r="B383" s="88"/>
      <c r="C383" s="88"/>
      <c r="D383" s="88"/>
      <c r="E383" s="88"/>
      <c r="F383" s="88"/>
      <c r="G383" s="88"/>
      <c r="H383" s="88"/>
      <c r="I383" s="88"/>
      <c r="J383" s="88"/>
      <c r="K383" s="88"/>
      <c r="L383" s="88"/>
      <c r="M383" s="88"/>
      <c r="N383" s="88"/>
      <c r="O383" s="88"/>
      <c r="P383" s="88"/>
      <c r="Q383" s="88"/>
      <c r="R383" s="88"/>
      <c r="S383" s="88"/>
      <c r="T383" s="88"/>
      <c r="U383" s="88"/>
      <c r="V383" s="88"/>
      <c r="W383" s="88"/>
      <c r="X383" s="88"/>
      <c r="Y383" s="88"/>
      <c r="Z383" s="88"/>
      <c r="AA383" s="88"/>
    </row>
    <row r="384" spans="1:27" ht="13.2">
      <c r="A384" s="88"/>
      <c r="B384" s="88"/>
      <c r="C384" s="88"/>
      <c r="D384" s="88"/>
      <c r="E384" s="88"/>
      <c r="F384" s="88"/>
      <c r="G384" s="88"/>
      <c r="H384" s="88"/>
      <c r="I384" s="88"/>
      <c r="J384" s="88"/>
      <c r="K384" s="88"/>
      <c r="L384" s="88"/>
      <c r="M384" s="88"/>
      <c r="N384" s="88"/>
      <c r="O384" s="88"/>
      <c r="P384" s="88"/>
      <c r="Q384" s="88"/>
      <c r="R384" s="88"/>
      <c r="S384" s="88"/>
      <c r="T384" s="88"/>
      <c r="U384" s="88"/>
      <c r="V384" s="88"/>
      <c r="W384" s="88"/>
      <c r="X384" s="88"/>
      <c r="Y384" s="88"/>
      <c r="Z384" s="88"/>
      <c r="AA384" s="88"/>
    </row>
    <row r="385" spans="1:27" ht="13.2">
      <c r="A385" s="88"/>
      <c r="B385" s="88"/>
      <c r="C385" s="88"/>
      <c r="D385" s="88"/>
      <c r="E385" s="88"/>
      <c r="F385" s="88"/>
      <c r="G385" s="88"/>
      <c r="H385" s="88"/>
      <c r="I385" s="88"/>
      <c r="J385" s="88"/>
      <c r="K385" s="88"/>
      <c r="L385" s="88"/>
      <c r="M385" s="88"/>
      <c r="N385" s="88"/>
      <c r="O385" s="88"/>
      <c r="P385" s="88"/>
      <c r="Q385" s="88"/>
      <c r="R385" s="88"/>
      <c r="S385" s="88"/>
      <c r="T385" s="88"/>
      <c r="U385" s="88"/>
      <c r="V385" s="88"/>
      <c r="W385" s="88"/>
      <c r="X385" s="88"/>
      <c r="Y385" s="88"/>
      <c r="Z385" s="88"/>
      <c r="AA385" s="88"/>
    </row>
    <row r="386" spans="1:27" ht="13.2">
      <c r="A386" s="88"/>
      <c r="B386" s="88"/>
      <c r="C386" s="88"/>
      <c r="D386" s="88"/>
      <c r="E386" s="88"/>
      <c r="F386" s="88"/>
      <c r="G386" s="88"/>
      <c r="H386" s="88"/>
      <c r="I386" s="88"/>
      <c r="J386" s="88"/>
      <c r="K386" s="88"/>
      <c r="L386" s="88"/>
      <c r="M386" s="88"/>
      <c r="N386" s="88"/>
      <c r="O386" s="88"/>
      <c r="P386" s="88"/>
      <c r="Q386" s="88"/>
      <c r="R386" s="88"/>
      <c r="S386" s="88"/>
      <c r="T386" s="88"/>
      <c r="U386" s="88"/>
      <c r="V386" s="88"/>
      <c r="W386" s="88"/>
      <c r="X386" s="88"/>
      <c r="Y386" s="88"/>
      <c r="Z386" s="88"/>
      <c r="AA386" s="88"/>
    </row>
    <row r="387" spans="1:27" ht="13.2">
      <c r="A387" s="88"/>
      <c r="B387" s="88"/>
      <c r="C387" s="88"/>
      <c r="D387" s="88"/>
      <c r="E387" s="88"/>
      <c r="F387" s="88"/>
      <c r="G387" s="88"/>
      <c r="H387" s="88"/>
      <c r="I387" s="88"/>
      <c r="J387" s="88"/>
      <c r="K387" s="88"/>
      <c r="L387" s="88"/>
      <c r="M387" s="88"/>
      <c r="N387" s="88"/>
      <c r="O387" s="88"/>
      <c r="P387" s="88"/>
      <c r="Q387" s="88"/>
      <c r="R387" s="88"/>
      <c r="S387" s="88"/>
      <c r="T387" s="88"/>
      <c r="U387" s="88"/>
      <c r="V387" s="88"/>
      <c r="W387" s="88"/>
      <c r="X387" s="88"/>
      <c r="Y387" s="88"/>
      <c r="Z387" s="88"/>
      <c r="AA387" s="88"/>
    </row>
    <row r="388" spans="1:27" ht="13.2">
      <c r="A388" s="88"/>
      <c r="B388" s="88"/>
      <c r="C388" s="88"/>
      <c r="D388" s="88"/>
      <c r="E388" s="88"/>
      <c r="F388" s="88"/>
      <c r="G388" s="88"/>
      <c r="H388" s="88"/>
      <c r="I388" s="88"/>
      <c r="J388" s="88"/>
      <c r="K388" s="88"/>
      <c r="L388" s="88"/>
      <c r="M388" s="88"/>
      <c r="N388" s="88"/>
      <c r="O388" s="88"/>
      <c r="P388" s="88"/>
      <c r="Q388" s="88"/>
      <c r="R388" s="88"/>
      <c r="S388" s="88"/>
      <c r="T388" s="88"/>
      <c r="U388" s="88"/>
      <c r="V388" s="88"/>
      <c r="W388" s="88"/>
      <c r="X388" s="88"/>
      <c r="Y388" s="88"/>
      <c r="Z388" s="88"/>
      <c r="AA388" s="88"/>
    </row>
    <row r="389" spans="1:27" ht="13.2">
      <c r="A389" s="88"/>
      <c r="B389" s="88"/>
      <c r="C389" s="88"/>
      <c r="D389" s="88"/>
      <c r="E389" s="88"/>
      <c r="F389" s="88"/>
      <c r="G389" s="88"/>
      <c r="H389" s="88"/>
      <c r="I389" s="88"/>
      <c r="J389" s="88"/>
      <c r="K389" s="88"/>
      <c r="L389" s="88"/>
      <c r="M389" s="88"/>
      <c r="N389" s="88"/>
      <c r="O389" s="88"/>
      <c r="P389" s="88"/>
      <c r="Q389" s="88"/>
      <c r="R389" s="88"/>
      <c r="S389" s="88"/>
      <c r="T389" s="88"/>
      <c r="U389" s="88"/>
      <c r="V389" s="88"/>
      <c r="W389" s="88"/>
      <c r="X389" s="88"/>
      <c r="Y389" s="88"/>
      <c r="Z389" s="88"/>
      <c r="AA389" s="88"/>
    </row>
    <row r="390" spans="1:27" ht="13.2">
      <c r="A390" s="88"/>
      <c r="B390" s="88"/>
      <c r="C390" s="88"/>
      <c r="D390" s="88"/>
      <c r="E390" s="88"/>
      <c r="F390" s="88"/>
      <c r="G390" s="88"/>
      <c r="H390" s="88"/>
      <c r="I390" s="88"/>
      <c r="J390" s="88"/>
      <c r="K390" s="88"/>
      <c r="L390" s="88"/>
      <c r="M390" s="88"/>
      <c r="N390" s="88"/>
      <c r="O390" s="88"/>
      <c r="P390" s="88"/>
      <c r="Q390" s="88"/>
      <c r="R390" s="88"/>
      <c r="S390" s="88"/>
      <c r="T390" s="88"/>
      <c r="U390" s="88"/>
      <c r="V390" s="88"/>
      <c r="W390" s="88"/>
      <c r="X390" s="88"/>
      <c r="Y390" s="88"/>
      <c r="Z390" s="88"/>
      <c r="AA390" s="88"/>
    </row>
    <row r="391" spans="1:27" ht="13.2">
      <c r="A391" s="88"/>
      <c r="B391" s="88"/>
      <c r="C391" s="88"/>
      <c r="D391" s="88"/>
      <c r="E391" s="88"/>
      <c r="F391" s="88"/>
      <c r="G391" s="88"/>
      <c r="H391" s="88"/>
      <c r="I391" s="88"/>
      <c r="J391" s="88"/>
      <c r="K391" s="88"/>
      <c r="L391" s="88"/>
      <c r="M391" s="88"/>
      <c r="N391" s="88"/>
      <c r="O391" s="88"/>
      <c r="P391" s="88"/>
      <c r="Q391" s="88"/>
      <c r="R391" s="88"/>
      <c r="S391" s="88"/>
      <c r="T391" s="88"/>
      <c r="U391" s="88"/>
      <c r="V391" s="88"/>
      <c r="W391" s="88"/>
      <c r="X391" s="88"/>
      <c r="Y391" s="88"/>
      <c r="Z391" s="88"/>
      <c r="AA391" s="88"/>
    </row>
    <row r="392" spans="1:27" ht="13.2">
      <c r="A392" s="88"/>
      <c r="B392" s="88"/>
      <c r="C392" s="88"/>
      <c r="D392" s="88"/>
      <c r="E392" s="88"/>
      <c r="F392" s="88"/>
      <c r="G392" s="88"/>
      <c r="H392" s="88"/>
      <c r="I392" s="88"/>
      <c r="J392" s="88"/>
      <c r="K392" s="88"/>
      <c r="L392" s="88"/>
      <c r="M392" s="88"/>
      <c r="N392" s="88"/>
      <c r="O392" s="88"/>
      <c r="P392" s="88"/>
      <c r="Q392" s="88"/>
      <c r="R392" s="88"/>
      <c r="S392" s="88"/>
      <c r="T392" s="88"/>
      <c r="U392" s="88"/>
      <c r="V392" s="88"/>
      <c r="W392" s="88"/>
      <c r="X392" s="88"/>
      <c r="Y392" s="88"/>
      <c r="Z392" s="88"/>
      <c r="AA392" s="88"/>
    </row>
    <row r="393" spans="1:27" ht="13.2">
      <c r="A393" s="88"/>
      <c r="B393" s="88"/>
      <c r="C393" s="88"/>
      <c r="D393" s="88"/>
      <c r="E393" s="88"/>
      <c r="F393" s="88"/>
      <c r="G393" s="88"/>
      <c r="H393" s="88"/>
      <c r="I393" s="88"/>
      <c r="J393" s="88"/>
      <c r="K393" s="88"/>
      <c r="L393" s="88"/>
      <c r="M393" s="88"/>
      <c r="N393" s="88"/>
      <c r="O393" s="88"/>
      <c r="P393" s="88"/>
      <c r="Q393" s="88"/>
      <c r="R393" s="88"/>
      <c r="S393" s="88"/>
      <c r="T393" s="88"/>
      <c r="U393" s="88"/>
      <c r="V393" s="88"/>
      <c r="W393" s="88"/>
      <c r="X393" s="88"/>
      <c r="Y393" s="88"/>
      <c r="Z393" s="88"/>
      <c r="AA393" s="88"/>
    </row>
    <row r="394" spans="1:27" ht="13.2">
      <c r="A394" s="88"/>
      <c r="B394" s="88"/>
      <c r="C394" s="88"/>
      <c r="D394" s="88"/>
      <c r="E394" s="88"/>
      <c r="F394" s="88"/>
      <c r="G394" s="88"/>
      <c r="H394" s="88"/>
      <c r="I394" s="88"/>
      <c r="J394" s="88"/>
      <c r="K394" s="88"/>
      <c r="L394" s="88"/>
      <c r="M394" s="88"/>
      <c r="N394" s="88"/>
      <c r="O394" s="88"/>
      <c r="P394" s="88"/>
      <c r="Q394" s="88"/>
      <c r="R394" s="88"/>
      <c r="S394" s="88"/>
      <c r="T394" s="88"/>
      <c r="U394" s="88"/>
      <c r="V394" s="88"/>
      <c r="W394" s="88"/>
      <c r="X394" s="88"/>
      <c r="Y394" s="88"/>
      <c r="Z394" s="88"/>
      <c r="AA394" s="88"/>
    </row>
    <row r="395" spans="1:27" ht="13.2">
      <c r="A395" s="88"/>
      <c r="B395" s="88"/>
      <c r="C395" s="88"/>
      <c r="D395" s="88"/>
      <c r="E395" s="88"/>
      <c r="F395" s="88"/>
      <c r="G395" s="88"/>
      <c r="H395" s="88"/>
      <c r="I395" s="88"/>
      <c r="J395" s="88"/>
      <c r="K395" s="88"/>
      <c r="L395" s="88"/>
      <c r="M395" s="88"/>
      <c r="N395" s="88"/>
      <c r="O395" s="88"/>
      <c r="P395" s="88"/>
      <c r="Q395" s="88"/>
      <c r="R395" s="88"/>
      <c r="S395" s="88"/>
      <c r="T395" s="88"/>
      <c r="U395" s="88"/>
      <c r="V395" s="88"/>
      <c r="W395" s="88"/>
      <c r="X395" s="88"/>
      <c r="Y395" s="88"/>
      <c r="Z395" s="88"/>
      <c r="AA395" s="88"/>
    </row>
    <row r="396" spans="1:27" ht="13.2">
      <c r="A396" s="88"/>
      <c r="B396" s="88"/>
      <c r="C396" s="88"/>
      <c r="D396" s="88"/>
      <c r="E396" s="88"/>
      <c r="F396" s="88"/>
      <c r="G396" s="88"/>
      <c r="H396" s="88"/>
      <c r="I396" s="88"/>
      <c r="J396" s="88"/>
      <c r="K396" s="88"/>
      <c r="L396" s="88"/>
      <c r="M396" s="88"/>
      <c r="N396" s="88"/>
      <c r="O396" s="88"/>
      <c r="P396" s="88"/>
      <c r="Q396" s="88"/>
      <c r="R396" s="88"/>
      <c r="S396" s="88"/>
      <c r="T396" s="88"/>
      <c r="U396" s="88"/>
      <c r="V396" s="88"/>
      <c r="W396" s="88"/>
      <c r="X396" s="88"/>
      <c r="Y396" s="88"/>
      <c r="Z396" s="88"/>
      <c r="AA396" s="88"/>
    </row>
    <row r="397" spans="1:27" ht="13.2">
      <c r="A397" s="88"/>
      <c r="B397" s="88"/>
      <c r="C397" s="88"/>
      <c r="D397" s="88"/>
      <c r="E397" s="88"/>
      <c r="F397" s="88"/>
      <c r="G397" s="88"/>
      <c r="H397" s="88"/>
      <c r="I397" s="88"/>
      <c r="J397" s="88"/>
      <c r="K397" s="88"/>
      <c r="L397" s="88"/>
      <c r="M397" s="88"/>
      <c r="N397" s="88"/>
      <c r="O397" s="88"/>
      <c r="P397" s="88"/>
      <c r="Q397" s="88"/>
      <c r="R397" s="88"/>
      <c r="S397" s="88"/>
      <c r="T397" s="88"/>
      <c r="U397" s="88"/>
      <c r="V397" s="88"/>
      <c r="W397" s="88"/>
      <c r="X397" s="88"/>
      <c r="Y397" s="88"/>
      <c r="Z397" s="88"/>
      <c r="AA397" s="88"/>
    </row>
    <row r="398" spans="1:27" ht="13.2">
      <c r="A398" s="88"/>
      <c r="B398" s="88"/>
      <c r="C398" s="88"/>
      <c r="D398" s="88"/>
      <c r="E398" s="88"/>
      <c r="F398" s="88"/>
      <c r="G398" s="88"/>
      <c r="H398" s="88"/>
      <c r="I398" s="88"/>
      <c r="J398" s="88"/>
      <c r="K398" s="88"/>
      <c r="L398" s="88"/>
      <c r="M398" s="88"/>
      <c r="N398" s="88"/>
      <c r="O398" s="88"/>
      <c r="P398" s="88"/>
      <c r="Q398" s="88"/>
      <c r="R398" s="88"/>
      <c r="S398" s="88"/>
      <c r="T398" s="88"/>
      <c r="U398" s="88"/>
      <c r="V398" s="88"/>
      <c r="W398" s="88"/>
      <c r="X398" s="88"/>
      <c r="Y398" s="88"/>
      <c r="Z398" s="88"/>
      <c r="AA398" s="88"/>
    </row>
    <row r="399" spans="1:27" ht="13.2">
      <c r="A399" s="88"/>
      <c r="B399" s="88"/>
      <c r="C399" s="88"/>
      <c r="D399" s="88"/>
      <c r="E399" s="88"/>
      <c r="F399" s="88"/>
      <c r="G399" s="88"/>
      <c r="H399" s="88"/>
      <c r="I399" s="88"/>
      <c r="J399" s="88"/>
      <c r="K399" s="88"/>
      <c r="L399" s="88"/>
      <c r="M399" s="88"/>
      <c r="N399" s="88"/>
      <c r="O399" s="88"/>
      <c r="P399" s="88"/>
      <c r="Q399" s="88"/>
      <c r="R399" s="88"/>
      <c r="S399" s="88"/>
      <c r="T399" s="88"/>
      <c r="U399" s="88"/>
      <c r="V399" s="88"/>
      <c r="W399" s="88"/>
      <c r="X399" s="88"/>
      <c r="Y399" s="88"/>
      <c r="Z399" s="88"/>
      <c r="AA399" s="88"/>
    </row>
    <row r="400" spans="1:27" ht="13.2">
      <c r="A400" s="88"/>
      <c r="B400" s="88"/>
      <c r="C400" s="88"/>
      <c r="D400" s="88"/>
      <c r="E400" s="88"/>
      <c r="F400" s="88"/>
      <c r="G400" s="88"/>
      <c r="H400" s="88"/>
      <c r="I400" s="88"/>
      <c r="J400" s="88"/>
      <c r="K400" s="88"/>
      <c r="L400" s="88"/>
      <c r="M400" s="88"/>
      <c r="N400" s="88"/>
      <c r="O400" s="88"/>
      <c r="P400" s="88"/>
      <c r="Q400" s="88"/>
      <c r="R400" s="88"/>
      <c r="S400" s="88"/>
      <c r="T400" s="88"/>
      <c r="U400" s="88"/>
      <c r="V400" s="88"/>
      <c r="W400" s="88"/>
      <c r="X400" s="88"/>
      <c r="Y400" s="88"/>
      <c r="Z400" s="88"/>
      <c r="AA400" s="88"/>
    </row>
    <row r="401" spans="1:27" ht="13.2">
      <c r="A401" s="88"/>
      <c r="B401" s="88"/>
      <c r="C401" s="88"/>
      <c r="D401" s="88"/>
      <c r="E401" s="88"/>
      <c r="F401" s="88"/>
      <c r="G401" s="88"/>
      <c r="H401" s="88"/>
      <c r="I401" s="88"/>
      <c r="J401" s="88"/>
      <c r="K401" s="88"/>
      <c r="L401" s="88"/>
      <c r="M401" s="88"/>
      <c r="N401" s="88"/>
      <c r="O401" s="88"/>
      <c r="P401" s="88"/>
      <c r="Q401" s="88"/>
      <c r="R401" s="88"/>
      <c r="S401" s="88"/>
      <c r="T401" s="88"/>
      <c r="U401" s="88"/>
      <c r="V401" s="88"/>
      <c r="W401" s="88"/>
      <c r="X401" s="88"/>
      <c r="Y401" s="88"/>
      <c r="Z401" s="88"/>
      <c r="AA401" s="88"/>
    </row>
    <row r="402" spans="1:27" ht="13.2">
      <c r="A402" s="88"/>
      <c r="B402" s="88"/>
      <c r="C402" s="88"/>
      <c r="D402" s="88"/>
      <c r="E402" s="88"/>
      <c r="F402" s="88"/>
      <c r="G402" s="88"/>
      <c r="H402" s="88"/>
      <c r="I402" s="88"/>
      <c r="J402" s="88"/>
      <c r="K402" s="88"/>
      <c r="L402" s="88"/>
      <c r="M402" s="88"/>
      <c r="N402" s="88"/>
      <c r="O402" s="88"/>
      <c r="P402" s="88"/>
      <c r="Q402" s="88"/>
      <c r="R402" s="88"/>
      <c r="S402" s="88"/>
      <c r="T402" s="88"/>
      <c r="U402" s="88"/>
      <c r="V402" s="88"/>
      <c r="W402" s="88"/>
      <c r="X402" s="88"/>
      <c r="Y402" s="88"/>
      <c r="Z402" s="88"/>
      <c r="AA402" s="88"/>
    </row>
    <row r="403" spans="1:27" ht="13.2">
      <c r="A403" s="88"/>
      <c r="B403" s="88"/>
      <c r="C403" s="88"/>
      <c r="D403" s="88"/>
      <c r="E403" s="88"/>
      <c r="F403" s="88"/>
      <c r="G403" s="88"/>
      <c r="H403" s="88"/>
      <c r="I403" s="88"/>
      <c r="J403" s="88"/>
      <c r="K403" s="88"/>
      <c r="L403" s="88"/>
      <c r="M403" s="88"/>
      <c r="N403" s="88"/>
      <c r="O403" s="88"/>
      <c r="P403" s="88"/>
      <c r="Q403" s="88"/>
      <c r="R403" s="88"/>
      <c r="S403" s="88"/>
      <c r="T403" s="88"/>
      <c r="U403" s="88"/>
      <c r="V403" s="88"/>
      <c r="W403" s="88"/>
      <c r="X403" s="88"/>
      <c r="Y403" s="88"/>
      <c r="Z403" s="88"/>
      <c r="AA403" s="88"/>
    </row>
    <row r="404" spans="1:27" ht="13.2">
      <c r="A404" s="88"/>
      <c r="B404" s="88"/>
      <c r="C404" s="88"/>
      <c r="D404" s="88"/>
      <c r="E404" s="88"/>
      <c r="F404" s="88"/>
      <c r="G404" s="88"/>
      <c r="H404" s="88"/>
      <c r="I404" s="88"/>
      <c r="J404" s="88"/>
      <c r="K404" s="88"/>
      <c r="L404" s="88"/>
      <c r="M404" s="88"/>
      <c r="N404" s="88"/>
      <c r="O404" s="88"/>
      <c r="P404" s="88"/>
      <c r="Q404" s="88"/>
      <c r="R404" s="88"/>
      <c r="S404" s="88"/>
      <c r="T404" s="88"/>
      <c r="U404" s="88"/>
      <c r="V404" s="88"/>
      <c r="W404" s="88"/>
      <c r="X404" s="88"/>
      <c r="Y404" s="88"/>
      <c r="Z404" s="88"/>
      <c r="AA404" s="88"/>
    </row>
    <row r="405" spans="1:27" ht="13.2">
      <c r="A405" s="88"/>
      <c r="B405" s="88"/>
      <c r="C405" s="88"/>
      <c r="D405" s="88"/>
      <c r="E405" s="88"/>
      <c r="F405" s="88"/>
      <c r="G405" s="88"/>
      <c r="H405" s="88"/>
      <c r="I405" s="88"/>
      <c r="J405" s="88"/>
      <c r="K405" s="88"/>
      <c r="L405" s="88"/>
      <c r="M405" s="88"/>
      <c r="N405" s="88"/>
      <c r="O405" s="88"/>
      <c r="P405" s="88"/>
      <c r="Q405" s="88"/>
      <c r="R405" s="88"/>
      <c r="S405" s="88"/>
      <c r="T405" s="88"/>
      <c r="U405" s="88"/>
      <c r="V405" s="88"/>
      <c r="W405" s="88"/>
      <c r="X405" s="88"/>
      <c r="Y405" s="88"/>
      <c r="Z405" s="88"/>
      <c r="AA405" s="88"/>
    </row>
    <row r="406" spans="1:27" ht="13.2">
      <c r="A406" s="88"/>
      <c r="B406" s="88"/>
      <c r="C406" s="88"/>
      <c r="D406" s="88"/>
      <c r="E406" s="88"/>
      <c r="F406" s="88"/>
      <c r="G406" s="88"/>
      <c r="H406" s="88"/>
      <c r="I406" s="88"/>
      <c r="J406" s="88"/>
      <c r="K406" s="88"/>
      <c r="L406" s="88"/>
      <c r="M406" s="88"/>
      <c r="N406" s="88"/>
      <c r="O406" s="88"/>
      <c r="P406" s="88"/>
      <c r="Q406" s="88"/>
      <c r="R406" s="88"/>
      <c r="S406" s="88"/>
      <c r="T406" s="88"/>
      <c r="U406" s="88"/>
      <c r="V406" s="88"/>
      <c r="W406" s="88"/>
      <c r="X406" s="88"/>
      <c r="Y406" s="88"/>
      <c r="Z406" s="88"/>
      <c r="AA406" s="88"/>
    </row>
    <row r="407" spans="1:27" ht="13.2">
      <c r="A407" s="88"/>
      <c r="B407" s="88"/>
      <c r="C407" s="88"/>
      <c r="D407" s="88"/>
      <c r="E407" s="88"/>
      <c r="F407" s="88"/>
      <c r="G407" s="88"/>
      <c r="H407" s="88"/>
      <c r="I407" s="88"/>
      <c r="J407" s="88"/>
      <c r="K407" s="88"/>
      <c r="L407" s="88"/>
      <c r="M407" s="88"/>
      <c r="N407" s="88"/>
      <c r="O407" s="88"/>
      <c r="P407" s="88"/>
      <c r="Q407" s="88"/>
      <c r="R407" s="88"/>
      <c r="S407" s="88"/>
      <c r="T407" s="88"/>
      <c r="U407" s="88"/>
      <c r="V407" s="88"/>
      <c r="W407" s="88"/>
      <c r="X407" s="88"/>
      <c r="Y407" s="88"/>
      <c r="Z407" s="88"/>
      <c r="AA407" s="88"/>
    </row>
    <row r="408" spans="1:27" ht="13.2">
      <c r="A408" s="88"/>
      <c r="B408" s="88"/>
      <c r="C408" s="88"/>
      <c r="D408" s="88"/>
      <c r="E408" s="88"/>
      <c r="F408" s="88"/>
      <c r="G408" s="88"/>
      <c r="H408" s="88"/>
      <c r="I408" s="88"/>
      <c r="J408" s="88"/>
      <c r="K408" s="88"/>
      <c r="L408" s="88"/>
      <c r="M408" s="88"/>
      <c r="N408" s="88"/>
      <c r="O408" s="88"/>
      <c r="P408" s="88"/>
      <c r="Q408" s="88"/>
      <c r="R408" s="88"/>
      <c r="S408" s="88"/>
      <c r="T408" s="88"/>
      <c r="U408" s="88"/>
      <c r="V408" s="88"/>
      <c r="W408" s="88"/>
      <c r="X408" s="88"/>
      <c r="Y408" s="88"/>
      <c r="Z408" s="88"/>
      <c r="AA408" s="88"/>
    </row>
    <row r="409" spans="1:27" ht="13.2">
      <c r="A409" s="88"/>
      <c r="B409" s="88"/>
      <c r="C409" s="88"/>
      <c r="D409" s="88"/>
      <c r="E409" s="88"/>
      <c r="F409" s="88"/>
      <c r="G409" s="88"/>
      <c r="H409" s="88"/>
      <c r="I409" s="88"/>
      <c r="J409" s="88"/>
      <c r="K409" s="88"/>
      <c r="L409" s="88"/>
      <c r="M409" s="88"/>
      <c r="N409" s="88"/>
      <c r="O409" s="88"/>
      <c r="P409" s="88"/>
      <c r="Q409" s="88"/>
      <c r="R409" s="88"/>
      <c r="S409" s="88"/>
      <c r="T409" s="88"/>
      <c r="U409" s="88"/>
      <c r="V409" s="88"/>
      <c r="W409" s="88"/>
      <c r="X409" s="88"/>
      <c r="Y409" s="88"/>
      <c r="Z409" s="88"/>
      <c r="AA409" s="88"/>
    </row>
    <row r="410" spans="1:27" ht="13.2">
      <c r="A410" s="88"/>
      <c r="B410" s="88"/>
      <c r="C410" s="88"/>
      <c r="D410" s="88"/>
      <c r="E410" s="88"/>
      <c r="F410" s="88"/>
      <c r="G410" s="88"/>
      <c r="H410" s="88"/>
      <c r="I410" s="88"/>
      <c r="J410" s="88"/>
      <c r="K410" s="88"/>
      <c r="L410" s="88"/>
      <c r="M410" s="88"/>
      <c r="N410" s="88"/>
      <c r="O410" s="88"/>
      <c r="P410" s="88"/>
      <c r="Q410" s="88"/>
      <c r="R410" s="88"/>
      <c r="S410" s="88"/>
      <c r="T410" s="88"/>
      <c r="U410" s="88"/>
      <c r="V410" s="88"/>
      <c r="W410" s="88"/>
      <c r="X410" s="88"/>
      <c r="Y410" s="88"/>
      <c r="Z410" s="88"/>
      <c r="AA410" s="88"/>
    </row>
    <row r="411" spans="1:27" ht="13.2">
      <c r="A411" s="88"/>
      <c r="B411" s="88"/>
      <c r="C411" s="88"/>
      <c r="D411" s="88"/>
      <c r="E411" s="88"/>
      <c r="F411" s="88"/>
      <c r="G411" s="88"/>
      <c r="H411" s="88"/>
      <c r="I411" s="88"/>
      <c r="J411" s="88"/>
      <c r="K411" s="88"/>
      <c r="L411" s="88"/>
      <c r="M411" s="88"/>
      <c r="N411" s="88"/>
      <c r="O411" s="88"/>
      <c r="P411" s="88"/>
      <c r="Q411" s="88"/>
      <c r="R411" s="88"/>
      <c r="S411" s="88"/>
      <c r="T411" s="88"/>
      <c r="U411" s="88"/>
      <c r="V411" s="88"/>
      <c r="W411" s="88"/>
      <c r="X411" s="88"/>
      <c r="Y411" s="88"/>
      <c r="Z411" s="88"/>
      <c r="AA411" s="88"/>
    </row>
    <row r="412" spans="1:27" ht="13.2">
      <c r="A412" s="88"/>
      <c r="B412" s="88"/>
      <c r="C412" s="88"/>
      <c r="D412" s="88"/>
      <c r="E412" s="88"/>
      <c r="F412" s="88"/>
      <c r="G412" s="88"/>
      <c r="H412" s="88"/>
      <c r="I412" s="88"/>
      <c r="J412" s="88"/>
      <c r="K412" s="88"/>
      <c r="L412" s="88"/>
      <c r="M412" s="88"/>
      <c r="N412" s="88"/>
      <c r="O412" s="88"/>
      <c r="P412" s="88"/>
      <c r="Q412" s="88"/>
      <c r="R412" s="88"/>
      <c r="S412" s="88"/>
      <c r="T412" s="88"/>
      <c r="U412" s="88"/>
      <c r="V412" s="88"/>
      <c r="W412" s="88"/>
      <c r="X412" s="88"/>
      <c r="Y412" s="88"/>
      <c r="Z412" s="88"/>
      <c r="AA412" s="88"/>
    </row>
    <row r="413" spans="1:27" ht="13.2">
      <c r="A413" s="88"/>
      <c r="B413" s="88"/>
      <c r="C413" s="88"/>
      <c r="D413" s="88"/>
      <c r="E413" s="88"/>
      <c r="F413" s="88"/>
      <c r="G413" s="88"/>
      <c r="H413" s="88"/>
      <c r="I413" s="88"/>
      <c r="J413" s="88"/>
      <c r="K413" s="88"/>
      <c r="L413" s="88"/>
      <c r="M413" s="88"/>
      <c r="N413" s="88"/>
      <c r="O413" s="88"/>
      <c r="P413" s="88"/>
      <c r="Q413" s="88"/>
      <c r="R413" s="88"/>
      <c r="S413" s="88"/>
      <c r="T413" s="88"/>
      <c r="U413" s="88"/>
      <c r="V413" s="88"/>
      <c r="W413" s="88"/>
      <c r="X413" s="88"/>
      <c r="Y413" s="88"/>
      <c r="Z413" s="88"/>
      <c r="AA413" s="88"/>
    </row>
    <row r="414" spans="1:27" ht="13.2">
      <c r="A414" s="88"/>
      <c r="B414" s="88"/>
      <c r="C414" s="88"/>
      <c r="D414" s="88"/>
      <c r="E414" s="88"/>
      <c r="F414" s="88"/>
      <c r="G414" s="88"/>
      <c r="H414" s="88"/>
      <c r="I414" s="88"/>
      <c r="J414" s="88"/>
      <c r="K414" s="88"/>
      <c r="L414" s="88"/>
      <c r="M414" s="88"/>
      <c r="N414" s="88"/>
      <c r="O414" s="88"/>
      <c r="P414" s="88"/>
      <c r="Q414" s="88"/>
      <c r="R414" s="88"/>
      <c r="S414" s="88"/>
      <c r="T414" s="88"/>
      <c r="U414" s="88"/>
      <c r="V414" s="88"/>
      <c r="W414" s="88"/>
      <c r="X414" s="88"/>
      <c r="Y414" s="88"/>
      <c r="Z414" s="88"/>
      <c r="AA414" s="88"/>
    </row>
    <row r="415" spans="1:27" ht="13.2">
      <c r="A415" s="88"/>
      <c r="B415" s="88"/>
      <c r="C415" s="88"/>
      <c r="D415" s="88"/>
      <c r="E415" s="88"/>
      <c r="F415" s="88"/>
      <c r="G415" s="88"/>
      <c r="H415" s="88"/>
      <c r="I415" s="88"/>
      <c r="J415" s="88"/>
      <c r="K415" s="88"/>
      <c r="L415" s="88"/>
      <c r="M415" s="88"/>
      <c r="N415" s="88"/>
      <c r="O415" s="88"/>
      <c r="P415" s="88"/>
      <c r="Q415" s="88"/>
      <c r="R415" s="88"/>
      <c r="S415" s="88"/>
      <c r="T415" s="88"/>
      <c r="U415" s="88"/>
      <c r="V415" s="88"/>
      <c r="W415" s="88"/>
      <c r="X415" s="88"/>
      <c r="Y415" s="88"/>
      <c r="Z415" s="88"/>
      <c r="AA415" s="88"/>
    </row>
    <row r="416" spans="1:27" ht="13.2">
      <c r="A416" s="88"/>
      <c r="B416" s="88"/>
      <c r="C416" s="88"/>
      <c r="D416" s="88"/>
      <c r="E416" s="88"/>
      <c r="F416" s="88"/>
      <c r="G416" s="88"/>
      <c r="H416" s="88"/>
      <c r="I416" s="88"/>
      <c r="J416" s="88"/>
      <c r="K416" s="88"/>
      <c r="L416" s="88"/>
      <c r="M416" s="88"/>
      <c r="N416" s="88"/>
      <c r="O416" s="88"/>
      <c r="P416" s="88"/>
      <c r="Q416" s="88"/>
      <c r="R416" s="88"/>
      <c r="S416" s="88"/>
      <c r="T416" s="88"/>
      <c r="U416" s="88"/>
      <c r="V416" s="88"/>
      <c r="W416" s="88"/>
      <c r="X416" s="88"/>
      <c r="Y416" s="88"/>
      <c r="Z416" s="88"/>
      <c r="AA416" s="88"/>
    </row>
    <row r="417" spans="1:27" ht="13.2">
      <c r="A417" s="88"/>
      <c r="B417" s="88"/>
      <c r="C417" s="88"/>
      <c r="D417" s="88"/>
      <c r="E417" s="88"/>
      <c r="F417" s="88"/>
      <c r="G417" s="88"/>
      <c r="H417" s="88"/>
      <c r="I417" s="88"/>
      <c r="J417" s="88"/>
      <c r="K417" s="88"/>
      <c r="L417" s="88"/>
      <c r="M417" s="88"/>
      <c r="N417" s="88"/>
      <c r="O417" s="88"/>
      <c r="P417" s="88"/>
      <c r="Q417" s="88"/>
      <c r="R417" s="88"/>
      <c r="S417" s="88"/>
      <c r="T417" s="88"/>
      <c r="U417" s="88"/>
      <c r="V417" s="88"/>
      <c r="W417" s="88"/>
      <c r="X417" s="88"/>
      <c r="Y417" s="88"/>
      <c r="Z417" s="88"/>
      <c r="AA417" s="88"/>
    </row>
    <row r="418" spans="1:27" ht="13.2">
      <c r="A418" s="88"/>
      <c r="B418" s="88"/>
      <c r="C418" s="88"/>
      <c r="D418" s="88"/>
      <c r="E418" s="88"/>
      <c r="F418" s="88"/>
      <c r="G418" s="88"/>
      <c r="H418" s="88"/>
      <c r="I418" s="88"/>
      <c r="J418" s="88"/>
      <c r="K418" s="88"/>
      <c r="L418" s="88"/>
      <c r="M418" s="88"/>
      <c r="N418" s="88"/>
      <c r="O418" s="88"/>
      <c r="P418" s="88"/>
      <c r="Q418" s="88"/>
      <c r="R418" s="88"/>
      <c r="S418" s="88"/>
      <c r="T418" s="88"/>
      <c r="U418" s="88"/>
      <c r="V418" s="88"/>
      <c r="W418" s="88"/>
      <c r="X418" s="88"/>
      <c r="Y418" s="88"/>
      <c r="Z418" s="88"/>
      <c r="AA418" s="88"/>
    </row>
    <row r="419" spans="1:27" ht="13.2">
      <c r="A419" s="88"/>
      <c r="B419" s="88"/>
      <c r="C419" s="88"/>
      <c r="D419" s="88"/>
      <c r="E419" s="88"/>
      <c r="F419" s="88"/>
      <c r="G419" s="88"/>
      <c r="H419" s="88"/>
      <c r="I419" s="88"/>
      <c r="J419" s="88"/>
      <c r="K419" s="88"/>
      <c r="L419" s="88"/>
      <c r="M419" s="88"/>
      <c r="N419" s="88"/>
      <c r="O419" s="88"/>
      <c r="P419" s="88"/>
      <c r="Q419" s="88"/>
      <c r="R419" s="88"/>
      <c r="S419" s="88"/>
      <c r="T419" s="88"/>
      <c r="U419" s="88"/>
      <c r="V419" s="88"/>
      <c r="W419" s="88"/>
      <c r="X419" s="88"/>
      <c r="Y419" s="88"/>
      <c r="Z419" s="88"/>
      <c r="AA419" s="88"/>
    </row>
    <row r="420" spans="1:27" ht="13.2">
      <c r="A420" s="88"/>
      <c r="B420" s="88"/>
      <c r="C420" s="88"/>
      <c r="D420" s="88"/>
      <c r="E420" s="88"/>
      <c r="F420" s="88"/>
      <c r="G420" s="88"/>
      <c r="H420" s="88"/>
      <c r="I420" s="88"/>
      <c r="J420" s="88"/>
      <c r="K420" s="88"/>
      <c r="L420" s="88"/>
      <c r="M420" s="88"/>
      <c r="N420" s="88"/>
      <c r="O420" s="88"/>
      <c r="P420" s="88"/>
      <c r="Q420" s="88"/>
      <c r="R420" s="88"/>
      <c r="S420" s="88"/>
      <c r="T420" s="88"/>
      <c r="U420" s="88"/>
      <c r="V420" s="88"/>
      <c r="W420" s="88"/>
      <c r="X420" s="88"/>
      <c r="Y420" s="88"/>
      <c r="Z420" s="88"/>
      <c r="AA420" s="88"/>
    </row>
    <row r="421" spans="1:27" ht="13.2">
      <c r="A421" s="88"/>
      <c r="B421" s="88"/>
      <c r="C421" s="88"/>
      <c r="D421" s="88"/>
      <c r="E421" s="88"/>
      <c r="F421" s="88"/>
      <c r="G421" s="88"/>
      <c r="H421" s="88"/>
      <c r="I421" s="88"/>
      <c r="J421" s="88"/>
      <c r="K421" s="88"/>
      <c r="L421" s="88"/>
      <c r="M421" s="88"/>
      <c r="N421" s="88"/>
      <c r="O421" s="88"/>
      <c r="P421" s="88"/>
      <c r="Q421" s="88"/>
      <c r="R421" s="88"/>
      <c r="S421" s="88"/>
      <c r="T421" s="88"/>
      <c r="U421" s="88"/>
      <c r="V421" s="88"/>
      <c r="W421" s="88"/>
      <c r="X421" s="88"/>
      <c r="Y421" s="88"/>
      <c r="Z421" s="88"/>
      <c r="AA421" s="88"/>
    </row>
    <row r="422" spans="1:27" ht="13.2">
      <c r="A422" s="88"/>
      <c r="B422" s="88"/>
      <c r="C422" s="88"/>
      <c r="D422" s="88"/>
      <c r="E422" s="88"/>
      <c r="F422" s="88"/>
      <c r="G422" s="88"/>
      <c r="H422" s="88"/>
      <c r="I422" s="88"/>
      <c r="J422" s="88"/>
      <c r="K422" s="88"/>
      <c r="L422" s="88"/>
      <c r="M422" s="88"/>
      <c r="N422" s="88"/>
      <c r="O422" s="88"/>
      <c r="P422" s="88"/>
      <c r="Q422" s="88"/>
      <c r="R422" s="88"/>
      <c r="S422" s="88"/>
      <c r="T422" s="88"/>
      <c r="U422" s="88"/>
      <c r="V422" s="88"/>
      <c r="W422" s="88"/>
      <c r="X422" s="88"/>
      <c r="Y422" s="88"/>
      <c r="Z422" s="88"/>
      <c r="AA422" s="88"/>
    </row>
    <row r="423" spans="1:27" ht="13.2">
      <c r="A423" s="88"/>
      <c r="B423" s="88"/>
      <c r="C423" s="88"/>
      <c r="D423" s="88"/>
      <c r="E423" s="88"/>
      <c r="F423" s="88"/>
      <c r="G423" s="88"/>
      <c r="H423" s="88"/>
      <c r="I423" s="88"/>
      <c r="J423" s="88"/>
      <c r="K423" s="88"/>
      <c r="L423" s="88"/>
      <c r="M423" s="88"/>
      <c r="N423" s="88"/>
      <c r="O423" s="88"/>
      <c r="P423" s="88"/>
      <c r="Q423" s="88"/>
      <c r="R423" s="88"/>
      <c r="S423" s="88"/>
      <c r="T423" s="88"/>
      <c r="U423" s="88"/>
      <c r="V423" s="88"/>
      <c r="W423" s="88"/>
      <c r="X423" s="88"/>
      <c r="Y423" s="88"/>
      <c r="Z423" s="88"/>
      <c r="AA423" s="88"/>
    </row>
    <row r="424" spans="1:27" ht="13.2">
      <c r="A424" s="88"/>
      <c r="B424" s="88"/>
      <c r="C424" s="88"/>
      <c r="D424" s="88"/>
      <c r="E424" s="88"/>
      <c r="F424" s="88"/>
      <c r="G424" s="88"/>
      <c r="H424" s="88"/>
      <c r="I424" s="88"/>
      <c r="J424" s="88"/>
      <c r="K424" s="88"/>
      <c r="L424" s="88"/>
      <c r="M424" s="88"/>
      <c r="N424" s="88"/>
      <c r="O424" s="88"/>
      <c r="P424" s="88"/>
      <c r="Q424" s="88"/>
      <c r="R424" s="88"/>
      <c r="S424" s="88"/>
      <c r="T424" s="88"/>
      <c r="U424" s="88"/>
      <c r="V424" s="88"/>
      <c r="W424" s="88"/>
      <c r="X424" s="88"/>
      <c r="Y424" s="88"/>
      <c r="Z424" s="88"/>
      <c r="AA424" s="88"/>
    </row>
    <row r="425" spans="1:27" ht="13.2">
      <c r="A425" s="88"/>
      <c r="B425" s="88"/>
      <c r="C425" s="88"/>
      <c r="D425" s="88"/>
      <c r="E425" s="88"/>
      <c r="F425" s="88"/>
      <c r="G425" s="88"/>
      <c r="H425" s="88"/>
      <c r="I425" s="88"/>
      <c r="J425" s="88"/>
      <c r="K425" s="88"/>
      <c r="L425" s="88"/>
      <c r="M425" s="88"/>
      <c r="N425" s="88"/>
      <c r="O425" s="88"/>
      <c r="P425" s="88"/>
      <c r="Q425" s="88"/>
      <c r="R425" s="88"/>
      <c r="S425" s="88"/>
      <c r="T425" s="88"/>
      <c r="U425" s="88"/>
      <c r="V425" s="88"/>
      <c r="W425" s="88"/>
      <c r="X425" s="88"/>
      <c r="Y425" s="88"/>
      <c r="Z425" s="88"/>
      <c r="AA425" s="88"/>
    </row>
    <row r="426" spans="1:27" ht="13.2">
      <c r="A426" s="88"/>
      <c r="B426" s="88"/>
      <c r="C426" s="88"/>
      <c r="D426" s="88"/>
      <c r="E426" s="88"/>
      <c r="F426" s="88"/>
      <c r="G426" s="88"/>
      <c r="H426" s="88"/>
      <c r="I426" s="88"/>
      <c r="J426" s="88"/>
      <c r="K426" s="88"/>
      <c r="L426" s="88"/>
      <c r="M426" s="88"/>
      <c r="N426" s="88"/>
      <c r="O426" s="88"/>
      <c r="P426" s="88"/>
      <c r="Q426" s="88"/>
      <c r="R426" s="88"/>
      <c r="S426" s="88"/>
      <c r="T426" s="88"/>
      <c r="U426" s="88"/>
      <c r="V426" s="88"/>
      <c r="W426" s="88"/>
      <c r="X426" s="88"/>
      <c r="Y426" s="88"/>
      <c r="Z426" s="88"/>
      <c r="AA426" s="88"/>
    </row>
    <row r="427" spans="1:27" ht="13.2">
      <c r="A427" s="88"/>
      <c r="B427" s="88"/>
      <c r="C427" s="88"/>
      <c r="D427" s="88"/>
      <c r="E427" s="88"/>
      <c r="F427" s="88"/>
      <c r="G427" s="88"/>
      <c r="H427" s="88"/>
      <c r="I427" s="88"/>
      <c r="J427" s="88"/>
      <c r="K427" s="88"/>
      <c r="L427" s="88"/>
      <c r="M427" s="88"/>
      <c r="N427" s="88"/>
      <c r="O427" s="88"/>
      <c r="P427" s="88"/>
      <c r="Q427" s="88"/>
      <c r="R427" s="88"/>
      <c r="S427" s="88"/>
      <c r="T427" s="88"/>
      <c r="U427" s="88"/>
      <c r="V427" s="88"/>
      <c r="W427" s="88"/>
      <c r="X427" s="88"/>
      <c r="Y427" s="88"/>
      <c r="Z427" s="88"/>
      <c r="AA427" s="88"/>
    </row>
    <row r="428" spans="1:27" ht="13.2">
      <c r="A428" s="88"/>
      <c r="B428" s="88"/>
      <c r="C428" s="88"/>
      <c r="D428" s="88"/>
      <c r="E428" s="88"/>
      <c r="F428" s="88"/>
      <c r="G428" s="88"/>
      <c r="H428" s="88"/>
      <c r="I428" s="88"/>
      <c r="J428" s="88"/>
      <c r="K428" s="88"/>
      <c r="L428" s="88"/>
      <c r="M428" s="88"/>
      <c r="N428" s="88"/>
      <c r="O428" s="88"/>
      <c r="P428" s="88"/>
      <c r="Q428" s="88"/>
      <c r="R428" s="88"/>
      <c r="S428" s="88"/>
      <c r="T428" s="88"/>
      <c r="U428" s="88"/>
      <c r="V428" s="88"/>
      <c r="W428" s="88"/>
      <c r="X428" s="88"/>
      <c r="Y428" s="88"/>
      <c r="Z428" s="88"/>
      <c r="AA428" s="88"/>
    </row>
    <row r="429" spans="1:27" ht="13.2">
      <c r="A429" s="88"/>
      <c r="B429" s="88"/>
      <c r="C429" s="88"/>
      <c r="D429" s="88"/>
      <c r="E429" s="88"/>
      <c r="F429" s="88"/>
      <c r="G429" s="88"/>
      <c r="H429" s="88"/>
      <c r="I429" s="88"/>
      <c r="J429" s="88"/>
      <c r="K429" s="88"/>
      <c r="L429" s="88"/>
      <c r="M429" s="88"/>
      <c r="N429" s="88"/>
      <c r="O429" s="88"/>
      <c r="P429" s="88"/>
      <c r="Q429" s="88"/>
      <c r="R429" s="88"/>
      <c r="S429" s="88"/>
      <c r="T429" s="88"/>
      <c r="U429" s="88"/>
      <c r="V429" s="88"/>
      <c r="W429" s="88"/>
      <c r="X429" s="88"/>
      <c r="Y429" s="88"/>
      <c r="Z429" s="88"/>
      <c r="AA429" s="88"/>
    </row>
    <row r="430" spans="1:27" ht="13.2">
      <c r="A430" s="88"/>
      <c r="B430" s="88"/>
      <c r="C430" s="88"/>
      <c r="D430" s="88"/>
      <c r="E430" s="88"/>
      <c r="F430" s="88"/>
      <c r="G430" s="88"/>
      <c r="H430" s="88"/>
      <c r="I430" s="88"/>
      <c r="J430" s="88"/>
      <c r="K430" s="88"/>
      <c r="L430" s="88"/>
      <c r="M430" s="88"/>
      <c r="N430" s="88"/>
      <c r="O430" s="88"/>
      <c r="P430" s="88"/>
      <c r="Q430" s="88"/>
      <c r="R430" s="88"/>
      <c r="S430" s="88"/>
      <c r="T430" s="88"/>
      <c r="U430" s="88"/>
      <c r="V430" s="88"/>
      <c r="W430" s="88"/>
      <c r="X430" s="88"/>
      <c r="Y430" s="88"/>
      <c r="Z430" s="88"/>
      <c r="AA430" s="88"/>
    </row>
    <row r="431" spans="1:27" ht="13.2">
      <c r="A431" s="88"/>
      <c r="B431" s="88"/>
      <c r="C431" s="88"/>
      <c r="D431" s="88"/>
      <c r="E431" s="88"/>
      <c r="F431" s="88"/>
      <c r="G431" s="88"/>
      <c r="H431" s="88"/>
      <c r="I431" s="88"/>
      <c r="J431" s="88"/>
      <c r="K431" s="88"/>
      <c r="L431" s="88"/>
      <c r="M431" s="88"/>
      <c r="N431" s="88"/>
      <c r="O431" s="88"/>
      <c r="P431" s="88"/>
      <c r="Q431" s="88"/>
      <c r="R431" s="88"/>
      <c r="S431" s="88"/>
      <c r="T431" s="88"/>
      <c r="U431" s="88"/>
      <c r="V431" s="88"/>
      <c r="W431" s="88"/>
      <c r="X431" s="88"/>
      <c r="Y431" s="88"/>
      <c r="Z431" s="88"/>
      <c r="AA431" s="88"/>
    </row>
    <row r="432" spans="1:27" ht="13.2">
      <c r="A432" s="88"/>
      <c r="B432" s="88"/>
      <c r="C432" s="88"/>
      <c r="D432" s="88"/>
      <c r="E432" s="88"/>
      <c r="F432" s="88"/>
      <c r="G432" s="88"/>
      <c r="H432" s="88"/>
      <c r="I432" s="88"/>
      <c r="J432" s="88"/>
      <c r="K432" s="88"/>
      <c r="L432" s="88"/>
      <c r="M432" s="88"/>
      <c r="N432" s="88"/>
      <c r="O432" s="88"/>
      <c r="P432" s="88"/>
      <c r="Q432" s="88"/>
      <c r="R432" s="88"/>
      <c r="S432" s="88"/>
      <c r="T432" s="88"/>
      <c r="U432" s="88"/>
      <c r="V432" s="88"/>
      <c r="W432" s="88"/>
      <c r="X432" s="88"/>
      <c r="Y432" s="88"/>
      <c r="Z432" s="88"/>
      <c r="AA432" s="88"/>
    </row>
    <row r="433" spans="1:27" ht="13.2">
      <c r="A433" s="88"/>
      <c r="B433" s="88"/>
      <c r="C433" s="88"/>
      <c r="D433" s="88"/>
      <c r="E433" s="88"/>
      <c r="F433" s="88"/>
      <c r="G433" s="88"/>
      <c r="H433" s="88"/>
      <c r="I433" s="88"/>
      <c r="J433" s="88"/>
      <c r="K433" s="88"/>
      <c r="L433" s="88"/>
      <c r="M433" s="88"/>
      <c r="N433" s="88"/>
      <c r="O433" s="88"/>
      <c r="P433" s="88"/>
      <c r="Q433" s="88"/>
      <c r="R433" s="88"/>
      <c r="S433" s="88"/>
      <c r="T433" s="88"/>
      <c r="U433" s="88"/>
      <c r="V433" s="88"/>
      <c r="W433" s="88"/>
      <c r="X433" s="88"/>
      <c r="Y433" s="88"/>
      <c r="Z433" s="88"/>
      <c r="AA433" s="88"/>
    </row>
    <row r="434" spans="1:27" ht="13.2">
      <c r="A434" s="88"/>
      <c r="B434" s="88"/>
      <c r="C434" s="88"/>
      <c r="D434" s="88"/>
      <c r="E434" s="88"/>
      <c r="F434" s="88"/>
      <c r="G434" s="88"/>
      <c r="H434" s="88"/>
      <c r="I434" s="88"/>
      <c r="J434" s="88"/>
      <c r="K434" s="88"/>
      <c r="L434" s="88"/>
      <c r="M434" s="88"/>
      <c r="N434" s="88"/>
      <c r="O434" s="88"/>
      <c r="P434" s="88"/>
      <c r="Q434" s="88"/>
      <c r="R434" s="88"/>
      <c r="S434" s="88"/>
      <c r="T434" s="88"/>
      <c r="U434" s="88"/>
      <c r="V434" s="88"/>
      <c r="W434" s="88"/>
      <c r="X434" s="88"/>
      <c r="Y434" s="88"/>
      <c r="Z434" s="88"/>
      <c r="AA434" s="88"/>
    </row>
    <row r="435" spans="1:27" ht="13.2">
      <c r="A435" s="88"/>
      <c r="B435" s="88"/>
      <c r="C435" s="88"/>
      <c r="D435" s="88"/>
      <c r="E435" s="88"/>
      <c r="F435" s="88"/>
      <c r="G435" s="88"/>
      <c r="H435" s="88"/>
      <c r="I435" s="88"/>
      <c r="J435" s="88"/>
      <c r="K435" s="88"/>
      <c r="L435" s="88"/>
      <c r="M435" s="88"/>
      <c r="N435" s="88"/>
      <c r="O435" s="88"/>
      <c r="P435" s="88"/>
      <c r="Q435" s="88"/>
      <c r="R435" s="88"/>
      <c r="S435" s="88"/>
      <c r="T435" s="88"/>
      <c r="U435" s="88"/>
      <c r="V435" s="88"/>
      <c r="W435" s="88"/>
      <c r="X435" s="88"/>
      <c r="Y435" s="88"/>
      <c r="Z435" s="88"/>
      <c r="AA435" s="88"/>
    </row>
    <row r="436" spans="1:27" ht="13.2">
      <c r="A436" s="88"/>
      <c r="B436" s="88"/>
      <c r="C436" s="88"/>
      <c r="D436" s="88"/>
      <c r="E436" s="88"/>
      <c r="F436" s="88"/>
      <c r="G436" s="88"/>
      <c r="H436" s="88"/>
      <c r="I436" s="88"/>
      <c r="J436" s="88"/>
      <c r="K436" s="88"/>
      <c r="L436" s="88"/>
      <c r="M436" s="88"/>
      <c r="N436" s="88"/>
      <c r="O436" s="88"/>
      <c r="P436" s="88"/>
      <c r="Q436" s="88"/>
      <c r="R436" s="88"/>
      <c r="S436" s="88"/>
      <c r="T436" s="88"/>
      <c r="U436" s="88"/>
      <c r="V436" s="88"/>
      <c r="W436" s="88"/>
      <c r="X436" s="88"/>
      <c r="Y436" s="88"/>
      <c r="Z436" s="88"/>
      <c r="AA436" s="88"/>
    </row>
    <row r="437" spans="1:27" ht="13.2">
      <c r="A437" s="88"/>
      <c r="B437" s="88"/>
      <c r="C437" s="88"/>
      <c r="D437" s="88"/>
      <c r="E437" s="88"/>
      <c r="F437" s="88"/>
      <c r="G437" s="88"/>
      <c r="H437" s="88"/>
      <c r="I437" s="88"/>
      <c r="J437" s="88"/>
      <c r="K437" s="88"/>
      <c r="L437" s="88"/>
      <c r="M437" s="88"/>
      <c r="N437" s="88"/>
      <c r="O437" s="88"/>
      <c r="P437" s="88"/>
      <c r="Q437" s="88"/>
      <c r="R437" s="88"/>
      <c r="S437" s="88"/>
      <c r="T437" s="88"/>
      <c r="U437" s="88"/>
      <c r="V437" s="88"/>
      <c r="W437" s="88"/>
      <c r="X437" s="88"/>
      <c r="Y437" s="88"/>
      <c r="Z437" s="88"/>
      <c r="AA437" s="88"/>
    </row>
    <row r="438" spans="1:27" ht="13.2">
      <c r="A438" s="88"/>
      <c r="B438" s="88"/>
      <c r="C438" s="88"/>
      <c r="D438" s="88"/>
      <c r="E438" s="88"/>
      <c r="F438" s="88"/>
      <c r="G438" s="88"/>
      <c r="H438" s="88"/>
      <c r="I438" s="88"/>
      <c r="J438" s="88"/>
      <c r="K438" s="88"/>
      <c r="L438" s="88"/>
      <c r="M438" s="88"/>
      <c r="N438" s="88"/>
      <c r="O438" s="88"/>
      <c r="P438" s="88"/>
      <c r="Q438" s="88"/>
      <c r="R438" s="88"/>
      <c r="S438" s="88"/>
      <c r="T438" s="88"/>
      <c r="U438" s="88"/>
      <c r="V438" s="88"/>
      <c r="W438" s="88"/>
      <c r="X438" s="88"/>
      <c r="Y438" s="88"/>
      <c r="Z438" s="88"/>
      <c r="AA438" s="88"/>
    </row>
    <row r="439" spans="1:27" ht="13.2">
      <c r="A439" s="88"/>
      <c r="B439" s="88"/>
      <c r="C439" s="88"/>
      <c r="D439" s="88"/>
      <c r="E439" s="88"/>
      <c r="F439" s="88"/>
      <c r="G439" s="88"/>
      <c r="H439" s="88"/>
      <c r="I439" s="88"/>
      <c r="J439" s="88"/>
      <c r="K439" s="88"/>
      <c r="L439" s="88"/>
      <c r="M439" s="88"/>
      <c r="N439" s="88"/>
      <c r="O439" s="88"/>
      <c r="P439" s="88"/>
      <c r="Q439" s="88"/>
      <c r="R439" s="88"/>
      <c r="S439" s="88"/>
      <c r="T439" s="88"/>
      <c r="U439" s="88"/>
      <c r="V439" s="88"/>
      <c r="W439" s="88"/>
      <c r="X439" s="88"/>
      <c r="Y439" s="88"/>
      <c r="Z439" s="88"/>
      <c r="AA439" s="88"/>
    </row>
    <row r="440" spans="1:27" ht="13.2">
      <c r="A440" s="88"/>
      <c r="B440" s="88"/>
      <c r="C440" s="88"/>
      <c r="D440" s="88"/>
      <c r="E440" s="88"/>
      <c r="F440" s="88"/>
      <c r="G440" s="88"/>
      <c r="H440" s="88"/>
      <c r="I440" s="88"/>
      <c r="J440" s="88"/>
      <c r="K440" s="88"/>
      <c r="L440" s="88"/>
      <c r="M440" s="88"/>
      <c r="N440" s="88"/>
      <c r="O440" s="88"/>
      <c r="P440" s="88"/>
      <c r="Q440" s="88"/>
      <c r="R440" s="88"/>
      <c r="S440" s="88"/>
      <c r="T440" s="88"/>
      <c r="U440" s="88"/>
      <c r="V440" s="88"/>
      <c r="W440" s="88"/>
      <c r="X440" s="88"/>
      <c r="Y440" s="88"/>
      <c r="Z440" s="88"/>
      <c r="AA440" s="88"/>
    </row>
    <row r="441" spans="1:27" ht="13.2">
      <c r="A441" s="88"/>
      <c r="B441" s="88"/>
      <c r="C441" s="88"/>
      <c r="D441" s="88"/>
      <c r="E441" s="88"/>
      <c r="F441" s="88"/>
      <c r="G441" s="88"/>
      <c r="H441" s="88"/>
      <c r="I441" s="88"/>
      <c r="J441" s="88"/>
      <c r="K441" s="88"/>
      <c r="L441" s="88"/>
      <c r="M441" s="88"/>
      <c r="N441" s="88"/>
      <c r="O441" s="88"/>
      <c r="P441" s="88"/>
      <c r="Q441" s="88"/>
      <c r="R441" s="88"/>
      <c r="S441" s="88"/>
      <c r="T441" s="88"/>
      <c r="U441" s="88"/>
      <c r="V441" s="88"/>
      <c r="W441" s="88"/>
      <c r="X441" s="88"/>
      <c r="Y441" s="88"/>
      <c r="Z441" s="88"/>
      <c r="AA441" s="88"/>
    </row>
    <row r="442" spans="1:27" ht="13.2">
      <c r="A442" s="88"/>
      <c r="B442" s="88"/>
      <c r="C442" s="88"/>
      <c r="D442" s="88"/>
      <c r="E442" s="88"/>
      <c r="F442" s="88"/>
      <c r="G442" s="88"/>
      <c r="H442" s="88"/>
      <c r="I442" s="88"/>
      <c r="J442" s="88"/>
      <c r="K442" s="88"/>
      <c r="L442" s="88"/>
      <c r="M442" s="88"/>
      <c r="N442" s="88"/>
      <c r="O442" s="88"/>
      <c r="P442" s="88"/>
      <c r="Q442" s="88"/>
      <c r="R442" s="88"/>
      <c r="S442" s="88"/>
      <c r="T442" s="88"/>
      <c r="U442" s="88"/>
      <c r="V442" s="88"/>
      <c r="W442" s="88"/>
      <c r="X442" s="88"/>
      <c r="Y442" s="88"/>
      <c r="Z442" s="88"/>
      <c r="AA442" s="88"/>
    </row>
    <row r="443" spans="1:27" ht="13.2">
      <c r="A443" s="88"/>
      <c r="B443" s="88"/>
      <c r="C443" s="88"/>
      <c r="D443" s="88"/>
      <c r="E443" s="88"/>
      <c r="F443" s="88"/>
      <c r="G443" s="88"/>
      <c r="H443" s="88"/>
      <c r="I443" s="88"/>
      <c r="J443" s="88"/>
      <c r="K443" s="88"/>
      <c r="L443" s="88"/>
      <c r="M443" s="88"/>
      <c r="N443" s="88"/>
      <c r="O443" s="88"/>
      <c r="P443" s="88"/>
      <c r="Q443" s="88"/>
      <c r="R443" s="88"/>
      <c r="S443" s="88"/>
      <c r="T443" s="88"/>
      <c r="U443" s="88"/>
      <c r="V443" s="88"/>
      <c r="W443" s="88"/>
      <c r="X443" s="88"/>
      <c r="Y443" s="88"/>
      <c r="Z443" s="88"/>
      <c r="AA443" s="88"/>
    </row>
    <row r="444" spans="1:27" ht="13.2">
      <c r="A444" s="88"/>
      <c r="B444" s="88"/>
      <c r="C444" s="88"/>
      <c r="D444" s="88"/>
      <c r="E444" s="88"/>
      <c r="F444" s="88"/>
      <c r="G444" s="88"/>
      <c r="H444" s="88"/>
      <c r="I444" s="88"/>
      <c r="J444" s="88"/>
      <c r="K444" s="88"/>
      <c r="L444" s="88"/>
      <c r="M444" s="88"/>
      <c r="N444" s="88"/>
      <c r="O444" s="88"/>
      <c r="P444" s="88"/>
      <c r="Q444" s="88"/>
      <c r="R444" s="88"/>
      <c r="S444" s="88"/>
      <c r="T444" s="88"/>
      <c r="U444" s="88"/>
      <c r="V444" s="88"/>
      <c r="W444" s="88"/>
      <c r="X444" s="88"/>
      <c r="Y444" s="88"/>
      <c r="Z444" s="88"/>
      <c r="AA444" s="88"/>
    </row>
    <row r="445" spans="1:27" ht="13.2">
      <c r="A445" s="88"/>
      <c r="B445" s="88"/>
      <c r="C445" s="88"/>
      <c r="D445" s="88"/>
      <c r="E445" s="88"/>
      <c r="F445" s="88"/>
      <c r="G445" s="88"/>
      <c r="H445" s="88"/>
      <c r="I445" s="88"/>
      <c r="J445" s="88"/>
      <c r="K445" s="88"/>
      <c r="L445" s="88"/>
      <c r="M445" s="88"/>
      <c r="N445" s="88"/>
      <c r="O445" s="88"/>
      <c r="P445" s="88"/>
      <c r="Q445" s="88"/>
      <c r="R445" s="88"/>
      <c r="S445" s="88"/>
      <c r="T445" s="88"/>
      <c r="U445" s="88"/>
      <c r="V445" s="88"/>
      <c r="W445" s="88"/>
      <c r="X445" s="88"/>
      <c r="Y445" s="88"/>
      <c r="Z445" s="88"/>
      <c r="AA445" s="88"/>
    </row>
    <row r="446" spans="1:27" ht="13.2">
      <c r="A446" s="88"/>
      <c r="B446" s="88"/>
      <c r="C446" s="88"/>
      <c r="D446" s="88"/>
      <c r="E446" s="88"/>
      <c r="F446" s="88"/>
      <c r="G446" s="88"/>
      <c r="H446" s="88"/>
      <c r="I446" s="88"/>
      <c r="J446" s="88"/>
      <c r="K446" s="88"/>
      <c r="L446" s="88"/>
      <c r="M446" s="88"/>
      <c r="N446" s="88"/>
      <c r="O446" s="88"/>
      <c r="P446" s="88"/>
      <c r="Q446" s="88"/>
      <c r="R446" s="88"/>
      <c r="S446" s="88"/>
      <c r="T446" s="88"/>
      <c r="U446" s="88"/>
      <c r="V446" s="88"/>
      <c r="W446" s="88"/>
      <c r="X446" s="88"/>
      <c r="Y446" s="88"/>
      <c r="Z446" s="88"/>
      <c r="AA446" s="88"/>
    </row>
    <row r="447" spans="1:27" ht="13.2">
      <c r="A447" s="88"/>
      <c r="B447" s="88"/>
      <c r="C447" s="88"/>
      <c r="D447" s="88"/>
      <c r="E447" s="88"/>
      <c r="F447" s="88"/>
      <c r="G447" s="88"/>
      <c r="H447" s="88"/>
      <c r="I447" s="88"/>
      <c r="J447" s="88"/>
      <c r="K447" s="88"/>
      <c r="L447" s="88"/>
      <c r="M447" s="88"/>
      <c r="N447" s="88"/>
      <c r="O447" s="88"/>
      <c r="P447" s="88"/>
      <c r="Q447" s="88"/>
      <c r="R447" s="88"/>
      <c r="S447" s="88"/>
      <c r="T447" s="88"/>
      <c r="U447" s="88"/>
      <c r="V447" s="88"/>
      <c r="W447" s="88"/>
      <c r="X447" s="88"/>
      <c r="Y447" s="88"/>
      <c r="Z447" s="88"/>
      <c r="AA447" s="88"/>
    </row>
    <row r="448" spans="1:27" ht="13.2">
      <c r="A448" s="88"/>
      <c r="B448" s="88"/>
      <c r="C448" s="88"/>
      <c r="D448" s="88"/>
      <c r="E448" s="88"/>
      <c r="F448" s="88"/>
      <c r="G448" s="88"/>
      <c r="H448" s="88"/>
      <c r="I448" s="88"/>
      <c r="J448" s="88"/>
      <c r="K448" s="88"/>
      <c r="L448" s="88"/>
      <c r="M448" s="88"/>
      <c r="N448" s="88"/>
      <c r="O448" s="88"/>
      <c r="P448" s="88"/>
      <c r="Q448" s="88"/>
      <c r="R448" s="88"/>
      <c r="S448" s="88"/>
      <c r="T448" s="88"/>
      <c r="U448" s="88"/>
      <c r="V448" s="88"/>
      <c r="W448" s="88"/>
      <c r="X448" s="88"/>
      <c r="Y448" s="88"/>
      <c r="Z448" s="88"/>
      <c r="AA448" s="88"/>
    </row>
    <row r="449" spans="1:27" ht="13.2">
      <c r="A449" s="88"/>
      <c r="B449" s="88"/>
      <c r="C449" s="88"/>
      <c r="D449" s="88"/>
      <c r="E449" s="88"/>
      <c r="F449" s="88"/>
      <c r="G449" s="88"/>
      <c r="H449" s="88"/>
      <c r="I449" s="88"/>
      <c r="J449" s="88"/>
      <c r="K449" s="88"/>
      <c r="L449" s="88"/>
      <c r="M449" s="88"/>
      <c r="N449" s="88"/>
      <c r="O449" s="88"/>
      <c r="P449" s="88"/>
      <c r="Q449" s="88"/>
      <c r="R449" s="88"/>
      <c r="S449" s="88"/>
      <c r="T449" s="88"/>
      <c r="U449" s="88"/>
      <c r="V449" s="88"/>
      <c r="W449" s="88"/>
      <c r="X449" s="88"/>
      <c r="Y449" s="88"/>
      <c r="Z449" s="88"/>
      <c r="AA449" s="88"/>
    </row>
    <row r="450" spans="1:27" ht="13.2">
      <c r="A450" s="88"/>
      <c r="B450" s="88"/>
      <c r="C450" s="88"/>
      <c r="D450" s="88"/>
      <c r="E450" s="88"/>
      <c r="F450" s="88"/>
      <c r="G450" s="88"/>
      <c r="H450" s="88"/>
      <c r="I450" s="88"/>
      <c r="J450" s="88"/>
      <c r="K450" s="88"/>
      <c r="L450" s="88"/>
      <c r="M450" s="88"/>
      <c r="N450" s="88"/>
      <c r="O450" s="88"/>
      <c r="P450" s="88"/>
      <c r="Q450" s="88"/>
      <c r="R450" s="88"/>
      <c r="S450" s="88"/>
      <c r="T450" s="88"/>
      <c r="U450" s="88"/>
      <c r="V450" s="88"/>
      <c r="W450" s="88"/>
      <c r="X450" s="88"/>
      <c r="Y450" s="88"/>
      <c r="Z450" s="88"/>
      <c r="AA450" s="88"/>
    </row>
    <row r="451" spans="1:27" ht="13.2">
      <c r="A451" s="88"/>
      <c r="B451" s="88"/>
      <c r="C451" s="88"/>
      <c r="D451" s="88"/>
      <c r="E451" s="88"/>
      <c r="F451" s="88"/>
      <c r="G451" s="88"/>
      <c r="H451" s="88"/>
      <c r="I451" s="88"/>
      <c r="J451" s="88"/>
      <c r="K451" s="88"/>
      <c r="L451" s="88"/>
      <c r="M451" s="88"/>
      <c r="N451" s="88"/>
      <c r="O451" s="88"/>
      <c r="P451" s="88"/>
      <c r="Q451" s="88"/>
      <c r="R451" s="88"/>
      <c r="S451" s="88"/>
      <c r="T451" s="88"/>
      <c r="U451" s="88"/>
      <c r="V451" s="88"/>
      <c r="W451" s="88"/>
      <c r="X451" s="88"/>
      <c r="Y451" s="88"/>
      <c r="Z451" s="88"/>
      <c r="AA451" s="88"/>
    </row>
    <row r="452" spans="1:27" ht="13.2">
      <c r="A452" s="88"/>
      <c r="B452" s="88"/>
      <c r="C452" s="88"/>
      <c r="D452" s="88"/>
      <c r="E452" s="88"/>
      <c r="F452" s="88"/>
      <c r="G452" s="88"/>
      <c r="H452" s="88"/>
      <c r="I452" s="88"/>
      <c r="J452" s="88"/>
      <c r="K452" s="88"/>
      <c r="L452" s="88"/>
      <c r="M452" s="88"/>
      <c r="N452" s="88"/>
      <c r="O452" s="88"/>
      <c r="P452" s="88"/>
      <c r="Q452" s="88"/>
      <c r="R452" s="88"/>
      <c r="S452" s="88"/>
      <c r="T452" s="88"/>
      <c r="U452" s="88"/>
      <c r="V452" s="88"/>
      <c r="W452" s="88"/>
      <c r="X452" s="88"/>
      <c r="Y452" s="88"/>
      <c r="Z452" s="88"/>
      <c r="AA452" s="88"/>
    </row>
    <row r="453" spans="1:27" ht="13.2">
      <c r="A453" s="88"/>
      <c r="B453" s="88"/>
      <c r="C453" s="88"/>
      <c r="D453" s="88"/>
      <c r="E453" s="88"/>
      <c r="F453" s="88"/>
      <c r="G453" s="88"/>
      <c r="H453" s="88"/>
      <c r="I453" s="88"/>
      <c r="J453" s="88"/>
      <c r="K453" s="88"/>
      <c r="L453" s="88"/>
      <c r="M453" s="88"/>
      <c r="N453" s="88"/>
      <c r="O453" s="88"/>
      <c r="P453" s="88"/>
      <c r="Q453" s="88"/>
      <c r="R453" s="88"/>
      <c r="S453" s="88"/>
      <c r="T453" s="88"/>
      <c r="U453" s="88"/>
      <c r="V453" s="88"/>
      <c r="W453" s="88"/>
      <c r="X453" s="88"/>
      <c r="Y453" s="88"/>
      <c r="Z453" s="88"/>
      <c r="AA453" s="88"/>
    </row>
    <row r="454" spans="1:27" ht="13.2">
      <c r="A454" s="88"/>
      <c r="B454" s="88"/>
      <c r="C454" s="88"/>
      <c r="D454" s="88"/>
      <c r="E454" s="88"/>
      <c r="F454" s="88"/>
      <c r="G454" s="88"/>
      <c r="H454" s="88"/>
      <c r="I454" s="88"/>
      <c r="J454" s="88"/>
      <c r="K454" s="88"/>
      <c r="L454" s="88"/>
      <c r="M454" s="88"/>
      <c r="N454" s="88"/>
      <c r="O454" s="88"/>
      <c r="P454" s="88"/>
      <c r="Q454" s="88"/>
      <c r="R454" s="88"/>
      <c r="S454" s="88"/>
      <c r="T454" s="88"/>
      <c r="U454" s="88"/>
      <c r="V454" s="88"/>
      <c r="W454" s="88"/>
      <c r="X454" s="88"/>
      <c r="Y454" s="88"/>
      <c r="Z454" s="88"/>
      <c r="AA454" s="88"/>
    </row>
    <row r="455" spans="1:27" ht="13.2">
      <c r="A455" s="88"/>
      <c r="B455" s="88"/>
      <c r="C455" s="88"/>
      <c r="D455" s="88"/>
      <c r="E455" s="88"/>
      <c r="F455" s="88"/>
      <c r="G455" s="88"/>
      <c r="H455" s="88"/>
      <c r="I455" s="88"/>
      <c r="J455" s="88"/>
      <c r="K455" s="88"/>
      <c r="L455" s="88"/>
      <c r="M455" s="88"/>
      <c r="N455" s="88"/>
      <c r="O455" s="88"/>
      <c r="P455" s="88"/>
      <c r="Q455" s="88"/>
      <c r="R455" s="88"/>
      <c r="S455" s="88"/>
      <c r="T455" s="88"/>
      <c r="U455" s="88"/>
      <c r="V455" s="88"/>
      <c r="W455" s="88"/>
      <c r="X455" s="88"/>
      <c r="Y455" s="88"/>
      <c r="Z455" s="88"/>
      <c r="AA455" s="88"/>
    </row>
    <row r="456" spans="1:27" ht="13.2">
      <c r="A456" s="88"/>
      <c r="B456" s="88"/>
      <c r="C456" s="88"/>
      <c r="D456" s="88"/>
      <c r="E456" s="88"/>
      <c r="F456" s="88"/>
      <c r="G456" s="88"/>
      <c r="H456" s="88"/>
      <c r="I456" s="88"/>
      <c r="J456" s="88"/>
      <c r="K456" s="88"/>
      <c r="L456" s="88"/>
      <c r="M456" s="88"/>
      <c r="N456" s="88"/>
      <c r="O456" s="88"/>
      <c r="P456" s="88"/>
      <c r="Q456" s="88"/>
      <c r="R456" s="88"/>
      <c r="S456" s="88"/>
      <c r="T456" s="88"/>
      <c r="U456" s="88"/>
      <c r="V456" s="88"/>
      <c r="W456" s="88"/>
      <c r="X456" s="88"/>
      <c r="Y456" s="88"/>
      <c r="Z456" s="88"/>
      <c r="AA456" s="88"/>
    </row>
    <row r="457" spans="1:27" ht="13.2">
      <c r="A457" s="88"/>
      <c r="B457" s="88"/>
      <c r="C457" s="88"/>
      <c r="D457" s="88"/>
      <c r="E457" s="88"/>
      <c r="F457" s="88"/>
      <c r="G457" s="88"/>
      <c r="H457" s="88"/>
      <c r="I457" s="88"/>
      <c r="J457" s="88"/>
      <c r="K457" s="88"/>
      <c r="L457" s="88"/>
      <c r="M457" s="88"/>
      <c r="N457" s="88"/>
      <c r="O457" s="88"/>
      <c r="P457" s="88"/>
      <c r="Q457" s="88"/>
      <c r="R457" s="88"/>
      <c r="S457" s="88"/>
      <c r="T457" s="88"/>
      <c r="U457" s="88"/>
      <c r="V457" s="88"/>
      <c r="W457" s="88"/>
      <c r="X457" s="88"/>
      <c r="Y457" s="88"/>
      <c r="Z457" s="88"/>
      <c r="AA457" s="88"/>
    </row>
    <row r="458" spans="1:27" ht="13.2">
      <c r="A458" s="88"/>
      <c r="B458" s="88"/>
      <c r="C458" s="88"/>
      <c r="D458" s="88"/>
      <c r="E458" s="88"/>
      <c r="F458" s="88"/>
      <c r="G458" s="88"/>
      <c r="H458" s="88"/>
      <c r="I458" s="88"/>
      <c r="J458" s="88"/>
      <c r="K458" s="88"/>
      <c r="L458" s="88"/>
      <c r="M458" s="88"/>
      <c r="N458" s="88"/>
      <c r="O458" s="88"/>
      <c r="P458" s="88"/>
      <c r="Q458" s="88"/>
      <c r="R458" s="88"/>
      <c r="S458" s="88"/>
      <c r="T458" s="88"/>
      <c r="U458" s="88"/>
      <c r="V458" s="88"/>
      <c r="W458" s="88"/>
      <c r="X458" s="88"/>
      <c r="Y458" s="88"/>
      <c r="Z458" s="88"/>
      <c r="AA458" s="88"/>
    </row>
    <row r="459" spans="1:27" ht="13.2">
      <c r="A459" s="88"/>
      <c r="B459" s="88"/>
      <c r="C459" s="88"/>
      <c r="D459" s="88"/>
      <c r="E459" s="88"/>
      <c r="F459" s="88"/>
      <c r="G459" s="88"/>
      <c r="H459" s="88"/>
      <c r="I459" s="88"/>
      <c r="J459" s="88"/>
      <c r="K459" s="88"/>
      <c r="L459" s="88"/>
      <c r="M459" s="88"/>
      <c r="N459" s="88"/>
      <c r="O459" s="88"/>
      <c r="P459" s="88"/>
      <c r="Q459" s="88"/>
      <c r="R459" s="88"/>
      <c r="S459" s="88"/>
      <c r="T459" s="88"/>
      <c r="U459" s="88"/>
      <c r="V459" s="88"/>
      <c r="W459" s="88"/>
      <c r="X459" s="88"/>
      <c r="Y459" s="88"/>
      <c r="Z459" s="88"/>
      <c r="AA459" s="88"/>
    </row>
    <row r="460" spans="1:27" ht="13.2">
      <c r="A460" s="88"/>
      <c r="B460" s="88"/>
      <c r="C460" s="88"/>
      <c r="D460" s="88"/>
      <c r="E460" s="88"/>
      <c r="F460" s="88"/>
      <c r="G460" s="88"/>
      <c r="H460" s="88"/>
      <c r="I460" s="88"/>
      <c r="J460" s="88"/>
      <c r="K460" s="88"/>
      <c r="L460" s="88"/>
      <c r="M460" s="88"/>
      <c r="N460" s="88"/>
      <c r="O460" s="88"/>
      <c r="P460" s="88"/>
      <c r="Q460" s="88"/>
      <c r="R460" s="88"/>
      <c r="S460" s="88"/>
      <c r="T460" s="88"/>
      <c r="U460" s="88"/>
      <c r="V460" s="88"/>
      <c r="W460" s="88"/>
      <c r="X460" s="88"/>
      <c r="Y460" s="88"/>
      <c r="Z460" s="88"/>
      <c r="AA460" s="88"/>
    </row>
    <row r="461" spans="1:27" ht="13.2">
      <c r="A461" s="88"/>
      <c r="B461" s="88"/>
      <c r="C461" s="88"/>
      <c r="D461" s="88"/>
      <c r="E461" s="88"/>
      <c r="F461" s="88"/>
      <c r="G461" s="88"/>
      <c r="H461" s="88"/>
      <c r="I461" s="88"/>
      <c r="J461" s="88"/>
      <c r="K461" s="88"/>
      <c r="L461" s="88"/>
      <c r="M461" s="88"/>
      <c r="N461" s="88"/>
      <c r="O461" s="88"/>
      <c r="P461" s="88"/>
      <c r="Q461" s="88"/>
      <c r="R461" s="88"/>
      <c r="S461" s="88"/>
      <c r="T461" s="88"/>
      <c r="U461" s="88"/>
      <c r="V461" s="88"/>
      <c r="W461" s="88"/>
      <c r="X461" s="88"/>
      <c r="Y461" s="88"/>
      <c r="Z461" s="88"/>
      <c r="AA461" s="88"/>
    </row>
    <row r="462" spans="1:27" ht="13.2">
      <c r="A462" s="88"/>
      <c r="B462" s="88"/>
      <c r="C462" s="88"/>
      <c r="D462" s="88"/>
      <c r="E462" s="88"/>
      <c r="F462" s="88"/>
      <c r="G462" s="88"/>
      <c r="H462" s="88"/>
      <c r="I462" s="88"/>
      <c r="J462" s="88"/>
      <c r="K462" s="88"/>
      <c r="L462" s="88"/>
      <c r="M462" s="88"/>
      <c r="N462" s="88"/>
      <c r="O462" s="88"/>
      <c r="P462" s="88"/>
      <c r="Q462" s="88"/>
      <c r="R462" s="88"/>
      <c r="S462" s="88"/>
      <c r="T462" s="88"/>
      <c r="U462" s="88"/>
      <c r="V462" s="88"/>
      <c r="W462" s="88"/>
      <c r="X462" s="88"/>
      <c r="Y462" s="88"/>
      <c r="Z462" s="88"/>
      <c r="AA462" s="88"/>
    </row>
    <row r="463" spans="1:27" ht="13.2">
      <c r="A463" s="88"/>
      <c r="B463" s="88"/>
      <c r="C463" s="88"/>
      <c r="D463" s="88"/>
      <c r="E463" s="88"/>
      <c r="F463" s="88"/>
      <c r="G463" s="88"/>
      <c r="H463" s="88"/>
      <c r="I463" s="88"/>
      <c r="J463" s="88"/>
      <c r="K463" s="88"/>
      <c r="L463" s="88"/>
      <c r="M463" s="88"/>
      <c r="N463" s="88"/>
      <c r="O463" s="88"/>
      <c r="P463" s="88"/>
      <c r="Q463" s="88"/>
      <c r="R463" s="88"/>
      <c r="S463" s="88"/>
      <c r="T463" s="88"/>
      <c r="U463" s="88"/>
      <c r="V463" s="88"/>
      <c r="W463" s="88"/>
      <c r="X463" s="88"/>
      <c r="Y463" s="88"/>
      <c r="Z463" s="88"/>
      <c r="AA463" s="88"/>
    </row>
    <row r="464" spans="1:27" ht="13.2">
      <c r="A464" s="88"/>
      <c r="B464" s="88"/>
      <c r="C464" s="88"/>
      <c r="D464" s="88"/>
      <c r="E464" s="88"/>
      <c r="F464" s="88"/>
      <c r="G464" s="88"/>
      <c r="H464" s="88"/>
      <c r="I464" s="88"/>
      <c r="J464" s="88"/>
      <c r="K464" s="88"/>
      <c r="L464" s="88"/>
      <c r="M464" s="88"/>
      <c r="N464" s="88"/>
      <c r="O464" s="88"/>
      <c r="P464" s="88"/>
      <c r="Q464" s="88"/>
      <c r="R464" s="88"/>
      <c r="S464" s="88"/>
      <c r="T464" s="88"/>
      <c r="U464" s="88"/>
      <c r="V464" s="88"/>
      <c r="W464" s="88"/>
      <c r="X464" s="88"/>
      <c r="Y464" s="88"/>
      <c r="Z464" s="88"/>
      <c r="AA464" s="88"/>
    </row>
    <row r="465" spans="1:27" ht="13.2">
      <c r="A465" s="88"/>
      <c r="B465" s="88"/>
      <c r="C465" s="88"/>
      <c r="D465" s="88"/>
      <c r="E465" s="88"/>
      <c r="F465" s="88"/>
      <c r="G465" s="88"/>
      <c r="H465" s="88"/>
      <c r="I465" s="88"/>
      <c r="J465" s="88"/>
      <c r="K465" s="88"/>
      <c r="L465" s="88"/>
      <c r="M465" s="88"/>
      <c r="N465" s="88"/>
      <c r="O465" s="88"/>
      <c r="P465" s="88"/>
      <c r="Q465" s="88"/>
      <c r="R465" s="88"/>
      <c r="S465" s="88"/>
      <c r="T465" s="88"/>
      <c r="U465" s="88"/>
      <c r="V465" s="88"/>
      <c r="W465" s="88"/>
      <c r="X465" s="88"/>
      <c r="Y465" s="88"/>
      <c r="Z465" s="88"/>
      <c r="AA465" s="88"/>
    </row>
    <row r="466" spans="1:27" ht="13.2">
      <c r="A466" s="88"/>
      <c r="B466" s="88"/>
      <c r="C466" s="88"/>
      <c r="D466" s="88"/>
      <c r="E466" s="88"/>
      <c r="F466" s="88"/>
      <c r="G466" s="88"/>
      <c r="H466" s="88"/>
      <c r="I466" s="88"/>
      <c r="J466" s="88"/>
      <c r="K466" s="88"/>
      <c r="L466" s="88"/>
      <c r="M466" s="88"/>
      <c r="N466" s="88"/>
      <c r="O466" s="88"/>
      <c r="P466" s="88"/>
      <c r="Q466" s="88"/>
      <c r="R466" s="88"/>
      <c r="S466" s="88"/>
      <c r="T466" s="88"/>
      <c r="U466" s="88"/>
      <c r="V466" s="88"/>
      <c r="W466" s="88"/>
      <c r="X466" s="88"/>
      <c r="Y466" s="88"/>
      <c r="Z466" s="88"/>
      <c r="AA466" s="88"/>
    </row>
    <row r="467" spans="1:27" ht="13.2">
      <c r="A467" s="88"/>
      <c r="B467" s="88"/>
      <c r="C467" s="88"/>
      <c r="D467" s="88"/>
      <c r="E467" s="88"/>
      <c r="F467" s="88"/>
      <c r="G467" s="88"/>
      <c r="H467" s="88"/>
      <c r="I467" s="88"/>
      <c r="J467" s="88"/>
      <c r="K467" s="88"/>
      <c r="L467" s="88"/>
      <c r="M467" s="88"/>
      <c r="N467" s="88"/>
      <c r="O467" s="88"/>
      <c r="P467" s="88"/>
      <c r="Q467" s="88"/>
      <c r="R467" s="88"/>
      <c r="S467" s="88"/>
      <c r="T467" s="88"/>
      <c r="U467" s="88"/>
      <c r="V467" s="88"/>
      <c r="W467" s="88"/>
      <c r="X467" s="88"/>
      <c r="Y467" s="88"/>
      <c r="Z467" s="88"/>
      <c r="AA467" s="88"/>
    </row>
    <row r="468" spans="1:27" ht="13.2">
      <c r="A468" s="88"/>
      <c r="B468" s="88"/>
      <c r="C468" s="88"/>
      <c r="D468" s="88"/>
      <c r="E468" s="88"/>
      <c r="F468" s="88"/>
      <c r="G468" s="88"/>
      <c r="H468" s="88"/>
      <c r="I468" s="88"/>
      <c r="J468" s="88"/>
      <c r="K468" s="88"/>
      <c r="L468" s="88"/>
      <c r="M468" s="88"/>
      <c r="N468" s="88"/>
      <c r="O468" s="88"/>
      <c r="P468" s="88"/>
      <c r="Q468" s="88"/>
      <c r="R468" s="88"/>
      <c r="S468" s="88"/>
      <c r="T468" s="88"/>
      <c r="U468" s="88"/>
      <c r="V468" s="88"/>
      <c r="W468" s="88"/>
      <c r="X468" s="88"/>
      <c r="Y468" s="88"/>
      <c r="Z468" s="88"/>
      <c r="AA468" s="88"/>
    </row>
    <row r="469" spans="1:27" ht="13.2">
      <c r="A469" s="88"/>
      <c r="B469" s="88"/>
      <c r="C469" s="88"/>
      <c r="D469" s="88"/>
      <c r="E469" s="88"/>
      <c r="F469" s="88"/>
      <c r="G469" s="88"/>
      <c r="H469" s="88"/>
      <c r="I469" s="88"/>
      <c r="J469" s="88"/>
      <c r="K469" s="88"/>
      <c r="L469" s="88"/>
      <c r="M469" s="88"/>
      <c r="N469" s="88"/>
      <c r="O469" s="88"/>
      <c r="P469" s="88"/>
      <c r="Q469" s="88"/>
      <c r="R469" s="88"/>
      <c r="S469" s="88"/>
      <c r="T469" s="88"/>
      <c r="U469" s="88"/>
      <c r="V469" s="88"/>
      <c r="W469" s="88"/>
      <c r="X469" s="88"/>
      <c r="Y469" s="88"/>
      <c r="Z469" s="88"/>
      <c r="AA469" s="88"/>
    </row>
    <row r="470" spans="1:27" ht="13.2">
      <c r="A470" s="88"/>
      <c r="B470" s="88"/>
      <c r="C470" s="88"/>
      <c r="D470" s="88"/>
      <c r="E470" s="88"/>
      <c r="F470" s="88"/>
      <c r="G470" s="88"/>
      <c r="H470" s="88"/>
      <c r="I470" s="88"/>
      <c r="J470" s="88"/>
      <c r="K470" s="88"/>
      <c r="L470" s="88"/>
      <c r="M470" s="88"/>
      <c r="N470" s="88"/>
      <c r="O470" s="88"/>
      <c r="P470" s="88"/>
      <c r="Q470" s="88"/>
      <c r="R470" s="88"/>
      <c r="S470" s="88"/>
      <c r="T470" s="88"/>
      <c r="U470" s="88"/>
      <c r="V470" s="88"/>
      <c r="W470" s="88"/>
      <c r="X470" s="88"/>
      <c r="Y470" s="88"/>
      <c r="Z470" s="88"/>
      <c r="AA470" s="88"/>
    </row>
    <row r="471" spans="1:27" ht="13.2">
      <c r="A471" s="88"/>
      <c r="B471" s="88"/>
      <c r="C471" s="88"/>
      <c r="D471" s="88"/>
      <c r="E471" s="88"/>
      <c r="F471" s="88"/>
      <c r="G471" s="88"/>
      <c r="H471" s="88"/>
      <c r="I471" s="88"/>
      <c r="J471" s="88"/>
      <c r="K471" s="88"/>
      <c r="L471" s="88"/>
      <c r="M471" s="88"/>
      <c r="N471" s="88"/>
      <c r="O471" s="88"/>
      <c r="P471" s="88"/>
      <c r="Q471" s="88"/>
      <c r="R471" s="88"/>
      <c r="S471" s="88"/>
      <c r="T471" s="88"/>
      <c r="U471" s="88"/>
      <c r="V471" s="88"/>
      <c r="W471" s="88"/>
      <c r="X471" s="88"/>
      <c r="Y471" s="88"/>
      <c r="Z471" s="88"/>
      <c r="AA471" s="88"/>
    </row>
    <row r="472" spans="1:27" ht="13.2">
      <c r="A472" s="88"/>
      <c r="B472" s="88"/>
      <c r="C472" s="88"/>
      <c r="D472" s="88"/>
      <c r="E472" s="88"/>
      <c r="F472" s="88"/>
      <c r="G472" s="88"/>
      <c r="H472" s="88"/>
      <c r="I472" s="88"/>
      <c r="J472" s="88"/>
      <c r="K472" s="88"/>
      <c r="L472" s="88"/>
      <c r="M472" s="88"/>
      <c r="N472" s="88"/>
      <c r="O472" s="88"/>
      <c r="P472" s="88"/>
      <c r="Q472" s="88"/>
      <c r="R472" s="88"/>
      <c r="S472" s="88"/>
      <c r="T472" s="88"/>
      <c r="U472" s="88"/>
      <c r="V472" s="88"/>
      <c r="W472" s="88"/>
      <c r="X472" s="88"/>
      <c r="Y472" s="88"/>
      <c r="Z472" s="88"/>
      <c r="AA472" s="88"/>
    </row>
    <row r="473" spans="1:27" ht="13.2">
      <c r="A473" s="88"/>
      <c r="B473" s="88"/>
      <c r="C473" s="88"/>
      <c r="D473" s="88"/>
      <c r="E473" s="88"/>
      <c r="F473" s="88"/>
      <c r="G473" s="88"/>
      <c r="H473" s="88"/>
      <c r="I473" s="88"/>
      <c r="J473" s="88"/>
      <c r="K473" s="88"/>
      <c r="L473" s="88"/>
      <c r="M473" s="88"/>
      <c r="N473" s="88"/>
      <c r="O473" s="88"/>
      <c r="P473" s="88"/>
      <c r="Q473" s="88"/>
      <c r="R473" s="88"/>
      <c r="S473" s="88"/>
      <c r="T473" s="88"/>
      <c r="U473" s="88"/>
      <c r="V473" s="88"/>
      <c r="W473" s="88"/>
      <c r="X473" s="88"/>
      <c r="Y473" s="88"/>
      <c r="Z473" s="88"/>
      <c r="AA473" s="88"/>
    </row>
    <row r="474" spans="1:27" ht="13.2">
      <c r="A474" s="88"/>
      <c r="B474" s="88"/>
      <c r="C474" s="88"/>
      <c r="D474" s="88"/>
      <c r="E474" s="88"/>
      <c r="F474" s="88"/>
      <c r="G474" s="88"/>
      <c r="H474" s="88"/>
      <c r="I474" s="88"/>
      <c r="J474" s="88"/>
      <c r="K474" s="88"/>
      <c r="L474" s="88"/>
      <c r="M474" s="88"/>
      <c r="N474" s="88"/>
      <c r="O474" s="88"/>
      <c r="P474" s="88"/>
      <c r="Q474" s="88"/>
      <c r="R474" s="88"/>
      <c r="S474" s="88"/>
      <c r="T474" s="88"/>
      <c r="U474" s="88"/>
      <c r="V474" s="88"/>
      <c r="W474" s="88"/>
      <c r="X474" s="88"/>
      <c r="Y474" s="88"/>
      <c r="Z474" s="88"/>
      <c r="AA474" s="88"/>
    </row>
    <row r="475" spans="1:27" ht="13.2">
      <c r="A475" s="88"/>
      <c r="B475" s="88"/>
      <c r="C475" s="88"/>
      <c r="D475" s="88"/>
      <c r="E475" s="88"/>
      <c r="F475" s="88"/>
      <c r="G475" s="88"/>
      <c r="H475" s="88"/>
      <c r="I475" s="88"/>
      <c r="J475" s="88"/>
      <c r="K475" s="88"/>
      <c r="L475" s="88"/>
      <c r="M475" s="88"/>
      <c r="N475" s="88"/>
      <c r="O475" s="88"/>
      <c r="P475" s="88"/>
      <c r="Q475" s="88"/>
      <c r="R475" s="88"/>
      <c r="S475" s="88"/>
      <c r="T475" s="88"/>
      <c r="U475" s="88"/>
      <c r="V475" s="88"/>
      <c r="W475" s="88"/>
      <c r="X475" s="88"/>
      <c r="Y475" s="88"/>
      <c r="Z475" s="88"/>
      <c r="AA475" s="88"/>
    </row>
    <row r="476" spans="1:27" ht="13.2">
      <c r="A476" s="88"/>
      <c r="B476" s="88"/>
      <c r="C476" s="88"/>
      <c r="D476" s="88"/>
      <c r="E476" s="88"/>
      <c r="F476" s="88"/>
      <c r="G476" s="88"/>
      <c r="H476" s="88"/>
      <c r="I476" s="88"/>
      <c r="J476" s="88"/>
      <c r="K476" s="88"/>
      <c r="L476" s="88"/>
      <c r="M476" s="88"/>
      <c r="N476" s="88"/>
      <c r="O476" s="88"/>
      <c r="P476" s="88"/>
      <c r="Q476" s="88"/>
      <c r="R476" s="88"/>
      <c r="S476" s="88"/>
      <c r="T476" s="88"/>
      <c r="U476" s="88"/>
      <c r="V476" s="88"/>
      <c r="W476" s="88"/>
      <c r="X476" s="88"/>
      <c r="Y476" s="88"/>
      <c r="Z476" s="88"/>
      <c r="AA476" s="88"/>
    </row>
    <row r="477" spans="1:27" ht="13.2">
      <c r="A477" s="88"/>
      <c r="B477" s="88"/>
      <c r="C477" s="88"/>
      <c r="D477" s="88"/>
      <c r="E477" s="88"/>
      <c r="F477" s="88"/>
      <c r="G477" s="88"/>
      <c r="H477" s="88"/>
      <c r="I477" s="88"/>
      <c r="J477" s="88"/>
      <c r="K477" s="88"/>
      <c r="L477" s="88"/>
      <c r="M477" s="88"/>
      <c r="N477" s="88"/>
      <c r="O477" s="88"/>
      <c r="P477" s="88"/>
      <c r="Q477" s="88"/>
      <c r="R477" s="88"/>
      <c r="S477" s="88"/>
      <c r="T477" s="88"/>
      <c r="U477" s="88"/>
      <c r="V477" s="88"/>
      <c r="W477" s="88"/>
      <c r="X477" s="88"/>
      <c r="Y477" s="88"/>
      <c r="Z477" s="88"/>
      <c r="AA477" s="88"/>
    </row>
    <row r="478" spans="1:27" ht="13.2">
      <c r="A478" s="88"/>
      <c r="B478" s="88"/>
      <c r="C478" s="88"/>
      <c r="D478" s="88"/>
      <c r="E478" s="88"/>
      <c r="F478" s="88"/>
      <c r="G478" s="88"/>
      <c r="H478" s="88"/>
      <c r="I478" s="88"/>
      <c r="J478" s="88"/>
      <c r="K478" s="88"/>
      <c r="L478" s="88"/>
      <c r="M478" s="88"/>
      <c r="N478" s="88"/>
      <c r="O478" s="88"/>
      <c r="P478" s="88"/>
      <c r="Q478" s="88"/>
      <c r="R478" s="88"/>
      <c r="S478" s="88"/>
      <c r="T478" s="88"/>
      <c r="U478" s="88"/>
      <c r="V478" s="88"/>
      <c r="W478" s="88"/>
      <c r="X478" s="88"/>
      <c r="Y478" s="88"/>
      <c r="Z478" s="88"/>
      <c r="AA478" s="88"/>
    </row>
    <row r="479" spans="1:27" ht="13.2">
      <c r="A479" s="88"/>
      <c r="B479" s="88"/>
      <c r="C479" s="88"/>
      <c r="D479" s="88"/>
      <c r="E479" s="88"/>
      <c r="F479" s="88"/>
      <c r="G479" s="88"/>
      <c r="H479" s="88"/>
      <c r="I479" s="88"/>
      <c r="J479" s="88"/>
      <c r="K479" s="88"/>
      <c r="L479" s="88"/>
      <c r="M479" s="88"/>
      <c r="N479" s="88"/>
      <c r="O479" s="88"/>
      <c r="P479" s="88"/>
      <c r="Q479" s="88"/>
      <c r="R479" s="88"/>
      <c r="S479" s="88"/>
      <c r="T479" s="88"/>
      <c r="U479" s="88"/>
      <c r="V479" s="88"/>
      <c r="W479" s="88"/>
      <c r="X479" s="88"/>
      <c r="Y479" s="88"/>
      <c r="Z479" s="88"/>
      <c r="AA479" s="88"/>
    </row>
    <row r="480" spans="1:27" ht="13.2">
      <c r="A480" s="88"/>
      <c r="B480" s="88"/>
      <c r="C480" s="88"/>
      <c r="D480" s="88"/>
      <c r="E480" s="88"/>
      <c r="F480" s="88"/>
      <c r="G480" s="88"/>
      <c r="H480" s="88"/>
      <c r="I480" s="88"/>
      <c r="J480" s="88"/>
      <c r="K480" s="88"/>
      <c r="L480" s="88"/>
      <c r="M480" s="88"/>
      <c r="N480" s="88"/>
      <c r="O480" s="88"/>
      <c r="P480" s="88"/>
      <c r="Q480" s="88"/>
      <c r="R480" s="88"/>
      <c r="S480" s="88"/>
      <c r="T480" s="88"/>
      <c r="U480" s="88"/>
      <c r="V480" s="88"/>
      <c r="W480" s="88"/>
      <c r="X480" s="88"/>
      <c r="Y480" s="88"/>
      <c r="Z480" s="88"/>
      <c r="AA480" s="88"/>
    </row>
    <row r="481" spans="1:27" ht="13.2">
      <c r="A481" s="88"/>
      <c r="B481" s="88"/>
      <c r="C481" s="88"/>
      <c r="D481" s="88"/>
      <c r="E481" s="88"/>
      <c r="F481" s="88"/>
      <c r="G481" s="88"/>
      <c r="H481" s="88"/>
      <c r="I481" s="88"/>
      <c r="J481" s="88"/>
      <c r="K481" s="88"/>
      <c r="L481" s="88"/>
      <c r="M481" s="88"/>
      <c r="N481" s="88"/>
      <c r="O481" s="88"/>
      <c r="P481" s="88"/>
      <c r="Q481" s="88"/>
      <c r="R481" s="88"/>
      <c r="S481" s="88"/>
      <c r="T481" s="88"/>
      <c r="U481" s="88"/>
      <c r="V481" s="88"/>
      <c r="W481" s="88"/>
      <c r="X481" s="88"/>
      <c r="Y481" s="88"/>
      <c r="Z481" s="88"/>
      <c r="AA481" s="88"/>
    </row>
    <row r="482" spans="1:27" ht="13.2">
      <c r="A482" s="88"/>
      <c r="B482" s="88"/>
      <c r="C482" s="88"/>
      <c r="D482" s="88"/>
      <c r="E482" s="88"/>
      <c r="F482" s="88"/>
      <c r="G482" s="88"/>
      <c r="H482" s="88"/>
      <c r="I482" s="88"/>
      <c r="J482" s="88"/>
      <c r="K482" s="88"/>
      <c r="L482" s="88"/>
      <c r="M482" s="88"/>
      <c r="N482" s="88"/>
      <c r="O482" s="88"/>
      <c r="P482" s="88"/>
      <c r="Q482" s="88"/>
      <c r="R482" s="88"/>
      <c r="S482" s="88"/>
      <c r="T482" s="88"/>
      <c r="U482" s="88"/>
      <c r="V482" s="88"/>
      <c r="W482" s="88"/>
      <c r="X482" s="88"/>
      <c r="Y482" s="88"/>
      <c r="Z482" s="88"/>
      <c r="AA482" s="88"/>
    </row>
    <row r="483" spans="1:27" ht="13.2">
      <c r="A483" s="88"/>
      <c r="B483" s="88"/>
      <c r="C483" s="88"/>
      <c r="D483" s="88"/>
      <c r="E483" s="88"/>
      <c r="F483" s="88"/>
      <c r="G483" s="88"/>
      <c r="H483" s="88"/>
      <c r="I483" s="88"/>
      <c r="J483" s="88"/>
      <c r="K483" s="88"/>
      <c r="L483" s="88"/>
      <c r="M483" s="88"/>
      <c r="N483" s="88"/>
      <c r="O483" s="88"/>
      <c r="P483" s="88"/>
      <c r="Q483" s="88"/>
      <c r="R483" s="88"/>
      <c r="S483" s="88"/>
      <c r="T483" s="88"/>
      <c r="U483" s="88"/>
      <c r="V483" s="88"/>
      <c r="W483" s="88"/>
      <c r="X483" s="88"/>
      <c r="Y483" s="88"/>
      <c r="Z483" s="88"/>
      <c r="AA483" s="88"/>
    </row>
    <row r="484" spans="1:27" ht="13.2">
      <c r="A484" s="88"/>
      <c r="B484" s="88"/>
      <c r="C484" s="88"/>
      <c r="D484" s="88"/>
      <c r="E484" s="88"/>
      <c r="F484" s="88"/>
      <c r="G484" s="88"/>
      <c r="H484" s="88"/>
      <c r="I484" s="88"/>
      <c r="J484" s="88"/>
      <c r="K484" s="88"/>
      <c r="L484" s="88"/>
      <c r="M484" s="88"/>
      <c r="N484" s="88"/>
      <c r="O484" s="88"/>
      <c r="P484" s="88"/>
      <c r="Q484" s="88"/>
      <c r="R484" s="88"/>
      <c r="S484" s="88"/>
      <c r="T484" s="88"/>
      <c r="U484" s="88"/>
      <c r="V484" s="88"/>
      <c r="W484" s="88"/>
      <c r="X484" s="88"/>
      <c r="Y484" s="88"/>
      <c r="Z484" s="88"/>
      <c r="AA484" s="88"/>
    </row>
    <row r="485" spans="1:27" ht="13.2">
      <c r="A485" s="88"/>
      <c r="B485" s="88"/>
      <c r="C485" s="88"/>
      <c r="D485" s="88"/>
      <c r="E485" s="88"/>
      <c r="F485" s="88"/>
      <c r="G485" s="88"/>
      <c r="H485" s="88"/>
      <c r="I485" s="88"/>
      <c r="J485" s="88"/>
      <c r="K485" s="88"/>
      <c r="L485" s="88"/>
      <c r="M485" s="88"/>
      <c r="N485" s="88"/>
      <c r="O485" s="88"/>
      <c r="P485" s="88"/>
      <c r="Q485" s="88"/>
      <c r="R485" s="88"/>
      <c r="S485" s="88"/>
      <c r="T485" s="88"/>
      <c r="U485" s="88"/>
      <c r="V485" s="88"/>
      <c r="W485" s="88"/>
      <c r="X485" s="88"/>
      <c r="Y485" s="88"/>
      <c r="Z485" s="88"/>
      <c r="AA485" s="88"/>
    </row>
    <row r="486" spans="1:27" ht="13.2">
      <c r="A486" s="88"/>
      <c r="B486" s="88"/>
      <c r="C486" s="88"/>
      <c r="D486" s="88"/>
      <c r="E486" s="88"/>
      <c r="F486" s="88"/>
      <c r="G486" s="88"/>
      <c r="H486" s="88"/>
      <c r="I486" s="88"/>
      <c r="J486" s="88"/>
      <c r="K486" s="88"/>
      <c r="L486" s="88"/>
      <c r="M486" s="88"/>
      <c r="N486" s="88"/>
      <c r="O486" s="88"/>
      <c r="P486" s="88"/>
      <c r="Q486" s="88"/>
      <c r="R486" s="88"/>
      <c r="S486" s="88"/>
      <c r="T486" s="88"/>
      <c r="U486" s="88"/>
      <c r="V486" s="88"/>
      <c r="W486" s="88"/>
      <c r="X486" s="88"/>
      <c r="Y486" s="88"/>
      <c r="Z486" s="88"/>
      <c r="AA486" s="88"/>
    </row>
    <row r="487" spans="1:27" ht="13.2">
      <c r="A487" s="88"/>
      <c r="B487" s="88"/>
      <c r="C487" s="88"/>
      <c r="D487" s="88"/>
      <c r="E487" s="88"/>
      <c r="F487" s="88"/>
      <c r="G487" s="88"/>
      <c r="H487" s="88"/>
      <c r="I487" s="88"/>
      <c r="J487" s="88"/>
      <c r="K487" s="88"/>
      <c r="L487" s="88"/>
      <c r="M487" s="88"/>
      <c r="N487" s="88"/>
      <c r="O487" s="88"/>
      <c r="P487" s="88"/>
      <c r="Q487" s="88"/>
      <c r="R487" s="88"/>
      <c r="S487" s="88"/>
      <c r="T487" s="88"/>
      <c r="U487" s="88"/>
      <c r="V487" s="88"/>
      <c r="W487" s="88"/>
      <c r="X487" s="88"/>
      <c r="Y487" s="88"/>
      <c r="Z487" s="88"/>
      <c r="AA487" s="88"/>
    </row>
    <row r="488" spans="1:27" ht="13.2">
      <c r="A488" s="88"/>
      <c r="B488" s="88"/>
      <c r="C488" s="88"/>
      <c r="D488" s="88"/>
      <c r="E488" s="88"/>
      <c r="F488" s="88"/>
      <c r="G488" s="88"/>
      <c r="H488" s="88"/>
      <c r="I488" s="88"/>
      <c r="J488" s="88"/>
      <c r="K488" s="88"/>
      <c r="L488" s="88"/>
      <c r="M488" s="88"/>
      <c r="N488" s="88"/>
      <c r="O488" s="88"/>
      <c r="P488" s="88"/>
      <c r="Q488" s="88"/>
      <c r="R488" s="88"/>
      <c r="S488" s="88"/>
      <c r="T488" s="88"/>
      <c r="U488" s="88"/>
      <c r="V488" s="88"/>
      <c r="W488" s="88"/>
      <c r="X488" s="88"/>
      <c r="Y488" s="88"/>
      <c r="Z488" s="88"/>
      <c r="AA488" s="88"/>
    </row>
    <row r="489" spans="1:27" ht="13.2">
      <c r="A489" s="88"/>
      <c r="B489" s="88"/>
      <c r="C489" s="88"/>
      <c r="D489" s="88"/>
      <c r="E489" s="88"/>
      <c r="F489" s="88"/>
      <c r="G489" s="88"/>
      <c r="H489" s="88"/>
      <c r="I489" s="88"/>
      <c r="J489" s="88"/>
      <c r="K489" s="88"/>
      <c r="L489" s="88"/>
      <c r="M489" s="88"/>
      <c r="N489" s="88"/>
      <c r="O489" s="88"/>
      <c r="P489" s="88"/>
      <c r="Q489" s="88"/>
      <c r="R489" s="88"/>
      <c r="S489" s="88"/>
      <c r="T489" s="88"/>
      <c r="U489" s="88"/>
      <c r="V489" s="88"/>
      <c r="W489" s="88"/>
      <c r="X489" s="88"/>
      <c r="Y489" s="88"/>
      <c r="Z489" s="88"/>
      <c r="AA489" s="88"/>
    </row>
    <row r="490" spans="1:27" ht="13.2">
      <c r="A490" s="88"/>
      <c r="B490" s="88"/>
      <c r="C490" s="88"/>
      <c r="D490" s="88"/>
      <c r="E490" s="88"/>
      <c r="F490" s="88"/>
      <c r="G490" s="88"/>
      <c r="H490" s="88"/>
      <c r="I490" s="88"/>
      <c r="J490" s="88"/>
      <c r="K490" s="88"/>
      <c r="L490" s="88"/>
      <c r="M490" s="88"/>
      <c r="N490" s="88"/>
      <c r="O490" s="88"/>
      <c r="P490" s="88"/>
      <c r="Q490" s="88"/>
      <c r="R490" s="88"/>
      <c r="S490" s="88"/>
      <c r="T490" s="88"/>
      <c r="U490" s="88"/>
      <c r="V490" s="88"/>
      <c r="W490" s="88"/>
      <c r="X490" s="88"/>
      <c r="Y490" s="88"/>
      <c r="Z490" s="88"/>
      <c r="AA490" s="88"/>
    </row>
    <row r="491" spans="1:27" ht="13.2">
      <c r="A491" s="88"/>
      <c r="B491" s="88"/>
      <c r="C491" s="88"/>
      <c r="D491" s="88"/>
      <c r="E491" s="88"/>
      <c r="F491" s="88"/>
      <c r="G491" s="88"/>
      <c r="H491" s="88"/>
      <c r="I491" s="88"/>
      <c r="J491" s="88"/>
      <c r="K491" s="88"/>
      <c r="L491" s="88"/>
      <c r="M491" s="88"/>
      <c r="N491" s="88"/>
      <c r="O491" s="88"/>
      <c r="P491" s="88"/>
      <c r="Q491" s="88"/>
      <c r="R491" s="88"/>
      <c r="S491" s="88"/>
      <c r="T491" s="88"/>
      <c r="U491" s="88"/>
      <c r="V491" s="88"/>
      <c r="W491" s="88"/>
      <c r="X491" s="88"/>
      <c r="Y491" s="88"/>
      <c r="Z491" s="88"/>
      <c r="AA491" s="88"/>
    </row>
    <row r="492" spans="1:27" ht="13.2">
      <c r="A492" s="88"/>
      <c r="B492" s="88"/>
      <c r="C492" s="88"/>
      <c r="D492" s="88"/>
      <c r="E492" s="88"/>
      <c r="F492" s="88"/>
      <c r="G492" s="88"/>
      <c r="H492" s="88"/>
      <c r="I492" s="88"/>
      <c r="J492" s="88"/>
      <c r="K492" s="88"/>
      <c r="L492" s="88"/>
      <c r="M492" s="88"/>
      <c r="N492" s="88"/>
      <c r="O492" s="88"/>
      <c r="P492" s="88"/>
      <c r="Q492" s="88"/>
      <c r="R492" s="88"/>
      <c r="S492" s="88"/>
      <c r="T492" s="88"/>
      <c r="U492" s="88"/>
      <c r="V492" s="88"/>
      <c r="W492" s="88"/>
      <c r="X492" s="88"/>
      <c r="Y492" s="88"/>
      <c r="Z492" s="88"/>
      <c r="AA492" s="88"/>
    </row>
    <row r="493" spans="1:27" ht="13.2">
      <c r="A493" s="88"/>
      <c r="B493" s="88"/>
      <c r="C493" s="88"/>
      <c r="D493" s="88"/>
      <c r="E493" s="88"/>
      <c r="F493" s="88"/>
      <c r="G493" s="88"/>
      <c r="H493" s="88"/>
      <c r="I493" s="88"/>
      <c r="J493" s="88"/>
      <c r="K493" s="88"/>
      <c r="L493" s="88"/>
      <c r="M493" s="88"/>
      <c r="N493" s="88"/>
      <c r="O493" s="88"/>
      <c r="P493" s="88"/>
      <c r="Q493" s="88"/>
      <c r="R493" s="88"/>
      <c r="S493" s="88"/>
      <c r="T493" s="88"/>
      <c r="U493" s="88"/>
      <c r="V493" s="88"/>
      <c r="W493" s="88"/>
      <c r="X493" s="88"/>
      <c r="Y493" s="88"/>
      <c r="Z493" s="88"/>
      <c r="AA493" s="88"/>
    </row>
    <row r="494" spans="1:27" ht="13.2">
      <c r="A494" s="88"/>
      <c r="B494" s="88"/>
      <c r="C494" s="88"/>
      <c r="D494" s="88"/>
      <c r="E494" s="88"/>
      <c r="F494" s="88"/>
      <c r="G494" s="88"/>
      <c r="H494" s="88"/>
      <c r="I494" s="88"/>
      <c r="J494" s="88"/>
      <c r="K494" s="88"/>
      <c r="L494" s="88"/>
      <c r="M494" s="88"/>
      <c r="N494" s="88"/>
      <c r="O494" s="88"/>
      <c r="P494" s="88"/>
      <c r="Q494" s="88"/>
      <c r="R494" s="88"/>
      <c r="S494" s="88"/>
      <c r="T494" s="88"/>
      <c r="U494" s="88"/>
      <c r="V494" s="88"/>
      <c r="W494" s="88"/>
      <c r="X494" s="88"/>
      <c r="Y494" s="88"/>
      <c r="Z494" s="88"/>
      <c r="AA494" s="88"/>
    </row>
    <row r="495" spans="1:27" ht="13.2">
      <c r="A495" s="88"/>
      <c r="B495" s="88"/>
      <c r="C495" s="88"/>
      <c r="D495" s="88"/>
      <c r="E495" s="88"/>
      <c r="F495" s="88"/>
      <c r="G495" s="88"/>
      <c r="H495" s="88"/>
      <c r="I495" s="88"/>
      <c r="J495" s="88"/>
      <c r="K495" s="88"/>
      <c r="L495" s="88"/>
      <c r="M495" s="88"/>
      <c r="N495" s="88"/>
      <c r="O495" s="88"/>
      <c r="P495" s="88"/>
      <c r="Q495" s="88"/>
      <c r="R495" s="88"/>
      <c r="S495" s="88"/>
      <c r="T495" s="88"/>
      <c r="U495" s="88"/>
      <c r="V495" s="88"/>
      <c r="W495" s="88"/>
      <c r="X495" s="88"/>
      <c r="Y495" s="88"/>
      <c r="Z495" s="88"/>
      <c r="AA495" s="88"/>
    </row>
    <row r="496" spans="1:27" ht="13.2">
      <c r="A496" s="88"/>
      <c r="B496" s="88"/>
      <c r="C496" s="88"/>
      <c r="D496" s="88"/>
      <c r="E496" s="88"/>
      <c r="F496" s="88"/>
      <c r="G496" s="88"/>
      <c r="H496" s="88"/>
      <c r="I496" s="88"/>
      <c r="J496" s="88"/>
      <c r="K496" s="88"/>
      <c r="L496" s="88"/>
      <c r="M496" s="88"/>
      <c r="N496" s="88"/>
      <c r="O496" s="88"/>
      <c r="P496" s="88"/>
      <c r="Q496" s="88"/>
      <c r="R496" s="88"/>
      <c r="S496" s="88"/>
      <c r="T496" s="88"/>
      <c r="U496" s="88"/>
      <c r="V496" s="88"/>
      <c r="W496" s="88"/>
      <c r="X496" s="88"/>
      <c r="Y496" s="88"/>
      <c r="Z496" s="88"/>
      <c r="AA496" s="88"/>
    </row>
    <row r="497" spans="1:27" ht="13.2">
      <c r="A497" s="88"/>
      <c r="B497" s="88"/>
      <c r="C497" s="88"/>
      <c r="D497" s="88"/>
      <c r="E497" s="88"/>
      <c r="F497" s="88"/>
      <c r="G497" s="88"/>
      <c r="H497" s="88"/>
      <c r="I497" s="88"/>
      <c r="J497" s="88"/>
      <c r="K497" s="88"/>
      <c r="L497" s="88"/>
      <c r="M497" s="88"/>
      <c r="N497" s="88"/>
      <c r="O497" s="88"/>
      <c r="P497" s="88"/>
      <c r="Q497" s="88"/>
      <c r="R497" s="88"/>
      <c r="S497" s="88"/>
      <c r="T497" s="88"/>
      <c r="U497" s="88"/>
      <c r="V497" s="88"/>
      <c r="W497" s="88"/>
      <c r="X497" s="88"/>
      <c r="Y497" s="88"/>
      <c r="Z497" s="88"/>
      <c r="AA497" s="88"/>
    </row>
    <row r="498" spans="1:27" ht="13.2">
      <c r="A498" s="88"/>
      <c r="B498" s="88"/>
      <c r="C498" s="88"/>
      <c r="D498" s="88"/>
      <c r="E498" s="88"/>
      <c r="F498" s="88"/>
      <c r="G498" s="88"/>
      <c r="H498" s="88"/>
      <c r="I498" s="88"/>
      <c r="J498" s="88"/>
      <c r="K498" s="88"/>
      <c r="L498" s="88"/>
      <c r="M498" s="88"/>
      <c r="N498" s="88"/>
      <c r="O498" s="88"/>
      <c r="P498" s="88"/>
      <c r="Q498" s="88"/>
      <c r="R498" s="88"/>
      <c r="S498" s="88"/>
      <c r="T498" s="88"/>
      <c r="U498" s="88"/>
      <c r="V498" s="88"/>
      <c r="W498" s="88"/>
      <c r="X498" s="88"/>
      <c r="Y498" s="88"/>
      <c r="Z498" s="88"/>
      <c r="AA498" s="88"/>
    </row>
    <row r="499" spans="1:27" ht="13.2">
      <c r="A499" s="88"/>
      <c r="B499" s="88"/>
      <c r="C499" s="88"/>
      <c r="D499" s="88"/>
      <c r="E499" s="88"/>
      <c r="F499" s="88"/>
      <c r="G499" s="88"/>
      <c r="H499" s="88"/>
      <c r="I499" s="88"/>
      <c r="J499" s="88"/>
      <c r="K499" s="88"/>
      <c r="L499" s="88"/>
      <c r="M499" s="88"/>
      <c r="N499" s="88"/>
      <c r="O499" s="88"/>
      <c r="P499" s="88"/>
      <c r="Q499" s="88"/>
      <c r="R499" s="88"/>
      <c r="S499" s="88"/>
      <c r="T499" s="88"/>
      <c r="U499" s="88"/>
      <c r="V499" s="88"/>
      <c r="W499" s="88"/>
      <c r="X499" s="88"/>
      <c r="Y499" s="88"/>
      <c r="Z499" s="88"/>
      <c r="AA499" s="88"/>
    </row>
    <row r="500" spans="1:27" ht="13.2">
      <c r="A500" s="88"/>
      <c r="B500" s="88"/>
      <c r="C500" s="88"/>
      <c r="D500" s="88"/>
      <c r="E500" s="88"/>
      <c r="F500" s="88"/>
      <c r="G500" s="88"/>
      <c r="H500" s="88"/>
      <c r="I500" s="88"/>
      <c r="J500" s="88"/>
      <c r="K500" s="88"/>
      <c r="L500" s="88"/>
      <c r="M500" s="88"/>
      <c r="N500" s="88"/>
      <c r="O500" s="88"/>
      <c r="P500" s="88"/>
      <c r="Q500" s="88"/>
      <c r="R500" s="88"/>
      <c r="S500" s="88"/>
      <c r="T500" s="88"/>
      <c r="U500" s="88"/>
      <c r="V500" s="88"/>
      <c r="W500" s="88"/>
      <c r="X500" s="88"/>
      <c r="Y500" s="88"/>
      <c r="Z500" s="88"/>
      <c r="AA500" s="88"/>
    </row>
    <row r="501" spans="1:27" ht="13.2">
      <c r="A501" s="88"/>
      <c r="B501" s="88"/>
      <c r="C501" s="88"/>
      <c r="D501" s="88"/>
      <c r="E501" s="88"/>
      <c r="F501" s="88"/>
      <c r="G501" s="88"/>
      <c r="H501" s="88"/>
      <c r="I501" s="88"/>
      <c r="J501" s="88"/>
      <c r="K501" s="88"/>
      <c r="L501" s="88"/>
      <c r="M501" s="88"/>
      <c r="N501" s="88"/>
      <c r="O501" s="88"/>
      <c r="P501" s="88"/>
      <c r="Q501" s="88"/>
      <c r="R501" s="88"/>
      <c r="S501" s="88"/>
      <c r="T501" s="88"/>
      <c r="U501" s="88"/>
      <c r="V501" s="88"/>
      <c r="W501" s="88"/>
      <c r="X501" s="88"/>
      <c r="Y501" s="88"/>
      <c r="Z501" s="88"/>
      <c r="AA501" s="88"/>
    </row>
    <row r="502" spans="1:27" ht="13.2">
      <c r="A502" s="88"/>
      <c r="B502" s="88"/>
      <c r="C502" s="88"/>
      <c r="D502" s="88"/>
      <c r="E502" s="88"/>
      <c r="F502" s="88"/>
      <c r="G502" s="88"/>
      <c r="H502" s="88"/>
      <c r="I502" s="88"/>
      <c r="J502" s="88"/>
      <c r="K502" s="88"/>
      <c r="L502" s="88"/>
      <c r="M502" s="88"/>
      <c r="N502" s="88"/>
      <c r="O502" s="88"/>
      <c r="P502" s="88"/>
      <c r="Q502" s="88"/>
      <c r="R502" s="88"/>
      <c r="S502" s="88"/>
      <c r="T502" s="88"/>
      <c r="U502" s="88"/>
      <c r="V502" s="88"/>
      <c r="W502" s="88"/>
      <c r="X502" s="88"/>
      <c r="Y502" s="88"/>
      <c r="Z502" s="88"/>
      <c r="AA502" s="88"/>
    </row>
    <row r="503" spans="1:27" ht="13.2">
      <c r="A503" s="88"/>
      <c r="B503" s="88"/>
      <c r="C503" s="88"/>
      <c r="D503" s="88"/>
      <c r="E503" s="88"/>
      <c r="F503" s="88"/>
      <c r="G503" s="88"/>
      <c r="H503" s="88"/>
      <c r="I503" s="88"/>
      <c r="J503" s="88"/>
      <c r="K503" s="88"/>
      <c r="L503" s="88"/>
      <c r="M503" s="88"/>
      <c r="N503" s="88"/>
      <c r="O503" s="88"/>
      <c r="P503" s="88"/>
      <c r="Q503" s="88"/>
      <c r="R503" s="88"/>
      <c r="S503" s="88"/>
      <c r="T503" s="88"/>
      <c r="U503" s="88"/>
      <c r="V503" s="88"/>
      <c r="W503" s="88"/>
      <c r="X503" s="88"/>
      <c r="Y503" s="88"/>
      <c r="Z503" s="88"/>
      <c r="AA503" s="88"/>
    </row>
    <row r="504" spans="1:27" ht="13.2">
      <c r="A504" s="88"/>
      <c r="B504" s="88"/>
      <c r="C504" s="88"/>
      <c r="D504" s="88"/>
      <c r="E504" s="88"/>
      <c r="F504" s="88"/>
      <c r="G504" s="88"/>
      <c r="H504" s="88"/>
      <c r="I504" s="88"/>
      <c r="J504" s="88"/>
      <c r="K504" s="88"/>
      <c r="L504" s="88"/>
      <c r="M504" s="88"/>
      <c r="N504" s="88"/>
      <c r="O504" s="88"/>
      <c r="P504" s="88"/>
      <c r="Q504" s="88"/>
      <c r="R504" s="88"/>
      <c r="S504" s="88"/>
      <c r="T504" s="88"/>
      <c r="U504" s="88"/>
      <c r="V504" s="88"/>
      <c r="W504" s="88"/>
      <c r="X504" s="88"/>
      <c r="Y504" s="88"/>
      <c r="Z504" s="88"/>
      <c r="AA504" s="88"/>
    </row>
    <row r="505" spans="1:27" ht="13.2">
      <c r="A505" s="88"/>
      <c r="B505" s="88"/>
      <c r="C505" s="88"/>
      <c r="D505" s="88"/>
      <c r="E505" s="88"/>
      <c r="F505" s="88"/>
      <c r="G505" s="88"/>
      <c r="H505" s="88"/>
      <c r="I505" s="88"/>
      <c r="J505" s="88"/>
      <c r="K505" s="88"/>
      <c r="L505" s="88"/>
      <c r="M505" s="88"/>
      <c r="N505" s="88"/>
      <c r="O505" s="88"/>
      <c r="P505" s="88"/>
      <c r="Q505" s="88"/>
      <c r="R505" s="88"/>
      <c r="S505" s="88"/>
      <c r="T505" s="88"/>
      <c r="U505" s="88"/>
      <c r="V505" s="88"/>
      <c r="W505" s="88"/>
      <c r="X505" s="88"/>
      <c r="Y505" s="88"/>
      <c r="Z505" s="88"/>
      <c r="AA505" s="88"/>
    </row>
    <row r="506" spans="1:27" ht="13.2">
      <c r="A506" s="88"/>
      <c r="B506" s="88"/>
      <c r="C506" s="88"/>
      <c r="D506" s="88"/>
      <c r="E506" s="88"/>
      <c r="F506" s="88"/>
      <c r="G506" s="88"/>
      <c r="H506" s="88"/>
      <c r="I506" s="88"/>
      <c r="J506" s="88"/>
      <c r="K506" s="88"/>
      <c r="L506" s="88"/>
      <c r="M506" s="88"/>
      <c r="N506" s="88"/>
      <c r="O506" s="88"/>
      <c r="P506" s="88"/>
      <c r="Q506" s="88"/>
      <c r="R506" s="88"/>
      <c r="S506" s="88"/>
      <c r="T506" s="88"/>
      <c r="U506" s="88"/>
      <c r="V506" s="88"/>
      <c r="W506" s="88"/>
      <c r="X506" s="88"/>
      <c r="Y506" s="88"/>
      <c r="Z506" s="88"/>
      <c r="AA506" s="88"/>
    </row>
    <row r="507" spans="1:27" ht="13.2">
      <c r="A507" s="88"/>
      <c r="B507" s="88"/>
      <c r="C507" s="88"/>
      <c r="D507" s="88"/>
      <c r="E507" s="88"/>
      <c r="F507" s="88"/>
      <c r="G507" s="88"/>
      <c r="H507" s="88"/>
      <c r="I507" s="88"/>
      <c r="J507" s="88"/>
      <c r="K507" s="88"/>
      <c r="L507" s="88"/>
      <c r="M507" s="88"/>
      <c r="N507" s="88"/>
      <c r="O507" s="88"/>
      <c r="P507" s="88"/>
      <c r="Q507" s="88"/>
      <c r="R507" s="88"/>
      <c r="S507" s="88"/>
      <c r="T507" s="88"/>
      <c r="U507" s="88"/>
      <c r="V507" s="88"/>
      <c r="W507" s="88"/>
      <c r="X507" s="88"/>
      <c r="Y507" s="88"/>
      <c r="Z507" s="88"/>
      <c r="AA507" s="88"/>
    </row>
    <row r="508" spans="1:27" ht="13.2">
      <c r="A508" s="88"/>
      <c r="B508" s="88"/>
      <c r="C508" s="88"/>
      <c r="D508" s="88"/>
      <c r="E508" s="88"/>
      <c r="F508" s="88"/>
      <c r="G508" s="88"/>
      <c r="H508" s="88"/>
      <c r="I508" s="88"/>
      <c r="J508" s="88"/>
      <c r="K508" s="88"/>
      <c r="L508" s="88"/>
      <c r="M508" s="88"/>
      <c r="N508" s="88"/>
      <c r="O508" s="88"/>
      <c r="P508" s="88"/>
      <c r="Q508" s="88"/>
      <c r="R508" s="88"/>
      <c r="S508" s="88"/>
      <c r="T508" s="88"/>
      <c r="U508" s="88"/>
      <c r="V508" s="88"/>
      <c r="W508" s="88"/>
      <c r="X508" s="88"/>
      <c r="Y508" s="88"/>
      <c r="Z508" s="88"/>
      <c r="AA508" s="88"/>
    </row>
    <row r="509" spans="1:27" ht="13.2">
      <c r="A509" s="88"/>
      <c r="B509" s="88"/>
      <c r="C509" s="88"/>
      <c r="D509" s="88"/>
      <c r="E509" s="88"/>
      <c r="F509" s="88"/>
      <c r="G509" s="88"/>
      <c r="H509" s="88"/>
      <c r="I509" s="88"/>
      <c r="J509" s="88"/>
      <c r="K509" s="88"/>
      <c r="L509" s="88"/>
      <c r="M509" s="88"/>
      <c r="N509" s="88"/>
      <c r="O509" s="88"/>
      <c r="P509" s="88"/>
      <c r="Q509" s="88"/>
      <c r="R509" s="88"/>
      <c r="S509" s="88"/>
      <c r="T509" s="88"/>
      <c r="U509" s="88"/>
      <c r="V509" s="88"/>
      <c r="W509" s="88"/>
      <c r="X509" s="88"/>
      <c r="Y509" s="88"/>
      <c r="Z509" s="88"/>
      <c r="AA509" s="88"/>
    </row>
    <row r="510" spans="1:27" ht="13.2">
      <c r="A510" s="88"/>
      <c r="B510" s="88"/>
      <c r="C510" s="88"/>
      <c r="D510" s="88"/>
      <c r="E510" s="88"/>
      <c r="F510" s="88"/>
      <c r="G510" s="88"/>
      <c r="H510" s="88"/>
      <c r="I510" s="88"/>
      <c r="J510" s="88"/>
      <c r="K510" s="88"/>
      <c r="L510" s="88"/>
      <c r="M510" s="88"/>
      <c r="N510" s="88"/>
      <c r="O510" s="88"/>
      <c r="P510" s="88"/>
      <c r="Q510" s="88"/>
      <c r="R510" s="88"/>
      <c r="S510" s="88"/>
      <c r="T510" s="88"/>
      <c r="U510" s="88"/>
      <c r="V510" s="88"/>
      <c r="W510" s="88"/>
      <c r="X510" s="88"/>
      <c r="Y510" s="88"/>
      <c r="Z510" s="88"/>
      <c r="AA510" s="88"/>
    </row>
    <row r="511" spans="1:27" ht="13.2">
      <c r="A511" s="88"/>
      <c r="B511" s="88"/>
      <c r="C511" s="88"/>
      <c r="D511" s="88"/>
      <c r="E511" s="88"/>
      <c r="F511" s="88"/>
      <c r="G511" s="88"/>
      <c r="H511" s="88"/>
      <c r="I511" s="88"/>
      <c r="J511" s="88"/>
      <c r="K511" s="88"/>
      <c r="L511" s="88"/>
      <c r="M511" s="88"/>
      <c r="N511" s="88"/>
      <c r="O511" s="88"/>
      <c r="P511" s="88"/>
      <c r="Q511" s="88"/>
      <c r="R511" s="88"/>
      <c r="S511" s="88"/>
      <c r="T511" s="88"/>
      <c r="U511" s="88"/>
      <c r="V511" s="88"/>
      <c r="W511" s="88"/>
      <c r="X511" s="88"/>
      <c r="Y511" s="88"/>
      <c r="Z511" s="88"/>
      <c r="AA511" s="88"/>
    </row>
    <row r="512" spans="1:27" ht="13.2">
      <c r="A512" s="88"/>
      <c r="B512" s="88"/>
      <c r="C512" s="88"/>
      <c r="D512" s="88"/>
      <c r="E512" s="88"/>
      <c r="F512" s="88"/>
      <c r="G512" s="88"/>
      <c r="H512" s="88"/>
      <c r="I512" s="88"/>
      <c r="J512" s="88"/>
      <c r="K512" s="88"/>
      <c r="L512" s="88"/>
      <c r="M512" s="88"/>
      <c r="N512" s="88"/>
      <c r="O512" s="88"/>
      <c r="P512" s="88"/>
      <c r="Q512" s="88"/>
      <c r="R512" s="88"/>
      <c r="S512" s="88"/>
      <c r="T512" s="88"/>
      <c r="U512" s="88"/>
      <c r="V512" s="88"/>
      <c r="W512" s="88"/>
      <c r="X512" s="88"/>
      <c r="Y512" s="88"/>
      <c r="Z512" s="88"/>
      <c r="AA512" s="88"/>
    </row>
    <row r="513" spans="1:27" ht="13.2">
      <c r="A513" s="88"/>
      <c r="B513" s="88"/>
      <c r="C513" s="88"/>
      <c r="D513" s="88"/>
      <c r="E513" s="88"/>
      <c r="F513" s="88"/>
      <c r="G513" s="88"/>
      <c r="H513" s="88"/>
      <c r="I513" s="88"/>
      <c r="J513" s="88"/>
      <c r="K513" s="88"/>
      <c r="L513" s="88"/>
      <c r="M513" s="88"/>
      <c r="N513" s="88"/>
      <c r="O513" s="88"/>
      <c r="P513" s="88"/>
      <c r="Q513" s="88"/>
      <c r="R513" s="88"/>
      <c r="S513" s="88"/>
      <c r="T513" s="88"/>
      <c r="U513" s="88"/>
      <c r="V513" s="88"/>
      <c r="W513" s="88"/>
      <c r="X513" s="88"/>
      <c r="Y513" s="88"/>
      <c r="Z513" s="88"/>
      <c r="AA513" s="88"/>
    </row>
    <row r="514" spans="1:27" ht="13.2">
      <c r="A514" s="88"/>
      <c r="B514" s="88"/>
      <c r="C514" s="88"/>
      <c r="D514" s="88"/>
      <c r="E514" s="88"/>
      <c r="F514" s="88"/>
      <c r="G514" s="88"/>
      <c r="H514" s="88"/>
      <c r="I514" s="88"/>
      <c r="J514" s="88"/>
      <c r="K514" s="88"/>
      <c r="L514" s="88"/>
      <c r="M514" s="88"/>
      <c r="N514" s="88"/>
      <c r="O514" s="88"/>
      <c r="P514" s="88"/>
      <c r="Q514" s="88"/>
      <c r="R514" s="88"/>
      <c r="S514" s="88"/>
      <c r="T514" s="88"/>
      <c r="U514" s="88"/>
      <c r="V514" s="88"/>
      <c r="W514" s="88"/>
      <c r="X514" s="88"/>
      <c r="Y514" s="88"/>
      <c r="Z514" s="88"/>
      <c r="AA514" s="88"/>
    </row>
    <row r="515" spans="1:27" ht="13.2">
      <c r="A515" s="88"/>
      <c r="B515" s="88"/>
      <c r="C515" s="88"/>
      <c r="D515" s="88"/>
      <c r="E515" s="88"/>
      <c r="F515" s="88"/>
      <c r="G515" s="88"/>
      <c r="H515" s="88"/>
      <c r="I515" s="88"/>
      <c r="J515" s="88"/>
      <c r="K515" s="88"/>
      <c r="L515" s="88"/>
      <c r="M515" s="88"/>
      <c r="N515" s="88"/>
      <c r="O515" s="88"/>
      <c r="P515" s="88"/>
      <c r="Q515" s="88"/>
      <c r="R515" s="88"/>
      <c r="S515" s="88"/>
      <c r="T515" s="88"/>
      <c r="U515" s="88"/>
      <c r="V515" s="88"/>
      <c r="W515" s="88"/>
      <c r="X515" s="88"/>
      <c r="Y515" s="88"/>
      <c r="Z515" s="88"/>
      <c r="AA515" s="88"/>
    </row>
    <row r="516" spans="1:27" ht="13.2">
      <c r="A516" s="88"/>
      <c r="B516" s="88"/>
      <c r="C516" s="88"/>
      <c r="D516" s="88"/>
      <c r="E516" s="88"/>
      <c r="F516" s="88"/>
      <c r="G516" s="88"/>
      <c r="H516" s="88"/>
      <c r="I516" s="88"/>
      <c r="J516" s="88"/>
      <c r="K516" s="88"/>
      <c r="L516" s="88"/>
      <c r="M516" s="88"/>
      <c r="N516" s="88"/>
      <c r="O516" s="88"/>
      <c r="P516" s="88"/>
      <c r="Q516" s="88"/>
      <c r="R516" s="88"/>
      <c r="S516" s="88"/>
      <c r="T516" s="88"/>
      <c r="U516" s="88"/>
      <c r="V516" s="88"/>
      <c r="W516" s="88"/>
      <c r="X516" s="88"/>
      <c r="Y516" s="88"/>
      <c r="Z516" s="88"/>
      <c r="AA516" s="88"/>
    </row>
    <row r="517" spans="1:27" ht="13.2">
      <c r="A517" s="88"/>
      <c r="B517" s="88"/>
      <c r="C517" s="88"/>
      <c r="D517" s="88"/>
      <c r="E517" s="88"/>
      <c r="F517" s="88"/>
      <c r="G517" s="88"/>
      <c r="H517" s="88"/>
      <c r="I517" s="88"/>
      <c r="J517" s="88"/>
      <c r="K517" s="88"/>
      <c r="L517" s="88"/>
      <c r="M517" s="88"/>
      <c r="N517" s="88"/>
      <c r="O517" s="88"/>
      <c r="P517" s="88"/>
      <c r="Q517" s="88"/>
      <c r="R517" s="88"/>
      <c r="S517" s="88"/>
      <c r="T517" s="88"/>
      <c r="U517" s="88"/>
      <c r="V517" s="88"/>
      <c r="W517" s="88"/>
      <c r="X517" s="88"/>
      <c r="Y517" s="88"/>
      <c r="Z517" s="88"/>
      <c r="AA517" s="88"/>
    </row>
    <row r="518" spans="1:27" ht="13.2">
      <c r="A518" s="88"/>
      <c r="B518" s="88"/>
      <c r="C518" s="88"/>
      <c r="D518" s="88"/>
      <c r="E518" s="88"/>
      <c r="F518" s="88"/>
      <c r="G518" s="88"/>
      <c r="H518" s="88"/>
      <c r="I518" s="88"/>
      <c r="J518" s="88"/>
      <c r="K518" s="88"/>
      <c r="L518" s="88"/>
      <c r="M518" s="88"/>
      <c r="N518" s="88"/>
      <c r="O518" s="88"/>
      <c r="P518" s="88"/>
      <c r="Q518" s="88"/>
      <c r="R518" s="88"/>
      <c r="S518" s="88"/>
      <c r="T518" s="88"/>
      <c r="U518" s="88"/>
      <c r="V518" s="88"/>
      <c r="W518" s="88"/>
      <c r="X518" s="88"/>
      <c r="Y518" s="88"/>
      <c r="Z518" s="88"/>
      <c r="AA518" s="88"/>
    </row>
    <row r="519" spans="1:27" ht="13.2">
      <c r="A519" s="88"/>
      <c r="B519" s="88"/>
      <c r="C519" s="88"/>
      <c r="D519" s="88"/>
      <c r="E519" s="88"/>
      <c r="F519" s="88"/>
      <c r="G519" s="88"/>
      <c r="H519" s="88"/>
      <c r="I519" s="88"/>
      <c r="J519" s="88"/>
      <c r="K519" s="88"/>
      <c r="L519" s="88"/>
      <c r="M519" s="88"/>
      <c r="N519" s="88"/>
      <c r="O519" s="88"/>
      <c r="P519" s="88"/>
      <c r="Q519" s="88"/>
      <c r="R519" s="88"/>
      <c r="S519" s="88"/>
      <c r="T519" s="88"/>
      <c r="U519" s="88"/>
      <c r="V519" s="88"/>
      <c r="W519" s="88"/>
      <c r="X519" s="88"/>
      <c r="Y519" s="88"/>
      <c r="Z519" s="88"/>
      <c r="AA519" s="88"/>
    </row>
    <row r="520" spans="1:27" ht="13.2">
      <c r="A520" s="88"/>
      <c r="B520" s="88"/>
      <c r="C520" s="88"/>
      <c r="D520" s="88"/>
      <c r="E520" s="88"/>
      <c r="F520" s="88"/>
      <c r="G520" s="88"/>
      <c r="H520" s="88"/>
      <c r="I520" s="88"/>
      <c r="J520" s="88"/>
      <c r="K520" s="88"/>
      <c r="L520" s="88"/>
      <c r="M520" s="88"/>
      <c r="N520" s="88"/>
      <c r="O520" s="88"/>
      <c r="P520" s="88"/>
      <c r="Q520" s="88"/>
      <c r="R520" s="88"/>
      <c r="S520" s="88"/>
      <c r="T520" s="88"/>
      <c r="U520" s="88"/>
      <c r="V520" s="88"/>
      <c r="W520" s="88"/>
      <c r="X520" s="88"/>
      <c r="Y520" s="88"/>
      <c r="Z520" s="88"/>
      <c r="AA520" s="88"/>
    </row>
    <row r="521" spans="1:27" ht="13.2">
      <c r="A521" s="88"/>
      <c r="B521" s="88"/>
      <c r="C521" s="88"/>
      <c r="D521" s="88"/>
      <c r="E521" s="88"/>
      <c r="F521" s="88"/>
      <c r="G521" s="88"/>
      <c r="H521" s="88"/>
      <c r="I521" s="88"/>
      <c r="J521" s="88"/>
      <c r="K521" s="88"/>
      <c r="L521" s="88"/>
      <c r="M521" s="88"/>
      <c r="N521" s="88"/>
      <c r="O521" s="88"/>
      <c r="P521" s="88"/>
      <c r="Q521" s="88"/>
      <c r="R521" s="88"/>
      <c r="S521" s="88"/>
      <c r="T521" s="88"/>
      <c r="U521" s="88"/>
      <c r="V521" s="88"/>
      <c r="W521" s="88"/>
      <c r="X521" s="88"/>
      <c r="Y521" s="88"/>
      <c r="Z521" s="88"/>
      <c r="AA521" s="88"/>
    </row>
    <row r="522" spans="1:27" ht="13.2">
      <c r="A522" s="88"/>
      <c r="B522" s="88"/>
      <c r="C522" s="88"/>
      <c r="D522" s="88"/>
      <c r="E522" s="88"/>
      <c r="F522" s="88"/>
      <c r="G522" s="88"/>
      <c r="H522" s="88"/>
      <c r="I522" s="88"/>
      <c r="J522" s="88"/>
      <c r="K522" s="88"/>
      <c r="L522" s="88"/>
      <c r="M522" s="88"/>
      <c r="N522" s="88"/>
      <c r="O522" s="88"/>
      <c r="P522" s="88"/>
      <c r="Q522" s="88"/>
      <c r="R522" s="88"/>
      <c r="S522" s="88"/>
      <c r="T522" s="88"/>
      <c r="U522" s="88"/>
      <c r="V522" s="88"/>
      <c r="W522" s="88"/>
      <c r="X522" s="88"/>
      <c r="Y522" s="88"/>
      <c r="Z522" s="88"/>
      <c r="AA522" s="88"/>
    </row>
    <row r="523" spans="1:27" ht="13.2">
      <c r="A523" s="88"/>
      <c r="B523" s="88"/>
      <c r="C523" s="88"/>
      <c r="D523" s="88"/>
      <c r="E523" s="88"/>
      <c r="F523" s="88"/>
      <c r="G523" s="88"/>
      <c r="H523" s="88"/>
      <c r="I523" s="88"/>
      <c r="J523" s="88"/>
      <c r="K523" s="88"/>
      <c r="L523" s="88"/>
      <c r="M523" s="88"/>
      <c r="N523" s="88"/>
      <c r="O523" s="88"/>
      <c r="P523" s="88"/>
      <c r="Q523" s="88"/>
      <c r="R523" s="88"/>
      <c r="S523" s="88"/>
      <c r="T523" s="88"/>
      <c r="U523" s="88"/>
      <c r="V523" s="88"/>
      <c r="W523" s="88"/>
      <c r="X523" s="88"/>
      <c r="Y523" s="88"/>
      <c r="Z523" s="88"/>
      <c r="AA523" s="88"/>
    </row>
    <row r="524" spans="1:27" ht="13.2">
      <c r="A524" s="88"/>
      <c r="B524" s="88"/>
      <c r="C524" s="88"/>
      <c r="D524" s="88"/>
      <c r="E524" s="88"/>
      <c r="F524" s="88"/>
      <c r="G524" s="88"/>
      <c r="H524" s="88"/>
      <c r="I524" s="88"/>
      <c r="J524" s="88"/>
      <c r="K524" s="88"/>
      <c r="L524" s="88"/>
      <c r="M524" s="88"/>
      <c r="N524" s="88"/>
      <c r="O524" s="88"/>
      <c r="P524" s="88"/>
      <c r="Q524" s="88"/>
      <c r="R524" s="88"/>
      <c r="S524" s="88"/>
      <c r="T524" s="88"/>
      <c r="U524" s="88"/>
      <c r="V524" s="88"/>
      <c r="W524" s="88"/>
      <c r="X524" s="88"/>
      <c r="Y524" s="88"/>
      <c r="Z524" s="88"/>
      <c r="AA524" s="88"/>
    </row>
    <row r="525" spans="1:27" ht="13.2">
      <c r="A525" s="88"/>
      <c r="B525" s="88"/>
      <c r="C525" s="88"/>
      <c r="D525" s="88"/>
      <c r="E525" s="88"/>
      <c r="F525" s="88"/>
      <c r="G525" s="88"/>
      <c r="H525" s="88"/>
      <c r="I525" s="88"/>
      <c r="J525" s="88"/>
      <c r="K525" s="88"/>
      <c r="L525" s="88"/>
      <c r="M525" s="88"/>
      <c r="N525" s="88"/>
      <c r="O525" s="88"/>
      <c r="P525" s="88"/>
      <c r="Q525" s="88"/>
      <c r="R525" s="88"/>
      <c r="S525" s="88"/>
      <c r="T525" s="88"/>
      <c r="U525" s="88"/>
      <c r="V525" s="88"/>
      <c r="W525" s="88"/>
      <c r="X525" s="88"/>
      <c r="Y525" s="88"/>
      <c r="Z525" s="88"/>
      <c r="AA525" s="88"/>
    </row>
    <row r="526" spans="1:27" ht="13.2">
      <c r="A526" s="88"/>
      <c r="B526" s="88"/>
      <c r="C526" s="88"/>
      <c r="D526" s="88"/>
      <c r="E526" s="88"/>
      <c r="F526" s="88"/>
      <c r="G526" s="88"/>
      <c r="H526" s="88"/>
      <c r="I526" s="88"/>
      <c r="J526" s="88"/>
      <c r="K526" s="88"/>
      <c r="L526" s="88"/>
      <c r="M526" s="88"/>
      <c r="N526" s="88"/>
      <c r="O526" s="88"/>
      <c r="P526" s="88"/>
      <c r="Q526" s="88"/>
      <c r="R526" s="88"/>
      <c r="S526" s="88"/>
      <c r="T526" s="88"/>
      <c r="U526" s="88"/>
      <c r="V526" s="88"/>
      <c r="W526" s="88"/>
      <c r="X526" s="88"/>
      <c r="Y526" s="88"/>
      <c r="Z526" s="88"/>
      <c r="AA526" s="88"/>
    </row>
    <row r="527" spans="1:27" ht="13.2">
      <c r="A527" s="88"/>
      <c r="B527" s="88"/>
      <c r="C527" s="88"/>
      <c r="D527" s="88"/>
      <c r="E527" s="88"/>
      <c r="F527" s="88"/>
      <c r="G527" s="88"/>
      <c r="H527" s="88"/>
      <c r="I527" s="88"/>
      <c r="J527" s="88"/>
      <c r="K527" s="88"/>
      <c r="L527" s="88"/>
      <c r="M527" s="88"/>
      <c r="N527" s="88"/>
      <c r="O527" s="88"/>
      <c r="P527" s="88"/>
      <c r="Q527" s="88"/>
      <c r="R527" s="88"/>
      <c r="S527" s="88"/>
      <c r="T527" s="88"/>
      <c r="U527" s="88"/>
      <c r="V527" s="88"/>
      <c r="W527" s="88"/>
      <c r="X527" s="88"/>
      <c r="Y527" s="88"/>
      <c r="Z527" s="88"/>
      <c r="AA527" s="88"/>
    </row>
    <row r="528" spans="1:27" ht="13.2">
      <c r="A528" s="88"/>
      <c r="B528" s="88"/>
      <c r="C528" s="88"/>
      <c r="D528" s="88"/>
      <c r="E528" s="88"/>
      <c r="F528" s="88"/>
      <c r="G528" s="88"/>
      <c r="H528" s="88"/>
      <c r="I528" s="88"/>
      <c r="J528" s="88"/>
      <c r="K528" s="88"/>
      <c r="L528" s="88"/>
      <c r="M528" s="88"/>
      <c r="N528" s="88"/>
      <c r="O528" s="88"/>
      <c r="P528" s="88"/>
      <c r="Q528" s="88"/>
      <c r="R528" s="88"/>
      <c r="S528" s="88"/>
      <c r="T528" s="88"/>
      <c r="U528" s="88"/>
      <c r="V528" s="88"/>
      <c r="W528" s="88"/>
      <c r="X528" s="88"/>
      <c r="Y528" s="88"/>
      <c r="Z528" s="88"/>
      <c r="AA528" s="88"/>
    </row>
    <row r="529" spans="1:27" ht="13.2">
      <c r="A529" s="88"/>
      <c r="B529" s="88"/>
      <c r="C529" s="88"/>
      <c r="D529" s="88"/>
      <c r="E529" s="88"/>
      <c r="F529" s="88"/>
      <c r="G529" s="88"/>
      <c r="H529" s="88"/>
      <c r="I529" s="88"/>
      <c r="J529" s="88"/>
      <c r="K529" s="88"/>
      <c r="L529" s="88"/>
      <c r="M529" s="88"/>
      <c r="N529" s="88"/>
      <c r="O529" s="88"/>
      <c r="P529" s="88"/>
      <c r="Q529" s="88"/>
      <c r="R529" s="88"/>
      <c r="S529" s="88"/>
      <c r="T529" s="88"/>
      <c r="U529" s="88"/>
      <c r="V529" s="88"/>
      <c r="W529" s="88"/>
      <c r="X529" s="88"/>
      <c r="Y529" s="88"/>
      <c r="Z529" s="88"/>
      <c r="AA529" s="88"/>
    </row>
    <row r="530" spans="1:27" ht="13.2">
      <c r="A530" s="88"/>
      <c r="B530" s="88"/>
      <c r="C530" s="88"/>
      <c r="D530" s="88"/>
      <c r="E530" s="88"/>
      <c r="F530" s="88"/>
      <c r="G530" s="88"/>
      <c r="H530" s="88"/>
      <c r="I530" s="88"/>
      <c r="J530" s="88"/>
      <c r="K530" s="88"/>
      <c r="L530" s="88"/>
      <c r="M530" s="88"/>
      <c r="N530" s="88"/>
      <c r="O530" s="88"/>
      <c r="P530" s="88"/>
      <c r="Q530" s="88"/>
      <c r="R530" s="88"/>
      <c r="S530" s="88"/>
      <c r="T530" s="88"/>
      <c r="U530" s="88"/>
      <c r="V530" s="88"/>
      <c r="W530" s="88"/>
      <c r="X530" s="88"/>
      <c r="Y530" s="88"/>
      <c r="Z530" s="88"/>
      <c r="AA530" s="88"/>
    </row>
    <row r="531" spans="1:27" ht="13.2">
      <c r="A531" s="88"/>
      <c r="B531" s="88"/>
      <c r="C531" s="88"/>
      <c r="D531" s="88"/>
      <c r="E531" s="88"/>
      <c r="F531" s="88"/>
      <c r="G531" s="88"/>
      <c r="H531" s="88"/>
      <c r="I531" s="88"/>
      <c r="J531" s="88"/>
      <c r="K531" s="88"/>
      <c r="L531" s="88"/>
      <c r="M531" s="88"/>
      <c r="N531" s="88"/>
      <c r="O531" s="88"/>
      <c r="P531" s="88"/>
      <c r="Q531" s="88"/>
      <c r="R531" s="88"/>
      <c r="S531" s="88"/>
      <c r="T531" s="88"/>
      <c r="U531" s="88"/>
      <c r="V531" s="88"/>
      <c r="W531" s="88"/>
      <c r="X531" s="88"/>
      <c r="Y531" s="88"/>
      <c r="Z531" s="88"/>
      <c r="AA531" s="88"/>
    </row>
    <row r="532" spans="1:27" ht="13.2">
      <c r="A532" s="88"/>
      <c r="B532" s="88"/>
      <c r="C532" s="88"/>
      <c r="D532" s="88"/>
      <c r="E532" s="88"/>
      <c r="F532" s="88"/>
      <c r="G532" s="88"/>
      <c r="H532" s="88"/>
      <c r="I532" s="88"/>
      <c r="J532" s="88"/>
      <c r="K532" s="88"/>
      <c r="L532" s="88"/>
      <c r="M532" s="88"/>
      <c r="N532" s="88"/>
      <c r="O532" s="88"/>
      <c r="P532" s="88"/>
      <c r="Q532" s="88"/>
      <c r="R532" s="88"/>
      <c r="S532" s="88"/>
      <c r="T532" s="88"/>
      <c r="U532" s="88"/>
      <c r="V532" s="88"/>
      <c r="W532" s="88"/>
      <c r="X532" s="88"/>
      <c r="Y532" s="88"/>
      <c r="Z532" s="88"/>
      <c r="AA532" s="88"/>
    </row>
    <row r="533" spans="1:27" ht="13.2">
      <c r="A533" s="88"/>
      <c r="B533" s="88"/>
      <c r="C533" s="88"/>
      <c r="D533" s="88"/>
      <c r="E533" s="88"/>
      <c r="F533" s="88"/>
      <c r="G533" s="88"/>
      <c r="H533" s="88"/>
      <c r="I533" s="88"/>
      <c r="J533" s="88"/>
      <c r="K533" s="88"/>
      <c r="L533" s="88"/>
      <c r="M533" s="88"/>
      <c r="N533" s="88"/>
      <c r="O533" s="88"/>
      <c r="P533" s="88"/>
      <c r="Q533" s="88"/>
      <c r="R533" s="88"/>
      <c r="S533" s="88"/>
      <c r="T533" s="88"/>
      <c r="U533" s="88"/>
      <c r="V533" s="88"/>
      <c r="W533" s="88"/>
      <c r="X533" s="88"/>
      <c r="Y533" s="88"/>
      <c r="Z533" s="88"/>
      <c r="AA533" s="88"/>
    </row>
    <row r="534" spans="1:27" ht="13.2">
      <c r="A534" s="88"/>
      <c r="B534" s="88"/>
      <c r="C534" s="88"/>
      <c r="D534" s="88"/>
      <c r="E534" s="88"/>
      <c r="F534" s="88"/>
      <c r="G534" s="88"/>
      <c r="H534" s="88"/>
      <c r="I534" s="88"/>
      <c r="J534" s="88"/>
      <c r="K534" s="88"/>
      <c r="L534" s="88"/>
      <c r="M534" s="88"/>
      <c r="N534" s="88"/>
      <c r="O534" s="88"/>
      <c r="P534" s="88"/>
      <c r="Q534" s="88"/>
      <c r="R534" s="88"/>
      <c r="S534" s="88"/>
      <c r="T534" s="88"/>
      <c r="U534" s="88"/>
      <c r="V534" s="88"/>
      <c r="W534" s="88"/>
      <c r="X534" s="88"/>
      <c r="Y534" s="88"/>
      <c r="Z534" s="88"/>
      <c r="AA534" s="88"/>
    </row>
    <row r="535" spans="1:27" ht="13.2">
      <c r="A535" s="88"/>
      <c r="B535" s="88"/>
      <c r="C535" s="88"/>
      <c r="D535" s="88"/>
      <c r="E535" s="88"/>
      <c r="F535" s="88"/>
      <c r="G535" s="88"/>
      <c r="H535" s="88"/>
      <c r="I535" s="88"/>
      <c r="J535" s="88"/>
      <c r="K535" s="88"/>
      <c r="L535" s="88"/>
      <c r="M535" s="88"/>
      <c r="N535" s="88"/>
      <c r="O535" s="88"/>
      <c r="P535" s="88"/>
      <c r="Q535" s="88"/>
      <c r="R535" s="88"/>
      <c r="S535" s="88"/>
      <c r="T535" s="88"/>
      <c r="U535" s="88"/>
      <c r="V535" s="88"/>
      <c r="W535" s="88"/>
      <c r="X535" s="88"/>
      <c r="Y535" s="88"/>
      <c r="Z535" s="88"/>
      <c r="AA535" s="88"/>
    </row>
    <row r="536" spans="1:27" ht="13.2">
      <c r="A536" s="88"/>
      <c r="B536" s="88"/>
      <c r="C536" s="88"/>
      <c r="D536" s="88"/>
      <c r="E536" s="88"/>
      <c r="F536" s="88"/>
      <c r="G536" s="88"/>
      <c r="H536" s="88"/>
      <c r="I536" s="88"/>
      <c r="J536" s="88"/>
      <c r="K536" s="88"/>
      <c r="L536" s="88"/>
      <c r="M536" s="88"/>
      <c r="N536" s="88"/>
      <c r="O536" s="88"/>
      <c r="P536" s="88"/>
      <c r="Q536" s="88"/>
      <c r="R536" s="88"/>
      <c r="S536" s="88"/>
      <c r="T536" s="88"/>
      <c r="U536" s="88"/>
      <c r="V536" s="88"/>
      <c r="W536" s="88"/>
      <c r="X536" s="88"/>
      <c r="Y536" s="88"/>
      <c r="Z536" s="88"/>
      <c r="AA536" s="88"/>
    </row>
    <row r="537" spans="1:27" ht="13.2">
      <c r="A537" s="88"/>
      <c r="B537" s="88"/>
      <c r="C537" s="88"/>
      <c r="D537" s="88"/>
      <c r="E537" s="88"/>
      <c r="F537" s="88"/>
      <c r="G537" s="88"/>
      <c r="H537" s="88"/>
      <c r="I537" s="88"/>
      <c r="J537" s="88"/>
      <c r="K537" s="88"/>
      <c r="L537" s="88"/>
      <c r="M537" s="88"/>
      <c r="N537" s="88"/>
      <c r="O537" s="88"/>
      <c r="P537" s="88"/>
      <c r="Q537" s="88"/>
      <c r="R537" s="88"/>
      <c r="S537" s="88"/>
      <c r="T537" s="88"/>
      <c r="U537" s="88"/>
      <c r="V537" s="88"/>
      <c r="W537" s="88"/>
      <c r="X537" s="88"/>
      <c r="Y537" s="88"/>
      <c r="Z537" s="88"/>
      <c r="AA537" s="88"/>
    </row>
    <row r="538" spans="1:27" ht="13.2">
      <c r="A538" s="88"/>
      <c r="B538" s="88"/>
      <c r="C538" s="88"/>
      <c r="D538" s="88"/>
      <c r="E538" s="88"/>
      <c r="F538" s="88"/>
      <c r="G538" s="88"/>
      <c r="H538" s="88"/>
      <c r="I538" s="88"/>
      <c r="J538" s="88"/>
      <c r="K538" s="88"/>
      <c r="L538" s="88"/>
      <c r="M538" s="88"/>
      <c r="N538" s="88"/>
      <c r="O538" s="88"/>
      <c r="P538" s="88"/>
      <c r="Q538" s="88"/>
      <c r="R538" s="88"/>
      <c r="S538" s="88"/>
      <c r="T538" s="88"/>
      <c r="U538" s="88"/>
      <c r="V538" s="88"/>
      <c r="W538" s="88"/>
      <c r="X538" s="88"/>
      <c r="Y538" s="88"/>
      <c r="Z538" s="88"/>
      <c r="AA538" s="88"/>
    </row>
    <row r="539" spans="1:27" ht="13.2">
      <c r="A539" s="88"/>
      <c r="B539" s="88"/>
      <c r="C539" s="88"/>
      <c r="D539" s="88"/>
      <c r="E539" s="88"/>
      <c r="F539" s="88"/>
      <c r="G539" s="88"/>
      <c r="H539" s="88"/>
      <c r="I539" s="88"/>
      <c r="J539" s="88"/>
      <c r="K539" s="88"/>
      <c r="L539" s="88"/>
      <c r="M539" s="88"/>
      <c r="N539" s="88"/>
      <c r="O539" s="88"/>
      <c r="P539" s="88"/>
      <c r="Q539" s="88"/>
      <c r="R539" s="88"/>
      <c r="S539" s="88"/>
      <c r="T539" s="88"/>
      <c r="U539" s="88"/>
      <c r="V539" s="88"/>
      <c r="W539" s="88"/>
      <c r="X539" s="88"/>
      <c r="Y539" s="88"/>
      <c r="Z539" s="88"/>
      <c r="AA539" s="88"/>
    </row>
    <row r="540" spans="1:27" ht="13.2">
      <c r="A540" s="88"/>
      <c r="B540" s="88"/>
      <c r="C540" s="88"/>
      <c r="D540" s="88"/>
      <c r="E540" s="88"/>
      <c r="F540" s="88"/>
      <c r="G540" s="88"/>
      <c r="H540" s="88"/>
      <c r="I540" s="88"/>
      <c r="J540" s="88"/>
      <c r="K540" s="88"/>
      <c r="L540" s="88"/>
      <c r="M540" s="88"/>
      <c r="N540" s="88"/>
      <c r="O540" s="88"/>
      <c r="P540" s="88"/>
      <c r="Q540" s="88"/>
      <c r="R540" s="88"/>
      <c r="S540" s="88"/>
      <c r="T540" s="88"/>
      <c r="U540" s="88"/>
      <c r="V540" s="88"/>
      <c r="W540" s="88"/>
      <c r="X540" s="88"/>
      <c r="Y540" s="88"/>
      <c r="Z540" s="88"/>
      <c r="AA540" s="88"/>
    </row>
    <row r="541" spans="1:27" ht="13.2">
      <c r="A541" s="88"/>
      <c r="B541" s="88"/>
      <c r="C541" s="88"/>
      <c r="D541" s="88"/>
      <c r="E541" s="88"/>
      <c r="F541" s="88"/>
      <c r="G541" s="88"/>
      <c r="H541" s="88"/>
      <c r="I541" s="88"/>
      <c r="J541" s="88"/>
      <c r="K541" s="88"/>
      <c r="L541" s="88"/>
      <c r="M541" s="88"/>
      <c r="N541" s="88"/>
      <c r="O541" s="88"/>
      <c r="P541" s="88"/>
      <c r="Q541" s="88"/>
      <c r="R541" s="88"/>
      <c r="S541" s="88"/>
      <c r="T541" s="88"/>
      <c r="U541" s="88"/>
      <c r="V541" s="88"/>
      <c r="W541" s="88"/>
      <c r="X541" s="88"/>
      <c r="Y541" s="88"/>
      <c r="Z541" s="88"/>
      <c r="AA541" s="88"/>
    </row>
    <row r="542" spans="1:27" ht="13.2">
      <c r="A542" s="88"/>
      <c r="B542" s="88"/>
      <c r="C542" s="88"/>
      <c r="D542" s="88"/>
      <c r="E542" s="88"/>
      <c r="F542" s="88"/>
      <c r="G542" s="88"/>
      <c r="H542" s="88"/>
      <c r="I542" s="88"/>
      <c r="J542" s="88"/>
      <c r="K542" s="88"/>
      <c r="L542" s="88"/>
      <c r="M542" s="88"/>
      <c r="N542" s="88"/>
      <c r="O542" s="88"/>
      <c r="P542" s="88"/>
      <c r="Q542" s="88"/>
      <c r="R542" s="88"/>
      <c r="S542" s="88"/>
      <c r="T542" s="88"/>
      <c r="U542" s="88"/>
      <c r="V542" s="88"/>
      <c r="W542" s="88"/>
      <c r="X542" s="88"/>
      <c r="Y542" s="88"/>
      <c r="Z542" s="88"/>
      <c r="AA542" s="88"/>
    </row>
    <row r="543" spans="1:27" ht="13.2">
      <c r="A543" s="88"/>
      <c r="B543" s="88"/>
      <c r="C543" s="88"/>
      <c r="D543" s="88"/>
      <c r="E543" s="88"/>
      <c r="F543" s="88"/>
      <c r="G543" s="88"/>
      <c r="H543" s="88"/>
      <c r="I543" s="88"/>
      <c r="J543" s="88"/>
      <c r="K543" s="88"/>
      <c r="L543" s="88"/>
      <c r="M543" s="88"/>
      <c r="N543" s="88"/>
      <c r="O543" s="88"/>
      <c r="P543" s="88"/>
      <c r="Q543" s="88"/>
      <c r="R543" s="88"/>
      <c r="S543" s="88"/>
      <c r="T543" s="88"/>
      <c r="U543" s="88"/>
      <c r="V543" s="88"/>
      <c r="W543" s="88"/>
      <c r="X543" s="88"/>
      <c r="Y543" s="88"/>
      <c r="Z543" s="88"/>
      <c r="AA543" s="88"/>
    </row>
    <row r="544" spans="1:27" ht="13.2">
      <c r="A544" s="88"/>
      <c r="B544" s="88"/>
      <c r="C544" s="88"/>
      <c r="D544" s="88"/>
      <c r="E544" s="88"/>
      <c r="F544" s="88"/>
      <c r="G544" s="88"/>
      <c r="H544" s="88"/>
      <c r="I544" s="88"/>
      <c r="J544" s="88"/>
      <c r="K544" s="88"/>
      <c r="L544" s="88"/>
      <c r="M544" s="88"/>
      <c r="N544" s="88"/>
      <c r="O544" s="88"/>
      <c r="P544" s="88"/>
      <c r="Q544" s="88"/>
      <c r="R544" s="88"/>
      <c r="S544" s="88"/>
      <c r="T544" s="88"/>
      <c r="U544" s="88"/>
      <c r="V544" s="88"/>
      <c r="W544" s="88"/>
      <c r="X544" s="88"/>
      <c r="Y544" s="88"/>
      <c r="Z544" s="88"/>
      <c r="AA544" s="88"/>
    </row>
    <row r="545" spans="1:27" ht="13.2">
      <c r="A545" s="88"/>
      <c r="B545" s="88"/>
      <c r="C545" s="88"/>
      <c r="D545" s="88"/>
      <c r="E545" s="88"/>
      <c r="F545" s="88"/>
      <c r="G545" s="88"/>
      <c r="H545" s="88"/>
      <c r="I545" s="88"/>
      <c r="J545" s="88"/>
      <c r="K545" s="88"/>
      <c r="L545" s="88"/>
      <c r="M545" s="88"/>
      <c r="N545" s="88"/>
      <c r="O545" s="88"/>
      <c r="P545" s="88"/>
      <c r="Q545" s="88"/>
      <c r="R545" s="88"/>
      <c r="S545" s="88"/>
      <c r="T545" s="88"/>
      <c r="U545" s="88"/>
      <c r="V545" s="88"/>
      <c r="W545" s="88"/>
      <c r="X545" s="88"/>
      <c r="Y545" s="88"/>
      <c r="Z545" s="88"/>
      <c r="AA545" s="88"/>
    </row>
    <row r="546" spans="1:27" ht="13.2">
      <c r="A546" s="88"/>
      <c r="B546" s="88"/>
      <c r="C546" s="88"/>
      <c r="D546" s="88"/>
      <c r="E546" s="88"/>
      <c r="F546" s="88"/>
      <c r="G546" s="88"/>
      <c r="H546" s="88"/>
      <c r="I546" s="88"/>
      <c r="J546" s="88"/>
      <c r="K546" s="88"/>
      <c r="L546" s="88"/>
      <c r="M546" s="88"/>
      <c r="N546" s="88"/>
      <c r="O546" s="88"/>
      <c r="P546" s="88"/>
      <c r="Q546" s="88"/>
      <c r="R546" s="88"/>
      <c r="S546" s="88"/>
      <c r="T546" s="88"/>
      <c r="U546" s="88"/>
      <c r="V546" s="88"/>
      <c r="W546" s="88"/>
      <c r="X546" s="88"/>
      <c r="Y546" s="88"/>
      <c r="Z546" s="88"/>
      <c r="AA546" s="88"/>
    </row>
    <row r="547" spans="1:27" ht="13.2">
      <c r="A547" s="88"/>
      <c r="B547" s="88"/>
      <c r="C547" s="88"/>
      <c r="D547" s="88"/>
      <c r="E547" s="88"/>
      <c r="F547" s="88"/>
      <c r="G547" s="88"/>
      <c r="H547" s="88"/>
      <c r="I547" s="88"/>
      <c r="J547" s="88"/>
      <c r="K547" s="88"/>
      <c r="L547" s="88"/>
      <c r="M547" s="88"/>
      <c r="N547" s="88"/>
      <c r="O547" s="88"/>
      <c r="P547" s="88"/>
      <c r="Q547" s="88"/>
      <c r="R547" s="88"/>
      <c r="S547" s="88"/>
      <c r="T547" s="88"/>
      <c r="U547" s="88"/>
      <c r="V547" s="88"/>
      <c r="W547" s="88"/>
      <c r="X547" s="88"/>
      <c r="Y547" s="88"/>
      <c r="Z547" s="88"/>
      <c r="AA547" s="88"/>
    </row>
    <row r="548" spans="1:27" ht="13.2">
      <c r="A548" s="88"/>
      <c r="B548" s="88"/>
      <c r="C548" s="88"/>
      <c r="D548" s="88"/>
      <c r="E548" s="88"/>
      <c r="F548" s="88"/>
      <c r="G548" s="88"/>
      <c r="H548" s="88"/>
      <c r="I548" s="88"/>
      <c r="J548" s="88"/>
      <c r="K548" s="88"/>
      <c r="L548" s="88"/>
      <c r="M548" s="88"/>
      <c r="N548" s="88"/>
      <c r="O548" s="88"/>
      <c r="P548" s="88"/>
      <c r="Q548" s="88"/>
      <c r="R548" s="88"/>
      <c r="S548" s="88"/>
      <c r="T548" s="88"/>
      <c r="U548" s="88"/>
      <c r="V548" s="88"/>
      <c r="W548" s="88"/>
      <c r="X548" s="88"/>
      <c r="Y548" s="88"/>
      <c r="Z548" s="88"/>
      <c r="AA548" s="88"/>
    </row>
    <row r="549" spans="1:27" ht="13.2">
      <c r="A549" s="88"/>
      <c r="B549" s="88"/>
      <c r="C549" s="88"/>
      <c r="D549" s="88"/>
      <c r="E549" s="88"/>
      <c r="F549" s="88"/>
      <c r="G549" s="88"/>
      <c r="H549" s="88"/>
      <c r="I549" s="88"/>
      <c r="J549" s="88"/>
      <c r="K549" s="88"/>
      <c r="L549" s="88"/>
      <c r="M549" s="88"/>
      <c r="N549" s="88"/>
      <c r="O549" s="88"/>
      <c r="P549" s="88"/>
      <c r="Q549" s="88"/>
      <c r="R549" s="88"/>
      <c r="S549" s="88"/>
      <c r="T549" s="88"/>
      <c r="U549" s="88"/>
      <c r="V549" s="88"/>
      <c r="W549" s="88"/>
      <c r="X549" s="88"/>
      <c r="Y549" s="88"/>
      <c r="Z549" s="88"/>
      <c r="AA549" s="88"/>
    </row>
    <row r="550" spans="1:27" ht="13.2">
      <c r="A550" s="88"/>
      <c r="B550" s="88"/>
      <c r="C550" s="88"/>
      <c r="D550" s="88"/>
      <c r="E550" s="88"/>
      <c r="F550" s="88"/>
      <c r="G550" s="88"/>
      <c r="H550" s="88"/>
      <c r="I550" s="88"/>
      <c r="J550" s="88"/>
      <c r="K550" s="88"/>
      <c r="L550" s="88"/>
      <c r="M550" s="88"/>
      <c r="N550" s="88"/>
      <c r="O550" s="88"/>
      <c r="P550" s="88"/>
      <c r="Q550" s="88"/>
      <c r="R550" s="88"/>
      <c r="S550" s="88"/>
      <c r="T550" s="88"/>
      <c r="U550" s="88"/>
      <c r="V550" s="88"/>
      <c r="W550" s="88"/>
      <c r="X550" s="88"/>
      <c r="Y550" s="88"/>
      <c r="Z550" s="88"/>
      <c r="AA550" s="88"/>
    </row>
    <row r="551" spans="1:27" ht="13.2">
      <c r="A551" s="88"/>
      <c r="B551" s="88"/>
      <c r="C551" s="88"/>
      <c r="D551" s="88"/>
      <c r="E551" s="88"/>
      <c r="F551" s="88"/>
      <c r="G551" s="88"/>
      <c r="H551" s="88"/>
      <c r="I551" s="88"/>
      <c r="J551" s="88"/>
      <c r="K551" s="88"/>
      <c r="L551" s="88"/>
      <c r="M551" s="88"/>
      <c r="N551" s="88"/>
      <c r="O551" s="88"/>
      <c r="P551" s="88"/>
      <c r="Q551" s="88"/>
      <c r="R551" s="88"/>
      <c r="S551" s="88"/>
      <c r="T551" s="88"/>
      <c r="U551" s="88"/>
      <c r="V551" s="88"/>
      <c r="W551" s="88"/>
      <c r="X551" s="88"/>
      <c r="Y551" s="88"/>
      <c r="Z551" s="88"/>
      <c r="AA551" s="88"/>
    </row>
    <row r="552" spans="1:27" ht="13.2">
      <c r="A552" s="88"/>
      <c r="B552" s="88"/>
      <c r="C552" s="88"/>
      <c r="D552" s="88"/>
      <c r="E552" s="88"/>
      <c r="F552" s="88"/>
      <c r="G552" s="88"/>
      <c r="H552" s="88"/>
      <c r="I552" s="88"/>
      <c r="J552" s="88"/>
      <c r="K552" s="88"/>
      <c r="L552" s="88"/>
      <c r="M552" s="88"/>
      <c r="N552" s="88"/>
      <c r="O552" s="88"/>
      <c r="P552" s="88"/>
      <c r="Q552" s="88"/>
      <c r="R552" s="88"/>
      <c r="S552" s="88"/>
      <c r="T552" s="88"/>
      <c r="U552" s="88"/>
      <c r="V552" s="88"/>
      <c r="W552" s="88"/>
      <c r="X552" s="88"/>
      <c r="Y552" s="88"/>
      <c r="Z552" s="88"/>
      <c r="AA552" s="88"/>
    </row>
    <row r="553" spans="1:27" ht="13.2">
      <c r="A553" s="88"/>
      <c r="B553" s="88"/>
      <c r="C553" s="88"/>
      <c r="D553" s="88"/>
      <c r="E553" s="88"/>
      <c r="F553" s="88"/>
      <c r="G553" s="88"/>
      <c r="H553" s="88"/>
      <c r="I553" s="88"/>
      <c r="J553" s="88"/>
      <c r="K553" s="88"/>
      <c r="L553" s="88"/>
      <c r="M553" s="88"/>
      <c r="N553" s="88"/>
      <c r="O553" s="88"/>
      <c r="P553" s="88"/>
      <c r="Q553" s="88"/>
      <c r="R553" s="88"/>
      <c r="S553" s="88"/>
      <c r="T553" s="88"/>
      <c r="U553" s="88"/>
      <c r="V553" s="88"/>
      <c r="W553" s="88"/>
      <c r="X553" s="88"/>
      <c r="Y553" s="88"/>
      <c r="Z553" s="88"/>
      <c r="AA553" s="88"/>
    </row>
    <row r="554" spans="1:27" ht="13.2">
      <c r="A554" s="88"/>
      <c r="B554" s="88"/>
      <c r="C554" s="88"/>
      <c r="D554" s="88"/>
      <c r="E554" s="88"/>
      <c r="F554" s="88"/>
      <c r="G554" s="88"/>
      <c r="H554" s="88"/>
      <c r="I554" s="88"/>
      <c r="J554" s="88"/>
      <c r="K554" s="88"/>
      <c r="L554" s="88"/>
      <c r="M554" s="88"/>
      <c r="N554" s="88"/>
      <c r="O554" s="88"/>
      <c r="P554" s="88"/>
      <c r="Q554" s="88"/>
      <c r="R554" s="88"/>
      <c r="S554" s="88"/>
      <c r="T554" s="88"/>
      <c r="U554" s="88"/>
      <c r="V554" s="88"/>
      <c r="W554" s="88"/>
      <c r="X554" s="88"/>
      <c r="Y554" s="88"/>
      <c r="Z554" s="88"/>
      <c r="AA554" s="88"/>
    </row>
    <row r="555" spans="1:27" ht="13.2">
      <c r="A555" s="88"/>
      <c r="B555" s="88"/>
      <c r="C555" s="88"/>
      <c r="D555" s="88"/>
      <c r="E555" s="88"/>
      <c r="F555" s="88"/>
      <c r="G555" s="88"/>
      <c r="H555" s="88"/>
      <c r="I555" s="88"/>
      <c r="J555" s="88"/>
      <c r="K555" s="88"/>
      <c r="L555" s="88"/>
      <c r="M555" s="88"/>
      <c r="N555" s="88"/>
      <c r="O555" s="88"/>
      <c r="P555" s="88"/>
      <c r="Q555" s="88"/>
      <c r="R555" s="88"/>
      <c r="S555" s="88"/>
      <c r="T555" s="88"/>
      <c r="U555" s="88"/>
      <c r="V555" s="88"/>
      <c r="W555" s="88"/>
      <c r="X555" s="88"/>
      <c r="Y555" s="88"/>
      <c r="Z555" s="88"/>
      <c r="AA555" s="88"/>
    </row>
    <row r="556" spans="1:27" ht="13.2">
      <c r="A556" s="88"/>
      <c r="B556" s="88"/>
      <c r="C556" s="88"/>
      <c r="D556" s="88"/>
      <c r="E556" s="88"/>
      <c r="F556" s="88"/>
      <c r="G556" s="88"/>
      <c r="H556" s="88"/>
      <c r="I556" s="88"/>
      <c r="J556" s="88"/>
      <c r="K556" s="88"/>
      <c r="L556" s="88"/>
      <c r="M556" s="88"/>
      <c r="N556" s="88"/>
      <c r="O556" s="88"/>
      <c r="P556" s="88"/>
      <c r="Q556" s="88"/>
      <c r="R556" s="88"/>
      <c r="S556" s="88"/>
      <c r="T556" s="88"/>
      <c r="U556" s="88"/>
      <c r="V556" s="88"/>
      <c r="W556" s="88"/>
      <c r="X556" s="88"/>
      <c r="Y556" s="88"/>
      <c r="Z556" s="88"/>
      <c r="AA556" s="88"/>
    </row>
    <row r="557" spans="1:27" ht="13.2">
      <c r="A557" s="88"/>
      <c r="B557" s="88"/>
      <c r="C557" s="88"/>
      <c r="D557" s="88"/>
      <c r="E557" s="88"/>
      <c r="F557" s="88"/>
      <c r="G557" s="88"/>
      <c r="H557" s="88"/>
      <c r="I557" s="88"/>
      <c r="J557" s="88"/>
      <c r="K557" s="88"/>
      <c r="L557" s="88"/>
      <c r="M557" s="88"/>
      <c r="N557" s="88"/>
      <c r="O557" s="88"/>
      <c r="P557" s="88"/>
      <c r="Q557" s="88"/>
      <c r="R557" s="88"/>
      <c r="S557" s="88"/>
      <c r="T557" s="88"/>
      <c r="U557" s="88"/>
      <c r="V557" s="88"/>
      <c r="W557" s="88"/>
      <c r="X557" s="88"/>
      <c r="Y557" s="88"/>
      <c r="Z557" s="88"/>
      <c r="AA557" s="88"/>
    </row>
    <row r="558" spans="1:27" ht="13.2">
      <c r="A558" s="88"/>
      <c r="B558" s="88"/>
      <c r="C558" s="88"/>
      <c r="D558" s="88"/>
      <c r="E558" s="88"/>
      <c r="F558" s="88"/>
      <c r="G558" s="88"/>
      <c r="H558" s="88"/>
      <c r="I558" s="88"/>
      <c r="J558" s="88"/>
      <c r="K558" s="88"/>
      <c r="L558" s="88"/>
      <c r="M558" s="88"/>
      <c r="N558" s="88"/>
      <c r="O558" s="88"/>
      <c r="P558" s="88"/>
      <c r="Q558" s="88"/>
      <c r="R558" s="88"/>
      <c r="S558" s="88"/>
      <c r="T558" s="88"/>
      <c r="U558" s="88"/>
      <c r="V558" s="88"/>
      <c r="W558" s="88"/>
      <c r="X558" s="88"/>
      <c r="Y558" s="88"/>
      <c r="Z558" s="88"/>
      <c r="AA558" s="88"/>
    </row>
    <row r="559" spans="1:27" ht="13.2">
      <c r="A559" s="88"/>
      <c r="B559" s="88"/>
      <c r="C559" s="88"/>
      <c r="D559" s="88"/>
      <c r="E559" s="88"/>
      <c r="F559" s="88"/>
      <c r="G559" s="88"/>
      <c r="H559" s="88"/>
      <c r="I559" s="88"/>
      <c r="J559" s="88"/>
      <c r="K559" s="88"/>
      <c r="L559" s="88"/>
      <c r="M559" s="88"/>
      <c r="N559" s="88"/>
      <c r="O559" s="88"/>
      <c r="P559" s="88"/>
      <c r="Q559" s="88"/>
      <c r="R559" s="88"/>
      <c r="S559" s="88"/>
      <c r="T559" s="88"/>
      <c r="U559" s="88"/>
      <c r="V559" s="88"/>
      <c r="W559" s="88"/>
      <c r="X559" s="88"/>
      <c r="Y559" s="88"/>
      <c r="Z559" s="88"/>
      <c r="AA559" s="88"/>
    </row>
    <row r="560" spans="1:27" ht="13.2">
      <c r="A560" s="88"/>
      <c r="B560" s="88"/>
      <c r="C560" s="88"/>
      <c r="D560" s="88"/>
      <c r="E560" s="88"/>
      <c r="F560" s="88"/>
      <c r="G560" s="88"/>
      <c r="H560" s="88"/>
      <c r="I560" s="88"/>
      <c r="J560" s="88"/>
      <c r="K560" s="88"/>
      <c r="L560" s="88"/>
      <c r="M560" s="88"/>
      <c r="N560" s="88"/>
      <c r="O560" s="88"/>
      <c r="P560" s="88"/>
      <c r="Q560" s="88"/>
      <c r="R560" s="88"/>
      <c r="S560" s="88"/>
      <c r="T560" s="88"/>
      <c r="U560" s="88"/>
      <c r="V560" s="88"/>
      <c r="W560" s="88"/>
      <c r="X560" s="88"/>
      <c r="Y560" s="88"/>
      <c r="Z560" s="88"/>
      <c r="AA560" s="88"/>
    </row>
    <row r="561" spans="1:27" ht="13.2">
      <c r="A561" s="88"/>
      <c r="B561" s="88"/>
      <c r="C561" s="88"/>
      <c r="D561" s="88"/>
      <c r="E561" s="88"/>
      <c r="F561" s="88"/>
      <c r="G561" s="88"/>
      <c r="H561" s="88"/>
      <c r="I561" s="88"/>
      <c r="J561" s="88"/>
      <c r="K561" s="88"/>
      <c r="L561" s="88"/>
      <c r="M561" s="88"/>
      <c r="N561" s="88"/>
      <c r="O561" s="88"/>
      <c r="P561" s="88"/>
      <c r="Q561" s="88"/>
      <c r="R561" s="88"/>
      <c r="S561" s="88"/>
      <c r="T561" s="88"/>
      <c r="U561" s="88"/>
      <c r="V561" s="88"/>
      <c r="W561" s="88"/>
      <c r="X561" s="88"/>
      <c r="Y561" s="88"/>
      <c r="Z561" s="88"/>
      <c r="AA561" s="88"/>
    </row>
    <row r="562" spans="1:27" ht="13.2">
      <c r="A562" s="88"/>
      <c r="B562" s="88"/>
      <c r="C562" s="88"/>
      <c r="D562" s="88"/>
      <c r="E562" s="88"/>
      <c r="F562" s="88"/>
      <c r="G562" s="88"/>
      <c r="H562" s="88"/>
      <c r="I562" s="88"/>
      <c r="J562" s="88"/>
      <c r="K562" s="88"/>
      <c r="L562" s="88"/>
      <c r="M562" s="88"/>
      <c r="N562" s="88"/>
      <c r="O562" s="88"/>
      <c r="P562" s="88"/>
      <c r="Q562" s="88"/>
      <c r="R562" s="88"/>
      <c r="S562" s="88"/>
      <c r="T562" s="88"/>
      <c r="U562" s="88"/>
      <c r="V562" s="88"/>
      <c r="W562" s="88"/>
      <c r="X562" s="88"/>
      <c r="Y562" s="88"/>
      <c r="Z562" s="88"/>
      <c r="AA562" s="88"/>
    </row>
    <row r="563" spans="1:27" ht="13.2">
      <c r="A563" s="88"/>
      <c r="B563" s="88"/>
      <c r="C563" s="88"/>
      <c r="D563" s="88"/>
      <c r="E563" s="88"/>
      <c r="F563" s="88"/>
      <c r="G563" s="88"/>
      <c r="H563" s="88"/>
      <c r="I563" s="88"/>
      <c r="J563" s="88"/>
      <c r="K563" s="88"/>
      <c r="L563" s="88"/>
      <c r="M563" s="88"/>
      <c r="N563" s="88"/>
      <c r="O563" s="88"/>
      <c r="P563" s="88"/>
      <c r="Q563" s="88"/>
      <c r="R563" s="88"/>
      <c r="S563" s="88"/>
      <c r="T563" s="88"/>
      <c r="U563" s="88"/>
      <c r="V563" s="88"/>
      <c r="W563" s="88"/>
      <c r="X563" s="88"/>
      <c r="Y563" s="88"/>
      <c r="Z563" s="88"/>
      <c r="AA563" s="88"/>
    </row>
    <row r="564" spans="1:27" ht="13.2">
      <c r="A564" s="88"/>
      <c r="B564" s="88"/>
      <c r="C564" s="88"/>
      <c r="D564" s="88"/>
      <c r="E564" s="88"/>
      <c r="F564" s="88"/>
      <c r="G564" s="88"/>
      <c r="H564" s="88"/>
      <c r="I564" s="88"/>
      <c r="J564" s="88"/>
      <c r="K564" s="88"/>
      <c r="L564" s="88"/>
      <c r="M564" s="88"/>
      <c r="N564" s="88"/>
      <c r="O564" s="88"/>
      <c r="P564" s="88"/>
      <c r="Q564" s="88"/>
      <c r="R564" s="88"/>
      <c r="S564" s="88"/>
      <c r="T564" s="88"/>
      <c r="U564" s="88"/>
      <c r="V564" s="88"/>
      <c r="W564" s="88"/>
      <c r="X564" s="88"/>
      <c r="Y564" s="88"/>
      <c r="Z564" s="88"/>
      <c r="AA564" s="88"/>
    </row>
    <row r="565" spans="1:27" ht="13.2">
      <c r="A565" s="88"/>
      <c r="B565" s="88"/>
      <c r="C565" s="88"/>
      <c r="D565" s="88"/>
      <c r="E565" s="88"/>
      <c r="F565" s="88"/>
      <c r="G565" s="88"/>
      <c r="H565" s="88"/>
      <c r="I565" s="88"/>
      <c r="J565" s="88"/>
      <c r="K565" s="88"/>
      <c r="L565" s="88"/>
      <c r="M565" s="88"/>
      <c r="N565" s="88"/>
      <c r="O565" s="88"/>
      <c r="P565" s="88"/>
      <c r="Q565" s="88"/>
      <c r="R565" s="88"/>
      <c r="S565" s="88"/>
      <c r="T565" s="88"/>
      <c r="U565" s="88"/>
      <c r="V565" s="88"/>
      <c r="W565" s="88"/>
      <c r="X565" s="88"/>
      <c r="Y565" s="88"/>
      <c r="Z565" s="88"/>
      <c r="AA565" s="88"/>
    </row>
    <row r="566" spans="1:27" ht="13.2">
      <c r="A566" s="88"/>
      <c r="B566" s="88"/>
      <c r="C566" s="88"/>
      <c r="D566" s="88"/>
      <c r="E566" s="88"/>
      <c r="F566" s="88"/>
      <c r="G566" s="88"/>
      <c r="H566" s="88"/>
      <c r="I566" s="88"/>
      <c r="J566" s="88"/>
      <c r="K566" s="88"/>
      <c r="L566" s="88"/>
      <c r="M566" s="88"/>
      <c r="N566" s="88"/>
      <c r="O566" s="88"/>
      <c r="P566" s="88"/>
      <c r="Q566" s="88"/>
      <c r="R566" s="88"/>
      <c r="S566" s="88"/>
      <c r="T566" s="88"/>
      <c r="U566" s="88"/>
      <c r="V566" s="88"/>
      <c r="W566" s="88"/>
      <c r="X566" s="88"/>
      <c r="Y566" s="88"/>
      <c r="Z566" s="88"/>
      <c r="AA566" s="88"/>
    </row>
    <row r="567" spans="1:27" ht="13.2">
      <c r="A567" s="88"/>
      <c r="B567" s="88"/>
      <c r="C567" s="88"/>
      <c r="D567" s="88"/>
      <c r="E567" s="88"/>
      <c r="F567" s="88"/>
      <c r="G567" s="88"/>
      <c r="H567" s="88"/>
      <c r="I567" s="88"/>
      <c r="J567" s="88"/>
      <c r="K567" s="88"/>
      <c r="L567" s="88"/>
      <c r="M567" s="88"/>
      <c r="N567" s="88"/>
      <c r="O567" s="88"/>
      <c r="P567" s="88"/>
      <c r="Q567" s="88"/>
      <c r="R567" s="88"/>
      <c r="S567" s="88"/>
      <c r="T567" s="88"/>
      <c r="U567" s="88"/>
      <c r="V567" s="88"/>
      <c r="W567" s="88"/>
      <c r="X567" s="88"/>
      <c r="Y567" s="88"/>
      <c r="Z567" s="88"/>
      <c r="AA567" s="88"/>
    </row>
    <row r="568" spans="1:27" ht="13.2">
      <c r="A568" s="88"/>
      <c r="B568" s="88"/>
      <c r="C568" s="88"/>
      <c r="D568" s="88"/>
      <c r="E568" s="88"/>
      <c r="F568" s="88"/>
      <c r="G568" s="88"/>
      <c r="H568" s="88"/>
      <c r="I568" s="88"/>
      <c r="J568" s="88"/>
      <c r="K568" s="88"/>
      <c r="L568" s="88"/>
      <c r="M568" s="88"/>
      <c r="N568" s="88"/>
      <c r="O568" s="88"/>
      <c r="P568" s="88"/>
      <c r="Q568" s="88"/>
      <c r="R568" s="88"/>
      <c r="S568" s="88"/>
      <c r="T568" s="88"/>
      <c r="U568" s="88"/>
      <c r="V568" s="88"/>
      <c r="W568" s="88"/>
      <c r="X568" s="88"/>
      <c r="Y568" s="88"/>
      <c r="Z568" s="88"/>
      <c r="AA568" s="88"/>
    </row>
    <row r="569" spans="1:27" ht="13.2">
      <c r="A569" s="88"/>
      <c r="B569" s="88"/>
      <c r="C569" s="88"/>
      <c r="D569" s="88"/>
      <c r="E569" s="88"/>
      <c r="F569" s="88"/>
      <c r="G569" s="88"/>
      <c r="H569" s="88"/>
      <c r="I569" s="88"/>
      <c r="J569" s="88"/>
      <c r="K569" s="88"/>
      <c r="L569" s="88"/>
      <c r="M569" s="88"/>
      <c r="N569" s="88"/>
      <c r="O569" s="88"/>
      <c r="P569" s="88"/>
      <c r="Q569" s="88"/>
      <c r="R569" s="88"/>
      <c r="S569" s="88"/>
      <c r="T569" s="88"/>
      <c r="U569" s="88"/>
      <c r="V569" s="88"/>
      <c r="W569" s="88"/>
      <c r="X569" s="88"/>
      <c r="Y569" s="88"/>
      <c r="Z569" s="88"/>
      <c r="AA569" s="88"/>
    </row>
    <row r="570" spans="1:27" ht="13.2">
      <c r="A570" s="88"/>
      <c r="B570" s="88"/>
      <c r="C570" s="88"/>
      <c r="D570" s="88"/>
      <c r="E570" s="88"/>
      <c r="F570" s="88"/>
      <c r="G570" s="88"/>
      <c r="H570" s="88"/>
      <c r="I570" s="88"/>
      <c r="J570" s="88"/>
      <c r="K570" s="88"/>
      <c r="L570" s="88"/>
      <c r="M570" s="88"/>
      <c r="N570" s="88"/>
      <c r="O570" s="88"/>
      <c r="P570" s="88"/>
      <c r="Q570" s="88"/>
      <c r="R570" s="88"/>
      <c r="S570" s="88"/>
      <c r="T570" s="88"/>
      <c r="U570" s="88"/>
      <c r="V570" s="88"/>
      <c r="W570" s="88"/>
      <c r="X570" s="88"/>
      <c r="Y570" s="88"/>
      <c r="Z570" s="88"/>
      <c r="AA570" s="88"/>
    </row>
    <row r="571" spans="1:27" ht="13.2">
      <c r="A571" s="88"/>
      <c r="B571" s="88"/>
      <c r="C571" s="88"/>
      <c r="D571" s="88"/>
      <c r="E571" s="88"/>
      <c r="F571" s="88"/>
      <c r="G571" s="88"/>
      <c r="H571" s="88"/>
      <c r="I571" s="88"/>
      <c r="J571" s="88"/>
      <c r="K571" s="88"/>
      <c r="L571" s="88"/>
      <c r="M571" s="88"/>
      <c r="N571" s="88"/>
      <c r="O571" s="88"/>
      <c r="P571" s="88"/>
      <c r="Q571" s="88"/>
      <c r="R571" s="88"/>
      <c r="S571" s="88"/>
      <c r="T571" s="88"/>
      <c r="U571" s="88"/>
      <c r="V571" s="88"/>
      <c r="W571" s="88"/>
      <c r="X571" s="88"/>
      <c r="Y571" s="88"/>
      <c r="Z571" s="88"/>
      <c r="AA571" s="88"/>
    </row>
    <row r="572" spans="1:27" ht="13.2">
      <c r="A572" s="88"/>
      <c r="B572" s="88"/>
      <c r="C572" s="88"/>
      <c r="D572" s="88"/>
      <c r="E572" s="88"/>
      <c r="F572" s="88"/>
      <c r="G572" s="88"/>
      <c r="H572" s="88"/>
      <c r="I572" s="88"/>
      <c r="J572" s="88"/>
      <c r="K572" s="88"/>
      <c r="L572" s="88"/>
      <c r="M572" s="88"/>
      <c r="N572" s="88"/>
      <c r="O572" s="88"/>
      <c r="P572" s="88"/>
      <c r="Q572" s="88"/>
      <c r="R572" s="88"/>
      <c r="S572" s="88"/>
      <c r="T572" s="88"/>
      <c r="U572" s="88"/>
      <c r="V572" s="88"/>
      <c r="W572" s="88"/>
      <c r="X572" s="88"/>
      <c r="Y572" s="88"/>
      <c r="Z572" s="88"/>
      <c r="AA572" s="88"/>
    </row>
    <row r="573" spans="1:27" ht="13.2">
      <c r="A573" s="88"/>
      <c r="B573" s="88"/>
      <c r="C573" s="88"/>
      <c r="D573" s="88"/>
      <c r="E573" s="88"/>
      <c r="F573" s="88"/>
      <c r="G573" s="88"/>
      <c r="H573" s="88"/>
      <c r="I573" s="88"/>
      <c r="J573" s="88"/>
      <c r="K573" s="88"/>
      <c r="L573" s="88"/>
      <c r="M573" s="88"/>
      <c r="N573" s="88"/>
      <c r="O573" s="88"/>
      <c r="P573" s="88"/>
      <c r="Q573" s="88"/>
      <c r="R573" s="88"/>
      <c r="S573" s="88"/>
      <c r="T573" s="88"/>
      <c r="U573" s="88"/>
      <c r="V573" s="88"/>
      <c r="W573" s="88"/>
      <c r="X573" s="88"/>
      <c r="Y573" s="88"/>
      <c r="Z573" s="88"/>
      <c r="AA573" s="88"/>
    </row>
    <row r="574" spans="1:27" ht="13.2">
      <c r="A574" s="88"/>
      <c r="B574" s="88"/>
      <c r="C574" s="88"/>
      <c r="D574" s="88"/>
      <c r="E574" s="88"/>
      <c r="F574" s="88"/>
      <c r="G574" s="88"/>
      <c r="H574" s="88"/>
      <c r="I574" s="88"/>
      <c r="J574" s="88"/>
      <c r="K574" s="88"/>
      <c r="L574" s="88"/>
      <c r="M574" s="88"/>
      <c r="N574" s="88"/>
      <c r="O574" s="88"/>
      <c r="P574" s="88"/>
      <c r="Q574" s="88"/>
      <c r="R574" s="88"/>
      <c r="S574" s="88"/>
      <c r="T574" s="88"/>
      <c r="U574" s="88"/>
      <c r="V574" s="88"/>
      <c r="W574" s="88"/>
      <c r="X574" s="88"/>
      <c r="Y574" s="88"/>
      <c r="Z574" s="88"/>
      <c r="AA574" s="88"/>
    </row>
    <row r="575" spans="1:27" ht="13.2">
      <c r="A575" s="88"/>
      <c r="B575" s="88"/>
      <c r="C575" s="88"/>
      <c r="D575" s="88"/>
      <c r="E575" s="88"/>
      <c r="F575" s="88"/>
      <c r="G575" s="88"/>
      <c r="H575" s="88"/>
      <c r="I575" s="88"/>
      <c r="J575" s="88"/>
      <c r="K575" s="88"/>
      <c r="L575" s="88"/>
      <c r="M575" s="88"/>
      <c r="N575" s="88"/>
      <c r="O575" s="88"/>
      <c r="P575" s="88"/>
      <c r="Q575" s="88"/>
      <c r="R575" s="88"/>
      <c r="S575" s="88"/>
      <c r="T575" s="88"/>
      <c r="U575" s="88"/>
      <c r="V575" s="88"/>
      <c r="W575" s="88"/>
      <c r="X575" s="88"/>
      <c r="Y575" s="88"/>
      <c r="Z575" s="88"/>
      <c r="AA575" s="88"/>
    </row>
    <row r="576" spans="1:27" ht="13.2">
      <c r="A576" s="88"/>
      <c r="B576" s="88"/>
      <c r="C576" s="88"/>
      <c r="D576" s="88"/>
      <c r="E576" s="88"/>
      <c r="F576" s="88"/>
      <c r="G576" s="88"/>
      <c r="H576" s="88"/>
      <c r="I576" s="88"/>
      <c r="J576" s="88"/>
      <c r="K576" s="88"/>
      <c r="L576" s="88"/>
      <c r="M576" s="88"/>
      <c r="N576" s="88"/>
      <c r="O576" s="88"/>
      <c r="P576" s="88"/>
      <c r="Q576" s="88"/>
      <c r="R576" s="88"/>
      <c r="S576" s="88"/>
      <c r="T576" s="88"/>
      <c r="U576" s="88"/>
      <c r="V576" s="88"/>
      <c r="W576" s="88"/>
      <c r="X576" s="88"/>
      <c r="Y576" s="88"/>
      <c r="Z576" s="88"/>
      <c r="AA576" s="88"/>
    </row>
    <row r="577" spans="1:27" ht="13.2">
      <c r="A577" s="88"/>
      <c r="B577" s="88"/>
      <c r="C577" s="88"/>
      <c r="D577" s="88"/>
      <c r="E577" s="88"/>
      <c r="F577" s="88"/>
      <c r="G577" s="88"/>
      <c r="H577" s="88"/>
      <c r="I577" s="88"/>
      <c r="J577" s="88"/>
      <c r="K577" s="88"/>
      <c r="L577" s="88"/>
      <c r="M577" s="88"/>
      <c r="N577" s="88"/>
      <c r="O577" s="88"/>
      <c r="P577" s="88"/>
      <c r="Q577" s="88"/>
      <c r="R577" s="88"/>
      <c r="S577" s="88"/>
      <c r="T577" s="88"/>
      <c r="U577" s="88"/>
      <c r="V577" s="88"/>
      <c r="W577" s="88"/>
      <c r="X577" s="88"/>
      <c r="Y577" s="88"/>
      <c r="Z577" s="88"/>
      <c r="AA577" s="88"/>
    </row>
    <row r="578" spans="1:27" ht="13.2">
      <c r="A578" s="88"/>
      <c r="B578" s="88"/>
      <c r="C578" s="88"/>
      <c r="D578" s="88"/>
      <c r="E578" s="88"/>
      <c r="F578" s="88"/>
      <c r="G578" s="88"/>
      <c r="H578" s="88"/>
      <c r="I578" s="88"/>
      <c r="J578" s="88"/>
      <c r="K578" s="88"/>
      <c r="L578" s="88"/>
      <c r="M578" s="88"/>
      <c r="N578" s="88"/>
      <c r="O578" s="88"/>
      <c r="P578" s="88"/>
      <c r="Q578" s="88"/>
      <c r="R578" s="88"/>
      <c r="S578" s="88"/>
      <c r="T578" s="88"/>
      <c r="U578" s="88"/>
      <c r="V578" s="88"/>
      <c r="W578" s="88"/>
      <c r="X578" s="88"/>
      <c r="Y578" s="88"/>
      <c r="Z578" s="88"/>
      <c r="AA578" s="88"/>
    </row>
    <row r="579" spans="1:27" ht="13.2">
      <c r="A579" s="88"/>
      <c r="B579" s="88"/>
      <c r="C579" s="88"/>
      <c r="D579" s="88"/>
      <c r="E579" s="88"/>
      <c r="F579" s="88"/>
      <c r="G579" s="88"/>
      <c r="H579" s="88"/>
      <c r="I579" s="88"/>
      <c r="J579" s="88"/>
      <c r="K579" s="88"/>
      <c r="L579" s="88"/>
      <c r="M579" s="88"/>
      <c r="N579" s="88"/>
      <c r="O579" s="88"/>
      <c r="P579" s="88"/>
      <c r="Q579" s="88"/>
      <c r="R579" s="88"/>
      <c r="S579" s="88"/>
      <c r="T579" s="88"/>
      <c r="U579" s="88"/>
      <c r="V579" s="88"/>
      <c r="W579" s="88"/>
      <c r="X579" s="88"/>
      <c r="Y579" s="88"/>
      <c r="Z579" s="88"/>
      <c r="AA579" s="88"/>
    </row>
    <row r="580" spans="1:27" ht="13.2">
      <c r="A580" s="88"/>
      <c r="B580" s="88"/>
      <c r="C580" s="88"/>
      <c r="D580" s="88"/>
      <c r="E580" s="88"/>
      <c r="F580" s="88"/>
      <c r="G580" s="88"/>
      <c r="H580" s="88"/>
      <c r="I580" s="88"/>
      <c r="J580" s="88"/>
      <c r="K580" s="88"/>
      <c r="L580" s="88"/>
      <c r="M580" s="88"/>
      <c r="N580" s="88"/>
      <c r="O580" s="88"/>
      <c r="P580" s="88"/>
      <c r="Q580" s="88"/>
      <c r="R580" s="88"/>
      <c r="S580" s="88"/>
      <c r="T580" s="88"/>
      <c r="U580" s="88"/>
      <c r="V580" s="88"/>
      <c r="W580" s="88"/>
      <c r="X580" s="88"/>
      <c r="Y580" s="88"/>
      <c r="Z580" s="88"/>
      <c r="AA580" s="88"/>
    </row>
    <row r="581" spans="1:27" ht="13.2">
      <c r="A581" s="88"/>
      <c r="B581" s="88"/>
      <c r="C581" s="88"/>
      <c r="D581" s="88"/>
      <c r="E581" s="88"/>
      <c r="F581" s="88"/>
      <c r="G581" s="88"/>
      <c r="H581" s="88"/>
      <c r="I581" s="88"/>
      <c r="J581" s="88"/>
      <c r="K581" s="88"/>
      <c r="L581" s="88"/>
      <c r="M581" s="88"/>
      <c r="N581" s="88"/>
      <c r="O581" s="88"/>
      <c r="P581" s="88"/>
      <c r="Q581" s="88"/>
      <c r="R581" s="88"/>
      <c r="S581" s="88"/>
      <c r="T581" s="88"/>
      <c r="U581" s="88"/>
      <c r="V581" s="88"/>
      <c r="W581" s="88"/>
      <c r="X581" s="88"/>
      <c r="Y581" s="88"/>
      <c r="Z581" s="88"/>
      <c r="AA581" s="88"/>
    </row>
    <row r="582" spans="1:27" ht="13.2">
      <c r="A582" s="88"/>
      <c r="B582" s="88"/>
      <c r="C582" s="88"/>
      <c r="D582" s="88"/>
      <c r="E582" s="88"/>
      <c r="F582" s="88"/>
      <c r="G582" s="88"/>
      <c r="H582" s="88"/>
      <c r="I582" s="88"/>
      <c r="J582" s="88"/>
      <c r="K582" s="88"/>
      <c r="L582" s="88"/>
      <c r="M582" s="88"/>
      <c r="N582" s="88"/>
      <c r="O582" s="88"/>
      <c r="P582" s="88"/>
      <c r="Q582" s="88"/>
      <c r="R582" s="88"/>
      <c r="S582" s="88"/>
      <c r="T582" s="88"/>
      <c r="U582" s="88"/>
      <c r="V582" s="88"/>
      <c r="W582" s="88"/>
      <c r="X582" s="88"/>
      <c r="Y582" s="88"/>
      <c r="Z582" s="88"/>
      <c r="AA582" s="88"/>
    </row>
    <row r="583" spans="1:27" ht="13.2">
      <c r="A583" s="88"/>
      <c r="B583" s="88"/>
      <c r="C583" s="88"/>
      <c r="D583" s="88"/>
      <c r="E583" s="88"/>
      <c r="F583" s="88"/>
      <c r="G583" s="88"/>
      <c r="H583" s="88"/>
      <c r="I583" s="88"/>
      <c r="J583" s="88"/>
      <c r="K583" s="88"/>
      <c r="L583" s="88"/>
      <c r="M583" s="88"/>
      <c r="N583" s="88"/>
      <c r="O583" s="88"/>
      <c r="P583" s="88"/>
      <c r="Q583" s="88"/>
      <c r="R583" s="88"/>
      <c r="S583" s="88"/>
      <c r="T583" s="88"/>
      <c r="U583" s="88"/>
      <c r="V583" s="88"/>
      <c r="W583" s="88"/>
      <c r="X583" s="88"/>
      <c r="Y583" s="88"/>
      <c r="Z583" s="88"/>
      <c r="AA583" s="88"/>
    </row>
    <row r="584" spans="1:27" ht="13.2">
      <c r="A584" s="88"/>
      <c r="B584" s="88"/>
      <c r="C584" s="88"/>
      <c r="D584" s="88"/>
      <c r="E584" s="88"/>
      <c r="F584" s="88"/>
      <c r="G584" s="88"/>
      <c r="H584" s="88"/>
      <c r="I584" s="88"/>
      <c r="J584" s="88"/>
      <c r="K584" s="88"/>
      <c r="L584" s="88"/>
      <c r="M584" s="88"/>
      <c r="N584" s="88"/>
      <c r="O584" s="88"/>
      <c r="P584" s="88"/>
      <c r="Q584" s="88"/>
      <c r="R584" s="88"/>
      <c r="S584" s="88"/>
      <c r="T584" s="88"/>
      <c r="U584" s="88"/>
      <c r="V584" s="88"/>
      <c r="W584" s="88"/>
      <c r="X584" s="88"/>
      <c r="Y584" s="88"/>
      <c r="Z584" s="88"/>
      <c r="AA584" s="88"/>
    </row>
    <row r="585" spans="1:27" ht="13.2">
      <c r="A585" s="88"/>
      <c r="B585" s="88"/>
      <c r="C585" s="88"/>
      <c r="D585" s="88"/>
      <c r="E585" s="88"/>
      <c r="F585" s="88"/>
      <c r="G585" s="88"/>
      <c r="H585" s="88"/>
      <c r="I585" s="88"/>
      <c r="J585" s="88"/>
      <c r="K585" s="88"/>
      <c r="L585" s="88"/>
      <c r="M585" s="88"/>
      <c r="N585" s="88"/>
      <c r="O585" s="88"/>
      <c r="P585" s="88"/>
      <c r="Q585" s="88"/>
      <c r="R585" s="88"/>
      <c r="S585" s="88"/>
      <c r="T585" s="88"/>
      <c r="U585" s="88"/>
      <c r="V585" s="88"/>
      <c r="W585" s="88"/>
      <c r="X585" s="88"/>
      <c r="Y585" s="88"/>
      <c r="Z585" s="88"/>
      <c r="AA585" s="88"/>
    </row>
    <row r="586" spans="1:27" ht="13.2">
      <c r="A586" s="88"/>
      <c r="B586" s="88"/>
      <c r="C586" s="88"/>
      <c r="D586" s="88"/>
      <c r="E586" s="88"/>
      <c r="F586" s="88"/>
      <c r="G586" s="88"/>
      <c r="H586" s="88"/>
      <c r="I586" s="88"/>
      <c r="J586" s="88"/>
      <c r="K586" s="88"/>
      <c r="L586" s="88"/>
      <c r="M586" s="88"/>
      <c r="N586" s="88"/>
      <c r="O586" s="88"/>
      <c r="P586" s="88"/>
      <c r="Q586" s="88"/>
      <c r="R586" s="88"/>
      <c r="S586" s="88"/>
      <c r="T586" s="88"/>
      <c r="U586" s="88"/>
      <c r="V586" s="88"/>
      <c r="W586" s="88"/>
      <c r="X586" s="88"/>
      <c r="Y586" s="88"/>
      <c r="Z586" s="88"/>
      <c r="AA586" s="88"/>
    </row>
    <row r="587" spans="1:27" ht="13.2">
      <c r="A587" s="88"/>
      <c r="B587" s="88"/>
      <c r="C587" s="88"/>
      <c r="D587" s="88"/>
      <c r="E587" s="88"/>
      <c r="F587" s="88"/>
      <c r="G587" s="88"/>
      <c r="H587" s="88"/>
      <c r="I587" s="88"/>
      <c r="J587" s="88"/>
      <c r="K587" s="88"/>
      <c r="L587" s="88"/>
      <c r="M587" s="88"/>
      <c r="N587" s="88"/>
      <c r="O587" s="88"/>
      <c r="P587" s="88"/>
      <c r="Q587" s="88"/>
      <c r="R587" s="88"/>
      <c r="S587" s="88"/>
      <c r="T587" s="88"/>
      <c r="U587" s="88"/>
      <c r="V587" s="88"/>
      <c r="W587" s="88"/>
      <c r="X587" s="88"/>
      <c r="Y587" s="88"/>
      <c r="Z587" s="88"/>
      <c r="AA587" s="88"/>
    </row>
    <row r="588" spans="1:27" ht="13.2">
      <c r="A588" s="88"/>
      <c r="B588" s="88"/>
      <c r="C588" s="88"/>
      <c r="D588" s="88"/>
      <c r="E588" s="88"/>
      <c r="F588" s="88"/>
      <c r="G588" s="88"/>
      <c r="H588" s="88"/>
      <c r="I588" s="88"/>
      <c r="J588" s="88"/>
      <c r="K588" s="88"/>
      <c r="L588" s="88"/>
      <c r="M588" s="88"/>
      <c r="N588" s="88"/>
      <c r="O588" s="88"/>
      <c r="P588" s="88"/>
      <c r="Q588" s="88"/>
      <c r="R588" s="88"/>
      <c r="S588" s="88"/>
      <c r="T588" s="88"/>
      <c r="U588" s="88"/>
      <c r="V588" s="88"/>
      <c r="W588" s="88"/>
      <c r="X588" s="88"/>
      <c r="Y588" s="88"/>
      <c r="Z588" s="88"/>
      <c r="AA588" s="88"/>
    </row>
    <row r="589" spans="1:27" ht="13.2">
      <c r="A589" s="88"/>
      <c r="B589" s="88"/>
      <c r="C589" s="88"/>
      <c r="D589" s="88"/>
      <c r="E589" s="88"/>
      <c r="F589" s="88"/>
      <c r="G589" s="88"/>
      <c r="H589" s="88"/>
      <c r="I589" s="88"/>
      <c r="J589" s="88"/>
      <c r="K589" s="88"/>
      <c r="L589" s="88"/>
      <c r="M589" s="88"/>
      <c r="N589" s="88"/>
      <c r="O589" s="88"/>
      <c r="P589" s="88"/>
      <c r="Q589" s="88"/>
      <c r="R589" s="88"/>
      <c r="S589" s="88"/>
      <c r="T589" s="88"/>
      <c r="U589" s="88"/>
      <c r="V589" s="88"/>
      <c r="W589" s="88"/>
      <c r="X589" s="88"/>
      <c r="Y589" s="88"/>
      <c r="Z589" s="88"/>
      <c r="AA589" s="88"/>
    </row>
    <row r="590" spans="1:27" ht="13.2">
      <c r="A590" s="88"/>
      <c r="B590" s="88"/>
      <c r="C590" s="88"/>
      <c r="D590" s="88"/>
      <c r="E590" s="88"/>
      <c r="F590" s="88"/>
      <c r="G590" s="88"/>
      <c r="H590" s="88"/>
      <c r="I590" s="88"/>
      <c r="J590" s="88"/>
      <c r="K590" s="88"/>
      <c r="L590" s="88"/>
      <c r="M590" s="88"/>
      <c r="N590" s="88"/>
      <c r="O590" s="88"/>
      <c r="P590" s="88"/>
      <c r="Q590" s="88"/>
      <c r="R590" s="88"/>
      <c r="S590" s="88"/>
      <c r="T590" s="88"/>
      <c r="U590" s="88"/>
      <c r="V590" s="88"/>
      <c r="W590" s="88"/>
      <c r="X590" s="88"/>
      <c r="Y590" s="88"/>
      <c r="Z590" s="88"/>
      <c r="AA590" s="88"/>
    </row>
    <row r="591" spans="1:27" ht="13.2">
      <c r="A591" s="88"/>
      <c r="B591" s="88"/>
      <c r="C591" s="88"/>
      <c r="D591" s="88"/>
      <c r="E591" s="88"/>
      <c r="F591" s="88"/>
      <c r="G591" s="88"/>
      <c r="H591" s="88"/>
      <c r="I591" s="88"/>
      <c r="J591" s="88"/>
      <c r="K591" s="88"/>
      <c r="L591" s="88"/>
      <c r="M591" s="88"/>
      <c r="N591" s="88"/>
      <c r="O591" s="88"/>
      <c r="P591" s="88"/>
      <c r="Q591" s="88"/>
      <c r="R591" s="88"/>
      <c r="S591" s="88"/>
      <c r="T591" s="88"/>
      <c r="U591" s="88"/>
      <c r="V591" s="88"/>
      <c r="W591" s="88"/>
      <c r="X591" s="88"/>
      <c r="Y591" s="88"/>
      <c r="Z591" s="88"/>
      <c r="AA591" s="88"/>
    </row>
    <row r="592" spans="1:27" ht="13.2">
      <c r="A592" s="88"/>
      <c r="B592" s="88"/>
      <c r="C592" s="88"/>
      <c r="D592" s="88"/>
      <c r="E592" s="88"/>
      <c r="F592" s="88"/>
      <c r="G592" s="88"/>
      <c r="H592" s="88"/>
      <c r="I592" s="88"/>
      <c r="J592" s="88"/>
      <c r="K592" s="88"/>
      <c r="L592" s="88"/>
      <c r="M592" s="88"/>
      <c r="N592" s="88"/>
      <c r="O592" s="88"/>
      <c r="P592" s="88"/>
      <c r="Q592" s="88"/>
      <c r="R592" s="88"/>
      <c r="S592" s="88"/>
      <c r="T592" s="88"/>
      <c r="U592" s="88"/>
      <c r="V592" s="88"/>
      <c r="W592" s="88"/>
      <c r="X592" s="88"/>
      <c r="Y592" s="88"/>
      <c r="Z592" s="88"/>
      <c r="AA592" s="88"/>
    </row>
    <row r="593" spans="1:27" ht="13.2">
      <c r="A593" s="88"/>
      <c r="B593" s="88"/>
      <c r="C593" s="88"/>
      <c r="D593" s="88"/>
      <c r="E593" s="88"/>
      <c r="F593" s="88"/>
      <c r="G593" s="88"/>
      <c r="H593" s="88"/>
      <c r="I593" s="88"/>
      <c r="J593" s="88"/>
      <c r="K593" s="88"/>
      <c r="L593" s="88"/>
      <c r="M593" s="88"/>
      <c r="N593" s="88"/>
      <c r="O593" s="88"/>
      <c r="P593" s="88"/>
      <c r="Q593" s="88"/>
      <c r="R593" s="88"/>
      <c r="S593" s="88"/>
      <c r="T593" s="88"/>
      <c r="U593" s="88"/>
      <c r="V593" s="88"/>
      <c r="W593" s="88"/>
      <c r="X593" s="88"/>
      <c r="Y593" s="88"/>
      <c r="Z593" s="88"/>
      <c r="AA593" s="88"/>
    </row>
    <row r="594" spans="1:27" ht="13.2">
      <c r="A594" s="88"/>
      <c r="B594" s="88"/>
      <c r="C594" s="88"/>
      <c r="D594" s="88"/>
      <c r="E594" s="88"/>
      <c r="F594" s="88"/>
      <c r="G594" s="88"/>
      <c r="H594" s="88"/>
      <c r="I594" s="88"/>
      <c r="J594" s="88"/>
      <c r="K594" s="88"/>
      <c r="L594" s="88"/>
      <c r="M594" s="88"/>
      <c r="N594" s="88"/>
      <c r="O594" s="88"/>
      <c r="P594" s="88"/>
      <c r="Q594" s="88"/>
      <c r="R594" s="88"/>
      <c r="S594" s="88"/>
      <c r="T594" s="88"/>
      <c r="U594" s="88"/>
      <c r="V594" s="88"/>
      <c r="W594" s="88"/>
      <c r="X594" s="88"/>
      <c r="Y594" s="88"/>
      <c r="Z594" s="88"/>
      <c r="AA594" s="88"/>
    </row>
    <row r="595" spans="1:27" ht="13.2">
      <c r="A595" s="88"/>
      <c r="B595" s="88"/>
      <c r="C595" s="88"/>
      <c r="D595" s="88"/>
      <c r="E595" s="88"/>
      <c r="F595" s="88"/>
      <c r="G595" s="88"/>
      <c r="H595" s="88"/>
      <c r="I595" s="88"/>
      <c r="J595" s="88"/>
      <c r="K595" s="88"/>
      <c r="L595" s="88"/>
      <c r="M595" s="88"/>
      <c r="N595" s="88"/>
      <c r="O595" s="88"/>
      <c r="P595" s="88"/>
      <c r="Q595" s="88"/>
      <c r="R595" s="88"/>
      <c r="S595" s="88"/>
      <c r="T595" s="88"/>
      <c r="U595" s="88"/>
      <c r="V595" s="88"/>
      <c r="W595" s="88"/>
      <c r="X595" s="88"/>
      <c r="Y595" s="88"/>
      <c r="Z595" s="88"/>
      <c r="AA595" s="88"/>
    </row>
    <row r="596" spans="1:27" ht="13.2">
      <c r="A596" s="88"/>
      <c r="B596" s="88"/>
      <c r="C596" s="88"/>
      <c r="D596" s="88"/>
      <c r="E596" s="88"/>
      <c r="F596" s="88"/>
      <c r="G596" s="88"/>
      <c r="H596" s="88"/>
      <c r="I596" s="88"/>
      <c r="J596" s="88"/>
      <c r="K596" s="88"/>
      <c r="L596" s="88"/>
      <c r="M596" s="88"/>
      <c r="N596" s="88"/>
      <c r="O596" s="88"/>
      <c r="P596" s="88"/>
      <c r="Q596" s="88"/>
      <c r="R596" s="88"/>
      <c r="S596" s="88"/>
      <c r="T596" s="88"/>
      <c r="U596" s="88"/>
      <c r="V596" s="88"/>
      <c r="W596" s="88"/>
      <c r="X596" s="88"/>
      <c r="Y596" s="88"/>
      <c r="Z596" s="88"/>
      <c r="AA596" s="88"/>
    </row>
    <row r="597" spans="1:27" ht="13.2">
      <c r="A597" s="88"/>
      <c r="B597" s="88"/>
      <c r="C597" s="88"/>
      <c r="D597" s="88"/>
      <c r="E597" s="88"/>
      <c r="F597" s="88"/>
      <c r="G597" s="88"/>
      <c r="H597" s="88"/>
      <c r="I597" s="88"/>
      <c r="J597" s="88"/>
      <c r="K597" s="88"/>
      <c r="L597" s="88"/>
      <c r="M597" s="88"/>
      <c r="N597" s="88"/>
      <c r="O597" s="88"/>
      <c r="P597" s="88"/>
      <c r="Q597" s="88"/>
      <c r="R597" s="88"/>
      <c r="S597" s="88"/>
      <c r="T597" s="88"/>
      <c r="U597" s="88"/>
      <c r="V597" s="88"/>
      <c r="W597" s="88"/>
      <c r="X597" s="88"/>
      <c r="Y597" s="88"/>
      <c r="Z597" s="88"/>
      <c r="AA597" s="88"/>
    </row>
    <row r="598" spans="1:27" ht="13.2">
      <c r="A598" s="88"/>
      <c r="B598" s="88"/>
      <c r="C598" s="88"/>
      <c r="D598" s="88"/>
      <c r="E598" s="88"/>
      <c r="F598" s="88"/>
      <c r="G598" s="88"/>
      <c r="H598" s="88"/>
      <c r="I598" s="88"/>
      <c r="J598" s="88"/>
      <c r="K598" s="88"/>
      <c r="L598" s="88"/>
      <c r="M598" s="88"/>
      <c r="N598" s="88"/>
      <c r="O598" s="88"/>
      <c r="P598" s="88"/>
      <c r="Q598" s="88"/>
      <c r="R598" s="88"/>
      <c r="S598" s="88"/>
      <c r="T598" s="88"/>
      <c r="U598" s="88"/>
      <c r="V598" s="88"/>
      <c r="W598" s="88"/>
      <c r="X598" s="88"/>
      <c r="Y598" s="88"/>
      <c r="Z598" s="88"/>
      <c r="AA598" s="88"/>
    </row>
    <row r="599" spans="1:27" ht="13.2">
      <c r="A599" s="88"/>
      <c r="B599" s="88"/>
      <c r="C599" s="88"/>
      <c r="D599" s="88"/>
      <c r="E599" s="88"/>
      <c r="F599" s="88"/>
      <c r="G599" s="88"/>
      <c r="H599" s="88"/>
      <c r="I599" s="88"/>
      <c r="J599" s="88"/>
      <c r="K599" s="88"/>
      <c r="L599" s="88"/>
      <c r="M599" s="88"/>
      <c r="N599" s="88"/>
      <c r="O599" s="88"/>
      <c r="P599" s="88"/>
      <c r="Q599" s="88"/>
      <c r="R599" s="88"/>
      <c r="S599" s="88"/>
      <c r="T599" s="88"/>
      <c r="U599" s="88"/>
      <c r="V599" s="88"/>
      <c r="W599" s="88"/>
      <c r="X599" s="88"/>
      <c r="Y599" s="88"/>
      <c r="Z599" s="88"/>
      <c r="AA599" s="88"/>
    </row>
    <row r="600" spans="1:27" ht="13.2">
      <c r="A600" s="88"/>
      <c r="B600" s="88"/>
      <c r="C600" s="88"/>
      <c r="D600" s="88"/>
      <c r="E600" s="88"/>
      <c r="F600" s="88"/>
      <c r="G600" s="88"/>
      <c r="H600" s="88"/>
      <c r="I600" s="88"/>
      <c r="J600" s="88"/>
      <c r="K600" s="88"/>
      <c r="L600" s="88"/>
      <c r="M600" s="88"/>
      <c r="N600" s="88"/>
      <c r="O600" s="88"/>
      <c r="P600" s="88"/>
      <c r="Q600" s="88"/>
      <c r="R600" s="88"/>
      <c r="S600" s="88"/>
      <c r="T600" s="88"/>
      <c r="U600" s="88"/>
      <c r="V600" s="88"/>
      <c r="W600" s="88"/>
      <c r="X600" s="88"/>
      <c r="Y600" s="88"/>
      <c r="Z600" s="88"/>
      <c r="AA600" s="88"/>
    </row>
    <row r="601" spans="1:27" ht="13.2">
      <c r="A601" s="88"/>
      <c r="B601" s="88"/>
      <c r="C601" s="88"/>
      <c r="D601" s="88"/>
      <c r="E601" s="88"/>
      <c r="F601" s="88"/>
      <c r="G601" s="88"/>
      <c r="H601" s="88"/>
      <c r="I601" s="88"/>
      <c r="J601" s="88"/>
      <c r="K601" s="88"/>
      <c r="L601" s="88"/>
      <c r="M601" s="88"/>
      <c r="N601" s="88"/>
      <c r="O601" s="88"/>
      <c r="P601" s="88"/>
      <c r="Q601" s="88"/>
      <c r="R601" s="88"/>
      <c r="S601" s="88"/>
      <c r="T601" s="88"/>
      <c r="U601" s="88"/>
      <c r="V601" s="88"/>
      <c r="W601" s="88"/>
      <c r="X601" s="88"/>
      <c r="Y601" s="88"/>
      <c r="Z601" s="88"/>
      <c r="AA601" s="88"/>
    </row>
    <row r="602" spans="1:27" ht="13.2">
      <c r="A602" s="88"/>
      <c r="B602" s="88"/>
      <c r="C602" s="88"/>
      <c r="D602" s="88"/>
      <c r="E602" s="88"/>
      <c r="F602" s="88"/>
      <c r="G602" s="88"/>
      <c r="H602" s="88"/>
      <c r="I602" s="88"/>
      <c r="J602" s="88"/>
      <c r="K602" s="88"/>
      <c r="L602" s="88"/>
      <c r="M602" s="88"/>
      <c r="N602" s="88"/>
      <c r="O602" s="88"/>
      <c r="P602" s="88"/>
      <c r="Q602" s="88"/>
      <c r="R602" s="88"/>
      <c r="S602" s="88"/>
      <c r="T602" s="88"/>
      <c r="U602" s="88"/>
      <c r="V602" s="88"/>
      <c r="W602" s="88"/>
      <c r="X602" s="88"/>
      <c r="Y602" s="88"/>
      <c r="Z602" s="88"/>
      <c r="AA602" s="88"/>
    </row>
    <row r="603" spans="1:27" ht="13.2">
      <c r="A603" s="88"/>
      <c r="B603" s="88"/>
      <c r="C603" s="88"/>
      <c r="D603" s="88"/>
      <c r="E603" s="88"/>
      <c r="F603" s="88"/>
      <c r="G603" s="88"/>
      <c r="H603" s="88"/>
      <c r="I603" s="88"/>
      <c r="J603" s="88"/>
      <c r="K603" s="88"/>
      <c r="L603" s="88"/>
      <c r="M603" s="88"/>
      <c r="N603" s="88"/>
      <c r="O603" s="88"/>
      <c r="P603" s="88"/>
      <c r="Q603" s="88"/>
      <c r="R603" s="88"/>
      <c r="S603" s="88"/>
      <c r="T603" s="88"/>
      <c r="U603" s="88"/>
      <c r="V603" s="88"/>
      <c r="W603" s="88"/>
      <c r="X603" s="88"/>
      <c r="Y603" s="88"/>
      <c r="Z603" s="88"/>
      <c r="AA603" s="88"/>
    </row>
    <row r="604" spans="1:27" ht="13.2">
      <c r="A604" s="88"/>
      <c r="B604" s="88"/>
      <c r="C604" s="88"/>
      <c r="D604" s="88"/>
      <c r="E604" s="88"/>
      <c r="F604" s="88"/>
      <c r="G604" s="88"/>
      <c r="H604" s="88"/>
      <c r="I604" s="88"/>
      <c r="J604" s="88"/>
      <c r="K604" s="88"/>
      <c r="L604" s="88"/>
      <c r="M604" s="88"/>
      <c r="N604" s="88"/>
      <c r="O604" s="88"/>
      <c r="P604" s="88"/>
      <c r="Q604" s="88"/>
      <c r="R604" s="88"/>
      <c r="S604" s="88"/>
      <c r="T604" s="88"/>
      <c r="U604" s="88"/>
      <c r="V604" s="88"/>
      <c r="W604" s="88"/>
      <c r="X604" s="88"/>
      <c r="Y604" s="88"/>
      <c r="Z604" s="88"/>
      <c r="AA604" s="88"/>
    </row>
    <row r="605" spans="1:27" ht="13.2">
      <c r="A605" s="88"/>
      <c r="B605" s="88"/>
      <c r="C605" s="88"/>
      <c r="D605" s="88"/>
      <c r="E605" s="88"/>
      <c r="F605" s="88"/>
      <c r="G605" s="88"/>
      <c r="H605" s="88"/>
      <c r="I605" s="88"/>
      <c r="J605" s="88"/>
      <c r="K605" s="88"/>
      <c r="L605" s="88"/>
      <c r="M605" s="88"/>
      <c r="N605" s="88"/>
      <c r="O605" s="88"/>
      <c r="P605" s="88"/>
      <c r="Q605" s="88"/>
      <c r="R605" s="88"/>
      <c r="S605" s="88"/>
      <c r="T605" s="88"/>
      <c r="U605" s="88"/>
      <c r="V605" s="88"/>
      <c r="W605" s="88"/>
      <c r="X605" s="88"/>
      <c r="Y605" s="88"/>
      <c r="Z605" s="88"/>
      <c r="AA605" s="88"/>
    </row>
    <row r="606" spans="1:27" ht="13.2">
      <c r="A606" s="88"/>
      <c r="B606" s="88"/>
      <c r="C606" s="88"/>
      <c r="D606" s="88"/>
      <c r="E606" s="88"/>
      <c r="F606" s="88"/>
      <c r="G606" s="88"/>
      <c r="H606" s="88"/>
      <c r="I606" s="88"/>
      <c r="J606" s="88"/>
      <c r="K606" s="88"/>
      <c r="L606" s="88"/>
      <c r="M606" s="88"/>
      <c r="N606" s="88"/>
      <c r="O606" s="88"/>
      <c r="P606" s="88"/>
      <c r="Q606" s="88"/>
      <c r="R606" s="88"/>
      <c r="S606" s="88"/>
      <c r="T606" s="88"/>
      <c r="U606" s="88"/>
      <c r="V606" s="88"/>
      <c r="W606" s="88"/>
      <c r="X606" s="88"/>
      <c r="Y606" s="88"/>
      <c r="Z606" s="88"/>
      <c r="AA606" s="88"/>
    </row>
    <row r="607" spans="1:27" ht="13.2">
      <c r="A607" s="88"/>
      <c r="B607" s="88"/>
      <c r="C607" s="88"/>
      <c r="D607" s="88"/>
      <c r="E607" s="88"/>
      <c r="F607" s="88"/>
      <c r="G607" s="88"/>
      <c r="H607" s="88"/>
      <c r="I607" s="88"/>
      <c r="J607" s="88"/>
      <c r="K607" s="88"/>
      <c r="L607" s="88"/>
      <c r="M607" s="88"/>
      <c r="N607" s="88"/>
      <c r="O607" s="88"/>
      <c r="P607" s="88"/>
      <c r="Q607" s="88"/>
      <c r="R607" s="88"/>
      <c r="S607" s="88"/>
      <c r="T607" s="88"/>
      <c r="U607" s="88"/>
      <c r="V607" s="88"/>
      <c r="W607" s="88"/>
      <c r="X607" s="88"/>
      <c r="Y607" s="88"/>
      <c r="Z607" s="88"/>
      <c r="AA607" s="88"/>
    </row>
    <row r="608" spans="1:27" ht="13.2">
      <c r="A608" s="88"/>
      <c r="B608" s="88"/>
      <c r="C608" s="88"/>
      <c r="D608" s="88"/>
      <c r="E608" s="88"/>
      <c r="F608" s="88"/>
      <c r="G608" s="88"/>
      <c r="H608" s="88"/>
      <c r="I608" s="88"/>
      <c r="J608" s="88"/>
      <c r="K608" s="88"/>
      <c r="L608" s="88"/>
      <c r="M608" s="88"/>
      <c r="N608" s="88"/>
      <c r="O608" s="88"/>
      <c r="P608" s="88"/>
      <c r="Q608" s="88"/>
      <c r="R608" s="88"/>
      <c r="S608" s="88"/>
      <c r="T608" s="88"/>
      <c r="U608" s="88"/>
      <c r="V608" s="88"/>
      <c r="W608" s="88"/>
      <c r="X608" s="88"/>
      <c r="Y608" s="88"/>
      <c r="Z608" s="88"/>
      <c r="AA608" s="88"/>
    </row>
    <row r="609" spans="1:27" ht="13.2">
      <c r="A609" s="88"/>
      <c r="B609" s="88"/>
      <c r="C609" s="88"/>
      <c r="D609" s="88"/>
      <c r="E609" s="88"/>
      <c r="F609" s="88"/>
      <c r="G609" s="88"/>
      <c r="H609" s="88"/>
      <c r="I609" s="88"/>
      <c r="J609" s="88"/>
      <c r="K609" s="88"/>
      <c r="L609" s="88"/>
      <c r="M609" s="88"/>
      <c r="N609" s="88"/>
      <c r="O609" s="88"/>
      <c r="P609" s="88"/>
      <c r="Q609" s="88"/>
      <c r="R609" s="88"/>
      <c r="S609" s="88"/>
      <c r="T609" s="88"/>
      <c r="U609" s="88"/>
      <c r="V609" s="88"/>
      <c r="W609" s="88"/>
      <c r="X609" s="88"/>
      <c r="Y609" s="88"/>
      <c r="Z609" s="88"/>
      <c r="AA609" s="88"/>
    </row>
    <row r="610" spans="1:27" ht="13.2">
      <c r="A610" s="88"/>
      <c r="B610" s="88"/>
      <c r="C610" s="88"/>
      <c r="D610" s="88"/>
      <c r="E610" s="88"/>
      <c r="F610" s="88"/>
      <c r="G610" s="88"/>
      <c r="H610" s="88"/>
      <c r="I610" s="88"/>
      <c r="J610" s="88"/>
      <c r="K610" s="88"/>
      <c r="L610" s="88"/>
      <c r="M610" s="88"/>
      <c r="N610" s="88"/>
      <c r="O610" s="88"/>
      <c r="P610" s="88"/>
      <c r="Q610" s="88"/>
      <c r="R610" s="88"/>
      <c r="S610" s="88"/>
      <c r="T610" s="88"/>
      <c r="U610" s="88"/>
      <c r="V610" s="88"/>
      <c r="W610" s="88"/>
      <c r="X610" s="88"/>
      <c r="Y610" s="88"/>
      <c r="Z610" s="88"/>
      <c r="AA610" s="88"/>
    </row>
    <row r="611" spans="1:27" ht="13.2">
      <c r="A611" s="88"/>
      <c r="B611" s="88"/>
      <c r="C611" s="88"/>
      <c r="D611" s="88"/>
      <c r="E611" s="88"/>
      <c r="F611" s="88"/>
      <c r="G611" s="88"/>
      <c r="H611" s="88"/>
      <c r="I611" s="88"/>
      <c r="J611" s="88"/>
      <c r="K611" s="88"/>
      <c r="L611" s="88"/>
      <c r="M611" s="88"/>
      <c r="N611" s="88"/>
      <c r="O611" s="88"/>
      <c r="P611" s="88"/>
      <c r="Q611" s="88"/>
      <c r="R611" s="88"/>
      <c r="S611" s="88"/>
      <c r="T611" s="88"/>
      <c r="U611" s="88"/>
      <c r="V611" s="88"/>
      <c r="W611" s="88"/>
      <c r="X611" s="88"/>
      <c r="Y611" s="88"/>
      <c r="Z611" s="88"/>
      <c r="AA611" s="88"/>
    </row>
    <row r="612" spans="1:27" ht="13.2">
      <c r="A612" s="88"/>
      <c r="B612" s="88"/>
      <c r="C612" s="88"/>
      <c r="D612" s="88"/>
      <c r="E612" s="88"/>
      <c r="F612" s="88"/>
      <c r="G612" s="88"/>
      <c r="H612" s="88"/>
      <c r="I612" s="88"/>
      <c r="J612" s="88"/>
      <c r="K612" s="88"/>
      <c r="L612" s="88"/>
      <c r="M612" s="88"/>
      <c r="N612" s="88"/>
      <c r="O612" s="88"/>
      <c r="P612" s="88"/>
      <c r="Q612" s="88"/>
      <c r="R612" s="88"/>
      <c r="S612" s="88"/>
      <c r="T612" s="88"/>
      <c r="U612" s="88"/>
      <c r="V612" s="88"/>
      <c r="W612" s="88"/>
      <c r="X612" s="88"/>
      <c r="Y612" s="88"/>
      <c r="Z612" s="88"/>
      <c r="AA612" s="88"/>
    </row>
    <row r="613" spans="1:27" ht="13.2">
      <c r="A613" s="88"/>
      <c r="B613" s="88"/>
      <c r="C613" s="88"/>
      <c r="D613" s="88"/>
      <c r="E613" s="88"/>
      <c r="F613" s="88"/>
      <c r="G613" s="88"/>
      <c r="H613" s="88"/>
      <c r="I613" s="88"/>
      <c r="J613" s="88"/>
      <c r="K613" s="88"/>
      <c r="L613" s="88"/>
      <c r="M613" s="88"/>
      <c r="N613" s="88"/>
      <c r="O613" s="88"/>
      <c r="P613" s="88"/>
      <c r="Q613" s="88"/>
      <c r="R613" s="88"/>
      <c r="S613" s="88"/>
      <c r="T613" s="88"/>
      <c r="U613" s="88"/>
      <c r="V613" s="88"/>
      <c r="W613" s="88"/>
      <c r="X613" s="88"/>
      <c r="Y613" s="88"/>
      <c r="Z613" s="88"/>
      <c r="AA613" s="88"/>
    </row>
    <row r="614" spans="1:27" ht="13.2">
      <c r="A614" s="88"/>
      <c r="B614" s="88"/>
      <c r="C614" s="88"/>
      <c r="D614" s="88"/>
      <c r="E614" s="88"/>
      <c r="F614" s="88"/>
      <c r="G614" s="88"/>
      <c r="H614" s="88"/>
      <c r="I614" s="88"/>
      <c r="J614" s="88"/>
      <c r="K614" s="88"/>
      <c r="L614" s="88"/>
      <c r="M614" s="88"/>
      <c r="N614" s="88"/>
      <c r="O614" s="88"/>
      <c r="P614" s="88"/>
      <c r="Q614" s="88"/>
      <c r="R614" s="88"/>
      <c r="S614" s="88"/>
      <c r="T614" s="88"/>
      <c r="U614" s="88"/>
      <c r="V614" s="88"/>
      <c r="W614" s="88"/>
      <c r="X614" s="88"/>
      <c r="Y614" s="88"/>
      <c r="Z614" s="88"/>
      <c r="AA614" s="88"/>
    </row>
    <row r="615" spans="1:27" ht="13.2">
      <c r="A615" s="88"/>
      <c r="B615" s="88"/>
      <c r="C615" s="88"/>
      <c r="D615" s="88"/>
      <c r="E615" s="88"/>
      <c r="F615" s="88"/>
      <c r="G615" s="88"/>
      <c r="H615" s="88"/>
      <c r="I615" s="88"/>
      <c r="J615" s="88"/>
      <c r="K615" s="88"/>
      <c r="L615" s="88"/>
      <c r="M615" s="88"/>
      <c r="N615" s="88"/>
      <c r="O615" s="88"/>
      <c r="P615" s="88"/>
      <c r="Q615" s="88"/>
      <c r="R615" s="88"/>
      <c r="S615" s="88"/>
      <c r="T615" s="88"/>
      <c r="U615" s="88"/>
      <c r="V615" s="88"/>
      <c r="W615" s="88"/>
      <c r="X615" s="88"/>
      <c r="Y615" s="88"/>
      <c r="Z615" s="88"/>
      <c r="AA615" s="88"/>
    </row>
    <row r="616" spans="1:27" ht="13.2">
      <c r="A616" s="88"/>
      <c r="B616" s="88"/>
      <c r="C616" s="88"/>
      <c r="D616" s="88"/>
      <c r="E616" s="88"/>
      <c r="F616" s="88"/>
      <c r="G616" s="88"/>
      <c r="H616" s="88"/>
      <c r="I616" s="88"/>
      <c r="J616" s="88"/>
      <c r="K616" s="88"/>
      <c r="L616" s="88"/>
      <c r="M616" s="88"/>
      <c r="N616" s="88"/>
      <c r="O616" s="88"/>
      <c r="P616" s="88"/>
      <c r="Q616" s="88"/>
      <c r="R616" s="88"/>
      <c r="S616" s="88"/>
      <c r="T616" s="88"/>
      <c r="U616" s="88"/>
      <c r="V616" s="88"/>
      <c r="W616" s="88"/>
      <c r="X616" s="88"/>
      <c r="Y616" s="88"/>
      <c r="Z616" s="88"/>
      <c r="AA616" s="88"/>
    </row>
    <row r="617" spans="1:27" ht="13.2">
      <c r="A617" s="88"/>
      <c r="B617" s="88"/>
      <c r="C617" s="88"/>
      <c r="D617" s="88"/>
      <c r="E617" s="88"/>
      <c r="F617" s="88"/>
      <c r="G617" s="88"/>
      <c r="H617" s="88"/>
      <c r="I617" s="88"/>
      <c r="J617" s="88"/>
      <c r="K617" s="88"/>
      <c r="L617" s="88"/>
      <c r="M617" s="88"/>
      <c r="N617" s="88"/>
      <c r="O617" s="88"/>
      <c r="P617" s="88"/>
      <c r="Q617" s="88"/>
      <c r="R617" s="88"/>
      <c r="S617" s="88"/>
      <c r="T617" s="88"/>
      <c r="U617" s="88"/>
      <c r="V617" s="88"/>
      <c r="W617" s="88"/>
      <c r="X617" s="88"/>
      <c r="Y617" s="88"/>
      <c r="Z617" s="88"/>
      <c r="AA617" s="88"/>
    </row>
    <row r="618" spans="1:27" ht="13.2">
      <c r="A618" s="88"/>
      <c r="B618" s="88"/>
      <c r="C618" s="88"/>
      <c r="D618" s="88"/>
      <c r="E618" s="88"/>
      <c r="F618" s="88"/>
      <c r="G618" s="88"/>
      <c r="H618" s="88"/>
      <c r="I618" s="88"/>
      <c r="J618" s="88"/>
      <c r="K618" s="88"/>
      <c r="L618" s="88"/>
      <c r="M618" s="88"/>
      <c r="N618" s="88"/>
      <c r="O618" s="88"/>
      <c r="P618" s="88"/>
      <c r="Q618" s="88"/>
      <c r="R618" s="88"/>
      <c r="S618" s="88"/>
      <c r="T618" s="88"/>
      <c r="U618" s="88"/>
      <c r="V618" s="88"/>
      <c r="W618" s="88"/>
      <c r="X618" s="88"/>
      <c r="Y618" s="88"/>
      <c r="Z618" s="88"/>
      <c r="AA618" s="88"/>
    </row>
    <row r="619" spans="1:27" ht="13.2">
      <c r="A619" s="88"/>
      <c r="B619" s="88"/>
      <c r="C619" s="88"/>
      <c r="D619" s="88"/>
      <c r="E619" s="88"/>
      <c r="F619" s="88"/>
      <c r="G619" s="88"/>
      <c r="H619" s="88"/>
      <c r="I619" s="88"/>
      <c r="J619" s="88"/>
      <c r="K619" s="88"/>
      <c r="L619" s="88"/>
      <c r="M619" s="88"/>
      <c r="N619" s="88"/>
      <c r="O619" s="88"/>
      <c r="P619" s="88"/>
      <c r="Q619" s="88"/>
      <c r="R619" s="88"/>
      <c r="S619" s="88"/>
      <c r="T619" s="88"/>
      <c r="U619" s="88"/>
      <c r="V619" s="88"/>
      <c r="W619" s="88"/>
      <c r="X619" s="88"/>
      <c r="Y619" s="88"/>
      <c r="Z619" s="88"/>
      <c r="AA619" s="88"/>
    </row>
    <row r="620" spans="1:27" ht="13.2">
      <c r="A620" s="88"/>
      <c r="B620" s="88"/>
      <c r="C620" s="88"/>
      <c r="D620" s="88"/>
      <c r="E620" s="88"/>
      <c r="F620" s="88"/>
      <c r="G620" s="88"/>
      <c r="H620" s="88"/>
      <c r="I620" s="88"/>
      <c r="J620" s="88"/>
      <c r="K620" s="88"/>
      <c r="L620" s="88"/>
      <c r="M620" s="88"/>
      <c r="N620" s="88"/>
      <c r="O620" s="88"/>
      <c r="P620" s="88"/>
      <c r="Q620" s="88"/>
      <c r="R620" s="88"/>
      <c r="S620" s="88"/>
      <c r="T620" s="88"/>
      <c r="U620" s="88"/>
      <c r="V620" s="88"/>
      <c r="W620" s="88"/>
      <c r="X620" s="88"/>
      <c r="Y620" s="88"/>
      <c r="Z620" s="88"/>
      <c r="AA620" s="88"/>
    </row>
    <row r="621" spans="1:27" ht="13.2">
      <c r="A621" s="88"/>
      <c r="B621" s="88"/>
      <c r="C621" s="88"/>
      <c r="D621" s="88"/>
      <c r="E621" s="88"/>
      <c r="F621" s="88"/>
      <c r="G621" s="88"/>
      <c r="H621" s="88"/>
      <c r="I621" s="88"/>
      <c r="J621" s="88"/>
      <c r="K621" s="88"/>
      <c r="L621" s="88"/>
      <c r="M621" s="88"/>
      <c r="N621" s="88"/>
      <c r="O621" s="88"/>
      <c r="P621" s="88"/>
      <c r="Q621" s="88"/>
      <c r="R621" s="88"/>
      <c r="S621" s="88"/>
      <c r="T621" s="88"/>
      <c r="U621" s="88"/>
      <c r="V621" s="88"/>
      <c r="W621" s="88"/>
      <c r="X621" s="88"/>
      <c r="Y621" s="88"/>
      <c r="Z621" s="88"/>
      <c r="AA621" s="88"/>
    </row>
    <row r="622" spans="1:27" ht="13.2">
      <c r="A622" s="88"/>
      <c r="B622" s="88"/>
      <c r="C622" s="88"/>
      <c r="D622" s="88"/>
      <c r="E622" s="88"/>
      <c r="F622" s="88"/>
      <c r="G622" s="88"/>
      <c r="H622" s="88"/>
      <c r="I622" s="88"/>
      <c r="J622" s="88"/>
      <c r="K622" s="88"/>
      <c r="L622" s="88"/>
      <c r="M622" s="88"/>
      <c r="N622" s="88"/>
      <c r="O622" s="88"/>
      <c r="P622" s="88"/>
      <c r="Q622" s="88"/>
      <c r="R622" s="88"/>
      <c r="S622" s="88"/>
      <c r="T622" s="88"/>
      <c r="U622" s="88"/>
      <c r="V622" s="88"/>
      <c r="W622" s="88"/>
      <c r="X622" s="88"/>
      <c r="Y622" s="88"/>
      <c r="Z622" s="88"/>
      <c r="AA622" s="88"/>
    </row>
    <row r="623" spans="1:27" ht="13.2">
      <c r="A623" s="88"/>
      <c r="B623" s="88"/>
      <c r="C623" s="88"/>
      <c r="D623" s="88"/>
      <c r="E623" s="88"/>
      <c r="F623" s="88"/>
      <c r="G623" s="88"/>
      <c r="H623" s="88"/>
      <c r="I623" s="88"/>
      <c r="J623" s="88"/>
      <c r="K623" s="88"/>
      <c r="L623" s="88"/>
      <c r="M623" s="88"/>
      <c r="N623" s="88"/>
      <c r="O623" s="88"/>
      <c r="P623" s="88"/>
      <c r="Q623" s="88"/>
      <c r="R623" s="88"/>
      <c r="S623" s="88"/>
      <c r="T623" s="88"/>
      <c r="U623" s="88"/>
      <c r="V623" s="88"/>
      <c r="W623" s="88"/>
      <c r="X623" s="88"/>
      <c r="Y623" s="88"/>
      <c r="Z623" s="88"/>
      <c r="AA623" s="88"/>
    </row>
    <row r="624" spans="1:27" ht="13.2">
      <c r="A624" s="88"/>
      <c r="B624" s="88"/>
      <c r="C624" s="88"/>
      <c r="D624" s="88"/>
      <c r="E624" s="88"/>
      <c r="F624" s="88"/>
      <c r="G624" s="88"/>
      <c r="H624" s="88"/>
      <c r="I624" s="88"/>
      <c r="J624" s="88"/>
      <c r="K624" s="88"/>
      <c r="L624" s="88"/>
      <c r="M624" s="88"/>
      <c r="N624" s="88"/>
      <c r="O624" s="88"/>
      <c r="P624" s="88"/>
      <c r="Q624" s="88"/>
      <c r="R624" s="88"/>
      <c r="S624" s="88"/>
      <c r="T624" s="88"/>
      <c r="U624" s="88"/>
      <c r="V624" s="88"/>
      <c r="W624" s="88"/>
      <c r="X624" s="88"/>
      <c r="Y624" s="88"/>
      <c r="Z624" s="88"/>
      <c r="AA624" s="88"/>
    </row>
    <row r="625" spans="1:27" ht="13.2">
      <c r="A625" s="88"/>
      <c r="B625" s="88"/>
      <c r="C625" s="88"/>
      <c r="D625" s="88"/>
      <c r="E625" s="88"/>
      <c r="F625" s="88"/>
      <c r="G625" s="88"/>
      <c r="H625" s="88"/>
      <c r="I625" s="88"/>
      <c r="J625" s="88"/>
      <c r="K625" s="88"/>
      <c r="L625" s="88"/>
      <c r="M625" s="88"/>
      <c r="N625" s="88"/>
      <c r="O625" s="88"/>
      <c r="P625" s="88"/>
      <c r="Q625" s="88"/>
      <c r="R625" s="88"/>
      <c r="S625" s="88"/>
      <c r="T625" s="88"/>
      <c r="U625" s="88"/>
      <c r="V625" s="88"/>
      <c r="W625" s="88"/>
      <c r="X625" s="88"/>
      <c r="Y625" s="88"/>
      <c r="Z625" s="88"/>
      <c r="AA625" s="88"/>
    </row>
    <row r="626" spans="1:27" ht="13.2">
      <c r="A626" s="88"/>
      <c r="B626" s="88"/>
      <c r="C626" s="88"/>
      <c r="D626" s="88"/>
      <c r="E626" s="88"/>
      <c r="F626" s="88"/>
      <c r="G626" s="88"/>
      <c r="H626" s="88"/>
      <c r="I626" s="88"/>
      <c r="J626" s="88"/>
      <c r="K626" s="88"/>
      <c r="L626" s="88"/>
      <c r="M626" s="88"/>
      <c r="N626" s="88"/>
      <c r="O626" s="88"/>
      <c r="P626" s="88"/>
      <c r="Q626" s="88"/>
      <c r="R626" s="88"/>
      <c r="S626" s="88"/>
      <c r="T626" s="88"/>
      <c r="U626" s="88"/>
      <c r="V626" s="88"/>
      <c r="W626" s="88"/>
      <c r="X626" s="88"/>
      <c r="Y626" s="88"/>
      <c r="Z626" s="88"/>
      <c r="AA626" s="88"/>
    </row>
    <row r="627" spans="1:27" ht="13.2">
      <c r="A627" s="88"/>
      <c r="B627" s="88"/>
      <c r="C627" s="88"/>
      <c r="D627" s="88"/>
      <c r="E627" s="88"/>
      <c r="F627" s="88"/>
      <c r="G627" s="88"/>
      <c r="H627" s="88"/>
      <c r="I627" s="88"/>
      <c r="J627" s="88"/>
      <c r="K627" s="88"/>
      <c r="L627" s="88"/>
      <c r="M627" s="88"/>
      <c r="N627" s="88"/>
      <c r="O627" s="88"/>
      <c r="P627" s="88"/>
      <c r="Q627" s="88"/>
      <c r="R627" s="88"/>
      <c r="S627" s="88"/>
      <c r="T627" s="88"/>
      <c r="U627" s="88"/>
      <c r="V627" s="88"/>
      <c r="W627" s="88"/>
      <c r="X627" s="88"/>
      <c r="Y627" s="88"/>
      <c r="Z627" s="88"/>
      <c r="AA627" s="88"/>
    </row>
    <row r="628" spans="1:27" ht="13.2">
      <c r="A628" s="88"/>
      <c r="B628" s="88"/>
      <c r="C628" s="88"/>
      <c r="D628" s="88"/>
      <c r="E628" s="88"/>
      <c r="F628" s="88"/>
      <c r="G628" s="88"/>
      <c r="H628" s="88"/>
      <c r="I628" s="88"/>
      <c r="J628" s="88"/>
      <c r="K628" s="88"/>
      <c r="L628" s="88"/>
      <c r="M628" s="88"/>
      <c r="N628" s="88"/>
      <c r="O628" s="88"/>
      <c r="P628" s="88"/>
      <c r="Q628" s="88"/>
      <c r="R628" s="88"/>
      <c r="S628" s="88"/>
      <c r="T628" s="88"/>
      <c r="U628" s="88"/>
      <c r="V628" s="88"/>
      <c r="W628" s="88"/>
      <c r="X628" s="88"/>
      <c r="Y628" s="88"/>
      <c r="Z628" s="88"/>
      <c r="AA628" s="88"/>
    </row>
    <row r="629" spans="1:27" ht="13.2">
      <c r="A629" s="88"/>
      <c r="B629" s="88"/>
      <c r="C629" s="88"/>
      <c r="D629" s="88"/>
      <c r="E629" s="88"/>
      <c r="F629" s="88"/>
      <c r="G629" s="88"/>
      <c r="H629" s="88"/>
      <c r="I629" s="88"/>
      <c r="J629" s="88"/>
      <c r="K629" s="88"/>
      <c r="L629" s="88"/>
      <c r="M629" s="88"/>
      <c r="N629" s="88"/>
      <c r="O629" s="88"/>
      <c r="P629" s="88"/>
      <c r="Q629" s="88"/>
      <c r="R629" s="88"/>
      <c r="S629" s="88"/>
      <c r="T629" s="88"/>
      <c r="U629" s="88"/>
      <c r="V629" s="88"/>
      <c r="W629" s="88"/>
      <c r="X629" s="88"/>
      <c r="Y629" s="88"/>
      <c r="Z629" s="88"/>
      <c r="AA629" s="88"/>
    </row>
    <row r="630" spans="1:27" ht="13.2">
      <c r="A630" s="88"/>
      <c r="B630" s="88"/>
      <c r="C630" s="88"/>
      <c r="D630" s="88"/>
      <c r="E630" s="88"/>
      <c r="F630" s="88"/>
      <c r="G630" s="88"/>
      <c r="H630" s="88"/>
      <c r="I630" s="88"/>
      <c r="J630" s="88"/>
      <c r="K630" s="88"/>
      <c r="L630" s="88"/>
      <c r="M630" s="88"/>
      <c r="N630" s="88"/>
      <c r="O630" s="88"/>
      <c r="P630" s="88"/>
      <c r="Q630" s="88"/>
      <c r="R630" s="88"/>
      <c r="S630" s="88"/>
      <c r="T630" s="88"/>
      <c r="U630" s="88"/>
      <c r="V630" s="88"/>
      <c r="W630" s="88"/>
      <c r="X630" s="88"/>
      <c r="Y630" s="88"/>
      <c r="Z630" s="88"/>
      <c r="AA630" s="88"/>
    </row>
    <row r="631" spans="1:27" ht="13.2">
      <c r="A631" s="88"/>
      <c r="B631" s="88"/>
      <c r="C631" s="88"/>
      <c r="D631" s="88"/>
      <c r="E631" s="88"/>
      <c r="F631" s="88"/>
      <c r="G631" s="88"/>
      <c r="H631" s="88"/>
      <c r="I631" s="88"/>
      <c r="J631" s="88"/>
      <c r="K631" s="88"/>
      <c r="L631" s="88"/>
      <c r="M631" s="88"/>
      <c r="N631" s="88"/>
      <c r="O631" s="88"/>
      <c r="P631" s="88"/>
      <c r="Q631" s="88"/>
      <c r="R631" s="88"/>
      <c r="S631" s="88"/>
      <c r="T631" s="88"/>
      <c r="U631" s="88"/>
      <c r="V631" s="88"/>
      <c r="W631" s="88"/>
      <c r="X631" s="88"/>
      <c r="Y631" s="88"/>
      <c r="Z631" s="88"/>
      <c r="AA631" s="88"/>
    </row>
    <row r="632" spans="1:27" ht="13.2">
      <c r="A632" s="88"/>
      <c r="B632" s="88"/>
      <c r="C632" s="88"/>
      <c r="D632" s="88"/>
      <c r="E632" s="88"/>
      <c r="F632" s="88"/>
      <c r="G632" s="88"/>
      <c r="H632" s="88"/>
      <c r="I632" s="88"/>
      <c r="J632" s="88"/>
      <c r="K632" s="88"/>
      <c r="L632" s="88"/>
      <c r="M632" s="88"/>
      <c r="N632" s="88"/>
      <c r="O632" s="88"/>
      <c r="P632" s="88"/>
      <c r="Q632" s="88"/>
      <c r="R632" s="88"/>
      <c r="S632" s="88"/>
      <c r="T632" s="88"/>
      <c r="U632" s="88"/>
      <c r="V632" s="88"/>
      <c r="W632" s="88"/>
      <c r="X632" s="88"/>
      <c r="Y632" s="88"/>
      <c r="Z632" s="88"/>
      <c r="AA632" s="88"/>
    </row>
    <row r="633" spans="1:27" ht="13.2">
      <c r="A633" s="88"/>
      <c r="B633" s="88"/>
      <c r="C633" s="88"/>
      <c r="D633" s="88"/>
      <c r="E633" s="88"/>
      <c r="F633" s="88"/>
      <c r="G633" s="88"/>
      <c r="H633" s="88"/>
      <c r="I633" s="88"/>
      <c r="J633" s="88"/>
      <c r="K633" s="88"/>
      <c r="L633" s="88"/>
      <c r="M633" s="88"/>
      <c r="N633" s="88"/>
      <c r="O633" s="88"/>
      <c r="P633" s="88"/>
      <c r="Q633" s="88"/>
      <c r="R633" s="88"/>
      <c r="S633" s="88"/>
      <c r="T633" s="88"/>
      <c r="U633" s="88"/>
      <c r="V633" s="88"/>
      <c r="W633" s="88"/>
      <c r="X633" s="88"/>
      <c r="Y633" s="88"/>
      <c r="Z633" s="88"/>
      <c r="AA633" s="88"/>
    </row>
    <row r="634" spans="1:27" ht="13.2">
      <c r="A634" s="88"/>
      <c r="B634" s="88"/>
      <c r="C634" s="88"/>
      <c r="D634" s="88"/>
      <c r="E634" s="88"/>
      <c r="F634" s="88"/>
      <c r="G634" s="88"/>
      <c r="H634" s="88"/>
      <c r="I634" s="88"/>
      <c r="J634" s="88"/>
      <c r="K634" s="88"/>
      <c r="L634" s="88"/>
      <c r="M634" s="88"/>
      <c r="N634" s="88"/>
      <c r="O634" s="88"/>
      <c r="P634" s="88"/>
      <c r="Q634" s="88"/>
      <c r="R634" s="88"/>
      <c r="S634" s="88"/>
      <c r="T634" s="88"/>
      <c r="U634" s="88"/>
      <c r="V634" s="88"/>
      <c r="W634" s="88"/>
      <c r="X634" s="88"/>
      <c r="Y634" s="88"/>
      <c r="Z634" s="88"/>
      <c r="AA634" s="88"/>
    </row>
    <row r="635" spans="1:27" ht="13.2">
      <c r="A635" s="88"/>
      <c r="B635" s="88"/>
      <c r="C635" s="88"/>
      <c r="D635" s="88"/>
      <c r="E635" s="88"/>
      <c r="F635" s="88"/>
      <c r="G635" s="88"/>
      <c r="H635" s="88"/>
      <c r="I635" s="88"/>
      <c r="J635" s="88"/>
      <c r="K635" s="88"/>
      <c r="L635" s="88"/>
      <c r="M635" s="88"/>
      <c r="N635" s="88"/>
      <c r="O635" s="88"/>
      <c r="P635" s="88"/>
      <c r="Q635" s="88"/>
      <c r="R635" s="88"/>
      <c r="S635" s="88"/>
      <c r="T635" s="88"/>
      <c r="U635" s="88"/>
      <c r="V635" s="88"/>
      <c r="W635" s="88"/>
      <c r="X635" s="88"/>
      <c r="Y635" s="88"/>
      <c r="Z635" s="88"/>
      <c r="AA635" s="88"/>
    </row>
    <row r="636" spans="1:27" ht="13.2">
      <c r="A636" s="88"/>
      <c r="B636" s="88"/>
      <c r="C636" s="88"/>
      <c r="D636" s="88"/>
      <c r="E636" s="88"/>
      <c r="F636" s="88"/>
      <c r="G636" s="88"/>
      <c r="H636" s="88"/>
      <c r="I636" s="88"/>
      <c r="J636" s="88"/>
      <c r="K636" s="88"/>
      <c r="L636" s="88"/>
      <c r="M636" s="88"/>
      <c r="N636" s="88"/>
      <c r="O636" s="88"/>
      <c r="P636" s="88"/>
      <c r="Q636" s="88"/>
      <c r="R636" s="88"/>
      <c r="S636" s="88"/>
      <c r="T636" s="88"/>
      <c r="U636" s="88"/>
      <c r="V636" s="88"/>
      <c r="W636" s="88"/>
      <c r="X636" s="88"/>
      <c r="Y636" s="88"/>
      <c r="Z636" s="88"/>
      <c r="AA636" s="88"/>
    </row>
    <row r="637" spans="1:27" ht="13.2">
      <c r="A637" s="88"/>
      <c r="B637" s="88"/>
      <c r="C637" s="88"/>
      <c r="D637" s="88"/>
      <c r="E637" s="88"/>
      <c r="F637" s="88"/>
      <c r="G637" s="88"/>
      <c r="H637" s="88"/>
      <c r="I637" s="88"/>
      <c r="J637" s="88"/>
      <c r="K637" s="88"/>
      <c r="L637" s="88"/>
      <c r="M637" s="88"/>
      <c r="N637" s="88"/>
      <c r="O637" s="88"/>
      <c r="P637" s="88"/>
      <c r="Q637" s="88"/>
      <c r="R637" s="88"/>
      <c r="S637" s="88"/>
      <c r="T637" s="88"/>
      <c r="U637" s="88"/>
      <c r="V637" s="88"/>
      <c r="W637" s="88"/>
      <c r="X637" s="88"/>
      <c r="Y637" s="88"/>
      <c r="Z637" s="88"/>
      <c r="AA637" s="88"/>
    </row>
    <row r="638" spans="1:27" ht="13.2">
      <c r="A638" s="88"/>
      <c r="B638" s="88"/>
      <c r="C638" s="88"/>
      <c r="D638" s="88"/>
      <c r="E638" s="88"/>
      <c r="F638" s="88"/>
      <c r="G638" s="88"/>
      <c r="H638" s="88"/>
      <c r="I638" s="88"/>
      <c r="J638" s="88"/>
      <c r="K638" s="88"/>
      <c r="L638" s="88"/>
      <c r="M638" s="88"/>
      <c r="N638" s="88"/>
      <c r="O638" s="88"/>
      <c r="P638" s="88"/>
      <c r="Q638" s="88"/>
      <c r="R638" s="88"/>
      <c r="S638" s="88"/>
      <c r="T638" s="88"/>
      <c r="U638" s="88"/>
      <c r="V638" s="88"/>
      <c r="W638" s="88"/>
      <c r="X638" s="88"/>
      <c r="Y638" s="88"/>
      <c r="Z638" s="88"/>
      <c r="AA638" s="88"/>
    </row>
    <row r="639" spans="1:27" ht="13.2">
      <c r="A639" s="88"/>
      <c r="B639" s="88"/>
      <c r="C639" s="88"/>
      <c r="D639" s="88"/>
      <c r="E639" s="88"/>
      <c r="F639" s="88"/>
      <c r="G639" s="88"/>
      <c r="H639" s="88"/>
      <c r="I639" s="88"/>
      <c r="J639" s="88"/>
      <c r="K639" s="88"/>
      <c r="L639" s="88"/>
      <c r="M639" s="88"/>
      <c r="N639" s="88"/>
      <c r="O639" s="88"/>
      <c r="P639" s="88"/>
      <c r="Q639" s="88"/>
      <c r="R639" s="88"/>
      <c r="S639" s="88"/>
      <c r="T639" s="88"/>
      <c r="U639" s="88"/>
      <c r="V639" s="88"/>
      <c r="W639" s="88"/>
      <c r="X639" s="88"/>
      <c r="Y639" s="88"/>
      <c r="Z639" s="88"/>
      <c r="AA639" s="88"/>
    </row>
    <row r="640" spans="1:27" ht="13.2">
      <c r="A640" s="88"/>
      <c r="B640" s="88"/>
      <c r="C640" s="88"/>
      <c r="D640" s="88"/>
      <c r="E640" s="88"/>
      <c r="F640" s="88"/>
      <c r="G640" s="88"/>
      <c r="H640" s="88"/>
      <c r="I640" s="88"/>
      <c r="J640" s="88"/>
      <c r="K640" s="88"/>
      <c r="L640" s="88"/>
      <c r="M640" s="88"/>
      <c r="N640" s="88"/>
      <c r="O640" s="88"/>
      <c r="P640" s="88"/>
      <c r="Q640" s="88"/>
      <c r="R640" s="88"/>
      <c r="S640" s="88"/>
      <c r="T640" s="88"/>
      <c r="U640" s="88"/>
      <c r="V640" s="88"/>
      <c r="W640" s="88"/>
      <c r="X640" s="88"/>
      <c r="Y640" s="88"/>
      <c r="Z640" s="88"/>
      <c r="AA640" s="88"/>
    </row>
    <row r="641" spans="1:27" ht="13.2">
      <c r="A641" s="88"/>
      <c r="B641" s="88"/>
      <c r="C641" s="88"/>
      <c r="D641" s="88"/>
      <c r="E641" s="88"/>
      <c r="F641" s="88"/>
      <c r="G641" s="88"/>
      <c r="H641" s="88"/>
      <c r="I641" s="88"/>
      <c r="J641" s="88"/>
      <c r="K641" s="88"/>
      <c r="L641" s="88"/>
      <c r="M641" s="88"/>
      <c r="N641" s="88"/>
      <c r="O641" s="88"/>
      <c r="P641" s="88"/>
      <c r="Q641" s="88"/>
      <c r="R641" s="88"/>
      <c r="S641" s="88"/>
      <c r="T641" s="88"/>
      <c r="U641" s="88"/>
      <c r="V641" s="88"/>
      <c r="W641" s="88"/>
      <c r="X641" s="88"/>
      <c r="Y641" s="88"/>
      <c r="Z641" s="88"/>
      <c r="AA641" s="88"/>
    </row>
    <row r="642" spans="1:27" ht="13.2">
      <c r="A642" s="88"/>
      <c r="B642" s="88"/>
      <c r="C642" s="88"/>
      <c r="D642" s="88"/>
      <c r="E642" s="88"/>
      <c r="F642" s="88"/>
      <c r="G642" s="88"/>
      <c r="H642" s="88"/>
      <c r="I642" s="88"/>
      <c r="J642" s="88"/>
      <c r="K642" s="88"/>
      <c r="L642" s="88"/>
      <c r="M642" s="88"/>
      <c r="N642" s="88"/>
      <c r="O642" s="88"/>
      <c r="P642" s="88"/>
      <c r="Q642" s="88"/>
      <c r="R642" s="88"/>
      <c r="S642" s="88"/>
      <c r="T642" s="88"/>
      <c r="U642" s="88"/>
      <c r="V642" s="88"/>
      <c r="W642" s="88"/>
      <c r="X642" s="88"/>
      <c r="Y642" s="88"/>
      <c r="Z642" s="88"/>
      <c r="AA642" s="88"/>
    </row>
    <row r="643" spans="1:27" ht="13.2">
      <c r="A643" s="88"/>
      <c r="B643" s="88"/>
      <c r="C643" s="88"/>
      <c r="D643" s="88"/>
      <c r="E643" s="88"/>
      <c r="F643" s="88"/>
      <c r="G643" s="88"/>
      <c r="H643" s="88"/>
      <c r="I643" s="88"/>
      <c r="J643" s="88"/>
      <c r="K643" s="88"/>
      <c r="L643" s="88"/>
      <c r="M643" s="88"/>
      <c r="N643" s="88"/>
      <c r="O643" s="88"/>
      <c r="P643" s="88"/>
      <c r="Q643" s="88"/>
      <c r="R643" s="88"/>
      <c r="S643" s="88"/>
      <c r="T643" s="88"/>
      <c r="U643" s="88"/>
      <c r="V643" s="88"/>
      <c r="W643" s="88"/>
      <c r="X643" s="88"/>
      <c r="Y643" s="88"/>
      <c r="Z643" s="88"/>
      <c r="AA643" s="88"/>
    </row>
    <row r="644" spans="1:27" ht="13.2">
      <c r="A644" s="88"/>
      <c r="B644" s="88"/>
      <c r="C644" s="88"/>
      <c r="D644" s="88"/>
      <c r="E644" s="88"/>
      <c r="F644" s="88"/>
      <c r="G644" s="88"/>
      <c r="H644" s="88"/>
      <c r="I644" s="88"/>
      <c r="J644" s="88"/>
      <c r="K644" s="88"/>
      <c r="L644" s="88"/>
      <c r="M644" s="88"/>
      <c r="N644" s="88"/>
      <c r="O644" s="88"/>
      <c r="P644" s="88"/>
      <c r="Q644" s="88"/>
      <c r="R644" s="88"/>
      <c r="S644" s="88"/>
      <c r="T644" s="88"/>
      <c r="U644" s="88"/>
      <c r="V644" s="88"/>
      <c r="W644" s="88"/>
      <c r="X644" s="88"/>
      <c r="Y644" s="88"/>
      <c r="Z644" s="88"/>
      <c r="AA644" s="88"/>
    </row>
    <row r="645" spans="1:27" ht="13.2">
      <c r="A645" s="88"/>
      <c r="B645" s="88"/>
      <c r="C645" s="88"/>
      <c r="D645" s="88"/>
      <c r="E645" s="88"/>
      <c r="F645" s="88"/>
      <c r="G645" s="88"/>
      <c r="H645" s="88"/>
      <c r="I645" s="88"/>
      <c r="J645" s="88"/>
      <c r="K645" s="88"/>
      <c r="L645" s="88"/>
      <c r="M645" s="88"/>
      <c r="N645" s="88"/>
      <c r="O645" s="88"/>
      <c r="P645" s="88"/>
      <c r="Q645" s="88"/>
      <c r="R645" s="88"/>
      <c r="S645" s="88"/>
      <c r="T645" s="88"/>
      <c r="U645" s="88"/>
      <c r="V645" s="88"/>
      <c r="W645" s="88"/>
      <c r="X645" s="88"/>
      <c r="Y645" s="88"/>
      <c r="Z645" s="88"/>
      <c r="AA645" s="88"/>
    </row>
    <row r="646" spans="1:27" ht="13.2">
      <c r="A646" s="88"/>
      <c r="B646" s="88"/>
      <c r="C646" s="88"/>
      <c r="D646" s="88"/>
      <c r="E646" s="88"/>
      <c r="F646" s="88"/>
      <c r="G646" s="88"/>
      <c r="H646" s="88"/>
      <c r="I646" s="88"/>
      <c r="J646" s="88"/>
      <c r="K646" s="88"/>
      <c r="L646" s="88"/>
      <c r="M646" s="88"/>
      <c r="N646" s="88"/>
      <c r="O646" s="88"/>
      <c r="P646" s="88"/>
      <c r="Q646" s="88"/>
      <c r="R646" s="88"/>
      <c r="S646" s="88"/>
      <c r="T646" s="88"/>
      <c r="U646" s="88"/>
      <c r="V646" s="88"/>
      <c r="W646" s="88"/>
      <c r="X646" s="88"/>
      <c r="Y646" s="88"/>
      <c r="Z646" s="88"/>
      <c r="AA646" s="88"/>
    </row>
    <row r="647" spans="1:27" ht="13.2">
      <c r="A647" s="88"/>
      <c r="B647" s="88"/>
      <c r="C647" s="88"/>
      <c r="D647" s="88"/>
      <c r="E647" s="88"/>
      <c r="F647" s="88"/>
      <c r="G647" s="88"/>
      <c r="H647" s="88"/>
      <c r="I647" s="88"/>
      <c r="J647" s="88"/>
      <c r="K647" s="88"/>
      <c r="L647" s="88"/>
      <c r="M647" s="88"/>
      <c r="N647" s="88"/>
      <c r="O647" s="88"/>
      <c r="P647" s="88"/>
      <c r="Q647" s="88"/>
      <c r="R647" s="88"/>
      <c r="S647" s="88"/>
      <c r="T647" s="88"/>
      <c r="U647" s="88"/>
      <c r="V647" s="88"/>
      <c r="W647" s="88"/>
      <c r="X647" s="88"/>
      <c r="Y647" s="88"/>
      <c r="Z647" s="88"/>
      <c r="AA647" s="88"/>
    </row>
    <row r="648" spans="1:27" ht="13.2">
      <c r="A648" s="88"/>
      <c r="B648" s="88"/>
      <c r="C648" s="88"/>
      <c r="D648" s="88"/>
      <c r="E648" s="88"/>
      <c r="F648" s="88"/>
      <c r="G648" s="88"/>
      <c r="H648" s="88"/>
      <c r="I648" s="88"/>
      <c r="J648" s="88"/>
      <c r="K648" s="88"/>
      <c r="L648" s="88"/>
      <c r="M648" s="88"/>
      <c r="N648" s="88"/>
      <c r="O648" s="88"/>
      <c r="P648" s="88"/>
      <c r="Q648" s="88"/>
      <c r="R648" s="88"/>
      <c r="S648" s="88"/>
      <c r="T648" s="88"/>
      <c r="U648" s="88"/>
      <c r="V648" s="88"/>
      <c r="W648" s="88"/>
      <c r="X648" s="88"/>
      <c r="Y648" s="88"/>
      <c r="Z648" s="88"/>
      <c r="AA648" s="88"/>
    </row>
    <row r="649" spans="1:27" ht="13.2">
      <c r="A649" s="88"/>
      <c r="B649" s="88"/>
      <c r="C649" s="88"/>
      <c r="D649" s="88"/>
      <c r="E649" s="88"/>
      <c r="F649" s="88"/>
      <c r="G649" s="88"/>
      <c r="H649" s="88"/>
      <c r="I649" s="88"/>
      <c r="J649" s="88"/>
      <c r="K649" s="88"/>
      <c r="L649" s="88"/>
      <c r="M649" s="88"/>
      <c r="N649" s="88"/>
      <c r="O649" s="88"/>
      <c r="P649" s="88"/>
      <c r="Q649" s="88"/>
      <c r="R649" s="88"/>
      <c r="S649" s="88"/>
      <c r="T649" s="88"/>
      <c r="U649" s="88"/>
      <c r="V649" s="88"/>
      <c r="W649" s="88"/>
      <c r="X649" s="88"/>
      <c r="Y649" s="88"/>
      <c r="Z649" s="88"/>
      <c r="AA649" s="88"/>
    </row>
    <row r="650" spans="1:27" ht="13.2">
      <c r="A650" s="88"/>
      <c r="B650" s="88"/>
      <c r="C650" s="88"/>
      <c r="D650" s="88"/>
      <c r="E650" s="88"/>
      <c r="F650" s="88"/>
      <c r="G650" s="88"/>
      <c r="H650" s="88"/>
      <c r="I650" s="88"/>
      <c r="J650" s="88"/>
      <c r="K650" s="88"/>
      <c r="L650" s="88"/>
      <c r="M650" s="88"/>
      <c r="N650" s="88"/>
      <c r="O650" s="88"/>
      <c r="P650" s="88"/>
      <c r="Q650" s="88"/>
      <c r="R650" s="88"/>
      <c r="S650" s="88"/>
      <c r="T650" s="88"/>
      <c r="U650" s="88"/>
      <c r="V650" s="88"/>
      <c r="W650" s="88"/>
      <c r="X650" s="88"/>
      <c r="Y650" s="88"/>
      <c r="Z650" s="88"/>
      <c r="AA650" s="88"/>
    </row>
    <row r="651" spans="1:27" ht="13.2">
      <c r="A651" s="88"/>
      <c r="B651" s="88"/>
      <c r="C651" s="88"/>
      <c r="D651" s="88"/>
      <c r="E651" s="88"/>
      <c r="F651" s="88"/>
      <c r="G651" s="88"/>
      <c r="H651" s="88"/>
      <c r="I651" s="88"/>
      <c r="J651" s="88"/>
      <c r="K651" s="88"/>
      <c r="L651" s="88"/>
      <c r="M651" s="88"/>
      <c r="N651" s="88"/>
      <c r="O651" s="88"/>
      <c r="P651" s="88"/>
      <c r="Q651" s="88"/>
      <c r="R651" s="88"/>
      <c r="S651" s="88"/>
      <c r="T651" s="88"/>
      <c r="U651" s="88"/>
      <c r="V651" s="88"/>
      <c r="W651" s="88"/>
      <c r="X651" s="88"/>
      <c r="Y651" s="88"/>
      <c r="Z651" s="88"/>
      <c r="AA651" s="88"/>
    </row>
    <row r="652" spans="1:27" ht="13.2">
      <c r="A652" s="88"/>
      <c r="B652" s="88"/>
      <c r="C652" s="88"/>
      <c r="D652" s="88"/>
      <c r="E652" s="88"/>
      <c r="F652" s="88"/>
      <c r="G652" s="88"/>
      <c r="H652" s="88"/>
      <c r="I652" s="88"/>
      <c r="J652" s="88"/>
      <c r="K652" s="88"/>
      <c r="L652" s="88"/>
      <c r="M652" s="88"/>
      <c r="N652" s="88"/>
      <c r="O652" s="88"/>
      <c r="P652" s="88"/>
      <c r="Q652" s="88"/>
      <c r="R652" s="88"/>
      <c r="S652" s="88"/>
      <c r="T652" s="88"/>
      <c r="U652" s="88"/>
      <c r="V652" s="88"/>
      <c r="W652" s="88"/>
      <c r="X652" s="88"/>
      <c r="Y652" s="88"/>
      <c r="Z652" s="88"/>
      <c r="AA652" s="88"/>
    </row>
    <row r="653" spans="1:27" ht="13.2">
      <c r="A653" s="88"/>
      <c r="B653" s="88"/>
      <c r="C653" s="88"/>
      <c r="D653" s="88"/>
      <c r="E653" s="88"/>
      <c r="F653" s="88"/>
      <c r="G653" s="88"/>
      <c r="H653" s="88"/>
      <c r="I653" s="88"/>
      <c r="J653" s="88"/>
      <c r="K653" s="88"/>
      <c r="L653" s="88"/>
      <c r="M653" s="88"/>
      <c r="N653" s="88"/>
      <c r="O653" s="88"/>
      <c r="P653" s="88"/>
      <c r="Q653" s="88"/>
      <c r="R653" s="88"/>
      <c r="S653" s="88"/>
      <c r="T653" s="88"/>
      <c r="U653" s="88"/>
      <c r="V653" s="88"/>
      <c r="W653" s="88"/>
      <c r="X653" s="88"/>
      <c r="Y653" s="88"/>
      <c r="Z653" s="88"/>
      <c r="AA653" s="88"/>
    </row>
    <row r="654" spans="1:27" ht="13.2">
      <c r="A654" s="88"/>
      <c r="B654" s="88"/>
      <c r="C654" s="88"/>
      <c r="D654" s="88"/>
      <c r="E654" s="88"/>
      <c r="F654" s="88"/>
      <c r="G654" s="88"/>
      <c r="H654" s="88"/>
      <c r="I654" s="88"/>
      <c r="J654" s="88"/>
      <c r="K654" s="88"/>
      <c r="L654" s="88"/>
      <c r="M654" s="88"/>
      <c r="N654" s="88"/>
      <c r="O654" s="88"/>
      <c r="P654" s="88"/>
      <c r="Q654" s="88"/>
      <c r="R654" s="88"/>
      <c r="S654" s="88"/>
      <c r="T654" s="88"/>
      <c r="U654" s="88"/>
      <c r="V654" s="88"/>
      <c r="W654" s="88"/>
      <c r="X654" s="88"/>
      <c r="Y654" s="88"/>
      <c r="Z654" s="88"/>
      <c r="AA654" s="88"/>
    </row>
    <row r="655" spans="1:27" ht="13.2">
      <c r="A655" s="88"/>
      <c r="B655" s="88"/>
      <c r="C655" s="88"/>
      <c r="D655" s="88"/>
      <c r="E655" s="88"/>
      <c r="F655" s="88"/>
      <c r="G655" s="88"/>
      <c r="H655" s="88"/>
      <c r="I655" s="88"/>
      <c r="J655" s="88"/>
      <c r="K655" s="88"/>
      <c r="L655" s="88"/>
      <c r="M655" s="88"/>
      <c r="N655" s="88"/>
      <c r="O655" s="88"/>
      <c r="P655" s="88"/>
      <c r="Q655" s="88"/>
      <c r="R655" s="88"/>
      <c r="S655" s="88"/>
      <c r="T655" s="88"/>
      <c r="U655" s="88"/>
      <c r="V655" s="88"/>
      <c r="W655" s="88"/>
      <c r="X655" s="88"/>
      <c r="Y655" s="88"/>
      <c r="Z655" s="88"/>
      <c r="AA655" s="88"/>
    </row>
    <row r="656" spans="1:27" ht="13.2">
      <c r="A656" s="88"/>
      <c r="B656" s="88"/>
      <c r="C656" s="88"/>
      <c r="D656" s="88"/>
      <c r="E656" s="88"/>
      <c r="F656" s="88"/>
      <c r="G656" s="88"/>
      <c r="H656" s="88"/>
      <c r="I656" s="88"/>
      <c r="J656" s="88"/>
      <c r="K656" s="88"/>
      <c r="L656" s="88"/>
      <c r="M656" s="88"/>
      <c r="N656" s="88"/>
      <c r="O656" s="88"/>
      <c r="P656" s="88"/>
      <c r="Q656" s="88"/>
      <c r="R656" s="88"/>
      <c r="S656" s="88"/>
      <c r="T656" s="88"/>
      <c r="U656" s="88"/>
      <c r="V656" s="88"/>
      <c r="W656" s="88"/>
      <c r="X656" s="88"/>
      <c r="Y656" s="88"/>
      <c r="Z656" s="88"/>
      <c r="AA656" s="88"/>
    </row>
    <row r="657" spans="1:27" ht="13.2">
      <c r="A657" s="88"/>
      <c r="B657" s="88"/>
      <c r="C657" s="88"/>
      <c r="D657" s="88"/>
      <c r="E657" s="88"/>
      <c r="F657" s="88"/>
      <c r="G657" s="88"/>
      <c r="H657" s="88"/>
      <c r="I657" s="88"/>
      <c r="J657" s="88"/>
      <c r="K657" s="88"/>
      <c r="L657" s="88"/>
      <c r="M657" s="88"/>
      <c r="N657" s="88"/>
      <c r="O657" s="88"/>
      <c r="P657" s="88"/>
      <c r="Q657" s="88"/>
      <c r="R657" s="88"/>
      <c r="S657" s="88"/>
      <c r="T657" s="88"/>
      <c r="U657" s="88"/>
      <c r="V657" s="88"/>
      <c r="W657" s="88"/>
      <c r="X657" s="88"/>
      <c r="Y657" s="88"/>
      <c r="Z657" s="88"/>
      <c r="AA657" s="88"/>
    </row>
    <row r="658" spans="1:27" ht="13.2">
      <c r="A658" s="88"/>
      <c r="B658" s="88"/>
      <c r="C658" s="88"/>
      <c r="D658" s="88"/>
      <c r="E658" s="88"/>
      <c r="F658" s="88"/>
      <c r="G658" s="88"/>
      <c r="H658" s="88"/>
      <c r="I658" s="88"/>
      <c r="J658" s="88"/>
      <c r="K658" s="88"/>
      <c r="L658" s="88"/>
      <c r="M658" s="88"/>
      <c r="N658" s="88"/>
      <c r="O658" s="88"/>
      <c r="P658" s="88"/>
      <c r="Q658" s="88"/>
      <c r="R658" s="88"/>
      <c r="S658" s="88"/>
      <c r="T658" s="88"/>
      <c r="U658" s="88"/>
      <c r="V658" s="88"/>
      <c r="W658" s="88"/>
      <c r="X658" s="88"/>
      <c r="Y658" s="88"/>
      <c r="Z658" s="88"/>
      <c r="AA658" s="88"/>
    </row>
    <row r="659" spans="1:27" ht="13.2">
      <c r="A659" s="88"/>
      <c r="B659" s="88"/>
      <c r="C659" s="88"/>
      <c r="D659" s="88"/>
      <c r="E659" s="88"/>
      <c r="F659" s="88"/>
      <c r="G659" s="88"/>
      <c r="H659" s="88"/>
      <c r="I659" s="88"/>
      <c r="J659" s="88"/>
      <c r="K659" s="88"/>
      <c r="L659" s="88"/>
      <c r="M659" s="88"/>
      <c r="N659" s="88"/>
      <c r="O659" s="88"/>
      <c r="P659" s="88"/>
      <c r="Q659" s="88"/>
      <c r="R659" s="88"/>
      <c r="S659" s="88"/>
      <c r="T659" s="88"/>
      <c r="U659" s="88"/>
      <c r="V659" s="88"/>
      <c r="W659" s="88"/>
      <c r="X659" s="88"/>
      <c r="Y659" s="88"/>
      <c r="Z659" s="88"/>
      <c r="AA659" s="88"/>
    </row>
    <row r="660" spans="1:27" ht="13.2">
      <c r="A660" s="88"/>
      <c r="B660" s="88"/>
      <c r="C660" s="88"/>
      <c r="D660" s="88"/>
      <c r="E660" s="88"/>
      <c r="F660" s="88"/>
      <c r="G660" s="88"/>
      <c r="H660" s="88"/>
      <c r="I660" s="88"/>
      <c r="J660" s="88"/>
      <c r="K660" s="88"/>
      <c r="L660" s="88"/>
      <c r="M660" s="88"/>
      <c r="N660" s="88"/>
      <c r="O660" s="88"/>
      <c r="P660" s="88"/>
      <c r="Q660" s="88"/>
      <c r="R660" s="88"/>
      <c r="S660" s="88"/>
      <c r="T660" s="88"/>
      <c r="U660" s="88"/>
      <c r="V660" s="88"/>
      <c r="W660" s="88"/>
      <c r="X660" s="88"/>
      <c r="Y660" s="88"/>
      <c r="Z660" s="88"/>
      <c r="AA660" s="88"/>
    </row>
    <row r="661" spans="1:27" ht="13.2">
      <c r="A661" s="88"/>
      <c r="B661" s="88"/>
      <c r="C661" s="88"/>
      <c r="D661" s="88"/>
      <c r="E661" s="88"/>
      <c r="F661" s="88"/>
      <c r="G661" s="88"/>
      <c r="H661" s="88"/>
      <c r="I661" s="88"/>
      <c r="J661" s="88"/>
      <c r="K661" s="88"/>
      <c r="L661" s="88"/>
      <c r="M661" s="88"/>
      <c r="N661" s="88"/>
      <c r="O661" s="88"/>
      <c r="P661" s="88"/>
      <c r="Q661" s="88"/>
      <c r="R661" s="88"/>
      <c r="S661" s="88"/>
      <c r="T661" s="88"/>
      <c r="U661" s="88"/>
      <c r="V661" s="88"/>
      <c r="W661" s="88"/>
      <c r="X661" s="88"/>
      <c r="Y661" s="88"/>
      <c r="Z661" s="88"/>
      <c r="AA661" s="88"/>
    </row>
    <row r="662" spans="1:27" ht="13.2">
      <c r="A662" s="88"/>
      <c r="B662" s="88"/>
      <c r="C662" s="88"/>
      <c r="D662" s="88"/>
      <c r="E662" s="88"/>
      <c r="F662" s="88"/>
      <c r="G662" s="88"/>
      <c r="H662" s="88"/>
      <c r="I662" s="88"/>
      <c r="J662" s="88"/>
      <c r="K662" s="88"/>
      <c r="L662" s="88"/>
      <c r="M662" s="88"/>
      <c r="N662" s="88"/>
      <c r="O662" s="88"/>
      <c r="P662" s="88"/>
      <c r="Q662" s="88"/>
      <c r="R662" s="88"/>
      <c r="S662" s="88"/>
      <c r="T662" s="88"/>
      <c r="U662" s="88"/>
      <c r="V662" s="88"/>
      <c r="W662" s="88"/>
      <c r="X662" s="88"/>
      <c r="Y662" s="88"/>
      <c r="Z662" s="88"/>
      <c r="AA662" s="88"/>
    </row>
    <row r="663" spans="1:27" ht="13.2">
      <c r="A663" s="88"/>
      <c r="B663" s="88"/>
      <c r="C663" s="88"/>
      <c r="D663" s="88"/>
      <c r="E663" s="88"/>
      <c r="F663" s="88"/>
      <c r="G663" s="88"/>
      <c r="H663" s="88"/>
      <c r="I663" s="88"/>
      <c r="J663" s="88"/>
      <c r="K663" s="88"/>
      <c r="L663" s="88"/>
      <c r="M663" s="88"/>
      <c r="N663" s="88"/>
      <c r="O663" s="88"/>
      <c r="P663" s="88"/>
      <c r="Q663" s="88"/>
      <c r="R663" s="88"/>
      <c r="S663" s="88"/>
      <c r="T663" s="88"/>
      <c r="U663" s="88"/>
      <c r="V663" s="88"/>
      <c r="W663" s="88"/>
      <c r="X663" s="88"/>
      <c r="Y663" s="88"/>
      <c r="Z663" s="88"/>
      <c r="AA663" s="88"/>
    </row>
    <row r="664" spans="1:27" ht="13.2">
      <c r="A664" s="88"/>
      <c r="B664" s="88"/>
      <c r="C664" s="88"/>
      <c r="D664" s="88"/>
      <c r="E664" s="88"/>
      <c r="F664" s="88"/>
      <c r="G664" s="88"/>
      <c r="H664" s="88"/>
      <c r="I664" s="88"/>
      <c r="J664" s="88"/>
      <c r="K664" s="88"/>
      <c r="L664" s="88"/>
      <c r="M664" s="88"/>
      <c r="N664" s="88"/>
      <c r="O664" s="88"/>
      <c r="P664" s="88"/>
      <c r="Q664" s="88"/>
      <c r="R664" s="88"/>
      <c r="S664" s="88"/>
      <c r="T664" s="88"/>
      <c r="U664" s="88"/>
      <c r="V664" s="88"/>
      <c r="W664" s="88"/>
      <c r="X664" s="88"/>
      <c r="Y664" s="88"/>
      <c r="Z664" s="88"/>
      <c r="AA664" s="88"/>
    </row>
    <row r="665" spans="1:27" ht="13.2">
      <c r="A665" s="88"/>
      <c r="B665" s="88"/>
      <c r="C665" s="88"/>
      <c r="D665" s="88"/>
      <c r="E665" s="88"/>
      <c r="F665" s="88"/>
      <c r="G665" s="88"/>
      <c r="H665" s="88"/>
      <c r="I665" s="88"/>
      <c r="J665" s="88"/>
      <c r="K665" s="88"/>
      <c r="L665" s="88"/>
      <c r="M665" s="88"/>
      <c r="N665" s="88"/>
      <c r="O665" s="88"/>
      <c r="P665" s="88"/>
      <c r="Q665" s="88"/>
      <c r="R665" s="88"/>
      <c r="S665" s="88"/>
      <c r="T665" s="88"/>
      <c r="U665" s="88"/>
      <c r="V665" s="88"/>
      <c r="W665" s="88"/>
      <c r="X665" s="88"/>
      <c r="Y665" s="88"/>
      <c r="Z665" s="88"/>
      <c r="AA665" s="88"/>
    </row>
    <row r="666" spans="1:27" ht="13.2">
      <c r="A666" s="88"/>
      <c r="B666" s="88"/>
      <c r="C666" s="88"/>
      <c r="D666" s="88"/>
      <c r="E666" s="88"/>
      <c r="F666" s="88"/>
      <c r="G666" s="88"/>
      <c r="H666" s="88"/>
      <c r="I666" s="88"/>
      <c r="J666" s="88"/>
      <c r="K666" s="88"/>
      <c r="L666" s="88"/>
      <c r="M666" s="88"/>
      <c r="N666" s="88"/>
      <c r="O666" s="88"/>
      <c r="P666" s="88"/>
      <c r="Q666" s="88"/>
      <c r="R666" s="88"/>
      <c r="S666" s="88"/>
      <c r="T666" s="88"/>
      <c r="U666" s="88"/>
      <c r="V666" s="88"/>
      <c r="W666" s="88"/>
      <c r="X666" s="88"/>
      <c r="Y666" s="88"/>
      <c r="Z666" s="88"/>
      <c r="AA666" s="88"/>
    </row>
    <row r="667" spans="1:27" ht="13.2">
      <c r="A667" s="88"/>
      <c r="B667" s="88"/>
      <c r="C667" s="88"/>
      <c r="D667" s="88"/>
      <c r="E667" s="88"/>
      <c r="F667" s="88"/>
      <c r="G667" s="88"/>
      <c r="H667" s="88"/>
      <c r="I667" s="88"/>
      <c r="J667" s="88"/>
      <c r="K667" s="88"/>
      <c r="L667" s="88"/>
      <c r="M667" s="88"/>
      <c r="N667" s="88"/>
      <c r="O667" s="88"/>
      <c r="P667" s="88"/>
      <c r="Q667" s="88"/>
      <c r="R667" s="88"/>
      <c r="S667" s="88"/>
      <c r="T667" s="88"/>
      <c r="U667" s="88"/>
      <c r="V667" s="88"/>
      <c r="W667" s="88"/>
      <c r="X667" s="88"/>
      <c r="Y667" s="88"/>
      <c r="Z667" s="88"/>
      <c r="AA667" s="88"/>
    </row>
    <row r="668" spans="1:27" ht="13.2">
      <c r="A668" s="88"/>
      <c r="B668" s="88"/>
      <c r="C668" s="88"/>
      <c r="D668" s="88"/>
      <c r="E668" s="88"/>
      <c r="F668" s="88"/>
      <c r="G668" s="88"/>
      <c r="H668" s="88"/>
      <c r="I668" s="88"/>
      <c r="J668" s="88"/>
      <c r="K668" s="88"/>
      <c r="L668" s="88"/>
      <c r="M668" s="88"/>
      <c r="N668" s="88"/>
      <c r="O668" s="88"/>
      <c r="P668" s="88"/>
      <c r="Q668" s="88"/>
      <c r="R668" s="88"/>
      <c r="S668" s="88"/>
      <c r="T668" s="88"/>
      <c r="U668" s="88"/>
      <c r="V668" s="88"/>
      <c r="W668" s="88"/>
      <c r="X668" s="88"/>
      <c r="Y668" s="88"/>
      <c r="Z668" s="88"/>
      <c r="AA668" s="88"/>
    </row>
    <row r="669" spans="1:27" ht="13.2">
      <c r="A669" s="88"/>
      <c r="B669" s="88"/>
      <c r="C669" s="88"/>
      <c r="D669" s="88"/>
      <c r="E669" s="88"/>
      <c r="F669" s="88"/>
      <c r="G669" s="88"/>
      <c r="H669" s="88"/>
      <c r="I669" s="88"/>
      <c r="J669" s="88"/>
      <c r="K669" s="88"/>
      <c r="L669" s="88"/>
      <c r="M669" s="88"/>
      <c r="N669" s="88"/>
      <c r="O669" s="88"/>
      <c r="P669" s="88"/>
      <c r="Q669" s="88"/>
      <c r="R669" s="88"/>
      <c r="S669" s="88"/>
      <c r="T669" s="88"/>
      <c r="U669" s="88"/>
      <c r="V669" s="88"/>
      <c r="W669" s="88"/>
      <c r="X669" s="88"/>
      <c r="Y669" s="88"/>
      <c r="Z669" s="88"/>
      <c r="AA669" s="88"/>
    </row>
    <row r="670" spans="1:27" ht="13.2">
      <c r="A670" s="88"/>
      <c r="B670" s="88"/>
      <c r="C670" s="88"/>
      <c r="D670" s="88"/>
      <c r="E670" s="88"/>
      <c r="F670" s="88"/>
      <c r="G670" s="88"/>
      <c r="H670" s="88"/>
      <c r="I670" s="88"/>
      <c r="J670" s="88"/>
      <c r="K670" s="88"/>
      <c r="L670" s="88"/>
      <c r="M670" s="88"/>
      <c r="N670" s="88"/>
      <c r="O670" s="88"/>
      <c r="P670" s="88"/>
      <c r="Q670" s="88"/>
      <c r="R670" s="88"/>
      <c r="S670" s="88"/>
      <c r="T670" s="88"/>
      <c r="U670" s="88"/>
      <c r="V670" s="88"/>
      <c r="W670" s="88"/>
      <c r="X670" s="88"/>
      <c r="Y670" s="88"/>
      <c r="Z670" s="88"/>
      <c r="AA670" s="88"/>
    </row>
    <row r="671" spans="1:27" ht="13.2">
      <c r="A671" s="88"/>
      <c r="B671" s="88"/>
      <c r="C671" s="88"/>
      <c r="D671" s="88"/>
      <c r="E671" s="88"/>
      <c r="F671" s="88"/>
      <c r="G671" s="88"/>
      <c r="H671" s="88"/>
      <c r="I671" s="88"/>
      <c r="J671" s="88"/>
      <c r="K671" s="88"/>
      <c r="L671" s="88"/>
      <c r="M671" s="88"/>
      <c r="N671" s="88"/>
      <c r="O671" s="88"/>
      <c r="P671" s="88"/>
      <c r="Q671" s="88"/>
      <c r="R671" s="88"/>
      <c r="S671" s="88"/>
      <c r="T671" s="88"/>
      <c r="U671" s="88"/>
      <c r="V671" s="88"/>
      <c r="W671" s="88"/>
      <c r="X671" s="88"/>
      <c r="Y671" s="88"/>
      <c r="Z671" s="88"/>
      <c r="AA671" s="88"/>
    </row>
    <row r="672" spans="1:27" ht="13.2">
      <c r="A672" s="88"/>
      <c r="B672" s="88"/>
      <c r="C672" s="88"/>
      <c r="D672" s="88"/>
      <c r="E672" s="88"/>
      <c r="F672" s="88"/>
      <c r="G672" s="88"/>
      <c r="H672" s="88"/>
      <c r="I672" s="88"/>
      <c r="J672" s="88"/>
      <c r="K672" s="88"/>
      <c r="L672" s="88"/>
      <c r="M672" s="88"/>
      <c r="N672" s="88"/>
      <c r="O672" s="88"/>
      <c r="P672" s="88"/>
      <c r="Q672" s="88"/>
      <c r="R672" s="88"/>
      <c r="S672" s="88"/>
      <c r="T672" s="88"/>
      <c r="U672" s="88"/>
      <c r="V672" s="88"/>
      <c r="W672" s="88"/>
      <c r="X672" s="88"/>
      <c r="Y672" s="88"/>
      <c r="Z672" s="88"/>
      <c r="AA672" s="88"/>
    </row>
    <row r="673" spans="1:27" ht="13.2">
      <c r="A673" s="88"/>
      <c r="B673" s="88"/>
      <c r="C673" s="88"/>
      <c r="D673" s="88"/>
      <c r="E673" s="88"/>
      <c r="F673" s="88"/>
      <c r="G673" s="88"/>
      <c r="H673" s="88"/>
      <c r="I673" s="88"/>
      <c r="J673" s="88"/>
      <c r="K673" s="88"/>
      <c r="L673" s="88"/>
      <c r="M673" s="88"/>
      <c r="N673" s="88"/>
      <c r="O673" s="88"/>
      <c r="P673" s="88"/>
      <c r="Q673" s="88"/>
      <c r="R673" s="88"/>
      <c r="S673" s="88"/>
      <c r="T673" s="88"/>
      <c r="U673" s="88"/>
      <c r="V673" s="88"/>
      <c r="W673" s="88"/>
      <c r="X673" s="88"/>
      <c r="Y673" s="88"/>
      <c r="Z673" s="88"/>
      <c r="AA673" s="88"/>
    </row>
    <row r="674" spans="1:27" ht="13.2">
      <c r="A674" s="88"/>
      <c r="B674" s="88"/>
      <c r="C674" s="88"/>
      <c r="D674" s="88"/>
      <c r="E674" s="88"/>
      <c r="F674" s="88"/>
      <c r="G674" s="88"/>
      <c r="H674" s="88"/>
      <c r="I674" s="88"/>
      <c r="J674" s="88"/>
      <c r="K674" s="88"/>
      <c r="L674" s="88"/>
      <c r="M674" s="88"/>
      <c r="N674" s="88"/>
      <c r="O674" s="88"/>
      <c r="P674" s="88"/>
      <c r="Q674" s="88"/>
      <c r="R674" s="88"/>
      <c r="S674" s="88"/>
      <c r="T674" s="88"/>
      <c r="U674" s="88"/>
      <c r="V674" s="88"/>
      <c r="W674" s="88"/>
      <c r="X674" s="88"/>
      <c r="Y674" s="88"/>
      <c r="Z674" s="88"/>
      <c r="AA674" s="88"/>
    </row>
    <row r="675" spans="1:27" ht="13.2">
      <c r="A675" s="88"/>
      <c r="B675" s="88"/>
      <c r="C675" s="88"/>
      <c r="D675" s="88"/>
      <c r="E675" s="88"/>
      <c r="F675" s="88"/>
      <c r="G675" s="88"/>
      <c r="H675" s="88"/>
      <c r="I675" s="88"/>
      <c r="J675" s="88"/>
      <c r="K675" s="88"/>
      <c r="L675" s="88"/>
      <c r="M675" s="88"/>
      <c r="N675" s="88"/>
      <c r="O675" s="88"/>
      <c r="P675" s="88"/>
      <c r="Q675" s="88"/>
      <c r="R675" s="88"/>
      <c r="S675" s="88"/>
      <c r="T675" s="88"/>
      <c r="U675" s="88"/>
      <c r="V675" s="88"/>
      <c r="W675" s="88"/>
      <c r="X675" s="88"/>
      <c r="Y675" s="88"/>
      <c r="Z675" s="88"/>
      <c r="AA675" s="88"/>
    </row>
    <row r="676" spans="1:27" ht="13.2">
      <c r="A676" s="88"/>
      <c r="B676" s="88"/>
      <c r="C676" s="88"/>
      <c r="D676" s="88"/>
      <c r="E676" s="88"/>
      <c r="F676" s="88"/>
      <c r="G676" s="88"/>
      <c r="H676" s="88"/>
      <c r="I676" s="88"/>
      <c r="J676" s="88"/>
      <c r="K676" s="88"/>
      <c r="L676" s="88"/>
      <c r="M676" s="88"/>
      <c r="N676" s="88"/>
      <c r="O676" s="88"/>
      <c r="P676" s="88"/>
      <c r="Q676" s="88"/>
      <c r="R676" s="88"/>
      <c r="S676" s="88"/>
      <c r="T676" s="88"/>
      <c r="U676" s="88"/>
      <c r="V676" s="88"/>
      <c r="W676" s="88"/>
      <c r="X676" s="88"/>
      <c r="Y676" s="88"/>
      <c r="Z676" s="88"/>
      <c r="AA676" s="88"/>
    </row>
    <row r="677" spans="1:27" ht="13.2">
      <c r="A677" s="88"/>
      <c r="B677" s="88"/>
      <c r="C677" s="88"/>
      <c r="D677" s="88"/>
      <c r="E677" s="88"/>
      <c r="F677" s="88"/>
      <c r="G677" s="88"/>
      <c r="H677" s="88"/>
      <c r="I677" s="88"/>
      <c r="J677" s="88"/>
      <c r="K677" s="88"/>
      <c r="L677" s="88"/>
      <c r="M677" s="88"/>
      <c r="N677" s="88"/>
      <c r="O677" s="88"/>
      <c r="P677" s="88"/>
      <c r="Q677" s="88"/>
      <c r="R677" s="88"/>
      <c r="S677" s="88"/>
      <c r="T677" s="88"/>
      <c r="U677" s="88"/>
      <c r="V677" s="88"/>
      <c r="W677" s="88"/>
      <c r="X677" s="88"/>
      <c r="Y677" s="88"/>
      <c r="Z677" s="88"/>
      <c r="AA677" s="88"/>
    </row>
    <row r="678" spans="1:27" ht="13.2">
      <c r="A678" s="88"/>
      <c r="B678" s="88"/>
      <c r="C678" s="88"/>
      <c r="D678" s="88"/>
      <c r="E678" s="88"/>
      <c r="F678" s="88"/>
      <c r="G678" s="88"/>
      <c r="H678" s="88"/>
      <c r="I678" s="88"/>
      <c r="J678" s="88"/>
      <c r="K678" s="88"/>
      <c r="L678" s="88"/>
      <c r="M678" s="88"/>
      <c r="N678" s="88"/>
      <c r="O678" s="88"/>
      <c r="P678" s="88"/>
      <c r="Q678" s="88"/>
      <c r="R678" s="88"/>
      <c r="S678" s="88"/>
      <c r="T678" s="88"/>
      <c r="U678" s="88"/>
      <c r="V678" s="88"/>
      <c r="W678" s="88"/>
      <c r="X678" s="88"/>
      <c r="Y678" s="88"/>
      <c r="Z678" s="88"/>
      <c r="AA678" s="88"/>
    </row>
    <row r="679" spans="1:27" ht="13.2">
      <c r="A679" s="88"/>
      <c r="B679" s="88"/>
      <c r="C679" s="88"/>
      <c r="D679" s="88"/>
      <c r="E679" s="88"/>
      <c r="F679" s="88"/>
      <c r="G679" s="88"/>
      <c r="H679" s="88"/>
      <c r="I679" s="88"/>
      <c r="J679" s="88"/>
      <c r="K679" s="88"/>
      <c r="L679" s="88"/>
      <c r="M679" s="88"/>
      <c r="N679" s="88"/>
      <c r="O679" s="88"/>
      <c r="P679" s="88"/>
      <c r="Q679" s="88"/>
      <c r="R679" s="88"/>
      <c r="S679" s="88"/>
      <c r="T679" s="88"/>
      <c r="U679" s="88"/>
      <c r="V679" s="88"/>
      <c r="W679" s="88"/>
      <c r="X679" s="88"/>
      <c r="Y679" s="88"/>
      <c r="Z679" s="88"/>
      <c r="AA679" s="88"/>
    </row>
    <row r="680" spans="1:27" ht="13.2">
      <c r="A680" s="88"/>
      <c r="B680" s="88"/>
      <c r="C680" s="88"/>
      <c r="D680" s="88"/>
      <c r="E680" s="88"/>
      <c r="F680" s="88"/>
      <c r="G680" s="88"/>
      <c r="H680" s="88"/>
      <c r="I680" s="88"/>
      <c r="J680" s="88"/>
      <c r="K680" s="88"/>
      <c r="L680" s="88"/>
      <c r="M680" s="88"/>
      <c r="N680" s="88"/>
      <c r="O680" s="88"/>
      <c r="P680" s="88"/>
      <c r="Q680" s="88"/>
      <c r="R680" s="88"/>
      <c r="S680" s="88"/>
      <c r="T680" s="88"/>
      <c r="U680" s="88"/>
      <c r="V680" s="88"/>
      <c r="W680" s="88"/>
      <c r="X680" s="88"/>
      <c r="Y680" s="88"/>
      <c r="Z680" s="88"/>
      <c r="AA680" s="88"/>
    </row>
    <row r="681" spans="1:27" ht="13.2">
      <c r="A681" s="88"/>
      <c r="B681" s="88"/>
      <c r="C681" s="88"/>
      <c r="D681" s="88"/>
      <c r="E681" s="88"/>
      <c r="F681" s="88"/>
      <c r="G681" s="88"/>
      <c r="H681" s="88"/>
      <c r="I681" s="88"/>
      <c r="J681" s="88"/>
      <c r="K681" s="88"/>
      <c r="L681" s="88"/>
      <c r="M681" s="88"/>
      <c r="N681" s="88"/>
      <c r="O681" s="88"/>
      <c r="P681" s="88"/>
      <c r="Q681" s="88"/>
      <c r="R681" s="88"/>
      <c r="S681" s="88"/>
      <c r="T681" s="88"/>
      <c r="U681" s="88"/>
      <c r="V681" s="88"/>
      <c r="W681" s="88"/>
      <c r="X681" s="88"/>
      <c r="Y681" s="88"/>
      <c r="Z681" s="88"/>
      <c r="AA681" s="88"/>
    </row>
    <row r="682" spans="1:27" ht="13.2">
      <c r="A682" s="88"/>
      <c r="B682" s="88"/>
      <c r="C682" s="88"/>
      <c r="D682" s="88"/>
      <c r="E682" s="88"/>
      <c r="F682" s="88"/>
      <c r="G682" s="88"/>
      <c r="H682" s="88"/>
      <c r="I682" s="88"/>
      <c r="J682" s="88"/>
      <c r="K682" s="88"/>
      <c r="L682" s="88"/>
      <c r="M682" s="88"/>
      <c r="N682" s="88"/>
      <c r="O682" s="88"/>
      <c r="P682" s="88"/>
      <c r="Q682" s="88"/>
      <c r="R682" s="88"/>
      <c r="S682" s="88"/>
      <c r="T682" s="88"/>
      <c r="U682" s="88"/>
      <c r="V682" s="88"/>
      <c r="W682" s="88"/>
      <c r="X682" s="88"/>
      <c r="Y682" s="88"/>
      <c r="Z682" s="88"/>
      <c r="AA682" s="88"/>
    </row>
    <row r="683" spans="1:27" ht="13.2">
      <c r="A683" s="88"/>
      <c r="B683" s="88"/>
      <c r="C683" s="88"/>
      <c r="D683" s="88"/>
      <c r="E683" s="88"/>
      <c r="F683" s="88"/>
      <c r="G683" s="88"/>
      <c r="H683" s="88"/>
      <c r="I683" s="88"/>
      <c r="J683" s="88"/>
      <c r="K683" s="88"/>
      <c r="L683" s="88"/>
      <c r="M683" s="88"/>
      <c r="N683" s="88"/>
      <c r="O683" s="88"/>
      <c r="P683" s="88"/>
      <c r="Q683" s="88"/>
      <c r="R683" s="88"/>
      <c r="S683" s="88"/>
      <c r="T683" s="88"/>
      <c r="U683" s="88"/>
      <c r="V683" s="88"/>
      <c r="W683" s="88"/>
      <c r="X683" s="88"/>
      <c r="Y683" s="88"/>
      <c r="Z683" s="88"/>
      <c r="AA683" s="88"/>
    </row>
    <row r="684" spans="1:27" ht="13.2">
      <c r="A684" s="88"/>
      <c r="B684" s="88"/>
      <c r="C684" s="88"/>
      <c r="D684" s="88"/>
      <c r="E684" s="88"/>
      <c r="F684" s="88"/>
      <c r="G684" s="88"/>
      <c r="H684" s="88"/>
      <c r="I684" s="88"/>
      <c r="J684" s="88"/>
      <c r="K684" s="88"/>
      <c r="L684" s="88"/>
      <c r="M684" s="88"/>
      <c r="N684" s="88"/>
      <c r="O684" s="88"/>
      <c r="P684" s="88"/>
      <c r="Q684" s="88"/>
      <c r="R684" s="88"/>
      <c r="S684" s="88"/>
      <c r="T684" s="88"/>
      <c r="U684" s="88"/>
      <c r="V684" s="88"/>
      <c r="W684" s="88"/>
      <c r="X684" s="88"/>
      <c r="Y684" s="88"/>
      <c r="Z684" s="88"/>
      <c r="AA684" s="88"/>
    </row>
    <row r="685" spans="1:27" ht="13.2">
      <c r="A685" s="88"/>
      <c r="B685" s="88"/>
      <c r="C685" s="88"/>
      <c r="D685" s="88"/>
      <c r="E685" s="88"/>
      <c r="F685" s="88"/>
      <c r="G685" s="88"/>
      <c r="H685" s="88"/>
      <c r="I685" s="88"/>
      <c r="J685" s="88"/>
      <c r="K685" s="88"/>
      <c r="L685" s="88"/>
      <c r="M685" s="88"/>
      <c r="N685" s="88"/>
      <c r="O685" s="88"/>
      <c r="P685" s="88"/>
      <c r="Q685" s="88"/>
      <c r="R685" s="88"/>
      <c r="S685" s="88"/>
      <c r="T685" s="88"/>
      <c r="U685" s="88"/>
      <c r="V685" s="88"/>
      <c r="W685" s="88"/>
      <c r="X685" s="88"/>
      <c r="Y685" s="88"/>
      <c r="Z685" s="88"/>
      <c r="AA685" s="88"/>
    </row>
    <row r="686" spans="1:27" ht="13.2">
      <c r="A686" s="88"/>
      <c r="B686" s="88"/>
      <c r="C686" s="88"/>
      <c r="D686" s="88"/>
      <c r="E686" s="88"/>
      <c r="F686" s="88"/>
      <c r="G686" s="88"/>
      <c r="H686" s="88"/>
      <c r="I686" s="88"/>
      <c r="J686" s="88"/>
      <c r="K686" s="88"/>
      <c r="L686" s="88"/>
      <c r="M686" s="88"/>
      <c r="N686" s="88"/>
      <c r="O686" s="88"/>
      <c r="P686" s="88"/>
      <c r="Q686" s="88"/>
      <c r="R686" s="88"/>
      <c r="S686" s="88"/>
      <c r="T686" s="88"/>
      <c r="U686" s="88"/>
      <c r="V686" s="88"/>
      <c r="W686" s="88"/>
      <c r="X686" s="88"/>
      <c r="Y686" s="88"/>
      <c r="Z686" s="88"/>
      <c r="AA686" s="88"/>
    </row>
    <row r="687" spans="1:27" ht="13.2">
      <c r="A687" s="88"/>
      <c r="B687" s="88"/>
      <c r="C687" s="88"/>
      <c r="D687" s="88"/>
      <c r="E687" s="88"/>
      <c r="F687" s="88"/>
      <c r="G687" s="88"/>
      <c r="H687" s="88"/>
      <c r="I687" s="88"/>
      <c r="J687" s="88"/>
      <c r="K687" s="88"/>
      <c r="L687" s="88"/>
      <c r="M687" s="88"/>
      <c r="N687" s="88"/>
      <c r="O687" s="88"/>
      <c r="P687" s="88"/>
      <c r="Q687" s="88"/>
      <c r="R687" s="88"/>
      <c r="S687" s="88"/>
      <c r="T687" s="88"/>
      <c r="U687" s="88"/>
      <c r="V687" s="88"/>
      <c r="W687" s="88"/>
      <c r="X687" s="88"/>
      <c r="Y687" s="88"/>
      <c r="Z687" s="88"/>
      <c r="AA687" s="88"/>
    </row>
    <row r="688" spans="1:27" ht="13.2">
      <c r="A688" s="88"/>
      <c r="B688" s="88"/>
      <c r="C688" s="88"/>
      <c r="D688" s="88"/>
      <c r="E688" s="88"/>
      <c r="F688" s="88"/>
      <c r="G688" s="88"/>
      <c r="H688" s="88"/>
      <c r="I688" s="88"/>
      <c r="J688" s="88"/>
      <c r="K688" s="88"/>
      <c r="L688" s="88"/>
      <c r="M688" s="88"/>
      <c r="N688" s="88"/>
      <c r="O688" s="88"/>
      <c r="P688" s="88"/>
      <c r="Q688" s="88"/>
      <c r="R688" s="88"/>
      <c r="S688" s="88"/>
      <c r="T688" s="88"/>
      <c r="U688" s="88"/>
      <c r="V688" s="88"/>
      <c r="W688" s="88"/>
      <c r="X688" s="88"/>
      <c r="Y688" s="88"/>
      <c r="Z688" s="88"/>
      <c r="AA688" s="88"/>
    </row>
    <row r="689" spans="1:27" ht="13.2">
      <c r="A689" s="88"/>
      <c r="B689" s="88"/>
      <c r="C689" s="88"/>
      <c r="D689" s="88"/>
      <c r="E689" s="88"/>
      <c r="F689" s="88"/>
      <c r="G689" s="88"/>
      <c r="H689" s="88"/>
      <c r="I689" s="88"/>
      <c r="J689" s="88"/>
      <c r="K689" s="88"/>
      <c r="L689" s="88"/>
      <c r="M689" s="88"/>
      <c r="N689" s="88"/>
      <c r="O689" s="88"/>
      <c r="P689" s="88"/>
      <c r="Q689" s="88"/>
      <c r="R689" s="88"/>
      <c r="S689" s="88"/>
      <c r="T689" s="88"/>
      <c r="U689" s="88"/>
      <c r="V689" s="88"/>
      <c r="W689" s="88"/>
      <c r="X689" s="88"/>
      <c r="Y689" s="88"/>
      <c r="Z689" s="88"/>
      <c r="AA689" s="88"/>
    </row>
    <row r="690" spans="1:27" ht="13.2">
      <c r="A690" s="88"/>
      <c r="B690" s="88"/>
      <c r="C690" s="88"/>
      <c r="D690" s="88"/>
      <c r="E690" s="88"/>
      <c r="F690" s="88"/>
      <c r="G690" s="88"/>
      <c r="H690" s="88"/>
      <c r="I690" s="88"/>
      <c r="J690" s="88"/>
      <c r="K690" s="88"/>
      <c r="L690" s="88"/>
      <c r="M690" s="88"/>
      <c r="N690" s="88"/>
      <c r="O690" s="88"/>
      <c r="P690" s="88"/>
      <c r="Q690" s="88"/>
      <c r="R690" s="88"/>
      <c r="S690" s="88"/>
      <c r="T690" s="88"/>
      <c r="U690" s="88"/>
      <c r="V690" s="88"/>
      <c r="W690" s="88"/>
      <c r="X690" s="88"/>
      <c r="Y690" s="88"/>
      <c r="Z690" s="88"/>
      <c r="AA690" s="88"/>
    </row>
    <row r="691" spans="1:27" ht="13.2">
      <c r="A691" s="88"/>
      <c r="B691" s="88"/>
      <c r="C691" s="88"/>
      <c r="D691" s="88"/>
      <c r="E691" s="88"/>
      <c r="F691" s="88"/>
      <c r="G691" s="88"/>
      <c r="H691" s="88"/>
      <c r="I691" s="88"/>
      <c r="J691" s="88"/>
      <c r="K691" s="88"/>
      <c r="L691" s="88"/>
      <c r="M691" s="88"/>
      <c r="N691" s="88"/>
      <c r="O691" s="88"/>
      <c r="P691" s="88"/>
      <c r="Q691" s="88"/>
      <c r="R691" s="88"/>
      <c r="S691" s="88"/>
      <c r="T691" s="88"/>
      <c r="U691" s="88"/>
      <c r="V691" s="88"/>
      <c r="W691" s="88"/>
      <c r="X691" s="88"/>
      <c r="Y691" s="88"/>
      <c r="Z691" s="88"/>
      <c r="AA691" s="88"/>
    </row>
    <row r="692" spans="1:27" ht="13.2">
      <c r="A692" s="88"/>
      <c r="B692" s="88"/>
      <c r="C692" s="88"/>
      <c r="D692" s="88"/>
      <c r="E692" s="88"/>
      <c r="F692" s="88"/>
      <c r="G692" s="88"/>
      <c r="H692" s="88"/>
      <c r="I692" s="88"/>
      <c r="J692" s="88"/>
      <c r="K692" s="88"/>
      <c r="L692" s="88"/>
      <c r="M692" s="88"/>
      <c r="N692" s="88"/>
      <c r="O692" s="88"/>
      <c r="P692" s="88"/>
      <c r="Q692" s="88"/>
      <c r="R692" s="88"/>
      <c r="S692" s="88"/>
      <c r="T692" s="88"/>
      <c r="U692" s="88"/>
      <c r="V692" s="88"/>
      <c r="W692" s="88"/>
      <c r="X692" s="88"/>
      <c r="Y692" s="88"/>
      <c r="Z692" s="88"/>
      <c r="AA692" s="88"/>
    </row>
    <row r="693" spans="1:27" ht="13.2">
      <c r="A693" s="88"/>
      <c r="B693" s="88"/>
      <c r="C693" s="88"/>
      <c r="D693" s="88"/>
      <c r="E693" s="88"/>
      <c r="F693" s="88"/>
      <c r="G693" s="88"/>
      <c r="H693" s="88"/>
      <c r="I693" s="88"/>
      <c r="J693" s="88"/>
      <c r="K693" s="88"/>
      <c r="L693" s="88"/>
      <c r="M693" s="88"/>
      <c r="N693" s="88"/>
      <c r="O693" s="88"/>
      <c r="P693" s="88"/>
      <c r="Q693" s="88"/>
      <c r="R693" s="88"/>
      <c r="S693" s="88"/>
      <c r="T693" s="88"/>
      <c r="U693" s="88"/>
      <c r="V693" s="88"/>
      <c r="W693" s="88"/>
      <c r="X693" s="88"/>
      <c r="Y693" s="88"/>
      <c r="Z693" s="88"/>
      <c r="AA693" s="88"/>
    </row>
    <row r="694" spans="1:27" ht="13.2">
      <c r="A694" s="88"/>
      <c r="B694" s="88"/>
      <c r="C694" s="88"/>
      <c r="D694" s="88"/>
      <c r="E694" s="88"/>
      <c r="F694" s="88"/>
      <c r="G694" s="88"/>
      <c r="H694" s="88"/>
      <c r="I694" s="88"/>
      <c r="J694" s="88"/>
      <c r="K694" s="88"/>
      <c r="L694" s="88"/>
      <c r="M694" s="88"/>
      <c r="N694" s="88"/>
      <c r="O694" s="88"/>
      <c r="P694" s="88"/>
      <c r="Q694" s="88"/>
      <c r="R694" s="88"/>
      <c r="S694" s="88"/>
      <c r="T694" s="88"/>
      <c r="U694" s="88"/>
      <c r="V694" s="88"/>
      <c r="W694" s="88"/>
      <c r="X694" s="88"/>
      <c r="Y694" s="88"/>
      <c r="Z694" s="88"/>
      <c r="AA694" s="88"/>
    </row>
    <row r="695" spans="1:27" ht="13.2">
      <c r="A695" s="88"/>
      <c r="B695" s="88"/>
      <c r="C695" s="88"/>
      <c r="D695" s="88"/>
      <c r="E695" s="88"/>
      <c r="F695" s="88"/>
      <c r="G695" s="88"/>
      <c r="H695" s="88"/>
      <c r="I695" s="88"/>
      <c r="J695" s="88"/>
      <c r="K695" s="88"/>
      <c r="L695" s="88"/>
      <c r="M695" s="88"/>
      <c r="N695" s="88"/>
      <c r="O695" s="88"/>
      <c r="P695" s="88"/>
      <c r="Q695" s="88"/>
      <c r="R695" s="88"/>
      <c r="S695" s="88"/>
      <c r="T695" s="88"/>
      <c r="U695" s="88"/>
      <c r="V695" s="88"/>
      <c r="W695" s="88"/>
      <c r="X695" s="88"/>
      <c r="Y695" s="88"/>
      <c r="Z695" s="88"/>
      <c r="AA695" s="88"/>
    </row>
    <row r="696" spans="1:27" ht="13.2">
      <c r="A696" s="88"/>
      <c r="B696" s="88"/>
      <c r="C696" s="88"/>
      <c r="D696" s="88"/>
      <c r="E696" s="88"/>
      <c r="F696" s="88"/>
      <c r="G696" s="88"/>
      <c r="H696" s="88"/>
      <c r="I696" s="88"/>
      <c r="J696" s="88"/>
      <c r="K696" s="88"/>
      <c r="L696" s="88"/>
      <c r="M696" s="88"/>
      <c r="N696" s="88"/>
      <c r="O696" s="88"/>
      <c r="P696" s="88"/>
      <c r="Q696" s="88"/>
      <c r="R696" s="88"/>
      <c r="S696" s="88"/>
      <c r="T696" s="88"/>
      <c r="U696" s="88"/>
      <c r="V696" s="88"/>
      <c r="W696" s="88"/>
      <c r="X696" s="88"/>
      <c r="Y696" s="88"/>
      <c r="Z696" s="88"/>
      <c r="AA696" s="88"/>
    </row>
    <row r="697" spans="1:27" ht="13.2">
      <c r="A697" s="88"/>
      <c r="B697" s="88"/>
      <c r="C697" s="88"/>
      <c r="D697" s="88"/>
      <c r="E697" s="88"/>
      <c r="F697" s="88"/>
      <c r="G697" s="88"/>
      <c r="H697" s="88"/>
      <c r="I697" s="88"/>
      <c r="J697" s="88"/>
      <c r="K697" s="88"/>
      <c r="L697" s="88"/>
      <c r="M697" s="88"/>
      <c r="N697" s="88"/>
      <c r="O697" s="88"/>
      <c r="P697" s="88"/>
      <c r="Q697" s="88"/>
      <c r="R697" s="88"/>
      <c r="S697" s="88"/>
      <c r="T697" s="88"/>
      <c r="U697" s="88"/>
      <c r="V697" s="88"/>
      <c r="W697" s="88"/>
      <c r="X697" s="88"/>
      <c r="Y697" s="88"/>
      <c r="Z697" s="88"/>
      <c r="AA697" s="88"/>
    </row>
    <row r="698" spans="1:27" ht="13.2">
      <c r="A698" s="88"/>
      <c r="B698" s="88"/>
      <c r="C698" s="88"/>
      <c r="D698" s="88"/>
      <c r="E698" s="88"/>
      <c r="F698" s="88"/>
      <c r="G698" s="88"/>
      <c r="H698" s="88"/>
      <c r="I698" s="88"/>
      <c r="J698" s="88"/>
      <c r="K698" s="88"/>
      <c r="L698" s="88"/>
      <c r="M698" s="88"/>
      <c r="N698" s="88"/>
      <c r="O698" s="88"/>
      <c r="P698" s="88"/>
      <c r="Q698" s="88"/>
      <c r="R698" s="88"/>
      <c r="S698" s="88"/>
      <c r="T698" s="88"/>
      <c r="U698" s="88"/>
      <c r="V698" s="88"/>
      <c r="W698" s="88"/>
      <c r="X698" s="88"/>
      <c r="Y698" s="88"/>
      <c r="Z698" s="88"/>
      <c r="AA698" s="88"/>
    </row>
    <row r="699" spans="1:27" ht="13.2">
      <c r="A699" s="88"/>
      <c r="B699" s="88"/>
      <c r="C699" s="88"/>
      <c r="D699" s="88"/>
      <c r="E699" s="88"/>
      <c r="F699" s="88"/>
      <c r="G699" s="88"/>
      <c r="H699" s="88"/>
      <c r="I699" s="88"/>
      <c r="J699" s="88"/>
      <c r="K699" s="88"/>
      <c r="L699" s="88"/>
      <c r="M699" s="88"/>
      <c r="N699" s="88"/>
      <c r="O699" s="88"/>
      <c r="P699" s="88"/>
      <c r="Q699" s="88"/>
      <c r="R699" s="88"/>
      <c r="S699" s="88"/>
      <c r="T699" s="88"/>
      <c r="U699" s="88"/>
      <c r="V699" s="88"/>
      <c r="W699" s="88"/>
      <c r="X699" s="88"/>
      <c r="Y699" s="88"/>
      <c r="Z699" s="88"/>
      <c r="AA699" s="88"/>
    </row>
    <row r="700" spans="1:27" ht="13.2">
      <c r="A700" s="88"/>
      <c r="B700" s="88"/>
      <c r="C700" s="88"/>
      <c r="D700" s="88"/>
      <c r="E700" s="88"/>
      <c r="F700" s="88"/>
      <c r="G700" s="88"/>
      <c r="H700" s="88"/>
      <c r="I700" s="88"/>
      <c r="J700" s="88"/>
      <c r="K700" s="88"/>
      <c r="L700" s="88"/>
      <c r="M700" s="88"/>
      <c r="N700" s="88"/>
      <c r="O700" s="88"/>
      <c r="P700" s="88"/>
      <c r="Q700" s="88"/>
      <c r="R700" s="88"/>
      <c r="S700" s="88"/>
      <c r="T700" s="88"/>
      <c r="U700" s="88"/>
      <c r="V700" s="88"/>
      <c r="W700" s="88"/>
      <c r="X700" s="88"/>
      <c r="Y700" s="88"/>
      <c r="Z700" s="88"/>
      <c r="AA700" s="88"/>
    </row>
    <row r="701" spans="1:27" ht="13.2">
      <c r="A701" s="88"/>
      <c r="B701" s="88"/>
      <c r="C701" s="88"/>
      <c r="D701" s="88"/>
      <c r="E701" s="88"/>
      <c r="F701" s="88"/>
      <c r="G701" s="88"/>
      <c r="H701" s="88"/>
      <c r="I701" s="88"/>
      <c r="J701" s="88"/>
      <c r="K701" s="88"/>
      <c r="L701" s="88"/>
      <c r="M701" s="88"/>
      <c r="N701" s="88"/>
      <c r="O701" s="88"/>
      <c r="P701" s="88"/>
      <c r="Q701" s="88"/>
      <c r="R701" s="88"/>
      <c r="S701" s="88"/>
      <c r="T701" s="88"/>
      <c r="U701" s="88"/>
      <c r="V701" s="88"/>
      <c r="W701" s="88"/>
      <c r="X701" s="88"/>
      <c r="Y701" s="88"/>
      <c r="Z701" s="88"/>
      <c r="AA701" s="88"/>
    </row>
    <row r="702" spans="1:27" ht="13.2">
      <c r="A702" s="88"/>
      <c r="B702" s="88"/>
      <c r="C702" s="88"/>
      <c r="D702" s="88"/>
      <c r="E702" s="88"/>
      <c r="F702" s="88"/>
      <c r="G702" s="88"/>
      <c r="H702" s="88"/>
      <c r="I702" s="88"/>
      <c r="J702" s="88"/>
      <c r="K702" s="88"/>
      <c r="L702" s="88"/>
      <c r="M702" s="88"/>
      <c r="N702" s="88"/>
      <c r="O702" s="88"/>
      <c r="P702" s="88"/>
      <c r="Q702" s="88"/>
      <c r="R702" s="88"/>
      <c r="S702" s="88"/>
      <c r="T702" s="88"/>
      <c r="U702" s="88"/>
      <c r="V702" s="88"/>
      <c r="W702" s="88"/>
      <c r="X702" s="88"/>
      <c r="Y702" s="88"/>
      <c r="Z702" s="88"/>
      <c r="AA702" s="88"/>
    </row>
    <row r="703" spans="1:27" ht="13.2">
      <c r="A703" s="88"/>
      <c r="B703" s="88"/>
      <c r="C703" s="88"/>
      <c r="D703" s="88"/>
      <c r="E703" s="88"/>
      <c r="F703" s="88"/>
      <c r="G703" s="88"/>
      <c r="H703" s="88"/>
      <c r="I703" s="88"/>
      <c r="J703" s="88"/>
      <c r="K703" s="88"/>
      <c r="L703" s="88"/>
      <c r="M703" s="88"/>
      <c r="N703" s="88"/>
      <c r="O703" s="88"/>
      <c r="P703" s="88"/>
      <c r="Q703" s="88"/>
      <c r="R703" s="88"/>
      <c r="S703" s="88"/>
      <c r="T703" s="88"/>
      <c r="U703" s="88"/>
      <c r="V703" s="88"/>
      <c r="W703" s="88"/>
      <c r="X703" s="88"/>
      <c r="Y703" s="88"/>
      <c r="Z703" s="88"/>
      <c r="AA703" s="88"/>
    </row>
    <row r="704" spans="1:27" ht="13.2">
      <c r="A704" s="88"/>
      <c r="B704" s="88"/>
      <c r="C704" s="88"/>
      <c r="D704" s="88"/>
      <c r="E704" s="88"/>
      <c r="F704" s="88"/>
      <c r="G704" s="88"/>
      <c r="H704" s="88"/>
      <c r="I704" s="88"/>
      <c r="J704" s="88"/>
      <c r="K704" s="88"/>
      <c r="L704" s="88"/>
      <c r="M704" s="88"/>
      <c r="N704" s="88"/>
      <c r="O704" s="88"/>
      <c r="P704" s="88"/>
      <c r="Q704" s="88"/>
      <c r="R704" s="88"/>
      <c r="S704" s="88"/>
      <c r="T704" s="88"/>
      <c r="U704" s="88"/>
      <c r="V704" s="88"/>
      <c r="W704" s="88"/>
      <c r="X704" s="88"/>
      <c r="Y704" s="88"/>
      <c r="Z704" s="88"/>
      <c r="AA704" s="88"/>
    </row>
    <row r="705" spans="1:27" ht="13.2">
      <c r="A705" s="88"/>
      <c r="B705" s="88"/>
      <c r="C705" s="88"/>
      <c r="D705" s="88"/>
      <c r="E705" s="88"/>
      <c r="F705" s="88"/>
      <c r="G705" s="88"/>
      <c r="H705" s="88"/>
      <c r="I705" s="88"/>
      <c r="J705" s="88"/>
      <c r="K705" s="88"/>
      <c r="L705" s="88"/>
      <c r="M705" s="88"/>
      <c r="N705" s="88"/>
      <c r="O705" s="88"/>
      <c r="P705" s="88"/>
      <c r="Q705" s="88"/>
      <c r="R705" s="88"/>
      <c r="S705" s="88"/>
      <c r="T705" s="88"/>
      <c r="U705" s="88"/>
      <c r="V705" s="88"/>
      <c r="W705" s="88"/>
      <c r="X705" s="88"/>
      <c r="Y705" s="88"/>
      <c r="Z705" s="88"/>
      <c r="AA705" s="88"/>
    </row>
    <row r="706" spans="1:27" ht="13.2">
      <c r="A706" s="88"/>
      <c r="B706" s="88"/>
      <c r="C706" s="88"/>
      <c r="D706" s="88"/>
      <c r="E706" s="88"/>
      <c r="F706" s="88"/>
      <c r="G706" s="88"/>
      <c r="H706" s="88"/>
      <c r="I706" s="88"/>
      <c r="J706" s="88"/>
      <c r="K706" s="88"/>
      <c r="L706" s="88"/>
      <c r="M706" s="88"/>
      <c r="N706" s="88"/>
      <c r="O706" s="88"/>
      <c r="P706" s="88"/>
      <c r="Q706" s="88"/>
      <c r="R706" s="88"/>
      <c r="S706" s="88"/>
      <c r="T706" s="88"/>
      <c r="U706" s="88"/>
      <c r="V706" s="88"/>
      <c r="W706" s="88"/>
      <c r="X706" s="88"/>
      <c r="Y706" s="88"/>
      <c r="Z706" s="88"/>
      <c r="AA706" s="88"/>
    </row>
    <row r="707" spans="1:27" ht="13.2">
      <c r="A707" s="88"/>
      <c r="B707" s="88"/>
      <c r="C707" s="88"/>
      <c r="D707" s="88"/>
      <c r="E707" s="88"/>
      <c r="F707" s="88"/>
      <c r="G707" s="88"/>
      <c r="H707" s="88"/>
      <c r="I707" s="88"/>
      <c r="J707" s="88"/>
      <c r="K707" s="88"/>
      <c r="L707" s="88"/>
      <c r="M707" s="88"/>
      <c r="N707" s="88"/>
      <c r="O707" s="88"/>
      <c r="P707" s="88"/>
      <c r="Q707" s="88"/>
      <c r="R707" s="88"/>
      <c r="S707" s="88"/>
      <c r="T707" s="88"/>
      <c r="U707" s="88"/>
      <c r="V707" s="88"/>
      <c r="W707" s="88"/>
      <c r="X707" s="88"/>
      <c r="Y707" s="88"/>
      <c r="Z707" s="88"/>
      <c r="AA707" s="88"/>
    </row>
    <row r="708" spans="1:27" ht="13.2">
      <c r="A708" s="88"/>
      <c r="B708" s="88"/>
      <c r="C708" s="88"/>
      <c r="D708" s="88"/>
      <c r="E708" s="88"/>
      <c r="F708" s="88"/>
      <c r="G708" s="88"/>
      <c r="H708" s="88"/>
      <c r="I708" s="88"/>
      <c r="J708" s="88"/>
      <c r="K708" s="88"/>
      <c r="L708" s="88"/>
      <c r="M708" s="88"/>
      <c r="N708" s="88"/>
      <c r="O708" s="88"/>
      <c r="P708" s="88"/>
      <c r="Q708" s="88"/>
      <c r="R708" s="88"/>
      <c r="S708" s="88"/>
      <c r="T708" s="88"/>
      <c r="U708" s="88"/>
      <c r="V708" s="88"/>
      <c r="W708" s="88"/>
      <c r="X708" s="88"/>
      <c r="Y708" s="88"/>
      <c r="Z708" s="88"/>
      <c r="AA708" s="88"/>
    </row>
    <row r="709" spans="1:27" ht="13.2">
      <c r="A709" s="88"/>
      <c r="B709" s="88"/>
      <c r="C709" s="88"/>
      <c r="D709" s="88"/>
      <c r="E709" s="88"/>
      <c r="F709" s="88"/>
      <c r="G709" s="88"/>
      <c r="H709" s="88"/>
      <c r="I709" s="88"/>
      <c r="J709" s="88"/>
      <c r="K709" s="88"/>
      <c r="L709" s="88"/>
      <c r="M709" s="88"/>
      <c r="N709" s="88"/>
      <c r="O709" s="88"/>
      <c r="P709" s="88"/>
      <c r="Q709" s="88"/>
      <c r="R709" s="88"/>
      <c r="S709" s="88"/>
      <c r="T709" s="88"/>
      <c r="U709" s="88"/>
      <c r="V709" s="88"/>
      <c r="W709" s="88"/>
      <c r="X709" s="88"/>
      <c r="Y709" s="88"/>
      <c r="Z709" s="88"/>
      <c r="AA709" s="88"/>
    </row>
    <row r="710" spans="1:27" ht="13.2">
      <c r="A710" s="88"/>
      <c r="B710" s="88"/>
      <c r="C710" s="88"/>
      <c r="D710" s="88"/>
      <c r="E710" s="88"/>
      <c r="F710" s="88"/>
      <c r="G710" s="88"/>
      <c r="H710" s="88"/>
      <c r="I710" s="88"/>
      <c r="J710" s="88"/>
      <c r="K710" s="88"/>
      <c r="L710" s="88"/>
      <c r="M710" s="88"/>
      <c r="N710" s="88"/>
      <c r="O710" s="88"/>
      <c r="P710" s="88"/>
      <c r="Q710" s="88"/>
      <c r="R710" s="88"/>
      <c r="S710" s="88"/>
      <c r="T710" s="88"/>
      <c r="U710" s="88"/>
      <c r="V710" s="88"/>
      <c r="W710" s="88"/>
      <c r="X710" s="88"/>
      <c r="Y710" s="88"/>
      <c r="Z710" s="88"/>
      <c r="AA710" s="88"/>
    </row>
    <row r="711" spans="1:27" ht="13.2">
      <c r="A711" s="88"/>
      <c r="B711" s="88"/>
      <c r="C711" s="88"/>
      <c r="D711" s="88"/>
      <c r="E711" s="88"/>
      <c r="F711" s="88"/>
      <c r="G711" s="88"/>
      <c r="H711" s="88"/>
      <c r="I711" s="88"/>
      <c r="J711" s="88"/>
      <c r="K711" s="88"/>
      <c r="L711" s="88"/>
      <c r="M711" s="88"/>
      <c r="N711" s="88"/>
      <c r="O711" s="88"/>
      <c r="P711" s="88"/>
      <c r="Q711" s="88"/>
      <c r="R711" s="88"/>
      <c r="S711" s="88"/>
      <c r="T711" s="88"/>
      <c r="U711" s="88"/>
      <c r="V711" s="88"/>
      <c r="W711" s="88"/>
      <c r="X711" s="88"/>
      <c r="Y711" s="88"/>
      <c r="Z711" s="88"/>
      <c r="AA711" s="88"/>
    </row>
    <row r="712" spans="1:27" ht="13.2">
      <c r="A712" s="88"/>
      <c r="B712" s="88"/>
      <c r="C712" s="88"/>
      <c r="D712" s="88"/>
      <c r="E712" s="88"/>
      <c r="F712" s="88"/>
      <c r="G712" s="88"/>
      <c r="H712" s="88"/>
      <c r="I712" s="88"/>
      <c r="J712" s="88"/>
      <c r="K712" s="88"/>
      <c r="L712" s="88"/>
      <c r="M712" s="88"/>
      <c r="N712" s="88"/>
      <c r="O712" s="88"/>
      <c r="P712" s="88"/>
      <c r="Q712" s="88"/>
      <c r="R712" s="88"/>
      <c r="S712" s="88"/>
      <c r="T712" s="88"/>
      <c r="U712" s="88"/>
      <c r="V712" s="88"/>
      <c r="W712" s="88"/>
      <c r="X712" s="88"/>
      <c r="Y712" s="88"/>
      <c r="Z712" s="88"/>
      <c r="AA712" s="88"/>
    </row>
    <row r="713" spans="1:27" ht="13.2">
      <c r="A713" s="88"/>
      <c r="B713" s="88"/>
      <c r="C713" s="88"/>
      <c r="D713" s="88"/>
      <c r="E713" s="88"/>
      <c r="F713" s="88"/>
      <c r="G713" s="88"/>
      <c r="H713" s="88"/>
      <c r="I713" s="88"/>
      <c r="J713" s="88"/>
      <c r="K713" s="88"/>
      <c r="L713" s="88"/>
      <c r="M713" s="88"/>
      <c r="N713" s="88"/>
      <c r="O713" s="88"/>
      <c r="P713" s="88"/>
      <c r="Q713" s="88"/>
      <c r="R713" s="88"/>
      <c r="S713" s="88"/>
      <c r="T713" s="88"/>
      <c r="U713" s="88"/>
      <c r="V713" s="88"/>
      <c r="W713" s="88"/>
      <c r="X713" s="88"/>
      <c r="Y713" s="88"/>
      <c r="Z713" s="88"/>
      <c r="AA713" s="88"/>
    </row>
    <row r="714" spans="1:27" ht="13.2">
      <c r="A714" s="88"/>
      <c r="B714" s="88"/>
      <c r="C714" s="88"/>
      <c r="D714" s="88"/>
      <c r="E714" s="88"/>
      <c r="F714" s="88"/>
      <c r="G714" s="88"/>
      <c r="H714" s="88"/>
      <c r="I714" s="88"/>
      <c r="J714" s="88"/>
      <c r="K714" s="88"/>
      <c r="L714" s="88"/>
      <c r="M714" s="88"/>
      <c r="N714" s="88"/>
      <c r="O714" s="88"/>
      <c r="P714" s="88"/>
      <c r="Q714" s="88"/>
      <c r="R714" s="88"/>
      <c r="S714" s="88"/>
      <c r="T714" s="88"/>
      <c r="U714" s="88"/>
      <c r="V714" s="88"/>
      <c r="W714" s="88"/>
      <c r="X714" s="88"/>
      <c r="Y714" s="88"/>
      <c r="Z714" s="88"/>
      <c r="AA714" s="88"/>
    </row>
    <row r="715" spans="1:27" ht="13.2">
      <c r="A715" s="88"/>
      <c r="B715" s="88"/>
      <c r="C715" s="88"/>
      <c r="D715" s="88"/>
      <c r="E715" s="88"/>
      <c r="F715" s="88"/>
      <c r="G715" s="88"/>
      <c r="H715" s="88"/>
      <c r="I715" s="88"/>
      <c r="J715" s="88"/>
      <c r="K715" s="88"/>
      <c r="L715" s="88"/>
      <c r="M715" s="88"/>
      <c r="N715" s="88"/>
      <c r="O715" s="88"/>
      <c r="P715" s="88"/>
      <c r="Q715" s="88"/>
      <c r="R715" s="88"/>
      <c r="S715" s="88"/>
      <c r="T715" s="88"/>
      <c r="U715" s="88"/>
      <c r="V715" s="88"/>
      <c r="W715" s="88"/>
      <c r="X715" s="88"/>
      <c r="Y715" s="88"/>
      <c r="Z715" s="88"/>
      <c r="AA715" s="88"/>
    </row>
    <row r="716" spans="1:27" ht="13.2">
      <c r="A716" s="88"/>
      <c r="B716" s="88"/>
      <c r="C716" s="88"/>
      <c r="D716" s="88"/>
      <c r="E716" s="88"/>
      <c r="F716" s="88"/>
      <c r="G716" s="88"/>
      <c r="H716" s="88"/>
      <c r="I716" s="88"/>
      <c r="J716" s="88"/>
      <c r="K716" s="88"/>
      <c r="L716" s="88"/>
      <c r="M716" s="88"/>
      <c r="N716" s="88"/>
      <c r="O716" s="88"/>
      <c r="P716" s="88"/>
      <c r="Q716" s="88"/>
      <c r="R716" s="88"/>
      <c r="S716" s="88"/>
      <c r="T716" s="88"/>
      <c r="U716" s="88"/>
      <c r="V716" s="88"/>
      <c r="W716" s="88"/>
      <c r="X716" s="88"/>
      <c r="Y716" s="88"/>
      <c r="Z716" s="88"/>
      <c r="AA716" s="88"/>
    </row>
    <row r="717" spans="1:27" ht="13.2">
      <c r="A717" s="88"/>
      <c r="B717" s="88"/>
      <c r="C717" s="88"/>
      <c r="D717" s="88"/>
      <c r="E717" s="88"/>
      <c r="F717" s="88"/>
      <c r="G717" s="88"/>
      <c r="H717" s="88"/>
      <c r="I717" s="88"/>
      <c r="J717" s="88"/>
      <c r="K717" s="88"/>
      <c r="L717" s="88"/>
      <c r="M717" s="88"/>
      <c r="N717" s="88"/>
      <c r="O717" s="88"/>
      <c r="P717" s="88"/>
      <c r="Q717" s="88"/>
      <c r="R717" s="88"/>
      <c r="S717" s="88"/>
      <c r="T717" s="88"/>
      <c r="U717" s="88"/>
      <c r="V717" s="88"/>
      <c r="W717" s="88"/>
      <c r="X717" s="88"/>
      <c r="Y717" s="88"/>
      <c r="Z717" s="88"/>
      <c r="AA717" s="88"/>
    </row>
    <row r="718" spans="1:27" ht="13.2">
      <c r="A718" s="88"/>
      <c r="B718" s="88"/>
      <c r="C718" s="88"/>
      <c r="D718" s="88"/>
      <c r="E718" s="88"/>
      <c r="F718" s="88"/>
      <c r="G718" s="88"/>
      <c r="H718" s="88"/>
      <c r="I718" s="88"/>
      <c r="J718" s="88"/>
      <c r="K718" s="88"/>
      <c r="L718" s="88"/>
      <c r="M718" s="88"/>
      <c r="N718" s="88"/>
      <c r="O718" s="88"/>
      <c r="P718" s="88"/>
      <c r="Q718" s="88"/>
      <c r="R718" s="88"/>
      <c r="S718" s="88"/>
      <c r="T718" s="88"/>
      <c r="U718" s="88"/>
      <c r="V718" s="88"/>
      <c r="W718" s="88"/>
      <c r="X718" s="88"/>
      <c r="Y718" s="88"/>
      <c r="Z718" s="88"/>
      <c r="AA718" s="88"/>
    </row>
    <row r="719" spans="1:27" ht="13.2">
      <c r="A719" s="88"/>
      <c r="B719" s="88"/>
      <c r="C719" s="88"/>
      <c r="D719" s="88"/>
      <c r="E719" s="88"/>
      <c r="F719" s="88"/>
      <c r="G719" s="88"/>
      <c r="H719" s="88"/>
      <c r="I719" s="88"/>
      <c r="J719" s="88"/>
      <c r="K719" s="88"/>
      <c r="L719" s="88"/>
      <c r="M719" s="88"/>
      <c r="N719" s="88"/>
      <c r="O719" s="88"/>
      <c r="P719" s="88"/>
      <c r="Q719" s="88"/>
      <c r="R719" s="88"/>
      <c r="S719" s="88"/>
      <c r="T719" s="88"/>
      <c r="U719" s="88"/>
      <c r="V719" s="88"/>
      <c r="W719" s="88"/>
      <c r="X719" s="88"/>
      <c r="Y719" s="88"/>
      <c r="Z719" s="88"/>
      <c r="AA719" s="88"/>
    </row>
    <row r="720" spans="1:27" ht="13.2">
      <c r="A720" s="88"/>
      <c r="B720" s="88"/>
      <c r="C720" s="88"/>
      <c r="D720" s="88"/>
      <c r="E720" s="88"/>
      <c r="F720" s="88"/>
      <c r="G720" s="88"/>
      <c r="H720" s="88"/>
      <c r="I720" s="88"/>
      <c r="J720" s="88"/>
      <c r="K720" s="88"/>
      <c r="L720" s="88"/>
      <c r="M720" s="88"/>
      <c r="N720" s="88"/>
      <c r="O720" s="88"/>
      <c r="P720" s="88"/>
      <c r="Q720" s="88"/>
      <c r="R720" s="88"/>
      <c r="S720" s="88"/>
      <c r="T720" s="88"/>
      <c r="U720" s="88"/>
      <c r="V720" s="88"/>
      <c r="W720" s="88"/>
      <c r="X720" s="88"/>
      <c r="Y720" s="88"/>
      <c r="Z720" s="88"/>
      <c r="AA720" s="88"/>
    </row>
    <row r="721" spans="1:27" ht="13.2">
      <c r="A721" s="88"/>
      <c r="B721" s="88"/>
      <c r="C721" s="88"/>
      <c r="D721" s="88"/>
      <c r="E721" s="88"/>
      <c r="F721" s="88"/>
      <c r="G721" s="88"/>
      <c r="H721" s="88"/>
      <c r="I721" s="88"/>
      <c r="J721" s="88"/>
      <c r="K721" s="88"/>
      <c r="L721" s="88"/>
      <c r="M721" s="88"/>
      <c r="N721" s="88"/>
      <c r="O721" s="88"/>
      <c r="P721" s="88"/>
      <c r="Q721" s="88"/>
      <c r="R721" s="88"/>
      <c r="S721" s="88"/>
      <c r="T721" s="88"/>
      <c r="U721" s="88"/>
      <c r="V721" s="88"/>
      <c r="W721" s="88"/>
      <c r="X721" s="88"/>
      <c r="Y721" s="88"/>
      <c r="Z721" s="88"/>
      <c r="AA721" s="88"/>
    </row>
    <row r="722" spans="1:27" ht="13.2">
      <c r="A722" s="88"/>
      <c r="B722" s="88"/>
      <c r="C722" s="88"/>
      <c r="D722" s="88"/>
      <c r="E722" s="88"/>
      <c r="F722" s="88"/>
      <c r="G722" s="88"/>
      <c r="H722" s="88"/>
      <c r="I722" s="88"/>
      <c r="J722" s="88"/>
      <c r="K722" s="88"/>
      <c r="L722" s="88"/>
      <c r="M722" s="88"/>
      <c r="N722" s="88"/>
      <c r="O722" s="88"/>
      <c r="P722" s="88"/>
      <c r="Q722" s="88"/>
      <c r="R722" s="88"/>
      <c r="S722" s="88"/>
      <c r="T722" s="88"/>
      <c r="U722" s="88"/>
      <c r="V722" s="88"/>
      <c r="W722" s="88"/>
      <c r="X722" s="88"/>
      <c r="Y722" s="88"/>
      <c r="Z722" s="88"/>
      <c r="AA722" s="88"/>
    </row>
    <row r="723" spans="1:27" ht="13.2">
      <c r="A723" s="88"/>
      <c r="B723" s="88"/>
      <c r="C723" s="88"/>
      <c r="D723" s="88"/>
      <c r="E723" s="88"/>
      <c r="F723" s="88"/>
      <c r="G723" s="88"/>
      <c r="H723" s="88"/>
      <c r="I723" s="88"/>
      <c r="J723" s="88"/>
      <c r="K723" s="88"/>
      <c r="L723" s="88"/>
      <c r="M723" s="88"/>
      <c r="N723" s="88"/>
      <c r="O723" s="88"/>
      <c r="P723" s="88"/>
      <c r="Q723" s="88"/>
      <c r="R723" s="88"/>
      <c r="S723" s="88"/>
      <c r="T723" s="88"/>
      <c r="U723" s="88"/>
      <c r="V723" s="88"/>
      <c r="W723" s="88"/>
      <c r="X723" s="88"/>
      <c r="Y723" s="88"/>
      <c r="Z723" s="88"/>
      <c r="AA723" s="88"/>
    </row>
    <row r="724" spans="1:27" ht="13.2">
      <c r="A724" s="88"/>
      <c r="B724" s="88"/>
      <c r="C724" s="88"/>
      <c r="D724" s="88"/>
      <c r="E724" s="88"/>
      <c r="F724" s="88"/>
      <c r="G724" s="88"/>
      <c r="H724" s="88"/>
      <c r="I724" s="88"/>
      <c r="J724" s="88"/>
      <c r="K724" s="88"/>
      <c r="L724" s="88"/>
      <c r="M724" s="88"/>
      <c r="N724" s="88"/>
      <c r="O724" s="88"/>
      <c r="P724" s="88"/>
      <c r="Q724" s="88"/>
      <c r="R724" s="88"/>
      <c r="S724" s="88"/>
      <c r="T724" s="88"/>
      <c r="U724" s="88"/>
      <c r="V724" s="88"/>
      <c r="W724" s="88"/>
      <c r="X724" s="88"/>
      <c r="Y724" s="88"/>
      <c r="Z724" s="88"/>
      <c r="AA724" s="88"/>
    </row>
    <row r="725" spans="1:27" ht="13.2">
      <c r="A725" s="88"/>
      <c r="B725" s="88"/>
      <c r="C725" s="88"/>
      <c r="D725" s="88"/>
      <c r="E725" s="88"/>
      <c r="F725" s="88"/>
      <c r="G725" s="88"/>
      <c r="H725" s="88"/>
      <c r="I725" s="88"/>
      <c r="J725" s="88"/>
      <c r="K725" s="88"/>
      <c r="L725" s="88"/>
      <c r="M725" s="88"/>
      <c r="N725" s="88"/>
      <c r="O725" s="88"/>
      <c r="P725" s="88"/>
      <c r="Q725" s="88"/>
      <c r="R725" s="88"/>
      <c r="S725" s="88"/>
      <c r="T725" s="88"/>
      <c r="U725" s="88"/>
      <c r="V725" s="88"/>
      <c r="W725" s="88"/>
      <c r="X725" s="88"/>
      <c r="Y725" s="88"/>
      <c r="Z725" s="88"/>
      <c r="AA725" s="88"/>
    </row>
    <row r="726" spans="1:27" ht="13.2">
      <c r="A726" s="88"/>
      <c r="B726" s="88"/>
      <c r="C726" s="88"/>
      <c r="D726" s="88"/>
      <c r="E726" s="88"/>
      <c r="F726" s="88"/>
      <c r="G726" s="88"/>
      <c r="H726" s="88"/>
      <c r="I726" s="88"/>
      <c r="J726" s="88"/>
      <c r="K726" s="88"/>
      <c r="L726" s="88"/>
      <c r="M726" s="88"/>
      <c r="N726" s="88"/>
      <c r="O726" s="88"/>
      <c r="P726" s="88"/>
      <c r="Q726" s="88"/>
      <c r="R726" s="88"/>
      <c r="S726" s="88"/>
      <c r="T726" s="88"/>
      <c r="U726" s="88"/>
      <c r="V726" s="88"/>
      <c r="W726" s="88"/>
      <c r="X726" s="88"/>
      <c r="Y726" s="88"/>
      <c r="Z726" s="88"/>
      <c r="AA726" s="88"/>
    </row>
    <row r="727" spans="1:27" ht="13.2">
      <c r="A727" s="88"/>
      <c r="B727" s="88"/>
      <c r="C727" s="88"/>
      <c r="D727" s="88"/>
      <c r="E727" s="88"/>
      <c r="F727" s="88"/>
      <c r="G727" s="88"/>
      <c r="H727" s="88"/>
      <c r="I727" s="88"/>
      <c r="J727" s="88"/>
      <c r="K727" s="88"/>
      <c r="L727" s="88"/>
      <c r="M727" s="88"/>
      <c r="N727" s="88"/>
      <c r="O727" s="88"/>
      <c r="P727" s="88"/>
      <c r="Q727" s="88"/>
      <c r="R727" s="88"/>
      <c r="S727" s="88"/>
      <c r="T727" s="88"/>
      <c r="U727" s="88"/>
      <c r="V727" s="88"/>
      <c r="W727" s="88"/>
      <c r="X727" s="88"/>
      <c r="Y727" s="88"/>
      <c r="Z727" s="88"/>
      <c r="AA727" s="88"/>
    </row>
    <row r="728" spans="1:27" ht="13.2">
      <c r="A728" s="88"/>
      <c r="B728" s="88"/>
      <c r="C728" s="88"/>
      <c r="D728" s="88"/>
      <c r="E728" s="88"/>
      <c r="F728" s="88"/>
      <c r="G728" s="88"/>
      <c r="H728" s="88"/>
      <c r="I728" s="88"/>
      <c r="J728" s="88"/>
      <c r="K728" s="88"/>
      <c r="L728" s="88"/>
      <c r="M728" s="88"/>
      <c r="N728" s="88"/>
      <c r="O728" s="88"/>
      <c r="P728" s="88"/>
      <c r="Q728" s="88"/>
      <c r="R728" s="88"/>
      <c r="S728" s="88"/>
      <c r="T728" s="88"/>
      <c r="U728" s="88"/>
      <c r="V728" s="88"/>
      <c r="W728" s="88"/>
      <c r="X728" s="88"/>
      <c r="Y728" s="88"/>
      <c r="Z728" s="88"/>
      <c r="AA728" s="88"/>
    </row>
    <row r="729" spans="1:27" ht="13.2">
      <c r="A729" s="88"/>
      <c r="B729" s="88"/>
      <c r="C729" s="88"/>
      <c r="D729" s="88"/>
      <c r="E729" s="88"/>
      <c r="F729" s="88"/>
      <c r="G729" s="88"/>
      <c r="H729" s="88"/>
      <c r="I729" s="88"/>
      <c r="J729" s="88"/>
      <c r="K729" s="88"/>
      <c r="L729" s="88"/>
      <c r="M729" s="88"/>
      <c r="N729" s="88"/>
      <c r="O729" s="88"/>
      <c r="P729" s="88"/>
      <c r="Q729" s="88"/>
      <c r="R729" s="88"/>
      <c r="S729" s="88"/>
      <c r="T729" s="88"/>
      <c r="U729" s="88"/>
      <c r="V729" s="88"/>
      <c r="W729" s="88"/>
      <c r="X729" s="88"/>
      <c r="Y729" s="88"/>
      <c r="Z729" s="88"/>
      <c r="AA729" s="88"/>
    </row>
    <row r="730" spans="1:27" ht="13.2">
      <c r="A730" s="88"/>
      <c r="B730" s="88"/>
      <c r="C730" s="88"/>
      <c r="D730" s="88"/>
      <c r="E730" s="88"/>
      <c r="F730" s="88"/>
      <c r="G730" s="88"/>
      <c r="H730" s="88"/>
      <c r="I730" s="88"/>
      <c r="J730" s="88"/>
      <c r="K730" s="88"/>
      <c r="L730" s="88"/>
      <c r="M730" s="88"/>
      <c r="N730" s="88"/>
      <c r="O730" s="88"/>
      <c r="P730" s="88"/>
      <c r="Q730" s="88"/>
      <c r="R730" s="88"/>
      <c r="S730" s="88"/>
      <c r="T730" s="88"/>
      <c r="U730" s="88"/>
      <c r="V730" s="88"/>
      <c r="W730" s="88"/>
      <c r="X730" s="88"/>
      <c r="Y730" s="88"/>
      <c r="Z730" s="88"/>
      <c r="AA730" s="88"/>
    </row>
    <row r="731" spans="1:27" ht="13.2">
      <c r="A731" s="88"/>
      <c r="B731" s="88"/>
      <c r="C731" s="88"/>
      <c r="D731" s="88"/>
      <c r="E731" s="88"/>
      <c r="F731" s="88"/>
      <c r="G731" s="88"/>
      <c r="H731" s="88"/>
      <c r="I731" s="88"/>
      <c r="J731" s="88"/>
      <c r="K731" s="88"/>
      <c r="L731" s="88"/>
      <c r="M731" s="88"/>
      <c r="N731" s="88"/>
      <c r="O731" s="88"/>
      <c r="P731" s="88"/>
      <c r="Q731" s="88"/>
      <c r="R731" s="88"/>
      <c r="S731" s="88"/>
      <c r="T731" s="88"/>
      <c r="U731" s="88"/>
      <c r="V731" s="88"/>
      <c r="W731" s="88"/>
      <c r="X731" s="88"/>
      <c r="Y731" s="88"/>
      <c r="Z731" s="88"/>
      <c r="AA731" s="88"/>
    </row>
    <row r="732" spans="1:27" ht="13.2">
      <c r="A732" s="88"/>
      <c r="B732" s="88"/>
      <c r="C732" s="88"/>
      <c r="D732" s="88"/>
      <c r="E732" s="88"/>
      <c r="F732" s="88"/>
      <c r="G732" s="88"/>
      <c r="H732" s="88"/>
      <c r="I732" s="88"/>
      <c r="J732" s="88"/>
      <c r="K732" s="88"/>
      <c r="L732" s="88"/>
      <c r="M732" s="88"/>
      <c r="N732" s="88"/>
      <c r="O732" s="88"/>
      <c r="P732" s="88"/>
      <c r="Q732" s="88"/>
      <c r="R732" s="88"/>
      <c r="S732" s="88"/>
      <c r="T732" s="88"/>
      <c r="U732" s="88"/>
      <c r="V732" s="88"/>
      <c r="W732" s="88"/>
      <c r="X732" s="88"/>
      <c r="Y732" s="88"/>
      <c r="Z732" s="88"/>
      <c r="AA732" s="88"/>
    </row>
    <row r="733" spans="1:27" ht="13.2">
      <c r="A733" s="88"/>
      <c r="B733" s="88"/>
      <c r="C733" s="88"/>
      <c r="D733" s="88"/>
      <c r="E733" s="88"/>
      <c r="F733" s="88"/>
      <c r="G733" s="88"/>
      <c r="H733" s="88"/>
      <c r="I733" s="88"/>
      <c r="J733" s="88"/>
      <c r="K733" s="88"/>
      <c r="L733" s="88"/>
      <c r="M733" s="88"/>
      <c r="N733" s="88"/>
      <c r="O733" s="88"/>
      <c r="P733" s="88"/>
      <c r="Q733" s="88"/>
      <c r="R733" s="88"/>
      <c r="S733" s="88"/>
      <c r="T733" s="88"/>
      <c r="U733" s="88"/>
      <c r="V733" s="88"/>
      <c r="W733" s="88"/>
      <c r="X733" s="88"/>
      <c r="Y733" s="88"/>
      <c r="Z733" s="88"/>
      <c r="AA733" s="88"/>
    </row>
    <row r="734" spans="1:27" ht="13.2">
      <c r="A734" s="88"/>
      <c r="B734" s="88"/>
      <c r="C734" s="88"/>
      <c r="D734" s="88"/>
      <c r="E734" s="88"/>
      <c r="F734" s="88"/>
      <c r="G734" s="88"/>
      <c r="H734" s="88"/>
      <c r="I734" s="88"/>
      <c r="J734" s="88"/>
      <c r="K734" s="88"/>
      <c r="L734" s="88"/>
      <c r="M734" s="88"/>
      <c r="N734" s="88"/>
      <c r="O734" s="88"/>
      <c r="P734" s="88"/>
      <c r="Q734" s="88"/>
      <c r="R734" s="88"/>
      <c r="S734" s="88"/>
      <c r="T734" s="88"/>
      <c r="U734" s="88"/>
      <c r="V734" s="88"/>
      <c r="W734" s="88"/>
      <c r="X734" s="88"/>
      <c r="Y734" s="88"/>
      <c r="Z734" s="88"/>
      <c r="AA734" s="88"/>
    </row>
    <row r="735" spans="1:27" ht="13.2">
      <c r="A735" s="88"/>
      <c r="B735" s="88"/>
      <c r="C735" s="88"/>
      <c r="D735" s="88"/>
      <c r="E735" s="88"/>
      <c r="F735" s="88"/>
      <c r="G735" s="88"/>
      <c r="H735" s="88"/>
      <c r="I735" s="88"/>
      <c r="J735" s="88"/>
      <c r="K735" s="88"/>
      <c r="L735" s="88"/>
      <c r="M735" s="88"/>
      <c r="N735" s="88"/>
      <c r="O735" s="88"/>
      <c r="P735" s="88"/>
      <c r="Q735" s="88"/>
      <c r="R735" s="88"/>
      <c r="S735" s="88"/>
      <c r="T735" s="88"/>
      <c r="U735" s="88"/>
      <c r="V735" s="88"/>
      <c r="W735" s="88"/>
      <c r="X735" s="88"/>
      <c r="Y735" s="88"/>
      <c r="Z735" s="88"/>
      <c r="AA735" s="88"/>
    </row>
    <row r="736" spans="1:27" ht="13.2">
      <c r="A736" s="88"/>
      <c r="B736" s="88"/>
      <c r="C736" s="88"/>
      <c r="D736" s="88"/>
      <c r="E736" s="88"/>
      <c r="F736" s="88"/>
      <c r="G736" s="88"/>
      <c r="H736" s="88"/>
      <c r="I736" s="88"/>
      <c r="J736" s="88"/>
      <c r="K736" s="88"/>
      <c r="L736" s="88"/>
      <c r="M736" s="88"/>
      <c r="N736" s="88"/>
      <c r="O736" s="88"/>
      <c r="P736" s="88"/>
      <c r="Q736" s="88"/>
      <c r="R736" s="88"/>
      <c r="S736" s="88"/>
      <c r="T736" s="88"/>
      <c r="U736" s="88"/>
      <c r="V736" s="88"/>
      <c r="W736" s="88"/>
      <c r="X736" s="88"/>
      <c r="Y736" s="88"/>
      <c r="Z736" s="88"/>
      <c r="AA736" s="88"/>
    </row>
    <row r="737" spans="1:27" ht="13.2">
      <c r="A737" s="88"/>
      <c r="B737" s="88"/>
      <c r="C737" s="88"/>
      <c r="D737" s="88"/>
      <c r="E737" s="88"/>
      <c r="F737" s="88"/>
      <c r="G737" s="88"/>
      <c r="H737" s="88"/>
      <c r="I737" s="88"/>
      <c r="J737" s="88"/>
      <c r="K737" s="88"/>
      <c r="L737" s="88"/>
      <c r="M737" s="88"/>
      <c r="N737" s="88"/>
      <c r="O737" s="88"/>
      <c r="P737" s="88"/>
      <c r="Q737" s="88"/>
      <c r="R737" s="88"/>
      <c r="S737" s="88"/>
      <c r="T737" s="88"/>
      <c r="U737" s="88"/>
      <c r="V737" s="88"/>
      <c r="W737" s="88"/>
      <c r="X737" s="88"/>
      <c r="Y737" s="88"/>
      <c r="Z737" s="88"/>
      <c r="AA737" s="88"/>
    </row>
    <row r="738" spans="1:27" ht="13.2">
      <c r="A738" s="88"/>
      <c r="B738" s="88"/>
      <c r="C738" s="88"/>
      <c r="D738" s="88"/>
      <c r="E738" s="88"/>
      <c r="F738" s="88"/>
      <c r="G738" s="88"/>
      <c r="H738" s="88"/>
      <c r="I738" s="88"/>
      <c r="J738" s="88"/>
      <c r="K738" s="88"/>
      <c r="L738" s="88"/>
      <c r="M738" s="88"/>
      <c r="N738" s="88"/>
      <c r="O738" s="88"/>
      <c r="P738" s="88"/>
      <c r="Q738" s="88"/>
      <c r="R738" s="88"/>
      <c r="S738" s="88"/>
      <c r="T738" s="88"/>
      <c r="U738" s="88"/>
      <c r="V738" s="88"/>
      <c r="W738" s="88"/>
      <c r="X738" s="88"/>
      <c r="Y738" s="88"/>
      <c r="Z738" s="88"/>
      <c r="AA738" s="88"/>
    </row>
    <row r="739" spans="1:27" ht="13.2">
      <c r="A739" s="88"/>
      <c r="B739" s="88"/>
      <c r="C739" s="88"/>
      <c r="D739" s="88"/>
      <c r="E739" s="88"/>
      <c r="F739" s="88"/>
      <c r="G739" s="88"/>
      <c r="H739" s="88"/>
      <c r="I739" s="88"/>
      <c r="J739" s="88"/>
      <c r="K739" s="88"/>
      <c r="L739" s="88"/>
      <c r="M739" s="88"/>
      <c r="N739" s="88"/>
      <c r="O739" s="88"/>
      <c r="P739" s="88"/>
      <c r="Q739" s="88"/>
      <c r="R739" s="88"/>
      <c r="S739" s="88"/>
      <c r="T739" s="88"/>
      <c r="U739" s="88"/>
      <c r="V739" s="88"/>
      <c r="W739" s="88"/>
      <c r="X739" s="88"/>
      <c r="Y739" s="88"/>
      <c r="Z739" s="88"/>
      <c r="AA739" s="88"/>
    </row>
    <row r="740" spans="1:27" ht="13.2">
      <c r="A740" s="88"/>
      <c r="B740" s="88"/>
      <c r="C740" s="88"/>
      <c r="D740" s="88"/>
      <c r="E740" s="88"/>
      <c r="F740" s="88"/>
      <c r="G740" s="88"/>
      <c r="H740" s="88"/>
      <c r="I740" s="88"/>
      <c r="J740" s="88"/>
      <c r="K740" s="88"/>
      <c r="L740" s="88"/>
      <c r="M740" s="88"/>
      <c r="N740" s="88"/>
      <c r="O740" s="88"/>
      <c r="P740" s="88"/>
      <c r="Q740" s="88"/>
      <c r="R740" s="88"/>
      <c r="S740" s="88"/>
      <c r="T740" s="88"/>
      <c r="U740" s="88"/>
      <c r="V740" s="88"/>
      <c r="W740" s="88"/>
      <c r="X740" s="88"/>
      <c r="Y740" s="88"/>
      <c r="Z740" s="88"/>
      <c r="AA740" s="88"/>
    </row>
    <row r="741" spans="1:27" ht="13.2">
      <c r="A741" s="88"/>
      <c r="B741" s="88"/>
      <c r="C741" s="88"/>
      <c r="D741" s="88"/>
      <c r="E741" s="88"/>
      <c r="F741" s="88"/>
      <c r="G741" s="88"/>
      <c r="H741" s="88"/>
      <c r="I741" s="88"/>
      <c r="J741" s="88"/>
      <c r="K741" s="88"/>
      <c r="L741" s="88"/>
      <c r="M741" s="88"/>
      <c r="N741" s="88"/>
      <c r="O741" s="88"/>
      <c r="P741" s="88"/>
      <c r="Q741" s="88"/>
      <c r="R741" s="88"/>
      <c r="S741" s="88"/>
      <c r="T741" s="88"/>
      <c r="U741" s="88"/>
      <c r="V741" s="88"/>
      <c r="W741" s="88"/>
      <c r="X741" s="88"/>
      <c r="Y741" s="88"/>
      <c r="Z741" s="88"/>
      <c r="AA741" s="88"/>
    </row>
    <row r="742" spans="1:27" ht="13.2">
      <c r="A742" s="88"/>
      <c r="B742" s="88"/>
      <c r="C742" s="88"/>
      <c r="D742" s="88"/>
      <c r="E742" s="88"/>
      <c r="F742" s="88"/>
      <c r="G742" s="88"/>
      <c r="H742" s="88"/>
      <c r="I742" s="88"/>
      <c r="J742" s="88"/>
      <c r="K742" s="88"/>
      <c r="L742" s="88"/>
      <c r="M742" s="88"/>
      <c r="N742" s="88"/>
      <c r="O742" s="88"/>
      <c r="P742" s="88"/>
      <c r="Q742" s="88"/>
      <c r="R742" s="88"/>
      <c r="S742" s="88"/>
      <c r="T742" s="88"/>
      <c r="U742" s="88"/>
      <c r="V742" s="88"/>
      <c r="W742" s="88"/>
      <c r="X742" s="88"/>
      <c r="Y742" s="88"/>
      <c r="Z742" s="88"/>
      <c r="AA742" s="88"/>
    </row>
    <row r="743" spans="1:27" ht="13.2">
      <c r="A743" s="88"/>
      <c r="B743" s="88"/>
      <c r="C743" s="88"/>
      <c r="D743" s="88"/>
      <c r="E743" s="88"/>
      <c r="F743" s="88"/>
      <c r="G743" s="88"/>
      <c r="H743" s="88"/>
      <c r="I743" s="88"/>
      <c r="J743" s="88"/>
      <c r="K743" s="88"/>
      <c r="L743" s="88"/>
      <c r="M743" s="88"/>
      <c r="N743" s="88"/>
      <c r="O743" s="88"/>
      <c r="P743" s="88"/>
      <c r="Q743" s="88"/>
      <c r="R743" s="88"/>
      <c r="S743" s="88"/>
      <c r="T743" s="88"/>
      <c r="U743" s="88"/>
      <c r="V743" s="88"/>
      <c r="W743" s="88"/>
      <c r="X743" s="88"/>
      <c r="Y743" s="88"/>
      <c r="Z743" s="88"/>
      <c r="AA743" s="88"/>
    </row>
    <row r="744" spans="1:27" ht="13.2">
      <c r="A744" s="88"/>
      <c r="B744" s="88"/>
      <c r="C744" s="88"/>
      <c r="D744" s="88"/>
      <c r="E744" s="88"/>
      <c r="F744" s="88"/>
      <c r="G744" s="88"/>
      <c r="H744" s="88"/>
      <c r="I744" s="88"/>
      <c r="J744" s="88"/>
      <c r="K744" s="88"/>
      <c r="L744" s="88"/>
      <c r="M744" s="88"/>
      <c r="N744" s="88"/>
      <c r="O744" s="88"/>
      <c r="P744" s="88"/>
      <c r="Q744" s="88"/>
      <c r="R744" s="88"/>
      <c r="S744" s="88"/>
      <c r="T744" s="88"/>
      <c r="U744" s="88"/>
      <c r="V744" s="88"/>
      <c r="W744" s="88"/>
      <c r="X744" s="88"/>
      <c r="Y744" s="88"/>
      <c r="Z744" s="88"/>
      <c r="AA744" s="88"/>
    </row>
    <row r="745" spans="1:27" ht="13.2">
      <c r="A745" s="88"/>
      <c r="B745" s="88"/>
      <c r="C745" s="88"/>
      <c r="D745" s="88"/>
      <c r="E745" s="88"/>
      <c r="F745" s="88"/>
      <c r="G745" s="88"/>
      <c r="H745" s="88"/>
      <c r="I745" s="88"/>
      <c r="J745" s="88"/>
      <c r="K745" s="88"/>
      <c r="L745" s="88"/>
      <c r="M745" s="88"/>
      <c r="N745" s="88"/>
      <c r="O745" s="88"/>
      <c r="P745" s="88"/>
      <c r="Q745" s="88"/>
      <c r="R745" s="88"/>
      <c r="S745" s="88"/>
      <c r="T745" s="88"/>
      <c r="U745" s="88"/>
      <c r="V745" s="88"/>
      <c r="W745" s="88"/>
      <c r="X745" s="88"/>
      <c r="Y745" s="88"/>
      <c r="Z745" s="88"/>
      <c r="AA745" s="88"/>
    </row>
    <row r="746" spans="1:27" ht="13.2">
      <c r="A746" s="88"/>
      <c r="B746" s="88"/>
      <c r="C746" s="88"/>
      <c r="D746" s="88"/>
      <c r="E746" s="88"/>
      <c r="F746" s="88"/>
      <c r="G746" s="88"/>
      <c r="H746" s="88"/>
      <c r="I746" s="88"/>
      <c r="J746" s="88"/>
      <c r="K746" s="88"/>
      <c r="L746" s="88"/>
      <c r="M746" s="88"/>
      <c r="N746" s="88"/>
      <c r="O746" s="88"/>
      <c r="P746" s="88"/>
      <c r="Q746" s="88"/>
      <c r="R746" s="88"/>
      <c r="S746" s="88"/>
      <c r="T746" s="88"/>
      <c r="U746" s="88"/>
      <c r="V746" s="88"/>
      <c r="W746" s="88"/>
      <c r="X746" s="88"/>
      <c r="Y746" s="88"/>
      <c r="Z746" s="88"/>
      <c r="AA746" s="88"/>
    </row>
    <row r="747" spans="1:27" ht="13.2">
      <c r="A747" s="88"/>
      <c r="B747" s="88"/>
      <c r="C747" s="88"/>
      <c r="D747" s="88"/>
      <c r="E747" s="88"/>
      <c r="F747" s="88"/>
      <c r="G747" s="88"/>
      <c r="H747" s="88"/>
      <c r="I747" s="88"/>
      <c r="J747" s="88"/>
      <c r="K747" s="88"/>
      <c r="L747" s="88"/>
      <c r="M747" s="88"/>
      <c r="N747" s="88"/>
      <c r="O747" s="88"/>
      <c r="P747" s="88"/>
      <c r="Q747" s="88"/>
      <c r="R747" s="88"/>
      <c r="S747" s="88"/>
      <c r="T747" s="88"/>
      <c r="U747" s="88"/>
      <c r="V747" s="88"/>
      <c r="W747" s="88"/>
      <c r="X747" s="88"/>
      <c r="Y747" s="88"/>
      <c r="Z747" s="88"/>
      <c r="AA747" s="88"/>
    </row>
    <row r="748" spans="1:27" ht="13.2">
      <c r="A748" s="88"/>
      <c r="B748" s="88"/>
      <c r="C748" s="88"/>
      <c r="D748" s="88"/>
      <c r="E748" s="88"/>
      <c r="F748" s="88"/>
      <c r="G748" s="88"/>
      <c r="H748" s="88"/>
      <c r="I748" s="88"/>
      <c r="J748" s="88"/>
      <c r="K748" s="88"/>
      <c r="L748" s="88"/>
      <c r="M748" s="88"/>
      <c r="N748" s="88"/>
      <c r="O748" s="88"/>
      <c r="P748" s="88"/>
      <c r="Q748" s="88"/>
      <c r="R748" s="88"/>
      <c r="S748" s="88"/>
      <c r="T748" s="88"/>
      <c r="U748" s="88"/>
      <c r="V748" s="88"/>
      <c r="W748" s="88"/>
      <c r="X748" s="88"/>
      <c r="Y748" s="88"/>
      <c r="Z748" s="88"/>
      <c r="AA748" s="88"/>
    </row>
    <row r="749" spans="1:27" ht="13.2">
      <c r="A749" s="88"/>
      <c r="B749" s="88"/>
      <c r="C749" s="88"/>
      <c r="D749" s="88"/>
      <c r="E749" s="88"/>
      <c r="F749" s="88"/>
      <c r="G749" s="88"/>
      <c r="H749" s="88"/>
      <c r="I749" s="88"/>
      <c r="J749" s="88"/>
      <c r="K749" s="88"/>
      <c r="L749" s="88"/>
      <c r="M749" s="88"/>
      <c r="N749" s="88"/>
      <c r="O749" s="88"/>
      <c r="P749" s="88"/>
      <c r="Q749" s="88"/>
      <c r="R749" s="88"/>
      <c r="S749" s="88"/>
      <c r="T749" s="88"/>
      <c r="U749" s="88"/>
      <c r="V749" s="88"/>
      <c r="W749" s="88"/>
      <c r="X749" s="88"/>
      <c r="Y749" s="88"/>
      <c r="Z749" s="88"/>
      <c r="AA749" s="88"/>
    </row>
    <row r="750" spans="1:27" ht="13.2">
      <c r="A750" s="88"/>
      <c r="B750" s="88"/>
      <c r="C750" s="88"/>
      <c r="D750" s="88"/>
      <c r="E750" s="88"/>
      <c r="F750" s="88"/>
      <c r="G750" s="88"/>
      <c r="H750" s="88"/>
      <c r="I750" s="88"/>
      <c r="J750" s="88"/>
      <c r="K750" s="88"/>
      <c r="L750" s="88"/>
      <c r="M750" s="88"/>
      <c r="N750" s="88"/>
      <c r="O750" s="88"/>
      <c r="P750" s="88"/>
      <c r="Q750" s="88"/>
      <c r="R750" s="88"/>
      <c r="S750" s="88"/>
      <c r="T750" s="88"/>
      <c r="U750" s="88"/>
      <c r="V750" s="88"/>
      <c r="W750" s="88"/>
      <c r="X750" s="88"/>
      <c r="Y750" s="88"/>
      <c r="Z750" s="88"/>
      <c r="AA750" s="88"/>
    </row>
    <row r="751" spans="1:27" ht="13.2">
      <c r="A751" s="88"/>
      <c r="B751" s="88"/>
      <c r="C751" s="88"/>
      <c r="D751" s="88"/>
      <c r="E751" s="88"/>
      <c r="F751" s="88"/>
      <c r="G751" s="88"/>
      <c r="H751" s="88"/>
      <c r="I751" s="88"/>
      <c r="J751" s="88"/>
      <c r="K751" s="88"/>
      <c r="L751" s="88"/>
      <c r="M751" s="88"/>
      <c r="N751" s="88"/>
      <c r="O751" s="88"/>
      <c r="P751" s="88"/>
      <c r="Q751" s="88"/>
      <c r="R751" s="88"/>
      <c r="S751" s="88"/>
      <c r="T751" s="88"/>
      <c r="U751" s="88"/>
      <c r="V751" s="88"/>
      <c r="W751" s="88"/>
      <c r="X751" s="88"/>
      <c r="Y751" s="88"/>
      <c r="Z751" s="88"/>
      <c r="AA751" s="88"/>
    </row>
    <row r="752" spans="1:27" ht="13.2">
      <c r="A752" s="88"/>
      <c r="B752" s="88"/>
      <c r="C752" s="88"/>
      <c r="D752" s="88"/>
      <c r="E752" s="88"/>
      <c r="F752" s="88"/>
      <c r="G752" s="88"/>
      <c r="H752" s="88"/>
      <c r="I752" s="88"/>
      <c r="J752" s="88"/>
      <c r="K752" s="88"/>
      <c r="L752" s="88"/>
      <c r="M752" s="88"/>
      <c r="N752" s="88"/>
      <c r="O752" s="88"/>
      <c r="P752" s="88"/>
      <c r="Q752" s="88"/>
      <c r="R752" s="88"/>
      <c r="S752" s="88"/>
      <c r="T752" s="88"/>
      <c r="U752" s="88"/>
      <c r="V752" s="88"/>
      <c r="W752" s="88"/>
      <c r="X752" s="88"/>
      <c r="Y752" s="88"/>
      <c r="Z752" s="88"/>
      <c r="AA752" s="88"/>
    </row>
    <row r="753" spans="1:27" ht="13.2">
      <c r="A753" s="88"/>
      <c r="B753" s="88"/>
      <c r="C753" s="88"/>
      <c r="D753" s="88"/>
      <c r="E753" s="88"/>
      <c r="F753" s="88"/>
      <c r="G753" s="88"/>
      <c r="H753" s="88"/>
      <c r="I753" s="88"/>
      <c r="J753" s="88"/>
      <c r="K753" s="88"/>
      <c r="L753" s="88"/>
      <c r="M753" s="88"/>
      <c r="N753" s="88"/>
      <c r="O753" s="88"/>
      <c r="P753" s="88"/>
      <c r="Q753" s="88"/>
      <c r="R753" s="88"/>
      <c r="S753" s="88"/>
      <c r="T753" s="88"/>
      <c r="U753" s="88"/>
      <c r="V753" s="88"/>
      <c r="W753" s="88"/>
      <c r="X753" s="88"/>
      <c r="Y753" s="88"/>
      <c r="Z753" s="88"/>
      <c r="AA753" s="88"/>
    </row>
    <row r="754" spans="1:27" ht="13.2">
      <c r="A754" s="88"/>
      <c r="B754" s="88"/>
      <c r="C754" s="88"/>
      <c r="D754" s="88"/>
      <c r="E754" s="88"/>
      <c r="F754" s="88"/>
      <c r="G754" s="88"/>
      <c r="H754" s="88"/>
      <c r="I754" s="88"/>
      <c r="J754" s="88"/>
      <c r="K754" s="88"/>
      <c r="L754" s="88"/>
      <c r="M754" s="88"/>
      <c r="N754" s="88"/>
      <c r="O754" s="88"/>
      <c r="P754" s="88"/>
      <c r="Q754" s="88"/>
      <c r="R754" s="88"/>
      <c r="S754" s="88"/>
      <c r="T754" s="88"/>
      <c r="U754" s="88"/>
      <c r="V754" s="88"/>
      <c r="W754" s="88"/>
      <c r="X754" s="88"/>
      <c r="Y754" s="88"/>
      <c r="Z754" s="88"/>
      <c r="AA754" s="88"/>
    </row>
    <row r="755" spans="1:27" ht="13.2">
      <c r="A755" s="88"/>
      <c r="B755" s="88"/>
      <c r="C755" s="88"/>
      <c r="D755" s="88"/>
      <c r="E755" s="88"/>
      <c r="F755" s="88"/>
      <c r="G755" s="88"/>
      <c r="H755" s="88"/>
      <c r="I755" s="88"/>
      <c r="J755" s="88"/>
      <c r="K755" s="88"/>
      <c r="L755" s="88"/>
      <c r="M755" s="88"/>
      <c r="N755" s="88"/>
      <c r="O755" s="88"/>
      <c r="P755" s="88"/>
      <c r="Q755" s="88"/>
      <c r="R755" s="88"/>
      <c r="S755" s="88"/>
      <c r="T755" s="88"/>
      <c r="U755" s="88"/>
      <c r="V755" s="88"/>
      <c r="W755" s="88"/>
      <c r="X755" s="88"/>
      <c r="Y755" s="88"/>
      <c r="Z755" s="88"/>
      <c r="AA755" s="88"/>
    </row>
    <row r="756" spans="1:27" ht="13.2">
      <c r="A756" s="88"/>
      <c r="B756" s="88"/>
      <c r="C756" s="88"/>
      <c r="D756" s="88"/>
      <c r="E756" s="88"/>
      <c r="F756" s="88"/>
      <c r="G756" s="88"/>
      <c r="H756" s="88"/>
      <c r="I756" s="88"/>
      <c r="J756" s="88"/>
      <c r="K756" s="88"/>
      <c r="L756" s="88"/>
      <c r="M756" s="88"/>
      <c r="N756" s="88"/>
      <c r="O756" s="88"/>
      <c r="P756" s="88"/>
      <c r="Q756" s="88"/>
      <c r="R756" s="88"/>
      <c r="S756" s="88"/>
      <c r="T756" s="88"/>
      <c r="U756" s="88"/>
      <c r="V756" s="88"/>
      <c r="W756" s="88"/>
      <c r="X756" s="88"/>
      <c r="Y756" s="88"/>
      <c r="Z756" s="88"/>
      <c r="AA756" s="88"/>
    </row>
    <row r="757" spans="1:27" ht="13.2">
      <c r="A757" s="88"/>
      <c r="B757" s="88"/>
      <c r="C757" s="88"/>
      <c r="D757" s="88"/>
      <c r="E757" s="88"/>
      <c r="F757" s="88"/>
      <c r="G757" s="88"/>
      <c r="H757" s="88"/>
      <c r="I757" s="88"/>
      <c r="J757" s="88"/>
      <c r="K757" s="88"/>
      <c r="L757" s="88"/>
      <c r="M757" s="88"/>
      <c r="N757" s="88"/>
      <c r="O757" s="88"/>
      <c r="P757" s="88"/>
      <c r="Q757" s="88"/>
      <c r="R757" s="88"/>
      <c r="S757" s="88"/>
      <c r="T757" s="88"/>
      <c r="U757" s="88"/>
      <c r="V757" s="88"/>
      <c r="W757" s="88"/>
      <c r="X757" s="88"/>
      <c r="Y757" s="88"/>
      <c r="Z757" s="88"/>
      <c r="AA757" s="88"/>
    </row>
    <row r="758" spans="1:27" ht="13.2">
      <c r="A758" s="88"/>
      <c r="B758" s="88"/>
      <c r="C758" s="88"/>
      <c r="D758" s="88"/>
      <c r="E758" s="88"/>
      <c r="F758" s="88"/>
      <c r="G758" s="88"/>
      <c r="H758" s="88"/>
      <c r="I758" s="88"/>
      <c r="J758" s="88"/>
      <c r="K758" s="88"/>
      <c r="L758" s="88"/>
      <c r="M758" s="88"/>
      <c r="N758" s="88"/>
      <c r="O758" s="88"/>
      <c r="P758" s="88"/>
      <c r="Q758" s="88"/>
      <c r="R758" s="88"/>
      <c r="S758" s="88"/>
      <c r="T758" s="88"/>
      <c r="U758" s="88"/>
      <c r="V758" s="88"/>
      <c r="W758" s="88"/>
      <c r="X758" s="88"/>
      <c r="Y758" s="88"/>
      <c r="Z758" s="88"/>
      <c r="AA758" s="88"/>
    </row>
    <row r="759" spans="1:27" ht="13.2">
      <c r="A759" s="88"/>
      <c r="B759" s="88"/>
      <c r="C759" s="88"/>
      <c r="D759" s="88"/>
      <c r="E759" s="88"/>
      <c r="F759" s="88"/>
      <c r="G759" s="88"/>
      <c r="H759" s="88"/>
      <c r="I759" s="88"/>
      <c r="J759" s="88"/>
      <c r="K759" s="88"/>
      <c r="L759" s="88"/>
      <c r="M759" s="88"/>
      <c r="N759" s="88"/>
      <c r="O759" s="88"/>
      <c r="P759" s="88"/>
      <c r="Q759" s="88"/>
      <c r="R759" s="88"/>
      <c r="S759" s="88"/>
      <c r="T759" s="88"/>
      <c r="U759" s="88"/>
      <c r="V759" s="88"/>
      <c r="W759" s="88"/>
      <c r="X759" s="88"/>
      <c r="Y759" s="88"/>
      <c r="Z759" s="88"/>
      <c r="AA759" s="88"/>
    </row>
    <row r="760" spans="1:27" ht="13.2">
      <c r="A760" s="88"/>
      <c r="B760" s="88"/>
      <c r="C760" s="88"/>
      <c r="D760" s="88"/>
      <c r="E760" s="88"/>
      <c r="F760" s="88"/>
      <c r="G760" s="88"/>
      <c r="H760" s="88"/>
      <c r="I760" s="88"/>
      <c r="J760" s="88"/>
      <c r="K760" s="88"/>
      <c r="L760" s="88"/>
      <c r="M760" s="88"/>
      <c r="N760" s="88"/>
      <c r="O760" s="88"/>
      <c r="P760" s="88"/>
      <c r="Q760" s="88"/>
      <c r="R760" s="88"/>
      <c r="S760" s="88"/>
      <c r="T760" s="88"/>
      <c r="U760" s="88"/>
      <c r="V760" s="88"/>
      <c r="W760" s="88"/>
      <c r="X760" s="88"/>
      <c r="Y760" s="88"/>
      <c r="Z760" s="88"/>
      <c r="AA760" s="88"/>
    </row>
    <row r="761" spans="1:27" ht="13.2">
      <c r="A761" s="88"/>
      <c r="B761" s="88"/>
      <c r="C761" s="88"/>
      <c r="D761" s="88"/>
      <c r="E761" s="88"/>
      <c r="F761" s="88"/>
      <c r="G761" s="88"/>
      <c r="H761" s="88"/>
      <c r="I761" s="88"/>
      <c r="J761" s="88"/>
      <c r="K761" s="88"/>
      <c r="L761" s="88"/>
      <c r="M761" s="88"/>
      <c r="N761" s="88"/>
      <c r="O761" s="88"/>
      <c r="P761" s="88"/>
      <c r="Q761" s="88"/>
      <c r="R761" s="88"/>
      <c r="S761" s="88"/>
      <c r="T761" s="88"/>
      <c r="U761" s="88"/>
      <c r="V761" s="88"/>
      <c r="W761" s="88"/>
      <c r="X761" s="88"/>
      <c r="Y761" s="88"/>
      <c r="Z761" s="88"/>
      <c r="AA761" s="88"/>
    </row>
    <row r="762" spans="1:27" ht="13.2">
      <c r="A762" s="88"/>
      <c r="B762" s="88"/>
      <c r="C762" s="88"/>
      <c r="D762" s="88"/>
      <c r="E762" s="88"/>
      <c r="F762" s="88"/>
      <c r="G762" s="88"/>
      <c r="H762" s="88"/>
      <c r="I762" s="88"/>
      <c r="J762" s="88"/>
      <c r="K762" s="88"/>
      <c r="L762" s="88"/>
      <c r="M762" s="88"/>
      <c r="N762" s="88"/>
      <c r="O762" s="88"/>
      <c r="P762" s="88"/>
      <c r="Q762" s="88"/>
      <c r="R762" s="88"/>
      <c r="S762" s="88"/>
      <c r="T762" s="88"/>
      <c r="U762" s="88"/>
      <c r="V762" s="88"/>
      <c r="W762" s="88"/>
      <c r="X762" s="88"/>
      <c r="Y762" s="88"/>
      <c r="Z762" s="88"/>
      <c r="AA762" s="88"/>
    </row>
    <row r="763" spans="1:27" ht="13.2">
      <c r="A763" s="88"/>
      <c r="B763" s="88"/>
      <c r="C763" s="88"/>
      <c r="D763" s="88"/>
      <c r="E763" s="88"/>
      <c r="F763" s="88"/>
      <c r="G763" s="88"/>
      <c r="H763" s="88"/>
      <c r="I763" s="88"/>
      <c r="J763" s="88"/>
      <c r="K763" s="88"/>
      <c r="L763" s="88"/>
      <c r="M763" s="88"/>
      <c r="N763" s="88"/>
      <c r="O763" s="88"/>
      <c r="P763" s="88"/>
      <c r="Q763" s="88"/>
      <c r="R763" s="88"/>
      <c r="S763" s="88"/>
      <c r="T763" s="88"/>
      <c r="U763" s="88"/>
      <c r="V763" s="88"/>
      <c r="W763" s="88"/>
      <c r="X763" s="88"/>
      <c r="Y763" s="88"/>
      <c r="Z763" s="88"/>
      <c r="AA763" s="88"/>
    </row>
    <row r="764" spans="1:27" ht="13.2">
      <c r="A764" s="88"/>
      <c r="B764" s="88"/>
      <c r="C764" s="88"/>
      <c r="D764" s="88"/>
      <c r="E764" s="88"/>
      <c r="F764" s="88"/>
      <c r="G764" s="88"/>
      <c r="H764" s="88"/>
      <c r="I764" s="88"/>
      <c r="J764" s="88"/>
      <c r="K764" s="88"/>
      <c r="L764" s="88"/>
      <c r="M764" s="88"/>
      <c r="N764" s="88"/>
      <c r="O764" s="88"/>
      <c r="P764" s="88"/>
      <c r="Q764" s="88"/>
      <c r="R764" s="88"/>
      <c r="S764" s="88"/>
      <c r="T764" s="88"/>
      <c r="U764" s="88"/>
      <c r="V764" s="88"/>
      <c r="W764" s="88"/>
      <c r="X764" s="88"/>
      <c r="Y764" s="88"/>
      <c r="Z764" s="88"/>
      <c r="AA764" s="88"/>
    </row>
    <row r="765" spans="1:27" ht="13.2">
      <c r="A765" s="88"/>
      <c r="B765" s="88"/>
      <c r="C765" s="88"/>
      <c r="D765" s="88"/>
      <c r="E765" s="88"/>
      <c r="F765" s="88"/>
      <c r="G765" s="88"/>
      <c r="H765" s="88"/>
      <c r="I765" s="88"/>
      <c r="J765" s="88"/>
      <c r="K765" s="88"/>
      <c r="L765" s="88"/>
      <c r="M765" s="88"/>
      <c r="N765" s="88"/>
      <c r="O765" s="88"/>
      <c r="P765" s="88"/>
      <c r="Q765" s="88"/>
      <c r="R765" s="88"/>
      <c r="S765" s="88"/>
      <c r="T765" s="88"/>
      <c r="U765" s="88"/>
      <c r="V765" s="88"/>
      <c r="W765" s="88"/>
      <c r="X765" s="88"/>
      <c r="Y765" s="88"/>
      <c r="Z765" s="88"/>
      <c r="AA765" s="88"/>
    </row>
    <row r="766" spans="1:27" ht="13.2">
      <c r="A766" s="88"/>
      <c r="B766" s="88"/>
      <c r="C766" s="88"/>
      <c r="D766" s="88"/>
      <c r="E766" s="88"/>
      <c r="F766" s="88"/>
      <c r="G766" s="88"/>
      <c r="H766" s="88"/>
      <c r="I766" s="88"/>
      <c r="J766" s="88"/>
      <c r="K766" s="88"/>
      <c r="L766" s="88"/>
      <c r="M766" s="88"/>
      <c r="N766" s="88"/>
      <c r="O766" s="88"/>
      <c r="P766" s="88"/>
      <c r="Q766" s="88"/>
      <c r="R766" s="88"/>
      <c r="S766" s="88"/>
      <c r="T766" s="88"/>
      <c r="U766" s="88"/>
      <c r="V766" s="88"/>
      <c r="W766" s="88"/>
      <c r="X766" s="88"/>
      <c r="Y766" s="88"/>
      <c r="Z766" s="88"/>
      <c r="AA766" s="88"/>
    </row>
    <row r="767" spans="1:27" ht="13.2">
      <c r="A767" s="88"/>
      <c r="B767" s="88"/>
      <c r="C767" s="88"/>
      <c r="D767" s="88"/>
      <c r="E767" s="88"/>
      <c r="F767" s="88"/>
      <c r="G767" s="88"/>
      <c r="H767" s="88"/>
      <c r="I767" s="88"/>
      <c r="J767" s="88"/>
      <c r="K767" s="88"/>
      <c r="L767" s="88"/>
      <c r="M767" s="88"/>
      <c r="N767" s="88"/>
      <c r="O767" s="88"/>
      <c r="P767" s="88"/>
      <c r="Q767" s="88"/>
      <c r="R767" s="88"/>
      <c r="S767" s="88"/>
      <c r="T767" s="88"/>
      <c r="U767" s="88"/>
      <c r="V767" s="88"/>
      <c r="W767" s="88"/>
      <c r="X767" s="88"/>
      <c r="Y767" s="88"/>
      <c r="Z767" s="88"/>
      <c r="AA767" s="88"/>
    </row>
    <row r="768" spans="1:27" ht="13.2">
      <c r="A768" s="88"/>
      <c r="B768" s="88"/>
      <c r="C768" s="88"/>
      <c r="D768" s="88"/>
      <c r="E768" s="88"/>
      <c r="F768" s="88"/>
      <c r="G768" s="88"/>
      <c r="H768" s="88"/>
      <c r="I768" s="88"/>
      <c r="J768" s="88"/>
      <c r="K768" s="88"/>
      <c r="L768" s="88"/>
      <c r="M768" s="88"/>
      <c r="N768" s="88"/>
      <c r="O768" s="88"/>
      <c r="P768" s="88"/>
      <c r="Q768" s="88"/>
      <c r="R768" s="88"/>
      <c r="S768" s="88"/>
      <c r="T768" s="88"/>
      <c r="U768" s="88"/>
      <c r="V768" s="88"/>
      <c r="W768" s="88"/>
      <c r="X768" s="88"/>
      <c r="Y768" s="88"/>
      <c r="Z768" s="88"/>
      <c r="AA768" s="88"/>
    </row>
    <row r="769" spans="1:27" ht="13.2">
      <c r="A769" s="88"/>
      <c r="B769" s="88"/>
      <c r="C769" s="88"/>
      <c r="D769" s="88"/>
      <c r="E769" s="88"/>
      <c r="F769" s="88"/>
      <c r="G769" s="88"/>
      <c r="H769" s="88"/>
      <c r="I769" s="88"/>
      <c r="J769" s="88"/>
      <c r="K769" s="88"/>
      <c r="L769" s="88"/>
      <c r="M769" s="88"/>
      <c r="N769" s="88"/>
      <c r="O769" s="88"/>
      <c r="P769" s="88"/>
      <c r="Q769" s="88"/>
      <c r="R769" s="88"/>
      <c r="S769" s="88"/>
      <c r="T769" s="88"/>
      <c r="U769" s="88"/>
      <c r="V769" s="88"/>
      <c r="W769" s="88"/>
      <c r="X769" s="88"/>
      <c r="Y769" s="88"/>
      <c r="Z769" s="88"/>
      <c r="AA769" s="88"/>
    </row>
    <row r="770" spans="1:27" ht="13.2">
      <c r="A770" s="88"/>
      <c r="B770" s="88"/>
      <c r="C770" s="88"/>
      <c r="D770" s="88"/>
      <c r="E770" s="88"/>
      <c r="F770" s="88"/>
      <c r="G770" s="88"/>
      <c r="H770" s="88"/>
      <c r="I770" s="88"/>
      <c r="J770" s="88"/>
      <c r="K770" s="88"/>
      <c r="L770" s="88"/>
      <c r="M770" s="88"/>
      <c r="N770" s="88"/>
      <c r="O770" s="88"/>
      <c r="P770" s="88"/>
      <c r="Q770" s="88"/>
      <c r="R770" s="88"/>
      <c r="S770" s="88"/>
      <c r="T770" s="88"/>
      <c r="U770" s="88"/>
      <c r="V770" s="88"/>
      <c r="W770" s="88"/>
      <c r="X770" s="88"/>
      <c r="Y770" s="88"/>
      <c r="Z770" s="88"/>
      <c r="AA770" s="88"/>
    </row>
    <row r="771" spans="1:27" ht="13.2">
      <c r="A771" s="88"/>
      <c r="B771" s="88"/>
      <c r="C771" s="88"/>
      <c r="D771" s="88"/>
      <c r="E771" s="88"/>
      <c r="F771" s="88"/>
      <c r="G771" s="88"/>
      <c r="H771" s="88"/>
      <c r="I771" s="88"/>
      <c r="J771" s="88"/>
      <c r="K771" s="88"/>
      <c r="L771" s="88"/>
      <c r="M771" s="88"/>
      <c r="N771" s="88"/>
      <c r="O771" s="88"/>
      <c r="P771" s="88"/>
      <c r="Q771" s="88"/>
      <c r="R771" s="88"/>
      <c r="S771" s="88"/>
      <c r="T771" s="88"/>
      <c r="U771" s="88"/>
      <c r="V771" s="88"/>
      <c r="W771" s="88"/>
      <c r="X771" s="88"/>
      <c r="Y771" s="88"/>
      <c r="Z771" s="88"/>
      <c r="AA771" s="88"/>
    </row>
    <row r="772" spans="1:27" ht="13.2">
      <c r="A772" s="88"/>
      <c r="B772" s="88"/>
      <c r="C772" s="88"/>
      <c r="D772" s="88"/>
      <c r="E772" s="88"/>
      <c r="F772" s="88"/>
      <c r="G772" s="88"/>
      <c r="H772" s="88"/>
      <c r="I772" s="88"/>
      <c r="J772" s="88"/>
      <c r="K772" s="88"/>
      <c r="L772" s="88"/>
      <c r="M772" s="88"/>
      <c r="N772" s="88"/>
      <c r="O772" s="88"/>
      <c r="P772" s="88"/>
      <c r="Q772" s="88"/>
      <c r="R772" s="88"/>
      <c r="S772" s="88"/>
      <c r="T772" s="88"/>
      <c r="U772" s="88"/>
      <c r="V772" s="88"/>
      <c r="W772" s="88"/>
      <c r="X772" s="88"/>
      <c r="Y772" s="88"/>
      <c r="Z772" s="88"/>
      <c r="AA772" s="88"/>
    </row>
    <row r="773" spans="1:27" ht="13.2">
      <c r="A773" s="88"/>
      <c r="B773" s="88"/>
      <c r="C773" s="88"/>
      <c r="D773" s="88"/>
      <c r="E773" s="88"/>
      <c r="F773" s="88"/>
      <c r="G773" s="88"/>
      <c r="H773" s="88"/>
      <c r="I773" s="88"/>
      <c r="J773" s="88"/>
      <c r="K773" s="88"/>
      <c r="L773" s="88"/>
      <c r="M773" s="88"/>
      <c r="N773" s="88"/>
      <c r="O773" s="88"/>
      <c r="P773" s="88"/>
      <c r="Q773" s="88"/>
      <c r="R773" s="88"/>
      <c r="S773" s="88"/>
      <c r="T773" s="88"/>
      <c r="U773" s="88"/>
      <c r="V773" s="88"/>
      <c r="W773" s="88"/>
      <c r="X773" s="88"/>
      <c r="Y773" s="88"/>
      <c r="Z773" s="88"/>
      <c r="AA773" s="88"/>
    </row>
    <row r="774" spans="1:27" ht="13.2">
      <c r="A774" s="88"/>
      <c r="B774" s="88"/>
      <c r="C774" s="88"/>
      <c r="D774" s="88"/>
      <c r="E774" s="88"/>
      <c r="F774" s="88"/>
      <c r="G774" s="88"/>
      <c r="H774" s="88"/>
      <c r="I774" s="88"/>
      <c r="J774" s="88"/>
      <c r="K774" s="88"/>
      <c r="L774" s="88"/>
      <c r="M774" s="88"/>
      <c r="N774" s="88"/>
      <c r="O774" s="88"/>
      <c r="P774" s="88"/>
      <c r="Q774" s="88"/>
      <c r="R774" s="88"/>
      <c r="S774" s="88"/>
      <c r="T774" s="88"/>
      <c r="U774" s="88"/>
      <c r="V774" s="88"/>
      <c r="W774" s="88"/>
      <c r="X774" s="88"/>
      <c r="Y774" s="88"/>
      <c r="Z774" s="88"/>
      <c r="AA774" s="88"/>
    </row>
    <row r="775" spans="1:27" ht="13.2">
      <c r="A775" s="88"/>
      <c r="B775" s="88"/>
      <c r="C775" s="88"/>
      <c r="D775" s="88"/>
      <c r="E775" s="88"/>
      <c r="F775" s="88"/>
      <c r="G775" s="88"/>
      <c r="H775" s="88"/>
      <c r="I775" s="88"/>
      <c r="J775" s="88"/>
      <c r="K775" s="88"/>
      <c r="L775" s="88"/>
      <c r="M775" s="88"/>
      <c r="N775" s="88"/>
      <c r="O775" s="88"/>
      <c r="P775" s="88"/>
      <c r="Q775" s="88"/>
      <c r="R775" s="88"/>
      <c r="S775" s="88"/>
      <c r="T775" s="88"/>
      <c r="U775" s="88"/>
      <c r="V775" s="88"/>
      <c r="W775" s="88"/>
      <c r="X775" s="88"/>
      <c r="Y775" s="88"/>
      <c r="Z775" s="88"/>
      <c r="AA775" s="88"/>
    </row>
    <row r="776" spans="1:27" ht="13.2">
      <c r="A776" s="88"/>
      <c r="B776" s="88"/>
      <c r="C776" s="88"/>
      <c r="D776" s="88"/>
      <c r="E776" s="88"/>
      <c r="F776" s="88"/>
      <c r="G776" s="88"/>
      <c r="H776" s="88"/>
      <c r="I776" s="88"/>
      <c r="J776" s="88"/>
      <c r="K776" s="88"/>
      <c r="L776" s="88"/>
      <c r="M776" s="88"/>
      <c r="N776" s="88"/>
      <c r="O776" s="88"/>
      <c r="P776" s="88"/>
      <c r="Q776" s="88"/>
      <c r="R776" s="88"/>
      <c r="S776" s="88"/>
      <c r="T776" s="88"/>
      <c r="U776" s="88"/>
      <c r="V776" s="88"/>
      <c r="W776" s="88"/>
      <c r="X776" s="88"/>
      <c r="Y776" s="88"/>
      <c r="Z776" s="88"/>
      <c r="AA776" s="88"/>
    </row>
    <row r="777" spans="1:27" ht="13.2">
      <c r="A777" s="88"/>
      <c r="B777" s="88"/>
      <c r="C777" s="88"/>
      <c r="D777" s="88"/>
      <c r="E777" s="88"/>
      <c r="F777" s="88"/>
      <c r="G777" s="88"/>
      <c r="H777" s="88"/>
      <c r="I777" s="88"/>
      <c r="J777" s="88"/>
      <c r="K777" s="88"/>
      <c r="L777" s="88"/>
      <c r="M777" s="88"/>
      <c r="N777" s="88"/>
      <c r="O777" s="88"/>
      <c r="P777" s="88"/>
      <c r="Q777" s="88"/>
      <c r="R777" s="88"/>
      <c r="S777" s="88"/>
      <c r="T777" s="88"/>
      <c r="U777" s="88"/>
      <c r="V777" s="88"/>
      <c r="W777" s="88"/>
      <c r="X777" s="88"/>
      <c r="Y777" s="88"/>
      <c r="Z777" s="88"/>
      <c r="AA777" s="88"/>
    </row>
    <row r="778" spans="1:27" ht="13.2">
      <c r="A778" s="88"/>
      <c r="B778" s="88"/>
      <c r="C778" s="88"/>
      <c r="D778" s="88"/>
      <c r="E778" s="88"/>
      <c r="F778" s="88"/>
      <c r="G778" s="88"/>
      <c r="H778" s="88"/>
      <c r="I778" s="88"/>
      <c r="J778" s="88"/>
      <c r="K778" s="88"/>
      <c r="L778" s="88"/>
      <c r="M778" s="88"/>
      <c r="N778" s="88"/>
      <c r="O778" s="88"/>
      <c r="P778" s="88"/>
      <c r="Q778" s="88"/>
      <c r="R778" s="88"/>
      <c r="S778" s="88"/>
      <c r="T778" s="88"/>
      <c r="U778" s="88"/>
      <c r="V778" s="88"/>
      <c r="W778" s="88"/>
      <c r="X778" s="88"/>
      <c r="Y778" s="88"/>
      <c r="Z778" s="88"/>
      <c r="AA778" s="88"/>
    </row>
    <row r="779" spans="1:27" ht="13.2">
      <c r="A779" s="88"/>
      <c r="B779" s="88"/>
      <c r="C779" s="88"/>
      <c r="D779" s="88"/>
      <c r="E779" s="88"/>
      <c r="F779" s="88"/>
      <c r="G779" s="88"/>
      <c r="H779" s="88"/>
      <c r="I779" s="88"/>
      <c r="J779" s="88"/>
      <c r="K779" s="88"/>
      <c r="L779" s="88"/>
      <c r="M779" s="88"/>
      <c r="N779" s="88"/>
      <c r="O779" s="88"/>
      <c r="P779" s="88"/>
      <c r="Q779" s="88"/>
      <c r="R779" s="88"/>
      <c r="S779" s="88"/>
      <c r="T779" s="88"/>
      <c r="U779" s="88"/>
      <c r="V779" s="88"/>
      <c r="W779" s="88"/>
      <c r="X779" s="88"/>
      <c r="Y779" s="88"/>
      <c r="Z779" s="88"/>
      <c r="AA779" s="88"/>
    </row>
    <row r="780" spans="1:27" ht="13.2">
      <c r="A780" s="88"/>
      <c r="B780" s="88"/>
      <c r="C780" s="88"/>
      <c r="D780" s="88"/>
      <c r="E780" s="88"/>
      <c r="F780" s="88"/>
      <c r="G780" s="88"/>
      <c r="H780" s="88"/>
      <c r="I780" s="88"/>
      <c r="J780" s="88"/>
      <c r="K780" s="88"/>
      <c r="L780" s="88"/>
      <c r="M780" s="88"/>
      <c r="N780" s="88"/>
      <c r="O780" s="88"/>
      <c r="P780" s="88"/>
      <c r="Q780" s="88"/>
      <c r="R780" s="88"/>
      <c r="S780" s="88"/>
      <c r="T780" s="88"/>
      <c r="U780" s="88"/>
      <c r="V780" s="88"/>
      <c r="W780" s="88"/>
      <c r="X780" s="88"/>
      <c r="Y780" s="88"/>
      <c r="Z780" s="88"/>
      <c r="AA780" s="88"/>
    </row>
    <row r="781" spans="1:27" ht="13.2">
      <c r="A781" s="88"/>
      <c r="B781" s="88"/>
      <c r="C781" s="88"/>
      <c r="D781" s="88"/>
      <c r="E781" s="88"/>
      <c r="F781" s="88"/>
      <c r="G781" s="88"/>
      <c r="H781" s="88"/>
      <c r="I781" s="88"/>
      <c r="J781" s="88"/>
      <c r="K781" s="88"/>
      <c r="L781" s="88"/>
      <c r="M781" s="88"/>
      <c r="N781" s="88"/>
      <c r="O781" s="88"/>
      <c r="P781" s="88"/>
      <c r="Q781" s="88"/>
      <c r="R781" s="88"/>
      <c r="S781" s="88"/>
      <c r="T781" s="88"/>
      <c r="U781" s="88"/>
      <c r="V781" s="88"/>
      <c r="W781" s="88"/>
      <c r="X781" s="88"/>
      <c r="Y781" s="88"/>
      <c r="Z781" s="88"/>
      <c r="AA781" s="88"/>
    </row>
    <row r="782" spans="1:27" ht="13.2">
      <c r="A782" s="88"/>
      <c r="B782" s="88"/>
      <c r="C782" s="88"/>
      <c r="D782" s="88"/>
      <c r="E782" s="88"/>
      <c r="F782" s="88"/>
      <c r="G782" s="88"/>
      <c r="H782" s="88"/>
      <c r="I782" s="88"/>
      <c r="J782" s="88"/>
      <c r="K782" s="88"/>
      <c r="L782" s="88"/>
      <c r="M782" s="88"/>
      <c r="N782" s="88"/>
      <c r="O782" s="88"/>
      <c r="P782" s="88"/>
      <c r="Q782" s="88"/>
      <c r="R782" s="88"/>
      <c r="S782" s="88"/>
      <c r="T782" s="88"/>
      <c r="U782" s="88"/>
      <c r="V782" s="88"/>
      <c r="W782" s="88"/>
      <c r="X782" s="88"/>
      <c r="Y782" s="88"/>
      <c r="Z782" s="88"/>
      <c r="AA782" s="88"/>
    </row>
    <row r="783" spans="1:27" ht="13.2">
      <c r="A783" s="88"/>
      <c r="B783" s="88"/>
      <c r="C783" s="88"/>
      <c r="D783" s="88"/>
      <c r="E783" s="88"/>
      <c r="F783" s="88"/>
      <c r="G783" s="88"/>
      <c r="H783" s="88"/>
      <c r="I783" s="88"/>
      <c r="J783" s="88"/>
      <c r="K783" s="88"/>
      <c r="L783" s="88"/>
      <c r="M783" s="88"/>
      <c r="N783" s="88"/>
      <c r="O783" s="88"/>
      <c r="P783" s="88"/>
      <c r="Q783" s="88"/>
      <c r="R783" s="88"/>
      <c r="S783" s="88"/>
      <c r="T783" s="88"/>
      <c r="U783" s="88"/>
      <c r="V783" s="88"/>
      <c r="W783" s="88"/>
      <c r="X783" s="88"/>
      <c r="Y783" s="88"/>
      <c r="Z783" s="88"/>
      <c r="AA783" s="88"/>
    </row>
    <row r="784" spans="1:27" ht="13.2">
      <c r="A784" s="88"/>
      <c r="B784" s="88"/>
      <c r="C784" s="88"/>
      <c r="D784" s="88"/>
      <c r="E784" s="88"/>
      <c r="F784" s="88"/>
      <c r="G784" s="88"/>
      <c r="H784" s="88"/>
      <c r="I784" s="88"/>
      <c r="J784" s="88"/>
      <c r="K784" s="88"/>
      <c r="L784" s="88"/>
      <c r="M784" s="88"/>
      <c r="N784" s="88"/>
      <c r="O784" s="88"/>
      <c r="P784" s="88"/>
      <c r="Q784" s="88"/>
      <c r="R784" s="88"/>
      <c r="S784" s="88"/>
      <c r="T784" s="88"/>
      <c r="U784" s="88"/>
      <c r="V784" s="88"/>
      <c r="W784" s="88"/>
      <c r="X784" s="88"/>
      <c r="Y784" s="88"/>
      <c r="Z784" s="88"/>
      <c r="AA784" s="88"/>
    </row>
    <row r="785" spans="1:27" ht="13.2">
      <c r="A785" s="88"/>
      <c r="B785" s="88"/>
      <c r="C785" s="88"/>
      <c r="D785" s="88"/>
      <c r="E785" s="88"/>
      <c r="F785" s="88"/>
      <c r="G785" s="88"/>
      <c r="H785" s="88"/>
      <c r="I785" s="88"/>
      <c r="J785" s="88"/>
      <c r="K785" s="88"/>
      <c r="L785" s="88"/>
      <c r="M785" s="88"/>
      <c r="N785" s="88"/>
      <c r="O785" s="88"/>
      <c r="P785" s="88"/>
      <c r="Q785" s="88"/>
      <c r="R785" s="88"/>
      <c r="S785" s="88"/>
      <c r="T785" s="88"/>
      <c r="U785" s="88"/>
      <c r="V785" s="88"/>
      <c r="W785" s="88"/>
      <c r="X785" s="88"/>
      <c r="Y785" s="88"/>
      <c r="Z785" s="88"/>
      <c r="AA785" s="88"/>
    </row>
    <row r="786" spans="1:27" ht="13.2">
      <c r="A786" s="88"/>
      <c r="B786" s="88"/>
      <c r="C786" s="88"/>
      <c r="D786" s="88"/>
      <c r="E786" s="88"/>
      <c r="F786" s="88"/>
      <c r="G786" s="88"/>
      <c r="H786" s="88"/>
      <c r="I786" s="88"/>
      <c r="J786" s="88"/>
      <c r="K786" s="88"/>
      <c r="L786" s="88"/>
      <c r="M786" s="88"/>
      <c r="N786" s="88"/>
      <c r="O786" s="88"/>
      <c r="P786" s="88"/>
      <c r="Q786" s="88"/>
      <c r="R786" s="88"/>
      <c r="S786" s="88"/>
      <c r="T786" s="88"/>
      <c r="U786" s="88"/>
      <c r="V786" s="88"/>
      <c r="W786" s="88"/>
      <c r="X786" s="88"/>
      <c r="Y786" s="88"/>
      <c r="Z786" s="88"/>
      <c r="AA786" s="88"/>
    </row>
    <row r="787" spans="1:27" ht="13.2">
      <c r="A787" s="88"/>
      <c r="B787" s="88"/>
      <c r="C787" s="88"/>
      <c r="D787" s="88"/>
      <c r="E787" s="88"/>
      <c r="F787" s="88"/>
      <c r="G787" s="88"/>
      <c r="H787" s="88"/>
      <c r="I787" s="88"/>
      <c r="J787" s="88"/>
      <c r="K787" s="88"/>
      <c r="L787" s="88"/>
      <c r="M787" s="88"/>
      <c r="N787" s="88"/>
      <c r="O787" s="88"/>
      <c r="P787" s="88"/>
      <c r="Q787" s="88"/>
      <c r="R787" s="88"/>
      <c r="S787" s="88"/>
      <c r="T787" s="88"/>
      <c r="U787" s="88"/>
      <c r="V787" s="88"/>
      <c r="W787" s="88"/>
      <c r="X787" s="88"/>
      <c r="Y787" s="88"/>
      <c r="Z787" s="88"/>
      <c r="AA787" s="88"/>
    </row>
    <row r="788" spans="1:27" ht="13.2">
      <c r="A788" s="88"/>
      <c r="B788" s="88"/>
      <c r="C788" s="88"/>
      <c r="D788" s="88"/>
      <c r="E788" s="88"/>
      <c r="F788" s="88"/>
      <c r="G788" s="88"/>
      <c r="H788" s="88"/>
      <c r="I788" s="88"/>
      <c r="J788" s="88"/>
      <c r="K788" s="88"/>
      <c r="L788" s="88"/>
      <c r="M788" s="88"/>
      <c r="N788" s="88"/>
      <c r="O788" s="88"/>
      <c r="P788" s="88"/>
      <c r="Q788" s="88"/>
      <c r="R788" s="88"/>
      <c r="S788" s="88"/>
      <c r="T788" s="88"/>
      <c r="U788" s="88"/>
      <c r="V788" s="88"/>
      <c r="W788" s="88"/>
      <c r="X788" s="88"/>
      <c r="Y788" s="88"/>
      <c r="Z788" s="88"/>
      <c r="AA788" s="88"/>
    </row>
    <row r="789" spans="1:27" ht="13.2">
      <c r="A789" s="88"/>
      <c r="B789" s="88"/>
      <c r="C789" s="88"/>
      <c r="D789" s="88"/>
      <c r="E789" s="88"/>
      <c r="F789" s="88"/>
      <c r="G789" s="88"/>
      <c r="H789" s="88"/>
      <c r="I789" s="88"/>
      <c r="J789" s="88"/>
      <c r="K789" s="88"/>
      <c r="L789" s="88"/>
      <c r="M789" s="88"/>
      <c r="N789" s="88"/>
      <c r="O789" s="88"/>
      <c r="P789" s="88"/>
      <c r="Q789" s="88"/>
      <c r="R789" s="88"/>
      <c r="S789" s="88"/>
      <c r="T789" s="88"/>
      <c r="U789" s="88"/>
      <c r="V789" s="88"/>
      <c r="W789" s="88"/>
      <c r="X789" s="88"/>
      <c r="Y789" s="88"/>
      <c r="Z789" s="88"/>
      <c r="AA789" s="88"/>
    </row>
    <row r="790" spans="1:27" ht="13.2">
      <c r="A790" s="88"/>
      <c r="B790" s="88"/>
      <c r="C790" s="88"/>
      <c r="D790" s="88"/>
      <c r="E790" s="88"/>
      <c r="F790" s="88"/>
      <c r="G790" s="88"/>
      <c r="H790" s="88"/>
      <c r="I790" s="88"/>
      <c r="J790" s="88"/>
      <c r="K790" s="88"/>
      <c r="L790" s="88"/>
      <c r="M790" s="88"/>
      <c r="N790" s="88"/>
      <c r="O790" s="88"/>
      <c r="P790" s="88"/>
      <c r="Q790" s="88"/>
      <c r="R790" s="88"/>
      <c r="S790" s="88"/>
      <c r="T790" s="88"/>
      <c r="U790" s="88"/>
      <c r="V790" s="88"/>
      <c r="W790" s="88"/>
      <c r="X790" s="88"/>
      <c r="Y790" s="88"/>
      <c r="Z790" s="88"/>
      <c r="AA790" s="88"/>
    </row>
    <row r="791" spans="1:27" ht="13.2">
      <c r="A791" s="88"/>
      <c r="B791" s="88"/>
      <c r="C791" s="88"/>
      <c r="D791" s="88"/>
      <c r="E791" s="88"/>
      <c r="F791" s="88"/>
      <c r="G791" s="88"/>
      <c r="H791" s="88"/>
      <c r="I791" s="88"/>
      <c r="J791" s="88"/>
      <c r="K791" s="88"/>
      <c r="L791" s="88"/>
      <c r="M791" s="88"/>
      <c r="N791" s="88"/>
      <c r="O791" s="88"/>
      <c r="P791" s="88"/>
      <c r="Q791" s="88"/>
      <c r="R791" s="88"/>
      <c r="S791" s="88"/>
      <c r="T791" s="88"/>
      <c r="U791" s="88"/>
      <c r="V791" s="88"/>
      <c r="W791" s="88"/>
      <c r="X791" s="88"/>
      <c r="Y791" s="88"/>
      <c r="Z791" s="88"/>
      <c r="AA791" s="88"/>
    </row>
    <row r="792" spans="1:27" ht="13.2">
      <c r="A792" s="88"/>
      <c r="B792" s="88"/>
      <c r="C792" s="88"/>
      <c r="D792" s="88"/>
      <c r="E792" s="88"/>
      <c r="F792" s="88"/>
      <c r="G792" s="88"/>
      <c r="H792" s="88"/>
      <c r="I792" s="88"/>
      <c r="J792" s="88"/>
      <c r="K792" s="88"/>
      <c r="L792" s="88"/>
      <c r="M792" s="88"/>
      <c r="N792" s="88"/>
      <c r="O792" s="88"/>
      <c r="P792" s="88"/>
      <c r="Q792" s="88"/>
      <c r="R792" s="88"/>
      <c r="S792" s="88"/>
      <c r="T792" s="88"/>
      <c r="U792" s="88"/>
      <c r="V792" s="88"/>
      <c r="W792" s="88"/>
      <c r="X792" s="88"/>
      <c r="Y792" s="88"/>
      <c r="Z792" s="88"/>
      <c r="AA792" s="88"/>
    </row>
    <row r="793" spans="1:27" ht="13.2">
      <c r="A793" s="88"/>
      <c r="B793" s="88"/>
      <c r="C793" s="88"/>
      <c r="D793" s="88"/>
      <c r="E793" s="88"/>
      <c r="F793" s="88"/>
      <c r="G793" s="88"/>
      <c r="H793" s="88"/>
      <c r="I793" s="88"/>
      <c r="J793" s="88"/>
      <c r="K793" s="88"/>
      <c r="L793" s="88"/>
      <c r="M793" s="88"/>
      <c r="N793" s="88"/>
      <c r="O793" s="88"/>
      <c r="P793" s="88"/>
      <c r="Q793" s="88"/>
      <c r="R793" s="88"/>
      <c r="S793" s="88"/>
      <c r="T793" s="88"/>
      <c r="U793" s="88"/>
      <c r="V793" s="88"/>
      <c r="W793" s="88"/>
      <c r="X793" s="88"/>
      <c r="Y793" s="88"/>
      <c r="Z793" s="88"/>
      <c r="AA793" s="88"/>
    </row>
    <row r="794" spans="1:27" ht="13.2">
      <c r="A794" s="88"/>
      <c r="B794" s="88"/>
      <c r="C794" s="88"/>
      <c r="D794" s="88"/>
      <c r="E794" s="88"/>
      <c r="F794" s="88"/>
      <c r="G794" s="88"/>
      <c r="H794" s="88"/>
      <c r="I794" s="88"/>
      <c r="J794" s="88"/>
      <c r="K794" s="88"/>
      <c r="L794" s="88"/>
      <c r="M794" s="88"/>
      <c r="N794" s="88"/>
      <c r="O794" s="88"/>
      <c r="P794" s="88"/>
      <c r="Q794" s="88"/>
      <c r="R794" s="88"/>
      <c r="S794" s="88"/>
      <c r="T794" s="88"/>
      <c r="U794" s="88"/>
      <c r="V794" s="88"/>
      <c r="W794" s="88"/>
      <c r="X794" s="88"/>
      <c r="Y794" s="88"/>
      <c r="Z794" s="88"/>
      <c r="AA794" s="88"/>
    </row>
    <row r="795" spans="1:27" ht="13.2">
      <c r="A795" s="88"/>
      <c r="B795" s="88"/>
      <c r="C795" s="88"/>
      <c r="D795" s="88"/>
      <c r="E795" s="88"/>
      <c r="F795" s="88"/>
      <c r="G795" s="88"/>
      <c r="H795" s="88"/>
      <c r="I795" s="88"/>
      <c r="J795" s="88"/>
      <c r="K795" s="88"/>
      <c r="L795" s="88"/>
      <c r="M795" s="88"/>
      <c r="N795" s="88"/>
      <c r="O795" s="88"/>
      <c r="P795" s="88"/>
      <c r="Q795" s="88"/>
      <c r="R795" s="88"/>
      <c r="S795" s="88"/>
      <c r="T795" s="88"/>
      <c r="U795" s="88"/>
      <c r="V795" s="88"/>
      <c r="W795" s="88"/>
      <c r="X795" s="88"/>
      <c r="Y795" s="88"/>
      <c r="Z795" s="88"/>
      <c r="AA795" s="88"/>
    </row>
    <row r="796" spans="1:27" ht="13.2">
      <c r="A796" s="88"/>
      <c r="B796" s="88"/>
      <c r="C796" s="88"/>
      <c r="D796" s="88"/>
      <c r="E796" s="88"/>
      <c r="F796" s="88"/>
      <c r="G796" s="88"/>
      <c r="H796" s="88"/>
      <c r="I796" s="88"/>
      <c r="J796" s="88"/>
      <c r="K796" s="88"/>
      <c r="L796" s="88"/>
      <c r="M796" s="88"/>
      <c r="N796" s="88"/>
      <c r="O796" s="88"/>
      <c r="P796" s="88"/>
      <c r="Q796" s="88"/>
      <c r="R796" s="88"/>
      <c r="S796" s="88"/>
      <c r="T796" s="88"/>
      <c r="U796" s="88"/>
      <c r="V796" s="88"/>
      <c r="W796" s="88"/>
      <c r="X796" s="88"/>
      <c r="Y796" s="88"/>
      <c r="Z796" s="88"/>
      <c r="AA796" s="88"/>
    </row>
    <row r="797" spans="1:27" ht="13.2">
      <c r="A797" s="88"/>
      <c r="B797" s="88"/>
      <c r="C797" s="88"/>
      <c r="D797" s="88"/>
      <c r="E797" s="88"/>
      <c r="F797" s="88"/>
      <c r="G797" s="88"/>
      <c r="H797" s="88"/>
      <c r="I797" s="88"/>
      <c r="J797" s="88"/>
      <c r="K797" s="88"/>
      <c r="L797" s="88"/>
      <c r="M797" s="88"/>
      <c r="N797" s="88"/>
      <c r="O797" s="88"/>
      <c r="P797" s="88"/>
      <c r="Q797" s="88"/>
      <c r="R797" s="88"/>
      <c r="S797" s="88"/>
      <c r="T797" s="88"/>
      <c r="U797" s="88"/>
      <c r="V797" s="88"/>
      <c r="W797" s="88"/>
      <c r="X797" s="88"/>
      <c r="Y797" s="88"/>
      <c r="Z797" s="88"/>
      <c r="AA797" s="88"/>
    </row>
    <row r="798" spans="1:27" ht="13.2">
      <c r="A798" s="88"/>
      <c r="B798" s="88"/>
      <c r="C798" s="88"/>
      <c r="D798" s="88"/>
      <c r="E798" s="88"/>
      <c r="F798" s="88"/>
      <c r="G798" s="88"/>
      <c r="H798" s="88"/>
      <c r="I798" s="88"/>
      <c r="J798" s="88"/>
      <c r="K798" s="88"/>
      <c r="L798" s="88"/>
      <c r="M798" s="88"/>
      <c r="N798" s="88"/>
      <c r="O798" s="88"/>
      <c r="P798" s="88"/>
      <c r="Q798" s="88"/>
      <c r="R798" s="88"/>
      <c r="S798" s="88"/>
      <c r="T798" s="88"/>
      <c r="U798" s="88"/>
      <c r="V798" s="88"/>
      <c r="W798" s="88"/>
      <c r="X798" s="88"/>
      <c r="Y798" s="88"/>
      <c r="Z798" s="88"/>
      <c r="AA798" s="88"/>
    </row>
    <row r="799" spans="1:27" ht="13.2">
      <c r="A799" s="88"/>
      <c r="B799" s="88"/>
      <c r="C799" s="88"/>
      <c r="D799" s="88"/>
      <c r="E799" s="88"/>
      <c r="F799" s="88"/>
      <c r="G799" s="88"/>
      <c r="H799" s="88"/>
      <c r="I799" s="88"/>
      <c r="J799" s="88"/>
      <c r="K799" s="88"/>
      <c r="L799" s="88"/>
      <c r="M799" s="88"/>
      <c r="N799" s="88"/>
      <c r="O799" s="88"/>
      <c r="P799" s="88"/>
      <c r="Q799" s="88"/>
      <c r="R799" s="88"/>
      <c r="S799" s="88"/>
      <c r="T799" s="88"/>
      <c r="U799" s="88"/>
      <c r="V799" s="88"/>
      <c r="W799" s="88"/>
      <c r="X799" s="88"/>
      <c r="Y799" s="88"/>
      <c r="Z799" s="88"/>
      <c r="AA799" s="88"/>
    </row>
    <row r="800" spans="1:27" ht="13.2">
      <c r="A800" s="88"/>
      <c r="B800" s="88"/>
      <c r="C800" s="88"/>
      <c r="D800" s="88"/>
      <c r="E800" s="88"/>
      <c r="F800" s="88"/>
      <c r="G800" s="88"/>
      <c r="H800" s="88"/>
      <c r="I800" s="88"/>
      <c r="J800" s="88"/>
      <c r="K800" s="88"/>
      <c r="L800" s="88"/>
      <c r="M800" s="88"/>
      <c r="N800" s="88"/>
      <c r="O800" s="88"/>
      <c r="P800" s="88"/>
      <c r="Q800" s="88"/>
      <c r="R800" s="88"/>
      <c r="S800" s="88"/>
      <c r="T800" s="88"/>
      <c r="U800" s="88"/>
      <c r="V800" s="88"/>
      <c r="W800" s="88"/>
      <c r="X800" s="88"/>
      <c r="Y800" s="88"/>
      <c r="Z800" s="88"/>
      <c r="AA800" s="88"/>
    </row>
    <row r="801" spans="1:27" ht="13.2">
      <c r="A801" s="88"/>
      <c r="B801" s="88"/>
      <c r="C801" s="88"/>
      <c r="D801" s="88"/>
      <c r="E801" s="88"/>
      <c r="F801" s="88"/>
      <c r="G801" s="88"/>
      <c r="H801" s="88"/>
      <c r="I801" s="88"/>
      <c r="J801" s="88"/>
      <c r="K801" s="88"/>
      <c r="L801" s="88"/>
      <c r="M801" s="88"/>
      <c r="N801" s="88"/>
      <c r="O801" s="88"/>
      <c r="P801" s="88"/>
      <c r="Q801" s="88"/>
      <c r="R801" s="88"/>
      <c r="S801" s="88"/>
      <c r="T801" s="88"/>
      <c r="U801" s="88"/>
      <c r="V801" s="88"/>
      <c r="W801" s="88"/>
      <c r="X801" s="88"/>
      <c r="Y801" s="88"/>
      <c r="Z801" s="88"/>
      <c r="AA801" s="88"/>
    </row>
    <row r="802" spans="1:27" ht="13.2">
      <c r="A802" s="88"/>
      <c r="B802" s="88"/>
      <c r="C802" s="88"/>
      <c r="D802" s="88"/>
      <c r="E802" s="88"/>
      <c r="F802" s="88"/>
      <c r="G802" s="88"/>
      <c r="H802" s="88"/>
      <c r="I802" s="88"/>
      <c r="J802" s="88"/>
      <c r="K802" s="88"/>
      <c r="L802" s="88"/>
      <c r="M802" s="88"/>
      <c r="N802" s="88"/>
      <c r="O802" s="88"/>
      <c r="P802" s="88"/>
      <c r="Q802" s="88"/>
      <c r="R802" s="88"/>
      <c r="S802" s="88"/>
      <c r="T802" s="88"/>
      <c r="U802" s="88"/>
      <c r="V802" s="88"/>
      <c r="W802" s="88"/>
      <c r="X802" s="88"/>
      <c r="Y802" s="88"/>
      <c r="Z802" s="88"/>
      <c r="AA802" s="88"/>
    </row>
    <row r="803" spans="1:27" ht="13.2">
      <c r="A803" s="88"/>
      <c r="B803" s="88"/>
      <c r="C803" s="88"/>
      <c r="D803" s="88"/>
      <c r="E803" s="88"/>
      <c r="F803" s="88"/>
      <c r="G803" s="88"/>
      <c r="H803" s="88"/>
      <c r="I803" s="88"/>
      <c r="J803" s="88"/>
      <c r="K803" s="88"/>
      <c r="L803" s="88"/>
      <c r="M803" s="88"/>
      <c r="N803" s="88"/>
      <c r="O803" s="88"/>
      <c r="P803" s="88"/>
      <c r="Q803" s="88"/>
      <c r="R803" s="88"/>
      <c r="S803" s="88"/>
      <c r="T803" s="88"/>
      <c r="U803" s="88"/>
      <c r="V803" s="88"/>
      <c r="W803" s="88"/>
      <c r="X803" s="88"/>
      <c r="Y803" s="88"/>
      <c r="Z803" s="88"/>
      <c r="AA803" s="88"/>
    </row>
    <row r="804" spans="1:27" ht="13.2">
      <c r="A804" s="88"/>
      <c r="B804" s="88"/>
      <c r="C804" s="88"/>
      <c r="D804" s="88"/>
      <c r="E804" s="88"/>
      <c r="F804" s="88"/>
      <c r="G804" s="88"/>
      <c r="H804" s="88"/>
      <c r="I804" s="88"/>
      <c r="J804" s="88"/>
      <c r="K804" s="88"/>
      <c r="L804" s="88"/>
      <c r="M804" s="88"/>
      <c r="N804" s="88"/>
      <c r="O804" s="88"/>
      <c r="P804" s="88"/>
      <c r="Q804" s="88"/>
      <c r="R804" s="88"/>
      <c r="S804" s="88"/>
      <c r="T804" s="88"/>
      <c r="U804" s="88"/>
      <c r="V804" s="88"/>
      <c r="W804" s="88"/>
      <c r="X804" s="88"/>
      <c r="Y804" s="88"/>
      <c r="Z804" s="88"/>
      <c r="AA804" s="88"/>
    </row>
    <row r="805" spans="1:27" ht="13.2">
      <c r="A805" s="88"/>
      <c r="B805" s="88"/>
      <c r="C805" s="88"/>
      <c r="D805" s="88"/>
      <c r="E805" s="88"/>
      <c r="F805" s="88"/>
      <c r="G805" s="88"/>
      <c r="H805" s="88"/>
      <c r="I805" s="88"/>
      <c r="J805" s="88"/>
      <c r="K805" s="88"/>
      <c r="L805" s="88"/>
      <c r="M805" s="88"/>
      <c r="N805" s="88"/>
      <c r="O805" s="88"/>
      <c r="P805" s="88"/>
      <c r="Q805" s="88"/>
      <c r="R805" s="88"/>
      <c r="S805" s="88"/>
      <c r="T805" s="88"/>
      <c r="U805" s="88"/>
      <c r="V805" s="88"/>
      <c r="W805" s="88"/>
      <c r="X805" s="88"/>
      <c r="Y805" s="88"/>
      <c r="Z805" s="88"/>
      <c r="AA805" s="88"/>
    </row>
    <row r="806" spans="1:27" ht="13.2">
      <c r="A806" s="88"/>
      <c r="B806" s="88"/>
      <c r="C806" s="88"/>
      <c r="D806" s="88"/>
      <c r="E806" s="88"/>
      <c r="F806" s="88"/>
      <c r="G806" s="88"/>
      <c r="H806" s="88"/>
      <c r="I806" s="88"/>
      <c r="J806" s="88"/>
      <c r="K806" s="88"/>
      <c r="L806" s="88"/>
      <c r="M806" s="88"/>
      <c r="N806" s="88"/>
      <c r="O806" s="88"/>
      <c r="P806" s="88"/>
      <c r="Q806" s="88"/>
      <c r="R806" s="88"/>
      <c r="S806" s="88"/>
      <c r="T806" s="88"/>
      <c r="U806" s="88"/>
      <c r="V806" s="88"/>
      <c r="W806" s="88"/>
      <c r="X806" s="88"/>
      <c r="Y806" s="88"/>
      <c r="Z806" s="88"/>
      <c r="AA806" s="88"/>
    </row>
    <row r="807" spans="1:27" ht="13.2">
      <c r="A807" s="88"/>
      <c r="B807" s="88"/>
      <c r="C807" s="88"/>
      <c r="D807" s="88"/>
      <c r="E807" s="88"/>
      <c r="F807" s="88"/>
      <c r="G807" s="88"/>
      <c r="H807" s="88"/>
      <c r="I807" s="88"/>
      <c r="J807" s="88"/>
      <c r="K807" s="88"/>
      <c r="L807" s="88"/>
      <c r="M807" s="88"/>
      <c r="N807" s="88"/>
      <c r="O807" s="88"/>
      <c r="P807" s="88"/>
      <c r="Q807" s="88"/>
      <c r="R807" s="88"/>
      <c r="S807" s="88"/>
      <c r="T807" s="88"/>
      <c r="U807" s="88"/>
      <c r="V807" s="88"/>
      <c r="W807" s="88"/>
      <c r="X807" s="88"/>
      <c r="Y807" s="88"/>
      <c r="Z807" s="88"/>
      <c r="AA807" s="88"/>
    </row>
    <row r="808" spans="1:27" ht="13.2">
      <c r="A808" s="88"/>
      <c r="B808" s="88"/>
      <c r="C808" s="88"/>
      <c r="D808" s="88"/>
      <c r="E808" s="88"/>
      <c r="F808" s="88"/>
      <c r="G808" s="88"/>
      <c r="H808" s="88"/>
      <c r="I808" s="88"/>
      <c r="J808" s="88"/>
      <c r="K808" s="88"/>
      <c r="L808" s="88"/>
      <c r="M808" s="88"/>
      <c r="N808" s="88"/>
      <c r="O808" s="88"/>
      <c r="P808" s="88"/>
      <c r="Q808" s="88"/>
      <c r="R808" s="88"/>
      <c r="S808" s="88"/>
      <c r="T808" s="88"/>
      <c r="U808" s="88"/>
      <c r="V808" s="88"/>
      <c r="W808" s="88"/>
      <c r="X808" s="88"/>
      <c r="Y808" s="88"/>
      <c r="Z808" s="88"/>
      <c r="AA808" s="88"/>
    </row>
    <row r="809" spans="1:27" ht="13.2">
      <c r="A809" s="88"/>
      <c r="B809" s="88"/>
      <c r="C809" s="88"/>
      <c r="D809" s="88"/>
      <c r="E809" s="88"/>
      <c r="F809" s="88"/>
      <c r="G809" s="88"/>
      <c r="H809" s="88"/>
      <c r="I809" s="88"/>
      <c r="J809" s="88"/>
      <c r="K809" s="88"/>
      <c r="L809" s="88"/>
      <c r="M809" s="88"/>
      <c r="N809" s="88"/>
      <c r="O809" s="88"/>
      <c r="P809" s="88"/>
      <c r="Q809" s="88"/>
      <c r="R809" s="88"/>
      <c r="S809" s="88"/>
      <c r="T809" s="88"/>
      <c r="U809" s="88"/>
      <c r="V809" s="88"/>
      <c r="W809" s="88"/>
      <c r="X809" s="88"/>
      <c r="Y809" s="88"/>
      <c r="Z809" s="88"/>
      <c r="AA809" s="88"/>
    </row>
    <row r="810" spans="1:27" ht="13.2">
      <c r="A810" s="88"/>
      <c r="B810" s="88"/>
      <c r="C810" s="88"/>
      <c r="D810" s="88"/>
      <c r="E810" s="88"/>
      <c r="F810" s="88"/>
      <c r="G810" s="88"/>
      <c r="H810" s="88"/>
      <c r="I810" s="88"/>
      <c r="J810" s="88"/>
      <c r="K810" s="88"/>
      <c r="L810" s="88"/>
      <c r="M810" s="88"/>
      <c r="N810" s="88"/>
      <c r="O810" s="88"/>
      <c r="P810" s="88"/>
      <c r="Q810" s="88"/>
      <c r="R810" s="88"/>
      <c r="S810" s="88"/>
      <c r="T810" s="88"/>
      <c r="U810" s="88"/>
      <c r="V810" s="88"/>
      <c r="W810" s="88"/>
      <c r="X810" s="88"/>
      <c r="Y810" s="88"/>
      <c r="Z810" s="88"/>
      <c r="AA810" s="88"/>
    </row>
    <row r="811" spans="1:27" ht="13.2">
      <c r="A811" s="88"/>
      <c r="B811" s="88"/>
      <c r="C811" s="88"/>
      <c r="D811" s="88"/>
      <c r="E811" s="88"/>
      <c r="F811" s="88"/>
      <c r="G811" s="88"/>
      <c r="H811" s="88"/>
      <c r="I811" s="88"/>
      <c r="J811" s="88"/>
      <c r="K811" s="88"/>
      <c r="L811" s="88"/>
      <c r="M811" s="88"/>
      <c r="N811" s="88"/>
      <c r="O811" s="88"/>
      <c r="P811" s="88"/>
      <c r="Q811" s="88"/>
      <c r="R811" s="88"/>
      <c r="S811" s="88"/>
      <c r="T811" s="88"/>
      <c r="U811" s="88"/>
      <c r="V811" s="88"/>
      <c r="W811" s="88"/>
      <c r="X811" s="88"/>
      <c r="Y811" s="88"/>
      <c r="Z811" s="88"/>
      <c r="AA811" s="88"/>
    </row>
    <row r="812" spans="1:27" ht="13.2">
      <c r="A812" s="88"/>
      <c r="B812" s="88"/>
      <c r="C812" s="88"/>
      <c r="D812" s="88"/>
      <c r="E812" s="88"/>
      <c r="F812" s="88"/>
      <c r="G812" s="88"/>
      <c r="H812" s="88"/>
      <c r="I812" s="88"/>
      <c r="J812" s="88"/>
      <c r="K812" s="88"/>
      <c r="L812" s="88"/>
      <c r="M812" s="88"/>
      <c r="N812" s="88"/>
      <c r="O812" s="88"/>
      <c r="P812" s="88"/>
      <c r="Q812" s="88"/>
      <c r="R812" s="88"/>
      <c r="S812" s="88"/>
      <c r="T812" s="88"/>
      <c r="U812" s="88"/>
      <c r="V812" s="88"/>
      <c r="W812" s="88"/>
      <c r="X812" s="88"/>
      <c r="Y812" s="88"/>
      <c r="Z812" s="88"/>
      <c r="AA812" s="88"/>
    </row>
    <row r="813" spans="1:27" ht="13.2">
      <c r="A813" s="88"/>
      <c r="B813" s="88"/>
      <c r="C813" s="88"/>
      <c r="D813" s="88"/>
      <c r="E813" s="88"/>
      <c r="F813" s="88"/>
      <c r="G813" s="88"/>
      <c r="H813" s="88"/>
      <c r="I813" s="88"/>
      <c r="J813" s="88"/>
      <c r="K813" s="88"/>
      <c r="L813" s="88"/>
      <c r="M813" s="88"/>
      <c r="N813" s="88"/>
      <c r="O813" s="88"/>
      <c r="P813" s="88"/>
      <c r="Q813" s="88"/>
      <c r="R813" s="88"/>
      <c r="S813" s="88"/>
      <c r="T813" s="88"/>
      <c r="U813" s="88"/>
      <c r="V813" s="88"/>
      <c r="W813" s="88"/>
      <c r="X813" s="88"/>
      <c r="Y813" s="88"/>
      <c r="Z813" s="88"/>
      <c r="AA813" s="88"/>
    </row>
    <row r="814" spans="1:27" ht="13.2">
      <c r="A814" s="88"/>
      <c r="B814" s="88"/>
      <c r="C814" s="88"/>
      <c r="D814" s="88"/>
      <c r="E814" s="88"/>
      <c r="F814" s="88"/>
      <c r="G814" s="88"/>
      <c r="H814" s="88"/>
      <c r="I814" s="88"/>
      <c r="J814" s="88"/>
      <c r="K814" s="88"/>
      <c r="L814" s="88"/>
      <c r="M814" s="88"/>
      <c r="N814" s="88"/>
      <c r="O814" s="88"/>
      <c r="P814" s="88"/>
      <c r="Q814" s="88"/>
      <c r="R814" s="88"/>
      <c r="S814" s="88"/>
      <c r="T814" s="88"/>
      <c r="U814" s="88"/>
      <c r="V814" s="88"/>
      <c r="W814" s="88"/>
      <c r="X814" s="88"/>
      <c r="Y814" s="88"/>
      <c r="Z814" s="88"/>
      <c r="AA814" s="88"/>
    </row>
    <row r="815" spans="1:27" ht="13.2">
      <c r="A815" s="88"/>
      <c r="B815" s="88"/>
      <c r="C815" s="88"/>
      <c r="D815" s="88"/>
      <c r="E815" s="88"/>
      <c r="F815" s="88"/>
      <c r="G815" s="88"/>
      <c r="H815" s="88"/>
      <c r="I815" s="88"/>
      <c r="J815" s="88"/>
      <c r="K815" s="88"/>
      <c r="L815" s="88"/>
      <c r="M815" s="88"/>
      <c r="N815" s="88"/>
      <c r="O815" s="88"/>
      <c r="P815" s="88"/>
      <c r="Q815" s="88"/>
      <c r="R815" s="88"/>
      <c r="S815" s="88"/>
      <c r="T815" s="88"/>
      <c r="U815" s="88"/>
      <c r="V815" s="88"/>
      <c r="W815" s="88"/>
      <c r="X815" s="88"/>
      <c r="Y815" s="88"/>
      <c r="Z815" s="88"/>
      <c r="AA815" s="88"/>
    </row>
    <row r="816" spans="1:27" ht="13.2">
      <c r="A816" s="88"/>
      <c r="B816" s="88"/>
      <c r="C816" s="88"/>
      <c r="D816" s="88"/>
      <c r="E816" s="88"/>
      <c r="F816" s="88"/>
      <c r="G816" s="88"/>
      <c r="H816" s="88"/>
      <c r="I816" s="88"/>
      <c r="J816" s="88"/>
      <c r="K816" s="88"/>
      <c r="L816" s="88"/>
      <c r="M816" s="88"/>
      <c r="N816" s="88"/>
      <c r="O816" s="88"/>
      <c r="P816" s="88"/>
      <c r="Q816" s="88"/>
      <c r="R816" s="88"/>
      <c r="S816" s="88"/>
      <c r="T816" s="88"/>
      <c r="U816" s="88"/>
      <c r="V816" s="88"/>
      <c r="W816" s="88"/>
      <c r="X816" s="88"/>
      <c r="Y816" s="88"/>
      <c r="Z816" s="88"/>
      <c r="AA816" s="88"/>
    </row>
    <row r="817" spans="1:27" ht="13.2">
      <c r="A817" s="88"/>
      <c r="B817" s="88"/>
      <c r="C817" s="88"/>
      <c r="D817" s="88"/>
      <c r="E817" s="88"/>
      <c r="F817" s="88"/>
      <c r="G817" s="88"/>
      <c r="H817" s="88"/>
      <c r="I817" s="88"/>
      <c r="J817" s="88"/>
      <c r="K817" s="88"/>
      <c r="L817" s="88"/>
      <c r="M817" s="88"/>
      <c r="N817" s="88"/>
      <c r="O817" s="88"/>
      <c r="P817" s="88"/>
      <c r="Q817" s="88"/>
      <c r="R817" s="88"/>
      <c r="S817" s="88"/>
      <c r="T817" s="88"/>
      <c r="U817" s="88"/>
      <c r="V817" s="88"/>
      <c r="W817" s="88"/>
      <c r="X817" s="88"/>
      <c r="Y817" s="88"/>
      <c r="Z817" s="88"/>
      <c r="AA817" s="88"/>
    </row>
    <row r="818" spans="1:27" ht="13.2">
      <c r="A818" s="88"/>
      <c r="B818" s="88"/>
      <c r="C818" s="88"/>
      <c r="D818" s="88"/>
      <c r="E818" s="88"/>
      <c r="F818" s="88"/>
      <c r="G818" s="88"/>
      <c r="H818" s="88"/>
      <c r="I818" s="88"/>
      <c r="J818" s="88"/>
      <c r="K818" s="88"/>
      <c r="L818" s="88"/>
      <c r="M818" s="88"/>
      <c r="N818" s="88"/>
      <c r="O818" s="88"/>
      <c r="P818" s="88"/>
      <c r="Q818" s="88"/>
      <c r="R818" s="88"/>
      <c r="S818" s="88"/>
      <c r="T818" s="88"/>
      <c r="U818" s="88"/>
      <c r="V818" s="88"/>
      <c r="W818" s="88"/>
      <c r="X818" s="88"/>
      <c r="Y818" s="88"/>
      <c r="Z818" s="88"/>
      <c r="AA818" s="88"/>
    </row>
    <row r="819" spans="1:27" ht="13.2">
      <c r="A819" s="88"/>
      <c r="B819" s="88"/>
      <c r="C819" s="88"/>
      <c r="D819" s="88"/>
      <c r="E819" s="88"/>
      <c r="F819" s="88"/>
      <c r="G819" s="88"/>
      <c r="H819" s="88"/>
      <c r="I819" s="88"/>
      <c r="J819" s="88"/>
      <c r="K819" s="88"/>
      <c r="L819" s="88"/>
      <c r="M819" s="88"/>
      <c r="N819" s="88"/>
      <c r="O819" s="88"/>
      <c r="P819" s="88"/>
      <c r="Q819" s="88"/>
      <c r="R819" s="88"/>
      <c r="S819" s="88"/>
      <c r="T819" s="88"/>
      <c r="U819" s="88"/>
      <c r="V819" s="88"/>
      <c r="W819" s="88"/>
      <c r="X819" s="88"/>
      <c r="Y819" s="88"/>
      <c r="Z819" s="88"/>
      <c r="AA819" s="88"/>
    </row>
    <row r="820" spans="1:27" ht="13.2">
      <c r="A820" s="88"/>
      <c r="B820" s="88"/>
      <c r="C820" s="88"/>
      <c r="D820" s="88"/>
      <c r="E820" s="88"/>
      <c r="F820" s="88"/>
      <c r="G820" s="88"/>
      <c r="H820" s="88"/>
      <c r="I820" s="88"/>
      <c r="J820" s="88"/>
      <c r="K820" s="88"/>
      <c r="L820" s="88"/>
      <c r="M820" s="88"/>
      <c r="N820" s="88"/>
      <c r="O820" s="88"/>
      <c r="P820" s="88"/>
      <c r="Q820" s="88"/>
      <c r="R820" s="88"/>
      <c r="S820" s="88"/>
      <c r="T820" s="88"/>
      <c r="U820" s="88"/>
      <c r="V820" s="88"/>
      <c r="W820" s="88"/>
      <c r="X820" s="88"/>
      <c r="Y820" s="88"/>
      <c r="Z820" s="88"/>
      <c r="AA820" s="88"/>
    </row>
    <row r="821" spans="1:27" ht="13.2">
      <c r="A821" s="88"/>
      <c r="B821" s="88"/>
      <c r="C821" s="88"/>
      <c r="D821" s="88"/>
      <c r="E821" s="88"/>
      <c r="F821" s="88"/>
      <c r="G821" s="88"/>
      <c r="H821" s="88"/>
      <c r="I821" s="88"/>
      <c r="J821" s="88"/>
      <c r="K821" s="88"/>
      <c r="L821" s="88"/>
      <c r="M821" s="88"/>
      <c r="N821" s="88"/>
      <c r="O821" s="88"/>
      <c r="P821" s="88"/>
      <c r="Q821" s="88"/>
      <c r="R821" s="88"/>
      <c r="S821" s="88"/>
      <c r="T821" s="88"/>
      <c r="U821" s="88"/>
      <c r="V821" s="88"/>
      <c r="W821" s="88"/>
      <c r="X821" s="88"/>
      <c r="Y821" s="88"/>
      <c r="Z821" s="88"/>
      <c r="AA821" s="88"/>
    </row>
    <row r="822" spans="1:27" ht="13.2">
      <c r="A822" s="88"/>
      <c r="B822" s="88"/>
      <c r="C822" s="88"/>
      <c r="D822" s="88"/>
      <c r="E822" s="88"/>
      <c r="F822" s="88"/>
      <c r="G822" s="88"/>
      <c r="H822" s="88"/>
      <c r="I822" s="88"/>
      <c r="J822" s="88"/>
      <c r="K822" s="88"/>
      <c r="L822" s="88"/>
      <c r="M822" s="88"/>
      <c r="N822" s="88"/>
      <c r="O822" s="88"/>
      <c r="P822" s="88"/>
      <c r="Q822" s="88"/>
      <c r="R822" s="88"/>
      <c r="S822" s="88"/>
      <c r="T822" s="88"/>
      <c r="U822" s="88"/>
      <c r="V822" s="88"/>
      <c r="W822" s="88"/>
      <c r="X822" s="88"/>
      <c r="Y822" s="88"/>
      <c r="Z822" s="88"/>
      <c r="AA822" s="88"/>
    </row>
    <row r="823" spans="1:27" ht="13.2">
      <c r="A823" s="88"/>
      <c r="B823" s="88"/>
      <c r="C823" s="88"/>
      <c r="D823" s="88"/>
      <c r="E823" s="88"/>
      <c r="F823" s="88"/>
      <c r="G823" s="88"/>
      <c r="H823" s="88"/>
      <c r="I823" s="88"/>
      <c r="J823" s="88"/>
      <c r="K823" s="88"/>
      <c r="L823" s="88"/>
      <c r="M823" s="88"/>
      <c r="N823" s="88"/>
      <c r="O823" s="88"/>
      <c r="P823" s="88"/>
      <c r="Q823" s="88"/>
      <c r="R823" s="88"/>
      <c r="S823" s="88"/>
      <c r="T823" s="88"/>
      <c r="U823" s="88"/>
      <c r="V823" s="88"/>
      <c r="W823" s="88"/>
      <c r="X823" s="88"/>
      <c r="Y823" s="88"/>
      <c r="Z823" s="88"/>
      <c r="AA823" s="88"/>
    </row>
    <row r="824" spans="1:27" ht="13.2">
      <c r="A824" s="88"/>
      <c r="B824" s="88"/>
      <c r="C824" s="88"/>
      <c r="D824" s="88"/>
      <c r="E824" s="88"/>
      <c r="F824" s="88"/>
      <c r="G824" s="88"/>
      <c r="H824" s="88"/>
      <c r="I824" s="88"/>
      <c r="J824" s="88"/>
      <c r="K824" s="88"/>
      <c r="L824" s="88"/>
      <c r="M824" s="88"/>
      <c r="N824" s="88"/>
      <c r="O824" s="88"/>
      <c r="P824" s="88"/>
      <c r="Q824" s="88"/>
      <c r="R824" s="88"/>
      <c r="S824" s="88"/>
      <c r="T824" s="88"/>
      <c r="U824" s="88"/>
      <c r="V824" s="88"/>
      <c r="W824" s="88"/>
      <c r="X824" s="88"/>
      <c r="Y824" s="88"/>
      <c r="Z824" s="88"/>
      <c r="AA824" s="88"/>
    </row>
    <row r="825" spans="1:27" ht="13.2">
      <c r="A825" s="88"/>
      <c r="B825" s="88"/>
      <c r="C825" s="88"/>
      <c r="D825" s="88"/>
      <c r="E825" s="88"/>
      <c r="F825" s="88"/>
      <c r="G825" s="88"/>
      <c r="H825" s="88"/>
      <c r="I825" s="88"/>
      <c r="J825" s="88"/>
      <c r="K825" s="88"/>
      <c r="L825" s="88"/>
      <c r="M825" s="88"/>
      <c r="N825" s="88"/>
      <c r="O825" s="88"/>
      <c r="P825" s="88"/>
      <c r="Q825" s="88"/>
      <c r="R825" s="88"/>
      <c r="S825" s="88"/>
      <c r="T825" s="88"/>
      <c r="U825" s="88"/>
      <c r="V825" s="88"/>
      <c r="W825" s="88"/>
      <c r="X825" s="88"/>
      <c r="Y825" s="88"/>
      <c r="Z825" s="88"/>
      <c r="AA825" s="88"/>
    </row>
    <row r="826" spans="1:27" ht="13.2">
      <c r="A826" s="88"/>
      <c r="B826" s="88"/>
      <c r="C826" s="88"/>
      <c r="D826" s="88"/>
      <c r="E826" s="88"/>
      <c r="F826" s="88"/>
      <c r="G826" s="88"/>
      <c r="H826" s="88"/>
      <c r="I826" s="88"/>
      <c r="J826" s="88"/>
      <c r="K826" s="88"/>
      <c r="L826" s="88"/>
      <c r="M826" s="88"/>
      <c r="N826" s="88"/>
      <c r="O826" s="88"/>
      <c r="P826" s="88"/>
      <c r="Q826" s="88"/>
      <c r="R826" s="88"/>
      <c r="S826" s="88"/>
      <c r="T826" s="88"/>
      <c r="U826" s="88"/>
      <c r="V826" s="88"/>
      <c r="W826" s="88"/>
      <c r="X826" s="88"/>
      <c r="Y826" s="88"/>
      <c r="Z826" s="88"/>
      <c r="AA826" s="88"/>
    </row>
    <row r="827" spans="1:27" ht="13.2">
      <c r="A827" s="88"/>
      <c r="B827" s="88"/>
      <c r="C827" s="88"/>
      <c r="D827" s="88"/>
      <c r="E827" s="88"/>
      <c r="F827" s="88"/>
      <c r="G827" s="88"/>
      <c r="H827" s="88"/>
      <c r="I827" s="88"/>
      <c r="J827" s="88"/>
      <c r="K827" s="88"/>
      <c r="L827" s="88"/>
      <c r="M827" s="88"/>
      <c r="N827" s="88"/>
      <c r="O827" s="88"/>
      <c r="P827" s="88"/>
      <c r="Q827" s="88"/>
      <c r="R827" s="88"/>
      <c r="S827" s="88"/>
      <c r="T827" s="88"/>
      <c r="U827" s="88"/>
      <c r="V827" s="88"/>
      <c r="W827" s="88"/>
      <c r="X827" s="88"/>
      <c r="Y827" s="88"/>
      <c r="Z827" s="88"/>
      <c r="AA827" s="88"/>
    </row>
    <row r="828" spans="1:27" ht="13.2">
      <c r="A828" s="88"/>
      <c r="B828" s="88"/>
      <c r="C828" s="88"/>
      <c r="D828" s="88"/>
      <c r="E828" s="88"/>
      <c r="F828" s="88"/>
      <c r="G828" s="88"/>
      <c r="H828" s="88"/>
      <c r="I828" s="88"/>
      <c r="J828" s="88"/>
      <c r="K828" s="88"/>
      <c r="L828" s="88"/>
      <c r="M828" s="88"/>
      <c r="N828" s="88"/>
      <c r="O828" s="88"/>
      <c r="P828" s="88"/>
      <c r="Q828" s="88"/>
      <c r="R828" s="88"/>
      <c r="S828" s="88"/>
      <c r="T828" s="88"/>
      <c r="U828" s="88"/>
      <c r="V828" s="88"/>
      <c r="W828" s="88"/>
      <c r="X828" s="88"/>
      <c r="Y828" s="88"/>
      <c r="Z828" s="88"/>
      <c r="AA828" s="88"/>
    </row>
    <row r="829" spans="1:27" ht="13.2">
      <c r="A829" s="88"/>
      <c r="B829" s="88"/>
      <c r="C829" s="88"/>
      <c r="D829" s="88"/>
      <c r="E829" s="88"/>
      <c r="F829" s="88"/>
      <c r="G829" s="88"/>
      <c r="H829" s="88"/>
      <c r="I829" s="88"/>
      <c r="J829" s="88"/>
      <c r="K829" s="88"/>
      <c r="L829" s="88"/>
      <c r="M829" s="88"/>
      <c r="N829" s="88"/>
      <c r="O829" s="88"/>
      <c r="P829" s="88"/>
      <c r="Q829" s="88"/>
      <c r="R829" s="88"/>
      <c r="S829" s="88"/>
      <c r="T829" s="88"/>
      <c r="U829" s="88"/>
      <c r="V829" s="88"/>
      <c r="W829" s="88"/>
      <c r="X829" s="88"/>
      <c r="Y829" s="88"/>
      <c r="Z829" s="88"/>
      <c r="AA829" s="88"/>
    </row>
    <row r="830" spans="1:27" ht="13.2">
      <c r="A830" s="88"/>
      <c r="B830" s="88"/>
      <c r="C830" s="88"/>
      <c r="D830" s="88"/>
      <c r="E830" s="88"/>
      <c r="F830" s="88"/>
      <c r="G830" s="88"/>
      <c r="H830" s="88"/>
      <c r="I830" s="88"/>
      <c r="J830" s="88"/>
      <c r="K830" s="88"/>
      <c r="L830" s="88"/>
      <c r="M830" s="88"/>
      <c r="N830" s="88"/>
      <c r="O830" s="88"/>
      <c r="P830" s="88"/>
      <c r="Q830" s="88"/>
      <c r="R830" s="88"/>
      <c r="S830" s="88"/>
      <c r="T830" s="88"/>
      <c r="U830" s="88"/>
      <c r="V830" s="88"/>
      <c r="W830" s="88"/>
      <c r="X830" s="88"/>
      <c r="Y830" s="88"/>
      <c r="Z830" s="88"/>
      <c r="AA830" s="88"/>
    </row>
    <row r="831" spans="1:27" ht="13.2">
      <c r="A831" s="88"/>
      <c r="B831" s="88"/>
      <c r="C831" s="88"/>
      <c r="D831" s="88"/>
      <c r="E831" s="88"/>
      <c r="F831" s="88"/>
      <c r="G831" s="88"/>
      <c r="H831" s="88"/>
      <c r="I831" s="88"/>
      <c r="J831" s="88"/>
      <c r="K831" s="88"/>
      <c r="L831" s="88"/>
      <c r="M831" s="88"/>
      <c r="N831" s="88"/>
      <c r="O831" s="88"/>
      <c r="P831" s="88"/>
      <c r="Q831" s="88"/>
      <c r="R831" s="88"/>
      <c r="S831" s="88"/>
      <c r="T831" s="88"/>
      <c r="U831" s="88"/>
      <c r="V831" s="88"/>
      <c r="W831" s="88"/>
      <c r="X831" s="88"/>
      <c r="Y831" s="88"/>
      <c r="Z831" s="88"/>
      <c r="AA831" s="88"/>
    </row>
    <row r="832" spans="1:27" ht="13.2">
      <c r="A832" s="88"/>
      <c r="B832" s="88"/>
      <c r="C832" s="88"/>
      <c r="D832" s="88"/>
      <c r="E832" s="88"/>
      <c r="F832" s="88"/>
      <c r="G832" s="88"/>
      <c r="H832" s="88"/>
      <c r="I832" s="88"/>
      <c r="J832" s="88"/>
      <c r="K832" s="88"/>
      <c r="L832" s="88"/>
      <c r="M832" s="88"/>
      <c r="N832" s="88"/>
      <c r="O832" s="88"/>
      <c r="P832" s="88"/>
      <c r="Q832" s="88"/>
      <c r="R832" s="88"/>
      <c r="S832" s="88"/>
      <c r="T832" s="88"/>
      <c r="U832" s="88"/>
      <c r="V832" s="88"/>
      <c r="W832" s="88"/>
      <c r="X832" s="88"/>
      <c r="Y832" s="88"/>
      <c r="Z832" s="88"/>
      <c r="AA832" s="88"/>
    </row>
    <row r="833" spans="1:27" ht="13.2">
      <c r="A833" s="88"/>
      <c r="B833" s="88"/>
      <c r="C833" s="88"/>
      <c r="D833" s="88"/>
      <c r="E833" s="88"/>
      <c r="F833" s="88"/>
      <c r="G833" s="88"/>
      <c r="H833" s="88"/>
      <c r="I833" s="88"/>
      <c r="J833" s="88"/>
      <c r="K833" s="88"/>
      <c r="L833" s="88"/>
      <c r="M833" s="88"/>
      <c r="N833" s="88"/>
      <c r="O833" s="88"/>
      <c r="P833" s="88"/>
      <c r="Q833" s="88"/>
      <c r="R833" s="88"/>
      <c r="S833" s="88"/>
      <c r="T833" s="88"/>
      <c r="U833" s="88"/>
      <c r="V833" s="88"/>
      <c r="W833" s="88"/>
      <c r="X833" s="88"/>
      <c r="Y833" s="88"/>
      <c r="Z833" s="88"/>
      <c r="AA833" s="88"/>
    </row>
    <row r="834" spans="1:27" ht="13.2">
      <c r="A834" s="88"/>
      <c r="B834" s="88"/>
      <c r="C834" s="88"/>
      <c r="D834" s="88"/>
      <c r="E834" s="88"/>
      <c r="F834" s="88"/>
      <c r="G834" s="88"/>
      <c r="H834" s="88"/>
      <c r="I834" s="88"/>
      <c r="J834" s="88"/>
      <c r="K834" s="88"/>
      <c r="L834" s="88"/>
      <c r="M834" s="88"/>
      <c r="N834" s="88"/>
      <c r="O834" s="88"/>
      <c r="P834" s="88"/>
      <c r="Q834" s="88"/>
      <c r="R834" s="88"/>
      <c r="S834" s="88"/>
      <c r="T834" s="88"/>
      <c r="U834" s="88"/>
      <c r="V834" s="88"/>
      <c r="W834" s="88"/>
      <c r="X834" s="88"/>
      <c r="Y834" s="88"/>
      <c r="Z834" s="88"/>
      <c r="AA834" s="88"/>
    </row>
    <row r="835" spans="1:27" ht="13.2">
      <c r="A835" s="88"/>
      <c r="B835" s="88"/>
      <c r="C835" s="88"/>
      <c r="D835" s="88"/>
      <c r="E835" s="88"/>
      <c r="F835" s="88"/>
      <c r="G835" s="88"/>
      <c r="H835" s="88"/>
      <c r="I835" s="88"/>
      <c r="J835" s="88"/>
      <c r="K835" s="88"/>
      <c r="L835" s="88"/>
      <c r="M835" s="88"/>
      <c r="N835" s="88"/>
      <c r="O835" s="88"/>
      <c r="P835" s="88"/>
      <c r="Q835" s="88"/>
      <c r="R835" s="88"/>
      <c r="S835" s="88"/>
      <c r="T835" s="88"/>
      <c r="U835" s="88"/>
      <c r="V835" s="88"/>
      <c r="W835" s="88"/>
      <c r="X835" s="88"/>
      <c r="Y835" s="88"/>
      <c r="Z835" s="88"/>
      <c r="AA835" s="88"/>
    </row>
    <row r="836" spans="1:27" ht="13.2">
      <c r="A836" s="88"/>
      <c r="B836" s="88"/>
      <c r="C836" s="88"/>
      <c r="D836" s="88"/>
      <c r="E836" s="88"/>
      <c r="F836" s="88"/>
      <c r="G836" s="88"/>
      <c r="H836" s="88"/>
      <c r="I836" s="88"/>
      <c r="J836" s="88"/>
      <c r="K836" s="88"/>
      <c r="L836" s="88"/>
      <c r="M836" s="88"/>
      <c r="N836" s="88"/>
      <c r="O836" s="88"/>
      <c r="P836" s="88"/>
      <c r="Q836" s="88"/>
      <c r="R836" s="88"/>
      <c r="S836" s="88"/>
      <c r="T836" s="88"/>
      <c r="U836" s="88"/>
      <c r="V836" s="88"/>
      <c r="W836" s="88"/>
      <c r="X836" s="88"/>
      <c r="Y836" s="88"/>
      <c r="Z836" s="88"/>
      <c r="AA836" s="88"/>
    </row>
    <row r="837" spans="1:27" ht="13.2">
      <c r="A837" s="88"/>
      <c r="B837" s="88"/>
      <c r="C837" s="88"/>
      <c r="D837" s="88"/>
      <c r="E837" s="88"/>
      <c r="F837" s="88"/>
      <c r="G837" s="88"/>
      <c r="H837" s="88"/>
      <c r="I837" s="88"/>
      <c r="J837" s="88"/>
      <c r="K837" s="88"/>
      <c r="L837" s="88"/>
      <c r="M837" s="88"/>
      <c r="N837" s="88"/>
      <c r="O837" s="88"/>
      <c r="P837" s="88"/>
      <c r="Q837" s="88"/>
      <c r="R837" s="88"/>
      <c r="S837" s="88"/>
      <c r="T837" s="88"/>
      <c r="U837" s="88"/>
      <c r="V837" s="88"/>
      <c r="W837" s="88"/>
      <c r="X837" s="88"/>
      <c r="Y837" s="88"/>
      <c r="Z837" s="88"/>
      <c r="AA837" s="88"/>
    </row>
    <row r="838" spans="1:27" ht="13.2">
      <c r="A838" s="88"/>
      <c r="B838" s="88"/>
      <c r="C838" s="88"/>
      <c r="D838" s="88"/>
      <c r="E838" s="88"/>
      <c r="F838" s="88"/>
      <c r="G838" s="88"/>
      <c r="H838" s="88"/>
      <c r="I838" s="88"/>
      <c r="J838" s="88"/>
      <c r="K838" s="88"/>
      <c r="L838" s="88"/>
      <c r="M838" s="88"/>
      <c r="N838" s="88"/>
      <c r="O838" s="88"/>
      <c r="P838" s="88"/>
      <c r="Q838" s="88"/>
      <c r="R838" s="88"/>
      <c r="S838" s="88"/>
      <c r="T838" s="88"/>
      <c r="U838" s="88"/>
      <c r="V838" s="88"/>
      <c r="W838" s="88"/>
      <c r="X838" s="88"/>
      <c r="Y838" s="88"/>
      <c r="Z838" s="88"/>
      <c r="AA838" s="88"/>
    </row>
    <row r="839" spans="1:27" ht="13.2">
      <c r="A839" s="88"/>
      <c r="B839" s="88"/>
      <c r="C839" s="88"/>
      <c r="D839" s="88"/>
      <c r="E839" s="88"/>
      <c r="F839" s="88"/>
      <c r="G839" s="88"/>
      <c r="H839" s="88"/>
      <c r="I839" s="88"/>
      <c r="J839" s="88"/>
      <c r="K839" s="88"/>
      <c r="L839" s="88"/>
      <c r="M839" s="88"/>
      <c r="N839" s="88"/>
      <c r="O839" s="88"/>
      <c r="P839" s="88"/>
      <c r="Q839" s="88"/>
      <c r="R839" s="88"/>
      <c r="S839" s="88"/>
      <c r="T839" s="88"/>
      <c r="U839" s="88"/>
      <c r="V839" s="88"/>
      <c r="W839" s="88"/>
      <c r="X839" s="88"/>
      <c r="Y839" s="88"/>
      <c r="Z839" s="88"/>
      <c r="AA839" s="88"/>
    </row>
    <row r="840" spans="1:27" ht="13.2">
      <c r="A840" s="88"/>
      <c r="B840" s="88"/>
      <c r="C840" s="88"/>
      <c r="D840" s="88"/>
      <c r="E840" s="88"/>
      <c r="F840" s="88"/>
      <c r="G840" s="88"/>
      <c r="H840" s="88"/>
      <c r="I840" s="88"/>
      <c r="J840" s="88"/>
      <c r="K840" s="88"/>
      <c r="L840" s="88"/>
      <c r="M840" s="88"/>
      <c r="N840" s="88"/>
      <c r="O840" s="88"/>
      <c r="P840" s="88"/>
      <c r="Q840" s="88"/>
      <c r="R840" s="88"/>
      <c r="S840" s="88"/>
      <c r="T840" s="88"/>
      <c r="U840" s="88"/>
      <c r="V840" s="88"/>
      <c r="W840" s="88"/>
      <c r="X840" s="88"/>
      <c r="Y840" s="88"/>
      <c r="Z840" s="88"/>
      <c r="AA840" s="88"/>
    </row>
    <row r="841" spans="1:27" ht="13.2">
      <c r="A841" s="88"/>
      <c r="B841" s="88"/>
      <c r="C841" s="88"/>
      <c r="D841" s="88"/>
      <c r="E841" s="88"/>
      <c r="F841" s="88"/>
      <c r="G841" s="88"/>
      <c r="H841" s="88"/>
      <c r="I841" s="88"/>
      <c r="J841" s="88"/>
      <c r="K841" s="88"/>
      <c r="L841" s="88"/>
      <c r="M841" s="88"/>
      <c r="N841" s="88"/>
      <c r="O841" s="88"/>
      <c r="P841" s="88"/>
      <c r="Q841" s="88"/>
      <c r="R841" s="88"/>
      <c r="S841" s="88"/>
      <c r="T841" s="88"/>
      <c r="U841" s="88"/>
      <c r="V841" s="88"/>
      <c r="W841" s="88"/>
      <c r="X841" s="88"/>
      <c r="Y841" s="88"/>
      <c r="Z841" s="88"/>
      <c r="AA841" s="88"/>
    </row>
    <row r="842" spans="1:27" ht="13.2">
      <c r="A842" s="88"/>
      <c r="B842" s="88"/>
      <c r="C842" s="88"/>
      <c r="D842" s="88"/>
      <c r="E842" s="88"/>
      <c r="F842" s="88"/>
      <c r="G842" s="88"/>
      <c r="H842" s="88"/>
      <c r="I842" s="88"/>
      <c r="J842" s="88"/>
      <c r="K842" s="88"/>
      <c r="L842" s="88"/>
      <c r="M842" s="88"/>
      <c r="N842" s="88"/>
      <c r="O842" s="88"/>
      <c r="P842" s="88"/>
      <c r="Q842" s="88"/>
      <c r="R842" s="88"/>
      <c r="S842" s="88"/>
      <c r="T842" s="88"/>
      <c r="U842" s="88"/>
      <c r="V842" s="88"/>
      <c r="W842" s="88"/>
      <c r="X842" s="88"/>
      <c r="Y842" s="88"/>
      <c r="Z842" s="88"/>
      <c r="AA842" s="88"/>
    </row>
    <row r="843" spans="1:27" ht="13.2">
      <c r="A843" s="88"/>
      <c r="B843" s="88"/>
      <c r="C843" s="88"/>
      <c r="D843" s="88"/>
      <c r="E843" s="88"/>
      <c r="F843" s="88"/>
      <c r="G843" s="88"/>
      <c r="H843" s="88"/>
      <c r="I843" s="88"/>
      <c r="J843" s="88"/>
      <c r="K843" s="88"/>
      <c r="L843" s="88"/>
      <c r="M843" s="88"/>
      <c r="N843" s="88"/>
      <c r="O843" s="88"/>
      <c r="P843" s="88"/>
      <c r="Q843" s="88"/>
      <c r="R843" s="88"/>
      <c r="S843" s="88"/>
      <c r="T843" s="88"/>
      <c r="U843" s="88"/>
      <c r="V843" s="88"/>
      <c r="W843" s="88"/>
      <c r="X843" s="88"/>
      <c r="Y843" s="88"/>
      <c r="Z843" s="88"/>
      <c r="AA843" s="88"/>
    </row>
    <row r="844" spans="1:27" ht="13.2">
      <c r="A844" s="88"/>
      <c r="B844" s="88"/>
      <c r="C844" s="88"/>
      <c r="D844" s="88"/>
      <c r="E844" s="88"/>
      <c r="F844" s="88"/>
      <c r="G844" s="88"/>
      <c r="H844" s="88"/>
      <c r="I844" s="88"/>
      <c r="J844" s="88"/>
      <c r="K844" s="88"/>
      <c r="L844" s="88"/>
      <c r="M844" s="88"/>
      <c r="N844" s="88"/>
      <c r="O844" s="88"/>
      <c r="P844" s="88"/>
      <c r="Q844" s="88"/>
      <c r="R844" s="88"/>
      <c r="S844" s="88"/>
      <c r="T844" s="88"/>
      <c r="U844" s="88"/>
      <c r="V844" s="88"/>
      <c r="W844" s="88"/>
      <c r="X844" s="88"/>
      <c r="Y844" s="88"/>
      <c r="Z844" s="88"/>
      <c r="AA844" s="88"/>
    </row>
    <row r="845" spans="1:27" ht="13.2">
      <c r="A845" s="88"/>
      <c r="B845" s="88"/>
      <c r="C845" s="88"/>
      <c r="D845" s="88"/>
      <c r="E845" s="88"/>
      <c r="F845" s="88"/>
      <c r="G845" s="88"/>
      <c r="H845" s="88"/>
      <c r="I845" s="88"/>
      <c r="J845" s="88"/>
      <c r="K845" s="88"/>
      <c r="L845" s="88"/>
      <c r="M845" s="88"/>
      <c r="N845" s="88"/>
      <c r="O845" s="88"/>
      <c r="P845" s="88"/>
      <c r="Q845" s="88"/>
      <c r="R845" s="88"/>
      <c r="S845" s="88"/>
      <c r="T845" s="88"/>
      <c r="U845" s="88"/>
      <c r="V845" s="88"/>
      <c r="W845" s="88"/>
      <c r="X845" s="88"/>
      <c r="Y845" s="88"/>
      <c r="Z845" s="88"/>
      <c r="AA845" s="88"/>
    </row>
    <row r="846" spans="1:27" ht="13.2">
      <c r="A846" s="88"/>
      <c r="B846" s="88"/>
      <c r="C846" s="88"/>
      <c r="D846" s="88"/>
      <c r="E846" s="88"/>
      <c r="F846" s="88"/>
      <c r="G846" s="88"/>
      <c r="H846" s="88"/>
      <c r="I846" s="88"/>
      <c r="J846" s="88"/>
      <c r="K846" s="88"/>
      <c r="L846" s="88"/>
      <c r="M846" s="88"/>
      <c r="N846" s="88"/>
      <c r="O846" s="88"/>
      <c r="P846" s="88"/>
      <c r="Q846" s="88"/>
      <c r="R846" s="88"/>
      <c r="S846" s="88"/>
      <c r="T846" s="88"/>
      <c r="U846" s="88"/>
      <c r="V846" s="88"/>
      <c r="W846" s="88"/>
      <c r="X846" s="88"/>
      <c r="Y846" s="88"/>
      <c r="Z846" s="88"/>
      <c r="AA846" s="88"/>
    </row>
    <row r="847" spans="1:27" ht="13.2">
      <c r="A847" s="88"/>
      <c r="B847" s="88"/>
      <c r="C847" s="88"/>
      <c r="D847" s="88"/>
      <c r="E847" s="88"/>
      <c r="F847" s="88"/>
      <c r="G847" s="88"/>
      <c r="H847" s="88"/>
      <c r="I847" s="88"/>
      <c r="J847" s="88"/>
      <c r="K847" s="88"/>
      <c r="L847" s="88"/>
      <c r="M847" s="88"/>
      <c r="N847" s="88"/>
      <c r="O847" s="88"/>
      <c r="P847" s="88"/>
      <c r="Q847" s="88"/>
      <c r="R847" s="88"/>
      <c r="S847" s="88"/>
      <c r="T847" s="88"/>
      <c r="U847" s="88"/>
      <c r="V847" s="88"/>
      <c r="W847" s="88"/>
      <c r="X847" s="88"/>
      <c r="Y847" s="88"/>
      <c r="Z847" s="88"/>
      <c r="AA847" s="88"/>
    </row>
    <row r="848" spans="1:27" ht="13.2">
      <c r="A848" s="88"/>
      <c r="B848" s="88"/>
      <c r="C848" s="88"/>
      <c r="D848" s="88"/>
      <c r="E848" s="88"/>
      <c r="F848" s="88"/>
      <c r="G848" s="88"/>
      <c r="H848" s="88"/>
      <c r="I848" s="88"/>
      <c r="J848" s="88"/>
      <c r="K848" s="88"/>
      <c r="L848" s="88"/>
      <c r="M848" s="88"/>
      <c r="N848" s="88"/>
      <c r="O848" s="88"/>
      <c r="P848" s="88"/>
      <c r="Q848" s="88"/>
      <c r="R848" s="88"/>
      <c r="S848" s="88"/>
      <c r="T848" s="88"/>
      <c r="U848" s="88"/>
      <c r="V848" s="88"/>
      <c r="W848" s="88"/>
      <c r="X848" s="88"/>
      <c r="Y848" s="88"/>
      <c r="Z848" s="88"/>
      <c r="AA848" s="88"/>
    </row>
    <row r="849" spans="1:27" ht="13.2">
      <c r="A849" s="88"/>
      <c r="B849" s="88"/>
      <c r="C849" s="88"/>
      <c r="D849" s="88"/>
      <c r="E849" s="88"/>
      <c r="F849" s="88"/>
      <c r="G849" s="88"/>
      <c r="H849" s="88"/>
      <c r="I849" s="88"/>
      <c r="J849" s="88"/>
      <c r="K849" s="88"/>
      <c r="L849" s="88"/>
      <c r="M849" s="88"/>
      <c r="N849" s="88"/>
      <c r="O849" s="88"/>
      <c r="P849" s="88"/>
      <c r="Q849" s="88"/>
      <c r="R849" s="88"/>
      <c r="S849" s="88"/>
      <c r="T849" s="88"/>
      <c r="U849" s="88"/>
      <c r="V849" s="88"/>
      <c r="W849" s="88"/>
      <c r="X849" s="88"/>
      <c r="Y849" s="88"/>
      <c r="Z849" s="88"/>
      <c r="AA849" s="88"/>
    </row>
    <row r="850" spans="1:27" ht="13.2">
      <c r="A850" s="88"/>
      <c r="B850" s="88"/>
      <c r="C850" s="88"/>
      <c r="D850" s="88"/>
      <c r="E850" s="88"/>
      <c r="F850" s="88"/>
      <c r="G850" s="88"/>
      <c r="H850" s="88"/>
      <c r="I850" s="88"/>
      <c r="J850" s="88"/>
      <c r="K850" s="88"/>
      <c r="L850" s="88"/>
      <c r="M850" s="88"/>
      <c r="N850" s="88"/>
      <c r="O850" s="88"/>
      <c r="P850" s="88"/>
      <c r="Q850" s="88"/>
      <c r="R850" s="88"/>
      <c r="S850" s="88"/>
      <c r="T850" s="88"/>
      <c r="U850" s="88"/>
      <c r="V850" s="88"/>
      <c r="W850" s="88"/>
      <c r="X850" s="88"/>
      <c r="Y850" s="88"/>
      <c r="Z850" s="88"/>
      <c r="AA850" s="88"/>
    </row>
    <row r="851" spans="1:27" ht="13.2">
      <c r="A851" s="88"/>
      <c r="B851" s="88"/>
      <c r="C851" s="88"/>
      <c r="D851" s="88"/>
      <c r="E851" s="88"/>
      <c r="F851" s="88"/>
      <c r="G851" s="88"/>
      <c r="H851" s="88"/>
      <c r="I851" s="88"/>
      <c r="J851" s="88"/>
      <c r="K851" s="88"/>
      <c r="L851" s="88"/>
      <c r="M851" s="88"/>
      <c r="N851" s="88"/>
      <c r="O851" s="88"/>
      <c r="P851" s="88"/>
      <c r="Q851" s="88"/>
      <c r="R851" s="88"/>
      <c r="S851" s="88"/>
      <c r="T851" s="88"/>
      <c r="U851" s="88"/>
      <c r="V851" s="88"/>
      <c r="W851" s="88"/>
      <c r="X851" s="88"/>
      <c r="Y851" s="88"/>
      <c r="Z851" s="88"/>
      <c r="AA851" s="88"/>
    </row>
    <row r="852" spans="1:27" ht="13.2">
      <c r="A852" s="88"/>
      <c r="B852" s="88"/>
      <c r="C852" s="88"/>
      <c r="D852" s="88"/>
      <c r="E852" s="88"/>
      <c r="F852" s="88"/>
      <c r="G852" s="88"/>
      <c r="H852" s="88"/>
      <c r="I852" s="88"/>
      <c r="J852" s="88"/>
      <c r="K852" s="88"/>
      <c r="L852" s="88"/>
      <c r="M852" s="88"/>
      <c r="N852" s="88"/>
      <c r="O852" s="88"/>
      <c r="P852" s="88"/>
      <c r="Q852" s="88"/>
      <c r="R852" s="88"/>
      <c r="S852" s="88"/>
      <c r="T852" s="88"/>
      <c r="U852" s="88"/>
      <c r="V852" s="88"/>
      <c r="W852" s="88"/>
      <c r="X852" s="88"/>
      <c r="Y852" s="88"/>
      <c r="Z852" s="88"/>
      <c r="AA852" s="88"/>
    </row>
    <row r="853" spans="1:27" ht="13.2">
      <c r="A853" s="88"/>
      <c r="B853" s="88"/>
      <c r="C853" s="88"/>
      <c r="D853" s="88"/>
      <c r="E853" s="88"/>
      <c r="F853" s="88"/>
      <c r="G853" s="88"/>
      <c r="H853" s="88"/>
      <c r="I853" s="88"/>
      <c r="J853" s="88"/>
      <c r="K853" s="88"/>
      <c r="L853" s="88"/>
      <c r="M853" s="88"/>
      <c r="N853" s="88"/>
      <c r="O853" s="88"/>
      <c r="P853" s="88"/>
      <c r="Q853" s="88"/>
      <c r="R853" s="88"/>
      <c r="S853" s="88"/>
      <c r="T853" s="88"/>
      <c r="U853" s="88"/>
      <c r="V853" s="88"/>
      <c r="W853" s="88"/>
      <c r="X853" s="88"/>
      <c r="Y853" s="88"/>
      <c r="Z853" s="88"/>
      <c r="AA853" s="88"/>
    </row>
    <row r="854" spans="1:27" ht="13.2">
      <c r="A854" s="88"/>
      <c r="B854" s="88"/>
      <c r="C854" s="88"/>
      <c r="D854" s="88"/>
      <c r="E854" s="88"/>
      <c r="F854" s="88"/>
      <c r="G854" s="88"/>
      <c r="H854" s="88"/>
      <c r="I854" s="88"/>
      <c r="J854" s="88"/>
      <c r="K854" s="88"/>
      <c r="L854" s="88"/>
      <c r="M854" s="88"/>
      <c r="N854" s="88"/>
      <c r="O854" s="88"/>
      <c r="P854" s="88"/>
      <c r="Q854" s="88"/>
      <c r="R854" s="88"/>
      <c r="S854" s="88"/>
      <c r="T854" s="88"/>
      <c r="U854" s="88"/>
      <c r="V854" s="88"/>
      <c r="W854" s="88"/>
      <c r="X854" s="88"/>
      <c r="Y854" s="88"/>
      <c r="Z854" s="88"/>
      <c r="AA854" s="88"/>
    </row>
    <row r="855" spans="1:27" ht="13.2">
      <c r="A855" s="88"/>
      <c r="B855" s="88"/>
      <c r="C855" s="88"/>
      <c r="D855" s="88"/>
      <c r="E855" s="88"/>
      <c r="F855" s="88"/>
      <c r="G855" s="88"/>
      <c r="H855" s="88"/>
      <c r="I855" s="88"/>
      <c r="J855" s="88"/>
      <c r="K855" s="88"/>
      <c r="L855" s="88"/>
      <c r="M855" s="88"/>
      <c r="N855" s="88"/>
      <c r="O855" s="88"/>
      <c r="P855" s="88"/>
      <c r="Q855" s="88"/>
      <c r="R855" s="88"/>
      <c r="S855" s="88"/>
      <c r="T855" s="88"/>
      <c r="U855" s="88"/>
      <c r="V855" s="88"/>
      <c r="W855" s="88"/>
      <c r="X855" s="88"/>
      <c r="Y855" s="88"/>
      <c r="Z855" s="88"/>
      <c r="AA855" s="88"/>
    </row>
    <row r="856" spans="1:27" ht="13.2">
      <c r="A856" s="88"/>
      <c r="B856" s="88"/>
      <c r="C856" s="88"/>
      <c r="D856" s="88"/>
      <c r="E856" s="88"/>
      <c r="F856" s="88"/>
      <c r="G856" s="88"/>
      <c r="H856" s="88"/>
      <c r="I856" s="88"/>
      <c r="J856" s="88"/>
      <c r="K856" s="88"/>
      <c r="L856" s="88"/>
      <c r="M856" s="88"/>
      <c r="N856" s="88"/>
      <c r="O856" s="88"/>
      <c r="P856" s="88"/>
      <c r="Q856" s="88"/>
      <c r="R856" s="88"/>
      <c r="S856" s="88"/>
      <c r="T856" s="88"/>
      <c r="U856" s="88"/>
      <c r="V856" s="88"/>
      <c r="W856" s="88"/>
      <c r="X856" s="88"/>
      <c r="Y856" s="88"/>
      <c r="Z856" s="88"/>
      <c r="AA856" s="88"/>
    </row>
    <row r="857" spans="1:27" ht="13.2">
      <c r="A857" s="88"/>
      <c r="B857" s="88"/>
      <c r="C857" s="88"/>
      <c r="D857" s="88"/>
      <c r="E857" s="88"/>
      <c r="F857" s="88"/>
      <c r="G857" s="88"/>
      <c r="H857" s="88"/>
      <c r="I857" s="88"/>
      <c r="J857" s="88"/>
      <c r="K857" s="88"/>
      <c r="L857" s="88"/>
      <c r="M857" s="88"/>
      <c r="N857" s="88"/>
      <c r="O857" s="88"/>
      <c r="P857" s="88"/>
      <c r="Q857" s="88"/>
      <c r="R857" s="88"/>
      <c r="S857" s="88"/>
      <c r="T857" s="88"/>
      <c r="U857" s="88"/>
      <c r="V857" s="88"/>
      <c r="W857" s="88"/>
      <c r="X857" s="88"/>
      <c r="Y857" s="88"/>
      <c r="Z857" s="88"/>
      <c r="AA857" s="88"/>
    </row>
    <row r="858" spans="1:27" ht="13.2">
      <c r="A858" s="88"/>
      <c r="B858" s="88"/>
      <c r="C858" s="88"/>
      <c r="D858" s="88"/>
      <c r="E858" s="88"/>
      <c r="F858" s="88"/>
      <c r="G858" s="88"/>
      <c r="H858" s="88"/>
      <c r="I858" s="88"/>
      <c r="J858" s="88"/>
      <c r="K858" s="88"/>
      <c r="L858" s="88"/>
      <c r="M858" s="88"/>
      <c r="N858" s="88"/>
      <c r="O858" s="88"/>
      <c r="P858" s="88"/>
      <c r="Q858" s="88"/>
      <c r="R858" s="88"/>
      <c r="S858" s="88"/>
      <c r="T858" s="88"/>
      <c r="U858" s="88"/>
      <c r="V858" s="88"/>
      <c r="W858" s="88"/>
      <c r="X858" s="88"/>
      <c r="Y858" s="88"/>
      <c r="Z858" s="88"/>
      <c r="AA858" s="88"/>
    </row>
    <row r="859" spans="1:27" ht="13.2">
      <c r="A859" s="88"/>
      <c r="B859" s="88"/>
      <c r="C859" s="88"/>
      <c r="D859" s="88"/>
      <c r="E859" s="88"/>
      <c r="F859" s="88"/>
      <c r="G859" s="88"/>
      <c r="H859" s="88"/>
      <c r="I859" s="88"/>
      <c r="J859" s="88"/>
      <c r="K859" s="88"/>
      <c r="L859" s="88"/>
      <c r="M859" s="88"/>
      <c r="N859" s="88"/>
      <c r="O859" s="88"/>
      <c r="P859" s="88"/>
      <c r="Q859" s="88"/>
      <c r="R859" s="88"/>
      <c r="S859" s="88"/>
      <c r="T859" s="88"/>
      <c r="U859" s="88"/>
      <c r="V859" s="88"/>
      <c r="W859" s="88"/>
      <c r="X859" s="88"/>
      <c r="Y859" s="88"/>
      <c r="Z859" s="88"/>
      <c r="AA859" s="88"/>
    </row>
    <row r="860" spans="1:27" ht="13.2">
      <c r="A860" s="88"/>
      <c r="B860" s="88"/>
      <c r="C860" s="88"/>
      <c r="D860" s="88"/>
      <c r="E860" s="88"/>
      <c r="F860" s="88"/>
      <c r="G860" s="88"/>
      <c r="H860" s="88"/>
      <c r="I860" s="88"/>
      <c r="J860" s="88"/>
      <c r="K860" s="88"/>
      <c r="L860" s="88"/>
      <c r="M860" s="88"/>
      <c r="N860" s="88"/>
      <c r="O860" s="88"/>
      <c r="P860" s="88"/>
      <c r="Q860" s="88"/>
      <c r="R860" s="88"/>
      <c r="S860" s="88"/>
      <c r="T860" s="88"/>
      <c r="U860" s="88"/>
      <c r="V860" s="88"/>
      <c r="W860" s="88"/>
      <c r="X860" s="88"/>
      <c r="Y860" s="88"/>
      <c r="Z860" s="88"/>
      <c r="AA860" s="88"/>
    </row>
    <row r="861" spans="1:27" ht="13.2">
      <c r="A861" s="88"/>
      <c r="B861" s="88"/>
      <c r="C861" s="88"/>
      <c r="D861" s="88"/>
      <c r="E861" s="88"/>
      <c r="F861" s="88"/>
      <c r="G861" s="88"/>
      <c r="H861" s="88"/>
      <c r="I861" s="88"/>
      <c r="J861" s="88"/>
      <c r="K861" s="88"/>
      <c r="L861" s="88"/>
      <c r="M861" s="88"/>
      <c r="N861" s="88"/>
      <c r="O861" s="88"/>
      <c r="P861" s="88"/>
      <c r="Q861" s="88"/>
      <c r="R861" s="88"/>
      <c r="S861" s="88"/>
      <c r="T861" s="88"/>
      <c r="U861" s="88"/>
      <c r="V861" s="88"/>
      <c r="W861" s="88"/>
      <c r="X861" s="88"/>
      <c r="Y861" s="88"/>
      <c r="Z861" s="88"/>
      <c r="AA861" s="88"/>
    </row>
    <row r="862" spans="1:27" ht="13.2">
      <c r="A862" s="88"/>
      <c r="B862" s="88"/>
      <c r="C862" s="88"/>
      <c r="D862" s="88"/>
      <c r="E862" s="88"/>
      <c r="F862" s="88"/>
      <c r="G862" s="88"/>
      <c r="H862" s="88"/>
      <c r="I862" s="88"/>
      <c r="J862" s="88"/>
      <c r="K862" s="88"/>
      <c r="L862" s="88"/>
      <c r="M862" s="88"/>
      <c r="N862" s="88"/>
      <c r="O862" s="88"/>
      <c r="P862" s="88"/>
      <c r="Q862" s="88"/>
      <c r="R862" s="88"/>
      <c r="S862" s="88"/>
      <c r="T862" s="88"/>
      <c r="U862" s="88"/>
      <c r="V862" s="88"/>
      <c r="W862" s="88"/>
      <c r="X862" s="88"/>
      <c r="Y862" s="88"/>
      <c r="Z862" s="88"/>
      <c r="AA862" s="88"/>
    </row>
    <row r="863" spans="1:27" ht="13.2">
      <c r="A863" s="88"/>
      <c r="B863" s="88"/>
      <c r="C863" s="88"/>
      <c r="D863" s="88"/>
      <c r="E863" s="88"/>
      <c r="F863" s="88"/>
      <c r="G863" s="88"/>
      <c r="H863" s="88"/>
      <c r="I863" s="88"/>
      <c r="J863" s="88"/>
      <c r="K863" s="88"/>
      <c r="L863" s="88"/>
      <c r="M863" s="88"/>
      <c r="N863" s="88"/>
      <c r="O863" s="88"/>
      <c r="P863" s="88"/>
      <c r="Q863" s="88"/>
      <c r="R863" s="88"/>
      <c r="S863" s="88"/>
      <c r="T863" s="88"/>
      <c r="U863" s="88"/>
      <c r="V863" s="88"/>
      <c r="W863" s="88"/>
      <c r="X863" s="88"/>
      <c r="Y863" s="88"/>
      <c r="Z863" s="88"/>
      <c r="AA863" s="88"/>
    </row>
    <row r="864" spans="1:27" ht="13.2">
      <c r="A864" s="88"/>
      <c r="B864" s="88"/>
      <c r="C864" s="88"/>
      <c r="D864" s="88"/>
      <c r="E864" s="88"/>
      <c r="F864" s="88"/>
      <c r="G864" s="88"/>
      <c r="H864" s="88"/>
      <c r="I864" s="88"/>
      <c r="J864" s="88"/>
      <c r="K864" s="88"/>
      <c r="L864" s="88"/>
      <c r="M864" s="88"/>
      <c r="N864" s="88"/>
      <c r="O864" s="88"/>
      <c r="P864" s="88"/>
      <c r="Q864" s="88"/>
      <c r="R864" s="88"/>
      <c r="S864" s="88"/>
      <c r="T864" s="88"/>
      <c r="U864" s="88"/>
      <c r="V864" s="88"/>
      <c r="W864" s="88"/>
      <c r="X864" s="88"/>
      <c r="Y864" s="88"/>
      <c r="Z864" s="88"/>
      <c r="AA864" s="88"/>
    </row>
    <row r="865" spans="1:27" ht="13.2">
      <c r="A865" s="88"/>
      <c r="B865" s="88"/>
      <c r="C865" s="88"/>
      <c r="D865" s="88"/>
      <c r="E865" s="88"/>
      <c r="F865" s="88"/>
      <c r="G865" s="88"/>
      <c r="H865" s="88"/>
      <c r="I865" s="88"/>
      <c r="J865" s="88"/>
      <c r="K865" s="88"/>
      <c r="L865" s="88"/>
      <c r="M865" s="88"/>
      <c r="N865" s="88"/>
      <c r="O865" s="88"/>
      <c r="P865" s="88"/>
      <c r="Q865" s="88"/>
      <c r="R865" s="88"/>
      <c r="S865" s="88"/>
      <c r="T865" s="88"/>
      <c r="U865" s="88"/>
      <c r="V865" s="88"/>
      <c r="W865" s="88"/>
      <c r="X865" s="88"/>
      <c r="Y865" s="88"/>
      <c r="Z865" s="88"/>
      <c r="AA865" s="88"/>
    </row>
    <row r="866" spans="1:27" ht="13.2">
      <c r="A866" s="88"/>
      <c r="B866" s="88"/>
      <c r="C866" s="88"/>
      <c r="D866" s="88"/>
      <c r="E866" s="88"/>
      <c r="F866" s="88"/>
      <c r="G866" s="88"/>
      <c r="H866" s="88"/>
      <c r="I866" s="88"/>
      <c r="J866" s="88"/>
      <c r="K866" s="88"/>
      <c r="L866" s="88"/>
      <c r="M866" s="88"/>
      <c r="N866" s="88"/>
      <c r="O866" s="88"/>
      <c r="P866" s="88"/>
      <c r="Q866" s="88"/>
      <c r="R866" s="88"/>
      <c r="S866" s="88"/>
      <c r="T866" s="88"/>
      <c r="U866" s="88"/>
      <c r="V866" s="88"/>
      <c r="W866" s="88"/>
      <c r="X866" s="88"/>
      <c r="Y866" s="88"/>
      <c r="Z866" s="88"/>
      <c r="AA866" s="88"/>
    </row>
    <row r="867" spans="1:27" ht="13.2">
      <c r="A867" s="88"/>
      <c r="B867" s="88"/>
      <c r="C867" s="88"/>
      <c r="D867" s="88"/>
      <c r="E867" s="88"/>
      <c r="F867" s="88"/>
      <c r="G867" s="88"/>
      <c r="H867" s="88"/>
      <c r="I867" s="88"/>
      <c r="J867" s="88"/>
      <c r="K867" s="88"/>
      <c r="L867" s="88"/>
      <c r="M867" s="88"/>
      <c r="N867" s="88"/>
      <c r="O867" s="88"/>
      <c r="P867" s="88"/>
      <c r="Q867" s="88"/>
      <c r="R867" s="88"/>
      <c r="S867" s="88"/>
      <c r="T867" s="88"/>
      <c r="U867" s="88"/>
      <c r="V867" s="88"/>
      <c r="W867" s="88"/>
      <c r="X867" s="88"/>
      <c r="Y867" s="88"/>
      <c r="Z867" s="88"/>
      <c r="AA867" s="88"/>
    </row>
    <row r="868" spans="1:27" ht="13.2">
      <c r="A868" s="88"/>
      <c r="B868" s="88"/>
      <c r="C868" s="88"/>
      <c r="D868" s="88"/>
      <c r="E868" s="88"/>
      <c r="F868" s="88"/>
      <c r="G868" s="88"/>
      <c r="H868" s="88"/>
      <c r="I868" s="88"/>
      <c r="J868" s="88"/>
      <c r="K868" s="88"/>
      <c r="L868" s="88"/>
      <c r="M868" s="88"/>
      <c r="N868" s="88"/>
      <c r="O868" s="88"/>
      <c r="P868" s="88"/>
      <c r="Q868" s="88"/>
      <c r="R868" s="88"/>
      <c r="S868" s="88"/>
      <c r="T868" s="88"/>
      <c r="U868" s="88"/>
      <c r="V868" s="88"/>
      <c r="W868" s="88"/>
      <c r="X868" s="88"/>
      <c r="Y868" s="88"/>
      <c r="Z868" s="88"/>
      <c r="AA868" s="88"/>
    </row>
    <row r="869" spans="1:27" ht="13.2">
      <c r="A869" s="88"/>
      <c r="B869" s="88"/>
      <c r="C869" s="88"/>
      <c r="D869" s="88"/>
      <c r="E869" s="88"/>
      <c r="F869" s="88"/>
      <c r="G869" s="88"/>
      <c r="H869" s="88"/>
      <c r="I869" s="88"/>
      <c r="J869" s="88"/>
      <c r="K869" s="88"/>
      <c r="L869" s="88"/>
      <c r="M869" s="88"/>
      <c r="N869" s="88"/>
      <c r="O869" s="88"/>
      <c r="P869" s="88"/>
      <c r="Q869" s="88"/>
      <c r="R869" s="88"/>
      <c r="S869" s="88"/>
      <c r="T869" s="88"/>
      <c r="U869" s="88"/>
      <c r="V869" s="88"/>
      <c r="W869" s="88"/>
      <c r="X869" s="88"/>
      <c r="Y869" s="88"/>
      <c r="Z869" s="88"/>
      <c r="AA869" s="88"/>
    </row>
    <row r="870" spans="1:27" ht="13.2">
      <c r="A870" s="88"/>
      <c r="B870" s="88"/>
      <c r="C870" s="88"/>
      <c r="D870" s="88"/>
      <c r="E870" s="88"/>
      <c r="F870" s="88"/>
      <c r="G870" s="88"/>
      <c r="H870" s="88"/>
      <c r="I870" s="88"/>
      <c r="J870" s="88"/>
      <c r="K870" s="88"/>
      <c r="L870" s="88"/>
      <c r="M870" s="88"/>
      <c r="N870" s="88"/>
      <c r="O870" s="88"/>
      <c r="P870" s="88"/>
      <c r="Q870" s="88"/>
      <c r="R870" s="88"/>
      <c r="S870" s="88"/>
      <c r="T870" s="88"/>
      <c r="U870" s="88"/>
      <c r="V870" s="88"/>
      <c r="W870" s="88"/>
      <c r="X870" s="88"/>
      <c r="Y870" s="88"/>
      <c r="Z870" s="88"/>
      <c r="AA870" s="88"/>
    </row>
    <row r="871" spans="1:27" ht="13.2">
      <c r="A871" s="88"/>
      <c r="B871" s="88"/>
      <c r="C871" s="88"/>
      <c r="D871" s="88"/>
      <c r="E871" s="88"/>
      <c r="F871" s="88"/>
      <c r="G871" s="88"/>
      <c r="H871" s="88"/>
      <c r="I871" s="88"/>
      <c r="J871" s="88"/>
      <c r="K871" s="88"/>
      <c r="L871" s="88"/>
      <c r="M871" s="88"/>
      <c r="N871" s="88"/>
      <c r="O871" s="88"/>
      <c r="P871" s="88"/>
      <c r="Q871" s="88"/>
      <c r="R871" s="88"/>
      <c r="S871" s="88"/>
      <c r="T871" s="88"/>
      <c r="U871" s="88"/>
      <c r="V871" s="88"/>
      <c r="W871" s="88"/>
      <c r="X871" s="88"/>
      <c r="Y871" s="88"/>
      <c r="Z871" s="88"/>
      <c r="AA871" s="88"/>
    </row>
    <row r="872" spans="1:27" ht="13.2">
      <c r="A872" s="88"/>
      <c r="B872" s="88"/>
      <c r="C872" s="88"/>
      <c r="D872" s="88"/>
      <c r="E872" s="88"/>
      <c r="F872" s="88"/>
      <c r="G872" s="88"/>
      <c r="H872" s="88"/>
      <c r="I872" s="88"/>
      <c r="J872" s="88"/>
      <c r="K872" s="88"/>
      <c r="L872" s="88"/>
      <c r="M872" s="88"/>
      <c r="N872" s="88"/>
      <c r="O872" s="88"/>
      <c r="P872" s="88"/>
      <c r="Q872" s="88"/>
      <c r="R872" s="88"/>
      <c r="S872" s="88"/>
      <c r="T872" s="88"/>
      <c r="U872" s="88"/>
      <c r="V872" s="88"/>
      <c r="W872" s="88"/>
      <c r="X872" s="88"/>
      <c r="Y872" s="88"/>
      <c r="Z872" s="88"/>
      <c r="AA872" s="88"/>
    </row>
    <row r="873" spans="1:27" ht="13.2">
      <c r="A873" s="88"/>
      <c r="B873" s="88"/>
      <c r="C873" s="88"/>
      <c r="D873" s="88"/>
      <c r="E873" s="88"/>
      <c r="F873" s="88"/>
      <c r="G873" s="88"/>
      <c r="H873" s="88"/>
      <c r="I873" s="88"/>
      <c r="J873" s="88"/>
      <c r="K873" s="88"/>
      <c r="L873" s="88"/>
      <c r="M873" s="88"/>
      <c r="N873" s="88"/>
      <c r="O873" s="88"/>
      <c r="P873" s="88"/>
      <c r="Q873" s="88"/>
      <c r="R873" s="88"/>
      <c r="S873" s="88"/>
      <c r="T873" s="88"/>
      <c r="U873" s="88"/>
      <c r="V873" s="88"/>
      <c r="W873" s="88"/>
      <c r="X873" s="88"/>
      <c r="Y873" s="88"/>
      <c r="Z873" s="88"/>
      <c r="AA873" s="88"/>
    </row>
    <row r="874" spans="1:27" ht="13.2">
      <c r="A874" s="88"/>
      <c r="B874" s="88"/>
      <c r="C874" s="88"/>
      <c r="D874" s="88"/>
      <c r="E874" s="88"/>
      <c r="F874" s="88"/>
      <c r="G874" s="88"/>
      <c r="H874" s="88"/>
      <c r="I874" s="88"/>
      <c r="J874" s="88"/>
      <c r="K874" s="88"/>
      <c r="L874" s="88"/>
      <c r="M874" s="88"/>
      <c r="N874" s="88"/>
      <c r="O874" s="88"/>
      <c r="P874" s="88"/>
      <c r="Q874" s="88"/>
      <c r="R874" s="88"/>
      <c r="S874" s="88"/>
      <c r="T874" s="88"/>
      <c r="U874" s="88"/>
      <c r="V874" s="88"/>
      <c r="W874" s="88"/>
      <c r="X874" s="88"/>
      <c r="Y874" s="88"/>
      <c r="Z874" s="88"/>
      <c r="AA874" s="88"/>
    </row>
    <row r="875" spans="1:27" ht="13.2">
      <c r="A875" s="88"/>
      <c r="B875" s="88"/>
      <c r="C875" s="88"/>
      <c r="D875" s="88"/>
      <c r="E875" s="88"/>
      <c r="F875" s="88"/>
      <c r="G875" s="88"/>
      <c r="H875" s="88"/>
      <c r="I875" s="88"/>
      <c r="J875" s="88"/>
      <c r="K875" s="88"/>
      <c r="L875" s="88"/>
      <c r="M875" s="88"/>
      <c r="N875" s="88"/>
      <c r="O875" s="88"/>
      <c r="P875" s="88"/>
      <c r="Q875" s="88"/>
      <c r="R875" s="88"/>
      <c r="S875" s="88"/>
      <c r="T875" s="88"/>
      <c r="U875" s="88"/>
      <c r="V875" s="88"/>
      <c r="W875" s="88"/>
      <c r="X875" s="88"/>
      <c r="Y875" s="88"/>
      <c r="Z875" s="88"/>
      <c r="AA875" s="88"/>
    </row>
    <row r="876" spans="1:27" ht="13.2">
      <c r="A876" s="88"/>
      <c r="B876" s="88"/>
      <c r="C876" s="88"/>
      <c r="D876" s="88"/>
      <c r="E876" s="88"/>
      <c r="F876" s="88"/>
      <c r="G876" s="88"/>
      <c r="H876" s="88"/>
      <c r="I876" s="88"/>
      <c r="J876" s="88"/>
      <c r="K876" s="88"/>
      <c r="L876" s="88"/>
      <c r="M876" s="88"/>
      <c r="N876" s="88"/>
      <c r="O876" s="88"/>
      <c r="P876" s="88"/>
      <c r="Q876" s="88"/>
      <c r="R876" s="88"/>
      <c r="S876" s="88"/>
      <c r="T876" s="88"/>
      <c r="U876" s="88"/>
      <c r="V876" s="88"/>
      <c r="W876" s="88"/>
      <c r="X876" s="88"/>
      <c r="Y876" s="88"/>
      <c r="Z876" s="88"/>
      <c r="AA876" s="88"/>
    </row>
    <row r="877" spans="1:27" ht="13.2">
      <c r="A877" s="88"/>
      <c r="B877" s="88"/>
      <c r="C877" s="88"/>
      <c r="D877" s="88"/>
      <c r="E877" s="88"/>
      <c r="F877" s="88"/>
      <c r="G877" s="88"/>
      <c r="H877" s="88"/>
      <c r="I877" s="88"/>
      <c r="J877" s="88"/>
      <c r="K877" s="88"/>
      <c r="L877" s="88"/>
      <c r="M877" s="88"/>
      <c r="N877" s="88"/>
      <c r="O877" s="88"/>
      <c r="P877" s="88"/>
      <c r="Q877" s="88"/>
      <c r="R877" s="88"/>
      <c r="S877" s="88"/>
      <c r="T877" s="88"/>
      <c r="U877" s="88"/>
      <c r="V877" s="88"/>
      <c r="W877" s="88"/>
      <c r="X877" s="88"/>
      <c r="Y877" s="88"/>
      <c r="Z877" s="88"/>
      <c r="AA877" s="88"/>
    </row>
    <row r="878" spans="1:27" ht="13.2">
      <c r="A878" s="88"/>
      <c r="B878" s="88"/>
      <c r="C878" s="88"/>
      <c r="D878" s="88"/>
      <c r="E878" s="88"/>
      <c r="F878" s="88"/>
      <c r="G878" s="88"/>
      <c r="H878" s="88"/>
      <c r="I878" s="88"/>
      <c r="J878" s="88"/>
      <c r="K878" s="88"/>
      <c r="L878" s="88"/>
      <c r="M878" s="88"/>
      <c r="N878" s="88"/>
      <c r="O878" s="88"/>
      <c r="P878" s="88"/>
      <c r="Q878" s="88"/>
      <c r="R878" s="88"/>
      <c r="S878" s="88"/>
      <c r="T878" s="88"/>
      <c r="U878" s="88"/>
      <c r="V878" s="88"/>
      <c r="W878" s="88"/>
      <c r="X878" s="88"/>
      <c r="Y878" s="88"/>
      <c r="Z878" s="88"/>
      <c r="AA878" s="88"/>
    </row>
    <row r="879" spans="1:27" ht="13.2">
      <c r="A879" s="88"/>
      <c r="B879" s="88"/>
      <c r="C879" s="88"/>
      <c r="D879" s="88"/>
      <c r="E879" s="88"/>
      <c r="F879" s="88"/>
      <c r="G879" s="88"/>
      <c r="H879" s="88"/>
      <c r="I879" s="88"/>
      <c r="J879" s="88"/>
      <c r="K879" s="88"/>
      <c r="L879" s="88"/>
      <c r="M879" s="88"/>
      <c r="N879" s="88"/>
      <c r="O879" s="88"/>
      <c r="P879" s="88"/>
      <c r="Q879" s="88"/>
      <c r="R879" s="88"/>
      <c r="S879" s="88"/>
      <c r="T879" s="88"/>
      <c r="U879" s="88"/>
      <c r="V879" s="88"/>
      <c r="W879" s="88"/>
      <c r="X879" s="88"/>
      <c r="Y879" s="88"/>
      <c r="Z879" s="88"/>
      <c r="AA879" s="88"/>
    </row>
    <row r="880" spans="1:27" ht="13.2">
      <c r="A880" s="88"/>
      <c r="B880" s="88"/>
      <c r="C880" s="88"/>
      <c r="D880" s="88"/>
      <c r="E880" s="88"/>
      <c r="F880" s="88"/>
      <c r="G880" s="88"/>
      <c r="H880" s="88"/>
      <c r="I880" s="88"/>
      <c r="J880" s="88"/>
      <c r="K880" s="88"/>
      <c r="L880" s="88"/>
      <c r="M880" s="88"/>
      <c r="N880" s="88"/>
      <c r="O880" s="88"/>
      <c r="P880" s="88"/>
      <c r="Q880" s="88"/>
      <c r="R880" s="88"/>
      <c r="S880" s="88"/>
      <c r="T880" s="88"/>
      <c r="U880" s="88"/>
      <c r="V880" s="88"/>
      <c r="W880" s="88"/>
      <c r="X880" s="88"/>
      <c r="Y880" s="88"/>
      <c r="Z880" s="88"/>
      <c r="AA880" s="88"/>
    </row>
    <row r="881" spans="1:27" ht="13.2">
      <c r="A881" s="88"/>
      <c r="B881" s="88"/>
      <c r="C881" s="88"/>
      <c r="D881" s="88"/>
      <c r="E881" s="88"/>
      <c r="F881" s="88"/>
      <c r="G881" s="88"/>
      <c r="H881" s="88"/>
      <c r="I881" s="88"/>
      <c r="J881" s="88"/>
      <c r="K881" s="88"/>
      <c r="L881" s="88"/>
      <c r="M881" s="88"/>
      <c r="N881" s="88"/>
      <c r="O881" s="88"/>
      <c r="P881" s="88"/>
      <c r="Q881" s="88"/>
      <c r="R881" s="88"/>
      <c r="S881" s="88"/>
      <c r="T881" s="88"/>
      <c r="U881" s="88"/>
      <c r="V881" s="88"/>
      <c r="W881" s="88"/>
      <c r="X881" s="88"/>
      <c r="Y881" s="88"/>
      <c r="Z881" s="88"/>
      <c r="AA881" s="88"/>
    </row>
    <row r="882" spans="1:27" ht="13.2">
      <c r="A882" s="88"/>
      <c r="B882" s="88"/>
      <c r="C882" s="88"/>
      <c r="D882" s="88"/>
      <c r="E882" s="88"/>
      <c r="F882" s="88"/>
      <c r="G882" s="88"/>
      <c r="H882" s="88"/>
      <c r="I882" s="88"/>
      <c r="J882" s="88"/>
      <c r="K882" s="88"/>
      <c r="L882" s="88"/>
      <c r="M882" s="88"/>
      <c r="N882" s="88"/>
      <c r="O882" s="88"/>
      <c r="P882" s="88"/>
      <c r="Q882" s="88"/>
      <c r="R882" s="88"/>
      <c r="S882" s="88"/>
      <c r="T882" s="88"/>
      <c r="U882" s="88"/>
      <c r="V882" s="88"/>
      <c r="W882" s="88"/>
      <c r="X882" s="88"/>
      <c r="Y882" s="88"/>
      <c r="Z882" s="88"/>
      <c r="AA882" s="88"/>
    </row>
    <row r="883" spans="1:27" ht="13.2">
      <c r="A883" s="88"/>
      <c r="B883" s="88"/>
      <c r="C883" s="88"/>
      <c r="D883" s="88"/>
      <c r="E883" s="88"/>
      <c r="F883" s="88"/>
      <c r="G883" s="88"/>
      <c r="H883" s="88"/>
      <c r="I883" s="88"/>
      <c r="J883" s="88"/>
      <c r="K883" s="88"/>
      <c r="L883" s="88"/>
      <c r="M883" s="88"/>
      <c r="N883" s="88"/>
      <c r="O883" s="88"/>
      <c r="P883" s="88"/>
      <c r="Q883" s="88"/>
      <c r="R883" s="88"/>
      <c r="S883" s="88"/>
      <c r="T883" s="88"/>
      <c r="U883" s="88"/>
      <c r="V883" s="88"/>
      <c r="W883" s="88"/>
      <c r="X883" s="88"/>
      <c r="Y883" s="88"/>
      <c r="Z883" s="88"/>
      <c r="AA883" s="88"/>
    </row>
    <row r="884" spans="1:27" ht="13.2">
      <c r="A884" s="88"/>
      <c r="B884" s="88"/>
      <c r="C884" s="88"/>
      <c r="D884" s="88"/>
      <c r="E884" s="88"/>
      <c r="F884" s="88"/>
      <c r="G884" s="88"/>
      <c r="H884" s="88"/>
      <c r="I884" s="88"/>
      <c r="J884" s="88"/>
      <c r="K884" s="88"/>
      <c r="L884" s="88"/>
      <c r="M884" s="88"/>
      <c r="N884" s="88"/>
      <c r="O884" s="88"/>
      <c r="P884" s="88"/>
      <c r="Q884" s="88"/>
      <c r="R884" s="88"/>
      <c r="S884" s="88"/>
      <c r="T884" s="88"/>
      <c r="U884" s="88"/>
      <c r="V884" s="88"/>
      <c r="W884" s="88"/>
      <c r="X884" s="88"/>
      <c r="Y884" s="88"/>
      <c r="Z884" s="88"/>
      <c r="AA884" s="88"/>
    </row>
    <row r="885" spans="1:27" ht="13.2">
      <c r="A885" s="88"/>
      <c r="B885" s="88"/>
      <c r="C885" s="88"/>
      <c r="D885" s="88"/>
      <c r="E885" s="88"/>
      <c r="F885" s="88"/>
      <c r="G885" s="88"/>
      <c r="H885" s="88"/>
      <c r="I885" s="88"/>
      <c r="J885" s="88"/>
      <c r="K885" s="88"/>
      <c r="L885" s="88"/>
      <c r="M885" s="88"/>
      <c r="N885" s="88"/>
      <c r="O885" s="88"/>
      <c r="P885" s="88"/>
      <c r="Q885" s="88"/>
      <c r="R885" s="88"/>
      <c r="S885" s="88"/>
      <c r="T885" s="88"/>
      <c r="U885" s="88"/>
      <c r="V885" s="88"/>
      <c r="W885" s="88"/>
      <c r="X885" s="88"/>
      <c r="Y885" s="88"/>
      <c r="Z885" s="88"/>
      <c r="AA885" s="88"/>
    </row>
    <row r="886" spans="1:27" ht="13.2">
      <c r="A886" s="88"/>
      <c r="B886" s="88"/>
      <c r="C886" s="88"/>
      <c r="D886" s="88"/>
      <c r="E886" s="88"/>
      <c r="F886" s="88"/>
      <c r="G886" s="88"/>
      <c r="H886" s="88"/>
      <c r="I886" s="88"/>
      <c r="J886" s="88"/>
      <c r="K886" s="88"/>
      <c r="L886" s="88"/>
      <c r="M886" s="88"/>
      <c r="N886" s="88"/>
      <c r="O886" s="88"/>
      <c r="P886" s="88"/>
      <c r="Q886" s="88"/>
      <c r="R886" s="88"/>
      <c r="S886" s="88"/>
      <c r="T886" s="88"/>
      <c r="U886" s="88"/>
      <c r="V886" s="88"/>
      <c r="W886" s="88"/>
      <c r="X886" s="88"/>
      <c r="Y886" s="88"/>
      <c r="Z886" s="88"/>
      <c r="AA886" s="88"/>
    </row>
    <row r="887" spans="1:27" ht="13.2">
      <c r="A887" s="88"/>
      <c r="B887" s="88"/>
      <c r="C887" s="88"/>
      <c r="D887" s="88"/>
      <c r="E887" s="88"/>
      <c r="F887" s="88"/>
      <c r="G887" s="88"/>
      <c r="H887" s="88"/>
      <c r="I887" s="88"/>
      <c r="J887" s="88"/>
      <c r="K887" s="88"/>
      <c r="L887" s="88"/>
      <c r="M887" s="88"/>
      <c r="N887" s="88"/>
      <c r="O887" s="88"/>
      <c r="P887" s="88"/>
      <c r="Q887" s="88"/>
      <c r="R887" s="88"/>
      <c r="S887" s="88"/>
      <c r="T887" s="88"/>
      <c r="U887" s="88"/>
      <c r="V887" s="88"/>
      <c r="W887" s="88"/>
      <c r="X887" s="88"/>
      <c r="Y887" s="88"/>
      <c r="Z887" s="88"/>
      <c r="AA887" s="88"/>
    </row>
    <row r="888" spans="1:27" ht="13.2">
      <c r="A888" s="88"/>
      <c r="B888" s="88"/>
      <c r="C888" s="88"/>
      <c r="D888" s="88"/>
      <c r="E888" s="88"/>
      <c r="F888" s="88"/>
      <c r="G888" s="88"/>
      <c r="H888" s="88"/>
      <c r="I888" s="88"/>
      <c r="J888" s="88"/>
      <c r="K888" s="88"/>
      <c r="L888" s="88"/>
      <c r="M888" s="88"/>
      <c r="N888" s="88"/>
      <c r="O888" s="88"/>
      <c r="P888" s="88"/>
      <c r="Q888" s="88"/>
      <c r="R888" s="88"/>
      <c r="S888" s="88"/>
      <c r="T888" s="88"/>
      <c r="U888" s="88"/>
      <c r="V888" s="88"/>
      <c r="W888" s="88"/>
      <c r="X888" s="88"/>
      <c r="Y888" s="88"/>
      <c r="Z888" s="88"/>
      <c r="AA888" s="88"/>
    </row>
    <row r="889" spans="1:27" ht="13.2">
      <c r="A889" s="88"/>
      <c r="B889" s="88"/>
      <c r="C889" s="88"/>
      <c r="D889" s="88"/>
      <c r="E889" s="88"/>
      <c r="F889" s="88"/>
      <c r="G889" s="88"/>
      <c r="H889" s="88"/>
      <c r="I889" s="88"/>
      <c r="J889" s="88"/>
      <c r="K889" s="88"/>
      <c r="L889" s="88"/>
      <c r="M889" s="88"/>
      <c r="N889" s="88"/>
      <c r="O889" s="88"/>
      <c r="P889" s="88"/>
      <c r="Q889" s="88"/>
      <c r="R889" s="88"/>
      <c r="S889" s="88"/>
      <c r="T889" s="88"/>
      <c r="U889" s="88"/>
      <c r="V889" s="88"/>
      <c r="W889" s="88"/>
      <c r="X889" s="88"/>
      <c r="Y889" s="88"/>
      <c r="Z889" s="88"/>
      <c r="AA889" s="88"/>
    </row>
    <row r="890" spans="1:27" ht="13.2">
      <c r="A890" s="88"/>
      <c r="B890" s="88"/>
      <c r="C890" s="88"/>
      <c r="D890" s="88"/>
      <c r="E890" s="88"/>
      <c r="F890" s="88"/>
      <c r="G890" s="88"/>
      <c r="H890" s="88"/>
      <c r="I890" s="88"/>
      <c r="J890" s="88"/>
      <c r="K890" s="88"/>
      <c r="L890" s="88"/>
      <c r="M890" s="88"/>
      <c r="N890" s="88"/>
      <c r="O890" s="88"/>
      <c r="P890" s="88"/>
      <c r="Q890" s="88"/>
      <c r="R890" s="88"/>
      <c r="S890" s="88"/>
      <c r="T890" s="88"/>
      <c r="U890" s="88"/>
      <c r="V890" s="88"/>
      <c r="W890" s="88"/>
      <c r="X890" s="88"/>
      <c r="Y890" s="88"/>
      <c r="Z890" s="88"/>
      <c r="AA890" s="88"/>
    </row>
    <row r="891" spans="1:27" ht="13.2">
      <c r="A891" s="88"/>
      <c r="B891" s="88"/>
      <c r="C891" s="88"/>
      <c r="D891" s="88"/>
      <c r="E891" s="88"/>
      <c r="F891" s="88"/>
      <c r="G891" s="88"/>
      <c r="H891" s="88"/>
      <c r="I891" s="88"/>
      <c r="J891" s="88"/>
      <c r="K891" s="88"/>
      <c r="L891" s="88"/>
      <c r="M891" s="88"/>
      <c r="N891" s="88"/>
      <c r="O891" s="88"/>
      <c r="P891" s="88"/>
      <c r="Q891" s="88"/>
      <c r="R891" s="88"/>
      <c r="S891" s="88"/>
      <c r="T891" s="88"/>
      <c r="U891" s="88"/>
      <c r="V891" s="88"/>
      <c r="W891" s="88"/>
      <c r="X891" s="88"/>
      <c r="Y891" s="88"/>
      <c r="Z891" s="88"/>
      <c r="AA891" s="88"/>
    </row>
    <row r="892" spans="1:27" ht="13.2">
      <c r="A892" s="88"/>
      <c r="B892" s="88"/>
      <c r="C892" s="88"/>
      <c r="D892" s="88"/>
      <c r="E892" s="88"/>
      <c r="F892" s="88"/>
      <c r="G892" s="88"/>
      <c r="H892" s="88"/>
      <c r="I892" s="88"/>
      <c r="J892" s="88"/>
      <c r="K892" s="88"/>
      <c r="L892" s="88"/>
      <c r="M892" s="88"/>
      <c r="N892" s="88"/>
      <c r="O892" s="88"/>
      <c r="P892" s="88"/>
      <c r="Q892" s="88"/>
      <c r="R892" s="88"/>
      <c r="S892" s="88"/>
      <c r="T892" s="88"/>
      <c r="U892" s="88"/>
      <c r="V892" s="88"/>
      <c r="W892" s="88"/>
      <c r="X892" s="88"/>
      <c r="Y892" s="88"/>
      <c r="Z892" s="88"/>
      <c r="AA892" s="88"/>
    </row>
    <row r="893" spans="1:27" ht="13.2">
      <c r="A893" s="88"/>
      <c r="B893" s="88"/>
      <c r="C893" s="88"/>
      <c r="D893" s="88"/>
      <c r="E893" s="88"/>
      <c r="F893" s="88"/>
      <c r="G893" s="88"/>
      <c r="H893" s="88"/>
      <c r="I893" s="88"/>
      <c r="J893" s="88"/>
      <c r="K893" s="88"/>
      <c r="L893" s="88"/>
      <c r="M893" s="88"/>
      <c r="N893" s="88"/>
      <c r="O893" s="88"/>
      <c r="P893" s="88"/>
      <c r="Q893" s="88"/>
      <c r="R893" s="88"/>
      <c r="S893" s="88"/>
      <c r="T893" s="88"/>
      <c r="U893" s="88"/>
      <c r="V893" s="88"/>
      <c r="W893" s="88"/>
      <c r="X893" s="88"/>
      <c r="Y893" s="88"/>
      <c r="Z893" s="88"/>
      <c r="AA893" s="88"/>
    </row>
    <row r="894" spans="1:27" ht="13.2">
      <c r="A894" s="88"/>
      <c r="B894" s="88"/>
      <c r="C894" s="88"/>
      <c r="D894" s="88"/>
      <c r="E894" s="88"/>
      <c r="F894" s="88"/>
      <c r="G894" s="88"/>
      <c r="H894" s="88"/>
      <c r="I894" s="88"/>
      <c r="J894" s="88"/>
      <c r="K894" s="88"/>
      <c r="L894" s="88"/>
      <c r="M894" s="88"/>
      <c r="N894" s="88"/>
      <c r="O894" s="88"/>
      <c r="P894" s="88"/>
      <c r="Q894" s="88"/>
      <c r="R894" s="88"/>
      <c r="S894" s="88"/>
      <c r="T894" s="88"/>
      <c r="U894" s="88"/>
      <c r="V894" s="88"/>
      <c r="W894" s="88"/>
      <c r="X894" s="88"/>
      <c r="Y894" s="88"/>
      <c r="Z894" s="88"/>
      <c r="AA894" s="88"/>
    </row>
    <row r="895" spans="1:27" ht="13.2">
      <c r="A895" s="88"/>
      <c r="B895" s="88"/>
      <c r="C895" s="88"/>
      <c r="D895" s="88"/>
      <c r="E895" s="88"/>
      <c r="F895" s="88"/>
      <c r="G895" s="88"/>
      <c r="H895" s="88"/>
      <c r="I895" s="88"/>
      <c r="J895" s="88"/>
      <c r="K895" s="88"/>
      <c r="L895" s="88"/>
      <c r="M895" s="88"/>
      <c r="N895" s="88"/>
      <c r="O895" s="88"/>
      <c r="P895" s="88"/>
      <c r="Q895" s="88"/>
      <c r="R895" s="88"/>
      <c r="S895" s="88"/>
      <c r="T895" s="88"/>
      <c r="U895" s="88"/>
      <c r="V895" s="88"/>
      <c r="W895" s="88"/>
      <c r="X895" s="88"/>
      <c r="Y895" s="88"/>
      <c r="Z895" s="88"/>
      <c r="AA895" s="88"/>
    </row>
    <row r="896" spans="1:27" ht="13.2">
      <c r="A896" s="88"/>
      <c r="B896" s="88"/>
      <c r="C896" s="88"/>
      <c r="D896" s="88"/>
      <c r="E896" s="88"/>
      <c r="F896" s="88"/>
      <c r="G896" s="88"/>
      <c r="H896" s="88"/>
      <c r="I896" s="88"/>
      <c r="J896" s="88"/>
      <c r="K896" s="88"/>
      <c r="L896" s="88"/>
      <c r="M896" s="88"/>
      <c r="N896" s="88"/>
      <c r="O896" s="88"/>
      <c r="P896" s="88"/>
      <c r="Q896" s="88"/>
      <c r="R896" s="88"/>
      <c r="S896" s="88"/>
      <c r="T896" s="88"/>
      <c r="U896" s="88"/>
      <c r="V896" s="88"/>
      <c r="W896" s="88"/>
      <c r="X896" s="88"/>
      <c r="Y896" s="88"/>
      <c r="Z896" s="88"/>
      <c r="AA896" s="88"/>
    </row>
    <row r="897" spans="1:27" ht="13.2">
      <c r="A897" s="88"/>
      <c r="B897" s="88"/>
      <c r="C897" s="88"/>
      <c r="D897" s="88"/>
      <c r="E897" s="88"/>
      <c r="F897" s="88"/>
      <c r="G897" s="88"/>
      <c r="H897" s="88"/>
      <c r="I897" s="88"/>
      <c r="J897" s="88"/>
      <c r="K897" s="88"/>
      <c r="L897" s="88"/>
      <c r="M897" s="88"/>
      <c r="N897" s="88"/>
      <c r="O897" s="88"/>
      <c r="P897" s="88"/>
      <c r="Q897" s="88"/>
      <c r="R897" s="88"/>
      <c r="S897" s="88"/>
      <c r="T897" s="88"/>
      <c r="U897" s="88"/>
      <c r="V897" s="88"/>
      <c r="W897" s="88"/>
      <c r="X897" s="88"/>
      <c r="Y897" s="88"/>
      <c r="Z897" s="88"/>
      <c r="AA897" s="88"/>
    </row>
    <row r="898" spans="1:27" ht="13.2">
      <c r="A898" s="88"/>
      <c r="B898" s="88"/>
      <c r="C898" s="88"/>
      <c r="D898" s="88"/>
      <c r="E898" s="88"/>
      <c r="F898" s="88"/>
      <c r="G898" s="88"/>
      <c r="H898" s="88"/>
      <c r="I898" s="88"/>
      <c r="J898" s="88"/>
      <c r="K898" s="88"/>
      <c r="L898" s="88"/>
      <c r="M898" s="88"/>
      <c r="N898" s="88"/>
      <c r="O898" s="88"/>
      <c r="P898" s="88"/>
      <c r="Q898" s="88"/>
      <c r="R898" s="88"/>
      <c r="S898" s="88"/>
      <c r="T898" s="88"/>
      <c r="U898" s="88"/>
      <c r="V898" s="88"/>
      <c r="W898" s="88"/>
      <c r="X898" s="88"/>
      <c r="Y898" s="88"/>
      <c r="Z898" s="88"/>
      <c r="AA898" s="88"/>
    </row>
    <row r="899" spans="1:27" ht="13.2">
      <c r="A899" s="88"/>
      <c r="B899" s="88"/>
      <c r="C899" s="88"/>
      <c r="D899" s="88"/>
      <c r="E899" s="88"/>
      <c r="F899" s="88"/>
      <c r="G899" s="88"/>
      <c r="H899" s="88"/>
      <c r="I899" s="88"/>
      <c r="J899" s="88"/>
      <c r="K899" s="88"/>
      <c r="L899" s="88"/>
      <c r="M899" s="88"/>
      <c r="N899" s="88"/>
      <c r="O899" s="88"/>
      <c r="P899" s="88"/>
      <c r="Q899" s="88"/>
      <c r="R899" s="88"/>
      <c r="S899" s="88"/>
      <c r="T899" s="88"/>
      <c r="U899" s="88"/>
      <c r="V899" s="88"/>
      <c r="W899" s="88"/>
      <c r="X899" s="88"/>
      <c r="Y899" s="88"/>
      <c r="Z899" s="88"/>
      <c r="AA899" s="88"/>
    </row>
    <row r="900" spans="1:27" ht="13.2">
      <c r="A900" s="88"/>
      <c r="B900" s="88"/>
      <c r="C900" s="88"/>
      <c r="D900" s="88"/>
      <c r="E900" s="88"/>
      <c r="F900" s="88"/>
      <c r="G900" s="88"/>
      <c r="H900" s="88"/>
      <c r="I900" s="88"/>
      <c r="J900" s="88"/>
      <c r="K900" s="88"/>
      <c r="L900" s="88"/>
      <c r="M900" s="88"/>
      <c r="N900" s="88"/>
      <c r="O900" s="88"/>
      <c r="P900" s="88"/>
      <c r="Q900" s="88"/>
      <c r="R900" s="88"/>
      <c r="S900" s="88"/>
      <c r="T900" s="88"/>
      <c r="U900" s="88"/>
      <c r="V900" s="88"/>
      <c r="W900" s="88"/>
      <c r="X900" s="88"/>
      <c r="Y900" s="88"/>
      <c r="Z900" s="88"/>
      <c r="AA900" s="88"/>
    </row>
    <row r="901" spans="1:27" ht="13.2">
      <c r="A901" s="88"/>
      <c r="B901" s="88"/>
      <c r="C901" s="88"/>
      <c r="D901" s="88"/>
      <c r="E901" s="88"/>
      <c r="F901" s="88"/>
      <c r="G901" s="88"/>
      <c r="H901" s="88"/>
      <c r="I901" s="88"/>
      <c r="J901" s="88"/>
      <c r="K901" s="88"/>
      <c r="L901" s="88"/>
      <c r="M901" s="88"/>
      <c r="N901" s="88"/>
      <c r="O901" s="88"/>
      <c r="P901" s="88"/>
      <c r="Q901" s="88"/>
      <c r="R901" s="88"/>
      <c r="S901" s="88"/>
      <c r="T901" s="88"/>
      <c r="U901" s="88"/>
      <c r="V901" s="88"/>
      <c r="W901" s="88"/>
      <c r="X901" s="88"/>
      <c r="Y901" s="88"/>
      <c r="Z901" s="88"/>
      <c r="AA901" s="88"/>
    </row>
    <row r="902" spans="1:27" ht="13.2">
      <c r="A902" s="88"/>
      <c r="B902" s="88"/>
      <c r="C902" s="88"/>
      <c r="D902" s="88"/>
      <c r="E902" s="88"/>
      <c r="F902" s="88"/>
      <c r="G902" s="88"/>
      <c r="H902" s="88"/>
      <c r="I902" s="88"/>
      <c r="J902" s="88"/>
      <c r="K902" s="88"/>
      <c r="L902" s="88"/>
      <c r="M902" s="88"/>
      <c r="N902" s="88"/>
      <c r="O902" s="88"/>
      <c r="P902" s="88"/>
      <c r="Q902" s="88"/>
      <c r="R902" s="88"/>
      <c r="S902" s="88"/>
      <c r="T902" s="88"/>
      <c r="U902" s="88"/>
      <c r="V902" s="88"/>
      <c r="W902" s="88"/>
      <c r="X902" s="88"/>
      <c r="Y902" s="88"/>
      <c r="Z902" s="88"/>
      <c r="AA902" s="88"/>
    </row>
    <row r="903" spans="1:27" ht="13.2">
      <c r="A903" s="88"/>
      <c r="B903" s="88"/>
      <c r="C903" s="88"/>
      <c r="D903" s="88"/>
      <c r="E903" s="88"/>
      <c r="F903" s="88"/>
      <c r="G903" s="88"/>
      <c r="H903" s="88"/>
      <c r="I903" s="88"/>
      <c r="J903" s="88"/>
      <c r="K903" s="88"/>
      <c r="L903" s="88"/>
      <c r="M903" s="88"/>
      <c r="N903" s="88"/>
      <c r="O903" s="88"/>
      <c r="P903" s="88"/>
      <c r="Q903" s="88"/>
      <c r="R903" s="88"/>
      <c r="S903" s="88"/>
      <c r="T903" s="88"/>
      <c r="U903" s="88"/>
      <c r="V903" s="88"/>
      <c r="W903" s="88"/>
      <c r="X903" s="88"/>
      <c r="Y903" s="88"/>
      <c r="Z903" s="88"/>
      <c r="AA903" s="88"/>
    </row>
    <row r="904" spans="1:27" ht="13.2">
      <c r="A904" s="88"/>
      <c r="B904" s="88"/>
      <c r="C904" s="88"/>
      <c r="D904" s="88"/>
      <c r="E904" s="88"/>
      <c r="F904" s="88"/>
      <c r="G904" s="88"/>
      <c r="H904" s="88"/>
      <c r="I904" s="88"/>
      <c r="J904" s="88"/>
      <c r="K904" s="88"/>
      <c r="L904" s="88"/>
      <c r="M904" s="88"/>
      <c r="N904" s="88"/>
      <c r="O904" s="88"/>
      <c r="P904" s="88"/>
      <c r="Q904" s="88"/>
      <c r="R904" s="88"/>
      <c r="S904" s="88"/>
      <c r="T904" s="88"/>
      <c r="U904" s="88"/>
      <c r="V904" s="88"/>
      <c r="W904" s="88"/>
      <c r="X904" s="88"/>
      <c r="Y904" s="88"/>
      <c r="Z904" s="88"/>
      <c r="AA904" s="88"/>
    </row>
    <row r="905" spans="1:27" ht="13.2">
      <c r="A905" s="88"/>
      <c r="B905" s="88"/>
      <c r="C905" s="88"/>
      <c r="D905" s="88"/>
      <c r="E905" s="88"/>
      <c r="F905" s="88"/>
      <c r="G905" s="88"/>
      <c r="H905" s="88"/>
      <c r="I905" s="88"/>
      <c r="J905" s="88"/>
      <c r="K905" s="88"/>
      <c r="L905" s="88"/>
      <c r="M905" s="88"/>
      <c r="N905" s="88"/>
      <c r="O905" s="88"/>
      <c r="P905" s="88"/>
      <c r="Q905" s="88"/>
      <c r="R905" s="88"/>
      <c r="S905" s="88"/>
      <c r="T905" s="88"/>
      <c r="U905" s="88"/>
      <c r="V905" s="88"/>
      <c r="W905" s="88"/>
      <c r="X905" s="88"/>
      <c r="Y905" s="88"/>
      <c r="Z905" s="88"/>
      <c r="AA905" s="88"/>
    </row>
    <row r="906" spans="1:27" ht="13.2">
      <c r="A906" s="88"/>
      <c r="B906" s="88"/>
      <c r="C906" s="88"/>
      <c r="D906" s="88"/>
      <c r="E906" s="88"/>
      <c r="F906" s="88"/>
      <c r="G906" s="88"/>
      <c r="H906" s="88"/>
      <c r="I906" s="88"/>
      <c r="J906" s="88"/>
      <c r="K906" s="88"/>
      <c r="L906" s="88"/>
      <c r="M906" s="88"/>
      <c r="N906" s="88"/>
      <c r="O906" s="88"/>
      <c r="P906" s="88"/>
      <c r="Q906" s="88"/>
      <c r="R906" s="88"/>
      <c r="S906" s="88"/>
      <c r="T906" s="88"/>
      <c r="U906" s="88"/>
      <c r="V906" s="88"/>
      <c r="W906" s="88"/>
      <c r="X906" s="88"/>
      <c r="Y906" s="88"/>
      <c r="Z906" s="88"/>
      <c r="AA906" s="88"/>
    </row>
    <row r="907" spans="1:27" ht="13.2">
      <c r="A907" s="88"/>
      <c r="B907" s="88"/>
      <c r="C907" s="88"/>
      <c r="D907" s="88"/>
      <c r="E907" s="88"/>
      <c r="F907" s="88"/>
      <c r="G907" s="88"/>
      <c r="H907" s="88"/>
      <c r="I907" s="88"/>
      <c r="J907" s="88"/>
      <c r="K907" s="88"/>
      <c r="L907" s="88"/>
      <c r="M907" s="88"/>
      <c r="N907" s="88"/>
      <c r="O907" s="88"/>
      <c r="P907" s="88"/>
      <c r="Q907" s="88"/>
      <c r="R907" s="88"/>
      <c r="S907" s="88"/>
      <c r="T907" s="88"/>
      <c r="U907" s="88"/>
      <c r="V907" s="88"/>
      <c r="W907" s="88"/>
      <c r="X907" s="88"/>
      <c r="Y907" s="88"/>
      <c r="Z907" s="88"/>
      <c r="AA907" s="88"/>
    </row>
    <row r="908" spans="1:27" ht="13.2">
      <c r="A908" s="88"/>
      <c r="B908" s="88"/>
      <c r="C908" s="88"/>
      <c r="D908" s="88"/>
      <c r="E908" s="88"/>
      <c r="F908" s="88"/>
      <c r="G908" s="88"/>
      <c r="H908" s="88"/>
      <c r="I908" s="88"/>
      <c r="J908" s="88"/>
      <c r="K908" s="88"/>
      <c r="L908" s="88"/>
      <c r="M908" s="88"/>
      <c r="N908" s="88"/>
      <c r="O908" s="88"/>
      <c r="P908" s="88"/>
      <c r="Q908" s="88"/>
      <c r="R908" s="88"/>
      <c r="S908" s="88"/>
      <c r="T908" s="88"/>
      <c r="U908" s="88"/>
      <c r="V908" s="88"/>
      <c r="W908" s="88"/>
      <c r="X908" s="88"/>
      <c r="Y908" s="88"/>
      <c r="Z908" s="88"/>
      <c r="AA908" s="88"/>
    </row>
    <row r="909" spans="1:27" ht="13.2">
      <c r="A909" s="88"/>
      <c r="B909" s="88"/>
      <c r="C909" s="88"/>
      <c r="D909" s="88"/>
      <c r="E909" s="88"/>
      <c r="F909" s="88"/>
      <c r="G909" s="88"/>
      <c r="H909" s="88"/>
      <c r="I909" s="88"/>
      <c r="J909" s="88"/>
      <c r="K909" s="88"/>
      <c r="L909" s="88"/>
      <c r="M909" s="88"/>
      <c r="N909" s="88"/>
      <c r="O909" s="88"/>
      <c r="P909" s="88"/>
      <c r="Q909" s="88"/>
      <c r="R909" s="88"/>
      <c r="S909" s="88"/>
      <c r="T909" s="88"/>
      <c r="U909" s="88"/>
      <c r="V909" s="88"/>
      <c r="W909" s="88"/>
      <c r="X909" s="88"/>
      <c r="Y909" s="88"/>
      <c r="Z909" s="88"/>
      <c r="AA909" s="88"/>
    </row>
    <row r="910" spans="1:27" ht="13.2">
      <c r="A910" s="88"/>
      <c r="B910" s="88"/>
      <c r="C910" s="88"/>
      <c r="D910" s="88"/>
      <c r="E910" s="88"/>
      <c r="F910" s="88"/>
      <c r="G910" s="88"/>
      <c r="H910" s="88"/>
      <c r="I910" s="88"/>
      <c r="J910" s="88"/>
      <c r="K910" s="88"/>
      <c r="L910" s="88"/>
      <c r="M910" s="88"/>
      <c r="N910" s="88"/>
      <c r="O910" s="88"/>
      <c r="P910" s="88"/>
      <c r="Q910" s="88"/>
      <c r="R910" s="88"/>
      <c r="S910" s="88"/>
      <c r="T910" s="88"/>
      <c r="U910" s="88"/>
      <c r="V910" s="88"/>
      <c r="W910" s="88"/>
      <c r="X910" s="88"/>
      <c r="Y910" s="88"/>
      <c r="Z910" s="88"/>
      <c r="AA910" s="88"/>
    </row>
    <row r="911" spans="1:27" ht="13.2">
      <c r="A911" s="88"/>
      <c r="B911" s="88"/>
      <c r="C911" s="88"/>
      <c r="D911" s="88"/>
      <c r="E911" s="88"/>
      <c r="F911" s="88"/>
      <c r="G911" s="88"/>
      <c r="H911" s="88"/>
      <c r="I911" s="88"/>
      <c r="J911" s="88"/>
      <c r="K911" s="88"/>
      <c r="L911" s="88"/>
      <c r="M911" s="88"/>
      <c r="N911" s="88"/>
      <c r="O911" s="88"/>
      <c r="P911" s="88"/>
      <c r="Q911" s="88"/>
      <c r="R911" s="88"/>
      <c r="S911" s="88"/>
      <c r="T911" s="88"/>
      <c r="U911" s="88"/>
      <c r="V911" s="88"/>
      <c r="W911" s="88"/>
      <c r="X911" s="88"/>
      <c r="Y911" s="88"/>
      <c r="Z911" s="88"/>
      <c r="AA911" s="88"/>
    </row>
    <row r="912" spans="1:27" ht="13.2">
      <c r="A912" s="88"/>
      <c r="B912" s="88"/>
      <c r="C912" s="88"/>
      <c r="D912" s="88"/>
      <c r="E912" s="88"/>
      <c r="F912" s="88"/>
      <c r="G912" s="88"/>
      <c r="H912" s="88"/>
      <c r="I912" s="88"/>
      <c r="J912" s="88"/>
      <c r="K912" s="88"/>
      <c r="L912" s="88"/>
      <c r="M912" s="88"/>
      <c r="N912" s="88"/>
      <c r="O912" s="88"/>
      <c r="P912" s="88"/>
      <c r="Q912" s="88"/>
      <c r="R912" s="88"/>
      <c r="S912" s="88"/>
      <c r="T912" s="88"/>
      <c r="U912" s="88"/>
      <c r="V912" s="88"/>
      <c r="W912" s="88"/>
      <c r="X912" s="88"/>
      <c r="Y912" s="88"/>
      <c r="Z912" s="88"/>
      <c r="AA912" s="88"/>
    </row>
    <row r="913" spans="1:27" ht="13.2">
      <c r="A913" s="88"/>
      <c r="B913" s="88"/>
      <c r="C913" s="88"/>
      <c r="D913" s="88"/>
      <c r="E913" s="88"/>
      <c r="F913" s="88"/>
      <c r="G913" s="88"/>
      <c r="H913" s="88"/>
      <c r="I913" s="88"/>
      <c r="J913" s="88"/>
      <c r="K913" s="88"/>
      <c r="L913" s="88"/>
      <c r="M913" s="88"/>
      <c r="N913" s="88"/>
      <c r="O913" s="88"/>
      <c r="P913" s="88"/>
      <c r="Q913" s="88"/>
      <c r="R913" s="88"/>
      <c r="S913" s="88"/>
      <c r="T913" s="88"/>
      <c r="U913" s="88"/>
      <c r="V913" s="88"/>
      <c r="W913" s="88"/>
      <c r="X913" s="88"/>
      <c r="Y913" s="88"/>
      <c r="Z913" s="88"/>
      <c r="AA913" s="88"/>
    </row>
    <row r="914" spans="1:27" ht="13.2">
      <c r="A914" s="88"/>
      <c r="B914" s="88"/>
      <c r="C914" s="88"/>
      <c r="D914" s="88"/>
      <c r="E914" s="88"/>
      <c r="F914" s="88"/>
      <c r="G914" s="88"/>
      <c r="H914" s="88"/>
      <c r="I914" s="88"/>
      <c r="J914" s="88"/>
      <c r="K914" s="88"/>
      <c r="L914" s="88"/>
      <c r="M914" s="88"/>
      <c r="N914" s="88"/>
      <c r="O914" s="88"/>
      <c r="P914" s="88"/>
      <c r="Q914" s="88"/>
      <c r="R914" s="88"/>
      <c r="S914" s="88"/>
      <c r="T914" s="88"/>
      <c r="U914" s="88"/>
      <c r="V914" s="88"/>
      <c r="W914" s="88"/>
      <c r="X914" s="88"/>
      <c r="Y914" s="88"/>
      <c r="Z914" s="88"/>
      <c r="AA914" s="88"/>
    </row>
    <row r="915" spans="1:27" ht="13.2">
      <c r="A915" s="88"/>
      <c r="B915" s="88"/>
      <c r="C915" s="88"/>
      <c r="D915" s="88"/>
      <c r="E915" s="88"/>
      <c r="F915" s="88"/>
      <c r="G915" s="88"/>
      <c r="H915" s="88"/>
      <c r="I915" s="88"/>
      <c r="J915" s="88"/>
      <c r="K915" s="88"/>
      <c r="L915" s="88"/>
      <c r="M915" s="88"/>
      <c r="N915" s="88"/>
      <c r="O915" s="88"/>
      <c r="P915" s="88"/>
      <c r="Q915" s="88"/>
      <c r="R915" s="88"/>
      <c r="S915" s="88"/>
      <c r="T915" s="88"/>
      <c r="U915" s="88"/>
      <c r="V915" s="88"/>
      <c r="W915" s="88"/>
      <c r="X915" s="88"/>
      <c r="Y915" s="88"/>
      <c r="Z915" s="88"/>
      <c r="AA915" s="88"/>
    </row>
    <row r="916" spans="1:27" ht="13.2">
      <c r="A916" s="88"/>
      <c r="B916" s="88"/>
      <c r="C916" s="88"/>
      <c r="D916" s="88"/>
      <c r="E916" s="88"/>
      <c r="F916" s="88"/>
      <c r="G916" s="88"/>
      <c r="H916" s="88"/>
      <c r="I916" s="88"/>
      <c r="J916" s="88"/>
      <c r="K916" s="88"/>
      <c r="L916" s="88"/>
      <c r="M916" s="88"/>
      <c r="N916" s="88"/>
      <c r="O916" s="88"/>
      <c r="P916" s="88"/>
      <c r="Q916" s="88"/>
      <c r="R916" s="88"/>
      <c r="S916" s="88"/>
      <c r="T916" s="88"/>
      <c r="U916" s="88"/>
      <c r="V916" s="88"/>
      <c r="W916" s="88"/>
      <c r="X916" s="88"/>
      <c r="Y916" s="88"/>
      <c r="Z916" s="88"/>
      <c r="AA916" s="88"/>
    </row>
    <row r="917" spans="1:27" ht="13.2">
      <c r="A917" s="88"/>
      <c r="B917" s="88"/>
      <c r="C917" s="88"/>
      <c r="D917" s="88"/>
      <c r="E917" s="88"/>
      <c r="F917" s="88"/>
      <c r="G917" s="88"/>
      <c r="H917" s="88"/>
      <c r="I917" s="88"/>
      <c r="J917" s="88"/>
      <c r="K917" s="88"/>
      <c r="L917" s="88"/>
      <c r="M917" s="88"/>
      <c r="N917" s="88"/>
      <c r="O917" s="88"/>
      <c r="P917" s="88"/>
      <c r="Q917" s="88"/>
      <c r="R917" s="88"/>
      <c r="S917" s="88"/>
      <c r="T917" s="88"/>
      <c r="U917" s="88"/>
      <c r="V917" s="88"/>
      <c r="W917" s="88"/>
      <c r="X917" s="88"/>
      <c r="Y917" s="88"/>
      <c r="Z917" s="88"/>
      <c r="AA917" s="88"/>
    </row>
    <row r="918" spans="1:27" ht="13.2">
      <c r="A918" s="88"/>
      <c r="B918" s="88"/>
      <c r="C918" s="88"/>
      <c r="D918" s="88"/>
      <c r="E918" s="88"/>
      <c r="F918" s="88"/>
      <c r="G918" s="88"/>
      <c r="H918" s="88"/>
      <c r="I918" s="88"/>
      <c r="J918" s="88"/>
      <c r="K918" s="88"/>
      <c r="L918" s="88"/>
      <c r="M918" s="88"/>
      <c r="N918" s="88"/>
      <c r="O918" s="88"/>
      <c r="P918" s="88"/>
      <c r="Q918" s="88"/>
      <c r="R918" s="88"/>
      <c r="S918" s="88"/>
      <c r="T918" s="88"/>
      <c r="U918" s="88"/>
      <c r="V918" s="88"/>
      <c r="W918" s="88"/>
      <c r="X918" s="88"/>
      <c r="Y918" s="88"/>
      <c r="Z918" s="88"/>
      <c r="AA918" s="88"/>
    </row>
    <row r="919" spans="1:27" ht="13.2">
      <c r="A919" s="88"/>
      <c r="B919" s="88"/>
      <c r="C919" s="88"/>
      <c r="D919" s="88"/>
      <c r="E919" s="88"/>
      <c r="F919" s="88"/>
      <c r="G919" s="88"/>
      <c r="H919" s="88"/>
      <c r="I919" s="88"/>
      <c r="J919" s="88"/>
      <c r="K919" s="88"/>
      <c r="L919" s="88"/>
      <c r="M919" s="88"/>
      <c r="N919" s="88"/>
      <c r="O919" s="88"/>
      <c r="P919" s="88"/>
      <c r="Q919" s="88"/>
      <c r="R919" s="88"/>
      <c r="S919" s="88"/>
      <c r="T919" s="88"/>
      <c r="U919" s="88"/>
      <c r="V919" s="88"/>
      <c r="W919" s="88"/>
      <c r="X919" s="88"/>
      <c r="Y919" s="88"/>
      <c r="Z919" s="88"/>
      <c r="AA919" s="88"/>
    </row>
    <row r="920" spans="1:27" ht="13.2">
      <c r="A920" s="88"/>
      <c r="B920" s="88"/>
      <c r="C920" s="88"/>
      <c r="D920" s="88"/>
      <c r="E920" s="88"/>
      <c r="F920" s="88"/>
      <c r="G920" s="88"/>
      <c r="H920" s="88"/>
      <c r="I920" s="88"/>
      <c r="J920" s="88"/>
      <c r="K920" s="88"/>
      <c r="L920" s="88"/>
      <c r="M920" s="88"/>
      <c r="N920" s="88"/>
      <c r="O920" s="88"/>
      <c r="P920" s="88"/>
      <c r="Q920" s="88"/>
      <c r="R920" s="88"/>
      <c r="S920" s="88"/>
      <c r="T920" s="88"/>
      <c r="U920" s="88"/>
      <c r="V920" s="88"/>
      <c r="W920" s="88"/>
      <c r="X920" s="88"/>
      <c r="Y920" s="88"/>
      <c r="Z920" s="88"/>
      <c r="AA920" s="88"/>
    </row>
    <row r="921" spans="1:27" ht="13.2">
      <c r="A921" s="88"/>
      <c r="B921" s="88"/>
      <c r="C921" s="88"/>
      <c r="D921" s="88"/>
      <c r="E921" s="88"/>
      <c r="F921" s="88"/>
      <c r="G921" s="88"/>
      <c r="H921" s="88"/>
      <c r="I921" s="88"/>
      <c r="J921" s="88"/>
      <c r="K921" s="88"/>
      <c r="L921" s="88"/>
      <c r="M921" s="88"/>
      <c r="N921" s="88"/>
      <c r="O921" s="88"/>
      <c r="P921" s="88"/>
      <c r="Q921" s="88"/>
      <c r="R921" s="88"/>
      <c r="S921" s="88"/>
      <c r="T921" s="88"/>
      <c r="U921" s="88"/>
      <c r="V921" s="88"/>
      <c r="W921" s="88"/>
      <c r="X921" s="88"/>
      <c r="Y921" s="88"/>
      <c r="Z921" s="88"/>
      <c r="AA921" s="88"/>
    </row>
    <row r="922" spans="1:27" ht="13.2">
      <c r="A922" s="88"/>
      <c r="B922" s="88"/>
      <c r="C922" s="88"/>
      <c r="D922" s="88"/>
      <c r="E922" s="88"/>
      <c r="F922" s="88"/>
      <c r="G922" s="88"/>
      <c r="H922" s="88"/>
      <c r="I922" s="88"/>
      <c r="J922" s="88"/>
      <c r="K922" s="88"/>
      <c r="L922" s="88"/>
      <c r="M922" s="88"/>
      <c r="N922" s="88"/>
      <c r="O922" s="88"/>
      <c r="P922" s="88"/>
      <c r="Q922" s="88"/>
      <c r="R922" s="88"/>
      <c r="S922" s="88"/>
      <c r="T922" s="88"/>
      <c r="U922" s="88"/>
      <c r="V922" s="88"/>
      <c r="W922" s="88"/>
      <c r="X922" s="88"/>
      <c r="Y922" s="88"/>
      <c r="Z922" s="88"/>
      <c r="AA922" s="88"/>
    </row>
    <row r="923" spans="1:27" ht="13.2">
      <c r="A923" s="88"/>
      <c r="B923" s="88"/>
      <c r="C923" s="88"/>
      <c r="D923" s="88"/>
      <c r="E923" s="88"/>
      <c r="F923" s="88"/>
      <c r="G923" s="88"/>
      <c r="H923" s="88"/>
      <c r="I923" s="88"/>
      <c r="J923" s="88"/>
      <c r="K923" s="88"/>
      <c r="L923" s="88"/>
      <c r="M923" s="88"/>
      <c r="N923" s="88"/>
      <c r="O923" s="88"/>
      <c r="P923" s="88"/>
      <c r="Q923" s="88"/>
      <c r="R923" s="88"/>
      <c r="S923" s="88"/>
      <c r="T923" s="88"/>
      <c r="U923" s="88"/>
      <c r="V923" s="88"/>
      <c r="W923" s="88"/>
      <c r="X923" s="88"/>
      <c r="Y923" s="88"/>
      <c r="Z923" s="88"/>
      <c r="AA923" s="88"/>
    </row>
    <row r="924" spans="1:27" ht="13.2">
      <c r="A924" s="88"/>
      <c r="B924" s="88"/>
      <c r="C924" s="88"/>
      <c r="D924" s="88"/>
      <c r="E924" s="88"/>
      <c r="F924" s="88"/>
      <c r="G924" s="88"/>
      <c r="H924" s="88"/>
      <c r="I924" s="88"/>
      <c r="J924" s="88"/>
      <c r="K924" s="88"/>
      <c r="L924" s="88"/>
      <c r="M924" s="88"/>
      <c r="N924" s="88"/>
      <c r="O924" s="88"/>
      <c r="P924" s="88"/>
      <c r="Q924" s="88"/>
      <c r="R924" s="88"/>
      <c r="S924" s="88"/>
      <c r="T924" s="88"/>
      <c r="U924" s="88"/>
      <c r="V924" s="88"/>
      <c r="W924" s="88"/>
      <c r="X924" s="88"/>
      <c r="Y924" s="88"/>
      <c r="Z924" s="88"/>
      <c r="AA924" s="88"/>
    </row>
    <row r="925" spans="1:27" ht="13.2">
      <c r="A925" s="88"/>
      <c r="B925" s="88"/>
      <c r="C925" s="88"/>
      <c r="D925" s="88"/>
      <c r="E925" s="88"/>
      <c r="F925" s="88"/>
      <c r="G925" s="88"/>
      <c r="H925" s="88"/>
      <c r="I925" s="88"/>
      <c r="J925" s="88"/>
      <c r="K925" s="88"/>
      <c r="L925" s="88"/>
      <c r="M925" s="88"/>
      <c r="N925" s="88"/>
      <c r="O925" s="88"/>
      <c r="P925" s="88"/>
      <c r="Q925" s="88"/>
      <c r="R925" s="88"/>
      <c r="S925" s="88"/>
      <c r="T925" s="88"/>
      <c r="U925" s="88"/>
      <c r="V925" s="88"/>
      <c r="W925" s="88"/>
      <c r="X925" s="88"/>
      <c r="Y925" s="88"/>
      <c r="Z925" s="88"/>
      <c r="AA925" s="88"/>
    </row>
    <row r="926" spans="1:27" ht="13.2">
      <c r="A926" s="88"/>
      <c r="B926" s="88"/>
      <c r="C926" s="88"/>
      <c r="D926" s="88"/>
      <c r="E926" s="88"/>
      <c r="F926" s="88"/>
      <c r="G926" s="88"/>
      <c r="H926" s="88"/>
      <c r="I926" s="88"/>
      <c r="J926" s="88"/>
      <c r="K926" s="88"/>
      <c r="L926" s="88"/>
      <c r="M926" s="88"/>
      <c r="N926" s="88"/>
      <c r="O926" s="88"/>
      <c r="P926" s="88"/>
      <c r="Q926" s="88"/>
      <c r="R926" s="88"/>
      <c r="S926" s="88"/>
      <c r="T926" s="88"/>
      <c r="U926" s="88"/>
      <c r="V926" s="88"/>
      <c r="W926" s="88"/>
      <c r="X926" s="88"/>
      <c r="Y926" s="88"/>
      <c r="Z926" s="88"/>
      <c r="AA926" s="88"/>
    </row>
    <row r="927" spans="1:27" ht="13.2">
      <c r="A927" s="88"/>
      <c r="B927" s="88"/>
      <c r="C927" s="88"/>
      <c r="D927" s="88"/>
      <c r="E927" s="88"/>
      <c r="F927" s="88"/>
      <c r="G927" s="88"/>
      <c r="H927" s="88"/>
      <c r="I927" s="88"/>
      <c r="J927" s="88"/>
      <c r="K927" s="88"/>
      <c r="L927" s="88"/>
      <c r="M927" s="88"/>
      <c r="N927" s="88"/>
      <c r="O927" s="88"/>
      <c r="P927" s="88"/>
      <c r="Q927" s="88"/>
      <c r="R927" s="88"/>
      <c r="S927" s="88"/>
      <c r="T927" s="88"/>
      <c r="U927" s="88"/>
      <c r="V927" s="88"/>
      <c r="W927" s="88"/>
      <c r="X927" s="88"/>
      <c r="Y927" s="88"/>
      <c r="Z927" s="88"/>
      <c r="AA927" s="88"/>
    </row>
    <row r="928" spans="1:27" ht="13.2">
      <c r="A928" s="88"/>
      <c r="B928" s="88"/>
      <c r="C928" s="88"/>
      <c r="D928" s="88"/>
      <c r="E928" s="88"/>
      <c r="F928" s="88"/>
      <c r="G928" s="88"/>
      <c r="H928" s="88"/>
      <c r="I928" s="88"/>
      <c r="J928" s="88"/>
      <c r="K928" s="88"/>
      <c r="L928" s="88"/>
      <c r="M928" s="88"/>
      <c r="N928" s="88"/>
      <c r="O928" s="88"/>
      <c r="P928" s="88"/>
      <c r="Q928" s="88"/>
      <c r="R928" s="88"/>
      <c r="S928" s="88"/>
      <c r="T928" s="88"/>
      <c r="U928" s="88"/>
      <c r="V928" s="88"/>
      <c r="W928" s="88"/>
      <c r="X928" s="88"/>
      <c r="Y928" s="88"/>
      <c r="Z928" s="88"/>
      <c r="AA928" s="88"/>
    </row>
    <row r="929" spans="1:27" ht="13.2">
      <c r="A929" s="88"/>
      <c r="B929" s="88"/>
      <c r="C929" s="88"/>
      <c r="D929" s="88"/>
      <c r="E929" s="88"/>
      <c r="F929" s="88"/>
      <c r="G929" s="88"/>
      <c r="H929" s="88"/>
      <c r="I929" s="88"/>
      <c r="J929" s="88"/>
      <c r="K929" s="88"/>
      <c r="L929" s="88"/>
      <c r="M929" s="88"/>
      <c r="N929" s="88"/>
      <c r="O929" s="88"/>
      <c r="P929" s="88"/>
      <c r="Q929" s="88"/>
      <c r="R929" s="88"/>
      <c r="S929" s="88"/>
      <c r="T929" s="88"/>
      <c r="U929" s="88"/>
      <c r="V929" s="88"/>
      <c r="W929" s="88"/>
      <c r="X929" s="88"/>
      <c r="Y929" s="88"/>
      <c r="Z929" s="88"/>
      <c r="AA929" s="88"/>
    </row>
    <row r="930" spans="1:27" ht="13.2">
      <c r="A930" s="88"/>
      <c r="B930" s="88"/>
      <c r="C930" s="88"/>
      <c r="D930" s="88"/>
      <c r="E930" s="88"/>
      <c r="F930" s="88"/>
      <c r="G930" s="88"/>
      <c r="H930" s="88"/>
      <c r="I930" s="88"/>
      <c r="J930" s="88"/>
      <c r="K930" s="88"/>
      <c r="L930" s="88"/>
      <c r="M930" s="88"/>
      <c r="N930" s="88"/>
      <c r="O930" s="88"/>
      <c r="P930" s="88"/>
      <c r="Q930" s="88"/>
      <c r="R930" s="88"/>
      <c r="S930" s="88"/>
      <c r="T930" s="88"/>
      <c r="U930" s="88"/>
      <c r="V930" s="88"/>
      <c r="W930" s="88"/>
      <c r="X930" s="88"/>
      <c r="Y930" s="88"/>
      <c r="Z930" s="88"/>
      <c r="AA930" s="88"/>
    </row>
    <row r="931" spans="1:27" ht="13.2">
      <c r="A931" s="88"/>
      <c r="B931" s="88"/>
      <c r="C931" s="88"/>
      <c r="D931" s="88"/>
      <c r="E931" s="88"/>
      <c r="F931" s="88"/>
      <c r="G931" s="88"/>
      <c r="H931" s="88"/>
      <c r="I931" s="88"/>
      <c r="J931" s="88"/>
      <c r="K931" s="88"/>
      <c r="L931" s="88"/>
      <c r="M931" s="88"/>
      <c r="N931" s="88"/>
      <c r="O931" s="88"/>
      <c r="P931" s="88"/>
      <c r="Q931" s="88"/>
      <c r="R931" s="88"/>
      <c r="S931" s="88"/>
      <c r="T931" s="88"/>
      <c r="U931" s="88"/>
      <c r="V931" s="88"/>
      <c r="W931" s="88"/>
      <c r="X931" s="88"/>
      <c r="Y931" s="88"/>
      <c r="Z931" s="88"/>
      <c r="AA931" s="88"/>
    </row>
    <row r="932" spans="1:27" ht="13.2">
      <c r="A932" s="88"/>
      <c r="B932" s="88"/>
      <c r="C932" s="88"/>
      <c r="D932" s="88"/>
      <c r="E932" s="88"/>
      <c r="F932" s="88"/>
      <c r="G932" s="88"/>
      <c r="H932" s="88"/>
      <c r="I932" s="88"/>
      <c r="J932" s="88"/>
      <c r="K932" s="88"/>
      <c r="L932" s="88"/>
      <c r="M932" s="88"/>
      <c r="N932" s="88"/>
      <c r="O932" s="88"/>
      <c r="P932" s="88"/>
      <c r="Q932" s="88"/>
      <c r="R932" s="88"/>
      <c r="S932" s="88"/>
      <c r="T932" s="88"/>
      <c r="U932" s="88"/>
      <c r="V932" s="88"/>
      <c r="W932" s="88"/>
      <c r="X932" s="88"/>
      <c r="Y932" s="88"/>
      <c r="Z932" s="88"/>
      <c r="AA932" s="88"/>
    </row>
    <row r="933" spans="1:27" ht="13.2">
      <c r="A933" s="88"/>
      <c r="B933" s="88"/>
      <c r="C933" s="88"/>
      <c r="D933" s="88"/>
      <c r="E933" s="88"/>
      <c r="F933" s="88"/>
      <c r="G933" s="88"/>
      <c r="H933" s="88"/>
      <c r="I933" s="88"/>
      <c r="J933" s="88"/>
      <c r="K933" s="88"/>
      <c r="L933" s="88"/>
      <c r="M933" s="88"/>
      <c r="N933" s="88"/>
      <c r="O933" s="88"/>
      <c r="P933" s="88"/>
      <c r="Q933" s="88"/>
      <c r="R933" s="88"/>
      <c r="S933" s="88"/>
      <c r="T933" s="88"/>
      <c r="U933" s="88"/>
      <c r="V933" s="88"/>
      <c r="W933" s="88"/>
      <c r="X933" s="88"/>
      <c r="Y933" s="88"/>
      <c r="Z933" s="88"/>
      <c r="AA933" s="88"/>
    </row>
    <row r="934" spans="1:27" ht="13.2">
      <c r="A934" s="88"/>
      <c r="B934" s="88"/>
      <c r="C934" s="88"/>
      <c r="D934" s="88"/>
      <c r="E934" s="88"/>
      <c r="F934" s="88"/>
      <c r="G934" s="88"/>
      <c r="H934" s="88"/>
      <c r="I934" s="88"/>
      <c r="J934" s="88"/>
      <c r="K934" s="88"/>
      <c r="L934" s="88"/>
      <c r="M934" s="88"/>
      <c r="N934" s="88"/>
      <c r="O934" s="88"/>
      <c r="P934" s="88"/>
      <c r="Q934" s="88"/>
      <c r="R934" s="88"/>
      <c r="S934" s="88"/>
      <c r="T934" s="88"/>
      <c r="U934" s="88"/>
      <c r="V934" s="88"/>
      <c r="W934" s="88"/>
      <c r="X934" s="88"/>
      <c r="Y934" s="88"/>
      <c r="Z934" s="88"/>
      <c r="AA934" s="88"/>
    </row>
    <row r="935" spans="1:27" ht="13.2">
      <c r="A935" s="88"/>
      <c r="B935" s="88"/>
      <c r="C935" s="88"/>
      <c r="D935" s="88"/>
      <c r="E935" s="88"/>
      <c r="F935" s="88"/>
      <c r="G935" s="88"/>
      <c r="H935" s="88"/>
      <c r="I935" s="88"/>
      <c r="J935" s="88"/>
      <c r="K935" s="88"/>
      <c r="L935" s="88"/>
      <c r="M935" s="88"/>
      <c r="N935" s="88"/>
      <c r="O935" s="88"/>
      <c r="P935" s="88"/>
      <c r="Q935" s="88"/>
      <c r="R935" s="88"/>
      <c r="S935" s="88"/>
      <c r="T935" s="88"/>
      <c r="U935" s="88"/>
      <c r="V935" s="88"/>
      <c r="W935" s="88"/>
      <c r="X935" s="88"/>
      <c r="Y935" s="88"/>
      <c r="Z935" s="88"/>
      <c r="AA935" s="88"/>
    </row>
    <row r="936" spans="1:27" ht="13.2">
      <c r="A936" s="88"/>
      <c r="B936" s="88"/>
      <c r="C936" s="88"/>
      <c r="D936" s="88"/>
      <c r="E936" s="88"/>
      <c r="F936" s="88"/>
      <c r="G936" s="88"/>
      <c r="H936" s="88"/>
      <c r="I936" s="88"/>
      <c r="J936" s="88"/>
      <c r="K936" s="88"/>
      <c r="L936" s="88"/>
      <c r="M936" s="88"/>
      <c r="N936" s="88"/>
      <c r="O936" s="88"/>
      <c r="P936" s="88"/>
      <c r="Q936" s="88"/>
      <c r="R936" s="88"/>
      <c r="S936" s="88"/>
      <c r="T936" s="88"/>
      <c r="U936" s="88"/>
      <c r="V936" s="88"/>
      <c r="W936" s="88"/>
      <c r="X936" s="88"/>
      <c r="Y936" s="88"/>
      <c r="Z936" s="88"/>
      <c r="AA936" s="88"/>
    </row>
    <row r="937" spans="1:27" ht="13.2">
      <c r="A937" s="88"/>
      <c r="B937" s="88"/>
      <c r="C937" s="88"/>
      <c r="D937" s="88"/>
      <c r="E937" s="88"/>
      <c r="F937" s="88"/>
      <c r="G937" s="88"/>
      <c r="H937" s="88"/>
      <c r="I937" s="88"/>
      <c r="J937" s="88"/>
      <c r="K937" s="88"/>
      <c r="L937" s="88"/>
      <c r="M937" s="88"/>
      <c r="N937" s="88"/>
      <c r="O937" s="88"/>
      <c r="P937" s="88"/>
      <c r="Q937" s="88"/>
      <c r="R937" s="88"/>
      <c r="S937" s="88"/>
      <c r="T937" s="88"/>
      <c r="U937" s="88"/>
      <c r="V937" s="88"/>
      <c r="W937" s="88"/>
      <c r="X937" s="88"/>
      <c r="Y937" s="88"/>
      <c r="Z937" s="88"/>
      <c r="AA937" s="88"/>
    </row>
    <row r="938" spans="1:27" ht="13.2">
      <c r="A938" s="88"/>
      <c r="B938" s="88"/>
      <c r="C938" s="88"/>
      <c r="D938" s="88"/>
      <c r="E938" s="88"/>
      <c r="F938" s="88"/>
      <c r="G938" s="88"/>
      <c r="H938" s="88"/>
      <c r="I938" s="88"/>
      <c r="J938" s="88"/>
      <c r="K938" s="88"/>
      <c r="L938" s="88"/>
      <c r="M938" s="88"/>
      <c r="N938" s="88"/>
      <c r="O938" s="88"/>
      <c r="P938" s="88"/>
      <c r="Q938" s="88"/>
      <c r="R938" s="88"/>
      <c r="S938" s="88"/>
      <c r="T938" s="88"/>
      <c r="U938" s="88"/>
      <c r="V938" s="88"/>
      <c r="W938" s="88"/>
      <c r="X938" s="88"/>
      <c r="Y938" s="88"/>
      <c r="Z938" s="88"/>
      <c r="AA938" s="88"/>
    </row>
    <row r="939" spans="1:27" ht="13.2">
      <c r="A939" s="88"/>
      <c r="B939" s="88"/>
      <c r="C939" s="88"/>
      <c r="D939" s="88"/>
      <c r="E939" s="88"/>
      <c r="F939" s="88"/>
      <c r="G939" s="88"/>
      <c r="H939" s="88"/>
      <c r="I939" s="88"/>
      <c r="J939" s="88"/>
      <c r="K939" s="88"/>
      <c r="L939" s="88"/>
      <c r="M939" s="88"/>
      <c r="N939" s="88"/>
      <c r="O939" s="88"/>
      <c r="P939" s="88"/>
      <c r="Q939" s="88"/>
      <c r="R939" s="88"/>
      <c r="S939" s="88"/>
      <c r="T939" s="88"/>
      <c r="U939" s="88"/>
      <c r="V939" s="88"/>
      <c r="W939" s="88"/>
      <c r="X939" s="88"/>
      <c r="Y939" s="88"/>
      <c r="Z939" s="88"/>
      <c r="AA939" s="88"/>
    </row>
    <row r="940" spans="1:27" ht="13.2">
      <c r="A940" s="88"/>
      <c r="B940" s="88"/>
      <c r="C940" s="88"/>
      <c r="D940" s="88"/>
      <c r="E940" s="88"/>
      <c r="F940" s="88"/>
      <c r="G940" s="88"/>
      <c r="H940" s="88"/>
      <c r="I940" s="88"/>
      <c r="J940" s="88"/>
      <c r="K940" s="88"/>
      <c r="L940" s="88"/>
      <c r="M940" s="88"/>
      <c r="N940" s="88"/>
      <c r="O940" s="88"/>
      <c r="P940" s="88"/>
      <c r="Q940" s="88"/>
      <c r="R940" s="88"/>
      <c r="S940" s="88"/>
      <c r="T940" s="88"/>
      <c r="U940" s="88"/>
      <c r="V940" s="88"/>
      <c r="W940" s="88"/>
      <c r="X940" s="88"/>
      <c r="Y940" s="88"/>
      <c r="Z940" s="88"/>
      <c r="AA940" s="88"/>
    </row>
    <row r="941" spans="1:27" ht="13.2">
      <c r="A941" s="88"/>
      <c r="B941" s="88"/>
      <c r="C941" s="88"/>
      <c r="D941" s="88"/>
      <c r="E941" s="88"/>
      <c r="F941" s="88"/>
      <c r="G941" s="88"/>
      <c r="H941" s="88"/>
      <c r="I941" s="88"/>
      <c r="J941" s="88"/>
      <c r="K941" s="88"/>
      <c r="L941" s="88"/>
      <c r="M941" s="88"/>
      <c r="N941" s="88"/>
      <c r="O941" s="88"/>
      <c r="P941" s="88"/>
      <c r="Q941" s="88"/>
      <c r="R941" s="88"/>
      <c r="S941" s="88"/>
      <c r="T941" s="88"/>
      <c r="U941" s="88"/>
      <c r="V941" s="88"/>
      <c r="W941" s="88"/>
      <c r="X941" s="88"/>
      <c r="Y941" s="88"/>
      <c r="Z941" s="88"/>
      <c r="AA941" s="88"/>
    </row>
    <row r="942" spans="1:27" ht="13.2">
      <c r="A942" s="88"/>
      <c r="B942" s="88"/>
      <c r="C942" s="88"/>
      <c r="D942" s="88"/>
      <c r="E942" s="88"/>
      <c r="F942" s="88"/>
      <c r="G942" s="88"/>
      <c r="H942" s="88"/>
      <c r="I942" s="88"/>
      <c r="J942" s="88"/>
      <c r="K942" s="88"/>
      <c r="L942" s="88"/>
      <c r="M942" s="88"/>
      <c r="N942" s="88"/>
      <c r="O942" s="88"/>
      <c r="P942" s="88"/>
      <c r="Q942" s="88"/>
      <c r="R942" s="88"/>
      <c r="S942" s="88"/>
      <c r="T942" s="88"/>
      <c r="U942" s="88"/>
      <c r="V942" s="88"/>
      <c r="W942" s="88"/>
      <c r="X942" s="88"/>
      <c r="Y942" s="88"/>
      <c r="Z942" s="88"/>
      <c r="AA942" s="88"/>
    </row>
    <row r="943" spans="1:27" ht="13.2">
      <c r="A943" s="88"/>
      <c r="B943" s="88"/>
      <c r="C943" s="88"/>
      <c r="D943" s="88"/>
      <c r="E943" s="88"/>
      <c r="F943" s="88"/>
      <c r="G943" s="88"/>
      <c r="H943" s="88"/>
      <c r="I943" s="88"/>
      <c r="J943" s="88"/>
      <c r="K943" s="88"/>
      <c r="L943" s="88"/>
      <c r="M943" s="88"/>
      <c r="N943" s="88"/>
      <c r="O943" s="88"/>
      <c r="P943" s="88"/>
      <c r="Q943" s="88"/>
      <c r="R943" s="88"/>
      <c r="S943" s="88"/>
      <c r="T943" s="88"/>
      <c r="U943" s="88"/>
      <c r="V943" s="88"/>
      <c r="W943" s="88"/>
      <c r="X943" s="88"/>
      <c r="Y943" s="88"/>
      <c r="Z943" s="88"/>
      <c r="AA943" s="88"/>
    </row>
    <row r="944" spans="1:27" ht="13.2">
      <c r="A944" s="88"/>
      <c r="B944" s="88"/>
      <c r="C944" s="88"/>
      <c r="D944" s="88"/>
      <c r="E944" s="88"/>
      <c r="F944" s="88"/>
      <c r="G944" s="88"/>
      <c r="H944" s="88"/>
      <c r="I944" s="88"/>
      <c r="J944" s="88"/>
      <c r="K944" s="88"/>
      <c r="L944" s="88"/>
      <c r="M944" s="88"/>
      <c r="N944" s="88"/>
      <c r="O944" s="88"/>
      <c r="P944" s="88"/>
      <c r="Q944" s="88"/>
      <c r="R944" s="88"/>
      <c r="S944" s="88"/>
      <c r="T944" s="88"/>
      <c r="U944" s="88"/>
      <c r="V944" s="88"/>
      <c r="W944" s="88"/>
      <c r="X944" s="88"/>
      <c r="Y944" s="88"/>
      <c r="Z944" s="88"/>
      <c r="AA944" s="88"/>
    </row>
    <row r="945" spans="1:27" ht="13.2">
      <c r="A945" s="88"/>
      <c r="B945" s="88"/>
      <c r="C945" s="88"/>
      <c r="D945" s="88"/>
      <c r="E945" s="88"/>
      <c r="F945" s="88"/>
      <c r="G945" s="88"/>
      <c r="H945" s="88"/>
      <c r="I945" s="88"/>
      <c r="J945" s="88"/>
      <c r="K945" s="88"/>
      <c r="L945" s="88"/>
      <c r="M945" s="88"/>
      <c r="N945" s="88"/>
      <c r="O945" s="88"/>
      <c r="P945" s="88"/>
      <c r="Q945" s="88"/>
      <c r="R945" s="88"/>
      <c r="S945" s="88"/>
      <c r="T945" s="88"/>
      <c r="U945" s="88"/>
      <c r="V945" s="88"/>
      <c r="W945" s="88"/>
      <c r="X945" s="88"/>
      <c r="Y945" s="88"/>
      <c r="Z945" s="88"/>
      <c r="AA945" s="88"/>
    </row>
    <row r="946" spans="1:27" ht="13.2">
      <c r="A946" s="88"/>
      <c r="B946" s="88"/>
      <c r="C946" s="88"/>
      <c r="D946" s="88"/>
      <c r="E946" s="88"/>
      <c r="F946" s="88"/>
      <c r="G946" s="88"/>
      <c r="H946" s="88"/>
      <c r="I946" s="88"/>
      <c r="J946" s="88"/>
      <c r="K946" s="88"/>
      <c r="L946" s="88"/>
      <c r="M946" s="88"/>
      <c r="N946" s="88"/>
      <c r="O946" s="88"/>
      <c r="P946" s="88"/>
      <c r="Q946" s="88"/>
      <c r="R946" s="88"/>
      <c r="S946" s="88"/>
      <c r="T946" s="88"/>
      <c r="U946" s="88"/>
      <c r="V946" s="88"/>
      <c r="W946" s="88"/>
      <c r="X946" s="88"/>
      <c r="Y946" s="88"/>
      <c r="Z946" s="88"/>
      <c r="AA946" s="88"/>
    </row>
    <row r="947" spans="1:27" ht="13.2">
      <c r="A947" s="88"/>
      <c r="B947" s="88"/>
      <c r="C947" s="88"/>
      <c r="D947" s="88"/>
      <c r="E947" s="88"/>
      <c r="F947" s="88"/>
      <c r="G947" s="88"/>
      <c r="H947" s="88"/>
      <c r="I947" s="88"/>
      <c r="J947" s="88"/>
      <c r="K947" s="88"/>
      <c r="L947" s="88"/>
      <c r="M947" s="88"/>
      <c r="N947" s="88"/>
      <c r="O947" s="88"/>
      <c r="P947" s="88"/>
      <c r="Q947" s="88"/>
      <c r="R947" s="88"/>
      <c r="S947" s="88"/>
      <c r="T947" s="88"/>
      <c r="U947" s="88"/>
      <c r="V947" s="88"/>
      <c r="W947" s="88"/>
      <c r="X947" s="88"/>
      <c r="Y947" s="88"/>
      <c r="Z947" s="88"/>
      <c r="AA947" s="88"/>
    </row>
    <row r="948" spans="1:27" ht="13.2">
      <c r="A948" s="88"/>
      <c r="B948" s="88"/>
      <c r="C948" s="88"/>
      <c r="D948" s="88"/>
      <c r="E948" s="88"/>
      <c r="F948" s="88"/>
      <c r="G948" s="88"/>
      <c r="H948" s="88"/>
      <c r="I948" s="88"/>
      <c r="J948" s="88"/>
      <c r="K948" s="88"/>
      <c r="L948" s="88"/>
      <c r="M948" s="88"/>
      <c r="N948" s="88"/>
      <c r="O948" s="88"/>
      <c r="P948" s="88"/>
      <c r="Q948" s="88"/>
      <c r="R948" s="88"/>
      <c r="S948" s="88"/>
      <c r="T948" s="88"/>
      <c r="U948" s="88"/>
      <c r="V948" s="88"/>
      <c r="W948" s="88"/>
      <c r="X948" s="88"/>
      <c r="Y948" s="88"/>
      <c r="Z948" s="88"/>
      <c r="AA948" s="88"/>
    </row>
    <row r="949" spans="1:27" ht="13.2">
      <c r="A949" s="88"/>
      <c r="B949" s="88"/>
      <c r="C949" s="88"/>
      <c r="D949" s="88"/>
      <c r="E949" s="88"/>
      <c r="F949" s="88"/>
      <c r="G949" s="88"/>
      <c r="H949" s="88"/>
      <c r="I949" s="88"/>
      <c r="J949" s="88"/>
      <c r="K949" s="88"/>
      <c r="L949" s="88"/>
      <c r="M949" s="88"/>
      <c r="N949" s="88"/>
      <c r="O949" s="88"/>
      <c r="P949" s="88"/>
      <c r="Q949" s="88"/>
      <c r="R949" s="88"/>
      <c r="S949" s="88"/>
      <c r="T949" s="88"/>
      <c r="U949" s="88"/>
      <c r="V949" s="88"/>
      <c r="W949" s="88"/>
      <c r="X949" s="88"/>
      <c r="Y949" s="88"/>
      <c r="Z949" s="88"/>
      <c r="AA949" s="88"/>
    </row>
    <row r="950" spans="1:27" ht="13.2">
      <c r="A950" s="88"/>
      <c r="B950" s="88"/>
      <c r="C950" s="88"/>
      <c r="D950" s="88"/>
      <c r="E950" s="88"/>
      <c r="F950" s="88"/>
      <c r="G950" s="88"/>
      <c r="H950" s="88"/>
      <c r="I950" s="88"/>
      <c r="J950" s="88"/>
      <c r="K950" s="88"/>
      <c r="L950" s="88"/>
      <c r="M950" s="88"/>
      <c r="N950" s="88"/>
      <c r="O950" s="88"/>
      <c r="P950" s="88"/>
      <c r="Q950" s="88"/>
      <c r="R950" s="88"/>
      <c r="S950" s="88"/>
      <c r="T950" s="88"/>
      <c r="U950" s="88"/>
      <c r="V950" s="88"/>
      <c r="W950" s="88"/>
      <c r="X950" s="88"/>
      <c r="Y950" s="88"/>
      <c r="Z950" s="88"/>
      <c r="AA950" s="88"/>
    </row>
    <row r="951" spans="1:27" ht="13.2">
      <c r="A951" s="88"/>
      <c r="B951" s="88"/>
      <c r="C951" s="88"/>
      <c r="D951" s="88"/>
      <c r="E951" s="88"/>
      <c r="F951" s="88"/>
      <c r="G951" s="88"/>
      <c r="H951" s="88"/>
      <c r="I951" s="88"/>
      <c r="J951" s="88"/>
      <c r="K951" s="88"/>
      <c r="L951" s="88"/>
      <c r="M951" s="88"/>
      <c r="N951" s="88"/>
      <c r="O951" s="88"/>
      <c r="P951" s="88"/>
      <c r="Q951" s="88"/>
      <c r="R951" s="88"/>
      <c r="S951" s="88"/>
      <c r="T951" s="88"/>
      <c r="U951" s="88"/>
      <c r="V951" s="88"/>
      <c r="W951" s="88"/>
      <c r="X951" s="88"/>
      <c r="Y951" s="88"/>
      <c r="Z951" s="88"/>
      <c r="AA951" s="88"/>
    </row>
    <row r="952" spans="1:27" ht="13.2">
      <c r="A952" s="88"/>
      <c r="B952" s="88"/>
      <c r="C952" s="88"/>
      <c r="D952" s="88"/>
      <c r="E952" s="88"/>
      <c r="F952" s="88"/>
      <c r="G952" s="88"/>
      <c r="H952" s="88"/>
      <c r="I952" s="88"/>
      <c r="J952" s="88"/>
      <c r="K952" s="88"/>
      <c r="L952" s="88"/>
      <c r="M952" s="88"/>
      <c r="N952" s="88"/>
      <c r="O952" s="88"/>
      <c r="P952" s="88"/>
      <c r="Q952" s="88"/>
      <c r="R952" s="88"/>
      <c r="S952" s="88"/>
      <c r="T952" s="88"/>
      <c r="U952" s="88"/>
      <c r="V952" s="88"/>
      <c r="W952" s="88"/>
      <c r="X952" s="88"/>
      <c r="Y952" s="88"/>
      <c r="Z952" s="88"/>
      <c r="AA952" s="88"/>
    </row>
    <row r="953" spans="1:27" ht="13.2">
      <c r="A953" s="88"/>
      <c r="B953" s="88"/>
      <c r="C953" s="88"/>
      <c r="D953" s="88"/>
      <c r="E953" s="88"/>
      <c r="F953" s="88"/>
      <c r="G953" s="88"/>
      <c r="H953" s="88"/>
      <c r="I953" s="88"/>
      <c r="J953" s="88"/>
      <c r="K953" s="88"/>
      <c r="L953" s="88"/>
      <c r="M953" s="88"/>
      <c r="N953" s="88"/>
      <c r="O953" s="88"/>
      <c r="P953" s="88"/>
      <c r="Q953" s="88"/>
      <c r="R953" s="88"/>
      <c r="S953" s="88"/>
      <c r="T953" s="88"/>
      <c r="U953" s="88"/>
      <c r="V953" s="88"/>
      <c r="W953" s="88"/>
      <c r="X953" s="88"/>
      <c r="Y953" s="88"/>
      <c r="Z953" s="88"/>
      <c r="AA953" s="88"/>
    </row>
    <row r="954" spans="1:27" ht="13.2">
      <c r="A954" s="88"/>
      <c r="B954" s="88"/>
      <c r="C954" s="88"/>
      <c r="D954" s="88"/>
      <c r="E954" s="88"/>
      <c r="F954" s="88"/>
      <c r="G954" s="88"/>
      <c r="H954" s="88"/>
      <c r="I954" s="88"/>
      <c r="J954" s="88"/>
      <c r="K954" s="88"/>
      <c r="L954" s="88"/>
      <c r="M954" s="88"/>
      <c r="N954" s="88"/>
      <c r="O954" s="88"/>
      <c r="P954" s="88"/>
      <c r="Q954" s="88"/>
      <c r="R954" s="88"/>
      <c r="S954" s="88"/>
      <c r="T954" s="88"/>
      <c r="U954" s="88"/>
      <c r="V954" s="88"/>
      <c r="W954" s="88"/>
      <c r="X954" s="88"/>
      <c r="Y954" s="88"/>
      <c r="Z954" s="88"/>
      <c r="AA954" s="88"/>
    </row>
    <row r="955" spans="1:27" ht="13.2">
      <c r="A955" s="88"/>
      <c r="B955" s="88"/>
      <c r="C955" s="88"/>
      <c r="D955" s="88"/>
      <c r="E955" s="88"/>
      <c r="F955" s="88"/>
      <c r="G955" s="88"/>
      <c r="H955" s="88"/>
      <c r="I955" s="88"/>
      <c r="J955" s="88"/>
      <c r="K955" s="88"/>
      <c r="L955" s="88"/>
      <c r="M955" s="88"/>
      <c r="N955" s="88"/>
      <c r="O955" s="88"/>
      <c r="P955" s="88"/>
      <c r="Q955" s="88"/>
      <c r="R955" s="88"/>
      <c r="S955" s="88"/>
      <c r="T955" s="88"/>
      <c r="U955" s="88"/>
      <c r="V955" s="88"/>
      <c r="W955" s="88"/>
      <c r="X955" s="88"/>
      <c r="Y955" s="88"/>
      <c r="Z955" s="88"/>
      <c r="AA955" s="88"/>
    </row>
    <row r="956" spans="1:27" ht="13.2">
      <c r="A956" s="88"/>
      <c r="B956" s="88"/>
      <c r="C956" s="88"/>
      <c r="D956" s="88"/>
      <c r="E956" s="88"/>
      <c r="F956" s="88"/>
      <c r="G956" s="88"/>
      <c r="H956" s="88"/>
      <c r="I956" s="88"/>
      <c r="J956" s="88"/>
      <c r="K956" s="88"/>
      <c r="L956" s="88"/>
      <c r="M956" s="88"/>
      <c r="N956" s="88"/>
      <c r="O956" s="88"/>
      <c r="P956" s="88"/>
      <c r="Q956" s="88"/>
      <c r="R956" s="88"/>
      <c r="S956" s="88"/>
      <c r="T956" s="88"/>
      <c r="U956" s="88"/>
      <c r="V956" s="88"/>
      <c r="W956" s="88"/>
      <c r="X956" s="88"/>
      <c r="Y956" s="88"/>
      <c r="Z956" s="88"/>
      <c r="AA956" s="88"/>
    </row>
    <row r="957" spans="1:27" ht="13.2">
      <c r="A957" s="88"/>
      <c r="B957" s="88"/>
      <c r="C957" s="88"/>
      <c r="D957" s="88"/>
      <c r="E957" s="88"/>
      <c r="F957" s="88"/>
      <c r="G957" s="88"/>
      <c r="H957" s="88"/>
      <c r="I957" s="88"/>
      <c r="J957" s="88"/>
      <c r="K957" s="88"/>
      <c r="L957" s="88"/>
      <c r="M957" s="88"/>
      <c r="N957" s="88"/>
      <c r="O957" s="88"/>
      <c r="P957" s="88"/>
      <c r="Q957" s="88"/>
      <c r="R957" s="88"/>
      <c r="S957" s="88"/>
      <c r="T957" s="88"/>
      <c r="U957" s="88"/>
      <c r="V957" s="88"/>
      <c r="W957" s="88"/>
      <c r="X957" s="88"/>
      <c r="Y957" s="88"/>
      <c r="Z957" s="88"/>
      <c r="AA957" s="88"/>
    </row>
    <row r="958" spans="1:27" ht="13.2">
      <c r="A958" s="88"/>
      <c r="B958" s="88"/>
      <c r="C958" s="88"/>
      <c r="D958" s="88"/>
      <c r="E958" s="88"/>
      <c r="F958" s="88"/>
      <c r="G958" s="88"/>
      <c r="H958" s="88"/>
      <c r="I958" s="88"/>
      <c r="J958" s="88"/>
      <c r="K958" s="88"/>
      <c r="L958" s="88"/>
      <c r="M958" s="88"/>
      <c r="N958" s="88"/>
      <c r="O958" s="88"/>
      <c r="P958" s="88"/>
      <c r="Q958" s="88"/>
      <c r="R958" s="88"/>
      <c r="S958" s="88"/>
      <c r="T958" s="88"/>
      <c r="U958" s="88"/>
      <c r="V958" s="88"/>
      <c r="W958" s="88"/>
      <c r="X958" s="88"/>
      <c r="Y958" s="88"/>
      <c r="Z958" s="88"/>
      <c r="AA958" s="88"/>
    </row>
    <row r="959" spans="1:27" ht="13.2">
      <c r="A959" s="88"/>
      <c r="B959" s="88"/>
      <c r="C959" s="88"/>
      <c r="D959" s="88"/>
      <c r="E959" s="88"/>
      <c r="F959" s="88"/>
      <c r="G959" s="88"/>
      <c r="H959" s="88"/>
      <c r="I959" s="88"/>
      <c r="J959" s="88"/>
      <c r="K959" s="88"/>
      <c r="L959" s="88"/>
      <c r="M959" s="88"/>
      <c r="N959" s="88"/>
      <c r="O959" s="88"/>
      <c r="P959" s="88"/>
      <c r="Q959" s="88"/>
      <c r="R959" s="88"/>
      <c r="S959" s="88"/>
      <c r="T959" s="88"/>
      <c r="U959" s="88"/>
      <c r="V959" s="88"/>
      <c r="W959" s="88"/>
      <c r="X959" s="88"/>
      <c r="Y959" s="88"/>
      <c r="Z959" s="88"/>
      <c r="AA959" s="88"/>
    </row>
    <row r="960" spans="1:27" ht="13.2">
      <c r="A960" s="88"/>
      <c r="B960" s="88"/>
      <c r="C960" s="88"/>
      <c r="D960" s="88"/>
      <c r="E960" s="88"/>
      <c r="F960" s="88"/>
      <c r="G960" s="88"/>
      <c r="H960" s="88"/>
      <c r="I960" s="88"/>
      <c r="J960" s="88"/>
      <c r="K960" s="88"/>
      <c r="L960" s="88"/>
      <c r="M960" s="88"/>
      <c r="N960" s="88"/>
      <c r="O960" s="88"/>
      <c r="P960" s="88"/>
      <c r="Q960" s="88"/>
      <c r="R960" s="88"/>
      <c r="S960" s="88"/>
      <c r="T960" s="88"/>
      <c r="U960" s="88"/>
      <c r="V960" s="88"/>
      <c r="W960" s="88"/>
      <c r="X960" s="88"/>
      <c r="Y960" s="88"/>
      <c r="Z960" s="88"/>
      <c r="AA960" s="88"/>
    </row>
    <row r="961" spans="1:27" ht="13.2">
      <c r="A961" s="88"/>
      <c r="B961" s="88"/>
      <c r="C961" s="88"/>
      <c r="D961" s="88"/>
      <c r="E961" s="88"/>
      <c r="F961" s="88"/>
      <c r="G961" s="88"/>
      <c r="H961" s="88"/>
      <c r="I961" s="88"/>
      <c r="J961" s="88"/>
      <c r="K961" s="88"/>
      <c r="L961" s="88"/>
      <c r="M961" s="88"/>
      <c r="N961" s="88"/>
      <c r="O961" s="88"/>
      <c r="P961" s="88"/>
      <c r="Q961" s="88"/>
      <c r="R961" s="88"/>
      <c r="S961" s="88"/>
      <c r="T961" s="88"/>
      <c r="U961" s="88"/>
      <c r="V961" s="88"/>
      <c r="W961" s="88"/>
      <c r="X961" s="88"/>
      <c r="Y961" s="88"/>
      <c r="Z961" s="88"/>
      <c r="AA961" s="88"/>
    </row>
    <row r="962" spans="1:27" ht="13.2">
      <c r="A962" s="88"/>
      <c r="B962" s="88"/>
      <c r="C962" s="88"/>
      <c r="D962" s="88"/>
      <c r="E962" s="88"/>
      <c r="F962" s="88"/>
      <c r="G962" s="88"/>
      <c r="H962" s="88"/>
      <c r="I962" s="88"/>
      <c r="J962" s="88"/>
      <c r="K962" s="88"/>
      <c r="L962" s="88"/>
      <c r="M962" s="88"/>
      <c r="N962" s="88"/>
      <c r="O962" s="88"/>
      <c r="P962" s="88"/>
      <c r="Q962" s="88"/>
      <c r="R962" s="88"/>
      <c r="S962" s="88"/>
      <c r="T962" s="88"/>
      <c r="U962" s="88"/>
      <c r="V962" s="88"/>
      <c r="W962" s="88"/>
      <c r="X962" s="88"/>
      <c r="Y962" s="88"/>
      <c r="Z962" s="88"/>
      <c r="AA962" s="88"/>
    </row>
    <row r="963" spans="1:27" ht="13.2">
      <c r="A963" s="88"/>
      <c r="B963" s="88"/>
      <c r="C963" s="88"/>
      <c r="D963" s="88"/>
      <c r="E963" s="88"/>
      <c r="F963" s="88"/>
      <c r="G963" s="88"/>
      <c r="H963" s="88"/>
      <c r="I963" s="88"/>
      <c r="J963" s="88"/>
      <c r="K963" s="88"/>
      <c r="L963" s="88"/>
      <c r="M963" s="88"/>
      <c r="N963" s="88"/>
      <c r="O963" s="88"/>
      <c r="P963" s="88"/>
      <c r="Q963" s="88"/>
      <c r="R963" s="88"/>
      <c r="S963" s="88"/>
      <c r="T963" s="88"/>
      <c r="U963" s="88"/>
      <c r="V963" s="88"/>
      <c r="W963" s="88"/>
      <c r="X963" s="88"/>
      <c r="Y963" s="88"/>
      <c r="Z963" s="88"/>
      <c r="AA963" s="88"/>
    </row>
    <row r="964" spans="1:27" ht="13.2">
      <c r="A964" s="88"/>
      <c r="B964" s="88"/>
      <c r="C964" s="88"/>
      <c r="D964" s="88"/>
      <c r="E964" s="88"/>
      <c r="F964" s="88"/>
      <c r="G964" s="88"/>
      <c r="H964" s="88"/>
      <c r="I964" s="88"/>
      <c r="J964" s="88"/>
      <c r="K964" s="88"/>
      <c r="L964" s="88"/>
      <c r="M964" s="88"/>
      <c r="N964" s="88"/>
      <c r="O964" s="88"/>
      <c r="P964" s="88"/>
      <c r="Q964" s="88"/>
      <c r="R964" s="88"/>
      <c r="S964" s="88"/>
      <c r="T964" s="88"/>
      <c r="U964" s="88"/>
      <c r="V964" s="88"/>
      <c r="W964" s="88"/>
      <c r="X964" s="88"/>
      <c r="Y964" s="88"/>
      <c r="Z964" s="88"/>
      <c r="AA964" s="88"/>
    </row>
  </sheetData>
  <mergeCells count="7">
    <mergeCell ref="X3:Y3"/>
    <mergeCell ref="X27:Y27"/>
    <mergeCell ref="C2:F2"/>
    <mergeCell ref="G2:K2"/>
    <mergeCell ref="L2:P2"/>
    <mergeCell ref="Q2:U2"/>
    <mergeCell ref="V2:W2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E22EE-2BFA-4431-8337-DB37E4B7A50D}">
  <sheetPr>
    <tabColor rgb="FF00B050"/>
    <outlinePr summaryBelow="0" summaryRight="0"/>
  </sheetPr>
  <dimension ref="A1:AH963"/>
  <sheetViews>
    <sheetView showGridLines="0" topLeftCell="H1" zoomScaleNormal="100" workbookViewId="0">
      <selection activeCell="AA1" sqref="AA1:AD25"/>
    </sheetView>
  </sheetViews>
  <sheetFormatPr defaultColWidth="12.6640625" defaultRowHeight="15.75" customHeight="1"/>
  <cols>
    <col min="1" max="1" width="4.6640625" customWidth="1"/>
    <col min="2" max="2" width="31.44140625" customWidth="1"/>
    <col min="3" max="7" width="5.33203125" customWidth="1"/>
    <col min="8" max="16" width="4.6640625" customWidth="1"/>
    <col min="17" max="22" width="5.33203125" customWidth="1"/>
    <col min="23" max="23" width="5" customWidth="1"/>
    <col min="24" max="26" width="4.6640625" customWidth="1"/>
    <col min="27" max="27" width="7.5546875" style="3" bestFit="1" customWidth="1"/>
    <col min="28" max="28" width="10.6640625" style="3" customWidth="1"/>
    <col min="29" max="29" width="42.33203125" style="3" bestFit="1" customWidth="1"/>
    <col min="30" max="30" width="13.44140625" style="3" customWidth="1"/>
    <col min="31" max="31" width="12.6640625" style="3"/>
    <col min="32" max="32" width="16" style="3" bestFit="1" customWidth="1"/>
    <col min="33" max="34" width="12.6640625" style="3"/>
  </cols>
  <sheetData>
    <row r="1" spans="1:34" ht="13.8" thickBot="1">
      <c r="A1" s="88"/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</row>
    <row r="2" spans="1:34" ht="13.2">
      <c r="A2" s="88"/>
      <c r="B2" s="88"/>
      <c r="C2" s="281" t="s">
        <v>28</v>
      </c>
      <c r="D2" s="282"/>
      <c r="E2" s="282"/>
      <c r="F2" s="283"/>
      <c r="G2" s="281" t="s">
        <v>29</v>
      </c>
      <c r="H2" s="282"/>
      <c r="I2" s="282"/>
      <c r="J2" s="282"/>
      <c r="K2" s="283"/>
      <c r="L2" s="281" t="s">
        <v>30</v>
      </c>
      <c r="M2" s="282"/>
      <c r="N2" s="282"/>
      <c r="O2" s="282"/>
      <c r="P2" s="283"/>
      <c r="Q2" s="281" t="s">
        <v>31</v>
      </c>
      <c r="R2" s="282"/>
      <c r="S2" s="282"/>
      <c r="T2" s="282"/>
      <c r="U2" s="283"/>
      <c r="V2" s="281" t="s">
        <v>32</v>
      </c>
      <c r="W2" s="282"/>
      <c r="X2" s="88"/>
      <c r="Y2" s="88"/>
      <c r="Z2" s="90"/>
      <c r="AA2" s="91" t="s">
        <v>33</v>
      </c>
      <c r="AB2" s="91" t="s">
        <v>34</v>
      </c>
      <c r="AC2" s="91" t="s">
        <v>141</v>
      </c>
      <c r="AD2" s="91" t="s">
        <v>35</v>
      </c>
      <c r="AE2" s="91" t="s">
        <v>36</v>
      </c>
      <c r="AF2" s="91" t="s">
        <v>37</v>
      </c>
      <c r="AG2" s="91" t="s">
        <v>38</v>
      </c>
      <c r="AH2" s="91" t="s">
        <v>39</v>
      </c>
    </row>
    <row r="3" spans="1:34" ht="13.2">
      <c r="A3" s="88"/>
      <c r="B3" s="88"/>
      <c r="C3" s="83">
        <v>1</v>
      </c>
      <c r="D3" s="84">
        <v>2</v>
      </c>
      <c r="E3" s="84">
        <v>3</v>
      </c>
      <c r="F3" s="85">
        <v>5</v>
      </c>
      <c r="G3" s="83">
        <v>8</v>
      </c>
      <c r="H3" s="84">
        <v>9</v>
      </c>
      <c r="I3" s="84">
        <v>10</v>
      </c>
      <c r="J3" s="84">
        <v>11</v>
      </c>
      <c r="K3" s="85">
        <v>12</v>
      </c>
      <c r="L3" s="83">
        <v>15</v>
      </c>
      <c r="M3" s="84">
        <v>16</v>
      </c>
      <c r="N3" s="84">
        <v>17</v>
      </c>
      <c r="O3" s="84">
        <v>18</v>
      </c>
      <c r="P3" s="85">
        <v>19</v>
      </c>
      <c r="Q3" s="83">
        <v>22</v>
      </c>
      <c r="R3" s="84">
        <v>23</v>
      </c>
      <c r="S3" s="84">
        <v>24</v>
      </c>
      <c r="T3" s="84">
        <v>25</v>
      </c>
      <c r="U3" s="85">
        <v>26</v>
      </c>
      <c r="V3" s="83">
        <v>29</v>
      </c>
      <c r="W3" s="85">
        <v>30</v>
      </c>
      <c r="X3" s="278"/>
      <c r="Y3" s="279"/>
      <c r="Z3" s="88"/>
      <c r="AA3" s="87">
        <v>1</v>
      </c>
      <c r="AB3" s="93">
        <v>23621</v>
      </c>
      <c r="AC3" s="93" t="s">
        <v>119</v>
      </c>
      <c r="AD3" s="94">
        <v>46148</v>
      </c>
      <c r="AE3" s="93">
        <v>273.19</v>
      </c>
      <c r="AF3" s="94">
        <v>46099</v>
      </c>
      <c r="AG3" s="93" t="s">
        <v>55</v>
      </c>
      <c r="AH3" s="52">
        <v>79</v>
      </c>
    </row>
    <row r="4" spans="1:34" ht="13.2">
      <c r="A4" s="88"/>
      <c r="B4" s="95" t="s">
        <v>41</v>
      </c>
      <c r="C4" s="96" t="s">
        <v>42</v>
      </c>
      <c r="D4" s="97" t="s">
        <v>43</v>
      </c>
      <c r="E4" s="97" t="s">
        <v>44</v>
      </c>
      <c r="F4" s="98" t="s">
        <v>44</v>
      </c>
      <c r="G4" s="96" t="s">
        <v>42</v>
      </c>
      <c r="H4" s="97" t="s">
        <v>42</v>
      </c>
      <c r="I4" s="97" t="s">
        <v>43</v>
      </c>
      <c r="J4" s="97" t="s">
        <v>44</v>
      </c>
      <c r="K4" s="98" t="s">
        <v>44</v>
      </c>
      <c r="L4" s="96" t="s">
        <v>42</v>
      </c>
      <c r="M4" s="97" t="s">
        <v>42</v>
      </c>
      <c r="N4" s="97" t="s">
        <v>43</v>
      </c>
      <c r="O4" s="97" t="s">
        <v>44</v>
      </c>
      <c r="P4" s="98" t="s">
        <v>44</v>
      </c>
      <c r="Q4" s="96" t="s">
        <v>42</v>
      </c>
      <c r="R4" s="97" t="s">
        <v>42</v>
      </c>
      <c r="S4" s="97" t="s">
        <v>43</v>
      </c>
      <c r="T4" s="97" t="s">
        <v>44</v>
      </c>
      <c r="U4" s="98" t="s">
        <v>44</v>
      </c>
      <c r="V4" s="96" t="s">
        <v>42</v>
      </c>
      <c r="W4" s="98" t="s">
        <v>42</v>
      </c>
      <c r="X4" s="99" t="s">
        <v>11</v>
      </c>
      <c r="Y4" s="88"/>
      <c r="Z4" s="88"/>
      <c r="AA4" s="87">
        <v>2</v>
      </c>
      <c r="AB4" s="93">
        <v>44106</v>
      </c>
      <c r="AC4" s="93" t="s">
        <v>120</v>
      </c>
      <c r="AD4" s="94">
        <v>46148</v>
      </c>
      <c r="AE4" s="93">
        <v>588.66</v>
      </c>
      <c r="AF4" s="94">
        <v>46101</v>
      </c>
      <c r="AG4" s="93" t="s">
        <v>55</v>
      </c>
      <c r="AH4" s="52">
        <v>77</v>
      </c>
    </row>
    <row r="5" spans="1:34" ht="13.2">
      <c r="A5" s="88"/>
      <c r="B5" s="100" t="s">
        <v>2</v>
      </c>
      <c r="C5" s="101">
        <v>3</v>
      </c>
      <c r="D5" s="102">
        <v>3</v>
      </c>
      <c r="E5" s="102">
        <v>3</v>
      </c>
      <c r="F5" s="103">
        <v>3</v>
      </c>
      <c r="G5" s="101">
        <v>3</v>
      </c>
      <c r="H5" s="102">
        <v>3</v>
      </c>
      <c r="I5" s="102">
        <v>3</v>
      </c>
      <c r="J5" s="102">
        <v>3</v>
      </c>
      <c r="K5" s="103">
        <v>3</v>
      </c>
      <c r="L5" s="101">
        <v>3</v>
      </c>
      <c r="M5" s="102">
        <v>3</v>
      </c>
      <c r="N5" s="102">
        <v>3</v>
      </c>
      <c r="O5" s="102">
        <v>2</v>
      </c>
      <c r="P5" s="103">
        <v>1</v>
      </c>
      <c r="Q5" s="101">
        <v>1</v>
      </c>
      <c r="R5" s="102">
        <v>1</v>
      </c>
      <c r="S5" s="102">
        <v>1</v>
      </c>
      <c r="T5" s="102">
        <v>1</v>
      </c>
      <c r="U5" s="103">
        <v>1</v>
      </c>
      <c r="V5" s="51">
        <v>1</v>
      </c>
      <c r="W5" s="103">
        <v>3</v>
      </c>
      <c r="X5" s="104">
        <v>48</v>
      </c>
      <c r="Y5" s="88"/>
      <c r="Z5" s="88"/>
      <c r="AA5" s="87">
        <v>3</v>
      </c>
      <c r="AB5" s="93">
        <v>44364</v>
      </c>
      <c r="AC5" s="93" t="s">
        <v>121</v>
      </c>
      <c r="AD5" s="94">
        <v>46148</v>
      </c>
      <c r="AE5" s="93">
        <v>653.28</v>
      </c>
      <c r="AF5" s="94">
        <v>46057</v>
      </c>
      <c r="AG5" s="93" t="s">
        <v>55</v>
      </c>
      <c r="AH5" s="52">
        <v>64</v>
      </c>
    </row>
    <row r="6" spans="1:34" ht="13.8" thickBot="1">
      <c r="A6" s="88"/>
      <c r="B6" s="100" t="s">
        <v>46</v>
      </c>
      <c r="C6" s="105">
        <v>0</v>
      </c>
      <c r="D6" s="106">
        <v>0</v>
      </c>
      <c r="E6" s="106">
        <v>0</v>
      </c>
      <c r="F6" s="107">
        <v>3</v>
      </c>
      <c r="G6" s="105">
        <v>1</v>
      </c>
      <c r="H6" s="106">
        <v>0</v>
      </c>
      <c r="I6" s="106">
        <v>0</v>
      </c>
      <c r="J6" s="106">
        <v>1</v>
      </c>
      <c r="K6" s="107">
        <v>2</v>
      </c>
      <c r="L6" s="105">
        <v>0</v>
      </c>
      <c r="M6" s="106">
        <v>0</v>
      </c>
      <c r="N6" s="106">
        <v>1</v>
      </c>
      <c r="O6" s="106">
        <v>5</v>
      </c>
      <c r="P6" s="107">
        <v>2</v>
      </c>
      <c r="Q6" s="105">
        <v>0</v>
      </c>
      <c r="R6" s="106">
        <v>0</v>
      </c>
      <c r="S6" s="106">
        <v>1</v>
      </c>
      <c r="T6" s="106">
        <v>1</v>
      </c>
      <c r="U6" s="107">
        <v>4</v>
      </c>
      <c r="V6" s="105"/>
      <c r="W6" s="107"/>
      <c r="X6" s="104">
        <v>21</v>
      </c>
      <c r="Y6" s="108">
        <v>-27</v>
      </c>
      <c r="Z6" s="88"/>
      <c r="AA6" s="122">
        <v>4</v>
      </c>
      <c r="AB6" s="123">
        <v>29622</v>
      </c>
      <c r="AC6" s="123" t="s">
        <v>122</v>
      </c>
      <c r="AD6" s="124">
        <v>46240</v>
      </c>
      <c r="AE6" s="121">
        <v>415.4</v>
      </c>
      <c r="AF6" s="124">
        <v>45804</v>
      </c>
      <c r="AG6" s="121" t="s">
        <v>56</v>
      </c>
      <c r="AH6" s="121">
        <v>377</v>
      </c>
    </row>
    <row r="7" spans="1:34" ht="13.2">
      <c r="A7" s="88"/>
      <c r="B7" s="88"/>
      <c r="C7" s="88"/>
      <c r="D7" s="88"/>
      <c r="E7" s="88"/>
      <c r="F7" s="88"/>
      <c r="G7" s="88"/>
      <c r="H7" s="88"/>
      <c r="I7" s="88"/>
      <c r="J7" s="88"/>
      <c r="K7" s="88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  <c r="AA7" s="122">
        <v>5</v>
      </c>
      <c r="AB7" s="123">
        <v>40214</v>
      </c>
      <c r="AC7" s="123" t="s">
        <v>123</v>
      </c>
      <c r="AD7" s="124">
        <v>46332</v>
      </c>
      <c r="AE7" s="121">
        <v>245.45</v>
      </c>
      <c r="AF7" s="124">
        <v>46080</v>
      </c>
      <c r="AG7" s="121" t="s">
        <v>55</v>
      </c>
      <c r="AH7" s="121">
        <v>104</v>
      </c>
    </row>
    <row r="8" spans="1:34" ht="13.2">
      <c r="A8" s="88"/>
      <c r="B8" s="88"/>
      <c r="C8" s="88"/>
      <c r="D8" s="88"/>
      <c r="E8" s="88"/>
      <c r="F8" s="88"/>
      <c r="G8" s="88"/>
      <c r="H8" s="88"/>
      <c r="I8" s="88"/>
      <c r="J8" s="88"/>
      <c r="K8" s="88"/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  <c r="AA8" s="87">
        <v>6</v>
      </c>
      <c r="AB8" s="93">
        <v>16902</v>
      </c>
      <c r="AC8" s="93" t="s">
        <v>124</v>
      </c>
      <c r="AD8" s="94">
        <v>46362</v>
      </c>
      <c r="AE8" s="93">
        <v>168.9</v>
      </c>
      <c r="AF8" s="94">
        <v>46135</v>
      </c>
      <c r="AG8" s="93" t="s">
        <v>55</v>
      </c>
      <c r="AH8" s="52">
        <v>50</v>
      </c>
    </row>
    <row r="9" spans="1:34" ht="13.2">
      <c r="A9" s="88"/>
      <c r="B9" s="109" t="s">
        <v>49</v>
      </c>
      <c r="C9" s="83">
        <v>1</v>
      </c>
      <c r="D9" s="84">
        <v>2</v>
      </c>
      <c r="E9" s="84">
        <v>3</v>
      </c>
      <c r="F9" s="85">
        <v>5</v>
      </c>
      <c r="G9" s="83">
        <v>8</v>
      </c>
      <c r="H9" s="84">
        <v>9</v>
      </c>
      <c r="I9" s="84">
        <v>10</v>
      </c>
      <c r="J9" s="84">
        <v>11</v>
      </c>
      <c r="K9" s="85">
        <v>12</v>
      </c>
      <c r="L9" s="83">
        <v>15</v>
      </c>
      <c r="M9" s="84">
        <v>16</v>
      </c>
      <c r="N9" s="84">
        <v>17</v>
      </c>
      <c r="O9" s="84">
        <v>18</v>
      </c>
      <c r="P9" s="85">
        <v>19</v>
      </c>
      <c r="Q9" s="83">
        <v>22</v>
      </c>
      <c r="R9" s="84">
        <v>23</v>
      </c>
      <c r="S9" s="84">
        <v>24</v>
      </c>
      <c r="T9" s="84">
        <v>25</v>
      </c>
      <c r="U9" s="85">
        <v>26</v>
      </c>
      <c r="V9" s="83">
        <v>29</v>
      </c>
      <c r="W9" s="85">
        <v>30</v>
      </c>
      <c r="X9" s="88"/>
      <c r="Y9" s="88"/>
      <c r="Z9" s="88"/>
      <c r="AA9" s="87">
        <v>7</v>
      </c>
      <c r="AB9" s="93">
        <v>43912</v>
      </c>
      <c r="AC9" s="93" t="s">
        <v>125</v>
      </c>
      <c r="AD9" s="94">
        <v>46362</v>
      </c>
      <c r="AE9" s="93">
        <v>564.9</v>
      </c>
      <c r="AF9" s="94">
        <v>46057</v>
      </c>
      <c r="AG9" s="93" t="s">
        <v>55</v>
      </c>
      <c r="AH9" s="52">
        <v>71</v>
      </c>
    </row>
    <row r="10" spans="1:34" ht="13.2">
      <c r="A10" s="88"/>
      <c r="B10" s="97" t="s">
        <v>15</v>
      </c>
      <c r="C10" s="102">
        <v>54</v>
      </c>
      <c r="D10" s="102"/>
      <c r="E10" s="102">
        <v>45</v>
      </c>
      <c r="F10" s="2">
        <v>51</v>
      </c>
      <c r="G10" s="2">
        <v>51</v>
      </c>
      <c r="H10" s="102">
        <v>31</v>
      </c>
      <c r="I10" s="102">
        <v>27</v>
      </c>
      <c r="J10" s="102">
        <v>10</v>
      </c>
      <c r="K10" s="102">
        <v>20</v>
      </c>
      <c r="L10" s="113">
        <v>0</v>
      </c>
      <c r="M10" s="102">
        <v>10</v>
      </c>
      <c r="N10" s="102">
        <v>0</v>
      </c>
      <c r="O10" s="102"/>
      <c r="P10" s="102">
        <v>0</v>
      </c>
      <c r="Q10" s="102">
        <v>0</v>
      </c>
      <c r="R10" s="114">
        <v>26</v>
      </c>
      <c r="S10" s="81">
        <v>3</v>
      </c>
      <c r="T10" s="115">
        <v>0</v>
      </c>
      <c r="U10" s="102">
        <v>0</v>
      </c>
      <c r="V10" s="102">
        <v>0</v>
      </c>
      <c r="W10" s="102"/>
      <c r="X10" s="88"/>
      <c r="Y10" s="88"/>
      <c r="Z10" s="88"/>
      <c r="AA10" s="87">
        <v>8</v>
      </c>
      <c r="AB10" s="118">
        <v>44200</v>
      </c>
      <c r="AC10" s="118" t="s">
        <v>126</v>
      </c>
      <c r="AD10" s="94">
        <v>46190</v>
      </c>
      <c r="AE10" s="93">
        <v>203.45</v>
      </c>
      <c r="AF10" s="94">
        <v>46139</v>
      </c>
      <c r="AG10" s="93" t="s">
        <v>55</v>
      </c>
      <c r="AH10" s="52">
        <v>51</v>
      </c>
    </row>
    <row r="11" spans="1:34" ht="13.2">
      <c r="A11" s="88"/>
      <c r="B11" s="97" t="s">
        <v>16</v>
      </c>
      <c r="C11" s="102">
        <v>0</v>
      </c>
      <c r="D11" s="102"/>
      <c r="E11" s="102">
        <v>0</v>
      </c>
      <c r="F11" s="2">
        <v>1</v>
      </c>
      <c r="G11" s="2">
        <v>1</v>
      </c>
      <c r="H11" s="102">
        <v>1</v>
      </c>
      <c r="I11" s="102">
        <v>0</v>
      </c>
      <c r="J11" s="102">
        <v>0</v>
      </c>
      <c r="K11" s="102">
        <v>0</v>
      </c>
      <c r="L11" s="113">
        <v>0</v>
      </c>
      <c r="M11" s="102">
        <v>0</v>
      </c>
      <c r="N11" s="102">
        <v>0</v>
      </c>
      <c r="O11" s="102"/>
      <c r="P11" s="102">
        <v>0</v>
      </c>
      <c r="Q11" s="102">
        <v>0</v>
      </c>
      <c r="R11" s="114">
        <v>0</v>
      </c>
      <c r="S11" s="81">
        <v>0</v>
      </c>
      <c r="T11" s="115">
        <v>0</v>
      </c>
      <c r="U11" s="102">
        <v>0</v>
      </c>
      <c r="V11" s="102">
        <v>0</v>
      </c>
      <c r="W11" s="102"/>
      <c r="X11" s="88"/>
      <c r="Y11" s="88"/>
      <c r="Z11" s="88"/>
      <c r="AA11" s="122">
        <v>9</v>
      </c>
      <c r="AB11" s="123">
        <v>36451</v>
      </c>
      <c r="AC11" s="123" t="s">
        <v>127</v>
      </c>
      <c r="AD11" s="124">
        <v>46191</v>
      </c>
      <c r="AE11" s="121">
        <v>398.24</v>
      </c>
      <c r="AF11" s="124">
        <v>46358</v>
      </c>
      <c r="AG11" s="121" t="s">
        <v>57</v>
      </c>
      <c r="AH11" s="121">
        <v>126</v>
      </c>
    </row>
    <row r="12" spans="1:34" ht="13.2">
      <c r="A12" s="88"/>
      <c r="B12" s="97" t="s">
        <v>17</v>
      </c>
      <c r="C12" s="102">
        <v>0</v>
      </c>
      <c r="D12" s="102"/>
      <c r="E12" s="102">
        <v>0</v>
      </c>
      <c r="F12" s="2">
        <v>0</v>
      </c>
      <c r="G12" s="2">
        <v>0</v>
      </c>
      <c r="H12" s="102">
        <v>0</v>
      </c>
      <c r="I12" s="102">
        <v>0</v>
      </c>
      <c r="J12" s="102">
        <v>0</v>
      </c>
      <c r="K12" s="102">
        <v>0</v>
      </c>
      <c r="L12" s="113">
        <v>0</v>
      </c>
      <c r="M12" s="102">
        <v>0</v>
      </c>
      <c r="N12" s="102">
        <v>0</v>
      </c>
      <c r="O12" s="102"/>
      <c r="P12" s="102">
        <v>0</v>
      </c>
      <c r="Q12" s="102">
        <v>0</v>
      </c>
      <c r="R12" s="114">
        <v>0</v>
      </c>
      <c r="S12" s="81">
        <v>0</v>
      </c>
      <c r="T12" s="115">
        <v>0</v>
      </c>
      <c r="U12" s="102">
        <v>0</v>
      </c>
      <c r="V12" s="102">
        <v>0</v>
      </c>
      <c r="W12" s="102"/>
      <c r="X12" s="88"/>
      <c r="Y12" s="88"/>
      <c r="Z12" s="88"/>
      <c r="AA12" s="87">
        <v>10</v>
      </c>
      <c r="AB12" s="93">
        <v>42285</v>
      </c>
      <c r="AC12" s="93" t="s">
        <v>128</v>
      </c>
      <c r="AD12" s="94">
        <v>46191</v>
      </c>
      <c r="AE12" s="93">
        <v>1277</v>
      </c>
      <c r="AF12" s="94">
        <v>46026</v>
      </c>
      <c r="AG12" s="93" t="s">
        <v>58</v>
      </c>
      <c r="AH12" s="52">
        <v>78</v>
      </c>
    </row>
    <row r="13" spans="1:34" ht="13.2">
      <c r="A13" s="88"/>
      <c r="B13" s="97" t="s">
        <v>18</v>
      </c>
      <c r="C13" s="102">
        <v>0</v>
      </c>
      <c r="D13" s="102"/>
      <c r="E13" s="102">
        <v>0</v>
      </c>
      <c r="F13" s="2">
        <v>0</v>
      </c>
      <c r="G13" s="2">
        <v>0</v>
      </c>
      <c r="H13" s="102">
        <v>0</v>
      </c>
      <c r="I13" s="102">
        <v>0</v>
      </c>
      <c r="J13" s="102">
        <v>0</v>
      </c>
      <c r="K13" s="102">
        <v>0</v>
      </c>
      <c r="L13" s="113">
        <v>0</v>
      </c>
      <c r="M13" s="102">
        <v>0</v>
      </c>
      <c r="N13" s="102">
        <v>0</v>
      </c>
      <c r="O13" s="102"/>
      <c r="P13" s="102">
        <v>0</v>
      </c>
      <c r="Q13" s="102">
        <v>0</v>
      </c>
      <c r="R13" s="114">
        <v>0</v>
      </c>
      <c r="S13" s="81">
        <v>0</v>
      </c>
      <c r="T13" s="115">
        <v>0</v>
      </c>
      <c r="U13" s="102">
        <v>0</v>
      </c>
      <c r="V13" s="102">
        <v>0</v>
      </c>
      <c r="W13" s="102"/>
      <c r="X13" s="88"/>
      <c r="Y13" s="88"/>
      <c r="Z13" s="88"/>
      <c r="AA13" s="87">
        <v>11</v>
      </c>
      <c r="AB13" s="93">
        <v>38884</v>
      </c>
      <c r="AC13" s="93" t="s">
        <v>129</v>
      </c>
      <c r="AD13" s="94">
        <v>46191</v>
      </c>
      <c r="AE13" s="93">
        <v>278.36</v>
      </c>
      <c r="AF13" s="94">
        <v>46129</v>
      </c>
      <c r="AG13" s="93" t="s">
        <v>55</v>
      </c>
      <c r="AH13" s="52">
        <v>62</v>
      </c>
    </row>
    <row r="14" spans="1:34" ht="13.2">
      <c r="A14" s="88"/>
      <c r="B14" s="97" t="s">
        <v>51</v>
      </c>
      <c r="C14" s="102">
        <v>345</v>
      </c>
      <c r="D14" s="102"/>
      <c r="E14" s="102">
        <v>351</v>
      </c>
      <c r="F14" s="2">
        <v>356</v>
      </c>
      <c r="G14" s="2">
        <v>356</v>
      </c>
      <c r="H14" s="113">
        <v>371</v>
      </c>
      <c r="I14" s="102">
        <v>409</v>
      </c>
      <c r="J14" s="102">
        <v>422</v>
      </c>
      <c r="K14" s="102">
        <v>421</v>
      </c>
      <c r="L14" s="113">
        <v>707</v>
      </c>
      <c r="M14" s="102">
        <v>457</v>
      </c>
      <c r="N14" s="102">
        <v>464</v>
      </c>
      <c r="O14" s="102"/>
      <c r="P14" s="102">
        <v>482</v>
      </c>
      <c r="Q14" s="102">
        <v>472</v>
      </c>
      <c r="R14" s="114">
        <v>490</v>
      </c>
      <c r="S14" s="81">
        <v>507</v>
      </c>
      <c r="T14" s="115">
        <v>511</v>
      </c>
      <c r="U14" s="102">
        <v>530</v>
      </c>
      <c r="V14" s="102">
        <v>530</v>
      </c>
      <c r="W14" s="102"/>
      <c r="X14" s="88"/>
      <c r="Y14" s="88"/>
      <c r="Z14" s="88"/>
      <c r="AA14" s="87">
        <v>12</v>
      </c>
      <c r="AB14" s="118">
        <v>45080</v>
      </c>
      <c r="AC14" s="118" t="s">
        <v>130</v>
      </c>
      <c r="AD14" s="125">
        <v>46191</v>
      </c>
      <c r="AE14" s="93">
        <v>164.75</v>
      </c>
      <c r="AF14" s="94">
        <v>46142</v>
      </c>
      <c r="AG14" s="93" t="s">
        <v>59</v>
      </c>
      <c r="AH14" s="52">
        <v>49</v>
      </c>
    </row>
    <row r="15" spans="1:34" ht="13.2">
      <c r="A15" s="88"/>
      <c r="B15" s="97" t="s">
        <v>52</v>
      </c>
      <c r="C15" s="102">
        <v>79</v>
      </c>
      <c r="D15" s="102"/>
      <c r="E15" s="102">
        <v>79</v>
      </c>
      <c r="F15" s="2">
        <v>79</v>
      </c>
      <c r="G15" s="2">
        <v>79</v>
      </c>
      <c r="H15" s="102">
        <v>79</v>
      </c>
      <c r="I15" s="102">
        <v>79</v>
      </c>
      <c r="J15" s="102">
        <v>79</v>
      </c>
      <c r="K15" s="102">
        <v>78</v>
      </c>
      <c r="L15" s="113">
        <v>102</v>
      </c>
      <c r="M15" s="102">
        <v>76</v>
      </c>
      <c r="N15" s="102">
        <v>75</v>
      </c>
      <c r="O15" s="102"/>
      <c r="P15" s="102">
        <v>75</v>
      </c>
      <c r="Q15" s="102">
        <v>74</v>
      </c>
      <c r="R15" s="114">
        <v>76</v>
      </c>
      <c r="S15" s="81">
        <v>77</v>
      </c>
      <c r="T15" s="115">
        <v>78</v>
      </c>
      <c r="U15" s="102">
        <v>75</v>
      </c>
      <c r="V15" s="102">
        <v>75</v>
      </c>
      <c r="W15" s="102"/>
      <c r="X15" s="88"/>
      <c r="Y15" s="88"/>
      <c r="Z15" s="88"/>
      <c r="AA15" s="87">
        <v>13</v>
      </c>
      <c r="AB15" s="118">
        <v>31636</v>
      </c>
      <c r="AC15" s="118" t="s">
        <v>131</v>
      </c>
      <c r="AD15" s="125">
        <v>46191</v>
      </c>
      <c r="AE15" s="93">
        <v>287.23</v>
      </c>
      <c r="AF15" s="94">
        <v>46126</v>
      </c>
      <c r="AG15" s="93" t="s">
        <v>55</v>
      </c>
      <c r="AH15" s="52">
        <v>65</v>
      </c>
    </row>
    <row r="16" spans="1:34" ht="13.2">
      <c r="A16" s="88"/>
      <c r="B16" s="97" t="s">
        <v>22</v>
      </c>
      <c r="C16" s="102">
        <v>0</v>
      </c>
      <c r="D16" s="102"/>
      <c r="E16" s="102">
        <v>0</v>
      </c>
      <c r="F16" s="102">
        <v>0</v>
      </c>
      <c r="G16" s="102">
        <v>0</v>
      </c>
      <c r="H16" s="102">
        <v>0</v>
      </c>
      <c r="I16" s="102">
        <v>0</v>
      </c>
      <c r="J16" s="102">
        <v>0</v>
      </c>
      <c r="K16" s="102">
        <v>0</v>
      </c>
      <c r="L16" s="113">
        <v>1</v>
      </c>
      <c r="M16" s="102">
        <v>0</v>
      </c>
      <c r="N16" s="102">
        <v>1</v>
      </c>
      <c r="O16" s="102"/>
      <c r="P16" s="102">
        <v>1</v>
      </c>
      <c r="Q16" s="102">
        <v>1</v>
      </c>
      <c r="R16" s="114">
        <v>1</v>
      </c>
      <c r="S16" s="81">
        <v>1</v>
      </c>
      <c r="T16" s="115">
        <v>1</v>
      </c>
      <c r="U16" s="102">
        <v>0</v>
      </c>
      <c r="V16" s="102">
        <v>0</v>
      </c>
      <c r="W16" s="102"/>
      <c r="X16" s="88"/>
      <c r="Y16" s="88"/>
      <c r="Z16" s="88"/>
      <c r="AA16" s="87">
        <v>14</v>
      </c>
      <c r="AB16" s="93">
        <v>42559</v>
      </c>
      <c r="AC16" s="93" t="s">
        <v>132</v>
      </c>
      <c r="AD16" s="94">
        <v>46192</v>
      </c>
      <c r="AE16" s="93">
        <v>484.4</v>
      </c>
      <c r="AF16" s="94">
        <v>46136</v>
      </c>
      <c r="AG16" s="93" t="s">
        <v>55</v>
      </c>
      <c r="AH16" s="52">
        <v>56</v>
      </c>
    </row>
    <row r="17" spans="1:34" ht="13.2">
      <c r="A17" s="88"/>
      <c r="B17" s="97" t="s">
        <v>23</v>
      </c>
      <c r="C17" s="102">
        <v>0</v>
      </c>
      <c r="D17" s="102"/>
      <c r="E17" s="102">
        <v>0</v>
      </c>
      <c r="F17" s="102">
        <v>0</v>
      </c>
      <c r="G17" s="102">
        <v>0</v>
      </c>
      <c r="H17" s="102">
        <v>0</v>
      </c>
      <c r="I17" s="102">
        <v>0</v>
      </c>
      <c r="J17" s="102">
        <v>0</v>
      </c>
      <c r="K17" s="102">
        <v>0</v>
      </c>
      <c r="L17" s="113">
        <v>2</v>
      </c>
      <c r="M17" s="102">
        <v>0</v>
      </c>
      <c r="N17" s="102">
        <v>0</v>
      </c>
      <c r="O17" s="102"/>
      <c r="P17" s="102">
        <v>0</v>
      </c>
      <c r="Q17" s="102">
        <v>0</v>
      </c>
      <c r="R17" s="114">
        <v>0</v>
      </c>
      <c r="S17" s="81">
        <v>0</v>
      </c>
      <c r="T17" s="115">
        <v>0</v>
      </c>
      <c r="U17" s="102">
        <v>0</v>
      </c>
      <c r="V17" s="102">
        <v>0</v>
      </c>
      <c r="W17" s="102"/>
      <c r="X17" s="88"/>
      <c r="Y17" s="88"/>
      <c r="Z17" s="88"/>
      <c r="AA17" s="122">
        <v>15</v>
      </c>
      <c r="AB17" s="123">
        <v>29084</v>
      </c>
      <c r="AC17" s="123" t="s">
        <v>133</v>
      </c>
      <c r="AD17" s="124">
        <v>46192</v>
      </c>
      <c r="AE17" s="121">
        <v>201.15</v>
      </c>
      <c r="AF17" s="124">
        <v>46038</v>
      </c>
      <c r="AG17" s="121" t="s">
        <v>55</v>
      </c>
      <c r="AH17" s="121">
        <v>154</v>
      </c>
    </row>
    <row r="18" spans="1:34" ht="13.2">
      <c r="A18" s="88"/>
      <c r="B18" s="97" t="s">
        <v>24</v>
      </c>
      <c r="C18" s="102">
        <v>0</v>
      </c>
      <c r="D18" s="102"/>
      <c r="E18" s="102">
        <v>0</v>
      </c>
      <c r="F18" s="102">
        <v>0</v>
      </c>
      <c r="G18" s="102">
        <v>0</v>
      </c>
      <c r="H18" s="102">
        <v>0</v>
      </c>
      <c r="I18" s="102">
        <v>2</v>
      </c>
      <c r="J18" s="102">
        <v>6</v>
      </c>
      <c r="K18" s="102">
        <v>6</v>
      </c>
      <c r="L18" s="113">
        <v>12</v>
      </c>
      <c r="M18" s="102">
        <v>13</v>
      </c>
      <c r="N18" s="102">
        <v>14</v>
      </c>
      <c r="O18" s="102"/>
      <c r="P18" s="102">
        <v>16</v>
      </c>
      <c r="Q18" s="102">
        <v>25</v>
      </c>
      <c r="R18" s="114">
        <v>25</v>
      </c>
      <c r="S18" s="81">
        <v>26</v>
      </c>
      <c r="T18" s="115">
        <v>26</v>
      </c>
      <c r="U18" s="102">
        <v>41</v>
      </c>
      <c r="V18" s="102">
        <v>41</v>
      </c>
      <c r="W18" s="102"/>
      <c r="X18" s="88"/>
      <c r="Y18" s="88"/>
      <c r="Z18" s="88"/>
      <c r="AA18" s="122">
        <v>16</v>
      </c>
      <c r="AB18" s="123">
        <v>41123</v>
      </c>
      <c r="AC18" s="123" t="s">
        <v>134</v>
      </c>
      <c r="AD18" s="124">
        <v>46197</v>
      </c>
      <c r="AE18" s="121">
        <v>629.9</v>
      </c>
      <c r="AF18" s="124">
        <v>46003</v>
      </c>
      <c r="AG18" s="121" t="s">
        <v>55</v>
      </c>
      <c r="AH18" s="121">
        <v>194</v>
      </c>
    </row>
    <row r="19" spans="1:34" ht="13.2">
      <c r="A19" s="88"/>
      <c r="B19" s="97" t="s">
        <v>25</v>
      </c>
      <c r="C19" s="102">
        <v>0</v>
      </c>
      <c r="D19" s="102"/>
      <c r="E19" s="102">
        <v>0</v>
      </c>
      <c r="F19" s="102">
        <v>0</v>
      </c>
      <c r="G19" s="102">
        <v>0</v>
      </c>
      <c r="H19" s="102">
        <v>0</v>
      </c>
      <c r="I19" s="102">
        <v>0</v>
      </c>
      <c r="J19" s="102">
        <v>0</v>
      </c>
      <c r="K19" s="102">
        <v>0</v>
      </c>
      <c r="L19" s="113">
        <v>3</v>
      </c>
      <c r="M19" s="102">
        <v>0</v>
      </c>
      <c r="N19" s="102">
        <v>0</v>
      </c>
      <c r="O19" s="102"/>
      <c r="P19" s="102">
        <v>0</v>
      </c>
      <c r="Q19" s="102">
        <v>0</v>
      </c>
      <c r="R19" s="114">
        <v>0</v>
      </c>
      <c r="S19" s="81">
        <v>0</v>
      </c>
      <c r="T19" s="115">
        <v>0</v>
      </c>
      <c r="U19" s="102">
        <v>0</v>
      </c>
      <c r="V19" s="102">
        <v>0</v>
      </c>
      <c r="W19" s="102"/>
      <c r="X19" s="88"/>
      <c r="Y19" s="88"/>
      <c r="Z19" s="88"/>
      <c r="AA19" s="122">
        <v>17</v>
      </c>
      <c r="AB19" s="123">
        <v>38358</v>
      </c>
      <c r="AC19" s="123" t="s">
        <v>135</v>
      </c>
      <c r="AD19" s="124">
        <v>46198</v>
      </c>
      <c r="AE19" s="121">
        <v>163.25</v>
      </c>
      <c r="AF19" s="124">
        <v>46072</v>
      </c>
      <c r="AG19" s="121" t="s">
        <v>55</v>
      </c>
      <c r="AH19" s="121">
        <v>126</v>
      </c>
    </row>
    <row r="20" spans="1:34" ht="13.2">
      <c r="A20" s="88"/>
      <c r="B20" s="97" t="s">
        <v>26</v>
      </c>
      <c r="C20" s="102">
        <v>0</v>
      </c>
      <c r="D20" s="102"/>
      <c r="E20" s="102">
        <v>0</v>
      </c>
      <c r="F20" s="102">
        <v>0</v>
      </c>
      <c r="G20" s="102">
        <v>0</v>
      </c>
      <c r="H20" s="102">
        <v>0</v>
      </c>
      <c r="I20" s="102">
        <v>0</v>
      </c>
      <c r="J20" s="102">
        <v>0</v>
      </c>
      <c r="K20" s="102">
        <v>0</v>
      </c>
      <c r="L20" s="113">
        <v>0</v>
      </c>
      <c r="M20" s="102">
        <v>0</v>
      </c>
      <c r="N20" s="102">
        <v>0</v>
      </c>
      <c r="O20" s="102"/>
      <c r="P20" s="102">
        <v>0</v>
      </c>
      <c r="Q20" s="102">
        <v>0</v>
      </c>
      <c r="R20" s="114">
        <v>0</v>
      </c>
      <c r="S20" s="81">
        <v>0</v>
      </c>
      <c r="T20" s="115">
        <v>0</v>
      </c>
      <c r="U20" s="102">
        <v>0</v>
      </c>
      <c r="V20" s="102">
        <v>0</v>
      </c>
      <c r="W20" s="102"/>
      <c r="X20" s="88"/>
      <c r="Y20" s="88"/>
      <c r="Z20" s="88"/>
      <c r="AA20" s="87">
        <v>18</v>
      </c>
      <c r="AB20" s="118">
        <v>30929</v>
      </c>
      <c r="AC20" s="118" t="s">
        <v>136</v>
      </c>
      <c r="AD20" s="94">
        <v>46199</v>
      </c>
      <c r="AE20" s="93">
        <v>1258</v>
      </c>
      <c r="AF20" s="94">
        <v>46239</v>
      </c>
      <c r="AG20" s="93" t="s">
        <v>7</v>
      </c>
      <c r="AH20" s="52">
        <v>49</v>
      </c>
    </row>
    <row r="21" spans="1:34" ht="13.2">
      <c r="A21" s="88"/>
      <c r="B21" s="109" t="s">
        <v>11</v>
      </c>
      <c r="C21" s="109">
        <v>478</v>
      </c>
      <c r="D21" s="109">
        <v>0</v>
      </c>
      <c r="E21" s="109">
        <v>475</v>
      </c>
      <c r="F21" s="109">
        <v>487</v>
      </c>
      <c r="G21" s="109">
        <v>487</v>
      </c>
      <c r="H21" s="109">
        <v>482</v>
      </c>
      <c r="I21" s="109">
        <v>517</v>
      </c>
      <c r="J21" s="109">
        <v>517</v>
      </c>
      <c r="K21" s="109">
        <v>525</v>
      </c>
      <c r="L21" s="109">
        <v>827</v>
      </c>
      <c r="M21" s="109">
        <v>556</v>
      </c>
      <c r="N21" s="109">
        <v>554</v>
      </c>
      <c r="O21" s="109">
        <v>0</v>
      </c>
      <c r="P21" s="109">
        <v>574</v>
      </c>
      <c r="Q21" s="109">
        <v>572</v>
      </c>
      <c r="R21" s="109">
        <v>618</v>
      </c>
      <c r="S21" s="109">
        <v>614</v>
      </c>
      <c r="T21" s="109">
        <v>616</v>
      </c>
      <c r="U21" s="109">
        <v>646</v>
      </c>
      <c r="V21" s="109">
        <v>646</v>
      </c>
      <c r="W21" s="109">
        <v>0</v>
      </c>
      <c r="X21" s="88"/>
      <c r="Y21" s="88"/>
      <c r="Z21" s="88"/>
      <c r="AA21" s="87">
        <v>19</v>
      </c>
      <c r="AB21" s="118">
        <v>28933</v>
      </c>
      <c r="AC21" s="118" t="s">
        <v>137</v>
      </c>
      <c r="AD21" s="94">
        <v>46199</v>
      </c>
      <c r="AE21" s="93">
        <v>471.98</v>
      </c>
      <c r="AF21" s="94">
        <v>46239</v>
      </c>
      <c r="AG21" s="93" t="s">
        <v>7</v>
      </c>
      <c r="AH21" s="52">
        <v>49</v>
      </c>
    </row>
    <row r="22" spans="1:34" ht="13.2">
      <c r="A22" s="88"/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  <c r="AA22" s="87">
        <v>20</v>
      </c>
      <c r="AB22" s="118">
        <v>38139</v>
      </c>
      <c r="AC22" s="118" t="s">
        <v>138</v>
      </c>
      <c r="AD22" s="94">
        <v>46199</v>
      </c>
      <c r="AE22" s="93">
        <v>183.75</v>
      </c>
      <c r="AF22" s="94">
        <v>46239</v>
      </c>
      <c r="AG22" s="93" t="s">
        <v>60</v>
      </c>
      <c r="AH22" s="52">
        <v>49</v>
      </c>
    </row>
    <row r="23" spans="1:34" ht="13.2">
      <c r="A23" s="88"/>
      <c r="B23" s="82" t="s">
        <v>53</v>
      </c>
      <c r="C23" s="83">
        <v>1</v>
      </c>
      <c r="D23" s="84">
        <v>2</v>
      </c>
      <c r="E23" s="84">
        <v>3</v>
      </c>
      <c r="F23" s="85">
        <v>5</v>
      </c>
      <c r="G23" s="83">
        <v>8</v>
      </c>
      <c r="H23" s="84">
        <v>9</v>
      </c>
      <c r="I23" s="84">
        <v>10</v>
      </c>
      <c r="J23" s="84">
        <v>11</v>
      </c>
      <c r="K23" s="85">
        <v>12</v>
      </c>
      <c r="L23" s="83">
        <v>15</v>
      </c>
      <c r="M23" s="84">
        <v>16</v>
      </c>
      <c r="N23" s="84">
        <v>17</v>
      </c>
      <c r="O23" s="84">
        <v>18</v>
      </c>
      <c r="P23" s="85">
        <v>19</v>
      </c>
      <c r="Q23" s="83">
        <v>22</v>
      </c>
      <c r="R23" s="84">
        <v>23</v>
      </c>
      <c r="S23" s="84">
        <v>24</v>
      </c>
      <c r="T23" s="84">
        <v>25</v>
      </c>
      <c r="U23" s="85">
        <v>26</v>
      </c>
      <c r="V23" s="83">
        <v>29</v>
      </c>
      <c r="W23" s="85">
        <v>30</v>
      </c>
      <c r="X23" s="86" t="s">
        <v>11</v>
      </c>
      <c r="Y23" s="88"/>
      <c r="Z23" s="88"/>
      <c r="AA23" s="87">
        <v>21</v>
      </c>
      <c r="AB23" s="118">
        <v>34343</v>
      </c>
      <c r="AC23" s="118" t="s">
        <v>139</v>
      </c>
      <c r="AD23" s="94">
        <v>46199</v>
      </c>
      <c r="AE23" s="93">
        <v>504.17</v>
      </c>
      <c r="AF23" s="94">
        <v>46239</v>
      </c>
      <c r="AG23" s="93" t="s">
        <v>7</v>
      </c>
      <c r="AH23" s="52">
        <v>49</v>
      </c>
    </row>
    <row r="24" spans="1:34" ht="13.2">
      <c r="A24" s="88"/>
      <c r="B24" s="81" t="s">
        <v>2</v>
      </c>
      <c r="C24" s="87">
        <v>17</v>
      </c>
      <c r="D24" s="87">
        <v>17</v>
      </c>
      <c r="E24" s="87">
        <v>17</v>
      </c>
      <c r="F24" s="87">
        <v>17</v>
      </c>
      <c r="G24" s="87">
        <v>17</v>
      </c>
      <c r="H24" s="87">
        <v>17</v>
      </c>
      <c r="I24" s="87">
        <v>17</v>
      </c>
      <c r="J24" s="87">
        <v>17</v>
      </c>
      <c r="K24" s="87">
        <v>17</v>
      </c>
      <c r="L24" s="87">
        <v>17</v>
      </c>
      <c r="M24" s="87">
        <v>17</v>
      </c>
      <c r="N24" s="87">
        <v>17</v>
      </c>
      <c r="O24" s="87">
        <v>17</v>
      </c>
      <c r="P24" s="87">
        <v>17</v>
      </c>
      <c r="Q24" s="87">
        <v>17</v>
      </c>
      <c r="R24" s="87">
        <v>17</v>
      </c>
      <c r="S24" s="87">
        <v>17</v>
      </c>
      <c r="T24" s="87">
        <v>16</v>
      </c>
      <c r="U24" s="87">
        <v>15</v>
      </c>
      <c r="V24" s="87">
        <v>15</v>
      </c>
      <c r="W24" s="87">
        <v>15</v>
      </c>
      <c r="X24" s="81">
        <v>350</v>
      </c>
      <c r="Y24" s="88"/>
      <c r="Z24" s="88"/>
      <c r="AA24" s="163" t="s">
        <v>117</v>
      </c>
      <c r="AB24" s="164">
        <v>25853</v>
      </c>
      <c r="AC24" s="164" t="s">
        <v>140</v>
      </c>
      <c r="AD24" s="165">
        <v>46029</v>
      </c>
      <c r="AE24" s="162">
        <v>389.9</v>
      </c>
      <c r="AF24" s="165">
        <v>46147</v>
      </c>
      <c r="AG24" s="162" t="s">
        <v>7</v>
      </c>
      <c r="AH24" s="162">
        <v>56</v>
      </c>
    </row>
    <row r="25" spans="1:34" ht="13.2">
      <c r="A25" s="88"/>
      <c r="B25" s="81" t="s">
        <v>115</v>
      </c>
      <c r="C25" s="87">
        <v>0</v>
      </c>
      <c r="D25" s="87">
        <v>0</v>
      </c>
      <c r="E25" s="87">
        <v>12</v>
      </c>
      <c r="F25" s="87">
        <v>20</v>
      </c>
      <c r="G25" s="87">
        <v>20</v>
      </c>
      <c r="H25" s="87">
        <v>21</v>
      </c>
      <c r="I25" s="87">
        <v>14</v>
      </c>
      <c r="J25" s="87">
        <v>25</v>
      </c>
      <c r="K25" s="87">
        <v>20</v>
      </c>
      <c r="L25" s="87">
        <v>10</v>
      </c>
      <c r="M25" s="87">
        <v>20</v>
      </c>
      <c r="N25" s="87">
        <v>0</v>
      </c>
      <c r="O25" s="87">
        <v>20</v>
      </c>
      <c r="P25" s="87">
        <v>20</v>
      </c>
      <c r="Q25" s="87">
        <v>20</v>
      </c>
      <c r="R25" s="87">
        <v>20</v>
      </c>
      <c r="S25" s="87">
        <v>20</v>
      </c>
      <c r="T25" s="87">
        <v>13</v>
      </c>
      <c r="U25" s="87">
        <v>20</v>
      </c>
      <c r="V25" s="87">
        <v>30</v>
      </c>
      <c r="W25" s="87">
        <v>25</v>
      </c>
      <c r="X25" s="81">
        <v>350</v>
      </c>
      <c r="Y25" s="108">
        <v>0</v>
      </c>
      <c r="Z25" s="88"/>
      <c r="AA25" s="87"/>
      <c r="AB25" s="118"/>
      <c r="AC25" s="118"/>
      <c r="AD25" s="93"/>
      <c r="AE25" s="93"/>
      <c r="AF25" s="93"/>
      <c r="AG25" s="93"/>
      <c r="AH25" s="52"/>
    </row>
    <row r="26" spans="1:34" ht="13.2">
      <c r="A26" s="88"/>
      <c r="B26" s="88"/>
      <c r="C26" s="88"/>
      <c r="D26" s="88"/>
      <c r="E26" s="88"/>
      <c r="F26" s="88"/>
      <c r="G26" s="88"/>
      <c r="H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280"/>
      <c r="Y26" s="280"/>
      <c r="Z26" s="88"/>
      <c r="AA26" s="88"/>
      <c r="AE26" s="119">
        <v>5231.58</v>
      </c>
    </row>
    <row r="27" spans="1:34" ht="13.2">
      <c r="A27" s="88"/>
      <c r="B27" s="88"/>
      <c r="C27" s="88"/>
      <c r="D27" s="88"/>
      <c r="E27" s="88"/>
      <c r="F27" s="88"/>
      <c r="G27" s="88"/>
      <c r="H27" s="88"/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  <c r="AA27" s="88"/>
    </row>
    <row r="28" spans="1:34" ht="13.2">
      <c r="A28" s="88"/>
      <c r="B28" s="88"/>
      <c r="C28" s="88"/>
      <c r="D28" s="88"/>
      <c r="E28" s="88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  <c r="AA28" s="88"/>
    </row>
    <row r="29" spans="1:34" ht="13.2">
      <c r="A29" s="88"/>
      <c r="B29" s="88"/>
      <c r="C29" s="88"/>
      <c r="D29" s="88"/>
      <c r="E29" s="88"/>
      <c r="F29" s="88"/>
      <c r="G29" s="88"/>
      <c r="H29" s="88"/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  <c r="AA29" s="88"/>
    </row>
    <row r="30" spans="1:34" ht="13.2">
      <c r="A30" s="88"/>
      <c r="B30" s="88"/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  <c r="AA30" s="88"/>
    </row>
    <row r="31" spans="1:34" ht="13.2">
      <c r="A31" s="88"/>
      <c r="B31" s="88"/>
      <c r="C31" s="88"/>
      <c r="D31" s="88"/>
      <c r="E31" s="88"/>
      <c r="F31" s="88"/>
      <c r="G31" s="88"/>
      <c r="H31" s="88"/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  <c r="AA31" s="88"/>
    </row>
    <row r="32" spans="1:34" ht="13.2">
      <c r="A32" s="88"/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  <c r="AA32" s="88"/>
    </row>
    <row r="33" spans="1:27" ht="13.2">
      <c r="A33" s="88"/>
      <c r="B33" s="88"/>
      <c r="C33" s="88"/>
      <c r="D33" s="88"/>
      <c r="E33" s="88"/>
      <c r="F33" s="88"/>
      <c r="G33" s="88"/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  <c r="AA33" s="88"/>
    </row>
    <row r="34" spans="1:27" ht="13.2">
      <c r="A34" s="88"/>
      <c r="B34" s="88"/>
      <c r="C34" s="88"/>
      <c r="D34" s="88"/>
      <c r="E34" s="88"/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  <c r="AA34" s="88"/>
    </row>
    <row r="35" spans="1:27" ht="13.2">
      <c r="A35" s="88"/>
      <c r="B35" s="88"/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  <c r="AA35" s="88"/>
    </row>
    <row r="36" spans="1:27" ht="13.2">
      <c r="A36" s="88"/>
      <c r="B36" s="88"/>
      <c r="C36" s="88"/>
      <c r="D36" s="88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</row>
    <row r="37" spans="1:27" ht="13.2">
      <c r="A37" s="88"/>
      <c r="B37" s="88"/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  <c r="AA37" s="88"/>
    </row>
    <row r="38" spans="1:27" ht="13.2">
      <c r="A38" s="88"/>
      <c r="B38" s="88"/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  <c r="AA38" s="88"/>
    </row>
    <row r="39" spans="1:27" ht="13.2">
      <c r="A39" s="88"/>
      <c r="B39" s="88"/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  <c r="AA39" s="88"/>
    </row>
    <row r="40" spans="1:27" ht="13.2">
      <c r="A40" s="88"/>
      <c r="B40" s="88"/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</row>
    <row r="41" spans="1:27" ht="13.2">
      <c r="A41" s="88"/>
      <c r="B41" s="88"/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</row>
    <row r="42" spans="1:27" ht="13.2">
      <c r="A42" s="88"/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</row>
    <row r="43" spans="1:27" ht="13.2">
      <c r="A43" s="88"/>
      <c r="B43" s="88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</row>
    <row r="44" spans="1:27" ht="13.2">
      <c r="A44" s="88"/>
      <c r="B44" s="88"/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</row>
    <row r="45" spans="1:27" ht="13.2">
      <c r="A45" s="88"/>
      <c r="B45" s="88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88"/>
    </row>
    <row r="46" spans="1:27" ht="13.2">
      <c r="A46" s="88"/>
      <c r="B46" s="88"/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  <c r="AA46" s="88"/>
    </row>
    <row r="47" spans="1:27" ht="13.2">
      <c r="A47" s="88"/>
      <c r="B47" s="88"/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  <c r="AA47" s="88"/>
    </row>
    <row r="48" spans="1:27" ht="13.2">
      <c r="A48" s="88"/>
      <c r="B48" s="88"/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  <c r="AA48" s="88"/>
    </row>
    <row r="49" spans="1:27" ht="13.2">
      <c r="A49" s="88"/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  <c r="AA49" s="88"/>
    </row>
    <row r="50" spans="1:27" ht="13.2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  <c r="AA50" s="88"/>
    </row>
    <row r="51" spans="1:27" ht="13.2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  <c r="AA51" s="88"/>
    </row>
    <row r="52" spans="1:27" ht="13.2">
      <c r="A52" s="88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  <c r="AA52" s="88"/>
    </row>
    <row r="53" spans="1:27" ht="13.2">
      <c r="A53" s="88"/>
      <c r="B53" s="88"/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  <c r="AA53" s="88"/>
    </row>
    <row r="54" spans="1:27" ht="13.2">
      <c r="A54" s="88"/>
      <c r="B54" s="88"/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  <c r="AA54" s="88"/>
    </row>
    <row r="55" spans="1:27" ht="13.2">
      <c r="A55" s="88"/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  <c r="AA55" s="88"/>
    </row>
    <row r="56" spans="1:27" ht="13.2">
      <c r="A56" s="88"/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  <c r="AA56" s="88"/>
    </row>
    <row r="57" spans="1:27" ht="13.2">
      <c r="A57" s="88"/>
      <c r="B57" s="88"/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  <c r="AA57" s="88"/>
    </row>
    <row r="58" spans="1:27" ht="13.2">
      <c r="A58" s="88"/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  <c r="AA58" s="88"/>
    </row>
    <row r="59" spans="1:27" ht="13.2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  <c r="AA59" s="88"/>
    </row>
    <row r="60" spans="1:27" ht="13.2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  <c r="AA60" s="88"/>
    </row>
    <row r="61" spans="1:27" ht="13.2">
      <c r="A61" s="88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  <c r="AA61" s="88"/>
    </row>
    <row r="62" spans="1:27" ht="13.2">
      <c r="A62" s="88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</row>
    <row r="63" spans="1:27" ht="13.2">
      <c r="A63" s="88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  <c r="AA63" s="88"/>
    </row>
    <row r="64" spans="1:27" ht="13.2">
      <c r="A64" s="88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  <c r="AA64" s="88"/>
    </row>
    <row r="65" spans="1:27" ht="13.2">
      <c r="A65" s="88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  <c r="AA65" s="88"/>
    </row>
    <row r="66" spans="1:27" ht="13.2">
      <c r="A66" s="88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  <c r="AA66" s="88"/>
    </row>
    <row r="67" spans="1:27" ht="13.2">
      <c r="A67" s="88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  <c r="AA67" s="88"/>
    </row>
    <row r="68" spans="1:27" ht="13.2">
      <c r="A68" s="88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  <c r="AA68" s="88"/>
    </row>
    <row r="69" spans="1:27" ht="13.2">
      <c r="A69" s="88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  <c r="AA69" s="88"/>
    </row>
    <row r="70" spans="1:27" ht="13.2">
      <c r="A70" s="88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  <c r="AA70" s="88"/>
    </row>
    <row r="71" spans="1:27" ht="13.2">
      <c r="A71" s="88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  <c r="AA71" s="88"/>
    </row>
    <row r="72" spans="1:27" ht="13.2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  <c r="AA72" s="88"/>
    </row>
    <row r="73" spans="1:27" ht="13.2">
      <c r="A73" s="88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  <c r="AA73" s="88"/>
    </row>
    <row r="74" spans="1:27" ht="13.2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  <c r="AA74" s="88"/>
    </row>
    <row r="75" spans="1:27" ht="13.2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  <c r="AA75" s="88"/>
    </row>
    <row r="76" spans="1:27" ht="13.2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  <c r="AA76" s="88"/>
    </row>
    <row r="77" spans="1:27" ht="13.2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  <c r="AA77" s="88"/>
    </row>
    <row r="78" spans="1:27" ht="13.2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  <c r="AA78" s="88"/>
    </row>
    <row r="79" spans="1:27" ht="13.2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  <c r="AA79" s="88"/>
    </row>
    <row r="80" spans="1:27" ht="13.2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  <c r="AA80" s="88"/>
    </row>
    <row r="81" spans="1:27" ht="13.2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  <c r="AA81" s="88"/>
    </row>
    <row r="82" spans="1:27" ht="13.2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  <c r="AA82" s="88"/>
    </row>
    <row r="83" spans="1:27" ht="13.2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  <c r="AA83" s="88"/>
    </row>
    <row r="84" spans="1:27" ht="13.2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  <c r="AA84" s="88"/>
    </row>
    <row r="85" spans="1:27" ht="13.2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  <c r="AA85" s="88"/>
    </row>
    <row r="86" spans="1:27" ht="13.2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  <c r="AA86" s="88"/>
    </row>
    <row r="87" spans="1:27" ht="13.2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  <c r="AA87" s="88"/>
    </row>
    <row r="88" spans="1:27" ht="13.2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  <c r="AA88" s="88"/>
    </row>
    <row r="89" spans="1:27" ht="13.2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  <c r="AA89" s="88"/>
    </row>
    <row r="90" spans="1:27" ht="13.2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  <c r="AA90" s="88"/>
    </row>
    <row r="91" spans="1:27" ht="13.2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  <c r="AA91" s="88"/>
    </row>
    <row r="92" spans="1:27" ht="13.2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  <c r="AA92" s="88"/>
    </row>
    <row r="93" spans="1:27" ht="13.2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  <c r="AA93" s="88"/>
    </row>
    <row r="94" spans="1:27" ht="13.2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  <c r="AA94" s="88"/>
    </row>
    <row r="95" spans="1:27" ht="13.2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  <c r="AA95" s="88"/>
    </row>
    <row r="96" spans="1:27" ht="13.2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  <c r="AA96" s="88"/>
    </row>
    <row r="97" spans="1:27" ht="13.2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  <c r="AA97" s="88"/>
    </row>
    <row r="98" spans="1:27" ht="13.2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  <c r="AA98" s="88"/>
    </row>
    <row r="99" spans="1:27" ht="13.2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  <c r="AA99" s="88"/>
    </row>
    <row r="100" spans="1:27" ht="13.2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  <c r="AA100" s="88"/>
    </row>
    <row r="101" spans="1:27" ht="13.2">
      <c r="A101" s="88"/>
      <c r="B101" s="88"/>
      <c r="C101" s="88"/>
      <c r="D101" s="88"/>
      <c r="E101" s="88"/>
      <c r="F101" s="88"/>
      <c r="G101" s="88"/>
      <c r="H101" s="88"/>
      <c r="I101" s="88"/>
      <c r="J101" s="88"/>
      <c r="K101" s="88"/>
      <c r="L101" s="88"/>
      <c r="M101" s="88"/>
      <c r="N101" s="88"/>
      <c r="O101" s="88"/>
      <c r="P101" s="88"/>
      <c r="Q101" s="88"/>
      <c r="R101" s="88"/>
      <c r="S101" s="88"/>
      <c r="T101" s="88"/>
      <c r="U101" s="88"/>
      <c r="V101" s="88"/>
      <c r="W101" s="88"/>
      <c r="X101" s="88"/>
      <c r="Y101" s="88"/>
      <c r="Z101" s="88"/>
      <c r="AA101" s="88"/>
    </row>
    <row r="102" spans="1:27" ht="13.2">
      <c r="A102" s="88"/>
      <c r="B102" s="88"/>
      <c r="C102" s="88"/>
      <c r="D102" s="88"/>
      <c r="E102" s="88"/>
      <c r="F102" s="88"/>
      <c r="G102" s="88"/>
      <c r="H102" s="88"/>
      <c r="I102" s="88"/>
      <c r="J102" s="88"/>
      <c r="K102" s="88"/>
      <c r="L102" s="88"/>
      <c r="M102" s="88"/>
      <c r="N102" s="88"/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8"/>
      <c r="Z102" s="88"/>
      <c r="AA102" s="88"/>
    </row>
    <row r="103" spans="1:27" ht="13.2">
      <c r="A103" s="88"/>
      <c r="B103" s="88"/>
      <c r="C103" s="88"/>
      <c r="D103" s="88"/>
      <c r="E103" s="88"/>
      <c r="F103" s="88"/>
      <c r="G103" s="88"/>
      <c r="H103" s="88"/>
      <c r="I103" s="88"/>
      <c r="J103" s="88"/>
      <c r="K103" s="88"/>
      <c r="L103" s="88"/>
      <c r="M103" s="88"/>
      <c r="N103" s="88"/>
      <c r="O103" s="88"/>
      <c r="P103" s="88"/>
      <c r="Q103" s="88"/>
      <c r="R103" s="88"/>
      <c r="S103" s="88"/>
      <c r="T103" s="88"/>
      <c r="U103" s="88"/>
      <c r="V103" s="88"/>
      <c r="W103" s="88"/>
      <c r="X103" s="88"/>
      <c r="Y103" s="88"/>
      <c r="Z103" s="88"/>
      <c r="AA103" s="88"/>
    </row>
    <row r="104" spans="1:27" ht="13.2">
      <c r="A104" s="88"/>
      <c r="B104" s="88"/>
      <c r="C104" s="88"/>
      <c r="D104" s="88"/>
      <c r="E104" s="88"/>
      <c r="F104" s="88"/>
      <c r="G104" s="88"/>
      <c r="H104" s="88"/>
      <c r="I104" s="88"/>
      <c r="J104" s="88"/>
      <c r="K104" s="88"/>
      <c r="L104" s="88"/>
      <c r="M104" s="88"/>
      <c r="N104" s="88"/>
      <c r="O104" s="88"/>
      <c r="P104" s="88"/>
      <c r="Q104" s="88"/>
      <c r="R104" s="88"/>
      <c r="S104" s="88"/>
      <c r="T104" s="88"/>
      <c r="U104" s="88"/>
      <c r="V104" s="88"/>
      <c r="W104" s="88"/>
      <c r="X104" s="88"/>
      <c r="Y104" s="88"/>
      <c r="Z104" s="88"/>
      <c r="AA104" s="88"/>
    </row>
    <row r="105" spans="1:27" ht="13.2">
      <c r="A105" s="88"/>
      <c r="B105" s="88"/>
      <c r="C105" s="88"/>
      <c r="D105" s="88"/>
      <c r="E105" s="88"/>
      <c r="F105" s="88"/>
      <c r="G105" s="88"/>
      <c r="H105" s="88"/>
      <c r="I105" s="88"/>
      <c r="J105" s="88"/>
      <c r="K105" s="88"/>
      <c r="L105" s="88"/>
      <c r="M105" s="88"/>
      <c r="N105" s="88"/>
      <c r="O105" s="88"/>
      <c r="P105" s="88"/>
      <c r="Q105" s="88"/>
      <c r="R105" s="88"/>
      <c r="S105" s="88"/>
      <c r="T105" s="88"/>
      <c r="U105" s="88"/>
      <c r="V105" s="88"/>
      <c r="W105" s="88"/>
      <c r="X105" s="88"/>
      <c r="Y105" s="88"/>
      <c r="Z105" s="88"/>
      <c r="AA105" s="88"/>
    </row>
    <row r="106" spans="1:27" ht="13.2">
      <c r="A106" s="88"/>
      <c r="B106" s="88"/>
      <c r="C106" s="88"/>
      <c r="D106" s="88"/>
      <c r="E106" s="88"/>
      <c r="F106" s="88"/>
      <c r="G106" s="88"/>
      <c r="H106" s="88"/>
      <c r="I106" s="88"/>
      <c r="J106" s="88"/>
      <c r="K106" s="88"/>
      <c r="L106" s="88"/>
      <c r="M106" s="88"/>
      <c r="N106" s="88"/>
      <c r="O106" s="88"/>
      <c r="P106" s="88"/>
      <c r="Q106" s="88"/>
      <c r="R106" s="88"/>
      <c r="S106" s="88"/>
      <c r="T106" s="88"/>
      <c r="U106" s="88"/>
      <c r="V106" s="88"/>
      <c r="W106" s="88"/>
      <c r="X106" s="88"/>
      <c r="Y106" s="88"/>
      <c r="Z106" s="88"/>
      <c r="AA106" s="88"/>
    </row>
    <row r="107" spans="1:27" ht="13.2">
      <c r="A107" s="88"/>
      <c r="B107" s="88"/>
      <c r="C107" s="88"/>
      <c r="D107" s="88"/>
      <c r="E107" s="88"/>
      <c r="F107" s="88"/>
      <c r="G107" s="88"/>
      <c r="H107" s="88"/>
      <c r="I107" s="88"/>
      <c r="J107" s="88"/>
      <c r="K107" s="88"/>
      <c r="L107" s="88"/>
      <c r="M107" s="88"/>
      <c r="N107" s="88"/>
      <c r="O107" s="88"/>
      <c r="P107" s="88"/>
      <c r="Q107" s="88"/>
      <c r="R107" s="88"/>
      <c r="S107" s="88"/>
      <c r="T107" s="88"/>
      <c r="U107" s="88"/>
      <c r="V107" s="88"/>
      <c r="W107" s="88"/>
      <c r="X107" s="88"/>
      <c r="Y107" s="88"/>
      <c r="Z107" s="88"/>
      <c r="AA107" s="88"/>
    </row>
    <row r="108" spans="1:27" ht="13.2">
      <c r="A108" s="88"/>
      <c r="B108" s="88"/>
      <c r="C108" s="88"/>
      <c r="D108" s="88"/>
      <c r="E108" s="88"/>
      <c r="F108" s="88"/>
      <c r="G108" s="88"/>
      <c r="H108" s="88"/>
      <c r="I108" s="88"/>
      <c r="J108" s="88"/>
      <c r="K108" s="88"/>
      <c r="L108" s="88"/>
      <c r="M108" s="88"/>
      <c r="N108" s="88"/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8"/>
      <c r="Z108" s="88"/>
      <c r="AA108" s="88"/>
    </row>
    <row r="109" spans="1:27" ht="13.2">
      <c r="A109" s="88"/>
      <c r="B109" s="88"/>
      <c r="C109" s="88"/>
      <c r="D109" s="88"/>
      <c r="E109" s="88"/>
      <c r="F109" s="88"/>
      <c r="G109" s="88"/>
      <c r="H109" s="88"/>
      <c r="I109" s="88"/>
      <c r="J109" s="88"/>
      <c r="K109" s="88"/>
      <c r="L109" s="88"/>
      <c r="M109" s="88"/>
      <c r="N109" s="88"/>
      <c r="O109" s="88"/>
      <c r="P109" s="88"/>
      <c r="Q109" s="88"/>
      <c r="R109" s="88"/>
      <c r="S109" s="88"/>
      <c r="T109" s="88"/>
      <c r="U109" s="88"/>
      <c r="V109" s="88"/>
      <c r="W109" s="88"/>
      <c r="X109" s="88"/>
      <c r="Y109" s="88"/>
      <c r="Z109" s="88"/>
      <c r="AA109" s="88"/>
    </row>
    <row r="110" spans="1:27" ht="13.2">
      <c r="A110" s="88"/>
      <c r="B110" s="88"/>
      <c r="C110" s="88"/>
      <c r="D110" s="88"/>
      <c r="E110" s="88"/>
      <c r="F110" s="88"/>
      <c r="G110" s="88"/>
      <c r="H110" s="88"/>
      <c r="I110" s="88"/>
      <c r="J110" s="88"/>
      <c r="K110" s="88"/>
      <c r="L110" s="88"/>
      <c r="M110" s="88"/>
      <c r="N110" s="88"/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8"/>
      <c r="Z110" s="88"/>
      <c r="AA110" s="88"/>
    </row>
    <row r="111" spans="1:27" ht="13.2">
      <c r="A111" s="88"/>
      <c r="B111" s="88"/>
      <c r="C111" s="88"/>
      <c r="D111" s="88"/>
      <c r="E111" s="88"/>
      <c r="F111" s="88"/>
      <c r="G111" s="88"/>
      <c r="H111" s="88"/>
      <c r="I111" s="88"/>
      <c r="J111" s="88"/>
      <c r="K111" s="88"/>
      <c r="L111" s="88"/>
      <c r="M111" s="88"/>
      <c r="N111" s="88"/>
      <c r="O111" s="88"/>
      <c r="P111" s="88"/>
      <c r="Q111" s="88"/>
      <c r="R111" s="88"/>
      <c r="S111" s="88"/>
      <c r="T111" s="88"/>
      <c r="U111" s="88"/>
      <c r="V111" s="88"/>
      <c r="W111" s="88"/>
      <c r="X111" s="88"/>
      <c r="Y111" s="88"/>
      <c r="Z111" s="88"/>
      <c r="AA111" s="88"/>
    </row>
    <row r="112" spans="1:27" ht="13.2">
      <c r="A112" s="88"/>
      <c r="B112" s="88"/>
      <c r="C112" s="88"/>
      <c r="D112" s="88"/>
      <c r="E112" s="88"/>
      <c r="F112" s="88"/>
      <c r="G112" s="88"/>
      <c r="H112" s="88"/>
      <c r="I112" s="88"/>
      <c r="J112" s="88"/>
      <c r="K112" s="88"/>
      <c r="L112" s="88"/>
      <c r="M112" s="88"/>
      <c r="N112" s="88"/>
      <c r="O112" s="88"/>
      <c r="P112" s="88"/>
      <c r="Q112" s="88"/>
      <c r="R112" s="88"/>
      <c r="S112" s="88"/>
      <c r="T112" s="88"/>
      <c r="U112" s="88"/>
      <c r="V112" s="88"/>
      <c r="W112" s="88"/>
      <c r="X112" s="88"/>
      <c r="Y112" s="88"/>
      <c r="Z112" s="88"/>
      <c r="AA112" s="88"/>
    </row>
    <row r="113" spans="1:27" ht="13.2">
      <c r="A113" s="88"/>
      <c r="B113" s="88"/>
      <c r="C113" s="88"/>
      <c r="D113" s="88"/>
      <c r="E113" s="88"/>
      <c r="F113" s="88"/>
      <c r="G113" s="88"/>
      <c r="H113" s="88"/>
      <c r="I113" s="88"/>
      <c r="J113" s="88"/>
      <c r="K113" s="88"/>
      <c r="L113" s="88"/>
      <c r="M113" s="88"/>
      <c r="N113" s="88"/>
      <c r="O113" s="88"/>
      <c r="P113" s="88"/>
      <c r="Q113" s="88"/>
      <c r="R113" s="88"/>
      <c r="S113" s="88"/>
      <c r="T113" s="88"/>
      <c r="U113" s="88"/>
      <c r="V113" s="88"/>
      <c r="W113" s="88"/>
      <c r="X113" s="88"/>
      <c r="Y113" s="88"/>
      <c r="Z113" s="88"/>
      <c r="AA113" s="88"/>
    </row>
    <row r="114" spans="1:27" ht="13.2">
      <c r="A114" s="88"/>
      <c r="B114" s="88"/>
      <c r="C114" s="88"/>
      <c r="D114" s="88"/>
      <c r="E114" s="88"/>
      <c r="F114" s="88"/>
      <c r="G114" s="88"/>
      <c r="H114" s="88"/>
      <c r="I114" s="88"/>
      <c r="J114" s="88"/>
      <c r="K114" s="88"/>
      <c r="L114" s="88"/>
      <c r="M114" s="88"/>
      <c r="N114" s="88"/>
      <c r="O114" s="88"/>
      <c r="P114" s="88"/>
      <c r="Q114" s="88"/>
      <c r="R114" s="88"/>
      <c r="S114" s="88"/>
      <c r="T114" s="88"/>
      <c r="U114" s="88"/>
      <c r="V114" s="88"/>
      <c r="W114" s="88"/>
      <c r="X114" s="88"/>
      <c r="Y114" s="88"/>
      <c r="Z114" s="88"/>
      <c r="AA114" s="88"/>
    </row>
    <row r="115" spans="1:27" ht="13.2">
      <c r="A115" s="88"/>
      <c r="B115" s="88"/>
      <c r="C115" s="88"/>
      <c r="D115" s="88"/>
      <c r="E115" s="88"/>
      <c r="F115" s="88"/>
      <c r="G115" s="88"/>
      <c r="H115" s="88"/>
      <c r="I115" s="88"/>
      <c r="J115" s="88"/>
      <c r="K115" s="88"/>
      <c r="L115" s="88"/>
      <c r="M115" s="88"/>
      <c r="N115" s="88"/>
      <c r="O115" s="88"/>
      <c r="P115" s="88"/>
      <c r="Q115" s="88"/>
      <c r="R115" s="88"/>
      <c r="S115" s="88"/>
      <c r="T115" s="88"/>
      <c r="U115" s="88"/>
      <c r="V115" s="88"/>
      <c r="W115" s="88"/>
      <c r="X115" s="88"/>
      <c r="Y115" s="88"/>
      <c r="Z115" s="88"/>
      <c r="AA115" s="88"/>
    </row>
    <row r="116" spans="1:27" ht="13.2">
      <c r="A116" s="88"/>
      <c r="B116" s="88"/>
      <c r="C116" s="88"/>
      <c r="D116" s="88"/>
      <c r="E116" s="88"/>
      <c r="F116" s="88"/>
      <c r="G116" s="88"/>
      <c r="H116" s="88"/>
      <c r="I116" s="88"/>
      <c r="J116" s="88"/>
      <c r="K116" s="88"/>
      <c r="L116" s="88"/>
      <c r="M116" s="88"/>
      <c r="N116" s="88"/>
      <c r="O116" s="88"/>
      <c r="P116" s="88"/>
      <c r="Q116" s="88"/>
      <c r="R116" s="88"/>
      <c r="S116" s="88"/>
      <c r="T116" s="88"/>
      <c r="U116" s="88"/>
      <c r="V116" s="88"/>
      <c r="W116" s="88"/>
      <c r="X116" s="88"/>
      <c r="Y116" s="88"/>
      <c r="Z116" s="88"/>
      <c r="AA116" s="88"/>
    </row>
    <row r="117" spans="1:27" ht="13.2">
      <c r="A117" s="88"/>
      <c r="B117" s="88"/>
      <c r="C117" s="88"/>
      <c r="D117" s="88"/>
      <c r="E117" s="88"/>
      <c r="F117" s="88"/>
      <c r="G117" s="88"/>
      <c r="H117" s="88"/>
      <c r="I117" s="88"/>
      <c r="J117" s="88"/>
      <c r="K117" s="88"/>
      <c r="L117" s="88"/>
      <c r="M117" s="88"/>
      <c r="N117" s="88"/>
      <c r="O117" s="88"/>
      <c r="P117" s="88"/>
      <c r="Q117" s="88"/>
      <c r="R117" s="88"/>
      <c r="S117" s="88"/>
      <c r="T117" s="88"/>
      <c r="U117" s="88"/>
      <c r="V117" s="88"/>
      <c r="W117" s="88"/>
      <c r="X117" s="88"/>
      <c r="Y117" s="88"/>
      <c r="Z117" s="88"/>
      <c r="AA117" s="88"/>
    </row>
    <row r="118" spans="1:27" ht="13.2">
      <c r="A118" s="88"/>
      <c r="B118" s="88"/>
      <c r="C118" s="88"/>
      <c r="D118" s="88"/>
      <c r="E118" s="88"/>
      <c r="F118" s="88"/>
      <c r="G118" s="88"/>
      <c r="H118" s="88"/>
      <c r="I118" s="88"/>
      <c r="J118" s="88"/>
      <c r="K118" s="88"/>
      <c r="L118" s="88"/>
      <c r="M118" s="88"/>
      <c r="N118" s="88"/>
      <c r="O118" s="88"/>
      <c r="P118" s="88"/>
      <c r="Q118" s="88"/>
      <c r="R118" s="88"/>
      <c r="S118" s="88"/>
      <c r="T118" s="88"/>
      <c r="U118" s="88"/>
      <c r="V118" s="88"/>
      <c r="W118" s="88"/>
      <c r="X118" s="88"/>
      <c r="Y118" s="88"/>
      <c r="Z118" s="88"/>
      <c r="AA118" s="88"/>
    </row>
    <row r="119" spans="1:27" ht="13.2">
      <c r="A119" s="88"/>
      <c r="B119" s="88"/>
      <c r="C119" s="88"/>
      <c r="D119" s="88"/>
      <c r="E119" s="88"/>
      <c r="F119" s="88"/>
      <c r="G119" s="88"/>
      <c r="H119" s="88"/>
      <c r="I119" s="88"/>
      <c r="J119" s="88"/>
      <c r="K119" s="88"/>
      <c r="L119" s="88"/>
      <c r="M119" s="88"/>
      <c r="N119" s="88"/>
      <c r="O119" s="88"/>
      <c r="P119" s="88"/>
      <c r="Q119" s="88"/>
      <c r="R119" s="88"/>
      <c r="S119" s="88"/>
      <c r="T119" s="88"/>
      <c r="U119" s="88"/>
      <c r="V119" s="88"/>
      <c r="W119" s="88"/>
      <c r="X119" s="88"/>
      <c r="Y119" s="88"/>
      <c r="Z119" s="88"/>
      <c r="AA119" s="88"/>
    </row>
    <row r="120" spans="1:27" ht="13.2">
      <c r="A120" s="88"/>
      <c r="B120" s="88"/>
      <c r="C120" s="88"/>
      <c r="D120" s="88"/>
      <c r="E120" s="88"/>
      <c r="F120" s="88"/>
      <c r="G120" s="88"/>
      <c r="H120" s="88"/>
      <c r="I120" s="88"/>
      <c r="J120" s="88"/>
      <c r="K120" s="88"/>
      <c r="L120" s="88"/>
      <c r="M120" s="88"/>
      <c r="N120" s="88"/>
      <c r="O120" s="88"/>
      <c r="P120" s="88"/>
      <c r="Q120" s="88"/>
      <c r="R120" s="88"/>
      <c r="S120" s="88"/>
      <c r="T120" s="88"/>
      <c r="U120" s="88"/>
      <c r="V120" s="88"/>
      <c r="W120" s="88"/>
      <c r="X120" s="88"/>
      <c r="Y120" s="88"/>
      <c r="Z120" s="88"/>
      <c r="AA120" s="88"/>
    </row>
    <row r="121" spans="1:27" ht="13.2">
      <c r="A121" s="88"/>
      <c r="B121" s="88"/>
      <c r="C121" s="88"/>
      <c r="D121" s="88"/>
      <c r="E121" s="88"/>
      <c r="F121" s="88"/>
      <c r="G121" s="88"/>
      <c r="H121" s="88"/>
      <c r="I121" s="88"/>
      <c r="J121" s="88"/>
      <c r="K121" s="88"/>
      <c r="L121" s="88"/>
      <c r="M121" s="88"/>
      <c r="N121" s="88"/>
      <c r="O121" s="88"/>
      <c r="P121" s="88"/>
      <c r="Q121" s="88"/>
      <c r="R121" s="88"/>
      <c r="S121" s="88"/>
      <c r="T121" s="88"/>
      <c r="U121" s="88"/>
      <c r="V121" s="88"/>
      <c r="W121" s="88"/>
      <c r="X121" s="88"/>
      <c r="Y121" s="88"/>
      <c r="Z121" s="88"/>
      <c r="AA121" s="88"/>
    </row>
    <row r="122" spans="1:27" ht="13.2">
      <c r="A122" s="88"/>
      <c r="B122" s="88"/>
      <c r="C122" s="88"/>
      <c r="D122" s="88"/>
      <c r="E122" s="88"/>
      <c r="F122" s="88"/>
      <c r="G122" s="88"/>
      <c r="H122" s="88"/>
      <c r="I122" s="88"/>
      <c r="J122" s="88"/>
      <c r="K122" s="88"/>
      <c r="L122" s="88"/>
      <c r="M122" s="88"/>
      <c r="N122" s="88"/>
      <c r="O122" s="88"/>
      <c r="P122" s="88"/>
      <c r="Q122" s="88"/>
      <c r="R122" s="88"/>
      <c r="S122" s="88"/>
      <c r="T122" s="88"/>
      <c r="U122" s="88"/>
      <c r="V122" s="88"/>
      <c r="W122" s="88"/>
      <c r="X122" s="88"/>
      <c r="Y122" s="88"/>
      <c r="Z122" s="88"/>
      <c r="AA122" s="88"/>
    </row>
    <row r="123" spans="1:27" ht="13.2">
      <c r="A123" s="88"/>
      <c r="B123" s="88"/>
      <c r="C123" s="88"/>
      <c r="D123" s="88"/>
      <c r="E123" s="88"/>
      <c r="F123" s="88"/>
      <c r="G123" s="88"/>
      <c r="H123" s="88"/>
      <c r="I123" s="88"/>
      <c r="J123" s="88"/>
      <c r="K123" s="88"/>
      <c r="L123" s="88"/>
      <c r="M123" s="88"/>
      <c r="N123" s="88"/>
      <c r="O123" s="88"/>
      <c r="P123" s="88"/>
      <c r="Q123" s="88"/>
      <c r="R123" s="88"/>
      <c r="S123" s="88"/>
      <c r="T123" s="88"/>
      <c r="U123" s="88"/>
      <c r="V123" s="88"/>
      <c r="W123" s="88"/>
      <c r="X123" s="88"/>
      <c r="Y123" s="88"/>
      <c r="Z123" s="88"/>
      <c r="AA123" s="88"/>
    </row>
    <row r="124" spans="1:27" ht="13.2">
      <c r="A124" s="88"/>
      <c r="B124" s="88"/>
      <c r="C124" s="88"/>
      <c r="D124" s="88"/>
      <c r="E124" s="88"/>
      <c r="F124" s="88"/>
      <c r="G124" s="88"/>
      <c r="H124" s="88"/>
      <c r="I124" s="88"/>
      <c r="J124" s="88"/>
      <c r="K124" s="88"/>
      <c r="L124" s="88"/>
      <c r="M124" s="88"/>
      <c r="N124" s="88"/>
      <c r="O124" s="88"/>
      <c r="P124" s="88"/>
      <c r="Q124" s="88"/>
      <c r="R124" s="88"/>
      <c r="S124" s="88"/>
      <c r="T124" s="88"/>
      <c r="U124" s="88"/>
      <c r="V124" s="88"/>
      <c r="W124" s="88"/>
      <c r="X124" s="88"/>
      <c r="Y124" s="88"/>
      <c r="Z124" s="88"/>
      <c r="AA124" s="88"/>
    </row>
    <row r="125" spans="1:27" ht="13.2">
      <c r="A125" s="88"/>
      <c r="B125" s="88"/>
      <c r="C125" s="88"/>
      <c r="D125" s="88"/>
      <c r="E125" s="88"/>
      <c r="F125" s="88"/>
      <c r="G125" s="88"/>
      <c r="H125" s="88"/>
      <c r="I125" s="88"/>
      <c r="J125" s="88"/>
      <c r="K125" s="88"/>
      <c r="L125" s="88"/>
      <c r="M125" s="88"/>
      <c r="N125" s="88"/>
      <c r="O125" s="88"/>
      <c r="P125" s="88"/>
      <c r="Q125" s="88"/>
      <c r="R125" s="88"/>
      <c r="S125" s="88"/>
      <c r="T125" s="88"/>
      <c r="U125" s="88"/>
      <c r="V125" s="88"/>
      <c r="W125" s="88"/>
      <c r="X125" s="88"/>
      <c r="Y125" s="88"/>
      <c r="Z125" s="88"/>
      <c r="AA125" s="88"/>
    </row>
    <row r="126" spans="1:27" ht="13.2">
      <c r="A126" s="88"/>
      <c r="B126" s="88"/>
      <c r="C126" s="88"/>
      <c r="D126" s="88"/>
      <c r="E126" s="88"/>
      <c r="F126" s="88"/>
      <c r="G126" s="88"/>
      <c r="H126" s="88"/>
      <c r="I126" s="88"/>
      <c r="J126" s="88"/>
      <c r="K126" s="88"/>
      <c r="L126" s="88"/>
      <c r="M126" s="88"/>
      <c r="N126" s="88"/>
      <c r="O126" s="88"/>
      <c r="P126" s="88"/>
      <c r="Q126" s="88"/>
      <c r="R126" s="88"/>
      <c r="S126" s="88"/>
      <c r="T126" s="88"/>
      <c r="U126" s="88"/>
      <c r="V126" s="88"/>
      <c r="W126" s="88"/>
      <c r="X126" s="88"/>
      <c r="Y126" s="88"/>
      <c r="Z126" s="88"/>
      <c r="AA126" s="88"/>
    </row>
    <row r="127" spans="1:27" ht="13.2">
      <c r="A127" s="88"/>
      <c r="B127" s="88"/>
      <c r="C127" s="88"/>
      <c r="D127" s="88"/>
      <c r="E127" s="88"/>
      <c r="F127" s="88"/>
      <c r="G127" s="88"/>
      <c r="H127" s="88"/>
      <c r="I127" s="88"/>
      <c r="J127" s="88"/>
      <c r="K127" s="88"/>
      <c r="L127" s="88"/>
      <c r="M127" s="88"/>
      <c r="N127" s="88"/>
      <c r="O127" s="88"/>
      <c r="P127" s="88"/>
      <c r="Q127" s="88"/>
      <c r="R127" s="88"/>
      <c r="S127" s="88"/>
      <c r="T127" s="88"/>
      <c r="U127" s="88"/>
      <c r="V127" s="88"/>
      <c r="W127" s="88"/>
      <c r="X127" s="88"/>
      <c r="Y127" s="88"/>
      <c r="Z127" s="88"/>
      <c r="AA127" s="88"/>
    </row>
    <row r="128" spans="1:27" ht="13.2">
      <c r="A128" s="88"/>
      <c r="B128" s="88"/>
      <c r="C128" s="88"/>
      <c r="D128" s="88"/>
      <c r="E128" s="88"/>
      <c r="F128" s="88"/>
      <c r="G128" s="88"/>
      <c r="H128" s="88"/>
      <c r="I128" s="88"/>
      <c r="J128" s="88"/>
      <c r="K128" s="88"/>
      <c r="L128" s="88"/>
      <c r="M128" s="88"/>
      <c r="N128" s="88"/>
      <c r="O128" s="88"/>
      <c r="P128" s="88"/>
      <c r="Q128" s="88"/>
      <c r="R128" s="88"/>
      <c r="S128" s="88"/>
      <c r="T128" s="88"/>
      <c r="U128" s="88"/>
      <c r="V128" s="88"/>
      <c r="W128" s="88"/>
      <c r="X128" s="88"/>
      <c r="Y128" s="88"/>
      <c r="Z128" s="88"/>
      <c r="AA128" s="88"/>
    </row>
    <row r="129" spans="1:27" ht="13.2">
      <c r="A129" s="88"/>
      <c r="B129" s="88"/>
      <c r="C129" s="88"/>
      <c r="D129" s="88"/>
      <c r="E129" s="88"/>
      <c r="F129" s="88"/>
      <c r="G129" s="88"/>
      <c r="H129" s="88"/>
      <c r="I129" s="88"/>
      <c r="J129" s="88"/>
      <c r="K129" s="88"/>
      <c r="L129" s="88"/>
      <c r="M129" s="88"/>
      <c r="N129" s="88"/>
      <c r="O129" s="88"/>
      <c r="P129" s="88"/>
      <c r="Q129" s="88"/>
      <c r="R129" s="88"/>
      <c r="S129" s="88"/>
      <c r="T129" s="88"/>
      <c r="U129" s="88"/>
      <c r="V129" s="88"/>
      <c r="W129" s="88"/>
      <c r="X129" s="88"/>
      <c r="Y129" s="88"/>
      <c r="Z129" s="88"/>
      <c r="AA129" s="88"/>
    </row>
    <row r="130" spans="1:27" ht="13.2">
      <c r="A130" s="88"/>
      <c r="B130" s="88"/>
      <c r="C130" s="88"/>
      <c r="D130" s="88"/>
      <c r="E130" s="88"/>
      <c r="F130" s="88"/>
      <c r="G130" s="88"/>
      <c r="H130" s="88"/>
      <c r="I130" s="88"/>
      <c r="J130" s="88"/>
      <c r="K130" s="88"/>
      <c r="L130" s="88"/>
      <c r="M130" s="88"/>
      <c r="N130" s="88"/>
      <c r="O130" s="88"/>
      <c r="P130" s="88"/>
      <c r="Q130" s="88"/>
      <c r="R130" s="88"/>
      <c r="S130" s="88"/>
      <c r="T130" s="88"/>
      <c r="U130" s="88"/>
      <c r="V130" s="88"/>
      <c r="W130" s="88"/>
      <c r="X130" s="88"/>
      <c r="Y130" s="88"/>
      <c r="Z130" s="88"/>
      <c r="AA130" s="88"/>
    </row>
    <row r="131" spans="1:27" ht="13.2">
      <c r="A131" s="88"/>
      <c r="B131" s="88"/>
      <c r="C131" s="88"/>
      <c r="D131" s="88"/>
      <c r="E131" s="88"/>
      <c r="F131" s="88"/>
      <c r="G131" s="88"/>
      <c r="H131" s="88"/>
      <c r="I131" s="88"/>
      <c r="J131" s="88"/>
      <c r="K131" s="88"/>
      <c r="L131" s="88"/>
      <c r="M131" s="88"/>
      <c r="N131" s="88"/>
      <c r="O131" s="88"/>
      <c r="P131" s="88"/>
      <c r="Q131" s="88"/>
      <c r="R131" s="88"/>
      <c r="S131" s="88"/>
      <c r="T131" s="88"/>
      <c r="U131" s="88"/>
      <c r="V131" s="88"/>
      <c r="W131" s="88"/>
      <c r="X131" s="88"/>
      <c r="Y131" s="88"/>
      <c r="Z131" s="88"/>
      <c r="AA131" s="88"/>
    </row>
    <row r="132" spans="1:27" ht="13.2">
      <c r="A132" s="88"/>
      <c r="B132" s="88"/>
      <c r="C132" s="88"/>
      <c r="D132" s="88"/>
      <c r="E132" s="88"/>
      <c r="F132" s="88"/>
      <c r="G132" s="88"/>
      <c r="H132" s="88"/>
      <c r="I132" s="88"/>
      <c r="J132" s="88"/>
      <c r="K132" s="88"/>
      <c r="L132" s="88"/>
      <c r="M132" s="88"/>
      <c r="N132" s="88"/>
      <c r="O132" s="88"/>
      <c r="P132" s="88"/>
      <c r="Q132" s="88"/>
      <c r="R132" s="88"/>
      <c r="S132" s="88"/>
      <c r="T132" s="88"/>
      <c r="U132" s="88"/>
      <c r="V132" s="88"/>
      <c r="W132" s="88"/>
      <c r="X132" s="88"/>
      <c r="Y132" s="88"/>
      <c r="Z132" s="88"/>
      <c r="AA132" s="88"/>
    </row>
    <row r="133" spans="1:27" ht="13.2">
      <c r="A133" s="88"/>
      <c r="B133" s="88"/>
      <c r="C133" s="88"/>
      <c r="D133" s="88"/>
      <c r="E133" s="88"/>
      <c r="F133" s="88"/>
      <c r="G133" s="88"/>
      <c r="H133" s="88"/>
      <c r="I133" s="88"/>
      <c r="J133" s="88"/>
      <c r="K133" s="88"/>
      <c r="L133" s="88"/>
      <c r="M133" s="88"/>
      <c r="N133" s="88"/>
      <c r="O133" s="88"/>
      <c r="P133" s="88"/>
      <c r="Q133" s="88"/>
      <c r="R133" s="88"/>
      <c r="S133" s="88"/>
      <c r="T133" s="88"/>
      <c r="U133" s="88"/>
      <c r="V133" s="88"/>
      <c r="W133" s="88"/>
      <c r="X133" s="88"/>
      <c r="Y133" s="88"/>
      <c r="Z133" s="88"/>
      <c r="AA133" s="88"/>
    </row>
    <row r="134" spans="1:27" ht="13.2">
      <c r="A134" s="88"/>
      <c r="B134" s="88"/>
      <c r="C134" s="88"/>
      <c r="D134" s="88"/>
      <c r="E134" s="88"/>
      <c r="F134" s="88"/>
      <c r="G134" s="88"/>
      <c r="H134" s="88"/>
      <c r="I134" s="88"/>
      <c r="J134" s="88"/>
      <c r="K134" s="88"/>
      <c r="L134" s="88"/>
      <c r="M134" s="88"/>
      <c r="N134" s="88"/>
      <c r="O134" s="88"/>
      <c r="P134" s="88"/>
      <c r="Q134" s="88"/>
      <c r="R134" s="88"/>
      <c r="S134" s="88"/>
      <c r="T134" s="88"/>
      <c r="U134" s="88"/>
      <c r="V134" s="88"/>
      <c r="W134" s="88"/>
      <c r="X134" s="88"/>
      <c r="Y134" s="88"/>
      <c r="Z134" s="88"/>
      <c r="AA134" s="88"/>
    </row>
    <row r="135" spans="1:27" ht="13.2">
      <c r="A135" s="88"/>
      <c r="B135" s="88"/>
      <c r="C135" s="88"/>
      <c r="D135" s="88"/>
      <c r="E135" s="88"/>
      <c r="F135" s="88"/>
      <c r="G135" s="88"/>
      <c r="H135" s="88"/>
      <c r="I135" s="88"/>
      <c r="J135" s="88"/>
      <c r="K135" s="88"/>
      <c r="L135" s="88"/>
      <c r="M135" s="88"/>
      <c r="N135" s="88"/>
      <c r="O135" s="88"/>
      <c r="P135" s="88"/>
      <c r="Q135" s="88"/>
      <c r="R135" s="88"/>
      <c r="S135" s="88"/>
      <c r="T135" s="88"/>
      <c r="U135" s="88"/>
      <c r="V135" s="88"/>
      <c r="W135" s="88"/>
      <c r="X135" s="88"/>
      <c r="Y135" s="88"/>
      <c r="Z135" s="88"/>
      <c r="AA135" s="88"/>
    </row>
    <row r="136" spans="1:27" ht="13.2">
      <c r="A136" s="88"/>
      <c r="B136" s="88"/>
      <c r="C136" s="88"/>
      <c r="D136" s="88"/>
      <c r="E136" s="88"/>
      <c r="F136" s="88"/>
      <c r="G136" s="88"/>
      <c r="H136" s="88"/>
      <c r="I136" s="88"/>
      <c r="J136" s="88"/>
      <c r="K136" s="88"/>
      <c r="L136" s="88"/>
      <c r="M136" s="88"/>
      <c r="N136" s="88"/>
      <c r="O136" s="88"/>
      <c r="P136" s="88"/>
      <c r="Q136" s="88"/>
      <c r="R136" s="88"/>
      <c r="S136" s="88"/>
      <c r="T136" s="88"/>
      <c r="U136" s="88"/>
      <c r="V136" s="88"/>
      <c r="W136" s="88"/>
      <c r="X136" s="88"/>
      <c r="Y136" s="88"/>
      <c r="Z136" s="88"/>
      <c r="AA136" s="88"/>
    </row>
    <row r="137" spans="1:27" ht="13.2">
      <c r="A137" s="88"/>
      <c r="B137" s="88"/>
      <c r="C137" s="88"/>
      <c r="D137" s="88"/>
      <c r="E137" s="88"/>
      <c r="F137" s="88"/>
      <c r="G137" s="88"/>
      <c r="H137" s="88"/>
      <c r="I137" s="88"/>
      <c r="J137" s="88"/>
      <c r="K137" s="88"/>
      <c r="L137" s="88"/>
      <c r="M137" s="88"/>
      <c r="N137" s="88"/>
      <c r="O137" s="88"/>
      <c r="P137" s="88"/>
      <c r="Q137" s="88"/>
      <c r="R137" s="88"/>
      <c r="S137" s="88"/>
      <c r="T137" s="88"/>
      <c r="U137" s="88"/>
      <c r="V137" s="88"/>
      <c r="W137" s="88"/>
      <c r="X137" s="88"/>
      <c r="Y137" s="88"/>
      <c r="Z137" s="88"/>
      <c r="AA137" s="88"/>
    </row>
    <row r="138" spans="1:27" ht="13.2">
      <c r="A138" s="88"/>
      <c r="B138" s="88"/>
      <c r="C138" s="88"/>
      <c r="D138" s="88"/>
      <c r="E138" s="88"/>
      <c r="F138" s="88"/>
      <c r="G138" s="88"/>
      <c r="H138" s="88"/>
      <c r="I138" s="88"/>
      <c r="J138" s="88"/>
      <c r="K138" s="88"/>
      <c r="L138" s="88"/>
      <c r="M138" s="88"/>
      <c r="N138" s="88"/>
      <c r="O138" s="88"/>
      <c r="P138" s="88"/>
      <c r="Q138" s="88"/>
      <c r="R138" s="88"/>
      <c r="S138" s="88"/>
      <c r="T138" s="88"/>
      <c r="U138" s="88"/>
      <c r="V138" s="88"/>
      <c r="W138" s="88"/>
      <c r="X138" s="88"/>
      <c r="Y138" s="88"/>
      <c r="Z138" s="88"/>
      <c r="AA138" s="88"/>
    </row>
    <row r="139" spans="1:27" ht="13.2">
      <c r="A139" s="88"/>
      <c r="B139" s="88"/>
      <c r="C139" s="88"/>
      <c r="D139" s="88"/>
      <c r="E139" s="88"/>
      <c r="F139" s="88"/>
      <c r="G139" s="88"/>
      <c r="H139" s="88"/>
      <c r="I139" s="88"/>
      <c r="J139" s="88"/>
      <c r="K139" s="88"/>
      <c r="L139" s="88"/>
      <c r="M139" s="88"/>
      <c r="N139" s="88"/>
      <c r="O139" s="88"/>
      <c r="P139" s="88"/>
      <c r="Q139" s="88"/>
      <c r="R139" s="88"/>
      <c r="S139" s="88"/>
      <c r="T139" s="88"/>
      <c r="U139" s="88"/>
      <c r="V139" s="88"/>
      <c r="W139" s="88"/>
      <c r="X139" s="88"/>
      <c r="Y139" s="88"/>
      <c r="Z139" s="88"/>
      <c r="AA139" s="88"/>
    </row>
    <row r="140" spans="1:27" ht="13.2">
      <c r="A140" s="88"/>
      <c r="B140" s="88"/>
      <c r="C140" s="88"/>
      <c r="D140" s="88"/>
      <c r="E140" s="88"/>
      <c r="F140" s="88"/>
      <c r="G140" s="88"/>
      <c r="H140" s="88"/>
      <c r="I140" s="88"/>
      <c r="J140" s="88"/>
      <c r="K140" s="88"/>
      <c r="L140" s="88"/>
      <c r="M140" s="88"/>
      <c r="N140" s="88"/>
      <c r="O140" s="88"/>
      <c r="P140" s="88"/>
      <c r="Q140" s="88"/>
      <c r="R140" s="88"/>
      <c r="S140" s="88"/>
      <c r="T140" s="88"/>
      <c r="U140" s="88"/>
      <c r="V140" s="88"/>
      <c r="W140" s="88"/>
      <c r="X140" s="88"/>
      <c r="Y140" s="88"/>
      <c r="Z140" s="88"/>
      <c r="AA140" s="88"/>
    </row>
    <row r="141" spans="1:27" ht="13.2">
      <c r="A141" s="88"/>
      <c r="B141" s="88"/>
      <c r="C141" s="88"/>
      <c r="D141" s="88"/>
      <c r="E141" s="88"/>
      <c r="F141" s="88"/>
      <c r="G141" s="88"/>
      <c r="H141" s="88"/>
      <c r="I141" s="88"/>
      <c r="J141" s="88"/>
      <c r="K141" s="88"/>
      <c r="L141" s="88"/>
      <c r="M141" s="88"/>
      <c r="N141" s="88"/>
      <c r="O141" s="88"/>
      <c r="P141" s="88"/>
      <c r="Q141" s="88"/>
      <c r="R141" s="88"/>
      <c r="S141" s="88"/>
      <c r="T141" s="88"/>
      <c r="U141" s="88"/>
      <c r="V141" s="88"/>
      <c r="W141" s="88"/>
      <c r="X141" s="88"/>
      <c r="Y141" s="88"/>
      <c r="Z141" s="88"/>
      <c r="AA141" s="88"/>
    </row>
    <row r="142" spans="1:27" ht="13.2">
      <c r="A142" s="88"/>
      <c r="B142" s="88"/>
      <c r="C142" s="88"/>
      <c r="D142" s="88"/>
      <c r="E142" s="88"/>
      <c r="F142" s="88"/>
      <c r="G142" s="88"/>
      <c r="H142" s="88"/>
      <c r="I142" s="88"/>
      <c r="J142" s="88"/>
      <c r="K142" s="88"/>
      <c r="L142" s="88"/>
      <c r="M142" s="88"/>
      <c r="N142" s="88"/>
      <c r="O142" s="88"/>
      <c r="P142" s="88"/>
      <c r="Q142" s="88"/>
      <c r="R142" s="88"/>
      <c r="S142" s="88"/>
      <c r="T142" s="88"/>
      <c r="U142" s="88"/>
      <c r="V142" s="88"/>
      <c r="W142" s="88"/>
      <c r="X142" s="88"/>
      <c r="Y142" s="88"/>
      <c r="Z142" s="88"/>
      <c r="AA142" s="88"/>
    </row>
    <row r="143" spans="1:27" ht="13.2">
      <c r="A143" s="88"/>
      <c r="B143" s="88"/>
      <c r="C143" s="88"/>
      <c r="D143" s="88"/>
      <c r="E143" s="88"/>
      <c r="F143" s="88"/>
      <c r="G143" s="88"/>
      <c r="H143" s="88"/>
      <c r="I143" s="88"/>
      <c r="J143" s="88"/>
      <c r="K143" s="88"/>
      <c r="L143" s="88"/>
      <c r="M143" s="88"/>
      <c r="N143" s="88"/>
      <c r="O143" s="88"/>
      <c r="P143" s="88"/>
      <c r="Q143" s="88"/>
      <c r="R143" s="88"/>
      <c r="S143" s="88"/>
      <c r="T143" s="88"/>
      <c r="U143" s="88"/>
      <c r="V143" s="88"/>
      <c r="W143" s="88"/>
      <c r="X143" s="88"/>
      <c r="Y143" s="88"/>
      <c r="Z143" s="88"/>
      <c r="AA143" s="88"/>
    </row>
    <row r="144" spans="1:27" ht="13.2">
      <c r="A144" s="88"/>
      <c r="B144" s="88"/>
      <c r="C144" s="88"/>
      <c r="D144" s="88"/>
      <c r="E144" s="88"/>
      <c r="F144" s="88"/>
      <c r="G144" s="88"/>
      <c r="H144" s="88"/>
      <c r="I144" s="88"/>
      <c r="J144" s="88"/>
      <c r="K144" s="88"/>
      <c r="L144" s="88"/>
      <c r="M144" s="88"/>
      <c r="N144" s="88"/>
      <c r="O144" s="88"/>
      <c r="P144" s="88"/>
      <c r="Q144" s="88"/>
      <c r="R144" s="88"/>
      <c r="S144" s="88"/>
      <c r="T144" s="88"/>
      <c r="U144" s="88"/>
      <c r="V144" s="88"/>
      <c r="W144" s="88"/>
      <c r="X144" s="88"/>
      <c r="Y144" s="88"/>
      <c r="Z144" s="88"/>
      <c r="AA144" s="88"/>
    </row>
    <row r="145" spans="1:27" ht="13.2">
      <c r="A145" s="88"/>
      <c r="B145" s="88"/>
      <c r="C145" s="88"/>
      <c r="D145" s="88"/>
      <c r="E145" s="88"/>
      <c r="F145" s="88"/>
      <c r="G145" s="88"/>
      <c r="H145" s="88"/>
      <c r="I145" s="88"/>
      <c r="J145" s="88"/>
      <c r="K145" s="88"/>
      <c r="L145" s="88"/>
      <c r="M145" s="88"/>
      <c r="N145" s="88"/>
      <c r="O145" s="88"/>
      <c r="P145" s="88"/>
      <c r="Q145" s="88"/>
      <c r="R145" s="88"/>
      <c r="S145" s="88"/>
      <c r="T145" s="88"/>
      <c r="U145" s="88"/>
      <c r="V145" s="88"/>
      <c r="W145" s="88"/>
      <c r="X145" s="88"/>
      <c r="Y145" s="88"/>
      <c r="Z145" s="88"/>
      <c r="AA145" s="88"/>
    </row>
    <row r="146" spans="1:27" ht="13.2">
      <c r="A146" s="88"/>
      <c r="B146" s="88"/>
      <c r="C146" s="88"/>
      <c r="D146" s="88"/>
      <c r="E146" s="88"/>
      <c r="F146" s="88"/>
      <c r="G146" s="88"/>
      <c r="H146" s="88"/>
      <c r="I146" s="88"/>
      <c r="J146" s="88"/>
      <c r="K146" s="88"/>
      <c r="L146" s="88"/>
      <c r="M146" s="88"/>
      <c r="N146" s="88"/>
      <c r="O146" s="88"/>
      <c r="P146" s="88"/>
      <c r="Q146" s="88"/>
      <c r="R146" s="88"/>
      <c r="S146" s="88"/>
      <c r="T146" s="88"/>
      <c r="U146" s="88"/>
      <c r="V146" s="88"/>
      <c r="W146" s="88"/>
      <c r="X146" s="88"/>
      <c r="Y146" s="88"/>
      <c r="Z146" s="88"/>
      <c r="AA146" s="88"/>
    </row>
    <row r="147" spans="1:27" ht="13.2">
      <c r="A147" s="88"/>
      <c r="B147" s="88"/>
      <c r="C147" s="88"/>
      <c r="D147" s="88"/>
      <c r="E147" s="88"/>
      <c r="F147" s="88"/>
      <c r="G147" s="88"/>
      <c r="H147" s="88"/>
      <c r="I147" s="88"/>
      <c r="J147" s="88"/>
      <c r="K147" s="88"/>
      <c r="L147" s="88"/>
      <c r="M147" s="88"/>
      <c r="N147" s="88"/>
      <c r="O147" s="88"/>
      <c r="P147" s="88"/>
      <c r="Q147" s="88"/>
      <c r="R147" s="88"/>
      <c r="S147" s="88"/>
      <c r="T147" s="88"/>
      <c r="U147" s="88"/>
      <c r="V147" s="88"/>
      <c r="W147" s="88"/>
      <c r="X147" s="88"/>
      <c r="Y147" s="88"/>
      <c r="Z147" s="88"/>
      <c r="AA147" s="88"/>
    </row>
    <row r="148" spans="1:27" ht="13.2">
      <c r="A148" s="88"/>
      <c r="B148" s="88"/>
      <c r="C148" s="88"/>
      <c r="D148" s="88"/>
      <c r="E148" s="88"/>
      <c r="F148" s="88"/>
      <c r="G148" s="88"/>
      <c r="H148" s="88"/>
      <c r="I148" s="88"/>
      <c r="J148" s="88"/>
      <c r="K148" s="88"/>
      <c r="L148" s="88"/>
      <c r="M148" s="88"/>
      <c r="N148" s="88"/>
      <c r="O148" s="88"/>
      <c r="P148" s="88"/>
      <c r="Q148" s="88"/>
      <c r="R148" s="88"/>
      <c r="S148" s="88"/>
      <c r="T148" s="88"/>
      <c r="U148" s="88"/>
      <c r="V148" s="88"/>
      <c r="W148" s="88"/>
      <c r="X148" s="88"/>
      <c r="Y148" s="88"/>
      <c r="Z148" s="88"/>
      <c r="AA148" s="88"/>
    </row>
    <row r="149" spans="1:27" ht="13.2">
      <c r="A149" s="88"/>
      <c r="B149" s="88"/>
      <c r="C149" s="88"/>
      <c r="D149" s="88"/>
      <c r="E149" s="88"/>
      <c r="F149" s="88"/>
      <c r="G149" s="88"/>
      <c r="H149" s="88"/>
      <c r="I149" s="88"/>
      <c r="J149" s="88"/>
      <c r="K149" s="88"/>
      <c r="L149" s="88"/>
      <c r="M149" s="88"/>
      <c r="N149" s="88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8"/>
      <c r="Z149" s="88"/>
      <c r="AA149" s="88"/>
    </row>
    <row r="150" spans="1:27" ht="13.2">
      <c r="A150" s="88"/>
      <c r="B150" s="88"/>
      <c r="C150" s="88"/>
      <c r="D150" s="88"/>
      <c r="E150" s="88"/>
      <c r="F150" s="88"/>
      <c r="G150" s="88"/>
      <c r="H150" s="88"/>
      <c r="I150" s="88"/>
      <c r="J150" s="88"/>
      <c r="K150" s="88"/>
      <c r="L150" s="88"/>
      <c r="M150" s="88"/>
      <c r="N150" s="88"/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8"/>
      <c r="Z150" s="88"/>
      <c r="AA150" s="88"/>
    </row>
    <row r="151" spans="1:27" ht="13.2">
      <c r="A151" s="88"/>
      <c r="B151" s="88"/>
      <c r="C151" s="88"/>
      <c r="D151" s="88"/>
      <c r="E151" s="88"/>
      <c r="F151" s="88"/>
      <c r="G151" s="88"/>
      <c r="H151" s="88"/>
      <c r="I151" s="88"/>
      <c r="J151" s="88"/>
      <c r="K151" s="88"/>
      <c r="L151" s="88"/>
      <c r="M151" s="88"/>
      <c r="N151" s="88"/>
      <c r="O151" s="88"/>
      <c r="P151" s="88"/>
      <c r="Q151" s="88"/>
      <c r="R151" s="88"/>
      <c r="S151" s="88"/>
      <c r="T151" s="88"/>
      <c r="U151" s="88"/>
      <c r="V151" s="88"/>
      <c r="W151" s="88"/>
      <c r="X151" s="88"/>
      <c r="Y151" s="88"/>
      <c r="Z151" s="88"/>
      <c r="AA151" s="88"/>
    </row>
    <row r="152" spans="1:27" ht="13.2">
      <c r="A152" s="88"/>
      <c r="B152" s="88"/>
      <c r="C152" s="88"/>
      <c r="D152" s="88"/>
      <c r="E152" s="88"/>
      <c r="F152" s="88"/>
      <c r="G152" s="88"/>
      <c r="H152" s="88"/>
      <c r="I152" s="88"/>
      <c r="J152" s="88"/>
      <c r="K152" s="88"/>
      <c r="L152" s="88"/>
      <c r="M152" s="88"/>
      <c r="N152" s="88"/>
      <c r="O152" s="88"/>
      <c r="P152" s="88"/>
      <c r="Q152" s="88"/>
      <c r="R152" s="88"/>
      <c r="S152" s="88"/>
      <c r="T152" s="88"/>
      <c r="U152" s="88"/>
      <c r="V152" s="88"/>
      <c r="W152" s="88"/>
      <c r="X152" s="88"/>
      <c r="Y152" s="88"/>
      <c r="Z152" s="88"/>
      <c r="AA152" s="88"/>
    </row>
    <row r="153" spans="1:27" ht="13.2">
      <c r="A153" s="88"/>
      <c r="B153" s="88"/>
      <c r="C153" s="88"/>
      <c r="D153" s="88"/>
      <c r="E153" s="88"/>
      <c r="F153" s="88"/>
      <c r="G153" s="88"/>
      <c r="H153" s="88"/>
      <c r="I153" s="88"/>
      <c r="J153" s="88"/>
      <c r="K153" s="88"/>
      <c r="L153" s="88"/>
      <c r="M153" s="88"/>
      <c r="N153" s="88"/>
      <c r="O153" s="88"/>
      <c r="P153" s="88"/>
      <c r="Q153" s="88"/>
      <c r="R153" s="88"/>
      <c r="S153" s="88"/>
      <c r="T153" s="88"/>
      <c r="U153" s="88"/>
      <c r="V153" s="88"/>
      <c r="W153" s="88"/>
      <c r="X153" s="88"/>
      <c r="Y153" s="88"/>
      <c r="Z153" s="88"/>
      <c r="AA153" s="88"/>
    </row>
    <row r="154" spans="1:27" ht="13.2">
      <c r="A154" s="88"/>
      <c r="B154" s="88"/>
      <c r="C154" s="88"/>
      <c r="D154" s="88"/>
      <c r="E154" s="88"/>
      <c r="F154" s="88"/>
      <c r="G154" s="88"/>
      <c r="H154" s="88"/>
      <c r="I154" s="88"/>
      <c r="J154" s="88"/>
      <c r="K154" s="88"/>
      <c r="L154" s="88"/>
      <c r="M154" s="88"/>
      <c r="N154" s="88"/>
      <c r="O154" s="88"/>
      <c r="P154" s="88"/>
      <c r="Q154" s="88"/>
      <c r="R154" s="88"/>
      <c r="S154" s="88"/>
      <c r="T154" s="88"/>
      <c r="U154" s="88"/>
      <c r="V154" s="88"/>
      <c r="W154" s="88"/>
      <c r="X154" s="88"/>
      <c r="Y154" s="88"/>
      <c r="Z154" s="88"/>
      <c r="AA154" s="88"/>
    </row>
    <row r="155" spans="1:27" ht="13.2">
      <c r="A155" s="88"/>
      <c r="B155" s="88"/>
      <c r="C155" s="88"/>
      <c r="D155" s="88"/>
      <c r="E155" s="88"/>
      <c r="F155" s="88"/>
      <c r="G155" s="88"/>
      <c r="H155" s="88"/>
      <c r="I155" s="88"/>
      <c r="J155" s="88"/>
      <c r="K155" s="88"/>
      <c r="L155" s="88"/>
      <c r="M155" s="88"/>
      <c r="N155" s="88"/>
      <c r="O155" s="88"/>
      <c r="P155" s="88"/>
      <c r="Q155" s="88"/>
      <c r="R155" s="88"/>
      <c r="S155" s="88"/>
      <c r="T155" s="88"/>
      <c r="U155" s="88"/>
      <c r="V155" s="88"/>
      <c r="W155" s="88"/>
      <c r="X155" s="88"/>
      <c r="Y155" s="88"/>
      <c r="Z155" s="88"/>
      <c r="AA155" s="88"/>
    </row>
    <row r="156" spans="1:27" ht="13.2">
      <c r="A156" s="88"/>
      <c r="B156" s="88"/>
      <c r="C156" s="88"/>
      <c r="D156" s="88"/>
      <c r="E156" s="88"/>
      <c r="F156" s="88"/>
      <c r="G156" s="88"/>
      <c r="H156" s="88"/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</row>
    <row r="157" spans="1:27" ht="13.2">
      <c r="A157" s="88"/>
      <c r="B157" s="88"/>
      <c r="C157" s="88"/>
      <c r="D157" s="88"/>
      <c r="E157" s="88"/>
      <c r="F157" s="88"/>
      <c r="G157" s="88"/>
      <c r="H157" s="88"/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</row>
    <row r="158" spans="1:27" ht="13.2">
      <c r="A158" s="88"/>
      <c r="B158" s="88"/>
      <c r="C158" s="88"/>
      <c r="D158" s="88"/>
      <c r="E158" s="88"/>
      <c r="F158" s="88"/>
      <c r="G158" s="88"/>
      <c r="H158" s="88"/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</row>
    <row r="159" spans="1:27" ht="13.2">
      <c r="A159" s="88"/>
      <c r="B159" s="88"/>
      <c r="C159" s="88"/>
      <c r="D159" s="88"/>
      <c r="E159" s="88"/>
      <c r="F159" s="88"/>
      <c r="G159" s="88"/>
      <c r="H159" s="88"/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</row>
    <row r="160" spans="1:27" ht="13.2">
      <c r="A160" s="88"/>
      <c r="B160" s="88"/>
      <c r="C160" s="88"/>
      <c r="D160" s="88"/>
      <c r="E160" s="88"/>
      <c r="F160" s="88"/>
      <c r="G160" s="88"/>
      <c r="H160" s="88"/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</row>
    <row r="161" spans="1:27" ht="13.2">
      <c r="A161" s="88"/>
      <c r="B161" s="88"/>
      <c r="C161" s="88"/>
      <c r="D161" s="88"/>
      <c r="E161" s="88"/>
      <c r="F161" s="88"/>
      <c r="G161" s="88"/>
      <c r="H161" s="88"/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</row>
    <row r="162" spans="1:27" ht="13.2">
      <c r="A162" s="88"/>
      <c r="B162" s="88"/>
      <c r="C162" s="88"/>
      <c r="D162" s="88"/>
      <c r="E162" s="88"/>
      <c r="F162" s="88"/>
      <c r="G162" s="88"/>
      <c r="H162" s="88"/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</row>
    <row r="163" spans="1:27" ht="13.2">
      <c r="A163" s="88"/>
      <c r="B163" s="88"/>
      <c r="C163" s="88"/>
      <c r="D163" s="88"/>
      <c r="E163" s="88"/>
      <c r="F163" s="88"/>
      <c r="G163" s="88"/>
      <c r="H163" s="88"/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</row>
    <row r="164" spans="1:27" ht="13.2">
      <c r="A164" s="88"/>
      <c r="B164" s="88"/>
      <c r="C164" s="88"/>
      <c r="D164" s="88"/>
      <c r="E164" s="88"/>
      <c r="F164" s="88"/>
      <c r="G164" s="88"/>
      <c r="H164" s="88"/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</row>
    <row r="165" spans="1:27" ht="13.2">
      <c r="A165" s="88"/>
      <c r="B165" s="88"/>
      <c r="C165" s="88"/>
      <c r="D165" s="88"/>
      <c r="E165" s="88"/>
      <c r="F165" s="88"/>
      <c r="G165" s="88"/>
      <c r="H165" s="88"/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</row>
    <row r="166" spans="1:27" ht="13.2">
      <c r="A166" s="88"/>
      <c r="B166" s="88"/>
      <c r="C166" s="88"/>
      <c r="D166" s="88"/>
      <c r="E166" s="88"/>
      <c r="F166" s="88"/>
      <c r="G166" s="88"/>
      <c r="H166" s="88"/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</row>
    <row r="167" spans="1:27" ht="13.2">
      <c r="A167" s="88"/>
      <c r="B167" s="88"/>
      <c r="C167" s="88"/>
      <c r="D167" s="88"/>
      <c r="E167" s="88"/>
      <c r="F167" s="88"/>
      <c r="G167" s="88"/>
      <c r="H167" s="88"/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</row>
    <row r="168" spans="1:27" ht="13.2">
      <c r="A168" s="88"/>
      <c r="B168" s="88"/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</row>
    <row r="169" spans="1:27" ht="13.2">
      <c r="A169" s="88"/>
      <c r="B169" s="88"/>
      <c r="C169" s="88"/>
      <c r="D169" s="88"/>
      <c r="E169" s="88"/>
      <c r="F169" s="88"/>
      <c r="G169" s="88"/>
      <c r="H169" s="88"/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88"/>
    </row>
    <row r="170" spans="1:27" ht="13.2">
      <c r="A170" s="88"/>
      <c r="B170" s="88"/>
      <c r="C170" s="88"/>
      <c r="D170" s="88"/>
      <c r="E170" s="88"/>
      <c r="F170" s="88"/>
      <c r="G170" s="88"/>
      <c r="H170" s="88"/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88"/>
    </row>
    <row r="171" spans="1:27" ht="13.2">
      <c r="A171" s="88"/>
      <c r="B171" s="88"/>
      <c r="C171" s="88"/>
      <c r="D171" s="88"/>
      <c r="E171" s="88"/>
      <c r="F171" s="88"/>
      <c r="G171" s="88"/>
      <c r="H171" s="88"/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  <c r="AA171" s="88"/>
    </row>
    <row r="172" spans="1:27" ht="13.2">
      <c r="A172" s="88"/>
      <c r="B172" s="88"/>
      <c r="C172" s="88"/>
      <c r="D172" s="88"/>
      <c r="E172" s="88"/>
      <c r="F172" s="88"/>
      <c r="G172" s="88"/>
      <c r="H172" s="88"/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  <c r="AA172" s="88"/>
    </row>
    <row r="173" spans="1:27" ht="13.2">
      <c r="A173" s="88"/>
      <c r="B173" s="88"/>
      <c r="C173" s="88"/>
      <c r="D173" s="88"/>
      <c r="E173" s="88"/>
      <c r="F173" s="88"/>
      <c r="G173" s="88"/>
      <c r="H173" s="88"/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</row>
    <row r="174" spans="1:27" ht="13.2">
      <c r="A174" s="88"/>
      <c r="B174" s="88"/>
      <c r="C174" s="88"/>
      <c r="D174" s="88"/>
      <c r="E174" s="88"/>
      <c r="F174" s="88"/>
      <c r="G174" s="88"/>
      <c r="H174" s="88"/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</row>
    <row r="175" spans="1:27" ht="13.2">
      <c r="A175" s="88"/>
      <c r="B175" s="88"/>
      <c r="C175" s="88"/>
      <c r="D175" s="88"/>
      <c r="E175" s="88"/>
      <c r="F175" s="88"/>
      <c r="G175" s="88"/>
      <c r="H175" s="88"/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/>
    </row>
    <row r="176" spans="1:27" ht="13.2">
      <c r="A176" s="88"/>
      <c r="B176" s="88"/>
      <c r="C176" s="88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</row>
    <row r="177" spans="1:27" ht="13.2">
      <c r="A177" s="88"/>
      <c r="B177" s="88"/>
      <c r="C177" s="88"/>
      <c r="D177" s="88"/>
      <c r="E177" s="88"/>
      <c r="F177" s="88"/>
      <c r="G177" s="88"/>
      <c r="H177" s="88"/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88"/>
    </row>
    <row r="178" spans="1:27" ht="13.2">
      <c r="A178" s="88"/>
      <c r="B178" s="88"/>
      <c r="C178" s="88"/>
      <c r="D178" s="88"/>
      <c r="E178" s="88"/>
      <c r="F178" s="88"/>
      <c r="G178" s="88"/>
      <c r="H178" s="88"/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88"/>
    </row>
    <row r="179" spans="1:27" ht="13.2">
      <c r="A179" s="88"/>
      <c r="B179" s="88"/>
      <c r="C179" s="88"/>
      <c r="D179" s="88"/>
      <c r="E179" s="88"/>
      <c r="F179" s="88"/>
      <c r="G179" s="88"/>
      <c r="H179" s="88"/>
      <c r="I179" s="88"/>
      <c r="J179" s="88"/>
      <c r="K179" s="88"/>
      <c r="L179" s="88"/>
      <c r="M179" s="88"/>
      <c r="N179" s="88"/>
      <c r="O179" s="88"/>
      <c r="P179" s="88"/>
      <c r="Q179" s="88"/>
      <c r="R179" s="88"/>
      <c r="S179" s="88"/>
      <c r="T179" s="88"/>
      <c r="U179" s="88"/>
      <c r="V179" s="88"/>
      <c r="W179" s="88"/>
      <c r="X179" s="88"/>
      <c r="Y179" s="88"/>
      <c r="Z179" s="88"/>
      <c r="AA179" s="88"/>
    </row>
    <row r="180" spans="1:27" ht="13.2">
      <c r="A180" s="88"/>
      <c r="B180" s="88"/>
      <c r="C180" s="88"/>
      <c r="D180" s="88"/>
      <c r="E180" s="88"/>
      <c r="F180" s="88"/>
      <c r="G180" s="88"/>
      <c r="H180" s="88"/>
      <c r="I180" s="88"/>
      <c r="J180" s="88"/>
      <c r="K180" s="88"/>
      <c r="L180" s="88"/>
      <c r="M180" s="88"/>
      <c r="N180" s="88"/>
      <c r="O180" s="88"/>
      <c r="P180" s="88"/>
      <c r="Q180" s="88"/>
      <c r="R180" s="88"/>
      <c r="S180" s="88"/>
      <c r="T180" s="88"/>
      <c r="U180" s="88"/>
      <c r="V180" s="88"/>
      <c r="W180" s="88"/>
      <c r="X180" s="88"/>
      <c r="Y180" s="88"/>
      <c r="Z180" s="88"/>
      <c r="AA180" s="88"/>
    </row>
    <row r="181" spans="1:27" ht="13.2">
      <c r="A181" s="88"/>
      <c r="B181" s="88"/>
      <c r="C181" s="88"/>
      <c r="D181" s="88"/>
      <c r="E181" s="88"/>
      <c r="F181" s="88"/>
      <c r="G181" s="88"/>
      <c r="H181" s="88"/>
      <c r="I181" s="88"/>
      <c r="J181" s="88"/>
      <c r="K181" s="88"/>
      <c r="L181" s="88"/>
      <c r="M181" s="88"/>
      <c r="N181" s="88"/>
      <c r="O181" s="88"/>
      <c r="P181" s="88"/>
      <c r="Q181" s="88"/>
      <c r="R181" s="88"/>
      <c r="S181" s="88"/>
      <c r="T181" s="88"/>
      <c r="U181" s="88"/>
      <c r="V181" s="88"/>
      <c r="W181" s="88"/>
      <c r="X181" s="88"/>
      <c r="Y181" s="88"/>
      <c r="Z181" s="88"/>
      <c r="AA181" s="88"/>
    </row>
    <row r="182" spans="1:27" ht="13.2">
      <c r="A182" s="88"/>
      <c r="B182" s="88"/>
      <c r="C182" s="88"/>
      <c r="D182" s="88"/>
      <c r="E182" s="88"/>
      <c r="F182" s="88"/>
      <c r="G182" s="88"/>
      <c r="H182" s="88"/>
      <c r="I182" s="88"/>
      <c r="J182" s="88"/>
      <c r="K182" s="88"/>
      <c r="L182" s="88"/>
      <c r="M182" s="88"/>
      <c r="N182" s="88"/>
      <c r="O182" s="88"/>
      <c r="P182" s="88"/>
      <c r="Q182" s="88"/>
      <c r="R182" s="88"/>
      <c r="S182" s="88"/>
      <c r="T182" s="88"/>
      <c r="U182" s="88"/>
      <c r="V182" s="88"/>
      <c r="W182" s="88"/>
      <c r="X182" s="88"/>
      <c r="Y182" s="88"/>
      <c r="Z182" s="88"/>
      <c r="AA182" s="88"/>
    </row>
    <row r="183" spans="1:27" ht="13.2">
      <c r="A183" s="88"/>
      <c r="B183" s="88"/>
      <c r="C183" s="88"/>
      <c r="D183" s="88"/>
      <c r="E183" s="88"/>
      <c r="F183" s="88"/>
      <c r="G183" s="88"/>
      <c r="H183" s="88"/>
      <c r="I183" s="88"/>
      <c r="J183" s="88"/>
      <c r="K183" s="88"/>
      <c r="L183" s="88"/>
      <c r="M183" s="88"/>
      <c r="N183" s="88"/>
      <c r="O183" s="88"/>
      <c r="P183" s="88"/>
      <c r="Q183" s="88"/>
      <c r="R183" s="88"/>
      <c r="S183" s="88"/>
      <c r="T183" s="88"/>
      <c r="U183" s="88"/>
      <c r="V183" s="88"/>
      <c r="W183" s="88"/>
      <c r="X183" s="88"/>
      <c r="Y183" s="88"/>
      <c r="Z183" s="88"/>
      <c r="AA183" s="88"/>
    </row>
    <row r="184" spans="1:27" ht="13.2">
      <c r="A184" s="88"/>
      <c r="B184" s="88"/>
      <c r="C184" s="88"/>
      <c r="D184" s="88"/>
      <c r="E184" s="88"/>
      <c r="F184" s="88"/>
      <c r="G184" s="88"/>
      <c r="H184" s="88"/>
      <c r="I184" s="88"/>
      <c r="J184" s="88"/>
      <c r="K184" s="88"/>
      <c r="L184" s="88"/>
      <c r="M184" s="88"/>
      <c r="N184" s="88"/>
      <c r="O184" s="88"/>
      <c r="P184" s="88"/>
      <c r="Q184" s="88"/>
      <c r="R184" s="88"/>
      <c r="S184" s="88"/>
      <c r="T184" s="88"/>
      <c r="U184" s="88"/>
      <c r="V184" s="88"/>
      <c r="W184" s="88"/>
      <c r="X184" s="88"/>
      <c r="Y184" s="88"/>
      <c r="Z184" s="88"/>
      <c r="AA184" s="88"/>
    </row>
    <row r="185" spans="1:27" ht="13.2">
      <c r="A185" s="88"/>
      <c r="B185" s="88"/>
      <c r="C185" s="88"/>
      <c r="D185" s="88"/>
      <c r="E185" s="88"/>
      <c r="F185" s="88"/>
      <c r="G185" s="88"/>
      <c r="H185" s="88"/>
      <c r="I185" s="88"/>
      <c r="J185" s="88"/>
      <c r="K185" s="88"/>
      <c r="L185" s="88"/>
      <c r="M185" s="88"/>
      <c r="N185" s="88"/>
      <c r="O185" s="88"/>
      <c r="P185" s="88"/>
      <c r="Q185" s="88"/>
      <c r="R185" s="88"/>
      <c r="S185" s="88"/>
      <c r="T185" s="88"/>
      <c r="U185" s="88"/>
      <c r="V185" s="88"/>
      <c r="W185" s="88"/>
      <c r="X185" s="88"/>
      <c r="Y185" s="88"/>
      <c r="Z185" s="88"/>
      <c r="AA185" s="88"/>
    </row>
    <row r="186" spans="1:27" ht="13.2">
      <c r="A186" s="88"/>
      <c r="B186" s="88"/>
      <c r="C186" s="88"/>
      <c r="D186" s="88"/>
      <c r="E186" s="88"/>
      <c r="F186" s="88"/>
      <c r="G186" s="88"/>
      <c r="H186" s="88"/>
      <c r="I186" s="88"/>
      <c r="J186" s="88"/>
      <c r="K186" s="88"/>
      <c r="L186" s="88"/>
      <c r="M186" s="88"/>
      <c r="N186" s="88"/>
      <c r="O186" s="88"/>
      <c r="P186" s="88"/>
      <c r="Q186" s="88"/>
      <c r="R186" s="88"/>
      <c r="S186" s="88"/>
      <c r="T186" s="88"/>
      <c r="U186" s="88"/>
      <c r="V186" s="88"/>
      <c r="W186" s="88"/>
      <c r="X186" s="88"/>
      <c r="Y186" s="88"/>
      <c r="Z186" s="88"/>
      <c r="AA186" s="88"/>
    </row>
    <row r="187" spans="1:27" ht="13.2">
      <c r="A187" s="88"/>
      <c r="B187" s="88"/>
      <c r="C187" s="88"/>
      <c r="D187" s="88"/>
      <c r="E187" s="88"/>
      <c r="F187" s="88"/>
      <c r="G187" s="88"/>
      <c r="H187" s="88"/>
      <c r="I187" s="88"/>
      <c r="J187" s="88"/>
      <c r="K187" s="88"/>
      <c r="L187" s="88"/>
      <c r="M187" s="88"/>
      <c r="N187" s="88"/>
      <c r="O187" s="88"/>
      <c r="P187" s="88"/>
      <c r="Q187" s="88"/>
      <c r="R187" s="88"/>
      <c r="S187" s="88"/>
      <c r="T187" s="88"/>
      <c r="U187" s="88"/>
      <c r="V187" s="88"/>
      <c r="W187" s="88"/>
      <c r="X187" s="88"/>
      <c r="Y187" s="88"/>
      <c r="Z187" s="88"/>
      <c r="AA187" s="88"/>
    </row>
    <row r="188" spans="1:27" ht="13.2">
      <c r="A188" s="88"/>
      <c r="B188" s="88"/>
      <c r="C188" s="88"/>
      <c r="D188" s="88"/>
      <c r="E188" s="88"/>
      <c r="F188" s="88"/>
      <c r="G188" s="88"/>
      <c r="H188" s="88"/>
      <c r="I188" s="88"/>
      <c r="J188" s="88"/>
      <c r="K188" s="88"/>
      <c r="L188" s="88"/>
      <c r="M188" s="88"/>
      <c r="N188" s="88"/>
      <c r="O188" s="88"/>
      <c r="P188" s="88"/>
      <c r="Q188" s="88"/>
      <c r="R188" s="88"/>
      <c r="S188" s="88"/>
      <c r="T188" s="88"/>
      <c r="U188" s="88"/>
      <c r="V188" s="88"/>
      <c r="W188" s="88"/>
      <c r="X188" s="88"/>
      <c r="Y188" s="88"/>
      <c r="Z188" s="88"/>
      <c r="AA188" s="88"/>
    </row>
    <row r="189" spans="1:27" ht="13.2">
      <c r="A189" s="88"/>
      <c r="B189" s="88"/>
      <c r="C189" s="88"/>
      <c r="D189" s="88"/>
      <c r="E189" s="88"/>
      <c r="F189" s="88"/>
      <c r="G189" s="88"/>
      <c r="H189" s="88"/>
      <c r="I189" s="88"/>
      <c r="J189" s="88"/>
      <c r="K189" s="88"/>
      <c r="L189" s="88"/>
      <c r="M189" s="88"/>
      <c r="N189" s="88"/>
      <c r="O189" s="88"/>
      <c r="P189" s="88"/>
      <c r="Q189" s="88"/>
      <c r="R189" s="88"/>
      <c r="S189" s="88"/>
      <c r="T189" s="88"/>
      <c r="U189" s="88"/>
      <c r="V189" s="88"/>
      <c r="W189" s="88"/>
      <c r="X189" s="88"/>
      <c r="Y189" s="88"/>
      <c r="Z189" s="88"/>
      <c r="AA189" s="88"/>
    </row>
    <row r="190" spans="1:27" ht="13.2">
      <c r="A190" s="88"/>
      <c r="B190" s="88"/>
      <c r="C190" s="88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  <c r="O190" s="88"/>
      <c r="P190" s="88"/>
      <c r="Q190" s="88"/>
      <c r="R190" s="88"/>
      <c r="S190" s="88"/>
      <c r="T190" s="88"/>
      <c r="U190" s="88"/>
      <c r="V190" s="88"/>
      <c r="W190" s="88"/>
      <c r="X190" s="88"/>
      <c r="Y190" s="88"/>
      <c r="Z190" s="88"/>
      <c r="AA190" s="88"/>
    </row>
    <row r="191" spans="1:27" ht="13.2">
      <c r="A191" s="88"/>
      <c r="B191" s="88"/>
      <c r="C191" s="88"/>
      <c r="D191" s="88"/>
      <c r="E191" s="88"/>
      <c r="F191" s="88"/>
      <c r="G191" s="88"/>
      <c r="H191" s="88"/>
      <c r="I191" s="88"/>
      <c r="J191" s="88"/>
      <c r="K191" s="88"/>
      <c r="L191" s="88"/>
      <c r="M191" s="88"/>
      <c r="N191" s="88"/>
      <c r="O191" s="88"/>
      <c r="P191" s="88"/>
      <c r="Q191" s="88"/>
      <c r="R191" s="88"/>
      <c r="S191" s="88"/>
      <c r="T191" s="88"/>
      <c r="U191" s="88"/>
      <c r="V191" s="88"/>
      <c r="W191" s="88"/>
      <c r="X191" s="88"/>
      <c r="Y191" s="88"/>
      <c r="Z191" s="88"/>
      <c r="AA191" s="88"/>
    </row>
    <row r="192" spans="1:27" ht="13.2">
      <c r="A192" s="88"/>
      <c r="B192" s="88"/>
      <c r="C192" s="88"/>
      <c r="D192" s="88"/>
      <c r="E192" s="88"/>
      <c r="F192" s="88"/>
      <c r="G192" s="88"/>
      <c r="H192" s="88"/>
      <c r="I192" s="88"/>
      <c r="J192" s="88"/>
      <c r="K192" s="88"/>
      <c r="L192" s="88"/>
      <c r="M192" s="88"/>
      <c r="N192" s="88"/>
      <c r="O192" s="88"/>
      <c r="P192" s="88"/>
      <c r="Q192" s="88"/>
      <c r="R192" s="88"/>
      <c r="S192" s="88"/>
      <c r="T192" s="88"/>
      <c r="U192" s="88"/>
      <c r="V192" s="88"/>
      <c r="W192" s="88"/>
      <c r="X192" s="88"/>
      <c r="Y192" s="88"/>
      <c r="Z192" s="88"/>
      <c r="AA192" s="88"/>
    </row>
    <row r="193" spans="1:27" ht="13.2">
      <c r="A193" s="88"/>
      <c r="B193" s="88"/>
      <c r="C193" s="88"/>
      <c r="D193" s="88"/>
      <c r="E193" s="88"/>
      <c r="F193" s="88"/>
      <c r="G193" s="88"/>
      <c r="H193" s="88"/>
      <c r="I193" s="88"/>
      <c r="J193" s="88"/>
      <c r="K193" s="88"/>
      <c r="L193" s="88"/>
      <c r="M193" s="88"/>
      <c r="N193" s="88"/>
      <c r="O193" s="88"/>
      <c r="P193" s="88"/>
      <c r="Q193" s="88"/>
      <c r="R193" s="88"/>
      <c r="S193" s="88"/>
      <c r="T193" s="88"/>
      <c r="U193" s="88"/>
      <c r="V193" s="88"/>
      <c r="W193" s="88"/>
      <c r="X193" s="88"/>
      <c r="Y193" s="88"/>
      <c r="Z193" s="88"/>
      <c r="AA193" s="88"/>
    </row>
    <row r="194" spans="1:27" ht="13.2">
      <c r="A194" s="88"/>
      <c r="B194" s="88"/>
      <c r="C194" s="88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  <c r="O194" s="88"/>
      <c r="P194" s="88"/>
      <c r="Q194" s="88"/>
      <c r="R194" s="88"/>
      <c r="S194" s="88"/>
      <c r="T194" s="88"/>
      <c r="U194" s="88"/>
      <c r="V194" s="88"/>
      <c r="W194" s="88"/>
      <c r="X194" s="88"/>
      <c r="Y194" s="88"/>
      <c r="Z194" s="88"/>
      <c r="AA194" s="88"/>
    </row>
    <row r="195" spans="1:27" ht="13.2">
      <c r="A195" s="88"/>
      <c r="B195" s="88"/>
      <c r="C195" s="88"/>
      <c r="D195" s="88"/>
      <c r="E195" s="88"/>
      <c r="F195" s="88"/>
      <c r="G195" s="88"/>
      <c r="H195" s="88"/>
      <c r="I195" s="88"/>
      <c r="J195" s="88"/>
      <c r="K195" s="88"/>
      <c r="L195" s="88"/>
      <c r="M195" s="88"/>
      <c r="N195" s="88"/>
      <c r="O195" s="88"/>
      <c r="P195" s="88"/>
      <c r="Q195" s="88"/>
      <c r="R195" s="88"/>
      <c r="S195" s="88"/>
      <c r="T195" s="88"/>
      <c r="U195" s="88"/>
      <c r="V195" s="88"/>
      <c r="W195" s="88"/>
      <c r="X195" s="88"/>
      <c r="Y195" s="88"/>
      <c r="Z195" s="88"/>
      <c r="AA195" s="88"/>
    </row>
    <row r="196" spans="1:27" ht="13.2">
      <c r="A196" s="88"/>
      <c r="B196" s="88"/>
      <c r="C196" s="88"/>
      <c r="D196" s="88"/>
      <c r="E196" s="88"/>
      <c r="F196" s="88"/>
      <c r="G196" s="88"/>
      <c r="H196" s="88"/>
      <c r="I196" s="88"/>
      <c r="J196" s="88"/>
      <c r="K196" s="88"/>
      <c r="L196" s="88"/>
      <c r="M196" s="88"/>
      <c r="N196" s="88"/>
      <c r="O196" s="88"/>
      <c r="P196" s="88"/>
      <c r="Q196" s="88"/>
      <c r="R196" s="88"/>
      <c r="S196" s="88"/>
      <c r="T196" s="88"/>
      <c r="U196" s="88"/>
      <c r="V196" s="88"/>
      <c r="W196" s="88"/>
      <c r="X196" s="88"/>
      <c r="Y196" s="88"/>
      <c r="Z196" s="88"/>
      <c r="AA196" s="88"/>
    </row>
    <row r="197" spans="1:27" ht="13.2">
      <c r="A197" s="88"/>
      <c r="B197" s="88"/>
      <c r="C197" s="88"/>
      <c r="D197" s="88"/>
      <c r="E197" s="88"/>
      <c r="F197" s="88"/>
      <c r="G197" s="88"/>
      <c r="H197" s="88"/>
      <c r="I197" s="88"/>
      <c r="J197" s="88"/>
      <c r="K197" s="88"/>
      <c r="L197" s="88"/>
      <c r="M197" s="88"/>
      <c r="N197" s="88"/>
      <c r="O197" s="88"/>
      <c r="P197" s="88"/>
      <c r="Q197" s="88"/>
      <c r="R197" s="88"/>
      <c r="S197" s="88"/>
      <c r="T197" s="88"/>
      <c r="U197" s="88"/>
      <c r="V197" s="88"/>
      <c r="W197" s="88"/>
      <c r="X197" s="88"/>
      <c r="Y197" s="88"/>
      <c r="Z197" s="88"/>
      <c r="AA197" s="88"/>
    </row>
    <row r="198" spans="1:27" ht="13.2">
      <c r="A198" s="88"/>
      <c r="B198" s="88"/>
      <c r="C198" s="88"/>
      <c r="D198" s="88"/>
      <c r="E198" s="88"/>
      <c r="F198" s="88"/>
      <c r="G198" s="88"/>
      <c r="H198" s="88"/>
      <c r="I198" s="88"/>
      <c r="J198" s="88"/>
      <c r="K198" s="88"/>
      <c r="L198" s="88"/>
      <c r="M198" s="88"/>
      <c r="N198" s="88"/>
      <c r="O198" s="88"/>
      <c r="P198" s="88"/>
      <c r="Q198" s="88"/>
      <c r="R198" s="88"/>
      <c r="S198" s="88"/>
      <c r="T198" s="88"/>
      <c r="U198" s="88"/>
      <c r="V198" s="88"/>
      <c r="W198" s="88"/>
      <c r="X198" s="88"/>
      <c r="Y198" s="88"/>
      <c r="Z198" s="88"/>
      <c r="AA198" s="88"/>
    </row>
    <row r="199" spans="1:27" ht="13.2">
      <c r="A199" s="88"/>
      <c r="B199" s="88"/>
      <c r="C199" s="88"/>
      <c r="D199" s="88"/>
      <c r="E199" s="88"/>
      <c r="F199" s="88"/>
      <c r="G199" s="88"/>
      <c r="H199" s="88"/>
      <c r="I199" s="88"/>
      <c r="J199" s="88"/>
      <c r="K199" s="88"/>
      <c r="L199" s="88"/>
      <c r="M199" s="88"/>
      <c r="N199" s="88"/>
      <c r="O199" s="88"/>
      <c r="P199" s="88"/>
      <c r="Q199" s="88"/>
      <c r="R199" s="88"/>
      <c r="S199" s="88"/>
      <c r="T199" s="88"/>
      <c r="U199" s="88"/>
      <c r="V199" s="88"/>
      <c r="W199" s="88"/>
      <c r="X199" s="88"/>
      <c r="Y199" s="88"/>
      <c r="Z199" s="88"/>
      <c r="AA199" s="88"/>
    </row>
    <row r="200" spans="1:27" ht="13.2">
      <c r="A200" s="88"/>
      <c r="B200" s="88"/>
      <c r="C200" s="88"/>
      <c r="D200" s="88"/>
      <c r="E200" s="88"/>
      <c r="F200" s="88"/>
      <c r="G200" s="88"/>
      <c r="H200" s="88"/>
      <c r="I200" s="88"/>
      <c r="J200" s="88"/>
      <c r="K200" s="88"/>
      <c r="L200" s="88"/>
      <c r="M200" s="88"/>
      <c r="N200" s="88"/>
      <c r="O200" s="88"/>
      <c r="P200" s="88"/>
      <c r="Q200" s="88"/>
      <c r="R200" s="88"/>
      <c r="S200" s="88"/>
      <c r="T200" s="88"/>
      <c r="U200" s="88"/>
      <c r="V200" s="88"/>
      <c r="W200" s="88"/>
      <c r="X200" s="88"/>
      <c r="Y200" s="88"/>
      <c r="Z200" s="88"/>
      <c r="AA200" s="88"/>
    </row>
    <row r="201" spans="1:27" ht="13.2">
      <c r="A201" s="88"/>
      <c r="B201" s="88"/>
      <c r="C201" s="88"/>
      <c r="D201" s="88"/>
      <c r="E201" s="88"/>
      <c r="F201" s="88"/>
      <c r="G201" s="88"/>
      <c r="H201" s="88"/>
      <c r="I201" s="88"/>
      <c r="J201" s="88"/>
      <c r="K201" s="88"/>
      <c r="L201" s="88"/>
      <c r="M201" s="88"/>
      <c r="N201" s="88"/>
      <c r="O201" s="88"/>
      <c r="P201" s="88"/>
      <c r="Q201" s="88"/>
      <c r="R201" s="88"/>
      <c r="S201" s="88"/>
      <c r="T201" s="88"/>
      <c r="U201" s="88"/>
      <c r="V201" s="88"/>
      <c r="W201" s="88"/>
      <c r="X201" s="88"/>
      <c r="Y201" s="88"/>
      <c r="Z201" s="88"/>
      <c r="AA201" s="88"/>
    </row>
    <row r="202" spans="1:27" ht="13.2">
      <c r="A202" s="88"/>
      <c r="B202" s="88"/>
      <c r="C202" s="88"/>
      <c r="D202" s="88"/>
      <c r="E202" s="88"/>
      <c r="F202" s="88"/>
      <c r="G202" s="88"/>
      <c r="H202" s="88"/>
      <c r="I202" s="88"/>
      <c r="J202" s="88"/>
      <c r="K202" s="88"/>
      <c r="L202" s="88"/>
      <c r="M202" s="88"/>
      <c r="N202" s="88"/>
      <c r="O202" s="88"/>
      <c r="P202" s="88"/>
      <c r="Q202" s="88"/>
      <c r="R202" s="88"/>
      <c r="S202" s="88"/>
      <c r="T202" s="88"/>
      <c r="U202" s="88"/>
      <c r="V202" s="88"/>
      <c r="W202" s="88"/>
      <c r="X202" s="88"/>
      <c r="Y202" s="88"/>
      <c r="Z202" s="88"/>
      <c r="AA202" s="88"/>
    </row>
    <row r="203" spans="1:27" ht="13.2">
      <c r="A203" s="88"/>
      <c r="B203" s="88"/>
      <c r="C203" s="88"/>
      <c r="D203" s="88"/>
      <c r="E203" s="88"/>
      <c r="F203" s="88"/>
      <c r="G203" s="88"/>
      <c r="H203" s="88"/>
      <c r="I203" s="88"/>
      <c r="J203" s="88"/>
      <c r="K203" s="88"/>
      <c r="L203" s="88"/>
      <c r="M203" s="88"/>
      <c r="N203" s="88"/>
      <c r="O203" s="88"/>
      <c r="P203" s="88"/>
      <c r="Q203" s="88"/>
      <c r="R203" s="88"/>
      <c r="S203" s="88"/>
      <c r="T203" s="88"/>
      <c r="U203" s="88"/>
      <c r="V203" s="88"/>
      <c r="W203" s="88"/>
      <c r="X203" s="88"/>
      <c r="Y203" s="88"/>
      <c r="Z203" s="88"/>
      <c r="AA203" s="88"/>
    </row>
    <row r="204" spans="1:27" ht="13.2">
      <c r="A204" s="88"/>
      <c r="B204" s="88"/>
      <c r="C204" s="88"/>
      <c r="D204" s="88"/>
      <c r="E204" s="88"/>
      <c r="F204" s="88"/>
      <c r="G204" s="88"/>
      <c r="H204" s="88"/>
      <c r="I204" s="88"/>
      <c r="J204" s="88"/>
      <c r="K204" s="88"/>
      <c r="L204" s="88"/>
      <c r="M204" s="88"/>
      <c r="N204" s="88"/>
      <c r="O204" s="88"/>
      <c r="P204" s="88"/>
      <c r="Q204" s="88"/>
      <c r="R204" s="88"/>
      <c r="S204" s="88"/>
      <c r="T204" s="88"/>
      <c r="U204" s="88"/>
      <c r="V204" s="88"/>
      <c r="W204" s="88"/>
      <c r="X204" s="88"/>
      <c r="Y204" s="88"/>
      <c r="Z204" s="88"/>
      <c r="AA204" s="88"/>
    </row>
    <row r="205" spans="1:27" ht="13.2">
      <c r="A205" s="88"/>
      <c r="B205" s="88"/>
      <c r="C205" s="88"/>
      <c r="D205" s="88"/>
      <c r="E205" s="88"/>
      <c r="F205" s="88"/>
      <c r="G205" s="88"/>
      <c r="H205" s="88"/>
      <c r="I205" s="88"/>
      <c r="J205" s="88"/>
      <c r="K205" s="88"/>
      <c r="L205" s="88"/>
      <c r="M205" s="88"/>
      <c r="N205" s="88"/>
      <c r="O205" s="88"/>
      <c r="P205" s="88"/>
      <c r="Q205" s="88"/>
      <c r="R205" s="88"/>
      <c r="S205" s="88"/>
      <c r="T205" s="88"/>
      <c r="U205" s="88"/>
      <c r="V205" s="88"/>
      <c r="W205" s="88"/>
      <c r="X205" s="88"/>
      <c r="Y205" s="88"/>
      <c r="Z205" s="88"/>
      <c r="AA205" s="88"/>
    </row>
    <row r="206" spans="1:27" ht="13.2">
      <c r="A206" s="88"/>
      <c r="B206" s="88"/>
      <c r="C206" s="88"/>
      <c r="D206" s="88"/>
      <c r="E206" s="88"/>
      <c r="F206" s="88"/>
      <c r="G206" s="88"/>
      <c r="H206" s="88"/>
      <c r="I206" s="88"/>
      <c r="J206" s="88"/>
      <c r="K206" s="88"/>
      <c r="L206" s="88"/>
      <c r="M206" s="88"/>
      <c r="N206" s="88"/>
      <c r="O206" s="88"/>
      <c r="P206" s="88"/>
      <c r="Q206" s="88"/>
      <c r="R206" s="88"/>
      <c r="S206" s="88"/>
      <c r="T206" s="88"/>
      <c r="U206" s="88"/>
      <c r="V206" s="88"/>
      <c r="W206" s="88"/>
      <c r="X206" s="88"/>
      <c r="Y206" s="88"/>
      <c r="Z206" s="88"/>
      <c r="AA206" s="88"/>
    </row>
    <row r="207" spans="1:27" ht="13.2">
      <c r="A207" s="88"/>
      <c r="B207" s="88"/>
      <c r="C207" s="88"/>
      <c r="D207" s="88"/>
      <c r="E207" s="88"/>
      <c r="F207" s="88"/>
      <c r="G207" s="88"/>
      <c r="H207" s="88"/>
      <c r="I207" s="88"/>
      <c r="J207" s="88"/>
      <c r="K207" s="88"/>
      <c r="L207" s="88"/>
      <c r="M207" s="88"/>
      <c r="N207" s="88"/>
      <c r="O207" s="88"/>
      <c r="P207" s="88"/>
      <c r="Q207" s="88"/>
      <c r="R207" s="88"/>
      <c r="S207" s="88"/>
      <c r="T207" s="88"/>
      <c r="U207" s="88"/>
      <c r="V207" s="88"/>
      <c r="W207" s="88"/>
      <c r="X207" s="88"/>
      <c r="Y207" s="88"/>
      <c r="Z207" s="88"/>
      <c r="AA207" s="88"/>
    </row>
    <row r="208" spans="1:27" ht="13.2">
      <c r="A208" s="88"/>
      <c r="B208" s="88"/>
      <c r="C208" s="88"/>
      <c r="D208" s="88"/>
      <c r="E208" s="88"/>
      <c r="F208" s="88"/>
      <c r="G208" s="88"/>
      <c r="H208" s="88"/>
      <c r="I208" s="88"/>
      <c r="J208" s="88"/>
      <c r="K208" s="88"/>
      <c r="L208" s="88"/>
      <c r="M208" s="88"/>
      <c r="N208" s="88"/>
      <c r="O208" s="88"/>
      <c r="P208" s="88"/>
      <c r="Q208" s="88"/>
      <c r="R208" s="88"/>
      <c r="S208" s="88"/>
      <c r="T208" s="88"/>
      <c r="U208" s="88"/>
      <c r="V208" s="88"/>
      <c r="W208" s="88"/>
      <c r="X208" s="88"/>
      <c r="Y208" s="88"/>
      <c r="Z208" s="88"/>
      <c r="AA208" s="88"/>
    </row>
    <row r="209" spans="1:27" ht="13.2">
      <c r="A209" s="88"/>
      <c r="B209" s="88"/>
      <c r="C209" s="88"/>
      <c r="D209" s="88"/>
      <c r="E209" s="88"/>
      <c r="F209" s="88"/>
      <c r="G209" s="88"/>
      <c r="H209" s="88"/>
      <c r="I209" s="88"/>
      <c r="J209" s="88"/>
      <c r="K209" s="88"/>
      <c r="L209" s="88"/>
      <c r="M209" s="88"/>
      <c r="N209" s="88"/>
      <c r="O209" s="88"/>
      <c r="P209" s="88"/>
      <c r="Q209" s="88"/>
      <c r="R209" s="88"/>
      <c r="S209" s="88"/>
      <c r="T209" s="88"/>
      <c r="U209" s="88"/>
      <c r="V209" s="88"/>
      <c r="W209" s="88"/>
      <c r="X209" s="88"/>
      <c r="Y209" s="88"/>
      <c r="Z209" s="88"/>
      <c r="AA209" s="88"/>
    </row>
    <row r="210" spans="1:27" ht="13.2">
      <c r="A210" s="88"/>
      <c r="B210" s="88"/>
      <c r="C210" s="88"/>
      <c r="D210" s="88"/>
      <c r="E210" s="88"/>
      <c r="F210" s="88"/>
      <c r="G210" s="88"/>
      <c r="H210" s="88"/>
      <c r="I210" s="88"/>
      <c r="J210" s="88"/>
      <c r="K210" s="88"/>
      <c r="L210" s="88"/>
      <c r="M210" s="88"/>
      <c r="N210" s="88"/>
      <c r="O210" s="88"/>
      <c r="P210" s="88"/>
      <c r="Q210" s="88"/>
      <c r="R210" s="88"/>
      <c r="S210" s="88"/>
      <c r="T210" s="88"/>
      <c r="U210" s="88"/>
      <c r="V210" s="88"/>
      <c r="W210" s="88"/>
      <c r="X210" s="88"/>
      <c r="Y210" s="88"/>
      <c r="Z210" s="88"/>
      <c r="AA210" s="88"/>
    </row>
    <row r="211" spans="1:27" ht="13.2">
      <c r="A211" s="88"/>
      <c r="B211" s="88"/>
      <c r="C211" s="88"/>
      <c r="D211" s="88"/>
      <c r="E211" s="88"/>
      <c r="F211" s="88"/>
      <c r="G211" s="88"/>
      <c r="H211" s="88"/>
      <c r="I211" s="88"/>
      <c r="J211" s="88"/>
      <c r="K211" s="88"/>
      <c r="L211" s="88"/>
      <c r="M211" s="88"/>
      <c r="N211" s="88"/>
      <c r="O211" s="88"/>
      <c r="P211" s="88"/>
      <c r="Q211" s="88"/>
      <c r="R211" s="88"/>
      <c r="S211" s="88"/>
      <c r="T211" s="88"/>
      <c r="U211" s="88"/>
      <c r="V211" s="88"/>
      <c r="W211" s="88"/>
      <c r="X211" s="88"/>
      <c r="Y211" s="88"/>
      <c r="Z211" s="88"/>
      <c r="AA211" s="88"/>
    </row>
    <row r="212" spans="1:27" ht="13.2">
      <c r="A212" s="88"/>
      <c r="B212" s="88"/>
      <c r="C212" s="88"/>
      <c r="D212" s="88"/>
      <c r="E212" s="88"/>
      <c r="F212" s="88"/>
      <c r="G212" s="88"/>
      <c r="H212" s="88"/>
      <c r="I212" s="88"/>
      <c r="J212" s="88"/>
      <c r="K212" s="88"/>
      <c r="L212" s="88"/>
      <c r="M212" s="88"/>
      <c r="N212" s="88"/>
      <c r="O212" s="88"/>
      <c r="P212" s="88"/>
      <c r="Q212" s="88"/>
      <c r="R212" s="88"/>
      <c r="S212" s="88"/>
      <c r="T212" s="88"/>
      <c r="U212" s="88"/>
      <c r="V212" s="88"/>
      <c r="W212" s="88"/>
      <c r="X212" s="88"/>
      <c r="Y212" s="88"/>
      <c r="Z212" s="88"/>
      <c r="AA212" s="88"/>
    </row>
    <row r="213" spans="1:27" ht="13.2">
      <c r="A213" s="88"/>
      <c r="B213" s="88"/>
      <c r="C213" s="88"/>
      <c r="D213" s="88"/>
      <c r="E213" s="88"/>
      <c r="F213" s="88"/>
      <c r="G213" s="88"/>
      <c r="H213" s="88"/>
      <c r="I213" s="88"/>
      <c r="J213" s="88"/>
      <c r="K213" s="88"/>
      <c r="L213" s="88"/>
      <c r="M213" s="88"/>
      <c r="N213" s="88"/>
      <c r="O213" s="88"/>
      <c r="P213" s="88"/>
      <c r="Q213" s="88"/>
      <c r="R213" s="88"/>
      <c r="S213" s="88"/>
      <c r="T213" s="88"/>
      <c r="U213" s="88"/>
      <c r="V213" s="88"/>
      <c r="W213" s="88"/>
      <c r="X213" s="88"/>
      <c r="Y213" s="88"/>
      <c r="Z213" s="88"/>
      <c r="AA213" s="88"/>
    </row>
    <row r="214" spans="1:27" ht="13.2">
      <c r="A214" s="88"/>
      <c r="B214" s="88"/>
      <c r="C214" s="88"/>
      <c r="D214" s="88"/>
      <c r="E214" s="88"/>
      <c r="F214" s="88"/>
      <c r="G214" s="88"/>
      <c r="H214" s="88"/>
      <c r="I214" s="88"/>
      <c r="J214" s="88"/>
      <c r="K214" s="88"/>
      <c r="L214" s="88"/>
      <c r="M214" s="88"/>
      <c r="N214" s="88"/>
      <c r="O214" s="88"/>
      <c r="P214" s="88"/>
      <c r="Q214" s="88"/>
      <c r="R214" s="88"/>
      <c r="S214" s="88"/>
      <c r="T214" s="88"/>
      <c r="U214" s="88"/>
      <c r="V214" s="88"/>
      <c r="W214" s="88"/>
      <c r="X214" s="88"/>
      <c r="Y214" s="88"/>
      <c r="Z214" s="88"/>
      <c r="AA214" s="88"/>
    </row>
    <row r="215" spans="1:27" ht="13.2">
      <c r="A215" s="88"/>
      <c r="B215" s="88"/>
      <c r="C215" s="88"/>
      <c r="D215" s="88"/>
      <c r="E215" s="88"/>
      <c r="F215" s="88"/>
      <c r="G215" s="88"/>
      <c r="H215" s="88"/>
      <c r="I215" s="88"/>
      <c r="J215" s="88"/>
      <c r="K215" s="88"/>
      <c r="L215" s="88"/>
      <c r="M215" s="88"/>
      <c r="N215" s="88"/>
      <c r="O215" s="88"/>
      <c r="P215" s="88"/>
      <c r="Q215" s="88"/>
      <c r="R215" s="88"/>
      <c r="S215" s="88"/>
      <c r="T215" s="88"/>
      <c r="U215" s="88"/>
      <c r="V215" s="88"/>
      <c r="W215" s="88"/>
      <c r="X215" s="88"/>
      <c r="Y215" s="88"/>
      <c r="Z215" s="88"/>
      <c r="AA215" s="88"/>
    </row>
    <row r="216" spans="1:27" ht="13.2">
      <c r="A216" s="88"/>
      <c r="B216" s="88"/>
      <c r="C216" s="88"/>
      <c r="D216" s="88"/>
      <c r="E216" s="88"/>
      <c r="F216" s="88"/>
      <c r="G216" s="88"/>
      <c r="H216" s="88"/>
      <c r="I216" s="88"/>
      <c r="J216" s="88"/>
      <c r="K216" s="88"/>
      <c r="L216" s="88"/>
      <c r="M216" s="88"/>
      <c r="N216" s="88"/>
      <c r="O216" s="88"/>
      <c r="P216" s="88"/>
      <c r="Q216" s="88"/>
      <c r="R216" s="88"/>
      <c r="S216" s="88"/>
      <c r="T216" s="88"/>
      <c r="U216" s="88"/>
      <c r="V216" s="88"/>
      <c r="W216" s="88"/>
      <c r="X216" s="88"/>
      <c r="Y216" s="88"/>
      <c r="Z216" s="88"/>
      <c r="AA216" s="88"/>
    </row>
    <row r="217" spans="1:27" ht="13.2">
      <c r="A217" s="88"/>
      <c r="B217" s="88"/>
      <c r="C217" s="88"/>
      <c r="D217" s="88"/>
      <c r="E217" s="88"/>
      <c r="F217" s="88"/>
      <c r="G217" s="88"/>
      <c r="H217" s="88"/>
      <c r="I217" s="88"/>
      <c r="J217" s="88"/>
      <c r="K217" s="88"/>
      <c r="L217" s="88"/>
      <c r="M217" s="88"/>
      <c r="N217" s="88"/>
      <c r="O217" s="88"/>
      <c r="P217" s="88"/>
      <c r="Q217" s="88"/>
      <c r="R217" s="88"/>
      <c r="S217" s="88"/>
      <c r="T217" s="88"/>
      <c r="U217" s="88"/>
      <c r="V217" s="88"/>
      <c r="W217" s="88"/>
      <c r="X217" s="88"/>
      <c r="Y217" s="88"/>
      <c r="Z217" s="88"/>
      <c r="AA217" s="88"/>
    </row>
    <row r="218" spans="1:27" ht="13.2">
      <c r="A218" s="88"/>
      <c r="B218" s="88"/>
      <c r="C218" s="88"/>
      <c r="D218" s="88"/>
      <c r="E218" s="88"/>
      <c r="F218" s="88"/>
      <c r="G218" s="88"/>
      <c r="H218" s="88"/>
      <c r="I218" s="88"/>
      <c r="J218" s="88"/>
      <c r="K218" s="88"/>
      <c r="L218" s="88"/>
      <c r="M218" s="88"/>
      <c r="N218" s="88"/>
      <c r="O218" s="88"/>
      <c r="P218" s="88"/>
      <c r="Q218" s="88"/>
      <c r="R218" s="88"/>
      <c r="S218" s="88"/>
      <c r="T218" s="88"/>
      <c r="U218" s="88"/>
      <c r="V218" s="88"/>
      <c r="W218" s="88"/>
      <c r="X218" s="88"/>
      <c r="Y218" s="88"/>
      <c r="Z218" s="88"/>
      <c r="AA218" s="88"/>
    </row>
    <row r="219" spans="1:27" ht="13.2">
      <c r="A219" s="88"/>
      <c r="B219" s="88"/>
      <c r="C219" s="88"/>
      <c r="D219" s="88"/>
      <c r="E219" s="88"/>
      <c r="F219" s="88"/>
      <c r="G219" s="88"/>
      <c r="H219" s="88"/>
      <c r="I219" s="88"/>
      <c r="J219" s="88"/>
      <c r="K219" s="88"/>
      <c r="L219" s="88"/>
      <c r="M219" s="88"/>
      <c r="N219" s="88"/>
      <c r="O219" s="88"/>
      <c r="P219" s="88"/>
      <c r="Q219" s="88"/>
      <c r="R219" s="88"/>
      <c r="S219" s="88"/>
      <c r="T219" s="88"/>
      <c r="U219" s="88"/>
      <c r="V219" s="88"/>
      <c r="W219" s="88"/>
      <c r="X219" s="88"/>
      <c r="Y219" s="88"/>
      <c r="Z219" s="88"/>
      <c r="AA219" s="88"/>
    </row>
    <row r="220" spans="1:27" ht="13.2">
      <c r="A220" s="88"/>
      <c r="B220" s="88"/>
      <c r="C220" s="88"/>
      <c r="D220" s="88"/>
      <c r="E220" s="88"/>
      <c r="F220" s="88"/>
      <c r="G220" s="88"/>
      <c r="H220" s="88"/>
      <c r="I220" s="88"/>
      <c r="J220" s="88"/>
      <c r="K220" s="88"/>
      <c r="L220" s="88"/>
      <c r="M220" s="88"/>
      <c r="N220" s="88"/>
      <c r="O220" s="88"/>
      <c r="P220" s="88"/>
      <c r="Q220" s="88"/>
      <c r="R220" s="88"/>
      <c r="S220" s="88"/>
      <c r="T220" s="88"/>
      <c r="U220" s="88"/>
      <c r="V220" s="88"/>
      <c r="W220" s="88"/>
      <c r="X220" s="88"/>
      <c r="Y220" s="88"/>
      <c r="Z220" s="88"/>
      <c r="AA220" s="88"/>
    </row>
    <row r="221" spans="1:27" ht="13.2">
      <c r="A221" s="88"/>
      <c r="B221" s="88"/>
      <c r="C221" s="88"/>
      <c r="D221" s="88"/>
      <c r="E221" s="88"/>
      <c r="F221" s="88"/>
      <c r="G221" s="88"/>
      <c r="H221" s="88"/>
      <c r="I221" s="88"/>
      <c r="J221" s="88"/>
      <c r="K221" s="88"/>
      <c r="L221" s="88"/>
      <c r="M221" s="88"/>
      <c r="N221" s="88"/>
      <c r="O221" s="88"/>
      <c r="P221" s="88"/>
      <c r="Q221" s="88"/>
      <c r="R221" s="88"/>
      <c r="S221" s="88"/>
      <c r="T221" s="88"/>
      <c r="U221" s="88"/>
      <c r="V221" s="88"/>
      <c r="W221" s="88"/>
      <c r="X221" s="88"/>
      <c r="Y221" s="88"/>
      <c r="Z221" s="88"/>
      <c r="AA221" s="88"/>
    </row>
    <row r="222" spans="1:27" ht="13.2">
      <c r="A222" s="88"/>
      <c r="B222" s="88"/>
      <c r="C222" s="88"/>
      <c r="D222" s="88"/>
      <c r="E222" s="88"/>
      <c r="F222" s="88"/>
      <c r="G222" s="88"/>
      <c r="H222" s="88"/>
      <c r="I222" s="88"/>
      <c r="J222" s="88"/>
      <c r="K222" s="88"/>
      <c r="L222" s="88"/>
      <c r="M222" s="88"/>
      <c r="N222" s="88"/>
      <c r="O222" s="88"/>
      <c r="P222" s="88"/>
      <c r="Q222" s="88"/>
      <c r="R222" s="88"/>
      <c r="S222" s="88"/>
      <c r="T222" s="88"/>
      <c r="U222" s="88"/>
      <c r="V222" s="88"/>
      <c r="W222" s="88"/>
      <c r="X222" s="88"/>
      <c r="Y222" s="88"/>
      <c r="Z222" s="88"/>
      <c r="AA222" s="88"/>
    </row>
    <row r="223" spans="1:27" ht="13.2">
      <c r="A223" s="88"/>
      <c r="B223" s="88"/>
      <c r="C223" s="88"/>
      <c r="D223" s="88"/>
      <c r="E223" s="88"/>
      <c r="F223" s="88"/>
      <c r="G223" s="88"/>
      <c r="H223" s="88"/>
      <c r="I223" s="88"/>
      <c r="J223" s="88"/>
      <c r="K223" s="88"/>
      <c r="L223" s="88"/>
      <c r="M223" s="88"/>
      <c r="N223" s="88"/>
      <c r="O223" s="88"/>
      <c r="P223" s="88"/>
      <c r="Q223" s="88"/>
      <c r="R223" s="88"/>
      <c r="S223" s="88"/>
      <c r="T223" s="88"/>
      <c r="U223" s="88"/>
      <c r="V223" s="88"/>
      <c r="W223" s="88"/>
      <c r="X223" s="88"/>
      <c r="Y223" s="88"/>
      <c r="Z223" s="88"/>
      <c r="AA223" s="88"/>
    </row>
    <row r="224" spans="1:27" ht="13.2">
      <c r="A224" s="88"/>
      <c r="B224" s="88"/>
      <c r="C224" s="88"/>
      <c r="D224" s="88"/>
      <c r="E224" s="88"/>
      <c r="F224" s="88"/>
      <c r="G224" s="88"/>
      <c r="H224" s="88"/>
      <c r="I224" s="88"/>
      <c r="J224" s="88"/>
      <c r="K224" s="88"/>
      <c r="L224" s="88"/>
      <c r="M224" s="88"/>
      <c r="N224" s="88"/>
      <c r="O224" s="88"/>
      <c r="P224" s="88"/>
      <c r="Q224" s="88"/>
      <c r="R224" s="88"/>
      <c r="S224" s="88"/>
      <c r="T224" s="88"/>
      <c r="U224" s="88"/>
      <c r="V224" s="88"/>
      <c r="W224" s="88"/>
      <c r="X224" s="88"/>
      <c r="Y224" s="88"/>
      <c r="Z224" s="88"/>
      <c r="AA224" s="88"/>
    </row>
    <row r="225" spans="1:27" ht="13.2">
      <c r="A225" s="88"/>
      <c r="B225" s="88"/>
      <c r="C225" s="88"/>
      <c r="D225" s="88"/>
      <c r="E225" s="88"/>
      <c r="F225" s="88"/>
      <c r="G225" s="88"/>
      <c r="H225" s="88"/>
      <c r="I225" s="88"/>
      <c r="J225" s="88"/>
      <c r="K225" s="88"/>
      <c r="L225" s="88"/>
      <c r="M225" s="88"/>
      <c r="N225" s="88"/>
      <c r="O225" s="88"/>
      <c r="P225" s="88"/>
      <c r="Q225" s="88"/>
      <c r="R225" s="88"/>
      <c r="S225" s="88"/>
      <c r="T225" s="88"/>
      <c r="U225" s="88"/>
      <c r="V225" s="88"/>
      <c r="W225" s="88"/>
      <c r="X225" s="88"/>
      <c r="Y225" s="88"/>
      <c r="Z225" s="88"/>
      <c r="AA225" s="88"/>
    </row>
    <row r="226" spans="1:27" ht="13.2">
      <c r="A226" s="88"/>
      <c r="B226" s="88"/>
      <c r="C226" s="88"/>
      <c r="D226" s="88"/>
      <c r="E226" s="88"/>
      <c r="F226" s="88"/>
      <c r="G226" s="88"/>
      <c r="H226" s="88"/>
      <c r="I226" s="88"/>
      <c r="J226" s="88"/>
      <c r="K226" s="88"/>
      <c r="L226" s="88"/>
      <c r="M226" s="88"/>
      <c r="N226" s="88"/>
      <c r="O226" s="88"/>
      <c r="P226" s="88"/>
      <c r="Q226" s="88"/>
      <c r="R226" s="88"/>
      <c r="S226" s="88"/>
      <c r="T226" s="88"/>
      <c r="U226" s="88"/>
      <c r="V226" s="88"/>
      <c r="W226" s="88"/>
      <c r="X226" s="88"/>
      <c r="Y226" s="88"/>
      <c r="Z226" s="88"/>
      <c r="AA226" s="88"/>
    </row>
    <row r="227" spans="1:27" ht="13.2">
      <c r="A227" s="88"/>
      <c r="B227" s="88"/>
      <c r="C227" s="88"/>
      <c r="D227" s="88"/>
      <c r="E227" s="88"/>
      <c r="F227" s="88"/>
      <c r="G227" s="88"/>
      <c r="H227" s="88"/>
      <c r="I227" s="88"/>
      <c r="J227" s="88"/>
      <c r="K227" s="88"/>
      <c r="L227" s="88"/>
      <c r="M227" s="88"/>
      <c r="N227" s="88"/>
      <c r="O227" s="88"/>
      <c r="P227" s="88"/>
      <c r="Q227" s="88"/>
      <c r="R227" s="88"/>
      <c r="S227" s="88"/>
      <c r="T227" s="88"/>
      <c r="U227" s="88"/>
      <c r="V227" s="88"/>
      <c r="W227" s="88"/>
      <c r="X227" s="88"/>
      <c r="Y227" s="88"/>
      <c r="Z227" s="88"/>
      <c r="AA227" s="88"/>
    </row>
    <row r="228" spans="1:27" ht="13.2">
      <c r="A228" s="88"/>
      <c r="B228" s="88"/>
      <c r="C228" s="88"/>
      <c r="D228" s="88"/>
      <c r="E228" s="88"/>
      <c r="F228" s="88"/>
      <c r="G228" s="88"/>
      <c r="H228" s="88"/>
      <c r="I228" s="88"/>
      <c r="J228" s="88"/>
      <c r="K228" s="88"/>
      <c r="L228" s="88"/>
      <c r="M228" s="88"/>
      <c r="N228" s="88"/>
      <c r="O228" s="88"/>
      <c r="P228" s="88"/>
      <c r="Q228" s="88"/>
      <c r="R228" s="88"/>
      <c r="S228" s="88"/>
      <c r="T228" s="88"/>
      <c r="U228" s="88"/>
      <c r="V228" s="88"/>
      <c r="W228" s="88"/>
      <c r="X228" s="88"/>
      <c r="Y228" s="88"/>
      <c r="Z228" s="88"/>
      <c r="AA228" s="88"/>
    </row>
    <row r="229" spans="1:27" ht="13.2">
      <c r="A229" s="88"/>
      <c r="B229" s="88"/>
      <c r="C229" s="88"/>
      <c r="D229" s="88"/>
      <c r="E229" s="88"/>
      <c r="F229" s="88"/>
      <c r="G229" s="88"/>
      <c r="H229" s="88"/>
      <c r="I229" s="88"/>
      <c r="J229" s="88"/>
      <c r="K229" s="88"/>
      <c r="L229" s="88"/>
      <c r="M229" s="88"/>
      <c r="N229" s="88"/>
      <c r="O229" s="88"/>
      <c r="P229" s="88"/>
      <c r="Q229" s="88"/>
      <c r="R229" s="88"/>
      <c r="S229" s="88"/>
      <c r="T229" s="88"/>
      <c r="U229" s="88"/>
      <c r="V229" s="88"/>
      <c r="W229" s="88"/>
      <c r="X229" s="88"/>
      <c r="Y229" s="88"/>
      <c r="Z229" s="88"/>
      <c r="AA229" s="88"/>
    </row>
    <row r="230" spans="1:27" ht="13.2">
      <c r="A230" s="88"/>
      <c r="B230" s="88"/>
      <c r="C230" s="88"/>
      <c r="D230" s="88"/>
      <c r="E230" s="88"/>
      <c r="F230" s="88"/>
      <c r="G230" s="88"/>
      <c r="H230" s="88"/>
      <c r="I230" s="88"/>
      <c r="J230" s="88"/>
      <c r="K230" s="88"/>
      <c r="L230" s="88"/>
      <c r="M230" s="88"/>
      <c r="N230" s="88"/>
      <c r="O230" s="88"/>
      <c r="P230" s="88"/>
      <c r="Q230" s="88"/>
      <c r="R230" s="88"/>
      <c r="S230" s="88"/>
      <c r="T230" s="88"/>
      <c r="U230" s="88"/>
      <c r="V230" s="88"/>
      <c r="W230" s="88"/>
      <c r="X230" s="88"/>
      <c r="Y230" s="88"/>
      <c r="Z230" s="88"/>
      <c r="AA230" s="88"/>
    </row>
    <row r="231" spans="1:27" ht="13.2">
      <c r="A231" s="88"/>
      <c r="B231" s="88"/>
      <c r="C231" s="88"/>
      <c r="D231" s="88"/>
      <c r="E231" s="88"/>
      <c r="F231" s="88"/>
      <c r="G231" s="88"/>
      <c r="H231" s="88"/>
      <c r="I231" s="88"/>
      <c r="J231" s="88"/>
      <c r="K231" s="88"/>
      <c r="L231" s="88"/>
      <c r="M231" s="88"/>
      <c r="N231" s="88"/>
      <c r="O231" s="88"/>
      <c r="P231" s="88"/>
      <c r="Q231" s="88"/>
      <c r="R231" s="88"/>
      <c r="S231" s="88"/>
      <c r="T231" s="88"/>
      <c r="U231" s="88"/>
      <c r="V231" s="88"/>
      <c r="W231" s="88"/>
      <c r="X231" s="88"/>
      <c r="Y231" s="88"/>
      <c r="Z231" s="88"/>
      <c r="AA231" s="88"/>
    </row>
    <row r="232" spans="1:27" ht="13.2">
      <c r="A232" s="88"/>
      <c r="B232" s="88"/>
      <c r="C232" s="88"/>
      <c r="D232" s="88"/>
      <c r="E232" s="88"/>
      <c r="F232" s="88"/>
      <c r="G232" s="88"/>
      <c r="H232" s="88"/>
      <c r="I232" s="88"/>
      <c r="J232" s="88"/>
      <c r="K232" s="88"/>
      <c r="L232" s="88"/>
      <c r="M232" s="88"/>
      <c r="N232" s="88"/>
      <c r="O232" s="88"/>
      <c r="P232" s="88"/>
      <c r="Q232" s="88"/>
      <c r="R232" s="88"/>
      <c r="S232" s="88"/>
      <c r="T232" s="88"/>
      <c r="U232" s="88"/>
      <c r="V232" s="88"/>
      <c r="W232" s="88"/>
      <c r="X232" s="88"/>
      <c r="Y232" s="88"/>
      <c r="Z232" s="88"/>
      <c r="AA232" s="88"/>
    </row>
    <row r="233" spans="1:27" ht="13.2">
      <c r="A233" s="88"/>
      <c r="B233" s="88"/>
      <c r="C233" s="88"/>
      <c r="D233" s="88"/>
      <c r="E233" s="88"/>
      <c r="F233" s="88"/>
      <c r="G233" s="88"/>
      <c r="H233" s="88"/>
      <c r="I233" s="88"/>
      <c r="J233" s="88"/>
      <c r="K233" s="88"/>
      <c r="L233" s="88"/>
      <c r="M233" s="88"/>
      <c r="N233" s="88"/>
      <c r="O233" s="88"/>
      <c r="P233" s="88"/>
      <c r="Q233" s="88"/>
      <c r="R233" s="88"/>
      <c r="S233" s="88"/>
      <c r="T233" s="88"/>
      <c r="U233" s="88"/>
      <c r="V233" s="88"/>
      <c r="W233" s="88"/>
      <c r="X233" s="88"/>
      <c r="Y233" s="88"/>
      <c r="Z233" s="88"/>
      <c r="AA233" s="88"/>
    </row>
    <row r="234" spans="1:27" ht="13.2">
      <c r="A234" s="88"/>
      <c r="B234" s="88"/>
      <c r="C234" s="88"/>
      <c r="D234" s="88"/>
      <c r="E234" s="88"/>
      <c r="F234" s="88"/>
      <c r="G234" s="88"/>
      <c r="H234" s="88"/>
      <c r="I234" s="88"/>
      <c r="J234" s="88"/>
      <c r="K234" s="88"/>
      <c r="L234" s="88"/>
      <c r="M234" s="88"/>
      <c r="N234" s="88"/>
      <c r="O234" s="88"/>
      <c r="P234" s="88"/>
      <c r="Q234" s="88"/>
      <c r="R234" s="88"/>
      <c r="S234" s="88"/>
      <c r="T234" s="88"/>
      <c r="U234" s="88"/>
      <c r="V234" s="88"/>
      <c r="W234" s="88"/>
      <c r="X234" s="88"/>
      <c r="Y234" s="88"/>
      <c r="Z234" s="88"/>
      <c r="AA234" s="88"/>
    </row>
    <row r="235" spans="1:27" ht="13.2">
      <c r="A235" s="88"/>
      <c r="B235" s="88"/>
      <c r="C235" s="88"/>
      <c r="D235" s="88"/>
      <c r="E235" s="88"/>
      <c r="F235" s="88"/>
      <c r="G235" s="88"/>
      <c r="H235" s="88"/>
      <c r="I235" s="88"/>
      <c r="J235" s="88"/>
      <c r="K235" s="88"/>
      <c r="L235" s="88"/>
      <c r="M235" s="88"/>
      <c r="N235" s="88"/>
      <c r="O235" s="88"/>
      <c r="P235" s="88"/>
      <c r="Q235" s="88"/>
      <c r="R235" s="88"/>
      <c r="S235" s="88"/>
      <c r="T235" s="88"/>
      <c r="U235" s="88"/>
      <c r="V235" s="88"/>
      <c r="W235" s="88"/>
      <c r="X235" s="88"/>
      <c r="Y235" s="88"/>
      <c r="Z235" s="88"/>
      <c r="AA235" s="88"/>
    </row>
    <row r="236" spans="1:27" ht="13.2">
      <c r="A236" s="88"/>
      <c r="B236" s="88"/>
      <c r="C236" s="88"/>
      <c r="D236" s="88"/>
      <c r="E236" s="88"/>
      <c r="F236" s="88"/>
      <c r="G236" s="88"/>
      <c r="H236" s="88"/>
      <c r="I236" s="88"/>
      <c r="J236" s="88"/>
      <c r="K236" s="88"/>
      <c r="L236" s="88"/>
      <c r="M236" s="88"/>
      <c r="N236" s="88"/>
      <c r="O236" s="88"/>
      <c r="P236" s="88"/>
      <c r="Q236" s="88"/>
      <c r="R236" s="88"/>
      <c r="S236" s="88"/>
      <c r="T236" s="88"/>
      <c r="U236" s="88"/>
      <c r="V236" s="88"/>
      <c r="W236" s="88"/>
      <c r="X236" s="88"/>
      <c r="Y236" s="88"/>
      <c r="Z236" s="88"/>
      <c r="AA236" s="88"/>
    </row>
    <row r="237" spans="1:27" ht="13.2">
      <c r="A237" s="88"/>
      <c r="B237" s="88"/>
      <c r="C237" s="88"/>
      <c r="D237" s="88"/>
      <c r="E237" s="88"/>
      <c r="F237" s="88"/>
      <c r="G237" s="88"/>
      <c r="H237" s="88"/>
      <c r="I237" s="88"/>
      <c r="J237" s="88"/>
      <c r="K237" s="88"/>
      <c r="L237" s="88"/>
      <c r="M237" s="88"/>
      <c r="N237" s="88"/>
      <c r="O237" s="88"/>
      <c r="P237" s="88"/>
      <c r="Q237" s="88"/>
      <c r="R237" s="88"/>
      <c r="S237" s="88"/>
      <c r="T237" s="88"/>
      <c r="U237" s="88"/>
      <c r="V237" s="88"/>
      <c r="W237" s="88"/>
      <c r="X237" s="88"/>
      <c r="Y237" s="88"/>
      <c r="Z237" s="88"/>
      <c r="AA237" s="88"/>
    </row>
    <row r="238" spans="1:27" ht="13.2">
      <c r="A238" s="88"/>
      <c r="B238" s="88"/>
      <c r="C238" s="88"/>
      <c r="D238" s="88"/>
      <c r="E238" s="88"/>
      <c r="F238" s="88"/>
      <c r="G238" s="88"/>
      <c r="H238" s="88"/>
      <c r="I238" s="88"/>
      <c r="J238" s="88"/>
      <c r="K238" s="88"/>
      <c r="L238" s="88"/>
      <c r="M238" s="88"/>
      <c r="N238" s="88"/>
      <c r="O238" s="88"/>
      <c r="P238" s="88"/>
      <c r="Q238" s="88"/>
      <c r="R238" s="88"/>
      <c r="S238" s="88"/>
      <c r="T238" s="88"/>
      <c r="U238" s="88"/>
      <c r="V238" s="88"/>
      <c r="W238" s="88"/>
      <c r="X238" s="88"/>
      <c r="Y238" s="88"/>
      <c r="Z238" s="88"/>
      <c r="AA238" s="88"/>
    </row>
    <row r="239" spans="1:27" ht="13.2">
      <c r="A239" s="88"/>
      <c r="B239" s="88"/>
      <c r="C239" s="88"/>
      <c r="D239" s="88"/>
      <c r="E239" s="88"/>
      <c r="F239" s="88"/>
      <c r="G239" s="88"/>
      <c r="H239" s="88"/>
      <c r="I239" s="88"/>
      <c r="J239" s="88"/>
      <c r="K239" s="88"/>
      <c r="L239" s="88"/>
      <c r="M239" s="88"/>
      <c r="N239" s="88"/>
      <c r="O239" s="88"/>
      <c r="P239" s="88"/>
      <c r="Q239" s="88"/>
      <c r="R239" s="88"/>
      <c r="S239" s="88"/>
      <c r="T239" s="88"/>
      <c r="U239" s="88"/>
      <c r="V239" s="88"/>
      <c r="W239" s="88"/>
      <c r="X239" s="88"/>
      <c r="Y239" s="88"/>
      <c r="Z239" s="88"/>
      <c r="AA239" s="88"/>
    </row>
    <row r="240" spans="1:27" ht="13.2">
      <c r="A240" s="88"/>
      <c r="B240" s="88"/>
      <c r="C240" s="88"/>
      <c r="D240" s="88"/>
      <c r="E240" s="88"/>
      <c r="F240" s="88"/>
      <c r="G240" s="88"/>
      <c r="H240" s="88"/>
      <c r="I240" s="88"/>
      <c r="J240" s="88"/>
      <c r="K240" s="88"/>
      <c r="L240" s="88"/>
      <c r="M240" s="88"/>
      <c r="N240" s="88"/>
      <c r="O240" s="88"/>
      <c r="P240" s="88"/>
      <c r="Q240" s="88"/>
      <c r="R240" s="88"/>
      <c r="S240" s="88"/>
      <c r="T240" s="88"/>
      <c r="U240" s="88"/>
      <c r="V240" s="88"/>
      <c r="W240" s="88"/>
      <c r="X240" s="88"/>
      <c r="Y240" s="88"/>
      <c r="Z240" s="88"/>
      <c r="AA240" s="88"/>
    </row>
    <row r="241" spans="1:27" ht="13.2">
      <c r="A241" s="88"/>
      <c r="B241" s="88"/>
      <c r="C241" s="88"/>
      <c r="D241" s="88"/>
      <c r="E241" s="88"/>
      <c r="F241" s="88"/>
      <c r="G241" s="88"/>
      <c r="H241" s="88"/>
      <c r="I241" s="88"/>
      <c r="J241" s="88"/>
      <c r="K241" s="88"/>
      <c r="L241" s="88"/>
      <c r="M241" s="88"/>
      <c r="N241" s="88"/>
      <c r="O241" s="88"/>
      <c r="P241" s="88"/>
      <c r="Q241" s="88"/>
      <c r="R241" s="88"/>
      <c r="S241" s="88"/>
      <c r="T241" s="88"/>
      <c r="U241" s="88"/>
      <c r="V241" s="88"/>
      <c r="W241" s="88"/>
      <c r="X241" s="88"/>
      <c r="Y241" s="88"/>
      <c r="Z241" s="88"/>
      <c r="AA241" s="88"/>
    </row>
    <row r="242" spans="1:27" ht="13.2">
      <c r="A242" s="88"/>
      <c r="B242" s="88"/>
      <c r="C242" s="88"/>
      <c r="D242" s="88"/>
      <c r="E242" s="88"/>
      <c r="F242" s="88"/>
      <c r="G242" s="88"/>
      <c r="H242" s="88"/>
      <c r="I242" s="88"/>
      <c r="J242" s="88"/>
      <c r="K242" s="88"/>
      <c r="L242" s="88"/>
      <c r="M242" s="88"/>
      <c r="N242" s="88"/>
      <c r="O242" s="88"/>
      <c r="P242" s="88"/>
      <c r="Q242" s="88"/>
      <c r="R242" s="88"/>
      <c r="S242" s="88"/>
      <c r="T242" s="88"/>
      <c r="U242" s="88"/>
      <c r="V242" s="88"/>
      <c r="W242" s="88"/>
      <c r="X242" s="88"/>
      <c r="Y242" s="88"/>
      <c r="Z242" s="88"/>
      <c r="AA242" s="88"/>
    </row>
    <row r="243" spans="1:27" ht="13.2">
      <c r="A243" s="88"/>
      <c r="B243" s="88"/>
      <c r="C243" s="88"/>
      <c r="D243" s="88"/>
      <c r="E243" s="88"/>
      <c r="F243" s="88"/>
      <c r="G243" s="88"/>
      <c r="H243" s="88"/>
      <c r="I243" s="88"/>
      <c r="J243" s="88"/>
      <c r="K243" s="88"/>
      <c r="L243" s="88"/>
      <c r="M243" s="88"/>
      <c r="N243" s="88"/>
      <c r="O243" s="88"/>
      <c r="P243" s="88"/>
      <c r="Q243" s="88"/>
      <c r="R243" s="88"/>
      <c r="S243" s="88"/>
      <c r="T243" s="88"/>
      <c r="U243" s="88"/>
      <c r="V243" s="88"/>
      <c r="W243" s="88"/>
      <c r="X243" s="88"/>
      <c r="Y243" s="88"/>
      <c r="Z243" s="88"/>
      <c r="AA243" s="88"/>
    </row>
    <row r="244" spans="1:27" ht="13.2">
      <c r="A244" s="88"/>
      <c r="B244" s="88"/>
      <c r="C244" s="88"/>
      <c r="D244" s="88"/>
      <c r="E244" s="88"/>
      <c r="F244" s="88"/>
      <c r="G244" s="88"/>
      <c r="H244" s="88"/>
      <c r="I244" s="88"/>
      <c r="J244" s="88"/>
      <c r="K244" s="88"/>
      <c r="L244" s="88"/>
      <c r="M244" s="88"/>
      <c r="N244" s="88"/>
      <c r="O244" s="88"/>
      <c r="P244" s="88"/>
      <c r="Q244" s="88"/>
      <c r="R244" s="88"/>
      <c r="S244" s="88"/>
      <c r="T244" s="88"/>
      <c r="U244" s="88"/>
      <c r="V244" s="88"/>
      <c r="W244" s="88"/>
      <c r="X244" s="88"/>
      <c r="Y244" s="88"/>
      <c r="Z244" s="88"/>
      <c r="AA244" s="88"/>
    </row>
    <row r="245" spans="1:27" ht="13.2">
      <c r="A245" s="88"/>
      <c r="B245" s="88"/>
      <c r="C245" s="88"/>
      <c r="D245" s="88"/>
      <c r="E245" s="88"/>
      <c r="F245" s="88"/>
      <c r="G245" s="88"/>
      <c r="H245" s="88"/>
      <c r="I245" s="88"/>
      <c r="J245" s="88"/>
      <c r="K245" s="88"/>
      <c r="L245" s="88"/>
      <c r="M245" s="88"/>
      <c r="N245" s="88"/>
      <c r="O245" s="88"/>
      <c r="P245" s="88"/>
      <c r="Q245" s="88"/>
      <c r="R245" s="88"/>
      <c r="S245" s="88"/>
      <c r="T245" s="88"/>
      <c r="U245" s="88"/>
      <c r="V245" s="88"/>
      <c r="W245" s="88"/>
      <c r="X245" s="88"/>
      <c r="Y245" s="88"/>
      <c r="Z245" s="88"/>
      <c r="AA245" s="88"/>
    </row>
    <row r="246" spans="1:27" ht="13.2">
      <c r="A246" s="88"/>
      <c r="B246" s="88"/>
      <c r="C246" s="88"/>
      <c r="D246" s="88"/>
      <c r="E246" s="88"/>
      <c r="F246" s="88"/>
      <c r="G246" s="88"/>
      <c r="H246" s="88"/>
      <c r="I246" s="88"/>
      <c r="J246" s="88"/>
      <c r="K246" s="88"/>
      <c r="L246" s="88"/>
      <c r="M246" s="88"/>
      <c r="N246" s="88"/>
      <c r="O246" s="88"/>
      <c r="P246" s="88"/>
      <c r="Q246" s="88"/>
      <c r="R246" s="88"/>
      <c r="S246" s="88"/>
      <c r="T246" s="88"/>
      <c r="U246" s="88"/>
      <c r="V246" s="88"/>
      <c r="W246" s="88"/>
      <c r="X246" s="88"/>
      <c r="Y246" s="88"/>
      <c r="Z246" s="88"/>
      <c r="AA246" s="88"/>
    </row>
    <row r="247" spans="1:27" ht="13.2">
      <c r="A247" s="88"/>
      <c r="B247" s="88"/>
      <c r="C247" s="88"/>
      <c r="D247" s="88"/>
      <c r="E247" s="88"/>
      <c r="F247" s="88"/>
      <c r="G247" s="88"/>
      <c r="H247" s="88"/>
      <c r="I247" s="88"/>
      <c r="J247" s="88"/>
      <c r="K247" s="88"/>
      <c r="L247" s="88"/>
      <c r="M247" s="88"/>
      <c r="N247" s="88"/>
      <c r="O247" s="88"/>
      <c r="P247" s="88"/>
      <c r="Q247" s="88"/>
      <c r="R247" s="88"/>
      <c r="S247" s="88"/>
      <c r="T247" s="88"/>
      <c r="U247" s="88"/>
      <c r="V247" s="88"/>
      <c r="W247" s="88"/>
      <c r="X247" s="88"/>
      <c r="Y247" s="88"/>
      <c r="Z247" s="88"/>
      <c r="AA247" s="88"/>
    </row>
    <row r="248" spans="1:27" ht="13.2">
      <c r="A248" s="88"/>
      <c r="B248" s="88"/>
      <c r="C248" s="88"/>
      <c r="D248" s="88"/>
      <c r="E248" s="88"/>
      <c r="F248" s="88"/>
      <c r="G248" s="88"/>
      <c r="H248" s="88"/>
      <c r="I248" s="88"/>
      <c r="J248" s="88"/>
      <c r="K248" s="88"/>
      <c r="L248" s="88"/>
      <c r="M248" s="88"/>
      <c r="N248" s="88"/>
      <c r="O248" s="88"/>
      <c r="P248" s="88"/>
      <c r="Q248" s="88"/>
      <c r="R248" s="88"/>
      <c r="S248" s="88"/>
      <c r="T248" s="88"/>
      <c r="U248" s="88"/>
      <c r="V248" s="88"/>
      <c r="W248" s="88"/>
      <c r="X248" s="88"/>
      <c r="Y248" s="88"/>
      <c r="Z248" s="88"/>
      <c r="AA248" s="88"/>
    </row>
    <row r="249" spans="1:27" ht="13.2">
      <c r="A249" s="88"/>
      <c r="B249" s="88"/>
      <c r="C249" s="88"/>
      <c r="D249" s="88"/>
      <c r="E249" s="88"/>
      <c r="F249" s="88"/>
      <c r="G249" s="88"/>
      <c r="H249" s="88"/>
      <c r="I249" s="88"/>
      <c r="J249" s="88"/>
      <c r="K249" s="88"/>
      <c r="L249" s="88"/>
      <c r="M249" s="88"/>
      <c r="N249" s="88"/>
      <c r="O249" s="88"/>
      <c r="P249" s="88"/>
      <c r="Q249" s="88"/>
      <c r="R249" s="88"/>
      <c r="S249" s="88"/>
      <c r="T249" s="88"/>
      <c r="U249" s="88"/>
      <c r="V249" s="88"/>
      <c r="W249" s="88"/>
      <c r="X249" s="88"/>
      <c r="Y249" s="88"/>
      <c r="Z249" s="88"/>
      <c r="AA249" s="88"/>
    </row>
    <row r="250" spans="1:27" ht="13.2">
      <c r="A250" s="88"/>
      <c r="B250" s="88"/>
      <c r="C250" s="88"/>
      <c r="D250" s="88"/>
      <c r="E250" s="88"/>
      <c r="F250" s="88"/>
      <c r="G250" s="88"/>
      <c r="H250" s="88"/>
      <c r="I250" s="88"/>
      <c r="J250" s="88"/>
      <c r="K250" s="88"/>
      <c r="L250" s="88"/>
      <c r="M250" s="88"/>
      <c r="N250" s="88"/>
      <c r="O250" s="88"/>
      <c r="P250" s="88"/>
      <c r="Q250" s="88"/>
      <c r="R250" s="88"/>
      <c r="S250" s="88"/>
      <c r="T250" s="88"/>
      <c r="U250" s="88"/>
      <c r="V250" s="88"/>
      <c r="W250" s="88"/>
      <c r="X250" s="88"/>
      <c r="Y250" s="88"/>
      <c r="Z250" s="88"/>
      <c r="AA250" s="88"/>
    </row>
    <row r="251" spans="1:27" ht="13.2">
      <c r="A251" s="88"/>
      <c r="B251" s="88"/>
      <c r="C251" s="88"/>
      <c r="D251" s="88"/>
      <c r="E251" s="88"/>
      <c r="F251" s="88"/>
      <c r="G251" s="88"/>
      <c r="H251" s="88"/>
      <c r="I251" s="88"/>
      <c r="J251" s="88"/>
      <c r="K251" s="88"/>
      <c r="L251" s="88"/>
      <c r="M251" s="88"/>
      <c r="N251" s="88"/>
      <c r="O251" s="88"/>
      <c r="P251" s="88"/>
      <c r="Q251" s="88"/>
      <c r="R251" s="88"/>
      <c r="S251" s="88"/>
      <c r="T251" s="88"/>
      <c r="U251" s="88"/>
      <c r="V251" s="88"/>
      <c r="W251" s="88"/>
      <c r="X251" s="88"/>
      <c r="Y251" s="88"/>
      <c r="Z251" s="88"/>
      <c r="AA251" s="88"/>
    </row>
    <row r="252" spans="1:27" ht="13.2">
      <c r="A252" s="88"/>
      <c r="B252" s="88"/>
      <c r="C252" s="88"/>
      <c r="D252" s="88"/>
      <c r="E252" s="88"/>
      <c r="F252" s="88"/>
      <c r="G252" s="88"/>
      <c r="H252" s="88"/>
      <c r="I252" s="88"/>
      <c r="J252" s="88"/>
      <c r="K252" s="88"/>
      <c r="L252" s="88"/>
      <c r="M252" s="88"/>
      <c r="N252" s="88"/>
      <c r="O252" s="88"/>
      <c r="P252" s="88"/>
      <c r="Q252" s="88"/>
      <c r="R252" s="88"/>
      <c r="S252" s="88"/>
      <c r="T252" s="88"/>
      <c r="U252" s="88"/>
      <c r="V252" s="88"/>
      <c r="W252" s="88"/>
      <c r="X252" s="88"/>
      <c r="Y252" s="88"/>
      <c r="Z252" s="88"/>
      <c r="AA252" s="88"/>
    </row>
    <row r="253" spans="1:27" ht="13.2">
      <c r="A253" s="88"/>
      <c r="B253" s="88"/>
      <c r="C253" s="88"/>
      <c r="D253" s="88"/>
      <c r="E253" s="88"/>
      <c r="F253" s="88"/>
      <c r="G253" s="88"/>
      <c r="H253" s="88"/>
      <c r="I253" s="88"/>
      <c r="J253" s="88"/>
      <c r="K253" s="88"/>
      <c r="L253" s="88"/>
      <c r="M253" s="88"/>
      <c r="N253" s="88"/>
      <c r="O253" s="88"/>
      <c r="P253" s="88"/>
      <c r="Q253" s="88"/>
      <c r="R253" s="88"/>
      <c r="S253" s="88"/>
      <c r="T253" s="88"/>
      <c r="U253" s="88"/>
      <c r="V253" s="88"/>
      <c r="W253" s="88"/>
      <c r="X253" s="88"/>
      <c r="Y253" s="88"/>
      <c r="Z253" s="88"/>
      <c r="AA253" s="88"/>
    </row>
    <row r="254" spans="1:27" ht="13.2">
      <c r="A254" s="88"/>
      <c r="B254" s="88"/>
      <c r="C254" s="88"/>
      <c r="D254" s="88"/>
      <c r="E254" s="88"/>
      <c r="F254" s="88"/>
      <c r="G254" s="88"/>
      <c r="H254" s="88"/>
      <c r="I254" s="88"/>
      <c r="J254" s="88"/>
      <c r="K254" s="88"/>
      <c r="L254" s="88"/>
      <c r="M254" s="88"/>
      <c r="N254" s="88"/>
      <c r="O254" s="88"/>
      <c r="P254" s="88"/>
      <c r="Q254" s="88"/>
      <c r="R254" s="88"/>
      <c r="S254" s="88"/>
      <c r="T254" s="88"/>
      <c r="U254" s="88"/>
      <c r="V254" s="88"/>
      <c r="W254" s="88"/>
      <c r="X254" s="88"/>
      <c r="Y254" s="88"/>
      <c r="Z254" s="88"/>
      <c r="AA254" s="88"/>
    </row>
    <row r="255" spans="1:27" ht="13.2">
      <c r="A255" s="88"/>
      <c r="B255" s="88"/>
      <c r="C255" s="88"/>
      <c r="D255" s="88"/>
      <c r="E255" s="88"/>
      <c r="F255" s="88"/>
      <c r="G255" s="88"/>
      <c r="H255" s="88"/>
      <c r="I255" s="88"/>
      <c r="J255" s="88"/>
      <c r="K255" s="88"/>
      <c r="L255" s="88"/>
      <c r="M255" s="88"/>
      <c r="N255" s="88"/>
      <c r="O255" s="88"/>
      <c r="P255" s="88"/>
      <c r="Q255" s="88"/>
      <c r="R255" s="88"/>
      <c r="S255" s="88"/>
      <c r="T255" s="88"/>
      <c r="U255" s="88"/>
      <c r="V255" s="88"/>
      <c r="W255" s="88"/>
      <c r="X255" s="88"/>
      <c r="Y255" s="88"/>
      <c r="Z255" s="88"/>
      <c r="AA255" s="88"/>
    </row>
    <row r="256" spans="1:27" ht="13.2">
      <c r="A256" s="88"/>
      <c r="B256" s="88"/>
      <c r="C256" s="88"/>
      <c r="D256" s="88"/>
      <c r="E256" s="88"/>
      <c r="F256" s="88"/>
      <c r="G256" s="88"/>
      <c r="H256" s="88"/>
      <c r="I256" s="88"/>
      <c r="J256" s="88"/>
      <c r="K256" s="88"/>
      <c r="L256" s="88"/>
      <c r="M256" s="88"/>
      <c r="N256" s="88"/>
      <c r="O256" s="88"/>
      <c r="P256" s="88"/>
      <c r="Q256" s="88"/>
      <c r="R256" s="88"/>
      <c r="S256" s="88"/>
      <c r="T256" s="88"/>
      <c r="U256" s="88"/>
      <c r="V256" s="88"/>
      <c r="W256" s="88"/>
      <c r="X256" s="88"/>
      <c r="Y256" s="88"/>
      <c r="Z256" s="88"/>
      <c r="AA256" s="88"/>
    </row>
    <row r="257" spans="1:27" ht="13.2">
      <c r="A257" s="88"/>
      <c r="B257" s="88"/>
      <c r="C257" s="88"/>
      <c r="D257" s="88"/>
      <c r="E257" s="88"/>
      <c r="F257" s="88"/>
      <c r="G257" s="88"/>
      <c r="H257" s="88"/>
      <c r="I257" s="88"/>
      <c r="J257" s="88"/>
      <c r="K257" s="88"/>
      <c r="L257" s="88"/>
      <c r="M257" s="88"/>
      <c r="N257" s="88"/>
      <c r="O257" s="88"/>
      <c r="P257" s="88"/>
      <c r="Q257" s="88"/>
      <c r="R257" s="88"/>
      <c r="S257" s="88"/>
      <c r="T257" s="88"/>
      <c r="U257" s="88"/>
      <c r="V257" s="88"/>
      <c r="W257" s="88"/>
      <c r="X257" s="88"/>
      <c r="Y257" s="88"/>
      <c r="Z257" s="88"/>
      <c r="AA257" s="88"/>
    </row>
    <row r="258" spans="1:27" ht="13.2">
      <c r="A258" s="88"/>
      <c r="B258" s="88"/>
      <c r="C258" s="88"/>
      <c r="D258" s="88"/>
      <c r="E258" s="88"/>
      <c r="F258" s="88"/>
      <c r="G258" s="88"/>
      <c r="H258" s="88"/>
      <c r="I258" s="88"/>
      <c r="J258" s="88"/>
      <c r="K258" s="88"/>
      <c r="L258" s="88"/>
      <c r="M258" s="88"/>
      <c r="N258" s="88"/>
      <c r="O258" s="88"/>
      <c r="P258" s="88"/>
      <c r="Q258" s="88"/>
      <c r="R258" s="88"/>
      <c r="S258" s="88"/>
      <c r="T258" s="88"/>
      <c r="U258" s="88"/>
      <c r="V258" s="88"/>
      <c r="W258" s="88"/>
      <c r="X258" s="88"/>
      <c r="Y258" s="88"/>
      <c r="Z258" s="88"/>
      <c r="AA258" s="88"/>
    </row>
    <row r="259" spans="1:27" ht="13.2">
      <c r="A259" s="88"/>
      <c r="B259" s="88"/>
      <c r="C259" s="88"/>
      <c r="D259" s="88"/>
      <c r="E259" s="88"/>
      <c r="F259" s="88"/>
      <c r="G259" s="88"/>
      <c r="H259" s="88"/>
      <c r="I259" s="88"/>
      <c r="J259" s="88"/>
      <c r="K259" s="88"/>
      <c r="L259" s="88"/>
      <c r="M259" s="88"/>
      <c r="N259" s="88"/>
      <c r="O259" s="88"/>
      <c r="P259" s="88"/>
      <c r="Q259" s="88"/>
      <c r="R259" s="88"/>
      <c r="S259" s="88"/>
      <c r="T259" s="88"/>
      <c r="U259" s="88"/>
      <c r="V259" s="88"/>
      <c r="W259" s="88"/>
      <c r="X259" s="88"/>
      <c r="Y259" s="88"/>
      <c r="Z259" s="88"/>
      <c r="AA259" s="88"/>
    </row>
    <row r="260" spans="1:27" ht="13.2">
      <c r="A260" s="88"/>
      <c r="B260" s="88"/>
      <c r="C260" s="88"/>
      <c r="D260" s="88"/>
      <c r="E260" s="88"/>
      <c r="F260" s="88"/>
      <c r="G260" s="88"/>
      <c r="H260" s="88"/>
      <c r="I260" s="88"/>
      <c r="J260" s="88"/>
      <c r="K260" s="88"/>
      <c r="L260" s="88"/>
      <c r="M260" s="88"/>
      <c r="N260" s="88"/>
      <c r="O260" s="88"/>
      <c r="P260" s="88"/>
      <c r="Q260" s="88"/>
      <c r="R260" s="88"/>
      <c r="S260" s="88"/>
      <c r="T260" s="88"/>
      <c r="U260" s="88"/>
      <c r="V260" s="88"/>
      <c r="W260" s="88"/>
      <c r="X260" s="88"/>
      <c r="Y260" s="88"/>
      <c r="Z260" s="88"/>
      <c r="AA260" s="88"/>
    </row>
    <row r="261" spans="1:27" ht="13.2">
      <c r="A261" s="88"/>
      <c r="B261" s="88"/>
      <c r="C261" s="88"/>
      <c r="D261" s="88"/>
      <c r="E261" s="88"/>
      <c r="F261" s="88"/>
      <c r="G261" s="88"/>
      <c r="H261" s="88"/>
      <c r="I261" s="88"/>
      <c r="J261" s="88"/>
      <c r="K261" s="88"/>
      <c r="L261" s="88"/>
      <c r="M261" s="88"/>
      <c r="N261" s="88"/>
      <c r="O261" s="88"/>
      <c r="P261" s="88"/>
      <c r="Q261" s="88"/>
      <c r="R261" s="88"/>
      <c r="S261" s="88"/>
      <c r="T261" s="88"/>
      <c r="U261" s="88"/>
      <c r="V261" s="88"/>
      <c r="W261" s="88"/>
      <c r="X261" s="88"/>
      <c r="Y261" s="88"/>
      <c r="Z261" s="88"/>
      <c r="AA261" s="88"/>
    </row>
    <row r="262" spans="1:27" ht="13.2">
      <c r="A262" s="88"/>
      <c r="B262" s="88"/>
      <c r="C262" s="88"/>
      <c r="D262" s="88"/>
      <c r="E262" s="88"/>
      <c r="F262" s="88"/>
      <c r="G262" s="88"/>
      <c r="H262" s="88"/>
      <c r="I262" s="88"/>
      <c r="J262" s="88"/>
      <c r="K262" s="88"/>
      <c r="L262" s="88"/>
      <c r="M262" s="88"/>
      <c r="N262" s="88"/>
      <c r="O262" s="88"/>
      <c r="P262" s="88"/>
      <c r="Q262" s="88"/>
      <c r="R262" s="88"/>
      <c r="S262" s="88"/>
      <c r="T262" s="88"/>
      <c r="U262" s="88"/>
      <c r="V262" s="88"/>
      <c r="W262" s="88"/>
      <c r="X262" s="88"/>
      <c r="Y262" s="88"/>
      <c r="Z262" s="88"/>
      <c r="AA262" s="88"/>
    </row>
    <row r="263" spans="1:27" ht="13.2">
      <c r="A263" s="88"/>
      <c r="B263" s="88"/>
      <c r="C263" s="88"/>
      <c r="D263" s="88"/>
      <c r="E263" s="88"/>
      <c r="F263" s="88"/>
      <c r="G263" s="88"/>
      <c r="H263" s="88"/>
      <c r="I263" s="88"/>
      <c r="J263" s="88"/>
      <c r="K263" s="88"/>
      <c r="L263" s="88"/>
      <c r="M263" s="88"/>
      <c r="N263" s="88"/>
      <c r="O263" s="88"/>
      <c r="P263" s="88"/>
      <c r="Q263" s="88"/>
      <c r="R263" s="88"/>
      <c r="S263" s="88"/>
      <c r="T263" s="88"/>
      <c r="U263" s="88"/>
      <c r="V263" s="88"/>
      <c r="W263" s="88"/>
      <c r="X263" s="88"/>
      <c r="Y263" s="88"/>
      <c r="Z263" s="88"/>
      <c r="AA263" s="88"/>
    </row>
    <row r="264" spans="1:27" ht="13.2">
      <c r="A264" s="88"/>
      <c r="B264" s="88"/>
      <c r="C264" s="88"/>
      <c r="D264" s="88"/>
      <c r="E264" s="88"/>
      <c r="F264" s="88"/>
      <c r="G264" s="88"/>
      <c r="H264" s="88"/>
      <c r="I264" s="88"/>
      <c r="J264" s="88"/>
      <c r="K264" s="88"/>
      <c r="L264" s="88"/>
      <c r="M264" s="88"/>
      <c r="N264" s="88"/>
      <c r="O264" s="88"/>
      <c r="P264" s="88"/>
      <c r="Q264" s="88"/>
      <c r="R264" s="88"/>
      <c r="S264" s="88"/>
      <c r="T264" s="88"/>
      <c r="U264" s="88"/>
      <c r="V264" s="88"/>
      <c r="W264" s="88"/>
      <c r="X264" s="88"/>
      <c r="Y264" s="88"/>
      <c r="Z264" s="88"/>
      <c r="AA264" s="88"/>
    </row>
    <row r="265" spans="1:27" ht="13.2">
      <c r="A265" s="88"/>
      <c r="B265" s="88"/>
      <c r="C265" s="88"/>
      <c r="D265" s="88"/>
      <c r="E265" s="88"/>
      <c r="F265" s="88"/>
      <c r="G265" s="88"/>
      <c r="H265" s="88"/>
      <c r="I265" s="88"/>
      <c r="J265" s="88"/>
      <c r="K265" s="88"/>
      <c r="L265" s="88"/>
      <c r="M265" s="88"/>
      <c r="N265" s="88"/>
      <c r="O265" s="88"/>
      <c r="P265" s="88"/>
      <c r="Q265" s="88"/>
      <c r="R265" s="88"/>
      <c r="S265" s="88"/>
      <c r="T265" s="88"/>
      <c r="U265" s="88"/>
      <c r="V265" s="88"/>
      <c r="W265" s="88"/>
      <c r="X265" s="88"/>
      <c r="Y265" s="88"/>
      <c r="Z265" s="88"/>
      <c r="AA265" s="88"/>
    </row>
    <row r="266" spans="1:27" ht="13.2">
      <c r="A266" s="88"/>
      <c r="B266" s="88"/>
      <c r="C266" s="88"/>
      <c r="D266" s="88"/>
      <c r="E266" s="88"/>
      <c r="F266" s="88"/>
      <c r="G266" s="88"/>
      <c r="H266" s="88"/>
      <c r="I266" s="88"/>
      <c r="J266" s="88"/>
      <c r="K266" s="88"/>
      <c r="L266" s="88"/>
      <c r="M266" s="88"/>
      <c r="N266" s="88"/>
      <c r="O266" s="88"/>
      <c r="P266" s="88"/>
      <c r="Q266" s="88"/>
      <c r="R266" s="88"/>
      <c r="S266" s="88"/>
      <c r="T266" s="88"/>
      <c r="U266" s="88"/>
      <c r="V266" s="88"/>
      <c r="W266" s="88"/>
      <c r="X266" s="88"/>
      <c r="Y266" s="88"/>
      <c r="Z266" s="88"/>
      <c r="AA266" s="88"/>
    </row>
    <row r="267" spans="1:27" ht="13.2">
      <c r="A267" s="88"/>
      <c r="B267" s="88"/>
      <c r="C267" s="88"/>
      <c r="D267" s="88"/>
      <c r="E267" s="88"/>
      <c r="F267" s="88"/>
      <c r="G267" s="88"/>
      <c r="H267" s="88"/>
      <c r="I267" s="88"/>
      <c r="J267" s="88"/>
      <c r="K267" s="88"/>
      <c r="L267" s="88"/>
      <c r="M267" s="88"/>
      <c r="N267" s="88"/>
      <c r="O267" s="88"/>
      <c r="P267" s="88"/>
      <c r="Q267" s="88"/>
      <c r="R267" s="88"/>
      <c r="S267" s="88"/>
      <c r="T267" s="88"/>
      <c r="U267" s="88"/>
      <c r="V267" s="88"/>
      <c r="W267" s="88"/>
      <c r="X267" s="88"/>
      <c r="Y267" s="88"/>
      <c r="Z267" s="88"/>
      <c r="AA267" s="88"/>
    </row>
    <row r="268" spans="1:27" ht="13.2">
      <c r="A268" s="88"/>
      <c r="B268" s="88"/>
      <c r="C268" s="88"/>
      <c r="D268" s="88"/>
      <c r="E268" s="88"/>
      <c r="F268" s="88"/>
      <c r="G268" s="88"/>
      <c r="H268" s="88"/>
      <c r="I268" s="88"/>
      <c r="J268" s="88"/>
      <c r="K268" s="88"/>
      <c r="L268" s="88"/>
      <c r="M268" s="88"/>
      <c r="N268" s="88"/>
      <c r="O268" s="88"/>
      <c r="P268" s="88"/>
      <c r="Q268" s="88"/>
      <c r="R268" s="88"/>
      <c r="S268" s="88"/>
      <c r="T268" s="88"/>
      <c r="U268" s="88"/>
      <c r="V268" s="88"/>
      <c r="W268" s="88"/>
      <c r="X268" s="88"/>
      <c r="Y268" s="88"/>
      <c r="Z268" s="88"/>
      <c r="AA268" s="88"/>
    </row>
    <row r="269" spans="1:27" ht="13.2">
      <c r="A269" s="88"/>
      <c r="B269" s="88"/>
      <c r="C269" s="88"/>
      <c r="D269" s="88"/>
      <c r="E269" s="88"/>
      <c r="F269" s="88"/>
      <c r="G269" s="88"/>
      <c r="H269" s="88"/>
      <c r="I269" s="88"/>
      <c r="J269" s="88"/>
      <c r="K269" s="88"/>
      <c r="L269" s="88"/>
      <c r="M269" s="88"/>
      <c r="N269" s="88"/>
      <c r="O269" s="88"/>
      <c r="P269" s="88"/>
      <c r="Q269" s="88"/>
      <c r="R269" s="88"/>
      <c r="S269" s="88"/>
      <c r="T269" s="88"/>
      <c r="U269" s="88"/>
      <c r="V269" s="88"/>
      <c r="W269" s="88"/>
      <c r="X269" s="88"/>
      <c r="Y269" s="88"/>
      <c r="Z269" s="88"/>
      <c r="AA269" s="88"/>
    </row>
    <row r="270" spans="1:27" ht="13.2">
      <c r="A270" s="88"/>
      <c r="B270" s="88"/>
      <c r="C270" s="88"/>
      <c r="D270" s="88"/>
      <c r="E270" s="88"/>
      <c r="F270" s="88"/>
      <c r="G270" s="88"/>
      <c r="H270" s="88"/>
      <c r="I270" s="88"/>
      <c r="J270" s="88"/>
      <c r="K270" s="88"/>
      <c r="L270" s="88"/>
      <c r="M270" s="88"/>
      <c r="N270" s="88"/>
      <c r="O270" s="88"/>
      <c r="P270" s="88"/>
      <c r="Q270" s="88"/>
      <c r="R270" s="88"/>
      <c r="S270" s="88"/>
      <c r="T270" s="88"/>
      <c r="U270" s="88"/>
      <c r="V270" s="88"/>
      <c r="W270" s="88"/>
      <c r="X270" s="88"/>
      <c r="Y270" s="88"/>
      <c r="Z270" s="88"/>
      <c r="AA270" s="88"/>
    </row>
    <row r="271" spans="1:27" ht="13.2">
      <c r="A271" s="88"/>
      <c r="B271" s="88"/>
      <c r="C271" s="88"/>
      <c r="D271" s="88"/>
      <c r="E271" s="88"/>
      <c r="F271" s="88"/>
      <c r="G271" s="88"/>
      <c r="H271" s="88"/>
      <c r="I271" s="88"/>
      <c r="J271" s="88"/>
      <c r="K271" s="88"/>
      <c r="L271" s="88"/>
      <c r="M271" s="88"/>
      <c r="N271" s="88"/>
      <c r="O271" s="88"/>
      <c r="P271" s="88"/>
      <c r="Q271" s="88"/>
      <c r="R271" s="88"/>
      <c r="S271" s="88"/>
      <c r="T271" s="88"/>
      <c r="U271" s="88"/>
      <c r="V271" s="88"/>
      <c r="W271" s="88"/>
      <c r="X271" s="88"/>
      <c r="Y271" s="88"/>
      <c r="Z271" s="88"/>
      <c r="AA271" s="88"/>
    </row>
    <row r="272" spans="1:27" ht="13.2">
      <c r="A272" s="88"/>
      <c r="B272" s="88"/>
      <c r="C272" s="88"/>
      <c r="D272" s="88"/>
      <c r="E272" s="88"/>
      <c r="F272" s="88"/>
      <c r="G272" s="88"/>
      <c r="H272" s="88"/>
      <c r="I272" s="88"/>
      <c r="J272" s="88"/>
      <c r="K272" s="88"/>
      <c r="L272" s="88"/>
      <c r="M272" s="88"/>
      <c r="N272" s="88"/>
      <c r="O272" s="88"/>
      <c r="P272" s="88"/>
      <c r="Q272" s="88"/>
      <c r="R272" s="88"/>
      <c r="S272" s="88"/>
      <c r="T272" s="88"/>
      <c r="U272" s="88"/>
      <c r="V272" s="88"/>
      <c r="W272" s="88"/>
      <c r="X272" s="88"/>
      <c r="Y272" s="88"/>
      <c r="Z272" s="88"/>
      <c r="AA272" s="88"/>
    </row>
    <row r="273" spans="1:27" ht="13.2">
      <c r="A273" s="88"/>
      <c r="B273" s="88"/>
      <c r="C273" s="88"/>
      <c r="D273" s="88"/>
      <c r="E273" s="88"/>
      <c r="F273" s="88"/>
      <c r="G273" s="88"/>
      <c r="H273" s="88"/>
      <c r="I273" s="88"/>
      <c r="J273" s="88"/>
      <c r="K273" s="88"/>
      <c r="L273" s="88"/>
      <c r="M273" s="88"/>
      <c r="N273" s="88"/>
      <c r="O273" s="88"/>
      <c r="P273" s="88"/>
      <c r="Q273" s="88"/>
      <c r="R273" s="88"/>
      <c r="S273" s="88"/>
      <c r="T273" s="88"/>
      <c r="U273" s="88"/>
      <c r="V273" s="88"/>
      <c r="W273" s="88"/>
      <c r="X273" s="88"/>
      <c r="Y273" s="88"/>
      <c r="Z273" s="88"/>
      <c r="AA273" s="88"/>
    </row>
    <row r="274" spans="1:27" ht="13.2">
      <c r="A274" s="88"/>
      <c r="B274" s="88"/>
      <c r="C274" s="88"/>
      <c r="D274" s="88"/>
      <c r="E274" s="88"/>
      <c r="F274" s="88"/>
      <c r="G274" s="88"/>
      <c r="H274" s="88"/>
      <c r="I274" s="88"/>
      <c r="J274" s="88"/>
      <c r="K274" s="88"/>
      <c r="L274" s="88"/>
      <c r="M274" s="88"/>
      <c r="N274" s="88"/>
      <c r="O274" s="88"/>
      <c r="P274" s="88"/>
      <c r="Q274" s="88"/>
      <c r="R274" s="88"/>
      <c r="S274" s="88"/>
      <c r="T274" s="88"/>
      <c r="U274" s="88"/>
      <c r="V274" s="88"/>
      <c r="W274" s="88"/>
      <c r="X274" s="88"/>
      <c r="Y274" s="88"/>
      <c r="Z274" s="88"/>
      <c r="AA274" s="88"/>
    </row>
    <row r="275" spans="1:27" ht="13.2">
      <c r="A275" s="88"/>
      <c r="B275" s="88"/>
      <c r="C275" s="88"/>
      <c r="D275" s="88"/>
      <c r="E275" s="88"/>
      <c r="F275" s="88"/>
      <c r="G275" s="88"/>
      <c r="H275" s="88"/>
      <c r="I275" s="88"/>
      <c r="J275" s="88"/>
      <c r="K275" s="88"/>
      <c r="L275" s="88"/>
      <c r="M275" s="88"/>
      <c r="N275" s="88"/>
      <c r="O275" s="88"/>
      <c r="P275" s="88"/>
      <c r="Q275" s="88"/>
      <c r="R275" s="88"/>
      <c r="S275" s="88"/>
      <c r="T275" s="88"/>
      <c r="U275" s="88"/>
      <c r="V275" s="88"/>
      <c r="W275" s="88"/>
      <c r="X275" s="88"/>
      <c r="Y275" s="88"/>
      <c r="Z275" s="88"/>
      <c r="AA275" s="88"/>
    </row>
    <row r="276" spans="1:27" ht="13.2">
      <c r="A276" s="88"/>
      <c r="B276" s="88"/>
      <c r="C276" s="88"/>
      <c r="D276" s="88"/>
      <c r="E276" s="88"/>
      <c r="F276" s="88"/>
      <c r="G276" s="88"/>
      <c r="H276" s="88"/>
      <c r="I276" s="88"/>
      <c r="J276" s="88"/>
      <c r="K276" s="88"/>
      <c r="L276" s="88"/>
      <c r="M276" s="88"/>
      <c r="N276" s="88"/>
      <c r="O276" s="88"/>
      <c r="P276" s="88"/>
      <c r="Q276" s="88"/>
      <c r="R276" s="88"/>
      <c r="S276" s="88"/>
      <c r="T276" s="88"/>
      <c r="U276" s="88"/>
      <c r="V276" s="88"/>
      <c r="W276" s="88"/>
      <c r="X276" s="88"/>
      <c r="Y276" s="88"/>
      <c r="Z276" s="88"/>
      <c r="AA276" s="88"/>
    </row>
    <row r="277" spans="1:27" ht="13.2">
      <c r="A277" s="88"/>
      <c r="B277" s="88"/>
      <c r="C277" s="88"/>
      <c r="D277" s="88"/>
      <c r="E277" s="88"/>
      <c r="F277" s="88"/>
      <c r="G277" s="88"/>
      <c r="H277" s="88"/>
      <c r="I277" s="88"/>
      <c r="J277" s="88"/>
      <c r="K277" s="88"/>
      <c r="L277" s="88"/>
      <c r="M277" s="88"/>
      <c r="N277" s="88"/>
      <c r="O277" s="88"/>
      <c r="P277" s="88"/>
      <c r="Q277" s="88"/>
      <c r="R277" s="88"/>
      <c r="S277" s="88"/>
      <c r="T277" s="88"/>
      <c r="U277" s="88"/>
      <c r="V277" s="88"/>
      <c r="W277" s="88"/>
      <c r="X277" s="88"/>
      <c r="Y277" s="88"/>
      <c r="Z277" s="88"/>
      <c r="AA277" s="88"/>
    </row>
    <row r="278" spans="1:27" ht="13.2">
      <c r="A278" s="88"/>
      <c r="B278" s="88"/>
      <c r="C278" s="88"/>
      <c r="D278" s="88"/>
      <c r="E278" s="88"/>
      <c r="F278" s="88"/>
      <c r="G278" s="88"/>
      <c r="H278" s="88"/>
      <c r="I278" s="88"/>
      <c r="J278" s="88"/>
      <c r="K278" s="88"/>
      <c r="L278" s="88"/>
      <c r="M278" s="88"/>
      <c r="N278" s="88"/>
      <c r="O278" s="88"/>
      <c r="P278" s="88"/>
      <c r="Q278" s="88"/>
      <c r="R278" s="88"/>
      <c r="S278" s="88"/>
      <c r="T278" s="88"/>
      <c r="U278" s="88"/>
      <c r="V278" s="88"/>
      <c r="W278" s="88"/>
      <c r="X278" s="88"/>
      <c r="Y278" s="88"/>
      <c r="Z278" s="88"/>
      <c r="AA278" s="88"/>
    </row>
    <row r="279" spans="1:27" ht="13.2">
      <c r="A279" s="88"/>
      <c r="B279" s="88"/>
      <c r="C279" s="88"/>
      <c r="D279" s="88"/>
      <c r="E279" s="88"/>
      <c r="F279" s="88"/>
      <c r="G279" s="88"/>
      <c r="H279" s="88"/>
      <c r="I279" s="88"/>
      <c r="J279" s="88"/>
      <c r="K279" s="88"/>
      <c r="L279" s="88"/>
      <c r="M279" s="88"/>
      <c r="N279" s="88"/>
      <c r="O279" s="88"/>
      <c r="P279" s="88"/>
      <c r="Q279" s="88"/>
      <c r="R279" s="88"/>
      <c r="S279" s="88"/>
      <c r="T279" s="88"/>
      <c r="U279" s="88"/>
      <c r="V279" s="88"/>
      <c r="W279" s="88"/>
      <c r="X279" s="88"/>
      <c r="Y279" s="88"/>
      <c r="Z279" s="88"/>
      <c r="AA279" s="88"/>
    </row>
    <row r="280" spans="1:27" ht="13.2">
      <c r="A280" s="88"/>
      <c r="B280" s="88"/>
      <c r="C280" s="88"/>
      <c r="D280" s="88"/>
      <c r="E280" s="88"/>
      <c r="F280" s="88"/>
      <c r="G280" s="88"/>
      <c r="H280" s="88"/>
      <c r="I280" s="88"/>
      <c r="J280" s="88"/>
      <c r="K280" s="88"/>
      <c r="L280" s="88"/>
      <c r="M280" s="88"/>
      <c r="N280" s="88"/>
      <c r="O280" s="88"/>
      <c r="P280" s="88"/>
      <c r="Q280" s="88"/>
      <c r="R280" s="88"/>
      <c r="S280" s="88"/>
      <c r="T280" s="88"/>
      <c r="U280" s="88"/>
      <c r="V280" s="88"/>
      <c r="W280" s="88"/>
      <c r="X280" s="88"/>
      <c r="Y280" s="88"/>
      <c r="Z280" s="88"/>
      <c r="AA280" s="88"/>
    </row>
    <row r="281" spans="1:27" ht="13.2">
      <c r="A281" s="88"/>
      <c r="B281" s="88"/>
      <c r="C281" s="88"/>
      <c r="D281" s="88"/>
      <c r="E281" s="88"/>
      <c r="F281" s="88"/>
      <c r="G281" s="88"/>
      <c r="H281" s="88"/>
      <c r="I281" s="88"/>
      <c r="J281" s="88"/>
      <c r="K281" s="88"/>
      <c r="L281" s="88"/>
      <c r="M281" s="88"/>
      <c r="N281" s="88"/>
      <c r="O281" s="88"/>
      <c r="P281" s="88"/>
      <c r="Q281" s="88"/>
      <c r="R281" s="88"/>
      <c r="S281" s="88"/>
      <c r="T281" s="88"/>
      <c r="U281" s="88"/>
      <c r="V281" s="88"/>
      <c r="W281" s="88"/>
      <c r="X281" s="88"/>
      <c r="Y281" s="88"/>
      <c r="Z281" s="88"/>
      <c r="AA281" s="88"/>
    </row>
    <row r="282" spans="1:27" ht="13.2">
      <c r="A282" s="88"/>
      <c r="B282" s="88"/>
      <c r="C282" s="88"/>
      <c r="D282" s="88"/>
      <c r="E282" s="88"/>
      <c r="F282" s="88"/>
      <c r="G282" s="88"/>
      <c r="H282" s="88"/>
      <c r="I282" s="88"/>
      <c r="J282" s="88"/>
      <c r="K282" s="88"/>
      <c r="L282" s="88"/>
      <c r="M282" s="88"/>
      <c r="N282" s="88"/>
      <c r="O282" s="88"/>
      <c r="P282" s="88"/>
      <c r="Q282" s="88"/>
      <c r="R282" s="88"/>
      <c r="S282" s="88"/>
      <c r="T282" s="88"/>
      <c r="U282" s="88"/>
      <c r="V282" s="88"/>
      <c r="W282" s="88"/>
      <c r="X282" s="88"/>
      <c r="Y282" s="88"/>
      <c r="Z282" s="88"/>
      <c r="AA282" s="88"/>
    </row>
    <row r="283" spans="1:27" ht="13.2">
      <c r="A283" s="88"/>
      <c r="B283" s="88"/>
      <c r="C283" s="88"/>
      <c r="D283" s="88"/>
      <c r="E283" s="88"/>
      <c r="F283" s="88"/>
      <c r="G283" s="88"/>
      <c r="H283" s="88"/>
      <c r="I283" s="88"/>
      <c r="J283" s="88"/>
      <c r="K283" s="88"/>
      <c r="L283" s="88"/>
      <c r="M283" s="88"/>
      <c r="N283" s="88"/>
      <c r="O283" s="88"/>
      <c r="P283" s="88"/>
      <c r="Q283" s="88"/>
      <c r="R283" s="88"/>
      <c r="S283" s="88"/>
      <c r="T283" s="88"/>
      <c r="U283" s="88"/>
      <c r="V283" s="88"/>
      <c r="W283" s="88"/>
      <c r="X283" s="88"/>
      <c r="Y283" s="88"/>
      <c r="Z283" s="88"/>
      <c r="AA283" s="88"/>
    </row>
    <row r="284" spans="1:27" ht="13.2">
      <c r="A284" s="88"/>
      <c r="B284" s="88"/>
      <c r="C284" s="88"/>
      <c r="D284" s="88"/>
      <c r="E284" s="88"/>
      <c r="F284" s="88"/>
      <c r="G284" s="88"/>
      <c r="H284" s="88"/>
      <c r="I284" s="88"/>
      <c r="J284" s="88"/>
      <c r="K284" s="88"/>
      <c r="L284" s="88"/>
      <c r="M284" s="88"/>
      <c r="N284" s="88"/>
      <c r="O284" s="88"/>
      <c r="P284" s="88"/>
      <c r="Q284" s="88"/>
      <c r="R284" s="88"/>
      <c r="S284" s="88"/>
      <c r="T284" s="88"/>
      <c r="U284" s="88"/>
      <c r="V284" s="88"/>
      <c r="W284" s="88"/>
      <c r="X284" s="88"/>
      <c r="Y284" s="88"/>
      <c r="Z284" s="88"/>
      <c r="AA284" s="88"/>
    </row>
    <row r="285" spans="1:27" ht="13.2">
      <c r="A285" s="88"/>
      <c r="B285" s="88"/>
      <c r="C285" s="88"/>
      <c r="D285" s="88"/>
      <c r="E285" s="88"/>
      <c r="F285" s="88"/>
      <c r="G285" s="88"/>
      <c r="H285" s="88"/>
      <c r="I285" s="88"/>
      <c r="J285" s="88"/>
      <c r="K285" s="88"/>
      <c r="L285" s="88"/>
      <c r="M285" s="88"/>
      <c r="N285" s="88"/>
      <c r="O285" s="88"/>
      <c r="P285" s="88"/>
      <c r="Q285" s="88"/>
      <c r="R285" s="88"/>
      <c r="S285" s="88"/>
      <c r="T285" s="88"/>
      <c r="U285" s="88"/>
      <c r="V285" s="88"/>
      <c r="W285" s="88"/>
      <c r="X285" s="88"/>
      <c r="Y285" s="88"/>
      <c r="Z285" s="88"/>
      <c r="AA285" s="88"/>
    </row>
    <row r="286" spans="1:27" ht="13.2">
      <c r="A286" s="88"/>
      <c r="B286" s="88"/>
      <c r="C286" s="88"/>
      <c r="D286" s="88"/>
      <c r="E286" s="88"/>
      <c r="F286" s="88"/>
      <c r="G286" s="88"/>
      <c r="H286" s="88"/>
      <c r="I286" s="88"/>
      <c r="J286" s="88"/>
      <c r="K286" s="88"/>
      <c r="L286" s="88"/>
      <c r="M286" s="88"/>
      <c r="N286" s="88"/>
      <c r="O286" s="88"/>
      <c r="P286" s="88"/>
      <c r="Q286" s="88"/>
      <c r="R286" s="88"/>
      <c r="S286" s="88"/>
      <c r="T286" s="88"/>
      <c r="U286" s="88"/>
      <c r="V286" s="88"/>
      <c r="W286" s="88"/>
      <c r="X286" s="88"/>
      <c r="Y286" s="88"/>
      <c r="Z286" s="88"/>
      <c r="AA286" s="88"/>
    </row>
    <row r="287" spans="1:27" ht="13.2">
      <c r="A287" s="88"/>
      <c r="B287" s="88"/>
      <c r="C287" s="88"/>
      <c r="D287" s="88"/>
      <c r="E287" s="88"/>
      <c r="F287" s="88"/>
      <c r="G287" s="88"/>
      <c r="H287" s="88"/>
      <c r="I287" s="88"/>
      <c r="J287" s="88"/>
      <c r="K287" s="88"/>
      <c r="L287" s="88"/>
      <c r="M287" s="88"/>
      <c r="N287" s="88"/>
      <c r="O287" s="88"/>
      <c r="P287" s="88"/>
      <c r="Q287" s="88"/>
      <c r="R287" s="88"/>
      <c r="S287" s="88"/>
      <c r="T287" s="88"/>
      <c r="U287" s="88"/>
      <c r="V287" s="88"/>
      <c r="W287" s="88"/>
      <c r="X287" s="88"/>
      <c r="Y287" s="88"/>
      <c r="Z287" s="88"/>
      <c r="AA287" s="88"/>
    </row>
    <row r="288" spans="1:27" ht="13.2">
      <c r="A288" s="88"/>
      <c r="B288" s="88"/>
      <c r="C288" s="88"/>
      <c r="D288" s="88"/>
      <c r="E288" s="88"/>
      <c r="F288" s="88"/>
      <c r="G288" s="88"/>
      <c r="H288" s="88"/>
      <c r="I288" s="88"/>
      <c r="J288" s="88"/>
      <c r="K288" s="88"/>
      <c r="L288" s="88"/>
      <c r="M288" s="88"/>
      <c r="N288" s="88"/>
      <c r="O288" s="88"/>
      <c r="P288" s="88"/>
      <c r="Q288" s="88"/>
      <c r="R288" s="88"/>
      <c r="S288" s="88"/>
      <c r="T288" s="88"/>
      <c r="U288" s="88"/>
      <c r="V288" s="88"/>
      <c r="W288" s="88"/>
      <c r="X288" s="88"/>
      <c r="Y288" s="88"/>
      <c r="Z288" s="88"/>
      <c r="AA288" s="88"/>
    </row>
    <row r="289" spans="1:27" ht="13.2">
      <c r="A289" s="88"/>
      <c r="B289" s="88"/>
      <c r="C289" s="88"/>
      <c r="D289" s="88"/>
      <c r="E289" s="88"/>
      <c r="F289" s="88"/>
      <c r="G289" s="88"/>
      <c r="H289" s="88"/>
      <c r="I289" s="88"/>
      <c r="J289" s="88"/>
      <c r="K289" s="88"/>
      <c r="L289" s="88"/>
      <c r="M289" s="88"/>
      <c r="N289" s="88"/>
      <c r="O289" s="88"/>
      <c r="P289" s="88"/>
      <c r="Q289" s="88"/>
      <c r="R289" s="88"/>
      <c r="S289" s="88"/>
      <c r="T289" s="88"/>
      <c r="U289" s="88"/>
      <c r="V289" s="88"/>
      <c r="W289" s="88"/>
      <c r="X289" s="88"/>
      <c r="Y289" s="88"/>
      <c r="Z289" s="88"/>
      <c r="AA289" s="88"/>
    </row>
    <row r="290" spans="1:27" ht="13.2">
      <c r="A290" s="88"/>
      <c r="B290" s="88"/>
      <c r="C290" s="88"/>
      <c r="D290" s="88"/>
      <c r="E290" s="88"/>
      <c r="F290" s="88"/>
      <c r="G290" s="88"/>
      <c r="H290" s="88"/>
      <c r="I290" s="88"/>
      <c r="J290" s="88"/>
      <c r="K290" s="88"/>
      <c r="L290" s="88"/>
      <c r="M290" s="88"/>
      <c r="N290" s="88"/>
      <c r="O290" s="88"/>
      <c r="P290" s="88"/>
      <c r="Q290" s="88"/>
      <c r="R290" s="88"/>
      <c r="S290" s="88"/>
      <c r="T290" s="88"/>
      <c r="U290" s="88"/>
      <c r="V290" s="88"/>
      <c r="W290" s="88"/>
      <c r="X290" s="88"/>
      <c r="Y290" s="88"/>
      <c r="Z290" s="88"/>
      <c r="AA290" s="88"/>
    </row>
    <row r="291" spans="1:27" ht="13.2">
      <c r="A291" s="88"/>
      <c r="B291" s="88"/>
      <c r="C291" s="88"/>
      <c r="D291" s="88"/>
      <c r="E291" s="88"/>
      <c r="F291" s="88"/>
      <c r="G291" s="88"/>
      <c r="H291" s="88"/>
      <c r="I291" s="88"/>
      <c r="J291" s="88"/>
      <c r="K291" s="88"/>
      <c r="L291" s="88"/>
      <c r="M291" s="88"/>
      <c r="N291" s="88"/>
      <c r="O291" s="88"/>
      <c r="P291" s="88"/>
      <c r="Q291" s="88"/>
      <c r="R291" s="88"/>
      <c r="S291" s="88"/>
      <c r="T291" s="88"/>
      <c r="U291" s="88"/>
      <c r="V291" s="88"/>
      <c r="W291" s="88"/>
      <c r="X291" s="88"/>
      <c r="Y291" s="88"/>
      <c r="Z291" s="88"/>
      <c r="AA291" s="88"/>
    </row>
    <row r="292" spans="1:27" ht="13.2">
      <c r="A292" s="88"/>
      <c r="B292" s="88"/>
      <c r="C292" s="88"/>
      <c r="D292" s="88"/>
      <c r="E292" s="88"/>
      <c r="F292" s="88"/>
      <c r="G292" s="88"/>
      <c r="H292" s="88"/>
      <c r="I292" s="88"/>
      <c r="J292" s="88"/>
      <c r="K292" s="88"/>
      <c r="L292" s="88"/>
      <c r="M292" s="88"/>
      <c r="N292" s="88"/>
      <c r="O292" s="88"/>
      <c r="P292" s="88"/>
      <c r="Q292" s="88"/>
      <c r="R292" s="88"/>
      <c r="S292" s="88"/>
      <c r="T292" s="88"/>
      <c r="U292" s="88"/>
      <c r="V292" s="88"/>
      <c r="W292" s="88"/>
      <c r="X292" s="88"/>
      <c r="Y292" s="88"/>
      <c r="Z292" s="88"/>
      <c r="AA292" s="88"/>
    </row>
    <row r="293" spans="1:27" ht="13.2">
      <c r="A293" s="88"/>
      <c r="B293" s="88"/>
      <c r="C293" s="88"/>
      <c r="D293" s="88"/>
      <c r="E293" s="88"/>
      <c r="F293" s="88"/>
      <c r="G293" s="88"/>
      <c r="H293" s="88"/>
      <c r="I293" s="88"/>
      <c r="J293" s="88"/>
      <c r="K293" s="88"/>
      <c r="L293" s="88"/>
      <c r="M293" s="88"/>
      <c r="N293" s="88"/>
      <c r="O293" s="88"/>
      <c r="P293" s="88"/>
      <c r="Q293" s="88"/>
      <c r="R293" s="88"/>
      <c r="S293" s="88"/>
      <c r="T293" s="88"/>
      <c r="U293" s="88"/>
      <c r="V293" s="88"/>
      <c r="W293" s="88"/>
      <c r="X293" s="88"/>
      <c r="Y293" s="88"/>
      <c r="Z293" s="88"/>
      <c r="AA293" s="88"/>
    </row>
    <row r="294" spans="1:27" ht="13.2">
      <c r="A294" s="88"/>
      <c r="B294" s="88"/>
      <c r="C294" s="88"/>
      <c r="D294" s="88"/>
      <c r="E294" s="88"/>
      <c r="F294" s="88"/>
      <c r="G294" s="88"/>
      <c r="H294" s="88"/>
      <c r="I294" s="88"/>
      <c r="J294" s="88"/>
      <c r="K294" s="88"/>
      <c r="L294" s="88"/>
      <c r="M294" s="88"/>
      <c r="N294" s="88"/>
      <c r="O294" s="88"/>
      <c r="P294" s="88"/>
      <c r="Q294" s="88"/>
      <c r="R294" s="88"/>
      <c r="S294" s="88"/>
      <c r="T294" s="88"/>
      <c r="U294" s="88"/>
      <c r="V294" s="88"/>
      <c r="W294" s="88"/>
      <c r="X294" s="88"/>
      <c r="Y294" s="88"/>
      <c r="Z294" s="88"/>
      <c r="AA294" s="88"/>
    </row>
    <row r="295" spans="1:27" ht="13.2">
      <c r="A295" s="88"/>
      <c r="B295" s="88"/>
      <c r="C295" s="88"/>
      <c r="D295" s="88"/>
      <c r="E295" s="88"/>
      <c r="F295" s="88"/>
      <c r="G295" s="88"/>
      <c r="H295" s="88"/>
      <c r="I295" s="88"/>
      <c r="J295" s="88"/>
      <c r="K295" s="88"/>
      <c r="L295" s="88"/>
      <c r="M295" s="88"/>
      <c r="N295" s="88"/>
      <c r="O295" s="88"/>
      <c r="P295" s="88"/>
      <c r="Q295" s="88"/>
      <c r="R295" s="88"/>
      <c r="S295" s="88"/>
      <c r="T295" s="88"/>
      <c r="U295" s="88"/>
      <c r="V295" s="88"/>
      <c r="W295" s="88"/>
      <c r="X295" s="88"/>
      <c r="Y295" s="88"/>
      <c r="Z295" s="88"/>
      <c r="AA295" s="88"/>
    </row>
    <row r="296" spans="1:27" ht="13.2">
      <c r="A296" s="88"/>
      <c r="B296" s="88"/>
      <c r="C296" s="88"/>
      <c r="D296" s="88"/>
      <c r="E296" s="88"/>
      <c r="F296" s="88"/>
      <c r="G296" s="88"/>
      <c r="H296" s="88"/>
      <c r="I296" s="88"/>
      <c r="J296" s="88"/>
      <c r="K296" s="88"/>
      <c r="L296" s="88"/>
      <c r="M296" s="88"/>
      <c r="N296" s="88"/>
      <c r="O296" s="88"/>
      <c r="P296" s="88"/>
      <c r="Q296" s="88"/>
      <c r="R296" s="88"/>
      <c r="S296" s="88"/>
      <c r="T296" s="88"/>
      <c r="U296" s="88"/>
      <c r="V296" s="88"/>
      <c r="W296" s="88"/>
      <c r="X296" s="88"/>
      <c r="Y296" s="88"/>
      <c r="Z296" s="88"/>
      <c r="AA296" s="88"/>
    </row>
    <row r="297" spans="1:27" ht="13.2">
      <c r="A297" s="88"/>
      <c r="B297" s="88"/>
      <c r="C297" s="88"/>
      <c r="D297" s="88"/>
      <c r="E297" s="88"/>
      <c r="F297" s="88"/>
      <c r="G297" s="88"/>
      <c r="H297" s="88"/>
      <c r="I297" s="88"/>
      <c r="J297" s="88"/>
      <c r="K297" s="88"/>
      <c r="L297" s="88"/>
      <c r="M297" s="88"/>
      <c r="N297" s="88"/>
      <c r="O297" s="88"/>
      <c r="P297" s="88"/>
      <c r="Q297" s="88"/>
      <c r="R297" s="88"/>
      <c r="S297" s="88"/>
      <c r="T297" s="88"/>
      <c r="U297" s="88"/>
      <c r="V297" s="88"/>
      <c r="W297" s="88"/>
      <c r="X297" s="88"/>
      <c r="Y297" s="88"/>
      <c r="Z297" s="88"/>
      <c r="AA297" s="88"/>
    </row>
    <row r="298" spans="1:27" ht="13.2">
      <c r="A298" s="88"/>
      <c r="B298" s="88"/>
      <c r="C298" s="88"/>
      <c r="D298" s="88"/>
      <c r="E298" s="88"/>
      <c r="F298" s="88"/>
      <c r="G298" s="88"/>
      <c r="H298" s="88"/>
      <c r="I298" s="88"/>
      <c r="J298" s="88"/>
      <c r="K298" s="88"/>
      <c r="L298" s="88"/>
      <c r="M298" s="88"/>
      <c r="N298" s="88"/>
      <c r="O298" s="88"/>
      <c r="P298" s="88"/>
      <c r="Q298" s="88"/>
      <c r="R298" s="88"/>
      <c r="S298" s="88"/>
      <c r="T298" s="88"/>
      <c r="U298" s="88"/>
      <c r="V298" s="88"/>
      <c r="W298" s="88"/>
      <c r="X298" s="88"/>
      <c r="Y298" s="88"/>
      <c r="Z298" s="88"/>
      <c r="AA298" s="88"/>
    </row>
    <row r="299" spans="1:27" ht="13.2">
      <c r="A299" s="88"/>
      <c r="B299" s="88"/>
      <c r="C299" s="88"/>
      <c r="D299" s="88"/>
      <c r="E299" s="88"/>
      <c r="F299" s="88"/>
      <c r="G299" s="88"/>
      <c r="H299" s="88"/>
      <c r="I299" s="88"/>
      <c r="J299" s="88"/>
      <c r="K299" s="88"/>
      <c r="L299" s="88"/>
      <c r="M299" s="88"/>
      <c r="N299" s="88"/>
      <c r="O299" s="88"/>
      <c r="P299" s="88"/>
      <c r="Q299" s="88"/>
      <c r="R299" s="88"/>
      <c r="S299" s="88"/>
      <c r="T299" s="88"/>
      <c r="U299" s="88"/>
      <c r="V299" s="88"/>
      <c r="W299" s="88"/>
      <c r="X299" s="88"/>
      <c r="Y299" s="88"/>
      <c r="Z299" s="88"/>
      <c r="AA299" s="88"/>
    </row>
    <row r="300" spans="1:27" ht="13.2">
      <c r="A300" s="88"/>
      <c r="B300" s="88"/>
      <c r="C300" s="88"/>
      <c r="D300" s="88"/>
      <c r="E300" s="88"/>
      <c r="F300" s="88"/>
      <c r="G300" s="88"/>
      <c r="H300" s="88"/>
      <c r="I300" s="88"/>
      <c r="J300" s="88"/>
      <c r="K300" s="88"/>
      <c r="L300" s="88"/>
      <c r="M300" s="88"/>
      <c r="N300" s="88"/>
      <c r="O300" s="88"/>
      <c r="P300" s="88"/>
      <c r="Q300" s="88"/>
      <c r="R300" s="88"/>
      <c r="S300" s="88"/>
      <c r="T300" s="88"/>
      <c r="U300" s="88"/>
      <c r="V300" s="88"/>
      <c r="W300" s="88"/>
      <c r="X300" s="88"/>
      <c r="Y300" s="88"/>
      <c r="Z300" s="88"/>
      <c r="AA300" s="88"/>
    </row>
    <row r="301" spans="1:27" ht="13.2">
      <c r="A301" s="88"/>
      <c r="B301" s="88"/>
      <c r="C301" s="88"/>
      <c r="D301" s="88"/>
      <c r="E301" s="88"/>
      <c r="F301" s="88"/>
      <c r="G301" s="88"/>
      <c r="H301" s="88"/>
      <c r="I301" s="88"/>
      <c r="J301" s="88"/>
      <c r="K301" s="88"/>
      <c r="L301" s="88"/>
      <c r="M301" s="88"/>
      <c r="N301" s="88"/>
      <c r="O301" s="88"/>
      <c r="P301" s="88"/>
      <c r="Q301" s="88"/>
      <c r="R301" s="88"/>
      <c r="S301" s="88"/>
      <c r="T301" s="88"/>
      <c r="U301" s="88"/>
      <c r="V301" s="88"/>
      <c r="W301" s="88"/>
      <c r="X301" s="88"/>
      <c r="Y301" s="88"/>
      <c r="Z301" s="88"/>
      <c r="AA301" s="88"/>
    </row>
    <row r="302" spans="1:27" ht="13.2">
      <c r="A302" s="88"/>
      <c r="B302" s="88"/>
      <c r="C302" s="88"/>
      <c r="D302" s="88"/>
      <c r="E302" s="88"/>
      <c r="F302" s="88"/>
      <c r="G302" s="88"/>
      <c r="H302" s="88"/>
      <c r="I302" s="88"/>
      <c r="J302" s="88"/>
      <c r="K302" s="88"/>
      <c r="L302" s="88"/>
      <c r="M302" s="88"/>
      <c r="N302" s="88"/>
      <c r="O302" s="88"/>
      <c r="P302" s="88"/>
      <c r="Q302" s="88"/>
      <c r="R302" s="88"/>
      <c r="S302" s="88"/>
      <c r="T302" s="88"/>
      <c r="U302" s="88"/>
      <c r="V302" s="88"/>
      <c r="W302" s="88"/>
      <c r="X302" s="88"/>
      <c r="Y302" s="88"/>
      <c r="Z302" s="88"/>
      <c r="AA302" s="88"/>
    </row>
    <row r="303" spans="1:27" ht="13.2">
      <c r="A303" s="88"/>
      <c r="B303" s="88"/>
      <c r="C303" s="88"/>
      <c r="D303" s="88"/>
      <c r="E303" s="88"/>
      <c r="F303" s="88"/>
      <c r="G303" s="88"/>
      <c r="H303" s="88"/>
      <c r="I303" s="88"/>
      <c r="J303" s="88"/>
      <c r="K303" s="88"/>
      <c r="L303" s="88"/>
      <c r="M303" s="88"/>
      <c r="N303" s="88"/>
      <c r="O303" s="88"/>
      <c r="P303" s="88"/>
      <c r="Q303" s="88"/>
      <c r="R303" s="88"/>
      <c r="S303" s="88"/>
      <c r="T303" s="88"/>
      <c r="U303" s="88"/>
      <c r="V303" s="88"/>
      <c r="W303" s="88"/>
      <c r="X303" s="88"/>
      <c r="Y303" s="88"/>
      <c r="Z303" s="88"/>
      <c r="AA303" s="88"/>
    </row>
    <row r="304" spans="1:27" ht="13.2">
      <c r="A304" s="88"/>
      <c r="B304" s="88"/>
      <c r="C304" s="88"/>
      <c r="D304" s="88"/>
      <c r="E304" s="88"/>
      <c r="F304" s="88"/>
      <c r="G304" s="88"/>
      <c r="H304" s="88"/>
      <c r="I304" s="88"/>
      <c r="J304" s="88"/>
      <c r="K304" s="88"/>
      <c r="L304" s="88"/>
      <c r="M304" s="88"/>
      <c r="N304" s="88"/>
      <c r="O304" s="88"/>
      <c r="P304" s="88"/>
      <c r="Q304" s="88"/>
      <c r="R304" s="88"/>
      <c r="S304" s="88"/>
      <c r="T304" s="88"/>
      <c r="U304" s="88"/>
      <c r="V304" s="88"/>
      <c r="W304" s="88"/>
      <c r="X304" s="88"/>
      <c r="Y304" s="88"/>
      <c r="Z304" s="88"/>
      <c r="AA304" s="88"/>
    </row>
    <row r="305" spans="1:27" ht="13.2">
      <c r="A305" s="88"/>
      <c r="B305" s="88"/>
      <c r="C305" s="88"/>
      <c r="D305" s="88"/>
      <c r="E305" s="88"/>
      <c r="F305" s="88"/>
      <c r="G305" s="88"/>
      <c r="H305" s="88"/>
      <c r="I305" s="88"/>
      <c r="J305" s="88"/>
      <c r="K305" s="88"/>
      <c r="L305" s="88"/>
      <c r="M305" s="88"/>
      <c r="N305" s="88"/>
      <c r="O305" s="88"/>
      <c r="P305" s="88"/>
      <c r="Q305" s="88"/>
      <c r="R305" s="88"/>
      <c r="S305" s="88"/>
      <c r="T305" s="88"/>
      <c r="U305" s="88"/>
      <c r="V305" s="88"/>
      <c r="W305" s="88"/>
      <c r="X305" s="88"/>
      <c r="Y305" s="88"/>
      <c r="Z305" s="88"/>
      <c r="AA305" s="88"/>
    </row>
    <row r="306" spans="1:27" ht="13.2">
      <c r="A306" s="88"/>
      <c r="B306" s="88"/>
      <c r="C306" s="88"/>
      <c r="D306" s="88"/>
      <c r="E306" s="88"/>
      <c r="F306" s="88"/>
      <c r="G306" s="88"/>
      <c r="H306" s="88"/>
      <c r="I306" s="88"/>
      <c r="J306" s="88"/>
      <c r="K306" s="88"/>
      <c r="L306" s="88"/>
      <c r="M306" s="88"/>
      <c r="N306" s="88"/>
      <c r="O306" s="88"/>
      <c r="P306" s="88"/>
      <c r="Q306" s="88"/>
      <c r="R306" s="88"/>
      <c r="S306" s="88"/>
      <c r="T306" s="88"/>
      <c r="U306" s="88"/>
      <c r="V306" s="88"/>
      <c r="W306" s="88"/>
      <c r="X306" s="88"/>
      <c r="Y306" s="88"/>
      <c r="Z306" s="88"/>
      <c r="AA306" s="88"/>
    </row>
    <row r="307" spans="1:27" ht="13.2">
      <c r="A307" s="88"/>
      <c r="B307" s="88"/>
      <c r="C307" s="88"/>
      <c r="D307" s="88"/>
      <c r="E307" s="88"/>
      <c r="F307" s="88"/>
      <c r="G307" s="88"/>
      <c r="H307" s="88"/>
      <c r="I307" s="88"/>
      <c r="J307" s="88"/>
      <c r="K307" s="88"/>
      <c r="L307" s="88"/>
      <c r="M307" s="88"/>
      <c r="N307" s="88"/>
      <c r="O307" s="88"/>
      <c r="P307" s="88"/>
      <c r="Q307" s="88"/>
      <c r="R307" s="88"/>
      <c r="S307" s="88"/>
      <c r="T307" s="88"/>
      <c r="U307" s="88"/>
      <c r="V307" s="88"/>
      <c r="W307" s="88"/>
      <c r="X307" s="88"/>
      <c r="Y307" s="88"/>
      <c r="Z307" s="88"/>
      <c r="AA307" s="88"/>
    </row>
    <row r="308" spans="1:27" ht="13.2">
      <c r="A308" s="88"/>
      <c r="B308" s="88"/>
      <c r="C308" s="88"/>
      <c r="D308" s="88"/>
      <c r="E308" s="88"/>
      <c r="F308" s="88"/>
      <c r="G308" s="88"/>
      <c r="H308" s="88"/>
      <c r="I308" s="88"/>
      <c r="J308" s="88"/>
      <c r="K308" s="88"/>
      <c r="L308" s="88"/>
      <c r="M308" s="88"/>
      <c r="N308" s="88"/>
      <c r="O308" s="88"/>
      <c r="P308" s="88"/>
      <c r="Q308" s="88"/>
      <c r="R308" s="88"/>
      <c r="S308" s="88"/>
      <c r="T308" s="88"/>
      <c r="U308" s="88"/>
      <c r="V308" s="88"/>
      <c r="W308" s="88"/>
      <c r="X308" s="88"/>
      <c r="Y308" s="88"/>
      <c r="Z308" s="88"/>
      <c r="AA308" s="88"/>
    </row>
    <row r="309" spans="1:27" ht="13.2">
      <c r="A309" s="88"/>
      <c r="B309" s="88"/>
      <c r="C309" s="88"/>
      <c r="D309" s="88"/>
      <c r="E309" s="88"/>
      <c r="F309" s="88"/>
      <c r="G309" s="88"/>
      <c r="H309" s="88"/>
      <c r="I309" s="88"/>
      <c r="J309" s="88"/>
      <c r="K309" s="88"/>
      <c r="L309" s="88"/>
      <c r="M309" s="88"/>
      <c r="N309" s="88"/>
      <c r="O309" s="88"/>
      <c r="P309" s="88"/>
      <c r="Q309" s="88"/>
      <c r="R309" s="88"/>
      <c r="S309" s="88"/>
      <c r="T309" s="88"/>
      <c r="U309" s="88"/>
      <c r="V309" s="88"/>
      <c r="W309" s="88"/>
      <c r="X309" s="88"/>
      <c r="Y309" s="88"/>
      <c r="Z309" s="88"/>
      <c r="AA309" s="88"/>
    </row>
    <row r="310" spans="1:27" ht="13.2">
      <c r="A310" s="88"/>
      <c r="B310" s="88"/>
      <c r="C310" s="88"/>
      <c r="D310" s="88"/>
      <c r="E310" s="88"/>
      <c r="F310" s="88"/>
      <c r="G310" s="88"/>
      <c r="H310" s="88"/>
      <c r="I310" s="88"/>
      <c r="J310" s="88"/>
      <c r="K310" s="88"/>
      <c r="L310" s="88"/>
      <c r="M310" s="88"/>
      <c r="N310" s="88"/>
      <c r="O310" s="88"/>
      <c r="P310" s="88"/>
      <c r="Q310" s="88"/>
      <c r="R310" s="88"/>
      <c r="S310" s="88"/>
      <c r="T310" s="88"/>
      <c r="U310" s="88"/>
      <c r="V310" s="88"/>
      <c r="W310" s="88"/>
      <c r="X310" s="88"/>
      <c r="Y310" s="88"/>
      <c r="Z310" s="88"/>
      <c r="AA310" s="88"/>
    </row>
    <row r="311" spans="1:27" ht="13.2">
      <c r="A311" s="88"/>
      <c r="B311" s="88"/>
      <c r="C311" s="88"/>
      <c r="D311" s="88"/>
      <c r="E311" s="88"/>
      <c r="F311" s="88"/>
      <c r="G311" s="88"/>
      <c r="H311" s="88"/>
      <c r="I311" s="88"/>
      <c r="J311" s="88"/>
      <c r="K311" s="88"/>
      <c r="L311" s="88"/>
      <c r="M311" s="88"/>
      <c r="N311" s="88"/>
      <c r="O311" s="88"/>
      <c r="P311" s="88"/>
      <c r="Q311" s="88"/>
      <c r="R311" s="88"/>
      <c r="S311" s="88"/>
      <c r="T311" s="88"/>
      <c r="U311" s="88"/>
      <c r="V311" s="88"/>
      <c r="W311" s="88"/>
      <c r="X311" s="88"/>
      <c r="Y311" s="88"/>
      <c r="Z311" s="88"/>
      <c r="AA311" s="88"/>
    </row>
    <row r="312" spans="1:27" ht="13.2">
      <c r="A312" s="88"/>
      <c r="B312" s="88"/>
      <c r="C312" s="88"/>
      <c r="D312" s="88"/>
      <c r="E312" s="88"/>
      <c r="F312" s="88"/>
      <c r="G312" s="88"/>
      <c r="H312" s="88"/>
      <c r="I312" s="88"/>
      <c r="J312" s="88"/>
      <c r="K312" s="88"/>
      <c r="L312" s="88"/>
      <c r="M312" s="88"/>
      <c r="N312" s="88"/>
      <c r="O312" s="88"/>
      <c r="P312" s="88"/>
      <c r="Q312" s="88"/>
      <c r="R312" s="88"/>
      <c r="S312" s="88"/>
      <c r="T312" s="88"/>
      <c r="U312" s="88"/>
      <c r="V312" s="88"/>
      <c r="W312" s="88"/>
      <c r="X312" s="88"/>
      <c r="Y312" s="88"/>
      <c r="Z312" s="88"/>
      <c r="AA312" s="88"/>
    </row>
    <row r="313" spans="1:27" ht="13.2">
      <c r="A313" s="88"/>
      <c r="B313" s="88"/>
      <c r="C313" s="88"/>
      <c r="D313" s="88"/>
      <c r="E313" s="88"/>
      <c r="F313" s="88"/>
      <c r="G313" s="88"/>
      <c r="H313" s="88"/>
      <c r="I313" s="88"/>
      <c r="J313" s="88"/>
      <c r="K313" s="88"/>
      <c r="L313" s="88"/>
      <c r="M313" s="88"/>
      <c r="N313" s="88"/>
      <c r="O313" s="88"/>
      <c r="P313" s="88"/>
      <c r="Q313" s="88"/>
      <c r="R313" s="88"/>
      <c r="S313" s="88"/>
      <c r="T313" s="88"/>
      <c r="U313" s="88"/>
      <c r="V313" s="88"/>
      <c r="W313" s="88"/>
      <c r="X313" s="88"/>
      <c r="Y313" s="88"/>
      <c r="Z313" s="88"/>
      <c r="AA313" s="88"/>
    </row>
    <row r="314" spans="1:27" ht="13.2">
      <c r="A314" s="88"/>
      <c r="B314" s="88"/>
      <c r="C314" s="88"/>
      <c r="D314" s="88"/>
      <c r="E314" s="88"/>
      <c r="F314" s="88"/>
      <c r="G314" s="88"/>
      <c r="H314" s="88"/>
      <c r="I314" s="88"/>
      <c r="J314" s="88"/>
      <c r="K314" s="88"/>
      <c r="L314" s="88"/>
      <c r="M314" s="88"/>
      <c r="N314" s="88"/>
      <c r="O314" s="88"/>
      <c r="P314" s="88"/>
      <c r="Q314" s="88"/>
      <c r="R314" s="88"/>
      <c r="S314" s="88"/>
      <c r="T314" s="88"/>
      <c r="U314" s="88"/>
      <c r="V314" s="88"/>
      <c r="W314" s="88"/>
      <c r="X314" s="88"/>
      <c r="Y314" s="88"/>
      <c r="Z314" s="88"/>
      <c r="AA314" s="88"/>
    </row>
    <row r="315" spans="1:27" ht="13.2">
      <c r="A315" s="88"/>
      <c r="B315" s="88"/>
      <c r="C315" s="88"/>
      <c r="D315" s="88"/>
      <c r="E315" s="88"/>
      <c r="F315" s="88"/>
      <c r="G315" s="88"/>
      <c r="H315" s="88"/>
      <c r="I315" s="88"/>
      <c r="J315" s="88"/>
      <c r="K315" s="88"/>
      <c r="L315" s="88"/>
      <c r="M315" s="88"/>
      <c r="N315" s="88"/>
      <c r="O315" s="88"/>
      <c r="P315" s="88"/>
      <c r="Q315" s="88"/>
      <c r="R315" s="88"/>
      <c r="S315" s="88"/>
      <c r="T315" s="88"/>
      <c r="U315" s="88"/>
      <c r="V315" s="88"/>
      <c r="W315" s="88"/>
      <c r="X315" s="88"/>
      <c r="Y315" s="88"/>
      <c r="Z315" s="88"/>
      <c r="AA315" s="88"/>
    </row>
    <row r="316" spans="1:27" ht="13.2">
      <c r="A316" s="88"/>
      <c r="B316" s="88"/>
      <c r="C316" s="88"/>
      <c r="D316" s="88"/>
      <c r="E316" s="88"/>
      <c r="F316" s="88"/>
      <c r="G316" s="88"/>
      <c r="H316" s="88"/>
      <c r="I316" s="88"/>
      <c r="J316" s="88"/>
      <c r="K316" s="88"/>
      <c r="L316" s="88"/>
      <c r="M316" s="88"/>
      <c r="N316" s="88"/>
      <c r="O316" s="88"/>
      <c r="P316" s="88"/>
      <c r="Q316" s="88"/>
      <c r="R316" s="88"/>
      <c r="S316" s="88"/>
      <c r="T316" s="88"/>
      <c r="U316" s="88"/>
      <c r="V316" s="88"/>
      <c r="W316" s="88"/>
      <c r="X316" s="88"/>
      <c r="Y316" s="88"/>
      <c r="Z316" s="88"/>
      <c r="AA316" s="88"/>
    </row>
    <row r="317" spans="1:27" ht="13.2">
      <c r="A317" s="88"/>
      <c r="B317" s="88"/>
      <c r="C317" s="88"/>
      <c r="D317" s="88"/>
      <c r="E317" s="88"/>
      <c r="F317" s="88"/>
      <c r="G317" s="88"/>
      <c r="H317" s="88"/>
      <c r="I317" s="88"/>
      <c r="J317" s="88"/>
      <c r="K317" s="88"/>
      <c r="L317" s="88"/>
      <c r="M317" s="88"/>
      <c r="N317" s="88"/>
      <c r="O317" s="88"/>
      <c r="P317" s="88"/>
      <c r="Q317" s="88"/>
      <c r="R317" s="88"/>
      <c r="S317" s="88"/>
      <c r="T317" s="88"/>
      <c r="U317" s="88"/>
      <c r="V317" s="88"/>
      <c r="W317" s="88"/>
      <c r="X317" s="88"/>
      <c r="Y317" s="88"/>
      <c r="Z317" s="88"/>
      <c r="AA317" s="88"/>
    </row>
    <row r="318" spans="1:27" ht="13.2">
      <c r="A318" s="88"/>
      <c r="B318" s="88"/>
      <c r="C318" s="88"/>
      <c r="D318" s="88"/>
      <c r="E318" s="88"/>
      <c r="F318" s="88"/>
      <c r="G318" s="88"/>
      <c r="H318" s="88"/>
      <c r="I318" s="88"/>
      <c r="J318" s="88"/>
      <c r="K318" s="88"/>
      <c r="L318" s="88"/>
      <c r="M318" s="88"/>
      <c r="N318" s="88"/>
      <c r="O318" s="88"/>
      <c r="P318" s="88"/>
      <c r="Q318" s="88"/>
      <c r="R318" s="88"/>
      <c r="S318" s="88"/>
      <c r="T318" s="88"/>
      <c r="U318" s="88"/>
      <c r="V318" s="88"/>
      <c r="W318" s="88"/>
      <c r="X318" s="88"/>
      <c r="Y318" s="88"/>
      <c r="Z318" s="88"/>
      <c r="AA318" s="88"/>
    </row>
    <row r="319" spans="1:27" ht="13.2">
      <c r="A319" s="88"/>
      <c r="B319" s="88"/>
      <c r="C319" s="88"/>
      <c r="D319" s="88"/>
      <c r="E319" s="88"/>
      <c r="F319" s="88"/>
      <c r="G319" s="88"/>
      <c r="H319" s="88"/>
      <c r="I319" s="88"/>
      <c r="J319" s="88"/>
      <c r="K319" s="88"/>
      <c r="L319" s="88"/>
      <c r="M319" s="88"/>
      <c r="N319" s="88"/>
      <c r="O319" s="88"/>
      <c r="P319" s="88"/>
      <c r="Q319" s="88"/>
      <c r="R319" s="88"/>
      <c r="S319" s="88"/>
      <c r="T319" s="88"/>
      <c r="U319" s="88"/>
      <c r="V319" s="88"/>
      <c r="W319" s="88"/>
      <c r="X319" s="88"/>
      <c r="Y319" s="88"/>
      <c r="Z319" s="88"/>
      <c r="AA319" s="88"/>
    </row>
    <row r="320" spans="1:27" ht="13.2">
      <c r="A320" s="88"/>
      <c r="B320" s="88"/>
      <c r="C320" s="88"/>
      <c r="D320" s="88"/>
      <c r="E320" s="88"/>
      <c r="F320" s="88"/>
      <c r="G320" s="88"/>
      <c r="H320" s="88"/>
      <c r="I320" s="88"/>
      <c r="J320" s="88"/>
      <c r="K320" s="88"/>
      <c r="L320" s="88"/>
      <c r="M320" s="88"/>
      <c r="N320" s="88"/>
      <c r="O320" s="88"/>
      <c r="P320" s="88"/>
      <c r="Q320" s="88"/>
      <c r="R320" s="88"/>
      <c r="S320" s="88"/>
      <c r="T320" s="88"/>
      <c r="U320" s="88"/>
      <c r="V320" s="88"/>
      <c r="W320" s="88"/>
      <c r="X320" s="88"/>
      <c r="Y320" s="88"/>
      <c r="Z320" s="88"/>
      <c r="AA320" s="88"/>
    </row>
    <row r="321" spans="1:27" ht="13.2">
      <c r="A321" s="88"/>
      <c r="B321" s="88"/>
      <c r="C321" s="88"/>
      <c r="D321" s="88"/>
      <c r="E321" s="88"/>
      <c r="F321" s="88"/>
      <c r="G321" s="88"/>
      <c r="H321" s="88"/>
      <c r="I321" s="88"/>
      <c r="J321" s="88"/>
      <c r="K321" s="88"/>
      <c r="L321" s="88"/>
      <c r="M321" s="88"/>
      <c r="N321" s="88"/>
      <c r="O321" s="88"/>
      <c r="P321" s="88"/>
      <c r="Q321" s="88"/>
      <c r="R321" s="88"/>
      <c r="S321" s="88"/>
      <c r="T321" s="88"/>
      <c r="U321" s="88"/>
      <c r="V321" s="88"/>
      <c r="W321" s="88"/>
      <c r="X321" s="88"/>
      <c r="Y321" s="88"/>
      <c r="Z321" s="88"/>
      <c r="AA321" s="88"/>
    </row>
    <row r="322" spans="1:27" ht="13.2">
      <c r="A322" s="88"/>
      <c r="B322" s="88"/>
      <c r="C322" s="88"/>
      <c r="D322" s="88"/>
      <c r="E322" s="88"/>
      <c r="F322" s="88"/>
      <c r="G322" s="88"/>
      <c r="H322" s="88"/>
      <c r="I322" s="88"/>
      <c r="J322" s="88"/>
      <c r="K322" s="88"/>
      <c r="L322" s="88"/>
      <c r="M322" s="88"/>
      <c r="N322" s="88"/>
      <c r="O322" s="88"/>
      <c r="P322" s="88"/>
      <c r="Q322" s="88"/>
      <c r="R322" s="88"/>
      <c r="S322" s="88"/>
      <c r="T322" s="88"/>
      <c r="U322" s="88"/>
      <c r="V322" s="88"/>
      <c r="W322" s="88"/>
      <c r="X322" s="88"/>
      <c r="Y322" s="88"/>
      <c r="Z322" s="88"/>
      <c r="AA322" s="88"/>
    </row>
    <row r="323" spans="1:27" ht="13.2">
      <c r="A323" s="88"/>
      <c r="B323" s="88"/>
      <c r="C323" s="88"/>
      <c r="D323" s="88"/>
      <c r="E323" s="88"/>
      <c r="F323" s="88"/>
      <c r="G323" s="88"/>
      <c r="H323" s="88"/>
      <c r="I323" s="88"/>
      <c r="J323" s="88"/>
      <c r="K323" s="88"/>
      <c r="L323" s="88"/>
      <c r="M323" s="88"/>
      <c r="N323" s="88"/>
      <c r="O323" s="88"/>
      <c r="P323" s="88"/>
      <c r="Q323" s="88"/>
      <c r="R323" s="88"/>
      <c r="S323" s="88"/>
      <c r="T323" s="88"/>
      <c r="U323" s="88"/>
      <c r="V323" s="88"/>
      <c r="W323" s="88"/>
      <c r="X323" s="88"/>
      <c r="Y323" s="88"/>
      <c r="Z323" s="88"/>
      <c r="AA323" s="88"/>
    </row>
    <row r="324" spans="1:27" ht="13.2">
      <c r="A324" s="88"/>
      <c r="B324" s="88"/>
      <c r="C324" s="88"/>
      <c r="D324" s="88"/>
      <c r="E324" s="88"/>
      <c r="F324" s="88"/>
      <c r="G324" s="88"/>
      <c r="H324" s="88"/>
      <c r="I324" s="88"/>
      <c r="J324" s="88"/>
      <c r="K324" s="88"/>
      <c r="L324" s="88"/>
      <c r="M324" s="88"/>
      <c r="N324" s="88"/>
      <c r="O324" s="88"/>
      <c r="P324" s="88"/>
      <c r="Q324" s="88"/>
      <c r="R324" s="88"/>
      <c r="S324" s="88"/>
      <c r="T324" s="88"/>
      <c r="U324" s="88"/>
      <c r="V324" s="88"/>
      <c r="W324" s="88"/>
      <c r="X324" s="88"/>
      <c r="Y324" s="88"/>
      <c r="Z324" s="88"/>
      <c r="AA324" s="88"/>
    </row>
    <row r="325" spans="1:27" ht="13.2">
      <c r="A325" s="88"/>
      <c r="B325" s="88"/>
      <c r="C325" s="88"/>
      <c r="D325" s="88"/>
      <c r="E325" s="88"/>
      <c r="F325" s="88"/>
      <c r="G325" s="88"/>
      <c r="H325" s="88"/>
      <c r="I325" s="88"/>
      <c r="J325" s="88"/>
      <c r="K325" s="88"/>
      <c r="L325" s="88"/>
      <c r="M325" s="88"/>
      <c r="N325" s="88"/>
      <c r="O325" s="88"/>
      <c r="P325" s="88"/>
      <c r="Q325" s="88"/>
      <c r="R325" s="88"/>
      <c r="S325" s="88"/>
      <c r="T325" s="88"/>
      <c r="U325" s="88"/>
      <c r="V325" s="88"/>
      <c r="W325" s="88"/>
      <c r="X325" s="88"/>
      <c r="Y325" s="88"/>
      <c r="Z325" s="88"/>
      <c r="AA325" s="88"/>
    </row>
    <row r="326" spans="1:27" ht="13.2">
      <c r="A326" s="88"/>
      <c r="B326" s="88"/>
      <c r="C326" s="88"/>
      <c r="D326" s="88"/>
      <c r="E326" s="88"/>
      <c r="F326" s="88"/>
      <c r="G326" s="88"/>
      <c r="H326" s="88"/>
      <c r="I326" s="88"/>
      <c r="J326" s="88"/>
      <c r="K326" s="88"/>
      <c r="L326" s="88"/>
      <c r="M326" s="88"/>
      <c r="N326" s="88"/>
      <c r="O326" s="88"/>
      <c r="P326" s="88"/>
      <c r="Q326" s="88"/>
      <c r="R326" s="88"/>
      <c r="S326" s="88"/>
      <c r="T326" s="88"/>
      <c r="U326" s="88"/>
      <c r="V326" s="88"/>
      <c r="W326" s="88"/>
      <c r="X326" s="88"/>
      <c r="Y326" s="88"/>
      <c r="Z326" s="88"/>
      <c r="AA326" s="88"/>
    </row>
    <row r="327" spans="1:27" ht="13.2">
      <c r="A327" s="88"/>
      <c r="B327" s="88"/>
      <c r="C327" s="88"/>
      <c r="D327" s="88"/>
      <c r="E327" s="88"/>
      <c r="F327" s="88"/>
      <c r="G327" s="88"/>
      <c r="H327" s="88"/>
      <c r="I327" s="88"/>
      <c r="J327" s="88"/>
      <c r="K327" s="88"/>
      <c r="L327" s="88"/>
      <c r="M327" s="88"/>
      <c r="N327" s="88"/>
      <c r="O327" s="88"/>
      <c r="P327" s="88"/>
      <c r="Q327" s="88"/>
      <c r="R327" s="88"/>
      <c r="S327" s="88"/>
      <c r="T327" s="88"/>
      <c r="U327" s="88"/>
      <c r="V327" s="88"/>
      <c r="W327" s="88"/>
      <c r="X327" s="88"/>
      <c r="Y327" s="88"/>
      <c r="Z327" s="88"/>
      <c r="AA327" s="88"/>
    </row>
    <row r="328" spans="1:27" ht="13.2">
      <c r="A328" s="88"/>
      <c r="B328" s="88"/>
      <c r="C328" s="88"/>
      <c r="D328" s="88"/>
      <c r="E328" s="88"/>
      <c r="F328" s="88"/>
      <c r="G328" s="88"/>
      <c r="H328" s="88"/>
      <c r="I328" s="88"/>
      <c r="J328" s="88"/>
      <c r="K328" s="88"/>
      <c r="L328" s="88"/>
      <c r="M328" s="88"/>
      <c r="N328" s="88"/>
      <c r="O328" s="88"/>
      <c r="P328" s="88"/>
      <c r="Q328" s="88"/>
      <c r="R328" s="88"/>
      <c r="S328" s="88"/>
      <c r="T328" s="88"/>
      <c r="U328" s="88"/>
      <c r="V328" s="88"/>
      <c r="W328" s="88"/>
      <c r="X328" s="88"/>
      <c r="Y328" s="88"/>
      <c r="Z328" s="88"/>
      <c r="AA328" s="88"/>
    </row>
    <row r="329" spans="1:27" ht="13.2">
      <c r="A329" s="88"/>
      <c r="B329" s="88"/>
      <c r="C329" s="88"/>
      <c r="D329" s="88"/>
      <c r="E329" s="88"/>
      <c r="F329" s="88"/>
      <c r="G329" s="88"/>
      <c r="H329" s="88"/>
      <c r="I329" s="88"/>
      <c r="J329" s="88"/>
      <c r="K329" s="88"/>
      <c r="L329" s="88"/>
      <c r="M329" s="88"/>
      <c r="N329" s="88"/>
      <c r="O329" s="88"/>
      <c r="P329" s="88"/>
      <c r="Q329" s="88"/>
      <c r="R329" s="88"/>
      <c r="S329" s="88"/>
      <c r="T329" s="88"/>
      <c r="U329" s="88"/>
      <c r="V329" s="88"/>
      <c r="W329" s="88"/>
      <c r="X329" s="88"/>
      <c r="Y329" s="88"/>
      <c r="Z329" s="88"/>
      <c r="AA329" s="88"/>
    </row>
    <row r="330" spans="1:27" ht="13.2">
      <c r="A330" s="88"/>
      <c r="B330" s="88"/>
      <c r="C330" s="88"/>
      <c r="D330" s="88"/>
      <c r="E330" s="88"/>
      <c r="F330" s="88"/>
      <c r="G330" s="88"/>
      <c r="H330" s="88"/>
      <c r="I330" s="88"/>
      <c r="J330" s="88"/>
      <c r="K330" s="88"/>
      <c r="L330" s="88"/>
      <c r="M330" s="88"/>
      <c r="N330" s="88"/>
      <c r="O330" s="88"/>
      <c r="P330" s="88"/>
      <c r="Q330" s="88"/>
      <c r="R330" s="88"/>
      <c r="S330" s="88"/>
      <c r="T330" s="88"/>
      <c r="U330" s="88"/>
      <c r="V330" s="88"/>
      <c r="W330" s="88"/>
      <c r="X330" s="88"/>
      <c r="Y330" s="88"/>
      <c r="Z330" s="88"/>
      <c r="AA330" s="88"/>
    </row>
    <row r="331" spans="1:27" ht="13.2">
      <c r="A331" s="88"/>
      <c r="B331" s="88"/>
      <c r="C331" s="88"/>
      <c r="D331" s="88"/>
      <c r="E331" s="88"/>
      <c r="F331" s="88"/>
      <c r="G331" s="88"/>
      <c r="H331" s="88"/>
      <c r="I331" s="88"/>
      <c r="J331" s="88"/>
      <c r="K331" s="88"/>
      <c r="L331" s="88"/>
      <c r="M331" s="88"/>
      <c r="N331" s="88"/>
      <c r="O331" s="88"/>
      <c r="P331" s="88"/>
      <c r="Q331" s="88"/>
      <c r="R331" s="88"/>
      <c r="S331" s="88"/>
      <c r="T331" s="88"/>
      <c r="U331" s="88"/>
      <c r="V331" s="88"/>
      <c r="W331" s="88"/>
      <c r="X331" s="88"/>
      <c r="Y331" s="88"/>
      <c r="Z331" s="88"/>
      <c r="AA331" s="88"/>
    </row>
    <row r="332" spans="1:27" ht="13.2">
      <c r="A332" s="88"/>
      <c r="B332" s="88"/>
      <c r="C332" s="88"/>
      <c r="D332" s="88"/>
      <c r="E332" s="88"/>
      <c r="F332" s="88"/>
      <c r="G332" s="88"/>
      <c r="H332" s="88"/>
      <c r="I332" s="88"/>
      <c r="J332" s="88"/>
      <c r="K332" s="88"/>
      <c r="L332" s="88"/>
      <c r="M332" s="88"/>
      <c r="N332" s="88"/>
      <c r="O332" s="88"/>
      <c r="P332" s="88"/>
      <c r="Q332" s="88"/>
      <c r="R332" s="88"/>
      <c r="S332" s="88"/>
      <c r="T332" s="88"/>
      <c r="U332" s="88"/>
      <c r="V332" s="88"/>
      <c r="W332" s="88"/>
      <c r="X332" s="88"/>
      <c r="Y332" s="88"/>
      <c r="Z332" s="88"/>
      <c r="AA332" s="88"/>
    </row>
    <row r="333" spans="1:27" ht="13.2">
      <c r="A333" s="88"/>
      <c r="B333" s="88"/>
      <c r="C333" s="88"/>
      <c r="D333" s="88"/>
      <c r="E333" s="88"/>
      <c r="F333" s="88"/>
      <c r="G333" s="88"/>
      <c r="H333" s="88"/>
      <c r="I333" s="88"/>
      <c r="J333" s="88"/>
      <c r="K333" s="88"/>
      <c r="L333" s="88"/>
      <c r="M333" s="88"/>
      <c r="N333" s="88"/>
      <c r="O333" s="88"/>
      <c r="P333" s="88"/>
      <c r="Q333" s="88"/>
      <c r="R333" s="88"/>
      <c r="S333" s="88"/>
      <c r="T333" s="88"/>
      <c r="U333" s="88"/>
      <c r="V333" s="88"/>
      <c r="W333" s="88"/>
      <c r="X333" s="88"/>
      <c r="Y333" s="88"/>
      <c r="Z333" s="88"/>
      <c r="AA333" s="88"/>
    </row>
    <row r="334" spans="1:27" ht="13.2">
      <c r="A334" s="88"/>
      <c r="B334" s="88"/>
      <c r="C334" s="88"/>
      <c r="D334" s="88"/>
      <c r="E334" s="88"/>
      <c r="F334" s="88"/>
      <c r="G334" s="88"/>
      <c r="H334" s="88"/>
      <c r="I334" s="88"/>
      <c r="J334" s="88"/>
      <c r="K334" s="88"/>
      <c r="L334" s="88"/>
      <c r="M334" s="88"/>
      <c r="N334" s="88"/>
      <c r="O334" s="88"/>
      <c r="P334" s="88"/>
      <c r="Q334" s="88"/>
      <c r="R334" s="88"/>
      <c r="S334" s="88"/>
      <c r="T334" s="88"/>
      <c r="U334" s="88"/>
      <c r="V334" s="88"/>
      <c r="W334" s="88"/>
      <c r="X334" s="88"/>
      <c r="Y334" s="88"/>
      <c r="Z334" s="88"/>
      <c r="AA334" s="88"/>
    </row>
    <row r="335" spans="1:27" ht="13.2">
      <c r="A335" s="88"/>
      <c r="B335" s="88"/>
      <c r="C335" s="88"/>
      <c r="D335" s="88"/>
      <c r="E335" s="88"/>
      <c r="F335" s="88"/>
      <c r="G335" s="88"/>
      <c r="H335" s="88"/>
      <c r="I335" s="88"/>
      <c r="J335" s="88"/>
      <c r="K335" s="88"/>
      <c r="L335" s="88"/>
      <c r="M335" s="88"/>
      <c r="N335" s="88"/>
      <c r="O335" s="88"/>
      <c r="P335" s="88"/>
      <c r="Q335" s="88"/>
      <c r="R335" s="88"/>
      <c r="S335" s="88"/>
      <c r="T335" s="88"/>
      <c r="U335" s="88"/>
      <c r="V335" s="88"/>
      <c r="W335" s="88"/>
      <c r="X335" s="88"/>
      <c r="Y335" s="88"/>
      <c r="Z335" s="88"/>
      <c r="AA335" s="88"/>
    </row>
    <row r="336" spans="1:27" ht="13.2">
      <c r="A336" s="88"/>
      <c r="B336" s="88"/>
      <c r="C336" s="88"/>
      <c r="D336" s="88"/>
      <c r="E336" s="88"/>
      <c r="F336" s="88"/>
      <c r="G336" s="88"/>
      <c r="H336" s="88"/>
      <c r="I336" s="88"/>
      <c r="J336" s="88"/>
      <c r="K336" s="88"/>
      <c r="L336" s="88"/>
      <c r="M336" s="88"/>
      <c r="N336" s="88"/>
      <c r="O336" s="88"/>
      <c r="P336" s="88"/>
      <c r="Q336" s="88"/>
      <c r="R336" s="88"/>
      <c r="S336" s="88"/>
      <c r="T336" s="88"/>
      <c r="U336" s="88"/>
      <c r="V336" s="88"/>
      <c r="W336" s="88"/>
      <c r="X336" s="88"/>
      <c r="Y336" s="88"/>
      <c r="Z336" s="88"/>
      <c r="AA336" s="88"/>
    </row>
    <row r="337" spans="1:27" ht="13.2">
      <c r="A337" s="88"/>
      <c r="B337" s="88"/>
      <c r="C337" s="88"/>
      <c r="D337" s="88"/>
      <c r="E337" s="88"/>
      <c r="F337" s="88"/>
      <c r="G337" s="88"/>
      <c r="H337" s="88"/>
      <c r="I337" s="88"/>
      <c r="J337" s="88"/>
      <c r="K337" s="88"/>
      <c r="L337" s="88"/>
      <c r="M337" s="88"/>
      <c r="N337" s="88"/>
      <c r="O337" s="88"/>
      <c r="P337" s="88"/>
      <c r="Q337" s="88"/>
      <c r="R337" s="88"/>
      <c r="S337" s="88"/>
      <c r="T337" s="88"/>
      <c r="U337" s="88"/>
      <c r="V337" s="88"/>
      <c r="W337" s="88"/>
      <c r="X337" s="88"/>
      <c r="Y337" s="88"/>
      <c r="Z337" s="88"/>
      <c r="AA337" s="88"/>
    </row>
    <row r="338" spans="1:27" ht="13.2">
      <c r="A338" s="88"/>
      <c r="B338" s="88"/>
      <c r="C338" s="88"/>
      <c r="D338" s="88"/>
      <c r="E338" s="88"/>
      <c r="F338" s="88"/>
      <c r="G338" s="88"/>
      <c r="H338" s="88"/>
      <c r="I338" s="88"/>
      <c r="J338" s="88"/>
      <c r="K338" s="88"/>
      <c r="L338" s="88"/>
      <c r="M338" s="88"/>
      <c r="N338" s="88"/>
      <c r="O338" s="88"/>
      <c r="P338" s="88"/>
      <c r="Q338" s="88"/>
      <c r="R338" s="88"/>
      <c r="S338" s="88"/>
      <c r="T338" s="88"/>
      <c r="U338" s="88"/>
      <c r="V338" s="88"/>
      <c r="W338" s="88"/>
      <c r="X338" s="88"/>
      <c r="Y338" s="88"/>
      <c r="Z338" s="88"/>
      <c r="AA338" s="88"/>
    </row>
    <row r="339" spans="1:27" ht="13.2">
      <c r="A339" s="88"/>
      <c r="B339" s="88"/>
      <c r="C339" s="88"/>
      <c r="D339" s="88"/>
      <c r="E339" s="88"/>
      <c r="F339" s="88"/>
      <c r="G339" s="88"/>
      <c r="H339" s="88"/>
      <c r="I339" s="88"/>
      <c r="J339" s="88"/>
      <c r="K339" s="88"/>
      <c r="L339" s="88"/>
      <c r="M339" s="88"/>
      <c r="N339" s="88"/>
      <c r="O339" s="88"/>
      <c r="P339" s="88"/>
      <c r="Q339" s="88"/>
      <c r="R339" s="88"/>
      <c r="S339" s="88"/>
      <c r="T339" s="88"/>
      <c r="U339" s="88"/>
      <c r="V339" s="88"/>
      <c r="W339" s="88"/>
      <c r="X339" s="88"/>
      <c r="Y339" s="88"/>
      <c r="Z339" s="88"/>
      <c r="AA339" s="88"/>
    </row>
    <row r="340" spans="1:27" ht="13.2">
      <c r="A340" s="88"/>
      <c r="B340" s="88"/>
      <c r="C340" s="88"/>
      <c r="D340" s="88"/>
      <c r="E340" s="88"/>
      <c r="F340" s="88"/>
      <c r="G340" s="88"/>
      <c r="H340" s="88"/>
      <c r="I340" s="88"/>
      <c r="J340" s="88"/>
      <c r="K340" s="88"/>
      <c r="L340" s="88"/>
      <c r="M340" s="88"/>
      <c r="N340" s="88"/>
      <c r="O340" s="88"/>
      <c r="P340" s="88"/>
      <c r="Q340" s="88"/>
      <c r="R340" s="88"/>
      <c r="S340" s="88"/>
      <c r="T340" s="88"/>
      <c r="U340" s="88"/>
      <c r="V340" s="88"/>
      <c r="W340" s="88"/>
      <c r="X340" s="88"/>
      <c r="Y340" s="88"/>
      <c r="Z340" s="88"/>
      <c r="AA340" s="88"/>
    </row>
    <row r="341" spans="1:27" ht="13.2">
      <c r="A341" s="88"/>
      <c r="B341" s="88"/>
      <c r="C341" s="88"/>
      <c r="D341" s="88"/>
      <c r="E341" s="88"/>
      <c r="F341" s="88"/>
      <c r="G341" s="88"/>
      <c r="H341" s="88"/>
      <c r="I341" s="88"/>
      <c r="J341" s="88"/>
      <c r="K341" s="88"/>
      <c r="L341" s="88"/>
      <c r="M341" s="88"/>
      <c r="N341" s="88"/>
      <c r="O341" s="88"/>
      <c r="P341" s="88"/>
      <c r="Q341" s="88"/>
      <c r="R341" s="88"/>
      <c r="S341" s="88"/>
      <c r="T341" s="88"/>
      <c r="U341" s="88"/>
      <c r="V341" s="88"/>
      <c r="W341" s="88"/>
      <c r="X341" s="88"/>
      <c r="Y341" s="88"/>
      <c r="Z341" s="88"/>
      <c r="AA341" s="88"/>
    </row>
    <row r="342" spans="1:27" ht="13.2">
      <c r="A342" s="88"/>
      <c r="B342" s="88"/>
      <c r="C342" s="88"/>
      <c r="D342" s="88"/>
      <c r="E342" s="88"/>
      <c r="F342" s="88"/>
      <c r="G342" s="88"/>
      <c r="H342" s="88"/>
      <c r="I342" s="88"/>
      <c r="J342" s="88"/>
      <c r="K342" s="88"/>
      <c r="L342" s="88"/>
      <c r="M342" s="88"/>
      <c r="N342" s="88"/>
      <c r="O342" s="88"/>
      <c r="P342" s="88"/>
      <c r="Q342" s="88"/>
      <c r="R342" s="88"/>
      <c r="S342" s="88"/>
      <c r="T342" s="88"/>
      <c r="U342" s="88"/>
      <c r="V342" s="88"/>
      <c r="W342" s="88"/>
      <c r="X342" s="88"/>
      <c r="Y342" s="88"/>
      <c r="Z342" s="88"/>
      <c r="AA342" s="88"/>
    </row>
    <row r="343" spans="1:27" ht="13.2">
      <c r="A343" s="88"/>
      <c r="B343" s="88"/>
      <c r="C343" s="88"/>
      <c r="D343" s="88"/>
      <c r="E343" s="88"/>
      <c r="F343" s="88"/>
      <c r="G343" s="88"/>
      <c r="H343" s="88"/>
      <c r="I343" s="88"/>
      <c r="J343" s="88"/>
      <c r="K343" s="88"/>
      <c r="L343" s="88"/>
      <c r="M343" s="88"/>
      <c r="N343" s="88"/>
      <c r="O343" s="88"/>
      <c r="P343" s="88"/>
      <c r="Q343" s="88"/>
      <c r="R343" s="88"/>
      <c r="S343" s="88"/>
      <c r="T343" s="88"/>
      <c r="U343" s="88"/>
      <c r="V343" s="88"/>
      <c r="W343" s="88"/>
      <c r="X343" s="88"/>
      <c r="Y343" s="88"/>
      <c r="Z343" s="88"/>
      <c r="AA343" s="88"/>
    </row>
    <row r="344" spans="1:27" ht="13.2">
      <c r="A344" s="88"/>
      <c r="B344" s="88"/>
      <c r="C344" s="88"/>
      <c r="D344" s="88"/>
      <c r="E344" s="88"/>
      <c r="F344" s="88"/>
      <c r="G344" s="88"/>
      <c r="H344" s="88"/>
      <c r="I344" s="88"/>
      <c r="J344" s="88"/>
      <c r="K344" s="88"/>
      <c r="L344" s="88"/>
      <c r="M344" s="88"/>
      <c r="N344" s="88"/>
      <c r="O344" s="88"/>
      <c r="P344" s="88"/>
      <c r="Q344" s="88"/>
      <c r="R344" s="88"/>
      <c r="S344" s="88"/>
      <c r="T344" s="88"/>
      <c r="U344" s="88"/>
      <c r="V344" s="88"/>
      <c r="W344" s="88"/>
      <c r="X344" s="88"/>
      <c r="Y344" s="88"/>
      <c r="Z344" s="88"/>
      <c r="AA344" s="88"/>
    </row>
    <row r="345" spans="1:27" ht="13.2">
      <c r="A345" s="88"/>
      <c r="B345" s="88"/>
      <c r="C345" s="88"/>
      <c r="D345" s="88"/>
      <c r="E345" s="88"/>
      <c r="F345" s="88"/>
      <c r="G345" s="88"/>
      <c r="H345" s="88"/>
      <c r="I345" s="88"/>
      <c r="J345" s="88"/>
      <c r="K345" s="88"/>
      <c r="L345" s="88"/>
      <c r="M345" s="88"/>
      <c r="N345" s="88"/>
      <c r="O345" s="88"/>
      <c r="P345" s="88"/>
      <c r="Q345" s="88"/>
      <c r="R345" s="88"/>
      <c r="S345" s="88"/>
      <c r="T345" s="88"/>
      <c r="U345" s="88"/>
      <c r="V345" s="88"/>
      <c r="W345" s="88"/>
      <c r="X345" s="88"/>
      <c r="Y345" s="88"/>
      <c r="Z345" s="88"/>
      <c r="AA345" s="88"/>
    </row>
    <row r="346" spans="1:27" ht="13.2">
      <c r="A346" s="88"/>
      <c r="B346" s="88"/>
      <c r="C346" s="88"/>
      <c r="D346" s="88"/>
      <c r="E346" s="88"/>
      <c r="F346" s="88"/>
      <c r="G346" s="88"/>
      <c r="H346" s="88"/>
      <c r="I346" s="88"/>
      <c r="J346" s="88"/>
      <c r="K346" s="88"/>
      <c r="L346" s="88"/>
      <c r="M346" s="88"/>
      <c r="N346" s="88"/>
      <c r="O346" s="88"/>
      <c r="P346" s="88"/>
      <c r="Q346" s="88"/>
      <c r="R346" s="88"/>
      <c r="S346" s="88"/>
      <c r="T346" s="88"/>
      <c r="U346" s="88"/>
      <c r="V346" s="88"/>
      <c r="W346" s="88"/>
      <c r="X346" s="88"/>
      <c r="Y346" s="88"/>
      <c r="Z346" s="88"/>
      <c r="AA346" s="88"/>
    </row>
    <row r="347" spans="1:27" ht="13.2">
      <c r="A347" s="88"/>
      <c r="B347" s="88"/>
      <c r="C347" s="88"/>
      <c r="D347" s="88"/>
      <c r="E347" s="88"/>
      <c r="F347" s="88"/>
      <c r="G347" s="88"/>
      <c r="H347" s="88"/>
      <c r="I347" s="88"/>
      <c r="J347" s="88"/>
      <c r="K347" s="88"/>
      <c r="L347" s="88"/>
      <c r="M347" s="88"/>
      <c r="N347" s="88"/>
      <c r="O347" s="88"/>
      <c r="P347" s="88"/>
      <c r="Q347" s="88"/>
      <c r="R347" s="88"/>
      <c r="S347" s="88"/>
      <c r="T347" s="88"/>
      <c r="U347" s="88"/>
      <c r="V347" s="88"/>
      <c r="W347" s="88"/>
      <c r="X347" s="88"/>
      <c r="Y347" s="88"/>
      <c r="Z347" s="88"/>
      <c r="AA347" s="88"/>
    </row>
    <row r="348" spans="1:27" ht="13.2">
      <c r="A348" s="88"/>
      <c r="B348" s="88"/>
      <c r="C348" s="88"/>
      <c r="D348" s="88"/>
      <c r="E348" s="88"/>
      <c r="F348" s="88"/>
      <c r="G348" s="88"/>
      <c r="H348" s="88"/>
      <c r="I348" s="88"/>
      <c r="J348" s="88"/>
      <c r="K348" s="88"/>
      <c r="L348" s="88"/>
      <c r="M348" s="88"/>
      <c r="N348" s="88"/>
      <c r="O348" s="88"/>
      <c r="P348" s="88"/>
      <c r="Q348" s="88"/>
      <c r="R348" s="88"/>
      <c r="S348" s="88"/>
      <c r="T348" s="88"/>
      <c r="U348" s="88"/>
      <c r="V348" s="88"/>
      <c r="W348" s="88"/>
      <c r="X348" s="88"/>
      <c r="Y348" s="88"/>
      <c r="Z348" s="88"/>
      <c r="AA348" s="88"/>
    </row>
    <row r="349" spans="1:27" ht="13.2">
      <c r="A349" s="88"/>
      <c r="B349" s="88"/>
      <c r="C349" s="88"/>
      <c r="D349" s="88"/>
      <c r="E349" s="88"/>
      <c r="F349" s="88"/>
      <c r="G349" s="88"/>
      <c r="H349" s="88"/>
      <c r="I349" s="88"/>
      <c r="J349" s="88"/>
      <c r="K349" s="88"/>
      <c r="L349" s="88"/>
      <c r="M349" s="88"/>
      <c r="N349" s="88"/>
      <c r="O349" s="88"/>
      <c r="P349" s="88"/>
      <c r="Q349" s="88"/>
      <c r="R349" s="88"/>
      <c r="S349" s="88"/>
      <c r="T349" s="88"/>
      <c r="U349" s="88"/>
      <c r="V349" s="88"/>
      <c r="W349" s="88"/>
      <c r="X349" s="88"/>
      <c r="Y349" s="88"/>
      <c r="Z349" s="88"/>
      <c r="AA349" s="88"/>
    </row>
    <row r="350" spans="1:27" ht="13.2">
      <c r="A350" s="88"/>
      <c r="B350" s="88"/>
      <c r="C350" s="88"/>
      <c r="D350" s="88"/>
      <c r="E350" s="88"/>
      <c r="F350" s="88"/>
      <c r="G350" s="88"/>
      <c r="H350" s="88"/>
      <c r="I350" s="88"/>
      <c r="J350" s="88"/>
      <c r="K350" s="88"/>
      <c r="L350" s="88"/>
      <c r="M350" s="88"/>
      <c r="N350" s="88"/>
      <c r="O350" s="88"/>
      <c r="P350" s="88"/>
      <c r="Q350" s="88"/>
      <c r="R350" s="88"/>
      <c r="S350" s="88"/>
      <c r="T350" s="88"/>
      <c r="U350" s="88"/>
      <c r="V350" s="88"/>
      <c r="W350" s="88"/>
      <c r="X350" s="88"/>
      <c r="Y350" s="88"/>
      <c r="Z350" s="88"/>
      <c r="AA350" s="88"/>
    </row>
    <row r="351" spans="1:27" ht="13.2">
      <c r="A351" s="88"/>
      <c r="B351" s="88"/>
      <c r="C351" s="88"/>
      <c r="D351" s="88"/>
      <c r="E351" s="88"/>
      <c r="F351" s="88"/>
      <c r="G351" s="88"/>
      <c r="H351" s="88"/>
      <c r="I351" s="88"/>
      <c r="J351" s="88"/>
      <c r="K351" s="88"/>
      <c r="L351" s="88"/>
      <c r="M351" s="88"/>
      <c r="N351" s="88"/>
      <c r="O351" s="88"/>
      <c r="P351" s="88"/>
      <c r="Q351" s="88"/>
      <c r="R351" s="88"/>
      <c r="S351" s="88"/>
      <c r="T351" s="88"/>
      <c r="U351" s="88"/>
      <c r="V351" s="88"/>
      <c r="W351" s="88"/>
      <c r="X351" s="88"/>
      <c r="Y351" s="88"/>
      <c r="Z351" s="88"/>
      <c r="AA351" s="88"/>
    </row>
    <row r="352" spans="1:27" ht="13.2">
      <c r="A352" s="88"/>
      <c r="B352" s="88"/>
      <c r="C352" s="88"/>
      <c r="D352" s="88"/>
      <c r="E352" s="88"/>
      <c r="F352" s="88"/>
      <c r="G352" s="88"/>
      <c r="H352" s="88"/>
      <c r="I352" s="88"/>
      <c r="J352" s="88"/>
      <c r="K352" s="88"/>
      <c r="L352" s="88"/>
      <c r="M352" s="88"/>
      <c r="N352" s="88"/>
      <c r="O352" s="88"/>
      <c r="P352" s="88"/>
      <c r="Q352" s="88"/>
      <c r="R352" s="88"/>
      <c r="S352" s="88"/>
      <c r="T352" s="88"/>
      <c r="U352" s="88"/>
      <c r="V352" s="88"/>
      <c r="W352" s="88"/>
      <c r="X352" s="88"/>
      <c r="Y352" s="88"/>
      <c r="Z352" s="88"/>
      <c r="AA352" s="88"/>
    </row>
    <row r="353" spans="1:27" ht="13.2">
      <c r="A353" s="88"/>
      <c r="B353" s="88"/>
      <c r="C353" s="88"/>
      <c r="D353" s="88"/>
      <c r="E353" s="88"/>
      <c r="F353" s="88"/>
      <c r="G353" s="88"/>
      <c r="H353" s="88"/>
      <c r="I353" s="88"/>
      <c r="J353" s="88"/>
      <c r="K353" s="88"/>
      <c r="L353" s="88"/>
      <c r="M353" s="88"/>
      <c r="N353" s="88"/>
      <c r="O353" s="88"/>
      <c r="P353" s="88"/>
      <c r="Q353" s="88"/>
      <c r="R353" s="88"/>
      <c r="S353" s="88"/>
      <c r="T353" s="88"/>
      <c r="U353" s="88"/>
      <c r="V353" s="88"/>
      <c r="W353" s="88"/>
      <c r="X353" s="88"/>
      <c r="Y353" s="88"/>
      <c r="Z353" s="88"/>
      <c r="AA353" s="88"/>
    </row>
    <row r="354" spans="1:27" ht="13.2">
      <c r="A354" s="88"/>
      <c r="B354" s="88"/>
      <c r="C354" s="88"/>
      <c r="D354" s="88"/>
      <c r="E354" s="88"/>
      <c r="F354" s="88"/>
      <c r="G354" s="88"/>
      <c r="H354" s="88"/>
      <c r="I354" s="88"/>
      <c r="J354" s="88"/>
      <c r="K354" s="88"/>
      <c r="L354" s="88"/>
      <c r="M354" s="88"/>
      <c r="N354" s="88"/>
      <c r="O354" s="88"/>
      <c r="P354" s="88"/>
      <c r="Q354" s="88"/>
      <c r="R354" s="88"/>
      <c r="S354" s="88"/>
      <c r="T354" s="88"/>
      <c r="U354" s="88"/>
      <c r="V354" s="88"/>
      <c r="W354" s="88"/>
      <c r="X354" s="88"/>
      <c r="Y354" s="88"/>
      <c r="Z354" s="88"/>
      <c r="AA354" s="88"/>
    </row>
    <row r="355" spans="1:27" ht="13.2">
      <c r="A355" s="88"/>
      <c r="B355" s="88"/>
      <c r="C355" s="88"/>
      <c r="D355" s="88"/>
      <c r="E355" s="88"/>
      <c r="F355" s="88"/>
      <c r="G355" s="88"/>
      <c r="H355" s="88"/>
      <c r="I355" s="88"/>
      <c r="J355" s="88"/>
      <c r="K355" s="88"/>
      <c r="L355" s="88"/>
      <c r="M355" s="88"/>
      <c r="N355" s="88"/>
      <c r="O355" s="88"/>
      <c r="P355" s="88"/>
      <c r="Q355" s="88"/>
      <c r="R355" s="88"/>
      <c r="S355" s="88"/>
      <c r="T355" s="88"/>
      <c r="U355" s="88"/>
      <c r="V355" s="88"/>
      <c r="W355" s="88"/>
      <c r="X355" s="88"/>
      <c r="Y355" s="88"/>
      <c r="Z355" s="88"/>
      <c r="AA355" s="88"/>
    </row>
    <row r="356" spans="1:27" ht="13.2">
      <c r="A356" s="88"/>
      <c r="B356" s="88"/>
      <c r="C356" s="88"/>
      <c r="D356" s="88"/>
      <c r="E356" s="88"/>
      <c r="F356" s="88"/>
      <c r="G356" s="88"/>
      <c r="H356" s="88"/>
      <c r="I356" s="88"/>
      <c r="J356" s="88"/>
      <c r="K356" s="88"/>
      <c r="L356" s="88"/>
      <c r="M356" s="88"/>
      <c r="N356" s="88"/>
      <c r="O356" s="88"/>
      <c r="P356" s="88"/>
      <c r="Q356" s="88"/>
      <c r="R356" s="88"/>
      <c r="S356" s="88"/>
      <c r="T356" s="88"/>
      <c r="U356" s="88"/>
      <c r="V356" s="88"/>
      <c r="W356" s="88"/>
      <c r="X356" s="88"/>
      <c r="Y356" s="88"/>
      <c r="Z356" s="88"/>
      <c r="AA356" s="88"/>
    </row>
    <row r="357" spans="1:27" ht="13.2">
      <c r="A357" s="88"/>
      <c r="B357" s="88"/>
      <c r="C357" s="88"/>
      <c r="D357" s="88"/>
      <c r="E357" s="88"/>
      <c r="F357" s="88"/>
      <c r="G357" s="88"/>
      <c r="H357" s="88"/>
      <c r="I357" s="88"/>
      <c r="J357" s="88"/>
      <c r="K357" s="88"/>
      <c r="L357" s="88"/>
      <c r="M357" s="88"/>
      <c r="N357" s="88"/>
      <c r="O357" s="88"/>
      <c r="P357" s="88"/>
      <c r="Q357" s="88"/>
      <c r="R357" s="88"/>
      <c r="S357" s="88"/>
      <c r="T357" s="88"/>
      <c r="U357" s="88"/>
      <c r="V357" s="88"/>
      <c r="W357" s="88"/>
      <c r="X357" s="88"/>
      <c r="Y357" s="88"/>
      <c r="Z357" s="88"/>
      <c r="AA357" s="88"/>
    </row>
    <row r="358" spans="1:27" ht="13.2">
      <c r="A358" s="88"/>
      <c r="B358" s="88"/>
      <c r="C358" s="88"/>
      <c r="D358" s="88"/>
      <c r="E358" s="88"/>
      <c r="F358" s="88"/>
      <c r="G358" s="88"/>
      <c r="H358" s="88"/>
      <c r="I358" s="88"/>
      <c r="J358" s="88"/>
      <c r="K358" s="88"/>
      <c r="L358" s="88"/>
      <c r="M358" s="88"/>
      <c r="N358" s="88"/>
      <c r="O358" s="88"/>
      <c r="P358" s="88"/>
      <c r="Q358" s="88"/>
      <c r="R358" s="88"/>
      <c r="S358" s="88"/>
      <c r="T358" s="88"/>
      <c r="U358" s="88"/>
      <c r="V358" s="88"/>
      <c r="W358" s="88"/>
      <c r="X358" s="88"/>
      <c r="Y358" s="88"/>
      <c r="Z358" s="88"/>
      <c r="AA358" s="88"/>
    </row>
    <row r="359" spans="1:27" ht="13.2">
      <c r="A359" s="88"/>
      <c r="B359" s="88"/>
      <c r="C359" s="88"/>
      <c r="D359" s="88"/>
      <c r="E359" s="88"/>
      <c r="F359" s="88"/>
      <c r="G359" s="88"/>
      <c r="H359" s="88"/>
      <c r="I359" s="88"/>
      <c r="J359" s="88"/>
      <c r="K359" s="88"/>
      <c r="L359" s="88"/>
      <c r="M359" s="88"/>
      <c r="N359" s="88"/>
      <c r="O359" s="88"/>
      <c r="P359" s="88"/>
      <c r="Q359" s="88"/>
      <c r="R359" s="88"/>
      <c r="S359" s="88"/>
      <c r="T359" s="88"/>
      <c r="U359" s="88"/>
      <c r="V359" s="88"/>
      <c r="W359" s="88"/>
      <c r="X359" s="88"/>
      <c r="Y359" s="88"/>
      <c r="Z359" s="88"/>
      <c r="AA359" s="88"/>
    </row>
    <row r="360" spans="1:27" ht="13.2">
      <c r="A360" s="88"/>
      <c r="B360" s="88"/>
      <c r="C360" s="88"/>
      <c r="D360" s="88"/>
      <c r="E360" s="88"/>
      <c r="F360" s="88"/>
      <c r="G360" s="88"/>
      <c r="H360" s="88"/>
      <c r="I360" s="88"/>
      <c r="J360" s="88"/>
      <c r="K360" s="88"/>
      <c r="L360" s="88"/>
      <c r="M360" s="88"/>
      <c r="N360" s="88"/>
      <c r="O360" s="88"/>
      <c r="P360" s="88"/>
      <c r="Q360" s="88"/>
      <c r="R360" s="88"/>
      <c r="S360" s="88"/>
      <c r="T360" s="88"/>
      <c r="U360" s="88"/>
      <c r="V360" s="88"/>
      <c r="W360" s="88"/>
      <c r="X360" s="88"/>
      <c r="Y360" s="88"/>
      <c r="Z360" s="88"/>
      <c r="AA360" s="88"/>
    </row>
    <row r="361" spans="1:27" ht="13.2">
      <c r="A361" s="88"/>
      <c r="B361" s="88"/>
      <c r="C361" s="88"/>
      <c r="D361" s="88"/>
      <c r="E361" s="88"/>
      <c r="F361" s="88"/>
      <c r="G361" s="88"/>
      <c r="H361" s="88"/>
      <c r="I361" s="88"/>
      <c r="J361" s="88"/>
      <c r="K361" s="88"/>
      <c r="L361" s="88"/>
      <c r="M361" s="88"/>
      <c r="N361" s="88"/>
      <c r="O361" s="88"/>
      <c r="P361" s="88"/>
      <c r="Q361" s="88"/>
      <c r="R361" s="88"/>
      <c r="S361" s="88"/>
      <c r="T361" s="88"/>
      <c r="U361" s="88"/>
      <c r="V361" s="88"/>
      <c r="W361" s="88"/>
      <c r="X361" s="88"/>
      <c r="Y361" s="88"/>
      <c r="Z361" s="88"/>
      <c r="AA361" s="88"/>
    </row>
    <row r="362" spans="1:27" ht="13.2">
      <c r="A362" s="88"/>
      <c r="B362" s="88"/>
      <c r="C362" s="88"/>
      <c r="D362" s="88"/>
      <c r="E362" s="88"/>
      <c r="F362" s="88"/>
      <c r="G362" s="88"/>
      <c r="H362" s="88"/>
      <c r="I362" s="88"/>
      <c r="J362" s="88"/>
      <c r="K362" s="88"/>
      <c r="L362" s="88"/>
      <c r="M362" s="88"/>
      <c r="N362" s="88"/>
      <c r="O362" s="88"/>
      <c r="P362" s="88"/>
      <c r="Q362" s="88"/>
      <c r="R362" s="88"/>
      <c r="S362" s="88"/>
      <c r="T362" s="88"/>
      <c r="U362" s="88"/>
      <c r="V362" s="88"/>
      <c r="W362" s="88"/>
      <c r="X362" s="88"/>
      <c r="Y362" s="88"/>
      <c r="Z362" s="88"/>
      <c r="AA362" s="88"/>
    </row>
    <row r="363" spans="1:27" ht="13.2">
      <c r="A363" s="88"/>
      <c r="B363" s="88"/>
      <c r="C363" s="88"/>
      <c r="D363" s="88"/>
      <c r="E363" s="88"/>
      <c r="F363" s="88"/>
      <c r="G363" s="88"/>
      <c r="H363" s="88"/>
      <c r="I363" s="88"/>
      <c r="J363" s="88"/>
      <c r="K363" s="88"/>
      <c r="L363" s="88"/>
      <c r="M363" s="88"/>
      <c r="N363" s="88"/>
      <c r="O363" s="88"/>
      <c r="P363" s="88"/>
      <c r="Q363" s="88"/>
      <c r="R363" s="88"/>
      <c r="S363" s="88"/>
      <c r="T363" s="88"/>
      <c r="U363" s="88"/>
      <c r="V363" s="88"/>
      <c r="W363" s="88"/>
      <c r="X363" s="88"/>
      <c r="Y363" s="88"/>
      <c r="Z363" s="88"/>
      <c r="AA363" s="88"/>
    </row>
    <row r="364" spans="1:27" ht="13.2">
      <c r="A364" s="88"/>
      <c r="B364" s="88"/>
      <c r="C364" s="88"/>
      <c r="D364" s="88"/>
      <c r="E364" s="88"/>
      <c r="F364" s="88"/>
      <c r="G364" s="88"/>
      <c r="H364" s="88"/>
      <c r="I364" s="88"/>
      <c r="J364" s="88"/>
      <c r="K364" s="88"/>
      <c r="L364" s="88"/>
      <c r="M364" s="88"/>
      <c r="N364" s="88"/>
      <c r="O364" s="88"/>
      <c r="P364" s="88"/>
      <c r="Q364" s="88"/>
      <c r="R364" s="88"/>
      <c r="S364" s="88"/>
      <c r="T364" s="88"/>
      <c r="U364" s="88"/>
      <c r="V364" s="88"/>
      <c r="W364" s="88"/>
      <c r="X364" s="88"/>
      <c r="Y364" s="88"/>
      <c r="Z364" s="88"/>
      <c r="AA364" s="88"/>
    </row>
    <row r="365" spans="1:27" ht="13.2">
      <c r="A365" s="88"/>
      <c r="B365" s="88"/>
      <c r="C365" s="88"/>
      <c r="D365" s="88"/>
      <c r="E365" s="88"/>
      <c r="F365" s="88"/>
      <c r="G365" s="88"/>
      <c r="H365" s="88"/>
      <c r="I365" s="88"/>
      <c r="J365" s="88"/>
      <c r="K365" s="88"/>
      <c r="L365" s="88"/>
      <c r="M365" s="88"/>
      <c r="N365" s="88"/>
      <c r="O365" s="88"/>
      <c r="P365" s="88"/>
      <c r="Q365" s="88"/>
      <c r="R365" s="88"/>
      <c r="S365" s="88"/>
      <c r="T365" s="88"/>
      <c r="U365" s="88"/>
      <c r="V365" s="88"/>
      <c r="W365" s="88"/>
      <c r="X365" s="88"/>
      <c r="Y365" s="88"/>
      <c r="Z365" s="88"/>
      <c r="AA365" s="88"/>
    </row>
    <row r="366" spans="1:27" ht="13.2">
      <c r="A366" s="88"/>
      <c r="B366" s="88"/>
      <c r="C366" s="88"/>
      <c r="D366" s="88"/>
      <c r="E366" s="88"/>
      <c r="F366" s="88"/>
      <c r="G366" s="88"/>
      <c r="H366" s="88"/>
      <c r="I366" s="88"/>
      <c r="J366" s="88"/>
      <c r="K366" s="88"/>
      <c r="L366" s="88"/>
      <c r="M366" s="88"/>
      <c r="N366" s="88"/>
      <c r="O366" s="88"/>
      <c r="P366" s="88"/>
      <c r="Q366" s="88"/>
      <c r="R366" s="88"/>
      <c r="S366" s="88"/>
      <c r="T366" s="88"/>
      <c r="U366" s="88"/>
      <c r="V366" s="88"/>
      <c r="W366" s="88"/>
      <c r="X366" s="88"/>
      <c r="Y366" s="88"/>
      <c r="Z366" s="88"/>
      <c r="AA366" s="88"/>
    </row>
    <row r="367" spans="1:27" ht="13.2">
      <c r="A367" s="88"/>
      <c r="B367" s="88"/>
      <c r="C367" s="88"/>
      <c r="D367" s="88"/>
      <c r="E367" s="88"/>
      <c r="F367" s="88"/>
      <c r="G367" s="88"/>
      <c r="H367" s="88"/>
      <c r="I367" s="88"/>
      <c r="J367" s="88"/>
      <c r="K367" s="88"/>
      <c r="L367" s="88"/>
      <c r="M367" s="88"/>
      <c r="N367" s="88"/>
      <c r="O367" s="88"/>
      <c r="P367" s="88"/>
      <c r="Q367" s="88"/>
      <c r="R367" s="88"/>
      <c r="S367" s="88"/>
      <c r="T367" s="88"/>
      <c r="U367" s="88"/>
      <c r="V367" s="88"/>
      <c r="W367" s="88"/>
      <c r="X367" s="88"/>
      <c r="Y367" s="88"/>
      <c r="Z367" s="88"/>
      <c r="AA367" s="88"/>
    </row>
    <row r="368" spans="1:27" ht="13.2">
      <c r="A368" s="88"/>
      <c r="B368" s="88"/>
      <c r="C368" s="88"/>
      <c r="D368" s="88"/>
      <c r="E368" s="88"/>
      <c r="F368" s="88"/>
      <c r="G368" s="88"/>
      <c r="H368" s="88"/>
      <c r="I368" s="88"/>
      <c r="J368" s="88"/>
      <c r="K368" s="88"/>
      <c r="L368" s="88"/>
      <c r="M368" s="88"/>
      <c r="N368" s="88"/>
      <c r="O368" s="88"/>
      <c r="P368" s="88"/>
      <c r="Q368" s="88"/>
      <c r="R368" s="88"/>
      <c r="S368" s="88"/>
      <c r="T368" s="88"/>
      <c r="U368" s="88"/>
      <c r="V368" s="88"/>
      <c r="W368" s="88"/>
      <c r="X368" s="88"/>
      <c r="Y368" s="88"/>
      <c r="Z368" s="88"/>
      <c r="AA368" s="88"/>
    </row>
    <row r="369" spans="1:27" ht="13.2">
      <c r="A369" s="88"/>
      <c r="B369" s="88"/>
      <c r="C369" s="88"/>
      <c r="D369" s="88"/>
      <c r="E369" s="88"/>
      <c r="F369" s="88"/>
      <c r="G369" s="88"/>
      <c r="H369" s="88"/>
      <c r="I369" s="88"/>
      <c r="J369" s="88"/>
      <c r="K369" s="88"/>
      <c r="L369" s="88"/>
      <c r="M369" s="88"/>
      <c r="N369" s="88"/>
      <c r="O369" s="88"/>
      <c r="P369" s="88"/>
      <c r="Q369" s="88"/>
      <c r="R369" s="88"/>
      <c r="S369" s="88"/>
      <c r="T369" s="88"/>
      <c r="U369" s="88"/>
      <c r="V369" s="88"/>
      <c r="W369" s="88"/>
      <c r="X369" s="88"/>
      <c r="Y369" s="88"/>
      <c r="Z369" s="88"/>
      <c r="AA369" s="88"/>
    </row>
    <row r="370" spans="1:27" ht="13.2">
      <c r="A370" s="88"/>
      <c r="B370" s="88"/>
      <c r="C370" s="88"/>
      <c r="D370" s="88"/>
      <c r="E370" s="88"/>
      <c r="F370" s="88"/>
      <c r="G370" s="88"/>
      <c r="H370" s="88"/>
      <c r="I370" s="88"/>
      <c r="J370" s="88"/>
      <c r="K370" s="88"/>
      <c r="L370" s="88"/>
      <c r="M370" s="88"/>
      <c r="N370" s="88"/>
      <c r="O370" s="88"/>
      <c r="P370" s="88"/>
      <c r="Q370" s="88"/>
      <c r="R370" s="88"/>
      <c r="S370" s="88"/>
      <c r="T370" s="88"/>
      <c r="U370" s="88"/>
      <c r="V370" s="88"/>
      <c r="W370" s="88"/>
      <c r="X370" s="88"/>
      <c r="Y370" s="88"/>
      <c r="Z370" s="88"/>
      <c r="AA370" s="88"/>
    </row>
    <row r="371" spans="1:27" ht="13.2">
      <c r="A371" s="88"/>
      <c r="B371" s="88"/>
      <c r="C371" s="88"/>
      <c r="D371" s="88"/>
      <c r="E371" s="88"/>
      <c r="F371" s="88"/>
      <c r="G371" s="88"/>
      <c r="H371" s="88"/>
      <c r="I371" s="88"/>
      <c r="J371" s="88"/>
      <c r="K371" s="88"/>
      <c r="L371" s="88"/>
      <c r="M371" s="88"/>
      <c r="N371" s="88"/>
      <c r="O371" s="88"/>
      <c r="P371" s="88"/>
      <c r="Q371" s="88"/>
      <c r="R371" s="88"/>
      <c r="S371" s="88"/>
      <c r="T371" s="88"/>
      <c r="U371" s="88"/>
      <c r="V371" s="88"/>
      <c r="W371" s="88"/>
      <c r="X371" s="88"/>
      <c r="Y371" s="88"/>
      <c r="Z371" s="88"/>
      <c r="AA371" s="88"/>
    </row>
    <row r="372" spans="1:27" ht="13.2">
      <c r="A372" s="88"/>
      <c r="B372" s="88"/>
      <c r="C372" s="88"/>
      <c r="D372" s="88"/>
      <c r="E372" s="88"/>
      <c r="F372" s="88"/>
      <c r="G372" s="88"/>
      <c r="H372" s="88"/>
      <c r="I372" s="88"/>
      <c r="J372" s="88"/>
      <c r="K372" s="88"/>
      <c r="L372" s="88"/>
      <c r="M372" s="88"/>
      <c r="N372" s="88"/>
      <c r="O372" s="88"/>
      <c r="P372" s="88"/>
      <c r="Q372" s="88"/>
      <c r="R372" s="88"/>
      <c r="S372" s="88"/>
      <c r="T372" s="88"/>
      <c r="U372" s="88"/>
      <c r="V372" s="88"/>
      <c r="W372" s="88"/>
      <c r="X372" s="88"/>
      <c r="Y372" s="88"/>
      <c r="Z372" s="88"/>
      <c r="AA372" s="88"/>
    </row>
    <row r="373" spans="1:27" ht="13.2">
      <c r="A373" s="88"/>
      <c r="B373" s="88"/>
      <c r="C373" s="88"/>
      <c r="D373" s="88"/>
      <c r="E373" s="88"/>
      <c r="F373" s="88"/>
      <c r="G373" s="88"/>
      <c r="H373" s="88"/>
      <c r="I373" s="88"/>
      <c r="J373" s="88"/>
      <c r="K373" s="88"/>
      <c r="L373" s="88"/>
      <c r="M373" s="88"/>
      <c r="N373" s="88"/>
      <c r="O373" s="88"/>
      <c r="P373" s="88"/>
      <c r="Q373" s="88"/>
      <c r="R373" s="88"/>
      <c r="S373" s="88"/>
      <c r="T373" s="88"/>
      <c r="U373" s="88"/>
      <c r="V373" s="88"/>
      <c r="W373" s="88"/>
      <c r="X373" s="88"/>
      <c r="Y373" s="88"/>
      <c r="Z373" s="88"/>
      <c r="AA373" s="88"/>
    </row>
    <row r="374" spans="1:27" ht="13.2">
      <c r="A374" s="88"/>
      <c r="B374" s="88"/>
      <c r="C374" s="88"/>
      <c r="D374" s="88"/>
      <c r="E374" s="88"/>
      <c r="F374" s="88"/>
      <c r="G374" s="88"/>
      <c r="H374" s="88"/>
      <c r="I374" s="88"/>
      <c r="J374" s="88"/>
      <c r="K374" s="88"/>
      <c r="L374" s="88"/>
      <c r="M374" s="88"/>
      <c r="N374" s="88"/>
      <c r="O374" s="88"/>
      <c r="P374" s="88"/>
      <c r="Q374" s="88"/>
      <c r="R374" s="88"/>
      <c r="S374" s="88"/>
      <c r="T374" s="88"/>
      <c r="U374" s="88"/>
      <c r="V374" s="88"/>
      <c r="W374" s="88"/>
      <c r="X374" s="88"/>
      <c r="Y374" s="88"/>
      <c r="Z374" s="88"/>
      <c r="AA374" s="88"/>
    </row>
    <row r="375" spans="1:27" ht="13.2">
      <c r="A375" s="88"/>
      <c r="B375" s="88"/>
      <c r="C375" s="88"/>
      <c r="D375" s="88"/>
      <c r="E375" s="88"/>
      <c r="F375" s="88"/>
      <c r="G375" s="88"/>
      <c r="H375" s="88"/>
      <c r="I375" s="88"/>
      <c r="J375" s="88"/>
      <c r="K375" s="88"/>
      <c r="L375" s="88"/>
      <c r="M375" s="88"/>
      <c r="N375" s="88"/>
      <c r="O375" s="88"/>
      <c r="P375" s="88"/>
      <c r="Q375" s="88"/>
      <c r="R375" s="88"/>
      <c r="S375" s="88"/>
      <c r="T375" s="88"/>
      <c r="U375" s="88"/>
      <c r="V375" s="88"/>
      <c r="W375" s="88"/>
      <c r="X375" s="88"/>
      <c r="Y375" s="88"/>
      <c r="Z375" s="88"/>
      <c r="AA375" s="88"/>
    </row>
    <row r="376" spans="1:27" ht="13.2">
      <c r="A376" s="88"/>
      <c r="B376" s="88"/>
      <c r="C376" s="88"/>
      <c r="D376" s="88"/>
      <c r="E376" s="88"/>
      <c r="F376" s="88"/>
      <c r="G376" s="88"/>
      <c r="H376" s="88"/>
      <c r="I376" s="88"/>
      <c r="J376" s="88"/>
      <c r="K376" s="88"/>
      <c r="L376" s="88"/>
      <c r="M376" s="88"/>
      <c r="N376" s="88"/>
      <c r="O376" s="88"/>
      <c r="P376" s="88"/>
      <c r="Q376" s="88"/>
      <c r="R376" s="88"/>
      <c r="S376" s="88"/>
      <c r="T376" s="88"/>
      <c r="U376" s="88"/>
      <c r="V376" s="88"/>
      <c r="W376" s="88"/>
      <c r="X376" s="88"/>
      <c r="Y376" s="88"/>
      <c r="Z376" s="88"/>
      <c r="AA376" s="88"/>
    </row>
    <row r="377" spans="1:27" ht="13.2">
      <c r="A377" s="88"/>
      <c r="B377" s="88"/>
      <c r="C377" s="88"/>
      <c r="D377" s="88"/>
      <c r="E377" s="88"/>
      <c r="F377" s="88"/>
      <c r="G377" s="88"/>
      <c r="H377" s="88"/>
      <c r="I377" s="88"/>
      <c r="J377" s="88"/>
      <c r="K377" s="88"/>
      <c r="L377" s="88"/>
      <c r="M377" s="88"/>
      <c r="N377" s="88"/>
      <c r="O377" s="88"/>
      <c r="P377" s="88"/>
      <c r="Q377" s="88"/>
      <c r="R377" s="88"/>
      <c r="S377" s="88"/>
      <c r="T377" s="88"/>
      <c r="U377" s="88"/>
      <c r="V377" s="88"/>
      <c r="W377" s="88"/>
      <c r="X377" s="88"/>
      <c r="Y377" s="88"/>
      <c r="Z377" s="88"/>
      <c r="AA377" s="88"/>
    </row>
    <row r="378" spans="1:27" ht="13.2">
      <c r="A378" s="88"/>
      <c r="B378" s="88"/>
      <c r="C378" s="88"/>
      <c r="D378" s="88"/>
      <c r="E378" s="88"/>
      <c r="F378" s="88"/>
      <c r="G378" s="88"/>
      <c r="H378" s="88"/>
      <c r="I378" s="88"/>
      <c r="J378" s="88"/>
      <c r="K378" s="88"/>
      <c r="L378" s="88"/>
      <c r="M378" s="88"/>
      <c r="N378" s="88"/>
      <c r="O378" s="88"/>
      <c r="P378" s="88"/>
      <c r="Q378" s="88"/>
      <c r="R378" s="88"/>
      <c r="S378" s="88"/>
      <c r="T378" s="88"/>
      <c r="U378" s="88"/>
      <c r="V378" s="88"/>
      <c r="W378" s="88"/>
      <c r="X378" s="88"/>
      <c r="Y378" s="88"/>
      <c r="Z378" s="88"/>
      <c r="AA378" s="88"/>
    </row>
    <row r="379" spans="1:27" ht="13.2">
      <c r="A379" s="88"/>
      <c r="B379" s="88"/>
      <c r="C379" s="88"/>
      <c r="D379" s="88"/>
      <c r="E379" s="88"/>
      <c r="F379" s="88"/>
      <c r="G379" s="88"/>
      <c r="H379" s="88"/>
      <c r="I379" s="88"/>
      <c r="J379" s="88"/>
      <c r="K379" s="88"/>
      <c r="L379" s="88"/>
      <c r="M379" s="88"/>
      <c r="N379" s="88"/>
      <c r="O379" s="88"/>
      <c r="P379" s="88"/>
      <c r="Q379" s="88"/>
      <c r="R379" s="88"/>
      <c r="S379" s="88"/>
      <c r="T379" s="88"/>
      <c r="U379" s="88"/>
      <c r="V379" s="88"/>
      <c r="W379" s="88"/>
      <c r="X379" s="88"/>
      <c r="Y379" s="88"/>
      <c r="Z379" s="88"/>
      <c r="AA379" s="88"/>
    </row>
    <row r="380" spans="1:27" ht="13.2">
      <c r="A380" s="88"/>
      <c r="B380" s="88"/>
      <c r="C380" s="88"/>
      <c r="D380" s="88"/>
      <c r="E380" s="88"/>
      <c r="F380" s="88"/>
      <c r="G380" s="88"/>
      <c r="H380" s="88"/>
      <c r="I380" s="88"/>
      <c r="J380" s="88"/>
      <c r="K380" s="88"/>
      <c r="L380" s="88"/>
      <c r="M380" s="88"/>
      <c r="N380" s="88"/>
      <c r="O380" s="88"/>
      <c r="P380" s="88"/>
      <c r="Q380" s="88"/>
      <c r="R380" s="88"/>
      <c r="S380" s="88"/>
      <c r="T380" s="88"/>
      <c r="U380" s="88"/>
      <c r="V380" s="88"/>
      <c r="W380" s="88"/>
      <c r="X380" s="88"/>
      <c r="Y380" s="88"/>
      <c r="Z380" s="88"/>
      <c r="AA380" s="88"/>
    </row>
    <row r="381" spans="1:27" ht="13.2">
      <c r="A381" s="88"/>
      <c r="B381" s="88"/>
      <c r="C381" s="88"/>
      <c r="D381" s="88"/>
      <c r="E381" s="88"/>
      <c r="F381" s="88"/>
      <c r="G381" s="88"/>
      <c r="H381" s="88"/>
      <c r="I381" s="88"/>
      <c r="J381" s="88"/>
      <c r="K381" s="88"/>
      <c r="L381" s="88"/>
      <c r="M381" s="88"/>
      <c r="N381" s="88"/>
      <c r="O381" s="88"/>
      <c r="P381" s="88"/>
      <c r="Q381" s="88"/>
      <c r="R381" s="88"/>
      <c r="S381" s="88"/>
      <c r="T381" s="88"/>
      <c r="U381" s="88"/>
      <c r="V381" s="88"/>
      <c r="W381" s="88"/>
      <c r="X381" s="88"/>
      <c r="Y381" s="88"/>
      <c r="Z381" s="88"/>
      <c r="AA381" s="88"/>
    </row>
    <row r="382" spans="1:27" ht="13.2">
      <c r="A382" s="88"/>
      <c r="B382" s="88"/>
      <c r="C382" s="88"/>
      <c r="D382" s="88"/>
      <c r="E382" s="88"/>
      <c r="F382" s="88"/>
      <c r="G382" s="88"/>
      <c r="H382" s="88"/>
      <c r="I382" s="88"/>
      <c r="J382" s="88"/>
      <c r="K382" s="88"/>
      <c r="L382" s="88"/>
      <c r="M382" s="88"/>
      <c r="N382" s="88"/>
      <c r="O382" s="88"/>
      <c r="P382" s="88"/>
      <c r="Q382" s="88"/>
      <c r="R382" s="88"/>
      <c r="S382" s="88"/>
      <c r="T382" s="88"/>
      <c r="U382" s="88"/>
      <c r="V382" s="88"/>
      <c r="W382" s="88"/>
      <c r="X382" s="88"/>
      <c r="Y382" s="88"/>
      <c r="Z382" s="88"/>
      <c r="AA382" s="88"/>
    </row>
    <row r="383" spans="1:27" ht="13.2">
      <c r="A383" s="88"/>
      <c r="B383" s="88"/>
      <c r="C383" s="88"/>
      <c r="D383" s="88"/>
      <c r="E383" s="88"/>
      <c r="F383" s="88"/>
      <c r="G383" s="88"/>
      <c r="H383" s="88"/>
      <c r="I383" s="88"/>
      <c r="J383" s="88"/>
      <c r="K383" s="88"/>
      <c r="L383" s="88"/>
      <c r="M383" s="88"/>
      <c r="N383" s="88"/>
      <c r="O383" s="88"/>
      <c r="P383" s="88"/>
      <c r="Q383" s="88"/>
      <c r="R383" s="88"/>
      <c r="S383" s="88"/>
      <c r="T383" s="88"/>
      <c r="U383" s="88"/>
      <c r="V383" s="88"/>
      <c r="W383" s="88"/>
      <c r="X383" s="88"/>
      <c r="Y383" s="88"/>
      <c r="Z383" s="88"/>
      <c r="AA383" s="88"/>
    </row>
    <row r="384" spans="1:27" ht="13.2">
      <c r="A384" s="88"/>
      <c r="B384" s="88"/>
      <c r="C384" s="88"/>
      <c r="D384" s="88"/>
      <c r="E384" s="88"/>
      <c r="F384" s="88"/>
      <c r="G384" s="88"/>
      <c r="H384" s="88"/>
      <c r="I384" s="88"/>
      <c r="J384" s="88"/>
      <c r="K384" s="88"/>
      <c r="L384" s="88"/>
      <c r="M384" s="88"/>
      <c r="N384" s="88"/>
      <c r="O384" s="88"/>
      <c r="P384" s="88"/>
      <c r="Q384" s="88"/>
      <c r="R384" s="88"/>
      <c r="S384" s="88"/>
      <c r="T384" s="88"/>
      <c r="U384" s="88"/>
      <c r="V384" s="88"/>
      <c r="W384" s="88"/>
      <c r="X384" s="88"/>
      <c r="Y384" s="88"/>
      <c r="Z384" s="88"/>
      <c r="AA384" s="88"/>
    </row>
    <row r="385" spans="1:27" ht="13.2">
      <c r="A385" s="88"/>
      <c r="B385" s="88"/>
      <c r="C385" s="88"/>
      <c r="D385" s="88"/>
      <c r="E385" s="88"/>
      <c r="F385" s="88"/>
      <c r="G385" s="88"/>
      <c r="H385" s="88"/>
      <c r="I385" s="88"/>
      <c r="J385" s="88"/>
      <c r="K385" s="88"/>
      <c r="L385" s="88"/>
      <c r="M385" s="88"/>
      <c r="N385" s="88"/>
      <c r="O385" s="88"/>
      <c r="P385" s="88"/>
      <c r="Q385" s="88"/>
      <c r="R385" s="88"/>
      <c r="S385" s="88"/>
      <c r="T385" s="88"/>
      <c r="U385" s="88"/>
      <c r="V385" s="88"/>
      <c r="W385" s="88"/>
      <c r="X385" s="88"/>
      <c r="Y385" s="88"/>
      <c r="Z385" s="88"/>
      <c r="AA385" s="88"/>
    </row>
    <row r="386" spans="1:27" ht="13.2">
      <c r="A386" s="88"/>
      <c r="B386" s="88"/>
      <c r="C386" s="88"/>
      <c r="D386" s="88"/>
      <c r="E386" s="88"/>
      <c r="F386" s="88"/>
      <c r="G386" s="88"/>
      <c r="H386" s="88"/>
      <c r="I386" s="88"/>
      <c r="J386" s="88"/>
      <c r="K386" s="88"/>
      <c r="L386" s="88"/>
      <c r="M386" s="88"/>
      <c r="N386" s="88"/>
      <c r="O386" s="88"/>
      <c r="P386" s="88"/>
      <c r="Q386" s="88"/>
      <c r="R386" s="88"/>
      <c r="S386" s="88"/>
      <c r="T386" s="88"/>
      <c r="U386" s="88"/>
      <c r="V386" s="88"/>
      <c r="W386" s="88"/>
      <c r="X386" s="88"/>
      <c r="Y386" s="88"/>
      <c r="Z386" s="88"/>
      <c r="AA386" s="88"/>
    </row>
    <row r="387" spans="1:27" ht="13.2">
      <c r="A387" s="88"/>
      <c r="B387" s="88"/>
      <c r="C387" s="88"/>
      <c r="D387" s="88"/>
      <c r="E387" s="88"/>
      <c r="F387" s="88"/>
      <c r="G387" s="88"/>
      <c r="H387" s="88"/>
      <c r="I387" s="88"/>
      <c r="J387" s="88"/>
      <c r="K387" s="88"/>
      <c r="L387" s="88"/>
      <c r="M387" s="88"/>
      <c r="N387" s="88"/>
      <c r="O387" s="88"/>
      <c r="P387" s="88"/>
      <c r="Q387" s="88"/>
      <c r="R387" s="88"/>
      <c r="S387" s="88"/>
      <c r="T387" s="88"/>
      <c r="U387" s="88"/>
      <c r="V387" s="88"/>
      <c r="W387" s="88"/>
      <c r="X387" s="88"/>
      <c r="Y387" s="88"/>
      <c r="Z387" s="88"/>
      <c r="AA387" s="88"/>
    </row>
    <row r="388" spans="1:27" ht="13.2">
      <c r="A388" s="88"/>
      <c r="B388" s="88"/>
      <c r="C388" s="88"/>
      <c r="D388" s="88"/>
      <c r="E388" s="88"/>
      <c r="F388" s="88"/>
      <c r="G388" s="88"/>
      <c r="H388" s="88"/>
      <c r="I388" s="88"/>
      <c r="J388" s="88"/>
      <c r="K388" s="88"/>
      <c r="L388" s="88"/>
      <c r="M388" s="88"/>
      <c r="N388" s="88"/>
      <c r="O388" s="88"/>
      <c r="P388" s="88"/>
      <c r="Q388" s="88"/>
      <c r="R388" s="88"/>
      <c r="S388" s="88"/>
      <c r="T388" s="88"/>
      <c r="U388" s="88"/>
      <c r="V388" s="88"/>
      <c r="W388" s="88"/>
      <c r="X388" s="88"/>
      <c r="Y388" s="88"/>
      <c r="Z388" s="88"/>
      <c r="AA388" s="88"/>
    </row>
    <row r="389" spans="1:27" ht="13.2">
      <c r="A389" s="88"/>
      <c r="B389" s="88"/>
      <c r="C389" s="88"/>
      <c r="D389" s="88"/>
      <c r="E389" s="88"/>
      <c r="F389" s="88"/>
      <c r="G389" s="88"/>
      <c r="H389" s="88"/>
      <c r="I389" s="88"/>
      <c r="J389" s="88"/>
      <c r="K389" s="88"/>
      <c r="L389" s="88"/>
      <c r="M389" s="88"/>
      <c r="N389" s="88"/>
      <c r="O389" s="88"/>
      <c r="P389" s="88"/>
      <c r="Q389" s="88"/>
      <c r="R389" s="88"/>
      <c r="S389" s="88"/>
      <c r="T389" s="88"/>
      <c r="U389" s="88"/>
      <c r="V389" s="88"/>
      <c r="W389" s="88"/>
      <c r="X389" s="88"/>
      <c r="Y389" s="88"/>
      <c r="Z389" s="88"/>
      <c r="AA389" s="88"/>
    </row>
    <row r="390" spans="1:27" ht="13.2">
      <c r="A390" s="88"/>
      <c r="B390" s="88"/>
      <c r="C390" s="88"/>
      <c r="D390" s="88"/>
      <c r="E390" s="88"/>
      <c r="F390" s="88"/>
      <c r="G390" s="88"/>
      <c r="H390" s="88"/>
      <c r="I390" s="88"/>
      <c r="J390" s="88"/>
      <c r="K390" s="88"/>
      <c r="L390" s="88"/>
      <c r="M390" s="88"/>
      <c r="N390" s="88"/>
      <c r="O390" s="88"/>
      <c r="P390" s="88"/>
      <c r="Q390" s="88"/>
      <c r="R390" s="88"/>
      <c r="S390" s="88"/>
      <c r="T390" s="88"/>
      <c r="U390" s="88"/>
      <c r="V390" s="88"/>
      <c r="W390" s="88"/>
      <c r="X390" s="88"/>
      <c r="Y390" s="88"/>
      <c r="Z390" s="88"/>
      <c r="AA390" s="88"/>
    </row>
    <row r="391" spans="1:27" ht="13.2">
      <c r="A391" s="88"/>
      <c r="B391" s="88"/>
      <c r="C391" s="88"/>
      <c r="D391" s="88"/>
      <c r="E391" s="88"/>
      <c r="F391" s="88"/>
      <c r="G391" s="88"/>
      <c r="H391" s="88"/>
      <c r="I391" s="88"/>
      <c r="J391" s="88"/>
      <c r="K391" s="88"/>
      <c r="L391" s="88"/>
      <c r="M391" s="88"/>
      <c r="N391" s="88"/>
      <c r="O391" s="88"/>
      <c r="P391" s="88"/>
      <c r="Q391" s="88"/>
      <c r="R391" s="88"/>
      <c r="S391" s="88"/>
      <c r="T391" s="88"/>
      <c r="U391" s="88"/>
      <c r="V391" s="88"/>
      <c r="W391" s="88"/>
      <c r="X391" s="88"/>
      <c r="Y391" s="88"/>
      <c r="Z391" s="88"/>
      <c r="AA391" s="88"/>
    </row>
    <row r="392" spans="1:27" ht="13.2">
      <c r="A392" s="88"/>
      <c r="B392" s="88"/>
      <c r="C392" s="88"/>
      <c r="D392" s="88"/>
      <c r="E392" s="88"/>
      <c r="F392" s="88"/>
      <c r="G392" s="88"/>
      <c r="H392" s="88"/>
      <c r="I392" s="88"/>
      <c r="J392" s="88"/>
      <c r="K392" s="88"/>
      <c r="L392" s="88"/>
      <c r="M392" s="88"/>
      <c r="N392" s="88"/>
      <c r="O392" s="88"/>
      <c r="P392" s="88"/>
      <c r="Q392" s="88"/>
      <c r="R392" s="88"/>
      <c r="S392" s="88"/>
      <c r="T392" s="88"/>
      <c r="U392" s="88"/>
      <c r="V392" s="88"/>
      <c r="W392" s="88"/>
      <c r="X392" s="88"/>
      <c r="Y392" s="88"/>
      <c r="Z392" s="88"/>
      <c r="AA392" s="88"/>
    </row>
    <row r="393" spans="1:27" ht="13.2">
      <c r="A393" s="88"/>
      <c r="B393" s="88"/>
      <c r="C393" s="88"/>
      <c r="D393" s="88"/>
      <c r="E393" s="88"/>
      <c r="F393" s="88"/>
      <c r="G393" s="88"/>
      <c r="H393" s="88"/>
      <c r="I393" s="88"/>
      <c r="J393" s="88"/>
      <c r="K393" s="88"/>
      <c r="L393" s="88"/>
      <c r="M393" s="88"/>
      <c r="N393" s="88"/>
      <c r="O393" s="88"/>
      <c r="P393" s="88"/>
      <c r="Q393" s="88"/>
      <c r="R393" s="88"/>
      <c r="S393" s="88"/>
      <c r="T393" s="88"/>
      <c r="U393" s="88"/>
      <c r="V393" s="88"/>
      <c r="W393" s="88"/>
      <c r="X393" s="88"/>
      <c r="Y393" s="88"/>
      <c r="Z393" s="88"/>
      <c r="AA393" s="88"/>
    </row>
    <row r="394" spans="1:27" ht="13.2">
      <c r="A394" s="88"/>
      <c r="B394" s="88"/>
      <c r="C394" s="88"/>
      <c r="D394" s="88"/>
      <c r="E394" s="88"/>
      <c r="F394" s="88"/>
      <c r="G394" s="88"/>
      <c r="H394" s="88"/>
      <c r="I394" s="88"/>
      <c r="J394" s="88"/>
      <c r="K394" s="88"/>
      <c r="L394" s="88"/>
      <c r="M394" s="88"/>
      <c r="N394" s="88"/>
      <c r="O394" s="88"/>
      <c r="P394" s="88"/>
      <c r="Q394" s="88"/>
      <c r="R394" s="88"/>
      <c r="S394" s="88"/>
      <c r="T394" s="88"/>
      <c r="U394" s="88"/>
      <c r="V394" s="88"/>
      <c r="W394" s="88"/>
      <c r="X394" s="88"/>
      <c r="Y394" s="88"/>
      <c r="Z394" s="88"/>
      <c r="AA394" s="88"/>
    </row>
    <row r="395" spans="1:27" ht="13.2">
      <c r="A395" s="88"/>
      <c r="B395" s="88"/>
      <c r="C395" s="88"/>
      <c r="D395" s="88"/>
      <c r="E395" s="88"/>
      <c r="F395" s="88"/>
      <c r="G395" s="88"/>
      <c r="H395" s="88"/>
      <c r="I395" s="88"/>
      <c r="J395" s="88"/>
      <c r="K395" s="88"/>
      <c r="L395" s="88"/>
      <c r="M395" s="88"/>
      <c r="N395" s="88"/>
      <c r="O395" s="88"/>
      <c r="P395" s="88"/>
      <c r="Q395" s="88"/>
      <c r="R395" s="88"/>
      <c r="S395" s="88"/>
      <c r="T395" s="88"/>
      <c r="U395" s="88"/>
      <c r="V395" s="88"/>
      <c r="W395" s="88"/>
      <c r="X395" s="88"/>
      <c r="Y395" s="88"/>
      <c r="Z395" s="88"/>
      <c r="AA395" s="88"/>
    </row>
    <row r="396" spans="1:27" ht="13.2">
      <c r="A396" s="88"/>
      <c r="B396" s="88"/>
      <c r="C396" s="88"/>
      <c r="D396" s="88"/>
      <c r="E396" s="88"/>
      <c r="F396" s="88"/>
      <c r="G396" s="88"/>
      <c r="H396" s="88"/>
      <c r="I396" s="88"/>
      <c r="J396" s="88"/>
      <c r="K396" s="88"/>
      <c r="L396" s="88"/>
      <c r="M396" s="88"/>
      <c r="N396" s="88"/>
      <c r="O396" s="88"/>
      <c r="P396" s="88"/>
      <c r="Q396" s="88"/>
      <c r="R396" s="88"/>
      <c r="S396" s="88"/>
      <c r="T396" s="88"/>
      <c r="U396" s="88"/>
      <c r="V396" s="88"/>
      <c r="W396" s="88"/>
      <c r="X396" s="88"/>
      <c r="Y396" s="88"/>
      <c r="Z396" s="88"/>
      <c r="AA396" s="88"/>
    </row>
    <row r="397" spans="1:27" ht="13.2">
      <c r="A397" s="88"/>
      <c r="B397" s="88"/>
      <c r="C397" s="88"/>
      <c r="D397" s="88"/>
      <c r="E397" s="88"/>
      <c r="F397" s="88"/>
      <c r="G397" s="88"/>
      <c r="H397" s="88"/>
      <c r="I397" s="88"/>
      <c r="J397" s="88"/>
      <c r="K397" s="88"/>
      <c r="L397" s="88"/>
      <c r="M397" s="88"/>
      <c r="N397" s="88"/>
      <c r="O397" s="88"/>
      <c r="P397" s="88"/>
      <c r="Q397" s="88"/>
      <c r="R397" s="88"/>
      <c r="S397" s="88"/>
      <c r="T397" s="88"/>
      <c r="U397" s="88"/>
      <c r="V397" s="88"/>
      <c r="W397" s="88"/>
      <c r="X397" s="88"/>
      <c r="Y397" s="88"/>
      <c r="Z397" s="88"/>
      <c r="AA397" s="88"/>
    </row>
    <row r="398" spans="1:27" ht="13.2">
      <c r="A398" s="88"/>
      <c r="B398" s="88"/>
      <c r="C398" s="88"/>
      <c r="D398" s="88"/>
      <c r="E398" s="88"/>
      <c r="F398" s="88"/>
      <c r="G398" s="88"/>
      <c r="H398" s="88"/>
      <c r="I398" s="88"/>
      <c r="J398" s="88"/>
      <c r="K398" s="88"/>
      <c r="L398" s="88"/>
      <c r="M398" s="88"/>
      <c r="N398" s="88"/>
      <c r="O398" s="88"/>
      <c r="P398" s="88"/>
      <c r="Q398" s="88"/>
      <c r="R398" s="88"/>
      <c r="S398" s="88"/>
      <c r="T398" s="88"/>
      <c r="U398" s="88"/>
      <c r="V398" s="88"/>
      <c r="W398" s="88"/>
      <c r="X398" s="88"/>
      <c r="Y398" s="88"/>
      <c r="Z398" s="88"/>
      <c r="AA398" s="88"/>
    </row>
    <row r="399" spans="1:27" ht="13.2">
      <c r="A399" s="88"/>
      <c r="B399" s="88"/>
      <c r="C399" s="88"/>
      <c r="D399" s="88"/>
      <c r="E399" s="88"/>
      <c r="F399" s="88"/>
      <c r="G399" s="88"/>
      <c r="H399" s="88"/>
      <c r="I399" s="88"/>
      <c r="J399" s="88"/>
      <c r="K399" s="88"/>
      <c r="L399" s="88"/>
      <c r="M399" s="88"/>
      <c r="N399" s="88"/>
      <c r="O399" s="88"/>
      <c r="P399" s="88"/>
      <c r="Q399" s="88"/>
      <c r="R399" s="88"/>
      <c r="S399" s="88"/>
      <c r="T399" s="88"/>
      <c r="U399" s="88"/>
      <c r="V399" s="88"/>
      <c r="W399" s="88"/>
      <c r="X399" s="88"/>
      <c r="Y399" s="88"/>
      <c r="Z399" s="88"/>
      <c r="AA399" s="88"/>
    </row>
    <row r="400" spans="1:27" ht="13.2">
      <c r="A400" s="88"/>
      <c r="B400" s="88"/>
      <c r="C400" s="88"/>
      <c r="D400" s="88"/>
      <c r="E400" s="88"/>
      <c r="F400" s="88"/>
      <c r="G400" s="88"/>
      <c r="H400" s="88"/>
      <c r="I400" s="88"/>
      <c r="J400" s="88"/>
      <c r="K400" s="88"/>
      <c r="L400" s="88"/>
      <c r="M400" s="88"/>
      <c r="N400" s="88"/>
      <c r="O400" s="88"/>
      <c r="P400" s="88"/>
      <c r="Q400" s="88"/>
      <c r="R400" s="88"/>
      <c r="S400" s="88"/>
      <c r="T400" s="88"/>
      <c r="U400" s="88"/>
      <c r="V400" s="88"/>
      <c r="W400" s="88"/>
      <c r="X400" s="88"/>
      <c r="Y400" s="88"/>
      <c r="Z400" s="88"/>
      <c r="AA400" s="88"/>
    </row>
    <row r="401" spans="1:27" ht="13.2">
      <c r="A401" s="88"/>
      <c r="B401" s="88"/>
      <c r="C401" s="88"/>
      <c r="D401" s="88"/>
      <c r="E401" s="88"/>
      <c r="F401" s="88"/>
      <c r="G401" s="88"/>
      <c r="H401" s="88"/>
      <c r="I401" s="88"/>
      <c r="J401" s="88"/>
      <c r="K401" s="88"/>
      <c r="L401" s="88"/>
      <c r="M401" s="88"/>
      <c r="N401" s="88"/>
      <c r="O401" s="88"/>
      <c r="P401" s="88"/>
      <c r="Q401" s="88"/>
      <c r="R401" s="88"/>
      <c r="S401" s="88"/>
      <c r="T401" s="88"/>
      <c r="U401" s="88"/>
      <c r="V401" s="88"/>
      <c r="W401" s="88"/>
      <c r="X401" s="88"/>
      <c r="Y401" s="88"/>
      <c r="Z401" s="88"/>
      <c r="AA401" s="88"/>
    </row>
    <row r="402" spans="1:27" ht="13.2">
      <c r="A402" s="88"/>
      <c r="B402" s="88"/>
      <c r="C402" s="88"/>
      <c r="D402" s="88"/>
      <c r="E402" s="88"/>
      <c r="F402" s="88"/>
      <c r="G402" s="88"/>
      <c r="H402" s="88"/>
      <c r="I402" s="88"/>
      <c r="J402" s="88"/>
      <c r="K402" s="88"/>
      <c r="L402" s="88"/>
      <c r="M402" s="88"/>
      <c r="N402" s="88"/>
      <c r="O402" s="88"/>
      <c r="P402" s="88"/>
      <c r="Q402" s="88"/>
      <c r="R402" s="88"/>
      <c r="S402" s="88"/>
      <c r="T402" s="88"/>
      <c r="U402" s="88"/>
      <c r="V402" s="88"/>
      <c r="W402" s="88"/>
      <c r="X402" s="88"/>
      <c r="Y402" s="88"/>
      <c r="Z402" s="88"/>
      <c r="AA402" s="88"/>
    </row>
    <row r="403" spans="1:27" ht="13.2">
      <c r="A403" s="88"/>
      <c r="B403" s="88"/>
      <c r="C403" s="88"/>
      <c r="D403" s="88"/>
      <c r="E403" s="88"/>
      <c r="F403" s="88"/>
      <c r="G403" s="88"/>
      <c r="H403" s="88"/>
      <c r="I403" s="88"/>
      <c r="J403" s="88"/>
      <c r="K403" s="88"/>
      <c r="L403" s="88"/>
      <c r="M403" s="88"/>
      <c r="N403" s="88"/>
      <c r="O403" s="88"/>
      <c r="P403" s="88"/>
      <c r="Q403" s="88"/>
      <c r="R403" s="88"/>
      <c r="S403" s="88"/>
      <c r="T403" s="88"/>
      <c r="U403" s="88"/>
      <c r="V403" s="88"/>
      <c r="W403" s="88"/>
      <c r="X403" s="88"/>
      <c r="Y403" s="88"/>
      <c r="Z403" s="88"/>
      <c r="AA403" s="88"/>
    </row>
    <row r="404" spans="1:27" ht="13.2">
      <c r="A404" s="88"/>
      <c r="B404" s="88"/>
      <c r="C404" s="88"/>
      <c r="D404" s="88"/>
      <c r="E404" s="88"/>
      <c r="F404" s="88"/>
      <c r="G404" s="88"/>
      <c r="H404" s="88"/>
      <c r="I404" s="88"/>
      <c r="J404" s="88"/>
      <c r="K404" s="88"/>
      <c r="L404" s="88"/>
      <c r="M404" s="88"/>
      <c r="N404" s="88"/>
      <c r="O404" s="88"/>
      <c r="P404" s="88"/>
      <c r="Q404" s="88"/>
      <c r="R404" s="88"/>
      <c r="S404" s="88"/>
      <c r="T404" s="88"/>
      <c r="U404" s="88"/>
      <c r="V404" s="88"/>
      <c r="W404" s="88"/>
      <c r="X404" s="88"/>
      <c r="Y404" s="88"/>
      <c r="Z404" s="88"/>
      <c r="AA404" s="88"/>
    </row>
    <row r="405" spans="1:27" ht="13.2">
      <c r="A405" s="88"/>
      <c r="B405" s="88"/>
      <c r="C405" s="88"/>
      <c r="D405" s="88"/>
      <c r="E405" s="88"/>
      <c r="F405" s="88"/>
      <c r="G405" s="88"/>
      <c r="H405" s="88"/>
      <c r="I405" s="88"/>
      <c r="J405" s="88"/>
      <c r="K405" s="88"/>
      <c r="L405" s="88"/>
      <c r="M405" s="88"/>
      <c r="N405" s="88"/>
      <c r="O405" s="88"/>
      <c r="P405" s="88"/>
      <c r="Q405" s="88"/>
      <c r="R405" s="88"/>
      <c r="S405" s="88"/>
      <c r="T405" s="88"/>
      <c r="U405" s="88"/>
      <c r="V405" s="88"/>
      <c r="W405" s="88"/>
      <c r="X405" s="88"/>
      <c r="Y405" s="88"/>
      <c r="Z405" s="88"/>
      <c r="AA405" s="88"/>
    </row>
    <row r="406" spans="1:27" ht="13.2">
      <c r="A406" s="88"/>
      <c r="B406" s="88"/>
      <c r="C406" s="88"/>
      <c r="D406" s="88"/>
      <c r="E406" s="88"/>
      <c r="F406" s="88"/>
      <c r="G406" s="88"/>
      <c r="H406" s="88"/>
      <c r="I406" s="88"/>
      <c r="J406" s="88"/>
      <c r="K406" s="88"/>
      <c r="L406" s="88"/>
      <c r="M406" s="88"/>
      <c r="N406" s="88"/>
      <c r="O406" s="88"/>
      <c r="P406" s="88"/>
      <c r="Q406" s="88"/>
      <c r="R406" s="88"/>
      <c r="S406" s="88"/>
      <c r="T406" s="88"/>
      <c r="U406" s="88"/>
      <c r="V406" s="88"/>
      <c r="W406" s="88"/>
      <c r="X406" s="88"/>
      <c r="Y406" s="88"/>
      <c r="Z406" s="88"/>
      <c r="AA406" s="88"/>
    </row>
    <row r="407" spans="1:27" ht="13.2">
      <c r="A407" s="88"/>
      <c r="B407" s="88"/>
      <c r="C407" s="88"/>
      <c r="D407" s="88"/>
      <c r="E407" s="88"/>
      <c r="F407" s="88"/>
      <c r="G407" s="88"/>
      <c r="H407" s="88"/>
      <c r="I407" s="88"/>
      <c r="J407" s="88"/>
      <c r="K407" s="88"/>
      <c r="L407" s="88"/>
      <c r="M407" s="88"/>
      <c r="N407" s="88"/>
      <c r="O407" s="88"/>
      <c r="P407" s="88"/>
      <c r="Q407" s="88"/>
      <c r="R407" s="88"/>
      <c r="S407" s="88"/>
      <c r="T407" s="88"/>
      <c r="U407" s="88"/>
      <c r="V407" s="88"/>
      <c r="W407" s="88"/>
      <c r="X407" s="88"/>
      <c r="Y407" s="88"/>
      <c r="Z407" s="88"/>
      <c r="AA407" s="88"/>
    </row>
    <row r="408" spans="1:27" ht="13.2">
      <c r="A408" s="88"/>
      <c r="B408" s="88"/>
      <c r="C408" s="88"/>
      <c r="D408" s="88"/>
      <c r="E408" s="88"/>
      <c r="F408" s="88"/>
      <c r="G408" s="88"/>
      <c r="H408" s="88"/>
      <c r="I408" s="88"/>
      <c r="J408" s="88"/>
      <c r="K408" s="88"/>
      <c r="L408" s="88"/>
      <c r="M408" s="88"/>
      <c r="N408" s="88"/>
      <c r="O408" s="88"/>
      <c r="P408" s="88"/>
      <c r="Q408" s="88"/>
      <c r="R408" s="88"/>
      <c r="S408" s="88"/>
      <c r="T408" s="88"/>
      <c r="U408" s="88"/>
      <c r="V408" s="88"/>
      <c r="W408" s="88"/>
      <c r="X408" s="88"/>
      <c r="Y408" s="88"/>
      <c r="Z408" s="88"/>
      <c r="AA408" s="88"/>
    </row>
    <row r="409" spans="1:27" ht="13.2">
      <c r="A409" s="88"/>
      <c r="B409" s="88"/>
      <c r="C409" s="88"/>
      <c r="D409" s="88"/>
      <c r="E409" s="88"/>
      <c r="F409" s="88"/>
      <c r="G409" s="88"/>
      <c r="H409" s="88"/>
      <c r="I409" s="88"/>
      <c r="J409" s="88"/>
      <c r="K409" s="88"/>
      <c r="L409" s="88"/>
      <c r="M409" s="88"/>
      <c r="N409" s="88"/>
      <c r="O409" s="88"/>
      <c r="P409" s="88"/>
      <c r="Q409" s="88"/>
      <c r="R409" s="88"/>
      <c r="S409" s="88"/>
      <c r="T409" s="88"/>
      <c r="U409" s="88"/>
      <c r="V409" s="88"/>
      <c r="W409" s="88"/>
      <c r="X409" s="88"/>
      <c r="Y409" s="88"/>
      <c r="Z409" s="88"/>
      <c r="AA409" s="88"/>
    </row>
    <row r="410" spans="1:27" ht="13.2">
      <c r="A410" s="88"/>
      <c r="B410" s="88"/>
      <c r="C410" s="88"/>
      <c r="D410" s="88"/>
      <c r="E410" s="88"/>
      <c r="F410" s="88"/>
      <c r="G410" s="88"/>
      <c r="H410" s="88"/>
      <c r="I410" s="88"/>
      <c r="J410" s="88"/>
      <c r="K410" s="88"/>
      <c r="L410" s="88"/>
      <c r="M410" s="88"/>
      <c r="N410" s="88"/>
      <c r="O410" s="88"/>
      <c r="P410" s="88"/>
      <c r="Q410" s="88"/>
      <c r="R410" s="88"/>
      <c r="S410" s="88"/>
      <c r="T410" s="88"/>
      <c r="U410" s="88"/>
      <c r="V410" s="88"/>
      <c r="W410" s="88"/>
      <c r="X410" s="88"/>
      <c r="Y410" s="88"/>
      <c r="Z410" s="88"/>
      <c r="AA410" s="88"/>
    </row>
    <row r="411" spans="1:27" ht="13.2">
      <c r="A411" s="88"/>
      <c r="B411" s="88"/>
      <c r="C411" s="88"/>
      <c r="D411" s="88"/>
      <c r="E411" s="88"/>
      <c r="F411" s="88"/>
      <c r="G411" s="88"/>
      <c r="H411" s="88"/>
      <c r="I411" s="88"/>
      <c r="J411" s="88"/>
      <c r="K411" s="88"/>
      <c r="L411" s="88"/>
      <c r="M411" s="88"/>
      <c r="N411" s="88"/>
      <c r="O411" s="88"/>
      <c r="P411" s="88"/>
      <c r="Q411" s="88"/>
      <c r="R411" s="88"/>
      <c r="S411" s="88"/>
      <c r="T411" s="88"/>
      <c r="U411" s="88"/>
      <c r="V411" s="88"/>
      <c r="W411" s="88"/>
      <c r="X411" s="88"/>
      <c r="Y411" s="88"/>
      <c r="Z411" s="88"/>
      <c r="AA411" s="88"/>
    </row>
    <row r="412" spans="1:27" ht="13.2">
      <c r="A412" s="88"/>
      <c r="B412" s="88"/>
      <c r="C412" s="88"/>
      <c r="D412" s="88"/>
      <c r="E412" s="88"/>
      <c r="F412" s="88"/>
      <c r="G412" s="88"/>
      <c r="H412" s="88"/>
      <c r="I412" s="88"/>
      <c r="J412" s="88"/>
      <c r="K412" s="88"/>
      <c r="L412" s="88"/>
      <c r="M412" s="88"/>
      <c r="N412" s="88"/>
      <c r="O412" s="88"/>
      <c r="P412" s="88"/>
      <c r="Q412" s="88"/>
      <c r="R412" s="88"/>
      <c r="S412" s="88"/>
      <c r="T412" s="88"/>
      <c r="U412" s="88"/>
      <c r="V412" s="88"/>
      <c r="W412" s="88"/>
      <c r="X412" s="88"/>
      <c r="Y412" s="88"/>
      <c r="Z412" s="88"/>
      <c r="AA412" s="88"/>
    </row>
    <row r="413" spans="1:27" ht="13.2">
      <c r="A413" s="88"/>
      <c r="B413" s="88"/>
      <c r="C413" s="88"/>
      <c r="D413" s="88"/>
      <c r="E413" s="88"/>
      <c r="F413" s="88"/>
      <c r="G413" s="88"/>
      <c r="H413" s="88"/>
      <c r="I413" s="88"/>
      <c r="J413" s="88"/>
      <c r="K413" s="88"/>
      <c r="L413" s="88"/>
      <c r="M413" s="88"/>
      <c r="N413" s="88"/>
      <c r="O413" s="88"/>
      <c r="P413" s="88"/>
      <c r="Q413" s="88"/>
      <c r="R413" s="88"/>
      <c r="S413" s="88"/>
      <c r="T413" s="88"/>
      <c r="U413" s="88"/>
      <c r="V413" s="88"/>
      <c r="W413" s="88"/>
      <c r="X413" s="88"/>
      <c r="Y413" s="88"/>
      <c r="Z413" s="88"/>
      <c r="AA413" s="88"/>
    </row>
    <row r="414" spans="1:27" ht="13.2">
      <c r="A414" s="88"/>
      <c r="B414" s="88"/>
      <c r="C414" s="88"/>
      <c r="D414" s="88"/>
      <c r="E414" s="88"/>
      <c r="F414" s="88"/>
      <c r="G414" s="88"/>
      <c r="H414" s="88"/>
      <c r="I414" s="88"/>
      <c r="J414" s="88"/>
      <c r="K414" s="88"/>
      <c r="L414" s="88"/>
      <c r="M414" s="88"/>
      <c r="N414" s="88"/>
      <c r="O414" s="88"/>
      <c r="P414" s="88"/>
      <c r="Q414" s="88"/>
      <c r="R414" s="88"/>
      <c r="S414" s="88"/>
      <c r="T414" s="88"/>
      <c r="U414" s="88"/>
      <c r="V414" s="88"/>
      <c r="W414" s="88"/>
      <c r="X414" s="88"/>
      <c r="Y414" s="88"/>
      <c r="Z414" s="88"/>
      <c r="AA414" s="88"/>
    </row>
    <row r="415" spans="1:27" ht="13.2">
      <c r="A415" s="88"/>
      <c r="B415" s="88"/>
      <c r="C415" s="88"/>
      <c r="D415" s="88"/>
      <c r="E415" s="88"/>
      <c r="F415" s="88"/>
      <c r="G415" s="88"/>
      <c r="H415" s="88"/>
      <c r="I415" s="88"/>
      <c r="J415" s="88"/>
      <c r="K415" s="88"/>
      <c r="L415" s="88"/>
      <c r="M415" s="88"/>
      <c r="N415" s="88"/>
      <c r="O415" s="88"/>
      <c r="P415" s="88"/>
      <c r="Q415" s="88"/>
      <c r="R415" s="88"/>
      <c r="S415" s="88"/>
      <c r="T415" s="88"/>
      <c r="U415" s="88"/>
      <c r="V415" s="88"/>
      <c r="W415" s="88"/>
      <c r="X415" s="88"/>
      <c r="Y415" s="88"/>
      <c r="Z415" s="88"/>
      <c r="AA415" s="88"/>
    </row>
    <row r="416" spans="1:27" ht="13.2">
      <c r="A416" s="88"/>
      <c r="B416" s="88"/>
      <c r="C416" s="88"/>
      <c r="D416" s="88"/>
      <c r="E416" s="88"/>
      <c r="F416" s="88"/>
      <c r="G416" s="88"/>
      <c r="H416" s="88"/>
      <c r="I416" s="88"/>
      <c r="J416" s="88"/>
      <c r="K416" s="88"/>
      <c r="L416" s="88"/>
      <c r="M416" s="88"/>
      <c r="N416" s="88"/>
      <c r="O416" s="88"/>
      <c r="P416" s="88"/>
      <c r="Q416" s="88"/>
      <c r="R416" s="88"/>
      <c r="S416" s="88"/>
      <c r="T416" s="88"/>
      <c r="U416" s="88"/>
      <c r="V416" s="88"/>
      <c r="W416" s="88"/>
      <c r="X416" s="88"/>
      <c r="Y416" s="88"/>
      <c r="Z416" s="88"/>
      <c r="AA416" s="88"/>
    </row>
    <row r="417" spans="1:27" ht="13.2">
      <c r="A417" s="88"/>
      <c r="B417" s="88"/>
      <c r="C417" s="88"/>
      <c r="D417" s="88"/>
      <c r="E417" s="88"/>
      <c r="F417" s="88"/>
      <c r="G417" s="88"/>
      <c r="H417" s="88"/>
      <c r="I417" s="88"/>
      <c r="J417" s="88"/>
      <c r="K417" s="88"/>
      <c r="L417" s="88"/>
      <c r="M417" s="88"/>
      <c r="N417" s="88"/>
      <c r="O417" s="88"/>
      <c r="P417" s="88"/>
      <c r="Q417" s="88"/>
      <c r="R417" s="88"/>
      <c r="S417" s="88"/>
      <c r="T417" s="88"/>
      <c r="U417" s="88"/>
      <c r="V417" s="88"/>
      <c r="W417" s="88"/>
      <c r="X417" s="88"/>
      <c r="Y417" s="88"/>
      <c r="Z417" s="88"/>
      <c r="AA417" s="88"/>
    </row>
    <row r="418" spans="1:27" ht="13.2">
      <c r="A418" s="88"/>
      <c r="B418" s="88"/>
      <c r="C418" s="88"/>
      <c r="D418" s="88"/>
      <c r="E418" s="88"/>
      <c r="F418" s="88"/>
      <c r="G418" s="88"/>
      <c r="H418" s="88"/>
      <c r="I418" s="88"/>
      <c r="J418" s="88"/>
      <c r="K418" s="88"/>
      <c r="L418" s="88"/>
      <c r="M418" s="88"/>
      <c r="N418" s="88"/>
      <c r="O418" s="88"/>
      <c r="P418" s="88"/>
      <c r="Q418" s="88"/>
      <c r="R418" s="88"/>
      <c r="S418" s="88"/>
      <c r="T418" s="88"/>
      <c r="U418" s="88"/>
      <c r="V418" s="88"/>
      <c r="W418" s="88"/>
      <c r="X418" s="88"/>
      <c r="Y418" s="88"/>
      <c r="Z418" s="88"/>
      <c r="AA418" s="88"/>
    </row>
    <row r="419" spans="1:27" ht="13.2">
      <c r="A419" s="88"/>
      <c r="B419" s="88"/>
      <c r="C419" s="88"/>
      <c r="D419" s="88"/>
      <c r="E419" s="88"/>
      <c r="F419" s="88"/>
      <c r="G419" s="88"/>
      <c r="H419" s="88"/>
      <c r="I419" s="88"/>
      <c r="J419" s="88"/>
      <c r="K419" s="88"/>
      <c r="L419" s="88"/>
      <c r="M419" s="88"/>
      <c r="N419" s="88"/>
      <c r="O419" s="88"/>
      <c r="P419" s="88"/>
      <c r="Q419" s="88"/>
      <c r="R419" s="88"/>
      <c r="S419" s="88"/>
      <c r="T419" s="88"/>
      <c r="U419" s="88"/>
      <c r="V419" s="88"/>
      <c r="W419" s="88"/>
      <c r="X419" s="88"/>
      <c r="Y419" s="88"/>
      <c r="Z419" s="88"/>
      <c r="AA419" s="88"/>
    </row>
    <row r="420" spans="1:27" ht="13.2">
      <c r="A420" s="88"/>
      <c r="B420" s="88"/>
      <c r="C420" s="88"/>
      <c r="D420" s="88"/>
      <c r="E420" s="88"/>
      <c r="F420" s="88"/>
      <c r="G420" s="88"/>
      <c r="H420" s="88"/>
      <c r="I420" s="88"/>
      <c r="J420" s="88"/>
      <c r="K420" s="88"/>
      <c r="L420" s="88"/>
      <c r="M420" s="88"/>
      <c r="N420" s="88"/>
      <c r="O420" s="88"/>
      <c r="P420" s="88"/>
      <c r="Q420" s="88"/>
      <c r="R420" s="88"/>
      <c r="S420" s="88"/>
      <c r="T420" s="88"/>
      <c r="U420" s="88"/>
      <c r="V420" s="88"/>
      <c r="W420" s="88"/>
      <c r="X420" s="88"/>
      <c r="Y420" s="88"/>
      <c r="Z420" s="88"/>
      <c r="AA420" s="88"/>
    </row>
    <row r="421" spans="1:27" ht="13.2">
      <c r="A421" s="88"/>
      <c r="B421" s="88"/>
      <c r="C421" s="88"/>
      <c r="D421" s="88"/>
      <c r="E421" s="88"/>
      <c r="F421" s="88"/>
      <c r="G421" s="88"/>
      <c r="H421" s="88"/>
      <c r="I421" s="88"/>
      <c r="J421" s="88"/>
      <c r="K421" s="88"/>
      <c r="L421" s="88"/>
      <c r="M421" s="88"/>
      <c r="N421" s="88"/>
      <c r="O421" s="88"/>
      <c r="P421" s="88"/>
      <c r="Q421" s="88"/>
      <c r="R421" s="88"/>
      <c r="S421" s="88"/>
      <c r="T421" s="88"/>
      <c r="U421" s="88"/>
      <c r="V421" s="88"/>
      <c r="W421" s="88"/>
      <c r="X421" s="88"/>
      <c r="Y421" s="88"/>
      <c r="Z421" s="88"/>
      <c r="AA421" s="88"/>
    </row>
    <row r="422" spans="1:27" ht="13.2">
      <c r="A422" s="88"/>
      <c r="B422" s="88"/>
      <c r="C422" s="88"/>
      <c r="D422" s="88"/>
      <c r="E422" s="88"/>
      <c r="F422" s="88"/>
      <c r="G422" s="88"/>
      <c r="H422" s="88"/>
      <c r="I422" s="88"/>
      <c r="J422" s="88"/>
      <c r="K422" s="88"/>
      <c r="L422" s="88"/>
      <c r="M422" s="88"/>
      <c r="N422" s="88"/>
      <c r="O422" s="88"/>
      <c r="P422" s="88"/>
      <c r="Q422" s="88"/>
      <c r="R422" s="88"/>
      <c r="S422" s="88"/>
      <c r="T422" s="88"/>
      <c r="U422" s="88"/>
      <c r="V422" s="88"/>
      <c r="W422" s="88"/>
      <c r="X422" s="88"/>
      <c r="Y422" s="88"/>
      <c r="Z422" s="88"/>
      <c r="AA422" s="88"/>
    </row>
    <row r="423" spans="1:27" ht="13.2">
      <c r="A423" s="88"/>
      <c r="B423" s="88"/>
      <c r="C423" s="88"/>
      <c r="D423" s="88"/>
      <c r="E423" s="88"/>
      <c r="F423" s="88"/>
      <c r="G423" s="88"/>
      <c r="H423" s="88"/>
      <c r="I423" s="88"/>
      <c r="J423" s="88"/>
      <c r="K423" s="88"/>
      <c r="L423" s="88"/>
      <c r="M423" s="88"/>
      <c r="N423" s="88"/>
      <c r="O423" s="88"/>
      <c r="P423" s="88"/>
      <c r="Q423" s="88"/>
      <c r="R423" s="88"/>
      <c r="S423" s="88"/>
      <c r="T423" s="88"/>
      <c r="U423" s="88"/>
      <c r="V423" s="88"/>
      <c r="W423" s="88"/>
      <c r="X423" s="88"/>
      <c r="Y423" s="88"/>
      <c r="Z423" s="88"/>
      <c r="AA423" s="88"/>
    </row>
    <row r="424" spans="1:27" ht="13.2">
      <c r="A424" s="88"/>
      <c r="B424" s="88"/>
      <c r="C424" s="88"/>
      <c r="D424" s="88"/>
      <c r="E424" s="88"/>
      <c r="F424" s="88"/>
      <c r="G424" s="88"/>
      <c r="H424" s="88"/>
      <c r="I424" s="88"/>
      <c r="J424" s="88"/>
      <c r="K424" s="88"/>
      <c r="L424" s="88"/>
      <c r="M424" s="88"/>
      <c r="N424" s="88"/>
      <c r="O424" s="88"/>
      <c r="P424" s="88"/>
      <c r="Q424" s="88"/>
      <c r="R424" s="88"/>
      <c r="S424" s="88"/>
      <c r="T424" s="88"/>
      <c r="U424" s="88"/>
      <c r="V424" s="88"/>
      <c r="W424" s="88"/>
      <c r="X424" s="88"/>
      <c r="Y424" s="88"/>
      <c r="Z424" s="88"/>
      <c r="AA424" s="88"/>
    </row>
    <row r="425" spans="1:27" ht="13.2">
      <c r="A425" s="88"/>
      <c r="B425" s="88"/>
      <c r="C425" s="88"/>
      <c r="D425" s="88"/>
      <c r="E425" s="88"/>
      <c r="F425" s="88"/>
      <c r="G425" s="88"/>
      <c r="H425" s="88"/>
      <c r="I425" s="88"/>
      <c r="J425" s="88"/>
      <c r="K425" s="88"/>
      <c r="L425" s="88"/>
      <c r="M425" s="88"/>
      <c r="N425" s="88"/>
      <c r="O425" s="88"/>
      <c r="P425" s="88"/>
      <c r="Q425" s="88"/>
      <c r="R425" s="88"/>
      <c r="S425" s="88"/>
      <c r="T425" s="88"/>
      <c r="U425" s="88"/>
      <c r="V425" s="88"/>
      <c r="W425" s="88"/>
      <c r="X425" s="88"/>
      <c r="Y425" s="88"/>
      <c r="Z425" s="88"/>
      <c r="AA425" s="88"/>
    </row>
    <row r="426" spans="1:27" ht="13.2">
      <c r="A426" s="88"/>
      <c r="B426" s="88"/>
      <c r="C426" s="88"/>
      <c r="D426" s="88"/>
      <c r="E426" s="88"/>
      <c r="F426" s="88"/>
      <c r="G426" s="88"/>
      <c r="H426" s="88"/>
      <c r="I426" s="88"/>
      <c r="J426" s="88"/>
      <c r="K426" s="88"/>
      <c r="L426" s="88"/>
      <c r="M426" s="88"/>
      <c r="N426" s="88"/>
      <c r="O426" s="88"/>
      <c r="P426" s="88"/>
      <c r="Q426" s="88"/>
      <c r="R426" s="88"/>
      <c r="S426" s="88"/>
      <c r="T426" s="88"/>
      <c r="U426" s="88"/>
      <c r="V426" s="88"/>
      <c r="W426" s="88"/>
      <c r="X426" s="88"/>
      <c r="Y426" s="88"/>
      <c r="Z426" s="88"/>
      <c r="AA426" s="88"/>
    </row>
    <row r="427" spans="1:27" ht="13.2">
      <c r="A427" s="88"/>
      <c r="B427" s="88"/>
      <c r="C427" s="88"/>
      <c r="D427" s="88"/>
      <c r="E427" s="88"/>
      <c r="F427" s="88"/>
      <c r="G427" s="88"/>
      <c r="H427" s="88"/>
      <c r="I427" s="88"/>
      <c r="J427" s="88"/>
      <c r="K427" s="88"/>
      <c r="L427" s="88"/>
      <c r="M427" s="88"/>
      <c r="N427" s="88"/>
      <c r="O427" s="88"/>
      <c r="P427" s="88"/>
      <c r="Q427" s="88"/>
      <c r="R427" s="88"/>
      <c r="S427" s="88"/>
      <c r="T427" s="88"/>
      <c r="U427" s="88"/>
      <c r="V427" s="88"/>
      <c r="W427" s="88"/>
      <c r="X427" s="88"/>
      <c r="Y427" s="88"/>
      <c r="Z427" s="88"/>
      <c r="AA427" s="88"/>
    </row>
    <row r="428" spans="1:27" ht="13.2">
      <c r="A428" s="88"/>
      <c r="B428" s="88"/>
      <c r="C428" s="88"/>
      <c r="D428" s="88"/>
      <c r="E428" s="88"/>
      <c r="F428" s="88"/>
      <c r="G428" s="88"/>
      <c r="H428" s="88"/>
      <c r="I428" s="88"/>
      <c r="J428" s="88"/>
      <c r="K428" s="88"/>
      <c r="L428" s="88"/>
      <c r="M428" s="88"/>
      <c r="N428" s="88"/>
      <c r="O428" s="88"/>
      <c r="P428" s="88"/>
      <c r="Q428" s="88"/>
      <c r="R428" s="88"/>
      <c r="S428" s="88"/>
      <c r="T428" s="88"/>
      <c r="U428" s="88"/>
      <c r="V428" s="88"/>
      <c r="W428" s="88"/>
      <c r="X428" s="88"/>
      <c r="Y428" s="88"/>
      <c r="Z428" s="88"/>
      <c r="AA428" s="88"/>
    </row>
    <row r="429" spans="1:27" ht="13.2">
      <c r="A429" s="88"/>
      <c r="B429" s="88"/>
      <c r="C429" s="88"/>
      <c r="D429" s="88"/>
      <c r="E429" s="88"/>
      <c r="F429" s="88"/>
      <c r="G429" s="88"/>
      <c r="H429" s="88"/>
      <c r="I429" s="88"/>
      <c r="J429" s="88"/>
      <c r="K429" s="88"/>
      <c r="L429" s="88"/>
      <c r="M429" s="88"/>
      <c r="N429" s="88"/>
      <c r="O429" s="88"/>
      <c r="P429" s="88"/>
      <c r="Q429" s="88"/>
      <c r="R429" s="88"/>
      <c r="S429" s="88"/>
      <c r="T429" s="88"/>
      <c r="U429" s="88"/>
      <c r="V429" s="88"/>
      <c r="W429" s="88"/>
      <c r="X429" s="88"/>
      <c r="Y429" s="88"/>
      <c r="Z429" s="88"/>
      <c r="AA429" s="88"/>
    </row>
    <row r="430" spans="1:27" ht="13.2">
      <c r="A430" s="88"/>
      <c r="B430" s="88"/>
      <c r="C430" s="88"/>
      <c r="D430" s="88"/>
      <c r="E430" s="88"/>
      <c r="F430" s="88"/>
      <c r="G430" s="88"/>
      <c r="H430" s="88"/>
      <c r="I430" s="88"/>
      <c r="J430" s="88"/>
      <c r="K430" s="88"/>
      <c r="L430" s="88"/>
      <c r="M430" s="88"/>
      <c r="N430" s="88"/>
      <c r="O430" s="88"/>
      <c r="P430" s="88"/>
      <c r="Q430" s="88"/>
      <c r="R430" s="88"/>
      <c r="S430" s="88"/>
      <c r="T430" s="88"/>
      <c r="U430" s="88"/>
      <c r="V430" s="88"/>
      <c r="W430" s="88"/>
      <c r="X430" s="88"/>
      <c r="Y430" s="88"/>
      <c r="Z430" s="88"/>
      <c r="AA430" s="88"/>
    </row>
    <row r="431" spans="1:27" ht="13.2">
      <c r="A431" s="88"/>
      <c r="B431" s="88"/>
      <c r="C431" s="88"/>
      <c r="D431" s="88"/>
      <c r="E431" s="88"/>
      <c r="F431" s="88"/>
      <c r="G431" s="88"/>
      <c r="H431" s="88"/>
      <c r="I431" s="88"/>
      <c r="J431" s="88"/>
      <c r="K431" s="88"/>
      <c r="L431" s="88"/>
      <c r="M431" s="88"/>
      <c r="N431" s="88"/>
      <c r="O431" s="88"/>
      <c r="P431" s="88"/>
      <c r="Q431" s="88"/>
      <c r="R431" s="88"/>
      <c r="S431" s="88"/>
      <c r="T431" s="88"/>
      <c r="U431" s="88"/>
      <c r="V431" s="88"/>
      <c r="W431" s="88"/>
      <c r="X431" s="88"/>
      <c r="Y431" s="88"/>
      <c r="Z431" s="88"/>
      <c r="AA431" s="88"/>
    </row>
    <row r="432" spans="1:27" ht="13.2">
      <c r="A432" s="88"/>
      <c r="B432" s="88"/>
      <c r="C432" s="88"/>
      <c r="D432" s="88"/>
      <c r="E432" s="88"/>
      <c r="F432" s="88"/>
      <c r="G432" s="88"/>
      <c r="H432" s="88"/>
      <c r="I432" s="88"/>
      <c r="J432" s="88"/>
      <c r="K432" s="88"/>
      <c r="L432" s="88"/>
      <c r="M432" s="88"/>
      <c r="N432" s="88"/>
      <c r="O432" s="88"/>
      <c r="P432" s="88"/>
      <c r="Q432" s="88"/>
      <c r="R432" s="88"/>
      <c r="S432" s="88"/>
      <c r="T432" s="88"/>
      <c r="U432" s="88"/>
      <c r="V432" s="88"/>
      <c r="W432" s="88"/>
      <c r="X432" s="88"/>
      <c r="Y432" s="88"/>
      <c r="Z432" s="88"/>
      <c r="AA432" s="88"/>
    </row>
    <row r="433" spans="1:27" ht="13.2">
      <c r="A433" s="88"/>
      <c r="B433" s="88"/>
      <c r="C433" s="88"/>
      <c r="D433" s="88"/>
      <c r="E433" s="88"/>
      <c r="F433" s="88"/>
      <c r="G433" s="88"/>
      <c r="H433" s="88"/>
      <c r="I433" s="88"/>
      <c r="J433" s="88"/>
      <c r="K433" s="88"/>
      <c r="L433" s="88"/>
      <c r="M433" s="88"/>
      <c r="N433" s="88"/>
      <c r="O433" s="88"/>
      <c r="P433" s="88"/>
      <c r="Q433" s="88"/>
      <c r="R433" s="88"/>
      <c r="S433" s="88"/>
      <c r="T433" s="88"/>
      <c r="U433" s="88"/>
      <c r="V433" s="88"/>
      <c r="W433" s="88"/>
      <c r="X433" s="88"/>
      <c r="Y433" s="88"/>
      <c r="Z433" s="88"/>
      <c r="AA433" s="88"/>
    </row>
    <row r="434" spans="1:27" ht="13.2">
      <c r="A434" s="88"/>
      <c r="B434" s="88"/>
      <c r="C434" s="88"/>
      <c r="D434" s="88"/>
      <c r="E434" s="88"/>
      <c r="F434" s="88"/>
      <c r="G434" s="88"/>
      <c r="H434" s="88"/>
      <c r="I434" s="88"/>
      <c r="J434" s="88"/>
      <c r="K434" s="88"/>
      <c r="L434" s="88"/>
      <c r="M434" s="88"/>
      <c r="N434" s="88"/>
      <c r="O434" s="88"/>
      <c r="P434" s="88"/>
      <c r="Q434" s="88"/>
      <c r="R434" s="88"/>
      <c r="S434" s="88"/>
      <c r="T434" s="88"/>
      <c r="U434" s="88"/>
      <c r="V434" s="88"/>
      <c r="W434" s="88"/>
      <c r="X434" s="88"/>
      <c r="Y434" s="88"/>
      <c r="Z434" s="88"/>
      <c r="AA434" s="88"/>
    </row>
    <row r="435" spans="1:27" ht="13.2">
      <c r="A435" s="88"/>
      <c r="B435" s="88"/>
      <c r="C435" s="88"/>
      <c r="D435" s="88"/>
      <c r="E435" s="88"/>
      <c r="F435" s="88"/>
      <c r="G435" s="88"/>
      <c r="H435" s="88"/>
      <c r="I435" s="88"/>
      <c r="J435" s="88"/>
      <c r="K435" s="88"/>
      <c r="L435" s="88"/>
      <c r="M435" s="88"/>
      <c r="N435" s="88"/>
      <c r="O435" s="88"/>
      <c r="P435" s="88"/>
      <c r="Q435" s="88"/>
      <c r="R435" s="88"/>
      <c r="S435" s="88"/>
      <c r="T435" s="88"/>
      <c r="U435" s="88"/>
      <c r="V435" s="88"/>
      <c r="W435" s="88"/>
      <c r="X435" s="88"/>
      <c r="Y435" s="88"/>
      <c r="Z435" s="88"/>
      <c r="AA435" s="88"/>
    </row>
    <row r="436" spans="1:27" ht="13.2">
      <c r="A436" s="88"/>
      <c r="B436" s="88"/>
      <c r="C436" s="88"/>
      <c r="D436" s="88"/>
      <c r="E436" s="88"/>
      <c r="F436" s="88"/>
      <c r="G436" s="88"/>
      <c r="H436" s="88"/>
      <c r="I436" s="88"/>
      <c r="J436" s="88"/>
      <c r="K436" s="88"/>
      <c r="L436" s="88"/>
      <c r="M436" s="88"/>
      <c r="N436" s="88"/>
      <c r="O436" s="88"/>
      <c r="P436" s="88"/>
      <c r="Q436" s="88"/>
      <c r="R436" s="88"/>
      <c r="S436" s="88"/>
      <c r="T436" s="88"/>
      <c r="U436" s="88"/>
      <c r="V436" s="88"/>
      <c r="W436" s="88"/>
      <c r="X436" s="88"/>
      <c r="Y436" s="88"/>
      <c r="Z436" s="88"/>
      <c r="AA436" s="88"/>
    </row>
    <row r="437" spans="1:27" ht="13.2">
      <c r="A437" s="88"/>
      <c r="B437" s="88"/>
      <c r="C437" s="88"/>
      <c r="D437" s="88"/>
      <c r="E437" s="88"/>
      <c r="F437" s="88"/>
      <c r="G437" s="88"/>
      <c r="H437" s="88"/>
      <c r="I437" s="88"/>
      <c r="J437" s="88"/>
      <c r="K437" s="88"/>
      <c r="L437" s="88"/>
      <c r="M437" s="88"/>
      <c r="N437" s="88"/>
      <c r="O437" s="88"/>
      <c r="P437" s="88"/>
      <c r="Q437" s="88"/>
      <c r="R437" s="88"/>
      <c r="S437" s="88"/>
      <c r="T437" s="88"/>
      <c r="U437" s="88"/>
      <c r="V437" s="88"/>
      <c r="W437" s="88"/>
      <c r="X437" s="88"/>
      <c r="Y437" s="88"/>
      <c r="Z437" s="88"/>
      <c r="AA437" s="88"/>
    </row>
    <row r="438" spans="1:27" ht="13.2">
      <c r="A438" s="88"/>
      <c r="B438" s="88"/>
      <c r="C438" s="88"/>
      <c r="D438" s="88"/>
      <c r="E438" s="88"/>
      <c r="F438" s="88"/>
      <c r="G438" s="88"/>
      <c r="H438" s="88"/>
      <c r="I438" s="88"/>
      <c r="J438" s="88"/>
      <c r="K438" s="88"/>
      <c r="L438" s="88"/>
      <c r="M438" s="88"/>
      <c r="N438" s="88"/>
      <c r="O438" s="88"/>
      <c r="P438" s="88"/>
      <c r="Q438" s="88"/>
      <c r="R438" s="88"/>
      <c r="S438" s="88"/>
      <c r="T438" s="88"/>
      <c r="U438" s="88"/>
      <c r="V438" s="88"/>
      <c r="W438" s="88"/>
      <c r="X438" s="88"/>
      <c r="Y438" s="88"/>
      <c r="Z438" s="88"/>
      <c r="AA438" s="88"/>
    </row>
    <row r="439" spans="1:27" ht="13.2">
      <c r="A439" s="88"/>
      <c r="B439" s="88"/>
      <c r="C439" s="88"/>
      <c r="D439" s="88"/>
      <c r="E439" s="88"/>
      <c r="F439" s="88"/>
      <c r="G439" s="88"/>
      <c r="H439" s="88"/>
      <c r="I439" s="88"/>
      <c r="J439" s="88"/>
      <c r="K439" s="88"/>
      <c r="L439" s="88"/>
      <c r="M439" s="88"/>
      <c r="N439" s="88"/>
      <c r="O439" s="88"/>
      <c r="P439" s="88"/>
      <c r="Q439" s="88"/>
      <c r="R439" s="88"/>
      <c r="S439" s="88"/>
      <c r="T439" s="88"/>
      <c r="U439" s="88"/>
      <c r="V439" s="88"/>
      <c r="W439" s="88"/>
      <c r="X439" s="88"/>
      <c r="Y439" s="88"/>
      <c r="Z439" s="88"/>
      <c r="AA439" s="88"/>
    </row>
    <row r="440" spans="1:27" ht="13.2">
      <c r="A440" s="88"/>
      <c r="B440" s="88"/>
      <c r="C440" s="88"/>
      <c r="D440" s="88"/>
      <c r="E440" s="88"/>
      <c r="F440" s="88"/>
      <c r="G440" s="88"/>
      <c r="H440" s="88"/>
      <c r="I440" s="88"/>
      <c r="J440" s="88"/>
      <c r="K440" s="88"/>
      <c r="L440" s="88"/>
      <c r="M440" s="88"/>
      <c r="N440" s="88"/>
      <c r="O440" s="88"/>
      <c r="P440" s="88"/>
      <c r="Q440" s="88"/>
      <c r="R440" s="88"/>
      <c r="S440" s="88"/>
      <c r="T440" s="88"/>
      <c r="U440" s="88"/>
      <c r="V440" s="88"/>
      <c r="W440" s="88"/>
      <c r="X440" s="88"/>
      <c r="Y440" s="88"/>
      <c r="Z440" s="88"/>
      <c r="AA440" s="88"/>
    </row>
    <row r="441" spans="1:27" ht="13.2">
      <c r="A441" s="88"/>
      <c r="B441" s="88"/>
      <c r="C441" s="88"/>
      <c r="D441" s="88"/>
      <c r="E441" s="88"/>
      <c r="F441" s="88"/>
      <c r="G441" s="88"/>
      <c r="H441" s="88"/>
      <c r="I441" s="88"/>
      <c r="J441" s="88"/>
      <c r="K441" s="88"/>
      <c r="L441" s="88"/>
      <c r="M441" s="88"/>
      <c r="N441" s="88"/>
      <c r="O441" s="88"/>
      <c r="P441" s="88"/>
      <c r="Q441" s="88"/>
      <c r="R441" s="88"/>
      <c r="S441" s="88"/>
      <c r="T441" s="88"/>
      <c r="U441" s="88"/>
      <c r="V441" s="88"/>
      <c r="W441" s="88"/>
      <c r="X441" s="88"/>
      <c r="Y441" s="88"/>
      <c r="Z441" s="88"/>
      <c r="AA441" s="88"/>
    </row>
    <row r="442" spans="1:27" ht="13.2">
      <c r="A442" s="88"/>
      <c r="B442" s="88"/>
      <c r="C442" s="88"/>
      <c r="D442" s="88"/>
      <c r="E442" s="88"/>
      <c r="F442" s="88"/>
      <c r="G442" s="88"/>
      <c r="H442" s="88"/>
      <c r="I442" s="88"/>
      <c r="J442" s="88"/>
      <c r="K442" s="88"/>
      <c r="L442" s="88"/>
      <c r="M442" s="88"/>
      <c r="N442" s="88"/>
      <c r="O442" s="88"/>
      <c r="P442" s="88"/>
      <c r="Q442" s="88"/>
      <c r="R442" s="88"/>
      <c r="S442" s="88"/>
      <c r="T442" s="88"/>
      <c r="U442" s="88"/>
      <c r="V442" s="88"/>
      <c r="W442" s="88"/>
      <c r="X442" s="88"/>
      <c r="Y442" s="88"/>
      <c r="Z442" s="88"/>
      <c r="AA442" s="88"/>
    </row>
    <row r="443" spans="1:27" ht="13.2">
      <c r="A443" s="88"/>
      <c r="B443" s="88"/>
      <c r="C443" s="88"/>
      <c r="D443" s="88"/>
      <c r="E443" s="88"/>
      <c r="F443" s="88"/>
      <c r="G443" s="88"/>
      <c r="H443" s="88"/>
      <c r="I443" s="88"/>
      <c r="J443" s="88"/>
      <c r="K443" s="88"/>
      <c r="L443" s="88"/>
      <c r="M443" s="88"/>
      <c r="N443" s="88"/>
      <c r="O443" s="88"/>
      <c r="P443" s="88"/>
      <c r="Q443" s="88"/>
      <c r="R443" s="88"/>
      <c r="S443" s="88"/>
      <c r="T443" s="88"/>
      <c r="U443" s="88"/>
      <c r="V443" s="88"/>
      <c r="W443" s="88"/>
      <c r="X443" s="88"/>
      <c r="Y443" s="88"/>
      <c r="Z443" s="88"/>
      <c r="AA443" s="88"/>
    </row>
    <row r="444" spans="1:27" ht="13.2">
      <c r="A444" s="88"/>
      <c r="B444" s="88"/>
      <c r="C444" s="88"/>
      <c r="D444" s="88"/>
      <c r="E444" s="88"/>
      <c r="F444" s="88"/>
      <c r="G444" s="88"/>
      <c r="H444" s="88"/>
      <c r="I444" s="88"/>
      <c r="J444" s="88"/>
      <c r="K444" s="88"/>
      <c r="L444" s="88"/>
      <c r="M444" s="88"/>
      <c r="N444" s="88"/>
      <c r="O444" s="88"/>
      <c r="P444" s="88"/>
      <c r="Q444" s="88"/>
      <c r="R444" s="88"/>
      <c r="S444" s="88"/>
      <c r="T444" s="88"/>
      <c r="U444" s="88"/>
      <c r="V444" s="88"/>
      <c r="W444" s="88"/>
      <c r="X444" s="88"/>
      <c r="Y444" s="88"/>
      <c r="Z444" s="88"/>
      <c r="AA444" s="88"/>
    </row>
    <row r="445" spans="1:27" ht="13.2">
      <c r="A445" s="88"/>
      <c r="B445" s="88"/>
      <c r="C445" s="88"/>
      <c r="D445" s="88"/>
      <c r="E445" s="88"/>
      <c r="F445" s="88"/>
      <c r="G445" s="88"/>
      <c r="H445" s="88"/>
      <c r="I445" s="88"/>
      <c r="J445" s="88"/>
      <c r="K445" s="88"/>
      <c r="L445" s="88"/>
      <c r="M445" s="88"/>
      <c r="N445" s="88"/>
      <c r="O445" s="88"/>
      <c r="P445" s="88"/>
      <c r="Q445" s="88"/>
      <c r="R445" s="88"/>
      <c r="S445" s="88"/>
      <c r="T445" s="88"/>
      <c r="U445" s="88"/>
      <c r="V445" s="88"/>
      <c r="W445" s="88"/>
      <c r="X445" s="88"/>
      <c r="Y445" s="88"/>
      <c r="Z445" s="88"/>
      <c r="AA445" s="88"/>
    </row>
    <row r="446" spans="1:27" ht="13.2">
      <c r="A446" s="88"/>
      <c r="B446" s="88"/>
      <c r="C446" s="88"/>
      <c r="D446" s="88"/>
      <c r="E446" s="88"/>
      <c r="F446" s="88"/>
      <c r="G446" s="88"/>
      <c r="H446" s="88"/>
      <c r="I446" s="88"/>
      <c r="J446" s="88"/>
      <c r="K446" s="88"/>
      <c r="L446" s="88"/>
      <c r="M446" s="88"/>
      <c r="N446" s="88"/>
      <c r="O446" s="88"/>
      <c r="P446" s="88"/>
      <c r="Q446" s="88"/>
      <c r="R446" s="88"/>
      <c r="S446" s="88"/>
      <c r="T446" s="88"/>
      <c r="U446" s="88"/>
      <c r="V446" s="88"/>
      <c r="W446" s="88"/>
      <c r="X446" s="88"/>
      <c r="Y446" s="88"/>
      <c r="Z446" s="88"/>
      <c r="AA446" s="88"/>
    </row>
    <row r="447" spans="1:27" ht="13.2">
      <c r="A447" s="88"/>
      <c r="B447" s="88"/>
      <c r="C447" s="88"/>
      <c r="D447" s="88"/>
      <c r="E447" s="88"/>
      <c r="F447" s="88"/>
      <c r="G447" s="88"/>
      <c r="H447" s="88"/>
      <c r="I447" s="88"/>
      <c r="J447" s="88"/>
      <c r="K447" s="88"/>
      <c r="L447" s="88"/>
      <c r="M447" s="88"/>
      <c r="N447" s="88"/>
      <c r="O447" s="88"/>
      <c r="P447" s="88"/>
      <c r="Q447" s="88"/>
      <c r="R447" s="88"/>
      <c r="S447" s="88"/>
      <c r="T447" s="88"/>
      <c r="U447" s="88"/>
      <c r="V447" s="88"/>
      <c r="W447" s="88"/>
      <c r="X447" s="88"/>
      <c r="Y447" s="88"/>
      <c r="Z447" s="88"/>
      <c r="AA447" s="88"/>
    </row>
    <row r="448" spans="1:27" ht="13.2">
      <c r="A448" s="88"/>
      <c r="B448" s="88"/>
      <c r="C448" s="88"/>
      <c r="D448" s="88"/>
      <c r="E448" s="88"/>
      <c r="F448" s="88"/>
      <c r="G448" s="88"/>
      <c r="H448" s="88"/>
      <c r="I448" s="88"/>
      <c r="J448" s="88"/>
      <c r="K448" s="88"/>
      <c r="L448" s="88"/>
      <c r="M448" s="88"/>
      <c r="N448" s="88"/>
      <c r="O448" s="88"/>
      <c r="P448" s="88"/>
      <c r="Q448" s="88"/>
      <c r="R448" s="88"/>
      <c r="S448" s="88"/>
      <c r="T448" s="88"/>
      <c r="U448" s="88"/>
      <c r="V448" s="88"/>
      <c r="W448" s="88"/>
      <c r="X448" s="88"/>
      <c r="Y448" s="88"/>
      <c r="Z448" s="88"/>
      <c r="AA448" s="88"/>
    </row>
    <row r="449" spans="1:27" ht="13.2">
      <c r="A449" s="88"/>
      <c r="B449" s="88"/>
      <c r="C449" s="88"/>
      <c r="D449" s="88"/>
      <c r="E449" s="88"/>
      <c r="F449" s="88"/>
      <c r="G449" s="88"/>
      <c r="H449" s="88"/>
      <c r="I449" s="88"/>
      <c r="J449" s="88"/>
      <c r="K449" s="88"/>
      <c r="L449" s="88"/>
      <c r="M449" s="88"/>
      <c r="N449" s="88"/>
      <c r="O449" s="88"/>
      <c r="P449" s="88"/>
      <c r="Q449" s="88"/>
      <c r="R449" s="88"/>
      <c r="S449" s="88"/>
      <c r="T449" s="88"/>
      <c r="U449" s="88"/>
      <c r="V449" s="88"/>
      <c r="W449" s="88"/>
      <c r="X449" s="88"/>
      <c r="Y449" s="88"/>
      <c r="Z449" s="88"/>
      <c r="AA449" s="88"/>
    </row>
    <row r="450" spans="1:27" ht="13.2">
      <c r="A450" s="88"/>
      <c r="B450" s="88"/>
      <c r="C450" s="88"/>
      <c r="D450" s="88"/>
      <c r="E450" s="88"/>
      <c r="F450" s="88"/>
      <c r="G450" s="88"/>
      <c r="H450" s="88"/>
      <c r="I450" s="88"/>
      <c r="J450" s="88"/>
      <c r="K450" s="88"/>
      <c r="L450" s="88"/>
      <c r="M450" s="88"/>
      <c r="N450" s="88"/>
      <c r="O450" s="88"/>
      <c r="P450" s="88"/>
      <c r="Q450" s="88"/>
      <c r="R450" s="88"/>
      <c r="S450" s="88"/>
      <c r="T450" s="88"/>
      <c r="U450" s="88"/>
      <c r="V450" s="88"/>
      <c r="W450" s="88"/>
      <c r="X450" s="88"/>
      <c r="Y450" s="88"/>
      <c r="Z450" s="88"/>
      <c r="AA450" s="88"/>
    </row>
    <row r="451" spans="1:27" ht="13.2">
      <c r="A451" s="88"/>
      <c r="B451" s="88"/>
      <c r="C451" s="88"/>
      <c r="D451" s="88"/>
      <c r="E451" s="88"/>
      <c r="F451" s="88"/>
      <c r="G451" s="88"/>
      <c r="H451" s="88"/>
      <c r="I451" s="88"/>
      <c r="J451" s="88"/>
      <c r="K451" s="88"/>
      <c r="L451" s="88"/>
      <c r="M451" s="88"/>
      <c r="N451" s="88"/>
      <c r="O451" s="88"/>
      <c r="P451" s="88"/>
      <c r="Q451" s="88"/>
      <c r="R451" s="88"/>
      <c r="S451" s="88"/>
      <c r="T451" s="88"/>
      <c r="U451" s="88"/>
      <c r="V451" s="88"/>
      <c r="W451" s="88"/>
      <c r="X451" s="88"/>
      <c r="Y451" s="88"/>
      <c r="Z451" s="88"/>
      <c r="AA451" s="88"/>
    </row>
    <row r="452" spans="1:27" ht="13.2">
      <c r="A452" s="88"/>
      <c r="B452" s="88"/>
      <c r="C452" s="88"/>
      <c r="D452" s="88"/>
      <c r="E452" s="88"/>
      <c r="F452" s="88"/>
      <c r="G452" s="88"/>
      <c r="H452" s="88"/>
      <c r="I452" s="88"/>
      <c r="J452" s="88"/>
      <c r="K452" s="88"/>
      <c r="L452" s="88"/>
      <c r="M452" s="88"/>
      <c r="N452" s="88"/>
      <c r="O452" s="88"/>
      <c r="P452" s="88"/>
      <c r="Q452" s="88"/>
      <c r="R452" s="88"/>
      <c r="S452" s="88"/>
      <c r="T452" s="88"/>
      <c r="U452" s="88"/>
      <c r="V452" s="88"/>
      <c r="W452" s="88"/>
      <c r="X452" s="88"/>
      <c r="Y452" s="88"/>
      <c r="Z452" s="88"/>
      <c r="AA452" s="88"/>
    </row>
    <row r="453" spans="1:27" ht="13.2">
      <c r="A453" s="88"/>
      <c r="B453" s="88"/>
      <c r="C453" s="88"/>
      <c r="D453" s="88"/>
      <c r="E453" s="88"/>
      <c r="F453" s="88"/>
      <c r="G453" s="88"/>
      <c r="H453" s="88"/>
      <c r="I453" s="88"/>
      <c r="J453" s="88"/>
      <c r="K453" s="88"/>
      <c r="L453" s="88"/>
      <c r="M453" s="88"/>
      <c r="N453" s="88"/>
      <c r="O453" s="88"/>
      <c r="P453" s="88"/>
      <c r="Q453" s="88"/>
      <c r="R453" s="88"/>
      <c r="S453" s="88"/>
      <c r="T453" s="88"/>
      <c r="U453" s="88"/>
      <c r="V453" s="88"/>
      <c r="W453" s="88"/>
      <c r="X453" s="88"/>
      <c r="Y453" s="88"/>
      <c r="Z453" s="88"/>
      <c r="AA453" s="88"/>
    </row>
    <row r="454" spans="1:27" ht="13.2">
      <c r="A454" s="88"/>
      <c r="B454" s="88"/>
      <c r="C454" s="88"/>
      <c r="D454" s="88"/>
      <c r="E454" s="88"/>
      <c r="F454" s="88"/>
      <c r="G454" s="88"/>
      <c r="H454" s="88"/>
      <c r="I454" s="88"/>
      <c r="J454" s="88"/>
      <c r="K454" s="88"/>
      <c r="L454" s="88"/>
      <c r="M454" s="88"/>
      <c r="N454" s="88"/>
      <c r="O454" s="88"/>
      <c r="P454" s="88"/>
      <c r="Q454" s="88"/>
      <c r="R454" s="88"/>
      <c r="S454" s="88"/>
      <c r="T454" s="88"/>
      <c r="U454" s="88"/>
      <c r="V454" s="88"/>
      <c r="W454" s="88"/>
      <c r="X454" s="88"/>
      <c r="Y454" s="88"/>
      <c r="Z454" s="88"/>
      <c r="AA454" s="88"/>
    </row>
    <row r="455" spans="1:27" ht="13.2">
      <c r="A455" s="88"/>
      <c r="B455" s="88"/>
      <c r="C455" s="88"/>
      <c r="D455" s="88"/>
      <c r="E455" s="88"/>
      <c r="F455" s="88"/>
      <c r="G455" s="88"/>
      <c r="H455" s="88"/>
      <c r="I455" s="88"/>
      <c r="J455" s="88"/>
      <c r="K455" s="88"/>
      <c r="L455" s="88"/>
      <c r="M455" s="88"/>
      <c r="N455" s="88"/>
      <c r="O455" s="88"/>
      <c r="P455" s="88"/>
      <c r="Q455" s="88"/>
      <c r="R455" s="88"/>
      <c r="S455" s="88"/>
      <c r="T455" s="88"/>
      <c r="U455" s="88"/>
      <c r="V455" s="88"/>
      <c r="W455" s="88"/>
      <c r="X455" s="88"/>
      <c r="Y455" s="88"/>
      <c r="Z455" s="88"/>
      <c r="AA455" s="88"/>
    </row>
    <row r="456" spans="1:27" ht="13.2">
      <c r="A456" s="88"/>
      <c r="B456" s="88"/>
      <c r="C456" s="88"/>
      <c r="D456" s="88"/>
      <c r="E456" s="88"/>
      <c r="F456" s="88"/>
      <c r="G456" s="88"/>
      <c r="H456" s="88"/>
      <c r="I456" s="88"/>
      <c r="J456" s="88"/>
      <c r="K456" s="88"/>
      <c r="L456" s="88"/>
      <c r="M456" s="88"/>
      <c r="N456" s="88"/>
      <c r="O456" s="88"/>
      <c r="P456" s="88"/>
      <c r="Q456" s="88"/>
      <c r="R456" s="88"/>
      <c r="S456" s="88"/>
      <c r="T456" s="88"/>
      <c r="U456" s="88"/>
      <c r="V456" s="88"/>
      <c r="W456" s="88"/>
      <c r="X456" s="88"/>
      <c r="Y456" s="88"/>
      <c r="Z456" s="88"/>
      <c r="AA456" s="88"/>
    </row>
    <row r="457" spans="1:27" ht="13.2">
      <c r="A457" s="88"/>
      <c r="B457" s="88"/>
      <c r="C457" s="88"/>
      <c r="D457" s="88"/>
      <c r="E457" s="88"/>
      <c r="F457" s="88"/>
      <c r="G457" s="88"/>
      <c r="H457" s="88"/>
      <c r="I457" s="88"/>
      <c r="J457" s="88"/>
      <c r="K457" s="88"/>
      <c r="L457" s="88"/>
      <c r="M457" s="88"/>
      <c r="N457" s="88"/>
      <c r="O457" s="88"/>
      <c r="P457" s="88"/>
      <c r="Q457" s="88"/>
      <c r="R457" s="88"/>
      <c r="S457" s="88"/>
      <c r="T457" s="88"/>
      <c r="U457" s="88"/>
      <c r="V457" s="88"/>
      <c r="W457" s="88"/>
      <c r="X457" s="88"/>
      <c r="Y457" s="88"/>
      <c r="Z457" s="88"/>
      <c r="AA457" s="88"/>
    </row>
    <row r="458" spans="1:27" ht="13.2">
      <c r="A458" s="88"/>
      <c r="B458" s="88"/>
      <c r="C458" s="88"/>
      <c r="D458" s="88"/>
      <c r="E458" s="88"/>
      <c r="F458" s="88"/>
      <c r="G458" s="88"/>
      <c r="H458" s="88"/>
      <c r="I458" s="88"/>
      <c r="J458" s="88"/>
      <c r="K458" s="88"/>
      <c r="L458" s="88"/>
      <c r="M458" s="88"/>
      <c r="N458" s="88"/>
      <c r="O458" s="88"/>
      <c r="P458" s="88"/>
      <c r="Q458" s="88"/>
      <c r="R458" s="88"/>
      <c r="S458" s="88"/>
      <c r="T458" s="88"/>
      <c r="U458" s="88"/>
      <c r="V458" s="88"/>
      <c r="W458" s="88"/>
      <c r="X458" s="88"/>
      <c r="Y458" s="88"/>
      <c r="Z458" s="88"/>
      <c r="AA458" s="88"/>
    </row>
    <row r="459" spans="1:27" ht="13.2">
      <c r="A459" s="88"/>
      <c r="B459" s="88"/>
      <c r="C459" s="88"/>
      <c r="D459" s="88"/>
      <c r="E459" s="88"/>
      <c r="F459" s="88"/>
      <c r="G459" s="88"/>
      <c r="H459" s="88"/>
      <c r="I459" s="88"/>
      <c r="J459" s="88"/>
      <c r="K459" s="88"/>
      <c r="L459" s="88"/>
      <c r="M459" s="88"/>
      <c r="N459" s="88"/>
      <c r="O459" s="88"/>
      <c r="P459" s="88"/>
      <c r="Q459" s="88"/>
      <c r="R459" s="88"/>
      <c r="S459" s="88"/>
      <c r="T459" s="88"/>
      <c r="U459" s="88"/>
      <c r="V459" s="88"/>
      <c r="W459" s="88"/>
      <c r="X459" s="88"/>
      <c r="Y459" s="88"/>
      <c r="Z459" s="88"/>
      <c r="AA459" s="88"/>
    </row>
    <row r="460" spans="1:27" ht="13.2">
      <c r="A460" s="88"/>
      <c r="B460" s="88"/>
      <c r="C460" s="88"/>
      <c r="D460" s="88"/>
      <c r="E460" s="88"/>
      <c r="F460" s="88"/>
      <c r="G460" s="88"/>
      <c r="H460" s="88"/>
      <c r="I460" s="88"/>
      <c r="J460" s="88"/>
      <c r="K460" s="88"/>
      <c r="L460" s="88"/>
      <c r="M460" s="88"/>
      <c r="N460" s="88"/>
      <c r="O460" s="88"/>
      <c r="P460" s="88"/>
      <c r="Q460" s="88"/>
      <c r="R460" s="88"/>
      <c r="S460" s="88"/>
      <c r="T460" s="88"/>
      <c r="U460" s="88"/>
      <c r="V460" s="88"/>
      <c r="W460" s="88"/>
      <c r="X460" s="88"/>
      <c r="Y460" s="88"/>
      <c r="Z460" s="88"/>
      <c r="AA460" s="88"/>
    </row>
    <row r="461" spans="1:27" ht="13.2">
      <c r="A461" s="88"/>
      <c r="B461" s="88"/>
      <c r="C461" s="88"/>
      <c r="D461" s="88"/>
      <c r="E461" s="88"/>
      <c r="F461" s="88"/>
      <c r="G461" s="88"/>
      <c r="H461" s="88"/>
      <c r="I461" s="88"/>
      <c r="J461" s="88"/>
      <c r="K461" s="88"/>
      <c r="L461" s="88"/>
      <c r="M461" s="88"/>
      <c r="N461" s="88"/>
      <c r="O461" s="88"/>
      <c r="P461" s="88"/>
      <c r="Q461" s="88"/>
      <c r="R461" s="88"/>
      <c r="S461" s="88"/>
      <c r="T461" s="88"/>
      <c r="U461" s="88"/>
      <c r="V461" s="88"/>
      <c r="W461" s="88"/>
      <c r="X461" s="88"/>
      <c r="Y461" s="88"/>
      <c r="Z461" s="88"/>
      <c r="AA461" s="88"/>
    </row>
    <row r="462" spans="1:27" ht="13.2">
      <c r="A462" s="88"/>
      <c r="B462" s="88"/>
      <c r="C462" s="88"/>
      <c r="D462" s="88"/>
      <c r="E462" s="88"/>
      <c r="F462" s="88"/>
      <c r="G462" s="88"/>
      <c r="H462" s="88"/>
      <c r="I462" s="88"/>
      <c r="J462" s="88"/>
      <c r="K462" s="88"/>
      <c r="L462" s="88"/>
      <c r="M462" s="88"/>
      <c r="N462" s="88"/>
      <c r="O462" s="88"/>
      <c r="P462" s="88"/>
      <c r="Q462" s="88"/>
      <c r="R462" s="88"/>
      <c r="S462" s="88"/>
      <c r="T462" s="88"/>
      <c r="U462" s="88"/>
      <c r="V462" s="88"/>
      <c r="W462" s="88"/>
      <c r="X462" s="88"/>
      <c r="Y462" s="88"/>
      <c r="Z462" s="88"/>
      <c r="AA462" s="88"/>
    </row>
    <row r="463" spans="1:27" ht="13.2">
      <c r="A463" s="88"/>
      <c r="B463" s="88"/>
      <c r="C463" s="88"/>
      <c r="D463" s="88"/>
      <c r="E463" s="88"/>
      <c r="F463" s="88"/>
      <c r="G463" s="88"/>
      <c r="H463" s="88"/>
      <c r="I463" s="88"/>
      <c r="J463" s="88"/>
      <c r="K463" s="88"/>
      <c r="L463" s="88"/>
      <c r="M463" s="88"/>
      <c r="N463" s="88"/>
      <c r="O463" s="88"/>
      <c r="P463" s="88"/>
      <c r="Q463" s="88"/>
      <c r="R463" s="88"/>
      <c r="S463" s="88"/>
      <c r="T463" s="88"/>
      <c r="U463" s="88"/>
      <c r="V463" s="88"/>
      <c r="W463" s="88"/>
      <c r="X463" s="88"/>
      <c r="Y463" s="88"/>
      <c r="Z463" s="88"/>
      <c r="AA463" s="88"/>
    </row>
    <row r="464" spans="1:27" ht="13.2">
      <c r="A464" s="88"/>
      <c r="B464" s="88"/>
      <c r="C464" s="88"/>
      <c r="D464" s="88"/>
      <c r="E464" s="88"/>
      <c r="F464" s="88"/>
      <c r="G464" s="88"/>
      <c r="H464" s="88"/>
      <c r="I464" s="88"/>
      <c r="J464" s="88"/>
      <c r="K464" s="88"/>
      <c r="L464" s="88"/>
      <c r="M464" s="88"/>
      <c r="N464" s="88"/>
      <c r="O464" s="88"/>
      <c r="P464" s="88"/>
      <c r="Q464" s="88"/>
      <c r="R464" s="88"/>
      <c r="S464" s="88"/>
      <c r="T464" s="88"/>
      <c r="U464" s="88"/>
      <c r="V464" s="88"/>
      <c r="W464" s="88"/>
      <c r="X464" s="88"/>
      <c r="Y464" s="88"/>
      <c r="Z464" s="88"/>
      <c r="AA464" s="88"/>
    </row>
    <row r="465" spans="1:27" ht="13.2">
      <c r="A465" s="88"/>
      <c r="B465" s="88"/>
      <c r="C465" s="88"/>
      <c r="D465" s="88"/>
      <c r="E465" s="88"/>
      <c r="F465" s="88"/>
      <c r="G465" s="88"/>
      <c r="H465" s="88"/>
      <c r="I465" s="88"/>
      <c r="J465" s="88"/>
      <c r="K465" s="88"/>
      <c r="L465" s="88"/>
      <c r="M465" s="88"/>
      <c r="N465" s="88"/>
      <c r="O465" s="88"/>
      <c r="P465" s="88"/>
      <c r="Q465" s="88"/>
      <c r="R465" s="88"/>
      <c r="S465" s="88"/>
      <c r="T465" s="88"/>
      <c r="U465" s="88"/>
      <c r="V465" s="88"/>
      <c r="W465" s="88"/>
      <c r="X465" s="88"/>
      <c r="Y465" s="88"/>
      <c r="Z465" s="88"/>
      <c r="AA465" s="88"/>
    </row>
    <row r="466" spans="1:27" ht="13.2">
      <c r="A466" s="88"/>
      <c r="B466" s="88"/>
      <c r="C466" s="88"/>
      <c r="D466" s="88"/>
      <c r="E466" s="88"/>
      <c r="F466" s="88"/>
      <c r="G466" s="88"/>
      <c r="H466" s="88"/>
      <c r="I466" s="88"/>
      <c r="J466" s="88"/>
      <c r="K466" s="88"/>
      <c r="L466" s="88"/>
      <c r="M466" s="88"/>
      <c r="N466" s="88"/>
      <c r="O466" s="88"/>
      <c r="P466" s="88"/>
      <c r="Q466" s="88"/>
      <c r="R466" s="88"/>
      <c r="S466" s="88"/>
      <c r="T466" s="88"/>
      <c r="U466" s="88"/>
      <c r="V466" s="88"/>
      <c r="W466" s="88"/>
      <c r="X466" s="88"/>
      <c r="Y466" s="88"/>
      <c r="Z466" s="88"/>
      <c r="AA466" s="88"/>
    </row>
    <row r="467" spans="1:27" ht="13.2">
      <c r="A467" s="88"/>
      <c r="B467" s="88"/>
      <c r="C467" s="88"/>
      <c r="D467" s="88"/>
      <c r="E467" s="88"/>
      <c r="F467" s="88"/>
      <c r="G467" s="88"/>
      <c r="H467" s="88"/>
      <c r="I467" s="88"/>
      <c r="J467" s="88"/>
      <c r="K467" s="88"/>
      <c r="L467" s="88"/>
      <c r="M467" s="88"/>
      <c r="N467" s="88"/>
      <c r="O467" s="88"/>
      <c r="P467" s="88"/>
      <c r="Q467" s="88"/>
      <c r="R467" s="88"/>
      <c r="S467" s="88"/>
      <c r="T467" s="88"/>
      <c r="U467" s="88"/>
      <c r="V467" s="88"/>
      <c r="W467" s="88"/>
      <c r="X467" s="88"/>
      <c r="Y467" s="88"/>
      <c r="Z467" s="88"/>
      <c r="AA467" s="88"/>
    </row>
    <row r="468" spans="1:27" ht="13.2">
      <c r="A468" s="88"/>
      <c r="B468" s="88"/>
      <c r="C468" s="88"/>
      <c r="D468" s="88"/>
      <c r="E468" s="88"/>
      <c r="F468" s="88"/>
      <c r="G468" s="88"/>
      <c r="H468" s="88"/>
      <c r="I468" s="88"/>
      <c r="J468" s="88"/>
      <c r="K468" s="88"/>
      <c r="L468" s="88"/>
      <c r="M468" s="88"/>
      <c r="N468" s="88"/>
      <c r="O468" s="88"/>
      <c r="P468" s="88"/>
      <c r="Q468" s="88"/>
      <c r="R468" s="88"/>
      <c r="S468" s="88"/>
      <c r="T468" s="88"/>
      <c r="U468" s="88"/>
      <c r="V468" s="88"/>
      <c r="W468" s="88"/>
      <c r="X468" s="88"/>
      <c r="Y468" s="88"/>
      <c r="Z468" s="88"/>
      <c r="AA468" s="88"/>
    </row>
    <row r="469" spans="1:27" ht="13.2">
      <c r="A469" s="88"/>
      <c r="B469" s="88"/>
      <c r="C469" s="88"/>
      <c r="D469" s="88"/>
      <c r="E469" s="88"/>
      <c r="F469" s="88"/>
      <c r="G469" s="88"/>
      <c r="H469" s="88"/>
      <c r="I469" s="88"/>
      <c r="J469" s="88"/>
      <c r="K469" s="88"/>
      <c r="L469" s="88"/>
      <c r="M469" s="88"/>
      <c r="N469" s="88"/>
      <c r="O469" s="88"/>
      <c r="P469" s="88"/>
      <c r="Q469" s="88"/>
      <c r="R469" s="88"/>
      <c r="S469" s="88"/>
      <c r="T469" s="88"/>
      <c r="U469" s="88"/>
      <c r="V469" s="88"/>
      <c r="W469" s="88"/>
      <c r="X469" s="88"/>
      <c r="Y469" s="88"/>
      <c r="Z469" s="88"/>
      <c r="AA469" s="88"/>
    </row>
    <row r="470" spans="1:27" ht="13.2">
      <c r="A470" s="88"/>
      <c r="B470" s="88"/>
      <c r="C470" s="88"/>
      <c r="D470" s="88"/>
      <c r="E470" s="88"/>
      <c r="F470" s="88"/>
      <c r="G470" s="88"/>
      <c r="H470" s="88"/>
      <c r="I470" s="88"/>
      <c r="J470" s="88"/>
      <c r="K470" s="88"/>
      <c r="L470" s="88"/>
      <c r="M470" s="88"/>
      <c r="N470" s="88"/>
      <c r="O470" s="88"/>
      <c r="P470" s="88"/>
      <c r="Q470" s="88"/>
      <c r="R470" s="88"/>
      <c r="S470" s="88"/>
      <c r="T470" s="88"/>
      <c r="U470" s="88"/>
      <c r="V470" s="88"/>
      <c r="W470" s="88"/>
      <c r="X470" s="88"/>
      <c r="Y470" s="88"/>
      <c r="Z470" s="88"/>
      <c r="AA470" s="88"/>
    </row>
    <row r="471" spans="1:27" ht="13.2">
      <c r="A471" s="88"/>
      <c r="B471" s="88"/>
      <c r="C471" s="88"/>
      <c r="D471" s="88"/>
      <c r="E471" s="88"/>
      <c r="F471" s="88"/>
      <c r="G471" s="88"/>
      <c r="H471" s="88"/>
      <c r="I471" s="88"/>
      <c r="J471" s="88"/>
      <c r="K471" s="88"/>
      <c r="L471" s="88"/>
      <c r="M471" s="88"/>
      <c r="N471" s="88"/>
      <c r="O471" s="88"/>
      <c r="P471" s="88"/>
      <c r="Q471" s="88"/>
      <c r="R471" s="88"/>
      <c r="S471" s="88"/>
      <c r="T471" s="88"/>
      <c r="U471" s="88"/>
      <c r="V471" s="88"/>
      <c r="W471" s="88"/>
      <c r="X471" s="88"/>
      <c r="Y471" s="88"/>
      <c r="Z471" s="88"/>
      <c r="AA471" s="88"/>
    </row>
    <row r="472" spans="1:27" ht="13.2">
      <c r="A472" s="88"/>
      <c r="B472" s="88"/>
      <c r="C472" s="88"/>
      <c r="D472" s="88"/>
      <c r="E472" s="88"/>
      <c r="F472" s="88"/>
      <c r="G472" s="88"/>
      <c r="H472" s="88"/>
      <c r="I472" s="88"/>
      <c r="J472" s="88"/>
      <c r="K472" s="88"/>
      <c r="L472" s="88"/>
      <c r="M472" s="88"/>
      <c r="N472" s="88"/>
      <c r="O472" s="88"/>
      <c r="P472" s="88"/>
      <c r="Q472" s="88"/>
      <c r="R472" s="88"/>
      <c r="S472" s="88"/>
      <c r="T472" s="88"/>
      <c r="U472" s="88"/>
      <c r="V472" s="88"/>
      <c r="W472" s="88"/>
      <c r="X472" s="88"/>
      <c r="Y472" s="88"/>
      <c r="Z472" s="88"/>
      <c r="AA472" s="88"/>
    </row>
    <row r="473" spans="1:27" ht="13.2">
      <c r="A473" s="88"/>
      <c r="B473" s="88"/>
      <c r="C473" s="88"/>
      <c r="D473" s="88"/>
      <c r="E473" s="88"/>
      <c r="F473" s="88"/>
      <c r="G473" s="88"/>
      <c r="H473" s="88"/>
      <c r="I473" s="88"/>
      <c r="J473" s="88"/>
      <c r="K473" s="88"/>
      <c r="L473" s="88"/>
      <c r="M473" s="88"/>
      <c r="N473" s="88"/>
      <c r="O473" s="88"/>
      <c r="P473" s="88"/>
      <c r="Q473" s="88"/>
      <c r="R473" s="88"/>
      <c r="S473" s="88"/>
      <c r="T473" s="88"/>
      <c r="U473" s="88"/>
      <c r="V473" s="88"/>
      <c r="W473" s="88"/>
      <c r="X473" s="88"/>
      <c r="Y473" s="88"/>
      <c r="Z473" s="88"/>
      <c r="AA473" s="88"/>
    </row>
    <row r="474" spans="1:27" ht="13.2">
      <c r="A474" s="88"/>
      <c r="B474" s="88"/>
      <c r="C474" s="88"/>
      <c r="D474" s="88"/>
      <c r="E474" s="88"/>
      <c r="F474" s="88"/>
      <c r="G474" s="88"/>
      <c r="H474" s="88"/>
      <c r="I474" s="88"/>
      <c r="J474" s="88"/>
      <c r="K474" s="88"/>
      <c r="L474" s="88"/>
      <c r="M474" s="88"/>
      <c r="N474" s="88"/>
      <c r="O474" s="88"/>
      <c r="P474" s="88"/>
      <c r="Q474" s="88"/>
      <c r="R474" s="88"/>
      <c r="S474" s="88"/>
      <c r="T474" s="88"/>
      <c r="U474" s="88"/>
      <c r="V474" s="88"/>
      <c r="W474" s="88"/>
      <c r="X474" s="88"/>
      <c r="Y474" s="88"/>
      <c r="Z474" s="88"/>
      <c r="AA474" s="88"/>
    </row>
    <row r="475" spans="1:27" ht="13.2">
      <c r="A475" s="88"/>
      <c r="B475" s="88"/>
      <c r="C475" s="88"/>
      <c r="D475" s="88"/>
      <c r="E475" s="88"/>
      <c r="F475" s="88"/>
      <c r="G475" s="88"/>
      <c r="H475" s="88"/>
      <c r="I475" s="88"/>
      <c r="J475" s="88"/>
      <c r="K475" s="88"/>
      <c r="L475" s="88"/>
      <c r="M475" s="88"/>
      <c r="N475" s="88"/>
      <c r="O475" s="88"/>
      <c r="P475" s="88"/>
      <c r="Q475" s="88"/>
      <c r="R475" s="88"/>
      <c r="S475" s="88"/>
      <c r="T475" s="88"/>
      <c r="U475" s="88"/>
      <c r="V475" s="88"/>
      <c r="W475" s="88"/>
      <c r="X475" s="88"/>
      <c r="Y475" s="88"/>
      <c r="Z475" s="88"/>
      <c r="AA475" s="88"/>
    </row>
    <row r="476" spans="1:27" ht="13.2">
      <c r="A476" s="88"/>
      <c r="B476" s="88"/>
      <c r="C476" s="88"/>
      <c r="D476" s="88"/>
      <c r="E476" s="88"/>
      <c r="F476" s="88"/>
      <c r="G476" s="88"/>
      <c r="H476" s="88"/>
      <c r="I476" s="88"/>
      <c r="J476" s="88"/>
      <c r="K476" s="88"/>
      <c r="L476" s="88"/>
      <c r="M476" s="88"/>
      <c r="N476" s="88"/>
      <c r="O476" s="88"/>
      <c r="P476" s="88"/>
      <c r="Q476" s="88"/>
      <c r="R476" s="88"/>
      <c r="S476" s="88"/>
      <c r="T476" s="88"/>
      <c r="U476" s="88"/>
      <c r="V476" s="88"/>
      <c r="W476" s="88"/>
      <c r="X476" s="88"/>
      <c r="Y476" s="88"/>
      <c r="Z476" s="88"/>
      <c r="AA476" s="88"/>
    </row>
    <row r="477" spans="1:27" ht="13.2">
      <c r="A477" s="88"/>
      <c r="B477" s="88"/>
      <c r="C477" s="88"/>
      <c r="D477" s="88"/>
      <c r="E477" s="88"/>
      <c r="F477" s="88"/>
      <c r="G477" s="88"/>
      <c r="H477" s="88"/>
      <c r="I477" s="88"/>
      <c r="J477" s="88"/>
      <c r="K477" s="88"/>
      <c r="L477" s="88"/>
      <c r="M477" s="88"/>
      <c r="N477" s="88"/>
      <c r="O477" s="88"/>
      <c r="P477" s="88"/>
      <c r="Q477" s="88"/>
      <c r="R477" s="88"/>
      <c r="S477" s="88"/>
      <c r="T477" s="88"/>
      <c r="U477" s="88"/>
      <c r="V477" s="88"/>
      <c r="W477" s="88"/>
      <c r="X477" s="88"/>
      <c r="Y477" s="88"/>
      <c r="Z477" s="88"/>
      <c r="AA477" s="88"/>
    </row>
    <row r="478" spans="1:27" ht="13.2">
      <c r="A478" s="88"/>
      <c r="B478" s="88"/>
      <c r="C478" s="88"/>
      <c r="D478" s="88"/>
      <c r="E478" s="88"/>
      <c r="F478" s="88"/>
      <c r="G478" s="88"/>
      <c r="H478" s="88"/>
      <c r="I478" s="88"/>
      <c r="J478" s="88"/>
      <c r="K478" s="88"/>
      <c r="L478" s="88"/>
      <c r="M478" s="88"/>
      <c r="N478" s="88"/>
      <c r="O478" s="88"/>
      <c r="P478" s="88"/>
      <c r="Q478" s="88"/>
      <c r="R478" s="88"/>
      <c r="S478" s="88"/>
      <c r="T478" s="88"/>
      <c r="U478" s="88"/>
      <c r="V478" s="88"/>
      <c r="W478" s="88"/>
      <c r="X478" s="88"/>
      <c r="Y478" s="88"/>
      <c r="Z478" s="88"/>
      <c r="AA478" s="88"/>
    </row>
    <row r="479" spans="1:27" ht="13.2">
      <c r="A479" s="88"/>
      <c r="B479" s="88"/>
      <c r="C479" s="88"/>
      <c r="D479" s="88"/>
      <c r="E479" s="88"/>
      <c r="F479" s="88"/>
      <c r="G479" s="88"/>
      <c r="H479" s="88"/>
      <c r="I479" s="88"/>
      <c r="J479" s="88"/>
      <c r="K479" s="88"/>
      <c r="L479" s="88"/>
      <c r="M479" s="88"/>
      <c r="N479" s="88"/>
      <c r="O479" s="88"/>
      <c r="P479" s="88"/>
      <c r="Q479" s="88"/>
      <c r="R479" s="88"/>
      <c r="S479" s="88"/>
      <c r="T479" s="88"/>
      <c r="U479" s="88"/>
      <c r="V479" s="88"/>
      <c r="W479" s="88"/>
      <c r="X479" s="88"/>
      <c r="Y479" s="88"/>
      <c r="Z479" s="88"/>
      <c r="AA479" s="88"/>
    </row>
    <row r="480" spans="1:27" ht="13.2">
      <c r="A480" s="88"/>
      <c r="B480" s="88"/>
      <c r="C480" s="88"/>
      <c r="D480" s="88"/>
      <c r="E480" s="88"/>
      <c r="F480" s="88"/>
      <c r="G480" s="88"/>
      <c r="H480" s="88"/>
      <c r="I480" s="88"/>
      <c r="J480" s="88"/>
      <c r="K480" s="88"/>
      <c r="L480" s="88"/>
      <c r="M480" s="88"/>
      <c r="N480" s="88"/>
      <c r="O480" s="88"/>
      <c r="P480" s="88"/>
      <c r="Q480" s="88"/>
      <c r="R480" s="88"/>
      <c r="S480" s="88"/>
      <c r="T480" s="88"/>
      <c r="U480" s="88"/>
      <c r="V480" s="88"/>
      <c r="W480" s="88"/>
      <c r="X480" s="88"/>
      <c r="Y480" s="88"/>
      <c r="Z480" s="88"/>
      <c r="AA480" s="88"/>
    </row>
    <row r="481" spans="1:27" ht="13.2">
      <c r="A481" s="88"/>
      <c r="B481" s="88"/>
      <c r="C481" s="88"/>
      <c r="D481" s="88"/>
      <c r="E481" s="88"/>
      <c r="F481" s="88"/>
      <c r="G481" s="88"/>
      <c r="H481" s="88"/>
      <c r="I481" s="88"/>
      <c r="J481" s="88"/>
      <c r="K481" s="88"/>
      <c r="L481" s="88"/>
      <c r="M481" s="88"/>
      <c r="N481" s="88"/>
      <c r="O481" s="88"/>
      <c r="P481" s="88"/>
      <c r="Q481" s="88"/>
      <c r="R481" s="88"/>
      <c r="S481" s="88"/>
      <c r="T481" s="88"/>
      <c r="U481" s="88"/>
      <c r="V481" s="88"/>
      <c r="W481" s="88"/>
      <c r="X481" s="88"/>
      <c r="Y481" s="88"/>
      <c r="Z481" s="88"/>
      <c r="AA481" s="88"/>
    </row>
    <row r="482" spans="1:27" ht="13.2">
      <c r="A482" s="88"/>
      <c r="B482" s="88"/>
      <c r="C482" s="88"/>
      <c r="D482" s="88"/>
      <c r="E482" s="88"/>
      <c r="F482" s="88"/>
      <c r="G482" s="88"/>
      <c r="H482" s="88"/>
      <c r="I482" s="88"/>
      <c r="J482" s="88"/>
      <c r="K482" s="88"/>
      <c r="L482" s="88"/>
      <c r="M482" s="88"/>
      <c r="N482" s="88"/>
      <c r="O482" s="88"/>
      <c r="P482" s="88"/>
      <c r="Q482" s="88"/>
      <c r="R482" s="88"/>
      <c r="S482" s="88"/>
      <c r="T482" s="88"/>
      <c r="U482" s="88"/>
      <c r="V482" s="88"/>
      <c r="W482" s="88"/>
      <c r="X482" s="88"/>
      <c r="Y482" s="88"/>
      <c r="Z482" s="88"/>
      <c r="AA482" s="88"/>
    </row>
    <row r="483" spans="1:27" ht="13.2">
      <c r="A483" s="88"/>
      <c r="B483" s="88"/>
      <c r="C483" s="88"/>
      <c r="D483" s="88"/>
      <c r="E483" s="88"/>
      <c r="F483" s="88"/>
      <c r="G483" s="88"/>
      <c r="H483" s="88"/>
      <c r="I483" s="88"/>
      <c r="J483" s="88"/>
      <c r="K483" s="88"/>
      <c r="L483" s="88"/>
      <c r="M483" s="88"/>
      <c r="N483" s="88"/>
      <c r="O483" s="88"/>
      <c r="P483" s="88"/>
      <c r="Q483" s="88"/>
      <c r="R483" s="88"/>
      <c r="S483" s="88"/>
      <c r="T483" s="88"/>
      <c r="U483" s="88"/>
      <c r="V483" s="88"/>
      <c r="W483" s="88"/>
      <c r="X483" s="88"/>
      <c r="Y483" s="88"/>
      <c r="Z483" s="88"/>
      <c r="AA483" s="88"/>
    </row>
    <row r="484" spans="1:27" ht="13.2">
      <c r="A484" s="88"/>
      <c r="B484" s="88"/>
      <c r="C484" s="88"/>
      <c r="D484" s="88"/>
      <c r="E484" s="88"/>
      <c r="F484" s="88"/>
      <c r="G484" s="88"/>
      <c r="H484" s="88"/>
      <c r="I484" s="88"/>
      <c r="J484" s="88"/>
      <c r="K484" s="88"/>
      <c r="L484" s="88"/>
      <c r="M484" s="88"/>
      <c r="N484" s="88"/>
      <c r="O484" s="88"/>
      <c r="P484" s="88"/>
      <c r="Q484" s="88"/>
      <c r="R484" s="88"/>
      <c r="S484" s="88"/>
      <c r="T484" s="88"/>
      <c r="U484" s="88"/>
      <c r="V484" s="88"/>
      <c r="W484" s="88"/>
      <c r="X484" s="88"/>
      <c r="Y484" s="88"/>
      <c r="Z484" s="88"/>
      <c r="AA484" s="88"/>
    </row>
    <row r="485" spans="1:27" ht="13.2">
      <c r="A485" s="88"/>
      <c r="B485" s="88"/>
      <c r="C485" s="88"/>
      <c r="D485" s="88"/>
      <c r="E485" s="88"/>
      <c r="F485" s="88"/>
      <c r="G485" s="88"/>
      <c r="H485" s="88"/>
      <c r="I485" s="88"/>
      <c r="J485" s="88"/>
      <c r="K485" s="88"/>
      <c r="L485" s="88"/>
      <c r="M485" s="88"/>
      <c r="N485" s="88"/>
      <c r="O485" s="88"/>
      <c r="P485" s="88"/>
      <c r="Q485" s="88"/>
      <c r="R485" s="88"/>
      <c r="S485" s="88"/>
      <c r="T485" s="88"/>
      <c r="U485" s="88"/>
      <c r="V485" s="88"/>
      <c r="W485" s="88"/>
      <c r="X485" s="88"/>
      <c r="Y485" s="88"/>
      <c r="Z485" s="88"/>
      <c r="AA485" s="88"/>
    </row>
    <row r="486" spans="1:27" ht="13.2">
      <c r="A486" s="88"/>
      <c r="B486" s="88"/>
      <c r="C486" s="88"/>
      <c r="D486" s="88"/>
      <c r="E486" s="88"/>
      <c r="F486" s="88"/>
      <c r="G486" s="88"/>
      <c r="H486" s="88"/>
      <c r="I486" s="88"/>
      <c r="J486" s="88"/>
      <c r="K486" s="88"/>
      <c r="L486" s="88"/>
      <c r="M486" s="88"/>
      <c r="N486" s="88"/>
      <c r="O486" s="88"/>
      <c r="P486" s="88"/>
      <c r="Q486" s="88"/>
      <c r="R486" s="88"/>
      <c r="S486" s="88"/>
      <c r="T486" s="88"/>
      <c r="U486" s="88"/>
      <c r="V486" s="88"/>
      <c r="W486" s="88"/>
      <c r="X486" s="88"/>
      <c r="Y486" s="88"/>
      <c r="Z486" s="88"/>
      <c r="AA486" s="88"/>
    </row>
    <row r="487" spans="1:27" ht="13.2">
      <c r="A487" s="88"/>
      <c r="B487" s="88"/>
      <c r="C487" s="88"/>
      <c r="D487" s="88"/>
      <c r="E487" s="88"/>
      <c r="F487" s="88"/>
      <c r="G487" s="88"/>
      <c r="H487" s="88"/>
      <c r="I487" s="88"/>
      <c r="J487" s="88"/>
      <c r="K487" s="88"/>
      <c r="L487" s="88"/>
      <c r="M487" s="88"/>
      <c r="N487" s="88"/>
      <c r="O487" s="88"/>
      <c r="P487" s="88"/>
      <c r="Q487" s="88"/>
      <c r="R487" s="88"/>
      <c r="S487" s="88"/>
      <c r="T487" s="88"/>
      <c r="U487" s="88"/>
      <c r="V487" s="88"/>
      <c r="W487" s="88"/>
      <c r="X487" s="88"/>
      <c r="Y487" s="88"/>
      <c r="Z487" s="88"/>
      <c r="AA487" s="88"/>
    </row>
    <row r="488" spans="1:27" ht="13.2">
      <c r="A488" s="88"/>
      <c r="B488" s="88"/>
      <c r="C488" s="88"/>
      <c r="D488" s="88"/>
      <c r="E488" s="88"/>
      <c r="F488" s="88"/>
      <c r="G488" s="88"/>
      <c r="H488" s="88"/>
      <c r="I488" s="88"/>
      <c r="J488" s="88"/>
      <c r="K488" s="88"/>
      <c r="L488" s="88"/>
      <c r="M488" s="88"/>
      <c r="N488" s="88"/>
      <c r="O488" s="88"/>
      <c r="P488" s="88"/>
      <c r="Q488" s="88"/>
      <c r="R488" s="88"/>
      <c r="S488" s="88"/>
      <c r="T488" s="88"/>
      <c r="U488" s="88"/>
      <c r="V488" s="88"/>
      <c r="W488" s="88"/>
      <c r="X488" s="88"/>
      <c r="Y488" s="88"/>
      <c r="Z488" s="88"/>
      <c r="AA488" s="88"/>
    </row>
    <row r="489" spans="1:27" ht="13.2">
      <c r="A489" s="88"/>
      <c r="B489" s="88"/>
      <c r="C489" s="88"/>
      <c r="D489" s="88"/>
      <c r="E489" s="88"/>
      <c r="F489" s="88"/>
      <c r="G489" s="88"/>
      <c r="H489" s="88"/>
      <c r="I489" s="88"/>
      <c r="J489" s="88"/>
      <c r="K489" s="88"/>
      <c r="L489" s="88"/>
      <c r="M489" s="88"/>
      <c r="N489" s="88"/>
      <c r="O489" s="88"/>
      <c r="P489" s="88"/>
      <c r="Q489" s="88"/>
      <c r="R489" s="88"/>
      <c r="S489" s="88"/>
      <c r="T489" s="88"/>
      <c r="U489" s="88"/>
      <c r="V489" s="88"/>
      <c r="W489" s="88"/>
      <c r="X489" s="88"/>
      <c r="Y489" s="88"/>
      <c r="Z489" s="88"/>
      <c r="AA489" s="88"/>
    </row>
    <row r="490" spans="1:27" ht="13.2">
      <c r="A490" s="88"/>
      <c r="B490" s="88"/>
      <c r="C490" s="88"/>
      <c r="D490" s="88"/>
      <c r="E490" s="88"/>
      <c r="F490" s="88"/>
      <c r="G490" s="88"/>
      <c r="H490" s="88"/>
      <c r="I490" s="88"/>
      <c r="J490" s="88"/>
      <c r="K490" s="88"/>
      <c r="L490" s="88"/>
      <c r="M490" s="88"/>
      <c r="N490" s="88"/>
      <c r="O490" s="88"/>
      <c r="P490" s="88"/>
      <c r="Q490" s="88"/>
      <c r="R490" s="88"/>
      <c r="S490" s="88"/>
      <c r="T490" s="88"/>
      <c r="U490" s="88"/>
      <c r="V490" s="88"/>
      <c r="W490" s="88"/>
      <c r="X490" s="88"/>
      <c r="Y490" s="88"/>
      <c r="Z490" s="88"/>
      <c r="AA490" s="88"/>
    </row>
    <row r="491" spans="1:27" ht="13.2">
      <c r="A491" s="88"/>
      <c r="B491" s="88"/>
      <c r="C491" s="88"/>
      <c r="D491" s="88"/>
      <c r="E491" s="88"/>
      <c r="F491" s="88"/>
      <c r="G491" s="88"/>
      <c r="H491" s="88"/>
      <c r="I491" s="88"/>
      <c r="J491" s="88"/>
      <c r="K491" s="88"/>
      <c r="L491" s="88"/>
      <c r="M491" s="88"/>
      <c r="N491" s="88"/>
      <c r="O491" s="88"/>
      <c r="P491" s="88"/>
      <c r="Q491" s="88"/>
      <c r="R491" s="88"/>
      <c r="S491" s="88"/>
      <c r="T491" s="88"/>
      <c r="U491" s="88"/>
      <c r="V491" s="88"/>
      <c r="W491" s="88"/>
      <c r="X491" s="88"/>
      <c r="Y491" s="88"/>
      <c r="Z491" s="88"/>
      <c r="AA491" s="88"/>
    </row>
    <row r="492" spans="1:27" ht="13.2">
      <c r="A492" s="88"/>
      <c r="B492" s="88"/>
      <c r="C492" s="88"/>
      <c r="D492" s="88"/>
      <c r="E492" s="88"/>
      <c r="F492" s="88"/>
      <c r="G492" s="88"/>
      <c r="H492" s="88"/>
      <c r="I492" s="88"/>
      <c r="J492" s="88"/>
      <c r="K492" s="88"/>
      <c r="L492" s="88"/>
      <c r="M492" s="88"/>
      <c r="N492" s="88"/>
      <c r="O492" s="88"/>
      <c r="P492" s="88"/>
      <c r="Q492" s="88"/>
      <c r="R492" s="88"/>
      <c r="S492" s="88"/>
      <c r="T492" s="88"/>
      <c r="U492" s="88"/>
      <c r="V492" s="88"/>
      <c r="W492" s="88"/>
      <c r="X492" s="88"/>
      <c r="Y492" s="88"/>
      <c r="Z492" s="88"/>
      <c r="AA492" s="88"/>
    </row>
    <row r="493" spans="1:27" ht="13.2">
      <c r="A493" s="88"/>
      <c r="B493" s="88"/>
      <c r="C493" s="88"/>
      <c r="D493" s="88"/>
      <c r="E493" s="88"/>
      <c r="F493" s="88"/>
      <c r="G493" s="88"/>
      <c r="H493" s="88"/>
      <c r="I493" s="88"/>
      <c r="J493" s="88"/>
      <c r="K493" s="88"/>
      <c r="L493" s="88"/>
      <c r="M493" s="88"/>
      <c r="N493" s="88"/>
      <c r="O493" s="88"/>
      <c r="P493" s="88"/>
      <c r="Q493" s="88"/>
      <c r="R493" s="88"/>
      <c r="S493" s="88"/>
      <c r="T493" s="88"/>
      <c r="U493" s="88"/>
      <c r="V493" s="88"/>
      <c r="W493" s="88"/>
      <c r="X493" s="88"/>
      <c r="Y493" s="88"/>
      <c r="Z493" s="88"/>
      <c r="AA493" s="88"/>
    </row>
    <row r="494" spans="1:27" ht="13.2">
      <c r="A494" s="88"/>
      <c r="B494" s="88"/>
      <c r="C494" s="88"/>
      <c r="D494" s="88"/>
      <c r="E494" s="88"/>
      <c r="F494" s="88"/>
      <c r="G494" s="88"/>
      <c r="H494" s="88"/>
      <c r="I494" s="88"/>
      <c r="J494" s="88"/>
      <c r="K494" s="88"/>
      <c r="L494" s="88"/>
      <c r="M494" s="88"/>
      <c r="N494" s="88"/>
      <c r="O494" s="88"/>
      <c r="P494" s="88"/>
      <c r="Q494" s="88"/>
      <c r="R494" s="88"/>
      <c r="S494" s="88"/>
      <c r="T494" s="88"/>
      <c r="U494" s="88"/>
      <c r="V494" s="88"/>
      <c r="W494" s="88"/>
      <c r="X494" s="88"/>
      <c r="Y494" s="88"/>
      <c r="Z494" s="88"/>
      <c r="AA494" s="88"/>
    </row>
    <row r="495" spans="1:27" ht="13.2">
      <c r="A495" s="88"/>
      <c r="B495" s="88"/>
      <c r="C495" s="88"/>
      <c r="D495" s="88"/>
      <c r="E495" s="88"/>
      <c r="F495" s="88"/>
      <c r="G495" s="88"/>
      <c r="H495" s="88"/>
      <c r="I495" s="88"/>
      <c r="J495" s="88"/>
      <c r="K495" s="88"/>
      <c r="L495" s="88"/>
      <c r="M495" s="88"/>
      <c r="N495" s="88"/>
      <c r="O495" s="88"/>
      <c r="P495" s="88"/>
      <c r="Q495" s="88"/>
      <c r="R495" s="88"/>
      <c r="S495" s="88"/>
      <c r="T495" s="88"/>
      <c r="U495" s="88"/>
      <c r="V495" s="88"/>
      <c r="W495" s="88"/>
      <c r="X495" s="88"/>
      <c r="Y495" s="88"/>
      <c r="Z495" s="88"/>
      <c r="AA495" s="88"/>
    </row>
    <row r="496" spans="1:27" ht="13.2">
      <c r="A496" s="88"/>
      <c r="B496" s="88"/>
      <c r="C496" s="88"/>
      <c r="D496" s="88"/>
      <c r="E496" s="88"/>
      <c r="F496" s="88"/>
      <c r="G496" s="88"/>
      <c r="H496" s="88"/>
      <c r="I496" s="88"/>
      <c r="J496" s="88"/>
      <c r="K496" s="88"/>
      <c r="L496" s="88"/>
      <c r="M496" s="88"/>
      <c r="N496" s="88"/>
      <c r="O496" s="88"/>
      <c r="P496" s="88"/>
      <c r="Q496" s="88"/>
      <c r="R496" s="88"/>
      <c r="S496" s="88"/>
      <c r="T496" s="88"/>
      <c r="U496" s="88"/>
      <c r="V496" s="88"/>
      <c r="W496" s="88"/>
      <c r="X496" s="88"/>
      <c r="Y496" s="88"/>
      <c r="Z496" s="88"/>
      <c r="AA496" s="88"/>
    </row>
    <row r="497" spans="1:27" ht="13.2">
      <c r="A497" s="88"/>
      <c r="B497" s="88"/>
      <c r="C497" s="88"/>
      <c r="D497" s="88"/>
      <c r="E497" s="88"/>
      <c r="F497" s="88"/>
      <c r="G497" s="88"/>
      <c r="H497" s="88"/>
      <c r="I497" s="88"/>
      <c r="J497" s="88"/>
      <c r="K497" s="88"/>
      <c r="L497" s="88"/>
      <c r="M497" s="88"/>
      <c r="N497" s="88"/>
      <c r="O497" s="88"/>
      <c r="P497" s="88"/>
      <c r="Q497" s="88"/>
      <c r="R497" s="88"/>
      <c r="S497" s="88"/>
      <c r="T497" s="88"/>
      <c r="U497" s="88"/>
      <c r="V497" s="88"/>
      <c r="W497" s="88"/>
      <c r="X497" s="88"/>
      <c r="Y497" s="88"/>
      <c r="Z497" s="88"/>
      <c r="AA497" s="88"/>
    </row>
    <row r="498" spans="1:27" ht="13.2">
      <c r="A498" s="88"/>
      <c r="B498" s="88"/>
      <c r="C498" s="88"/>
      <c r="D498" s="88"/>
      <c r="E498" s="88"/>
      <c r="F498" s="88"/>
      <c r="G498" s="88"/>
      <c r="H498" s="88"/>
      <c r="I498" s="88"/>
      <c r="J498" s="88"/>
      <c r="K498" s="88"/>
      <c r="L498" s="88"/>
      <c r="M498" s="88"/>
      <c r="N498" s="88"/>
      <c r="O498" s="88"/>
      <c r="P498" s="88"/>
      <c r="Q498" s="88"/>
      <c r="R498" s="88"/>
      <c r="S498" s="88"/>
      <c r="T498" s="88"/>
      <c r="U498" s="88"/>
      <c r="V498" s="88"/>
      <c r="W498" s="88"/>
      <c r="X498" s="88"/>
      <c r="Y498" s="88"/>
      <c r="Z498" s="88"/>
      <c r="AA498" s="88"/>
    </row>
    <row r="499" spans="1:27" ht="13.2">
      <c r="A499" s="88"/>
      <c r="B499" s="88"/>
      <c r="C499" s="88"/>
      <c r="D499" s="88"/>
      <c r="E499" s="88"/>
      <c r="F499" s="88"/>
      <c r="G499" s="88"/>
      <c r="H499" s="88"/>
      <c r="I499" s="88"/>
      <c r="J499" s="88"/>
      <c r="K499" s="88"/>
      <c r="L499" s="88"/>
      <c r="M499" s="88"/>
      <c r="N499" s="88"/>
      <c r="O499" s="88"/>
      <c r="P499" s="88"/>
      <c r="Q499" s="88"/>
      <c r="R499" s="88"/>
      <c r="S499" s="88"/>
      <c r="T499" s="88"/>
      <c r="U499" s="88"/>
      <c r="V499" s="88"/>
      <c r="W499" s="88"/>
      <c r="X499" s="88"/>
      <c r="Y499" s="88"/>
      <c r="Z499" s="88"/>
      <c r="AA499" s="88"/>
    </row>
    <row r="500" spans="1:27" ht="13.2">
      <c r="A500" s="88"/>
      <c r="B500" s="88"/>
      <c r="C500" s="88"/>
      <c r="D500" s="88"/>
      <c r="E500" s="88"/>
      <c r="F500" s="88"/>
      <c r="G500" s="88"/>
      <c r="H500" s="88"/>
      <c r="I500" s="88"/>
      <c r="J500" s="88"/>
      <c r="K500" s="88"/>
      <c r="L500" s="88"/>
      <c r="M500" s="88"/>
      <c r="N500" s="88"/>
      <c r="O500" s="88"/>
      <c r="P500" s="88"/>
      <c r="Q500" s="88"/>
      <c r="R500" s="88"/>
      <c r="S500" s="88"/>
      <c r="T500" s="88"/>
      <c r="U500" s="88"/>
      <c r="V500" s="88"/>
      <c r="W500" s="88"/>
      <c r="X500" s="88"/>
      <c r="Y500" s="88"/>
      <c r="Z500" s="88"/>
      <c r="AA500" s="88"/>
    </row>
    <row r="501" spans="1:27" ht="13.2">
      <c r="A501" s="88"/>
      <c r="B501" s="88"/>
      <c r="C501" s="88"/>
      <c r="D501" s="88"/>
      <c r="E501" s="88"/>
      <c r="F501" s="88"/>
      <c r="G501" s="88"/>
      <c r="H501" s="88"/>
      <c r="I501" s="88"/>
      <c r="J501" s="88"/>
      <c r="K501" s="88"/>
      <c r="L501" s="88"/>
      <c r="M501" s="88"/>
      <c r="N501" s="88"/>
      <c r="O501" s="88"/>
      <c r="P501" s="88"/>
      <c r="Q501" s="88"/>
      <c r="R501" s="88"/>
      <c r="S501" s="88"/>
      <c r="T501" s="88"/>
      <c r="U501" s="88"/>
      <c r="V501" s="88"/>
      <c r="W501" s="88"/>
      <c r="X501" s="88"/>
      <c r="Y501" s="88"/>
      <c r="Z501" s="88"/>
      <c r="AA501" s="88"/>
    </row>
    <row r="502" spans="1:27" ht="13.2">
      <c r="A502" s="88"/>
      <c r="B502" s="88"/>
      <c r="C502" s="88"/>
      <c r="D502" s="88"/>
      <c r="E502" s="88"/>
      <c r="F502" s="88"/>
      <c r="G502" s="88"/>
      <c r="H502" s="88"/>
      <c r="I502" s="88"/>
      <c r="J502" s="88"/>
      <c r="K502" s="88"/>
      <c r="L502" s="88"/>
      <c r="M502" s="88"/>
      <c r="N502" s="88"/>
      <c r="O502" s="88"/>
      <c r="P502" s="88"/>
      <c r="Q502" s="88"/>
      <c r="R502" s="88"/>
      <c r="S502" s="88"/>
      <c r="T502" s="88"/>
      <c r="U502" s="88"/>
      <c r="V502" s="88"/>
      <c r="W502" s="88"/>
      <c r="X502" s="88"/>
      <c r="Y502" s="88"/>
      <c r="Z502" s="88"/>
      <c r="AA502" s="88"/>
    </row>
    <row r="503" spans="1:27" ht="13.2">
      <c r="A503" s="88"/>
      <c r="B503" s="88"/>
      <c r="C503" s="88"/>
      <c r="D503" s="88"/>
      <c r="E503" s="88"/>
      <c r="F503" s="88"/>
      <c r="G503" s="88"/>
      <c r="H503" s="88"/>
      <c r="I503" s="88"/>
      <c r="J503" s="88"/>
      <c r="K503" s="88"/>
      <c r="L503" s="88"/>
      <c r="M503" s="88"/>
      <c r="N503" s="88"/>
      <c r="O503" s="88"/>
      <c r="P503" s="88"/>
      <c r="Q503" s="88"/>
      <c r="R503" s="88"/>
      <c r="S503" s="88"/>
      <c r="T503" s="88"/>
      <c r="U503" s="88"/>
      <c r="V503" s="88"/>
      <c r="W503" s="88"/>
      <c r="X503" s="88"/>
      <c r="Y503" s="88"/>
      <c r="Z503" s="88"/>
      <c r="AA503" s="88"/>
    </row>
    <row r="504" spans="1:27" ht="13.2">
      <c r="A504" s="88"/>
      <c r="B504" s="88"/>
      <c r="C504" s="88"/>
      <c r="D504" s="88"/>
      <c r="E504" s="88"/>
      <c r="F504" s="88"/>
      <c r="G504" s="88"/>
      <c r="H504" s="88"/>
      <c r="I504" s="88"/>
      <c r="J504" s="88"/>
      <c r="K504" s="88"/>
      <c r="L504" s="88"/>
      <c r="M504" s="88"/>
      <c r="N504" s="88"/>
      <c r="O504" s="88"/>
      <c r="P504" s="88"/>
      <c r="Q504" s="88"/>
      <c r="R504" s="88"/>
      <c r="S504" s="88"/>
      <c r="T504" s="88"/>
      <c r="U504" s="88"/>
      <c r="V504" s="88"/>
      <c r="W504" s="88"/>
      <c r="X504" s="88"/>
      <c r="Y504" s="88"/>
      <c r="Z504" s="88"/>
      <c r="AA504" s="88"/>
    </row>
    <row r="505" spans="1:27" ht="13.2">
      <c r="A505" s="88"/>
      <c r="B505" s="88"/>
      <c r="C505" s="88"/>
      <c r="D505" s="88"/>
      <c r="E505" s="88"/>
      <c r="F505" s="88"/>
      <c r="G505" s="88"/>
      <c r="H505" s="88"/>
      <c r="I505" s="88"/>
      <c r="J505" s="88"/>
      <c r="K505" s="88"/>
      <c r="L505" s="88"/>
      <c r="M505" s="88"/>
      <c r="N505" s="88"/>
      <c r="O505" s="88"/>
      <c r="P505" s="88"/>
      <c r="Q505" s="88"/>
      <c r="R505" s="88"/>
      <c r="S505" s="88"/>
      <c r="T505" s="88"/>
      <c r="U505" s="88"/>
      <c r="V505" s="88"/>
      <c r="W505" s="88"/>
      <c r="X505" s="88"/>
      <c r="Y505" s="88"/>
      <c r="Z505" s="88"/>
      <c r="AA505" s="88"/>
    </row>
    <row r="506" spans="1:27" ht="13.2">
      <c r="A506" s="88"/>
      <c r="B506" s="88"/>
      <c r="C506" s="88"/>
      <c r="D506" s="88"/>
      <c r="E506" s="88"/>
      <c r="F506" s="88"/>
      <c r="G506" s="88"/>
      <c r="H506" s="88"/>
      <c r="I506" s="88"/>
      <c r="J506" s="88"/>
      <c r="K506" s="88"/>
      <c r="L506" s="88"/>
      <c r="M506" s="88"/>
      <c r="N506" s="88"/>
      <c r="O506" s="88"/>
      <c r="P506" s="88"/>
      <c r="Q506" s="88"/>
      <c r="R506" s="88"/>
      <c r="S506" s="88"/>
      <c r="T506" s="88"/>
      <c r="U506" s="88"/>
      <c r="V506" s="88"/>
      <c r="W506" s="88"/>
      <c r="X506" s="88"/>
      <c r="Y506" s="88"/>
      <c r="Z506" s="88"/>
      <c r="AA506" s="88"/>
    </row>
    <row r="507" spans="1:27" ht="13.2">
      <c r="A507" s="88"/>
      <c r="B507" s="88"/>
      <c r="C507" s="88"/>
      <c r="D507" s="88"/>
      <c r="E507" s="88"/>
      <c r="F507" s="88"/>
      <c r="G507" s="88"/>
      <c r="H507" s="88"/>
      <c r="I507" s="88"/>
      <c r="J507" s="88"/>
      <c r="K507" s="88"/>
      <c r="L507" s="88"/>
      <c r="M507" s="88"/>
      <c r="N507" s="88"/>
      <c r="O507" s="88"/>
      <c r="P507" s="88"/>
      <c r="Q507" s="88"/>
      <c r="R507" s="88"/>
      <c r="S507" s="88"/>
      <c r="T507" s="88"/>
      <c r="U507" s="88"/>
      <c r="V507" s="88"/>
      <c r="W507" s="88"/>
      <c r="X507" s="88"/>
      <c r="Y507" s="88"/>
      <c r="Z507" s="88"/>
      <c r="AA507" s="88"/>
    </row>
    <row r="508" spans="1:27" ht="13.2">
      <c r="A508" s="88"/>
      <c r="B508" s="88"/>
      <c r="C508" s="88"/>
      <c r="D508" s="88"/>
      <c r="E508" s="88"/>
      <c r="F508" s="88"/>
      <c r="G508" s="88"/>
      <c r="H508" s="88"/>
      <c r="I508" s="88"/>
      <c r="J508" s="88"/>
      <c r="K508" s="88"/>
      <c r="L508" s="88"/>
      <c r="M508" s="88"/>
      <c r="N508" s="88"/>
      <c r="O508" s="88"/>
      <c r="P508" s="88"/>
      <c r="Q508" s="88"/>
      <c r="R508" s="88"/>
      <c r="S508" s="88"/>
      <c r="T508" s="88"/>
      <c r="U508" s="88"/>
      <c r="V508" s="88"/>
      <c r="W508" s="88"/>
      <c r="X508" s="88"/>
      <c r="Y508" s="88"/>
      <c r="Z508" s="88"/>
      <c r="AA508" s="88"/>
    </row>
    <row r="509" spans="1:27" ht="13.2">
      <c r="A509" s="88"/>
      <c r="B509" s="88"/>
      <c r="C509" s="88"/>
      <c r="D509" s="88"/>
      <c r="E509" s="88"/>
      <c r="F509" s="88"/>
      <c r="G509" s="88"/>
      <c r="H509" s="88"/>
      <c r="I509" s="88"/>
      <c r="J509" s="88"/>
      <c r="K509" s="88"/>
      <c r="L509" s="88"/>
      <c r="M509" s="88"/>
      <c r="N509" s="88"/>
      <c r="O509" s="88"/>
      <c r="P509" s="88"/>
      <c r="Q509" s="88"/>
      <c r="R509" s="88"/>
      <c r="S509" s="88"/>
      <c r="T509" s="88"/>
      <c r="U509" s="88"/>
      <c r="V509" s="88"/>
      <c r="W509" s="88"/>
      <c r="X509" s="88"/>
      <c r="Y509" s="88"/>
      <c r="Z509" s="88"/>
      <c r="AA509" s="88"/>
    </row>
    <row r="510" spans="1:27" ht="13.2">
      <c r="A510" s="88"/>
      <c r="B510" s="88"/>
      <c r="C510" s="88"/>
      <c r="D510" s="88"/>
      <c r="E510" s="88"/>
      <c r="F510" s="88"/>
      <c r="G510" s="88"/>
      <c r="H510" s="88"/>
      <c r="I510" s="88"/>
      <c r="J510" s="88"/>
      <c r="K510" s="88"/>
      <c r="L510" s="88"/>
      <c r="M510" s="88"/>
      <c r="N510" s="88"/>
      <c r="O510" s="88"/>
      <c r="P510" s="88"/>
      <c r="Q510" s="88"/>
      <c r="R510" s="88"/>
      <c r="S510" s="88"/>
      <c r="T510" s="88"/>
      <c r="U510" s="88"/>
      <c r="V510" s="88"/>
      <c r="W510" s="88"/>
      <c r="X510" s="88"/>
      <c r="Y510" s="88"/>
      <c r="Z510" s="88"/>
      <c r="AA510" s="88"/>
    </row>
    <row r="511" spans="1:27" ht="13.2">
      <c r="A511" s="88"/>
      <c r="B511" s="88"/>
      <c r="C511" s="88"/>
      <c r="D511" s="88"/>
      <c r="E511" s="88"/>
      <c r="F511" s="88"/>
      <c r="G511" s="88"/>
      <c r="H511" s="88"/>
      <c r="I511" s="88"/>
      <c r="J511" s="88"/>
      <c r="K511" s="88"/>
      <c r="L511" s="88"/>
      <c r="M511" s="88"/>
      <c r="N511" s="88"/>
      <c r="O511" s="88"/>
      <c r="P511" s="88"/>
      <c r="Q511" s="88"/>
      <c r="R511" s="88"/>
      <c r="S511" s="88"/>
      <c r="T511" s="88"/>
      <c r="U511" s="88"/>
      <c r="V511" s="88"/>
      <c r="W511" s="88"/>
      <c r="X511" s="88"/>
      <c r="Y511" s="88"/>
      <c r="Z511" s="88"/>
      <c r="AA511" s="88"/>
    </row>
    <row r="512" spans="1:27" ht="13.2">
      <c r="A512" s="88"/>
      <c r="B512" s="88"/>
      <c r="C512" s="88"/>
      <c r="D512" s="88"/>
      <c r="E512" s="88"/>
      <c r="F512" s="88"/>
      <c r="G512" s="88"/>
      <c r="H512" s="88"/>
      <c r="I512" s="88"/>
      <c r="J512" s="88"/>
      <c r="K512" s="88"/>
      <c r="L512" s="88"/>
      <c r="M512" s="88"/>
      <c r="N512" s="88"/>
      <c r="O512" s="88"/>
      <c r="P512" s="88"/>
      <c r="Q512" s="88"/>
      <c r="R512" s="88"/>
      <c r="S512" s="88"/>
      <c r="T512" s="88"/>
      <c r="U512" s="88"/>
      <c r="V512" s="88"/>
      <c r="W512" s="88"/>
      <c r="X512" s="88"/>
      <c r="Y512" s="88"/>
      <c r="Z512" s="88"/>
      <c r="AA512" s="88"/>
    </row>
    <row r="513" spans="1:27" ht="13.2">
      <c r="A513" s="88"/>
      <c r="B513" s="88"/>
      <c r="C513" s="88"/>
      <c r="D513" s="88"/>
      <c r="E513" s="88"/>
      <c r="F513" s="88"/>
      <c r="G513" s="88"/>
      <c r="H513" s="88"/>
      <c r="I513" s="88"/>
      <c r="J513" s="88"/>
      <c r="K513" s="88"/>
      <c r="L513" s="88"/>
      <c r="M513" s="88"/>
      <c r="N513" s="88"/>
      <c r="O513" s="88"/>
      <c r="P513" s="88"/>
      <c r="Q513" s="88"/>
      <c r="R513" s="88"/>
      <c r="S513" s="88"/>
      <c r="T513" s="88"/>
      <c r="U513" s="88"/>
      <c r="V513" s="88"/>
      <c r="W513" s="88"/>
      <c r="X513" s="88"/>
      <c r="Y513" s="88"/>
      <c r="Z513" s="88"/>
      <c r="AA513" s="88"/>
    </row>
    <row r="514" spans="1:27" ht="13.2">
      <c r="A514" s="88"/>
      <c r="B514" s="88"/>
      <c r="C514" s="88"/>
      <c r="D514" s="88"/>
      <c r="E514" s="88"/>
      <c r="F514" s="88"/>
      <c r="G514" s="88"/>
      <c r="H514" s="88"/>
      <c r="I514" s="88"/>
      <c r="J514" s="88"/>
      <c r="K514" s="88"/>
      <c r="L514" s="88"/>
      <c r="M514" s="88"/>
      <c r="N514" s="88"/>
      <c r="O514" s="88"/>
      <c r="P514" s="88"/>
      <c r="Q514" s="88"/>
      <c r="R514" s="88"/>
      <c r="S514" s="88"/>
      <c r="T514" s="88"/>
      <c r="U514" s="88"/>
      <c r="V514" s="88"/>
      <c r="W514" s="88"/>
      <c r="X514" s="88"/>
      <c r="Y514" s="88"/>
      <c r="Z514" s="88"/>
      <c r="AA514" s="88"/>
    </row>
    <row r="515" spans="1:27" ht="13.2">
      <c r="A515" s="88"/>
      <c r="B515" s="88"/>
      <c r="C515" s="88"/>
      <c r="D515" s="88"/>
      <c r="E515" s="88"/>
      <c r="F515" s="88"/>
      <c r="G515" s="88"/>
      <c r="H515" s="88"/>
      <c r="I515" s="88"/>
      <c r="J515" s="88"/>
      <c r="K515" s="88"/>
      <c r="L515" s="88"/>
      <c r="M515" s="88"/>
      <c r="N515" s="88"/>
      <c r="O515" s="88"/>
      <c r="P515" s="88"/>
      <c r="Q515" s="88"/>
      <c r="R515" s="88"/>
      <c r="S515" s="88"/>
      <c r="T515" s="88"/>
      <c r="U515" s="88"/>
      <c r="V515" s="88"/>
      <c r="W515" s="88"/>
      <c r="X515" s="88"/>
      <c r="Y515" s="88"/>
      <c r="Z515" s="88"/>
      <c r="AA515" s="88"/>
    </row>
    <row r="516" spans="1:27" ht="13.2">
      <c r="A516" s="88"/>
      <c r="B516" s="88"/>
      <c r="C516" s="88"/>
      <c r="D516" s="88"/>
      <c r="E516" s="88"/>
      <c r="F516" s="88"/>
      <c r="G516" s="88"/>
      <c r="H516" s="88"/>
      <c r="I516" s="88"/>
      <c r="J516" s="88"/>
      <c r="K516" s="88"/>
      <c r="L516" s="88"/>
      <c r="M516" s="88"/>
      <c r="N516" s="88"/>
      <c r="O516" s="88"/>
      <c r="P516" s="88"/>
      <c r="Q516" s="88"/>
      <c r="R516" s="88"/>
      <c r="S516" s="88"/>
      <c r="T516" s="88"/>
      <c r="U516" s="88"/>
      <c r="V516" s="88"/>
      <c r="W516" s="88"/>
      <c r="X516" s="88"/>
      <c r="Y516" s="88"/>
      <c r="Z516" s="88"/>
      <c r="AA516" s="88"/>
    </row>
    <row r="517" spans="1:27" ht="13.2">
      <c r="A517" s="88"/>
      <c r="B517" s="88"/>
      <c r="C517" s="88"/>
      <c r="D517" s="88"/>
      <c r="E517" s="88"/>
      <c r="F517" s="88"/>
      <c r="G517" s="88"/>
      <c r="H517" s="88"/>
      <c r="I517" s="88"/>
      <c r="J517" s="88"/>
      <c r="K517" s="88"/>
      <c r="L517" s="88"/>
      <c r="M517" s="88"/>
      <c r="N517" s="88"/>
      <c r="O517" s="88"/>
      <c r="P517" s="88"/>
      <c r="Q517" s="88"/>
      <c r="R517" s="88"/>
      <c r="S517" s="88"/>
      <c r="T517" s="88"/>
      <c r="U517" s="88"/>
      <c r="V517" s="88"/>
      <c r="W517" s="88"/>
      <c r="X517" s="88"/>
      <c r="Y517" s="88"/>
      <c r="Z517" s="88"/>
      <c r="AA517" s="88"/>
    </row>
    <row r="518" spans="1:27" ht="13.2">
      <c r="A518" s="88"/>
      <c r="B518" s="88"/>
      <c r="C518" s="88"/>
      <c r="D518" s="88"/>
      <c r="E518" s="88"/>
      <c r="F518" s="88"/>
      <c r="G518" s="88"/>
      <c r="H518" s="88"/>
      <c r="I518" s="88"/>
      <c r="J518" s="88"/>
      <c r="K518" s="88"/>
      <c r="L518" s="88"/>
      <c r="M518" s="88"/>
      <c r="N518" s="88"/>
      <c r="O518" s="88"/>
      <c r="P518" s="88"/>
      <c r="Q518" s="88"/>
      <c r="R518" s="88"/>
      <c r="S518" s="88"/>
      <c r="T518" s="88"/>
      <c r="U518" s="88"/>
      <c r="V518" s="88"/>
      <c r="W518" s="88"/>
      <c r="X518" s="88"/>
      <c r="Y518" s="88"/>
      <c r="Z518" s="88"/>
      <c r="AA518" s="88"/>
    </row>
    <row r="519" spans="1:27" ht="13.2">
      <c r="A519" s="88"/>
      <c r="B519" s="88"/>
      <c r="C519" s="88"/>
      <c r="D519" s="88"/>
      <c r="E519" s="88"/>
      <c r="F519" s="88"/>
      <c r="G519" s="88"/>
      <c r="H519" s="88"/>
      <c r="I519" s="88"/>
      <c r="J519" s="88"/>
      <c r="K519" s="88"/>
      <c r="L519" s="88"/>
      <c r="M519" s="88"/>
      <c r="N519" s="88"/>
      <c r="O519" s="88"/>
      <c r="P519" s="88"/>
      <c r="Q519" s="88"/>
      <c r="R519" s="88"/>
      <c r="S519" s="88"/>
      <c r="T519" s="88"/>
      <c r="U519" s="88"/>
      <c r="V519" s="88"/>
      <c r="W519" s="88"/>
      <c r="X519" s="88"/>
      <c r="Y519" s="88"/>
      <c r="Z519" s="88"/>
      <c r="AA519" s="88"/>
    </row>
    <row r="520" spans="1:27" ht="13.2">
      <c r="A520" s="88"/>
      <c r="B520" s="88"/>
      <c r="C520" s="88"/>
      <c r="D520" s="88"/>
      <c r="E520" s="88"/>
      <c r="F520" s="88"/>
      <c r="G520" s="88"/>
      <c r="H520" s="88"/>
      <c r="I520" s="88"/>
      <c r="J520" s="88"/>
      <c r="K520" s="88"/>
      <c r="L520" s="88"/>
      <c r="M520" s="88"/>
      <c r="N520" s="88"/>
      <c r="O520" s="88"/>
      <c r="P520" s="88"/>
      <c r="Q520" s="88"/>
      <c r="R520" s="88"/>
      <c r="S520" s="88"/>
      <c r="T520" s="88"/>
      <c r="U520" s="88"/>
      <c r="V520" s="88"/>
      <c r="W520" s="88"/>
      <c r="X520" s="88"/>
      <c r="Y520" s="88"/>
      <c r="Z520" s="88"/>
      <c r="AA520" s="88"/>
    </row>
    <row r="521" spans="1:27" ht="13.2">
      <c r="A521" s="88"/>
      <c r="B521" s="88"/>
      <c r="C521" s="88"/>
      <c r="D521" s="88"/>
      <c r="E521" s="88"/>
      <c r="F521" s="88"/>
      <c r="G521" s="88"/>
      <c r="H521" s="88"/>
      <c r="I521" s="88"/>
      <c r="J521" s="88"/>
      <c r="K521" s="88"/>
      <c r="L521" s="88"/>
      <c r="M521" s="88"/>
      <c r="N521" s="88"/>
      <c r="O521" s="88"/>
      <c r="P521" s="88"/>
      <c r="Q521" s="88"/>
      <c r="R521" s="88"/>
      <c r="S521" s="88"/>
      <c r="T521" s="88"/>
      <c r="U521" s="88"/>
      <c r="V521" s="88"/>
      <c r="W521" s="88"/>
      <c r="X521" s="88"/>
      <c r="Y521" s="88"/>
      <c r="Z521" s="88"/>
      <c r="AA521" s="88"/>
    </row>
    <row r="522" spans="1:27" ht="13.2">
      <c r="A522" s="88"/>
      <c r="B522" s="88"/>
      <c r="C522" s="88"/>
      <c r="D522" s="88"/>
      <c r="E522" s="88"/>
      <c r="F522" s="88"/>
      <c r="G522" s="88"/>
      <c r="H522" s="88"/>
      <c r="I522" s="88"/>
      <c r="J522" s="88"/>
      <c r="K522" s="88"/>
      <c r="L522" s="88"/>
      <c r="M522" s="88"/>
      <c r="N522" s="88"/>
      <c r="O522" s="88"/>
      <c r="P522" s="88"/>
      <c r="Q522" s="88"/>
      <c r="R522" s="88"/>
      <c r="S522" s="88"/>
      <c r="T522" s="88"/>
      <c r="U522" s="88"/>
      <c r="V522" s="88"/>
      <c r="W522" s="88"/>
      <c r="X522" s="88"/>
      <c r="Y522" s="88"/>
      <c r="Z522" s="88"/>
      <c r="AA522" s="88"/>
    </row>
    <row r="523" spans="1:27" ht="13.2">
      <c r="A523" s="88"/>
      <c r="B523" s="88"/>
      <c r="C523" s="88"/>
      <c r="D523" s="88"/>
      <c r="E523" s="88"/>
      <c r="F523" s="88"/>
      <c r="G523" s="88"/>
      <c r="H523" s="88"/>
      <c r="I523" s="88"/>
      <c r="J523" s="88"/>
      <c r="K523" s="88"/>
      <c r="L523" s="88"/>
      <c r="M523" s="88"/>
      <c r="N523" s="88"/>
      <c r="O523" s="88"/>
      <c r="P523" s="88"/>
      <c r="Q523" s="88"/>
      <c r="R523" s="88"/>
      <c r="S523" s="88"/>
      <c r="T523" s="88"/>
      <c r="U523" s="88"/>
      <c r="V523" s="88"/>
      <c r="W523" s="88"/>
      <c r="X523" s="88"/>
      <c r="Y523" s="88"/>
      <c r="Z523" s="88"/>
      <c r="AA523" s="88"/>
    </row>
    <row r="524" spans="1:27" ht="13.2">
      <c r="A524" s="88"/>
      <c r="B524" s="88"/>
      <c r="C524" s="88"/>
      <c r="D524" s="88"/>
      <c r="E524" s="88"/>
      <c r="F524" s="88"/>
      <c r="G524" s="88"/>
      <c r="H524" s="88"/>
      <c r="I524" s="88"/>
      <c r="J524" s="88"/>
      <c r="K524" s="88"/>
      <c r="L524" s="88"/>
      <c r="M524" s="88"/>
      <c r="N524" s="88"/>
      <c r="O524" s="88"/>
      <c r="P524" s="88"/>
      <c r="Q524" s="88"/>
      <c r="R524" s="88"/>
      <c r="S524" s="88"/>
      <c r="T524" s="88"/>
      <c r="U524" s="88"/>
      <c r="V524" s="88"/>
      <c r="W524" s="88"/>
      <c r="X524" s="88"/>
      <c r="Y524" s="88"/>
      <c r="Z524" s="88"/>
      <c r="AA524" s="88"/>
    </row>
    <row r="525" spans="1:27" ht="13.2">
      <c r="A525" s="88"/>
      <c r="B525" s="88"/>
      <c r="C525" s="88"/>
      <c r="D525" s="88"/>
      <c r="E525" s="88"/>
      <c r="F525" s="88"/>
      <c r="G525" s="88"/>
      <c r="H525" s="88"/>
      <c r="I525" s="88"/>
      <c r="J525" s="88"/>
      <c r="K525" s="88"/>
      <c r="L525" s="88"/>
      <c r="M525" s="88"/>
      <c r="N525" s="88"/>
      <c r="O525" s="88"/>
      <c r="P525" s="88"/>
      <c r="Q525" s="88"/>
      <c r="R525" s="88"/>
      <c r="S525" s="88"/>
      <c r="T525" s="88"/>
      <c r="U525" s="88"/>
      <c r="V525" s="88"/>
      <c r="W525" s="88"/>
      <c r="X525" s="88"/>
      <c r="Y525" s="88"/>
      <c r="Z525" s="88"/>
      <c r="AA525" s="88"/>
    </row>
    <row r="526" spans="1:27" ht="13.2">
      <c r="A526" s="88"/>
      <c r="B526" s="88"/>
      <c r="C526" s="88"/>
      <c r="D526" s="88"/>
      <c r="E526" s="88"/>
      <c r="F526" s="88"/>
      <c r="G526" s="88"/>
      <c r="H526" s="88"/>
      <c r="I526" s="88"/>
      <c r="J526" s="88"/>
      <c r="K526" s="88"/>
      <c r="L526" s="88"/>
      <c r="M526" s="88"/>
      <c r="N526" s="88"/>
      <c r="O526" s="88"/>
      <c r="P526" s="88"/>
      <c r="Q526" s="88"/>
      <c r="R526" s="88"/>
      <c r="S526" s="88"/>
      <c r="T526" s="88"/>
      <c r="U526" s="88"/>
      <c r="V526" s="88"/>
      <c r="W526" s="88"/>
      <c r="X526" s="88"/>
      <c r="Y526" s="88"/>
      <c r="Z526" s="88"/>
      <c r="AA526" s="88"/>
    </row>
    <row r="527" spans="1:27" ht="13.2">
      <c r="A527" s="88"/>
      <c r="B527" s="88"/>
      <c r="C527" s="88"/>
      <c r="D527" s="88"/>
      <c r="E527" s="88"/>
      <c r="F527" s="88"/>
      <c r="G527" s="88"/>
      <c r="H527" s="88"/>
      <c r="I527" s="88"/>
      <c r="J527" s="88"/>
      <c r="K527" s="88"/>
      <c r="L527" s="88"/>
      <c r="M527" s="88"/>
      <c r="N527" s="88"/>
      <c r="O527" s="88"/>
      <c r="P527" s="88"/>
      <c r="Q527" s="88"/>
      <c r="R527" s="88"/>
      <c r="S527" s="88"/>
      <c r="T527" s="88"/>
      <c r="U527" s="88"/>
      <c r="V527" s="88"/>
      <c r="W527" s="88"/>
      <c r="X527" s="88"/>
      <c r="Y527" s="88"/>
      <c r="Z527" s="88"/>
      <c r="AA527" s="88"/>
    </row>
    <row r="528" spans="1:27" ht="13.2">
      <c r="A528" s="88"/>
      <c r="B528" s="88"/>
      <c r="C528" s="88"/>
      <c r="D528" s="88"/>
      <c r="E528" s="88"/>
      <c r="F528" s="88"/>
      <c r="G528" s="88"/>
      <c r="H528" s="88"/>
      <c r="I528" s="88"/>
      <c r="J528" s="88"/>
      <c r="K528" s="88"/>
      <c r="L528" s="88"/>
      <c r="M528" s="88"/>
      <c r="N528" s="88"/>
      <c r="O528" s="88"/>
      <c r="P528" s="88"/>
      <c r="Q528" s="88"/>
      <c r="R528" s="88"/>
      <c r="S528" s="88"/>
      <c r="T528" s="88"/>
      <c r="U528" s="88"/>
      <c r="V528" s="88"/>
      <c r="W528" s="88"/>
      <c r="X528" s="88"/>
      <c r="Y528" s="88"/>
      <c r="Z528" s="88"/>
      <c r="AA528" s="88"/>
    </row>
    <row r="529" spans="1:27" ht="13.2">
      <c r="A529" s="88"/>
      <c r="B529" s="88"/>
      <c r="C529" s="88"/>
      <c r="D529" s="88"/>
      <c r="E529" s="88"/>
      <c r="F529" s="88"/>
      <c r="G529" s="88"/>
      <c r="H529" s="88"/>
      <c r="I529" s="88"/>
      <c r="J529" s="88"/>
      <c r="K529" s="88"/>
      <c r="L529" s="88"/>
      <c r="M529" s="88"/>
      <c r="N529" s="88"/>
      <c r="O529" s="88"/>
      <c r="P529" s="88"/>
      <c r="Q529" s="88"/>
      <c r="R529" s="88"/>
      <c r="S529" s="88"/>
      <c r="T529" s="88"/>
      <c r="U529" s="88"/>
      <c r="V529" s="88"/>
      <c r="W529" s="88"/>
      <c r="X529" s="88"/>
      <c r="Y529" s="88"/>
      <c r="Z529" s="88"/>
      <c r="AA529" s="88"/>
    </row>
    <row r="530" spans="1:27" ht="13.2">
      <c r="A530" s="88"/>
      <c r="B530" s="88"/>
      <c r="C530" s="88"/>
      <c r="D530" s="88"/>
      <c r="E530" s="88"/>
      <c r="F530" s="88"/>
      <c r="G530" s="88"/>
      <c r="H530" s="88"/>
      <c r="I530" s="88"/>
      <c r="J530" s="88"/>
      <c r="K530" s="88"/>
      <c r="L530" s="88"/>
      <c r="M530" s="88"/>
      <c r="N530" s="88"/>
      <c r="O530" s="88"/>
      <c r="P530" s="88"/>
      <c r="Q530" s="88"/>
      <c r="R530" s="88"/>
      <c r="S530" s="88"/>
      <c r="T530" s="88"/>
      <c r="U530" s="88"/>
      <c r="V530" s="88"/>
      <c r="W530" s="88"/>
      <c r="X530" s="88"/>
      <c r="Y530" s="88"/>
      <c r="Z530" s="88"/>
      <c r="AA530" s="88"/>
    </row>
    <row r="531" spans="1:27" ht="13.2">
      <c r="A531" s="88"/>
      <c r="B531" s="88"/>
      <c r="C531" s="88"/>
      <c r="D531" s="88"/>
      <c r="E531" s="88"/>
      <c r="F531" s="88"/>
      <c r="G531" s="88"/>
      <c r="H531" s="88"/>
      <c r="I531" s="88"/>
      <c r="J531" s="88"/>
      <c r="K531" s="88"/>
      <c r="L531" s="88"/>
      <c r="M531" s="88"/>
      <c r="N531" s="88"/>
      <c r="O531" s="88"/>
      <c r="P531" s="88"/>
      <c r="Q531" s="88"/>
      <c r="R531" s="88"/>
      <c r="S531" s="88"/>
      <c r="T531" s="88"/>
      <c r="U531" s="88"/>
      <c r="V531" s="88"/>
      <c r="W531" s="88"/>
      <c r="X531" s="88"/>
      <c r="Y531" s="88"/>
      <c r="Z531" s="88"/>
      <c r="AA531" s="88"/>
    </row>
    <row r="532" spans="1:27" ht="13.2">
      <c r="A532" s="88"/>
      <c r="B532" s="88"/>
      <c r="C532" s="88"/>
      <c r="D532" s="88"/>
      <c r="E532" s="88"/>
      <c r="F532" s="88"/>
      <c r="G532" s="88"/>
      <c r="H532" s="88"/>
      <c r="I532" s="88"/>
      <c r="J532" s="88"/>
      <c r="K532" s="88"/>
      <c r="L532" s="88"/>
      <c r="M532" s="88"/>
      <c r="N532" s="88"/>
      <c r="O532" s="88"/>
      <c r="P532" s="88"/>
      <c r="Q532" s="88"/>
      <c r="R532" s="88"/>
      <c r="S532" s="88"/>
      <c r="T532" s="88"/>
      <c r="U532" s="88"/>
      <c r="V532" s="88"/>
      <c r="W532" s="88"/>
      <c r="X532" s="88"/>
      <c r="Y532" s="88"/>
      <c r="Z532" s="88"/>
      <c r="AA532" s="88"/>
    </row>
    <row r="533" spans="1:27" ht="13.2">
      <c r="A533" s="88"/>
      <c r="B533" s="88"/>
      <c r="C533" s="88"/>
      <c r="D533" s="88"/>
      <c r="E533" s="88"/>
      <c r="F533" s="88"/>
      <c r="G533" s="88"/>
      <c r="H533" s="88"/>
      <c r="I533" s="88"/>
      <c r="J533" s="88"/>
      <c r="K533" s="88"/>
      <c r="L533" s="88"/>
      <c r="M533" s="88"/>
      <c r="N533" s="88"/>
      <c r="O533" s="88"/>
      <c r="P533" s="88"/>
      <c r="Q533" s="88"/>
      <c r="R533" s="88"/>
      <c r="S533" s="88"/>
      <c r="T533" s="88"/>
      <c r="U533" s="88"/>
      <c r="V533" s="88"/>
      <c r="W533" s="88"/>
      <c r="X533" s="88"/>
      <c r="Y533" s="88"/>
      <c r="Z533" s="88"/>
      <c r="AA533" s="88"/>
    </row>
    <row r="534" spans="1:27" ht="13.2">
      <c r="A534" s="88"/>
      <c r="B534" s="88"/>
      <c r="C534" s="88"/>
      <c r="D534" s="88"/>
      <c r="E534" s="88"/>
      <c r="F534" s="88"/>
      <c r="G534" s="88"/>
      <c r="H534" s="88"/>
      <c r="I534" s="88"/>
      <c r="J534" s="88"/>
      <c r="K534" s="88"/>
      <c r="L534" s="88"/>
      <c r="M534" s="88"/>
      <c r="N534" s="88"/>
      <c r="O534" s="88"/>
      <c r="P534" s="88"/>
      <c r="Q534" s="88"/>
      <c r="R534" s="88"/>
      <c r="S534" s="88"/>
      <c r="T534" s="88"/>
      <c r="U534" s="88"/>
      <c r="V534" s="88"/>
      <c r="W534" s="88"/>
      <c r="X534" s="88"/>
      <c r="Y534" s="88"/>
      <c r="Z534" s="88"/>
      <c r="AA534" s="88"/>
    </row>
    <row r="535" spans="1:27" ht="13.2">
      <c r="A535" s="88"/>
      <c r="B535" s="88"/>
      <c r="C535" s="88"/>
      <c r="D535" s="88"/>
      <c r="E535" s="88"/>
      <c r="F535" s="88"/>
      <c r="G535" s="88"/>
      <c r="H535" s="88"/>
      <c r="I535" s="88"/>
      <c r="J535" s="88"/>
      <c r="K535" s="88"/>
      <c r="L535" s="88"/>
      <c r="M535" s="88"/>
      <c r="N535" s="88"/>
      <c r="O535" s="88"/>
      <c r="P535" s="88"/>
      <c r="Q535" s="88"/>
      <c r="R535" s="88"/>
      <c r="S535" s="88"/>
      <c r="T535" s="88"/>
      <c r="U535" s="88"/>
      <c r="V535" s="88"/>
      <c r="W535" s="88"/>
      <c r="X535" s="88"/>
      <c r="Y535" s="88"/>
      <c r="Z535" s="88"/>
      <c r="AA535" s="88"/>
    </row>
    <row r="536" spans="1:27" ht="13.2">
      <c r="A536" s="88"/>
      <c r="B536" s="88"/>
      <c r="C536" s="88"/>
      <c r="D536" s="88"/>
      <c r="E536" s="88"/>
      <c r="F536" s="88"/>
      <c r="G536" s="88"/>
      <c r="H536" s="88"/>
      <c r="I536" s="88"/>
      <c r="J536" s="88"/>
      <c r="K536" s="88"/>
      <c r="L536" s="88"/>
      <c r="M536" s="88"/>
      <c r="N536" s="88"/>
      <c r="O536" s="88"/>
      <c r="P536" s="88"/>
      <c r="Q536" s="88"/>
      <c r="R536" s="88"/>
      <c r="S536" s="88"/>
      <c r="T536" s="88"/>
      <c r="U536" s="88"/>
      <c r="V536" s="88"/>
      <c r="W536" s="88"/>
      <c r="X536" s="88"/>
      <c r="Y536" s="88"/>
      <c r="Z536" s="88"/>
      <c r="AA536" s="88"/>
    </row>
    <row r="537" spans="1:27" ht="13.2">
      <c r="A537" s="88"/>
      <c r="B537" s="88"/>
      <c r="C537" s="88"/>
      <c r="D537" s="88"/>
      <c r="E537" s="88"/>
      <c r="F537" s="88"/>
      <c r="G537" s="88"/>
      <c r="H537" s="88"/>
      <c r="I537" s="88"/>
      <c r="J537" s="88"/>
      <c r="K537" s="88"/>
      <c r="L537" s="88"/>
      <c r="M537" s="88"/>
      <c r="N537" s="88"/>
      <c r="O537" s="88"/>
      <c r="P537" s="88"/>
      <c r="Q537" s="88"/>
      <c r="R537" s="88"/>
      <c r="S537" s="88"/>
      <c r="T537" s="88"/>
      <c r="U537" s="88"/>
      <c r="V537" s="88"/>
      <c r="W537" s="88"/>
      <c r="X537" s="88"/>
      <c r="Y537" s="88"/>
      <c r="Z537" s="88"/>
      <c r="AA537" s="88"/>
    </row>
    <row r="538" spans="1:27" ht="13.2">
      <c r="A538" s="88"/>
      <c r="B538" s="88"/>
      <c r="C538" s="88"/>
      <c r="D538" s="88"/>
      <c r="E538" s="88"/>
      <c r="F538" s="88"/>
      <c r="G538" s="88"/>
      <c r="H538" s="88"/>
      <c r="I538" s="88"/>
      <c r="J538" s="88"/>
      <c r="K538" s="88"/>
      <c r="L538" s="88"/>
      <c r="M538" s="88"/>
      <c r="N538" s="88"/>
      <c r="O538" s="88"/>
      <c r="P538" s="88"/>
      <c r="Q538" s="88"/>
      <c r="R538" s="88"/>
      <c r="S538" s="88"/>
      <c r="T538" s="88"/>
      <c r="U538" s="88"/>
      <c r="V538" s="88"/>
      <c r="W538" s="88"/>
      <c r="X538" s="88"/>
      <c r="Y538" s="88"/>
      <c r="Z538" s="88"/>
      <c r="AA538" s="88"/>
    </row>
    <row r="539" spans="1:27" ht="13.2">
      <c r="A539" s="88"/>
      <c r="B539" s="88"/>
      <c r="C539" s="88"/>
      <c r="D539" s="88"/>
      <c r="E539" s="88"/>
      <c r="F539" s="88"/>
      <c r="G539" s="88"/>
      <c r="H539" s="88"/>
      <c r="I539" s="88"/>
      <c r="J539" s="88"/>
      <c r="K539" s="88"/>
      <c r="L539" s="88"/>
      <c r="M539" s="88"/>
      <c r="N539" s="88"/>
      <c r="O539" s="88"/>
      <c r="P539" s="88"/>
      <c r="Q539" s="88"/>
      <c r="R539" s="88"/>
      <c r="S539" s="88"/>
      <c r="T539" s="88"/>
      <c r="U539" s="88"/>
      <c r="V539" s="88"/>
      <c r="W539" s="88"/>
      <c r="X539" s="88"/>
      <c r="Y539" s="88"/>
      <c r="Z539" s="88"/>
      <c r="AA539" s="88"/>
    </row>
    <row r="540" spans="1:27" ht="13.2">
      <c r="A540" s="88"/>
      <c r="B540" s="88"/>
      <c r="C540" s="88"/>
      <c r="D540" s="88"/>
      <c r="E540" s="88"/>
      <c r="F540" s="88"/>
      <c r="G540" s="88"/>
      <c r="H540" s="88"/>
      <c r="I540" s="88"/>
      <c r="J540" s="88"/>
      <c r="K540" s="88"/>
      <c r="L540" s="88"/>
      <c r="M540" s="88"/>
      <c r="N540" s="88"/>
      <c r="O540" s="88"/>
      <c r="P540" s="88"/>
      <c r="Q540" s="88"/>
      <c r="R540" s="88"/>
      <c r="S540" s="88"/>
      <c r="T540" s="88"/>
      <c r="U540" s="88"/>
      <c r="V540" s="88"/>
      <c r="W540" s="88"/>
      <c r="X540" s="88"/>
      <c r="Y540" s="88"/>
      <c r="Z540" s="88"/>
      <c r="AA540" s="88"/>
    </row>
    <row r="541" spans="1:27" ht="13.2">
      <c r="A541" s="88"/>
      <c r="B541" s="88"/>
      <c r="C541" s="88"/>
      <c r="D541" s="88"/>
      <c r="E541" s="88"/>
      <c r="F541" s="88"/>
      <c r="G541" s="88"/>
      <c r="H541" s="88"/>
      <c r="I541" s="88"/>
      <c r="J541" s="88"/>
      <c r="K541" s="88"/>
      <c r="L541" s="88"/>
      <c r="M541" s="88"/>
      <c r="N541" s="88"/>
      <c r="O541" s="88"/>
      <c r="P541" s="88"/>
      <c r="Q541" s="88"/>
      <c r="R541" s="88"/>
      <c r="S541" s="88"/>
      <c r="T541" s="88"/>
      <c r="U541" s="88"/>
      <c r="V541" s="88"/>
      <c r="W541" s="88"/>
      <c r="X541" s="88"/>
      <c r="Y541" s="88"/>
      <c r="Z541" s="88"/>
      <c r="AA541" s="88"/>
    </row>
    <row r="542" spans="1:27" ht="13.2">
      <c r="A542" s="88"/>
      <c r="B542" s="88"/>
      <c r="C542" s="88"/>
      <c r="D542" s="88"/>
      <c r="E542" s="88"/>
      <c r="F542" s="88"/>
      <c r="G542" s="88"/>
      <c r="H542" s="88"/>
      <c r="I542" s="88"/>
      <c r="J542" s="88"/>
      <c r="K542" s="88"/>
      <c r="L542" s="88"/>
      <c r="M542" s="88"/>
      <c r="N542" s="88"/>
      <c r="O542" s="88"/>
      <c r="P542" s="88"/>
      <c r="Q542" s="88"/>
      <c r="R542" s="88"/>
      <c r="S542" s="88"/>
      <c r="T542" s="88"/>
      <c r="U542" s="88"/>
      <c r="V542" s="88"/>
      <c r="W542" s="88"/>
      <c r="X542" s="88"/>
      <c r="Y542" s="88"/>
      <c r="Z542" s="88"/>
      <c r="AA542" s="88"/>
    </row>
    <row r="543" spans="1:27" ht="13.2">
      <c r="A543" s="88"/>
      <c r="B543" s="88"/>
      <c r="C543" s="88"/>
      <c r="D543" s="88"/>
      <c r="E543" s="88"/>
      <c r="F543" s="88"/>
      <c r="G543" s="88"/>
      <c r="H543" s="88"/>
      <c r="I543" s="88"/>
      <c r="J543" s="88"/>
      <c r="K543" s="88"/>
      <c r="L543" s="88"/>
      <c r="M543" s="88"/>
      <c r="N543" s="88"/>
      <c r="O543" s="88"/>
      <c r="P543" s="88"/>
      <c r="Q543" s="88"/>
      <c r="R543" s="88"/>
      <c r="S543" s="88"/>
      <c r="T543" s="88"/>
      <c r="U543" s="88"/>
      <c r="V543" s="88"/>
      <c r="W543" s="88"/>
      <c r="X543" s="88"/>
      <c r="Y543" s="88"/>
      <c r="Z543" s="88"/>
      <c r="AA543" s="88"/>
    </row>
    <row r="544" spans="1:27" ht="13.2">
      <c r="A544" s="88"/>
      <c r="B544" s="88"/>
      <c r="C544" s="88"/>
      <c r="D544" s="88"/>
      <c r="E544" s="88"/>
      <c r="F544" s="88"/>
      <c r="G544" s="88"/>
      <c r="H544" s="88"/>
      <c r="I544" s="88"/>
      <c r="J544" s="88"/>
      <c r="K544" s="88"/>
      <c r="L544" s="88"/>
      <c r="M544" s="88"/>
      <c r="N544" s="88"/>
      <c r="O544" s="88"/>
      <c r="P544" s="88"/>
      <c r="Q544" s="88"/>
      <c r="R544" s="88"/>
      <c r="S544" s="88"/>
      <c r="T544" s="88"/>
      <c r="U544" s="88"/>
      <c r="V544" s="88"/>
      <c r="W544" s="88"/>
      <c r="X544" s="88"/>
      <c r="Y544" s="88"/>
      <c r="Z544" s="88"/>
      <c r="AA544" s="88"/>
    </row>
    <row r="545" spans="1:27" ht="13.2">
      <c r="A545" s="88"/>
      <c r="B545" s="88"/>
      <c r="C545" s="88"/>
      <c r="D545" s="88"/>
      <c r="E545" s="88"/>
      <c r="F545" s="88"/>
      <c r="G545" s="88"/>
      <c r="H545" s="88"/>
      <c r="I545" s="88"/>
      <c r="J545" s="88"/>
      <c r="K545" s="88"/>
      <c r="L545" s="88"/>
      <c r="M545" s="88"/>
      <c r="N545" s="88"/>
      <c r="O545" s="88"/>
      <c r="P545" s="88"/>
      <c r="Q545" s="88"/>
      <c r="R545" s="88"/>
      <c r="S545" s="88"/>
      <c r="T545" s="88"/>
      <c r="U545" s="88"/>
      <c r="V545" s="88"/>
      <c r="W545" s="88"/>
      <c r="X545" s="88"/>
      <c r="Y545" s="88"/>
      <c r="Z545" s="88"/>
      <c r="AA545" s="88"/>
    </row>
    <row r="546" spans="1:27" ht="13.2">
      <c r="A546" s="88"/>
      <c r="B546" s="88"/>
      <c r="C546" s="88"/>
      <c r="D546" s="88"/>
      <c r="E546" s="88"/>
      <c r="F546" s="88"/>
      <c r="G546" s="88"/>
      <c r="H546" s="88"/>
      <c r="I546" s="88"/>
      <c r="J546" s="88"/>
      <c r="K546" s="88"/>
      <c r="L546" s="88"/>
      <c r="M546" s="88"/>
      <c r="N546" s="88"/>
      <c r="O546" s="88"/>
      <c r="P546" s="88"/>
      <c r="Q546" s="88"/>
      <c r="R546" s="88"/>
      <c r="S546" s="88"/>
      <c r="T546" s="88"/>
      <c r="U546" s="88"/>
      <c r="V546" s="88"/>
      <c r="W546" s="88"/>
      <c r="X546" s="88"/>
      <c r="Y546" s="88"/>
      <c r="Z546" s="88"/>
      <c r="AA546" s="88"/>
    </row>
    <row r="547" spans="1:27" ht="13.2">
      <c r="A547" s="88"/>
      <c r="B547" s="88"/>
      <c r="C547" s="88"/>
      <c r="D547" s="88"/>
      <c r="E547" s="88"/>
      <c r="F547" s="88"/>
      <c r="G547" s="88"/>
      <c r="H547" s="88"/>
      <c r="I547" s="88"/>
      <c r="J547" s="88"/>
      <c r="K547" s="88"/>
      <c r="L547" s="88"/>
      <c r="M547" s="88"/>
      <c r="N547" s="88"/>
      <c r="O547" s="88"/>
      <c r="P547" s="88"/>
      <c r="Q547" s="88"/>
      <c r="R547" s="88"/>
      <c r="S547" s="88"/>
      <c r="T547" s="88"/>
      <c r="U547" s="88"/>
      <c r="V547" s="88"/>
      <c r="W547" s="88"/>
      <c r="X547" s="88"/>
      <c r="Y547" s="88"/>
      <c r="Z547" s="88"/>
      <c r="AA547" s="88"/>
    </row>
    <row r="548" spans="1:27" ht="13.2">
      <c r="A548" s="88"/>
      <c r="B548" s="88"/>
      <c r="C548" s="88"/>
      <c r="D548" s="88"/>
      <c r="E548" s="88"/>
      <c r="F548" s="88"/>
      <c r="G548" s="88"/>
      <c r="H548" s="88"/>
      <c r="I548" s="88"/>
      <c r="J548" s="88"/>
      <c r="K548" s="88"/>
      <c r="L548" s="88"/>
      <c r="M548" s="88"/>
      <c r="N548" s="88"/>
      <c r="O548" s="88"/>
      <c r="P548" s="88"/>
      <c r="Q548" s="88"/>
      <c r="R548" s="88"/>
      <c r="S548" s="88"/>
      <c r="T548" s="88"/>
      <c r="U548" s="88"/>
      <c r="V548" s="88"/>
      <c r="W548" s="88"/>
      <c r="X548" s="88"/>
      <c r="Y548" s="88"/>
      <c r="Z548" s="88"/>
      <c r="AA548" s="88"/>
    </row>
    <row r="549" spans="1:27" ht="13.2">
      <c r="A549" s="88"/>
      <c r="B549" s="88"/>
      <c r="C549" s="88"/>
      <c r="D549" s="88"/>
      <c r="E549" s="88"/>
      <c r="F549" s="88"/>
      <c r="G549" s="88"/>
      <c r="H549" s="88"/>
      <c r="I549" s="88"/>
      <c r="J549" s="88"/>
      <c r="K549" s="88"/>
      <c r="L549" s="88"/>
      <c r="M549" s="88"/>
      <c r="N549" s="88"/>
      <c r="O549" s="88"/>
      <c r="P549" s="88"/>
      <c r="Q549" s="88"/>
      <c r="R549" s="88"/>
      <c r="S549" s="88"/>
      <c r="T549" s="88"/>
      <c r="U549" s="88"/>
      <c r="V549" s="88"/>
      <c r="W549" s="88"/>
      <c r="X549" s="88"/>
      <c r="Y549" s="88"/>
      <c r="Z549" s="88"/>
      <c r="AA549" s="88"/>
    </row>
    <row r="550" spans="1:27" ht="13.2">
      <c r="A550" s="88"/>
      <c r="B550" s="88"/>
      <c r="C550" s="88"/>
      <c r="D550" s="88"/>
      <c r="E550" s="88"/>
      <c r="F550" s="88"/>
      <c r="G550" s="88"/>
      <c r="H550" s="88"/>
      <c r="I550" s="88"/>
      <c r="J550" s="88"/>
      <c r="K550" s="88"/>
      <c r="L550" s="88"/>
      <c r="M550" s="88"/>
      <c r="N550" s="88"/>
      <c r="O550" s="88"/>
      <c r="P550" s="88"/>
      <c r="Q550" s="88"/>
      <c r="R550" s="88"/>
      <c r="S550" s="88"/>
      <c r="T550" s="88"/>
      <c r="U550" s="88"/>
      <c r="V550" s="88"/>
      <c r="W550" s="88"/>
      <c r="X550" s="88"/>
      <c r="Y550" s="88"/>
      <c r="Z550" s="88"/>
      <c r="AA550" s="88"/>
    </row>
    <row r="551" spans="1:27" ht="13.2">
      <c r="A551" s="88"/>
      <c r="B551" s="88"/>
      <c r="C551" s="88"/>
      <c r="D551" s="88"/>
      <c r="E551" s="88"/>
      <c r="F551" s="88"/>
      <c r="G551" s="88"/>
      <c r="H551" s="88"/>
      <c r="I551" s="88"/>
      <c r="J551" s="88"/>
      <c r="K551" s="88"/>
      <c r="L551" s="88"/>
      <c r="M551" s="88"/>
      <c r="N551" s="88"/>
      <c r="O551" s="88"/>
      <c r="P551" s="88"/>
      <c r="Q551" s="88"/>
      <c r="R551" s="88"/>
      <c r="S551" s="88"/>
      <c r="T551" s="88"/>
      <c r="U551" s="88"/>
      <c r="V551" s="88"/>
      <c r="W551" s="88"/>
      <c r="X551" s="88"/>
      <c r="Y551" s="88"/>
      <c r="Z551" s="88"/>
      <c r="AA551" s="88"/>
    </row>
    <row r="552" spans="1:27" ht="13.2">
      <c r="A552" s="88"/>
      <c r="B552" s="88"/>
      <c r="C552" s="88"/>
      <c r="D552" s="88"/>
      <c r="E552" s="88"/>
      <c r="F552" s="88"/>
      <c r="G552" s="88"/>
      <c r="H552" s="88"/>
      <c r="I552" s="88"/>
      <c r="J552" s="88"/>
      <c r="K552" s="88"/>
      <c r="L552" s="88"/>
      <c r="M552" s="88"/>
      <c r="N552" s="88"/>
      <c r="O552" s="88"/>
      <c r="P552" s="88"/>
      <c r="Q552" s="88"/>
      <c r="R552" s="88"/>
      <c r="S552" s="88"/>
      <c r="T552" s="88"/>
      <c r="U552" s="88"/>
      <c r="V552" s="88"/>
      <c r="W552" s="88"/>
      <c r="X552" s="88"/>
      <c r="Y552" s="88"/>
      <c r="Z552" s="88"/>
      <c r="AA552" s="88"/>
    </row>
    <row r="553" spans="1:27" ht="13.2">
      <c r="A553" s="88"/>
      <c r="B553" s="88"/>
      <c r="C553" s="88"/>
      <c r="D553" s="88"/>
      <c r="E553" s="88"/>
      <c r="F553" s="88"/>
      <c r="G553" s="88"/>
      <c r="H553" s="88"/>
      <c r="I553" s="88"/>
      <c r="J553" s="88"/>
      <c r="K553" s="88"/>
      <c r="L553" s="88"/>
      <c r="M553" s="88"/>
      <c r="N553" s="88"/>
      <c r="O553" s="88"/>
      <c r="P553" s="88"/>
      <c r="Q553" s="88"/>
      <c r="R553" s="88"/>
      <c r="S553" s="88"/>
      <c r="T553" s="88"/>
      <c r="U553" s="88"/>
      <c r="V553" s="88"/>
      <c r="W553" s="88"/>
      <c r="X553" s="88"/>
      <c r="Y553" s="88"/>
      <c r="Z553" s="88"/>
      <c r="AA553" s="88"/>
    </row>
    <row r="554" spans="1:27" ht="13.2">
      <c r="A554" s="88"/>
      <c r="B554" s="88"/>
      <c r="C554" s="88"/>
      <c r="D554" s="88"/>
      <c r="E554" s="88"/>
      <c r="F554" s="88"/>
      <c r="G554" s="88"/>
      <c r="H554" s="88"/>
      <c r="I554" s="88"/>
      <c r="J554" s="88"/>
      <c r="K554" s="88"/>
      <c r="L554" s="88"/>
      <c r="M554" s="88"/>
      <c r="N554" s="88"/>
      <c r="O554" s="88"/>
      <c r="P554" s="88"/>
      <c r="Q554" s="88"/>
      <c r="R554" s="88"/>
      <c r="S554" s="88"/>
      <c r="T554" s="88"/>
      <c r="U554" s="88"/>
      <c r="V554" s="88"/>
      <c r="W554" s="88"/>
      <c r="X554" s="88"/>
      <c r="Y554" s="88"/>
      <c r="Z554" s="88"/>
      <c r="AA554" s="88"/>
    </row>
    <row r="555" spans="1:27" ht="13.2">
      <c r="A555" s="88"/>
      <c r="B555" s="88"/>
      <c r="C555" s="88"/>
      <c r="D555" s="88"/>
      <c r="E555" s="88"/>
      <c r="F555" s="88"/>
      <c r="G555" s="88"/>
      <c r="H555" s="88"/>
      <c r="I555" s="88"/>
      <c r="J555" s="88"/>
      <c r="K555" s="88"/>
      <c r="L555" s="88"/>
      <c r="M555" s="88"/>
      <c r="N555" s="88"/>
      <c r="O555" s="88"/>
      <c r="P555" s="88"/>
      <c r="Q555" s="88"/>
      <c r="R555" s="88"/>
      <c r="S555" s="88"/>
      <c r="T555" s="88"/>
      <c r="U555" s="88"/>
      <c r="V555" s="88"/>
      <c r="W555" s="88"/>
      <c r="X555" s="88"/>
      <c r="Y555" s="88"/>
      <c r="Z555" s="88"/>
      <c r="AA555" s="88"/>
    </row>
    <row r="556" spans="1:27" ht="13.2">
      <c r="A556" s="88"/>
      <c r="B556" s="88"/>
      <c r="C556" s="88"/>
      <c r="D556" s="88"/>
      <c r="E556" s="88"/>
      <c r="F556" s="88"/>
      <c r="G556" s="88"/>
      <c r="H556" s="88"/>
      <c r="I556" s="88"/>
      <c r="J556" s="88"/>
      <c r="K556" s="88"/>
      <c r="L556" s="88"/>
      <c r="M556" s="88"/>
      <c r="N556" s="88"/>
      <c r="O556" s="88"/>
      <c r="P556" s="88"/>
      <c r="Q556" s="88"/>
      <c r="R556" s="88"/>
      <c r="S556" s="88"/>
      <c r="T556" s="88"/>
      <c r="U556" s="88"/>
      <c r="V556" s="88"/>
      <c r="W556" s="88"/>
      <c r="X556" s="88"/>
      <c r="Y556" s="88"/>
      <c r="Z556" s="88"/>
      <c r="AA556" s="88"/>
    </row>
    <row r="557" spans="1:27" ht="13.2">
      <c r="A557" s="88"/>
      <c r="B557" s="88"/>
      <c r="C557" s="88"/>
      <c r="D557" s="88"/>
      <c r="E557" s="88"/>
      <c r="F557" s="88"/>
      <c r="G557" s="88"/>
      <c r="H557" s="88"/>
      <c r="I557" s="88"/>
      <c r="J557" s="88"/>
      <c r="K557" s="88"/>
      <c r="L557" s="88"/>
      <c r="M557" s="88"/>
      <c r="N557" s="88"/>
      <c r="O557" s="88"/>
      <c r="P557" s="88"/>
      <c r="Q557" s="88"/>
      <c r="R557" s="88"/>
      <c r="S557" s="88"/>
      <c r="T557" s="88"/>
      <c r="U557" s="88"/>
      <c r="V557" s="88"/>
      <c r="W557" s="88"/>
      <c r="X557" s="88"/>
      <c r="Y557" s="88"/>
      <c r="Z557" s="88"/>
      <c r="AA557" s="88"/>
    </row>
    <row r="558" spans="1:27" ht="13.2">
      <c r="A558" s="88"/>
      <c r="B558" s="88"/>
      <c r="C558" s="88"/>
      <c r="D558" s="88"/>
      <c r="E558" s="88"/>
      <c r="F558" s="88"/>
      <c r="G558" s="88"/>
      <c r="H558" s="88"/>
      <c r="I558" s="88"/>
      <c r="J558" s="88"/>
      <c r="K558" s="88"/>
      <c r="L558" s="88"/>
      <c r="M558" s="88"/>
      <c r="N558" s="88"/>
      <c r="O558" s="88"/>
      <c r="P558" s="88"/>
      <c r="Q558" s="88"/>
      <c r="R558" s="88"/>
      <c r="S558" s="88"/>
      <c r="T558" s="88"/>
      <c r="U558" s="88"/>
      <c r="V558" s="88"/>
      <c r="W558" s="88"/>
      <c r="X558" s="88"/>
      <c r="Y558" s="88"/>
      <c r="Z558" s="88"/>
      <c r="AA558" s="88"/>
    </row>
    <row r="559" spans="1:27" ht="13.2">
      <c r="A559" s="88"/>
      <c r="B559" s="88"/>
      <c r="C559" s="88"/>
      <c r="D559" s="88"/>
      <c r="E559" s="88"/>
      <c r="F559" s="88"/>
      <c r="G559" s="88"/>
      <c r="H559" s="88"/>
      <c r="I559" s="88"/>
      <c r="J559" s="88"/>
      <c r="K559" s="88"/>
      <c r="L559" s="88"/>
      <c r="M559" s="88"/>
      <c r="N559" s="88"/>
      <c r="O559" s="88"/>
      <c r="P559" s="88"/>
      <c r="Q559" s="88"/>
      <c r="R559" s="88"/>
      <c r="S559" s="88"/>
      <c r="T559" s="88"/>
      <c r="U559" s="88"/>
      <c r="V559" s="88"/>
      <c r="W559" s="88"/>
      <c r="X559" s="88"/>
      <c r="Y559" s="88"/>
      <c r="Z559" s="88"/>
      <c r="AA559" s="88"/>
    </row>
    <row r="560" spans="1:27" ht="13.2">
      <c r="A560" s="88"/>
      <c r="B560" s="88"/>
      <c r="C560" s="88"/>
      <c r="D560" s="88"/>
      <c r="E560" s="88"/>
      <c r="F560" s="88"/>
      <c r="G560" s="88"/>
      <c r="H560" s="88"/>
      <c r="I560" s="88"/>
      <c r="J560" s="88"/>
      <c r="K560" s="88"/>
      <c r="L560" s="88"/>
      <c r="M560" s="88"/>
      <c r="N560" s="88"/>
      <c r="O560" s="88"/>
      <c r="P560" s="88"/>
      <c r="Q560" s="88"/>
      <c r="R560" s="88"/>
      <c r="S560" s="88"/>
      <c r="T560" s="88"/>
      <c r="U560" s="88"/>
      <c r="V560" s="88"/>
      <c r="W560" s="88"/>
      <c r="X560" s="88"/>
      <c r="Y560" s="88"/>
      <c r="Z560" s="88"/>
      <c r="AA560" s="88"/>
    </row>
    <row r="561" spans="1:27" ht="13.2">
      <c r="A561" s="88"/>
      <c r="B561" s="88"/>
      <c r="C561" s="88"/>
      <c r="D561" s="88"/>
      <c r="E561" s="88"/>
      <c r="F561" s="88"/>
      <c r="G561" s="88"/>
      <c r="H561" s="88"/>
      <c r="I561" s="88"/>
      <c r="J561" s="88"/>
      <c r="K561" s="88"/>
      <c r="L561" s="88"/>
      <c r="M561" s="88"/>
      <c r="N561" s="88"/>
      <c r="O561" s="88"/>
      <c r="P561" s="88"/>
      <c r="Q561" s="88"/>
      <c r="R561" s="88"/>
      <c r="S561" s="88"/>
      <c r="T561" s="88"/>
      <c r="U561" s="88"/>
      <c r="V561" s="88"/>
      <c r="W561" s="88"/>
      <c r="X561" s="88"/>
      <c r="Y561" s="88"/>
      <c r="Z561" s="88"/>
      <c r="AA561" s="88"/>
    </row>
    <row r="562" spans="1:27" ht="13.2">
      <c r="A562" s="88"/>
      <c r="B562" s="88"/>
      <c r="C562" s="88"/>
      <c r="D562" s="88"/>
      <c r="E562" s="88"/>
      <c r="F562" s="88"/>
      <c r="G562" s="88"/>
      <c r="H562" s="88"/>
      <c r="I562" s="88"/>
      <c r="J562" s="88"/>
      <c r="K562" s="88"/>
      <c r="L562" s="88"/>
      <c r="M562" s="88"/>
      <c r="N562" s="88"/>
      <c r="O562" s="88"/>
      <c r="P562" s="88"/>
      <c r="Q562" s="88"/>
      <c r="R562" s="88"/>
      <c r="S562" s="88"/>
      <c r="T562" s="88"/>
      <c r="U562" s="88"/>
      <c r="V562" s="88"/>
      <c r="W562" s="88"/>
      <c r="X562" s="88"/>
      <c r="Y562" s="88"/>
      <c r="Z562" s="88"/>
      <c r="AA562" s="88"/>
    </row>
    <row r="563" spans="1:27" ht="13.2">
      <c r="A563" s="88"/>
      <c r="B563" s="88"/>
      <c r="C563" s="88"/>
      <c r="D563" s="88"/>
      <c r="E563" s="88"/>
      <c r="F563" s="88"/>
      <c r="G563" s="88"/>
      <c r="H563" s="88"/>
      <c r="I563" s="88"/>
      <c r="J563" s="88"/>
      <c r="K563" s="88"/>
      <c r="L563" s="88"/>
      <c r="M563" s="88"/>
      <c r="N563" s="88"/>
      <c r="O563" s="88"/>
      <c r="P563" s="88"/>
      <c r="Q563" s="88"/>
      <c r="R563" s="88"/>
      <c r="S563" s="88"/>
      <c r="T563" s="88"/>
      <c r="U563" s="88"/>
      <c r="V563" s="88"/>
      <c r="W563" s="88"/>
      <c r="X563" s="88"/>
      <c r="Y563" s="88"/>
      <c r="Z563" s="88"/>
      <c r="AA563" s="88"/>
    </row>
    <row r="564" spans="1:27" ht="13.2">
      <c r="A564" s="88"/>
      <c r="B564" s="88"/>
      <c r="C564" s="88"/>
      <c r="D564" s="88"/>
      <c r="E564" s="88"/>
      <c r="F564" s="88"/>
      <c r="G564" s="88"/>
      <c r="H564" s="88"/>
      <c r="I564" s="88"/>
      <c r="J564" s="88"/>
      <c r="K564" s="88"/>
      <c r="L564" s="88"/>
      <c r="M564" s="88"/>
      <c r="N564" s="88"/>
      <c r="O564" s="88"/>
      <c r="P564" s="88"/>
      <c r="Q564" s="88"/>
      <c r="R564" s="88"/>
      <c r="S564" s="88"/>
      <c r="T564" s="88"/>
      <c r="U564" s="88"/>
      <c r="V564" s="88"/>
      <c r="W564" s="88"/>
      <c r="X564" s="88"/>
      <c r="Y564" s="88"/>
      <c r="Z564" s="88"/>
      <c r="AA564" s="88"/>
    </row>
    <row r="565" spans="1:27" ht="13.2">
      <c r="A565" s="88"/>
      <c r="B565" s="88"/>
      <c r="C565" s="88"/>
      <c r="D565" s="88"/>
      <c r="E565" s="88"/>
      <c r="F565" s="88"/>
      <c r="G565" s="88"/>
      <c r="H565" s="88"/>
      <c r="I565" s="88"/>
      <c r="J565" s="88"/>
      <c r="K565" s="88"/>
      <c r="L565" s="88"/>
      <c r="M565" s="88"/>
      <c r="N565" s="88"/>
      <c r="O565" s="88"/>
      <c r="P565" s="88"/>
      <c r="Q565" s="88"/>
      <c r="R565" s="88"/>
      <c r="S565" s="88"/>
      <c r="T565" s="88"/>
      <c r="U565" s="88"/>
      <c r="V565" s="88"/>
      <c r="W565" s="88"/>
      <c r="X565" s="88"/>
      <c r="Y565" s="88"/>
      <c r="Z565" s="88"/>
      <c r="AA565" s="88"/>
    </row>
    <row r="566" spans="1:27" ht="13.2">
      <c r="A566" s="88"/>
      <c r="B566" s="88"/>
      <c r="C566" s="88"/>
      <c r="D566" s="88"/>
      <c r="E566" s="88"/>
      <c r="F566" s="88"/>
      <c r="G566" s="88"/>
      <c r="H566" s="88"/>
      <c r="I566" s="88"/>
      <c r="J566" s="88"/>
      <c r="K566" s="88"/>
      <c r="L566" s="88"/>
      <c r="M566" s="88"/>
      <c r="N566" s="88"/>
      <c r="O566" s="88"/>
      <c r="P566" s="88"/>
      <c r="Q566" s="88"/>
      <c r="R566" s="88"/>
      <c r="S566" s="88"/>
      <c r="T566" s="88"/>
      <c r="U566" s="88"/>
      <c r="V566" s="88"/>
      <c r="W566" s="88"/>
      <c r="X566" s="88"/>
      <c r="Y566" s="88"/>
      <c r="Z566" s="88"/>
      <c r="AA566" s="88"/>
    </row>
    <row r="567" spans="1:27" ht="13.2">
      <c r="A567" s="88"/>
      <c r="B567" s="88"/>
      <c r="C567" s="88"/>
      <c r="D567" s="88"/>
      <c r="E567" s="88"/>
      <c r="F567" s="88"/>
      <c r="G567" s="88"/>
      <c r="H567" s="88"/>
      <c r="I567" s="88"/>
      <c r="J567" s="88"/>
      <c r="K567" s="88"/>
      <c r="L567" s="88"/>
      <c r="M567" s="88"/>
      <c r="N567" s="88"/>
      <c r="O567" s="88"/>
      <c r="P567" s="88"/>
      <c r="Q567" s="88"/>
      <c r="R567" s="88"/>
      <c r="S567" s="88"/>
      <c r="T567" s="88"/>
      <c r="U567" s="88"/>
      <c r="V567" s="88"/>
      <c r="W567" s="88"/>
      <c r="X567" s="88"/>
      <c r="Y567" s="88"/>
      <c r="Z567" s="88"/>
      <c r="AA567" s="88"/>
    </row>
    <row r="568" spans="1:27" ht="13.2">
      <c r="A568" s="88"/>
      <c r="B568" s="88"/>
      <c r="C568" s="88"/>
      <c r="D568" s="88"/>
      <c r="E568" s="88"/>
      <c r="F568" s="88"/>
      <c r="G568" s="88"/>
      <c r="H568" s="88"/>
      <c r="I568" s="88"/>
      <c r="J568" s="88"/>
      <c r="K568" s="88"/>
      <c r="L568" s="88"/>
      <c r="M568" s="88"/>
      <c r="N568" s="88"/>
      <c r="O568" s="88"/>
      <c r="P568" s="88"/>
      <c r="Q568" s="88"/>
      <c r="R568" s="88"/>
      <c r="S568" s="88"/>
      <c r="T568" s="88"/>
      <c r="U568" s="88"/>
      <c r="V568" s="88"/>
      <c r="W568" s="88"/>
      <c r="X568" s="88"/>
      <c r="Y568" s="88"/>
      <c r="Z568" s="88"/>
      <c r="AA568" s="88"/>
    </row>
    <row r="569" spans="1:27" ht="13.2">
      <c r="A569" s="88"/>
      <c r="B569" s="88"/>
      <c r="C569" s="88"/>
      <c r="D569" s="88"/>
      <c r="E569" s="88"/>
      <c r="F569" s="88"/>
      <c r="G569" s="88"/>
      <c r="H569" s="88"/>
      <c r="I569" s="88"/>
      <c r="J569" s="88"/>
      <c r="K569" s="88"/>
      <c r="L569" s="88"/>
      <c r="M569" s="88"/>
      <c r="N569" s="88"/>
      <c r="O569" s="88"/>
      <c r="P569" s="88"/>
      <c r="Q569" s="88"/>
      <c r="R569" s="88"/>
      <c r="S569" s="88"/>
      <c r="T569" s="88"/>
      <c r="U569" s="88"/>
      <c r="V569" s="88"/>
      <c r="W569" s="88"/>
      <c r="X569" s="88"/>
      <c r="Y569" s="88"/>
      <c r="Z569" s="88"/>
      <c r="AA569" s="88"/>
    </row>
    <row r="570" spans="1:27" ht="13.2">
      <c r="A570" s="88"/>
      <c r="B570" s="88"/>
      <c r="C570" s="88"/>
      <c r="D570" s="88"/>
      <c r="E570" s="88"/>
      <c r="F570" s="88"/>
      <c r="G570" s="88"/>
      <c r="H570" s="88"/>
      <c r="I570" s="88"/>
      <c r="J570" s="88"/>
      <c r="K570" s="88"/>
      <c r="L570" s="88"/>
      <c r="M570" s="88"/>
      <c r="N570" s="88"/>
      <c r="O570" s="88"/>
      <c r="P570" s="88"/>
      <c r="Q570" s="88"/>
      <c r="R570" s="88"/>
      <c r="S570" s="88"/>
      <c r="T570" s="88"/>
      <c r="U570" s="88"/>
      <c r="V570" s="88"/>
      <c r="W570" s="88"/>
      <c r="X570" s="88"/>
      <c r="Y570" s="88"/>
      <c r="Z570" s="88"/>
      <c r="AA570" s="88"/>
    </row>
    <row r="571" spans="1:27" ht="13.2">
      <c r="A571" s="88"/>
      <c r="B571" s="88"/>
      <c r="C571" s="88"/>
      <c r="D571" s="88"/>
      <c r="E571" s="88"/>
      <c r="F571" s="88"/>
      <c r="G571" s="88"/>
      <c r="H571" s="88"/>
      <c r="I571" s="88"/>
      <c r="J571" s="88"/>
      <c r="K571" s="88"/>
      <c r="L571" s="88"/>
      <c r="M571" s="88"/>
      <c r="N571" s="88"/>
      <c r="O571" s="88"/>
      <c r="P571" s="88"/>
      <c r="Q571" s="88"/>
      <c r="R571" s="88"/>
      <c r="S571" s="88"/>
      <c r="T571" s="88"/>
      <c r="U571" s="88"/>
      <c r="V571" s="88"/>
      <c r="W571" s="88"/>
      <c r="X571" s="88"/>
      <c r="Y571" s="88"/>
      <c r="Z571" s="88"/>
      <c r="AA571" s="88"/>
    </row>
    <row r="572" spans="1:27" ht="13.2">
      <c r="A572" s="88"/>
      <c r="B572" s="88"/>
      <c r="C572" s="88"/>
      <c r="D572" s="88"/>
      <c r="E572" s="88"/>
      <c r="F572" s="88"/>
      <c r="G572" s="88"/>
      <c r="H572" s="88"/>
      <c r="I572" s="88"/>
      <c r="J572" s="88"/>
      <c r="K572" s="88"/>
      <c r="L572" s="88"/>
      <c r="M572" s="88"/>
      <c r="N572" s="88"/>
      <c r="O572" s="88"/>
      <c r="P572" s="88"/>
      <c r="Q572" s="88"/>
      <c r="R572" s="88"/>
      <c r="S572" s="88"/>
      <c r="T572" s="88"/>
      <c r="U572" s="88"/>
      <c r="V572" s="88"/>
      <c r="W572" s="88"/>
      <c r="X572" s="88"/>
      <c r="Y572" s="88"/>
      <c r="Z572" s="88"/>
      <c r="AA572" s="88"/>
    </row>
    <row r="573" spans="1:27" ht="13.2">
      <c r="A573" s="88"/>
      <c r="B573" s="88"/>
      <c r="C573" s="88"/>
      <c r="D573" s="88"/>
      <c r="E573" s="88"/>
      <c r="F573" s="88"/>
      <c r="G573" s="88"/>
      <c r="H573" s="88"/>
      <c r="I573" s="88"/>
      <c r="J573" s="88"/>
      <c r="K573" s="88"/>
      <c r="L573" s="88"/>
      <c r="M573" s="88"/>
      <c r="N573" s="88"/>
      <c r="O573" s="88"/>
      <c r="P573" s="88"/>
      <c r="Q573" s="88"/>
      <c r="R573" s="88"/>
      <c r="S573" s="88"/>
      <c r="T573" s="88"/>
      <c r="U573" s="88"/>
      <c r="V573" s="88"/>
      <c r="W573" s="88"/>
      <c r="X573" s="88"/>
      <c r="Y573" s="88"/>
      <c r="Z573" s="88"/>
      <c r="AA573" s="88"/>
    </row>
    <row r="574" spans="1:27" ht="13.2">
      <c r="A574" s="88"/>
      <c r="B574" s="88"/>
      <c r="C574" s="88"/>
      <c r="D574" s="88"/>
      <c r="E574" s="88"/>
      <c r="F574" s="88"/>
      <c r="G574" s="88"/>
      <c r="H574" s="88"/>
      <c r="I574" s="88"/>
      <c r="J574" s="88"/>
      <c r="K574" s="88"/>
      <c r="L574" s="88"/>
      <c r="M574" s="88"/>
      <c r="N574" s="88"/>
      <c r="O574" s="88"/>
      <c r="P574" s="88"/>
      <c r="Q574" s="88"/>
      <c r="R574" s="88"/>
      <c r="S574" s="88"/>
      <c r="T574" s="88"/>
      <c r="U574" s="88"/>
      <c r="V574" s="88"/>
      <c r="W574" s="88"/>
      <c r="X574" s="88"/>
      <c r="Y574" s="88"/>
      <c r="Z574" s="88"/>
      <c r="AA574" s="88"/>
    </row>
    <row r="575" spans="1:27" ht="13.2">
      <c r="A575" s="88"/>
      <c r="B575" s="88"/>
      <c r="C575" s="88"/>
      <c r="D575" s="88"/>
      <c r="E575" s="88"/>
      <c r="F575" s="88"/>
      <c r="G575" s="88"/>
      <c r="H575" s="88"/>
      <c r="I575" s="88"/>
      <c r="J575" s="88"/>
      <c r="K575" s="88"/>
      <c r="L575" s="88"/>
      <c r="M575" s="88"/>
      <c r="N575" s="88"/>
      <c r="O575" s="88"/>
      <c r="P575" s="88"/>
      <c r="Q575" s="88"/>
      <c r="R575" s="88"/>
      <c r="S575" s="88"/>
      <c r="T575" s="88"/>
      <c r="U575" s="88"/>
      <c r="V575" s="88"/>
      <c r="W575" s="88"/>
      <c r="X575" s="88"/>
      <c r="Y575" s="88"/>
      <c r="Z575" s="88"/>
      <c r="AA575" s="88"/>
    </row>
    <row r="576" spans="1:27" ht="13.2">
      <c r="A576" s="88"/>
      <c r="B576" s="88"/>
      <c r="C576" s="88"/>
      <c r="D576" s="88"/>
      <c r="E576" s="88"/>
      <c r="F576" s="88"/>
      <c r="G576" s="88"/>
      <c r="H576" s="88"/>
      <c r="I576" s="88"/>
      <c r="J576" s="88"/>
      <c r="K576" s="88"/>
      <c r="L576" s="88"/>
      <c r="M576" s="88"/>
      <c r="N576" s="88"/>
      <c r="O576" s="88"/>
      <c r="P576" s="88"/>
      <c r="Q576" s="88"/>
      <c r="R576" s="88"/>
      <c r="S576" s="88"/>
      <c r="T576" s="88"/>
      <c r="U576" s="88"/>
      <c r="V576" s="88"/>
      <c r="W576" s="88"/>
      <c r="X576" s="88"/>
      <c r="Y576" s="88"/>
      <c r="Z576" s="88"/>
      <c r="AA576" s="88"/>
    </row>
    <row r="577" spans="1:27" ht="13.2">
      <c r="A577" s="88"/>
      <c r="B577" s="88"/>
      <c r="C577" s="88"/>
      <c r="D577" s="88"/>
      <c r="E577" s="88"/>
      <c r="F577" s="88"/>
      <c r="G577" s="88"/>
      <c r="H577" s="88"/>
      <c r="I577" s="88"/>
      <c r="J577" s="88"/>
      <c r="K577" s="88"/>
      <c r="L577" s="88"/>
      <c r="M577" s="88"/>
      <c r="N577" s="88"/>
      <c r="O577" s="88"/>
      <c r="P577" s="88"/>
      <c r="Q577" s="88"/>
      <c r="R577" s="88"/>
      <c r="S577" s="88"/>
      <c r="T577" s="88"/>
      <c r="U577" s="88"/>
      <c r="V577" s="88"/>
      <c r="W577" s="88"/>
      <c r="X577" s="88"/>
      <c r="Y577" s="88"/>
      <c r="Z577" s="88"/>
      <c r="AA577" s="88"/>
    </row>
    <row r="578" spans="1:27" ht="13.2">
      <c r="A578" s="88"/>
      <c r="B578" s="88"/>
      <c r="C578" s="88"/>
      <c r="D578" s="88"/>
      <c r="E578" s="88"/>
      <c r="F578" s="88"/>
      <c r="G578" s="88"/>
      <c r="H578" s="88"/>
      <c r="I578" s="88"/>
      <c r="J578" s="88"/>
      <c r="K578" s="88"/>
      <c r="L578" s="88"/>
      <c r="M578" s="88"/>
      <c r="N578" s="88"/>
      <c r="O578" s="88"/>
      <c r="P578" s="88"/>
      <c r="Q578" s="88"/>
      <c r="R578" s="88"/>
      <c r="S578" s="88"/>
      <c r="T578" s="88"/>
      <c r="U578" s="88"/>
      <c r="V578" s="88"/>
      <c r="W578" s="88"/>
      <c r="X578" s="88"/>
      <c r="Y578" s="88"/>
      <c r="Z578" s="88"/>
      <c r="AA578" s="88"/>
    </row>
    <row r="579" spans="1:27" ht="13.2">
      <c r="A579" s="88"/>
      <c r="B579" s="88"/>
      <c r="C579" s="88"/>
      <c r="D579" s="88"/>
      <c r="E579" s="88"/>
      <c r="F579" s="88"/>
      <c r="G579" s="88"/>
      <c r="H579" s="88"/>
      <c r="I579" s="88"/>
      <c r="J579" s="88"/>
      <c r="K579" s="88"/>
      <c r="L579" s="88"/>
      <c r="M579" s="88"/>
      <c r="N579" s="88"/>
      <c r="O579" s="88"/>
      <c r="P579" s="88"/>
      <c r="Q579" s="88"/>
      <c r="R579" s="88"/>
      <c r="S579" s="88"/>
      <c r="T579" s="88"/>
      <c r="U579" s="88"/>
      <c r="V579" s="88"/>
      <c r="W579" s="88"/>
      <c r="X579" s="88"/>
      <c r="Y579" s="88"/>
      <c r="Z579" s="88"/>
      <c r="AA579" s="88"/>
    </row>
    <row r="580" spans="1:27" ht="13.2">
      <c r="A580" s="88"/>
      <c r="B580" s="88"/>
      <c r="C580" s="88"/>
      <c r="D580" s="88"/>
      <c r="E580" s="88"/>
      <c r="F580" s="88"/>
      <c r="G580" s="88"/>
      <c r="H580" s="88"/>
      <c r="I580" s="88"/>
      <c r="J580" s="88"/>
      <c r="K580" s="88"/>
      <c r="L580" s="88"/>
      <c r="M580" s="88"/>
      <c r="N580" s="88"/>
      <c r="O580" s="88"/>
      <c r="P580" s="88"/>
      <c r="Q580" s="88"/>
      <c r="R580" s="88"/>
      <c r="S580" s="88"/>
      <c r="T580" s="88"/>
      <c r="U580" s="88"/>
      <c r="V580" s="88"/>
      <c r="W580" s="88"/>
      <c r="X580" s="88"/>
      <c r="Y580" s="88"/>
      <c r="Z580" s="88"/>
      <c r="AA580" s="88"/>
    </row>
    <row r="581" spans="1:27" ht="13.2">
      <c r="A581" s="88"/>
      <c r="B581" s="88"/>
      <c r="C581" s="88"/>
      <c r="D581" s="88"/>
      <c r="E581" s="88"/>
      <c r="F581" s="88"/>
      <c r="G581" s="88"/>
      <c r="H581" s="88"/>
      <c r="I581" s="88"/>
      <c r="J581" s="88"/>
      <c r="K581" s="88"/>
      <c r="L581" s="88"/>
      <c r="M581" s="88"/>
      <c r="N581" s="88"/>
      <c r="O581" s="88"/>
      <c r="P581" s="88"/>
      <c r="Q581" s="88"/>
      <c r="R581" s="88"/>
      <c r="S581" s="88"/>
      <c r="T581" s="88"/>
      <c r="U581" s="88"/>
      <c r="V581" s="88"/>
      <c r="W581" s="88"/>
      <c r="X581" s="88"/>
      <c r="Y581" s="88"/>
      <c r="Z581" s="88"/>
      <c r="AA581" s="88"/>
    </row>
    <row r="582" spans="1:27" ht="13.2">
      <c r="A582" s="88"/>
      <c r="B582" s="88"/>
      <c r="C582" s="88"/>
      <c r="D582" s="88"/>
      <c r="E582" s="88"/>
      <c r="F582" s="88"/>
      <c r="G582" s="88"/>
      <c r="H582" s="88"/>
      <c r="I582" s="88"/>
      <c r="J582" s="88"/>
      <c r="K582" s="88"/>
      <c r="L582" s="88"/>
      <c r="M582" s="88"/>
      <c r="N582" s="88"/>
      <c r="O582" s="88"/>
      <c r="P582" s="88"/>
      <c r="Q582" s="88"/>
      <c r="R582" s="88"/>
      <c r="S582" s="88"/>
      <c r="T582" s="88"/>
      <c r="U582" s="88"/>
      <c r="V582" s="88"/>
      <c r="W582" s="88"/>
      <c r="X582" s="88"/>
      <c r="Y582" s="88"/>
      <c r="Z582" s="88"/>
      <c r="AA582" s="88"/>
    </row>
    <row r="583" spans="1:27" ht="13.2">
      <c r="A583" s="88"/>
      <c r="B583" s="88"/>
      <c r="C583" s="88"/>
      <c r="D583" s="88"/>
      <c r="E583" s="88"/>
      <c r="F583" s="88"/>
      <c r="G583" s="88"/>
      <c r="H583" s="88"/>
      <c r="I583" s="88"/>
      <c r="J583" s="88"/>
      <c r="K583" s="88"/>
      <c r="L583" s="88"/>
      <c r="M583" s="88"/>
      <c r="N583" s="88"/>
      <c r="O583" s="88"/>
      <c r="P583" s="88"/>
      <c r="Q583" s="88"/>
      <c r="R583" s="88"/>
      <c r="S583" s="88"/>
      <c r="T583" s="88"/>
      <c r="U583" s="88"/>
      <c r="V583" s="88"/>
      <c r="W583" s="88"/>
      <c r="X583" s="88"/>
      <c r="Y583" s="88"/>
      <c r="Z583" s="88"/>
      <c r="AA583" s="88"/>
    </row>
    <row r="584" spans="1:27" ht="13.2">
      <c r="A584" s="88"/>
      <c r="B584" s="88"/>
      <c r="C584" s="88"/>
      <c r="D584" s="88"/>
      <c r="E584" s="88"/>
      <c r="F584" s="88"/>
      <c r="G584" s="88"/>
      <c r="H584" s="88"/>
      <c r="I584" s="88"/>
      <c r="J584" s="88"/>
      <c r="K584" s="88"/>
      <c r="L584" s="88"/>
      <c r="M584" s="88"/>
      <c r="N584" s="88"/>
      <c r="O584" s="88"/>
      <c r="P584" s="88"/>
      <c r="Q584" s="88"/>
      <c r="R584" s="88"/>
      <c r="S584" s="88"/>
      <c r="T584" s="88"/>
      <c r="U584" s="88"/>
      <c r="V584" s="88"/>
      <c r="W584" s="88"/>
      <c r="X584" s="88"/>
      <c r="Y584" s="88"/>
      <c r="Z584" s="88"/>
      <c r="AA584" s="88"/>
    </row>
    <row r="585" spans="1:27" ht="13.2">
      <c r="A585" s="88"/>
      <c r="B585" s="88"/>
      <c r="C585" s="88"/>
      <c r="D585" s="88"/>
      <c r="E585" s="88"/>
      <c r="F585" s="88"/>
      <c r="G585" s="88"/>
      <c r="H585" s="88"/>
      <c r="I585" s="88"/>
      <c r="J585" s="88"/>
      <c r="K585" s="88"/>
      <c r="L585" s="88"/>
      <c r="M585" s="88"/>
      <c r="N585" s="88"/>
      <c r="O585" s="88"/>
      <c r="P585" s="88"/>
      <c r="Q585" s="88"/>
      <c r="R585" s="88"/>
      <c r="S585" s="88"/>
      <c r="T585" s="88"/>
      <c r="U585" s="88"/>
      <c r="V585" s="88"/>
      <c r="W585" s="88"/>
      <c r="X585" s="88"/>
      <c r="Y585" s="88"/>
      <c r="Z585" s="88"/>
      <c r="AA585" s="88"/>
    </row>
    <row r="586" spans="1:27" ht="13.2">
      <c r="A586" s="88"/>
      <c r="B586" s="88"/>
      <c r="C586" s="88"/>
      <c r="D586" s="88"/>
      <c r="E586" s="88"/>
      <c r="F586" s="88"/>
      <c r="G586" s="88"/>
      <c r="H586" s="88"/>
      <c r="I586" s="88"/>
      <c r="J586" s="88"/>
      <c r="K586" s="88"/>
      <c r="L586" s="88"/>
      <c r="M586" s="88"/>
      <c r="N586" s="88"/>
      <c r="O586" s="88"/>
      <c r="P586" s="88"/>
      <c r="Q586" s="88"/>
      <c r="R586" s="88"/>
      <c r="S586" s="88"/>
      <c r="T586" s="88"/>
      <c r="U586" s="88"/>
      <c r="V586" s="88"/>
      <c r="W586" s="88"/>
      <c r="X586" s="88"/>
      <c r="Y586" s="88"/>
      <c r="Z586" s="88"/>
      <c r="AA586" s="88"/>
    </row>
    <row r="587" spans="1:27" ht="13.2">
      <c r="A587" s="88"/>
      <c r="B587" s="88"/>
      <c r="C587" s="88"/>
      <c r="D587" s="88"/>
      <c r="E587" s="88"/>
      <c r="F587" s="88"/>
      <c r="G587" s="88"/>
      <c r="H587" s="88"/>
      <c r="I587" s="88"/>
      <c r="J587" s="88"/>
      <c r="K587" s="88"/>
      <c r="L587" s="88"/>
      <c r="M587" s="88"/>
      <c r="N587" s="88"/>
      <c r="O587" s="88"/>
      <c r="P587" s="88"/>
      <c r="Q587" s="88"/>
      <c r="R587" s="88"/>
      <c r="S587" s="88"/>
      <c r="T587" s="88"/>
      <c r="U587" s="88"/>
      <c r="V587" s="88"/>
      <c r="W587" s="88"/>
      <c r="X587" s="88"/>
      <c r="Y587" s="88"/>
      <c r="Z587" s="88"/>
      <c r="AA587" s="88"/>
    </row>
    <row r="588" spans="1:27" ht="13.2">
      <c r="A588" s="88"/>
      <c r="B588" s="88"/>
      <c r="C588" s="88"/>
      <c r="D588" s="88"/>
      <c r="E588" s="88"/>
      <c r="F588" s="88"/>
      <c r="G588" s="88"/>
      <c r="H588" s="88"/>
      <c r="I588" s="88"/>
      <c r="J588" s="88"/>
      <c r="K588" s="88"/>
      <c r="L588" s="88"/>
      <c r="M588" s="88"/>
      <c r="N588" s="88"/>
      <c r="O588" s="88"/>
      <c r="P588" s="88"/>
      <c r="Q588" s="88"/>
      <c r="R588" s="88"/>
      <c r="S588" s="88"/>
      <c r="T588" s="88"/>
      <c r="U588" s="88"/>
      <c r="V588" s="88"/>
      <c r="W588" s="88"/>
      <c r="X588" s="88"/>
      <c r="Y588" s="88"/>
      <c r="Z588" s="88"/>
      <c r="AA588" s="88"/>
    </row>
    <row r="589" spans="1:27" ht="13.2">
      <c r="A589" s="88"/>
      <c r="B589" s="88"/>
      <c r="C589" s="88"/>
      <c r="D589" s="88"/>
      <c r="E589" s="88"/>
      <c r="F589" s="88"/>
      <c r="G589" s="88"/>
      <c r="H589" s="88"/>
      <c r="I589" s="88"/>
      <c r="J589" s="88"/>
      <c r="K589" s="88"/>
      <c r="L589" s="88"/>
      <c r="M589" s="88"/>
      <c r="N589" s="88"/>
      <c r="O589" s="88"/>
      <c r="P589" s="88"/>
      <c r="Q589" s="88"/>
      <c r="R589" s="88"/>
      <c r="S589" s="88"/>
      <c r="T589" s="88"/>
      <c r="U589" s="88"/>
      <c r="V589" s="88"/>
      <c r="W589" s="88"/>
      <c r="X589" s="88"/>
      <c r="Y589" s="88"/>
      <c r="Z589" s="88"/>
      <c r="AA589" s="88"/>
    </row>
    <row r="590" spans="1:27" ht="13.2">
      <c r="A590" s="88"/>
      <c r="B590" s="88"/>
      <c r="C590" s="88"/>
      <c r="D590" s="88"/>
      <c r="E590" s="88"/>
      <c r="F590" s="88"/>
      <c r="G590" s="88"/>
      <c r="H590" s="88"/>
      <c r="I590" s="88"/>
      <c r="J590" s="88"/>
      <c r="K590" s="88"/>
      <c r="L590" s="88"/>
      <c r="M590" s="88"/>
      <c r="N590" s="88"/>
      <c r="O590" s="88"/>
      <c r="P590" s="88"/>
      <c r="Q590" s="88"/>
      <c r="R590" s="88"/>
      <c r="S590" s="88"/>
      <c r="T590" s="88"/>
      <c r="U590" s="88"/>
      <c r="V590" s="88"/>
      <c r="W590" s="88"/>
      <c r="X590" s="88"/>
      <c r="Y590" s="88"/>
      <c r="Z590" s="88"/>
      <c r="AA590" s="88"/>
    </row>
    <row r="591" spans="1:27" ht="13.2">
      <c r="A591" s="88"/>
      <c r="B591" s="88"/>
      <c r="C591" s="88"/>
      <c r="D591" s="88"/>
      <c r="E591" s="88"/>
      <c r="F591" s="88"/>
      <c r="G591" s="88"/>
      <c r="H591" s="88"/>
      <c r="I591" s="88"/>
      <c r="J591" s="88"/>
      <c r="K591" s="88"/>
      <c r="L591" s="88"/>
      <c r="M591" s="88"/>
      <c r="N591" s="88"/>
      <c r="O591" s="88"/>
      <c r="P591" s="88"/>
      <c r="Q591" s="88"/>
      <c r="R591" s="88"/>
      <c r="S591" s="88"/>
      <c r="T591" s="88"/>
      <c r="U591" s="88"/>
      <c r="V591" s="88"/>
      <c r="W591" s="88"/>
      <c r="X591" s="88"/>
      <c r="Y591" s="88"/>
      <c r="Z591" s="88"/>
      <c r="AA591" s="88"/>
    </row>
    <row r="592" spans="1:27" ht="13.2">
      <c r="A592" s="88"/>
      <c r="B592" s="88"/>
      <c r="C592" s="88"/>
      <c r="D592" s="88"/>
      <c r="E592" s="88"/>
      <c r="F592" s="88"/>
      <c r="G592" s="88"/>
      <c r="H592" s="88"/>
      <c r="I592" s="88"/>
      <c r="J592" s="88"/>
      <c r="K592" s="88"/>
      <c r="L592" s="88"/>
      <c r="M592" s="88"/>
      <c r="N592" s="88"/>
      <c r="O592" s="88"/>
      <c r="P592" s="88"/>
      <c r="Q592" s="88"/>
      <c r="R592" s="88"/>
      <c r="S592" s="88"/>
      <c r="T592" s="88"/>
      <c r="U592" s="88"/>
      <c r="V592" s="88"/>
      <c r="W592" s="88"/>
      <c r="X592" s="88"/>
      <c r="Y592" s="88"/>
      <c r="Z592" s="88"/>
      <c r="AA592" s="88"/>
    </row>
    <row r="593" spans="1:27" ht="13.2">
      <c r="A593" s="88"/>
      <c r="B593" s="88"/>
      <c r="C593" s="88"/>
      <c r="D593" s="88"/>
      <c r="E593" s="88"/>
      <c r="F593" s="88"/>
      <c r="G593" s="88"/>
      <c r="H593" s="88"/>
      <c r="I593" s="88"/>
      <c r="J593" s="88"/>
      <c r="K593" s="88"/>
      <c r="L593" s="88"/>
      <c r="M593" s="88"/>
      <c r="N593" s="88"/>
      <c r="O593" s="88"/>
      <c r="P593" s="88"/>
      <c r="Q593" s="88"/>
      <c r="R593" s="88"/>
      <c r="S593" s="88"/>
      <c r="T593" s="88"/>
      <c r="U593" s="88"/>
      <c r="V593" s="88"/>
      <c r="W593" s="88"/>
      <c r="X593" s="88"/>
      <c r="Y593" s="88"/>
      <c r="Z593" s="88"/>
      <c r="AA593" s="88"/>
    </row>
    <row r="594" spans="1:27" ht="13.2">
      <c r="A594" s="88"/>
      <c r="B594" s="88"/>
      <c r="C594" s="88"/>
      <c r="D594" s="88"/>
      <c r="E594" s="88"/>
      <c r="F594" s="88"/>
      <c r="G594" s="88"/>
      <c r="H594" s="88"/>
      <c r="I594" s="88"/>
      <c r="J594" s="88"/>
      <c r="K594" s="88"/>
      <c r="L594" s="88"/>
      <c r="M594" s="88"/>
      <c r="N594" s="88"/>
      <c r="O594" s="88"/>
      <c r="P594" s="88"/>
      <c r="Q594" s="88"/>
      <c r="R594" s="88"/>
      <c r="S594" s="88"/>
      <c r="T594" s="88"/>
      <c r="U594" s="88"/>
      <c r="V594" s="88"/>
      <c r="W594" s="88"/>
      <c r="X594" s="88"/>
      <c r="Y594" s="88"/>
      <c r="Z594" s="88"/>
      <c r="AA594" s="88"/>
    </row>
    <row r="595" spans="1:27" ht="13.2">
      <c r="A595" s="88"/>
      <c r="B595" s="88"/>
      <c r="C595" s="88"/>
      <c r="D595" s="88"/>
      <c r="E595" s="88"/>
      <c r="F595" s="88"/>
      <c r="G595" s="88"/>
      <c r="H595" s="88"/>
      <c r="I595" s="88"/>
      <c r="J595" s="88"/>
      <c r="K595" s="88"/>
      <c r="L595" s="88"/>
      <c r="M595" s="88"/>
      <c r="N595" s="88"/>
      <c r="O595" s="88"/>
      <c r="P595" s="88"/>
      <c r="Q595" s="88"/>
      <c r="R595" s="88"/>
      <c r="S595" s="88"/>
      <c r="T595" s="88"/>
      <c r="U595" s="88"/>
      <c r="V595" s="88"/>
      <c r="W595" s="88"/>
      <c r="X595" s="88"/>
      <c r="Y595" s="88"/>
      <c r="Z595" s="88"/>
      <c r="AA595" s="88"/>
    </row>
    <row r="596" spans="1:27" ht="13.2">
      <c r="A596" s="88"/>
      <c r="B596" s="88"/>
      <c r="C596" s="88"/>
      <c r="D596" s="88"/>
      <c r="E596" s="88"/>
      <c r="F596" s="88"/>
      <c r="G596" s="88"/>
      <c r="H596" s="88"/>
      <c r="I596" s="88"/>
      <c r="J596" s="88"/>
      <c r="K596" s="88"/>
      <c r="L596" s="88"/>
      <c r="M596" s="88"/>
      <c r="N596" s="88"/>
      <c r="O596" s="88"/>
      <c r="P596" s="88"/>
      <c r="Q596" s="88"/>
      <c r="R596" s="88"/>
      <c r="S596" s="88"/>
      <c r="T596" s="88"/>
      <c r="U596" s="88"/>
      <c r="V596" s="88"/>
      <c r="W596" s="88"/>
      <c r="X596" s="88"/>
      <c r="Y596" s="88"/>
      <c r="Z596" s="88"/>
      <c r="AA596" s="88"/>
    </row>
    <row r="597" spans="1:27" ht="13.2">
      <c r="A597" s="88"/>
      <c r="B597" s="88"/>
      <c r="C597" s="88"/>
      <c r="D597" s="88"/>
      <c r="E597" s="88"/>
      <c r="F597" s="88"/>
      <c r="G597" s="88"/>
      <c r="H597" s="88"/>
      <c r="I597" s="88"/>
      <c r="J597" s="88"/>
      <c r="K597" s="88"/>
      <c r="L597" s="88"/>
      <c r="M597" s="88"/>
      <c r="N597" s="88"/>
      <c r="O597" s="88"/>
      <c r="P597" s="88"/>
      <c r="Q597" s="88"/>
      <c r="R597" s="88"/>
      <c r="S597" s="88"/>
      <c r="T597" s="88"/>
      <c r="U597" s="88"/>
      <c r="V597" s="88"/>
      <c r="W597" s="88"/>
      <c r="X597" s="88"/>
      <c r="Y597" s="88"/>
      <c r="Z597" s="88"/>
      <c r="AA597" s="88"/>
    </row>
    <row r="598" spans="1:27" ht="13.2">
      <c r="A598" s="88"/>
      <c r="B598" s="88"/>
      <c r="C598" s="88"/>
      <c r="D598" s="88"/>
      <c r="E598" s="88"/>
      <c r="F598" s="88"/>
      <c r="G598" s="88"/>
      <c r="H598" s="88"/>
      <c r="I598" s="88"/>
      <c r="J598" s="88"/>
      <c r="K598" s="88"/>
      <c r="L598" s="88"/>
      <c r="M598" s="88"/>
      <c r="N598" s="88"/>
      <c r="O598" s="88"/>
      <c r="P598" s="88"/>
      <c r="Q598" s="88"/>
      <c r="R598" s="88"/>
      <c r="S598" s="88"/>
      <c r="T598" s="88"/>
      <c r="U598" s="88"/>
      <c r="V598" s="88"/>
      <c r="W598" s="88"/>
      <c r="X598" s="88"/>
      <c r="Y598" s="88"/>
      <c r="Z598" s="88"/>
      <c r="AA598" s="88"/>
    </row>
    <row r="599" spans="1:27" ht="13.2">
      <c r="A599" s="88"/>
      <c r="B599" s="88"/>
      <c r="C599" s="88"/>
      <c r="D599" s="88"/>
      <c r="E599" s="88"/>
      <c r="F599" s="88"/>
      <c r="G599" s="88"/>
      <c r="H599" s="88"/>
      <c r="I599" s="88"/>
      <c r="J599" s="88"/>
      <c r="K599" s="88"/>
      <c r="L599" s="88"/>
      <c r="M599" s="88"/>
      <c r="N599" s="88"/>
      <c r="O599" s="88"/>
      <c r="P599" s="88"/>
      <c r="Q599" s="88"/>
      <c r="R599" s="88"/>
      <c r="S599" s="88"/>
      <c r="T599" s="88"/>
      <c r="U599" s="88"/>
      <c r="V599" s="88"/>
      <c r="W599" s="88"/>
      <c r="X599" s="88"/>
      <c r="Y599" s="88"/>
      <c r="Z599" s="88"/>
      <c r="AA599" s="88"/>
    </row>
    <row r="600" spans="1:27" ht="13.2">
      <c r="A600" s="88"/>
      <c r="B600" s="88"/>
      <c r="C600" s="88"/>
      <c r="D600" s="88"/>
      <c r="E600" s="88"/>
      <c r="F600" s="88"/>
      <c r="G600" s="88"/>
      <c r="H600" s="88"/>
      <c r="I600" s="88"/>
      <c r="J600" s="88"/>
      <c r="K600" s="88"/>
      <c r="L600" s="88"/>
      <c r="M600" s="88"/>
      <c r="N600" s="88"/>
      <c r="O600" s="88"/>
      <c r="P600" s="88"/>
      <c r="Q600" s="88"/>
      <c r="R600" s="88"/>
      <c r="S600" s="88"/>
      <c r="T600" s="88"/>
      <c r="U600" s="88"/>
      <c r="V600" s="88"/>
      <c r="W600" s="88"/>
      <c r="X600" s="88"/>
      <c r="Y600" s="88"/>
      <c r="Z600" s="88"/>
      <c r="AA600" s="88"/>
    </row>
    <row r="601" spans="1:27" ht="13.2">
      <c r="A601" s="88"/>
      <c r="B601" s="88"/>
      <c r="C601" s="88"/>
      <c r="D601" s="88"/>
      <c r="E601" s="88"/>
      <c r="F601" s="88"/>
      <c r="G601" s="88"/>
      <c r="H601" s="88"/>
      <c r="I601" s="88"/>
      <c r="J601" s="88"/>
      <c r="K601" s="88"/>
      <c r="L601" s="88"/>
      <c r="M601" s="88"/>
      <c r="N601" s="88"/>
      <c r="O601" s="88"/>
      <c r="P601" s="88"/>
      <c r="Q601" s="88"/>
      <c r="R601" s="88"/>
      <c r="S601" s="88"/>
      <c r="T601" s="88"/>
      <c r="U601" s="88"/>
      <c r="V601" s="88"/>
      <c r="W601" s="88"/>
      <c r="X601" s="88"/>
      <c r="Y601" s="88"/>
      <c r="Z601" s="88"/>
      <c r="AA601" s="88"/>
    </row>
    <row r="602" spans="1:27" ht="13.2">
      <c r="A602" s="88"/>
      <c r="B602" s="88"/>
      <c r="C602" s="88"/>
      <c r="D602" s="88"/>
      <c r="E602" s="88"/>
      <c r="F602" s="88"/>
      <c r="G602" s="88"/>
      <c r="H602" s="88"/>
      <c r="I602" s="88"/>
      <c r="J602" s="88"/>
      <c r="K602" s="88"/>
      <c r="L602" s="88"/>
      <c r="M602" s="88"/>
      <c r="N602" s="88"/>
      <c r="O602" s="88"/>
      <c r="P602" s="88"/>
      <c r="Q602" s="88"/>
      <c r="R602" s="88"/>
      <c r="S602" s="88"/>
      <c r="T602" s="88"/>
      <c r="U602" s="88"/>
      <c r="V602" s="88"/>
      <c r="W602" s="88"/>
      <c r="X602" s="88"/>
      <c r="Y602" s="88"/>
      <c r="Z602" s="88"/>
      <c r="AA602" s="88"/>
    </row>
    <row r="603" spans="1:27" ht="13.2">
      <c r="A603" s="88"/>
      <c r="B603" s="88"/>
      <c r="C603" s="88"/>
      <c r="D603" s="88"/>
      <c r="E603" s="88"/>
      <c r="F603" s="88"/>
      <c r="G603" s="88"/>
      <c r="H603" s="88"/>
      <c r="I603" s="88"/>
      <c r="J603" s="88"/>
      <c r="K603" s="88"/>
      <c r="L603" s="88"/>
      <c r="M603" s="88"/>
      <c r="N603" s="88"/>
      <c r="O603" s="88"/>
      <c r="P603" s="88"/>
      <c r="Q603" s="88"/>
      <c r="R603" s="88"/>
      <c r="S603" s="88"/>
      <c r="T603" s="88"/>
      <c r="U603" s="88"/>
      <c r="V603" s="88"/>
      <c r="W603" s="88"/>
      <c r="X603" s="88"/>
      <c r="Y603" s="88"/>
      <c r="Z603" s="88"/>
      <c r="AA603" s="88"/>
    </row>
    <row r="604" spans="1:27" ht="13.2">
      <c r="A604" s="88"/>
      <c r="B604" s="88"/>
      <c r="C604" s="88"/>
      <c r="D604" s="88"/>
      <c r="E604" s="88"/>
      <c r="F604" s="88"/>
      <c r="G604" s="88"/>
      <c r="H604" s="88"/>
      <c r="I604" s="88"/>
      <c r="J604" s="88"/>
      <c r="K604" s="88"/>
      <c r="L604" s="88"/>
      <c r="M604" s="88"/>
      <c r="N604" s="88"/>
      <c r="O604" s="88"/>
      <c r="P604" s="88"/>
      <c r="Q604" s="88"/>
      <c r="R604" s="88"/>
      <c r="S604" s="88"/>
      <c r="T604" s="88"/>
      <c r="U604" s="88"/>
      <c r="V604" s="88"/>
      <c r="W604" s="88"/>
      <c r="X604" s="88"/>
      <c r="Y604" s="88"/>
      <c r="Z604" s="88"/>
      <c r="AA604" s="88"/>
    </row>
    <row r="605" spans="1:27" ht="13.2">
      <c r="A605" s="88"/>
      <c r="B605" s="88"/>
      <c r="C605" s="88"/>
      <c r="D605" s="88"/>
      <c r="E605" s="88"/>
      <c r="F605" s="88"/>
      <c r="G605" s="88"/>
      <c r="H605" s="88"/>
      <c r="I605" s="88"/>
      <c r="J605" s="88"/>
      <c r="K605" s="88"/>
      <c r="L605" s="88"/>
      <c r="M605" s="88"/>
      <c r="N605" s="88"/>
      <c r="O605" s="88"/>
      <c r="P605" s="88"/>
      <c r="Q605" s="88"/>
      <c r="R605" s="88"/>
      <c r="S605" s="88"/>
      <c r="T605" s="88"/>
      <c r="U605" s="88"/>
      <c r="V605" s="88"/>
      <c r="W605" s="88"/>
      <c r="X605" s="88"/>
      <c r="Y605" s="88"/>
      <c r="Z605" s="88"/>
      <c r="AA605" s="88"/>
    </row>
    <row r="606" spans="1:27" ht="13.2">
      <c r="A606" s="88"/>
      <c r="B606" s="88"/>
      <c r="C606" s="88"/>
      <c r="D606" s="88"/>
      <c r="E606" s="88"/>
      <c r="F606" s="88"/>
      <c r="G606" s="88"/>
      <c r="H606" s="88"/>
      <c r="I606" s="88"/>
      <c r="J606" s="88"/>
      <c r="K606" s="88"/>
      <c r="L606" s="88"/>
      <c r="M606" s="88"/>
      <c r="N606" s="88"/>
      <c r="O606" s="88"/>
      <c r="P606" s="88"/>
      <c r="Q606" s="88"/>
      <c r="R606" s="88"/>
      <c r="S606" s="88"/>
      <c r="T606" s="88"/>
      <c r="U606" s="88"/>
      <c r="V606" s="88"/>
      <c r="W606" s="88"/>
      <c r="X606" s="88"/>
      <c r="Y606" s="88"/>
      <c r="Z606" s="88"/>
      <c r="AA606" s="88"/>
    </row>
    <row r="607" spans="1:27" ht="13.2">
      <c r="A607" s="88"/>
      <c r="B607" s="88"/>
      <c r="C607" s="88"/>
      <c r="D607" s="88"/>
      <c r="E607" s="88"/>
      <c r="F607" s="88"/>
      <c r="G607" s="88"/>
      <c r="H607" s="88"/>
      <c r="I607" s="88"/>
      <c r="J607" s="88"/>
      <c r="K607" s="88"/>
      <c r="L607" s="88"/>
      <c r="M607" s="88"/>
      <c r="N607" s="88"/>
      <c r="O607" s="88"/>
      <c r="P607" s="88"/>
      <c r="Q607" s="88"/>
      <c r="R607" s="88"/>
      <c r="S607" s="88"/>
      <c r="T607" s="88"/>
      <c r="U607" s="88"/>
      <c r="V607" s="88"/>
      <c r="W607" s="88"/>
      <c r="X607" s="88"/>
      <c r="Y607" s="88"/>
      <c r="Z607" s="88"/>
      <c r="AA607" s="88"/>
    </row>
    <row r="608" spans="1:27" ht="13.2">
      <c r="A608" s="88"/>
      <c r="B608" s="88"/>
      <c r="C608" s="88"/>
      <c r="D608" s="88"/>
      <c r="E608" s="88"/>
      <c r="F608" s="88"/>
      <c r="G608" s="88"/>
      <c r="H608" s="88"/>
      <c r="I608" s="88"/>
      <c r="J608" s="88"/>
      <c r="K608" s="88"/>
      <c r="L608" s="88"/>
      <c r="M608" s="88"/>
      <c r="N608" s="88"/>
      <c r="O608" s="88"/>
      <c r="P608" s="88"/>
      <c r="Q608" s="88"/>
      <c r="R608" s="88"/>
      <c r="S608" s="88"/>
      <c r="T608" s="88"/>
      <c r="U608" s="88"/>
      <c r="V608" s="88"/>
      <c r="W608" s="88"/>
      <c r="X608" s="88"/>
      <c r="Y608" s="88"/>
      <c r="Z608" s="88"/>
      <c r="AA608" s="88"/>
    </row>
    <row r="609" spans="1:27" ht="13.2">
      <c r="A609" s="88"/>
      <c r="B609" s="88"/>
      <c r="C609" s="88"/>
      <c r="D609" s="88"/>
      <c r="E609" s="88"/>
      <c r="F609" s="88"/>
      <c r="G609" s="88"/>
      <c r="H609" s="88"/>
      <c r="I609" s="88"/>
      <c r="J609" s="88"/>
      <c r="K609" s="88"/>
      <c r="L609" s="88"/>
      <c r="M609" s="88"/>
      <c r="N609" s="88"/>
      <c r="O609" s="88"/>
      <c r="P609" s="88"/>
      <c r="Q609" s="88"/>
      <c r="R609" s="88"/>
      <c r="S609" s="88"/>
      <c r="T609" s="88"/>
      <c r="U609" s="88"/>
      <c r="V609" s="88"/>
      <c r="W609" s="88"/>
      <c r="X609" s="88"/>
      <c r="Y609" s="88"/>
      <c r="Z609" s="88"/>
      <c r="AA609" s="88"/>
    </row>
    <row r="610" spans="1:27" ht="13.2">
      <c r="A610" s="88"/>
      <c r="B610" s="88"/>
      <c r="C610" s="88"/>
      <c r="D610" s="88"/>
      <c r="E610" s="88"/>
      <c r="F610" s="88"/>
      <c r="G610" s="88"/>
      <c r="H610" s="88"/>
      <c r="I610" s="88"/>
      <c r="J610" s="88"/>
      <c r="K610" s="88"/>
      <c r="L610" s="88"/>
      <c r="M610" s="88"/>
      <c r="N610" s="88"/>
      <c r="O610" s="88"/>
      <c r="P610" s="88"/>
      <c r="Q610" s="88"/>
      <c r="R610" s="88"/>
      <c r="S610" s="88"/>
      <c r="T610" s="88"/>
      <c r="U610" s="88"/>
      <c r="V610" s="88"/>
      <c r="W610" s="88"/>
      <c r="X610" s="88"/>
      <c r="Y610" s="88"/>
      <c r="Z610" s="88"/>
      <c r="AA610" s="88"/>
    </row>
    <row r="611" spans="1:27" ht="13.2">
      <c r="A611" s="88"/>
      <c r="B611" s="88"/>
      <c r="C611" s="88"/>
      <c r="D611" s="88"/>
      <c r="E611" s="88"/>
      <c r="F611" s="88"/>
      <c r="G611" s="88"/>
      <c r="H611" s="88"/>
      <c r="I611" s="88"/>
      <c r="J611" s="88"/>
      <c r="K611" s="88"/>
      <c r="L611" s="88"/>
      <c r="M611" s="88"/>
      <c r="N611" s="88"/>
      <c r="O611" s="88"/>
      <c r="P611" s="88"/>
      <c r="Q611" s="88"/>
      <c r="R611" s="88"/>
      <c r="S611" s="88"/>
      <c r="T611" s="88"/>
      <c r="U611" s="88"/>
      <c r="V611" s="88"/>
      <c r="W611" s="88"/>
      <c r="X611" s="88"/>
      <c r="Y611" s="88"/>
      <c r="Z611" s="88"/>
      <c r="AA611" s="88"/>
    </row>
    <row r="612" spans="1:27" ht="13.2">
      <c r="A612" s="88"/>
      <c r="B612" s="88"/>
      <c r="C612" s="88"/>
      <c r="D612" s="88"/>
      <c r="E612" s="88"/>
      <c r="F612" s="88"/>
      <c r="G612" s="88"/>
      <c r="H612" s="88"/>
      <c r="I612" s="88"/>
      <c r="J612" s="88"/>
      <c r="K612" s="88"/>
      <c r="L612" s="88"/>
      <c r="M612" s="88"/>
      <c r="N612" s="88"/>
      <c r="O612" s="88"/>
      <c r="P612" s="88"/>
      <c r="Q612" s="88"/>
      <c r="R612" s="88"/>
      <c r="S612" s="88"/>
      <c r="T612" s="88"/>
      <c r="U612" s="88"/>
      <c r="V612" s="88"/>
      <c r="W612" s="88"/>
      <c r="X612" s="88"/>
      <c r="Y612" s="88"/>
      <c r="Z612" s="88"/>
      <c r="AA612" s="88"/>
    </row>
    <row r="613" spans="1:27" ht="13.2">
      <c r="A613" s="88"/>
      <c r="B613" s="88"/>
      <c r="C613" s="88"/>
      <c r="D613" s="88"/>
      <c r="E613" s="88"/>
      <c r="F613" s="88"/>
      <c r="G613" s="88"/>
      <c r="H613" s="88"/>
      <c r="I613" s="88"/>
      <c r="J613" s="88"/>
      <c r="K613" s="88"/>
      <c r="L613" s="88"/>
      <c r="M613" s="88"/>
      <c r="N613" s="88"/>
      <c r="O613" s="88"/>
      <c r="P613" s="88"/>
      <c r="Q613" s="88"/>
      <c r="R613" s="88"/>
      <c r="S613" s="88"/>
      <c r="T613" s="88"/>
      <c r="U613" s="88"/>
      <c r="V613" s="88"/>
      <c r="W613" s="88"/>
      <c r="X613" s="88"/>
      <c r="Y613" s="88"/>
      <c r="Z613" s="88"/>
      <c r="AA613" s="88"/>
    </row>
    <row r="614" spans="1:27" ht="13.2">
      <c r="A614" s="88"/>
      <c r="B614" s="88"/>
      <c r="C614" s="88"/>
      <c r="D614" s="88"/>
      <c r="E614" s="88"/>
      <c r="F614" s="88"/>
      <c r="G614" s="88"/>
      <c r="H614" s="88"/>
      <c r="I614" s="88"/>
      <c r="J614" s="88"/>
      <c r="K614" s="88"/>
      <c r="L614" s="88"/>
      <c r="M614" s="88"/>
      <c r="N614" s="88"/>
      <c r="O614" s="88"/>
      <c r="P614" s="88"/>
      <c r="Q614" s="88"/>
      <c r="R614" s="88"/>
      <c r="S614" s="88"/>
      <c r="T614" s="88"/>
      <c r="U614" s="88"/>
      <c r="V614" s="88"/>
      <c r="W614" s="88"/>
      <c r="X614" s="88"/>
      <c r="Y614" s="88"/>
      <c r="Z614" s="88"/>
      <c r="AA614" s="88"/>
    </row>
    <row r="615" spans="1:27" ht="13.2">
      <c r="A615" s="88"/>
      <c r="B615" s="88"/>
      <c r="C615" s="88"/>
      <c r="D615" s="88"/>
      <c r="E615" s="88"/>
      <c r="F615" s="88"/>
      <c r="G615" s="88"/>
      <c r="H615" s="88"/>
      <c r="I615" s="88"/>
      <c r="J615" s="88"/>
      <c r="K615" s="88"/>
      <c r="L615" s="88"/>
      <c r="M615" s="88"/>
      <c r="N615" s="88"/>
      <c r="O615" s="88"/>
      <c r="P615" s="88"/>
      <c r="Q615" s="88"/>
      <c r="R615" s="88"/>
      <c r="S615" s="88"/>
      <c r="T615" s="88"/>
      <c r="U615" s="88"/>
      <c r="V615" s="88"/>
      <c r="W615" s="88"/>
      <c r="X615" s="88"/>
      <c r="Y615" s="88"/>
      <c r="Z615" s="88"/>
      <c r="AA615" s="88"/>
    </row>
    <row r="616" spans="1:27" ht="13.2">
      <c r="A616" s="88"/>
      <c r="B616" s="88"/>
      <c r="C616" s="88"/>
      <c r="D616" s="88"/>
      <c r="E616" s="88"/>
      <c r="F616" s="88"/>
      <c r="G616" s="88"/>
      <c r="H616" s="88"/>
      <c r="I616" s="88"/>
      <c r="J616" s="88"/>
      <c r="K616" s="88"/>
      <c r="L616" s="88"/>
      <c r="M616" s="88"/>
      <c r="N616" s="88"/>
      <c r="O616" s="88"/>
      <c r="P616" s="88"/>
      <c r="Q616" s="88"/>
      <c r="R616" s="88"/>
      <c r="S616" s="88"/>
      <c r="T616" s="88"/>
      <c r="U616" s="88"/>
      <c r="V616" s="88"/>
      <c r="W616" s="88"/>
      <c r="X616" s="88"/>
      <c r="Y616" s="88"/>
      <c r="Z616" s="88"/>
      <c r="AA616" s="88"/>
    </row>
    <row r="617" spans="1:27" ht="13.2">
      <c r="A617" s="88"/>
      <c r="B617" s="88"/>
      <c r="C617" s="88"/>
      <c r="D617" s="88"/>
      <c r="E617" s="88"/>
      <c r="F617" s="88"/>
      <c r="G617" s="88"/>
      <c r="H617" s="88"/>
      <c r="I617" s="88"/>
      <c r="J617" s="88"/>
      <c r="K617" s="88"/>
      <c r="L617" s="88"/>
      <c r="M617" s="88"/>
      <c r="N617" s="88"/>
      <c r="O617" s="88"/>
      <c r="P617" s="88"/>
      <c r="Q617" s="88"/>
      <c r="R617" s="88"/>
      <c r="S617" s="88"/>
      <c r="T617" s="88"/>
      <c r="U617" s="88"/>
      <c r="V617" s="88"/>
      <c r="W617" s="88"/>
      <c r="X617" s="88"/>
      <c r="Y617" s="88"/>
      <c r="Z617" s="88"/>
      <c r="AA617" s="88"/>
    </row>
    <row r="618" spans="1:27" ht="13.2">
      <c r="A618" s="88"/>
      <c r="B618" s="88"/>
      <c r="C618" s="88"/>
      <c r="D618" s="88"/>
      <c r="E618" s="88"/>
      <c r="F618" s="88"/>
      <c r="G618" s="88"/>
      <c r="H618" s="88"/>
      <c r="I618" s="88"/>
      <c r="J618" s="88"/>
      <c r="K618" s="88"/>
      <c r="L618" s="88"/>
      <c r="M618" s="88"/>
      <c r="N618" s="88"/>
      <c r="O618" s="88"/>
      <c r="P618" s="88"/>
      <c r="Q618" s="88"/>
      <c r="R618" s="88"/>
      <c r="S618" s="88"/>
      <c r="T618" s="88"/>
      <c r="U618" s="88"/>
      <c r="V618" s="88"/>
      <c r="W618" s="88"/>
      <c r="X618" s="88"/>
      <c r="Y618" s="88"/>
      <c r="Z618" s="88"/>
      <c r="AA618" s="88"/>
    </row>
    <row r="619" spans="1:27" ht="13.2">
      <c r="A619" s="88"/>
      <c r="B619" s="88"/>
      <c r="C619" s="88"/>
      <c r="D619" s="88"/>
      <c r="E619" s="88"/>
      <c r="F619" s="88"/>
      <c r="G619" s="88"/>
      <c r="H619" s="88"/>
      <c r="I619" s="88"/>
      <c r="J619" s="88"/>
      <c r="K619" s="88"/>
      <c r="L619" s="88"/>
      <c r="M619" s="88"/>
      <c r="N619" s="88"/>
      <c r="O619" s="88"/>
      <c r="P619" s="88"/>
      <c r="Q619" s="88"/>
      <c r="R619" s="88"/>
      <c r="S619" s="88"/>
      <c r="T619" s="88"/>
      <c r="U619" s="88"/>
      <c r="V619" s="88"/>
      <c r="W619" s="88"/>
      <c r="X619" s="88"/>
      <c r="Y619" s="88"/>
      <c r="Z619" s="88"/>
      <c r="AA619" s="88"/>
    </row>
    <row r="620" spans="1:27" ht="13.2">
      <c r="A620" s="88"/>
      <c r="B620" s="88"/>
      <c r="C620" s="88"/>
      <c r="D620" s="88"/>
      <c r="E620" s="88"/>
      <c r="F620" s="88"/>
      <c r="G620" s="88"/>
      <c r="H620" s="88"/>
      <c r="I620" s="88"/>
      <c r="J620" s="88"/>
      <c r="K620" s="88"/>
      <c r="L620" s="88"/>
      <c r="M620" s="88"/>
      <c r="N620" s="88"/>
      <c r="O620" s="88"/>
      <c r="P620" s="88"/>
      <c r="Q620" s="88"/>
      <c r="R620" s="88"/>
      <c r="S620" s="88"/>
      <c r="T620" s="88"/>
      <c r="U620" s="88"/>
      <c r="V620" s="88"/>
      <c r="W620" s="88"/>
      <c r="X620" s="88"/>
      <c r="Y620" s="88"/>
      <c r="Z620" s="88"/>
      <c r="AA620" s="88"/>
    </row>
    <row r="621" spans="1:27" ht="13.2">
      <c r="A621" s="88"/>
      <c r="B621" s="88"/>
      <c r="C621" s="88"/>
      <c r="D621" s="88"/>
      <c r="E621" s="88"/>
      <c r="F621" s="88"/>
      <c r="G621" s="88"/>
      <c r="H621" s="88"/>
      <c r="I621" s="88"/>
      <c r="J621" s="88"/>
      <c r="K621" s="88"/>
      <c r="L621" s="88"/>
      <c r="M621" s="88"/>
      <c r="N621" s="88"/>
      <c r="O621" s="88"/>
      <c r="P621" s="88"/>
      <c r="Q621" s="88"/>
      <c r="R621" s="88"/>
      <c r="S621" s="88"/>
      <c r="T621" s="88"/>
      <c r="U621" s="88"/>
      <c r="V621" s="88"/>
      <c r="W621" s="88"/>
      <c r="X621" s="88"/>
      <c r="Y621" s="88"/>
      <c r="Z621" s="88"/>
      <c r="AA621" s="88"/>
    </row>
    <row r="622" spans="1:27" ht="13.2">
      <c r="A622" s="88"/>
      <c r="B622" s="88"/>
      <c r="C622" s="88"/>
      <c r="D622" s="88"/>
      <c r="E622" s="88"/>
      <c r="F622" s="88"/>
      <c r="G622" s="88"/>
      <c r="H622" s="88"/>
      <c r="I622" s="88"/>
      <c r="J622" s="88"/>
      <c r="K622" s="88"/>
      <c r="L622" s="88"/>
      <c r="M622" s="88"/>
      <c r="N622" s="88"/>
      <c r="O622" s="88"/>
      <c r="P622" s="88"/>
      <c r="Q622" s="88"/>
      <c r="R622" s="88"/>
      <c r="S622" s="88"/>
      <c r="T622" s="88"/>
      <c r="U622" s="88"/>
      <c r="V622" s="88"/>
      <c r="W622" s="88"/>
      <c r="X622" s="88"/>
      <c r="Y622" s="88"/>
      <c r="Z622" s="88"/>
      <c r="AA622" s="88"/>
    </row>
    <row r="623" spans="1:27" ht="13.2">
      <c r="A623" s="88"/>
      <c r="B623" s="88"/>
      <c r="C623" s="88"/>
      <c r="D623" s="88"/>
      <c r="E623" s="88"/>
      <c r="F623" s="88"/>
      <c r="G623" s="88"/>
      <c r="H623" s="88"/>
      <c r="I623" s="88"/>
      <c r="J623" s="88"/>
      <c r="K623" s="88"/>
      <c r="L623" s="88"/>
      <c r="M623" s="88"/>
      <c r="N623" s="88"/>
      <c r="O623" s="88"/>
      <c r="P623" s="88"/>
      <c r="Q623" s="88"/>
      <c r="R623" s="88"/>
      <c r="S623" s="88"/>
      <c r="T623" s="88"/>
      <c r="U623" s="88"/>
      <c r="V623" s="88"/>
      <c r="W623" s="88"/>
      <c r="X623" s="88"/>
      <c r="Y623" s="88"/>
      <c r="Z623" s="88"/>
      <c r="AA623" s="88"/>
    </row>
    <row r="624" spans="1:27" ht="13.2">
      <c r="A624" s="88"/>
      <c r="B624" s="88"/>
      <c r="C624" s="88"/>
      <c r="D624" s="88"/>
      <c r="E624" s="88"/>
      <c r="F624" s="88"/>
      <c r="G624" s="88"/>
      <c r="H624" s="88"/>
      <c r="I624" s="88"/>
      <c r="J624" s="88"/>
      <c r="K624" s="88"/>
      <c r="L624" s="88"/>
      <c r="M624" s="88"/>
      <c r="N624" s="88"/>
      <c r="O624" s="88"/>
      <c r="P624" s="88"/>
      <c r="Q624" s="88"/>
      <c r="R624" s="88"/>
      <c r="S624" s="88"/>
      <c r="T624" s="88"/>
      <c r="U624" s="88"/>
      <c r="V624" s="88"/>
      <c r="W624" s="88"/>
      <c r="X624" s="88"/>
      <c r="Y624" s="88"/>
      <c r="Z624" s="88"/>
      <c r="AA624" s="88"/>
    </row>
    <row r="625" spans="1:27" ht="13.2">
      <c r="A625" s="88"/>
      <c r="B625" s="88"/>
      <c r="C625" s="88"/>
      <c r="D625" s="88"/>
      <c r="E625" s="88"/>
      <c r="F625" s="88"/>
      <c r="G625" s="88"/>
      <c r="H625" s="88"/>
      <c r="I625" s="88"/>
      <c r="J625" s="88"/>
      <c r="K625" s="88"/>
      <c r="L625" s="88"/>
      <c r="M625" s="88"/>
      <c r="N625" s="88"/>
      <c r="O625" s="88"/>
      <c r="P625" s="88"/>
      <c r="Q625" s="88"/>
      <c r="R625" s="88"/>
      <c r="S625" s="88"/>
      <c r="T625" s="88"/>
      <c r="U625" s="88"/>
      <c r="V625" s="88"/>
      <c r="W625" s="88"/>
      <c r="X625" s="88"/>
      <c r="Y625" s="88"/>
      <c r="Z625" s="88"/>
      <c r="AA625" s="88"/>
    </row>
    <row r="626" spans="1:27" ht="13.2">
      <c r="A626" s="88"/>
      <c r="B626" s="88"/>
      <c r="C626" s="88"/>
      <c r="D626" s="88"/>
      <c r="E626" s="88"/>
      <c r="F626" s="88"/>
      <c r="G626" s="88"/>
      <c r="H626" s="88"/>
      <c r="I626" s="88"/>
      <c r="J626" s="88"/>
      <c r="K626" s="88"/>
      <c r="L626" s="88"/>
      <c r="M626" s="88"/>
      <c r="N626" s="88"/>
      <c r="O626" s="88"/>
      <c r="P626" s="88"/>
      <c r="Q626" s="88"/>
      <c r="R626" s="88"/>
      <c r="S626" s="88"/>
      <c r="T626" s="88"/>
      <c r="U626" s="88"/>
      <c r="V626" s="88"/>
      <c r="W626" s="88"/>
      <c r="X626" s="88"/>
      <c r="Y626" s="88"/>
      <c r="Z626" s="88"/>
      <c r="AA626" s="88"/>
    </row>
    <row r="627" spans="1:27" ht="13.2">
      <c r="A627" s="88"/>
      <c r="B627" s="88"/>
      <c r="C627" s="88"/>
      <c r="D627" s="88"/>
      <c r="E627" s="88"/>
      <c r="F627" s="88"/>
      <c r="G627" s="88"/>
      <c r="H627" s="88"/>
      <c r="I627" s="88"/>
      <c r="J627" s="88"/>
      <c r="K627" s="88"/>
      <c r="L627" s="88"/>
      <c r="M627" s="88"/>
      <c r="N627" s="88"/>
      <c r="O627" s="88"/>
      <c r="P627" s="88"/>
      <c r="Q627" s="88"/>
      <c r="R627" s="88"/>
      <c r="S627" s="88"/>
      <c r="T627" s="88"/>
      <c r="U627" s="88"/>
      <c r="V627" s="88"/>
      <c r="W627" s="88"/>
      <c r="X627" s="88"/>
      <c r="Y627" s="88"/>
      <c r="Z627" s="88"/>
      <c r="AA627" s="88"/>
    </row>
    <row r="628" spans="1:27" ht="13.2">
      <c r="A628" s="88"/>
      <c r="B628" s="88"/>
      <c r="C628" s="88"/>
      <c r="D628" s="88"/>
      <c r="E628" s="88"/>
      <c r="F628" s="88"/>
      <c r="G628" s="88"/>
      <c r="H628" s="88"/>
      <c r="I628" s="88"/>
      <c r="J628" s="88"/>
      <c r="K628" s="88"/>
      <c r="L628" s="88"/>
      <c r="M628" s="88"/>
      <c r="N628" s="88"/>
      <c r="O628" s="88"/>
      <c r="P628" s="88"/>
      <c r="Q628" s="88"/>
      <c r="R628" s="88"/>
      <c r="S628" s="88"/>
      <c r="T628" s="88"/>
      <c r="U628" s="88"/>
      <c r="V628" s="88"/>
      <c r="W628" s="88"/>
      <c r="X628" s="88"/>
      <c r="Y628" s="88"/>
      <c r="Z628" s="88"/>
      <c r="AA628" s="88"/>
    </row>
    <row r="629" spans="1:27" ht="13.2">
      <c r="A629" s="88"/>
      <c r="B629" s="88"/>
      <c r="C629" s="88"/>
      <c r="D629" s="88"/>
      <c r="E629" s="88"/>
      <c r="F629" s="88"/>
      <c r="G629" s="88"/>
      <c r="H629" s="88"/>
      <c r="I629" s="88"/>
      <c r="J629" s="88"/>
      <c r="K629" s="88"/>
      <c r="L629" s="88"/>
      <c r="M629" s="88"/>
      <c r="N629" s="88"/>
      <c r="O629" s="88"/>
      <c r="P629" s="88"/>
      <c r="Q629" s="88"/>
      <c r="R629" s="88"/>
      <c r="S629" s="88"/>
      <c r="T629" s="88"/>
      <c r="U629" s="88"/>
      <c r="V629" s="88"/>
      <c r="W629" s="88"/>
      <c r="X629" s="88"/>
      <c r="Y629" s="88"/>
      <c r="Z629" s="88"/>
      <c r="AA629" s="88"/>
    </row>
    <row r="630" spans="1:27" ht="13.2">
      <c r="A630" s="88"/>
      <c r="B630" s="88"/>
      <c r="C630" s="88"/>
      <c r="D630" s="88"/>
      <c r="E630" s="88"/>
      <c r="F630" s="88"/>
      <c r="G630" s="88"/>
      <c r="H630" s="88"/>
      <c r="I630" s="88"/>
      <c r="J630" s="88"/>
      <c r="K630" s="88"/>
      <c r="L630" s="88"/>
      <c r="M630" s="88"/>
      <c r="N630" s="88"/>
      <c r="O630" s="88"/>
      <c r="P630" s="88"/>
      <c r="Q630" s="88"/>
      <c r="R630" s="88"/>
      <c r="S630" s="88"/>
      <c r="T630" s="88"/>
      <c r="U630" s="88"/>
      <c r="V630" s="88"/>
      <c r="W630" s="88"/>
      <c r="X630" s="88"/>
      <c r="Y630" s="88"/>
      <c r="Z630" s="88"/>
      <c r="AA630" s="88"/>
    </row>
    <row r="631" spans="1:27" ht="13.2">
      <c r="A631" s="88"/>
      <c r="B631" s="88"/>
      <c r="C631" s="88"/>
      <c r="D631" s="88"/>
      <c r="E631" s="88"/>
      <c r="F631" s="88"/>
      <c r="G631" s="88"/>
      <c r="H631" s="88"/>
      <c r="I631" s="88"/>
      <c r="J631" s="88"/>
      <c r="K631" s="88"/>
      <c r="L631" s="88"/>
      <c r="M631" s="88"/>
      <c r="N631" s="88"/>
      <c r="O631" s="88"/>
      <c r="P631" s="88"/>
      <c r="Q631" s="88"/>
      <c r="R631" s="88"/>
      <c r="S631" s="88"/>
      <c r="T631" s="88"/>
      <c r="U631" s="88"/>
      <c r="V631" s="88"/>
      <c r="W631" s="88"/>
      <c r="X631" s="88"/>
      <c r="Y631" s="88"/>
      <c r="Z631" s="88"/>
      <c r="AA631" s="88"/>
    </row>
    <row r="632" spans="1:27" ht="13.2">
      <c r="A632" s="88"/>
      <c r="B632" s="88"/>
      <c r="C632" s="88"/>
      <c r="D632" s="88"/>
      <c r="E632" s="88"/>
      <c r="F632" s="88"/>
      <c r="G632" s="88"/>
      <c r="H632" s="88"/>
      <c r="I632" s="88"/>
      <c r="J632" s="88"/>
      <c r="K632" s="88"/>
      <c r="L632" s="88"/>
      <c r="M632" s="88"/>
      <c r="N632" s="88"/>
      <c r="O632" s="88"/>
      <c r="P632" s="88"/>
      <c r="Q632" s="88"/>
      <c r="R632" s="88"/>
      <c r="S632" s="88"/>
      <c r="T632" s="88"/>
      <c r="U632" s="88"/>
      <c r="V632" s="88"/>
      <c r="W632" s="88"/>
      <c r="X632" s="88"/>
      <c r="Y632" s="88"/>
      <c r="Z632" s="88"/>
      <c r="AA632" s="88"/>
    </row>
    <row r="633" spans="1:27" ht="13.2">
      <c r="A633" s="88"/>
      <c r="B633" s="88"/>
      <c r="C633" s="88"/>
      <c r="D633" s="88"/>
      <c r="E633" s="88"/>
      <c r="F633" s="88"/>
      <c r="G633" s="88"/>
      <c r="H633" s="88"/>
      <c r="I633" s="88"/>
      <c r="J633" s="88"/>
      <c r="K633" s="88"/>
      <c r="L633" s="88"/>
      <c r="M633" s="88"/>
      <c r="N633" s="88"/>
      <c r="O633" s="88"/>
      <c r="P633" s="88"/>
      <c r="Q633" s="88"/>
      <c r="R633" s="88"/>
      <c r="S633" s="88"/>
      <c r="T633" s="88"/>
      <c r="U633" s="88"/>
      <c r="V633" s="88"/>
      <c r="W633" s="88"/>
      <c r="X633" s="88"/>
      <c r="Y633" s="88"/>
      <c r="Z633" s="88"/>
      <c r="AA633" s="88"/>
    </row>
    <row r="634" spans="1:27" ht="13.2">
      <c r="A634" s="88"/>
      <c r="B634" s="88"/>
      <c r="C634" s="88"/>
      <c r="D634" s="88"/>
      <c r="E634" s="88"/>
      <c r="F634" s="88"/>
      <c r="G634" s="88"/>
      <c r="H634" s="88"/>
      <c r="I634" s="88"/>
      <c r="J634" s="88"/>
      <c r="K634" s="88"/>
      <c r="L634" s="88"/>
      <c r="M634" s="88"/>
      <c r="N634" s="88"/>
      <c r="O634" s="88"/>
      <c r="P634" s="88"/>
      <c r="Q634" s="88"/>
      <c r="R634" s="88"/>
      <c r="S634" s="88"/>
      <c r="T634" s="88"/>
      <c r="U634" s="88"/>
      <c r="V634" s="88"/>
      <c r="W634" s="88"/>
      <c r="X634" s="88"/>
      <c r="Y634" s="88"/>
      <c r="Z634" s="88"/>
      <c r="AA634" s="88"/>
    </row>
    <row r="635" spans="1:27" ht="13.2">
      <c r="A635" s="88"/>
      <c r="B635" s="88"/>
      <c r="C635" s="88"/>
      <c r="D635" s="88"/>
      <c r="E635" s="88"/>
      <c r="F635" s="88"/>
      <c r="G635" s="88"/>
      <c r="H635" s="88"/>
      <c r="I635" s="88"/>
      <c r="J635" s="88"/>
      <c r="K635" s="88"/>
      <c r="L635" s="88"/>
      <c r="M635" s="88"/>
      <c r="N635" s="88"/>
      <c r="O635" s="88"/>
      <c r="P635" s="88"/>
      <c r="Q635" s="88"/>
      <c r="R635" s="88"/>
      <c r="S635" s="88"/>
      <c r="T635" s="88"/>
      <c r="U635" s="88"/>
      <c r="V635" s="88"/>
      <c r="W635" s="88"/>
      <c r="X635" s="88"/>
      <c r="Y635" s="88"/>
      <c r="Z635" s="88"/>
      <c r="AA635" s="88"/>
    </row>
    <row r="636" spans="1:27" ht="13.2">
      <c r="A636" s="88"/>
      <c r="B636" s="88"/>
      <c r="C636" s="88"/>
      <c r="D636" s="88"/>
      <c r="E636" s="88"/>
      <c r="F636" s="88"/>
      <c r="G636" s="88"/>
      <c r="H636" s="88"/>
      <c r="I636" s="88"/>
      <c r="J636" s="88"/>
      <c r="K636" s="88"/>
      <c r="L636" s="88"/>
      <c r="M636" s="88"/>
      <c r="N636" s="88"/>
      <c r="O636" s="88"/>
      <c r="P636" s="88"/>
      <c r="Q636" s="88"/>
      <c r="R636" s="88"/>
      <c r="S636" s="88"/>
      <c r="T636" s="88"/>
      <c r="U636" s="88"/>
      <c r="V636" s="88"/>
      <c r="W636" s="88"/>
      <c r="X636" s="88"/>
      <c r="Y636" s="88"/>
      <c r="Z636" s="88"/>
      <c r="AA636" s="88"/>
    </row>
    <row r="637" spans="1:27" ht="13.2">
      <c r="A637" s="88"/>
      <c r="B637" s="88"/>
      <c r="C637" s="88"/>
      <c r="D637" s="88"/>
      <c r="E637" s="88"/>
      <c r="F637" s="88"/>
      <c r="G637" s="88"/>
      <c r="H637" s="88"/>
      <c r="I637" s="88"/>
      <c r="J637" s="88"/>
      <c r="K637" s="88"/>
      <c r="L637" s="88"/>
      <c r="M637" s="88"/>
      <c r="N637" s="88"/>
      <c r="O637" s="88"/>
      <c r="P637" s="88"/>
      <c r="Q637" s="88"/>
      <c r="R637" s="88"/>
      <c r="S637" s="88"/>
      <c r="T637" s="88"/>
      <c r="U637" s="88"/>
      <c r="V637" s="88"/>
      <c r="W637" s="88"/>
      <c r="X637" s="88"/>
      <c r="Y637" s="88"/>
      <c r="Z637" s="88"/>
      <c r="AA637" s="88"/>
    </row>
    <row r="638" spans="1:27" ht="13.2">
      <c r="A638" s="88"/>
      <c r="B638" s="88"/>
      <c r="C638" s="88"/>
      <c r="D638" s="88"/>
      <c r="E638" s="88"/>
      <c r="F638" s="88"/>
      <c r="G638" s="88"/>
      <c r="H638" s="88"/>
      <c r="I638" s="88"/>
      <c r="J638" s="88"/>
      <c r="K638" s="88"/>
      <c r="L638" s="88"/>
      <c r="M638" s="88"/>
      <c r="N638" s="88"/>
      <c r="O638" s="88"/>
      <c r="P638" s="88"/>
      <c r="Q638" s="88"/>
      <c r="R638" s="88"/>
      <c r="S638" s="88"/>
      <c r="T638" s="88"/>
      <c r="U638" s="88"/>
      <c r="V638" s="88"/>
      <c r="W638" s="88"/>
      <c r="X638" s="88"/>
      <c r="Y638" s="88"/>
      <c r="Z638" s="88"/>
      <c r="AA638" s="88"/>
    </row>
    <row r="639" spans="1:27" ht="13.2">
      <c r="A639" s="88"/>
      <c r="B639" s="88"/>
      <c r="C639" s="88"/>
      <c r="D639" s="88"/>
      <c r="E639" s="88"/>
      <c r="F639" s="88"/>
      <c r="G639" s="88"/>
      <c r="H639" s="88"/>
      <c r="I639" s="88"/>
      <c r="J639" s="88"/>
      <c r="K639" s="88"/>
      <c r="L639" s="88"/>
      <c r="M639" s="88"/>
      <c r="N639" s="88"/>
      <c r="O639" s="88"/>
      <c r="P639" s="88"/>
      <c r="Q639" s="88"/>
      <c r="R639" s="88"/>
      <c r="S639" s="88"/>
      <c r="T639" s="88"/>
      <c r="U639" s="88"/>
      <c r="V639" s="88"/>
      <c r="W639" s="88"/>
      <c r="X639" s="88"/>
      <c r="Y639" s="88"/>
      <c r="Z639" s="88"/>
      <c r="AA639" s="88"/>
    </row>
    <row r="640" spans="1:27" ht="13.2">
      <c r="A640" s="88"/>
      <c r="B640" s="88"/>
      <c r="C640" s="88"/>
      <c r="D640" s="88"/>
      <c r="E640" s="88"/>
      <c r="F640" s="88"/>
      <c r="G640" s="88"/>
      <c r="H640" s="88"/>
      <c r="I640" s="88"/>
      <c r="J640" s="88"/>
      <c r="K640" s="88"/>
      <c r="L640" s="88"/>
      <c r="M640" s="88"/>
      <c r="N640" s="88"/>
      <c r="O640" s="88"/>
      <c r="P640" s="88"/>
      <c r="Q640" s="88"/>
      <c r="R640" s="88"/>
      <c r="S640" s="88"/>
      <c r="T640" s="88"/>
      <c r="U640" s="88"/>
      <c r="V640" s="88"/>
      <c r="W640" s="88"/>
      <c r="X640" s="88"/>
      <c r="Y640" s="88"/>
      <c r="Z640" s="88"/>
      <c r="AA640" s="88"/>
    </row>
    <row r="641" spans="1:27" ht="13.2">
      <c r="A641" s="88"/>
      <c r="B641" s="88"/>
      <c r="C641" s="88"/>
      <c r="D641" s="88"/>
      <c r="E641" s="88"/>
      <c r="F641" s="88"/>
      <c r="G641" s="88"/>
      <c r="H641" s="88"/>
      <c r="I641" s="88"/>
      <c r="J641" s="88"/>
      <c r="K641" s="88"/>
      <c r="L641" s="88"/>
      <c r="M641" s="88"/>
      <c r="N641" s="88"/>
      <c r="O641" s="88"/>
      <c r="P641" s="88"/>
      <c r="Q641" s="88"/>
      <c r="R641" s="88"/>
      <c r="S641" s="88"/>
      <c r="T641" s="88"/>
      <c r="U641" s="88"/>
      <c r="V641" s="88"/>
      <c r="W641" s="88"/>
      <c r="X641" s="88"/>
      <c r="Y641" s="88"/>
      <c r="Z641" s="88"/>
      <c r="AA641" s="88"/>
    </row>
    <row r="642" spans="1:27" ht="13.2">
      <c r="A642" s="88"/>
      <c r="B642" s="88"/>
      <c r="C642" s="88"/>
      <c r="D642" s="88"/>
      <c r="E642" s="88"/>
      <c r="F642" s="88"/>
      <c r="G642" s="88"/>
      <c r="H642" s="88"/>
      <c r="I642" s="88"/>
      <c r="J642" s="88"/>
      <c r="K642" s="88"/>
      <c r="L642" s="88"/>
      <c r="M642" s="88"/>
      <c r="N642" s="88"/>
      <c r="O642" s="88"/>
      <c r="P642" s="88"/>
      <c r="Q642" s="88"/>
      <c r="R642" s="88"/>
      <c r="S642" s="88"/>
      <c r="T642" s="88"/>
      <c r="U642" s="88"/>
      <c r="V642" s="88"/>
      <c r="W642" s="88"/>
      <c r="X642" s="88"/>
      <c r="Y642" s="88"/>
      <c r="Z642" s="88"/>
      <c r="AA642" s="88"/>
    </row>
    <row r="643" spans="1:27" ht="13.2">
      <c r="A643" s="88"/>
      <c r="B643" s="88"/>
      <c r="C643" s="88"/>
      <c r="D643" s="88"/>
      <c r="E643" s="88"/>
      <c r="F643" s="88"/>
      <c r="G643" s="88"/>
      <c r="H643" s="88"/>
      <c r="I643" s="88"/>
      <c r="J643" s="88"/>
      <c r="K643" s="88"/>
      <c r="L643" s="88"/>
      <c r="M643" s="88"/>
      <c r="N643" s="88"/>
      <c r="O643" s="88"/>
      <c r="P643" s="88"/>
      <c r="Q643" s="88"/>
      <c r="R643" s="88"/>
      <c r="S643" s="88"/>
      <c r="T643" s="88"/>
      <c r="U643" s="88"/>
      <c r="V643" s="88"/>
      <c r="W643" s="88"/>
      <c r="X643" s="88"/>
      <c r="Y643" s="88"/>
      <c r="Z643" s="88"/>
      <c r="AA643" s="88"/>
    </row>
    <row r="644" spans="1:27" ht="13.2">
      <c r="A644" s="88"/>
      <c r="B644" s="88"/>
      <c r="C644" s="88"/>
      <c r="D644" s="88"/>
      <c r="E644" s="88"/>
      <c r="F644" s="88"/>
      <c r="G644" s="88"/>
      <c r="H644" s="88"/>
      <c r="I644" s="88"/>
      <c r="J644" s="88"/>
      <c r="K644" s="88"/>
      <c r="L644" s="88"/>
      <c r="M644" s="88"/>
      <c r="N644" s="88"/>
      <c r="O644" s="88"/>
      <c r="P644" s="88"/>
      <c r="Q644" s="88"/>
      <c r="R644" s="88"/>
      <c r="S644" s="88"/>
      <c r="T644" s="88"/>
      <c r="U644" s="88"/>
      <c r="V644" s="88"/>
      <c r="W644" s="88"/>
      <c r="X644" s="88"/>
      <c r="Y644" s="88"/>
      <c r="Z644" s="88"/>
      <c r="AA644" s="88"/>
    </row>
    <row r="645" spans="1:27" ht="13.2">
      <c r="A645" s="88"/>
      <c r="B645" s="88"/>
      <c r="C645" s="88"/>
      <c r="D645" s="88"/>
      <c r="E645" s="88"/>
      <c r="F645" s="88"/>
      <c r="G645" s="88"/>
      <c r="H645" s="88"/>
      <c r="I645" s="88"/>
      <c r="J645" s="88"/>
      <c r="K645" s="88"/>
      <c r="L645" s="88"/>
      <c r="M645" s="88"/>
      <c r="N645" s="88"/>
      <c r="O645" s="88"/>
      <c r="P645" s="88"/>
      <c r="Q645" s="88"/>
      <c r="R645" s="88"/>
      <c r="S645" s="88"/>
      <c r="T645" s="88"/>
      <c r="U645" s="88"/>
      <c r="V645" s="88"/>
      <c r="W645" s="88"/>
      <c r="X645" s="88"/>
      <c r="Y645" s="88"/>
      <c r="Z645" s="88"/>
      <c r="AA645" s="88"/>
    </row>
    <row r="646" spans="1:27" ht="13.2">
      <c r="A646" s="88"/>
      <c r="B646" s="88"/>
      <c r="C646" s="88"/>
      <c r="D646" s="88"/>
      <c r="E646" s="88"/>
      <c r="F646" s="88"/>
      <c r="G646" s="88"/>
      <c r="H646" s="88"/>
      <c r="I646" s="88"/>
      <c r="J646" s="88"/>
      <c r="K646" s="88"/>
      <c r="L646" s="88"/>
      <c r="M646" s="88"/>
      <c r="N646" s="88"/>
      <c r="O646" s="88"/>
      <c r="P646" s="88"/>
      <c r="Q646" s="88"/>
      <c r="R646" s="88"/>
      <c r="S646" s="88"/>
      <c r="T646" s="88"/>
      <c r="U646" s="88"/>
      <c r="V646" s="88"/>
      <c r="W646" s="88"/>
      <c r="X646" s="88"/>
      <c r="Y646" s="88"/>
      <c r="Z646" s="88"/>
      <c r="AA646" s="88"/>
    </row>
    <row r="647" spans="1:27" ht="13.2">
      <c r="A647" s="88"/>
      <c r="B647" s="88"/>
      <c r="C647" s="88"/>
      <c r="D647" s="88"/>
      <c r="E647" s="88"/>
      <c r="F647" s="88"/>
      <c r="G647" s="88"/>
      <c r="H647" s="88"/>
      <c r="I647" s="88"/>
      <c r="J647" s="88"/>
      <c r="K647" s="88"/>
      <c r="L647" s="88"/>
      <c r="M647" s="88"/>
      <c r="N647" s="88"/>
      <c r="O647" s="88"/>
      <c r="P647" s="88"/>
      <c r="Q647" s="88"/>
      <c r="R647" s="88"/>
      <c r="S647" s="88"/>
      <c r="T647" s="88"/>
      <c r="U647" s="88"/>
      <c r="V647" s="88"/>
      <c r="W647" s="88"/>
      <c r="X647" s="88"/>
      <c r="Y647" s="88"/>
      <c r="Z647" s="88"/>
      <c r="AA647" s="88"/>
    </row>
    <row r="648" spans="1:27" ht="13.2">
      <c r="A648" s="88"/>
      <c r="B648" s="88"/>
      <c r="C648" s="88"/>
      <c r="D648" s="88"/>
      <c r="E648" s="88"/>
      <c r="F648" s="88"/>
      <c r="G648" s="88"/>
      <c r="H648" s="88"/>
      <c r="I648" s="88"/>
      <c r="J648" s="88"/>
      <c r="K648" s="88"/>
      <c r="L648" s="88"/>
      <c r="M648" s="88"/>
      <c r="N648" s="88"/>
      <c r="O648" s="88"/>
      <c r="P648" s="88"/>
      <c r="Q648" s="88"/>
      <c r="R648" s="88"/>
      <c r="S648" s="88"/>
      <c r="T648" s="88"/>
      <c r="U648" s="88"/>
      <c r="V648" s="88"/>
      <c r="W648" s="88"/>
      <c r="X648" s="88"/>
      <c r="Y648" s="88"/>
      <c r="Z648" s="88"/>
      <c r="AA648" s="88"/>
    </row>
    <row r="649" spans="1:27" ht="13.2">
      <c r="A649" s="88"/>
      <c r="B649" s="88"/>
      <c r="C649" s="88"/>
      <c r="D649" s="88"/>
      <c r="E649" s="88"/>
      <c r="F649" s="88"/>
      <c r="G649" s="88"/>
      <c r="H649" s="88"/>
      <c r="I649" s="88"/>
      <c r="J649" s="88"/>
      <c r="K649" s="88"/>
      <c r="L649" s="88"/>
      <c r="M649" s="88"/>
      <c r="N649" s="88"/>
      <c r="O649" s="88"/>
      <c r="P649" s="88"/>
      <c r="Q649" s="88"/>
      <c r="R649" s="88"/>
      <c r="S649" s="88"/>
      <c r="T649" s="88"/>
      <c r="U649" s="88"/>
      <c r="V649" s="88"/>
      <c r="W649" s="88"/>
      <c r="X649" s="88"/>
      <c r="Y649" s="88"/>
      <c r="Z649" s="88"/>
      <c r="AA649" s="88"/>
    </row>
    <row r="650" spans="1:27" ht="13.2">
      <c r="A650" s="88"/>
      <c r="B650" s="88"/>
      <c r="C650" s="88"/>
      <c r="D650" s="88"/>
      <c r="E650" s="88"/>
      <c r="F650" s="88"/>
      <c r="G650" s="88"/>
      <c r="H650" s="88"/>
      <c r="I650" s="88"/>
      <c r="J650" s="88"/>
      <c r="K650" s="88"/>
      <c r="L650" s="88"/>
      <c r="M650" s="88"/>
      <c r="N650" s="88"/>
      <c r="O650" s="88"/>
      <c r="P650" s="88"/>
      <c r="Q650" s="88"/>
      <c r="R650" s="88"/>
      <c r="S650" s="88"/>
      <c r="T650" s="88"/>
      <c r="U650" s="88"/>
      <c r="V650" s="88"/>
      <c r="W650" s="88"/>
      <c r="X650" s="88"/>
      <c r="Y650" s="88"/>
      <c r="Z650" s="88"/>
      <c r="AA650" s="88"/>
    </row>
    <row r="651" spans="1:27" ht="13.2">
      <c r="A651" s="88"/>
      <c r="B651" s="88"/>
      <c r="C651" s="88"/>
      <c r="D651" s="88"/>
      <c r="E651" s="88"/>
      <c r="F651" s="88"/>
      <c r="G651" s="88"/>
      <c r="H651" s="88"/>
      <c r="I651" s="88"/>
      <c r="J651" s="88"/>
      <c r="K651" s="88"/>
      <c r="L651" s="88"/>
      <c r="M651" s="88"/>
      <c r="N651" s="88"/>
      <c r="O651" s="88"/>
      <c r="P651" s="88"/>
      <c r="Q651" s="88"/>
      <c r="R651" s="88"/>
      <c r="S651" s="88"/>
      <c r="T651" s="88"/>
      <c r="U651" s="88"/>
      <c r="V651" s="88"/>
      <c r="W651" s="88"/>
      <c r="X651" s="88"/>
      <c r="Y651" s="88"/>
      <c r="Z651" s="88"/>
      <c r="AA651" s="88"/>
    </row>
    <row r="652" spans="1:27" ht="13.2">
      <c r="A652" s="88"/>
      <c r="B652" s="88"/>
      <c r="C652" s="88"/>
      <c r="D652" s="88"/>
      <c r="E652" s="88"/>
      <c r="F652" s="88"/>
      <c r="G652" s="88"/>
      <c r="H652" s="88"/>
      <c r="I652" s="88"/>
      <c r="J652" s="88"/>
      <c r="K652" s="88"/>
      <c r="L652" s="88"/>
      <c r="M652" s="88"/>
      <c r="N652" s="88"/>
      <c r="O652" s="88"/>
      <c r="P652" s="88"/>
      <c r="Q652" s="88"/>
      <c r="R652" s="88"/>
      <c r="S652" s="88"/>
      <c r="T652" s="88"/>
      <c r="U652" s="88"/>
      <c r="V652" s="88"/>
      <c r="W652" s="88"/>
      <c r="X652" s="88"/>
      <c r="Y652" s="88"/>
      <c r="Z652" s="88"/>
      <c r="AA652" s="88"/>
    </row>
    <row r="653" spans="1:27" ht="13.2">
      <c r="A653" s="88"/>
      <c r="B653" s="88"/>
      <c r="C653" s="88"/>
      <c r="D653" s="88"/>
      <c r="E653" s="88"/>
      <c r="F653" s="88"/>
      <c r="G653" s="88"/>
      <c r="H653" s="88"/>
      <c r="I653" s="88"/>
      <c r="J653" s="88"/>
      <c r="K653" s="88"/>
      <c r="L653" s="88"/>
      <c r="M653" s="88"/>
      <c r="N653" s="88"/>
      <c r="O653" s="88"/>
      <c r="P653" s="88"/>
      <c r="Q653" s="88"/>
      <c r="R653" s="88"/>
      <c r="S653" s="88"/>
      <c r="T653" s="88"/>
      <c r="U653" s="88"/>
      <c r="V653" s="88"/>
      <c r="W653" s="88"/>
      <c r="X653" s="88"/>
      <c r="Y653" s="88"/>
      <c r="Z653" s="88"/>
      <c r="AA653" s="88"/>
    </row>
    <row r="654" spans="1:27" ht="13.2">
      <c r="A654" s="88"/>
      <c r="B654" s="88"/>
      <c r="C654" s="88"/>
      <c r="D654" s="88"/>
      <c r="E654" s="88"/>
      <c r="F654" s="88"/>
      <c r="G654" s="88"/>
      <c r="H654" s="88"/>
      <c r="I654" s="88"/>
      <c r="J654" s="88"/>
      <c r="K654" s="88"/>
      <c r="L654" s="88"/>
      <c r="M654" s="88"/>
      <c r="N654" s="88"/>
      <c r="O654" s="88"/>
      <c r="P654" s="88"/>
      <c r="Q654" s="88"/>
      <c r="R654" s="88"/>
      <c r="S654" s="88"/>
      <c r="T654" s="88"/>
      <c r="U654" s="88"/>
      <c r="V654" s="88"/>
      <c r="W654" s="88"/>
      <c r="X654" s="88"/>
      <c r="Y654" s="88"/>
      <c r="Z654" s="88"/>
      <c r="AA654" s="88"/>
    </row>
    <row r="655" spans="1:27" ht="13.2">
      <c r="A655" s="88"/>
      <c r="B655" s="88"/>
      <c r="C655" s="88"/>
      <c r="D655" s="88"/>
      <c r="E655" s="88"/>
      <c r="F655" s="88"/>
      <c r="G655" s="88"/>
      <c r="H655" s="88"/>
      <c r="I655" s="88"/>
      <c r="J655" s="88"/>
      <c r="K655" s="88"/>
      <c r="L655" s="88"/>
      <c r="M655" s="88"/>
      <c r="N655" s="88"/>
      <c r="O655" s="88"/>
      <c r="P655" s="88"/>
      <c r="Q655" s="88"/>
      <c r="R655" s="88"/>
      <c r="S655" s="88"/>
      <c r="T655" s="88"/>
      <c r="U655" s="88"/>
      <c r="V655" s="88"/>
      <c r="W655" s="88"/>
      <c r="X655" s="88"/>
      <c r="Y655" s="88"/>
      <c r="Z655" s="88"/>
      <c r="AA655" s="88"/>
    </row>
    <row r="656" spans="1:27" ht="13.2">
      <c r="A656" s="88"/>
      <c r="B656" s="88"/>
      <c r="C656" s="88"/>
      <c r="D656" s="88"/>
      <c r="E656" s="88"/>
      <c r="F656" s="88"/>
      <c r="G656" s="88"/>
      <c r="H656" s="88"/>
      <c r="I656" s="88"/>
      <c r="J656" s="88"/>
      <c r="K656" s="88"/>
      <c r="L656" s="88"/>
      <c r="M656" s="88"/>
      <c r="N656" s="88"/>
      <c r="O656" s="88"/>
      <c r="P656" s="88"/>
      <c r="Q656" s="88"/>
      <c r="R656" s="88"/>
      <c r="S656" s="88"/>
      <c r="T656" s="88"/>
      <c r="U656" s="88"/>
      <c r="V656" s="88"/>
      <c r="W656" s="88"/>
      <c r="X656" s="88"/>
      <c r="Y656" s="88"/>
      <c r="Z656" s="88"/>
      <c r="AA656" s="88"/>
    </row>
    <row r="657" spans="1:27" ht="13.2">
      <c r="A657" s="88"/>
      <c r="B657" s="88"/>
      <c r="C657" s="88"/>
      <c r="D657" s="88"/>
      <c r="E657" s="88"/>
      <c r="F657" s="88"/>
      <c r="G657" s="88"/>
      <c r="H657" s="88"/>
      <c r="I657" s="88"/>
      <c r="J657" s="88"/>
      <c r="K657" s="88"/>
      <c r="L657" s="88"/>
      <c r="M657" s="88"/>
      <c r="N657" s="88"/>
      <c r="O657" s="88"/>
      <c r="P657" s="88"/>
      <c r="Q657" s="88"/>
      <c r="R657" s="88"/>
      <c r="S657" s="88"/>
      <c r="T657" s="88"/>
      <c r="U657" s="88"/>
      <c r="V657" s="88"/>
      <c r="W657" s="88"/>
      <c r="X657" s="88"/>
      <c r="Y657" s="88"/>
      <c r="Z657" s="88"/>
      <c r="AA657" s="88"/>
    </row>
    <row r="658" spans="1:27" ht="13.2">
      <c r="A658" s="88"/>
      <c r="B658" s="88"/>
      <c r="C658" s="88"/>
      <c r="D658" s="88"/>
      <c r="E658" s="88"/>
      <c r="F658" s="88"/>
      <c r="G658" s="88"/>
      <c r="H658" s="88"/>
      <c r="I658" s="88"/>
      <c r="J658" s="88"/>
      <c r="K658" s="88"/>
      <c r="L658" s="88"/>
      <c r="M658" s="88"/>
      <c r="N658" s="88"/>
      <c r="O658" s="88"/>
      <c r="P658" s="88"/>
      <c r="Q658" s="88"/>
      <c r="R658" s="88"/>
      <c r="S658" s="88"/>
      <c r="T658" s="88"/>
      <c r="U658" s="88"/>
      <c r="V658" s="88"/>
      <c r="W658" s="88"/>
      <c r="X658" s="88"/>
      <c r="Y658" s="88"/>
      <c r="Z658" s="88"/>
      <c r="AA658" s="88"/>
    </row>
    <row r="659" spans="1:27" ht="13.2">
      <c r="A659" s="88"/>
      <c r="B659" s="88"/>
      <c r="C659" s="88"/>
      <c r="D659" s="88"/>
      <c r="E659" s="88"/>
      <c r="F659" s="88"/>
      <c r="G659" s="88"/>
      <c r="H659" s="88"/>
      <c r="I659" s="88"/>
      <c r="J659" s="88"/>
      <c r="K659" s="88"/>
      <c r="L659" s="88"/>
      <c r="M659" s="88"/>
      <c r="N659" s="88"/>
      <c r="O659" s="88"/>
      <c r="P659" s="88"/>
      <c r="Q659" s="88"/>
      <c r="R659" s="88"/>
      <c r="S659" s="88"/>
      <c r="T659" s="88"/>
      <c r="U659" s="88"/>
      <c r="V659" s="88"/>
      <c r="W659" s="88"/>
      <c r="X659" s="88"/>
      <c r="Y659" s="88"/>
      <c r="Z659" s="88"/>
      <c r="AA659" s="88"/>
    </row>
    <row r="660" spans="1:27" ht="13.2">
      <c r="A660" s="88"/>
      <c r="B660" s="88"/>
      <c r="C660" s="88"/>
      <c r="D660" s="88"/>
      <c r="E660" s="88"/>
      <c r="F660" s="88"/>
      <c r="G660" s="88"/>
      <c r="H660" s="88"/>
      <c r="I660" s="88"/>
      <c r="J660" s="88"/>
      <c r="K660" s="88"/>
      <c r="L660" s="88"/>
      <c r="M660" s="88"/>
      <c r="N660" s="88"/>
      <c r="O660" s="88"/>
      <c r="P660" s="88"/>
      <c r="Q660" s="88"/>
      <c r="R660" s="88"/>
      <c r="S660" s="88"/>
      <c r="T660" s="88"/>
      <c r="U660" s="88"/>
      <c r="V660" s="88"/>
      <c r="W660" s="88"/>
      <c r="X660" s="88"/>
      <c r="Y660" s="88"/>
      <c r="Z660" s="88"/>
      <c r="AA660" s="88"/>
    </row>
    <row r="661" spans="1:27" ht="13.2">
      <c r="A661" s="88"/>
      <c r="B661" s="88"/>
      <c r="C661" s="88"/>
      <c r="D661" s="88"/>
      <c r="E661" s="88"/>
      <c r="F661" s="88"/>
      <c r="G661" s="88"/>
      <c r="H661" s="88"/>
      <c r="I661" s="88"/>
      <c r="J661" s="88"/>
      <c r="K661" s="88"/>
      <c r="L661" s="88"/>
      <c r="M661" s="88"/>
      <c r="N661" s="88"/>
      <c r="O661" s="88"/>
      <c r="P661" s="88"/>
      <c r="Q661" s="88"/>
      <c r="R661" s="88"/>
      <c r="S661" s="88"/>
      <c r="T661" s="88"/>
      <c r="U661" s="88"/>
      <c r="V661" s="88"/>
      <c r="W661" s="88"/>
      <c r="X661" s="88"/>
      <c r="Y661" s="88"/>
      <c r="Z661" s="88"/>
      <c r="AA661" s="88"/>
    </row>
    <row r="662" spans="1:27" ht="13.2">
      <c r="A662" s="88"/>
      <c r="B662" s="88"/>
      <c r="C662" s="88"/>
      <c r="D662" s="88"/>
      <c r="E662" s="88"/>
      <c r="F662" s="88"/>
      <c r="G662" s="88"/>
      <c r="H662" s="88"/>
      <c r="I662" s="88"/>
      <c r="J662" s="88"/>
      <c r="K662" s="88"/>
      <c r="L662" s="88"/>
      <c r="M662" s="88"/>
      <c r="N662" s="88"/>
      <c r="O662" s="88"/>
      <c r="P662" s="88"/>
      <c r="Q662" s="88"/>
      <c r="R662" s="88"/>
      <c r="S662" s="88"/>
      <c r="T662" s="88"/>
      <c r="U662" s="88"/>
      <c r="V662" s="88"/>
      <c r="W662" s="88"/>
      <c r="X662" s="88"/>
      <c r="Y662" s="88"/>
      <c r="Z662" s="88"/>
      <c r="AA662" s="88"/>
    </row>
    <row r="663" spans="1:27" ht="13.2">
      <c r="A663" s="88"/>
      <c r="B663" s="88"/>
      <c r="C663" s="88"/>
      <c r="D663" s="88"/>
      <c r="E663" s="88"/>
      <c r="F663" s="88"/>
      <c r="G663" s="88"/>
      <c r="H663" s="88"/>
      <c r="I663" s="88"/>
      <c r="J663" s="88"/>
      <c r="K663" s="88"/>
      <c r="L663" s="88"/>
      <c r="M663" s="88"/>
      <c r="N663" s="88"/>
      <c r="O663" s="88"/>
      <c r="P663" s="88"/>
      <c r="Q663" s="88"/>
      <c r="R663" s="88"/>
      <c r="S663" s="88"/>
      <c r="T663" s="88"/>
      <c r="U663" s="88"/>
      <c r="V663" s="88"/>
      <c r="W663" s="88"/>
      <c r="X663" s="88"/>
      <c r="Y663" s="88"/>
      <c r="Z663" s="88"/>
      <c r="AA663" s="88"/>
    </row>
    <row r="664" spans="1:27" ht="13.2">
      <c r="A664" s="88"/>
      <c r="B664" s="88"/>
      <c r="C664" s="88"/>
      <c r="D664" s="88"/>
      <c r="E664" s="88"/>
      <c r="F664" s="88"/>
      <c r="G664" s="88"/>
      <c r="H664" s="88"/>
      <c r="I664" s="88"/>
      <c r="J664" s="88"/>
      <c r="K664" s="88"/>
      <c r="L664" s="88"/>
      <c r="M664" s="88"/>
      <c r="N664" s="88"/>
      <c r="O664" s="88"/>
      <c r="P664" s="88"/>
      <c r="Q664" s="88"/>
      <c r="R664" s="88"/>
      <c r="S664" s="88"/>
      <c r="T664" s="88"/>
      <c r="U664" s="88"/>
      <c r="V664" s="88"/>
      <c r="W664" s="88"/>
      <c r="X664" s="88"/>
      <c r="Y664" s="88"/>
      <c r="Z664" s="88"/>
      <c r="AA664" s="88"/>
    </row>
    <row r="665" spans="1:27" ht="13.2">
      <c r="A665" s="88"/>
      <c r="B665" s="88"/>
      <c r="C665" s="88"/>
      <c r="D665" s="88"/>
      <c r="E665" s="88"/>
      <c r="F665" s="88"/>
      <c r="G665" s="88"/>
      <c r="H665" s="88"/>
      <c r="I665" s="88"/>
      <c r="J665" s="88"/>
      <c r="K665" s="88"/>
      <c r="L665" s="88"/>
      <c r="M665" s="88"/>
      <c r="N665" s="88"/>
      <c r="O665" s="88"/>
      <c r="P665" s="88"/>
      <c r="Q665" s="88"/>
      <c r="R665" s="88"/>
      <c r="S665" s="88"/>
      <c r="T665" s="88"/>
      <c r="U665" s="88"/>
      <c r="V665" s="88"/>
      <c r="W665" s="88"/>
      <c r="X665" s="88"/>
      <c r="Y665" s="88"/>
      <c r="Z665" s="88"/>
      <c r="AA665" s="88"/>
    </row>
    <row r="666" spans="1:27" ht="13.2">
      <c r="A666" s="88"/>
      <c r="B666" s="88"/>
      <c r="C666" s="88"/>
      <c r="D666" s="88"/>
      <c r="E666" s="88"/>
      <c r="F666" s="88"/>
      <c r="G666" s="88"/>
      <c r="H666" s="88"/>
      <c r="I666" s="88"/>
      <c r="J666" s="88"/>
      <c r="K666" s="88"/>
      <c r="L666" s="88"/>
      <c r="M666" s="88"/>
      <c r="N666" s="88"/>
      <c r="O666" s="88"/>
      <c r="P666" s="88"/>
      <c r="Q666" s="88"/>
      <c r="R666" s="88"/>
      <c r="S666" s="88"/>
      <c r="T666" s="88"/>
      <c r="U666" s="88"/>
      <c r="V666" s="88"/>
      <c r="W666" s="88"/>
      <c r="X666" s="88"/>
      <c r="Y666" s="88"/>
      <c r="Z666" s="88"/>
      <c r="AA666" s="88"/>
    </row>
    <row r="667" spans="1:27" ht="13.2">
      <c r="A667" s="88"/>
      <c r="B667" s="88"/>
      <c r="C667" s="88"/>
      <c r="D667" s="88"/>
      <c r="E667" s="88"/>
      <c r="F667" s="88"/>
      <c r="G667" s="88"/>
      <c r="H667" s="88"/>
      <c r="I667" s="88"/>
      <c r="J667" s="88"/>
      <c r="K667" s="88"/>
      <c r="L667" s="88"/>
      <c r="M667" s="88"/>
      <c r="N667" s="88"/>
      <c r="O667" s="88"/>
      <c r="P667" s="88"/>
      <c r="Q667" s="88"/>
      <c r="R667" s="88"/>
      <c r="S667" s="88"/>
      <c r="T667" s="88"/>
      <c r="U667" s="88"/>
      <c r="V667" s="88"/>
      <c r="W667" s="88"/>
      <c r="X667" s="88"/>
      <c r="Y667" s="88"/>
      <c r="Z667" s="88"/>
      <c r="AA667" s="88"/>
    </row>
    <row r="668" spans="1:27" ht="13.2">
      <c r="A668" s="88"/>
      <c r="B668" s="88"/>
      <c r="C668" s="88"/>
      <c r="D668" s="88"/>
      <c r="E668" s="88"/>
      <c r="F668" s="88"/>
      <c r="G668" s="88"/>
      <c r="H668" s="88"/>
      <c r="I668" s="88"/>
      <c r="J668" s="88"/>
      <c r="K668" s="88"/>
      <c r="L668" s="88"/>
      <c r="M668" s="88"/>
      <c r="N668" s="88"/>
      <c r="O668" s="88"/>
      <c r="P668" s="88"/>
      <c r="Q668" s="88"/>
      <c r="R668" s="88"/>
      <c r="S668" s="88"/>
      <c r="T668" s="88"/>
      <c r="U668" s="88"/>
      <c r="V668" s="88"/>
      <c r="W668" s="88"/>
      <c r="X668" s="88"/>
      <c r="Y668" s="88"/>
      <c r="Z668" s="88"/>
      <c r="AA668" s="88"/>
    </row>
    <row r="669" spans="1:27" ht="13.2">
      <c r="A669" s="88"/>
      <c r="B669" s="88"/>
      <c r="C669" s="88"/>
      <c r="D669" s="88"/>
      <c r="E669" s="88"/>
      <c r="F669" s="88"/>
      <c r="G669" s="88"/>
      <c r="H669" s="88"/>
      <c r="I669" s="88"/>
      <c r="J669" s="88"/>
      <c r="K669" s="88"/>
      <c r="L669" s="88"/>
      <c r="M669" s="88"/>
      <c r="N669" s="88"/>
      <c r="O669" s="88"/>
      <c r="P669" s="88"/>
      <c r="Q669" s="88"/>
      <c r="R669" s="88"/>
      <c r="S669" s="88"/>
      <c r="T669" s="88"/>
      <c r="U669" s="88"/>
      <c r="V669" s="88"/>
      <c r="W669" s="88"/>
      <c r="X669" s="88"/>
      <c r="Y669" s="88"/>
      <c r="Z669" s="88"/>
      <c r="AA669" s="88"/>
    </row>
    <row r="670" spans="1:27" ht="13.2">
      <c r="A670" s="88"/>
      <c r="B670" s="88"/>
      <c r="C670" s="88"/>
      <c r="D670" s="88"/>
      <c r="E670" s="88"/>
      <c r="F670" s="88"/>
      <c r="G670" s="88"/>
      <c r="H670" s="88"/>
      <c r="I670" s="88"/>
      <c r="J670" s="88"/>
      <c r="K670" s="88"/>
      <c r="L670" s="88"/>
      <c r="M670" s="88"/>
      <c r="N670" s="88"/>
      <c r="O670" s="88"/>
      <c r="P670" s="88"/>
      <c r="Q670" s="88"/>
      <c r="R670" s="88"/>
      <c r="S670" s="88"/>
      <c r="T670" s="88"/>
      <c r="U670" s="88"/>
      <c r="V670" s="88"/>
      <c r="W670" s="88"/>
      <c r="X670" s="88"/>
      <c r="Y670" s="88"/>
      <c r="Z670" s="88"/>
      <c r="AA670" s="88"/>
    </row>
    <row r="671" spans="1:27" ht="13.2">
      <c r="A671" s="88"/>
      <c r="B671" s="88"/>
      <c r="C671" s="88"/>
      <c r="D671" s="88"/>
      <c r="E671" s="88"/>
      <c r="F671" s="88"/>
      <c r="G671" s="88"/>
      <c r="H671" s="88"/>
      <c r="I671" s="88"/>
      <c r="J671" s="88"/>
      <c r="K671" s="88"/>
      <c r="L671" s="88"/>
      <c r="M671" s="88"/>
      <c r="N671" s="88"/>
      <c r="O671" s="88"/>
      <c r="P671" s="88"/>
      <c r="Q671" s="88"/>
      <c r="R671" s="88"/>
      <c r="S671" s="88"/>
      <c r="T671" s="88"/>
      <c r="U671" s="88"/>
      <c r="V671" s="88"/>
      <c r="W671" s="88"/>
      <c r="X671" s="88"/>
      <c r="Y671" s="88"/>
      <c r="Z671" s="88"/>
      <c r="AA671" s="88"/>
    </row>
    <row r="672" spans="1:27" ht="13.2">
      <c r="A672" s="88"/>
      <c r="B672" s="88"/>
      <c r="C672" s="88"/>
      <c r="D672" s="88"/>
      <c r="E672" s="88"/>
      <c r="F672" s="88"/>
      <c r="G672" s="88"/>
      <c r="H672" s="88"/>
      <c r="I672" s="88"/>
      <c r="J672" s="88"/>
      <c r="K672" s="88"/>
      <c r="L672" s="88"/>
      <c r="M672" s="88"/>
      <c r="N672" s="88"/>
      <c r="O672" s="88"/>
      <c r="P672" s="88"/>
      <c r="Q672" s="88"/>
      <c r="R672" s="88"/>
      <c r="S672" s="88"/>
      <c r="T672" s="88"/>
      <c r="U672" s="88"/>
      <c r="V672" s="88"/>
      <c r="W672" s="88"/>
      <c r="X672" s="88"/>
      <c r="Y672" s="88"/>
      <c r="Z672" s="88"/>
      <c r="AA672" s="88"/>
    </row>
    <row r="673" spans="1:27" ht="13.2">
      <c r="A673" s="88"/>
      <c r="B673" s="88"/>
      <c r="C673" s="88"/>
      <c r="D673" s="88"/>
      <c r="E673" s="88"/>
      <c r="F673" s="88"/>
      <c r="G673" s="88"/>
      <c r="H673" s="88"/>
      <c r="I673" s="88"/>
      <c r="J673" s="88"/>
      <c r="K673" s="88"/>
      <c r="L673" s="88"/>
      <c r="M673" s="88"/>
      <c r="N673" s="88"/>
      <c r="O673" s="88"/>
      <c r="P673" s="88"/>
      <c r="Q673" s="88"/>
      <c r="R673" s="88"/>
      <c r="S673" s="88"/>
      <c r="T673" s="88"/>
      <c r="U673" s="88"/>
      <c r="V673" s="88"/>
      <c r="W673" s="88"/>
      <c r="X673" s="88"/>
      <c r="Y673" s="88"/>
      <c r="Z673" s="88"/>
      <c r="AA673" s="88"/>
    </row>
    <row r="674" spans="1:27" ht="13.2">
      <c r="A674" s="88"/>
      <c r="B674" s="88"/>
      <c r="C674" s="88"/>
      <c r="D674" s="88"/>
      <c r="E674" s="88"/>
      <c r="F674" s="88"/>
      <c r="G674" s="88"/>
      <c r="H674" s="88"/>
      <c r="I674" s="88"/>
      <c r="J674" s="88"/>
      <c r="K674" s="88"/>
      <c r="L674" s="88"/>
      <c r="M674" s="88"/>
      <c r="N674" s="88"/>
      <c r="O674" s="88"/>
      <c r="P674" s="88"/>
      <c r="Q674" s="88"/>
      <c r="R674" s="88"/>
      <c r="S674" s="88"/>
      <c r="T674" s="88"/>
      <c r="U674" s="88"/>
      <c r="V674" s="88"/>
      <c r="W674" s="88"/>
      <c r="X674" s="88"/>
      <c r="Y674" s="88"/>
      <c r="Z674" s="88"/>
      <c r="AA674" s="88"/>
    </row>
    <row r="675" spans="1:27" ht="13.2">
      <c r="A675" s="88"/>
      <c r="B675" s="88"/>
      <c r="C675" s="88"/>
      <c r="D675" s="88"/>
      <c r="E675" s="88"/>
      <c r="F675" s="88"/>
      <c r="G675" s="88"/>
      <c r="H675" s="88"/>
      <c r="I675" s="88"/>
      <c r="J675" s="88"/>
      <c r="K675" s="88"/>
      <c r="L675" s="88"/>
      <c r="M675" s="88"/>
      <c r="N675" s="88"/>
      <c r="O675" s="88"/>
      <c r="P675" s="88"/>
      <c r="Q675" s="88"/>
      <c r="R675" s="88"/>
      <c r="S675" s="88"/>
      <c r="T675" s="88"/>
      <c r="U675" s="88"/>
      <c r="V675" s="88"/>
      <c r="W675" s="88"/>
      <c r="X675" s="88"/>
      <c r="Y675" s="88"/>
      <c r="Z675" s="88"/>
      <c r="AA675" s="88"/>
    </row>
    <row r="676" spans="1:27" ht="13.2">
      <c r="A676" s="88"/>
      <c r="B676" s="88"/>
      <c r="C676" s="88"/>
      <c r="D676" s="88"/>
      <c r="E676" s="88"/>
      <c r="F676" s="88"/>
      <c r="G676" s="88"/>
      <c r="H676" s="88"/>
      <c r="I676" s="88"/>
      <c r="J676" s="88"/>
      <c r="K676" s="88"/>
      <c r="L676" s="88"/>
      <c r="M676" s="88"/>
      <c r="N676" s="88"/>
      <c r="O676" s="88"/>
      <c r="P676" s="88"/>
      <c r="Q676" s="88"/>
      <c r="R676" s="88"/>
      <c r="S676" s="88"/>
      <c r="T676" s="88"/>
      <c r="U676" s="88"/>
      <c r="V676" s="88"/>
      <c r="W676" s="88"/>
      <c r="X676" s="88"/>
      <c r="Y676" s="88"/>
      <c r="Z676" s="88"/>
      <c r="AA676" s="88"/>
    </row>
    <row r="677" spans="1:27" ht="13.2">
      <c r="A677" s="88"/>
      <c r="B677" s="88"/>
      <c r="C677" s="88"/>
      <c r="D677" s="88"/>
      <c r="E677" s="88"/>
      <c r="F677" s="88"/>
      <c r="G677" s="88"/>
      <c r="H677" s="88"/>
      <c r="I677" s="88"/>
      <c r="J677" s="88"/>
      <c r="K677" s="88"/>
      <c r="L677" s="88"/>
      <c r="M677" s="88"/>
      <c r="N677" s="88"/>
      <c r="O677" s="88"/>
      <c r="P677" s="88"/>
      <c r="Q677" s="88"/>
      <c r="R677" s="88"/>
      <c r="S677" s="88"/>
      <c r="T677" s="88"/>
      <c r="U677" s="88"/>
      <c r="V677" s="88"/>
      <c r="W677" s="88"/>
      <c r="X677" s="88"/>
      <c r="Y677" s="88"/>
      <c r="Z677" s="88"/>
      <c r="AA677" s="88"/>
    </row>
    <row r="678" spans="1:27" ht="13.2">
      <c r="A678" s="88"/>
      <c r="B678" s="88"/>
      <c r="C678" s="88"/>
      <c r="D678" s="88"/>
      <c r="E678" s="88"/>
      <c r="F678" s="88"/>
      <c r="G678" s="88"/>
      <c r="H678" s="88"/>
      <c r="I678" s="88"/>
      <c r="J678" s="88"/>
      <c r="K678" s="88"/>
      <c r="L678" s="88"/>
      <c r="M678" s="88"/>
      <c r="N678" s="88"/>
      <c r="O678" s="88"/>
      <c r="P678" s="88"/>
      <c r="Q678" s="88"/>
      <c r="R678" s="88"/>
      <c r="S678" s="88"/>
      <c r="T678" s="88"/>
      <c r="U678" s="88"/>
      <c r="V678" s="88"/>
      <c r="W678" s="88"/>
      <c r="X678" s="88"/>
      <c r="Y678" s="88"/>
      <c r="Z678" s="88"/>
      <c r="AA678" s="88"/>
    </row>
    <row r="679" spans="1:27" ht="13.2">
      <c r="A679" s="88"/>
      <c r="B679" s="88"/>
      <c r="C679" s="88"/>
      <c r="D679" s="88"/>
      <c r="E679" s="88"/>
      <c r="F679" s="88"/>
      <c r="G679" s="88"/>
      <c r="H679" s="88"/>
      <c r="I679" s="88"/>
      <c r="J679" s="88"/>
      <c r="K679" s="88"/>
      <c r="L679" s="88"/>
      <c r="M679" s="88"/>
      <c r="N679" s="88"/>
      <c r="O679" s="88"/>
      <c r="P679" s="88"/>
      <c r="Q679" s="88"/>
      <c r="R679" s="88"/>
      <c r="S679" s="88"/>
      <c r="T679" s="88"/>
      <c r="U679" s="88"/>
      <c r="V679" s="88"/>
      <c r="W679" s="88"/>
      <c r="X679" s="88"/>
      <c r="Y679" s="88"/>
      <c r="Z679" s="88"/>
      <c r="AA679" s="88"/>
    </row>
    <row r="680" spans="1:27" ht="13.2">
      <c r="A680" s="88"/>
      <c r="B680" s="88"/>
      <c r="C680" s="88"/>
      <c r="D680" s="88"/>
      <c r="E680" s="88"/>
      <c r="F680" s="88"/>
      <c r="G680" s="88"/>
      <c r="H680" s="88"/>
      <c r="I680" s="88"/>
      <c r="J680" s="88"/>
      <c r="K680" s="88"/>
      <c r="L680" s="88"/>
      <c r="M680" s="88"/>
      <c r="N680" s="88"/>
      <c r="O680" s="88"/>
      <c r="P680" s="88"/>
      <c r="Q680" s="88"/>
      <c r="R680" s="88"/>
      <c r="S680" s="88"/>
      <c r="T680" s="88"/>
      <c r="U680" s="88"/>
      <c r="V680" s="88"/>
      <c r="W680" s="88"/>
      <c r="X680" s="88"/>
      <c r="Y680" s="88"/>
      <c r="Z680" s="88"/>
      <c r="AA680" s="88"/>
    </row>
    <row r="681" spans="1:27" ht="13.2">
      <c r="A681" s="88"/>
      <c r="B681" s="88"/>
      <c r="C681" s="88"/>
      <c r="D681" s="88"/>
      <c r="E681" s="88"/>
      <c r="F681" s="88"/>
      <c r="G681" s="88"/>
      <c r="H681" s="88"/>
      <c r="I681" s="88"/>
      <c r="J681" s="88"/>
      <c r="K681" s="88"/>
      <c r="L681" s="88"/>
      <c r="M681" s="88"/>
      <c r="N681" s="88"/>
      <c r="O681" s="88"/>
      <c r="P681" s="88"/>
      <c r="Q681" s="88"/>
      <c r="R681" s="88"/>
      <c r="S681" s="88"/>
      <c r="T681" s="88"/>
      <c r="U681" s="88"/>
      <c r="V681" s="88"/>
      <c r="W681" s="88"/>
      <c r="X681" s="88"/>
      <c r="Y681" s="88"/>
      <c r="Z681" s="88"/>
      <c r="AA681" s="88"/>
    </row>
    <row r="682" spans="1:27" ht="13.2">
      <c r="A682" s="88"/>
      <c r="B682" s="88"/>
      <c r="C682" s="88"/>
      <c r="D682" s="88"/>
      <c r="E682" s="88"/>
      <c r="F682" s="88"/>
      <c r="G682" s="88"/>
      <c r="H682" s="88"/>
      <c r="I682" s="88"/>
      <c r="J682" s="88"/>
      <c r="K682" s="88"/>
      <c r="L682" s="88"/>
      <c r="M682" s="88"/>
      <c r="N682" s="88"/>
      <c r="O682" s="88"/>
      <c r="P682" s="88"/>
      <c r="Q682" s="88"/>
      <c r="R682" s="88"/>
      <c r="S682" s="88"/>
      <c r="T682" s="88"/>
      <c r="U682" s="88"/>
      <c r="V682" s="88"/>
      <c r="W682" s="88"/>
      <c r="X682" s="88"/>
      <c r="Y682" s="88"/>
      <c r="Z682" s="88"/>
      <c r="AA682" s="88"/>
    </row>
    <row r="683" spans="1:27" ht="13.2">
      <c r="A683" s="88"/>
      <c r="B683" s="88"/>
      <c r="C683" s="88"/>
      <c r="D683" s="88"/>
      <c r="E683" s="88"/>
      <c r="F683" s="88"/>
      <c r="G683" s="88"/>
      <c r="H683" s="88"/>
      <c r="I683" s="88"/>
      <c r="J683" s="88"/>
      <c r="K683" s="88"/>
      <c r="L683" s="88"/>
      <c r="M683" s="88"/>
      <c r="N683" s="88"/>
      <c r="O683" s="88"/>
      <c r="P683" s="88"/>
      <c r="Q683" s="88"/>
      <c r="R683" s="88"/>
      <c r="S683" s="88"/>
      <c r="T683" s="88"/>
      <c r="U683" s="88"/>
      <c r="V683" s="88"/>
      <c r="W683" s="88"/>
      <c r="X683" s="88"/>
      <c r="Y683" s="88"/>
      <c r="Z683" s="88"/>
      <c r="AA683" s="88"/>
    </row>
    <row r="684" spans="1:27" ht="13.2">
      <c r="A684" s="88"/>
      <c r="B684" s="88"/>
      <c r="C684" s="88"/>
      <c r="D684" s="88"/>
      <c r="E684" s="88"/>
      <c r="F684" s="88"/>
      <c r="G684" s="88"/>
      <c r="H684" s="88"/>
      <c r="I684" s="88"/>
      <c r="J684" s="88"/>
      <c r="K684" s="88"/>
      <c r="L684" s="88"/>
      <c r="M684" s="88"/>
      <c r="N684" s="88"/>
      <c r="O684" s="88"/>
      <c r="P684" s="88"/>
      <c r="Q684" s="88"/>
      <c r="R684" s="88"/>
      <c r="S684" s="88"/>
      <c r="T684" s="88"/>
      <c r="U684" s="88"/>
      <c r="V684" s="88"/>
      <c r="W684" s="88"/>
      <c r="X684" s="88"/>
      <c r="Y684" s="88"/>
      <c r="Z684" s="88"/>
      <c r="AA684" s="88"/>
    </row>
    <row r="685" spans="1:27" ht="13.2">
      <c r="A685" s="88"/>
      <c r="B685" s="88"/>
      <c r="C685" s="88"/>
      <c r="D685" s="88"/>
      <c r="E685" s="88"/>
      <c r="F685" s="88"/>
      <c r="G685" s="88"/>
      <c r="H685" s="88"/>
      <c r="I685" s="88"/>
      <c r="J685" s="88"/>
      <c r="K685" s="88"/>
      <c r="L685" s="88"/>
      <c r="M685" s="88"/>
      <c r="N685" s="88"/>
      <c r="O685" s="88"/>
      <c r="P685" s="88"/>
      <c r="Q685" s="88"/>
      <c r="R685" s="88"/>
      <c r="S685" s="88"/>
      <c r="T685" s="88"/>
      <c r="U685" s="88"/>
      <c r="V685" s="88"/>
      <c r="W685" s="88"/>
      <c r="X685" s="88"/>
      <c r="Y685" s="88"/>
      <c r="Z685" s="88"/>
      <c r="AA685" s="88"/>
    </row>
    <row r="686" spans="1:27" ht="13.2">
      <c r="A686" s="88"/>
      <c r="B686" s="88"/>
      <c r="C686" s="88"/>
      <c r="D686" s="88"/>
      <c r="E686" s="88"/>
      <c r="F686" s="88"/>
      <c r="G686" s="88"/>
      <c r="H686" s="88"/>
      <c r="I686" s="88"/>
      <c r="J686" s="88"/>
      <c r="K686" s="88"/>
      <c r="L686" s="88"/>
      <c r="M686" s="88"/>
      <c r="N686" s="88"/>
      <c r="O686" s="88"/>
      <c r="P686" s="88"/>
      <c r="Q686" s="88"/>
      <c r="R686" s="88"/>
      <c r="S686" s="88"/>
      <c r="T686" s="88"/>
      <c r="U686" s="88"/>
      <c r="V686" s="88"/>
      <c r="W686" s="88"/>
      <c r="X686" s="88"/>
      <c r="Y686" s="88"/>
      <c r="Z686" s="88"/>
      <c r="AA686" s="88"/>
    </row>
    <row r="687" spans="1:27" ht="13.2">
      <c r="A687" s="88"/>
      <c r="B687" s="88"/>
      <c r="C687" s="88"/>
      <c r="D687" s="88"/>
      <c r="E687" s="88"/>
      <c r="F687" s="88"/>
      <c r="G687" s="88"/>
      <c r="H687" s="88"/>
      <c r="I687" s="88"/>
      <c r="J687" s="88"/>
      <c r="K687" s="88"/>
      <c r="L687" s="88"/>
      <c r="M687" s="88"/>
      <c r="N687" s="88"/>
      <c r="O687" s="88"/>
      <c r="P687" s="88"/>
      <c r="Q687" s="88"/>
      <c r="R687" s="88"/>
      <c r="S687" s="88"/>
      <c r="T687" s="88"/>
      <c r="U687" s="88"/>
      <c r="V687" s="88"/>
      <c r="W687" s="88"/>
      <c r="X687" s="88"/>
      <c r="Y687" s="88"/>
      <c r="Z687" s="88"/>
      <c r="AA687" s="88"/>
    </row>
    <row r="688" spans="1:27" ht="13.2">
      <c r="A688" s="88"/>
      <c r="B688" s="88"/>
      <c r="C688" s="88"/>
      <c r="D688" s="88"/>
      <c r="E688" s="88"/>
      <c r="F688" s="88"/>
      <c r="G688" s="88"/>
      <c r="H688" s="88"/>
      <c r="I688" s="88"/>
      <c r="J688" s="88"/>
      <c r="K688" s="88"/>
      <c r="L688" s="88"/>
      <c r="M688" s="88"/>
      <c r="N688" s="88"/>
      <c r="O688" s="88"/>
      <c r="P688" s="88"/>
      <c r="Q688" s="88"/>
      <c r="R688" s="88"/>
      <c r="S688" s="88"/>
      <c r="T688" s="88"/>
      <c r="U688" s="88"/>
      <c r="V688" s="88"/>
      <c r="W688" s="88"/>
      <c r="X688" s="88"/>
      <c r="Y688" s="88"/>
      <c r="Z688" s="88"/>
      <c r="AA688" s="88"/>
    </row>
    <row r="689" spans="1:27" ht="13.2">
      <c r="A689" s="88"/>
      <c r="B689" s="88"/>
      <c r="C689" s="88"/>
      <c r="D689" s="88"/>
      <c r="E689" s="88"/>
      <c r="F689" s="88"/>
      <c r="G689" s="88"/>
      <c r="H689" s="88"/>
      <c r="I689" s="88"/>
      <c r="J689" s="88"/>
      <c r="K689" s="88"/>
      <c r="L689" s="88"/>
      <c r="M689" s="88"/>
      <c r="N689" s="88"/>
      <c r="O689" s="88"/>
      <c r="P689" s="88"/>
      <c r="Q689" s="88"/>
      <c r="R689" s="88"/>
      <c r="S689" s="88"/>
      <c r="T689" s="88"/>
      <c r="U689" s="88"/>
      <c r="V689" s="88"/>
      <c r="W689" s="88"/>
      <c r="X689" s="88"/>
      <c r="Y689" s="88"/>
      <c r="Z689" s="88"/>
      <c r="AA689" s="88"/>
    </row>
    <row r="690" spans="1:27" ht="13.2">
      <c r="A690" s="88"/>
      <c r="B690" s="88"/>
      <c r="C690" s="88"/>
      <c r="D690" s="88"/>
      <c r="E690" s="88"/>
      <c r="F690" s="88"/>
      <c r="G690" s="88"/>
      <c r="H690" s="88"/>
      <c r="I690" s="88"/>
      <c r="J690" s="88"/>
      <c r="K690" s="88"/>
      <c r="L690" s="88"/>
      <c r="M690" s="88"/>
      <c r="N690" s="88"/>
      <c r="O690" s="88"/>
      <c r="P690" s="88"/>
      <c r="Q690" s="88"/>
      <c r="R690" s="88"/>
      <c r="S690" s="88"/>
      <c r="T690" s="88"/>
      <c r="U690" s="88"/>
      <c r="V690" s="88"/>
      <c r="W690" s="88"/>
      <c r="X690" s="88"/>
      <c r="Y690" s="88"/>
      <c r="Z690" s="88"/>
      <c r="AA690" s="88"/>
    </row>
    <row r="691" spans="1:27" ht="13.2">
      <c r="A691" s="88"/>
      <c r="B691" s="88"/>
      <c r="C691" s="88"/>
      <c r="D691" s="88"/>
      <c r="E691" s="88"/>
      <c r="F691" s="88"/>
      <c r="G691" s="88"/>
      <c r="H691" s="88"/>
      <c r="I691" s="88"/>
      <c r="J691" s="88"/>
      <c r="K691" s="88"/>
      <c r="L691" s="88"/>
      <c r="M691" s="88"/>
      <c r="N691" s="88"/>
      <c r="O691" s="88"/>
      <c r="P691" s="88"/>
      <c r="Q691" s="88"/>
      <c r="R691" s="88"/>
      <c r="S691" s="88"/>
      <c r="T691" s="88"/>
      <c r="U691" s="88"/>
      <c r="V691" s="88"/>
      <c r="W691" s="88"/>
      <c r="X691" s="88"/>
      <c r="Y691" s="88"/>
      <c r="Z691" s="88"/>
      <c r="AA691" s="88"/>
    </row>
    <row r="692" spans="1:27" ht="13.2">
      <c r="A692" s="88"/>
      <c r="B692" s="88"/>
      <c r="C692" s="88"/>
      <c r="D692" s="88"/>
      <c r="E692" s="88"/>
      <c r="F692" s="88"/>
      <c r="G692" s="88"/>
      <c r="H692" s="88"/>
      <c r="I692" s="88"/>
      <c r="J692" s="88"/>
      <c r="K692" s="88"/>
      <c r="L692" s="88"/>
      <c r="M692" s="88"/>
      <c r="N692" s="88"/>
      <c r="O692" s="88"/>
      <c r="P692" s="88"/>
      <c r="Q692" s="88"/>
      <c r="R692" s="88"/>
      <c r="S692" s="88"/>
      <c r="T692" s="88"/>
      <c r="U692" s="88"/>
      <c r="V692" s="88"/>
      <c r="W692" s="88"/>
      <c r="X692" s="88"/>
      <c r="Y692" s="88"/>
      <c r="Z692" s="88"/>
      <c r="AA692" s="88"/>
    </row>
    <row r="693" spans="1:27" ht="13.2">
      <c r="A693" s="88"/>
      <c r="B693" s="88"/>
      <c r="C693" s="88"/>
      <c r="D693" s="88"/>
      <c r="E693" s="88"/>
      <c r="F693" s="88"/>
      <c r="G693" s="88"/>
      <c r="H693" s="88"/>
      <c r="I693" s="88"/>
      <c r="J693" s="88"/>
      <c r="K693" s="88"/>
      <c r="L693" s="88"/>
      <c r="M693" s="88"/>
      <c r="N693" s="88"/>
      <c r="O693" s="88"/>
      <c r="P693" s="88"/>
      <c r="Q693" s="88"/>
      <c r="R693" s="88"/>
      <c r="S693" s="88"/>
      <c r="T693" s="88"/>
      <c r="U693" s="88"/>
      <c r="V693" s="88"/>
      <c r="W693" s="88"/>
      <c r="X693" s="88"/>
      <c r="Y693" s="88"/>
      <c r="Z693" s="88"/>
      <c r="AA693" s="88"/>
    </row>
    <row r="694" spans="1:27" ht="13.2">
      <c r="A694" s="88"/>
      <c r="B694" s="88"/>
      <c r="C694" s="88"/>
      <c r="D694" s="88"/>
      <c r="E694" s="88"/>
      <c r="F694" s="88"/>
      <c r="G694" s="88"/>
      <c r="H694" s="88"/>
      <c r="I694" s="88"/>
      <c r="J694" s="88"/>
      <c r="K694" s="88"/>
      <c r="L694" s="88"/>
      <c r="M694" s="88"/>
      <c r="N694" s="88"/>
      <c r="O694" s="88"/>
      <c r="P694" s="88"/>
      <c r="Q694" s="88"/>
      <c r="R694" s="88"/>
      <c r="S694" s="88"/>
      <c r="T694" s="88"/>
      <c r="U694" s="88"/>
      <c r="V694" s="88"/>
      <c r="W694" s="88"/>
      <c r="X694" s="88"/>
      <c r="Y694" s="88"/>
      <c r="Z694" s="88"/>
      <c r="AA694" s="88"/>
    </row>
    <row r="695" spans="1:27" ht="13.2">
      <c r="A695" s="88"/>
      <c r="B695" s="88"/>
      <c r="C695" s="88"/>
      <c r="D695" s="88"/>
      <c r="E695" s="88"/>
      <c r="F695" s="88"/>
      <c r="G695" s="88"/>
      <c r="H695" s="88"/>
      <c r="I695" s="88"/>
      <c r="J695" s="88"/>
      <c r="K695" s="88"/>
      <c r="L695" s="88"/>
      <c r="M695" s="88"/>
      <c r="N695" s="88"/>
      <c r="O695" s="88"/>
      <c r="P695" s="88"/>
      <c r="Q695" s="88"/>
      <c r="R695" s="88"/>
      <c r="S695" s="88"/>
      <c r="T695" s="88"/>
      <c r="U695" s="88"/>
      <c r="V695" s="88"/>
      <c r="W695" s="88"/>
      <c r="X695" s="88"/>
      <c r="Y695" s="88"/>
      <c r="Z695" s="88"/>
      <c r="AA695" s="88"/>
    </row>
    <row r="696" spans="1:27" ht="13.2">
      <c r="A696" s="88"/>
      <c r="B696" s="88"/>
      <c r="C696" s="88"/>
      <c r="D696" s="88"/>
      <c r="E696" s="88"/>
      <c r="F696" s="88"/>
      <c r="G696" s="88"/>
      <c r="H696" s="88"/>
      <c r="I696" s="88"/>
      <c r="J696" s="88"/>
      <c r="K696" s="88"/>
      <c r="L696" s="88"/>
      <c r="M696" s="88"/>
      <c r="N696" s="88"/>
      <c r="O696" s="88"/>
      <c r="P696" s="88"/>
      <c r="Q696" s="88"/>
      <c r="R696" s="88"/>
      <c r="S696" s="88"/>
      <c r="T696" s="88"/>
      <c r="U696" s="88"/>
      <c r="V696" s="88"/>
      <c r="W696" s="88"/>
      <c r="X696" s="88"/>
      <c r="Y696" s="88"/>
      <c r="Z696" s="88"/>
      <c r="AA696" s="88"/>
    </row>
    <row r="697" spans="1:27" ht="13.2">
      <c r="A697" s="88"/>
      <c r="B697" s="88"/>
      <c r="C697" s="88"/>
      <c r="D697" s="88"/>
      <c r="E697" s="88"/>
      <c r="F697" s="88"/>
      <c r="G697" s="88"/>
      <c r="H697" s="88"/>
      <c r="I697" s="88"/>
      <c r="J697" s="88"/>
      <c r="K697" s="88"/>
      <c r="L697" s="88"/>
      <c r="M697" s="88"/>
      <c r="N697" s="88"/>
      <c r="O697" s="88"/>
      <c r="P697" s="88"/>
      <c r="Q697" s="88"/>
      <c r="R697" s="88"/>
      <c r="S697" s="88"/>
      <c r="T697" s="88"/>
      <c r="U697" s="88"/>
      <c r="V697" s="88"/>
      <c r="W697" s="88"/>
      <c r="X697" s="88"/>
      <c r="Y697" s="88"/>
      <c r="Z697" s="88"/>
      <c r="AA697" s="88"/>
    </row>
    <row r="698" spans="1:27" ht="13.2">
      <c r="A698" s="88"/>
      <c r="B698" s="88"/>
      <c r="C698" s="88"/>
      <c r="D698" s="88"/>
      <c r="E698" s="88"/>
      <c r="F698" s="88"/>
      <c r="G698" s="88"/>
      <c r="H698" s="88"/>
      <c r="I698" s="88"/>
      <c r="J698" s="88"/>
      <c r="K698" s="88"/>
      <c r="L698" s="88"/>
      <c r="M698" s="88"/>
      <c r="N698" s="88"/>
      <c r="O698" s="88"/>
      <c r="P698" s="88"/>
      <c r="Q698" s="88"/>
      <c r="R698" s="88"/>
      <c r="S698" s="88"/>
      <c r="T698" s="88"/>
      <c r="U698" s="88"/>
      <c r="V698" s="88"/>
      <c r="W698" s="88"/>
      <c r="X698" s="88"/>
      <c r="Y698" s="88"/>
      <c r="Z698" s="88"/>
      <c r="AA698" s="88"/>
    </row>
    <row r="699" spans="1:27" ht="13.2">
      <c r="A699" s="88"/>
      <c r="B699" s="88"/>
      <c r="C699" s="88"/>
      <c r="D699" s="88"/>
      <c r="E699" s="88"/>
      <c r="F699" s="88"/>
      <c r="G699" s="88"/>
      <c r="H699" s="88"/>
      <c r="I699" s="88"/>
      <c r="J699" s="88"/>
      <c r="K699" s="88"/>
      <c r="L699" s="88"/>
      <c r="M699" s="88"/>
      <c r="N699" s="88"/>
      <c r="O699" s="88"/>
      <c r="P699" s="88"/>
      <c r="Q699" s="88"/>
      <c r="R699" s="88"/>
      <c r="S699" s="88"/>
      <c r="T699" s="88"/>
      <c r="U699" s="88"/>
      <c r="V699" s="88"/>
      <c r="W699" s="88"/>
      <c r="X699" s="88"/>
      <c r="Y699" s="88"/>
      <c r="Z699" s="88"/>
      <c r="AA699" s="88"/>
    </row>
    <row r="700" spans="1:27" ht="13.2">
      <c r="A700" s="88"/>
      <c r="B700" s="88"/>
      <c r="C700" s="88"/>
      <c r="D700" s="88"/>
      <c r="E700" s="88"/>
      <c r="F700" s="88"/>
      <c r="G700" s="88"/>
      <c r="H700" s="88"/>
      <c r="I700" s="88"/>
      <c r="J700" s="88"/>
      <c r="K700" s="88"/>
      <c r="L700" s="88"/>
      <c r="M700" s="88"/>
      <c r="N700" s="88"/>
      <c r="O700" s="88"/>
      <c r="P700" s="88"/>
      <c r="Q700" s="88"/>
      <c r="R700" s="88"/>
      <c r="S700" s="88"/>
      <c r="T700" s="88"/>
      <c r="U700" s="88"/>
      <c r="V700" s="88"/>
      <c r="W700" s="88"/>
      <c r="X700" s="88"/>
      <c r="Y700" s="88"/>
      <c r="Z700" s="88"/>
      <c r="AA700" s="88"/>
    </row>
    <row r="701" spans="1:27" ht="13.2">
      <c r="A701" s="88"/>
      <c r="B701" s="88"/>
      <c r="C701" s="88"/>
      <c r="D701" s="88"/>
      <c r="E701" s="88"/>
      <c r="F701" s="88"/>
      <c r="G701" s="88"/>
      <c r="H701" s="88"/>
      <c r="I701" s="88"/>
      <c r="J701" s="88"/>
      <c r="K701" s="88"/>
      <c r="L701" s="88"/>
      <c r="M701" s="88"/>
      <c r="N701" s="88"/>
      <c r="O701" s="88"/>
      <c r="P701" s="88"/>
      <c r="Q701" s="88"/>
      <c r="R701" s="88"/>
      <c r="S701" s="88"/>
      <c r="T701" s="88"/>
      <c r="U701" s="88"/>
      <c r="V701" s="88"/>
      <c r="W701" s="88"/>
      <c r="X701" s="88"/>
      <c r="Y701" s="88"/>
      <c r="Z701" s="88"/>
      <c r="AA701" s="88"/>
    </row>
    <row r="702" spans="1:27" ht="13.2">
      <c r="A702" s="88"/>
      <c r="B702" s="88"/>
      <c r="C702" s="88"/>
      <c r="D702" s="88"/>
      <c r="E702" s="88"/>
      <c r="F702" s="88"/>
      <c r="G702" s="88"/>
      <c r="H702" s="88"/>
      <c r="I702" s="88"/>
      <c r="J702" s="88"/>
      <c r="K702" s="88"/>
      <c r="L702" s="88"/>
      <c r="M702" s="88"/>
      <c r="N702" s="88"/>
      <c r="O702" s="88"/>
      <c r="P702" s="88"/>
      <c r="Q702" s="88"/>
      <c r="R702" s="88"/>
      <c r="S702" s="88"/>
      <c r="T702" s="88"/>
      <c r="U702" s="88"/>
      <c r="V702" s="88"/>
      <c r="W702" s="88"/>
      <c r="X702" s="88"/>
      <c r="Y702" s="88"/>
      <c r="Z702" s="88"/>
      <c r="AA702" s="88"/>
    </row>
    <row r="703" spans="1:27" ht="13.2">
      <c r="A703" s="88"/>
      <c r="B703" s="88"/>
      <c r="C703" s="88"/>
      <c r="D703" s="88"/>
      <c r="E703" s="88"/>
      <c r="F703" s="88"/>
      <c r="G703" s="88"/>
      <c r="H703" s="88"/>
      <c r="I703" s="88"/>
      <c r="J703" s="88"/>
      <c r="K703" s="88"/>
      <c r="L703" s="88"/>
      <c r="M703" s="88"/>
      <c r="N703" s="88"/>
      <c r="O703" s="88"/>
      <c r="P703" s="88"/>
      <c r="Q703" s="88"/>
      <c r="R703" s="88"/>
      <c r="S703" s="88"/>
      <c r="T703" s="88"/>
      <c r="U703" s="88"/>
      <c r="V703" s="88"/>
      <c r="W703" s="88"/>
      <c r="X703" s="88"/>
      <c r="Y703" s="88"/>
      <c r="Z703" s="88"/>
      <c r="AA703" s="88"/>
    </row>
    <row r="704" spans="1:27" ht="13.2">
      <c r="A704" s="88"/>
      <c r="B704" s="88"/>
      <c r="C704" s="88"/>
      <c r="D704" s="88"/>
      <c r="E704" s="88"/>
      <c r="F704" s="88"/>
      <c r="G704" s="88"/>
      <c r="H704" s="88"/>
      <c r="I704" s="88"/>
      <c r="J704" s="88"/>
      <c r="K704" s="88"/>
      <c r="L704" s="88"/>
      <c r="M704" s="88"/>
      <c r="N704" s="88"/>
      <c r="O704" s="88"/>
      <c r="P704" s="88"/>
      <c r="Q704" s="88"/>
      <c r="R704" s="88"/>
      <c r="S704" s="88"/>
      <c r="T704" s="88"/>
      <c r="U704" s="88"/>
      <c r="V704" s="88"/>
      <c r="W704" s="88"/>
      <c r="X704" s="88"/>
      <c r="Y704" s="88"/>
      <c r="Z704" s="88"/>
      <c r="AA704" s="88"/>
    </row>
    <row r="705" spans="1:27" ht="13.2">
      <c r="A705" s="88"/>
      <c r="B705" s="88"/>
      <c r="C705" s="88"/>
      <c r="D705" s="88"/>
      <c r="E705" s="88"/>
      <c r="F705" s="88"/>
      <c r="G705" s="88"/>
      <c r="H705" s="88"/>
      <c r="I705" s="88"/>
      <c r="J705" s="88"/>
      <c r="K705" s="88"/>
      <c r="L705" s="88"/>
      <c r="M705" s="88"/>
      <c r="N705" s="88"/>
      <c r="O705" s="88"/>
      <c r="P705" s="88"/>
      <c r="Q705" s="88"/>
      <c r="R705" s="88"/>
      <c r="S705" s="88"/>
      <c r="T705" s="88"/>
      <c r="U705" s="88"/>
      <c r="V705" s="88"/>
      <c r="W705" s="88"/>
      <c r="X705" s="88"/>
      <c r="Y705" s="88"/>
      <c r="Z705" s="88"/>
      <c r="AA705" s="88"/>
    </row>
    <row r="706" spans="1:27" ht="13.2">
      <c r="A706" s="88"/>
      <c r="B706" s="88"/>
      <c r="C706" s="88"/>
      <c r="D706" s="88"/>
      <c r="E706" s="88"/>
      <c r="F706" s="88"/>
      <c r="G706" s="88"/>
      <c r="H706" s="88"/>
      <c r="I706" s="88"/>
      <c r="J706" s="88"/>
      <c r="K706" s="88"/>
      <c r="L706" s="88"/>
      <c r="M706" s="88"/>
      <c r="N706" s="88"/>
      <c r="O706" s="88"/>
      <c r="P706" s="88"/>
      <c r="Q706" s="88"/>
      <c r="R706" s="88"/>
      <c r="S706" s="88"/>
      <c r="T706" s="88"/>
      <c r="U706" s="88"/>
      <c r="V706" s="88"/>
      <c r="W706" s="88"/>
      <c r="X706" s="88"/>
      <c r="Y706" s="88"/>
      <c r="Z706" s="88"/>
      <c r="AA706" s="88"/>
    </row>
    <row r="707" spans="1:27" ht="13.2">
      <c r="A707" s="88"/>
      <c r="B707" s="88"/>
      <c r="C707" s="88"/>
      <c r="D707" s="88"/>
      <c r="E707" s="88"/>
      <c r="F707" s="88"/>
      <c r="G707" s="88"/>
      <c r="H707" s="88"/>
      <c r="I707" s="88"/>
      <c r="J707" s="88"/>
      <c r="K707" s="88"/>
      <c r="L707" s="88"/>
      <c r="M707" s="88"/>
      <c r="N707" s="88"/>
      <c r="O707" s="88"/>
      <c r="P707" s="88"/>
      <c r="Q707" s="88"/>
      <c r="R707" s="88"/>
      <c r="S707" s="88"/>
      <c r="T707" s="88"/>
      <c r="U707" s="88"/>
      <c r="V707" s="88"/>
      <c r="W707" s="88"/>
      <c r="X707" s="88"/>
      <c r="Y707" s="88"/>
      <c r="Z707" s="88"/>
      <c r="AA707" s="88"/>
    </row>
    <row r="708" spans="1:27" ht="13.2">
      <c r="A708" s="88"/>
      <c r="B708" s="88"/>
      <c r="C708" s="88"/>
      <c r="D708" s="88"/>
      <c r="E708" s="88"/>
      <c r="F708" s="88"/>
      <c r="G708" s="88"/>
      <c r="H708" s="88"/>
      <c r="I708" s="88"/>
      <c r="J708" s="88"/>
      <c r="K708" s="88"/>
      <c r="L708" s="88"/>
      <c r="M708" s="88"/>
      <c r="N708" s="88"/>
      <c r="O708" s="88"/>
      <c r="P708" s="88"/>
      <c r="Q708" s="88"/>
      <c r="R708" s="88"/>
      <c r="S708" s="88"/>
      <c r="T708" s="88"/>
      <c r="U708" s="88"/>
      <c r="V708" s="88"/>
      <c r="W708" s="88"/>
      <c r="X708" s="88"/>
      <c r="Y708" s="88"/>
      <c r="Z708" s="88"/>
      <c r="AA708" s="88"/>
    </row>
    <row r="709" spans="1:27" ht="13.2">
      <c r="A709" s="88"/>
      <c r="B709" s="88"/>
      <c r="C709" s="88"/>
      <c r="D709" s="88"/>
      <c r="E709" s="88"/>
      <c r="F709" s="88"/>
      <c r="G709" s="88"/>
      <c r="H709" s="88"/>
      <c r="I709" s="88"/>
      <c r="J709" s="88"/>
      <c r="K709" s="88"/>
      <c r="L709" s="88"/>
      <c r="M709" s="88"/>
      <c r="N709" s="88"/>
      <c r="O709" s="88"/>
      <c r="P709" s="88"/>
      <c r="Q709" s="88"/>
      <c r="R709" s="88"/>
      <c r="S709" s="88"/>
      <c r="T709" s="88"/>
      <c r="U709" s="88"/>
      <c r="V709" s="88"/>
      <c r="W709" s="88"/>
      <c r="X709" s="88"/>
      <c r="Y709" s="88"/>
      <c r="Z709" s="88"/>
      <c r="AA709" s="88"/>
    </row>
    <row r="710" spans="1:27" ht="13.2">
      <c r="A710" s="88"/>
      <c r="B710" s="88"/>
      <c r="C710" s="88"/>
      <c r="D710" s="88"/>
      <c r="E710" s="88"/>
      <c r="F710" s="88"/>
      <c r="G710" s="88"/>
      <c r="H710" s="88"/>
      <c r="I710" s="88"/>
      <c r="J710" s="88"/>
      <c r="K710" s="88"/>
      <c r="L710" s="88"/>
      <c r="M710" s="88"/>
      <c r="N710" s="88"/>
      <c r="O710" s="88"/>
      <c r="P710" s="88"/>
      <c r="Q710" s="88"/>
      <c r="R710" s="88"/>
      <c r="S710" s="88"/>
      <c r="T710" s="88"/>
      <c r="U710" s="88"/>
      <c r="V710" s="88"/>
      <c r="W710" s="88"/>
      <c r="X710" s="88"/>
      <c r="Y710" s="88"/>
      <c r="Z710" s="88"/>
      <c r="AA710" s="88"/>
    </row>
    <row r="711" spans="1:27" ht="13.2">
      <c r="A711" s="88"/>
      <c r="B711" s="88"/>
      <c r="C711" s="88"/>
      <c r="D711" s="88"/>
      <c r="E711" s="88"/>
      <c r="F711" s="88"/>
      <c r="G711" s="88"/>
      <c r="H711" s="88"/>
      <c r="I711" s="88"/>
      <c r="J711" s="88"/>
      <c r="K711" s="88"/>
      <c r="L711" s="88"/>
      <c r="M711" s="88"/>
      <c r="N711" s="88"/>
      <c r="O711" s="88"/>
      <c r="P711" s="88"/>
      <c r="Q711" s="88"/>
      <c r="R711" s="88"/>
      <c r="S711" s="88"/>
      <c r="T711" s="88"/>
      <c r="U711" s="88"/>
      <c r="V711" s="88"/>
      <c r="W711" s="88"/>
      <c r="X711" s="88"/>
      <c r="Y711" s="88"/>
      <c r="Z711" s="88"/>
      <c r="AA711" s="88"/>
    </row>
    <row r="712" spans="1:27" ht="13.2">
      <c r="A712" s="88"/>
      <c r="B712" s="88"/>
      <c r="C712" s="88"/>
      <c r="D712" s="88"/>
      <c r="E712" s="88"/>
      <c r="F712" s="88"/>
      <c r="G712" s="88"/>
      <c r="H712" s="88"/>
      <c r="I712" s="88"/>
      <c r="J712" s="88"/>
      <c r="K712" s="88"/>
      <c r="L712" s="88"/>
      <c r="M712" s="88"/>
      <c r="N712" s="88"/>
      <c r="O712" s="88"/>
      <c r="P712" s="88"/>
      <c r="Q712" s="88"/>
      <c r="R712" s="88"/>
      <c r="S712" s="88"/>
      <c r="T712" s="88"/>
      <c r="U712" s="88"/>
      <c r="V712" s="88"/>
      <c r="W712" s="88"/>
      <c r="X712" s="88"/>
      <c r="Y712" s="88"/>
      <c r="Z712" s="88"/>
      <c r="AA712" s="88"/>
    </row>
    <row r="713" spans="1:27" ht="13.2">
      <c r="A713" s="88"/>
      <c r="B713" s="88"/>
      <c r="C713" s="88"/>
      <c r="D713" s="88"/>
      <c r="E713" s="88"/>
      <c r="F713" s="88"/>
      <c r="G713" s="88"/>
      <c r="H713" s="88"/>
      <c r="I713" s="88"/>
      <c r="J713" s="88"/>
      <c r="K713" s="88"/>
      <c r="L713" s="88"/>
      <c r="M713" s="88"/>
      <c r="N713" s="88"/>
      <c r="O713" s="88"/>
      <c r="P713" s="88"/>
      <c r="Q713" s="88"/>
      <c r="R713" s="88"/>
      <c r="S713" s="88"/>
      <c r="T713" s="88"/>
      <c r="U713" s="88"/>
      <c r="V713" s="88"/>
      <c r="W713" s="88"/>
      <c r="X713" s="88"/>
      <c r="Y713" s="88"/>
      <c r="Z713" s="88"/>
      <c r="AA713" s="88"/>
    </row>
    <row r="714" spans="1:27" ht="13.2">
      <c r="A714" s="88"/>
      <c r="B714" s="88"/>
      <c r="C714" s="88"/>
      <c r="D714" s="88"/>
      <c r="E714" s="88"/>
      <c r="F714" s="88"/>
      <c r="G714" s="88"/>
      <c r="H714" s="88"/>
      <c r="I714" s="88"/>
      <c r="J714" s="88"/>
      <c r="K714" s="88"/>
      <c r="L714" s="88"/>
      <c r="M714" s="88"/>
      <c r="N714" s="88"/>
      <c r="O714" s="88"/>
      <c r="P714" s="88"/>
      <c r="Q714" s="88"/>
      <c r="R714" s="88"/>
      <c r="S714" s="88"/>
      <c r="T714" s="88"/>
      <c r="U714" s="88"/>
      <c r="V714" s="88"/>
      <c r="W714" s="88"/>
      <c r="X714" s="88"/>
      <c r="Y714" s="88"/>
      <c r="Z714" s="88"/>
      <c r="AA714" s="88"/>
    </row>
    <row r="715" spans="1:27" ht="13.2">
      <c r="A715" s="88"/>
      <c r="B715" s="88"/>
      <c r="C715" s="88"/>
      <c r="D715" s="88"/>
      <c r="E715" s="88"/>
      <c r="F715" s="88"/>
      <c r="G715" s="88"/>
      <c r="H715" s="88"/>
      <c r="I715" s="88"/>
      <c r="J715" s="88"/>
      <c r="K715" s="88"/>
      <c r="L715" s="88"/>
      <c r="M715" s="88"/>
      <c r="N715" s="88"/>
      <c r="O715" s="88"/>
      <c r="P715" s="88"/>
      <c r="Q715" s="88"/>
      <c r="R715" s="88"/>
      <c r="S715" s="88"/>
      <c r="T715" s="88"/>
      <c r="U715" s="88"/>
      <c r="V715" s="88"/>
      <c r="W715" s="88"/>
      <c r="X715" s="88"/>
      <c r="Y715" s="88"/>
      <c r="Z715" s="88"/>
      <c r="AA715" s="88"/>
    </row>
    <row r="716" spans="1:27" ht="13.2">
      <c r="A716" s="88"/>
      <c r="B716" s="88"/>
      <c r="C716" s="88"/>
      <c r="D716" s="88"/>
      <c r="E716" s="88"/>
      <c r="F716" s="88"/>
      <c r="G716" s="88"/>
      <c r="H716" s="88"/>
      <c r="I716" s="88"/>
      <c r="J716" s="88"/>
      <c r="K716" s="88"/>
      <c r="L716" s="88"/>
      <c r="M716" s="88"/>
      <c r="N716" s="88"/>
      <c r="O716" s="88"/>
      <c r="P716" s="88"/>
      <c r="Q716" s="88"/>
      <c r="R716" s="88"/>
      <c r="S716" s="88"/>
      <c r="T716" s="88"/>
      <c r="U716" s="88"/>
      <c r="V716" s="88"/>
      <c r="W716" s="88"/>
      <c r="X716" s="88"/>
      <c r="Y716" s="88"/>
      <c r="Z716" s="88"/>
      <c r="AA716" s="88"/>
    </row>
    <row r="717" spans="1:27" ht="13.2">
      <c r="A717" s="88"/>
      <c r="B717" s="88"/>
      <c r="C717" s="88"/>
      <c r="D717" s="88"/>
      <c r="E717" s="88"/>
      <c r="F717" s="88"/>
      <c r="G717" s="88"/>
      <c r="H717" s="88"/>
      <c r="I717" s="88"/>
      <c r="J717" s="88"/>
      <c r="K717" s="88"/>
      <c r="L717" s="88"/>
      <c r="M717" s="88"/>
      <c r="N717" s="88"/>
      <c r="O717" s="88"/>
      <c r="P717" s="88"/>
      <c r="Q717" s="88"/>
      <c r="R717" s="88"/>
      <c r="S717" s="88"/>
      <c r="T717" s="88"/>
      <c r="U717" s="88"/>
      <c r="V717" s="88"/>
      <c r="W717" s="88"/>
      <c r="X717" s="88"/>
      <c r="Y717" s="88"/>
      <c r="Z717" s="88"/>
      <c r="AA717" s="88"/>
    </row>
    <row r="718" spans="1:27" ht="13.2">
      <c r="A718" s="88"/>
      <c r="B718" s="88"/>
      <c r="C718" s="88"/>
      <c r="D718" s="88"/>
      <c r="E718" s="88"/>
      <c r="F718" s="88"/>
      <c r="G718" s="88"/>
      <c r="H718" s="88"/>
      <c r="I718" s="88"/>
      <c r="J718" s="88"/>
      <c r="K718" s="88"/>
      <c r="L718" s="88"/>
      <c r="M718" s="88"/>
      <c r="N718" s="88"/>
      <c r="O718" s="88"/>
      <c r="P718" s="88"/>
      <c r="Q718" s="88"/>
      <c r="R718" s="88"/>
      <c r="S718" s="88"/>
      <c r="T718" s="88"/>
      <c r="U718" s="88"/>
      <c r="V718" s="88"/>
      <c r="W718" s="88"/>
      <c r="X718" s="88"/>
      <c r="Y718" s="88"/>
      <c r="Z718" s="88"/>
      <c r="AA718" s="88"/>
    </row>
    <row r="719" spans="1:27" ht="13.2">
      <c r="A719" s="88"/>
      <c r="B719" s="88"/>
      <c r="C719" s="88"/>
      <c r="D719" s="88"/>
      <c r="E719" s="88"/>
      <c r="F719" s="88"/>
      <c r="G719" s="88"/>
      <c r="H719" s="88"/>
      <c r="I719" s="88"/>
      <c r="J719" s="88"/>
      <c r="K719" s="88"/>
      <c r="L719" s="88"/>
      <c r="M719" s="88"/>
      <c r="N719" s="88"/>
      <c r="O719" s="88"/>
      <c r="P719" s="88"/>
      <c r="Q719" s="88"/>
      <c r="R719" s="88"/>
      <c r="S719" s="88"/>
      <c r="T719" s="88"/>
      <c r="U719" s="88"/>
      <c r="V719" s="88"/>
      <c r="W719" s="88"/>
      <c r="X719" s="88"/>
      <c r="Y719" s="88"/>
      <c r="Z719" s="88"/>
      <c r="AA719" s="88"/>
    </row>
    <row r="720" spans="1:27" ht="13.2">
      <c r="A720" s="88"/>
      <c r="B720" s="88"/>
      <c r="C720" s="88"/>
      <c r="D720" s="88"/>
      <c r="E720" s="88"/>
      <c r="F720" s="88"/>
      <c r="G720" s="88"/>
      <c r="H720" s="88"/>
      <c r="I720" s="88"/>
      <c r="J720" s="88"/>
      <c r="K720" s="88"/>
      <c r="L720" s="88"/>
      <c r="M720" s="88"/>
      <c r="N720" s="88"/>
      <c r="O720" s="88"/>
      <c r="P720" s="88"/>
      <c r="Q720" s="88"/>
      <c r="R720" s="88"/>
      <c r="S720" s="88"/>
      <c r="T720" s="88"/>
      <c r="U720" s="88"/>
      <c r="V720" s="88"/>
      <c r="W720" s="88"/>
      <c r="X720" s="88"/>
      <c r="Y720" s="88"/>
      <c r="Z720" s="88"/>
      <c r="AA720" s="88"/>
    </row>
    <row r="721" spans="1:27" ht="13.2">
      <c r="A721" s="88"/>
      <c r="B721" s="88"/>
      <c r="C721" s="88"/>
      <c r="D721" s="88"/>
      <c r="E721" s="88"/>
      <c r="F721" s="88"/>
      <c r="G721" s="88"/>
      <c r="H721" s="88"/>
      <c r="I721" s="88"/>
      <c r="J721" s="88"/>
      <c r="K721" s="88"/>
      <c r="L721" s="88"/>
      <c r="M721" s="88"/>
      <c r="N721" s="88"/>
      <c r="O721" s="88"/>
      <c r="P721" s="88"/>
      <c r="Q721" s="88"/>
      <c r="R721" s="88"/>
      <c r="S721" s="88"/>
      <c r="T721" s="88"/>
      <c r="U721" s="88"/>
      <c r="V721" s="88"/>
      <c r="W721" s="88"/>
      <c r="X721" s="88"/>
      <c r="Y721" s="88"/>
      <c r="Z721" s="88"/>
      <c r="AA721" s="88"/>
    </row>
    <row r="722" spans="1:27" ht="13.2">
      <c r="A722" s="88"/>
      <c r="B722" s="88"/>
      <c r="C722" s="88"/>
      <c r="D722" s="88"/>
      <c r="E722" s="88"/>
      <c r="F722" s="88"/>
      <c r="G722" s="88"/>
      <c r="H722" s="88"/>
      <c r="I722" s="88"/>
      <c r="J722" s="88"/>
      <c r="K722" s="88"/>
      <c r="L722" s="88"/>
      <c r="M722" s="88"/>
      <c r="N722" s="88"/>
      <c r="O722" s="88"/>
      <c r="P722" s="88"/>
      <c r="Q722" s="88"/>
      <c r="R722" s="88"/>
      <c r="S722" s="88"/>
      <c r="T722" s="88"/>
      <c r="U722" s="88"/>
      <c r="V722" s="88"/>
      <c r="W722" s="88"/>
      <c r="X722" s="88"/>
      <c r="Y722" s="88"/>
      <c r="Z722" s="88"/>
      <c r="AA722" s="88"/>
    </row>
    <row r="723" spans="1:27" ht="13.2">
      <c r="A723" s="88"/>
      <c r="B723" s="88"/>
      <c r="C723" s="88"/>
      <c r="D723" s="88"/>
      <c r="E723" s="88"/>
      <c r="F723" s="88"/>
      <c r="G723" s="88"/>
      <c r="H723" s="88"/>
      <c r="I723" s="88"/>
      <c r="J723" s="88"/>
      <c r="K723" s="88"/>
      <c r="L723" s="88"/>
      <c r="M723" s="88"/>
      <c r="N723" s="88"/>
      <c r="O723" s="88"/>
      <c r="P723" s="88"/>
      <c r="Q723" s="88"/>
      <c r="R723" s="88"/>
      <c r="S723" s="88"/>
      <c r="T723" s="88"/>
      <c r="U723" s="88"/>
      <c r="V723" s="88"/>
      <c r="W723" s="88"/>
      <c r="X723" s="88"/>
      <c r="Y723" s="88"/>
      <c r="Z723" s="88"/>
      <c r="AA723" s="88"/>
    </row>
    <row r="724" spans="1:27" ht="13.2">
      <c r="A724" s="88"/>
      <c r="B724" s="88"/>
      <c r="C724" s="88"/>
      <c r="D724" s="88"/>
      <c r="E724" s="88"/>
      <c r="F724" s="88"/>
      <c r="G724" s="88"/>
      <c r="H724" s="88"/>
      <c r="I724" s="88"/>
      <c r="J724" s="88"/>
      <c r="K724" s="88"/>
      <c r="L724" s="88"/>
      <c r="M724" s="88"/>
      <c r="N724" s="88"/>
      <c r="O724" s="88"/>
      <c r="P724" s="88"/>
      <c r="Q724" s="88"/>
      <c r="R724" s="88"/>
      <c r="S724" s="88"/>
      <c r="T724" s="88"/>
      <c r="U724" s="88"/>
      <c r="V724" s="88"/>
      <c r="W724" s="88"/>
      <c r="X724" s="88"/>
      <c r="Y724" s="88"/>
      <c r="Z724" s="88"/>
      <c r="AA724" s="88"/>
    </row>
    <row r="725" spans="1:27" ht="13.2">
      <c r="A725" s="88"/>
      <c r="B725" s="88"/>
      <c r="C725" s="88"/>
      <c r="D725" s="88"/>
      <c r="E725" s="88"/>
      <c r="F725" s="88"/>
      <c r="G725" s="88"/>
      <c r="H725" s="88"/>
      <c r="I725" s="88"/>
      <c r="J725" s="88"/>
      <c r="K725" s="88"/>
      <c r="L725" s="88"/>
      <c r="M725" s="88"/>
      <c r="N725" s="88"/>
      <c r="O725" s="88"/>
      <c r="P725" s="88"/>
      <c r="Q725" s="88"/>
      <c r="R725" s="88"/>
      <c r="S725" s="88"/>
      <c r="T725" s="88"/>
      <c r="U725" s="88"/>
      <c r="V725" s="88"/>
      <c r="W725" s="88"/>
      <c r="X725" s="88"/>
      <c r="Y725" s="88"/>
      <c r="Z725" s="88"/>
      <c r="AA725" s="88"/>
    </row>
    <row r="726" spans="1:27" ht="13.2">
      <c r="A726" s="88"/>
      <c r="B726" s="88"/>
      <c r="C726" s="88"/>
      <c r="D726" s="88"/>
      <c r="E726" s="88"/>
      <c r="F726" s="88"/>
      <c r="G726" s="88"/>
      <c r="H726" s="88"/>
      <c r="I726" s="88"/>
      <c r="J726" s="88"/>
      <c r="K726" s="88"/>
      <c r="L726" s="88"/>
      <c r="M726" s="88"/>
      <c r="N726" s="88"/>
      <c r="O726" s="88"/>
      <c r="P726" s="88"/>
      <c r="Q726" s="88"/>
      <c r="R726" s="88"/>
      <c r="S726" s="88"/>
      <c r="T726" s="88"/>
      <c r="U726" s="88"/>
      <c r="V726" s="88"/>
      <c r="W726" s="88"/>
      <c r="X726" s="88"/>
      <c r="Y726" s="88"/>
      <c r="Z726" s="88"/>
      <c r="AA726" s="88"/>
    </row>
    <row r="727" spans="1:27" ht="13.2">
      <c r="A727" s="88"/>
      <c r="B727" s="88"/>
      <c r="C727" s="88"/>
      <c r="D727" s="88"/>
      <c r="E727" s="88"/>
      <c r="F727" s="88"/>
      <c r="G727" s="88"/>
      <c r="H727" s="88"/>
      <c r="I727" s="88"/>
      <c r="J727" s="88"/>
      <c r="K727" s="88"/>
      <c r="L727" s="88"/>
      <c r="M727" s="88"/>
      <c r="N727" s="88"/>
      <c r="O727" s="88"/>
      <c r="P727" s="88"/>
      <c r="Q727" s="88"/>
      <c r="R727" s="88"/>
      <c r="S727" s="88"/>
      <c r="T727" s="88"/>
      <c r="U727" s="88"/>
      <c r="V727" s="88"/>
      <c r="W727" s="88"/>
      <c r="X727" s="88"/>
      <c r="Y727" s="88"/>
      <c r="Z727" s="88"/>
      <c r="AA727" s="88"/>
    </row>
    <row r="728" spans="1:27" ht="13.2">
      <c r="A728" s="88"/>
      <c r="B728" s="88"/>
      <c r="C728" s="88"/>
      <c r="D728" s="88"/>
      <c r="E728" s="88"/>
      <c r="F728" s="88"/>
      <c r="G728" s="88"/>
      <c r="H728" s="88"/>
      <c r="I728" s="88"/>
      <c r="J728" s="88"/>
      <c r="K728" s="88"/>
      <c r="L728" s="88"/>
      <c r="M728" s="88"/>
      <c r="N728" s="88"/>
      <c r="O728" s="88"/>
      <c r="P728" s="88"/>
      <c r="Q728" s="88"/>
      <c r="R728" s="88"/>
      <c r="S728" s="88"/>
      <c r="T728" s="88"/>
      <c r="U728" s="88"/>
      <c r="V728" s="88"/>
      <c r="W728" s="88"/>
      <c r="X728" s="88"/>
      <c r="Y728" s="88"/>
      <c r="Z728" s="88"/>
      <c r="AA728" s="88"/>
    </row>
    <row r="729" spans="1:27" ht="13.2">
      <c r="A729" s="88"/>
      <c r="B729" s="88"/>
      <c r="C729" s="88"/>
      <c r="D729" s="88"/>
      <c r="E729" s="88"/>
      <c r="F729" s="88"/>
      <c r="G729" s="88"/>
      <c r="H729" s="88"/>
      <c r="I729" s="88"/>
      <c r="J729" s="88"/>
      <c r="K729" s="88"/>
      <c r="L729" s="88"/>
      <c r="M729" s="88"/>
      <c r="N729" s="88"/>
      <c r="O729" s="88"/>
      <c r="P729" s="88"/>
      <c r="Q729" s="88"/>
      <c r="R729" s="88"/>
      <c r="S729" s="88"/>
      <c r="T729" s="88"/>
      <c r="U729" s="88"/>
      <c r="V729" s="88"/>
      <c r="W729" s="88"/>
      <c r="X729" s="88"/>
      <c r="Y729" s="88"/>
      <c r="Z729" s="88"/>
      <c r="AA729" s="88"/>
    </row>
    <row r="730" spans="1:27" ht="13.2">
      <c r="A730" s="88"/>
      <c r="B730" s="88"/>
      <c r="C730" s="88"/>
      <c r="D730" s="88"/>
      <c r="E730" s="88"/>
      <c r="F730" s="88"/>
      <c r="G730" s="88"/>
      <c r="H730" s="88"/>
      <c r="I730" s="88"/>
      <c r="J730" s="88"/>
      <c r="K730" s="88"/>
      <c r="L730" s="88"/>
      <c r="M730" s="88"/>
      <c r="N730" s="88"/>
      <c r="O730" s="88"/>
      <c r="P730" s="88"/>
      <c r="Q730" s="88"/>
      <c r="R730" s="88"/>
      <c r="S730" s="88"/>
      <c r="T730" s="88"/>
      <c r="U730" s="88"/>
      <c r="V730" s="88"/>
      <c r="W730" s="88"/>
      <c r="X730" s="88"/>
      <c r="Y730" s="88"/>
      <c r="Z730" s="88"/>
      <c r="AA730" s="88"/>
    </row>
    <row r="731" spans="1:27" ht="13.2">
      <c r="A731" s="88"/>
      <c r="B731" s="88"/>
      <c r="C731" s="88"/>
      <c r="D731" s="88"/>
      <c r="E731" s="88"/>
      <c r="F731" s="88"/>
      <c r="G731" s="88"/>
      <c r="H731" s="88"/>
      <c r="I731" s="88"/>
      <c r="J731" s="88"/>
      <c r="K731" s="88"/>
      <c r="L731" s="88"/>
      <c r="M731" s="88"/>
      <c r="N731" s="88"/>
      <c r="O731" s="88"/>
      <c r="P731" s="88"/>
      <c r="Q731" s="88"/>
      <c r="R731" s="88"/>
      <c r="S731" s="88"/>
      <c r="T731" s="88"/>
      <c r="U731" s="88"/>
      <c r="V731" s="88"/>
      <c r="W731" s="88"/>
      <c r="X731" s="88"/>
      <c r="Y731" s="88"/>
      <c r="Z731" s="88"/>
      <c r="AA731" s="88"/>
    </row>
    <row r="732" spans="1:27" ht="13.2">
      <c r="A732" s="88"/>
      <c r="B732" s="88"/>
      <c r="C732" s="88"/>
      <c r="D732" s="88"/>
      <c r="E732" s="88"/>
      <c r="F732" s="88"/>
      <c r="G732" s="88"/>
      <c r="H732" s="88"/>
      <c r="I732" s="88"/>
      <c r="J732" s="88"/>
      <c r="K732" s="88"/>
      <c r="L732" s="88"/>
      <c r="M732" s="88"/>
      <c r="N732" s="88"/>
      <c r="O732" s="88"/>
      <c r="P732" s="88"/>
      <c r="Q732" s="88"/>
      <c r="R732" s="88"/>
      <c r="S732" s="88"/>
      <c r="T732" s="88"/>
      <c r="U732" s="88"/>
      <c r="V732" s="88"/>
      <c r="W732" s="88"/>
      <c r="X732" s="88"/>
      <c r="Y732" s="88"/>
      <c r="Z732" s="88"/>
      <c r="AA732" s="88"/>
    </row>
    <row r="733" spans="1:27" ht="13.2">
      <c r="A733" s="88"/>
      <c r="B733" s="88"/>
      <c r="C733" s="88"/>
      <c r="D733" s="88"/>
      <c r="E733" s="88"/>
      <c r="F733" s="88"/>
      <c r="G733" s="88"/>
      <c r="H733" s="88"/>
      <c r="I733" s="88"/>
      <c r="J733" s="88"/>
      <c r="K733" s="88"/>
      <c r="L733" s="88"/>
      <c r="M733" s="88"/>
      <c r="N733" s="88"/>
      <c r="O733" s="88"/>
      <c r="P733" s="88"/>
      <c r="Q733" s="88"/>
      <c r="R733" s="88"/>
      <c r="S733" s="88"/>
      <c r="T733" s="88"/>
      <c r="U733" s="88"/>
      <c r="V733" s="88"/>
      <c r="W733" s="88"/>
      <c r="X733" s="88"/>
      <c r="Y733" s="88"/>
      <c r="Z733" s="88"/>
      <c r="AA733" s="88"/>
    </row>
    <row r="734" spans="1:27" ht="13.2">
      <c r="A734" s="88"/>
      <c r="B734" s="88"/>
      <c r="C734" s="88"/>
      <c r="D734" s="88"/>
      <c r="E734" s="88"/>
      <c r="F734" s="88"/>
      <c r="G734" s="88"/>
      <c r="H734" s="88"/>
      <c r="I734" s="88"/>
      <c r="J734" s="88"/>
      <c r="K734" s="88"/>
      <c r="L734" s="88"/>
      <c r="M734" s="88"/>
      <c r="N734" s="88"/>
      <c r="O734" s="88"/>
      <c r="P734" s="88"/>
      <c r="Q734" s="88"/>
      <c r="R734" s="88"/>
      <c r="S734" s="88"/>
      <c r="T734" s="88"/>
      <c r="U734" s="88"/>
      <c r="V734" s="88"/>
      <c r="W734" s="88"/>
      <c r="X734" s="88"/>
      <c r="Y734" s="88"/>
      <c r="Z734" s="88"/>
      <c r="AA734" s="88"/>
    </row>
    <row r="735" spans="1:27" ht="13.2">
      <c r="A735" s="88"/>
      <c r="B735" s="88"/>
      <c r="C735" s="88"/>
      <c r="D735" s="88"/>
      <c r="E735" s="88"/>
      <c r="F735" s="88"/>
      <c r="G735" s="88"/>
      <c r="H735" s="88"/>
      <c r="I735" s="88"/>
      <c r="J735" s="88"/>
      <c r="K735" s="88"/>
      <c r="L735" s="88"/>
      <c r="M735" s="88"/>
      <c r="N735" s="88"/>
      <c r="O735" s="88"/>
      <c r="P735" s="88"/>
      <c r="Q735" s="88"/>
      <c r="R735" s="88"/>
      <c r="S735" s="88"/>
      <c r="T735" s="88"/>
      <c r="U735" s="88"/>
      <c r="V735" s="88"/>
      <c r="W735" s="88"/>
      <c r="X735" s="88"/>
      <c r="Y735" s="88"/>
      <c r="Z735" s="88"/>
      <c r="AA735" s="88"/>
    </row>
    <row r="736" spans="1:27" ht="13.2">
      <c r="A736" s="88"/>
      <c r="B736" s="88"/>
      <c r="C736" s="88"/>
      <c r="D736" s="88"/>
      <c r="E736" s="88"/>
      <c r="F736" s="88"/>
      <c r="G736" s="88"/>
      <c r="H736" s="88"/>
      <c r="I736" s="88"/>
      <c r="J736" s="88"/>
      <c r="K736" s="88"/>
      <c r="L736" s="88"/>
      <c r="M736" s="88"/>
      <c r="N736" s="88"/>
      <c r="O736" s="88"/>
      <c r="P736" s="88"/>
      <c r="Q736" s="88"/>
      <c r="R736" s="88"/>
      <c r="S736" s="88"/>
      <c r="T736" s="88"/>
      <c r="U736" s="88"/>
      <c r="V736" s="88"/>
      <c r="W736" s="88"/>
      <c r="X736" s="88"/>
      <c r="Y736" s="88"/>
      <c r="Z736" s="88"/>
      <c r="AA736" s="88"/>
    </row>
    <row r="737" spans="1:27" ht="13.2">
      <c r="A737" s="88"/>
      <c r="B737" s="88"/>
      <c r="C737" s="88"/>
      <c r="D737" s="88"/>
      <c r="E737" s="88"/>
      <c r="F737" s="88"/>
      <c r="G737" s="88"/>
      <c r="H737" s="88"/>
      <c r="I737" s="88"/>
      <c r="J737" s="88"/>
      <c r="K737" s="88"/>
      <c r="L737" s="88"/>
      <c r="M737" s="88"/>
      <c r="N737" s="88"/>
      <c r="O737" s="88"/>
      <c r="P737" s="88"/>
      <c r="Q737" s="88"/>
      <c r="R737" s="88"/>
      <c r="S737" s="88"/>
      <c r="T737" s="88"/>
      <c r="U737" s="88"/>
      <c r="V737" s="88"/>
      <c r="W737" s="88"/>
      <c r="X737" s="88"/>
      <c r="Y737" s="88"/>
      <c r="Z737" s="88"/>
      <c r="AA737" s="88"/>
    </row>
    <row r="738" spans="1:27" ht="13.2">
      <c r="A738" s="88"/>
      <c r="B738" s="88"/>
      <c r="C738" s="88"/>
      <c r="D738" s="88"/>
      <c r="E738" s="88"/>
      <c r="F738" s="88"/>
      <c r="G738" s="88"/>
      <c r="H738" s="88"/>
      <c r="I738" s="88"/>
      <c r="J738" s="88"/>
      <c r="K738" s="88"/>
      <c r="L738" s="88"/>
      <c r="M738" s="88"/>
      <c r="N738" s="88"/>
      <c r="O738" s="88"/>
      <c r="P738" s="88"/>
      <c r="Q738" s="88"/>
      <c r="R738" s="88"/>
      <c r="S738" s="88"/>
      <c r="T738" s="88"/>
      <c r="U738" s="88"/>
      <c r="V738" s="88"/>
      <c r="W738" s="88"/>
      <c r="X738" s="88"/>
      <c r="Y738" s="88"/>
      <c r="Z738" s="88"/>
      <c r="AA738" s="88"/>
    </row>
    <row r="739" spans="1:27" ht="13.2">
      <c r="A739" s="88"/>
      <c r="B739" s="88"/>
      <c r="C739" s="88"/>
      <c r="D739" s="88"/>
      <c r="E739" s="88"/>
      <c r="F739" s="88"/>
      <c r="G739" s="88"/>
      <c r="H739" s="88"/>
      <c r="I739" s="88"/>
      <c r="J739" s="88"/>
      <c r="K739" s="88"/>
      <c r="L739" s="88"/>
      <c r="M739" s="88"/>
      <c r="N739" s="88"/>
      <c r="O739" s="88"/>
      <c r="P739" s="88"/>
      <c r="Q739" s="88"/>
      <c r="R739" s="88"/>
      <c r="S739" s="88"/>
      <c r="T739" s="88"/>
      <c r="U739" s="88"/>
      <c r="V739" s="88"/>
      <c r="W739" s="88"/>
      <c r="X739" s="88"/>
      <c r="Y739" s="88"/>
      <c r="Z739" s="88"/>
      <c r="AA739" s="88"/>
    </row>
    <row r="740" spans="1:27" ht="13.2">
      <c r="A740" s="88"/>
      <c r="B740" s="88"/>
      <c r="C740" s="88"/>
      <c r="D740" s="88"/>
      <c r="E740" s="88"/>
      <c r="F740" s="88"/>
      <c r="G740" s="88"/>
      <c r="H740" s="88"/>
      <c r="I740" s="88"/>
      <c r="J740" s="88"/>
      <c r="K740" s="88"/>
      <c r="L740" s="88"/>
      <c r="M740" s="88"/>
      <c r="N740" s="88"/>
      <c r="O740" s="88"/>
      <c r="P740" s="88"/>
      <c r="Q740" s="88"/>
      <c r="R740" s="88"/>
      <c r="S740" s="88"/>
      <c r="T740" s="88"/>
      <c r="U740" s="88"/>
      <c r="V740" s="88"/>
      <c r="W740" s="88"/>
      <c r="X740" s="88"/>
      <c r="Y740" s="88"/>
      <c r="Z740" s="88"/>
      <c r="AA740" s="88"/>
    </row>
    <row r="741" spans="1:27" ht="13.2">
      <c r="A741" s="88"/>
      <c r="B741" s="88"/>
      <c r="C741" s="88"/>
      <c r="D741" s="88"/>
      <c r="E741" s="88"/>
      <c r="F741" s="88"/>
      <c r="G741" s="88"/>
      <c r="H741" s="88"/>
      <c r="I741" s="88"/>
      <c r="J741" s="88"/>
      <c r="K741" s="88"/>
      <c r="L741" s="88"/>
      <c r="M741" s="88"/>
      <c r="N741" s="88"/>
      <c r="O741" s="88"/>
      <c r="P741" s="88"/>
      <c r="Q741" s="88"/>
      <c r="R741" s="88"/>
      <c r="S741" s="88"/>
      <c r="T741" s="88"/>
      <c r="U741" s="88"/>
      <c r="V741" s="88"/>
      <c r="W741" s="88"/>
      <c r="X741" s="88"/>
      <c r="Y741" s="88"/>
      <c r="Z741" s="88"/>
      <c r="AA741" s="88"/>
    </row>
    <row r="742" spans="1:27" ht="13.2">
      <c r="A742" s="88"/>
      <c r="B742" s="88"/>
      <c r="C742" s="88"/>
      <c r="D742" s="88"/>
      <c r="E742" s="88"/>
      <c r="F742" s="88"/>
      <c r="G742" s="88"/>
      <c r="H742" s="88"/>
      <c r="I742" s="88"/>
      <c r="J742" s="88"/>
      <c r="K742" s="88"/>
      <c r="L742" s="88"/>
      <c r="M742" s="88"/>
      <c r="N742" s="88"/>
      <c r="O742" s="88"/>
      <c r="P742" s="88"/>
      <c r="Q742" s="88"/>
      <c r="R742" s="88"/>
      <c r="S742" s="88"/>
      <c r="T742" s="88"/>
      <c r="U742" s="88"/>
      <c r="V742" s="88"/>
      <c r="W742" s="88"/>
      <c r="X742" s="88"/>
      <c r="Y742" s="88"/>
      <c r="Z742" s="88"/>
      <c r="AA742" s="88"/>
    </row>
    <row r="743" spans="1:27" ht="13.2">
      <c r="A743" s="88"/>
      <c r="B743" s="88"/>
      <c r="C743" s="88"/>
      <c r="D743" s="88"/>
      <c r="E743" s="88"/>
      <c r="F743" s="88"/>
      <c r="G743" s="88"/>
      <c r="H743" s="88"/>
      <c r="I743" s="88"/>
      <c r="J743" s="88"/>
      <c r="K743" s="88"/>
      <c r="L743" s="88"/>
      <c r="M743" s="88"/>
      <c r="N743" s="88"/>
      <c r="O743" s="88"/>
      <c r="P743" s="88"/>
      <c r="Q743" s="88"/>
      <c r="R743" s="88"/>
      <c r="S743" s="88"/>
      <c r="T743" s="88"/>
      <c r="U743" s="88"/>
      <c r="V743" s="88"/>
      <c r="W743" s="88"/>
      <c r="X743" s="88"/>
      <c r="Y743" s="88"/>
      <c r="Z743" s="88"/>
      <c r="AA743" s="88"/>
    </row>
    <row r="744" spans="1:27" ht="13.2">
      <c r="A744" s="88"/>
      <c r="B744" s="88"/>
      <c r="C744" s="88"/>
      <c r="D744" s="88"/>
      <c r="E744" s="88"/>
      <c r="F744" s="88"/>
      <c r="G744" s="88"/>
      <c r="H744" s="88"/>
      <c r="I744" s="88"/>
      <c r="J744" s="88"/>
      <c r="K744" s="88"/>
      <c r="L744" s="88"/>
      <c r="M744" s="88"/>
      <c r="N744" s="88"/>
      <c r="O744" s="88"/>
      <c r="P744" s="88"/>
      <c r="Q744" s="88"/>
      <c r="R744" s="88"/>
      <c r="S744" s="88"/>
      <c r="T744" s="88"/>
      <c r="U744" s="88"/>
      <c r="V744" s="88"/>
      <c r="W744" s="88"/>
      <c r="X744" s="88"/>
      <c r="Y744" s="88"/>
      <c r="Z744" s="88"/>
      <c r="AA744" s="88"/>
    </row>
    <row r="745" spans="1:27" ht="13.2">
      <c r="A745" s="88"/>
      <c r="B745" s="88"/>
      <c r="C745" s="88"/>
      <c r="D745" s="88"/>
      <c r="E745" s="88"/>
      <c r="F745" s="88"/>
      <c r="G745" s="88"/>
      <c r="H745" s="88"/>
      <c r="I745" s="88"/>
      <c r="J745" s="88"/>
      <c r="K745" s="88"/>
      <c r="L745" s="88"/>
      <c r="M745" s="88"/>
      <c r="N745" s="88"/>
      <c r="O745" s="88"/>
      <c r="P745" s="88"/>
      <c r="Q745" s="88"/>
      <c r="R745" s="88"/>
      <c r="S745" s="88"/>
      <c r="T745" s="88"/>
      <c r="U745" s="88"/>
      <c r="V745" s="88"/>
      <c r="W745" s="88"/>
      <c r="X745" s="88"/>
      <c r="Y745" s="88"/>
      <c r="Z745" s="88"/>
      <c r="AA745" s="88"/>
    </row>
    <row r="746" spans="1:27" ht="13.2">
      <c r="A746" s="88"/>
      <c r="B746" s="88"/>
      <c r="C746" s="88"/>
      <c r="D746" s="88"/>
      <c r="E746" s="88"/>
      <c r="F746" s="88"/>
      <c r="G746" s="88"/>
      <c r="H746" s="88"/>
      <c r="I746" s="88"/>
      <c r="J746" s="88"/>
      <c r="K746" s="88"/>
      <c r="L746" s="88"/>
      <c r="M746" s="88"/>
      <c r="N746" s="88"/>
      <c r="O746" s="88"/>
      <c r="P746" s="88"/>
      <c r="Q746" s="88"/>
      <c r="R746" s="88"/>
      <c r="S746" s="88"/>
      <c r="T746" s="88"/>
      <c r="U746" s="88"/>
      <c r="V746" s="88"/>
      <c r="W746" s="88"/>
      <c r="X746" s="88"/>
      <c r="Y746" s="88"/>
      <c r="Z746" s="88"/>
      <c r="AA746" s="88"/>
    </row>
    <row r="747" spans="1:27" ht="13.2">
      <c r="A747" s="88"/>
      <c r="B747" s="88"/>
      <c r="C747" s="88"/>
      <c r="D747" s="88"/>
      <c r="E747" s="88"/>
      <c r="F747" s="88"/>
      <c r="G747" s="88"/>
      <c r="H747" s="88"/>
      <c r="I747" s="88"/>
      <c r="J747" s="88"/>
      <c r="K747" s="88"/>
      <c r="L747" s="88"/>
      <c r="M747" s="88"/>
      <c r="N747" s="88"/>
      <c r="O747" s="88"/>
      <c r="P747" s="88"/>
      <c r="Q747" s="88"/>
      <c r="R747" s="88"/>
      <c r="S747" s="88"/>
      <c r="T747" s="88"/>
      <c r="U747" s="88"/>
      <c r="V747" s="88"/>
      <c r="W747" s="88"/>
      <c r="X747" s="88"/>
      <c r="Y747" s="88"/>
      <c r="Z747" s="88"/>
      <c r="AA747" s="88"/>
    </row>
    <row r="748" spans="1:27" ht="13.2">
      <c r="A748" s="88"/>
      <c r="B748" s="88"/>
      <c r="C748" s="88"/>
      <c r="D748" s="88"/>
      <c r="E748" s="88"/>
      <c r="F748" s="88"/>
      <c r="G748" s="88"/>
      <c r="H748" s="88"/>
      <c r="I748" s="88"/>
      <c r="J748" s="88"/>
      <c r="K748" s="88"/>
      <c r="L748" s="88"/>
      <c r="M748" s="88"/>
      <c r="N748" s="88"/>
      <c r="O748" s="88"/>
      <c r="P748" s="88"/>
      <c r="Q748" s="88"/>
      <c r="R748" s="88"/>
      <c r="S748" s="88"/>
      <c r="T748" s="88"/>
      <c r="U748" s="88"/>
      <c r="V748" s="88"/>
      <c r="W748" s="88"/>
      <c r="X748" s="88"/>
      <c r="Y748" s="88"/>
      <c r="Z748" s="88"/>
      <c r="AA748" s="88"/>
    </row>
    <row r="749" spans="1:27" ht="13.2">
      <c r="A749" s="88"/>
      <c r="B749" s="88"/>
      <c r="C749" s="88"/>
      <c r="D749" s="88"/>
      <c r="E749" s="88"/>
      <c r="F749" s="88"/>
      <c r="G749" s="88"/>
      <c r="H749" s="88"/>
      <c r="I749" s="88"/>
      <c r="J749" s="88"/>
      <c r="K749" s="88"/>
      <c r="L749" s="88"/>
      <c r="M749" s="88"/>
      <c r="N749" s="88"/>
      <c r="O749" s="88"/>
      <c r="P749" s="88"/>
      <c r="Q749" s="88"/>
      <c r="R749" s="88"/>
      <c r="S749" s="88"/>
      <c r="T749" s="88"/>
      <c r="U749" s="88"/>
      <c r="V749" s="88"/>
      <c r="W749" s="88"/>
      <c r="X749" s="88"/>
      <c r="Y749" s="88"/>
      <c r="Z749" s="88"/>
      <c r="AA749" s="88"/>
    </row>
    <row r="750" spans="1:27" ht="13.2">
      <c r="A750" s="88"/>
      <c r="B750" s="88"/>
      <c r="C750" s="88"/>
      <c r="D750" s="88"/>
      <c r="E750" s="88"/>
      <c r="F750" s="88"/>
      <c r="G750" s="88"/>
      <c r="H750" s="88"/>
      <c r="I750" s="88"/>
      <c r="J750" s="88"/>
      <c r="K750" s="88"/>
      <c r="L750" s="88"/>
      <c r="M750" s="88"/>
      <c r="N750" s="88"/>
      <c r="O750" s="88"/>
      <c r="P750" s="88"/>
      <c r="Q750" s="88"/>
      <c r="R750" s="88"/>
      <c r="S750" s="88"/>
      <c r="T750" s="88"/>
      <c r="U750" s="88"/>
      <c r="V750" s="88"/>
      <c r="W750" s="88"/>
      <c r="X750" s="88"/>
      <c r="Y750" s="88"/>
      <c r="Z750" s="88"/>
      <c r="AA750" s="88"/>
    </row>
    <row r="751" spans="1:27" ht="13.2">
      <c r="A751" s="88"/>
      <c r="B751" s="88"/>
      <c r="C751" s="88"/>
      <c r="D751" s="88"/>
      <c r="E751" s="88"/>
      <c r="F751" s="88"/>
      <c r="G751" s="88"/>
      <c r="H751" s="88"/>
      <c r="I751" s="88"/>
      <c r="J751" s="88"/>
      <c r="K751" s="88"/>
      <c r="L751" s="88"/>
      <c r="M751" s="88"/>
      <c r="N751" s="88"/>
      <c r="O751" s="88"/>
      <c r="P751" s="88"/>
      <c r="Q751" s="88"/>
      <c r="R751" s="88"/>
      <c r="S751" s="88"/>
      <c r="T751" s="88"/>
      <c r="U751" s="88"/>
      <c r="V751" s="88"/>
      <c r="W751" s="88"/>
      <c r="X751" s="88"/>
      <c r="Y751" s="88"/>
      <c r="Z751" s="88"/>
      <c r="AA751" s="88"/>
    </row>
    <row r="752" spans="1:27" ht="13.2">
      <c r="A752" s="88"/>
      <c r="B752" s="88"/>
      <c r="C752" s="88"/>
      <c r="D752" s="88"/>
      <c r="E752" s="88"/>
      <c r="F752" s="88"/>
      <c r="G752" s="88"/>
      <c r="H752" s="88"/>
      <c r="I752" s="88"/>
      <c r="J752" s="88"/>
      <c r="K752" s="88"/>
      <c r="L752" s="88"/>
      <c r="M752" s="88"/>
      <c r="N752" s="88"/>
      <c r="O752" s="88"/>
      <c r="P752" s="88"/>
      <c r="Q752" s="88"/>
      <c r="R752" s="88"/>
      <c r="S752" s="88"/>
      <c r="T752" s="88"/>
      <c r="U752" s="88"/>
      <c r="V752" s="88"/>
      <c r="W752" s="88"/>
      <c r="X752" s="88"/>
      <c r="Y752" s="88"/>
      <c r="Z752" s="88"/>
      <c r="AA752" s="88"/>
    </row>
    <row r="753" spans="1:27" ht="13.2">
      <c r="A753" s="88"/>
      <c r="B753" s="88"/>
      <c r="C753" s="88"/>
      <c r="D753" s="88"/>
      <c r="E753" s="88"/>
      <c r="F753" s="88"/>
      <c r="G753" s="88"/>
      <c r="H753" s="88"/>
      <c r="I753" s="88"/>
      <c r="J753" s="88"/>
      <c r="K753" s="88"/>
      <c r="L753" s="88"/>
      <c r="M753" s="88"/>
      <c r="N753" s="88"/>
      <c r="O753" s="88"/>
      <c r="P753" s="88"/>
      <c r="Q753" s="88"/>
      <c r="R753" s="88"/>
      <c r="S753" s="88"/>
      <c r="T753" s="88"/>
      <c r="U753" s="88"/>
      <c r="V753" s="88"/>
      <c r="W753" s="88"/>
      <c r="X753" s="88"/>
      <c r="Y753" s="88"/>
      <c r="Z753" s="88"/>
      <c r="AA753" s="88"/>
    </row>
    <row r="754" spans="1:27" ht="13.2">
      <c r="A754" s="88"/>
      <c r="B754" s="88"/>
      <c r="C754" s="88"/>
      <c r="D754" s="88"/>
      <c r="E754" s="88"/>
      <c r="F754" s="88"/>
      <c r="G754" s="88"/>
      <c r="H754" s="88"/>
      <c r="I754" s="88"/>
      <c r="J754" s="88"/>
      <c r="K754" s="88"/>
      <c r="L754" s="88"/>
      <c r="M754" s="88"/>
      <c r="N754" s="88"/>
      <c r="O754" s="88"/>
      <c r="P754" s="88"/>
      <c r="Q754" s="88"/>
      <c r="R754" s="88"/>
      <c r="S754" s="88"/>
      <c r="T754" s="88"/>
      <c r="U754" s="88"/>
      <c r="V754" s="88"/>
      <c r="W754" s="88"/>
      <c r="X754" s="88"/>
      <c r="Y754" s="88"/>
      <c r="Z754" s="88"/>
      <c r="AA754" s="88"/>
    </row>
    <row r="755" spans="1:27" ht="13.2">
      <c r="A755" s="88"/>
      <c r="B755" s="88"/>
      <c r="C755" s="88"/>
      <c r="D755" s="88"/>
      <c r="E755" s="88"/>
      <c r="F755" s="88"/>
      <c r="G755" s="88"/>
      <c r="H755" s="88"/>
      <c r="I755" s="88"/>
      <c r="J755" s="88"/>
      <c r="K755" s="88"/>
      <c r="L755" s="88"/>
      <c r="M755" s="88"/>
      <c r="N755" s="88"/>
      <c r="O755" s="88"/>
      <c r="P755" s="88"/>
      <c r="Q755" s="88"/>
      <c r="R755" s="88"/>
      <c r="S755" s="88"/>
      <c r="T755" s="88"/>
      <c r="U755" s="88"/>
      <c r="V755" s="88"/>
      <c r="W755" s="88"/>
      <c r="X755" s="88"/>
      <c r="Y755" s="88"/>
      <c r="Z755" s="88"/>
      <c r="AA755" s="88"/>
    </row>
    <row r="756" spans="1:27" ht="13.2">
      <c r="A756" s="88"/>
      <c r="B756" s="88"/>
      <c r="C756" s="88"/>
      <c r="D756" s="88"/>
      <c r="E756" s="88"/>
      <c r="F756" s="88"/>
      <c r="G756" s="88"/>
      <c r="H756" s="88"/>
      <c r="I756" s="88"/>
      <c r="J756" s="88"/>
      <c r="K756" s="88"/>
      <c r="L756" s="88"/>
      <c r="M756" s="88"/>
      <c r="N756" s="88"/>
      <c r="O756" s="88"/>
      <c r="P756" s="88"/>
      <c r="Q756" s="88"/>
      <c r="R756" s="88"/>
      <c r="S756" s="88"/>
      <c r="T756" s="88"/>
      <c r="U756" s="88"/>
      <c r="V756" s="88"/>
      <c r="W756" s="88"/>
      <c r="X756" s="88"/>
      <c r="Y756" s="88"/>
      <c r="Z756" s="88"/>
      <c r="AA756" s="88"/>
    </row>
    <row r="757" spans="1:27" ht="13.2">
      <c r="A757" s="88"/>
      <c r="B757" s="88"/>
      <c r="C757" s="88"/>
      <c r="D757" s="88"/>
      <c r="E757" s="88"/>
      <c r="F757" s="88"/>
      <c r="G757" s="88"/>
      <c r="H757" s="88"/>
      <c r="I757" s="88"/>
      <c r="J757" s="88"/>
      <c r="K757" s="88"/>
      <c r="L757" s="88"/>
      <c r="M757" s="88"/>
      <c r="N757" s="88"/>
      <c r="O757" s="88"/>
      <c r="P757" s="88"/>
      <c r="Q757" s="88"/>
      <c r="R757" s="88"/>
      <c r="S757" s="88"/>
      <c r="T757" s="88"/>
      <c r="U757" s="88"/>
      <c r="V757" s="88"/>
      <c r="W757" s="88"/>
      <c r="X757" s="88"/>
      <c r="Y757" s="88"/>
      <c r="Z757" s="88"/>
      <c r="AA757" s="88"/>
    </row>
    <row r="758" spans="1:27" ht="13.2">
      <c r="A758" s="88"/>
      <c r="B758" s="88"/>
      <c r="C758" s="88"/>
      <c r="D758" s="88"/>
      <c r="E758" s="88"/>
      <c r="F758" s="88"/>
      <c r="G758" s="88"/>
      <c r="H758" s="88"/>
      <c r="I758" s="88"/>
      <c r="J758" s="88"/>
      <c r="K758" s="88"/>
      <c r="L758" s="88"/>
      <c r="M758" s="88"/>
      <c r="N758" s="88"/>
      <c r="O758" s="88"/>
      <c r="P758" s="88"/>
      <c r="Q758" s="88"/>
      <c r="R758" s="88"/>
      <c r="S758" s="88"/>
      <c r="T758" s="88"/>
      <c r="U758" s="88"/>
      <c r="V758" s="88"/>
      <c r="W758" s="88"/>
      <c r="X758" s="88"/>
      <c r="Y758" s="88"/>
      <c r="Z758" s="88"/>
      <c r="AA758" s="88"/>
    </row>
    <row r="759" spans="1:27" ht="13.2">
      <c r="A759" s="88"/>
      <c r="B759" s="88"/>
      <c r="C759" s="88"/>
      <c r="D759" s="88"/>
      <c r="E759" s="88"/>
      <c r="F759" s="88"/>
      <c r="G759" s="88"/>
      <c r="H759" s="88"/>
      <c r="I759" s="88"/>
      <c r="J759" s="88"/>
      <c r="K759" s="88"/>
      <c r="L759" s="88"/>
      <c r="M759" s="88"/>
      <c r="N759" s="88"/>
      <c r="O759" s="88"/>
      <c r="P759" s="88"/>
      <c r="Q759" s="88"/>
      <c r="R759" s="88"/>
      <c r="S759" s="88"/>
      <c r="T759" s="88"/>
      <c r="U759" s="88"/>
      <c r="V759" s="88"/>
      <c r="W759" s="88"/>
      <c r="X759" s="88"/>
      <c r="Y759" s="88"/>
      <c r="Z759" s="88"/>
      <c r="AA759" s="88"/>
    </row>
    <row r="760" spans="1:27" ht="13.2">
      <c r="A760" s="88"/>
      <c r="B760" s="88"/>
      <c r="C760" s="88"/>
      <c r="D760" s="88"/>
      <c r="E760" s="88"/>
      <c r="F760" s="88"/>
      <c r="G760" s="88"/>
      <c r="H760" s="88"/>
      <c r="I760" s="88"/>
      <c r="J760" s="88"/>
      <c r="K760" s="88"/>
      <c r="L760" s="88"/>
      <c r="M760" s="88"/>
      <c r="N760" s="88"/>
      <c r="O760" s="88"/>
      <c r="P760" s="88"/>
      <c r="Q760" s="88"/>
      <c r="R760" s="88"/>
      <c r="S760" s="88"/>
      <c r="T760" s="88"/>
      <c r="U760" s="88"/>
      <c r="V760" s="88"/>
      <c r="W760" s="88"/>
      <c r="X760" s="88"/>
      <c r="Y760" s="88"/>
      <c r="Z760" s="88"/>
      <c r="AA760" s="88"/>
    </row>
    <row r="761" spans="1:27" ht="13.2">
      <c r="A761" s="88"/>
      <c r="B761" s="88"/>
      <c r="C761" s="88"/>
      <c r="D761" s="88"/>
      <c r="E761" s="88"/>
      <c r="F761" s="88"/>
      <c r="G761" s="88"/>
      <c r="H761" s="88"/>
      <c r="I761" s="88"/>
      <c r="J761" s="88"/>
      <c r="K761" s="88"/>
      <c r="L761" s="88"/>
      <c r="M761" s="88"/>
      <c r="N761" s="88"/>
      <c r="O761" s="88"/>
      <c r="P761" s="88"/>
      <c r="Q761" s="88"/>
      <c r="R761" s="88"/>
      <c r="S761" s="88"/>
      <c r="T761" s="88"/>
      <c r="U761" s="88"/>
      <c r="V761" s="88"/>
      <c r="W761" s="88"/>
      <c r="X761" s="88"/>
      <c r="Y761" s="88"/>
      <c r="Z761" s="88"/>
      <c r="AA761" s="88"/>
    </row>
    <row r="762" spans="1:27" ht="13.2">
      <c r="A762" s="88"/>
      <c r="B762" s="88"/>
      <c r="C762" s="88"/>
      <c r="D762" s="88"/>
      <c r="E762" s="88"/>
      <c r="F762" s="88"/>
      <c r="G762" s="88"/>
      <c r="H762" s="88"/>
      <c r="I762" s="88"/>
      <c r="J762" s="88"/>
      <c r="K762" s="88"/>
      <c r="L762" s="88"/>
      <c r="M762" s="88"/>
      <c r="N762" s="88"/>
      <c r="O762" s="88"/>
      <c r="P762" s="88"/>
      <c r="Q762" s="88"/>
      <c r="R762" s="88"/>
      <c r="S762" s="88"/>
      <c r="T762" s="88"/>
      <c r="U762" s="88"/>
      <c r="V762" s="88"/>
      <c r="W762" s="88"/>
      <c r="X762" s="88"/>
      <c r="Y762" s="88"/>
      <c r="Z762" s="88"/>
      <c r="AA762" s="88"/>
    </row>
    <row r="763" spans="1:27" ht="13.2">
      <c r="A763" s="88"/>
      <c r="B763" s="88"/>
      <c r="C763" s="88"/>
      <c r="D763" s="88"/>
      <c r="E763" s="88"/>
      <c r="F763" s="88"/>
      <c r="G763" s="88"/>
      <c r="H763" s="88"/>
      <c r="I763" s="88"/>
      <c r="J763" s="88"/>
      <c r="K763" s="88"/>
      <c r="L763" s="88"/>
      <c r="M763" s="88"/>
      <c r="N763" s="88"/>
      <c r="O763" s="88"/>
      <c r="P763" s="88"/>
      <c r="Q763" s="88"/>
      <c r="R763" s="88"/>
      <c r="S763" s="88"/>
      <c r="T763" s="88"/>
      <c r="U763" s="88"/>
      <c r="V763" s="88"/>
      <c r="W763" s="88"/>
      <c r="X763" s="88"/>
      <c r="Y763" s="88"/>
      <c r="Z763" s="88"/>
      <c r="AA763" s="88"/>
    </row>
    <row r="764" spans="1:27" ht="13.2">
      <c r="A764" s="88"/>
      <c r="B764" s="88"/>
      <c r="C764" s="88"/>
      <c r="D764" s="88"/>
      <c r="E764" s="88"/>
      <c r="F764" s="88"/>
      <c r="G764" s="88"/>
      <c r="H764" s="88"/>
      <c r="I764" s="88"/>
      <c r="J764" s="88"/>
      <c r="K764" s="88"/>
      <c r="L764" s="88"/>
      <c r="M764" s="88"/>
      <c r="N764" s="88"/>
      <c r="O764" s="88"/>
      <c r="P764" s="88"/>
      <c r="Q764" s="88"/>
      <c r="R764" s="88"/>
      <c r="S764" s="88"/>
      <c r="T764" s="88"/>
      <c r="U764" s="88"/>
      <c r="V764" s="88"/>
      <c r="W764" s="88"/>
      <c r="X764" s="88"/>
      <c r="Y764" s="88"/>
      <c r="Z764" s="88"/>
      <c r="AA764" s="88"/>
    </row>
    <row r="765" spans="1:27" ht="13.2">
      <c r="A765" s="88"/>
      <c r="B765" s="88"/>
      <c r="C765" s="88"/>
      <c r="D765" s="88"/>
      <c r="E765" s="88"/>
      <c r="F765" s="88"/>
      <c r="G765" s="88"/>
      <c r="H765" s="88"/>
      <c r="I765" s="88"/>
      <c r="J765" s="88"/>
      <c r="K765" s="88"/>
      <c r="L765" s="88"/>
      <c r="M765" s="88"/>
      <c r="N765" s="88"/>
      <c r="O765" s="88"/>
      <c r="P765" s="88"/>
      <c r="Q765" s="88"/>
      <c r="R765" s="88"/>
      <c r="S765" s="88"/>
      <c r="T765" s="88"/>
      <c r="U765" s="88"/>
      <c r="V765" s="88"/>
      <c r="W765" s="88"/>
      <c r="X765" s="88"/>
      <c r="Y765" s="88"/>
      <c r="Z765" s="88"/>
      <c r="AA765" s="88"/>
    </row>
    <row r="766" spans="1:27" ht="13.2">
      <c r="A766" s="88"/>
      <c r="B766" s="88"/>
      <c r="C766" s="88"/>
      <c r="D766" s="88"/>
      <c r="E766" s="88"/>
      <c r="F766" s="88"/>
      <c r="G766" s="88"/>
      <c r="H766" s="88"/>
      <c r="I766" s="88"/>
      <c r="J766" s="88"/>
      <c r="K766" s="88"/>
      <c r="L766" s="88"/>
      <c r="M766" s="88"/>
      <c r="N766" s="88"/>
      <c r="O766" s="88"/>
      <c r="P766" s="88"/>
      <c r="Q766" s="88"/>
      <c r="R766" s="88"/>
      <c r="S766" s="88"/>
      <c r="T766" s="88"/>
      <c r="U766" s="88"/>
      <c r="V766" s="88"/>
      <c r="W766" s="88"/>
      <c r="X766" s="88"/>
      <c r="Y766" s="88"/>
      <c r="Z766" s="88"/>
      <c r="AA766" s="88"/>
    </row>
    <row r="767" spans="1:27" ht="13.2">
      <c r="A767" s="88"/>
      <c r="B767" s="88"/>
      <c r="C767" s="88"/>
      <c r="D767" s="88"/>
      <c r="E767" s="88"/>
      <c r="F767" s="88"/>
      <c r="G767" s="88"/>
      <c r="H767" s="88"/>
      <c r="I767" s="88"/>
      <c r="J767" s="88"/>
      <c r="K767" s="88"/>
      <c r="L767" s="88"/>
      <c r="M767" s="88"/>
      <c r="N767" s="88"/>
      <c r="O767" s="88"/>
      <c r="P767" s="88"/>
      <c r="Q767" s="88"/>
      <c r="R767" s="88"/>
      <c r="S767" s="88"/>
      <c r="T767" s="88"/>
      <c r="U767" s="88"/>
      <c r="V767" s="88"/>
      <c r="W767" s="88"/>
      <c r="X767" s="88"/>
      <c r="Y767" s="88"/>
      <c r="Z767" s="88"/>
      <c r="AA767" s="88"/>
    </row>
    <row r="768" spans="1:27" ht="13.2">
      <c r="A768" s="88"/>
      <c r="B768" s="88"/>
      <c r="C768" s="88"/>
      <c r="D768" s="88"/>
      <c r="E768" s="88"/>
      <c r="F768" s="88"/>
      <c r="G768" s="88"/>
      <c r="H768" s="88"/>
      <c r="I768" s="88"/>
      <c r="J768" s="88"/>
      <c r="K768" s="88"/>
      <c r="L768" s="88"/>
      <c r="M768" s="88"/>
      <c r="N768" s="88"/>
      <c r="O768" s="88"/>
      <c r="P768" s="88"/>
      <c r="Q768" s="88"/>
      <c r="R768" s="88"/>
      <c r="S768" s="88"/>
      <c r="T768" s="88"/>
      <c r="U768" s="88"/>
      <c r="V768" s="88"/>
      <c r="W768" s="88"/>
      <c r="X768" s="88"/>
      <c r="Y768" s="88"/>
      <c r="Z768" s="88"/>
      <c r="AA768" s="88"/>
    </row>
    <row r="769" spans="1:27" ht="13.2">
      <c r="A769" s="88"/>
      <c r="B769" s="88"/>
      <c r="C769" s="88"/>
      <c r="D769" s="88"/>
      <c r="E769" s="88"/>
      <c r="F769" s="88"/>
      <c r="G769" s="88"/>
      <c r="H769" s="88"/>
      <c r="I769" s="88"/>
      <c r="J769" s="88"/>
      <c r="K769" s="88"/>
      <c r="L769" s="88"/>
      <c r="M769" s="88"/>
      <c r="N769" s="88"/>
      <c r="O769" s="88"/>
      <c r="P769" s="88"/>
      <c r="Q769" s="88"/>
      <c r="R769" s="88"/>
      <c r="S769" s="88"/>
      <c r="T769" s="88"/>
      <c r="U769" s="88"/>
      <c r="V769" s="88"/>
      <c r="W769" s="88"/>
      <c r="X769" s="88"/>
      <c r="Y769" s="88"/>
      <c r="Z769" s="88"/>
      <c r="AA769" s="88"/>
    </row>
    <row r="770" spans="1:27" ht="13.2">
      <c r="A770" s="88"/>
      <c r="B770" s="88"/>
      <c r="C770" s="88"/>
      <c r="D770" s="88"/>
      <c r="E770" s="88"/>
      <c r="F770" s="88"/>
      <c r="G770" s="88"/>
      <c r="H770" s="88"/>
      <c r="I770" s="88"/>
      <c r="J770" s="88"/>
      <c r="K770" s="88"/>
      <c r="L770" s="88"/>
      <c r="M770" s="88"/>
      <c r="N770" s="88"/>
      <c r="O770" s="88"/>
      <c r="P770" s="88"/>
      <c r="Q770" s="88"/>
      <c r="R770" s="88"/>
      <c r="S770" s="88"/>
      <c r="T770" s="88"/>
      <c r="U770" s="88"/>
      <c r="V770" s="88"/>
      <c r="W770" s="88"/>
      <c r="X770" s="88"/>
      <c r="Y770" s="88"/>
      <c r="Z770" s="88"/>
      <c r="AA770" s="88"/>
    </row>
    <row r="771" spans="1:27" ht="13.2">
      <c r="A771" s="88"/>
      <c r="B771" s="88"/>
      <c r="C771" s="88"/>
      <c r="D771" s="88"/>
      <c r="E771" s="88"/>
      <c r="F771" s="88"/>
      <c r="G771" s="88"/>
      <c r="H771" s="88"/>
      <c r="I771" s="88"/>
      <c r="J771" s="88"/>
      <c r="K771" s="88"/>
      <c r="L771" s="88"/>
      <c r="M771" s="88"/>
      <c r="N771" s="88"/>
      <c r="O771" s="88"/>
      <c r="P771" s="88"/>
      <c r="Q771" s="88"/>
      <c r="R771" s="88"/>
      <c r="S771" s="88"/>
      <c r="T771" s="88"/>
      <c r="U771" s="88"/>
      <c r="V771" s="88"/>
      <c r="W771" s="88"/>
      <c r="X771" s="88"/>
      <c r="Y771" s="88"/>
      <c r="Z771" s="88"/>
      <c r="AA771" s="88"/>
    </row>
    <row r="772" spans="1:27" ht="13.2">
      <c r="A772" s="88"/>
      <c r="B772" s="88"/>
      <c r="C772" s="88"/>
      <c r="D772" s="88"/>
      <c r="E772" s="88"/>
      <c r="F772" s="88"/>
      <c r="G772" s="88"/>
      <c r="H772" s="88"/>
      <c r="I772" s="88"/>
      <c r="J772" s="88"/>
      <c r="K772" s="88"/>
      <c r="L772" s="88"/>
      <c r="M772" s="88"/>
      <c r="N772" s="88"/>
      <c r="O772" s="88"/>
      <c r="P772" s="88"/>
      <c r="Q772" s="88"/>
      <c r="R772" s="88"/>
      <c r="S772" s="88"/>
      <c r="T772" s="88"/>
      <c r="U772" s="88"/>
      <c r="V772" s="88"/>
      <c r="W772" s="88"/>
      <c r="X772" s="88"/>
      <c r="Y772" s="88"/>
      <c r="Z772" s="88"/>
      <c r="AA772" s="88"/>
    </row>
    <row r="773" spans="1:27" ht="13.2">
      <c r="A773" s="88"/>
      <c r="B773" s="88"/>
      <c r="C773" s="88"/>
      <c r="D773" s="88"/>
      <c r="E773" s="88"/>
      <c r="F773" s="88"/>
      <c r="G773" s="88"/>
      <c r="H773" s="88"/>
      <c r="I773" s="88"/>
      <c r="J773" s="88"/>
      <c r="K773" s="88"/>
      <c r="L773" s="88"/>
      <c r="M773" s="88"/>
      <c r="N773" s="88"/>
      <c r="O773" s="88"/>
      <c r="P773" s="88"/>
      <c r="Q773" s="88"/>
      <c r="R773" s="88"/>
      <c r="S773" s="88"/>
      <c r="T773" s="88"/>
      <c r="U773" s="88"/>
      <c r="V773" s="88"/>
      <c r="W773" s="88"/>
      <c r="X773" s="88"/>
      <c r="Y773" s="88"/>
      <c r="Z773" s="88"/>
      <c r="AA773" s="88"/>
    </row>
    <row r="774" spans="1:27" ht="13.2">
      <c r="A774" s="88"/>
      <c r="B774" s="88"/>
      <c r="C774" s="88"/>
      <c r="D774" s="88"/>
      <c r="E774" s="88"/>
      <c r="F774" s="88"/>
      <c r="G774" s="88"/>
      <c r="H774" s="88"/>
      <c r="I774" s="88"/>
      <c r="J774" s="88"/>
      <c r="K774" s="88"/>
      <c r="L774" s="88"/>
      <c r="M774" s="88"/>
      <c r="N774" s="88"/>
      <c r="O774" s="88"/>
      <c r="P774" s="88"/>
      <c r="Q774" s="88"/>
      <c r="R774" s="88"/>
      <c r="S774" s="88"/>
      <c r="T774" s="88"/>
      <c r="U774" s="88"/>
      <c r="V774" s="88"/>
      <c r="W774" s="88"/>
      <c r="X774" s="88"/>
      <c r="Y774" s="88"/>
      <c r="Z774" s="88"/>
      <c r="AA774" s="88"/>
    </row>
    <row r="775" spans="1:27" ht="13.2">
      <c r="A775" s="88"/>
      <c r="B775" s="88"/>
      <c r="C775" s="88"/>
      <c r="D775" s="88"/>
      <c r="E775" s="88"/>
      <c r="F775" s="88"/>
      <c r="G775" s="88"/>
      <c r="H775" s="88"/>
      <c r="I775" s="88"/>
      <c r="J775" s="88"/>
      <c r="K775" s="88"/>
      <c r="L775" s="88"/>
      <c r="M775" s="88"/>
      <c r="N775" s="88"/>
      <c r="O775" s="88"/>
      <c r="P775" s="88"/>
      <c r="Q775" s="88"/>
      <c r="R775" s="88"/>
      <c r="S775" s="88"/>
      <c r="T775" s="88"/>
      <c r="U775" s="88"/>
      <c r="V775" s="88"/>
      <c r="W775" s="88"/>
      <c r="X775" s="88"/>
      <c r="Y775" s="88"/>
      <c r="Z775" s="88"/>
      <c r="AA775" s="88"/>
    </row>
    <row r="776" spans="1:27" ht="13.2">
      <c r="A776" s="88"/>
      <c r="B776" s="88"/>
      <c r="C776" s="88"/>
      <c r="D776" s="88"/>
      <c r="E776" s="88"/>
      <c r="F776" s="88"/>
      <c r="G776" s="88"/>
      <c r="H776" s="88"/>
      <c r="I776" s="88"/>
      <c r="J776" s="88"/>
      <c r="K776" s="88"/>
      <c r="L776" s="88"/>
      <c r="M776" s="88"/>
      <c r="N776" s="88"/>
      <c r="O776" s="88"/>
      <c r="P776" s="88"/>
      <c r="Q776" s="88"/>
      <c r="R776" s="88"/>
      <c r="S776" s="88"/>
      <c r="T776" s="88"/>
      <c r="U776" s="88"/>
      <c r="V776" s="88"/>
      <c r="W776" s="88"/>
      <c r="X776" s="88"/>
      <c r="Y776" s="88"/>
      <c r="Z776" s="88"/>
      <c r="AA776" s="88"/>
    </row>
    <row r="777" spans="1:27" ht="13.2">
      <c r="A777" s="88"/>
      <c r="B777" s="88"/>
      <c r="C777" s="88"/>
      <c r="D777" s="88"/>
      <c r="E777" s="88"/>
      <c r="F777" s="88"/>
      <c r="G777" s="88"/>
      <c r="H777" s="88"/>
      <c r="I777" s="88"/>
      <c r="J777" s="88"/>
      <c r="K777" s="88"/>
      <c r="L777" s="88"/>
      <c r="M777" s="88"/>
      <c r="N777" s="88"/>
      <c r="O777" s="88"/>
      <c r="P777" s="88"/>
      <c r="Q777" s="88"/>
      <c r="R777" s="88"/>
      <c r="S777" s="88"/>
      <c r="T777" s="88"/>
      <c r="U777" s="88"/>
      <c r="V777" s="88"/>
      <c r="W777" s="88"/>
      <c r="X777" s="88"/>
      <c r="Y777" s="88"/>
      <c r="Z777" s="88"/>
      <c r="AA777" s="88"/>
    </row>
    <row r="778" spans="1:27" ht="13.2">
      <c r="A778" s="88"/>
      <c r="B778" s="88"/>
      <c r="C778" s="88"/>
      <c r="D778" s="88"/>
      <c r="E778" s="88"/>
      <c r="F778" s="88"/>
      <c r="G778" s="88"/>
      <c r="H778" s="88"/>
      <c r="I778" s="88"/>
      <c r="J778" s="88"/>
      <c r="K778" s="88"/>
      <c r="L778" s="88"/>
      <c r="M778" s="88"/>
      <c r="N778" s="88"/>
      <c r="O778" s="88"/>
      <c r="P778" s="88"/>
      <c r="Q778" s="88"/>
      <c r="R778" s="88"/>
      <c r="S778" s="88"/>
      <c r="T778" s="88"/>
      <c r="U778" s="88"/>
      <c r="V778" s="88"/>
      <c r="W778" s="88"/>
      <c r="X778" s="88"/>
      <c r="Y778" s="88"/>
      <c r="Z778" s="88"/>
      <c r="AA778" s="88"/>
    </row>
    <row r="779" spans="1:27" ht="13.2">
      <c r="A779" s="88"/>
      <c r="B779" s="88"/>
      <c r="C779" s="88"/>
      <c r="D779" s="88"/>
      <c r="E779" s="88"/>
      <c r="F779" s="88"/>
      <c r="G779" s="88"/>
      <c r="H779" s="88"/>
      <c r="I779" s="88"/>
      <c r="J779" s="88"/>
      <c r="K779" s="88"/>
      <c r="L779" s="88"/>
      <c r="M779" s="88"/>
      <c r="N779" s="88"/>
      <c r="O779" s="88"/>
      <c r="P779" s="88"/>
      <c r="Q779" s="88"/>
      <c r="R779" s="88"/>
      <c r="S779" s="88"/>
      <c r="T779" s="88"/>
      <c r="U779" s="88"/>
      <c r="V779" s="88"/>
      <c r="W779" s="88"/>
      <c r="X779" s="88"/>
      <c r="Y779" s="88"/>
      <c r="Z779" s="88"/>
      <c r="AA779" s="88"/>
    </row>
    <row r="780" spans="1:27" ht="13.2">
      <c r="A780" s="88"/>
      <c r="B780" s="88"/>
      <c r="C780" s="88"/>
      <c r="D780" s="88"/>
      <c r="E780" s="88"/>
      <c r="F780" s="88"/>
      <c r="G780" s="88"/>
      <c r="H780" s="88"/>
      <c r="I780" s="88"/>
      <c r="J780" s="88"/>
      <c r="K780" s="88"/>
      <c r="L780" s="88"/>
      <c r="M780" s="88"/>
      <c r="N780" s="88"/>
      <c r="O780" s="88"/>
      <c r="P780" s="88"/>
      <c r="Q780" s="88"/>
      <c r="R780" s="88"/>
      <c r="S780" s="88"/>
      <c r="T780" s="88"/>
      <c r="U780" s="88"/>
      <c r="V780" s="88"/>
      <c r="W780" s="88"/>
      <c r="X780" s="88"/>
      <c r="Y780" s="88"/>
      <c r="Z780" s="88"/>
      <c r="AA780" s="88"/>
    </row>
    <row r="781" spans="1:27" ht="13.2">
      <c r="A781" s="88"/>
      <c r="B781" s="88"/>
      <c r="C781" s="88"/>
      <c r="D781" s="88"/>
      <c r="E781" s="88"/>
      <c r="F781" s="88"/>
      <c r="G781" s="88"/>
      <c r="H781" s="88"/>
      <c r="I781" s="88"/>
      <c r="J781" s="88"/>
      <c r="K781" s="88"/>
      <c r="L781" s="88"/>
      <c r="M781" s="88"/>
      <c r="N781" s="88"/>
      <c r="O781" s="88"/>
      <c r="P781" s="88"/>
      <c r="Q781" s="88"/>
      <c r="R781" s="88"/>
      <c r="S781" s="88"/>
      <c r="T781" s="88"/>
      <c r="U781" s="88"/>
      <c r="V781" s="88"/>
      <c r="W781" s="88"/>
      <c r="X781" s="88"/>
      <c r="Y781" s="88"/>
      <c r="Z781" s="88"/>
      <c r="AA781" s="88"/>
    </row>
    <row r="782" spans="1:27" ht="13.2">
      <c r="A782" s="88"/>
      <c r="B782" s="88"/>
      <c r="C782" s="88"/>
      <c r="D782" s="88"/>
      <c r="E782" s="88"/>
      <c r="F782" s="88"/>
      <c r="G782" s="88"/>
      <c r="H782" s="88"/>
      <c r="I782" s="88"/>
      <c r="J782" s="88"/>
      <c r="K782" s="88"/>
      <c r="L782" s="88"/>
      <c r="M782" s="88"/>
      <c r="N782" s="88"/>
      <c r="O782" s="88"/>
      <c r="P782" s="88"/>
      <c r="Q782" s="88"/>
      <c r="R782" s="88"/>
      <c r="S782" s="88"/>
      <c r="T782" s="88"/>
      <c r="U782" s="88"/>
      <c r="V782" s="88"/>
      <c r="W782" s="88"/>
      <c r="X782" s="88"/>
      <c r="Y782" s="88"/>
      <c r="Z782" s="88"/>
      <c r="AA782" s="88"/>
    </row>
    <row r="783" spans="1:27" ht="13.2">
      <c r="A783" s="88"/>
      <c r="B783" s="88"/>
      <c r="C783" s="88"/>
      <c r="D783" s="88"/>
      <c r="E783" s="88"/>
      <c r="F783" s="88"/>
      <c r="G783" s="88"/>
      <c r="H783" s="88"/>
      <c r="I783" s="88"/>
      <c r="J783" s="88"/>
      <c r="K783" s="88"/>
      <c r="L783" s="88"/>
      <c r="M783" s="88"/>
      <c r="N783" s="88"/>
      <c r="O783" s="88"/>
      <c r="P783" s="88"/>
      <c r="Q783" s="88"/>
      <c r="R783" s="88"/>
      <c r="S783" s="88"/>
      <c r="T783" s="88"/>
      <c r="U783" s="88"/>
      <c r="V783" s="88"/>
      <c r="W783" s="88"/>
      <c r="X783" s="88"/>
      <c r="Y783" s="88"/>
      <c r="Z783" s="88"/>
      <c r="AA783" s="88"/>
    </row>
    <row r="784" spans="1:27" ht="13.2">
      <c r="A784" s="88"/>
      <c r="B784" s="88"/>
      <c r="C784" s="88"/>
      <c r="D784" s="88"/>
      <c r="E784" s="88"/>
      <c r="F784" s="88"/>
      <c r="G784" s="88"/>
      <c r="H784" s="88"/>
      <c r="I784" s="88"/>
      <c r="J784" s="88"/>
      <c r="K784" s="88"/>
      <c r="L784" s="88"/>
      <c r="M784" s="88"/>
      <c r="N784" s="88"/>
      <c r="O784" s="88"/>
      <c r="P784" s="88"/>
      <c r="Q784" s="88"/>
      <c r="R784" s="88"/>
      <c r="S784" s="88"/>
      <c r="T784" s="88"/>
      <c r="U784" s="88"/>
      <c r="V784" s="88"/>
      <c r="W784" s="88"/>
      <c r="X784" s="88"/>
      <c r="Y784" s="88"/>
      <c r="Z784" s="88"/>
      <c r="AA784" s="88"/>
    </row>
    <row r="785" spans="1:27" ht="13.2">
      <c r="A785" s="88"/>
      <c r="B785" s="88"/>
      <c r="C785" s="88"/>
      <c r="D785" s="88"/>
      <c r="E785" s="88"/>
      <c r="F785" s="88"/>
      <c r="G785" s="88"/>
      <c r="H785" s="88"/>
      <c r="I785" s="88"/>
      <c r="J785" s="88"/>
      <c r="K785" s="88"/>
      <c r="L785" s="88"/>
      <c r="M785" s="88"/>
      <c r="N785" s="88"/>
      <c r="O785" s="88"/>
      <c r="P785" s="88"/>
      <c r="Q785" s="88"/>
      <c r="R785" s="88"/>
      <c r="S785" s="88"/>
      <c r="T785" s="88"/>
      <c r="U785" s="88"/>
      <c r="V785" s="88"/>
      <c r="W785" s="88"/>
      <c r="X785" s="88"/>
      <c r="Y785" s="88"/>
      <c r="Z785" s="88"/>
      <c r="AA785" s="88"/>
    </row>
    <row r="786" spans="1:27" ht="13.2">
      <c r="A786" s="88"/>
      <c r="B786" s="88"/>
      <c r="C786" s="88"/>
      <c r="D786" s="88"/>
      <c r="E786" s="88"/>
      <c r="F786" s="88"/>
      <c r="G786" s="88"/>
      <c r="H786" s="88"/>
      <c r="I786" s="88"/>
      <c r="J786" s="88"/>
      <c r="K786" s="88"/>
      <c r="L786" s="88"/>
      <c r="M786" s="88"/>
      <c r="N786" s="88"/>
      <c r="O786" s="88"/>
      <c r="P786" s="88"/>
      <c r="Q786" s="88"/>
      <c r="R786" s="88"/>
      <c r="S786" s="88"/>
      <c r="T786" s="88"/>
      <c r="U786" s="88"/>
      <c r="V786" s="88"/>
      <c r="W786" s="88"/>
      <c r="X786" s="88"/>
      <c r="Y786" s="88"/>
      <c r="Z786" s="88"/>
      <c r="AA786" s="88"/>
    </row>
    <row r="787" spans="1:27" ht="13.2">
      <c r="A787" s="88"/>
      <c r="B787" s="88"/>
      <c r="C787" s="88"/>
      <c r="D787" s="88"/>
      <c r="E787" s="88"/>
      <c r="F787" s="88"/>
      <c r="G787" s="88"/>
      <c r="H787" s="88"/>
      <c r="I787" s="88"/>
      <c r="J787" s="88"/>
      <c r="K787" s="88"/>
      <c r="L787" s="88"/>
      <c r="M787" s="88"/>
      <c r="N787" s="88"/>
      <c r="O787" s="88"/>
      <c r="P787" s="88"/>
      <c r="Q787" s="88"/>
      <c r="R787" s="88"/>
      <c r="S787" s="88"/>
      <c r="T787" s="88"/>
      <c r="U787" s="88"/>
      <c r="V787" s="88"/>
      <c r="W787" s="88"/>
      <c r="X787" s="88"/>
      <c r="Y787" s="88"/>
      <c r="Z787" s="88"/>
      <c r="AA787" s="88"/>
    </row>
    <row r="788" spans="1:27" ht="13.2">
      <c r="A788" s="88"/>
      <c r="B788" s="88"/>
      <c r="C788" s="88"/>
      <c r="D788" s="88"/>
      <c r="E788" s="88"/>
      <c r="F788" s="88"/>
      <c r="G788" s="88"/>
      <c r="H788" s="88"/>
      <c r="I788" s="88"/>
      <c r="J788" s="88"/>
      <c r="K788" s="88"/>
      <c r="L788" s="88"/>
      <c r="M788" s="88"/>
      <c r="N788" s="88"/>
      <c r="O788" s="88"/>
      <c r="P788" s="88"/>
      <c r="Q788" s="88"/>
      <c r="R788" s="88"/>
      <c r="S788" s="88"/>
      <c r="T788" s="88"/>
      <c r="U788" s="88"/>
      <c r="V788" s="88"/>
      <c r="W788" s="88"/>
      <c r="X788" s="88"/>
      <c r="Y788" s="88"/>
      <c r="Z788" s="88"/>
      <c r="AA788" s="88"/>
    </row>
    <row r="789" spans="1:27" ht="13.2">
      <c r="A789" s="88"/>
      <c r="B789" s="88"/>
      <c r="C789" s="88"/>
      <c r="D789" s="88"/>
      <c r="E789" s="88"/>
      <c r="F789" s="88"/>
      <c r="G789" s="88"/>
      <c r="H789" s="88"/>
      <c r="I789" s="88"/>
      <c r="J789" s="88"/>
      <c r="K789" s="88"/>
      <c r="L789" s="88"/>
      <c r="M789" s="88"/>
      <c r="N789" s="88"/>
      <c r="O789" s="88"/>
      <c r="P789" s="88"/>
      <c r="Q789" s="88"/>
      <c r="R789" s="88"/>
      <c r="S789" s="88"/>
      <c r="T789" s="88"/>
      <c r="U789" s="88"/>
      <c r="V789" s="88"/>
      <c r="W789" s="88"/>
      <c r="X789" s="88"/>
      <c r="Y789" s="88"/>
      <c r="Z789" s="88"/>
      <c r="AA789" s="88"/>
    </row>
    <row r="790" spans="1:27" ht="13.2">
      <c r="A790" s="88"/>
      <c r="B790" s="88"/>
      <c r="C790" s="88"/>
      <c r="D790" s="88"/>
      <c r="E790" s="88"/>
      <c r="F790" s="88"/>
      <c r="G790" s="88"/>
      <c r="H790" s="88"/>
      <c r="I790" s="88"/>
      <c r="J790" s="88"/>
      <c r="K790" s="88"/>
      <c r="L790" s="88"/>
      <c r="M790" s="88"/>
      <c r="N790" s="88"/>
      <c r="O790" s="88"/>
      <c r="P790" s="88"/>
      <c r="Q790" s="88"/>
      <c r="R790" s="88"/>
      <c r="S790" s="88"/>
      <c r="T790" s="88"/>
      <c r="U790" s="88"/>
      <c r="V790" s="88"/>
      <c r="W790" s="88"/>
      <c r="X790" s="88"/>
      <c r="Y790" s="88"/>
      <c r="Z790" s="88"/>
      <c r="AA790" s="88"/>
    </row>
    <row r="791" spans="1:27" ht="13.2">
      <c r="A791" s="88"/>
      <c r="B791" s="88"/>
      <c r="C791" s="88"/>
      <c r="D791" s="88"/>
      <c r="E791" s="88"/>
      <c r="F791" s="88"/>
      <c r="G791" s="88"/>
      <c r="H791" s="88"/>
      <c r="I791" s="88"/>
      <c r="J791" s="88"/>
      <c r="K791" s="88"/>
      <c r="L791" s="88"/>
      <c r="M791" s="88"/>
      <c r="N791" s="88"/>
      <c r="O791" s="88"/>
      <c r="P791" s="88"/>
      <c r="Q791" s="88"/>
      <c r="R791" s="88"/>
      <c r="S791" s="88"/>
      <c r="T791" s="88"/>
      <c r="U791" s="88"/>
      <c r="V791" s="88"/>
      <c r="W791" s="88"/>
      <c r="X791" s="88"/>
      <c r="Y791" s="88"/>
      <c r="Z791" s="88"/>
      <c r="AA791" s="88"/>
    </row>
    <row r="792" spans="1:27" ht="13.2">
      <c r="A792" s="88"/>
      <c r="B792" s="88"/>
      <c r="C792" s="88"/>
      <c r="D792" s="88"/>
      <c r="E792" s="88"/>
      <c r="F792" s="88"/>
      <c r="G792" s="88"/>
      <c r="H792" s="88"/>
      <c r="I792" s="88"/>
      <c r="J792" s="88"/>
      <c r="K792" s="88"/>
      <c r="L792" s="88"/>
      <c r="M792" s="88"/>
      <c r="N792" s="88"/>
      <c r="O792" s="88"/>
      <c r="P792" s="88"/>
      <c r="Q792" s="88"/>
      <c r="R792" s="88"/>
      <c r="S792" s="88"/>
      <c r="T792" s="88"/>
      <c r="U792" s="88"/>
      <c r="V792" s="88"/>
      <c r="W792" s="88"/>
      <c r="X792" s="88"/>
      <c r="Y792" s="88"/>
      <c r="Z792" s="88"/>
      <c r="AA792" s="88"/>
    </row>
    <row r="793" spans="1:27" ht="13.2">
      <c r="A793" s="88"/>
      <c r="B793" s="88"/>
      <c r="C793" s="88"/>
      <c r="D793" s="88"/>
      <c r="E793" s="88"/>
      <c r="F793" s="88"/>
      <c r="G793" s="88"/>
      <c r="H793" s="88"/>
      <c r="I793" s="88"/>
      <c r="J793" s="88"/>
      <c r="K793" s="88"/>
      <c r="L793" s="88"/>
      <c r="M793" s="88"/>
      <c r="N793" s="88"/>
      <c r="O793" s="88"/>
      <c r="P793" s="88"/>
      <c r="Q793" s="88"/>
      <c r="R793" s="88"/>
      <c r="S793" s="88"/>
      <c r="T793" s="88"/>
      <c r="U793" s="88"/>
      <c r="V793" s="88"/>
      <c r="W793" s="88"/>
      <c r="X793" s="88"/>
      <c r="Y793" s="88"/>
      <c r="Z793" s="88"/>
      <c r="AA793" s="88"/>
    </row>
    <row r="794" spans="1:27" ht="13.2">
      <c r="A794" s="88"/>
      <c r="B794" s="88"/>
      <c r="C794" s="88"/>
      <c r="D794" s="88"/>
      <c r="E794" s="88"/>
      <c r="F794" s="88"/>
      <c r="G794" s="88"/>
      <c r="H794" s="88"/>
      <c r="I794" s="88"/>
      <c r="J794" s="88"/>
      <c r="K794" s="88"/>
      <c r="L794" s="88"/>
      <c r="M794" s="88"/>
      <c r="N794" s="88"/>
      <c r="O794" s="88"/>
      <c r="P794" s="88"/>
      <c r="Q794" s="88"/>
      <c r="R794" s="88"/>
      <c r="S794" s="88"/>
      <c r="T794" s="88"/>
      <c r="U794" s="88"/>
      <c r="V794" s="88"/>
      <c r="W794" s="88"/>
      <c r="X794" s="88"/>
      <c r="Y794" s="88"/>
      <c r="Z794" s="88"/>
      <c r="AA794" s="88"/>
    </row>
    <row r="795" spans="1:27" ht="13.2">
      <c r="A795" s="88"/>
      <c r="B795" s="88"/>
      <c r="C795" s="88"/>
      <c r="D795" s="88"/>
      <c r="E795" s="88"/>
      <c r="F795" s="88"/>
      <c r="G795" s="88"/>
      <c r="H795" s="88"/>
      <c r="I795" s="88"/>
      <c r="J795" s="88"/>
      <c r="K795" s="88"/>
      <c r="L795" s="88"/>
      <c r="M795" s="88"/>
      <c r="N795" s="88"/>
      <c r="O795" s="88"/>
      <c r="P795" s="88"/>
      <c r="Q795" s="88"/>
      <c r="R795" s="88"/>
      <c r="S795" s="88"/>
      <c r="T795" s="88"/>
      <c r="U795" s="88"/>
      <c r="V795" s="88"/>
      <c r="W795" s="88"/>
      <c r="X795" s="88"/>
      <c r="Y795" s="88"/>
      <c r="Z795" s="88"/>
      <c r="AA795" s="88"/>
    </row>
    <row r="796" spans="1:27" ht="13.2">
      <c r="A796" s="88"/>
      <c r="B796" s="88"/>
      <c r="C796" s="88"/>
      <c r="D796" s="88"/>
      <c r="E796" s="88"/>
      <c r="F796" s="88"/>
      <c r="G796" s="88"/>
      <c r="H796" s="88"/>
      <c r="I796" s="88"/>
      <c r="J796" s="88"/>
      <c r="K796" s="88"/>
      <c r="L796" s="88"/>
      <c r="M796" s="88"/>
      <c r="N796" s="88"/>
      <c r="O796" s="88"/>
      <c r="P796" s="88"/>
      <c r="Q796" s="88"/>
      <c r="R796" s="88"/>
      <c r="S796" s="88"/>
      <c r="T796" s="88"/>
      <c r="U796" s="88"/>
      <c r="V796" s="88"/>
      <c r="W796" s="88"/>
      <c r="X796" s="88"/>
      <c r="Y796" s="88"/>
      <c r="Z796" s="88"/>
      <c r="AA796" s="88"/>
    </row>
    <row r="797" spans="1:27" ht="13.2">
      <c r="A797" s="88"/>
      <c r="B797" s="88"/>
      <c r="C797" s="88"/>
      <c r="D797" s="88"/>
      <c r="E797" s="88"/>
      <c r="F797" s="88"/>
      <c r="G797" s="88"/>
      <c r="H797" s="88"/>
      <c r="I797" s="88"/>
      <c r="J797" s="88"/>
      <c r="K797" s="88"/>
      <c r="L797" s="88"/>
      <c r="M797" s="88"/>
      <c r="N797" s="88"/>
      <c r="O797" s="88"/>
      <c r="P797" s="88"/>
      <c r="Q797" s="88"/>
      <c r="R797" s="88"/>
      <c r="S797" s="88"/>
      <c r="T797" s="88"/>
      <c r="U797" s="88"/>
      <c r="V797" s="88"/>
      <c r="W797" s="88"/>
      <c r="X797" s="88"/>
      <c r="Y797" s="88"/>
      <c r="Z797" s="88"/>
      <c r="AA797" s="88"/>
    </row>
    <row r="798" spans="1:27" ht="13.2">
      <c r="A798" s="88"/>
      <c r="B798" s="88"/>
      <c r="C798" s="88"/>
      <c r="D798" s="88"/>
      <c r="E798" s="88"/>
      <c r="F798" s="88"/>
      <c r="G798" s="88"/>
      <c r="H798" s="88"/>
      <c r="I798" s="88"/>
      <c r="J798" s="88"/>
      <c r="K798" s="88"/>
      <c r="L798" s="88"/>
      <c r="M798" s="88"/>
      <c r="N798" s="88"/>
      <c r="O798" s="88"/>
      <c r="P798" s="88"/>
      <c r="Q798" s="88"/>
      <c r="R798" s="88"/>
      <c r="S798" s="88"/>
      <c r="T798" s="88"/>
      <c r="U798" s="88"/>
      <c r="V798" s="88"/>
      <c r="W798" s="88"/>
      <c r="X798" s="88"/>
      <c r="Y798" s="88"/>
      <c r="Z798" s="88"/>
      <c r="AA798" s="88"/>
    </row>
    <row r="799" spans="1:27" ht="13.2">
      <c r="A799" s="88"/>
      <c r="B799" s="88"/>
      <c r="C799" s="88"/>
      <c r="D799" s="88"/>
      <c r="E799" s="88"/>
      <c r="F799" s="88"/>
      <c r="G799" s="88"/>
      <c r="H799" s="88"/>
      <c r="I799" s="88"/>
      <c r="J799" s="88"/>
      <c r="K799" s="88"/>
      <c r="L799" s="88"/>
      <c r="M799" s="88"/>
      <c r="N799" s="88"/>
      <c r="O799" s="88"/>
      <c r="P799" s="88"/>
      <c r="Q799" s="88"/>
      <c r="R799" s="88"/>
      <c r="S799" s="88"/>
      <c r="T799" s="88"/>
      <c r="U799" s="88"/>
      <c r="V799" s="88"/>
      <c r="W799" s="88"/>
      <c r="X799" s="88"/>
      <c r="Y799" s="88"/>
      <c r="Z799" s="88"/>
      <c r="AA799" s="88"/>
    </row>
    <row r="800" spans="1:27" ht="13.2">
      <c r="A800" s="88"/>
      <c r="B800" s="88"/>
      <c r="C800" s="88"/>
      <c r="D800" s="88"/>
      <c r="E800" s="88"/>
      <c r="F800" s="88"/>
      <c r="G800" s="88"/>
      <c r="H800" s="88"/>
      <c r="I800" s="88"/>
      <c r="J800" s="88"/>
      <c r="K800" s="88"/>
      <c r="L800" s="88"/>
      <c r="M800" s="88"/>
      <c r="N800" s="88"/>
      <c r="O800" s="88"/>
      <c r="P800" s="88"/>
      <c r="Q800" s="88"/>
      <c r="R800" s="88"/>
      <c r="S800" s="88"/>
      <c r="T800" s="88"/>
      <c r="U800" s="88"/>
      <c r="V800" s="88"/>
      <c r="W800" s="88"/>
      <c r="X800" s="88"/>
      <c r="Y800" s="88"/>
      <c r="Z800" s="88"/>
      <c r="AA800" s="88"/>
    </row>
    <row r="801" spans="1:27" ht="13.2">
      <c r="A801" s="88"/>
      <c r="B801" s="88"/>
      <c r="C801" s="88"/>
      <c r="D801" s="88"/>
      <c r="E801" s="88"/>
      <c r="F801" s="88"/>
      <c r="G801" s="88"/>
      <c r="H801" s="88"/>
      <c r="I801" s="88"/>
      <c r="J801" s="88"/>
      <c r="K801" s="88"/>
      <c r="L801" s="88"/>
      <c r="M801" s="88"/>
      <c r="N801" s="88"/>
      <c r="O801" s="88"/>
      <c r="P801" s="88"/>
      <c r="Q801" s="88"/>
      <c r="R801" s="88"/>
      <c r="S801" s="88"/>
      <c r="T801" s="88"/>
      <c r="U801" s="88"/>
      <c r="V801" s="88"/>
      <c r="W801" s="88"/>
      <c r="X801" s="88"/>
      <c r="Y801" s="88"/>
      <c r="Z801" s="88"/>
      <c r="AA801" s="88"/>
    </row>
    <row r="802" spans="1:27" ht="13.2">
      <c r="A802" s="88"/>
      <c r="B802" s="88"/>
      <c r="C802" s="88"/>
      <c r="D802" s="88"/>
      <c r="E802" s="88"/>
      <c r="F802" s="88"/>
      <c r="G802" s="88"/>
      <c r="H802" s="88"/>
      <c r="I802" s="88"/>
      <c r="J802" s="88"/>
      <c r="K802" s="88"/>
      <c r="L802" s="88"/>
      <c r="M802" s="88"/>
      <c r="N802" s="88"/>
      <c r="O802" s="88"/>
      <c r="P802" s="88"/>
      <c r="Q802" s="88"/>
      <c r="R802" s="88"/>
      <c r="S802" s="88"/>
      <c r="T802" s="88"/>
      <c r="U802" s="88"/>
      <c r="V802" s="88"/>
      <c r="W802" s="88"/>
      <c r="X802" s="88"/>
      <c r="Y802" s="88"/>
      <c r="Z802" s="88"/>
      <c r="AA802" s="88"/>
    </row>
    <row r="803" spans="1:27" ht="13.2">
      <c r="A803" s="88"/>
      <c r="B803" s="88"/>
      <c r="C803" s="88"/>
      <c r="D803" s="88"/>
      <c r="E803" s="88"/>
      <c r="F803" s="88"/>
      <c r="G803" s="88"/>
      <c r="H803" s="88"/>
      <c r="I803" s="88"/>
      <c r="J803" s="88"/>
      <c r="K803" s="88"/>
      <c r="L803" s="88"/>
      <c r="M803" s="88"/>
      <c r="N803" s="88"/>
      <c r="O803" s="88"/>
      <c r="P803" s="88"/>
      <c r="Q803" s="88"/>
      <c r="R803" s="88"/>
      <c r="S803" s="88"/>
      <c r="T803" s="88"/>
      <c r="U803" s="88"/>
      <c r="V803" s="88"/>
      <c r="W803" s="88"/>
      <c r="X803" s="88"/>
      <c r="Y803" s="88"/>
      <c r="Z803" s="88"/>
      <c r="AA803" s="88"/>
    </row>
    <row r="804" spans="1:27" ht="13.2">
      <c r="A804" s="88"/>
      <c r="B804" s="88"/>
      <c r="C804" s="88"/>
      <c r="D804" s="88"/>
      <c r="E804" s="88"/>
      <c r="F804" s="88"/>
      <c r="G804" s="88"/>
      <c r="H804" s="88"/>
      <c r="I804" s="88"/>
      <c r="J804" s="88"/>
      <c r="K804" s="88"/>
      <c r="L804" s="88"/>
      <c r="M804" s="88"/>
      <c r="N804" s="88"/>
      <c r="O804" s="88"/>
      <c r="P804" s="88"/>
      <c r="Q804" s="88"/>
      <c r="R804" s="88"/>
      <c r="S804" s="88"/>
      <c r="T804" s="88"/>
      <c r="U804" s="88"/>
      <c r="V804" s="88"/>
      <c r="W804" s="88"/>
      <c r="X804" s="88"/>
      <c r="Y804" s="88"/>
      <c r="Z804" s="88"/>
      <c r="AA804" s="88"/>
    </row>
    <row r="805" spans="1:27" ht="13.2">
      <c r="A805" s="88"/>
      <c r="B805" s="88"/>
      <c r="C805" s="88"/>
      <c r="D805" s="88"/>
      <c r="E805" s="88"/>
      <c r="F805" s="88"/>
      <c r="G805" s="88"/>
      <c r="H805" s="88"/>
      <c r="I805" s="88"/>
      <c r="J805" s="88"/>
      <c r="K805" s="88"/>
      <c r="L805" s="88"/>
      <c r="M805" s="88"/>
      <c r="N805" s="88"/>
      <c r="O805" s="88"/>
      <c r="P805" s="88"/>
      <c r="Q805" s="88"/>
      <c r="R805" s="88"/>
      <c r="S805" s="88"/>
      <c r="T805" s="88"/>
      <c r="U805" s="88"/>
      <c r="V805" s="88"/>
      <c r="W805" s="88"/>
      <c r="X805" s="88"/>
      <c r="Y805" s="88"/>
      <c r="Z805" s="88"/>
      <c r="AA805" s="88"/>
    </row>
    <row r="806" spans="1:27" ht="13.2">
      <c r="A806" s="88"/>
      <c r="B806" s="88"/>
      <c r="C806" s="88"/>
      <c r="D806" s="88"/>
      <c r="E806" s="88"/>
      <c r="F806" s="88"/>
      <c r="G806" s="88"/>
      <c r="H806" s="88"/>
      <c r="I806" s="88"/>
      <c r="J806" s="88"/>
      <c r="K806" s="88"/>
      <c r="L806" s="88"/>
      <c r="M806" s="88"/>
      <c r="N806" s="88"/>
      <c r="O806" s="88"/>
      <c r="P806" s="88"/>
      <c r="Q806" s="88"/>
      <c r="R806" s="88"/>
      <c r="S806" s="88"/>
      <c r="T806" s="88"/>
      <c r="U806" s="88"/>
      <c r="V806" s="88"/>
      <c r="W806" s="88"/>
      <c r="X806" s="88"/>
      <c r="Y806" s="88"/>
      <c r="Z806" s="88"/>
      <c r="AA806" s="88"/>
    </row>
    <row r="807" spans="1:27" ht="13.2">
      <c r="A807" s="88"/>
      <c r="B807" s="88"/>
      <c r="C807" s="88"/>
      <c r="D807" s="88"/>
      <c r="E807" s="88"/>
      <c r="F807" s="88"/>
      <c r="G807" s="88"/>
      <c r="H807" s="88"/>
      <c r="I807" s="88"/>
      <c r="J807" s="88"/>
      <c r="K807" s="88"/>
      <c r="L807" s="88"/>
      <c r="M807" s="88"/>
      <c r="N807" s="88"/>
      <c r="O807" s="88"/>
      <c r="P807" s="88"/>
      <c r="Q807" s="88"/>
      <c r="R807" s="88"/>
      <c r="S807" s="88"/>
      <c r="T807" s="88"/>
      <c r="U807" s="88"/>
      <c r="V807" s="88"/>
      <c r="W807" s="88"/>
      <c r="X807" s="88"/>
      <c r="Y807" s="88"/>
      <c r="Z807" s="88"/>
      <c r="AA807" s="88"/>
    </row>
    <row r="808" spans="1:27" ht="13.2">
      <c r="A808" s="88"/>
      <c r="B808" s="88"/>
      <c r="C808" s="88"/>
      <c r="D808" s="88"/>
      <c r="E808" s="88"/>
      <c r="F808" s="88"/>
      <c r="G808" s="88"/>
      <c r="H808" s="88"/>
      <c r="I808" s="88"/>
      <c r="J808" s="88"/>
      <c r="K808" s="88"/>
      <c r="L808" s="88"/>
      <c r="M808" s="88"/>
      <c r="N808" s="88"/>
      <c r="O808" s="88"/>
      <c r="P808" s="88"/>
      <c r="Q808" s="88"/>
      <c r="R808" s="88"/>
      <c r="S808" s="88"/>
      <c r="T808" s="88"/>
      <c r="U808" s="88"/>
      <c r="V808" s="88"/>
      <c r="W808" s="88"/>
      <c r="X808" s="88"/>
      <c r="Y808" s="88"/>
      <c r="Z808" s="88"/>
      <c r="AA808" s="88"/>
    </row>
    <row r="809" spans="1:27" ht="13.2">
      <c r="A809" s="88"/>
      <c r="B809" s="88"/>
      <c r="C809" s="88"/>
      <c r="D809" s="88"/>
      <c r="E809" s="88"/>
      <c r="F809" s="88"/>
      <c r="G809" s="88"/>
      <c r="H809" s="88"/>
      <c r="I809" s="88"/>
      <c r="J809" s="88"/>
      <c r="K809" s="88"/>
      <c r="L809" s="88"/>
      <c r="M809" s="88"/>
      <c r="N809" s="88"/>
      <c r="O809" s="88"/>
      <c r="P809" s="88"/>
      <c r="Q809" s="88"/>
      <c r="R809" s="88"/>
      <c r="S809" s="88"/>
      <c r="T809" s="88"/>
      <c r="U809" s="88"/>
      <c r="V809" s="88"/>
      <c r="W809" s="88"/>
      <c r="X809" s="88"/>
      <c r="Y809" s="88"/>
      <c r="Z809" s="88"/>
      <c r="AA809" s="88"/>
    </row>
    <row r="810" spans="1:27" ht="13.2">
      <c r="A810" s="88"/>
      <c r="B810" s="88"/>
      <c r="C810" s="88"/>
      <c r="D810" s="88"/>
      <c r="E810" s="88"/>
      <c r="F810" s="88"/>
      <c r="G810" s="88"/>
      <c r="H810" s="88"/>
      <c r="I810" s="88"/>
      <c r="J810" s="88"/>
      <c r="K810" s="88"/>
      <c r="L810" s="88"/>
      <c r="M810" s="88"/>
      <c r="N810" s="88"/>
      <c r="O810" s="88"/>
      <c r="P810" s="88"/>
      <c r="Q810" s="88"/>
      <c r="R810" s="88"/>
      <c r="S810" s="88"/>
      <c r="T810" s="88"/>
      <c r="U810" s="88"/>
      <c r="V810" s="88"/>
      <c r="W810" s="88"/>
      <c r="X810" s="88"/>
      <c r="Y810" s="88"/>
      <c r="Z810" s="88"/>
      <c r="AA810" s="88"/>
    </row>
    <row r="811" spans="1:27" ht="13.2">
      <c r="A811" s="88"/>
      <c r="B811" s="88"/>
      <c r="C811" s="88"/>
      <c r="D811" s="88"/>
      <c r="E811" s="88"/>
      <c r="F811" s="88"/>
      <c r="G811" s="88"/>
      <c r="H811" s="88"/>
      <c r="I811" s="88"/>
      <c r="J811" s="88"/>
      <c r="K811" s="88"/>
      <c r="L811" s="88"/>
      <c r="M811" s="88"/>
      <c r="N811" s="88"/>
      <c r="O811" s="88"/>
      <c r="P811" s="88"/>
      <c r="Q811" s="88"/>
      <c r="R811" s="88"/>
      <c r="S811" s="88"/>
      <c r="T811" s="88"/>
      <c r="U811" s="88"/>
      <c r="V811" s="88"/>
      <c r="W811" s="88"/>
      <c r="X811" s="88"/>
      <c r="Y811" s="88"/>
      <c r="Z811" s="88"/>
      <c r="AA811" s="88"/>
    </row>
    <row r="812" spans="1:27" ht="13.2">
      <c r="A812" s="88"/>
      <c r="B812" s="88"/>
      <c r="C812" s="88"/>
      <c r="D812" s="88"/>
      <c r="E812" s="88"/>
      <c r="F812" s="88"/>
      <c r="G812" s="88"/>
      <c r="H812" s="88"/>
      <c r="I812" s="88"/>
      <c r="J812" s="88"/>
      <c r="K812" s="88"/>
      <c r="L812" s="88"/>
      <c r="M812" s="88"/>
      <c r="N812" s="88"/>
      <c r="O812" s="88"/>
      <c r="P812" s="88"/>
      <c r="Q812" s="88"/>
      <c r="R812" s="88"/>
      <c r="S812" s="88"/>
      <c r="T812" s="88"/>
      <c r="U812" s="88"/>
      <c r="V812" s="88"/>
      <c r="W812" s="88"/>
      <c r="X812" s="88"/>
      <c r="Y812" s="88"/>
      <c r="Z812" s="88"/>
      <c r="AA812" s="88"/>
    </row>
    <row r="813" spans="1:27" ht="13.2">
      <c r="A813" s="88"/>
      <c r="B813" s="88"/>
      <c r="C813" s="88"/>
      <c r="D813" s="88"/>
      <c r="E813" s="88"/>
      <c r="F813" s="88"/>
      <c r="G813" s="88"/>
      <c r="H813" s="88"/>
      <c r="I813" s="88"/>
      <c r="J813" s="88"/>
      <c r="K813" s="88"/>
      <c r="L813" s="88"/>
      <c r="M813" s="88"/>
      <c r="N813" s="88"/>
      <c r="O813" s="88"/>
      <c r="P813" s="88"/>
      <c r="Q813" s="88"/>
      <c r="R813" s="88"/>
      <c r="S813" s="88"/>
      <c r="T813" s="88"/>
      <c r="U813" s="88"/>
      <c r="V813" s="88"/>
      <c r="W813" s="88"/>
      <c r="X813" s="88"/>
      <c r="Y813" s="88"/>
      <c r="Z813" s="88"/>
      <c r="AA813" s="88"/>
    </row>
    <row r="814" spans="1:27" ht="13.2">
      <c r="A814" s="88"/>
      <c r="B814" s="88"/>
      <c r="C814" s="88"/>
      <c r="D814" s="88"/>
      <c r="E814" s="88"/>
      <c r="F814" s="88"/>
      <c r="G814" s="88"/>
      <c r="H814" s="88"/>
      <c r="I814" s="88"/>
      <c r="J814" s="88"/>
      <c r="K814" s="88"/>
      <c r="L814" s="88"/>
      <c r="M814" s="88"/>
      <c r="N814" s="88"/>
      <c r="O814" s="88"/>
      <c r="P814" s="88"/>
      <c r="Q814" s="88"/>
      <c r="R814" s="88"/>
      <c r="S814" s="88"/>
      <c r="T814" s="88"/>
      <c r="U814" s="88"/>
      <c r="V814" s="88"/>
      <c r="W814" s="88"/>
      <c r="X814" s="88"/>
      <c r="Y814" s="88"/>
      <c r="Z814" s="88"/>
      <c r="AA814" s="88"/>
    </row>
    <row r="815" spans="1:27" ht="13.2">
      <c r="A815" s="88"/>
      <c r="B815" s="88"/>
      <c r="C815" s="88"/>
      <c r="D815" s="88"/>
      <c r="E815" s="88"/>
      <c r="F815" s="88"/>
      <c r="G815" s="88"/>
      <c r="H815" s="88"/>
      <c r="I815" s="88"/>
      <c r="J815" s="88"/>
      <c r="K815" s="88"/>
      <c r="L815" s="88"/>
      <c r="M815" s="88"/>
      <c r="N815" s="88"/>
      <c r="O815" s="88"/>
      <c r="P815" s="88"/>
      <c r="Q815" s="88"/>
      <c r="R815" s="88"/>
      <c r="S815" s="88"/>
      <c r="T815" s="88"/>
      <c r="U815" s="88"/>
      <c r="V815" s="88"/>
      <c r="W815" s="88"/>
      <c r="X815" s="88"/>
      <c r="Y815" s="88"/>
      <c r="Z815" s="88"/>
      <c r="AA815" s="88"/>
    </row>
    <row r="816" spans="1:27" ht="13.2">
      <c r="A816" s="88"/>
      <c r="B816" s="88"/>
      <c r="C816" s="88"/>
      <c r="D816" s="88"/>
      <c r="E816" s="88"/>
      <c r="F816" s="88"/>
      <c r="G816" s="88"/>
      <c r="H816" s="88"/>
      <c r="I816" s="88"/>
      <c r="J816" s="88"/>
      <c r="K816" s="88"/>
      <c r="L816" s="88"/>
      <c r="M816" s="88"/>
      <c r="N816" s="88"/>
      <c r="O816" s="88"/>
      <c r="P816" s="88"/>
      <c r="Q816" s="88"/>
      <c r="R816" s="88"/>
      <c r="S816" s="88"/>
      <c r="T816" s="88"/>
      <c r="U816" s="88"/>
      <c r="V816" s="88"/>
      <c r="W816" s="88"/>
      <c r="X816" s="88"/>
      <c r="Y816" s="88"/>
      <c r="Z816" s="88"/>
      <c r="AA816" s="88"/>
    </row>
    <row r="817" spans="1:27" ht="13.2">
      <c r="A817" s="88"/>
      <c r="B817" s="88"/>
      <c r="C817" s="88"/>
      <c r="D817" s="88"/>
      <c r="E817" s="88"/>
      <c r="F817" s="88"/>
      <c r="G817" s="88"/>
      <c r="H817" s="88"/>
      <c r="I817" s="88"/>
      <c r="J817" s="88"/>
      <c r="K817" s="88"/>
      <c r="L817" s="88"/>
      <c r="M817" s="88"/>
      <c r="N817" s="88"/>
      <c r="O817" s="88"/>
      <c r="P817" s="88"/>
      <c r="Q817" s="88"/>
      <c r="R817" s="88"/>
      <c r="S817" s="88"/>
      <c r="T817" s="88"/>
      <c r="U817" s="88"/>
      <c r="V817" s="88"/>
      <c r="W817" s="88"/>
      <c r="X817" s="88"/>
      <c r="Y817" s="88"/>
      <c r="Z817" s="88"/>
      <c r="AA817" s="88"/>
    </row>
    <row r="818" spans="1:27" ht="13.2">
      <c r="A818" s="88"/>
      <c r="B818" s="88"/>
      <c r="C818" s="88"/>
      <c r="D818" s="88"/>
      <c r="E818" s="88"/>
      <c r="F818" s="88"/>
      <c r="G818" s="88"/>
      <c r="H818" s="88"/>
      <c r="I818" s="88"/>
      <c r="J818" s="88"/>
      <c r="K818" s="88"/>
      <c r="L818" s="88"/>
      <c r="M818" s="88"/>
      <c r="N818" s="88"/>
      <c r="O818" s="88"/>
      <c r="P818" s="88"/>
      <c r="Q818" s="88"/>
      <c r="R818" s="88"/>
      <c r="S818" s="88"/>
      <c r="T818" s="88"/>
      <c r="U818" s="88"/>
      <c r="V818" s="88"/>
      <c r="W818" s="88"/>
      <c r="X818" s="88"/>
      <c r="Y818" s="88"/>
      <c r="Z818" s="88"/>
      <c r="AA818" s="88"/>
    </row>
    <row r="819" spans="1:27" ht="13.2">
      <c r="A819" s="88"/>
      <c r="B819" s="88"/>
      <c r="C819" s="88"/>
      <c r="D819" s="88"/>
      <c r="E819" s="88"/>
      <c r="F819" s="88"/>
      <c r="G819" s="88"/>
      <c r="H819" s="88"/>
      <c r="I819" s="88"/>
      <c r="J819" s="88"/>
      <c r="K819" s="88"/>
      <c r="L819" s="88"/>
      <c r="M819" s="88"/>
      <c r="N819" s="88"/>
      <c r="O819" s="88"/>
      <c r="P819" s="88"/>
      <c r="Q819" s="88"/>
      <c r="R819" s="88"/>
      <c r="S819" s="88"/>
      <c r="T819" s="88"/>
      <c r="U819" s="88"/>
      <c r="V819" s="88"/>
      <c r="W819" s="88"/>
      <c r="X819" s="88"/>
      <c r="Y819" s="88"/>
      <c r="Z819" s="88"/>
      <c r="AA819" s="88"/>
    </row>
    <row r="820" spans="1:27" ht="13.2">
      <c r="A820" s="88"/>
      <c r="B820" s="88"/>
      <c r="C820" s="88"/>
      <c r="D820" s="88"/>
      <c r="E820" s="88"/>
      <c r="F820" s="88"/>
      <c r="G820" s="88"/>
      <c r="H820" s="88"/>
      <c r="I820" s="88"/>
      <c r="J820" s="88"/>
      <c r="K820" s="88"/>
      <c r="L820" s="88"/>
      <c r="M820" s="88"/>
      <c r="N820" s="88"/>
      <c r="O820" s="88"/>
      <c r="P820" s="88"/>
      <c r="Q820" s="88"/>
      <c r="R820" s="88"/>
      <c r="S820" s="88"/>
      <c r="T820" s="88"/>
      <c r="U820" s="88"/>
      <c r="V820" s="88"/>
      <c r="W820" s="88"/>
      <c r="X820" s="88"/>
      <c r="Y820" s="88"/>
      <c r="Z820" s="88"/>
      <c r="AA820" s="88"/>
    </row>
    <row r="821" spans="1:27" ht="13.2">
      <c r="A821" s="88"/>
      <c r="B821" s="88"/>
      <c r="C821" s="88"/>
      <c r="D821" s="88"/>
      <c r="E821" s="88"/>
      <c r="F821" s="88"/>
      <c r="G821" s="88"/>
      <c r="H821" s="88"/>
      <c r="I821" s="88"/>
      <c r="J821" s="88"/>
      <c r="K821" s="88"/>
      <c r="L821" s="88"/>
      <c r="M821" s="88"/>
      <c r="N821" s="88"/>
      <c r="O821" s="88"/>
      <c r="P821" s="88"/>
      <c r="Q821" s="88"/>
      <c r="R821" s="88"/>
      <c r="S821" s="88"/>
      <c r="T821" s="88"/>
      <c r="U821" s="88"/>
      <c r="V821" s="88"/>
      <c r="W821" s="88"/>
      <c r="X821" s="88"/>
      <c r="Y821" s="88"/>
      <c r="Z821" s="88"/>
      <c r="AA821" s="88"/>
    </row>
    <row r="822" spans="1:27" ht="13.2">
      <c r="A822" s="88"/>
      <c r="B822" s="88"/>
      <c r="C822" s="88"/>
      <c r="D822" s="88"/>
      <c r="E822" s="88"/>
      <c r="F822" s="88"/>
      <c r="G822" s="88"/>
      <c r="H822" s="88"/>
      <c r="I822" s="88"/>
      <c r="J822" s="88"/>
      <c r="K822" s="88"/>
      <c r="L822" s="88"/>
      <c r="M822" s="88"/>
      <c r="N822" s="88"/>
      <c r="O822" s="88"/>
      <c r="P822" s="88"/>
      <c r="Q822" s="88"/>
      <c r="R822" s="88"/>
      <c r="S822" s="88"/>
      <c r="T822" s="88"/>
      <c r="U822" s="88"/>
      <c r="V822" s="88"/>
      <c r="W822" s="88"/>
      <c r="X822" s="88"/>
      <c r="Y822" s="88"/>
      <c r="Z822" s="88"/>
      <c r="AA822" s="88"/>
    </row>
    <row r="823" spans="1:27" ht="13.2">
      <c r="A823" s="88"/>
      <c r="B823" s="88"/>
      <c r="C823" s="88"/>
      <c r="D823" s="88"/>
      <c r="E823" s="88"/>
      <c r="F823" s="88"/>
      <c r="G823" s="88"/>
      <c r="H823" s="88"/>
      <c r="I823" s="88"/>
      <c r="J823" s="88"/>
      <c r="K823" s="88"/>
      <c r="L823" s="88"/>
      <c r="M823" s="88"/>
      <c r="N823" s="88"/>
      <c r="O823" s="88"/>
      <c r="P823" s="88"/>
      <c r="Q823" s="88"/>
      <c r="R823" s="88"/>
      <c r="S823" s="88"/>
      <c r="T823" s="88"/>
      <c r="U823" s="88"/>
      <c r="V823" s="88"/>
      <c r="W823" s="88"/>
      <c r="X823" s="88"/>
      <c r="Y823" s="88"/>
      <c r="Z823" s="88"/>
      <c r="AA823" s="88"/>
    </row>
    <row r="824" spans="1:27" ht="13.2">
      <c r="A824" s="88"/>
      <c r="B824" s="88"/>
      <c r="C824" s="88"/>
      <c r="D824" s="88"/>
      <c r="E824" s="88"/>
      <c r="F824" s="88"/>
      <c r="G824" s="88"/>
      <c r="H824" s="88"/>
      <c r="I824" s="88"/>
      <c r="J824" s="88"/>
      <c r="K824" s="88"/>
      <c r="L824" s="88"/>
      <c r="M824" s="88"/>
      <c r="N824" s="88"/>
      <c r="O824" s="88"/>
      <c r="P824" s="88"/>
      <c r="Q824" s="88"/>
      <c r="R824" s="88"/>
      <c r="S824" s="88"/>
      <c r="T824" s="88"/>
      <c r="U824" s="88"/>
      <c r="V824" s="88"/>
      <c r="W824" s="88"/>
      <c r="X824" s="88"/>
      <c r="Y824" s="88"/>
      <c r="Z824" s="88"/>
      <c r="AA824" s="88"/>
    </row>
    <row r="825" spans="1:27" ht="13.2">
      <c r="A825" s="88"/>
      <c r="B825" s="88"/>
      <c r="C825" s="88"/>
      <c r="D825" s="88"/>
      <c r="E825" s="88"/>
      <c r="F825" s="88"/>
      <c r="G825" s="88"/>
      <c r="H825" s="88"/>
      <c r="I825" s="88"/>
      <c r="J825" s="88"/>
      <c r="K825" s="88"/>
      <c r="L825" s="88"/>
      <c r="M825" s="88"/>
      <c r="N825" s="88"/>
      <c r="O825" s="88"/>
      <c r="P825" s="88"/>
      <c r="Q825" s="88"/>
      <c r="R825" s="88"/>
      <c r="S825" s="88"/>
      <c r="T825" s="88"/>
      <c r="U825" s="88"/>
      <c r="V825" s="88"/>
      <c r="W825" s="88"/>
      <c r="X825" s="88"/>
      <c r="Y825" s="88"/>
      <c r="Z825" s="88"/>
      <c r="AA825" s="88"/>
    </row>
    <row r="826" spans="1:27" ht="13.2">
      <c r="A826" s="88"/>
      <c r="B826" s="88"/>
      <c r="C826" s="88"/>
      <c r="D826" s="88"/>
      <c r="E826" s="88"/>
      <c r="F826" s="88"/>
      <c r="G826" s="88"/>
      <c r="H826" s="88"/>
      <c r="I826" s="88"/>
      <c r="J826" s="88"/>
      <c r="K826" s="88"/>
      <c r="L826" s="88"/>
      <c r="M826" s="88"/>
      <c r="N826" s="88"/>
      <c r="O826" s="88"/>
      <c r="P826" s="88"/>
      <c r="Q826" s="88"/>
      <c r="R826" s="88"/>
      <c r="S826" s="88"/>
      <c r="T826" s="88"/>
      <c r="U826" s="88"/>
      <c r="V826" s="88"/>
      <c r="W826" s="88"/>
      <c r="X826" s="88"/>
      <c r="Y826" s="88"/>
      <c r="Z826" s="88"/>
      <c r="AA826" s="88"/>
    </row>
    <row r="827" spans="1:27" ht="13.2">
      <c r="A827" s="88"/>
      <c r="B827" s="88"/>
      <c r="C827" s="88"/>
      <c r="D827" s="88"/>
      <c r="E827" s="88"/>
      <c r="F827" s="88"/>
      <c r="G827" s="88"/>
      <c r="H827" s="88"/>
      <c r="I827" s="88"/>
      <c r="J827" s="88"/>
      <c r="K827" s="88"/>
      <c r="L827" s="88"/>
      <c r="M827" s="88"/>
      <c r="N827" s="88"/>
      <c r="O827" s="88"/>
      <c r="P827" s="88"/>
      <c r="Q827" s="88"/>
      <c r="R827" s="88"/>
      <c r="S827" s="88"/>
      <c r="T827" s="88"/>
      <c r="U827" s="88"/>
      <c r="V827" s="88"/>
      <c r="W827" s="88"/>
      <c r="X827" s="88"/>
      <c r="Y827" s="88"/>
      <c r="Z827" s="88"/>
      <c r="AA827" s="88"/>
    </row>
    <row r="828" spans="1:27" ht="13.2">
      <c r="A828" s="88"/>
      <c r="B828" s="88"/>
      <c r="C828" s="88"/>
      <c r="D828" s="88"/>
      <c r="E828" s="88"/>
      <c r="F828" s="88"/>
      <c r="G828" s="88"/>
      <c r="H828" s="88"/>
      <c r="I828" s="88"/>
      <c r="J828" s="88"/>
      <c r="K828" s="88"/>
      <c r="L828" s="88"/>
      <c r="M828" s="88"/>
      <c r="N828" s="88"/>
      <c r="O828" s="88"/>
      <c r="P828" s="88"/>
      <c r="Q828" s="88"/>
      <c r="R828" s="88"/>
      <c r="S828" s="88"/>
      <c r="T828" s="88"/>
      <c r="U828" s="88"/>
      <c r="V828" s="88"/>
      <c r="W828" s="88"/>
      <c r="X828" s="88"/>
      <c r="Y828" s="88"/>
      <c r="Z828" s="88"/>
      <c r="AA828" s="88"/>
    </row>
    <row r="829" spans="1:27" ht="13.2">
      <c r="A829" s="88"/>
      <c r="B829" s="88"/>
      <c r="C829" s="88"/>
      <c r="D829" s="88"/>
      <c r="E829" s="88"/>
      <c r="F829" s="88"/>
      <c r="G829" s="88"/>
      <c r="H829" s="88"/>
      <c r="I829" s="88"/>
      <c r="J829" s="88"/>
      <c r="K829" s="88"/>
      <c r="L829" s="88"/>
      <c r="M829" s="88"/>
      <c r="N829" s="88"/>
      <c r="O829" s="88"/>
      <c r="P829" s="88"/>
      <c r="Q829" s="88"/>
      <c r="R829" s="88"/>
      <c r="S829" s="88"/>
      <c r="T829" s="88"/>
      <c r="U829" s="88"/>
      <c r="V829" s="88"/>
      <c r="W829" s="88"/>
      <c r="X829" s="88"/>
      <c r="Y829" s="88"/>
      <c r="Z829" s="88"/>
      <c r="AA829" s="88"/>
    </row>
    <row r="830" spans="1:27" ht="13.2">
      <c r="A830" s="88"/>
      <c r="B830" s="88"/>
      <c r="C830" s="88"/>
      <c r="D830" s="88"/>
      <c r="E830" s="88"/>
      <c r="F830" s="88"/>
      <c r="G830" s="88"/>
      <c r="H830" s="88"/>
      <c r="I830" s="88"/>
      <c r="J830" s="88"/>
      <c r="K830" s="88"/>
      <c r="L830" s="88"/>
      <c r="M830" s="88"/>
      <c r="N830" s="88"/>
      <c r="O830" s="88"/>
      <c r="P830" s="88"/>
      <c r="Q830" s="88"/>
      <c r="R830" s="88"/>
      <c r="S830" s="88"/>
      <c r="T830" s="88"/>
      <c r="U830" s="88"/>
      <c r="V830" s="88"/>
      <c r="W830" s="88"/>
      <c r="X830" s="88"/>
      <c r="Y830" s="88"/>
      <c r="Z830" s="88"/>
      <c r="AA830" s="88"/>
    </row>
    <row r="831" spans="1:27" ht="13.2">
      <c r="A831" s="88"/>
      <c r="B831" s="88"/>
      <c r="C831" s="88"/>
      <c r="D831" s="88"/>
      <c r="E831" s="88"/>
      <c r="F831" s="88"/>
      <c r="G831" s="88"/>
      <c r="H831" s="88"/>
      <c r="I831" s="88"/>
      <c r="J831" s="88"/>
      <c r="K831" s="88"/>
      <c r="L831" s="88"/>
      <c r="M831" s="88"/>
      <c r="N831" s="88"/>
      <c r="O831" s="88"/>
      <c r="P831" s="88"/>
      <c r="Q831" s="88"/>
      <c r="R831" s="88"/>
      <c r="S831" s="88"/>
      <c r="T831" s="88"/>
      <c r="U831" s="88"/>
      <c r="V831" s="88"/>
      <c r="W831" s="88"/>
      <c r="X831" s="88"/>
      <c r="Y831" s="88"/>
      <c r="Z831" s="88"/>
      <c r="AA831" s="88"/>
    </row>
    <row r="832" spans="1:27" ht="13.2">
      <c r="A832" s="88"/>
      <c r="B832" s="88"/>
      <c r="C832" s="88"/>
      <c r="D832" s="88"/>
      <c r="E832" s="88"/>
      <c r="F832" s="88"/>
      <c r="G832" s="88"/>
      <c r="H832" s="88"/>
      <c r="I832" s="88"/>
      <c r="J832" s="88"/>
      <c r="K832" s="88"/>
      <c r="L832" s="88"/>
      <c r="M832" s="88"/>
      <c r="N832" s="88"/>
      <c r="O832" s="88"/>
      <c r="P832" s="88"/>
      <c r="Q832" s="88"/>
      <c r="R832" s="88"/>
      <c r="S832" s="88"/>
      <c r="T832" s="88"/>
      <c r="U832" s="88"/>
      <c r="V832" s="88"/>
      <c r="W832" s="88"/>
      <c r="X832" s="88"/>
      <c r="Y832" s="88"/>
      <c r="Z832" s="88"/>
      <c r="AA832" s="88"/>
    </row>
    <row r="833" spans="1:27" ht="13.2">
      <c r="A833" s="88"/>
      <c r="B833" s="88"/>
      <c r="C833" s="88"/>
      <c r="D833" s="88"/>
      <c r="E833" s="88"/>
      <c r="F833" s="88"/>
      <c r="G833" s="88"/>
      <c r="H833" s="88"/>
      <c r="I833" s="88"/>
      <c r="J833" s="88"/>
      <c r="K833" s="88"/>
      <c r="L833" s="88"/>
      <c r="M833" s="88"/>
      <c r="N833" s="88"/>
      <c r="O833" s="88"/>
      <c r="P833" s="88"/>
      <c r="Q833" s="88"/>
      <c r="R833" s="88"/>
      <c r="S833" s="88"/>
      <c r="T833" s="88"/>
      <c r="U833" s="88"/>
      <c r="V833" s="88"/>
      <c r="W833" s="88"/>
      <c r="X833" s="88"/>
      <c r="Y833" s="88"/>
      <c r="Z833" s="88"/>
      <c r="AA833" s="88"/>
    </row>
    <row r="834" spans="1:27" ht="13.2">
      <c r="A834" s="88"/>
      <c r="B834" s="88"/>
      <c r="C834" s="88"/>
      <c r="D834" s="88"/>
      <c r="E834" s="88"/>
      <c r="F834" s="88"/>
      <c r="G834" s="88"/>
      <c r="H834" s="88"/>
      <c r="I834" s="88"/>
      <c r="J834" s="88"/>
      <c r="K834" s="88"/>
      <c r="L834" s="88"/>
      <c r="M834" s="88"/>
      <c r="N834" s="88"/>
      <c r="O834" s="88"/>
      <c r="P834" s="88"/>
      <c r="Q834" s="88"/>
      <c r="R834" s="88"/>
      <c r="S834" s="88"/>
      <c r="T834" s="88"/>
      <c r="U834" s="88"/>
      <c r="V834" s="88"/>
      <c r="W834" s="88"/>
      <c r="X834" s="88"/>
      <c r="Y834" s="88"/>
      <c r="Z834" s="88"/>
      <c r="AA834" s="88"/>
    </row>
    <row r="835" spans="1:27" ht="13.2">
      <c r="A835" s="88"/>
      <c r="B835" s="88"/>
      <c r="C835" s="88"/>
      <c r="D835" s="88"/>
      <c r="E835" s="88"/>
      <c r="F835" s="88"/>
      <c r="G835" s="88"/>
      <c r="H835" s="88"/>
      <c r="I835" s="88"/>
      <c r="J835" s="88"/>
      <c r="K835" s="88"/>
      <c r="L835" s="88"/>
      <c r="M835" s="88"/>
      <c r="N835" s="88"/>
      <c r="O835" s="88"/>
      <c r="P835" s="88"/>
      <c r="Q835" s="88"/>
      <c r="R835" s="88"/>
      <c r="S835" s="88"/>
      <c r="T835" s="88"/>
      <c r="U835" s="88"/>
      <c r="V835" s="88"/>
      <c r="W835" s="88"/>
      <c r="X835" s="88"/>
      <c r="Y835" s="88"/>
      <c r="Z835" s="88"/>
      <c r="AA835" s="88"/>
    </row>
    <row r="836" spans="1:27" ht="13.2">
      <c r="A836" s="88"/>
      <c r="B836" s="88"/>
      <c r="C836" s="88"/>
      <c r="D836" s="88"/>
      <c r="E836" s="88"/>
      <c r="F836" s="88"/>
      <c r="G836" s="88"/>
      <c r="H836" s="88"/>
      <c r="I836" s="88"/>
      <c r="J836" s="88"/>
      <c r="K836" s="88"/>
      <c r="L836" s="88"/>
      <c r="M836" s="88"/>
      <c r="N836" s="88"/>
      <c r="O836" s="88"/>
      <c r="P836" s="88"/>
      <c r="Q836" s="88"/>
      <c r="R836" s="88"/>
      <c r="S836" s="88"/>
      <c r="T836" s="88"/>
      <c r="U836" s="88"/>
      <c r="V836" s="88"/>
      <c r="W836" s="88"/>
      <c r="X836" s="88"/>
      <c r="Y836" s="88"/>
      <c r="Z836" s="88"/>
      <c r="AA836" s="88"/>
    </row>
    <row r="837" spans="1:27" ht="13.2">
      <c r="A837" s="88"/>
      <c r="B837" s="88"/>
      <c r="C837" s="88"/>
      <c r="D837" s="88"/>
      <c r="E837" s="88"/>
      <c r="F837" s="88"/>
      <c r="G837" s="88"/>
      <c r="H837" s="88"/>
      <c r="I837" s="88"/>
      <c r="J837" s="88"/>
      <c r="K837" s="88"/>
      <c r="L837" s="88"/>
      <c r="M837" s="88"/>
      <c r="N837" s="88"/>
      <c r="O837" s="88"/>
      <c r="P837" s="88"/>
      <c r="Q837" s="88"/>
      <c r="R837" s="88"/>
      <c r="S837" s="88"/>
      <c r="T837" s="88"/>
      <c r="U837" s="88"/>
      <c r="V837" s="88"/>
      <c r="W837" s="88"/>
      <c r="X837" s="88"/>
      <c r="Y837" s="88"/>
      <c r="Z837" s="88"/>
      <c r="AA837" s="88"/>
    </row>
    <row r="838" spans="1:27" ht="13.2">
      <c r="A838" s="88"/>
      <c r="B838" s="88"/>
      <c r="C838" s="88"/>
      <c r="D838" s="88"/>
      <c r="E838" s="88"/>
      <c r="F838" s="88"/>
      <c r="G838" s="88"/>
      <c r="H838" s="88"/>
      <c r="I838" s="88"/>
      <c r="J838" s="88"/>
      <c r="K838" s="88"/>
      <c r="L838" s="88"/>
      <c r="M838" s="88"/>
      <c r="N838" s="88"/>
      <c r="O838" s="88"/>
      <c r="P838" s="88"/>
      <c r="Q838" s="88"/>
      <c r="R838" s="88"/>
      <c r="S838" s="88"/>
      <c r="T838" s="88"/>
      <c r="U838" s="88"/>
      <c r="V838" s="88"/>
      <c r="W838" s="88"/>
      <c r="X838" s="88"/>
      <c r="Y838" s="88"/>
      <c r="Z838" s="88"/>
      <c r="AA838" s="88"/>
    </row>
    <row r="839" spans="1:27" ht="13.2">
      <c r="A839" s="88"/>
      <c r="B839" s="88"/>
      <c r="C839" s="88"/>
      <c r="D839" s="88"/>
      <c r="E839" s="88"/>
      <c r="F839" s="88"/>
      <c r="G839" s="88"/>
      <c r="H839" s="88"/>
      <c r="I839" s="88"/>
      <c r="J839" s="88"/>
      <c r="K839" s="88"/>
      <c r="L839" s="88"/>
      <c r="M839" s="88"/>
      <c r="N839" s="88"/>
      <c r="O839" s="88"/>
      <c r="P839" s="88"/>
      <c r="Q839" s="88"/>
      <c r="R839" s="88"/>
      <c r="S839" s="88"/>
      <c r="T839" s="88"/>
      <c r="U839" s="88"/>
      <c r="V839" s="88"/>
      <c r="W839" s="88"/>
      <c r="X839" s="88"/>
      <c r="Y839" s="88"/>
      <c r="Z839" s="88"/>
      <c r="AA839" s="88"/>
    </row>
    <row r="840" spans="1:27" ht="13.2">
      <c r="A840" s="88"/>
      <c r="B840" s="88"/>
      <c r="C840" s="88"/>
      <c r="D840" s="88"/>
      <c r="E840" s="88"/>
      <c r="F840" s="88"/>
      <c r="G840" s="88"/>
      <c r="H840" s="88"/>
      <c r="I840" s="88"/>
      <c r="J840" s="88"/>
      <c r="K840" s="88"/>
      <c r="L840" s="88"/>
      <c r="M840" s="88"/>
      <c r="N840" s="88"/>
      <c r="O840" s="88"/>
      <c r="P840" s="88"/>
      <c r="Q840" s="88"/>
      <c r="R840" s="88"/>
      <c r="S840" s="88"/>
      <c r="T840" s="88"/>
      <c r="U840" s="88"/>
      <c r="V840" s="88"/>
      <c r="W840" s="88"/>
      <c r="X840" s="88"/>
      <c r="Y840" s="88"/>
      <c r="Z840" s="88"/>
      <c r="AA840" s="88"/>
    </row>
    <row r="841" spans="1:27" ht="13.2">
      <c r="A841" s="88"/>
      <c r="B841" s="88"/>
      <c r="C841" s="88"/>
      <c r="D841" s="88"/>
      <c r="E841" s="88"/>
      <c r="F841" s="88"/>
      <c r="G841" s="88"/>
      <c r="H841" s="88"/>
      <c r="I841" s="88"/>
      <c r="J841" s="88"/>
      <c r="K841" s="88"/>
      <c r="L841" s="88"/>
      <c r="M841" s="88"/>
      <c r="N841" s="88"/>
      <c r="O841" s="88"/>
      <c r="P841" s="88"/>
      <c r="Q841" s="88"/>
      <c r="R841" s="88"/>
      <c r="S841" s="88"/>
      <c r="T841" s="88"/>
      <c r="U841" s="88"/>
      <c r="V841" s="88"/>
      <c r="W841" s="88"/>
      <c r="X841" s="88"/>
      <c r="Y841" s="88"/>
      <c r="Z841" s="88"/>
      <c r="AA841" s="88"/>
    </row>
    <row r="842" spans="1:27" ht="13.2">
      <c r="A842" s="88"/>
      <c r="B842" s="88"/>
      <c r="C842" s="88"/>
      <c r="D842" s="88"/>
      <c r="E842" s="88"/>
      <c r="F842" s="88"/>
      <c r="G842" s="88"/>
      <c r="H842" s="88"/>
      <c r="I842" s="88"/>
      <c r="J842" s="88"/>
      <c r="K842" s="88"/>
      <c r="L842" s="88"/>
      <c r="M842" s="88"/>
      <c r="N842" s="88"/>
      <c r="O842" s="88"/>
      <c r="P842" s="88"/>
      <c r="Q842" s="88"/>
      <c r="R842" s="88"/>
      <c r="S842" s="88"/>
      <c r="T842" s="88"/>
      <c r="U842" s="88"/>
      <c r="V842" s="88"/>
      <c r="W842" s="88"/>
      <c r="X842" s="88"/>
      <c r="Y842" s="88"/>
      <c r="Z842" s="88"/>
      <c r="AA842" s="88"/>
    </row>
    <row r="843" spans="1:27" ht="13.2">
      <c r="A843" s="88"/>
      <c r="B843" s="88"/>
      <c r="C843" s="88"/>
      <c r="D843" s="88"/>
      <c r="E843" s="88"/>
      <c r="F843" s="88"/>
      <c r="G843" s="88"/>
      <c r="H843" s="88"/>
      <c r="I843" s="88"/>
      <c r="J843" s="88"/>
      <c r="K843" s="88"/>
      <c r="L843" s="88"/>
      <c r="M843" s="88"/>
      <c r="N843" s="88"/>
      <c r="O843" s="88"/>
      <c r="P843" s="88"/>
      <c r="Q843" s="88"/>
      <c r="R843" s="88"/>
      <c r="S843" s="88"/>
      <c r="T843" s="88"/>
      <c r="U843" s="88"/>
      <c r="V843" s="88"/>
      <c r="W843" s="88"/>
      <c r="X843" s="88"/>
      <c r="Y843" s="88"/>
      <c r="Z843" s="88"/>
      <c r="AA843" s="88"/>
    </row>
    <row r="844" spans="1:27" ht="13.2">
      <c r="A844" s="88"/>
      <c r="B844" s="88"/>
      <c r="C844" s="88"/>
      <c r="D844" s="88"/>
      <c r="E844" s="88"/>
      <c r="F844" s="88"/>
      <c r="G844" s="88"/>
      <c r="H844" s="88"/>
      <c r="I844" s="88"/>
      <c r="J844" s="88"/>
      <c r="K844" s="88"/>
      <c r="L844" s="88"/>
      <c r="M844" s="88"/>
      <c r="N844" s="88"/>
      <c r="O844" s="88"/>
      <c r="P844" s="88"/>
      <c r="Q844" s="88"/>
      <c r="R844" s="88"/>
      <c r="S844" s="88"/>
      <c r="T844" s="88"/>
      <c r="U844" s="88"/>
      <c r="V844" s="88"/>
      <c r="W844" s="88"/>
      <c r="X844" s="88"/>
      <c r="Y844" s="88"/>
      <c r="Z844" s="88"/>
      <c r="AA844" s="88"/>
    </row>
    <row r="845" spans="1:27" ht="13.2">
      <c r="A845" s="88"/>
      <c r="B845" s="88"/>
      <c r="C845" s="88"/>
      <c r="D845" s="88"/>
      <c r="E845" s="88"/>
      <c r="F845" s="88"/>
      <c r="G845" s="88"/>
      <c r="H845" s="88"/>
      <c r="I845" s="88"/>
      <c r="J845" s="88"/>
      <c r="K845" s="88"/>
      <c r="L845" s="88"/>
      <c r="M845" s="88"/>
      <c r="N845" s="88"/>
      <c r="O845" s="88"/>
      <c r="P845" s="88"/>
      <c r="Q845" s="88"/>
      <c r="R845" s="88"/>
      <c r="S845" s="88"/>
      <c r="T845" s="88"/>
      <c r="U845" s="88"/>
      <c r="V845" s="88"/>
      <c r="W845" s="88"/>
      <c r="X845" s="88"/>
      <c r="Y845" s="88"/>
      <c r="Z845" s="88"/>
      <c r="AA845" s="88"/>
    </row>
    <row r="846" spans="1:27" ht="13.2">
      <c r="A846" s="88"/>
      <c r="B846" s="88"/>
      <c r="C846" s="88"/>
      <c r="D846" s="88"/>
      <c r="E846" s="88"/>
      <c r="F846" s="88"/>
      <c r="G846" s="88"/>
      <c r="H846" s="88"/>
      <c r="I846" s="88"/>
      <c r="J846" s="88"/>
      <c r="K846" s="88"/>
      <c r="L846" s="88"/>
      <c r="M846" s="88"/>
      <c r="N846" s="88"/>
      <c r="O846" s="88"/>
      <c r="P846" s="88"/>
      <c r="Q846" s="88"/>
      <c r="R846" s="88"/>
      <c r="S846" s="88"/>
      <c r="T846" s="88"/>
      <c r="U846" s="88"/>
      <c r="V846" s="88"/>
      <c r="W846" s="88"/>
      <c r="X846" s="88"/>
      <c r="Y846" s="88"/>
      <c r="Z846" s="88"/>
      <c r="AA846" s="88"/>
    </row>
    <row r="847" spans="1:27" ht="13.2">
      <c r="A847" s="88"/>
      <c r="B847" s="88"/>
      <c r="C847" s="88"/>
      <c r="D847" s="88"/>
      <c r="E847" s="88"/>
      <c r="F847" s="88"/>
      <c r="G847" s="88"/>
      <c r="H847" s="88"/>
      <c r="I847" s="88"/>
      <c r="J847" s="88"/>
      <c r="K847" s="88"/>
      <c r="L847" s="88"/>
      <c r="M847" s="88"/>
      <c r="N847" s="88"/>
      <c r="O847" s="88"/>
      <c r="P847" s="88"/>
      <c r="Q847" s="88"/>
      <c r="R847" s="88"/>
      <c r="S847" s="88"/>
      <c r="T847" s="88"/>
      <c r="U847" s="88"/>
      <c r="V847" s="88"/>
      <c r="W847" s="88"/>
      <c r="X847" s="88"/>
      <c r="Y847" s="88"/>
      <c r="Z847" s="88"/>
      <c r="AA847" s="88"/>
    </row>
    <row r="848" spans="1:27" ht="13.2">
      <c r="A848" s="88"/>
      <c r="B848" s="88"/>
      <c r="C848" s="88"/>
      <c r="D848" s="88"/>
      <c r="E848" s="88"/>
      <c r="F848" s="88"/>
      <c r="G848" s="88"/>
      <c r="H848" s="88"/>
      <c r="I848" s="88"/>
      <c r="J848" s="88"/>
      <c r="K848" s="88"/>
      <c r="L848" s="88"/>
      <c r="M848" s="88"/>
      <c r="N848" s="88"/>
      <c r="O848" s="88"/>
      <c r="P848" s="88"/>
      <c r="Q848" s="88"/>
      <c r="R848" s="88"/>
      <c r="S848" s="88"/>
      <c r="T848" s="88"/>
      <c r="U848" s="88"/>
      <c r="V848" s="88"/>
      <c r="W848" s="88"/>
      <c r="X848" s="88"/>
      <c r="Y848" s="88"/>
      <c r="Z848" s="88"/>
      <c r="AA848" s="88"/>
    </row>
    <row r="849" spans="1:27" ht="13.2">
      <c r="A849" s="88"/>
      <c r="B849" s="88"/>
      <c r="C849" s="88"/>
      <c r="D849" s="88"/>
      <c r="E849" s="88"/>
      <c r="F849" s="88"/>
      <c r="G849" s="88"/>
      <c r="H849" s="88"/>
      <c r="I849" s="88"/>
      <c r="J849" s="88"/>
      <c r="K849" s="88"/>
      <c r="L849" s="88"/>
      <c r="M849" s="88"/>
      <c r="N849" s="88"/>
      <c r="O849" s="88"/>
      <c r="P849" s="88"/>
      <c r="Q849" s="88"/>
      <c r="R849" s="88"/>
      <c r="S849" s="88"/>
      <c r="T849" s="88"/>
      <c r="U849" s="88"/>
      <c r="V849" s="88"/>
      <c r="W849" s="88"/>
      <c r="X849" s="88"/>
      <c r="Y849" s="88"/>
      <c r="Z849" s="88"/>
      <c r="AA849" s="88"/>
    </row>
    <row r="850" spans="1:27" ht="13.2">
      <c r="A850" s="88"/>
      <c r="B850" s="88"/>
      <c r="C850" s="88"/>
      <c r="D850" s="88"/>
      <c r="E850" s="88"/>
      <c r="F850" s="88"/>
      <c r="G850" s="88"/>
      <c r="H850" s="88"/>
      <c r="I850" s="88"/>
      <c r="J850" s="88"/>
      <c r="K850" s="88"/>
      <c r="L850" s="88"/>
      <c r="M850" s="88"/>
      <c r="N850" s="88"/>
      <c r="O850" s="88"/>
      <c r="P850" s="88"/>
      <c r="Q850" s="88"/>
      <c r="R850" s="88"/>
      <c r="S850" s="88"/>
      <c r="T850" s="88"/>
      <c r="U850" s="88"/>
      <c r="V850" s="88"/>
      <c r="W850" s="88"/>
      <c r="X850" s="88"/>
      <c r="Y850" s="88"/>
      <c r="Z850" s="88"/>
      <c r="AA850" s="88"/>
    </row>
    <row r="851" spans="1:27" ht="13.2">
      <c r="A851" s="88"/>
      <c r="B851" s="88"/>
      <c r="C851" s="88"/>
      <c r="D851" s="88"/>
      <c r="E851" s="88"/>
      <c r="F851" s="88"/>
      <c r="G851" s="88"/>
      <c r="H851" s="88"/>
      <c r="I851" s="88"/>
      <c r="J851" s="88"/>
      <c r="K851" s="88"/>
      <c r="L851" s="88"/>
      <c r="M851" s="88"/>
      <c r="N851" s="88"/>
      <c r="O851" s="88"/>
      <c r="P851" s="88"/>
      <c r="Q851" s="88"/>
      <c r="R851" s="88"/>
      <c r="S851" s="88"/>
      <c r="T851" s="88"/>
      <c r="U851" s="88"/>
      <c r="V851" s="88"/>
      <c r="W851" s="88"/>
      <c r="X851" s="88"/>
      <c r="Y851" s="88"/>
      <c r="Z851" s="88"/>
      <c r="AA851" s="88"/>
    </row>
    <row r="852" spans="1:27" ht="13.2">
      <c r="A852" s="88"/>
      <c r="B852" s="88"/>
      <c r="C852" s="88"/>
      <c r="D852" s="88"/>
      <c r="E852" s="88"/>
      <c r="F852" s="88"/>
      <c r="G852" s="88"/>
      <c r="H852" s="88"/>
      <c r="I852" s="88"/>
      <c r="J852" s="88"/>
      <c r="K852" s="88"/>
      <c r="L852" s="88"/>
      <c r="M852" s="88"/>
      <c r="N852" s="88"/>
      <c r="O852" s="88"/>
      <c r="P852" s="88"/>
      <c r="Q852" s="88"/>
      <c r="R852" s="88"/>
      <c r="S852" s="88"/>
      <c r="T852" s="88"/>
      <c r="U852" s="88"/>
      <c r="V852" s="88"/>
      <c r="W852" s="88"/>
      <c r="X852" s="88"/>
      <c r="Y852" s="88"/>
      <c r="Z852" s="88"/>
      <c r="AA852" s="88"/>
    </row>
    <row r="853" spans="1:27" ht="13.2">
      <c r="A853" s="88"/>
      <c r="B853" s="88"/>
      <c r="C853" s="88"/>
      <c r="D853" s="88"/>
      <c r="E853" s="88"/>
      <c r="F853" s="88"/>
      <c r="G853" s="88"/>
      <c r="H853" s="88"/>
      <c r="I853" s="88"/>
      <c r="J853" s="88"/>
      <c r="K853" s="88"/>
      <c r="L853" s="88"/>
      <c r="M853" s="88"/>
      <c r="N853" s="88"/>
      <c r="O853" s="88"/>
      <c r="P853" s="88"/>
      <c r="Q853" s="88"/>
      <c r="R853" s="88"/>
      <c r="S853" s="88"/>
      <c r="T853" s="88"/>
      <c r="U853" s="88"/>
      <c r="V853" s="88"/>
      <c r="W853" s="88"/>
      <c r="X853" s="88"/>
      <c r="Y853" s="88"/>
      <c r="Z853" s="88"/>
      <c r="AA853" s="88"/>
    </row>
    <row r="854" spans="1:27" ht="13.2">
      <c r="A854" s="88"/>
      <c r="B854" s="88"/>
      <c r="C854" s="88"/>
      <c r="D854" s="88"/>
      <c r="E854" s="88"/>
      <c r="F854" s="88"/>
      <c r="G854" s="88"/>
      <c r="H854" s="88"/>
      <c r="I854" s="88"/>
      <c r="J854" s="88"/>
      <c r="K854" s="88"/>
      <c r="L854" s="88"/>
      <c r="M854" s="88"/>
      <c r="N854" s="88"/>
      <c r="O854" s="88"/>
      <c r="P854" s="88"/>
      <c r="Q854" s="88"/>
      <c r="R854" s="88"/>
      <c r="S854" s="88"/>
      <c r="T854" s="88"/>
      <c r="U854" s="88"/>
      <c r="V854" s="88"/>
      <c r="W854" s="88"/>
      <c r="X854" s="88"/>
      <c r="Y854" s="88"/>
      <c r="Z854" s="88"/>
      <c r="AA854" s="88"/>
    </row>
    <row r="855" spans="1:27" ht="13.2">
      <c r="A855" s="88"/>
      <c r="B855" s="88"/>
      <c r="C855" s="88"/>
      <c r="D855" s="88"/>
      <c r="E855" s="88"/>
      <c r="F855" s="88"/>
      <c r="G855" s="88"/>
      <c r="H855" s="88"/>
      <c r="I855" s="88"/>
      <c r="J855" s="88"/>
      <c r="K855" s="88"/>
      <c r="L855" s="88"/>
      <c r="M855" s="88"/>
      <c r="N855" s="88"/>
      <c r="O855" s="88"/>
      <c r="P855" s="88"/>
      <c r="Q855" s="88"/>
      <c r="R855" s="88"/>
      <c r="S855" s="88"/>
      <c r="T855" s="88"/>
      <c r="U855" s="88"/>
      <c r="V855" s="88"/>
      <c r="W855" s="88"/>
      <c r="X855" s="88"/>
      <c r="Y855" s="88"/>
      <c r="Z855" s="88"/>
      <c r="AA855" s="88"/>
    </row>
    <row r="856" spans="1:27" ht="13.2">
      <c r="A856" s="88"/>
      <c r="B856" s="88"/>
      <c r="C856" s="88"/>
      <c r="D856" s="88"/>
      <c r="E856" s="88"/>
      <c r="F856" s="88"/>
      <c r="G856" s="88"/>
      <c r="H856" s="88"/>
      <c r="I856" s="88"/>
      <c r="J856" s="88"/>
      <c r="K856" s="88"/>
      <c r="L856" s="88"/>
      <c r="M856" s="88"/>
      <c r="N856" s="88"/>
      <c r="O856" s="88"/>
      <c r="P856" s="88"/>
      <c r="Q856" s="88"/>
      <c r="R856" s="88"/>
      <c r="S856" s="88"/>
      <c r="T856" s="88"/>
      <c r="U856" s="88"/>
      <c r="V856" s="88"/>
      <c r="W856" s="88"/>
      <c r="X856" s="88"/>
      <c r="Y856" s="88"/>
      <c r="Z856" s="88"/>
      <c r="AA856" s="88"/>
    </row>
    <row r="857" spans="1:27" ht="13.2">
      <c r="A857" s="88"/>
      <c r="B857" s="88"/>
      <c r="C857" s="88"/>
      <c r="D857" s="88"/>
      <c r="E857" s="88"/>
      <c r="F857" s="88"/>
      <c r="G857" s="88"/>
      <c r="H857" s="88"/>
      <c r="I857" s="88"/>
      <c r="J857" s="88"/>
      <c r="K857" s="88"/>
      <c r="L857" s="88"/>
      <c r="M857" s="88"/>
      <c r="N857" s="88"/>
      <c r="O857" s="88"/>
      <c r="P857" s="88"/>
      <c r="Q857" s="88"/>
      <c r="R857" s="88"/>
      <c r="S857" s="88"/>
      <c r="T857" s="88"/>
      <c r="U857" s="88"/>
      <c r="V857" s="88"/>
      <c r="W857" s="88"/>
      <c r="X857" s="88"/>
      <c r="Y857" s="88"/>
      <c r="Z857" s="88"/>
      <c r="AA857" s="88"/>
    </row>
    <row r="858" spans="1:27" ht="13.2">
      <c r="A858" s="88"/>
      <c r="B858" s="88"/>
      <c r="C858" s="88"/>
      <c r="D858" s="88"/>
      <c r="E858" s="88"/>
      <c r="F858" s="88"/>
      <c r="G858" s="88"/>
      <c r="H858" s="88"/>
      <c r="I858" s="88"/>
      <c r="J858" s="88"/>
      <c r="K858" s="88"/>
      <c r="L858" s="88"/>
      <c r="M858" s="88"/>
      <c r="N858" s="88"/>
      <c r="O858" s="88"/>
      <c r="P858" s="88"/>
      <c r="Q858" s="88"/>
      <c r="R858" s="88"/>
      <c r="S858" s="88"/>
      <c r="T858" s="88"/>
      <c r="U858" s="88"/>
      <c r="V858" s="88"/>
      <c r="W858" s="88"/>
      <c r="X858" s="88"/>
      <c r="Y858" s="88"/>
      <c r="Z858" s="88"/>
      <c r="AA858" s="88"/>
    </row>
    <row r="859" spans="1:27" ht="13.2">
      <c r="A859" s="88"/>
      <c r="B859" s="88"/>
      <c r="C859" s="88"/>
      <c r="D859" s="88"/>
      <c r="E859" s="88"/>
      <c r="F859" s="88"/>
      <c r="G859" s="88"/>
      <c r="H859" s="88"/>
      <c r="I859" s="88"/>
      <c r="J859" s="88"/>
      <c r="K859" s="88"/>
      <c r="L859" s="88"/>
      <c r="M859" s="88"/>
      <c r="N859" s="88"/>
      <c r="O859" s="88"/>
      <c r="P859" s="88"/>
      <c r="Q859" s="88"/>
      <c r="R859" s="88"/>
      <c r="S859" s="88"/>
      <c r="T859" s="88"/>
      <c r="U859" s="88"/>
      <c r="V859" s="88"/>
      <c r="W859" s="88"/>
      <c r="X859" s="88"/>
      <c r="Y859" s="88"/>
      <c r="Z859" s="88"/>
      <c r="AA859" s="88"/>
    </row>
    <row r="860" spans="1:27" ht="13.2">
      <c r="A860" s="88"/>
      <c r="B860" s="88"/>
      <c r="C860" s="88"/>
      <c r="D860" s="88"/>
      <c r="E860" s="88"/>
      <c r="F860" s="88"/>
      <c r="G860" s="88"/>
      <c r="H860" s="88"/>
      <c r="I860" s="88"/>
      <c r="J860" s="88"/>
      <c r="K860" s="88"/>
      <c r="L860" s="88"/>
      <c r="M860" s="88"/>
      <c r="N860" s="88"/>
      <c r="O860" s="88"/>
      <c r="P860" s="88"/>
      <c r="Q860" s="88"/>
      <c r="R860" s="88"/>
      <c r="S860" s="88"/>
      <c r="T860" s="88"/>
      <c r="U860" s="88"/>
      <c r="V860" s="88"/>
      <c r="W860" s="88"/>
      <c r="X860" s="88"/>
      <c r="Y860" s="88"/>
      <c r="Z860" s="88"/>
      <c r="AA860" s="88"/>
    </row>
    <row r="861" spans="1:27" ht="13.2">
      <c r="A861" s="88"/>
      <c r="B861" s="88"/>
      <c r="C861" s="88"/>
      <c r="D861" s="88"/>
      <c r="E861" s="88"/>
      <c r="F861" s="88"/>
      <c r="G861" s="88"/>
      <c r="H861" s="88"/>
      <c r="I861" s="88"/>
      <c r="J861" s="88"/>
      <c r="K861" s="88"/>
      <c r="L861" s="88"/>
      <c r="M861" s="88"/>
      <c r="N861" s="88"/>
      <c r="O861" s="88"/>
      <c r="P861" s="88"/>
      <c r="Q861" s="88"/>
      <c r="R861" s="88"/>
      <c r="S861" s="88"/>
      <c r="T861" s="88"/>
      <c r="U861" s="88"/>
      <c r="V861" s="88"/>
      <c r="W861" s="88"/>
      <c r="X861" s="88"/>
      <c r="Y861" s="88"/>
      <c r="Z861" s="88"/>
      <c r="AA861" s="88"/>
    </row>
    <row r="862" spans="1:27" ht="13.2">
      <c r="A862" s="88"/>
      <c r="B862" s="88"/>
      <c r="C862" s="88"/>
      <c r="D862" s="88"/>
      <c r="E862" s="88"/>
      <c r="F862" s="88"/>
      <c r="G862" s="88"/>
      <c r="H862" s="88"/>
      <c r="I862" s="88"/>
      <c r="J862" s="88"/>
      <c r="K862" s="88"/>
      <c r="L862" s="88"/>
      <c r="M862" s="88"/>
      <c r="N862" s="88"/>
      <c r="O862" s="88"/>
      <c r="P862" s="88"/>
      <c r="Q862" s="88"/>
      <c r="R862" s="88"/>
      <c r="S862" s="88"/>
      <c r="T862" s="88"/>
      <c r="U862" s="88"/>
      <c r="V862" s="88"/>
      <c r="W862" s="88"/>
      <c r="X862" s="88"/>
      <c r="Y862" s="88"/>
      <c r="Z862" s="88"/>
      <c r="AA862" s="88"/>
    </row>
    <row r="863" spans="1:27" ht="13.2">
      <c r="A863" s="88"/>
      <c r="B863" s="88"/>
      <c r="C863" s="88"/>
      <c r="D863" s="88"/>
      <c r="E863" s="88"/>
      <c r="F863" s="88"/>
      <c r="G863" s="88"/>
      <c r="H863" s="88"/>
      <c r="I863" s="88"/>
      <c r="J863" s="88"/>
      <c r="K863" s="88"/>
      <c r="L863" s="88"/>
      <c r="M863" s="88"/>
      <c r="N863" s="88"/>
      <c r="O863" s="88"/>
      <c r="P863" s="88"/>
      <c r="Q863" s="88"/>
      <c r="R863" s="88"/>
      <c r="S863" s="88"/>
      <c r="T863" s="88"/>
      <c r="U863" s="88"/>
      <c r="V863" s="88"/>
      <c r="W863" s="88"/>
      <c r="X863" s="88"/>
      <c r="Y863" s="88"/>
      <c r="Z863" s="88"/>
      <c r="AA863" s="88"/>
    </row>
    <row r="864" spans="1:27" ht="13.2">
      <c r="A864" s="88"/>
      <c r="B864" s="88"/>
      <c r="C864" s="88"/>
      <c r="D864" s="88"/>
      <c r="E864" s="88"/>
      <c r="F864" s="88"/>
      <c r="G864" s="88"/>
      <c r="H864" s="88"/>
      <c r="I864" s="88"/>
      <c r="J864" s="88"/>
      <c r="K864" s="88"/>
      <c r="L864" s="88"/>
      <c r="M864" s="88"/>
      <c r="N864" s="88"/>
      <c r="O864" s="88"/>
      <c r="P864" s="88"/>
      <c r="Q864" s="88"/>
      <c r="R864" s="88"/>
      <c r="S864" s="88"/>
      <c r="T864" s="88"/>
      <c r="U864" s="88"/>
      <c r="V864" s="88"/>
      <c r="W864" s="88"/>
      <c r="X864" s="88"/>
      <c r="Y864" s="88"/>
      <c r="Z864" s="88"/>
      <c r="AA864" s="88"/>
    </row>
    <row r="865" spans="1:27" ht="13.2">
      <c r="A865" s="88"/>
      <c r="B865" s="88"/>
      <c r="C865" s="88"/>
      <c r="D865" s="88"/>
      <c r="E865" s="88"/>
      <c r="F865" s="88"/>
      <c r="G865" s="88"/>
      <c r="H865" s="88"/>
      <c r="I865" s="88"/>
      <c r="J865" s="88"/>
      <c r="K865" s="88"/>
      <c r="L865" s="88"/>
      <c r="M865" s="88"/>
      <c r="N865" s="88"/>
      <c r="O865" s="88"/>
      <c r="P865" s="88"/>
      <c r="Q865" s="88"/>
      <c r="R865" s="88"/>
      <c r="S865" s="88"/>
      <c r="T865" s="88"/>
      <c r="U865" s="88"/>
      <c r="V865" s="88"/>
      <c r="W865" s="88"/>
      <c r="X865" s="88"/>
      <c r="Y865" s="88"/>
      <c r="Z865" s="88"/>
      <c r="AA865" s="88"/>
    </row>
    <row r="866" spans="1:27" ht="13.2">
      <c r="A866" s="88"/>
      <c r="B866" s="88"/>
      <c r="C866" s="88"/>
      <c r="D866" s="88"/>
      <c r="E866" s="88"/>
      <c r="F866" s="88"/>
      <c r="G866" s="88"/>
      <c r="H866" s="88"/>
      <c r="I866" s="88"/>
      <c r="J866" s="88"/>
      <c r="K866" s="88"/>
      <c r="L866" s="88"/>
      <c r="M866" s="88"/>
      <c r="N866" s="88"/>
      <c r="O866" s="88"/>
      <c r="P866" s="88"/>
      <c r="Q866" s="88"/>
      <c r="R866" s="88"/>
      <c r="S866" s="88"/>
      <c r="T866" s="88"/>
      <c r="U866" s="88"/>
      <c r="V866" s="88"/>
      <c r="W866" s="88"/>
      <c r="X866" s="88"/>
      <c r="Y866" s="88"/>
      <c r="Z866" s="88"/>
      <c r="AA866" s="88"/>
    </row>
    <row r="867" spans="1:27" ht="13.2">
      <c r="A867" s="88"/>
      <c r="B867" s="88"/>
      <c r="C867" s="88"/>
      <c r="D867" s="88"/>
      <c r="E867" s="88"/>
      <c r="F867" s="88"/>
      <c r="G867" s="88"/>
      <c r="H867" s="88"/>
      <c r="I867" s="88"/>
      <c r="J867" s="88"/>
      <c r="K867" s="88"/>
      <c r="L867" s="88"/>
      <c r="M867" s="88"/>
      <c r="N867" s="88"/>
      <c r="O867" s="88"/>
      <c r="P867" s="88"/>
      <c r="Q867" s="88"/>
      <c r="R867" s="88"/>
      <c r="S867" s="88"/>
      <c r="T867" s="88"/>
      <c r="U867" s="88"/>
      <c r="V867" s="88"/>
      <c r="W867" s="88"/>
      <c r="X867" s="88"/>
      <c r="Y867" s="88"/>
      <c r="Z867" s="88"/>
      <c r="AA867" s="88"/>
    </row>
    <row r="868" spans="1:27" ht="13.2">
      <c r="A868" s="88"/>
      <c r="B868" s="88"/>
      <c r="C868" s="88"/>
      <c r="D868" s="88"/>
      <c r="E868" s="88"/>
      <c r="F868" s="88"/>
      <c r="G868" s="88"/>
      <c r="H868" s="88"/>
      <c r="I868" s="88"/>
      <c r="J868" s="88"/>
      <c r="K868" s="88"/>
      <c r="L868" s="88"/>
      <c r="M868" s="88"/>
      <c r="N868" s="88"/>
      <c r="O868" s="88"/>
      <c r="P868" s="88"/>
      <c r="Q868" s="88"/>
      <c r="R868" s="88"/>
      <c r="S868" s="88"/>
      <c r="T868" s="88"/>
      <c r="U868" s="88"/>
      <c r="V868" s="88"/>
      <c r="W868" s="88"/>
      <c r="X868" s="88"/>
      <c r="Y868" s="88"/>
      <c r="Z868" s="88"/>
      <c r="AA868" s="88"/>
    </row>
    <row r="869" spans="1:27" ht="13.2">
      <c r="A869" s="88"/>
      <c r="B869" s="88"/>
      <c r="C869" s="88"/>
      <c r="D869" s="88"/>
      <c r="E869" s="88"/>
      <c r="F869" s="88"/>
      <c r="G869" s="88"/>
      <c r="H869" s="88"/>
      <c r="I869" s="88"/>
      <c r="J869" s="88"/>
      <c r="K869" s="88"/>
      <c r="L869" s="88"/>
      <c r="M869" s="88"/>
      <c r="N869" s="88"/>
      <c r="O869" s="88"/>
      <c r="P869" s="88"/>
      <c r="Q869" s="88"/>
      <c r="R869" s="88"/>
      <c r="S869" s="88"/>
      <c r="T869" s="88"/>
      <c r="U869" s="88"/>
      <c r="V869" s="88"/>
      <c r="W869" s="88"/>
      <c r="X869" s="88"/>
      <c r="Y869" s="88"/>
      <c r="Z869" s="88"/>
      <c r="AA869" s="88"/>
    </row>
    <row r="870" spans="1:27" ht="13.2">
      <c r="A870" s="88"/>
      <c r="B870" s="88"/>
      <c r="C870" s="88"/>
      <c r="D870" s="88"/>
      <c r="E870" s="88"/>
      <c r="F870" s="88"/>
      <c r="G870" s="88"/>
      <c r="H870" s="88"/>
      <c r="I870" s="88"/>
      <c r="J870" s="88"/>
      <c r="K870" s="88"/>
      <c r="L870" s="88"/>
      <c r="M870" s="88"/>
      <c r="N870" s="88"/>
      <c r="O870" s="88"/>
      <c r="P870" s="88"/>
      <c r="Q870" s="88"/>
      <c r="R870" s="88"/>
      <c r="S870" s="88"/>
      <c r="T870" s="88"/>
      <c r="U870" s="88"/>
      <c r="V870" s="88"/>
      <c r="W870" s="88"/>
      <c r="X870" s="88"/>
      <c r="Y870" s="88"/>
      <c r="Z870" s="88"/>
      <c r="AA870" s="88"/>
    </row>
    <row r="871" spans="1:27" ht="13.2">
      <c r="A871" s="88"/>
      <c r="B871" s="88"/>
      <c r="C871" s="88"/>
      <c r="D871" s="88"/>
      <c r="E871" s="88"/>
      <c r="F871" s="88"/>
      <c r="G871" s="88"/>
      <c r="H871" s="88"/>
      <c r="I871" s="88"/>
      <c r="J871" s="88"/>
      <c r="K871" s="88"/>
      <c r="L871" s="88"/>
      <c r="M871" s="88"/>
      <c r="N871" s="88"/>
      <c r="O871" s="88"/>
      <c r="P871" s="88"/>
      <c r="Q871" s="88"/>
      <c r="R871" s="88"/>
      <c r="S871" s="88"/>
      <c r="T871" s="88"/>
      <c r="U871" s="88"/>
      <c r="V871" s="88"/>
      <c r="W871" s="88"/>
      <c r="X871" s="88"/>
      <c r="Y871" s="88"/>
      <c r="Z871" s="88"/>
      <c r="AA871" s="88"/>
    </row>
    <row r="872" spans="1:27" ht="13.2">
      <c r="A872" s="88"/>
      <c r="B872" s="88"/>
      <c r="C872" s="88"/>
      <c r="D872" s="88"/>
      <c r="E872" s="88"/>
      <c r="F872" s="88"/>
      <c r="G872" s="88"/>
      <c r="H872" s="88"/>
      <c r="I872" s="88"/>
      <c r="J872" s="88"/>
      <c r="K872" s="88"/>
      <c r="L872" s="88"/>
      <c r="M872" s="88"/>
      <c r="N872" s="88"/>
      <c r="O872" s="88"/>
      <c r="P872" s="88"/>
      <c r="Q872" s="88"/>
      <c r="R872" s="88"/>
      <c r="S872" s="88"/>
      <c r="T872" s="88"/>
      <c r="U872" s="88"/>
      <c r="V872" s="88"/>
      <c r="W872" s="88"/>
      <c r="X872" s="88"/>
      <c r="Y872" s="88"/>
      <c r="Z872" s="88"/>
      <c r="AA872" s="88"/>
    </row>
    <row r="873" spans="1:27" ht="13.2">
      <c r="A873" s="88"/>
      <c r="B873" s="88"/>
      <c r="C873" s="88"/>
      <c r="D873" s="88"/>
      <c r="E873" s="88"/>
      <c r="F873" s="88"/>
      <c r="G873" s="88"/>
      <c r="H873" s="88"/>
      <c r="I873" s="88"/>
      <c r="J873" s="88"/>
      <c r="K873" s="88"/>
      <c r="L873" s="88"/>
      <c r="M873" s="88"/>
      <c r="N873" s="88"/>
      <c r="O873" s="88"/>
      <c r="P873" s="88"/>
      <c r="Q873" s="88"/>
      <c r="R873" s="88"/>
      <c r="S873" s="88"/>
      <c r="T873" s="88"/>
      <c r="U873" s="88"/>
      <c r="V873" s="88"/>
      <c r="W873" s="88"/>
      <c r="X873" s="88"/>
      <c r="Y873" s="88"/>
      <c r="Z873" s="88"/>
      <c r="AA873" s="88"/>
    </row>
    <row r="874" spans="1:27" ht="13.2">
      <c r="A874" s="88"/>
      <c r="B874" s="88"/>
      <c r="C874" s="88"/>
      <c r="D874" s="88"/>
      <c r="E874" s="88"/>
      <c r="F874" s="88"/>
      <c r="G874" s="88"/>
      <c r="H874" s="88"/>
      <c r="I874" s="88"/>
      <c r="J874" s="88"/>
      <c r="K874" s="88"/>
      <c r="L874" s="88"/>
      <c r="M874" s="88"/>
      <c r="N874" s="88"/>
      <c r="O874" s="88"/>
      <c r="P874" s="88"/>
      <c r="Q874" s="88"/>
      <c r="R874" s="88"/>
      <c r="S874" s="88"/>
      <c r="T874" s="88"/>
      <c r="U874" s="88"/>
      <c r="V874" s="88"/>
      <c r="W874" s="88"/>
      <c r="X874" s="88"/>
      <c r="Y874" s="88"/>
      <c r="Z874" s="88"/>
      <c r="AA874" s="88"/>
    </row>
    <row r="875" spans="1:27" ht="13.2">
      <c r="A875" s="88"/>
      <c r="B875" s="88"/>
      <c r="C875" s="88"/>
      <c r="D875" s="88"/>
      <c r="E875" s="88"/>
      <c r="F875" s="88"/>
      <c r="G875" s="88"/>
      <c r="H875" s="88"/>
      <c r="I875" s="88"/>
      <c r="J875" s="88"/>
      <c r="K875" s="88"/>
      <c r="L875" s="88"/>
      <c r="M875" s="88"/>
      <c r="N875" s="88"/>
      <c r="O875" s="88"/>
      <c r="P875" s="88"/>
      <c r="Q875" s="88"/>
      <c r="R875" s="88"/>
      <c r="S875" s="88"/>
      <c r="T875" s="88"/>
      <c r="U875" s="88"/>
      <c r="V875" s="88"/>
      <c r="W875" s="88"/>
      <c r="X875" s="88"/>
      <c r="Y875" s="88"/>
      <c r="Z875" s="88"/>
      <c r="AA875" s="88"/>
    </row>
    <row r="876" spans="1:27" ht="13.2">
      <c r="A876" s="88"/>
      <c r="B876" s="88"/>
      <c r="C876" s="88"/>
      <c r="D876" s="88"/>
      <c r="E876" s="88"/>
      <c r="F876" s="88"/>
      <c r="G876" s="88"/>
      <c r="H876" s="88"/>
      <c r="I876" s="88"/>
      <c r="J876" s="88"/>
      <c r="K876" s="88"/>
      <c r="L876" s="88"/>
      <c r="M876" s="88"/>
      <c r="N876" s="88"/>
      <c r="O876" s="88"/>
      <c r="P876" s="88"/>
      <c r="Q876" s="88"/>
      <c r="R876" s="88"/>
      <c r="S876" s="88"/>
      <c r="T876" s="88"/>
      <c r="U876" s="88"/>
      <c r="V876" s="88"/>
      <c r="W876" s="88"/>
      <c r="X876" s="88"/>
      <c r="Y876" s="88"/>
      <c r="Z876" s="88"/>
      <c r="AA876" s="88"/>
    </row>
    <row r="877" spans="1:27" ht="13.2">
      <c r="A877" s="88"/>
      <c r="B877" s="88"/>
      <c r="C877" s="88"/>
      <c r="D877" s="88"/>
      <c r="E877" s="88"/>
      <c r="F877" s="88"/>
      <c r="G877" s="88"/>
      <c r="H877" s="88"/>
      <c r="I877" s="88"/>
      <c r="J877" s="88"/>
      <c r="K877" s="88"/>
      <c r="L877" s="88"/>
      <c r="M877" s="88"/>
      <c r="N877" s="88"/>
      <c r="O877" s="88"/>
      <c r="P877" s="88"/>
      <c r="Q877" s="88"/>
      <c r="R877" s="88"/>
      <c r="S877" s="88"/>
      <c r="T877" s="88"/>
      <c r="U877" s="88"/>
      <c r="V877" s="88"/>
      <c r="W877" s="88"/>
      <c r="X877" s="88"/>
      <c r="Y877" s="88"/>
      <c r="Z877" s="88"/>
      <c r="AA877" s="88"/>
    </row>
    <row r="878" spans="1:27" ht="13.2">
      <c r="A878" s="88"/>
      <c r="B878" s="88"/>
      <c r="C878" s="88"/>
      <c r="D878" s="88"/>
      <c r="E878" s="88"/>
      <c r="F878" s="88"/>
      <c r="G878" s="88"/>
      <c r="H878" s="88"/>
      <c r="I878" s="88"/>
      <c r="J878" s="88"/>
      <c r="K878" s="88"/>
      <c r="L878" s="88"/>
      <c r="M878" s="88"/>
      <c r="N878" s="88"/>
      <c r="O878" s="88"/>
      <c r="P878" s="88"/>
      <c r="Q878" s="88"/>
      <c r="R878" s="88"/>
      <c r="S878" s="88"/>
      <c r="T878" s="88"/>
      <c r="U878" s="88"/>
      <c r="V878" s="88"/>
      <c r="W878" s="88"/>
      <c r="X878" s="88"/>
      <c r="Y878" s="88"/>
      <c r="Z878" s="88"/>
      <c r="AA878" s="88"/>
    </row>
    <row r="879" spans="1:27" ht="13.2">
      <c r="A879" s="88"/>
      <c r="B879" s="88"/>
      <c r="C879" s="88"/>
      <c r="D879" s="88"/>
      <c r="E879" s="88"/>
      <c r="F879" s="88"/>
      <c r="G879" s="88"/>
      <c r="H879" s="88"/>
      <c r="I879" s="88"/>
      <c r="J879" s="88"/>
      <c r="K879" s="88"/>
      <c r="L879" s="88"/>
      <c r="M879" s="88"/>
      <c r="N879" s="88"/>
      <c r="O879" s="88"/>
      <c r="P879" s="88"/>
      <c r="Q879" s="88"/>
      <c r="R879" s="88"/>
      <c r="S879" s="88"/>
      <c r="T879" s="88"/>
      <c r="U879" s="88"/>
      <c r="V879" s="88"/>
      <c r="W879" s="88"/>
      <c r="X879" s="88"/>
      <c r="Y879" s="88"/>
      <c r="Z879" s="88"/>
      <c r="AA879" s="88"/>
    </row>
    <row r="880" spans="1:27" ht="13.2">
      <c r="A880" s="88"/>
      <c r="B880" s="88"/>
      <c r="C880" s="88"/>
      <c r="D880" s="88"/>
      <c r="E880" s="88"/>
      <c r="F880" s="88"/>
      <c r="G880" s="88"/>
      <c r="H880" s="88"/>
      <c r="I880" s="88"/>
      <c r="J880" s="88"/>
      <c r="K880" s="88"/>
      <c r="L880" s="88"/>
      <c r="M880" s="88"/>
      <c r="N880" s="88"/>
      <c r="O880" s="88"/>
      <c r="P880" s="88"/>
      <c r="Q880" s="88"/>
      <c r="R880" s="88"/>
      <c r="S880" s="88"/>
      <c r="T880" s="88"/>
      <c r="U880" s="88"/>
      <c r="V880" s="88"/>
      <c r="W880" s="88"/>
      <c r="X880" s="88"/>
      <c r="Y880" s="88"/>
      <c r="Z880" s="88"/>
      <c r="AA880" s="88"/>
    </row>
    <row r="881" spans="1:27" ht="13.2">
      <c r="A881" s="88"/>
      <c r="B881" s="88"/>
      <c r="C881" s="88"/>
      <c r="D881" s="88"/>
      <c r="E881" s="88"/>
      <c r="F881" s="88"/>
      <c r="G881" s="88"/>
      <c r="H881" s="88"/>
      <c r="I881" s="88"/>
      <c r="J881" s="88"/>
      <c r="K881" s="88"/>
      <c r="L881" s="88"/>
      <c r="M881" s="88"/>
      <c r="N881" s="88"/>
      <c r="O881" s="88"/>
      <c r="P881" s="88"/>
      <c r="Q881" s="88"/>
      <c r="R881" s="88"/>
      <c r="S881" s="88"/>
      <c r="T881" s="88"/>
      <c r="U881" s="88"/>
      <c r="V881" s="88"/>
      <c r="W881" s="88"/>
      <c r="X881" s="88"/>
      <c r="Y881" s="88"/>
      <c r="Z881" s="88"/>
      <c r="AA881" s="88"/>
    </row>
    <row r="882" spans="1:27" ht="13.2">
      <c r="A882" s="88"/>
      <c r="B882" s="88"/>
      <c r="C882" s="88"/>
      <c r="D882" s="88"/>
      <c r="E882" s="88"/>
      <c r="F882" s="88"/>
      <c r="G882" s="88"/>
      <c r="H882" s="88"/>
      <c r="I882" s="88"/>
      <c r="J882" s="88"/>
      <c r="K882" s="88"/>
      <c r="L882" s="88"/>
      <c r="M882" s="88"/>
      <c r="N882" s="88"/>
      <c r="O882" s="88"/>
      <c r="P882" s="88"/>
      <c r="Q882" s="88"/>
      <c r="R882" s="88"/>
      <c r="S882" s="88"/>
      <c r="T882" s="88"/>
      <c r="U882" s="88"/>
      <c r="V882" s="88"/>
      <c r="W882" s="88"/>
      <c r="X882" s="88"/>
      <c r="Y882" s="88"/>
      <c r="Z882" s="88"/>
      <c r="AA882" s="88"/>
    </row>
    <row r="883" spans="1:27" ht="13.2">
      <c r="A883" s="88"/>
      <c r="B883" s="88"/>
      <c r="C883" s="88"/>
      <c r="D883" s="88"/>
      <c r="E883" s="88"/>
      <c r="F883" s="88"/>
      <c r="G883" s="88"/>
      <c r="H883" s="88"/>
      <c r="I883" s="88"/>
      <c r="J883" s="88"/>
      <c r="K883" s="88"/>
      <c r="L883" s="88"/>
      <c r="M883" s="88"/>
      <c r="N883" s="88"/>
      <c r="O883" s="88"/>
      <c r="P883" s="88"/>
      <c r="Q883" s="88"/>
      <c r="R883" s="88"/>
      <c r="S883" s="88"/>
      <c r="T883" s="88"/>
      <c r="U883" s="88"/>
      <c r="V883" s="88"/>
      <c r="W883" s="88"/>
      <c r="X883" s="88"/>
      <c r="Y883" s="88"/>
      <c r="Z883" s="88"/>
      <c r="AA883" s="88"/>
    </row>
    <row r="884" spans="1:27" ht="13.2">
      <c r="A884" s="88"/>
      <c r="B884" s="88"/>
      <c r="C884" s="88"/>
      <c r="D884" s="88"/>
      <c r="E884" s="88"/>
      <c r="F884" s="88"/>
      <c r="G884" s="88"/>
      <c r="H884" s="88"/>
      <c r="I884" s="88"/>
      <c r="J884" s="88"/>
      <c r="K884" s="88"/>
      <c r="L884" s="88"/>
      <c r="M884" s="88"/>
      <c r="N884" s="88"/>
      <c r="O884" s="88"/>
      <c r="P884" s="88"/>
      <c r="Q884" s="88"/>
      <c r="R884" s="88"/>
      <c r="S884" s="88"/>
      <c r="T884" s="88"/>
      <c r="U884" s="88"/>
      <c r="V884" s="88"/>
      <c r="W884" s="88"/>
      <c r="X884" s="88"/>
      <c r="Y884" s="88"/>
      <c r="Z884" s="88"/>
      <c r="AA884" s="88"/>
    </row>
    <row r="885" spans="1:27" ht="13.2">
      <c r="A885" s="88"/>
      <c r="B885" s="88"/>
      <c r="C885" s="88"/>
      <c r="D885" s="88"/>
      <c r="E885" s="88"/>
      <c r="F885" s="88"/>
      <c r="G885" s="88"/>
      <c r="H885" s="88"/>
      <c r="I885" s="88"/>
      <c r="J885" s="88"/>
      <c r="K885" s="88"/>
      <c r="L885" s="88"/>
      <c r="M885" s="88"/>
      <c r="N885" s="88"/>
      <c r="O885" s="88"/>
      <c r="P885" s="88"/>
      <c r="Q885" s="88"/>
      <c r="R885" s="88"/>
      <c r="S885" s="88"/>
      <c r="T885" s="88"/>
      <c r="U885" s="88"/>
      <c r="V885" s="88"/>
      <c r="W885" s="88"/>
      <c r="X885" s="88"/>
      <c r="Y885" s="88"/>
      <c r="Z885" s="88"/>
      <c r="AA885" s="88"/>
    </row>
    <row r="886" spans="1:27" ht="13.2">
      <c r="A886" s="88"/>
      <c r="B886" s="88"/>
      <c r="C886" s="88"/>
      <c r="D886" s="88"/>
      <c r="E886" s="88"/>
      <c r="F886" s="88"/>
      <c r="G886" s="88"/>
      <c r="H886" s="88"/>
      <c r="I886" s="88"/>
      <c r="J886" s="88"/>
      <c r="K886" s="88"/>
      <c r="L886" s="88"/>
      <c r="M886" s="88"/>
      <c r="N886" s="88"/>
      <c r="O886" s="88"/>
      <c r="P886" s="88"/>
      <c r="Q886" s="88"/>
      <c r="R886" s="88"/>
      <c r="S886" s="88"/>
      <c r="T886" s="88"/>
      <c r="U886" s="88"/>
      <c r="V886" s="88"/>
      <c r="W886" s="88"/>
      <c r="X886" s="88"/>
      <c r="Y886" s="88"/>
      <c r="Z886" s="88"/>
      <c r="AA886" s="88"/>
    </row>
    <row r="887" spans="1:27" ht="13.2">
      <c r="A887" s="88"/>
      <c r="B887" s="88"/>
      <c r="C887" s="88"/>
      <c r="D887" s="88"/>
      <c r="E887" s="88"/>
      <c r="F887" s="88"/>
      <c r="G887" s="88"/>
      <c r="H887" s="88"/>
      <c r="I887" s="88"/>
      <c r="J887" s="88"/>
      <c r="K887" s="88"/>
      <c r="L887" s="88"/>
      <c r="M887" s="88"/>
      <c r="N887" s="88"/>
      <c r="O887" s="88"/>
      <c r="P887" s="88"/>
      <c r="Q887" s="88"/>
      <c r="R887" s="88"/>
      <c r="S887" s="88"/>
      <c r="T887" s="88"/>
      <c r="U887" s="88"/>
      <c r="V887" s="88"/>
      <c r="W887" s="88"/>
      <c r="X887" s="88"/>
      <c r="Y887" s="88"/>
      <c r="Z887" s="88"/>
      <c r="AA887" s="88"/>
    </row>
    <row r="888" spans="1:27" ht="13.2">
      <c r="A888" s="88"/>
      <c r="B888" s="88"/>
      <c r="C888" s="88"/>
      <c r="D888" s="88"/>
      <c r="E888" s="88"/>
      <c r="F888" s="88"/>
      <c r="G888" s="88"/>
      <c r="H888" s="88"/>
      <c r="I888" s="88"/>
      <c r="J888" s="88"/>
      <c r="K888" s="88"/>
      <c r="L888" s="88"/>
      <c r="M888" s="88"/>
      <c r="N888" s="88"/>
      <c r="O888" s="88"/>
      <c r="P888" s="88"/>
      <c r="Q888" s="88"/>
      <c r="R888" s="88"/>
      <c r="S888" s="88"/>
      <c r="T888" s="88"/>
      <c r="U888" s="88"/>
      <c r="V888" s="88"/>
      <c r="W888" s="88"/>
      <c r="X888" s="88"/>
      <c r="Y888" s="88"/>
      <c r="Z888" s="88"/>
      <c r="AA888" s="88"/>
    </row>
    <row r="889" spans="1:27" ht="13.2">
      <c r="A889" s="88"/>
      <c r="B889" s="88"/>
      <c r="C889" s="88"/>
      <c r="D889" s="88"/>
      <c r="E889" s="88"/>
      <c r="F889" s="88"/>
      <c r="G889" s="88"/>
      <c r="H889" s="88"/>
      <c r="I889" s="88"/>
      <c r="J889" s="88"/>
      <c r="K889" s="88"/>
      <c r="L889" s="88"/>
      <c r="M889" s="88"/>
      <c r="N889" s="88"/>
      <c r="O889" s="88"/>
      <c r="P889" s="88"/>
      <c r="Q889" s="88"/>
      <c r="R889" s="88"/>
      <c r="S889" s="88"/>
      <c r="T889" s="88"/>
      <c r="U889" s="88"/>
      <c r="V889" s="88"/>
      <c r="W889" s="88"/>
      <c r="X889" s="88"/>
      <c r="Y889" s="88"/>
      <c r="Z889" s="88"/>
      <c r="AA889" s="88"/>
    </row>
    <row r="890" spans="1:27" ht="13.2">
      <c r="A890" s="88"/>
      <c r="B890" s="88"/>
      <c r="C890" s="88"/>
      <c r="D890" s="88"/>
      <c r="E890" s="88"/>
      <c r="F890" s="88"/>
      <c r="G890" s="88"/>
      <c r="H890" s="88"/>
      <c r="I890" s="88"/>
      <c r="J890" s="88"/>
      <c r="K890" s="88"/>
      <c r="L890" s="88"/>
      <c r="M890" s="88"/>
      <c r="N890" s="88"/>
      <c r="O890" s="88"/>
      <c r="P890" s="88"/>
      <c r="Q890" s="88"/>
      <c r="R890" s="88"/>
      <c r="S890" s="88"/>
      <c r="T890" s="88"/>
      <c r="U890" s="88"/>
      <c r="V890" s="88"/>
      <c r="W890" s="88"/>
      <c r="X890" s="88"/>
      <c r="Y890" s="88"/>
      <c r="Z890" s="88"/>
      <c r="AA890" s="88"/>
    </row>
    <row r="891" spans="1:27" ht="13.2">
      <c r="A891" s="88"/>
      <c r="B891" s="88"/>
      <c r="C891" s="88"/>
      <c r="D891" s="88"/>
      <c r="E891" s="88"/>
      <c r="F891" s="88"/>
      <c r="G891" s="88"/>
      <c r="H891" s="88"/>
      <c r="I891" s="88"/>
      <c r="J891" s="88"/>
      <c r="K891" s="88"/>
      <c r="L891" s="88"/>
      <c r="M891" s="88"/>
      <c r="N891" s="88"/>
      <c r="O891" s="88"/>
      <c r="P891" s="88"/>
      <c r="Q891" s="88"/>
      <c r="R891" s="88"/>
      <c r="S891" s="88"/>
      <c r="T891" s="88"/>
      <c r="U891" s="88"/>
      <c r="V891" s="88"/>
      <c r="W891" s="88"/>
      <c r="X891" s="88"/>
      <c r="Y891" s="88"/>
      <c r="Z891" s="88"/>
      <c r="AA891" s="88"/>
    </row>
    <row r="892" spans="1:27" ht="13.2">
      <c r="A892" s="88"/>
      <c r="B892" s="88"/>
      <c r="C892" s="88"/>
      <c r="D892" s="88"/>
      <c r="E892" s="88"/>
      <c r="F892" s="88"/>
      <c r="G892" s="88"/>
      <c r="H892" s="88"/>
      <c r="I892" s="88"/>
      <c r="J892" s="88"/>
      <c r="K892" s="88"/>
      <c r="L892" s="88"/>
      <c r="M892" s="88"/>
      <c r="N892" s="88"/>
      <c r="O892" s="88"/>
      <c r="P892" s="88"/>
      <c r="Q892" s="88"/>
      <c r="R892" s="88"/>
      <c r="S892" s="88"/>
      <c r="T892" s="88"/>
      <c r="U892" s="88"/>
      <c r="V892" s="88"/>
      <c r="W892" s="88"/>
      <c r="X892" s="88"/>
      <c r="Y892" s="88"/>
      <c r="Z892" s="88"/>
      <c r="AA892" s="88"/>
    </row>
    <row r="893" spans="1:27" ht="13.2">
      <c r="A893" s="88"/>
      <c r="B893" s="88"/>
      <c r="C893" s="88"/>
      <c r="D893" s="88"/>
      <c r="E893" s="88"/>
      <c r="F893" s="88"/>
      <c r="G893" s="88"/>
      <c r="H893" s="88"/>
      <c r="I893" s="88"/>
      <c r="J893" s="88"/>
      <c r="K893" s="88"/>
      <c r="L893" s="88"/>
      <c r="M893" s="88"/>
      <c r="N893" s="88"/>
      <c r="O893" s="88"/>
      <c r="P893" s="88"/>
      <c r="Q893" s="88"/>
      <c r="R893" s="88"/>
      <c r="S893" s="88"/>
      <c r="T893" s="88"/>
      <c r="U893" s="88"/>
      <c r="V893" s="88"/>
      <c r="W893" s="88"/>
      <c r="X893" s="88"/>
      <c r="Y893" s="88"/>
      <c r="Z893" s="88"/>
      <c r="AA893" s="88"/>
    </row>
    <row r="894" spans="1:27" ht="13.2">
      <c r="A894" s="88"/>
      <c r="B894" s="88"/>
      <c r="C894" s="88"/>
      <c r="D894" s="88"/>
      <c r="E894" s="88"/>
      <c r="F894" s="88"/>
      <c r="G894" s="88"/>
      <c r="H894" s="88"/>
      <c r="I894" s="88"/>
      <c r="J894" s="88"/>
      <c r="K894" s="88"/>
      <c r="L894" s="88"/>
      <c r="M894" s="88"/>
      <c r="N894" s="88"/>
      <c r="O894" s="88"/>
      <c r="P894" s="88"/>
      <c r="Q894" s="88"/>
      <c r="R894" s="88"/>
      <c r="S894" s="88"/>
      <c r="T894" s="88"/>
      <c r="U894" s="88"/>
      <c r="V894" s="88"/>
      <c r="W894" s="88"/>
      <c r="X894" s="88"/>
      <c r="Y894" s="88"/>
      <c r="Z894" s="88"/>
      <c r="AA894" s="88"/>
    </row>
    <row r="895" spans="1:27" ht="13.2">
      <c r="A895" s="88"/>
      <c r="B895" s="88"/>
      <c r="C895" s="88"/>
      <c r="D895" s="88"/>
      <c r="E895" s="88"/>
      <c r="F895" s="88"/>
      <c r="G895" s="88"/>
      <c r="H895" s="88"/>
      <c r="I895" s="88"/>
      <c r="J895" s="88"/>
      <c r="K895" s="88"/>
      <c r="L895" s="88"/>
      <c r="M895" s="88"/>
      <c r="N895" s="88"/>
      <c r="O895" s="88"/>
      <c r="P895" s="88"/>
      <c r="Q895" s="88"/>
      <c r="R895" s="88"/>
      <c r="S895" s="88"/>
      <c r="T895" s="88"/>
      <c r="U895" s="88"/>
      <c r="V895" s="88"/>
      <c r="W895" s="88"/>
      <c r="X895" s="88"/>
      <c r="Y895" s="88"/>
      <c r="Z895" s="88"/>
      <c r="AA895" s="88"/>
    </row>
    <row r="896" spans="1:27" ht="13.2">
      <c r="A896" s="88"/>
      <c r="B896" s="88"/>
      <c r="C896" s="88"/>
      <c r="D896" s="88"/>
      <c r="E896" s="88"/>
      <c r="F896" s="88"/>
      <c r="G896" s="88"/>
      <c r="H896" s="88"/>
      <c r="I896" s="88"/>
      <c r="J896" s="88"/>
      <c r="K896" s="88"/>
      <c r="L896" s="88"/>
      <c r="M896" s="88"/>
      <c r="N896" s="88"/>
      <c r="O896" s="88"/>
      <c r="P896" s="88"/>
      <c r="Q896" s="88"/>
      <c r="R896" s="88"/>
      <c r="S896" s="88"/>
      <c r="T896" s="88"/>
      <c r="U896" s="88"/>
      <c r="V896" s="88"/>
      <c r="W896" s="88"/>
      <c r="X896" s="88"/>
      <c r="Y896" s="88"/>
      <c r="Z896" s="88"/>
      <c r="AA896" s="88"/>
    </row>
    <row r="897" spans="1:27" ht="13.2">
      <c r="A897" s="88"/>
      <c r="B897" s="88"/>
      <c r="C897" s="88"/>
      <c r="D897" s="88"/>
      <c r="E897" s="88"/>
      <c r="F897" s="88"/>
      <c r="G897" s="88"/>
      <c r="H897" s="88"/>
      <c r="I897" s="88"/>
      <c r="J897" s="88"/>
      <c r="K897" s="88"/>
      <c r="L897" s="88"/>
      <c r="M897" s="88"/>
      <c r="N897" s="88"/>
      <c r="O897" s="88"/>
      <c r="P897" s="88"/>
      <c r="Q897" s="88"/>
      <c r="R897" s="88"/>
      <c r="S897" s="88"/>
      <c r="T897" s="88"/>
      <c r="U897" s="88"/>
      <c r="V897" s="88"/>
      <c r="W897" s="88"/>
      <c r="X897" s="88"/>
      <c r="Y897" s="88"/>
      <c r="Z897" s="88"/>
      <c r="AA897" s="88"/>
    </row>
    <row r="898" spans="1:27" ht="13.2">
      <c r="A898" s="88"/>
      <c r="B898" s="88"/>
      <c r="C898" s="88"/>
      <c r="D898" s="88"/>
      <c r="E898" s="88"/>
      <c r="F898" s="88"/>
      <c r="G898" s="88"/>
      <c r="H898" s="88"/>
      <c r="I898" s="88"/>
      <c r="J898" s="88"/>
      <c r="K898" s="88"/>
      <c r="L898" s="88"/>
      <c r="M898" s="88"/>
      <c r="N898" s="88"/>
      <c r="O898" s="88"/>
      <c r="P898" s="88"/>
      <c r="Q898" s="88"/>
      <c r="R898" s="88"/>
      <c r="S898" s="88"/>
      <c r="T898" s="88"/>
      <c r="U898" s="88"/>
      <c r="V898" s="88"/>
      <c r="W898" s="88"/>
      <c r="X898" s="88"/>
      <c r="Y898" s="88"/>
      <c r="Z898" s="88"/>
      <c r="AA898" s="88"/>
    </row>
    <row r="899" spans="1:27" ht="13.2">
      <c r="A899" s="88"/>
      <c r="B899" s="88"/>
      <c r="C899" s="88"/>
      <c r="D899" s="88"/>
      <c r="E899" s="88"/>
      <c r="F899" s="88"/>
      <c r="G899" s="88"/>
      <c r="H899" s="88"/>
      <c r="I899" s="88"/>
      <c r="J899" s="88"/>
      <c r="K899" s="88"/>
      <c r="L899" s="88"/>
      <c r="M899" s="88"/>
      <c r="N899" s="88"/>
      <c r="O899" s="88"/>
      <c r="P899" s="88"/>
      <c r="Q899" s="88"/>
      <c r="R899" s="88"/>
      <c r="S899" s="88"/>
      <c r="T899" s="88"/>
      <c r="U899" s="88"/>
      <c r="V899" s="88"/>
      <c r="W899" s="88"/>
      <c r="X899" s="88"/>
      <c r="Y899" s="88"/>
      <c r="Z899" s="88"/>
      <c r="AA899" s="88"/>
    </row>
    <row r="900" spans="1:27" ht="13.2">
      <c r="A900" s="88"/>
      <c r="B900" s="88"/>
      <c r="C900" s="88"/>
      <c r="D900" s="88"/>
      <c r="E900" s="88"/>
      <c r="F900" s="88"/>
      <c r="G900" s="88"/>
      <c r="H900" s="88"/>
      <c r="I900" s="88"/>
      <c r="J900" s="88"/>
      <c r="K900" s="88"/>
      <c r="L900" s="88"/>
      <c r="M900" s="88"/>
      <c r="N900" s="88"/>
      <c r="O900" s="88"/>
      <c r="P900" s="88"/>
      <c r="Q900" s="88"/>
      <c r="R900" s="88"/>
      <c r="S900" s="88"/>
      <c r="T900" s="88"/>
      <c r="U900" s="88"/>
      <c r="V900" s="88"/>
      <c r="W900" s="88"/>
      <c r="X900" s="88"/>
      <c r="Y900" s="88"/>
      <c r="Z900" s="88"/>
      <c r="AA900" s="88"/>
    </row>
    <row r="901" spans="1:27" ht="13.2">
      <c r="A901" s="88"/>
      <c r="B901" s="88"/>
      <c r="C901" s="88"/>
      <c r="D901" s="88"/>
      <c r="E901" s="88"/>
      <c r="F901" s="88"/>
      <c r="G901" s="88"/>
      <c r="H901" s="88"/>
      <c r="I901" s="88"/>
      <c r="J901" s="88"/>
      <c r="K901" s="88"/>
      <c r="L901" s="88"/>
      <c r="M901" s="88"/>
      <c r="N901" s="88"/>
      <c r="O901" s="88"/>
      <c r="P901" s="88"/>
      <c r="Q901" s="88"/>
      <c r="R901" s="88"/>
      <c r="S901" s="88"/>
      <c r="T901" s="88"/>
      <c r="U901" s="88"/>
      <c r="V901" s="88"/>
      <c r="W901" s="88"/>
      <c r="X901" s="88"/>
      <c r="Y901" s="88"/>
      <c r="Z901" s="88"/>
      <c r="AA901" s="88"/>
    </row>
    <row r="902" spans="1:27" ht="13.2">
      <c r="A902" s="88"/>
      <c r="B902" s="88"/>
      <c r="C902" s="88"/>
      <c r="D902" s="88"/>
      <c r="E902" s="88"/>
      <c r="F902" s="88"/>
      <c r="G902" s="88"/>
      <c r="H902" s="88"/>
      <c r="I902" s="88"/>
      <c r="J902" s="88"/>
      <c r="K902" s="88"/>
      <c r="L902" s="88"/>
      <c r="M902" s="88"/>
      <c r="N902" s="88"/>
      <c r="O902" s="88"/>
      <c r="P902" s="88"/>
      <c r="Q902" s="88"/>
      <c r="R902" s="88"/>
      <c r="S902" s="88"/>
      <c r="T902" s="88"/>
      <c r="U902" s="88"/>
      <c r="V902" s="88"/>
      <c r="W902" s="88"/>
      <c r="X902" s="88"/>
      <c r="Y902" s="88"/>
      <c r="Z902" s="88"/>
      <c r="AA902" s="88"/>
    </row>
    <row r="903" spans="1:27" ht="13.2">
      <c r="A903" s="88"/>
      <c r="B903" s="88"/>
      <c r="C903" s="88"/>
      <c r="D903" s="88"/>
      <c r="E903" s="88"/>
      <c r="F903" s="88"/>
      <c r="G903" s="88"/>
      <c r="H903" s="88"/>
      <c r="I903" s="88"/>
      <c r="J903" s="88"/>
      <c r="K903" s="88"/>
      <c r="L903" s="88"/>
      <c r="M903" s="88"/>
      <c r="N903" s="88"/>
      <c r="O903" s="88"/>
      <c r="P903" s="88"/>
      <c r="Q903" s="88"/>
      <c r="R903" s="88"/>
      <c r="S903" s="88"/>
      <c r="T903" s="88"/>
      <c r="U903" s="88"/>
      <c r="V903" s="88"/>
      <c r="W903" s="88"/>
      <c r="X903" s="88"/>
      <c r="Y903" s="88"/>
      <c r="Z903" s="88"/>
      <c r="AA903" s="88"/>
    </row>
    <row r="904" spans="1:27" ht="13.2">
      <c r="A904" s="88"/>
      <c r="B904" s="88"/>
      <c r="C904" s="88"/>
      <c r="D904" s="88"/>
      <c r="E904" s="88"/>
      <c r="F904" s="88"/>
      <c r="G904" s="88"/>
      <c r="H904" s="88"/>
      <c r="I904" s="88"/>
      <c r="J904" s="88"/>
      <c r="K904" s="88"/>
      <c r="L904" s="88"/>
      <c r="M904" s="88"/>
      <c r="N904" s="88"/>
      <c r="O904" s="88"/>
      <c r="P904" s="88"/>
      <c r="Q904" s="88"/>
      <c r="R904" s="88"/>
      <c r="S904" s="88"/>
      <c r="T904" s="88"/>
      <c r="U904" s="88"/>
      <c r="V904" s="88"/>
      <c r="W904" s="88"/>
      <c r="X904" s="88"/>
      <c r="Y904" s="88"/>
      <c r="Z904" s="88"/>
      <c r="AA904" s="88"/>
    </row>
    <row r="905" spans="1:27" ht="13.2">
      <c r="A905" s="88"/>
      <c r="B905" s="88"/>
      <c r="C905" s="88"/>
      <c r="D905" s="88"/>
      <c r="E905" s="88"/>
      <c r="F905" s="88"/>
      <c r="G905" s="88"/>
      <c r="H905" s="88"/>
      <c r="I905" s="88"/>
      <c r="J905" s="88"/>
      <c r="K905" s="88"/>
      <c r="L905" s="88"/>
      <c r="M905" s="88"/>
      <c r="N905" s="88"/>
      <c r="O905" s="88"/>
      <c r="P905" s="88"/>
      <c r="Q905" s="88"/>
      <c r="R905" s="88"/>
      <c r="S905" s="88"/>
      <c r="T905" s="88"/>
      <c r="U905" s="88"/>
      <c r="V905" s="88"/>
      <c r="W905" s="88"/>
      <c r="X905" s="88"/>
      <c r="Y905" s="88"/>
      <c r="Z905" s="88"/>
      <c r="AA905" s="88"/>
    </row>
    <row r="906" spans="1:27" ht="13.2">
      <c r="A906" s="88"/>
      <c r="B906" s="88"/>
      <c r="C906" s="88"/>
      <c r="D906" s="88"/>
      <c r="E906" s="88"/>
      <c r="F906" s="88"/>
      <c r="G906" s="88"/>
      <c r="H906" s="88"/>
      <c r="I906" s="88"/>
      <c r="J906" s="88"/>
      <c r="K906" s="88"/>
      <c r="L906" s="88"/>
      <c r="M906" s="88"/>
      <c r="N906" s="88"/>
      <c r="O906" s="88"/>
      <c r="P906" s="88"/>
      <c r="Q906" s="88"/>
      <c r="R906" s="88"/>
      <c r="S906" s="88"/>
      <c r="T906" s="88"/>
      <c r="U906" s="88"/>
      <c r="V906" s="88"/>
      <c r="W906" s="88"/>
      <c r="X906" s="88"/>
      <c r="Y906" s="88"/>
      <c r="Z906" s="88"/>
      <c r="AA906" s="88"/>
    </row>
    <row r="907" spans="1:27" ht="13.2">
      <c r="A907" s="88"/>
      <c r="B907" s="88"/>
      <c r="C907" s="88"/>
      <c r="D907" s="88"/>
      <c r="E907" s="88"/>
      <c r="F907" s="88"/>
      <c r="G907" s="88"/>
      <c r="H907" s="88"/>
      <c r="I907" s="88"/>
      <c r="J907" s="88"/>
      <c r="K907" s="88"/>
      <c r="L907" s="88"/>
      <c r="M907" s="88"/>
      <c r="N907" s="88"/>
      <c r="O907" s="88"/>
      <c r="P907" s="88"/>
      <c r="Q907" s="88"/>
      <c r="R907" s="88"/>
      <c r="S907" s="88"/>
      <c r="T907" s="88"/>
      <c r="U907" s="88"/>
      <c r="V907" s="88"/>
      <c r="W907" s="88"/>
      <c r="X907" s="88"/>
      <c r="Y907" s="88"/>
      <c r="Z907" s="88"/>
      <c r="AA907" s="88"/>
    </row>
    <row r="908" spans="1:27" ht="13.2">
      <c r="A908" s="88"/>
      <c r="B908" s="88"/>
      <c r="C908" s="88"/>
      <c r="D908" s="88"/>
      <c r="E908" s="88"/>
      <c r="F908" s="88"/>
      <c r="G908" s="88"/>
      <c r="H908" s="88"/>
      <c r="I908" s="88"/>
      <c r="J908" s="88"/>
      <c r="K908" s="88"/>
      <c r="L908" s="88"/>
      <c r="M908" s="88"/>
      <c r="N908" s="88"/>
      <c r="O908" s="88"/>
      <c r="P908" s="88"/>
      <c r="Q908" s="88"/>
      <c r="R908" s="88"/>
      <c r="S908" s="88"/>
      <c r="T908" s="88"/>
      <c r="U908" s="88"/>
      <c r="V908" s="88"/>
      <c r="W908" s="88"/>
      <c r="X908" s="88"/>
      <c r="Y908" s="88"/>
      <c r="Z908" s="88"/>
      <c r="AA908" s="88"/>
    </row>
    <row r="909" spans="1:27" ht="13.2">
      <c r="A909" s="88"/>
      <c r="B909" s="88"/>
      <c r="C909" s="88"/>
      <c r="D909" s="88"/>
      <c r="E909" s="88"/>
      <c r="F909" s="88"/>
      <c r="G909" s="88"/>
      <c r="H909" s="88"/>
      <c r="I909" s="88"/>
      <c r="J909" s="88"/>
      <c r="K909" s="88"/>
      <c r="L909" s="88"/>
      <c r="M909" s="88"/>
      <c r="N909" s="88"/>
      <c r="O909" s="88"/>
      <c r="P909" s="88"/>
      <c r="Q909" s="88"/>
      <c r="R909" s="88"/>
      <c r="S909" s="88"/>
      <c r="T909" s="88"/>
      <c r="U909" s="88"/>
      <c r="V909" s="88"/>
      <c r="W909" s="88"/>
      <c r="X909" s="88"/>
      <c r="Y909" s="88"/>
      <c r="Z909" s="88"/>
      <c r="AA909" s="88"/>
    </row>
    <row r="910" spans="1:27" ht="13.2">
      <c r="A910" s="88"/>
      <c r="B910" s="88"/>
      <c r="C910" s="88"/>
      <c r="D910" s="88"/>
      <c r="E910" s="88"/>
      <c r="F910" s="88"/>
      <c r="G910" s="88"/>
      <c r="H910" s="88"/>
      <c r="I910" s="88"/>
      <c r="J910" s="88"/>
      <c r="K910" s="88"/>
      <c r="L910" s="88"/>
      <c r="M910" s="88"/>
      <c r="N910" s="88"/>
      <c r="O910" s="88"/>
      <c r="P910" s="88"/>
      <c r="Q910" s="88"/>
      <c r="R910" s="88"/>
      <c r="S910" s="88"/>
      <c r="T910" s="88"/>
      <c r="U910" s="88"/>
      <c r="V910" s="88"/>
      <c r="W910" s="88"/>
      <c r="X910" s="88"/>
      <c r="Y910" s="88"/>
      <c r="Z910" s="88"/>
      <c r="AA910" s="88"/>
    </row>
    <row r="911" spans="1:27" ht="13.2">
      <c r="A911" s="88"/>
      <c r="B911" s="88"/>
      <c r="C911" s="88"/>
      <c r="D911" s="88"/>
      <c r="E911" s="88"/>
      <c r="F911" s="88"/>
      <c r="G911" s="88"/>
      <c r="H911" s="88"/>
      <c r="I911" s="88"/>
      <c r="J911" s="88"/>
      <c r="K911" s="88"/>
      <c r="L911" s="88"/>
      <c r="M911" s="88"/>
      <c r="N911" s="88"/>
      <c r="O911" s="88"/>
      <c r="P911" s="88"/>
      <c r="Q911" s="88"/>
      <c r="R911" s="88"/>
      <c r="S911" s="88"/>
      <c r="T911" s="88"/>
      <c r="U911" s="88"/>
      <c r="V911" s="88"/>
      <c r="W911" s="88"/>
      <c r="X911" s="88"/>
      <c r="Y911" s="88"/>
      <c r="Z911" s="88"/>
      <c r="AA911" s="88"/>
    </row>
    <row r="912" spans="1:27" ht="13.2">
      <c r="A912" s="88"/>
      <c r="B912" s="88"/>
      <c r="C912" s="88"/>
      <c r="D912" s="88"/>
      <c r="E912" s="88"/>
      <c r="F912" s="88"/>
      <c r="G912" s="88"/>
      <c r="H912" s="88"/>
      <c r="I912" s="88"/>
      <c r="J912" s="88"/>
      <c r="K912" s="88"/>
      <c r="L912" s="88"/>
      <c r="M912" s="88"/>
      <c r="N912" s="88"/>
      <c r="O912" s="88"/>
      <c r="P912" s="88"/>
      <c r="Q912" s="88"/>
      <c r="R912" s="88"/>
      <c r="S912" s="88"/>
      <c r="T912" s="88"/>
      <c r="U912" s="88"/>
      <c r="V912" s="88"/>
      <c r="W912" s="88"/>
      <c r="X912" s="88"/>
      <c r="Y912" s="88"/>
      <c r="Z912" s="88"/>
      <c r="AA912" s="88"/>
    </row>
    <row r="913" spans="1:27" ht="13.2">
      <c r="A913" s="88"/>
      <c r="B913" s="88"/>
      <c r="C913" s="88"/>
      <c r="D913" s="88"/>
      <c r="E913" s="88"/>
      <c r="F913" s="88"/>
      <c r="G913" s="88"/>
      <c r="H913" s="88"/>
      <c r="I913" s="88"/>
      <c r="J913" s="88"/>
      <c r="K913" s="88"/>
      <c r="L913" s="88"/>
      <c r="M913" s="88"/>
      <c r="N913" s="88"/>
      <c r="O913" s="88"/>
      <c r="P913" s="88"/>
      <c r="Q913" s="88"/>
      <c r="R913" s="88"/>
      <c r="S913" s="88"/>
      <c r="T913" s="88"/>
      <c r="U913" s="88"/>
      <c r="V913" s="88"/>
      <c r="W913" s="88"/>
      <c r="X913" s="88"/>
      <c r="Y913" s="88"/>
      <c r="Z913" s="88"/>
      <c r="AA913" s="88"/>
    </row>
    <row r="914" spans="1:27" ht="13.2">
      <c r="A914" s="88"/>
      <c r="B914" s="88"/>
      <c r="C914" s="88"/>
      <c r="D914" s="88"/>
      <c r="E914" s="88"/>
      <c r="F914" s="88"/>
      <c r="G914" s="88"/>
      <c r="H914" s="88"/>
      <c r="I914" s="88"/>
      <c r="J914" s="88"/>
      <c r="K914" s="88"/>
      <c r="L914" s="88"/>
      <c r="M914" s="88"/>
      <c r="N914" s="88"/>
      <c r="O914" s="88"/>
      <c r="P914" s="88"/>
      <c r="Q914" s="88"/>
      <c r="R914" s="88"/>
      <c r="S914" s="88"/>
      <c r="T914" s="88"/>
      <c r="U914" s="88"/>
      <c r="V914" s="88"/>
      <c r="W914" s="88"/>
      <c r="X914" s="88"/>
      <c r="Y914" s="88"/>
      <c r="Z914" s="88"/>
      <c r="AA914" s="88"/>
    </row>
    <row r="915" spans="1:27" ht="13.2">
      <c r="A915" s="88"/>
      <c r="B915" s="88"/>
      <c r="C915" s="88"/>
      <c r="D915" s="88"/>
      <c r="E915" s="88"/>
      <c r="F915" s="88"/>
      <c r="G915" s="88"/>
      <c r="H915" s="88"/>
      <c r="I915" s="88"/>
      <c r="J915" s="88"/>
      <c r="K915" s="88"/>
      <c r="L915" s="88"/>
      <c r="M915" s="88"/>
      <c r="N915" s="88"/>
      <c r="O915" s="88"/>
      <c r="P915" s="88"/>
      <c r="Q915" s="88"/>
      <c r="R915" s="88"/>
      <c r="S915" s="88"/>
      <c r="T915" s="88"/>
      <c r="U915" s="88"/>
      <c r="V915" s="88"/>
      <c r="W915" s="88"/>
      <c r="X915" s="88"/>
      <c r="Y915" s="88"/>
      <c r="Z915" s="88"/>
      <c r="AA915" s="88"/>
    </row>
    <row r="916" spans="1:27" ht="13.2">
      <c r="A916" s="88"/>
      <c r="B916" s="88"/>
      <c r="C916" s="88"/>
      <c r="D916" s="88"/>
      <c r="E916" s="88"/>
      <c r="F916" s="88"/>
      <c r="G916" s="88"/>
      <c r="H916" s="88"/>
      <c r="I916" s="88"/>
      <c r="J916" s="88"/>
      <c r="K916" s="88"/>
      <c r="L916" s="88"/>
      <c r="M916" s="88"/>
      <c r="N916" s="88"/>
      <c r="O916" s="88"/>
      <c r="P916" s="88"/>
      <c r="Q916" s="88"/>
      <c r="R916" s="88"/>
      <c r="S916" s="88"/>
      <c r="T916" s="88"/>
      <c r="U916" s="88"/>
      <c r="V916" s="88"/>
      <c r="W916" s="88"/>
      <c r="X916" s="88"/>
      <c r="Y916" s="88"/>
      <c r="Z916" s="88"/>
      <c r="AA916" s="88"/>
    </row>
    <row r="917" spans="1:27" ht="13.2">
      <c r="A917" s="88"/>
      <c r="B917" s="88"/>
      <c r="C917" s="88"/>
      <c r="D917" s="88"/>
      <c r="E917" s="88"/>
      <c r="F917" s="88"/>
      <c r="G917" s="88"/>
      <c r="H917" s="88"/>
      <c r="I917" s="88"/>
      <c r="J917" s="88"/>
      <c r="K917" s="88"/>
      <c r="L917" s="88"/>
      <c r="M917" s="88"/>
      <c r="N917" s="88"/>
      <c r="O917" s="88"/>
      <c r="P917" s="88"/>
      <c r="Q917" s="88"/>
      <c r="R917" s="88"/>
      <c r="S917" s="88"/>
      <c r="T917" s="88"/>
      <c r="U917" s="88"/>
      <c r="V917" s="88"/>
      <c r="W917" s="88"/>
      <c r="X917" s="88"/>
      <c r="Y917" s="88"/>
      <c r="Z917" s="88"/>
      <c r="AA917" s="88"/>
    </row>
    <row r="918" spans="1:27" ht="13.2">
      <c r="A918" s="88"/>
      <c r="B918" s="88"/>
      <c r="C918" s="88"/>
      <c r="D918" s="88"/>
      <c r="E918" s="88"/>
      <c r="F918" s="88"/>
      <c r="G918" s="88"/>
      <c r="H918" s="88"/>
      <c r="I918" s="88"/>
      <c r="J918" s="88"/>
      <c r="K918" s="88"/>
      <c r="L918" s="88"/>
      <c r="M918" s="88"/>
      <c r="N918" s="88"/>
      <c r="O918" s="88"/>
      <c r="P918" s="88"/>
      <c r="Q918" s="88"/>
      <c r="R918" s="88"/>
      <c r="S918" s="88"/>
      <c r="T918" s="88"/>
      <c r="U918" s="88"/>
      <c r="V918" s="88"/>
      <c r="W918" s="88"/>
      <c r="X918" s="88"/>
      <c r="Y918" s="88"/>
      <c r="Z918" s="88"/>
      <c r="AA918" s="88"/>
    </row>
    <row r="919" spans="1:27" ht="13.2">
      <c r="A919" s="88"/>
      <c r="B919" s="88"/>
      <c r="C919" s="88"/>
      <c r="D919" s="88"/>
      <c r="E919" s="88"/>
      <c r="F919" s="88"/>
      <c r="G919" s="88"/>
      <c r="H919" s="88"/>
      <c r="I919" s="88"/>
      <c r="J919" s="88"/>
      <c r="K919" s="88"/>
      <c r="L919" s="88"/>
      <c r="M919" s="88"/>
      <c r="N919" s="88"/>
      <c r="O919" s="88"/>
      <c r="P919" s="88"/>
      <c r="Q919" s="88"/>
      <c r="R919" s="88"/>
      <c r="S919" s="88"/>
      <c r="T919" s="88"/>
      <c r="U919" s="88"/>
      <c r="V919" s="88"/>
      <c r="W919" s="88"/>
      <c r="X919" s="88"/>
      <c r="Y919" s="88"/>
      <c r="Z919" s="88"/>
      <c r="AA919" s="88"/>
    </row>
    <row r="920" spans="1:27" ht="13.2">
      <c r="A920" s="88"/>
      <c r="B920" s="88"/>
      <c r="C920" s="88"/>
      <c r="D920" s="88"/>
      <c r="E920" s="88"/>
      <c r="F920" s="88"/>
      <c r="G920" s="88"/>
      <c r="H920" s="88"/>
      <c r="I920" s="88"/>
      <c r="J920" s="88"/>
      <c r="K920" s="88"/>
      <c r="L920" s="88"/>
      <c r="M920" s="88"/>
      <c r="N920" s="88"/>
      <c r="O920" s="88"/>
      <c r="P920" s="88"/>
      <c r="Q920" s="88"/>
      <c r="R920" s="88"/>
      <c r="S920" s="88"/>
      <c r="T920" s="88"/>
      <c r="U920" s="88"/>
      <c r="V920" s="88"/>
      <c r="W920" s="88"/>
      <c r="X920" s="88"/>
      <c r="Y920" s="88"/>
      <c r="Z920" s="88"/>
      <c r="AA920" s="88"/>
    </row>
    <row r="921" spans="1:27" ht="13.2">
      <c r="A921" s="88"/>
      <c r="B921" s="88"/>
      <c r="C921" s="88"/>
      <c r="D921" s="88"/>
      <c r="E921" s="88"/>
      <c r="F921" s="88"/>
      <c r="G921" s="88"/>
      <c r="H921" s="88"/>
      <c r="I921" s="88"/>
      <c r="J921" s="88"/>
      <c r="K921" s="88"/>
      <c r="L921" s="88"/>
      <c r="M921" s="88"/>
      <c r="N921" s="88"/>
      <c r="O921" s="88"/>
      <c r="P921" s="88"/>
      <c r="Q921" s="88"/>
      <c r="R921" s="88"/>
      <c r="S921" s="88"/>
      <c r="T921" s="88"/>
      <c r="U921" s="88"/>
      <c r="V921" s="88"/>
      <c r="W921" s="88"/>
      <c r="X921" s="88"/>
      <c r="Y921" s="88"/>
      <c r="Z921" s="88"/>
      <c r="AA921" s="88"/>
    </row>
    <row r="922" spans="1:27" ht="13.2">
      <c r="A922" s="88"/>
      <c r="B922" s="88"/>
      <c r="C922" s="88"/>
      <c r="D922" s="88"/>
      <c r="E922" s="88"/>
      <c r="F922" s="88"/>
      <c r="G922" s="88"/>
      <c r="H922" s="88"/>
      <c r="I922" s="88"/>
      <c r="J922" s="88"/>
      <c r="K922" s="88"/>
      <c r="L922" s="88"/>
      <c r="M922" s="88"/>
      <c r="N922" s="88"/>
      <c r="O922" s="88"/>
      <c r="P922" s="88"/>
      <c r="Q922" s="88"/>
      <c r="R922" s="88"/>
      <c r="S922" s="88"/>
      <c r="T922" s="88"/>
      <c r="U922" s="88"/>
      <c r="V922" s="88"/>
      <c r="W922" s="88"/>
      <c r="X922" s="88"/>
      <c r="Y922" s="88"/>
      <c r="Z922" s="88"/>
      <c r="AA922" s="88"/>
    </row>
    <row r="923" spans="1:27" ht="13.2">
      <c r="A923" s="88"/>
      <c r="B923" s="88"/>
      <c r="C923" s="88"/>
      <c r="D923" s="88"/>
      <c r="E923" s="88"/>
      <c r="F923" s="88"/>
      <c r="G923" s="88"/>
      <c r="H923" s="88"/>
      <c r="I923" s="88"/>
      <c r="J923" s="88"/>
      <c r="K923" s="88"/>
      <c r="L923" s="88"/>
      <c r="M923" s="88"/>
      <c r="N923" s="88"/>
      <c r="O923" s="88"/>
      <c r="P923" s="88"/>
      <c r="Q923" s="88"/>
      <c r="R923" s="88"/>
      <c r="S923" s="88"/>
      <c r="T923" s="88"/>
      <c r="U923" s="88"/>
      <c r="V923" s="88"/>
      <c r="W923" s="88"/>
      <c r="X923" s="88"/>
      <c r="Y923" s="88"/>
      <c r="Z923" s="88"/>
      <c r="AA923" s="88"/>
    </row>
    <row r="924" spans="1:27" ht="13.2">
      <c r="A924" s="88"/>
      <c r="B924" s="88"/>
      <c r="C924" s="88"/>
      <c r="D924" s="88"/>
      <c r="E924" s="88"/>
      <c r="F924" s="88"/>
      <c r="G924" s="88"/>
      <c r="H924" s="88"/>
      <c r="I924" s="88"/>
      <c r="J924" s="88"/>
      <c r="K924" s="88"/>
      <c r="L924" s="88"/>
      <c r="M924" s="88"/>
      <c r="N924" s="88"/>
      <c r="O924" s="88"/>
      <c r="P924" s="88"/>
      <c r="Q924" s="88"/>
      <c r="R924" s="88"/>
      <c r="S924" s="88"/>
      <c r="T924" s="88"/>
      <c r="U924" s="88"/>
      <c r="V924" s="88"/>
      <c r="W924" s="88"/>
      <c r="X924" s="88"/>
      <c r="Y924" s="88"/>
      <c r="Z924" s="88"/>
      <c r="AA924" s="88"/>
    </row>
    <row r="925" spans="1:27" ht="13.2">
      <c r="A925" s="88"/>
      <c r="B925" s="88"/>
      <c r="C925" s="88"/>
      <c r="D925" s="88"/>
      <c r="E925" s="88"/>
      <c r="F925" s="88"/>
      <c r="G925" s="88"/>
      <c r="H925" s="88"/>
      <c r="I925" s="88"/>
      <c r="J925" s="88"/>
      <c r="K925" s="88"/>
      <c r="L925" s="88"/>
      <c r="M925" s="88"/>
      <c r="N925" s="88"/>
      <c r="O925" s="88"/>
      <c r="P925" s="88"/>
      <c r="Q925" s="88"/>
      <c r="R925" s="88"/>
      <c r="S925" s="88"/>
      <c r="T925" s="88"/>
      <c r="U925" s="88"/>
      <c r="V925" s="88"/>
      <c r="W925" s="88"/>
      <c r="X925" s="88"/>
      <c r="Y925" s="88"/>
      <c r="Z925" s="88"/>
      <c r="AA925" s="88"/>
    </row>
    <row r="926" spans="1:27" ht="13.2">
      <c r="A926" s="88"/>
      <c r="B926" s="88"/>
      <c r="C926" s="88"/>
      <c r="D926" s="88"/>
      <c r="E926" s="88"/>
      <c r="F926" s="88"/>
      <c r="G926" s="88"/>
      <c r="H926" s="88"/>
      <c r="I926" s="88"/>
      <c r="J926" s="88"/>
      <c r="K926" s="88"/>
      <c r="L926" s="88"/>
      <c r="M926" s="88"/>
      <c r="N926" s="88"/>
      <c r="O926" s="88"/>
      <c r="P926" s="88"/>
      <c r="Q926" s="88"/>
      <c r="R926" s="88"/>
      <c r="S926" s="88"/>
      <c r="T926" s="88"/>
      <c r="U926" s="88"/>
      <c r="V926" s="88"/>
      <c r="W926" s="88"/>
      <c r="X926" s="88"/>
      <c r="Y926" s="88"/>
      <c r="Z926" s="88"/>
      <c r="AA926" s="88"/>
    </row>
    <row r="927" spans="1:27" ht="13.2">
      <c r="A927" s="88"/>
      <c r="B927" s="88"/>
      <c r="C927" s="88"/>
      <c r="D927" s="88"/>
      <c r="E927" s="88"/>
      <c r="F927" s="88"/>
      <c r="G927" s="88"/>
      <c r="H927" s="88"/>
      <c r="I927" s="88"/>
      <c r="J927" s="88"/>
      <c r="K927" s="88"/>
      <c r="L927" s="88"/>
      <c r="M927" s="88"/>
      <c r="N927" s="88"/>
      <c r="O927" s="88"/>
      <c r="P927" s="88"/>
      <c r="Q927" s="88"/>
      <c r="R927" s="88"/>
      <c r="S927" s="88"/>
      <c r="T927" s="88"/>
      <c r="U927" s="88"/>
      <c r="V927" s="88"/>
      <c r="W927" s="88"/>
      <c r="X927" s="88"/>
      <c r="Y927" s="88"/>
      <c r="Z927" s="88"/>
      <c r="AA927" s="88"/>
    </row>
    <row r="928" spans="1:27" ht="13.2">
      <c r="A928" s="88"/>
      <c r="B928" s="88"/>
      <c r="C928" s="88"/>
      <c r="D928" s="88"/>
      <c r="E928" s="88"/>
      <c r="F928" s="88"/>
      <c r="G928" s="88"/>
      <c r="H928" s="88"/>
      <c r="I928" s="88"/>
      <c r="J928" s="88"/>
      <c r="K928" s="88"/>
      <c r="L928" s="88"/>
      <c r="M928" s="88"/>
      <c r="N928" s="88"/>
      <c r="O928" s="88"/>
      <c r="P928" s="88"/>
      <c r="Q928" s="88"/>
      <c r="R928" s="88"/>
      <c r="S928" s="88"/>
      <c r="T928" s="88"/>
      <c r="U928" s="88"/>
      <c r="V928" s="88"/>
      <c r="W928" s="88"/>
      <c r="X928" s="88"/>
      <c r="Y928" s="88"/>
      <c r="Z928" s="88"/>
      <c r="AA928" s="88"/>
    </row>
    <row r="929" spans="1:27" ht="13.2">
      <c r="A929" s="88"/>
      <c r="B929" s="88"/>
      <c r="C929" s="88"/>
      <c r="D929" s="88"/>
      <c r="E929" s="88"/>
      <c r="F929" s="88"/>
      <c r="G929" s="88"/>
      <c r="H929" s="88"/>
      <c r="I929" s="88"/>
      <c r="J929" s="88"/>
      <c r="K929" s="88"/>
      <c r="L929" s="88"/>
      <c r="M929" s="88"/>
      <c r="N929" s="88"/>
      <c r="O929" s="88"/>
      <c r="P929" s="88"/>
      <c r="Q929" s="88"/>
      <c r="R929" s="88"/>
      <c r="S929" s="88"/>
      <c r="T929" s="88"/>
      <c r="U929" s="88"/>
      <c r="V929" s="88"/>
      <c r="W929" s="88"/>
      <c r="X929" s="88"/>
      <c r="Y929" s="88"/>
      <c r="Z929" s="88"/>
      <c r="AA929" s="88"/>
    </row>
    <row r="930" spans="1:27" ht="13.2">
      <c r="A930" s="88"/>
      <c r="B930" s="88"/>
      <c r="C930" s="88"/>
      <c r="D930" s="88"/>
      <c r="E930" s="88"/>
      <c r="F930" s="88"/>
      <c r="G930" s="88"/>
      <c r="H930" s="88"/>
      <c r="I930" s="88"/>
      <c r="J930" s="88"/>
      <c r="K930" s="88"/>
      <c r="L930" s="88"/>
      <c r="M930" s="88"/>
      <c r="N930" s="88"/>
      <c r="O930" s="88"/>
      <c r="P930" s="88"/>
      <c r="Q930" s="88"/>
      <c r="R930" s="88"/>
      <c r="S930" s="88"/>
      <c r="T930" s="88"/>
      <c r="U930" s="88"/>
      <c r="V930" s="88"/>
      <c r="W930" s="88"/>
      <c r="X930" s="88"/>
      <c r="Y930" s="88"/>
      <c r="Z930" s="88"/>
      <c r="AA930" s="88"/>
    </row>
    <row r="931" spans="1:27" ht="13.2">
      <c r="A931" s="88"/>
      <c r="B931" s="88"/>
      <c r="C931" s="88"/>
      <c r="D931" s="88"/>
      <c r="E931" s="88"/>
      <c r="F931" s="88"/>
      <c r="G931" s="88"/>
      <c r="H931" s="88"/>
      <c r="I931" s="88"/>
      <c r="J931" s="88"/>
      <c r="K931" s="88"/>
      <c r="L931" s="88"/>
      <c r="M931" s="88"/>
      <c r="N931" s="88"/>
      <c r="O931" s="88"/>
      <c r="P931" s="88"/>
      <c r="Q931" s="88"/>
      <c r="R931" s="88"/>
      <c r="S931" s="88"/>
      <c r="T931" s="88"/>
      <c r="U931" s="88"/>
      <c r="V931" s="88"/>
      <c r="W931" s="88"/>
      <c r="X931" s="88"/>
      <c r="Y931" s="88"/>
      <c r="Z931" s="88"/>
      <c r="AA931" s="88"/>
    </row>
    <row r="932" spans="1:27" ht="13.2">
      <c r="A932" s="88"/>
      <c r="B932" s="88"/>
      <c r="C932" s="88"/>
      <c r="D932" s="88"/>
      <c r="E932" s="88"/>
      <c r="F932" s="88"/>
      <c r="G932" s="88"/>
      <c r="H932" s="88"/>
      <c r="I932" s="88"/>
      <c r="J932" s="88"/>
      <c r="K932" s="88"/>
      <c r="L932" s="88"/>
      <c r="M932" s="88"/>
      <c r="N932" s="88"/>
      <c r="O932" s="88"/>
      <c r="P932" s="88"/>
      <c r="Q932" s="88"/>
      <c r="R932" s="88"/>
      <c r="S932" s="88"/>
      <c r="T932" s="88"/>
      <c r="U932" s="88"/>
      <c r="V932" s="88"/>
      <c r="W932" s="88"/>
      <c r="X932" s="88"/>
      <c r="Y932" s="88"/>
      <c r="Z932" s="88"/>
      <c r="AA932" s="88"/>
    </row>
    <row r="933" spans="1:27" ht="13.2">
      <c r="A933" s="88"/>
      <c r="B933" s="88"/>
      <c r="C933" s="88"/>
      <c r="D933" s="88"/>
      <c r="E933" s="88"/>
      <c r="F933" s="88"/>
      <c r="G933" s="88"/>
      <c r="H933" s="88"/>
      <c r="I933" s="88"/>
      <c r="J933" s="88"/>
      <c r="K933" s="88"/>
      <c r="L933" s="88"/>
      <c r="M933" s="88"/>
      <c r="N933" s="88"/>
      <c r="O933" s="88"/>
      <c r="P933" s="88"/>
      <c r="Q933" s="88"/>
      <c r="R933" s="88"/>
      <c r="S933" s="88"/>
      <c r="T933" s="88"/>
      <c r="U933" s="88"/>
      <c r="V933" s="88"/>
      <c r="W933" s="88"/>
      <c r="X933" s="88"/>
      <c r="Y933" s="88"/>
      <c r="Z933" s="88"/>
      <c r="AA933" s="88"/>
    </row>
    <row r="934" spans="1:27" ht="13.2">
      <c r="A934" s="88"/>
      <c r="B934" s="88"/>
      <c r="C934" s="88"/>
      <c r="D934" s="88"/>
      <c r="E934" s="88"/>
      <c r="F934" s="88"/>
      <c r="G934" s="88"/>
      <c r="H934" s="88"/>
      <c r="I934" s="88"/>
      <c r="J934" s="88"/>
      <c r="K934" s="88"/>
      <c r="L934" s="88"/>
      <c r="M934" s="88"/>
      <c r="N934" s="88"/>
      <c r="O934" s="88"/>
      <c r="P934" s="88"/>
      <c r="Q934" s="88"/>
      <c r="R934" s="88"/>
      <c r="S934" s="88"/>
      <c r="T934" s="88"/>
      <c r="U934" s="88"/>
      <c r="V934" s="88"/>
      <c r="W934" s="88"/>
      <c r="X934" s="88"/>
      <c r="Y934" s="88"/>
      <c r="Z934" s="88"/>
      <c r="AA934" s="88"/>
    </row>
    <row r="935" spans="1:27" ht="13.2">
      <c r="A935" s="88"/>
      <c r="B935" s="88"/>
      <c r="C935" s="88"/>
      <c r="D935" s="88"/>
      <c r="E935" s="88"/>
      <c r="F935" s="88"/>
      <c r="G935" s="88"/>
      <c r="H935" s="88"/>
      <c r="I935" s="88"/>
      <c r="J935" s="88"/>
      <c r="K935" s="88"/>
      <c r="L935" s="88"/>
      <c r="M935" s="88"/>
      <c r="N935" s="88"/>
      <c r="O935" s="88"/>
      <c r="P935" s="88"/>
      <c r="Q935" s="88"/>
      <c r="R935" s="88"/>
      <c r="S935" s="88"/>
      <c r="T935" s="88"/>
      <c r="U935" s="88"/>
      <c r="V935" s="88"/>
      <c r="W935" s="88"/>
      <c r="X935" s="88"/>
      <c r="Y935" s="88"/>
      <c r="Z935" s="88"/>
      <c r="AA935" s="88"/>
    </row>
    <row r="936" spans="1:27" ht="13.2">
      <c r="A936" s="88"/>
      <c r="B936" s="88"/>
      <c r="C936" s="88"/>
      <c r="D936" s="88"/>
      <c r="E936" s="88"/>
      <c r="F936" s="88"/>
      <c r="G936" s="88"/>
      <c r="H936" s="88"/>
      <c r="I936" s="88"/>
      <c r="J936" s="88"/>
      <c r="K936" s="88"/>
      <c r="L936" s="88"/>
      <c r="M936" s="88"/>
      <c r="N936" s="88"/>
      <c r="O936" s="88"/>
      <c r="P936" s="88"/>
      <c r="Q936" s="88"/>
      <c r="R936" s="88"/>
      <c r="S936" s="88"/>
      <c r="T936" s="88"/>
      <c r="U936" s="88"/>
      <c r="V936" s="88"/>
      <c r="W936" s="88"/>
      <c r="X936" s="88"/>
      <c r="Y936" s="88"/>
      <c r="Z936" s="88"/>
      <c r="AA936" s="88"/>
    </row>
    <row r="937" spans="1:27" ht="13.2">
      <c r="A937" s="88"/>
      <c r="B937" s="88"/>
      <c r="C937" s="88"/>
      <c r="D937" s="88"/>
      <c r="E937" s="88"/>
      <c r="F937" s="88"/>
      <c r="G937" s="88"/>
      <c r="H937" s="88"/>
      <c r="I937" s="88"/>
      <c r="J937" s="88"/>
      <c r="K937" s="88"/>
      <c r="L937" s="88"/>
      <c r="M937" s="88"/>
      <c r="N937" s="88"/>
      <c r="O937" s="88"/>
      <c r="P937" s="88"/>
      <c r="Q937" s="88"/>
      <c r="R937" s="88"/>
      <c r="S937" s="88"/>
      <c r="T937" s="88"/>
      <c r="U937" s="88"/>
      <c r="V937" s="88"/>
      <c r="W937" s="88"/>
      <c r="X937" s="88"/>
      <c r="Y937" s="88"/>
      <c r="Z937" s="88"/>
      <c r="AA937" s="88"/>
    </row>
    <row r="938" spans="1:27" ht="13.2">
      <c r="A938" s="88"/>
      <c r="B938" s="88"/>
      <c r="C938" s="88"/>
      <c r="D938" s="88"/>
      <c r="E938" s="88"/>
      <c r="F938" s="88"/>
      <c r="G938" s="88"/>
      <c r="H938" s="88"/>
      <c r="I938" s="88"/>
      <c r="J938" s="88"/>
      <c r="K938" s="88"/>
      <c r="L938" s="88"/>
      <c r="M938" s="88"/>
      <c r="N938" s="88"/>
      <c r="O938" s="88"/>
      <c r="P938" s="88"/>
      <c r="Q938" s="88"/>
      <c r="R938" s="88"/>
      <c r="S938" s="88"/>
      <c r="T938" s="88"/>
      <c r="U938" s="88"/>
      <c r="V938" s="88"/>
      <c r="W938" s="88"/>
      <c r="X938" s="88"/>
      <c r="Y938" s="88"/>
      <c r="Z938" s="88"/>
      <c r="AA938" s="88"/>
    </row>
    <row r="939" spans="1:27" ht="13.2">
      <c r="A939" s="88"/>
      <c r="B939" s="88"/>
      <c r="C939" s="88"/>
      <c r="D939" s="88"/>
      <c r="E939" s="88"/>
      <c r="F939" s="88"/>
      <c r="G939" s="88"/>
      <c r="H939" s="88"/>
      <c r="I939" s="88"/>
      <c r="J939" s="88"/>
      <c r="K939" s="88"/>
      <c r="L939" s="88"/>
      <c r="M939" s="88"/>
      <c r="N939" s="88"/>
      <c r="O939" s="88"/>
      <c r="P939" s="88"/>
      <c r="Q939" s="88"/>
      <c r="R939" s="88"/>
      <c r="S939" s="88"/>
      <c r="T939" s="88"/>
      <c r="U939" s="88"/>
      <c r="V939" s="88"/>
      <c r="W939" s="88"/>
      <c r="X939" s="88"/>
      <c r="Y939" s="88"/>
      <c r="Z939" s="88"/>
      <c r="AA939" s="88"/>
    </row>
    <row r="940" spans="1:27" ht="13.2">
      <c r="A940" s="88"/>
      <c r="B940" s="88"/>
      <c r="C940" s="88"/>
      <c r="D940" s="88"/>
      <c r="E940" s="88"/>
      <c r="F940" s="88"/>
      <c r="G940" s="88"/>
      <c r="H940" s="88"/>
      <c r="I940" s="88"/>
      <c r="J940" s="88"/>
      <c r="K940" s="88"/>
      <c r="L940" s="88"/>
      <c r="M940" s="88"/>
      <c r="N940" s="88"/>
      <c r="O940" s="88"/>
      <c r="P940" s="88"/>
      <c r="Q940" s="88"/>
      <c r="R940" s="88"/>
      <c r="S940" s="88"/>
      <c r="T940" s="88"/>
      <c r="U940" s="88"/>
      <c r="V940" s="88"/>
      <c r="W940" s="88"/>
      <c r="X940" s="88"/>
      <c r="Y940" s="88"/>
      <c r="Z940" s="88"/>
      <c r="AA940" s="88"/>
    </row>
    <row r="941" spans="1:27" ht="13.2">
      <c r="A941" s="88"/>
      <c r="B941" s="88"/>
      <c r="C941" s="88"/>
      <c r="D941" s="88"/>
      <c r="E941" s="88"/>
      <c r="F941" s="88"/>
      <c r="G941" s="88"/>
      <c r="H941" s="88"/>
      <c r="I941" s="88"/>
      <c r="J941" s="88"/>
      <c r="K941" s="88"/>
      <c r="L941" s="88"/>
      <c r="M941" s="88"/>
      <c r="N941" s="88"/>
      <c r="O941" s="88"/>
      <c r="P941" s="88"/>
      <c r="Q941" s="88"/>
      <c r="R941" s="88"/>
      <c r="S941" s="88"/>
      <c r="T941" s="88"/>
      <c r="U941" s="88"/>
      <c r="V941" s="88"/>
      <c r="W941" s="88"/>
      <c r="X941" s="88"/>
      <c r="Y941" s="88"/>
      <c r="Z941" s="88"/>
      <c r="AA941" s="88"/>
    </row>
    <row r="942" spans="1:27" ht="13.2">
      <c r="A942" s="88"/>
      <c r="B942" s="88"/>
      <c r="C942" s="88"/>
      <c r="D942" s="88"/>
      <c r="E942" s="88"/>
      <c r="F942" s="88"/>
      <c r="G942" s="88"/>
      <c r="H942" s="88"/>
      <c r="I942" s="88"/>
      <c r="J942" s="88"/>
      <c r="K942" s="88"/>
      <c r="L942" s="88"/>
      <c r="M942" s="88"/>
      <c r="N942" s="88"/>
      <c r="O942" s="88"/>
      <c r="P942" s="88"/>
      <c r="Q942" s="88"/>
      <c r="R942" s="88"/>
      <c r="S942" s="88"/>
      <c r="T942" s="88"/>
      <c r="U942" s="88"/>
      <c r="V942" s="88"/>
      <c r="W942" s="88"/>
      <c r="X942" s="88"/>
      <c r="Y942" s="88"/>
      <c r="Z942" s="88"/>
      <c r="AA942" s="88"/>
    </row>
    <row r="943" spans="1:27" ht="13.2">
      <c r="A943" s="88"/>
      <c r="B943" s="88"/>
      <c r="C943" s="88"/>
      <c r="D943" s="88"/>
      <c r="E943" s="88"/>
      <c r="F943" s="88"/>
      <c r="G943" s="88"/>
      <c r="H943" s="88"/>
      <c r="I943" s="88"/>
      <c r="J943" s="88"/>
      <c r="K943" s="88"/>
      <c r="L943" s="88"/>
      <c r="M943" s="88"/>
      <c r="N943" s="88"/>
      <c r="O943" s="88"/>
      <c r="P943" s="88"/>
      <c r="Q943" s="88"/>
      <c r="R943" s="88"/>
      <c r="S943" s="88"/>
      <c r="T943" s="88"/>
      <c r="U943" s="88"/>
      <c r="V943" s="88"/>
      <c r="W943" s="88"/>
      <c r="X943" s="88"/>
      <c r="Y943" s="88"/>
      <c r="Z943" s="88"/>
      <c r="AA943" s="88"/>
    </row>
    <row r="944" spans="1:27" ht="13.2">
      <c r="A944" s="88"/>
      <c r="B944" s="88"/>
      <c r="C944" s="88"/>
      <c r="D944" s="88"/>
      <c r="E944" s="88"/>
      <c r="F944" s="88"/>
      <c r="G944" s="88"/>
      <c r="H944" s="88"/>
      <c r="I944" s="88"/>
      <c r="J944" s="88"/>
      <c r="K944" s="88"/>
      <c r="L944" s="88"/>
      <c r="M944" s="88"/>
      <c r="N944" s="88"/>
      <c r="O944" s="88"/>
      <c r="P944" s="88"/>
      <c r="Q944" s="88"/>
      <c r="R944" s="88"/>
      <c r="S944" s="88"/>
      <c r="T944" s="88"/>
      <c r="U944" s="88"/>
      <c r="V944" s="88"/>
      <c r="W944" s="88"/>
      <c r="X944" s="88"/>
      <c r="Y944" s="88"/>
      <c r="Z944" s="88"/>
      <c r="AA944" s="88"/>
    </row>
    <row r="945" spans="1:27" ht="13.2">
      <c r="A945" s="88"/>
      <c r="B945" s="88"/>
      <c r="C945" s="88"/>
      <c r="D945" s="88"/>
      <c r="E945" s="88"/>
      <c r="F945" s="88"/>
      <c r="G945" s="88"/>
      <c r="H945" s="88"/>
      <c r="I945" s="88"/>
      <c r="J945" s="88"/>
      <c r="K945" s="88"/>
      <c r="L945" s="88"/>
      <c r="M945" s="88"/>
      <c r="N945" s="88"/>
      <c r="O945" s="88"/>
      <c r="P945" s="88"/>
      <c r="Q945" s="88"/>
      <c r="R945" s="88"/>
      <c r="S945" s="88"/>
      <c r="T945" s="88"/>
      <c r="U945" s="88"/>
      <c r="V945" s="88"/>
      <c r="W945" s="88"/>
      <c r="X945" s="88"/>
      <c r="Y945" s="88"/>
      <c r="Z945" s="88"/>
      <c r="AA945" s="88"/>
    </row>
    <row r="946" spans="1:27" ht="13.2">
      <c r="A946" s="88"/>
      <c r="B946" s="88"/>
      <c r="C946" s="88"/>
      <c r="D946" s="88"/>
      <c r="E946" s="88"/>
      <c r="F946" s="88"/>
      <c r="G946" s="88"/>
      <c r="H946" s="88"/>
      <c r="I946" s="88"/>
      <c r="J946" s="88"/>
      <c r="K946" s="88"/>
      <c r="L946" s="88"/>
      <c r="M946" s="88"/>
      <c r="N946" s="88"/>
      <c r="O946" s="88"/>
      <c r="P946" s="88"/>
      <c r="Q946" s="88"/>
      <c r="R946" s="88"/>
      <c r="S946" s="88"/>
      <c r="T946" s="88"/>
      <c r="U946" s="88"/>
      <c r="V946" s="88"/>
      <c r="W946" s="88"/>
      <c r="X946" s="88"/>
      <c r="Y946" s="88"/>
      <c r="Z946" s="88"/>
      <c r="AA946" s="88"/>
    </row>
    <row r="947" spans="1:27" ht="13.2">
      <c r="A947" s="88"/>
      <c r="B947" s="88"/>
      <c r="C947" s="88"/>
      <c r="D947" s="88"/>
      <c r="E947" s="88"/>
      <c r="F947" s="88"/>
      <c r="G947" s="88"/>
      <c r="H947" s="88"/>
      <c r="I947" s="88"/>
      <c r="J947" s="88"/>
      <c r="K947" s="88"/>
      <c r="L947" s="88"/>
      <c r="M947" s="88"/>
      <c r="N947" s="88"/>
      <c r="O947" s="88"/>
      <c r="P947" s="88"/>
      <c r="Q947" s="88"/>
      <c r="R947" s="88"/>
      <c r="S947" s="88"/>
      <c r="T947" s="88"/>
      <c r="U947" s="88"/>
      <c r="V947" s="88"/>
      <c r="W947" s="88"/>
      <c r="X947" s="88"/>
      <c r="Y947" s="88"/>
      <c r="Z947" s="88"/>
      <c r="AA947" s="88"/>
    </row>
    <row r="948" spans="1:27" ht="13.2">
      <c r="A948" s="88"/>
      <c r="B948" s="88"/>
      <c r="C948" s="88"/>
      <c r="D948" s="88"/>
      <c r="E948" s="88"/>
      <c r="F948" s="88"/>
      <c r="G948" s="88"/>
      <c r="H948" s="88"/>
      <c r="I948" s="88"/>
      <c r="J948" s="88"/>
      <c r="K948" s="88"/>
      <c r="L948" s="88"/>
      <c r="M948" s="88"/>
      <c r="N948" s="88"/>
      <c r="O948" s="88"/>
      <c r="P948" s="88"/>
      <c r="Q948" s="88"/>
      <c r="R948" s="88"/>
      <c r="S948" s="88"/>
      <c r="T948" s="88"/>
      <c r="U948" s="88"/>
      <c r="V948" s="88"/>
      <c r="W948" s="88"/>
      <c r="X948" s="88"/>
      <c r="Y948" s="88"/>
      <c r="Z948" s="88"/>
      <c r="AA948" s="88"/>
    </row>
    <row r="949" spans="1:27" ht="13.2">
      <c r="A949" s="88"/>
      <c r="B949" s="88"/>
      <c r="C949" s="88"/>
      <c r="D949" s="88"/>
      <c r="E949" s="88"/>
      <c r="F949" s="88"/>
      <c r="G949" s="88"/>
      <c r="H949" s="88"/>
      <c r="I949" s="88"/>
      <c r="J949" s="88"/>
      <c r="K949" s="88"/>
      <c r="L949" s="88"/>
      <c r="M949" s="88"/>
      <c r="N949" s="88"/>
      <c r="O949" s="88"/>
      <c r="P949" s="88"/>
      <c r="Q949" s="88"/>
      <c r="R949" s="88"/>
      <c r="S949" s="88"/>
      <c r="T949" s="88"/>
      <c r="U949" s="88"/>
      <c r="V949" s="88"/>
      <c r="W949" s="88"/>
      <c r="X949" s="88"/>
      <c r="Y949" s="88"/>
      <c r="Z949" s="88"/>
      <c r="AA949" s="88"/>
    </row>
    <row r="950" spans="1:27" ht="13.2">
      <c r="A950" s="88"/>
      <c r="B950" s="88"/>
      <c r="C950" s="88"/>
      <c r="D950" s="88"/>
      <c r="E950" s="88"/>
      <c r="F950" s="88"/>
      <c r="G950" s="88"/>
      <c r="H950" s="88"/>
      <c r="I950" s="88"/>
      <c r="J950" s="88"/>
      <c r="K950" s="88"/>
      <c r="L950" s="88"/>
      <c r="M950" s="88"/>
      <c r="N950" s="88"/>
      <c r="O950" s="88"/>
      <c r="P950" s="88"/>
      <c r="Q950" s="88"/>
      <c r="R950" s="88"/>
      <c r="S950" s="88"/>
      <c r="T950" s="88"/>
      <c r="U950" s="88"/>
      <c r="V950" s="88"/>
      <c r="W950" s="88"/>
      <c r="X950" s="88"/>
      <c r="Y950" s="88"/>
      <c r="Z950" s="88"/>
      <c r="AA950" s="88"/>
    </row>
    <row r="951" spans="1:27" ht="13.2">
      <c r="A951" s="88"/>
      <c r="B951" s="88"/>
      <c r="C951" s="88"/>
      <c r="D951" s="88"/>
      <c r="E951" s="88"/>
      <c r="F951" s="88"/>
      <c r="G951" s="88"/>
      <c r="H951" s="88"/>
      <c r="I951" s="88"/>
      <c r="J951" s="88"/>
      <c r="K951" s="88"/>
      <c r="L951" s="88"/>
      <c r="M951" s="88"/>
      <c r="N951" s="88"/>
      <c r="O951" s="88"/>
      <c r="P951" s="88"/>
      <c r="Q951" s="88"/>
      <c r="R951" s="88"/>
      <c r="S951" s="88"/>
      <c r="T951" s="88"/>
      <c r="U951" s="88"/>
      <c r="V951" s="88"/>
      <c r="W951" s="88"/>
      <c r="X951" s="88"/>
      <c r="Y951" s="88"/>
      <c r="Z951" s="88"/>
      <c r="AA951" s="88"/>
    </row>
    <row r="952" spans="1:27" ht="13.2">
      <c r="A952" s="88"/>
      <c r="B952" s="88"/>
      <c r="C952" s="88"/>
      <c r="D952" s="88"/>
      <c r="E952" s="88"/>
      <c r="F952" s="88"/>
      <c r="G952" s="88"/>
      <c r="H952" s="88"/>
      <c r="I952" s="88"/>
      <c r="J952" s="88"/>
      <c r="K952" s="88"/>
      <c r="L952" s="88"/>
      <c r="M952" s="88"/>
      <c r="N952" s="88"/>
      <c r="O952" s="88"/>
      <c r="P952" s="88"/>
      <c r="Q952" s="88"/>
      <c r="R952" s="88"/>
      <c r="S952" s="88"/>
      <c r="T952" s="88"/>
      <c r="U952" s="88"/>
      <c r="V952" s="88"/>
      <c r="W952" s="88"/>
      <c r="X952" s="88"/>
      <c r="Y952" s="88"/>
      <c r="Z952" s="88"/>
      <c r="AA952" s="88"/>
    </row>
    <row r="953" spans="1:27" ht="13.2">
      <c r="A953" s="88"/>
      <c r="B953" s="88"/>
      <c r="C953" s="88"/>
      <c r="D953" s="88"/>
      <c r="E953" s="88"/>
      <c r="F953" s="88"/>
      <c r="G953" s="88"/>
      <c r="H953" s="88"/>
      <c r="I953" s="88"/>
      <c r="J953" s="88"/>
      <c r="K953" s="88"/>
      <c r="L953" s="88"/>
      <c r="M953" s="88"/>
      <c r="N953" s="88"/>
      <c r="O953" s="88"/>
      <c r="P953" s="88"/>
      <c r="Q953" s="88"/>
      <c r="R953" s="88"/>
      <c r="S953" s="88"/>
      <c r="T953" s="88"/>
      <c r="U953" s="88"/>
      <c r="V953" s="88"/>
      <c r="W953" s="88"/>
      <c r="X953" s="88"/>
      <c r="Y953" s="88"/>
      <c r="Z953" s="88"/>
      <c r="AA953" s="88"/>
    </row>
    <row r="954" spans="1:27" ht="13.2">
      <c r="A954" s="88"/>
      <c r="B954" s="88"/>
      <c r="C954" s="88"/>
      <c r="D954" s="88"/>
      <c r="E954" s="88"/>
      <c r="F954" s="88"/>
      <c r="G954" s="88"/>
      <c r="H954" s="88"/>
      <c r="I954" s="88"/>
      <c r="J954" s="88"/>
      <c r="K954" s="88"/>
      <c r="L954" s="88"/>
      <c r="M954" s="88"/>
      <c r="N954" s="88"/>
      <c r="O954" s="88"/>
      <c r="P954" s="88"/>
      <c r="Q954" s="88"/>
      <c r="R954" s="88"/>
      <c r="S954" s="88"/>
      <c r="T954" s="88"/>
      <c r="U954" s="88"/>
      <c r="V954" s="88"/>
      <c r="W954" s="88"/>
      <c r="X954" s="88"/>
      <c r="Y954" s="88"/>
      <c r="Z954" s="88"/>
      <c r="AA954" s="88"/>
    </row>
    <row r="955" spans="1:27" ht="13.2">
      <c r="A955" s="88"/>
      <c r="B955" s="88"/>
      <c r="C955" s="88"/>
      <c r="D955" s="88"/>
      <c r="E955" s="88"/>
      <c r="F955" s="88"/>
      <c r="G955" s="88"/>
      <c r="H955" s="88"/>
      <c r="I955" s="88"/>
      <c r="J955" s="88"/>
      <c r="K955" s="88"/>
      <c r="L955" s="88"/>
      <c r="M955" s="88"/>
      <c r="N955" s="88"/>
      <c r="O955" s="88"/>
      <c r="P955" s="88"/>
      <c r="Q955" s="88"/>
      <c r="R955" s="88"/>
      <c r="S955" s="88"/>
      <c r="T955" s="88"/>
      <c r="U955" s="88"/>
      <c r="V955" s="88"/>
      <c r="W955" s="88"/>
      <c r="X955" s="88"/>
      <c r="Y955" s="88"/>
      <c r="Z955" s="88"/>
      <c r="AA955" s="88"/>
    </row>
    <row r="956" spans="1:27" ht="13.2">
      <c r="A956" s="88"/>
      <c r="B956" s="88"/>
      <c r="C956" s="88"/>
      <c r="D956" s="88"/>
      <c r="E956" s="88"/>
      <c r="F956" s="88"/>
      <c r="G956" s="88"/>
      <c r="H956" s="88"/>
      <c r="I956" s="88"/>
      <c r="J956" s="88"/>
      <c r="K956" s="88"/>
      <c r="L956" s="88"/>
      <c r="M956" s="88"/>
      <c r="N956" s="88"/>
      <c r="O956" s="88"/>
      <c r="P956" s="88"/>
      <c r="Q956" s="88"/>
      <c r="R956" s="88"/>
      <c r="S956" s="88"/>
      <c r="T956" s="88"/>
      <c r="U956" s="88"/>
      <c r="V956" s="88"/>
      <c r="W956" s="88"/>
      <c r="X956" s="88"/>
      <c r="Y956" s="88"/>
      <c r="Z956" s="88"/>
      <c r="AA956" s="88"/>
    </row>
    <row r="957" spans="1:27" ht="13.2">
      <c r="A957" s="88"/>
      <c r="B957" s="88"/>
      <c r="C957" s="88"/>
      <c r="D957" s="88"/>
      <c r="E957" s="88"/>
      <c r="F957" s="88"/>
      <c r="G957" s="88"/>
      <c r="H957" s="88"/>
      <c r="I957" s="88"/>
      <c r="J957" s="88"/>
      <c r="K957" s="88"/>
      <c r="L957" s="88"/>
      <c r="M957" s="88"/>
      <c r="N957" s="88"/>
      <c r="O957" s="88"/>
      <c r="P957" s="88"/>
      <c r="Q957" s="88"/>
      <c r="R957" s="88"/>
      <c r="S957" s="88"/>
      <c r="T957" s="88"/>
      <c r="U957" s="88"/>
      <c r="V957" s="88"/>
      <c r="W957" s="88"/>
      <c r="X957" s="88"/>
      <c r="Y957" s="88"/>
      <c r="Z957" s="88"/>
      <c r="AA957" s="88"/>
    </row>
    <row r="958" spans="1:27" ht="13.2">
      <c r="A958" s="88"/>
      <c r="B958" s="88"/>
      <c r="C958" s="88"/>
      <c r="D958" s="88"/>
      <c r="E958" s="88"/>
      <c r="F958" s="88"/>
      <c r="G958" s="88"/>
      <c r="H958" s="88"/>
      <c r="I958" s="88"/>
      <c r="J958" s="88"/>
      <c r="K958" s="88"/>
      <c r="L958" s="88"/>
      <c r="M958" s="88"/>
      <c r="N958" s="88"/>
      <c r="O958" s="88"/>
      <c r="P958" s="88"/>
      <c r="Q958" s="88"/>
      <c r="R958" s="88"/>
      <c r="S958" s="88"/>
      <c r="T958" s="88"/>
      <c r="U958" s="88"/>
      <c r="V958" s="88"/>
      <c r="W958" s="88"/>
      <c r="X958" s="88"/>
      <c r="Y958" s="88"/>
      <c r="Z958" s="88"/>
      <c r="AA958" s="88"/>
    </row>
    <row r="959" spans="1:27" ht="13.2">
      <c r="A959" s="88"/>
      <c r="B959" s="88"/>
      <c r="C959" s="88"/>
      <c r="D959" s="88"/>
      <c r="E959" s="88"/>
      <c r="F959" s="88"/>
      <c r="G959" s="88"/>
      <c r="H959" s="88"/>
      <c r="I959" s="88"/>
      <c r="J959" s="88"/>
      <c r="K959" s="88"/>
      <c r="L959" s="88"/>
      <c r="M959" s="88"/>
      <c r="N959" s="88"/>
      <c r="O959" s="88"/>
      <c r="P959" s="88"/>
      <c r="Q959" s="88"/>
      <c r="R959" s="88"/>
      <c r="S959" s="88"/>
      <c r="T959" s="88"/>
      <c r="U959" s="88"/>
      <c r="V959" s="88"/>
      <c r="W959" s="88"/>
      <c r="X959" s="88"/>
      <c r="Y959" s="88"/>
      <c r="Z959" s="88"/>
      <c r="AA959" s="88"/>
    </row>
    <row r="960" spans="1:27" ht="13.2">
      <c r="A960" s="88"/>
      <c r="B960" s="88"/>
      <c r="C960" s="88"/>
      <c r="D960" s="88"/>
      <c r="E960" s="88"/>
      <c r="F960" s="88"/>
      <c r="G960" s="88"/>
      <c r="H960" s="88"/>
      <c r="I960" s="88"/>
      <c r="J960" s="88"/>
      <c r="K960" s="88"/>
      <c r="L960" s="88"/>
      <c r="M960" s="88"/>
      <c r="N960" s="88"/>
      <c r="O960" s="88"/>
      <c r="P960" s="88"/>
      <c r="Q960" s="88"/>
      <c r="R960" s="88"/>
      <c r="S960" s="88"/>
      <c r="T960" s="88"/>
      <c r="U960" s="88"/>
      <c r="V960" s="88"/>
      <c r="W960" s="88"/>
      <c r="X960" s="88"/>
      <c r="Y960" s="88"/>
      <c r="Z960" s="88"/>
      <c r="AA960" s="88"/>
    </row>
    <row r="961" spans="1:27" ht="13.2">
      <c r="A961" s="88"/>
      <c r="B961" s="88"/>
      <c r="C961" s="88"/>
      <c r="D961" s="88"/>
      <c r="E961" s="88"/>
      <c r="F961" s="88"/>
      <c r="G961" s="88"/>
      <c r="H961" s="88"/>
      <c r="I961" s="88"/>
      <c r="J961" s="88"/>
      <c r="K961" s="88"/>
      <c r="L961" s="88"/>
      <c r="M961" s="88"/>
      <c r="N961" s="88"/>
      <c r="O961" s="88"/>
      <c r="P961" s="88"/>
      <c r="Q961" s="88"/>
      <c r="R961" s="88"/>
      <c r="S961" s="88"/>
      <c r="T961" s="88"/>
      <c r="U961" s="88"/>
      <c r="V961" s="88"/>
      <c r="W961" s="88"/>
      <c r="X961" s="88"/>
      <c r="Y961" s="88"/>
      <c r="Z961" s="88"/>
      <c r="AA961" s="88"/>
    </row>
    <row r="962" spans="1:27" ht="13.2">
      <c r="A962" s="88"/>
      <c r="B962" s="88"/>
      <c r="C962" s="88"/>
      <c r="D962" s="88"/>
      <c r="E962" s="88"/>
      <c r="F962" s="88"/>
      <c r="G962" s="88"/>
      <c r="H962" s="88"/>
      <c r="I962" s="88"/>
      <c r="J962" s="88"/>
      <c r="K962" s="88"/>
      <c r="L962" s="88"/>
      <c r="M962" s="88"/>
      <c r="N962" s="88"/>
      <c r="O962" s="88"/>
      <c r="P962" s="88"/>
      <c r="Q962" s="88"/>
      <c r="R962" s="88"/>
      <c r="S962" s="88"/>
      <c r="T962" s="88"/>
      <c r="U962" s="88"/>
      <c r="V962" s="88"/>
      <c r="W962" s="88"/>
      <c r="X962" s="88"/>
      <c r="Y962" s="88"/>
      <c r="Z962" s="88"/>
      <c r="AA962" s="88"/>
    </row>
    <row r="963" spans="1:27" ht="13.2">
      <c r="A963" s="88"/>
      <c r="B963" s="88"/>
      <c r="C963" s="88"/>
      <c r="D963" s="88"/>
      <c r="E963" s="88"/>
      <c r="F963" s="88"/>
      <c r="G963" s="88"/>
      <c r="H963" s="88"/>
      <c r="I963" s="88"/>
      <c r="J963" s="88"/>
      <c r="K963" s="88"/>
      <c r="L963" s="88"/>
      <c r="M963" s="88"/>
      <c r="N963" s="88"/>
      <c r="O963" s="88"/>
      <c r="P963" s="88"/>
      <c r="Q963" s="88"/>
      <c r="R963" s="88"/>
      <c r="S963" s="88"/>
      <c r="T963" s="88"/>
      <c r="U963" s="88"/>
      <c r="V963" s="88"/>
      <c r="W963" s="88"/>
      <c r="X963" s="88"/>
      <c r="Y963" s="88"/>
      <c r="Z963" s="88"/>
      <c r="AA963" s="88"/>
    </row>
  </sheetData>
  <mergeCells count="7">
    <mergeCell ref="X3:Y3"/>
    <mergeCell ref="X26:Y26"/>
    <mergeCell ref="C2:F2"/>
    <mergeCell ref="G2:K2"/>
    <mergeCell ref="L2:P2"/>
    <mergeCell ref="Q2:U2"/>
    <mergeCell ref="V2:W2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87CB6-8F18-4755-A69F-B8D03F8EE2D4}">
  <sheetPr>
    <tabColor rgb="FF00B050"/>
    <outlinePr summaryBelow="0" summaryRight="0"/>
  </sheetPr>
  <dimension ref="A1:AH963"/>
  <sheetViews>
    <sheetView showGridLines="0" topLeftCell="J1" zoomScaleNormal="100" workbookViewId="0">
      <selection activeCell="AC10" sqref="AC10"/>
    </sheetView>
  </sheetViews>
  <sheetFormatPr defaultColWidth="12.6640625" defaultRowHeight="15.75" customHeight="1"/>
  <cols>
    <col min="1" max="1" width="4.6640625" customWidth="1"/>
    <col min="2" max="2" width="31.44140625" customWidth="1"/>
    <col min="3" max="7" width="5.33203125" customWidth="1"/>
    <col min="8" max="16" width="4.6640625" customWidth="1"/>
    <col min="17" max="22" width="5.33203125" customWidth="1"/>
    <col min="23" max="23" width="5" customWidth="1"/>
    <col min="24" max="26" width="4.6640625" customWidth="1"/>
    <col min="27" max="27" width="7.5546875" style="3" bestFit="1" customWidth="1"/>
    <col min="28" max="28" width="10.6640625" style="3" customWidth="1"/>
    <col min="29" max="29" width="44.88671875" style="3" bestFit="1" customWidth="1"/>
    <col min="30" max="30" width="13.44140625" style="3" customWidth="1"/>
    <col min="31" max="31" width="12.6640625" style="3"/>
    <col min="32" max="32" width="16" style="3" bestFit="1" customWidth="1"/>
    <col min="33" max="33" width="12.6640625" style="3"/>
  </cols>
  <sheetData>
    <row r="1" spans="1:34" ht="13.8" thickBot="1">
      <c r="A1" s="88"/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128"/>
      <c r="AC1" s="128"/>
      <c r="AD1" s="128"/>
      <c r="AE1" s="128"/>
      <c r="AF1" s="128"/>
      <c r="AG1" s="128"/>
      <c r="AH1" s="127"/>
    </row>
    <row r="2" spans="1:34" ht="13.2">
      <c r="A2" s="88"/>
      <c r="B2" s="88"/>
      <c r="C2" s="281" t="s">
        <v>28</v>
      </c>
      <c r="D2" s="282"/>
      <c r="E2" s="282"/>
      <c r="F2" s="283"/>
      <c r="G2" s="281" t="s">
        <v>29</v>
      </c>
      <c r="H2" s="282"/>
      <c r="I2" s="282"/>
      <c r="J2" s="282"/>
      <c r="K2" s="283"/>
      <c r="L2" s="281" t="s">
        <v>30</v>
      </c>
      <c r="M2" s="282"/>
      <c r="N2" s="282"/>
      <c r="O2" s="282"/>
      <c r="P2" s="283"/>
      <c r="Q2" s="281" t="s">
        <v>31</v>
      </c>
      <c r="R2" s="282"/>
      <c r="S2" s="282"/>
      <c r="T2" s="282"/>
      <c r="U2" s="283"/>
      <c r="V2" s="281" t="s">
        <v>32</v>
      </c>
      <c r="W2" s="282"/>
      <c r="X2" s="88"/>
      <c r="Y2" s="88"/>
      <c r="Z2" s="90"/>
      <c r="AA2" s="91" t="s">
        <v>33</v>
      </c>
      <c r="AB2" s="91" t="s">
        <v>34</v>
      </c>
      <c r="AC2" s="91" t="s">
        <v>141</v>
      </c>
      <c r="AD2" s="91" t="s">
        <v>35</v>
      </c>
      <c r="AE2" s="91" t="s">
        <v>36</v>
      </c>
      <c r="AF2" s="91" t="s">
        <v>37</v>
      </c>
      <c r="AG2" s="91" t="s">
        <v>38</v>
      </c>
      <c r="AH2" s="91" t="s">
        <v>39</v>
      </c>
    </row>
    <row r="3" spans="1:34" ht="13.2">
      <c r="A3" s="88"/>
      <c r="B3" s="88"/>
      <c r="C3" s="83">
        <v>1</v>
      </c>
      <c r="D3" s="84">
        <v>2</v>
      </c>
      <c r="E3" s="84">
        <v>3</v>
      </c>
      <c r="F3" s="85">
        <v>5</v>
      </c>
      <c r="G3" s="83">
        <v>8</v>
      </c>
      <c r="H3" s="84">
        <v>9</v>
      </c>
      <c r="I3" s="84">
        <v>10</v>
      </c>
      <c r="J3" s="84">
        <v>11</v>
      </c>
      <c r="K3" s="85">
        <v>12</v>
      </c>
      <c r="L3" s="83">
        <v>15</v>
      </c>
      <c r="M3" s="84">
        <v>16</v>
      </c>
      <c r="N3" s="84">
        <v>17</v>
      </c>
      <c r="O3" s="84">
        <v>18</v>
      </c>
      <c r="P3" s="85">
        <v>19</v>
      </c>
      <c r="Q3" s="83">
        <v>22</v>
      </c>
      <c r="R3" s="84">
        <v>23</v>
      </c>
      <c r="S3" s="84">
        <v>24</v>
      </c>
      <c r="T3" s="84">
        <v>25</v>
      </c>
      <c r="U3" s="85">
        <v>26</v>
      </c>
      <c r="V3" s="83">
        <v>29</v>
      </c>
      <c r="W3" s="85">
        <v>30</v>
      </c>
      <c r="X3" s="278"/>
      <c r="Y3" s="279"/>
      <c r="Z3" s="88"/>
      <c r="AA3" s="122">
        <v>1</v>
      </c>
      <c r="AB3" s="157">
        <v>26746</v>
      </c>
      <c r="AC3" s="157" t="s">
        <v>158</v>
      </c>
      <c r="AD3" s="158">
        <v>46148</v>
      </c>
      <c r="AE3" s="157">
        <v>309.64999999999998</v>
      </c>
      <c r="AF3" s="158">
        <v>46175</v>
      </c>
      <c r="AG3" s="157" t="s">
        <v>61</v>
      </c>
      <c r="AH3" s="157">
        <v>119</v>
      </c>
    </row>
    <row r="4" spans="1:34" ht="13.2">
      <c r="A4" s="88"/>
      <c r="B4" s="95" t="s">
        <v>41</v>
      </c>
      <c r="C4" s="96" t="s">
        <v>42</v>
      </c>
      <c r="D4" s="97" t="s">
        <v>43</v>
      </c>
      <c r="E4" s="97" t="s">
        <v>44</v>
      </c>
      <c r="F4" s="98" t="s">
        <v>44</v>
      </c>
      <c r="G4" s="96" t="s">
        <v>42</v>
      </c>
      <c r="H4" s="97" t="s">
        <v>42</v>
      </c>
      <c r="I4" s="97" t="s">
        <v>43</v>
      </c>
      <c r="J4" s="97" t="s">
        <v>44</v>
      </c>
      <c r="K4" s="98" t="s">
        <v>44</v>
      </c>
      <c r="L4" s="96" t="s">
        <v>42</v>
      </c>
      <c r="M4" s="97" t="s">
        <v>42</v>
      </c>
      <c r="N4" s="97" t="s">
        <v>43</v>
      </c>
      <c r="O4" s="97" t="s">
        <v>44</v>
      </c>
      <c r="P4" s="98" t="s">
        <v>44</v>
      </c>
      <c r="Q4" s="96" t="s">
        <v>42</v>
      </c>
      <c r="R4" s="97" t="s">
        <v>42</v>
      </c>
      <c r="S4" s="97" t="s">
        <v>43</v>
      </c>
      <c r="T4" s="97" t="s">
        <v>44</v>
      </c>
      <c r="U4" s="98" t="s">
        <v>44</v>
      </c>
      <c r="V4" s="96" t="s">
        <v>42</v>
      </c>
      <c r="W4" s="98" t="s">
        <v>42</v>
      </c>
      <c r="X4" s="99" t="s">
        <v>11</v>
      </c>
      <c r="Y4" s="88"/>
      <c r="Z4" s="88"/>
      <c r="AA4" s="87">
        <v>2</v>
      </c>
      <c r="AB4" s="129">
        <v>42957</v>
      </c>
      <c r="AC4" s="129" t="s">
        <v>159</v>
      </c>
      <c r="AD4" s="130">
        <v>46362</v>
      </c>
      <c r="AE4" s="129">
        <v>169.73</v>
      </c>
      <c r="AF4" s="130">
        <v>46136</v>
      </c>
      <c r="AG4" s="129" t="s">
        <v>7</v>
      </c>
      <c r="AH4" s="131">
        <v>49</v>
      </c>
    </row>
    <row r="5" spans="1:34" ht="13.2">
      <c r="A5" s="88"/>
      <c r="B5" s="100" t="s">
        <v>2</v>
      </c>
      <c r="C5" s="101">
        <v>1</v>
      </c>
      <c r="D5" s="102">
        <v>1</v>
      </c>
      <c r="E5" s="102">
        <v>1</v>
      </c>
      <c r="F5" s="103">
        <v>1</v>
      </c>
      <c r="G5" s="101">
        <v>1</v>
      </c>
      <c r="H5" s="102">
        <v>1</v>
      </c>
      <c r="I5" s="102">
        <v>1</v>
      </c>
      <c r="J5" s="102">
        <v>1</v>
      </c>
      <c r="K5" s="103">
        <v>1</v>
      </c>
      <c r="L5" s="101">
        <v>1</v>
      </c>
      <c r="M5" s="102">
        <v>1</v>
      </c>
      <c r="N5" s="102">
        <v>1</v>
      </c>
      <c r="O5" s="102">
        <v>1</v>
      </c>
      <c r="P5" s="103">
        <v>1</v>
      </c>
      <c r="Q5" s="101">
        <v>1</v>
      </c>
      <c r="R5" s="102">
        <v>1</v>
      </c>
      <c r="S5" s="102">
        <v>1</v>
      </c>
      <c r="T5" s="102">
        <v>2</v>
      </c>
      <c r="U5" s="103">
        <v>2</v>
      </c>
      <c r="V5" s="51">
        <v>2</v>
      </c>
      <c r="W5" s="103">
        <v>2</v>
      </c>
      <c r="X5" s="104">
        <v>25</v>
      </c>
      <c r="Y5" s="88"/>
      <c r="Z5" s="88"/>
      <c r="AA5" s="87">
        <v>3</v>
      </c>
      <c r="AB5" s="129">
        <v>29236</v>
      </c>
      <c r="AC5" s="129" t="s">
        <v>160</v>
      </c>
      <c r="AD5" s="130">
        <v>46197</v>
      </c>
      <c r="AE5" s="129">
        <v>718.11</v>
      </c>
      <c r="AF5" s="130">
        <v>46136</v>
      </c>
      <c r="AG5" s="129" t="s">
        <v>7</v>
      </c>
      <c r="AH5" s="131">
        <v>61</v>
      </c>
    </row>
    <row r="6" spans="1:34" ht="13.8" thickBot="1">
      <c r="A6" s="88"/>
      <c r="B6" s="100" t="s">
        <v>46</v>
      </c>
      <c r="C6" s="105">
        <v>0</v>
      </c>
      <c r="D6" s="106">
        <v>0</v>
      </c>
      <c r="E6" s="106">
        <v>0</v>
      </c>
      <c r="F6" s="107">
        <v>1</v>
      </c>
      <c r="G6" s="105">
        <v>0</v>
      </c>
      <c r="H6" s="106">
        <v>0</v>
      </c>
      <c r="I6" s="106">
        <v>0</v>
      </c>
      <c r="J6" s="106">
        <v>0</v>
      </c>
      <c r="K6" s="107">
        <v>1</v>
      </c>
      <c r="L6" s="105">
        <v>0</v>
      </c>
      <c r="M6" s="106">
        <v>0</v>
      </c>
      <c r="N6" s="106">
        <v>0</v>
      </c>
      <c r="O6" s="106">
        <v>0</v>
      </c>
      <c r="P6" s="107">
        <v>0</v>
      </c>
      <c r="Q6" s="105">
        <v>0</v>
      </c>
      <c r="R6" s="106">
        <v>0</v>
      </c>
      <c r="S6" s="106">
        <v>2</v>
      </c>
      <c r="T6" s="106">
        <v>0</v>
      </c>
      <c r="U6" s="107">
        <v>1</v>
      </c>
      <c r="V6" s="105">
        <v>0</v>
      </c>
      <c r="W6" s="107">
        <v>2</v>
      </c>
      <c r="X6" s="104">
        <v>7</v>
      </c>
      <c r="Y6" s="108">
        <v>-18</v>
      </c>
      <c r="Z6" s="88"/>
      <c r="AA6" s="87">
        <v>4</v>
      </c>
      <c r="AB6" s="129">
        <v>44928</v>
      </c>
      <c r="AC6" s="129" t="s">
        <v>161</v>
      </c>
      <c r="AD6" s="130">
        <v>46197</v>
      </c>
      <c r="AE6" s="129">
        <v>217.28</v>
      </c>
      <c r="AF6" s="130">
        <v>46178</v>
      </c>
      <c r="AG6" s="129" t="s">
        <v>8</v>
      </c>
      <c r="AH6" s="131">
        <v>49</v>
      </c>
    </row>
    <row r="7" spans="1:34" ht="13.2">
      <c r="A7" s="88"/>
      <c r="B7" s="88"/>
      <c r="C7" s="88"/>
      <c r="D7" s="88"/>
      <c r="E7" s="88"/>
      <c r="F7" s="88"/>
      <c r="G7" s="88"/>
      <c r="H7" s="88"/>
      <c r="I7" s="88"/>
      <c r="J7" s="88"/>
      <c r="K7" s="88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  <c r="AA7" s="122">
        <v>5</v>
      </c>
      <c r="AB7" s="132">
        <v>38149</v>
      </c>
      <c r="AC7" s="132" t="s">
        <v>162</v>
      </c>
      <c r="AD7" s="133">
        <v>46199</v>
      </c>
      <c r="AE7" s="132">
        <v>220.74</v>
      </c>
      <c r="AF7" s="133">
        <v>46176</v>
      </c>
      <c r="AG7" s="132" t="s">
        <v>62</v>
      </c>
      <c r="AH7" s="132">
        <v>112</v>
      </c>
    </row>
    <row r="8" spans="1:34" ht="13.2">
      <c r="A8" s="88"/>
      <c r="B8" s="88"/>
      <c r="C8" s="88"/>
      <c r="D8" s="88"/>
      <c r="E8" s="88"/>
      <c r="F8" s="88"/>
      <c r="G8" s="88"/>
      <c r="H8" s="88"/>
      <c r="I8" s="88"/>
      <c r="J8" s="88"/>
      <c r="K8" s="88"/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  <c r="AA8" s="87">
        <v>7</v>
      </c>
      <c r="AB8" s="129">
        <v>27148</v>
      </c>
      <c r="AC8" s="129" t="s">
        <v>163</v>
      </c>
      <c r="AD8" s="130">
        <v>46029</v>
      </c>
      <c r="AE8" s="129">
        <v>161.75</v>
      </c>
      <c r="AF8" s="130">
        <v>46129</v>
      </c>
      <c r="AG8" s="129" t="s">
        <v>8</v>
      </c>
      <c r="AH8" s="131">
        <v>75</v>
      </c>
    </row>
    <row r="9" spans="1:34" ht="13.2">
      <c r="A9" s="88"/>
      <c r="B9" s="109" t="s">
        <v>49</v>
      </c>
      <c r="C9" s="83">
        <v>1</v>
      </c>
      <c r="D9" s="84">
        <v>2</v>
      </c>
      <c r="E9" s="84">
        <v>3</v>
      </c>
      <c r="F9" s="85">
        <v>5</v>
      </c>
      <c r="G9" s="83">
        <v>8</v>
      </c>
      <c r="H9" s="84">
        <v>9</v>
      </c>
      <c r="I9" s="84">
        <v>10</v>
      </c>
      <c r="J9" s="84">
        <v>11</v>
      </c>
      <c r="K9" s="85">
        <v>12</v>
      </c>
      <c r="L9" s="83">
        <v>15</v>
      </c>
      <c r="M9" s="84">
        <v>16</v>
      </c>
      <c r="N9" s="84">
        <v>17</v>
      </c>
      <c r="O9" s="84">
        <v>18</v>
      </c>
      <c r="P9" s="85">
        <v>19</v>
      </c>
      <c r="Q9" s="83">
        <v>22</v>
      </c>
      <c r="R9" s="84">
        <v>23</v>
      </c>
      <c r="S9" s="84">
        <v>24</v>
      </c>
      <c r="T9" s="84">
        <v>25</v>
      </c>
      <c r="U9" s="85">
        <v>26</v>
      </c>
      <c r="V9" s="83">
        <v>29</v>
      </c>
      <c r="W9" s="85">
        <v>30</v>
      </c>
      <c r="X9" s="88"/>
      <c r="Y9" s="88"/>
      <c r="Z9" s="88"/>
      <c r="AA9" s="87">
        <v>6</v>
      </c>
      <c r="AB9" s="129">
        <v>34645</v>
      </c>
      <c r="AC9" s="129" t="s">
        <v>164</v>
      </c>
      <c r="AD9" s="130">
        <v>46029</v>
      </c>
      <c r="AE9" s="129">
        <v>175.75</v>
      </c>
      <c r="AF9" s="130">
        <v>46140</v>
      </c>
      <c r="AG9" s="129" t="s">
        <v>59</v>
      </c>
      <c r="AH9" s="131">
        <v>64</v>
      </c>
    </row>
    <row r="10" spans="1:34" ht="13.2">
      <c r="A10" s="88"/>
      <c r="B10" s="97" t="s">
        <v>15</v>
      </c>
      <c r="C10" s="102">
        <v>5</v>
      </c>
      <c r="D10" s="102"/>
      <c r="E10" s="102">
        <v>0</v>
      </c>
      <c r="F10" s="102">
        <v>0</v>
      </c>
      <c r="G10" s="102">
        <v>0</v>
      </c>
      <c r="H10" s="102">
        <v>0</v>
      </c>
      <c r="I10" s="102">
        <v>0</v>
      </c>
      <c r="J10" s="102">
        <v>0</v>
      </c>
      <c r="K10" s="102">
        <v>0</v>
      </c>
      <c r="L10" s="113"/>
      <c r="M10" s="102">
        <v>0</v>
      </c>
      <c r="N10" s="102">
        <v>16</v>
      </c>
      <c r="O10" s="102">
        <v>16</v>
      </c>
      <c r="P10" s="102">
        <v>16</v>
      </c>
      <c r="Q10" s="102">
        <v>0</v>
      </c>
      <c r="R10" s="114">
        <v>17</v>
      </c>
      <c r="S10" s="81">
        <v>1</v>
      </c>
      <c r="T10" s="115">
        <v>0</v>
      </c>
      <c r="U10" s="116">
        <v>0</v>
      </c>
      <c r="V10" s="116">
        <v>0</v>
      </c>
      <c r="W10" s="102"/>
      <c r="X10" s="88"/>
      <c r="Y10" s="88"/>
      <c r="Z10" s="88"/>
      <c r="AA10" s="87"/>
      <c r="AB10" s="129"/>
      <c r="AC10" s="129"/>
      <c r="AD10" s="129"/>
      <c r="AE10" s="129"/>
      <c r="AF10" s="129"/>
      <c r="AG10" s="129"/>
      <c r="AH10" s="131"/>
    </row>
    <row r="11" spans="1:34" ht="13.2">
      <c r="A11" s="88"/>
      <c r="B11" s="97" t="s">
        <v>16</v>
      </c>
      <c r="C11" s="102">
        <v>0</v>
      </c>
      <c r="D11" s="102"/>
      <c r="E11" s="102">
        <v>0</v>
      </c>
      <c r="F11" s="102">
        <v>0</v>
      </c>
      <c r="G11" s="102">
        <v>0</v>
      </c>
      <c r="H11" s="102">
        <v>0</v>
      </c>
      <c r="I11" s="102">
        <v>0</v>
      </c>
      <c r="J11" s="102">
        <v>0</v>
      </c>
      <c r="K11" s="102">
        <v>0</v>
      </c>
      <c r="L11" s="113"/>
      <c r="M11" s="102">
        <v>0</v>
      </c>
      <c r="N11" s="102">
        <v>0</v>
      </c>
      <c r="O11" s="102">
        <v>0</v>
      </c>
      <c r="P11" s="102">
        <v>0</v>
      </c>
      <c r="Q11" s="102">
        <v>1</v>
      </c>
      <c r="R11" s="114">
        <v>1</v>
      </c>
      <c r="S11" s="81">
        <v>0</v>
      </c>
      <c r="T11" s="115">
        <v>0</v>
      </c>
      <c r="U11" s="116">
        <v>0</v>
      </c>
      <c r="V11" s="116">
        <v>0</v>
      </c>
      <c r="W11" s="102"/>
      <c r="X11" s="88"/>
      <c r="Y11" s="88"/>
      <c r="Z11" s="88"/>
      <c r="AA11" s="87"/>
      <c r="AB11" s="159"/>
      <c r="AC11" s="159"/>
      <c r="AD11" s="159"/>
      <c r="AE11" s="129"/>
      <c r="AF11" s="129"/>
      <c r="AG11" s="129"/>
      <c r="AH11" s="131"/>
    </row>
    <row r="12" spans="1:34" ht="13.2">
      <c r="A12" s="88"/>
      <c r="B12" s="97" t="s">
        <v>17</v>
      </c>
      <c r="C12" s="102">
        <v>0</v>
      </c>
      <c r="D12" s="102"/>
      <c r="E12" s="102">
        <v>0</v>
      </c>
      <c r="F12" s="102">
        <v>0</v>
      </c>
      <c r="G12" s="102">
        <v>0</v>
      </c>
      <c r="H12" s="102">
        <v>0</v>
      </c>
      <c r="I12" s="102">
        <v>0</v>
      </c>
      <c r="J12" s="102">
        <v>0</v>
      </c>
      <c r="K12" s="102">
        <v>0</v>
      </c>
      <c r="L12" s="113"/>
      <c r="M12" s="102">
        <v>0</v>
      </c>
      <c r="N12" s="102">
        <v>0</v>
      </c>
      <c r="O12" s="102">
        <v>0</v>
      </c>
      <c r="P12" s="102">
        <v>0</v>
      </c>
      <c r="Q12" s="102">
        <v>0</v>
      </c>
      <c r="R12" s="114">
        <v>0</v>
      </c>
      <c r="S12" s="81">
        <v>0</v>
      </c>
      <c r="T12" s="115">
        <v>0</v>
      </c>
      <c r="U12" s="116">
        <v>0</v>
      </c>
      <c r="V12" s="116">
        <v>0</v>
      </c>
      <c r="W12" s="102"/>
      <c r="X12" s="88"/>
      <c r="Y12" s="88"/>
      <c r="Z12" s="88"/>
      <c r="AA12" s="87"/>
      <c r="AB12" s="159"/>
      <c r="AC12" s="159"/>
      <c r="AD12" s="159"/>
      <c r="AE12" s="129"/>
      <c r="AF12" s="129"/>
      <c r="AG12" s="129"/>
      <c r="AH12" s="131"/>
    </row>
    <row r="13" spans="1:34" ht="13.2">
      <c r="A13" s="88"/>
      <c r="B13" s="97" t="s">
        <v>18</v>
      </c>
      <c r="C13" s="102">
        <v>0</v>
      </c>
      <c r="D13" s="102"/>
      <c r="E13" s="102">
        <v>0</v>
      </c>
      <c r="F13" s="102">
        <v>0</v>
      </c>
      <c r="G13" s="102">
        <v>0</v>
      </c>
      <c r="H13" s="102">
        <v>0</v>
      </c>
      <c r="I13" s="102">
        <v>0</v>
      </c>
      <c r="J13" s="102">
        <v>0</v>
      </c>
      <c r="K13" s="102">
        <v>0</v>
      </c>
      <c r="L13" s="113"/>
      <c r="M13" s="102">
        <v>0</v>
      </c>
      <c r="N13" s="102">
        <v>0</v>
      </c>
      <c r="O13" s="102">
        <v>0</v>
      </c>
      <c r="P13" s="102">
        <v>0</v>
      </c>
      <c r="Q13" s="102">
        <v>0</v>
      </c>
      <c r="R13" s="114">
        <v>0</v>
      </c>
      <c r="S13" s="81">
        <v>0</v>
      </c>
      <c r="T13" s="115">
        <v>0</v>
      </c>
      <c r="U13" s="116">
        <v>0</v>
      </c>
      <c r="V13" s="116">
        <v>0</v>
      </c>
      <c r="W13" s="102"/>
      <c r="X13" s="88"/>
      <c r="Y13" s="88"/>
      <c r="Z13" s="88"/>
      <c r="AA13" s="87"/>
      <c r="AB13" s="159"/>
      <c r="AC13" s="159"/>
      <c r="AD13" s="159"/>
      <c r="AE13" s="129"/>
      <c r="AF13" s="129"/>
      <c r="AG13" s="129"/>
      <c r="AH13" s="131"/>
    </row>
    <row r="14" spans="1:34" ht="13.2">
      <c r="A14" s="88"/>
      <c r="B14" s="97" t="s">
        <v>51</v>
      </c>
      <c r="C14" s="102">
        <v>291</v>
      </c>
      <c r="D14" s="102"/>
      <c r="E14" s="102">
        <v>295</v>
      </c>
      <c r="F14" s="102">
        <v>295</v>
      </c>
      <c r="G14" s="2">
        <v>295</v>
      </c>
      <c r="H14" s="113">
        <v>307</v>
      </c>
      <c r="I14" s="102">
        <v>307</v>
      </c>
      <c r="J14" s="102">
        <v>307</v>
      </c>
      <c r="K14" s="102">
        <v>307</v>
      </c>
      <c r="L14" s="113"/>
      <c r="M14" s="102">
        <v>39</v>
      </c>
      <c r="N14" s="102">
        <v>307</v>
      </c>
      <c r="O14" s="102">
        <v>307</v>
      </c>
      <c r="P14" s="102">
        <v>307</v>
      </c>
      <c r="Q14" s="102">
        <v>321</v>
      </c>
      <c r="R14" s="114">
        <v>333</v>
      </c>
      <c r="S14" s="81">
        <v>343</v>
      </c>
      <c r="T14" s="115">
        <v>335</v>
      </c>
      <c r="U14" s="87">
        <v>352</v>
      </c>
      <c r="V14" s="102">
        <v>350</v>
      </c>
      <c r="W14" s="102"/>
      <c r="X14" s="88"/>
      <c r="Y14" s="88"/>
      <c r="Z14" s="88"/>
      <c r="AA14" s="128"/>
      <c r="AB14" s="128"/>
      <c r="AC14" s="128"/>
      <c r="AD14" s="128"/>
      <c r="AE14" s="138">
        <v>1973.01</v>
      </c>
      <c r="AF14" s="128"/>
      <c r="AG14" s="128"/>
      <c r="AH14" s="127"/>
    </row>
    <row r="15" spans="1:34" ht="13.2">
      <c r="A15" s="88"/>
      <c r="B15" s="97" t="s">
        <v>52</v>
      </c>
      <c r="C15" s="102">
        <v>30</v>
      </c>
      <c r="D15" s="102"/>
      <c r="E15" s="102">
        <v>30</v>
      </c>
      <c r="F15" s="102">
        <v>30</v>
      </c>
      <c r="G15" s="2">
        <v>29</v>
      </c>
      <c r="H15" s="102">
        <v>31</v>
      </c>
      <c r="I15" s="102">
        <v>31</v>
      </c>
      <c r="J15" s="102">
        <v>31</v>
      </c>
      <c r="K15" s="102">
        <v>31</v>
      </c>
      <c r="L15" s="113"/>
      <c r="M15" s="102">
        <v>5</v>
      </c>
      <c r="N15" s="102">
        <v>31</v>
      </c>
      <c r="O15" s="102">
        <v>31</v>
      </c>
      <c r="P15" s="102">
        <v>31</v>
      </c>
      <c r="Q15" s="102">
        <v>31</v>
      </c>
      <c r="R15" s="114">
        <v>32</v>
      </c>
      <c r="S15" s="81">
        <v>32</v>
      </c>
      <c r="T15" s="115">
        <v>33</v>
      </c>
      <c r="U15" s="117">
        <v>33</v>
      </c>
      <c r="V15" s="102">
        <v>32</v>
      </c>
      <c r="W15" s="102"/>
      <c r="X15" s="88"/>
      <c r="Y15" s="88"/>
      <c r="Z15" s="88"/>
      <c r="AA15" s="88"/>
      <c r="AB15" s="128"/>
      <c r="AC15" s="128"/>
      <c r="AD15" s="128"/>
      <c r="AE15" s="128"/>
      <c r="AF15" s="128"/>
      <c r="AG15" s="128"/>
      <c r="AH15" s="127"/>
    </row>
    <row r="16" spans="1:34" ht="13.2">
      <c r="A16" s="88"/>
      <c r="B16" s="97" t="s">
        <v>22</v>
      </c>
      <c r="C16" s="102">
        <v>0</v>
      </c>
      <c r="D16" s="102"/>
      <c r="E16" s="102">
        <v>0</v>
      </c>
      <c r="F16" s="102">
        <v>0</v>
      </c>
      <c r="G16" s="2">
        <v>0</v>
      </c>
      <c r="H16" s="102">
        <v>1</v>
      </c>
      <c r="I16" s="102">
        <v>1</v>
      </c>
      <c r="J16" s="102">
        <v>1</v>
      </c>
      <c r="K16" s="102">
        <v>1</v>
      </c>
      <c r="L16" s="113"/>
      <c r="M16" s="102">
        <v>0</v>
      </c>
      <c r="N16" s="102">
        <v>1</v>
      </c>
      <c r="O16" s="102">
        <v>1</v>
      </c>
      <c r="P16" s="102">
        <v>1</v>
      </c>
      <c r="Q16" s="102">
        <v>1</v>
      </c>
      <c r="R16" s="114">
        <v>1</v>
      </c>
      <c r="S16" s="81">
        <v>1</v>
      </c>
      <c r="T16" s="115">
        <v>1</v>
      </c>
      <c r="U16" s="87">
        <v>1</v>
      </c>
      <c r="V16" s="102">
        <v>1</v>
      </c>
      <c r="W16" s="102"/>
      <c r="X16" s="88"/>
      <c r="Y16" s="88"/>
      <c r="Z16" s="88"/>
      <c r="AA16" s="88"/>
      <c r="AB16" s="128"/>
      <c r="AC16" s="128"/>
      <c r="AD16" s="128"/>
      <c r="AE16" s="128"/>
      <c r="AF16" s="128"/>
      <c r="AG16" s="128"/>
      <c r="AH16" s="127"/>
    </row>
    <row r="17" spans="1:34" ht="13.2">
      <c r="A17" s="88"/>
      <c r="B17" s="97" t="s">
        <v>23</v>
      </c>
      <c r="C17" s="102">
        <v>0</v>
      </c>
      <c r="D17" s="102"/>
      <c r="E17" s="102">
        <v>1</v>
      </c>
      <c r="F17" s="102">
        <v>1</v>
      </c>
      <c r="G17" s="2">
        <v>1</v>
      </c>
      <c r="H17" s="102">
        <v>2</v>
      </c>
      <c r="I17" s="102">
        <v>2</v>
      </c>
      <c r="J17" s="102">
        <v>2</v>
      </c>
      <c r="K17" s="102">
        <v>2</v>
      </c>
      <c r="L17" s="113"/>
      <c r="M17" s="102">
        <v>0</v>
      </c>
      <c r="N17" s="102">
        <v>2</v>
      </c>
      <c r="O17" s="102">
        <v>2</v>
      </c>
      <c r="P17" s="102">
        <v>2</v>
      </c>
      <c r="Q17" s="102">
        <v>2</v>
      </c>
      <c r="R17" s="114">
        <v>2</v>
      </c>
      <c r="S17" s="81">
        <v>3</v>
      </c>
      <c r="T17" s="115">
        <v>3</v>
      </c>
      <c r="U17" s="87">
        <v>3</v>
      </c>
      <c r="V17" s="102">
        <v>3</v>
      </c>
      <c r="W17" s="102"/>
      <c r="X17" s="88"/>
      <c r="Y17" s="88"/>
      <c r="Z17" s="88"/>
      <c r="AA17" s="88"/>
      <c r="AB17" s="128"/>
      <c r="AC17" s="128"/>
      <c r="AD17" s="128"/>
      <c r="AE17" s="128"/>
      <c r="AF17" s="128"/>
      <c r="AG17" s="128"/>
      <c r="AH17" s="127"/>
    </row>
    <row r="18" spans="1:34" ht="13.2">
      <c r="A18" s="88"/>
      <c r="B18" s="97" t="s">
        <v>24</v>
      </c>
      <c r="C18" s="102">
        <v>0</v>
      </c>
      <c r="D18" s="102"/>
      <c r="E18" s="102">
        <v>1</v>
      </c>
      <c r="F18" s="102">
        <v>1</v>
      </c>
      <c r="G18" s="2">
        <v>1</v>
      </c>
      <c r="H18" s="102">
        <v>1</v>
      </c>
      <c r="I18" s="102">
        <v>1</v>
      </c>
      <c r="J18" s="102">
        <v>1</v>
      </c>
      <c r="K18" s="102">
        <v>1</v>
      </c>
      <c r="L18" s="113"/>
      <c r="M18" s="102">
        <v>0</v>
      </c>
      <c r="N18" s="102">
        <v>1</v>
      </c>
      <c r="O18" s="102">
        <v>1</v>
      </c>
      <c r="P18" s="102">
        <v>1</v>
      </c>
      <c r="Q18" s="102">
        <v>1</v>
      </c>
      <c r="R18" s="114">
        <v>2</v>
      </c>
      <c r="S18" s="81">
        <v>5</v>
      </c>
      <c r="T18" s="115">
        <v>10</v>
      </c>
      <c r="U18" s="87">
        <v>15</v>
      </c>
      <c r="V18" s="102">
        <v>18</v>
      </c>
      <c r="W18" s="102"/>
      <c r="X18" s="88"/>
      <c r="Y18" s="88"/>
      <c r="Z18" s="88"/>
      <c r="AA18" s="88"/>
      <c r="AB18" s="128"/>
      <c r="AC18" s="128"/>
      <c r="AD18" s="128"/>
      <c r="AE18" s="128"/>
      <c r="AF18" s="128"/>
      <c r="AG18" s="128"/>
      <c r="AH18" s="127"/>
    </row>
    <row r="19" spans="1:34" ht="13.2">
      <c r="A19" s="88"/>
      <c r="B19" s="97" t="s">
        <v>25</v>
      </c>
      <c r="C19" s="102">
        <v>0</v>
      </c>
      <c r="D19" s="102"/>
      <c r="E19" s="102">
        <v>0</v>
      </c>
      <c r="F19" s="102">
        <v>0</v>
      </c>
      <c r="G19" s="2">
        <v>0</v>
      </c>
      <c r="H19" s="102">
        <v>3</v>
      </c>
      <c r="I19" s="102">
        <v>3</v>
      </c>
      <c r="J19" s="102">
        <v>3</v>
      </c>
      <c r="K19" s="102">
        <v>3</v>
      </c>
      <c r="L19" s="113"/>
      <c r="M19" s="102">
        <v>0</v>
      </c>
      <c r="N19" s="102">
        <v>3</v>
      </c>
      <c r="O19" s="102">
        <v>3</v>
      </c>
      <c r="P19" s="102">
        <v>3</v>
      </c>
      <c r="Q19" s="102">
        <v>4</v>
      </c>
      <c r="R19" s="114">
        <v>4</v>
      </c>
      <c r="S19" s="81">
        <v>4</v>
      </c>
      <c r="T19" s="115">
        <v>4</v>
      </c>
      <c r="U19" s="87">
        <v>4</v>
      </c>
      <c r="V19" s="102">
        <v>4</v>
      </c>
      <c r="W19" s="102"/>
      <c r="X19" s="88"/>
      <c r="Y19" s="88"/>
      <c r="Z19" s="88"/>
      <c r="AA19" s="88"/>
      <c r="AB19" s="128"/>
      <c r="AC19" s="128"/>
      <c r="AD19" s="128"/>
      <c r="AE19" s="128"/>
      <c r="AF19" s="128"/>
      <c r="AG19" s="128"/>
      <c r="AH19" s="127"/>
    </row>
    <row r="20" spans="1:34" ht="13.2">
      <c r="A20" s="88"/>
      <c r="B20" s="97" t="s">
        <v>26</v>
      </c>
      <c r="C20" s="102">
        <v>0</v>
      </c>
      <c r="D20" s="102"/>
      <c r="E20" s="102">
        <v>0</v>
      </c>
      <c r="F20" s="102">
        <v>0</v>
      </c>
      <c r="G20" s="2">
        <v>0</v>
      </c>
      <c r="H20" s="102">
        <v>0</v>
      </c>
      <c r="I20" s="102">
        <v>0</v>
      </c>
      <c r="J20" s="102">
        <v>0</v>
      </c>
      <c r="K20" s="102">
        <v>0</v>
      </c>
      <c r="L20" s="113"/>
      <c r="M20" s="102">
        <v>0</v>
      </c>
      <c r="N20" s="102">
        <v>0</v>
      </c>
      <c r="O20" s="102">
        <v>0</v>
      </c>
      <c r="P20" s="102">
        <v>0</v>
      </c>
      <c r="Q20" s="102">
        <v>0</v>
      </c>
      <c r="R20" s="114">
        <v>0</v>
      </c>
      <c r="S20" s="81">
        <v>0</v>
      </c>
      <c r="T20" s="115">
        <v>0</v>
      </c>
      <c r="U20" s="87">
        <v>0</v>
      </c>
      <c r="V20" s="102">
        <v>0</v>
      </c>
      <c r="W20" s="102"/>
      <c r="X20" s="88"/>
      <c r="Y20" s="88"/>
      <c r="Z20" s="88"/>
      <c r="AA20" s="88"/>
      <c r="AB20" s="128"/>
      <c r="AC20" s="128"/>
      <c r="AD20" s="128"/>
      <c r="AE20" s="128"/>
      <c r="AF20" s="128"/>
      <c r="AG20" s="128"/>
      <c r="AH20" s="127"/>
    </row>
    <row r="21" spans="1:34" ht="13.2">
      <c r="A21" s="88"/>
      <c r="B21" s="109" t="s">
        <v>11</v>
      </c>
      <c r="C21" s="109">
        <v>326</v>
      </c>
      <c r="D21" s="109">
        <v>0</v>
      </c>
      <c r="E21" s="109">
        <v>327</v>
      </c>
      <c r="F21" s="109">
        <v>326</v>
      </c>
      <c r="G21" s="109">
        <v>325</v>
      </c>
      <c r="H21" s="109">
        <v>345</v>
      </c>
      <c r="I21" s="109">
        <v>345</v>
      </c>
      <c r="J21" s="109">
        <v>345</v>
      </c>
      <c r="K21" s="109">
        <v>345</v>
      </c>
      <c r="L21" s="109">
        <v>0</v>
      </c>
      <c r="M21" s="109">
        <v>44</v>
      </c>
      <c r="N21" s="109">
        <v>361</v>
      </c>
      <c r="O21" s="109">
        <v>361</v>
      </c>
      <c r="P21" s="109">
        <v>361</v>
      </c>
      <c r="Q21" s="109">
        <v>361</v>
      </c>
      <c r="R21" s="109">
        <v>392</v>
      </c>
      <c r="S21" s="109">
        <v>389</v>
      </c>
      <c r="T21" s="109">
        <v>386</v>
      </c>
      <c r="U21" s="109">
        <v>408</v>
      </c>
      <c r="V21" s="109">
        <v>408</v>
      </c>
      <c r="W21" s="109">
        <v>0</v>
      </c>
      <c r="X21" s="88"/>
      <c r="Y21" s="88"/>
      <c r="Z21" s="88"/>
      <c r="AA21" s="88"/>
      <c r="AB21" s="128"/>
      <c r="AC21" s="128"/>
      <c r="AD21" s="128"/>
      <c r="AE21" s="128"/>
      <c r="AF21" s="128"/>
      <c r="AG21" s="128"/>
      <c r="AH21" s="127"/>
    </row>
    <row r="22" spans="1:34" ht="13.2">
      <c r="A22" s="88"/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  <c r="AA22" s="88"/>
      <c r="AB22" s="128"/>
      <c r="AC22" s="128"/>
      <c r="AD22" s="128"/>
      <c r="AE22" s="128"/>
      <c r="AF22" s="128"/>
      <c r="AG22" s="128"/>
      <c r="AH22" s="127"/>
    </row>
    <row r="23" spans="1:34" ht="13.2">
      <c r="A23" s="88"/>
      <c r="B23" s="82" t="s">
        <v>53</v>
      </c>
      <c r="C23" s="83">
        <v>1</v>
      </c>
      <c r="D23" s="84">
        <v>2</v>
      </c>
      <c r="E23" s="84">
        <v>3</v>
      </c>
      <c r="F23" s="85">
        <v>5</v>
      </c>
      <c r="G23" s="83">
        <v>8</v>
      </c>
      <c r="H23" s="84">
        <v>9</v>
      </c>
      <c r="I23" s="84">
        <v>10</v>
      </c>
      <c r="J23" s="84">
        <v>11</v>
      </c>
      <c r="K23" s="85">
        <v>12</v>
      </c>
      <c r="L23" s="83">
        <v>15</v>
      </c>
      <c r="M23" s="84">
        <v>16</v>
      </c>
      <c r="N23" s="84">
        <v>17</v>
      </c>
      <c r="O23" s="84">
        <v>18</v>
      </c>
      <c r="P23" s="85">
        <v>19</v>
      </c>
      <c r="Q23" s="83">
        <v>22</v>
      </c>
      <c r="R23" s="84">
        <v>23</v>
      </c>
      <c r="S23" s="84">
        <v>24</v>
      </c>
      <c r="T23" s="84">
        <v>25</v>
      </c>
      <c r="U23" s="85">
        <v>26</v>
      </c>
      <c r="V23" s="83">
        <v>29</v>
      </c>
      <c r="W23" s="85">
        <v>30</v>
      </c>
      <c r="X23" s="86" t="s">
        <v>11</v>
      </c>
      <c r="Y23" s="88"/>
      <c r="Z23" s="88"/>
      <c r="AA23" s="88"/>
      <c r="AB23" s="128"/>
      <c r="AC23" s="128"/>
      <c r="AD23" s="128"/>
      <c r="AE23" s="128"/>
      <c r="AF23" s="128"/>
      <c r="AG23" s="128"/>
      <c r="AH23" s="127"/>
    </row>
    <row r="24" spans="1:34" ht="13.2">
      <c r="A24" s="88"/>
      <c r="B24" s="81" t="s">
        <v>2</v>
      </c>
      <c r="C24" s="87">
        <v>17</v>
      </c>
      <c r="D24" s="87">
        <v>17</v>
      </c>
      <c r="E24" s="87">
        <v>17</v>
      </c>
      <c r="F24" s="87">
        <v>17</v>
      </c>
      <c r="G24" s="87">
        <v>17</v>
      </c>
      <c r="H24" s="87">
        <v>17</v>
      </c>
      <c r="I24" s="87">
        <v>17</v>
      </c>
      <c r="J24" s="87">
        <v>17</v>
      </c>
      <c r="K24" s="87">
        <v>17</v>
      </c>
      <c r="L24" s="87">
        <v>17</v>
      </c>
      <c r="M24" s="87">
        <v>17</v>
      </c>
      <c r="N24" s="87">
        <v>17</v>
      </c>
      <c r="O24" s="87">
        <v>17</v>
      </c>
      <c r="P24" s="87">
        <v>17</v>
      </c>
      <c r="Q24" s="87">
        <v>17</v>
      </c>
      <c r="R24" s="87">
        <v>17</v>
      </c>
      <c r="S24" s="87">
        <v>17</v>
      </c>
      <c r="T24" s="87">
        <v>16</v>
      </c>
      <c r="U24" s="87">
        <v>15</v>
      </c>
      <c r="V24" s="87">
        <v>15</v>
      </c>
      <c r="W24" s="87">
        <v>15</v>
      </c>
      <c r="X24" s="81">
        <v>350</v>
      </c>
      <c r="Y24" s="88"/>
      <c r="Z24" s="88"/>
      <c r="AA24" s="88"/>
      <c r="AB24" s="128"/>
      <c r="AC24" s="128"/>
      <c r="AD24" s="128"/>
      <c r="AE24" s="128"/>
      <c r="AF24" s="128"/>
      <c r="AG24" s="128"/>
      <c r="AH24" s="127"/>
    </row>
    <row r="25" spans="1:34" ht="13.2">
      <c r="A25" s="88"/>
      <c r="B25" s="81" t="s">
        <v>115</v>
      </c>
      <c r="C25" s="87">
        <v>20</v>
      </c>
      <c r="D25" s="87">
        <v>23</v>
      </c>
      <c r="E25" s="87">
        <v>4</v>
      </c>
      <c r="F25" s="87">
        <v>14</v>
      </c>
      <c r="G25" s="87">
        <v>29</v>
      </c>
      <c r="H25" s="87">
        <v>8</v>
      </c>
      <c r="I25" s="87">
        <v>0</v>
      </c>
      <c r="J25" s="87">
        <v>0</v>
      </c>
      <c r="K25" s="87">
        <v>0</v>
      </c>
      <c r="L25" s="87">
        <v>0</v>
      </c>
      <c r="M25" s="87">
        <v>0</v>
      </c>
      <c r="N25" s="87">
        <v>0</v>
      </c>
      <c r="O25" s="87">
        <v>0</v>
      </c>
      <c r="P25" s="87">
        <v>0</v>
      </c>
      <c r="Q25" s="87">
        <v>21</v>
      </c>
      <c r="R25" s="87">
        <v>16</v>
      </c>
      <c r="S25" s="87">
        <v>62</v>
      </c>
      <c r="T25" s="87">
        <v>35</v>
      </c>
      <c r="U25" s="87">
        <v>40</v>
      </c>
      <c r="V25" s="87">
        <v>40</v>
      </c>
      <c r="W25" s="87"/>
      <c r="X25" s="81">
        <v>312</v>
      </c>
      <c r="Y25" s="108">
        <v>-38</v>
      </c>
      <c r="Z25" s="88"/>
      <c r="AA25" s="88"/>
      <c r="AB25" s="128"/>
      <c r="AC25" s="128"/>
      <c r="AD25" s="128"/>
      <c r="AE25" s="128"/>
      <c r="AF25" s="128"/>
      <c r="AG25" s="128"/>
      <c r="AH25" s="127"/>
    </row>
    <row r="26" spans="1:34" ht="13.2">
      <c r="A26" s="88"/>
      <c r="B26" s="88"/>
      <c r="C26" s="88"/>
      <c r="D26" s="88"/>
      <c r="E26" s="88"/>
      <c r="F26" s="88"/>
      <c r="G26" s="88"/>
      <c r="H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284"/>
      <c r="Y26" s="284"/>
      <c r="Z26" s="88"/>
      <c r="AA26" s="88"/>
      <c r="AB26" s="128"/>
      <c r="AC26" s="128"/>
      <c r="AD26" s="128"/>
      <c r="AE26" s="128"/>
      <c r="AF26" s="128"/>
      <c r="AG26" s="128"/>
      <c r="AH26" s="127"/>
    </row>
    <row r="27" spans="1:34" ht="13.2">
      <c r="A27" s="88"/>
      <c r="B27" s="88"/>
      <c r="C27" s="88"/>
      <c r="D27" s="88"/>
      <c r="E27" s="88"/>
      <c r="F27" s="88"/>
      <c r="G27" s="88"/>
      <c r="H27" s="88"/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  <c r="AA27" s="88"/>
      <c r="AB27" s="128"/>
      <c r="AC27" s="128"/>
      <c r="AD27" s="128"/>
      <c r="AE27" s="128"/>
      <c r="AF27" s="128"/>
      <c r="AG27" s="128"/>
      <c r="AH27" s="127"/>
    </row>
    <row r="28" spans="1:34" ht="13.2">
      <c r="A28" s="88"/>
      <c r="B28" s="88"/>
      <c r="C28" s="88"/>
      <c r="D28" s="88"/>
      <c r="E28" s="88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  <c r="AA28" s="88"/>
      <c r="AB28" s="128"/>
      <c r="AC28" s="128"/>
      <c r="AD28" s="128"/>
      <c r="AE28" s="128"/>
      <c r="AF28" s="128"/>
      <c r="AG28" s="128"/>
      <c r="AH28" s="127"/>
    </row>
    <row r="29" spans="1:34" ht="13.2">
      <c r="A29" s="88"/>
      <c r="B29" s="88"/>
      <c r="C29" s="88"/>
      <c r="D29" s="88"/>
      <c r="E29" s="88"/>
      <c r="F29" s="88"/>
      <c r="G29" s="88"/>
      <c r="H29" s="88"/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  <c r="AA29" s="88"/>
      <c r="AB29" s="128"/>
      <c r="AC29" s="128"/>
      <c r="AD29" s="128"/>
      <c r="AE29" s="128"/>
      <c r="AF29" s="128"/>
      <c r="AG29" s="128"/>
      <c r="AH29" s="127"/>
    </row>
    <row r="30" spans="1:34" ht="13.2">
      <c r="A30" s="88"/>
      <c r="B30" s="88"/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  <c r="AA30" s="88"/>
      <c r="AB30" s="128"/>
      <c r="AC30" s="128"/>
      <c r="AD30" s="128"/>
      <c r="AE30" s="128"/>
      <c r="AF30" s="128"/>
      <c r="AG30" s="128"/>
      <c r="AH30" s="127"/>
    </row>
    <row r="31" spans="1:34" ht="13.2">
      <c r="A31" s="88"/>
      <c r="B31" s="88"/>
      <c r="C31" s="88"/>
      <c r="D31" s="88"/>
      <c r="E31" s="88"/>
      <c r="F31" s="88"/>
      <c r="G31" s="88"/>
      <c r="H31" s="88"/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  <c r="AA31" s="88"/>
      <c r="AB31" s="128"/>
      <c r="AC31" s="128"/>
      <c r="AD31" s="128"/>
      <c r="AE31" s="128"/>
      <c r="AF31" s="128"/>
      <c r="AG31" s="128"/>
      <c r="AH31" s="127"/>
    </row>
    <row r="32" spans="1:34" ht="13.2">
      <c r="A32" s="88"/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  <c r="AA32" s="88"/>
      <c r="AB32" s="128"/>
      <c r="AC32" s="128"/>
      <c r="AD32" s="128"/>
      <c r="AE32" s="128"/>
      <c r="AF32" s="128"/>
      <c r="AG32" s="128"/>
      <c r="AH32" s="127"/>
    </row>
    <row r="33" spans="1:34" ht="13.2">
      <c r="A33" s="88"/>
      <c r="B33" s="88"/>
      <c r="C33" s="88"/>
      <c r="D33" s="88"/>
      <c r="E33" s="88"/>
      <c r="F33" s="88"/>
      <c r="G33" s="88"/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  <c r="AA33" s="88"/>
      <c r="AB33" s="128"/>
      <c r="AC33" s="128"/>
      <c r="AD33" s="128"/>
      <c r="AE33" s="128"/>
      <c r="AF33" s="128"/>
      <c r="AG33" s="128"/>
      <c r="AH33" s="127"/>
    </row>
    <row r="34" spans="1:34" ht="13.2">
      <c r="A34" s="88"/>
      <c r="B34" s="88"/>
      <c r="C34" s="88"/>
      <c r="D34" s="88"/>
      <c r="E34" s="88"/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  <c r="AA34" s="88"/>
      <c r="AB34" s="128"/>
      <c r="AC34" s="128"/>
      <c r="AD34" s="128"/>
      <c r="AE34" s="128"/>
      <c r="AF34" s="128"/>
      <c r="AG34" s="128"/>
      <c r="AH34" s="127"/>
    </row>
    <row r="35" spans="1:34" ht="13.2">
      <c r="A35" s="88"/>
      <c r="B35" s="88"/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  <c r="AA35" s="88"/>
      <c r="AB35" s="128"/>
      <c r="AC35" s="128"/>
      <c r="AD35" s="128"/>
      <c r="AE35" s="128"/>
      <c r="AF35" s="128"/>
      <c r="AG35" s="128"/>
      <c r="AH35" s="127"/>
    </row>
    <row r="36" spans="1:34" ht="13.2">
      <c r="A36" s="88"/>
      <c r="B36" s="88"/>
      <c r="C36" s="88"/>
      <c r="D36" s="88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  <c r="AB36" s="128"/>
      <c r="AC36" s="128"/>
      <c r="AD36" s="128"/>
      <c r="AE36" s="128"/>
      <c r="AF36" s="128"/>
      <c r="AG36" s="128"/>
      <c r="AH36" s="127"/>
    </row>
    <row r="37" spans="1:34" ht="13.2">
      <c r="A37" s="88"/>
      <c r="B37" s="88"/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  <c r="AA37" s="88"/>
      <c r="AB37" s="128"/>
      <c r="AC37" s="128"/>
      <c r="AD37" s="128"/>
      <c r="AE37" s="128"/>
      <c r="AF37" s="128"/>
      <c r="AG37" s="128"/>
      <c r="AH37" s="127"/>
    </row>
    <row r="38" spans="1:34" ht="13.2">
      <c r="A38" s="88"/>
      <c r="B38" s="88"/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  <c r="AA38" s="88"/>
      <c r="AB38" s="128"/>
      <c r="AC38" s="128"/>
      <c r="AD38" s="128"/>
      <c r="AE38" s="128"/>
      <c r="AF38" s="128"/>
      <c r="AG38" s="128"/>
      <c r="AH38" s="127"/>
    </row>
    <row r="39" spans="1:34" ht="13.2">
      <c r="A39" s="88"/>
      <c r="B39" s="88"/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  <c r="AA39" s="88"/>
      <c r="AB39" s="128"/>
      <c r="AC39" s="128"/>
      <c r="AD39" s="128"/>
      <c r="AE39" s="128"/>
      <c r="AF39" s="128"/>
      <c r="AG39" s="128"/>
      <c r="AH39" s="127"/>
    </row>
    <row r="40" spans="1:34" ht="13.2">
      <c r="A40" s="88"/>
      <c r="B40" s="88"/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  <c r="AB40" s="128"/>
      <c r="AC40" s="128"/>
      <c r="AD40" s="128"/>
      <c r="AE40" s="128"/>
      <c r="AF40" s="128"/>
      <c r="AG40" s="128"/>
      <c r="AH40" s="127"/>
    </row>
    <row r="41" spans="1:34" ht="13.2">
      <c r="A41" s="88"/>
      <c r="B41" s="88"/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  <c r="AB41" s="128"/>
      <c r="AC41" s="128"/>
      <c r="AD41" s="128"/>
      <c r="AE41" s="128"/>
      <c r="AF41" s="128"/>
      <c r="AG41" s="128"/>
      <c r="AH41" s="127"/>
    </row>
    <row r="42" spans="1:34" ht="13.2">
      <c r="A42" s="88"/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128"/>
      <c r="AC42" s="128"/>
      <c r="AD42" s="128"/>
      <c r="AE42" s="128"/>
      <c r="AF42" s="128"/>
      <c r="AG42" s="128"/>
      <c r="AH42" s="127"/>
    </row>
    <row r="43" spans="1:34" ht="13.2">
      <c r="A43" s="88"/>
      <c r="B43" s="88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  <c r="AB43" s="128"/>
      <c r="AC43" s="128"/>
      <c r="AD43" s="128"/>
      <c r="AE43" s="128"/>
      <c r="AF43" s="128"/>
      <c r="AG43" s="128"/>
      <c r="AH43" s="127"/>
    </row>
    <row r="44" spans="1:34" ht="13.2">
      <c r="A44" s="88"/>
      <c r="B44" s="88"/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  <c r="AB44" s="128"/>
      <c r="AC44" s="128"/>
      <c r="AD44" s="128"/>
      <c r="AE44" s="128"/>
      <c r="AF44" s="128"/>
      <c r="AG44" s="128"/>
      <c r="AH44" s="127"/>
    </row>
    <row r="45" spans="1:34" ht="13.2">
      <c r="A45" s="88"/>
      <c r="B45" s="88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88"/>
      <c r="AB45" s="128"/>
      <c r="AC45" s="128"/>
      <c r="AD45" s="128"/>
      <c r="AE45" s="128"/>
      <c r="AF45" s="128"/>
      <c r="AG45" s="128"/>
      <c r="AH45" s="127"/>
    </row>
    <row r="46" spans="1:34" ht="13.2">
      <c r="A46" s="88"/>
      <c r="B46" s="88"/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  <c r="AA46" s="88"/>
      <c r="AB46" s="128"/>
      <c r="AC46" s="128"/>
      <c r="AD46" s="128"/>
      <c r="AE46" s="128"/>
      <c r="AF46" s="128"/>
      <c r="AG46" s="128"/>
      <c r="AH46" s="127"/>
    </row>
    <row r="47" spans="1:34" ht="13.2">
      <c r="A47" s="88"/>
      <c r="B47" s="88"/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  <c r="AA47" s="88"/>
      <c r="AB47" s="128"/>
      <c r="AC47" s="128"/>
      <c r="AD47" s="128"/>
      <c r="AE47" s="128"/>
      <c r="AF47" s="128"/>
      <c r="AG47" s="128"/>
      <c r="AH47" s="127"/>
    </row>
    <row r="48" spans="1:34" ht="13.2">
      <c r="A48" s="88"/>
      <c r="B48" s="88"/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  <c r="AA48" s="88"/>
      <c r="AB48" s="128"/>
      <c r="AC48" s="128"/>
      <c r="AD48" s="128"/>
      <c r="AE48" s="128"/>
      <c r="AF48" s="128"/>
      <c r="AG48" s="128"/>
      <c r="AH48" s="127"/>
    </row>
    <row r="49" spans="1:34" ht="13.2">
      <c r="A49" s="88"/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  <c r="AA49" s="88"/>
      <c r="AB49" s="128"/>
      <c r="AC49" s="128"/>
      <c r="AD49" s="128"/>
      <c r="AE49" s="128"/>
      <c r="AF49" s="128"/>
      <c r="AG49" s="128"/>
      <c r="AH49" s="127"/>
    </row>
    <row r="50" spans="1:34" ht="13.2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  <c r="AA50" s="88"/>
      <c r="AB50" s="128"/>
      <c r="AC50" s="128"/>
      <c r="AD50" s="128"/>
      <c r="AE50" s="128"/>
      <c r="AF50" s="128"/>
      <c r="AG50" s="128"/>
      <c r="AH50" s="127"/>
    </row>
    <row r="51" spans="1:34" ht="13.2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  <c r="AA51" s="88"/>
      <c r="AB51" s="128"/>
      <c r="AC51" s="128"/>
      <c r="AD51" s="128"/>
      <c r="AE51" s="128"/>
      <c r="AF51" s="128"/>
      <c r="AG51" s="128"/>
      <c r="AH51" s="127"/>
    </row>
    <row r="52" spans="1:34" ht="13.2">
      <c r="A52" s="88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  <c r="AA52" s="88"/>
      <c r="AB52" s="128"/>
      <c r="AC52" s="128"/>
      <c r="AD52" s="128"/>
      <c r="AE52" s="128"/>
      <c r="AF52" s="128"/>
      <c r="AG52" s="128"/>
      <c r="AH52" s="127"/>
    </row>
    <row r="53" spans="1:34" ht="13.2">
      <c r="A53" s="88"/>
      <c r="B53" s="88"/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  <c r="AA53" s="88"/>
      <c r="AB53" s="128"/>
      <c r="AC53" s="128"/>
      <c r="AD53" s="128"/>
      <c r="AE53" s="128"/>
      <c r="AF53" s="128"/>
      <c r="AG53" s="128"/>
      <c r="AH53" s="127"/>
    </row>
    <row r="54" spans="1:34" ht="13.2">
      <c r="A54" s="88"/>
      <c r="B54" s="88"/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  <c r="AA54" s="88"/>
      <c r="AB54" s="128"/>
      <c r="AC54" s="128"/>
      <c r="AD54" s="128"/>
      <c r="AE54" s="128"/>
      <c r="AF54" s="128"/>
      <c r="AG54" s="128"/>
      <c r="AH54" s="127"/>
    </row>
    <row r="55" spans="1:34" ht="13.2">
      <c r="A55" s="88"/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  <c r="AA55" s="88"/>
      <c r="AB55" s="128"/>
      <c r="AC55" s="128"/>
      <c r="AD55" s="128"/>
      <c r="AE55" s="128"/>
      <c r="AF55" s="128"/>
      <c r="AG55" s="128"/>
      <c r="AH55" s="127"/>
    </row>
    <row r="56" spans="1:34" ht="13.2">
      <c r="A56" s="88"/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  <c r="AA56" s="88"/>
      <c r="AB56" s="128"/>
      <c r="AC56" s="128"/>
      <c r="AD56" s="128"/>
      <c r="AE56" s="128"/>
      <c r="AF56" s="128"/>
      <c r="AG56" s="128"/>
      <c r="AH56" s="127"/>
    </row>
    <row r="57" spans="1:34" ht="13.2">
      <c r="A57" s="88"/>
      <c r="B57" s="88"/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  <c r="AA57" s="88"/>
      <c r="AB57" s="128"/>
      <c r="AC57" s="128"/>
      <c r="AD57" s="128"/>
      <c r="AE57" s="128"/>
      <c r="AF57" s="128"/>
      <c r="AG57" s="128"/>
      <c r="AH57" s="127"/>
    </row>
    <row r="58" spans="1:34" ht="13.2">
      <c r="A58" s="88"/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  <c r="AA58" s="88"/>
      <c r="AB58" s="128"/>
      <c r="AC58" s="128"/>
      <c r="AD58" s="128"/>
      <c r="AE58" s="128"/>
      <c r="AF58" s="128"/>
      <c r="AG58" s="128"/>
      <c r="AH58" s="127"/>
    </row>
    <row r="59" spans="1:34" ht="13.2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  <c r="AA59" s="88"/>
      <c r="AB59" s="128"/>
      <c r="AC59" s="128"/>
      <c r="AD59" s="128"/>
      <c r="AE59" s="128"/>
      <c r="AF59" s="128"/>
      <c r="AG59" s="128"/>
      <c r="AH59" s="127"/>
    </row>
    <row r="60" spans="1:34" ht="13.2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  <c r="AA60" s="88"/>
      <c r="AB60" s="128"/>
      <c r="AC60" s="128"/>
      <c r="AD60" s="128"/>
      <c r="AE60" s="128"/>
      <c r="AF60" s="128"/>
      <c r="AG60" s="128"/>
      <c r="AH60" s="127"/>
    </row>
    <row r="61" spans="1:34" ht="13.2">
      <c r="A61" s="88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  <c r="AA61" s="88"/>
      <c r="AB61" s="128"/>
      <c r="AC61" s="128"/>
      <c r="AD61" s="128"/>
      <c r="AE61" s="128"/>
      <c r="AF61" s="128"/>
      <c r="AG61" s="128"/>
      <c r="AH61" s="127"/>
    </row>
    <row r="62" spans="1:34" ht="13.2">
      <c r="A62" s="88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  <c r="AB62" s="128"/>
      <c r="AC62" s="128"/>
      <c r="AD62" s="128"/>
      <c r="AE62" s="128"/>
      <c r="AF62" s="128"/>
      <c r="AG62" s="128"/>
      <c r="AH62" s="127"/>
    </row>
    <row r="63" spans="1:34" ht="13.2">
      <c r="A63" s="88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  <c r="AA63" s="88"/>
      <c r="AB63" s="128"/>
      <c r="AC63" s="128"/>
      <c r="AD63" s="128"/>
      <c r="AE63" s="128"/>
      <c r="AF63" s="128"/>
      <c r="AG63" s="128"/>
      <c r="AH63" s="127"/>
    </row>
    <row r="64" spans="1:34" ht="13.2">
      <c r="A64" s="88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  <c r="AA64" s="88"/>
      <c r="AB64" s="128"/>
      <c r="AC64" s="128"/>
      <c r="AD64" s="128"/>
      <c r="AE64" s="128"/>
      <c r="AF64" s="128"/>
      <c r="AG64" s="128"/>
      <c r="AH64" s="127"/>
    </row>
    <row r="65" spans="1:34" ht="13.2">
      <c r="A65" s="88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  <c r="AA65" s="88"/>
      <c r="AB65" s="128"/>
      <c r="AC65" s="128"/>
      <c r="AD65" s="128"/>
      <c r="AE65" s="128"/>
      <c r="AF65" s="128"/>
      <c r="AG65" s="128"/>
      <c r="AH65" s="127"/>
    </row>
    <row r="66" spans="1:34" ht="13.2">
      <c r="A66" s="88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  <c r="AA66" s="88"/>
      <c r="AB66" s="128"/>
      <c r="AC66" s="128"/>
      <c r="AD66" s="128"/>
      <c r="AE66" s="128"/>
      <c r="AF66" s="128"/>
      <c r="AG66" s="128"/>
      <c r="AH66" s="127"/>
    </row>
    <row r="67" spans="1:34" ht="13.2">
      <c r="A67" s="88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  <c r="AA67" s="88"/>
      <c r="AB67" s="128"/>
      <c r="AC67" s="128"/>
      <c r="AD67" s="128"/>
      <c r="AE67" s="128"/>
      <c r="AF67" s="128"/>
      <c r="AG67" s="128"/>
      <c r="AH67" s="127"/>
    </row>
    <row r="68" spans="1:34" ht="13.2">
      <c r="A68" s="88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  <c r="AA68" s="88"/>
      <c r="AB68" s="128"/>
      <c r="AC68" s="128"/>
      <c r="AD68" s="128"/>
      <c r="AE68" s="128"/>
      <c r="AF68" s="128"/>
      <c r="AG68" s="128"/>
      <c r="AH68" s="127"/>
    </row>
    <row r="69" spans="1:34" ht="13.2">
      <c r="A69" s="88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  <c r="AA69" s="88"/>
      <c r="AB69" s="128"/>
      <c r="AC69" s="128"/>
      <c r="AD69" s="128"/>
      <c r="AE69" s="128"/>
      <c r="AF69" s="128"/>
      <c r="AG69" s="128"/>
      <c r="AH69" s="127"/>
    </row>
    <row r="70" spans="1:34" ht="13.2">
      <c r="A70" s="88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  <c r="AA70" s="88"/>
      <c r="AB70" s="128"/>
      <c r="AC70" s="128"/>
      <c r="AD70" s="128"/>
      <c r="AE70" s="128"/>
      <c r="AF70" s="128"/>
      <c r="AG70" s="128"/>
      <c r="AH70" s="127"/>
    </row>
    <row r="71" spans="1:34" ht="13.2">
      <c r="A71" s="88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  <c r="AA71" s="88"/>
      <c r="AB71" s="128"/>
      <c r="AC71" s="128"/>
      <c r="AD71" s="128"/>
      <c r="AE71" s="128"/>
      <c r="AF71" s="128"/>
      <c r="AG71" s="128"/>
      <c r="AH71" s="127"/>
    </row>
    <row r="72" spans="1:34" ht="13.2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  <c r="AA72" s="88"/>
      <c r="AB72" s="128"/>
      <c r="AC72" s="128"/>
      <c r="AD72" s="128"/>
      <c r="AE72" s="128"/>
      <c r="AF72" s="128"/>
      <c r="AG72" s="128"/>
      <c r="AH72" s="127"/>
    </row>
    <row r="73" spans="1:34" ht="13.2">
      <c r="A73" s="88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  <c r="AA73" s="88"/>
      <c r="AB73" s="128"/>
      <c r="AC73" s="128"/>
      <c r="AD73" s="128"/>
      <c r="AE73" s="128"/>
      <c r="AF73" s="128"/>
      <c r="AG73" s="128"/>
      <c r="AH73" s="127"/>
    </row>
    <row r="74" spans="1:34" ht="13.2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  <c r="AA74" s="88"/>
      <c r="AB74" s="128"/>
      <c r="AC74" s="128"/>
      <c r="AD74" s="128"/>
      <c r="AE74" s="128"/>
      <c r="AF74" s="128"/>
      <c r="AG74" s="128"/>
      <c r="AH74" s="127"/>
    </row>
    <row r="75" spans="1:34" ht="13.2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  <c r="AA75" s="88"/>
      <c r="AB75" s="128"/>
      <c r="AC75" s="128"/>
      <c r="AD75" s="128"/>
      <c r="AE75" s="128"/>
      <c r="AF75" s="128"/>
      <c r="AG75" s="128"/>
      <c r="AH75" s="127"/>
    </row>
    <row r="76" spans="1:34" ht="13.2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  <c r="AA76" s="88"/>
      <c r="AB76" s="128"/>
      <c r="AC76" s="128"/>
      <c r="AD76" s="128"/>
      <c r="AE76" s="128"/>
      <c r="AF76" s="128"/>
      <c r="AG76" s="128"/>
      <c r="AH76" s="127"/>
    </row>
    <row r="77" spans="1:34" ht="13.2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  <c r="AA77" s="88"/>
      <c r="AB77" s="128"/>
      <c r="AC77" s="128"/>
      <c r="AD77" s="128"/>
      <c r="AE77" s="128"/>
      <c r="AF77" s="128"/>
      <c r="AG77" s="128"/>
      <c r="AH77" s="127"/>
    </row>
    <row r="78" spans="1:34" ht="13.2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  <c r="AA78" s="88"/>
      <c r="AB78" s="128"/>
      <c r="AC78" s="128"/>
      <c r="AD78" s="128"/>
      <c r="AE78" s="128"/>
      <c r="AF78" s="128"/>
      <c r="AG78" s="128"/>
      <c r="AH78" s="127"/>
    </row>
    <row r="79" spans="1:34" ht="13.2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  <c r="AA79" s="88"/>
      <c r="AB79" s="128"/>
      <c r="AC79" s="128"/>
      <c r="AD79" s="128"/>
      <c r="AE79" s="128"/>
      <c r="AF79" s="128"/>
      <c r="AG79" s="128"/>
      <c r="AH79" s="127"/>
    </row>
    <row r="80" spans="1:34" ht="13.2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  <c r="AA80" s="88"/>
      <c r="AB80" s="128"/>
      <c r="AC80" s="128"/>
      <c r="AD80" s="128"/>
      <c r="AE80" s="128"/>
      <c r="AF80" s="128"/>
      <c r="AG80" s="128"/>
      <c r="AH80" s="127"/>
    </row>
    <row r="81" spans="1:34" ht="13.2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  <c r="AA81" s="88"/>
      <c r="AB81" s="128"/>
      <c r="AC81" s="128"/>
      <c r="AD81" s="128"/>
      <c r="AE81" s="128"/>
      <c r="AF81" s="128"/>
      <c r="AG81" s="128"/>
      <c r="AH81" s="127"/>
    </row>
    <row r="82" spans="1:34" ht="13.2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  <c r="AA82" s="88"/>
      <c r="AB82" s="128"/>
      <c r="AC82" s="128"/>
      <c r="AD82" s="128"/>
      <c r="AE82" s="128"/>
      <c r="AF82" s="128"/>
      <c r="AG82" s="128"/>
      <c r="AH82" s="127"/>
    </row>
    <row r="83" spans="1:34" ht="13.2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  <c r="AA83" s="88"/>
      <c r="AB83" s="128"/>
      <c r="AC83" s="128"/>
      <c r="AD83" s="128"/>
      <c r="AE83" s="128"/>
      <c r="AF83" s="128"/>
      <c r="AG83" s="128"/>
      <c r="AH83" s="127"/>
    </row>
    <row r="84" spans="1:34" ht="13.2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  <c r="AA84" s="88"/>
      <c r="AB84" s="128"/>
      <c r="AC84" s="128"/>
      <c r="AD84" s="128"/>
      <c r="AE84" s="128"/>
      <c r="AF84" s="128"/>
      <c r="AG84" s="128"/>
      <c r="AH84" s="127"/>
    </row>
    <row r="85" spans="1:34" ht="13.2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  <c r="AA85" s="88"/>
      <c r="AB85" s="128"/>
      <c r="AC85" s="128"/>
      <c r="AD85" s="128"/>
      <c r="AE85" s="128"/>
      <c r="AF85" s="128"/>
      <c r="AG85" s="128"/>
      <c r="AH85" s="127"/>
    </row>
    <row r="86" spans="1:34" ht="13.2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  <c r="AA86" s="88"/>
      <c r="AB86" s="128"/>
      <c r="AC86" s="128"/>
      <c r="AD86" s="128"/>
      <c r="AE86" s="128"/>
      <c r="AF86" s="128"/>
      <c r="AG86" s="128"/>
      <c r="AH86" s="127"/>
    </row>
    <row r="87" spans="1:34" ht="13.2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  <c r="AA87" s="88"/>
      <c r="AB87" s="128"/>
      <c r="AC87" s="128"/>
      <c r="AD87" s="128"/>
      <c r="AE87" s="128"/>
      <c r="AF87" s="128"/>
      <c r="AG87" s="128"/>
      <c r="AH87" s="127"/>
    </row>
    <row r="88" spans="1:34" ht="13.2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  <c r="AA88" s="88"/>
      <c r="AB88" s="128"/>
      <c r="AC88" s="128"/>
      <c r="AD88" s="128"/>
      <c r="AE88" s="128"/>
      <c r="AF88" s="128"/>
      <c r="AG88" s="128"/>
      <c r="AH88" s="127"/>
    </row>
    <row r="89" spans="1:34" ht="13.2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  <c r="AA89" s="88"/>
      <c r="AB89" s="128"/>
      <c r="AC89" s="128"/>
      <c r="AD89" s="128"/>
      <c r="AE89" s="128"/>
      <c r="AF89" s="128"/>
      <c r="AG89" s="128"/>
      <c r="AH89" s="127"/>
    </row>
    <row r="90" spans="1:34" ht="13.2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  <c r="AA90" s="88"/>
      <c r="AB90" s="128"/>
      <c r="AC90" s="128"/>
      <c r="AD90" s="128"/>
      <c r="AE90" s="128"/>
      <c r="AF90" s="128"/>
      <c r="AG90" s="128"/>
      <c r="AH90" s="127"/>
    </row>
    <row r="91" spans="1:34" ht="13.2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  <c r="AA91" s="88"/>
      <c r="AB91" s="128"/>
      <c r="AC91" s="128"/>
      <c r="AD91" s="128"/>
      <c r="AE91" s="128"/>
      <c r="AF91" s="128"/>
      <c r="AG91" s="128"/>
      <c r="AH91" s="127"/>
    </row>
    <row r="92" spans="1:34" ht="13.2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  <c r="AA92" s="88"/>
      <c r="AB92" s="128"/>
      <c r="AC92" s="128"/>
      <c r="AD92" s="128"/>
      <c r="AE92" s="128"/>
      <c r="AF92" s="128"/>
      <c r="AG92" s="128"/>
      <c r="AH92" s="127"/>
    </row>
    <row r="93" spans="1:34" ht="13.2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  <c r="AA93" s="88"/>
      <c r="AB93" s="128"/>
      <c r="AC93" s="128"/>
      <c r="AD93" s="128"/>
      <c r="AE93" s="128"/>
      <c r="AF93" s="128"/>
      <c r="AG93" s="128"/>
      <c r="AH93" s="127"/>
    </row>
    <row r="94" spans="1:34" ht="13.2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  <c r="AA94" s="88"/>
      <c r="AB94" s="128"/>
      <c r="AC94" s="128"/>
      <c r="AD94" s="128"/>
      <c r="AE94" s="128"/>
      <c r="AF94" s="128"/>
      <c r="AG94" s="128"/>
      <c r="AH94" s="127"/>
    </row>
    <row r="95" spans="1:34" ht="13.2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  <c r="AA95" s="88"/>
      <c r="AB95" s="128"/>
      <c r="AC95" s="128"/>
      <c r="AD95" s="128"/>
      <c r="AE95" s="128"/>
      <c r="AF95" s="128"/>
      <c r="AG95" s="128"/>
      <c r="AH95" s="127"/>
    </row>
    <row r="96" spans="1:34" ht="13.2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  <c r="AA96" s="88"/>
      <c r="AB96" s="128"/>
      <c r="AC96" s="128"/>
      <c r="AD96" s="128"/>
      <c r="AE96" s="128"/>
      <c r="AF96" s="128"/>
      <c r="AG96" s="128"/>
      <c r="AH96" s="127"/>
    </row>
    <row r="97" spans="1:34" ht="13.2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  <c r="AA97" s="88"/>
      <c r="AB97" s="128"/>
      <c r="AC97" s="128"/>
      <c r="AD97" s="128"/>
      <c r="AE97" s="128"/>
      <c r="AF97" s="128"/>
      <c r="AG97" s="128"/>
      <c r="AH97" s="127"/>
    </row>
    <row r="98" spans="1:34" ht="13.2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  <c r="AA98" s="88"/>
      <c r="AB98" s="128"/>
      <c r="AC98" s="128"/>
      <c r="AD98" s="128"/>
      <c r="AE98" s="128"/>
      <c r="AF98" s="128"/>
      <c r="AG98" s="128"/>
      <c r="AH98" s="127"/>
    </row>
    <row r="99" spans="1:34" ht="13.2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  <c r="AA99" s="88"/>
      <c r="AB99" s="128"/>
      <c r="AC99" s="128"/>
      <c r="AD99" s="128"/>
      <c r="AE99" s="128"/>
      <c r="AF99" s="128"/>
      <c r="AG99" s="128"/>
      <c r="AH99" s="127"/>
    </row>
    <row r="100" spans="1:34" ht="13.2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  <c r="AA100" s="88"/>
      <c r="AB100" s="128"/>
      <c r="AC100" s="128"/>
      <c r="AD100" s="128"/>
      <c r="AE100" s="128"/>
      <c r="AF100" s="128"/>
      <c r="AG100" s="128"/>
      <c r="AH100" s="127"/>
    </row>
    <row r="101" spans="1:34" ht="13.2">
      <c r="A101" s="88"/>
      <c r="B101" s="88"/>
      <c r="C101" s="88"/>
      <c r="D101" s="88"/>
      <c r="E101" s="88"/>
      <c r="F101" s="88"/>
      <c r="G101" s="88"/>
      <c r="H101" s="88"/>
      <c r="I101" s="88"/>
      <c r="J101" s="88"/>
      <c r="K101" s="88"/>
      <c r="L101" s="88"/>
      <c r="M101" s="88"/>
      <c r="N101" s="88"/>
      <c r="O101" s="88"/>
      <c r="P101" s="88"/>
      <c r="Q101" s="88"/>
      <c r="R101" s="88"/>
      <c r="S101" s="88"/>
      <c r="T101" s="88"/>
      <c r="U101" s="88"/>
      <c r="V101" s="88"/>
      <c r="W101" s="88"/>
      <c r="X101" s="88"/>
      <c r="Y101" s="88"/>
      <c r="Z101" s="88"/>
      <c r="AA101" s="88"/>
      <c r="AB101" s="128"/>
      <c r="AC101" s="128"/>
      <c r="AD101" s="128"/>
      <c r="AE101" s="128"/>
      <c r="AF101" s="128"/>
      <c r="AG101" s="128"/>
      <c r="AH101" s="127"/>
    </row>
    <row r="102" spans="1:34" ht="13.2">
      <c r="A102" s="88"/>
      <c r="B102" s="88"/>
      <c r="C102" s="88"/>
      <c r="D102" s="88"/>
      <c r="E102" s="88"/>
      <c r="F102" s="88"/>
      <c r="G102" s="88"/>
      <c r="H102" s="88"/>
      <c r="I102" s="88"/>
      <c r="J102" s="88"/>
      <c r="K102" s="88"/>
      <c r="L102" s="88"/>
      <c r="M102" s="88"/>
      <c r="N102" s="88"/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8"/>
      <c r="Z102" s="88"/>
      <c r="AA102" s="88"/>
      <c r="AB102" s="128"/>
      <c r="AC102" s="128"/>
      <c r="AD102" s="128"/>
      <c r="AE102" s="128"/>
      <c r="AF102" s="128"/>
      <c r="AG102" s="128"/>
      <c r="AH102" s="127"/>
    </row>
    <row r="103" spans="1:34" ht="13.2">
      <c r="A103" s="88"/>
      <c r="B103" s="88"/>
      <c r="C103" s="88"/>
      <c r="D103" s="88"/>
      <c r="E103" s="88"/>
      <c r="F103" s="88"/>
      <c r="G103" s="88"/>
      <c r="H103" s="88"/>
      <c r="I103" s="88"/>
      <c r="J103" s="88"/>
      <c r="K103" s="88"/>
      <c r="L103" s="88"/>
      <c r="M103" s="88"/>
      <c r="N103" s="88"/>
      <c r="O103" s="88"/>
      <c r="P103" s="88"/>
      <c r="Q103" s="88"/>
      <c r="R103" s="88"/>
      <c r="S103" s="88"/>
      <c r="T103" s="88"/>
      <c r="U103" s="88"/>
      <c r="V103" s="88"/>
      <c r="W103" s="88"/>
      <c r="X103" s="88"/>
      <c r="Y103" s="88"/>
      <c r="Z103" s="88"/>
      <c r="AA103" s="88"/>
      <c r="AB103" s="128"/>
      <c r="AC103" s="128"/>
      <c r="AD103" s="128"/>
      <c r="AE103" s="128"/>
      <c r="AF103" s="128"/>
      <c r="AG103" s="128"/>
      <c r="AH103" s="127"/>
    </row>
    <row r="104" spans="1:34" ht="13.2">
      <c r="A104" s="88"/>
      <c r="B104" s="88"/>
      <c r="C104" s="88"/>
      <c r="D104" s="88"/>
      <c r="E104" s="88"/>
      <c r="F104" s="88"/>
      <c r="G104" s="88"/>
      <c r="H104" s="88"/>
      <c r="I104" s="88"/>
      <c r="J104" s="88"/>
      <c r="K104" s="88"/>
      <c r="L104" s="88"/>
      <c r="M104" s="88"/>
      <c r="N104" s="88"/>
      <c r="O104" s="88"/>
      <c r="P104" s="88"/>
      <c r="Q104" s="88"/>
      <c r="R104" s="88"/>
      <c r="S104" s="88"/>
      <c r="T104" s="88"/>
      <c r="U104" s="88"/>
      <c r="V104" s="88"/>
      <c r="W104" s="88"/>
      <c r="X104" s="88"/>
      <c r="Y104" s="88"/>
      <c r="Z104" s="88"/>
      <c r="AA104" s="88"/>
      <c r="AB104" s="128"/>
      <c r="AC104" s="128"/>
      <c r="AD104" s="128"/>
      <c r="AE104" s="128"/>
      <c r="AF104" s="128"/>
      <c r="AG104" s="128"/>
      <c r="AH104" s="127"/>
    </row>
    <row r="105" spans="1:34" ht="13.2">
      <c r="A105" s="88"/>
      <c r="B105" s="88"/>
      <c r="C105" s="88"/>
      <c r="D105" s="88"/>
      <c r="E105" s="88"/>
      <c r="F105" s="88"/>
      <c r="G105" s="88"/>
      <c r="H105" s="88"/>
      <c r="I105" s="88"/>
      <c r="J105" s="88"/>
      <c r="K105" s="88"/>
      <c r="L105" s="88"/>
      <c r="M105" s="88"/>
      <c r="N105" s="88"/>
      <c r="O105" s="88"/>
      <c r="P105" s="88"/>
      <c r="Q105" s="88"/>
      <c r="R105" s="88"/>
      <c r="S105" s="88"/>
      <c r="T105" s="88"/>
      <c r="U105" s="88"/>
      <c r="V105" s="88"/>
      <c r="W105" s="88"/>
      <c r="X105" s="88"/>
      <c r="Y105" s="88"/>
      <c r="Z105" s="88"/>
      <c r="AA105" s="88"/>
      <c r="AB105" s="128"/>
      <c r="AC105" s="128"/>
      <c r="AD105" s="128"/>
      <c r="AE105" s="128"/>
      <c r="AF105" s="128"/>
      <c r="AG105" s="128"/>
      <c r="AH105" s="127"/>
    </row>
    <row r="106" spans="1:34" ht="13.2">
      <c r="A106" s="88"/>
      <c r="B106" s="88"/>
      <c r="C106" s="88"/>
      <c r="D106" s="88"/>
      <c r="E106" s="88"/>
      <c r="F106" s="88"/>
      <c r="G106" s="88"/>
      <c r="H106" s="88"/>
      <c r="I106" s="88"/>
      <c r="J106" s="88"/>
      <c r="K106" s="88"/>
      <c r="L106" s="88"/>
      <c r="M106" s="88"/>
      <c r="N106" s="88"/>
      <c r="O106" s="88"/>
      <c r="P106" s="88"/>
      <c r="Q106" s="88"/>
      <c r="R106" s="88"/>
      <c r="S106" s="88"/>
      <c r="T106" s="88"/>
      <c r="U106" s="88"/>
      <c r="V106" s="88"/>
      <c r="W106" s="88"/>
      <c r="X106" s="88"/>
      <c r="Y106" s="88"/>
      <c r="Z106" s="88"/>
      <c r="AA106" s="88"/>
      <c r="AB106" s="128"/>
      <c r="AC106" s="128"/>
      <c r="AD106" s="128"/>
      <c r="AE106" s="128"/>
      <c r="AF106" s="128"/>
      <c r="AG106" s="128"/>
      <c r="AH106" s="127"/>
    </row>
    <row r="107" spans="1:34" ht="13.2">
      <c r="A107" s="88"/>
      <c r="B107" s="88"/>
      <c r="C107" s="88"/>
      <c r="D107" s="88"/>
      <c r="E107" s="88"/>
      <c r="F107" s="88"/>
      <c r="G107" s="88"/>
      <c r="H107" s="88"/>
      <c r="I107" s="88"/>
      <c r="J107" s="88"/>
      <c r="K107" s="88"/>
      <c r="L107" s="88"/>
      <c r="M107" s="88"/>
      <c r="N107" s="88"/>
      <c r="O107" s="88"/>
      <c r="P107" s="88"/>
      <c r="Q107" s="88"/>
      <c r="R107" s="88"/>
      <c r="S107" s="88"/>
      <c r="T107" s="88"/>
      <c r="U107" s="88"/>
      <c r="V107" s="88"/>
      <c r="W107" s="88"/>
      <c r="X107" s="88"/>
      <c r="Y107" s="88"/>
      <c r="Z107" s="88"/>
      <c r="AA107" s="88"/>
      <c r="AB107" s="128"/>
      <c r="AC107" s="128"/>
      <c r="AD107" s="128"/>
      <c r="AE107" s="128"/>
      <c r="AF107" s="128"/>
      <c r="AG107" s="128"/>
      <c r="AH107" s="127"/>
    </row>
    <row r="108" spans="1:34" ht="13.2">
      <c r="A108" s="88"/>
      <c r="B108" s="88"/>
      <c r="C108" s="88"/>
      <c r="D108" s="88"/>
      <c r="E108" s="88"/>
      <c r="F108" s="88"/>
      <c r="G108" s="88"/>
      <c r="H108" s="88"/>
      <c r="I108" s="88"/>
      <c r="J108" s="88"/>
      <c r="K108" s="88"/>
      <c r="L108" s="88"/>
      <c r="M108" s="88"/>
      <c r="N108" s="88"/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8"/>
      <c r="Z108" s="88"/>
      <c r="AA108" s="88"/>
      <c r="AB108" s="128"/>
      <c r="AC108" s="128"/>
      <c r="AD108" s="128"/>
      <c r="AE108" s="128"/>
      <c r="AF108" s="128"/>
      <c r="AG108" s="128"/>
      <c r="AH108" s="127"/>
    </row>
    <row r="109" spans="1:34" ht="13.2">
      <c r="A109" s="88"/>
      <c r="B109" s="88"/>
      <c r="C109" s="88"/>
      <c r="D109" s="88"/>
      <c r="E109" s="88"/>
      <c r="F109" s="88"/>
      <c r="G109" s="88"/>
      <c r="H109" s="88"/>
      <c r="I109" s="88"/>
      <c r="J109" s="88"/>
      <c r="K109" s="88"/>
      <c r="L109" s="88"/>
      <c r="M109" s="88"/>
      <c r="N109" s="88"/>
      <c r="O109" s="88"/>
      <c r="P109" s="88"/>
      <c r="Q109" s="88"/>
      <c r="R109" s="88"/>
      <c r="S109" s="88"/>
      <c r="T109" s="88"/>
      <c r="U109" s="88"/>
      <c r="V109" s="88"/>
      <c r="W109" s="88"/>
      <c r="X109" s="88"/>
      <c r="Y109" s="88"/>
      <c r="Z109" s="88"/>
      <c r="AA109" s="88"/>
      <c r="AB109" s="128"/>
      <c r="AC109" s="128"/>
      <c r="AD109" s="128"/>
      <c r="AE109" s="128"/>
      <c r="AF109" s="128"/>
      <c r="AG109" s="128"/>
      <c r="AH109" s="127"/>
    </row>
    <row r="110" spans="1:34" ht="13.2">
      <c r="A110" s="88"/>
      <c r="B110" s="88"/>
      <c r="C110" s="88"/>
      <c r="D110" s="88"/>
      <c r="E110" s="88"/>
      <c r="F110" s="88"/>
      <c r="G110" s="88"/>
      <c r="H110" s="88"/>
      <c r="I110" s="88"/>
      <c r="J110" s="88"/>
      <c r="K110" s="88"/>
      <c r="L110" s="88"/>
      <c r="M110" s="88"/>
      <c r="N110" s="88"/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8"/>
      <c r="Z110" s="88"/>
      <c r="AA110" s="88"/>
      <c r="AB110" s="128"/>
      <c r="AC110" s="128"/>
      <c r="AD110" s="128"/>
      <c r="AE110" s="128"/>
      <c r="AF110" s="128"/>
      <c r="AG110" s="128"/>
      <c r="AH110" s="127"/>
    </row>
    <row r="111" spans="1:34" ht="13.2">
      <c r="A111" s="88"/>
      <c r="B111" s="88"/>
      <c r="C111" s="88"/>
      <c r="D111" s="88"/>
      <c r="E111" s="88"/>
      <c r="F111" s="88"/>
      <c r="G111" s="88"/>
      <c r="H111" s="88"/>
      <c r="I111" s="88"/>
      <c r="J111" s="88"/>
      <c r="K111" s="88"/>
      <c r="L111" s="88"/>
      <c r="M111" s="88"/>
      <c r="N111" s="88"/>
      <c r="O111" s="88"/>
      <c r="P111" s="88"/>
      <c r="Q111" s="88"/>
      <c r="R111" s="88"/>
      <c r="S111" s="88"/>
      <c r="T111" s="88"/>
      <c r="U111" s="88"/>
      <c r="V111" s="88"/>
      <c r="W111" s="88"/>
      <c r="X111" s="88"/>
      <c r="Y111" s="88"/>
      <c r="Z111" s="88"/>
      <c r="AA111" s="88"/>
      <c r="AB111" s="128"/>
      <c r="AC111" s="128"/>
      <c r="AD111" s="128"/>
      <c r="AE111" s="128"/>
      <c r="AF111" s="128"/>
      <c r="AG111" s="128"/>
      <c r="AH111" s="127"/>
    </row>
    <row r="112" spans="1:34" ht="13.2">
      <c r="A112" s="88"/>
      <c r="B112" s="88"/>
      <c r="C112" s="88"/>
      <c r="D112" s="88"/>
      <c r="E112" s="88"/>
      <c r="F112" s="88"/>
      <c r="G112" s="88"/>
      <c r="H112" s="88"/>
      <c r="I112" s="88"/>
      <c r="J112" s="88"/>
      <c r="K112" s="88"/>
      <c r="L112" s="88"/>
      <c r="M112" s="88"/>
      <c r="N112" s="88"/>
      <c r="O112" s="88"/>
      <c r="P112" s="88"/>
      <c r="Q112" s="88"/>
      <c r="R112" s="88"/>
      <c r="S112" s="88"/>
      <c r="T112" s="88"/>
      <c r="U112" s="88"/>
      <c r="V112" s="88"/>
      <c r="W112" s="88"/>
      <c r="X112" s="88"/>
      <c r="Y112" s="88"/>
      <c r="Z112" s="88"/>
      <c r="AA112" s="88"/>
      <c r="AB112" s="128"/>
      <c r="AC112" s="128"/>
      <c r="AD112" s="128"/>
      <c r="AE112" s="128"/>
      <c r="AF112" s="128"/>
      <c r="AG112" s="128"/>
      <c r="AH112" s="127"/>
    </row>
    <row r="113" spans="1:34" ht="13.2">
      <c r="A113" s="88"/>
      <c r="B113" s="88"/>
      <c r="C113" s="88"/>
      <c r="D113" s="88"/>
      <c r="E113" s="88"/>
      <c r="F113" s="88"/>
      <c r="G113" s="88"/>
      <c r="H113" s="88"/>
      <c r="I113" s="88"/>
      <c r="J113" s="88"/>
      <c r="K113" s="88"/>
      <c r="L113" s="88"/>
      <c r="M113" s="88"/>
      <c r="N113" s="88"/>
      <c r="O113" s="88"/>
      <c r="P113" s="88"/>
      <c r="Q113" s="88"/>
      <c r="R113" s="88"/>
      <c r="S113" s="88"/>
      <c r="T113" s="88"/>
      <c r="U113" s="88"/>
      <c r="V113" s="88"/>
      <c r="W113" s="88"/>
      <c r="X113" s="88"/>
      <c r="Y113" s="88"/>
      <c r="Z113" s="88"/>
      <c r="AA113" s="88"/>
      <c r="AB113" s="128"/>
      <c r="AC113" s="128"/>
      <c r="AD113" s="128"/>
      <c r="AE113" s="128"/>
      <c r="AF113" s="128"/>
      <c r="AG113" s="128"/>
      <c r="AH113" s="127"/>
    </row>
    <row r="114" spans="1:34" ht="13.2">
      <c r="A114" s="88"/>
      <c r="B114" s="88"/>
      <c r="C114" s="88"/>
      <c r="D114" s="88"/>
      <c r="E114" s="88"/>
      <c r="F114" s="88"/>
      <c r="G114" s="88"/>
      <c r="H114" s="88"/>
      <c r="I114" s="88"/>
      <c r="J114" s="88"/>
      <c r="K114" s="88"/>
      <c r="L114" s="88"/>
      <c r="M114" s="88"/>
      <c r="N114" s="88"/>
      <c r="O114" s="88"/>
      <c r="P114" s="88"/>
      <c r="Q114" s="88"/>
      <c r="R114" s="88"/>
      <c r="S114" s="88"/>
      <c r="T114" s="88"/>
      <c r="U114" s="88"/>
      <c r="V114" s="88"/>
      <c r="W114" s="88"/>
      <c r="X114" s="88"/>
      <c r="Y114" s="88"/>
      <c r="Z114" s="88"/>
      <c r="AA114" s="88"/>
      <c r="AB114" s="128"/>
      <c r="AC114" s="128"/>
      <c r="AD114" s="128"/>
      <c r="AE114" s="128"/>
      <c r="AF114" s="128"/>
      <c r="AG114" s="128"/>
      <c r="AH114" s="127"/>
    </row>
    <row r="115" spans="1:34" ht="13.2">
      <c r="A115" s="88"/>
      <c r="B115" s="88"/>
      <c r="C115" s="88"/>
      <c r="D115" s="88"/>
      <c r="E115" s="88"/>
      <c r="F115" s="88"/>
      <c r="G115" s="88"/>
      <c r="H115" s="88"/>
      <c r="I115" s="88"/>
      <c r="J115" s="88"/>
      <c r="K115" s="88"/>
      <c r="L115" s="88"/>
      <c r="M115" s="88"/>
      <c r="N115" s="88"/>
      <c r="O115" s="88"/>
      <c r="P115" s="88"/>
      <c r="Q115" s="88"/>
      <c r="R115" s="88"/>
      <c r="S115" s="88"/>
      <c r="T115" s="88"/>
      <c r="U115" s="88"/>
      <c r="V115" s="88"/>
      <c r="W115" s="88"/>
      <c r="X115" s="88"/>
      <c r="Y115" s="88"/>
      <c r="Z115" s="88"/>
      <c r="AA115" s="88"/>
      <c r="AB115" s="128"/>
      <c r="AC115" s="128"/>
      <c r="AD115" s="128"/>
      <c r="AE115" s="128"/>
      <c r="AF115" s="128"/>
      <c r="AG115" s="128"/>
      <c r="AH115" s="127"/>
    </row>
    <row r="116" spans="1:34" ht="13.2">
      <c r="A116" s="88"/>
      <c r="B116" s="88"/>
      <c r="C116" s="88"/>
      <c r="D116" s="88"/>
      <c r="E116" s="88"/>
      <c r="F116" s="88"/>
      <c r="G116" s="88"/>
      <c r="H116" s="88"/>
      <c r="I116" s="88"/>
      <c r="J116" s="88"/>
      <c r="K116" s="88"/>
      <c r="L116" s="88"/>
      <c r="M116" s="88"/>
      <c r="N116" s="88"/>
      <c r="O116" s="88"/>
      <c r="P116" s="88"/>
      <c r="Q116" s="88"/>
      <c r="R116" s="88"/>
      <c r="S116" s="88"/>
      <c r="T116" s="88"/>
      <c r="U116" s="88"/>
      <c r="V116" s="88"/>
      <c r="W116" s="88"/>
      <c r="X116" s="88"/>
      <c r="Y116" s="88"/>
      <c r="Z116" s="88"/>
      <c r="AA116" s="88"/>
      <c r="AB116" s="128"/>
      <c r="AC116" s="128"/>
      <c r="AD116" s="128"/>
      <c r="AE116" s="128"/>
      <c r="AF116" s="128"/>
      <c r="AG116" s="128"/>
      <c r="AH116" s="127"/>
    </row>
    <row r="117" spans="1:34" ht="13.2">
      <c r="A117" s="88"/>
      <c r="B117" s="88"/>
      <c r="C117" s="88"/>
      <c r="D117" s="88"/>
      <c r="E117" s="88"/>
      <c r="F117" s="88"/>
      <c r="G117" s="88"/>
      <c r="H117" s="88"/>
      <c r="I117" s="88"/>
      <c r="J117" s="88"/>
      <c r="K117" s="88"/>
      <c r="L117" s="88"/>
      <c r="M117" s="88"/>
      <c r="N117" s="88"/>
      <c r="O117" s="88"/>
      <c r="P117" s="88"/>
      <c r="Q117" s="88"/>
      <c r="R117" s="88"/>
      <c r="S117" s="88"/>
      <c r="T117" s="88"/>
      <c r="U117" s="88"/>
      <c r="V117" s="88"/>
      <c r="W117" s="88"/>
      <c r="X117" s="88"/>
      <c r="Y117" s="88"/>
      <c r="Z117" s="88"/>
      <c r="AA117" s="88"/>
      <c r="AB117" s="128"/>
      <c r="AC117" s="128"/>
      <c r="AD117" s="128"/>
      <c r="AE117" s="128"/>
      <c r="AF117" s="128"/>
      <c r="AG117" s="128"/>
      <c r="AH117" s="127"/>
    </row>
    <row r="118" spans="1:34" ht="13.2">
      <c r="A118" s="88"/>
      <c r="B118" s="88"/>
      <c r="C118" s="88"/>
      <c r="D118" s="88"/>
      <c r="E118" s="88"/>
      <c r="F118" s="88"/>
      <c r="G118" s="88"/>
      <c r="H118" s="88"/>
      <c r="I118" s="88"/>
      <c r="J118" s="88"/>
      <c r="K118" s="88"/>
      <c r="L118" s="88"/>
      <c r="M118" s="88"/>
      <c r="N118" s="88"/>
      <c r="O118" s="88"/>
      <c r="P118" s="88"/>
      <c r="Q118" s="88"/>
      <c r="R118" s="88"/>
      <c r="S118" s="88"/>
      <c r="T118" s="88"/>
      <c r="U118" s="88"/>
      <c r="V118" s="88"/>
      <c r="W118" s="88"/>
      <c r="X118" s="88"/>
      <c r="Y118" s="88"/>
      <c r="Z118" s="88"/>
      <c r="AA118" s="88"/>
      <c r="AB118" s="128"/>
      <c r="AC118" s="128"/>
      <c r="AD118" s="128"/>
      <c r="AE118" s="128"/>
      <c r="AF118" s="128"/>
      <c r="AG118" s="128"/>
      <c r="AH118" s="127"/>
    </row>
    <row r="119" spans="1:34" ht="13.2">
      <c r="A119" s="88"/>
      <c r="B119" s="88"/>
      <c r="C119" s="88"/>
      <c r="D119" s="88"/>
      <c r="E119" s="88"/>
      <c r="F119" s="88"/>
      <c r="G119" s="88"/>
      <c r="H119" s="88"/>
      <c r="I119" s="88"/>
      <c r="J119" s="88"/>
      <c r="K119" s="88"/>
      <c r="L119" s="88"/>
      <c r="M119" s="88"/>
      <c r="N119" s="88"/>
      <c r="O119" s="88"/>
      <c r="P119" s="88"/>
      <c r="Q119" s="88"/>
      <c r="R119" s="88"/>
      <c r="S119" s="88"/>
      <c r="T119" s="88"/>
      <c r="U119" s="88"/>
      <c r="V119" s="88"/>
      <c r="W119" s="88"/>
      <c r="X119" s="88"/>
      <c r="Y119" s="88"/>
      <c r="Z119" s="88"/>
      <c r="AA119" s="88"/>
      <c r="AB119" s="128"/>
      <c r="AC119" s="128"/>
      <c r="AD119" s="128"/>
      <c r="AE119" s="128"/>
      <c r="AF119" s="128"/>
      <c r="AG119" s="128"/>
      <c r="AH119" s="127"/>
    </row>
    <row r="120" spans="1:34" ht="13.2">
      <c r="A120" s="88"/>
      <c r="B120" s="88"/>
      <c r="C120" s="88"/>
      <c r="D120" s="88"/>
      <c r="E120" s="88"/>
      <c r="F120" s="88"/>
      <c r="G120" s="88"/>
      <c r="H120" s="88"/>
      <c r="I120" s="88"/>
      <c r="J120" s="88"/>
      <c r="K120" s="88"/>
      <c r="L120" s="88"/>
      <c r="M120" s="88"/>
      <c r="N120" s="88"/>
      <c r="O120" s="88"/>
      <c r="P120" s="88"/>
      <c r="Q120" s="88"/>
      <c r="R120" s="88"/>
      <c r="S120" s="88"/>
      <c r="T120" s="88"/>
      <c r="U120" s="88"/>
      <c r="V120" s="88"/>
      <c r="W120" s="88"/>
      <c r="X120" s="88"/>
      <c r="Y120" s="88"/>
      <c r="Z120" s="88"/>
      <c r="AA120" s="88"/>
      <c r="AB120" s="128"/>
      <c r="AC120" s="128"/>
      <c r="AD120" s="128"/>
      <c r="AE120" s="128"/>
      <c r="AF120" s="128"/>
      <c r="AG120" s="128"/>
      <c r="AH120" s="127"/>
    </row>
    <row r="121" spans="1:34" ht="13.2">
      <c r="A121" s="88"/>
      <c r="B121" s="88"/>
      <c r="C121" s="88"/>
      <c r="D121" s="88"/>
      <c r="E121" s="88"/>
      <c r="F121" s="88"/>
      <c r="G121" s="88"/>
      <c r="H121" s="88"/>
      <c r="I121" s="88"/>
      <c r="J121" s="88"/>
      <c r="K121" s="88"/>
      <c r="L121" s="88"/>
      <c r="M121" s="88"/>
      <c r="N121" s="88"/>
      <c r="O121" s="88"/>
      <c r="P121" s="88"/>
      <c r="Q121" s="88"/>
      <c r="R121" s="88"/>
      <c r="S121" s="88"/>
      <c r="T121" s="88"/>
      <c r="U121" s="88"/>
      <c r="V121" s="88"/>
      <c r="W121" s="88"/>
      <c r="X121" s="88"/>
      <c r="Y121" s="88"/>
      <c r="Z121" s="88"/>
      <c r="AA121" s="88"/>
      <c r="AB121" s="128"/>
      <c r="AC121" s="128"/>
      <c r="AD121" s="128"/>
      <c r="AE121" s="128"/>
      <c r="AF121" s="128"/>
      <c r="AG121" s="128"/>
      <c r="AH121" s="127"/>
    </row>
    <row r="122" spans="1:34" ht="13.2">
      <c r="A122" s="88"/>
      <c r="B122" s="88"/>
      <c r="C122" s="88"/>
      <c r="D122" s="88"/>
      <c r="E122" s="88"/>
      <c r="F122" s="88"/>
      <c r="G122" s="88"/>
      <c r="H122" s="88"/>
      <c r="I122" s="88"/>
      <c r="J122" s="88"/>
      <c r="K122" s="88"/>
      <c r="L122" s="88"/>
      <c r="M122" s="88"/>
      <c r="N122" s="88"/>
      <c r="O122" s="88"/>
      <c r="P122" s="88"/>
      <c r="Q122" s="88"/>
      <c r="R122" s="88"/>
      <c r="S122" s="88"/>
      <c r="T122" s="88"/>
      <c r="U122" s="88"/>
      <c r="V122" s="88"/>
      <c r="W122" s="88"/>
      <c r="X122" s="88"/>
      <c r="Y122" s="88"/>
      <c r="Z122" s="88"/>
      <c r="AA122" s="88"/>
      <c r="AB122" s="128"/>
      <c r="AC122" s="128"/>
      <c r="AD122" s="128"/>
      <c r="AE122" s="128"/>
      <c r="AF122" s="128"/>
      <c r="AG122" s="128"/>
      <c r="AH122" s="127"/>
    </row>
    <row r="123" spans="1:34" ht="13.2">
      <c r="A123" s="88"/>
      <c r="B123" s="88"/>
      <c r="C123" s="88"/>
      <c r="D123" s="88"/>
      <c r="E123" s="88"/>
      <c r="F123" s="88"/>
      <c r="G123" s="88"/>
      <c r="H123" s="88"/>
      <c r="I123" s="88"/>
      <c r="J123" s="88"/>
      <c r="K123" s="88"/>
      <c r="L123" s="88"/>
      <c r="M123" s="88"/>
      <c r="N123" s="88"/>
      <c r="O123" s="88"/>
      <c r="P123" s="88"/>
      <c r="Q123" s="88"/>
      <c r="R123" s="88"/>
      <c r="S123" s="88"/>
      <c r="T123" s="88"/>
      <c r="U123" s="88"/>
      <c r="V123" s="88"/>
      <c r="W123" s="88"/>
      <c r="X123" s="88"/>
      <c r="Y123" s="88"/>
      <c r="Z123" s="88"/>
      <c r="AA123" s="88"/>
      <c r="AB123" s="128"/>
      <c r="AC123" s="128"/>
      <c r="AD123" s="128"/>
      <c r="AE123" s="128"/>
      <c r="AF123" s="128"/>
      <c r="AG123" s="128"/>
      <c r="AH123" s="127"/>
    </row>
    <row r="124" spans="1:34" ht="13.2">
      <c r="A124" s="88"/>
      <c r="B124" s="88"/>
      <c r="C124" s="88"/>
      <c r="D124" s="88"/>
      <c r="E124" s="88"/>
      <c r="F124" s="88"/>
      <c r="G124" s="88"/>
      <c r="H124" s="88"/>
      <c r="I124" s="88"/>
      <c r="J124" s="88"/>
      <c r="K124" s="88"/>
      <c r="L124" s="88"/>
      <c r="M124" s="88"/>
      <c r="N124" s="88"/>
      <c r="O124" s="88"/>
      <c r="P124" s="88"/>
      <c r="Q124" s="88"/>
      <c r="R124" s="88"/>
      <c r="S124" s="88"/>
      <c r="T124" s="88"/>
      <c r="U124" s="88"/>
      <c r="V124" s="88"/>
      <c r="W124" s="88"/>
      <c r="X124" s="88"/>
      <c r="Y124" s="88"/>
      <c r="Z124" s="88"/>
      <c r="AA124" s="88"/>
      <c r="AB124" s="128"/>
      <c r="AC124" s="128"/>
      <c r="AD124" s="128"/>
      <c r="AE124" s="128"/>
      <c r="AF124" s="128"/>
      <c r="AG124" s="128"/>
      <c r="AH124" s="127"/>
    </row>
    <row r="125" spans="1:34" ht="13.2">
      <c r="A125" s="88"/>
      <c r="B125" s="88"/>
      <c r="C125" s="88"/>
      <c r="D125" s="88"/>
      <c r="E125" s="88"/>
      <c r="F125" s="88"/>
      <c r="G125" s="88"/>
      <c r="H125" s="88"/>
      <c r="I125" s="88"/>
      <c r="J125" s="88"/>
      <c r="K125" s="88"/>
      <c r="L125" s="88"/>
      <c r="M125" s="88"/>
      <c r="N125" s="88"/>
      <c r="O125" s="88"/>
      <c r="P125" s="88"/>
      <c r="Q125" s="88"/>
      <c r="R125" s="88"/>
      <c r="S125" s="88"/>
      <c r="T125" s="88"/>
      <c r="U125" s="88"/>
      <c r="V125" s="88"/>
      <c r="W125" s="88"/>
      <c r="X125" s="88"/>
      <c r="Y125" s="88"/>
      <c r="Z125" s="88"/>
      <c r="AA125" s="88"/>
      <c r="AB125" s="128"/>
      <c r="AC125" s="128"/>
      <c r="AD125" s="128"/>
      <c r="AE125" s="128"/>
      <c r="AF125" s="128"/>
      <c r="AG125" s="128"/>
      <c r="AH125" s="127"/>
    </row>
    <row r="126" spans="1:34" ht="13.2">
      <c r="A126" s="88"/>
      <c r="B126" s="88"/>
      <c r="C126" s="88"/>
      <c r="D126" s="88"/>
      <c r="E126" s="88"/>
      <c r="F126" s="88"/>
      <c r="G126" s="88"/>
      <c r="H126" s="88"/>
      <c r="I126" s="88"/>
      <c r="J126" s="88"/>
      <c r="K126" s="88"/>
      <c r="L126" s="88"/>
      <c r="M126" s="88"/>
      <c r="N126" s="88"/>
      <c r="O126" s="88"/>
      <c r="P126" s="88"/>
      <c r="Q126" s="88"/>
      <c r="R126" s="88"/>
      <c r="S126" s="88"/>
      <c r="T126" s="88"/>
      <c r="U126" s="88"/>
      <c r="V126" s="88"/>
      <c r="W126" s="88"/>
      <c r="X126" s="88"/>
      <c r="Y126" s="88"/>
      <c r="Z126" s="88"/>
      <c r="AA126" s="88"/>
      <c r="AB126" s="128"/>
      <c r="AC126" s="128"/>
      <c r="AD126" s="128"/>
      <c r="AE126" s="128"/>
      <c r="AF126" s="128"/>
      <c r="AG126" s="128"/>
      <c r="AH126" s="127"/>
    </row>
    <row r="127" spans="1:34" ht="13.2">
      <c r="A127" s="88"/>
      <c r="B127" s="88"/>
      <c r="C127" s="88"/>
      <c r="D127" s="88"/>
      <c r="E127" s="88"/>
      <c r="F127" s="88"/>
      <c r="G127" s="88"/>
      <c r="H127" s="88"/>
      <c r="I127" s="88"/>
      <c r="J127" s="88"/>
      <c r="K127" s="88"/>
      <c r="L127" s="88"/>
      <c r="M127" s="88"/>
      <c r="N127" s="88"/>
      <c r="O127" s="88"/>
      <c r="P127" s="88"/>
      <c r="Q127" s="88"/>
      <c r="R127" s="88"/>
      <c r="S127" s="88"/>
      <c r="T127" s="88"/>
      <c r="U127" s="88"/>
      <c r="V127" s="88"/>
      <c r="W127" s="88"/>
      <c r="X127" s="88"/>
      <c r="Y127" s="88"/>
      <c r="Z127" s="88"/>
      <c r="AA127" s="88"/>
      <c r="AB127" s="128"/>
      <c r="AC127" s="128"/>
      <c r="AD127" s="128"/>
      <c r="AE127" s="128"/>
      <c r="AF127" s="128"/>
      <c r="AG127" s="128"/>
      <c r="AH127" s="127"/>
    </row>
    <row r="128" spans="1:34" ht="13.2">
      <c r="A128" s="88"/>
      <c r="B128" s="88"/>
      <c r="C128" s="88"/>
      <c r="D128" s="88"/>
      <c r="E128" s="88"/>
      <c r="F128" s="88"/>
      <c r="G128" s="88"/>
      <c r="H128" s="88"/>
      <c r="I128" s="88"/>
      <c r="J128" s="88"/>
      <c r="K128" s="88"/>
      <c r="L128" s="88"/>
      <c r="M128" s="88"/>
      <c r="N128" s="88"/>
      <c r="O128" s="88"/>
      <c r="P128" s="88"/>
      <c r="Q128" s="88"/>
      <c r="R128" s="88"/>
      <c r="S128" s="88"/>
      <c r="T128" s="88"/>
      <c r="U128" s="88"/>
      <c r="V128" s="88"/>
      <c r="W128" s="88"/>
      <c r="X128" s="88"/>
      <c r="Y128" s="88"/>
      <c r="Z128" s="88"/>
      <c r="AA128" s="88"/>
      <c r="AB128" s="128"/>
      <c r="AC128" s="128"/>
      <c r="AD128" s="128"/>
      <c r="AE128" s="128"/>
      <c r="AF128" s="128"/>
      <c r="AG128" s="128"/>
      <c r="AH128" s="127"/>
    </row>
    <row r="129" spans="1:34" ht="13.2">
      <c r="A129" s="88"/>
      <c r="B129" s="88"/>
      <c r="C129" s="88"/>
      <c r="D129" s="88"/>
      <c r="E129" s="88"/>
      <c r="F129" s="88"/>
      <c r="G129" s="88"/>
      <c r="H129" s="88"/>
      <c r="I129" s="88"/>
      <c r="J129" s="88"/>
      <c r="K129" s="88"/>
      <c r="L129" s="88"/>
      <c r="M129" s="88"/>
      <c r="N129" s="88"/>
      <c r="O129" s="88"/>
      <c r="P129" s="88"/>
      <c r="Q129" s="88"/>
      <c r="R129" s="88"/>
      <c r="S129" s="88"/>
      <c r="T129" s="88"/>
      <c r="U129" s="88"/>
      <c r="V129" s="88"/>
      <c r="W129" s="88"/>
      <c r="X129" s="88"/>
      <c r="Y129" s="88"/>
      <c r="Z129" s="88"/>
      <c r="AA129" s="88"/>
      <c r="AB129" s="128"/>
      <c r="AC129" s="128"/>
      <c r="AD129" s="128"/>
      <c r="AE129" s="128"/>
      <c r="AF129" s="128"/>
      <c r="AG129" s="128"/>
      <c r="AH129" s="127"/>
    </row>
    <row r="130" spans="1:34" ht="13.2">
      <c r="A130" s="88"/>
      <c r="B130" s="88"/>
      <c r="C130" s="88"/>
      <c r="D130" s="88"/>
      <c r="E130" s="88"/>
      <c r="F130" s="88"/>
      <c r="G130" s="88"/>
      <c r="H130" s="88"/>
      <c r="I130" s="88"/>
      <c r="J130" s="88"/>
      <c r="K130" s="88"/>
      <c r="L130" s="88"/>
      <c r="M130" s="88"/>
      <c r="N130" s="88"/>
      <c r="O130" s="88"/>
      <c r="P130" s="88"/>
      <c r="Q130" s="88"/>
      <c r="R130" s="88"/>
      <c r="S130" s="88"/>
      <c r="T130" s="88"/>
      <c r="U130" s="88"/>
      <c r="V130" s="88"/>
      <c r="W130" s="88"/>
      <c r="X130" s="88"/>
      <c r="Y130" s="88"/>
      <c r="Z130" s="88"/>
      <c r="AA130" s="88"/>
      <c r="AB130" s="128"/>
      <c r="AC130" s="128"/>
      <c r="AD130" s="128"/>
      <c r="AE130" s="128"/>
      <c r="AF130" s="128"/>
      <c r="AG130" s="128"/>
      <c r="AH130" s="127"/>
    </row>
    <row r="131" spans="1:34" ht="13.2">
      <c r="A131" s="88"/>
      <c r="B131" s="88"/>
      <c r="C131" s="88"/>
      <c r="D131" s="88"/>
      <c r="E131" s="88"/>
      <c r="F131" s="88"/>
      <c r="G131" s="88"/>
      <c r="H131" s="88"/>
      <c r="I131" s="88"/>
      <c r="J131" s="88"/>
      <c r="K131" s="88"/>
      <c r="L131" s="88"/>
      <c r="M131" s="88"/>
      <c r="N131" s="88"/>
      <c r="O131" s="88"/>
      <c r="P131" s="88"/>
      <c r="Q131" s="88"/>
      <c r="R131" s="88"/>
      <c r="S131" s="88"/>
      <c r="T131" s="88"/>
      <c r="U131" s="88"/>
      <c r="V131" s="88"/>
      <c r="W131" s="88"/>
      <c r="X131" s="88"/>
      <c r="Y131" s="88"/>
      <c r="Z131" s="88"/>
      <c r="AA131" s="88"/>
      <c r="AB131" s="128"/>
      <c r="AC131" s="128"/>
      <c r="AD131" s="128"/>
      <c r="AE131" s="128"/>
      <c r="AF131" s="128"/>
      <c r="AG131" s="128"/>
      <c r="AH131" s="127"/>
    </row>
    <row r="132" spans="1:34" ht="13.2">
      <c r="A132" s="88"/>
      <c r="B132" s="88"/>
      <c r="C132" s="88"/>
      <c r="D132" s="88"/>
      <c r="E132" s="88"/>
      <c r="F132" s="88"/>
      <c r="G132" s="88"/>
      <c r="H132" s="88"/>
      <c r="I132" s="88"/>
      <c r="J132" s="88"/>
      <c r="K132" s="88"/>
      <c r="L132" s="88"/>
      <c r="M132" s="88"/>
      <c r="N132" s="88"/>
      <c r="O132" s="88"/>
      <c r="P132" s="88"/>
      <c r="Q132" s="88"/>
      <c r="R132" s="88"/>
      <c r="S132" s="88"/>
      <c r="T132" s="88"/>
      <c r="U132" s="88"/>
      <c r="V132" s="88"/>
      <c r="W132" s="88"/>
      <c r="X132" s="88"/>
      <c r="Y132" s="88"/>
      <c r="Z132" s="88"/>
      <c r="AA132" s="88"/>
      <c r="AB132" s="128"/>
      <c r="AC132" s="128"/>
      <c r="AD132" s="128"/>
      <c r="AE132" s="128"/>
      <c r="AF132" s="128"/>
      <c r="AG132" s="128"/>
      <c r="AH132" s="127"/>
    </row>
    <row r="133" spans="1:34" ht="13.2">
      <c r="A133" s="88"/>
      <c r="B133" s="88"/>
      <c r="C133" s="88"/>
      <c r="D133" s="88"/>
      <c r="E133" s="88"/>
      <c r="F133" s="88"/>
      <c r="G133" s="88"/>
      <c r="H133" s="88"/>
      <c r="I133" s="88"/>
      <c r="J133" s="88"/>
      <c r="K133" s="88"/>
      <c r="L133" s="88"/>
      <c r="M133" s="88"/>
      <c r="N133" s="88"/>
      <c r="O133" s="88"/>
      <c r="P133" s="88"/>
      <c r="Q133" s="88"/>
      <c r="R133" s="88"/>
      <c r="S133" s="88"/>
      <c r="T133" s="88"/>
      <c r="U133" s="88"/>
      <c r="V133" s="88"/>
      <c r="W133" s="88"/>
      <c r="X133" s="88"/>
      <c r="Y133" s="88"/>
      <c r="Z133" s="88"/>
      <c r="AA133" s="88"/>
      <c r="AB133" s="128"/>
      <c r="AC133" s="128"/>
      <c r="AD133" s="128"/>
      <c r="AE133" s="128"/>
      <c r="AF133" s="128"/>
      <c r="AG133" s="128"/>
      <c r="AH133" s="127"/>
    </row>
    <row r="134" spans="1:34" ht="13.2">
      <c r="A134" s="88"/>
      <c r="B134" s="88"/>
      <c r="C134" s="88"/>
      <c r="D134" s="88"/>
      <c r="E134" s="88"/>
      <c r="F134" s="88"/>
      <c r="G134" s="88"/>
      <c r="H134" s="88"/>
      <c r="I134" s="88"/>
      <c r="J134" s="88"/>
      <c r="K134" s="88"/>
      <c r="L134" s="88"/>
      <c r="M134" s="88"/>
      <c r="N134" s="88"/>
      <c r="O134" s="88"/>
      <c r="P134" s="88"/>
      <c r="Q134" s="88"/>
      <c r="R134" s="88"/>
      <c r="S134" s="88"/>
      <c r="T134" s="88"/>
      <c r="U134" s="88"/>
      <c r="V134" s="88"/>
      <c r="W134" s="88"/>
      <c r="X134" s="88"/>
      <c r="Y134" s="88"/>
      <c r="Z134" s="88"/>
      <c r="AA134" s="88"/>
      <c r="AB134" s="128"/>
      <c r="AC134" s="128"/>
      <c r="AD134" s="128"/>
      <c r="AE134" s="128"/>
      <c r="AF134" s="128"/>
      <c r="AG134" s="128"/>
      <c r="AH134" s="127"/>
    </row>
    <row r="135" spans="1:34" ht="13.2">
      <c r="A135" s="88"/>
      <c r="B135" s="88"/>
      <c r="C135" s="88"/>
      <c r="D135" s="88"/>
      <c r="E135" s="88"/>
      <c r="F135" s="88"/>
      <c r="G135" s="88"/>
      <c r="H135" s="88"/>
      <c r="I135" s="88"/>
      <c r="J135" s="88"/>
      <c r="K135" s="88"/>
      <c r="L135" s="88"/>
      <c r="M135" s="88"/>
      <c r="N135" s="88"/>
      <c r="O135" s="88"/>
      <c r="P135" s="88"/>
      <c r="Q135" s="88"/>
      <c r="R135" s="88"/>
      <c r="S135" s="88"/>
      <c r="T135" s="88"/>
      <c r="U135" s="88"/>
      <c r="V135" s="88"/>
      <c r="W135" s="88"/>
      <c r="X135" s="88"/>
      <c r="Y135" s="88"/>
      <c r="Z135" s="88"/>
      <c r="AA135" s="88"/>
      <c r="AB135" s="128"/>
      <c r="AC135" s="128"/>
      <c r="AD135" s="128"/>
      <c r="AE135" s="128"/>
      <c r="AF135" s="128"/>
      <c r="AG135" s="128"/>
      <c r="AH135" s="127"/>
    </row>
    <row r="136" spans="1:34" ht="13.2">
      <c r="A136" s="88"/>
      <c r="B136" s="88"/>
      <c r="C136" s="88"/>
      <c r="D136" s="88"/>
      <c r="E136" s="88"/>
      <c r="F136" s="88"/>
      <c r="G136" s="88"/>
      <c r="H136" s="88"/>
      <c r="I136" s="88"/>
      <c r="J136" s="88"/>
      <c r="K136" s="88"/>
      <c r="L136" s="88"/>
      <c r="M136" s="88"/>
      <c r="N136" s="88"/>
      <c r="O136" s="88"/>
      <c r="P136" s="88"/>
      <c r="Q136" s="88"/>
      <c r="R136" s="88"/>
      <c r="S136" s="88"/>
      <c r="T136" s="88"/>
      <c r="U136" s="88"/>
      <c r="V136" s="88"/>
      <c r="W136" s="88"/>
      <c r="X136" s="88"/>
      <c r="Y136" s="88"/>
      <c r="Z136" s="88"/>
      <c r="AA136" s="88"/>
      <c r="AB136" s="128"/>
      <c r="AC136" s="128"/>
      <c r="AD136" s="128"/>
      <c r="AE136" s="128"/>
      <c r="AF136" s="128"/>
      <c r="AG136" s="128"/>
      <c r="AH136" s="127"/>
    </row>
    <row r="137" spans="1:34" ht="13.2">
      <c r="A137" s="88"/>
      <c r="B137" s="88"/>
      <c r="C137" s="88"/>
      <c r="D137" s="88"/>
      <c r="E137" s="88"/>
      <c r="F137" s="88"/>
      <c r="G137" s="88"/>
      <c r="H137" s="88"/>
      <c r="I137" s="88"/>
      <c r="J137" s="88"/>
      <c r="K137" s="88"/>
      <c r="L137" s="88"/>
      <c r="M137" s="88"/>
      <c r="N137" s="88"/>
      <c r="O137" s="88"/>
      <c r="P137" s="88"/>
      <c r="Q137" s="88"/>
      <c r="R137" s="88"/>
      <c r="S137" s="88"/>
      <c r="T137" s="88"/>
      <c r="U137" s="88"/>
      <c r="V137" s="88"/>
      <c r="W137" s="88"/>
      <c r="X137" s="88"/>
      <c r="Y137" s="88"/>
      <c r="Z137" s="88"/>
      <c r="AA137" s="88"/>
      <c r="AB137" s="128"/>
      <c r="AC137" s="128"/>
      <c r="AD137" s="128"/>
      <c r="AE137" s="128"/>
      <c r="AF137" s="128"/>
      <c r="AG137" s="128"/>
      <c r="AH137" s="127"/>
    </row>
    <row r="138" spans="1:34" ht="13.2">
      <c r="A138" s="88"/>
      <c r="B138" s="88"/>
      <c r="C138" s="88"/>
      <c r="D138" s="88"/>
      <c r="E138" s="88"/>
      <c r="F138" s="88"/>
      <c r="G138" s="88"/>
      <c r="H138" s="88"/>
      <c r="I138" s="88"/>
      <c r="J138" s="88"/>
      <c r="K138" s="88"/>
      <c r="L138" s="88"/>
      <c r="M138" s="88"/>
      <c r="N138" s="88"/>
      <c r="O138" s="88"/>
      <c r="P138" s="88"/>
      <c r="Q138" s="88"/>
      <c r="R138" s="88"/>
      <c r="S138" s="88"/>
      <c r="T138" s="88"/>
      <c r="U138" s="88"/>
      <c r="V138" s="88"/>
      <c r="W138" s="88"/>
      <c r="X138" s="88"/>
      <c r="Y138" s="88"/>
      <c r="Z138" s="88"/>
      <c r="AA138" s="88"/>
      <c r="AB138" s="128"/>
      <c r="AC138" s="128"/>
      <c r="AD138" s="128"/>
      <c r="AE138" s="128"/>
      <c r="AF138" s="128"/>
      <c r="AG138" s="128"/>
      <c r="AH138" s="127"/>
    </row>
    <row r="139" spans="1:34" ht="13.2">
      <c r="A139" s="88"/>
      <c r="B139" s="88"/>
      <c r="C139" s="88"/>
      <c r="D139" s="88"/>
      <c r="E139" s="88"/>
      <c r="F139" s="88"/>
      <c r="G139" s="88"/>
      <c r="H139" s="88"/>
      <c r="I139" s="88"/>
      <c r="J139" s="88"/>
      <c r="K139" s="88"/>
      <c r="L139" s="88"/>
      <c r="M139" s="88"/>
      <c r="N139" s="88"/>
      <c r="O139" s="88"/>
      <c r="P139" s="88"/>
      <c r="Q139" s="88"/>
      <c r="R139" s="88"/>
      <c r="S139" s="88"/>
      <c r="T139" s="88"/>
      <c r="U139" s="88"/>
      <c r="V139" s="88"/>
      <c r="W139" s="88"/>
      <c r="X139" s="88"/>
      <c r="Y139" s="88"/>
      <c r="Z139" s="88"/>
      <c r="AA139" s="88"/>
      <c r="AB139" s="128"/>
      <c r="AC139" s="128"/>
      <c r="AD139" s="128"/>
      <c r="AE139" s="128"/>
      <c r="AF139" s="128"/>
      <c r="AG139" s="128"/>
      <c r="AH139" s="127"/>
    </row>
    <row r="140" spans="1:34" ht="13.2">
      <c r="A140" s="88"/>
      <c r="B140" s="88"/>
      <c r="C140" s="88"/>
      <c r="D140" s="88"/>
      <c r="E140" s="88"/>
      <c r="F140" s="88"/>
      <c r="G140" s="88"/>
      <c r="H140" s="88"/>
      <c r="I140" s="88"/>
      <c r="J140" s="88"/>
      <c r="K140" s="88"/>
      <c r="L140" s="88"/>
      <c r="M140" s="88"/>
      <c r="N140" s="88"/>
      <c r="O140" s="88"/>
      <c r="P140" s="88"/>
      <c r="Q140" s="88"/>
      <c r="R140" s="88"/>
      <c r="S140" s="88"/>
      <c r="T140" s="88"/>
      <c r="U140" s="88"/>
      <c r="V140" s="88"/>
      <c r="W140" s="88"/>
      <c r="X140" s="88"/>
      <c r="Y140" s="88"/>
      <c r="Z140" s="88"/>
      <c r="AA140" s="88"/>
      <c r="AB140" s="128"/>
      <c r="AC140" s="128"/>
      <c r="AD140" s="128"/>
      <c r="AE140" s="128"/>
      <c r="AF140" s="128"/>
      <c r="AG140" s="128"/>
      <c r="AH140" s="127"/>
    </row>
    <row r="141" spans="1:34" ht="13.2">
      <c r="A141" s="88"/>
      <c r="B141" s="88"/>
      <c r="C141" s="88"/>
      <c r="D141" s="88"/>
      <c r="E141" s="88"/>
      <c r="F141" s="88"/>
      <c r="G141" s="88"/>
      <c r="H141" s="88"/>
      <c r="I141" s="88"/>
      <c r="J141" s="88"/>
      <c r="K141" s="88"/>
      <c r="L141" s="88"/>
      <c r="M141" s="88"/>
      <c r="N141" s="88"/>
      <c r="O141" s="88"/>
      <c r="P141" s="88"/>
      <c r="Q141" s="88"/>
      <c r="R141" s="88"/>
      <c r="S141" s="88"/>
      <c r="T141" s="88"/>
      <c r="U141" s="88"/>
      <c r="V141" s="88"/>
      <c r="W141" s="88"/>
      <c r="X141" s="88"/>
      <c r="Y141" s="88"/>
      <c r="Z141" s="88"/>
      <c r="AA141" s="88"/>
      <c r="AB141" s="128"/>
      <c r="AC141" s="128"/>
      <c r="AD141" s="128"/>
      <c r="AE141" s="128"/>
      <c r="AF141" s="128"/>
      <c r="AG141" s="128"/>
      <c r="AH141" s="127"/>
    </row>
    <row r="142" spans="1:34" ht="13.2">
      <c r="A142" s="88"/>
      <c r="B142" s="88"/>
      <c r="C142" s="88"/>
      <c r="D142" s="88"/>
      <c r="E142" s="88"/>
      <c r="F142" s="88"/>
      <c r="G142" s="88"/>
      <c r="H142" s="88"/>
      <c r="I142" s="88"/>
      <c r="J142" s="88"/>
      <c r="K142" s="88"/>
      <c r="L142" s="88"/>
      <c r="M142" s="88"/>
      <c r="N142" s="88"/>
      <c r="O142" s="88"/>
      <c r="P142" s="88"/>
      <c r="Q142" s="88"/>
      <c r="R142" s="88"/>
      <c r="S142" s="88"/>
      <c r="T142" s="88"/>
      <c r="U142" s="88"/>
      <c r="V142" s="88"/>
      <c r="W142" s="88"/>
      <c r="X142" s="88"/>
      <c r="Y142" s="88"/>
      <c r="Z142" s="88"/>
      <c r="AA142" s="88"/>
      <c r="AB142" s="128"/>
      <c r="AC142" s="128"/>
      <c r="AD142" s="128"/>
      <c r="AE142" s="128"/>
      <c r="AF142" s="128"/>
      <c r="AG142" s="128"/>
      <c r="AH142" s="127"/>
    </row>
    <row r="143" spans="1:34" ht="13.2">
      <c r="A143" s="88"/>
      <c r="B143" s="88"/>
      <c r="C143" s="88"/>
      <c r="D143" s="88"/>
      <c r="E143" s="88"/>
      <c r="F143" s="88"/>
      <c r="G143" s="88"/>
      <c r="H143" s="88"/>
      <c r="I143" s="88"/>
      <c r="J143" s="88"/>
      <c r="K143" s="88"/>
      <c r="L143" s="88"/>
      <c r="M143" s="88"/>
      <c r="N143" s="88"/>
      <c r="O143" s="88"/>
      <c r="P143" s="88"/>
      <c r="Q143" s="88"/>
      <c r="R143" s="88"/>
      <c r="S143" s="88"/>
      <c r="T143" s="88"/>
      <c r="U143" s="88"/>
      <c r="V143" s="88"/>
      <c r="W143" s="88"/>
      <c r="X143" s="88"/>
      <c r="Y143" s="88"/>
      <c r="Z143" s="88"/>
      <c r="AA143" s="88"/>
      <c r="AB143" s="128"/>
      <c r="AC143" s="128"/>
      <c r="AD143" s="128"/>
      <c r="AE143" s="128"/>
      <c r="AF143" s="128"/>
      <c r="AG143" s="128"/>
      <c r="AH143" s="127"/>
    </row>
    <row r="144" spans="1:34" ht="13.2">
      <c r="A144" s="88"/>
      <c r="B144" s="88"/>
      <c r="C144" s="88"/>
      <c r="D144" s="88"/>
      <c r="E144" s="88"/>
      <c r="F144" s="88"/>
      <c r="G144" s="88"/>
      <c r="H144" s="88"/>
      <c r="I144" s="88"/>
      <c r="J144" s="88"/>
      <c r="K144" s="88"/>
      <c r="L144" s="88"/>
      <c r="M144" s="88"/>
      <c r="N144" s="88"/>
      <c r="O144" s="88"/>
      <c r="P144" s="88"/>
      <c r="Q144" s="88"/>
      <c r="R144" s="88"/>
      <c r="S144" s="88"/>
      <c r="T144" s="88"/>
      <c r="U144" s="88"/>
      <c r="V144" s="88"/>
      <c r="W144" s="88"/>
      <c r="X144" s="88"/>
      <c r="Y144" s="88"/>
      <c r="Z144" s="88"/>
      <c r="AA144" s="88"/>
      <c r="AB144" s="128"/>
      <c r="AC144" s="128"/>
      <c r="AD144" s="128"/>
      <c r="AE144" s="128"/>
      <c r="AF144" s="128"/>
      <c r="AG144" s="128"/>
      <c r="AH144" s="127"/>
    </row>
    <row r="145" spans="1:34" ht="13.2">
      <c r="A145" s="88"/>
      <c r="B145" s="88"/>
      <c r="C145" s="88"/>
      <c r="D145" s="88"/>
      <c r="E145" s="88"/>
      <c r="F145" s="88"/>
      <c r="G145" s="88"/>
      <c r="H145" s="88"/>
      <c r="I145" s="88"/>
      <c r="J145" s="88"/>
      <c r="K145" s="88"/>
      <c r="L145" s="88"/>
      <c r="M145" s="88"/>
      <c r="N145" s="88"/>
      <c r="O145" s="88"/>
      <c r="P145" s="88"/>
      <c r="Q145" s="88"/>
      <c r="R145" s="88"/>
      <c r="S145" s="88"/>
      <c r="T145" s="88"/>
      <c r="U145" s="88"/>
      <c r="V145" s="88"/>
      <c r="W145" s="88"/>
      <c r="X145" s="88"/>
      <c r="Y145" s="88"/>
      <c r="Z145" s="88"/>
      <c r="AA145" s="88"/>
      <c r="AB145" s="128"/>
      <c r="AC145" s="128"/>
      <c r="AD145" s="128"/>
      <c r="AE145" s="128"/>
      <c r="AF145" s="128"/>
      <c r="AG145" s="128"/>
      <c r="AH145" s="127"/>
    </row>
    <row r="146" spans="1:34" ht="13.2">
      <c r="A146" s="88"/>
      <c r="B146" s="88"/>
      <c r="C146" s="88"/>
      <c r="D146" s="88"/>
      <c r="E146" s="88"/>
      <c r="F146" s="88"/>
      <c r="G146" s="88"/>
      <c r="H146" s="88"/>
      <c r="I146" s="88"/>
      <c r="J146" s="88"/>
      <c r="K146" s="88"/>
      <c r="L146" s="88"/>
      <c r="M146" s="88"/>
      <c r="N146" s="88"/>
      <c r="O146" s="88"/>
      <c r="P146" s="88"/>
      <c r="Q146" s="88"/>
      <c r="R146" s="88"/>
      <c r="S146" s="88"/>
      <c r="T146" s="88"/>
      <c r="U146" s="88"/>
      <c r="V146" s="88"/>
      <c r="W146" s="88"/>
      <c r="X146" s="88"/>
      <c r="Y146" s="88"/>
      <c r="Z146" s="88"/>
      <c r="AA146" s="88"/>
      <c r="AB146" s="128"/>
      <c r="AC146" s="128"/>
      <c r="AD146" s="128"/>
      <c r="AE146" s="128"/>
      <c r="AF146" s="128"/>
      <c r="AG146" s="128"/>
      <c r="AH146" s="127"/>
    </row>
    <row r="147" spans="1:34" ht="13.2">
      <c r="A147" s="88"/>
      <c r="B147" s="88"/>
      <c r="C147" s="88"/>
      <c r="D147" s="88"/>
      <c r="E147" s="88"/>
      <c r="F147" s="88"/>
      <c r="G147" s="88"/>
      <c r="H147" s="88"/>
      <c r="I147" s="88"/>
      <c r="J147" s="88"/>
      <c r="K147" s="88"/>
      <c r="L147" s="88"/>
      <c r="M147" s="88"/>
      <c r="N147" s="88"/>
      <c r="O147" s="88"/>
      <c r="P147" s="88"/>
      <c r="Q147" s="88"/>
      <c r="R147" s="88"/>
      <c r="S147" s="88"/>
      <c r="T147" s="88"/>
      <c r="U147" s="88"/>
      <c r="V147" s="88"/>
      <c r="W147" s="88"/>
      <c r="X147" s="88"/>
      <c r="Y147" s="88"/>
      <c r="Z147" s="88"/>
      <c r="AA147" s="88"/>
      <c r="AB147" s="128"/>
      <c r="AC147" s="128"/>
      <c r="AD147" s="128"/>
      <c r="AE147" s="128"/>
      <c r="AF147" s="128"/>
      <c r="AG147" s="128"/>
      <c r="AH147" s="127"/>
    </row>
    <row r="148" spans="1:34" ht="13.2">
      <c r="A148" s="88"/>
      <c r="B148" s="88"/>
      <c r="C148" s="88"/>
      <c r="D148" s="88"/>
      <c r="E148" s="88"/>
      <c r="F148" s="88"/>
      <c r="G148" s="88"/>
      <c r="H148" s="88"/>
      <c r="I148" s="88"/>
      <c r="J148" s="88"/>
      <c r="K148" s="88"/>
      <c r="L148" s="88"/>
      <c r="M148" s="88"/>
      <c r="N148" s="88"/>
      <c r="O148" s="88"/>
      <c r="P148" s="88"/>
      <c r="Q148" s="88"/>
      <c r="R148" s="88"/>
      <c r="S148" s="88"/>
      <c r="T148" s="88"/>
      <c r="U148" s="88"/>
      <c r="V148" s="88"/>
      <c r="W148" s="88"/>
      <c r="X148" s="88"/>
      <c r="Y148" s="88"/>
      <c r="Z148" s="88"/>
      <c r="AA148" s="88"/>
      <c r="AB148" s="128"/>
      <c r="AC148" s="128"/>
      <c r="AD148" s="128"/>
      <c r="AE148" s="128"/>
      <c r="AF148" s="128"/>
      <c r="AG148" s="128"/>
      <c r="AH148" s="127"/>
    </row>
    <row r="149" spans="1:34" ht="13.2">
      <c r="A149" s="88"/>
      <c r="B149" s="88"/>
      <c r="C149" s="88"/>
      <c r="D149" s="88"/>
      <c r="E149" s="88"/>
      <c r="F149" s="88"/>
      <c r="G149" s="88"/>
      <c r="H149" s="88"/>
      <c r="I149" s="88"/>
      <c r="J149" s="88"/>
      <c r="K149" s="88"/>
      <c r="L149" s="88"/>
      <c r="M149" s="88"/>
      <c r="N149" s="88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8"/>
      <c r="Z149" s="88"/>
      <c r="AA149" s="88"/>
      <c r="AB149" s="128"/>
      <c r="AC149" s="128"/>
      <c r="AD149" s="128"/>
      <c r="AE149" s="128"/>
      <c r="AF149" s="128"/>
      <c r="AG149" s="128"/>
      <c r="AH149" s="127"/>
    </row>
    <row r="150" spans="1:34" ht="13.2">
      <c r="A150" s="88"/>
      <c r="B150" s="88"/>
      <c r="C150" s="88"/>
      <c r="D150" s="88"/>
      <c r="E150" s="88"/>
      <c r="F150" s="88"/>
      <c r="G150" s="88"/>
      <c r="H150" s="88"/>
      <c r="I150" s="88"/>
      <c r="J150" s="88"/>
      <c r="K150" s="88"/>
      <c r="L150" s="88"/>
      <c r="M150" s="88"/>
      <c r="N150" s="88"/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8"/>
      <c r="Z150" s="88"/>
      <c r="AA150" s="88"/>
      <c r="AB150" s="128"/>
      <c r="AC150" s="128"/>
      <c r="AD150" s="128"/>
      <c r="AE150" s="128"/>
      <c r="AF150" s="128"/>
      <c r="AG150" s="128"/>
      <c r="AH150" s="127"/>
    </row>
    <row r="151" spans="1:34" ht="13.2">
      <c r="A151" s="88"/>
      <c r="B151" s="88"/>
      <c r="C151" s="88"/>
      <c r="D151" s="88"/>
      <c r="E151" s="88"/>
      <c r="F151" s="88"/>
      <c r="G151" s="88"/>
      <c r="H151" s="88"/>
      <c r="I151" s="88"/>
      <c r="J151" s="88"/>
      <c r="K151" s="88"/>
      <c r="L151" s="88"/>
      <c r="M151" s="88"/>
      <c r="N151" s="88"/>
      <c r="O151" s="88"/>
      <c r="P151" s="88"/>
      <c r="Q151" s="88"/>
      <c r="R151" s="88"/>
      <c r="S151" s="88"/>
      <c r="T151" s="88"/>
      <c r="U151" s="88"/>
      <c r="V151" s="88"/>
      <c r="W151" s="88"/>
      <c r="X151" s="88"/>
      <c r="Y151" s="88"/>
      <c r="Z151" s="88"/>
      <c r="AA151" s="88"/>
      <c r="AB151" s="128"/>
      <c r="AC151" s="128"/>
      <c r="AD151" s="128"/>
      <c r="AE151" s="128"/>
      <c r="AF151" s="128"/>
      <c r="AG151" s="128"/>
      <c r="AH151" s="127"/>
    </row>
    <row r="152" spans="1:34" ht="13.2">
      <c r="A152" s="88"/>
      <c r="B152" s="88"/>
      <c r="C152" s="88"/>
      <c r="D152" s="88"/>
      <c r="E152" s="88"/>
      <c r="F152" s="88"/>
      <c r="G152" s="88"/>
      <c r="H152" s="88"/>
      <c r="I152" s="88"/>
      <c r="J152" s="88"/>
      <c r="K152" s="88"/>
      <c r="L152" s="88"/>
      <c r="M152" s="88"/>
      <c r="N152" s="88"/>
      <c r="O152" s="88"/>
      <c r="P152" s="88"/>
      <c r="Q152" s="88"/>
      <c r="R152" s="88"/>
      <c r="S152" s="88"/>
      <c r="T152" s="88"/>
      <c r="U152" s="88"/>
      <c r="V152" s="88"/>
      <c r="W152" s="88"/>
      <c r="X152" s="88"/>
      <c r="Y152" s="88"/>
      <c r="Z152" s="88"/>
      <c r="AA152" s="88"/>
      <c r="AB152" s="128"/>
      <c r="AC152" s="128"/>
      <c r="AD152" s="128"/>
      <c r="AE152" s="128"/>
      <c r="AF152" s="128"/>
      <c r="AG152" s="128"/>
      <c r="AH152" s="127"/>
    </row>
    <row r="153" spans="1:34" ht="13.2">
      <c r="A153" s="88"/>
      <c r="B153" s="88"/>
      <c r="C153" s="88"/>
      <c r="D153" s="88"/>
      <c r="E153" s="88"/>
      <c r="F153" s="88"/>
      <c r="G153" s="88"/>
      <c r="H153" s="88"/>
      <c r="I153" s="88"/>
      <c r="J153" s="88"/>
      <c r="K153" s="88"/>
      <c r="L153" s="88"/>
      <c r="M153" s="88"/>
      <c r="N153" s="88"/>
      <c r="O153" s="88"/>
      <c r="P153" s="88"/>
      <c r="Q153" s="88"/>
      <c r="R153" s="88"/>
      <c r="S153" s="88"/>
      <c r="T153" s="88"/>
      <c r="U153" s="88"/>
      <c r="V153" s="88"/>
      <c r="W153" s="88"/>
      <c r="X153" s="88"/>
      <c r="Y153" s="88"/>
      <c r="Z153" s="88"/>
      <c r="AA153" s="88"/>
      <c r="AB153" s="128"/>
      <c r="AC153" s="128"/>
      <c r="AD153" s="128"/>
      <c r="AE153" s="128"/>
      <c r="AF153" s="128"/>
      <c r="AG153" s="128"/>
      <c r="AH153" s="127"/>
    </row>
    <row r="154" spans="1:34" ht="13.2">
      <c r="A154" s="88"/>
      <c r="B154" s="88"/>
      <c r="C154" s="88"/>
      <c r="D154" s="88"/>
      <c r="E154" s="88"/>
      <c r="F154" s="88"/>
      <c r="G154" s="88"/>
      <c r="H154" s="88"/>
      <c r="I154" s="88"/>
      <c r="J154" s="88"/>
      <c r="K154" s="88"/>
      <c r="L154" s="88"/>
      <c r="M154" s="88"/>
      <c r="N154" s="88"/>
      <c r="O154" s="88"/>
      <c r="P154" s="88"/>
      <c r="Q154" s="88"/>
      <c r="R154" s="88"/>
      <c r="S154" s="88"/>
      <c r="T154" s="88"/>
      <c r="U154" s="88"/>
      <c r="V154" s="88"/>
      <c r="W154" s="88"/>
      <c r="X154" s="88"/>
      <c r="Y154" s="88"/>
      <c r="Z154" s="88"/>
      <c r="AA154" s="88"/>
      <c r="AB154" s="128"/>
      <c r="AC154" s="128"/>
      <c r="AD154" s="128"/>
      <c r="AE154" s="128"/>
      <c r="AF154" s="128"/>
      <c r="AG154" s="128"/>
      <c r="AH154" s="127"/>
    </row>
    <row r="155" spans="1:34" ht="13.2">
      <c r="A155" s="88"/>
      <c r="B155" s="88"/>
      <c r="C155" s="88"/>
      <c r="D155" s="88"/>
      <c r="E155" s="88"/>
      <c r="F155" s="88"/>
      <c r="G155" s="88"/>
      <c r="H155" s="88"/>
      <c r="I155" s="88"/>
      <c r="J155" s="88"/>
      <c r="K155" s="88"/>
      <c r="L155" s="88"/>
      <c r="M155" s="88"/>
      <c r="N155" s="88"/>
      <c r="O155" s="88"/>
      <c r="P155" s="88"/>
      <c r="Q155" s="88"/>
      <c r="R155" s="88"/>
      <c r="S155" s="88"/>
      <c r="T155" s="88"/>
      <c r="U155" s="88"/>
      <c r="V155" s="88"/>
      <c r="W155" s="88"/>
      <c r="X155" s="88"/>
      <c r="Y155" s="88"/>
      <c r="Z155" s="88"/>
      <c r="AA155" s="88"/>
      <c r="AB155" s="128"/>
      <c r="AC155" s="128"/>
      <c r="AD155" s="128"/>
      <c r="AE155" s="128"/>
      <c r="AF155" s="128"/>
      <c r="AG155" s="128"/>
      <c r="AH155" s="127"/>
    </row>
    <row r="156" spans="1:34" ht="13.2">
      <c r="A156" s="88"/>
      <c r="B156" s="88"/>
      <c r="C156" s="88"/>
      <c r="D156" s="88"/>
      <c r="E156" s="88"/>
      <c r="F156" s="88"/>
      <c r="G156" s="88"/>
      <c r="H156" s="88"/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  <c r="AB156" s="128"/>
      <c r="AC156" s="128"/>
      <c r="AD156" s="128"/>
      <c r="AE156" s="128"/>
      <c r="AF156" s="128"/>
      <c r="AG156" s="128"/>
      <c r="AH156" s="127"/>
    </row>
    <row r="157" spans="1:34" ht="13.2">
      <c r="A157" s="88"/>
      <c r="B157" s="88"/>
      <c r="C157" s="88"/>
      <c r="D157" s="88"/>
      <c r="E157" s="88"/>
      <c r="F157" s="88"/>
      <c r="G157" s="88"/>
      <c r="H157" s="88"/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  <c r="AB157" s="128"/>
      <c r="AC157" s="128"/>
      <c r="AD157" s="128"/>
      <c r="AE157" s="128"/>
      <c r="AF157" s="128"/>
      <c r="AG157" s="128"/>
      <c r="AH157" s="127"/>
    </row>
    <row r="158" spans="1:34" ht="13.2">
      <c r="A158" s="88"/>
      <c r="B158" s="88"/>
      <c r="C158" s="88"/>
      <c r="D158" s="88"/>
      <c r="E158" s="88"/>
      <c r="F158" s="88"/>
      <c r="G158" s="88"/>
      <c r="H158" s="88"/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  <c r="AB158" s="128"/>
      <c r="AC158" s="128"/>
      <c r="AD158" s="128"/>
      <c r="AE158" s="128"/>
      <c r="AF158" s="128"/>
      <c r="AG158" s="128"/>
      <c r="AH158" s="127"/>
    </row>
    <row r="159" spans="1:34" ht="13.2">
      <c r="A159" s="88"/>
      <c r="B159" s="88"/>
      <c r="C159" s="88"/>
      <c r="D159" s="88"/>
      <c r="E159" s="88"/>
      <c r="F159" s="88"/>
      <c r="G159" s="88"/>
      <c r="H159" s="88"/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  <c r="AB159" s="128"/>
      <c r="AC159" s="128"/>
      <c r="AD159" s="128"/>
      <c r="AE159" s="128"/>
      <c r="AF159" s="128"/>
      <c r="AG159" s="128"/>
      <c r="AH159" s="127"/>
    </row>
    <row r="160" spans="1:34" ht="13.2">
      <c r="A160" s="88"/>
      <c r="B160" s="88"/>
      <c r="C160" s="88"/>
      <c r="D160" s="88"/>
      <c r="E160" s="88"/>
      <c r="F160" s="88"/>
      <c r="G160" s="88"/>
      <c r="H160" s="88"/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  <c r="AB160" s="128"/>
      <c r="AC160" s="128"/>
      <c r="AD160" s="128"/>
      <c r="AE160" s="128"/>
      <c r="AF160" s="128"/>
      <c r="AG160" s="128"/>
      <c r="AH160" s="127"/>
    </row>
    <row r="161" spans="1:34" ht="13.2">
      <c r="A161" s="88"/>
      <c r="B161" s="88"/>
      <c r="C161" s="88"/>
      <c r="D161" s="88"/>
      <c r="E161" s="88"/>
      <c r="F161" s="88"/>
      <c r="G161" s="88"/>
      <c r="H161" s="88"/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  <c r="AB161" s="128"/>
      <c r="AC161" s="128"/>
      <c r="AD161" s="128"/>
      <c r="AE161" s="128"/>
      <c r="AF161" s="128"/>
      <c r="AG161" s="128"/>
      <c r="AH161" s="127"/>
    </row>
    <row r="162" spans="1:34" ht="13.2">
      <c r="A162" s="88"/>
      <c r="B162" s="88"/>
      <c r="C162" s="88"/>
      <c r="D162" s="88"/>
      <c r="E162" s="88"/>
      <c r="F162" s="88"/>
      <c r="G162" s="88"/>
      <c r="H162" s="88"/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  <c r="AB162" s="128"/>
      <c r="AC162" s="128"/>
      <c r="AD162" s="128"/>
      <c r="AE162" s="128"/>
      <c r="AF162" s="128"/>
      <c r="AG162" s="128"/>
      <c r="AH162" s="127"/>
    </row>
    <row r="163" spans="1:34" ht="13.2">
      <c r="A163" s="88"/>
      <c r="B163" s="88"/>
      <c r="C163" s="88"/>
      <c r="D163" s="88"/>
      <c r="E163" s="88"/>
      <c r="F163" s="88"/>
      <c r="G163" s="88"/>
      <c r="H163" s="88"/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  <c r="AB163" s="128"/>
      <c r="AC163" s="128"/>
      <c r="AD163" s="128"/>
      <c r="AE163" s="128"/>
      <c r="AF163" s="128"/>
      <c r="AG163" s="128"/>
      <c r="AH163" s="127"/>
    </row>
    <row r="164" spans="1:34" ht="13.2">
      <c r="A164" s="88"/>
      <c r="B164" s="88"/>
      <c r="C164" s="88"/>
      <c r="D164" s="88"/>
      <c r="E164" s="88"/>
      <c r="F164" s="88"/>
      <c r="G164" s="88"/>
      <c r="H164" s="88"/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  <c r="AB164" s="128"/>
      <c r="AC164" s="128"/>
      <c r="AD164" s="128"/>
      <c r="AE164" s="128"/>
      <c r="AF164" s="128"/>
      <c r="AG164" s="128"/>
      <c r="AH164" s="127"/>
    </row>
    <row r="165" spans="1:34" ht="13.2">
      <c r="A165" s="88"/>
      <c r="B165" s="88"/>
      <c r="C165" s="88"/>
      <c r="D165" s="88"/>
      <c r="E165" s="88"/>
      <c r="F165" s="88"/>
      <c r="G165" s="88"/>
      <c r="H165" s="88"/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  <c r="AB165" s="128"/>
      <c r="AC165" s="128"/>
      <c r="AD165" s="128"/>
      <c r="AE165" s="128"/>
      <c r="AF165" s="128"/>
      <c r="AG165" s="128"/>
      <c r="AH165" s="127"/>
    </row>
    <row r="166" spans="1:34" ht="13.2">
      <c r="A166" s="88"/>
      <c r="B166" s="88"/>
      <c r="C166" s="88"/>
      <c r="D166" s="88"/>
      <c r="E166" s="88"/>
      <c r="F166" s="88"/>
      <c r="G166" s="88"/>
      <c r="H166" s="88"/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128"/>
      <c r="AC166" s="128"/>
      <c r="AD166" s="128"/>
      <c r="AE166" s="128"/>
      <c r="AF166" s="128"/>
      <c r="AG166" s="128"/>
      <c r="AH166" s="127"/>
    </row>
    <row r="167" spans="1:34" ht="13.2">
      <c r="A167" s="88"/>
      <c r="B167" s="88"/>
      <c r="C167" s="88"/>
      <c r="D167" s="88"/>
      <c r="E167" s="88"/>
      <c r="F167" s="88"/>
      <c r="G167" s="88"/>
      <c r="H167" s="88"/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  <c r="AB167" s="128"/>
      <c r="AC167" s="128"/>
      <c r="AD167" s="128"/>
      <c r="AE167" s="128"/>
      <c r="AF167" s="128"/>
      <c r="AG167" s="128"/>
      <c r="AH167" s="127"/>
    </row>
    <row r="168" spans="1:34" ht="13.2">
      <c r="A168" s="88"/>
      <c r="B168" s="88"/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128"/>
      <c r="AC168" s="128"/>
      <c r="AD168" s="128"/>
      <c r="AE168" s="128"/>
      <c r="AF168" s="128"/>
      <c r="AG168" s="128"/>
      <c r="AH168" s="127"/>
    </row>
    <row r="169" spans="1:34" ht="13.2">
      <c r="A169" s="88"/>
      <c r="B169" s="88"/>
      <c r="C169" s="88"/>
      <c r="D169" s="88"/>
      <c r="E169" s="88"/>
      <c r="F169" s="88"/>
      <c r="G169" s="88"/>
      <c r="H169" s="88"/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88"/>
      <c r="AB169" s="128"/>
      <c r="AC169" s="128"/>
      <c r="AD169" s="128"/>
      <c r="AE169" s="128"/>
      <c r="AF169" s="128"/>
      <c r="AG169" s="128"/>
      <c r="AH169" s="127"/>
    </row>
    <row r="170" spans="1:34" ht="13.2">
      <c r="A170" s="88"/>
      <c r="B170" s="88"/>
      <c r="C170" s="88"/>
      <c r="D170" s="88"/>
      <c r="E170" s="88"/>
      <c r="F170" s="88"/>
      <c r="G170" s="88"/>
      <c r="H170" s="88"/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88"/>
      <c r="AB170" s="128"/>
      <c r="AC170" s="128"/>
      <c r="AD170" s="128"/>
      <c r="AE170" s="128"/>
      <c r="AF170" s="128"/>
      <c r="AG170" s="128"/>
      <c r="AH170" s="127"/>
    </row>
    <row r="171" spans="1:34" ht="13.2">
      <c r="A171" s="88"/>
      <c r="B171" s="88"/>
      <c r="C171" s="88"/>
      <c r="D171" s="88"/>
      <c r="E171" s="88"/>
      <c r="F171" s="88"/>
      <c r="G171" s="88"/>
      <c r="H171" s="88"/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  <c r="AA171" s="88"/>
      <c r="AB171" s="128"/>
      <c r="AC171" s="128"/>
      <c r="AD171" s="128"/>
      <c r="AE171" s="128"/>
      <c r="AF171" s="128"/>
      <c r="AG171" s="128"/>
      <c r="AH171" s="127"/>
    </row>
    <row r="172" spans="1:34" ht="13.2">
      <c r="A172" s="88"/>
      <c r="B172" s="88"/>
      <c r="C172" s="88"/>
      <c r="D172" s="88"/>
      <c r="E172" s="88"/>
      <c r="F172" s="88"/>
      <c r="G172" s="88"/>
      <c r="H172" s="88"/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  <c r="AA172" s="88"/>
      <c r="AB172" s="128"/>
      <c r="AC172" s="128"/>
      <c r="AD172" s="128"/>
      <c r="AE172" s="128"/>
      <c r="AF172" s="128"/>
      <c r="AG172" s="128"/>
      <c r="AH172" s="127"/>
    </row>
    <row r="173" spans="1:34" ht="13.2">
      <c r="A173" s="88"/>
      <c r="B173" s="88"/>
      <c r="C173" s="88"/>
      <c r="D173" s="88"/>
      <c r="E173" s="88"/>
      <c r="F173" s="88"/>
      <c r="G173" s="88"/>
      <c r="H173" s="88"/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  <c r="AB173" s="128"/>
      <c r="AC173" s="128"/>
      <c r="AD173" s="128"/>
      <c r="AE173" s="128"/>
      <c r="AF173" s="128"/>
      <c r="AG173" s="128"/>
      <c r="AH173" s="127"/>
    </row>
    <row r="174" spans="1:34" ht="13.2">
      <c r="A174" s="88"/>
      <c r="B174" s="88"/>
      <c r="C174" s="88"/>
      <c r="D174" s="88"/>
      <c r="E174" s="88"/>
      <c r="F174" s="88"/>
      <c r="G174" s="88"/>
      <c r="H174" s="88"/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  <c r="AB174" s="128"/>
      <c r="AC174" s="128"/>
      <c r="AD174" s="128"/>
      <c r="AE174" s="128"/>
      <c r="AF174" s="128"/>
      <c r="AG174" s="128"/>
      <c r="AH174" s="127"/>
    </row>
    <row r="175" spans="1:34" ht="13.2">
      <c r="A175" s="88"/>
      <c r="B175" s="88"/>
      <c r="C175" s="88"/>
      <c r="D175" s="88"/>
      <c r="E175" s="88"/>
      <c r="F175" s="88"/>
      <c r="G175" s="88"/>
      <c r="H175" s="88"/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/>
      <c r="AB175" s="128"/>
      <c r="AC175" s="128"/>
      <c r="AD175" s="128"/>
      <c r="AE175" s="128"/>
      <c r="AF175" s="128"/>
      <c r="AG175" s="128"/>
      <c r="AH175" s="127"/>
    </row>
    <row r="176" spans="1:34" ht="13.2">
      <c r="A176" s="88"/>
      <c r="B176" s="88"/>
      <c r="C176" s="88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  <c r="AB176" s="128"/>
      <c r="AC176" s="128"/>
      <c r="AD176" s="128"/>
      <c r="AE176" s="128"/>
      <c r="AF176" s="128"/>
      <c r="AG176" s="128"/>
      <c r="AH176" s="127"/>
    </row>
    <row r="177" spans="1:34" ht="13.2">
      <c r="A177" s="88"/>
      <c r="B177" s="88"/>
      <c r="C177" s="88"/>
      <c r="D177" s="88"/>
      <c r="E177" s="88"/>
      <c r="F177" s="88"/>
      <c r="G177" s="88"/>
      <c r="H177" s="88"/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88"/>
      <c r="AB177" s="128"/>
      <c r="AC177" s="128"/>
      <c r="AD177" s="128"/>
      <c r="AE177" s="128"/>
      <c r="AF177" s="128"/>
      <c r="AG177" s="128"/>
      <c r="AH177" s="127"/>
    </row>
    <row r="178" spans="1:34" ht="13.2">
      <c r="A178" s="88"/>
      <c r="B178" s="88"/>
      <c r="C178" s="88"/>
      <c r="D178" s="88"/>
      <c r="E178" s="88"/>
      <c r="F178" s="88"/>
      <c r="G178" s="88"/>
      <c r="H178" s="88"/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88"/>
      <c r="AB178" s="128"/>
      <c r="AC178" s="128"/>
      <c r="AD178" s="128"/>
      <c r="AE178" s="128"/>
      <c r="AF178" s="128"/>
      <c r="AG178" s="128"/>
      <c r="AH178" s="127"/>
    </row>
    <row r="179" spans="1:34" ht="13.2">
      <c r="A179" s="88"/>
      <c r="B179" s="88"/>
      <c r="C179" s="88"/>
      <c r="D179" s="88"/>
      <c r="E179" s="88"/>
      <c r="F179" s="88"/>
      <c r="G179" s="88"/>
      <c r="H179" s="88"/>
      <c r="I179" s="88"/>
      <c r="J179" s="88"/>
      <c r="K179" s="88"/>
      <c r="L179" s="88"/>
      <c r="M179" s="88"/>
      <c r="N179" s="88"/>
      <c r="O179" s="88"/>
      <c r="P179" s="88"/>
      <c r="Q179" s="88"/>
      <c r="R179" s="88"/>
      <c r="S179" s="88"/>
      <c r="T179" s="88"/>
      <c r="U179" s="88"/>
      <c r="V179" s="88"/>
      <c r="W179" s="88"/>
      <c r="X179" s="88"/>
      <c r="Y179" s="88"/>
      <c r="Z179" s="88"/>
      <c r="AA179" s="88"/>
      <c r="AB179" s="128"/>
      <c r="AC179" s="128"/>
      <c r="AD179" s="128"/>
      <c r="AE179" s="128"/>
      <c r="AF179" s="128"/>
      <c r="AG179" s="128"/>
      <c r="AH179" s="127"/>
    </row>
    <row r="180" spans="1:34" ht="13.2">
      <c r="A180" s="88"/>
      <c r="B180" s="88"/>
      <c r="C180" s="88"/>
      <c r="D180" s="88"/>
      <c r="E180" s="88"/>
      <c r="F180" s="88"/>
      <c r="G180" s="88"/>
      <c r="H180" s="88"/>
      <c r="I180" s="88"/>
      <c r="J180" s="88"/>
      <c r="K180" s="88"/>
      <c r="L180" s="88"/>
      <c r="M180" s="88"/>
      <c r="N180" s="88"/>
      <c r="O180" s="88"/>
      <c r="P180" s="88"/>
      <c r="Q180" s="88"/>
      <c r="R180" s="88"/>
      <c r="S180" s="88"/>
      <c r="T180" s="88"/>
      <c r="U180" s="88"/>
      <c r="V180" s="88"/>
      <c r="W180" s="88"/>
      <c r="X180" s="88"/>
      <c r="Y180" s="88"/>
      <c r="Z180" s="88"/>
      <c r="AA180" s="88"/>
      <c r="AB180" s="128"/>
      <c r="AC180" s="128"/>
      <c r="AD180" s="128"/>
      <c r="AE180" s="128"/>
      <c r="AF180" s="128"/>
      <c r="AG180" s="128"/>
      <c r="AH180" s="127"/>
    </row>
    <row r="181" spans="1:34" ht="13.2">
      <c r="A181" s="88"/>
      <c r="B181" s="88"/>
      <c r="C181" s="88"/>
      <c r="D181" s="88"/>
      <c r="E181" s="88"/>
      <c r="F181" s="88"/>
      <c r="G181" s="88"/>
      <c r="H181" s="88"/>
      <c r="I181" s="88"/>
      <c r="J181" s="88"/>
      <c r="K181" s="88"/>
      <c r="L181" s="88"/>
      <c r="M181" s="88"/>
      <c r="N181" s="88"/>
      <c r="O181" s="88"/>
      <c r="P181" s="88"/>
      <c r="Q181" s="88"/>
      <c r="R181" s="88"/>
      <c r="S181" s="88"/>
      <c r="T181" s="88"/>
      <c r="U181" s="88"/>
      <c r="V181" s="88"/>
      <c r="W181" s="88"/>
      <c r="X181" s="88"/>
      <c r="Y181" s="88"/>
      <c r="Z181" s="88"/>
      <c r="AA181" s="88"/>
      <c r="AB181" s="128"/>
      <c r="AC181" s="128"/>
      <c r="AD181" s="128"/>
      <c r="AE181" s="128"/>
      <c r="AF181" s="128"/>
      <c r="AG181" s="128"/>
      <c r="AH181" s="127"/>
    </row>
    <row r="182" spans="1:34" ht="13.2">
      <c r="A182" s="88"/>
      <c r="B182" s="88"/>
      <c r="C182" s="88"/>
      <c r="D182" s="88"/>
      <c r="E182" s="88"/>
      <c r="F182" s="88"/>
      <c r="G182" s="88"/>
      <c r="H182" s="88"/>
      <c r="I182" s="88"/>
      <c r="J182" s="88"/>
      <c r="K182" s="88"/>
      <c r="L182" s="88"/>
      <c r="M182" s="88"/>
      <c r="N182" s="88"/>
      <c r="O182" s="88"/>
      <c r="P182" s="88"/>
      <c r="Q182" s="88"/>
      <c r="R182" s="88"/>
      <c r="S182" s="88"/>
      <c r="T182" s="88"/>
      <c r="U182" s="88"/>
      <c r="V182" s="88"/>
      <c r="W182" s="88"/>
      <c r="X182" s="88"/>
      <c r="Y182" s="88"/>
      <c r="Z182" s="88"/>
      <c r="AA182" s="88"/>
      <c r="AB182" s="128"/>
      <c r="AC182" s="128"/>
      <c r="AD182" s="128"/>
      <c r="AE182" s="128"/>
      <c r="AF182" s="128"/>
      <c r="AG182" s="128"/>
      <c r="AH182" s="127"/>
    </row>
    <row r="183" spans="1:34" ht="13.2">
      <c r="A183" s="88"/>
      <c r="B183" s="88"/>
      <c r="C183" s="88"/>
      <c r="D183" s="88"/>
      <c r="E183" s="88"/>
      <c r="F183" s="88"/>
      <c r="G183" s="88"/>
      <c r="H183" s="88"/>
      <c r="I183" s="88"/>
      <c r="J183" s="88"/>
      <c r="K183" s="88"/>
      <c r="L183" s="88"/>
      <c r="M183" s="88"/>
      <c r="N183" s="88"/>
      <c r="O183" s="88"/>
      <c r="P183" s="88"/>
      <c r="Q183" s="88"/>
      <c r="R183" s="88"/>
      <c r="S183" s="88"/>
      <c r="T183" s="88"/>
      <c r="U183" s="88"/>
      <c r="V183" s="88"/>
      <c r="W183" s="88"/>
      <c r="X183" s="88"/>
      <c r="Y183" s="88"/>
      <c r="Z183" s="88"/>
      <c r="AA183" s="88"/>
      <c r="AB183" s="128"/>
      <c r="AC183" s="128"/>
      <c r="AD183" s="128"/>
      <c r="AE183" s="128"/>
      <c r="AF183" s="128"/>
      <c r="AG183" s="128"/>
      <c r="AH183" s="127"/>
    </row>
    <row r="184" spans="1:34" ht="13.2">
      <c r="A184" s="88"/>
      <c r="B184" s="88"/>
      <c r="C184" s="88"/>
      <c r="D184" s="88"/>
      <c r="E184" s="88"/>
      <c r="F184" s="88"/>
      <c r="G184" s="88"/>
      <c r="H184" s="88"/>
      <c r="I184" s="88"/>
      <c r="J184" s="88"/>
      <c r="K184" s="88"/>
      <c r="L184" s="88"/>
      <c r="M184" s="88"/>
      <c r="N184" s="88"/>
      <c r="O184" s="88"/>
      <c r="P184" s="88"/>
      <c r="Q184" s="88"/>
      <c r="R184" s="88"/>
      <c r="S184" s="88"/>
      <c r="T184" s="88"/>
      <c r="U184" s="88"/>
      <c r="V184" s="88"/>
      <c r="W184" s="88"/>
      <c r="X184" s="88"/>
      <c r="Y184" s="88"/>
      <c r="Z184" s="88"/>
      <c r="AA184" s="88"/>
      <c r="AB184" s="128"/>
      <c r="AC184" s="128"/>
      <c r="AD184" s="128"/>
      <c r="AE184" s="128"/>
      <c r="AF184" s="128"/>
      <c r="AG184" s="128"/>
      <c r="AH184" s="127"/>
    </row>
    <row r="185" spans="1:34" ht="13.2">
      <c r="A185" s="88"/>
      <c r="B185" s="88"/>
      <c r="C185" s="88"/>
      <c r="D185" s="88"/>
      <c r="E185" s="88"/>
      <c r="F185" s="88"/>
      <c r="G185" s="88"/>
      <c r="H185" s="88"/>
      <c r="I185" s="88"/>
      <c r="J185" s="88"/>
      <c r="K185" s="88"/>
      <c r="L185" s="88"/>
      <c r="M185" s="88"/>
      <c r="N185" s="88"/>
      <c r="O185" s="88"/>
      <c r="P185" s="88"/>
      <c r="Q185" s="88"/>
      <c r="R185" s="88"/>
      <c r="S185" s="88"/>
      <c r="T185" s="88"/>
      <c r="U185" s="88"/>
      <c r="V185" s="88"/>
      <c r="W185" s="88"/>
      <c r="X185" s="88"/>
      <c r="Y185" s="88"/>
      <c r="Z185" s="88"/>
      <c r="AA185" s="88"/>
      <c r="AB185" s="128"/>
      <c r="AC185" s="128"/>
      <c r="AD185" s="128"/>
      <c r="AE185" s="128"/>
      <c r="AF185" s="128"/>
      <c r="AG185" s="128"/>
      <c r="AH185" s="127"/>
    </row>
    <row r="186" spans="1:34" ht="13.2">
      <c r="A186" s="88"/>
      <c r="B186" s="88"/>
      <c r="C186" s="88"/>
      <c r="D186" s="88"/>
      <c r="E186" s="88"/>
      <c r="F186" s="88"/>
      <c r="G186" s="88"/>
      <c r="H186" s="88"/>
      <c r="I186" s="88"/>
      <c r="J186" s="88"/>
      <c r="K186" s="88"/>
      <c r="L186" s="88"/>
      <c r="M186" s="88"/>
      <c r="N186" s="88"/>
      <c r="O186" s="88"/>
      <c r="P186" s="88"/>
      <c r="Q186" s="88"/>
      <c r="R186" s="88"/>
      <c r="S186" s="88"/>
      <c r="T186" s="88"/>
      <c r="U186" s="88"/>
      <c r="V186" s="88"/>
      <c r="W186" s="88"/>
      <c r="X186" s="88"/>
      <c r="Y186" s="88"/>
      <c r="Z186" s="88"/>
      <c r="AA186" s="88"/>
      <c r="AB186" s="128"/>
      <c r="AC186" s="128"/>
      <c r="AD186" s="128"/>
      <c r="AE186" s="128"/>
      <c r="AF186" s="128"/>
      <c r="AG186" s="128"/>
      <c r="AH186" s="127"/>
    </row>
    <row r="187" spans="1:34" ht="13.2">
      <c r="A187" s="88"/>
      <c r="B187" s="88"/>
      <c r="C187" s="88"/>
      <c r="D187" s="88"/>
      <c r="E187" s="88"/>
      <c r="F187" s="88"/>
      <c r="G187" s="88"/>
      <c r="H187" s="88"/>
      <c r="I187" s="88"/>
      <c r="J187" s="88"/>
      <c r="K187" s="88"/>
      <c r="L187" s="88"/>
      <c r="M187" s="88"/>
      <c r="N187" s="88"/>
      <c r="O187" s="88"/>
      <c r="P187" s="88"/>
      <c r="Q187" s="88"/>
      <c r="R187" s="88"/>
      <c r="S187" s="88"/>
      <c r="T187" s="88"/>
      <c r="U187" s="88"/>
      <c r="V187" s="88"/>
      <c r="W187" s="88"/>
      <c r="X187" s="88"/>
      <c r="Y187" s="88"/>
      <c r="Z187" s="88"/>
      <c r="AA187" s="88"/>
      <c r="AB187" s="128"/>
      <c r="AC187" s="128"/>
      <c r="AD187" s="128"/>
      <c r="AE187" s="128"/>
      <c r="AF187" s="128"/>
      <c r="AG187" s="128"/>
      <c r="AH187" s="127"/>
    </row>
    <row r="188" spans="1:34" ht="13.2">
      <c r="A188" s="88"/>
      <c r="B188" s="88"/>
      <c r="C188" s="88"/>
      <c r="D188" s="88"/>
      <c r="E188" s="88"/>
      <c r="F188" s="88"/>
      <c r="G188" s="88"/>
      <c r="H188" s="88"/>
      <c r="I188" s="88"/>
      <c r="J188" s="88"/>
      <c r="K188" s="88"/>
      <c r="L188" s="88"/>
      <c r="M188" s="88"/>
      <c r="N188" s="88"/>
      <c r="O188" s="88"/>
      <c r="P188" s="88"/>
      <c r="Q188" s="88"/>
      <c r="R188" s="88"/>
      <c r="S188" s="88"/>
      <c r="T188" s="88"/>
      <c r="U188" s="88"/>
      <c r="V188" s="88"/>
      <c r="W188" s="88"/>
      <c r="X188" s="88"/>
      <c r="Y188" s="88"/>
      <c r="Z188" s="88"/>
      <c r="AA188" s="88"/>
      <c r="AB188" s="128"/>
      <c r="AC188" s="128"/>
      <c r="AD188" s="128"/>
      <c r="AE188" s="128"/>
      <c r="AF188" s="128"/>
      <c r="AG188" s="128"/>
      <c r="AH188" s="127"/>
    </row>
    <row r="189" spans="1:34" ht="13.2">
      <c r="A189" s="88"/>
      <c r="B189" s="88"/>
      <c r="C189" s="88"/>
      <c r="D189" s="88"/>
      <c r="E189" s="88"/>
      <c r="F189" s="88"/>
      <c r="G189" s="88"/>
      <c r="H189" s="88"/>
      <c r="I189" s="88"/>
      <c r="J189" s="88"/>
      <c r="K189" s="88"/>
      <c r="L189" s="88"/>
      <c r="M189" s="88"/>
      <c r="N189" s="88"/>
      <c r="O189" s="88"/>
      <c r="P189" s="88"/>
      <c r="Q189" s="88"/>
      <c r="R189" s="88"/>
      <c r="S189" s="88"/>
      <c r="T189" s="88"/>
      <c r="U189" s="88"/>
      <c r="V189" s="88"/>
      <c r="W189" s="88"/>
      <c r="X189" s="88"/>
      <c r="Y189" s="88"/>
      <c r="Z189" s="88"/>
      <c r="AA189" s="88"/>
      <c r="AB189" s="128"/>
      <c r="AC189" s="128"/>
      <c r="AD189" s="128"/>
      <c r="AE189" s="128"/>
      <c r="AF189" s="128"/>
      <c r="AG189" s="128"/>
      <c r="AH189" s="127"/>
    </row>
    <row r="190" spans="1:34" ht="13.2">
      <c r="A190" s="88"/>
      <c r="B190" s="88"/>
      <c r="C190" s="88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  <c r="O190" s="88"/>
      <c r="P190" s="88"/>
      <c r="Q190" s="88"/>
      <c r="R190" s="88"/>
      <c r="S190" s="88"/>
      <c r="T190" s="88"/>
      <c r="U190" s="88"/>
      <c r="V190" s="88"/>
      <c r="W190" s="88"/>
      <c r="X190" s="88"/>
      <c r="Y190" s="88"/>
      <c r="Z190" s="88"/>
      <c r="AA190" s="88"/>
      <c r="AB190" s="128"/>
      <c r="AC190" s="128"/>
      <c r="AD190" s="128"/>
      <c r="AE190" s="128"/>
      <c r="AF190" s="128"/>
      <c r="AG190" s="128"/>
      <c r="AH190" s="127"/>
    </row>
    <row r="191" spans="1:34" ht="13.2">
      <c r="A191" s="88"/>
      <c r="B191" s="88"/>
      <c r="C191" s="88"/>
      <c r="D191" s="88"/>
      <c r="E191" s="88"/>
      <c r="F191" s="88"/>
      <c r="G191" s="88"/>
      <c r="H191" s="88"/>
      <c r="I191" s="88"/>
      <c r="J191" s="88"/>
      <c r="K191" s="88"/>
      <c r="L191" s="88"/>
      <c r="M191" s="88"/>
      <c r="N191" s="88"/>
      <c r="O191" s="88"/>
      <c r="P191" s="88"/>
      <c r="Q191" s="88"/>
      <c r="R191" s="88"/>
      <c r="S191" s="88"/>
      <c r="T191" s="88"/>
      <c r="U191" s="88"/>
      <c r="V191" s="88"/>
      <c r="W191" s="88"/>
      <c r="X191" s="88"/>
      <c r="Y191" s="88"/>
      <c r="Z191" s="88"/>
      <c r="AA191" s="88"/>
      <c r="AB191" s="128"/>
      <c r="AC191" s="128"/>
      <c r="AD191" s="128"/>
      <c r="AE191" s="128"/>
      <c r="AF191" s="128"/>
      <c r="AG191" s="128"/>
      <c r="AH191" s="127"/>
    </row>
    <row r="192" spans="1:34" ht="13.2">
      <c r="A192" s="88"/>
      <c r="B192" s="88"/>
      <c r="C192" s="88"/>
      <c r="D192" s="88"/>
      <c r="E192" s="88"/>
      <c r="F192" s="88"/>
      <c r="G192" s="88"/>
      <c r="H192" s="88"/>
      <c r="I192" s="88"/>
      <c r="J192" s="88"/>
      <c r="K192" s="88"/>
      <c r="L192" s="88"/>
      <c r="M192" s="88"/>
      <c r="N192" s="88"/>
      <c r="O192" s="88"/>
      <c r="P192" s="88"/>
      <c r="Q192" s="88"/>
      <c r="R192" s="88"/>
      <c r="S192" s="88"/>
      <c r="T192" s="88"/>
      <c r="U192" s="88"/>
      <c r="V192" s="88"/>
      <c r="W192" s="88"/>
      <c r="X192" s="88"/>
      <c r="Y192" s="88"/>
      <c r="Z192" s="88"/>
      <c r="AA192" s="88"/>
      <c r="AB192" s="128"/>
      <c r="AC192" s="128"/>
      <c r="AD192" s="128"/>
      <c r="AE192" s="128"/>
      <c r="AF192" s="128"/>
      <c r="AG192" s="128"/>
      <c r="AH192" s="127"/>
    </row>
    <row r="193" spans="1:34" ht="13.2">
      <c r="A193" s="88"/>
      <c r="B193" s="88"/>
      <c r="C193" s="88"/>
      <c r="D193" s="88"/>
      <c r="E193" s="88"/>
      <c r="F193" s="88"/>
      <c r="G193" s="88"/>
      <c r="H193" s="88"/>
      <c r="I193" s="88"/>
      <c r="J193" s="88"/>
      <c r="K193" s="88"/>
      <c r="L193" s="88"/>
      <c r="M193" s="88"/>
      <c r="N193" s="88"/>
      <c r="O193" s="88"/>
      <c r="P193" s="88"/>
      <c r="Q193" s="88"/>
      <c r="R193" s="88"/>
      <c r="S193" s="88"/>
      <c r="T193" s="88"/>
      <c r="U193" s="88"/>
      <c r="V193" s="88"/>
      <c r="W193" s="88"/>
      <c r="X193" s="88"/>
      <c r="Y193" s="88"/>
      <c r="Z193" s="88"/>
      <c r="AA193" s="88"/>
      <c r="AB193" s="128"/>
      <c r="AC193" s="128"/>
      <c r="AD193" s="128"/>
      <c r="AE193" s="128"/>
      <c r="AF193" s="128"/>
      <c r="AG193" s="128"/>
      <c r="AH193" s="127"/>
    </row>
    <row r="194" spans="1:34" ht="13.2">
      <c r="A194" s="88"/>
      <c r="B194" s="88"/>
      <c r="C194" s="88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  <c r="O194" s="88"/>
      <c r="P194" s="88"/>
      <c r="Q194" s="88"/>
      <c r="R194" s="88"/>
      <c r="S194" s="88"/>
      <c r="T194" s="88"/>
      <c r="U194" s="88"/>
      <c r="V194" s="88"/>
      <c r="W194" s="88"/>
      <c r="X194" s="88"/>
      <c r="Y194" s="88"/>
      <c r="Z194" s="88"/>
      <c r="AA194" s="88"/>
      <c r="AB194" s="128"/>
      <c r="AC194" s="128"/>
      <c r="AD194" s="128"/>
      <c r="AE194" s="128"/>
      <c r="AF194" s="128"/>
      <c r="AG194" s="128"/>
      <c r="AH194" s="127"/>
    </row>
    <row r="195" spans="1:34" ht="13.2">
      <c r="A195" s="88"/>
      <c r="B195" s="88"/>
      <c r="C195" s="88"/>
      <c r="D195" s="88"/>
      <c r="E195" s="88"/>
      <c r="F195" s="88"/>
      <c r="G195" s="88"/>
      <c r="H195" s="88"/>
      <c r="I195" s="88"/>
      <c r="J195" s="88"/>
      <c r="K195" s="88"/>
      <c r="L195" s="88"/>
      <c r="M195" s="88"/>
      <c r="N195" s="88"/>
      <c r="O195" s="88"/>
      <c r="P195" s="88"/>
      <c r="Q195" s="88"/>
      <c r="R195" s="88"/>
      <c r="S195" s="88"/>
      <c r="T195" s="88"/>
      <c r="U195" s="88"/>
      <c r="V195" s="88"/>
      <c r="W195" s="88"/>
      <c r="X195" s="88"/>
      <c r="Y195" s="88"/>
      <c r="Z195" s="88"/>
      <c r="AA195" s="88"/>
      <c r="AB195" s="128"/>
      <c r="AC195" s="128"/>
      <c r="AD195" s="128"/>
      <c r="AE195" s="128"/>
      <c r="AF195" s="128"/>
      <c r="AG195" s="128"/>
      <c r="AH195" s="127"/>
    </row>
    <row r="196" spans="1:34" ht="13.2">
      <c r="A196" s="88"/>
      <c r="B196" s="88"/>
      <c r="C196" s="88"/>
      <c r="D196" s="88"/>
      <c r="E196" s="88"/>
      <c r="F196" s="88"/>
      <c r="G196" s="88"/>
      <c r="H196" s="88"/>
      <c r="I196" s="88"/>
      <c r="J196" s="88"/>
      <c r="K196" s="88"/>
      <c r="L196" s="88"/>
      <c r="M196" s="88"/>
      <c r="N196" s="88"/>
      <c r="O196" s="88"/>
      <c r="P196" s="88"/>
      <c r="Q196" s="88"/>
      <c r="R196" s="88"/>
      <c r="S196" s="88"/>
      <c r="T196" s="88"/>
      <c r="U196" s="88"/>
      <c r="V196" s="88"/>
      <c r="W196" s="88"/>
      <c r="X196" s="88"/>
      <c r="Y196" s="88"/>
      <c r="Z196" s="88"/>
      <c r="AA196" s="88"/>
      <c r="AB196" s="128"/>
      <c r="AC196" s="128"/>
      <c r="AD196" s="128"/>
      <c r="AE196" s="128"/>
      <c r="AF196" s="128"/>
      <c r="AG196" s="128"/>
      <c r="AH196" s="127"/>
    </row>
    <row r="197" spans="1:34" ht="13.2">
      <c r="A197" s="88"/>
      <c r="B197" s="88"/>
      <c r="C197" s="88"/>
      <c r="D197" s="88"/>
      <c r="E197" s="88"/>
      <c r="F197" s="88"/>
      <c r="G197" s="88"/>
      <c r="H197" s="88"/>
      <c r="I197" s="88"/>
      <c r="J197" s="88"/>
      <c r="K197" s="88"/>
      <c r="L197" s="88"/>
      <c r="M197" s="88"/>
      <c r="N197" s="88"/>
      <c r="O197" s="88"/>
      <c r="P197" s="88"/>
      <c r="Q197" s="88"/>
      <c r="R197" s="88"/>
      <c r="S197" s="88"/>
      <c r="T197" s="88"/>
      <c r="U197" s="88"/>
      <c r="V197" s="88"/>
      <c r="W197" s="88"/>
      <c r="X197" s="88"/>
      <c r="Y197" s="88"/>
      <c r="Z197" s="88"/>
      <c r="AA197" s="88"/>
      <c r="AB197" s="128"/>
      <c r="AC197" s="128"/>
      <c r="AD197" s="128"/>
      <c r="AE197" s="128"/>
      <c r="AF197" s="128"/>
      <c r="AG197" s="128"/>
      <c r="AH197" s="127"/>
    </row>
    <row r="198" spans="1:34" ht="13.2">
      <c r="A198" s="88"/>
      <c r="B198" s="88"/>
      <c r="C198" s="88"/>
      <c r="D198" s="88"/>
      <c r="E198" s="88"/>
      <c r="F198" s="88"/>
      <c r="G198" s="88"/>
      <c r="H198" s="88"/>
      <c r="I198" s="88"/>
      <c r="J198" s="88"/>
      <c r="K198" s="88"/>
      <c r="L198" s="88"/>
      <c r="M198" s="88"/>
      <c r="N198" s="88"/>
      <c r="O198" s="88"/>
      <c r="P198" s="88"/>
      <c r="Q198" s="88"/>
      <c r="R198" s="88"/>
      <c r="S198" s="88"/>
      <c r="T198" s="88"/>
      <c r="U198" s="88"/>
      <c r="V198" s="88"/>
      <c r="W198" s="88"/>
      <c r="X198" s="88"/>
      <c r="Y198" s="88"/>
      <c r="Z198" s="88"/>
      <c r="AA198" s="88"/>
      <c r="AB198" s="128"/>
      <c r="AC198" s="128"/>
      <c r="AD198" s="128"/>
      <c r="AE198" s="128"/>
      <c r="AF198" s="128"/>
      <c r="AG198" s="128"/>
      <c r="AH198" s="127"/>
    </row>
    <row r="199" spans="1:34" ht="13.2">
      <c r="A199" s="88"/>
      <c r="B199" s="88"/>
      <c r="C199" s="88"/>
      <c r="D199" s="88"/>
      <c r="E199" s="88"/>
      <c r="F199" s="88"/>
      <c r="G199" s="88"/>
      <c r="H199" s="88"/>
      <c r="I199" s="88"/>
      <c r="J199" s="88"/>
      <c r="K199" s="88"/>
      <c r="L199" s="88"/>
      <c r="M199" s="88"/>
      <c r="N199" s="88"/>
      <c r="O199" s="88"/>
      <c r="P199" s="88"/>
      <c r="Q199" s="88"/>
      <c r="R199" s="88"/>
      <c r="S199" s="88"/>
      <c r="T199" s="88"/>
      <c r="U199" s="88"/>
      <c r="V199" s="88"/>
      <c r="W199" s="88"/>
      <c r="X199" s="88"/>
      <c r="Y199" s="88"/>
      <c r="Z199" s="88"/>
      <c r="AA199" s="88"/>
      <c r="AB199" s="128"/>
      <c r="AC199" s="128"/>
      <c r="AD199" s="128"/>
      <c r="AE199" s="128"/>
      <c r="AF199" s="128"/>
      <c r="AG199" s="128"/>
      <c r="AH199" s="127"/>
    </row>
    <row r="200" spans="1:34" ht="13.2">
      <c r="A200" s="88"/>
      <c r="B200" s="88"/>
      <c r="C200" s="88"/>
      <c r="D200" s="88"/>
      <c r="E200" s="88"/>
      <c r="F200" s="88"/>
      <c r="G200" s="88"/>
      <c r="H200" s="88"/>
      <c r="I200" s="88"/>
      <c r="J200" s="88"/>
      <c r="K200" s="88"/>
      <c r="L200" s="88"/>
      <c r="M200" s="88"/>
      <c r="N200" s="88"/>
      <c r="O200" s="88"/>
      <c r="P200" s="88"/>
      <c r="Q200" s="88"/>
      <c r="R200" s="88"/>
      <c r="S200" s="88"/>
      <c r="T200" s="88"/>
      <c r="U200" s="88"/>
      <c r="V200" s="88"/>
      <c r="W200" s="88"/>
      <c r="X200" s="88"/>
      <c r="Y200" s="88"/>
      <c r="Z200" s="88"/>
      <c r="AA200" s="88"/>
      <c r="AB200" s="128"/>
      <c r="AC200" s="128"/>
      <c r="AD200" s="128"/>
      <c r="AE200" s="128"/>
      <c r="AF200" s="128"/>
      <c r="AG200" s="128"/>
      <c r="AH200" s="127"/>
    </row>
    <row r="201" spans="1:34" ht="13.2">
      <c r="A201" s="88"/>
      <c r="B201" s="88"/>
      <c r="C201" s="88"/>
      <c r="D201" s="88"/>
      <c r="E201" s="88"/>
      <c r="F201" s="88"/>
      <c r="G201" s="88"/>
      <c r="H201" s="88"/>
      <c r="I201" s="88"/>
      <c r="J201" s="88"/>
      <c r="K201" s="88"/>
      <c r="L201" s="88"/>
      <c r="M201" s="88"/>
      <c r="N201" s="88"/>
      <c r="O201" s="88"/>
      <c r="P201" s="88"/>
      <c r="Q201" s="88"/>
      <c r="R201" s="88"/>
      <c r="S201" s="88"/>
      <c r="T201" s="88"/>
      <c r="U201" s="88"/>
      <c r="V201" s="88"/>
      <c r="W201" s="88"/>
      <c r="X201" s="88"/>
      <c r="Y201" s="88"/>
      <c r="Z201" s="88"/>
      <c r="AA201" s="88"/>
      <c r="AB201" s="128"/>
      <c r="AC201" s="128"/>
      <c r="AD201" s="128"/>
      <c r="AE201" s="128"/>
      <c r="AF201" s="128"/>
      <c r="AG201" s="128"/>
      <c r="AH201" s="127"/>
    </row>
    <row r="202" spans="1:34" ht="13.2">
      <c r="A202" s="88"/>
      <c r="B202" s="88"/>
      <c r="C202" s="88"/>
      <c r="D202" s="88"/>
      <c r="E202" s="88"/>
      <c r="F202" s="88"/>
      <c r="G202" s="88"/>
      <c r="H202" s="88"/>
      <c r="I202" s="88"/>
      <c r="J202" s="88"/>
      <c r="K202" s="88"/>
      <c r="L202" s="88"/>
      <c r="M202" s="88"/>
      <c r="N202" s="88"/>
      <c r="O202" s="88"/>
      <c r="P202" s="88"/>
      <c r="Q202" s="88"/>
      <c r="R202" s="88"/>
      <c r="S202" s="88"/>
      <c r="T202" s="88"/>
      <c r="U202" s="88"/>
      <c r="V202" s="88"/>
      <c r="W202" s="88"/>
      <c r="X202" s="88"/>
      <c r="Y202" s="88"/>
      <c r="Z202" s="88"/>
      <c r="AA202" s="88"/>
      <c r="AB202" s="128"/>
      <c r="AC202" s="128"/>
      <c r="AD202" s="128"/>
      <c r="AE202" s="128"/>
      <c r="AF202" s="128"/>
      <c r="AG202" s="128"/>
      <c r="AH202" s="127"/>
    </row>
    <row r="203" spans="1:34" ht="13.2">
      <c r="A203" s="88"/>
      <c r="B203" s="88"/>
      <c r="C203" s="88"/>
      <c r="D203" s="88"/>
      <c r="E203" s="88"/>
      <c r="F203" s="88"/>
      <c r="G203" s="88"/>
      <c r="H203" s="88"/>
      <c r="I203" s="88"/>
      <c r="J203" s="88"/>
      <c r="K203" s="88"/>
      <c r="L203" s="88"/>
      <c r="M203" s="88"/>
      <c r="N203" s="88"/>
      <c r="O203" s="88"/>
      <c r="P203" s="88"/>
      <c r="Q203" s="88"/>
      <c r="R203" s="88"/>
      <c r="S203" s="88"/>
      <c r="T203" s="88"/>
      <c r="U203" s="88"/>
      <c r="V203" s="88"/>
      <c r="W203" s="88"/>
      <c r="X203" s="88"/>
      <c r="Y203" s="88"/>
      <c r="Z203" s="88"/>
      <c r="AA203" s="88"/>
      <c r="AB203" s="128"/>
      <c r="AC203" s="128"/>
      <c r="AD203" s="128"/>
      <c r="AE203" s="128"/>
      <c r="AF203" s="128"/>
      <c r="AG203" s="128"/>
      <c r="AH203" s="127"/>
    </row>
    <row r="204" spans="1:34" ht="13.2">
      <c r="A204" s="88"/>
      <c r="B204" s="88"/>
      <c r="C204" s="88"/>
      <c r="D204" s="88"/>
      <c r="E204" s="88"/>
      <c r="F204" s="88"/>
      <c r="G204" s="88"/>
      <c r="H204" s="88"/>
      <c r="I204" s="88"/>
      <c r="J204" s="88"/>
      <c r="K204" s="88"/>
      <c r="L204" s="88"/>
      <c r="M204" s="88"/>
      <c r="N204" s="88"/>
      <c r="O204" s="88"/>
      <c r="P204" s="88"/>
      <c r="Q204" s="88"/>
      <c r="R204" s="88"/>
      <c r="S204" s="88"/>
      <c r="T204" s="88"/>
      <c r="U204" s="88"/>
      <c r="V204" s="88"/>
      <c r="W204" s="88"/>
      <c r="X204" s="88"/>
      <c r="Y204" s="88"/>
      <c r="Z204" s="88"/>
      <c r="AA204" s="88"/>
      <c r="AB204" s="128"/>
      <c r="AC204" s="128"/>
      <c r="AD204" s="128"/>
      <c r="AE204" s="128"/>
      <c r="AF204" s="128"/>
      <c r="AG204" s="128"/>
      <c r="AH204" s="127"/>
    </row>
    <row r="205" spans="1:34" ht="13.2">
      <c r="A205" s="88"/>
      <c r="B205" s="88"/>
      <c r="C205" s="88"/>
      <c r="D205" s="88"/>
      <c r="E205" s="88"/>
      <c r="F205" s="88"/>
      <c r="G205" s="88"/>
      <c r="H205" s="88"/>
      <c r="I205" s="88"/>
      <c r="J205" s="88"/>
      <c r="K205" s="88"/>
      <c r="L205" s="88"/>
      <c r="M205" s="88"/>
      <c r="N205" s="88"/>
      <c r="O205" s="88"/>
      <c r="P205" s="88"/>
      <c r="Q205" s="88"/>
      <c r="R205" s="88"/>
      <c r="S205" s="88"/>
      <c r="T205" s="88"/>
      <c r="U205" s="88"/>
      <c r="V205" s="88"/>
      <c r="W205" s="88"/>
      <c r="X205" s="88"/>
      <c r="Y205" s="88"/>
      <c r="Z205" s="88"/>
      <c r="AA205" s="88"/>
      <c r="AB205" s="128"/>
      <c r="AC205" s="128"/>
      <c r="AD205" s="128"/>
      <c r="AE205" s="128"/>
      <c r="AF205" s="128"/>
      <c r="AG205" s="128"/>
      <c r="AH205" s="127"/>
    </row>
    <row r="206" spans="1:34" ht="13.2">
      <c r="A206" s="88"/>
      <c r="B206" s="88"/>
      <c r="C206" s="88"/>
      <c r="D206" s="88"/>
      <c r="E206" s="88"/>
      <c r="F206" s="88"/>
      <c r="G206" s="88"/>
      <c r="H206" s="88"/>
      <c r="I206" s="88"/>
      <c r="J206" s="88"/>
      <c r="K206" s="88"/>
      <c r="L206" s="88"/>
      <c r="M206" s="88"/>
      <c r="N206" s="88"/>
      <c r="O206" s="88"/>
      <c r="P206" s="88"/>
      <c r="Q206" s="88"/>
      <c r="R206" s="88"/>
      <c r="S206" s="88"/>
      <c r="T206" s="88"/>
      <c r="U206" s="88"/>
      <c r="V206" s="88"/>
      <c r="W206" s="88"/>
      <c r="X206" s="88"/>
      <c r="Y206" s="88"/>
      <c r="Z206" s="88"/>
      <c r="AA206" s="88"/>
      <c r="AB206" s="128"/>
      <c r="AC206" s="128"/>
      <c r="AD206" s="128"/>
      <c r="AE206" s="128"/>
      <c r="AF206" s="128"/>
      <c r="AG206" s="128"/>
      <c r="AH206" s="127"/>
    </row>
    <row r="207" spans="1:34" ht="13.2">
      <c r="A207" s="88"/>
      <c r="B207" s="88"/>
      <c r="C207" s="88"/>
      <c r="D207" s="88"/>
      <c r="E207" s="88"/>
      <c r="F207" s="88"/>
      <c r="G207" s="88"/>
      <c r="H207" s="88"/>
      <c r="I207" s="88"/>
      <c r="J207" s="88"/>
      <c r="K207" s="88"/>
      <c r="L207" s="88"/>
      <c r="M207" s="88"/>
      <c r="N207" s="88"/>
      <c r="O207" s="88"/>
      <c r="P207" s="88"/>
      <c r="Q207" s="88"/>
      <c r="R207" s="88"/>
      <c r="S207" s="88"/>
      <c r="T207" s="88"/>
      <c r="U207" s="88"/>
      <c r="V207" s="88"/>
      <c r="W207" s="88"/>
      <c r="X207" s="88"/>
      <c r="Y207" s="88"/>
      <c r="Z207" s="88"/>
      <c r="AA207" s="88"/>
      <c r="AB207" s="128"/>
      <c r="AC207" s="128"/>
      <c r="AD207" s="128"/>
      <c r="AE207" s="128"/>
      <c r="AF207" s="128"/>
      <c r="AG207" s="128"/>
      <c r="AH207" s="127"/>
    </row>
    <row r="208" spans="1:34" ht="13.2">
      <c r="A208" s="88"/>
      <c r="B208" s="88"/>
      <c r="C208" s="88"/>
      <c r="D208" s="88"/>
      <c r="E208" s="88"/>
      <c r="F208" s="88"/>
      <c r="G208" s="88"/>
      <c r="H208" s="88"/>
      <c r="I208" s="88"/>
      <c r="J208" s="88"/>
      <c r="K208" s="88"/>
      <c r="L208" s="88"/>
      <c r="M208" s="88"/>
      <c r="N208" s="88"/>
      <c r="O208" s="88"/>
      <c r="P208" s="88"/>
      <c r="Q208" s="88"/>
      <c r="R208" s="88"/>
      <c r="S208" s="88"/>
      <c r="T208" s="88"/>
      <c r="U208" s="88"/>
      <c r="V208" s="88"/>
      <c r="W208" s="88"/>
      <c r="X208" s="88"/>
      <c r="Y208" s="88"/>
      <c r="Z208" s="88"/>
      <c r="AA208" s="88"/>
      <c r="AB208" s="128"/>
      <c r="AC208" s="128"/>
      <c r="AD208" s="128"/>
      <c r="AE208" s="128"/>
      <c r="AF208" s="128"/>
      <c r="AG208" s="128"/>
      <c r="AH208" s="127"/>
    </row>
    <row r="209" spans="1:34" ht="13.2">
      <c r="A209" s="88"/>
      <c r="B209" s="88"/>
      <c r="C209" s="88"/>
      <c r="D209" s="88"/>
      <c r="E209" s="88"/>
      <c r="F209" s="88"/>
      <c r="G209" s="88"/>
      <c r="H209" s="88"/>
      <c r="I209" s="88"/>
      <c r="J209" s="88"/>
      <c r="K209" s="88"/>
      <c r="L209" s="88"/>
      <c r="M209" s="88"/>
      <c r="N209" s="88"/>
      <c r="O209" s="88"/>
      <c r="P209" s="88"/>
      <c r="Q209" s="88"/>
      <c r="R209" s="88"/>
      <c r="S209" s="88"/>
      <c r="T209" s="88"/>
      <c r="U209" s="88"/>
      <c r="V209" s="88"/>
      <c r="W209" s="88"/>
      <c r="X209" s="88"/>
      <c r="Y209" s="88"/>
      <c r="Z209" s="88"/>
      <c r="AA209" s="88"/>
      <c r="AB209" s="128"/>
      <c r="AC209" s="128"/>
      <c r="AD209" s="128"/>
      <c r="AE209" s="128"/>
      <c r="AF209" s="128"/>
      <c r="AG209" s="128"/>
      <c r="AH209" s="127"/>
    </row>
    <row r="210" spans="1:34" ht="13.2">
      <c r="A210" s="88"/>
      <c r="B210" s="88"/>
      <c r="C210" s="88"/>
      <c r="D210" s="88"/>
      <c r="E210" s="88"/>
      <c r="F210" s="88"/>
      <c r="G210" s="88"/>
      <c r="H210" s="88"/>
      <c r="I210" s="88"/>
      <c r="J210" s="88"/>
      <c r="K210" s="88"/>
      <c r="L210" s="88"/>
      <c r="M210" s="88"/>
      <c r="N210" s="88"/>
      <c r="O210" s="88"/>
      <c r="P210" s="88"/>
      <c r="Q210" s="88"/>
      <c r="R210" s="88"/>
      <c r="S210" s="88"/>
      <c r="T210" s="88"/>
      <c r="U210" s="88"/>
      <c r="V210" s="88"/>
      <c r="W210" s="88"/>
      <c r="X210" s="88"/>
      <c r="Y210" s="88"/>
      <c r="Z210" s="88"/>
      <c r="AA210" s="88"/>
      <c r="AB210" s="128"/>
      <c r="AC210" s="128"/>
      <c r="AD210" s="128"/>
      <c r="AE210" s="128"/>
      <c r="AF210" s="128"/>
      <c r="AG210" s="128"/>
      <c r="AH210" s="127"/>
    </row>
    <row r="211" spans="1:34" ht="13.2">
      <c r="A211" s="88"/>
      <c r="B211" s="88"/>
      <c r="C211" s="88"/>
      <c r="D211" s="88"/>
      <c r="E211" s="88"/>
      <c r="F211" s="88"/>
      <c r="G211" s="88"/>
      <c r="H211" s="88"/>
      <c r="I211" s="88"/>
      <c r="J211" s="88"/>
      <c r="K211" s="88"/>
      <c r="L211" s="88"/>
      <c r="M211" s="88"/>
      <c r="N211" s="88"/>
      <c r="O211" s="88"/>
      <c r="P211" s="88"/>
      <c r="Q211" s="88"/>
      <c r="R211" s="88"/>
      <c r="S211" s="88"/>
      <c r="T211" s="88"/>
      <c r="U211" s="88"/>
      <c r="V211" s="88"/>
      <c r="W211" s="88"/>
      <c r="X211" s="88"/>
      <c r="Y211" s="88"/>
      <c r="Z211" s="88"/>
      <c r="AA211" s="88"/>
      <c r="AB211" s="128"/>
      <c r="AC211" s="128"/>
      <c r="AD211" s="128"/>
      <c r="AE211" s="128"/>
      <c r="AF211" s="128"/>
      <c r="AG211" s="128"/>
      <c r="AH211" s="127"/>
    </row>
    <row r="212" spans="1:34" ht="13.2">
      <c r="A212" s="88"/>
      <c r="B212" s="88"/>
      <c r="C212" s="88"/>
      <c r="D212" s="88"/>
      <c r="E212" s="88"/>
      <c r="F212" s="88"/>
      <c r="G212" s="88"/>
      <c r="H212" s="88"/>
      <c r="I212" s="88"/>
      <c r="J212" s="88"/>
      <c r="K212" s="88"/>
      <c r="L212" s="88"/>
      <c r="M212" s="88"/>
      <c r="N212" s="88"/>
      <c r="O212" s="88"/>
      <c r="P212" s="88"/>
      <c r="Q212" s="88"/>
      <c r="R212" s="88"/>
      <c r="S212" s="88"/>
      <c r="T212" s="88"/>
      <c r="U212" s="88"/>
      <c r="V212" s="88"/>
      <c r="W212" s="88"/>
      <c r="X212" s="88"/>
      <c r="Y212" s="88"/>
      <c r="Z212" s="88"/>
      <c r="AA212" s="88"/>
      <c r="AB212" s="128"/>
      <c r="AC212" s="128"/>
      <c r="AD212" s="128"/>
      <c r="AE212" s="128"/>
      <c r="AF212" s="128"/>
      <c r="AG212" s="128"/>
      <c r="AH212" s="127"/>
    </row>
    <row r="213" spans="1:34" ht="13.2">
      <c r="A213" s="88"/>
      <c r="B213" s="88"/>
      <c r="C213" s="88"/>
      <c r="D213" s="88"/>
      <c r="E213" s="88"/>
      <c r="F213" s="88"/>
      <c r="G213" s="88"/>
      <c r="H213" s="88"/>
      <c r="I213" s="88"/>
      <c r="J213" s="88"/>
      <c r="K213" s="88"/>
      <c r="L213" s="88"/>
      <c r="M213" s="88"/>
      <c r="N213" s="88"/>
      <c r="O213" s="88"/>
      <c r="P213" s="88"/>
      <c r="Q213" s="88"/>
      <c r="R213" s="88"/>
      <c r="S213" s="88"/>
      <c r="T213" s="88"/>
      <c r="U213" s="88"/>
      <c r="V213" s="88"/>
      <c r="W213" s="88"/>
      <c r="X213" s="88"/>
      <c r="Y213" s="88"/>
      <c r="Z213" s="88"/>
      <c r="AA213" s="88"/>
      <c r="AB213" s="128"/>
      <c r="AC213" s="128"/>
      <c r="AD213" s="128"/>
      <c r="AE213" s="128"/>
      <c r="AF213" s="128"/>
      <c r="AG213" s="128"/>
      <c r="AH213" s="127"/>
    </row>
    <row r="214" spans="1:34" ht="13.2">
      <c r="A214" s="88"/>
      <c r="B214" s="88"/>
      <c r="C214" s="88"/>
      <c r="D214" s="88"/>
      <c r="E214" s="88"/>
      <c r="F214" s="88"/>
      <c r="G214" s="88"/>
      <c r="H214" s="88"/>
      <c r="I214" s="88"/>
      <c r="J214" s="88"/>
      <c r="K214" s="88"/>
      <c r="L214" s="88"/>
      <c r="M214" s="88"/>
      <c r="N214" s="88"/>
      <c r="O214" s="88"/>
      <c r="P214" s="88"/>
      <c r="Q214" s="88"/>
      <c r="R214" s="88"/>
      <c r="S214" s="88"/>
      <c r="T214" s="88"/>
      <c r="U214" s="88"/>
      <c r="V214" s="88"/>
      <c r="W214" s="88"/>
      <c r="X214" s="88"/>
      <c r="Y214" s="88"/>
      <c r="Z214" s="88"/>
      <c r="AA214" s="88"/>
      <c r="AB214" s="128"/>
      <c r="AC214" s="128"/>
      <c r="AD214" s="128"/>
      <c r="AE214" s="128"/>
      <c r="AF214" s="128"/>
      <c r="AG214" s="128"/>
      <c r="AH214" s="127"/>
    </row>
    <row r="215" spans="1:34" ht="13.2">
      <c r="A215" s="88"/>
      <c r="B215" s="88"/>
      <c r="C215" s="88"/>
      <c r="D215" s="88"/>
      <c r="E215" s="88"/>
      <c r="F215" s="88"/>
      <c r="G215" s="88"/>
      <c r="H215" s="88"/>
      <c r="I215" s="88"/>
      <c r="J215" s="88"/>
      <c r="K215" s="88"/>
      <c r="L215" s="88"/>
      <c r="M215" s="88"/>
      <c r="N215" s="88"/>
      <c r="O215" s="88"/>
      <c r="P215" s="88"/>
      <c r="Q215" s="88"/>
      <c r="R215" s="88"/>
      <c r="S215" s="88"/>
      <c r="T215" s="88"/>
      <c r="U215" s="88"/>
      <c r="V215" s="88"/>
      <c r="W215" s="88"/>
      <c r="X215" s="88"/>
      <c r="Y215" s="88"/>
      <c r="Z215" s="88"/>
      <c r="AA215" s="88"/>
      <c r="AB215" s="128"/>
      <c r="AC215" s="128"/>
      <c r="AD215" s="128"/>
      <c r="AE215" s="128"/>
      <c r="AF215" s="128"/>
      <c r="AG215" s="128"/>
      <c r="AH215" s="127"/>
    </row>
    <row r="216" spans="1:34" ht="13.2">
      <c r="A216" s="88"/>
      <c r="B216" s="88"/>
      <c r="C216" s="88"/>
      <c r="D216" s="88"/>
      <c r="E216" s="88"/>
      <c r="F216" s="88"/>
      <c r="G216" s="88"/>
      <c r="H216" s="88"/>
      <c r="I216" s="88"/>
      <c r="J216" s="88"/>
      <c r="K216" s="88"/>
      <c r="L216" s="88"/>
      <c r="M216" s="88"/>
      <c r="N216" s="88"/>
      <c r="O216" s="88"/>
      <c r="P216" s="88"/>
      <c r="Q216" s="88"/>
      <c r="R216" s="88"/>
      <c r="S216" s="88"/>
      <c r="T216" s="88"/>
      <c r="U216" s="88"/>
      <c r="V216" s="88"/>
      <c r="W216" s="88"/>
      <c r="X216" s="88"/>
      <c r="Y216" s="88"/>
      <c r="Z216" s="88"/>
      <c r="AA216" s="88"/>
      <c r="AB216" s="128"/>
      <c r="AC216" s="128"/>
      <c r="AD216" s="128"/>
      <c r="AE216" s="128"/>
      <c r="AF216" s="128"/>
      <c r="AG216" s="128"/>
      <c r="AH216" s="127"/>
    </row>
    <row r="217" spans="1:34" ht="13.2">
      <c r="A217" s="88"/>
      <c r="B217" s="88"/>
      <c r="C217" s="88"/>
      <c r="D217" s="88"/>
      <c r="E217" s="88"/>
      <c r="F217" s="88"/>
      <c r="G217" s="88"/>
      <c r="H217" s="88"/>
      <c r="I217" s="88"/>
      <c r="J217" s="88"/>
      <c r="K217" s="88"/>
      <c r="L217" s="88"/>
      <c r="M217" s="88"/>
      <c r="N217" s="88"/>
      <c r="O217" s="88"/>
      <c r="P217" s="88"/>
      <c r="Q217" s="88"/>
      <c r="R217" s="88"/>
      <c r="S217" s="88"/>
      <c r="T217" s="88"/>
      <c r="U217" s="88"/>
      <c r="V217" s="88"/>
      <c r="W217" s="88"/>
      <c r="X217" s="88"/>
      <c r="Y217" s="88"/>
      <c r="Z217" s="88"/>
      <c r="AA217" s="88"/>
      <c r="AB217" s="128"/>
      <c r="AC217" s="128"/>
      <c r="AD217" s="128"/>
      <c r="AE217" s="128"/>
      <c r="AF217" s="128"/>
      <c r="AG217" s="128"/>
      <c r="AH217" s="127"/>
    </row>
    <row r="218" spans="1:34" ht="13.2">
      <c r="A218" s="88"/>
      <c r="B218" s="88"/>
      <c r="C218" s="88"/>
      <c r="D218" s="88"/>
      <c r="E218" s="88"/>
      <c r="F218" s="88"/>
      <c r="G218" s="88"/>
      <c r="H218" s="88"/>
      <c r="I218" s="88"/>
      <c r="J218" s="88"/>
      <c r="K218" s="88"/>
      <c r="L218" s="88"/>
      <c r="M218" s="88"/>
      <c r="N218" s="88"/>
      <c r="O218" s="88"/>
      <c r="P218" s="88"/>
      <c r="Q218" s="88"/>
      <c r="R218" s="88"/>
      <c r="S218" s="88"/>
      <c r="T218" s="88"/>
      <c r="U218" s="88"/>
      <c r="V218" s="88"/>
      <c r="W218" s="88"/>
      <c r="X218" s="88"/>
      <c r="Y218" s="88"/>
      <c r="Z218" s="88"/>
      <c r="AA218" s="88"/>
      <c r="AB218" s="128"/>
      <c r="AC218" s="128"/>
      <c r="AD218" s="128"/>
      <c r="AE218" s="128"/>
      <c r="AF218" s="128"/>
      <c r="AG218" s="128"/>
      <c r="AH218" s="127"/>
    </row>
    <row r="219" spans="1:34" ht="13.2">
      <c r="A219" s="88"/>
      <c r="B219" s="88"/>
      <c r="C219" s="88"/>
      <c r="D219" s="88"/>
      <c r="E219" s="88"/>
      <c r="F219" s="88"/>
      <c r="G219" s="88"/>
      <c r="H219" s="88"/>
      <c r="I219" s="88"/>
      <c r="J219" s="88"/>
      <c r="K219" s="88"/>
      <c r="L219" s="88"/>
      <c r="M219" s="88"/>
      <c r="N219" s="88"/>
      <c r="O219" s="88"/>
      <c r="P219" s="88"/>
      <c r="Q219" s="88"/>
      <c r="R219" s="88"/>
      <c r="S219" s="88"/>
      <c r="T219" s="88"/>
      <c r="U219" s="88"/>
      <c r="V219" s="88"/>
      <c r="W219" s="88"/>
      <c r="X219" s="88"/>
      <c r="Y219" s="88"/>
      <c r="Z219" s="88"/>
      <c r="AA219" s="88"/>
      <c r="AB219" s="128"/>
      <c r="AC219" s="128"/>
      <c r="AD219" s="128"/>
      <c r="AE219" s="128"/>
      <c r="AF219" s="128"/>
      <c r="AG219" s="128"/>
      <c r="AH219" s="127"/>
    </row>
    <row r="220" spans="1:34" ht="13.2">
      <c r="A220" s="88"/>
      <c r="B220" s="88"/>
      <c r="C220" s="88"/>
      <c r="D220" s="88"/>
      <c r="E220" s="88"/>
      <c r="F220" s="88"/>
      <c r="G220" s="88"/>
      <c r="H220" s="88"/>
      <c r="I220" s="88"/>
      <c r="J220" s="88"/>
      <c r="K220" s="88"/>
      <c r="L220" s="88"/>
      <c r="M220" s="88"/>
      <c r="N220" s="88"/>
      <c r="O220" s="88"/>
      <c r="P220" s="88"/>
      <c r="Q220" s="88"/>
      <c r="R220" s="88"/>
      <c r="S220" s="88"/>
      <c r="T220" s="88"/>
      <c r="U220" s="88"/>
      <c r="V220" s="88"/>
      <c r="W220" s="88"/>
      <c r="X220" s="88"/>
      <c r="Y220" s="88"/>
      <c r="Z220" s="88"/>
      <c r="AA220" s="88"/>
      <c r="AB220" s="128"/>
      <c r="AC220" s="128"/>
      <c r="AD220" s="128"/>
      <c r="AE220" s="128"/>
      <c r="AF220" s="128"/>
      <c r="AG220" s="128"/>
      <c r="AH220" s="127"/>
    </row>
    <row r="221" spans="1:34" ht="13.2">
      <c r="A221" s="88"/>
      <c r="B221" s="88"/>
      <c r="C221" s="88"/>
      <c r="D221" s="88"/>
      <c r="E221" s="88"/>
      <c r="F221" s="88"/>
      <c r="G221" s="88"/>
      <c r="H221" s="88"/>
      <c r="I221" s="88"/>
      <c r="J221" s="88"/>
      <c r="K221" s="88"/>
      <c r="L221" s="88"/>
      <c r="M221" s="88"/>
      <c r="N221" s="88"/>
      <c r="O221" s="88"/>
      <c r="P221" s="88"/>
      <c r="Q221" s="88"/>
      <c r="R221" s="88"/>
      <c r="S221" s="88"/>
      <c r="T221" s="88"/>
      <c r="U221" s="88"/>
      <c r="V221" s="88"/>
      <c r="W221" s="88"/>
      <c r="X221" s="88"/>
      <c r="Y221" s="88"/>
      <c r="Z221" s="88"/>
      <c r="AA221" s="88"/>
      <c r="AB221" s="128"/>
      <c r="AC221" s="128"/>
      <c r="AD221" s="128"/>
      <c r="AE221" s="128"/>
      <c r="AF221" s="128"/>
      <c r="AG221" s="128"/>
      <c r="AH221" s="127"/>
    </row>
    <row r="222" spans="1:34" ht="13.2">
      <c r="A222" s="88"/>
      <c r="B222" s="88"/>
      <c r="C222" s="88"/>
      <c r="D222" s="88"/>
      <c r="E222" s="88"/>
      <c r="F222" s="88"/>
      <c r="G222" s="88"/>
      <c r="H222" s="88"/>
      <c r="I222" s="88"/>
      <c r="J222" s="88"/>
      <c r="K222" s="88"/>
      <c r="L222" s="88"/>
      <c r="M222" s="88"/>
      <c r="N222" s="88"/>
      <c r="O222" s="88"/>
      <c r="P222" s="88"/>
      <c r="Q222" s="88"/>
      <c r="R222" s="88"/>
      <c r="S222" s="88"/>
      <c r="T222" s="88"/>
      <c r="U222" s="88"/>
      <c r="V222" s="88"/>
      <c r="W222" s="88"/>
      <c r="X222" s="88"/>
      <c r="Y222" s="88"/>
      <c r="Z222" s="88"/>
      <c r="AA222" s="88"/>
      <c r="AB222" s="128"/>
      <c r="AC222" s="128"/>
      <c r="AD222" s="128"/>
      <c r="AE222" s="128"/>
      <c r="AF222" s="128"/>
      <c r="AG222" s="128"/>
      <c r="AH222" s="127"/>
    </row>
    <row r="223" spans="1:34" ht="13.2">
      <c r="A223" s="88"/>
      <c r="B223" s="88"/>
      <c r="C223" s="88"/>
      <c r="D223" s="88"/>
      <c r="E223" s="88"/>
      <c r="F223" s="88"/>
      <c r="G223" s="88"/>
      <c r="H223" s="88"/>
      <c r="I223" s="88"/>
      <c r="J223" s="88"/>
      <c r="K223" s="88"/>
      <c r="L223" s="88"/>
      <c r="M223" s="88"/>
      <c r="N223" s="88"/>
      <c r="O223" s="88"/>
      <c r="P223" s="88"/>
      <c r="Q223" s="88"/>
      <c r="R223" s="88"/>
      <c r="S223" s="88"/>
      <c r="T223" s="88"/>
      <c r="U223" s="88"/>
      <c r="V223" s="88"/>
      <c r="W223" s="88"/>
      <c r="X223" s="88"/>
      <c r="Y223" s="88"/>
      <c r="Z223" s="88"/>
      <c r="AA223" s="88"/>
      <c r="AB223" s="128"/>
      <c r="AC223" s="128"/>
      <c r="AD223" s="128"/>
      <c r="AE223" s="128"/>
      <c r="AF223" s="128"/>
      <c r="AG223" s="128"/>
      <c r="AH223" s="127"/>
    </row>
    <row r="224" spans="1:34" ht="13.2">
      <c r="A224" s="88"/>
      <c r="B224" s="88"/>
      <c r="C224" s="88"/>
      <c r="D224" s="88"/>
      <c r="E224" s="88"/>
      <c r="F224" s="88"/>
      <c r="G224" s="88"/>
      <c r="H224" s="88"/>
      <c r="I224" s="88"/>
      <c r="J224" s="88"/>
      <c r="K224" s="88"/>
      <c r="L224" s="88"/>
      <c r="M224" s="88"/>
      <c r="N224" s="88"/>
      <c r="O224" s="88"/>
      <c r="P224" s="88"/>
      <c r="Q224" s="88"/>
      <c r="R224" s="88"/>
      <c r="S224" s="88"/>
      <c r="T224" s="88"/>
      <c r="U224" s="88"/>
      <c r="V224" s="88"/>
      <c r="W224" s="88"/>
      <c r="X224" s="88"/>
      <c r="Y224" s="88"/>
      <c r="Z224" s="88"/>
      <c r="AA224" s="88"/>
      <c r="AB224" s="128"/>
      <c r="AC224" s="128"/>
      <c r="AD224" s="128"/>
      <c r="AE224" s="128"/>
      <c r="AF224" s="128"/>
      <c r="AG224" s="128"/>
      <c r="AH224" s="127"/>
    </row>
    <row r="225" spans="1:34" ht="13.2">
      <c r="A225" s="88"/>
      <c r="B225" s="88"/>
      <c r="C225" s="88"/>
      <c r="D225" s="88"/>
      <c r="E225" s="88"/>
      <c r="F225" s="88"/>
      <c r="G225" s="88"/>
      <c r="H225" s="88"/>
      <c r="I225" s="88"/>
      <c r="J225" s="88"/>
      <c r="K225" s="88"/>
      <c r="L225" s="88"/>
      <c r="M225" s="88"/>
      <c r="N225" s="88"/>
      <c r="O225" s="88"/>
      <c r="P225" s="88"/>
      <c r="Q225" s="88"/>
      <c r="R225" s="88"/>
      <c r="S225" s="88"/>
      <c r="T225" s="88"/>
      <c r="U225" s="88"/>
      <c r="V225" s="88"/>
      <c r="W225" s="88"/>
      <c r="X225" s="88"/>
      <c r="Y225" s="88"/>
      <c r="Z225" s="88"/>
      <c r="AA225" s="88"/>
      <c r="AB225" s="128"/>
      <c r="AC225" s="128"/>
      <c r="AD225" s="128"/>
      <c r="AE225" s="128"/>
      <c r="AF225" s="128"/>
      <c r="AG225" s="128"/>
      <c r="AH225" s="127"/>
    </row>
    <row r="226" spans="1:34" ht="13.2">
      <c r="A226" s="88"/>
      <c r="B226" s="88"/>
      <c r="C226" s="88"/>
      <c r="D226" s="88"/>
      <c r="E226" s="88"/>
      <c r="F226" s="88"/>
      <c r="G226" s="88"/>
      <c r="H226" s="88"/>
      <c r="I226" s="88"/>
      <c r="J226" s="88"/>
      <c r="K226" s="88"/>
      <c r="L226" s="88"/>
      <c r="M226" s="88"/>
      <c r="N226" s="88"/>
      <c r="O226" s="88"/>
      <c r="P226" s="88"/>
      <c r="Q226" s="88"/>
      <c r="R226" s="88"/>
      <c r="S226" s="88"/>
      <c r="T226" s="88"/>
      <c r="U226" s="88"/>
      <c r="V226" s="88"/>
      <c r="W226" s="88"/>
      <c r="X226" s="88"/>
      <c r="Y226" s="88"/>
      <c r="Z226" s="88"/>
      <c r="AA226" s="88"/>
      <c r="AB226" s="128"/>
      <c r="AC226" s="128"/>
      <c r="AD226" s="128"/>
      <c r="AE226" s="128"/>
      <c r="AF226" s="128"/>
      <c r="AG226" s="128"/>
      <c r="AH226" s="127"/>
    </row>
    <row r="227" spans="1:34" ht="13.2">
      <c r="A227" s="88"/>
      <c r="B227" s="88"/>
      <c r="C227" s="88"/>
      <c r="D227" s="88"/>
      <c r="E227" s="88"/>
      <c r="F227" s="88"/>
      <c r="G227" s="88"/>
      <c r="H227" s="88"/>
      <c r="I227" s="88"/>
      <c r="J227" s="88"/>
      <c r="K227" s="88"/>
      <c r="L227" s="88"/>
      <c r="M227" s="88"/>
      <c r="N227" s="88"/>
      <c r="O227" s="88"/>
      <c r="P227" s="88"/>
      <c r="Q227" s="88"/>
      <c r="R227" s="88"/>
      <c r="S227" s="88"/>
      <c r="T227" s="88"/>
      <c r="U227" s="88"/>
      <c r="V227" s="88"/>
      <c r="W227" s="88"/>
      <c r="X227" s="88"/>
      <c r="Y227" s="88"/>
      <c r="Z227" s="88"/>
      <c r="AA227" s="88"/>
      <c r="AB227" s="128"/>
      <c r="AC227" s="128"/>
      <c r="AD227" s="128"/>
      <c r="AE227" s="128"/>
      <c r="AF227" s="128"/>
      <c r="AG227" s="128"/>
      <c r="AH227" s="127"/>
    </row>
    <row r="228" spans="1:34" ht="13.2">
      <c r="A228" s="88"/>
      <c r="B228" s="88"/>
      <c r="C228" s="88"/>
      <c r="D228" s="88"/>
      <c r="E228" s="88"/>
      <c r="F228" s="88"/>
      <c r="G228" s="88"/>
      <c r="H228" s="88"/>
      <c r="I228" s="88"/>
      <c r="J228" s="88"/>
      <c r="K228" s="88"/>
      <c r="L228" s="88"/>
      <c r="M228" s="88"/>
      <c r="N228" s="88"/>
      <c r="O228" s="88"/>
      <c r="P228" s="88"/>
      <c r="Q228" s="88"/>
      <c r="R228" s="88"/>
      <c r="S228" s="88"/>
      <c r="T228" s="88"/>
      <c r="U228" s="88"/>
      <c r="V228" s="88"/>
      <c r="W228" s="88"/>
      <c r="X228" s="88"/>
      <c r="Y228" s="88"/>
      <c r="Z228" s="88"/>
      <c r="AA228" s="88"/>
      <c r="AB228" s="128"/>
      <c r="AC228" s="128"/>
      <c r="AD228" s="128"/>
      <c r="AE228" s="128"/>
      <c r="AF228" s="128"/>
      <c r="AG228" s="128"/>
      <c r="AH228" s="127"/>
    </row>
    <row r="229" spans="1:34" ht="13.2">
      <c r="A229" s="88"/>
      <c r="B229" s="88"/>
      <c r="C229" s="88"/>
      <c r="D229" s="88"/>
      <c r="E229" s="88"/>
      <c r="F229" s="88"/>
      <c r="G229" s="88"/>
      <c r="H229" s="88"/>
      <c r="I229" s="88"/>
      <c r="J229" s="88"/>
      <c r="K229" s="88"/>
      <c r="L229" s="88"/>
      <c r="M229" s="88"/>
      <c r="N229" s="88"/>
      <c r="O229" s="88"/>
      <c r="P229" s="88"/>
      <c r="Q229" s="88"/>
      <c r="R229" s="88"/>
      <c r="S229" s="88"/>
      <c r="T229" s="88"/>
      <c r="U229" s="88"/>
      <c r="V229" s="88"/>
      <c r="W229" s="88"/>
      <c r="X229" s="88"/>
      <c r="Y229" s="88"/>
      <c r="Z229" s="88"/>
      <c r="AA229" s="88"/>
      <c r="AB229" s="128"/>
      <c r="AC229" s="128"/>
      <c r="AD229" s="128"/>
      <c r="AE229" s="128"/>
      <c r="AF229" s="128"/>
      <c r="AG229" s="128"/>
      <c r="AH229" s="127"/>
    </row>
    <row r="230" spans="1:34" ht="13.2">
      <c r="A230" s="88"/>
      <c r="B230" s="88"/>
      <c r="C230" s="88"/>
      <c r="D230" s="88"/>
      <c r="E230" s="88"/>
      <c r="F230" s="88"/>
      <c r="G230" s="88"/>
      <c r="H230" s="88"/>
      <c r="I230" s="88"/>
      <c r="J230" s="88"/>
      <c r="K230" s="88"/>
      <c r="L230" s="88"/>
      <c r="M230" s="88"/>
      <c r="N230" s="88"/>
      <c r="O230" s="88"/>
      <c r="P230" s="88"/>
      <c r="Q230" s="88"/>
      <c r="R230" s="88"/>
      <c r="S230" s="88"/>
      <c r="T230" s="88"/>
      <c r="U230" s="88"/>
      <c r="V230" s="88"/>
      <c r="W230" s="88"/>
      <c r="X230" s="88"/>
      <c r="Y230" s="88"/>
      <c r="Z230" s="88"/>
      <c r="AA230" s="88"/>
      <c r="AB230" s="128"/>
      <c r="AC230" s="128"/>
      <c r="AD230" s="128"/>
      <c r="AE230" s="128"/>
      <c r="AF230" s="128"/>
      <c r="AG230" s="128"/>
      <c r="AH230" s="127"/>
    </row>
    <row r="231" spans="1:34" ht="13.2">
      <c r="A231" s="88"/>
      <c r="B231" s="88"/>
      <c r="C231" s="88"/>
      <c r="D231" s="88"/>
      <c r="E231" s="88"/>
      <c r="F231" s="88"/>
      <c r="G231" s="88"/>
      <c r="H231" s="88"/>
      <c r="I231" s="88"/>
      <c r="J231" s="88"/>
      <c r="K231" s="88"/>
      <c r="L231" s="88"/>
      <c r="M231" s="88"/>
      <c r="N231" s="88"/>
      <c r="O231" s="88"/>
      <c r="P231" s="88"/>
      <c r="Q231" s="88"/>
      <c r="R231" s="88"/>
      <c r="S231" s="88"/>
      <c r="T231" s="88"/>
      <c r="U231" s="88"/>
      <c r="V231" s="88"/>
      <c r="W231" s="88"/>
      <c r="X231" s="88"/>
      <c r="Y231" s="88"/>
      <c r="Z231" s="88"/>
      <c r="AA231" s="88"/>
      <c r="AB231" s="128"/>
      <c r="AC231" s="128"/>
      <c r="AD231" s="128"/>
      <c r="AE231" s="128"/>
      <c r="AF231" s="128"/>
      <c r="AG231" s="128"/>
      <c r="AH231" s="127"/>
    </row>
    <row r="232" spans="1:34" ht="13.2">
      <c r="A232" s="88"/>
      <c r="B232" s="88"/>
      <c r="C232" s="88"/>
      <c r="D232" s="88"/>
      <c r="E232" s="88"/>
      <c r="F232" s="88"/>
      <c r="G232" s="88"/>
      <c r="H232" s="88"/>
      <c r="I232" s="88"/>
      <c r="J232" s="88"/>
      <c r="K232" s="88"/>
      <c r="L232" s="88"/>
      <c r="M232" s="88"/>
      <c r="N232" s="88"/>
      <c r="O232" s="88"/>
      <c r="P232" s="88"/>
      <c r="Q232" s="88"/>
      <c r="R232" s="88"/>
      <c r="S232" s="88"/>
      <c r="T232" s="88"/>
      <c r="U232" s="88"/>
      <c r="V232" s="88"/>
      <c r="W232" s="88"/>
      <c r="X232" s="88"/>
      <c r="Y232" s="88"/>
      <c r="Z232" s="88"/>
      <c r="AA232" s="88"/>
      <c r="AB232" s="128"/>
      <c r="AC232" s="128"/>
      <c r="AD232" s="128"/>
      <c r="AE232" s="128"/>
      <c r="AF232" s="128"/>
      <c r="AG232" s="128"/>
      <c r="AH232" s="127"/>
    </row>
    <row r="233" spans="1:34" ht="13.2">
      <c r="A233" s="88"/>
      <c r="B233" s="88"/>
      <c r="C233" s="88"/>
      <c r="D233" s="88"/>
      <c r="E233" s="88"/>
      <c r="F233" s="88"/>
      <c r="G233" s="88"/>
      <c r="H233" s="88"/>
      <c r="I233" s="88"/>
      <c r="J233" s="88"/>
      <c r="K233" s="88"/>
      <c r="L233" s="88"/>
      <c r="M233" s="88"/>
      <c r="N233" s="88"/>
      <c r="O233" s="88"/>
      <c r="P233" s="88"/>
      <c r="Q233" s="88"/>
      <c r="R233" s="88"/>
      <c r="S233" s="88"/>
      <c r="T233" s="88"/>
      <c r="U233" s="88"/>
      <c r="V233" s="88"/>
      <c r="W233" s="88"/>
      <c r="X233" s="88"/>
      <c r="Y233" s="88"/>
      <c r="Z233" s="88"/>
      <c r="AA233" s="88"/>
      <c r="AB233" s="128"/>
      <c r="AC233" s="128"/>
      <c r="AD233" s="128"/>
      <c r="AE233" s="128"/>
      <c r="AF233" s="128"/>
      <c r="AG233" s="128"/>
      <c r="AH233" s="127"/>
    </row>
    <row r="234" spans="1:34" ht="13.2">
      <c r="A234" s="88"/>
      <c r="B234" s="88"/>
      <c r="C234" s="88"/>
      <c r="D234" s="88"/>
      <c r="E234" s="88"/>
      <c r="F234" s="88"/>
      <c r="G234" s="88"/>
      <c r="H234" s="88"/>
      <c r="I234" s="88"/>
      <c r="J234" s="88"/>
      <c r="K234" s="88"/>
      <c r="L234" s="88"/>
      <c r="M234" s="88"/>
      <c r="N234" s="88"/>
      <c r="O234" s="88"/>
      <c r="P234" s="88"/>
      <c r="Q234" s="88"/>
      <c r="R234" s="88"/>
      <c r="S234" s="88"/>
      <c r="T234" s="88"/>
      <c r="U234" s="88"/>
      <c r="V234" s="88"/>
      <c r="W234" s="88"/>
      <c r="X234" s="88"/>
      <c r="Y234" s="88"/>
      <c r="Z234" s="88"/>
      <c r="AA234" s="88"/>
      <c r="AB234" s="128"/>
      <c r="AC234" s="128"/>
      <c r="AD234" s="128"/>
      <c r="AE234" s="128"/>
      <c r="AF234" s="128"/>
      <c r="AG234" s="128"/>
      <c r="AH234" s="127"/>
    </row>
    <row r="235" spans="1:34" ht="13.2">
      <c r="A235" s="88"/>
      <c r="B235" s="88"/>
      <c r="C235" s="88"/>
      <c r="D235" s="88"/>
      <c r="E235" s="88"/>
      <c r="F235" s="88"/>
      <c r="G235" s="88"/>
      <c r="H235" s="88"/>
      <c r="I235" s="88"/>
      <c r="J235" s="88"/>
      <c r="K235" s="88"/>
      <c r="L235" s="88"/>
      <c r="M235" s="88"/>
      <c r="N235" s="88"/>
      <c r="O235" s="88"/>
      <c r="P235" s="88"/>
      <c r="Q235" s="88"/>
      <c r="R235" s="88"/>
      <c r="S235" s="88"/>
      <c r="T235" s="88"/>
      <c r="U235" s="88"/>
      <c r="V235" s="88"/>
      <c r="W235" s="88"/>
      <c r="X235" s="88"/>
      <c r="Y235" s="88"/>
      <c r="Z235" s="88"/>
      <c r="AA235" s="88"/>
      <c r="AB235" s="128"/>
      <c r="AC235" s="128"/>
      <c r="AD235" s="128"/>
      <c r="AE235" s="128"/>
      <c r="AF235" s="128"/>
      <c r="AG235" s="128"/>
      <c r="AH235" s="127"/>
    </row>
    <row r="236" spans="1:34" ht="13.2">
      <c r="A236" s="88"/>
      <c r="B236" s="88"/>
      <c r="C236" s="88"/>
      <c r="D236" s="88"/>
      <c r="E236" s="88"/>
      <c r="F236" s="88"/>
      <c r="G236" s="88"/>
      <c r="H236" s="88"/>
      <c r="I236" s="88"/>
      <c r="J236" s="88"/>
      <c r="K236" s="88"/>
      <c r="L236" s="88"/>
      <c r="M236" s="88"/>
      <c r="N236" s="88"/>
      <c r="O236" s="88"/>
      <c r="P236" s="88"/>
      <c r="Q236" s="88"/>
      <c r="R236" s="88"/>
      <c r="S236" s="88"/>
      <c r="T236" s="88"/>
      <c r="U236" s="88"/>
      <c r="V236" s="88"/>
      <c r="W236" s="88"/>
      <c r="X236" s="88"/>
      <c r="Y236" s="88"/>
      <c r="Z236" s="88"/>
      <c r="AA236" s="88"/>
      <c r="AB236" s="128"/>
      <c r="AC236" s="128"/>
      <c r="AD236" s="128"/>
      <c r="AE236" s="128"/>
      <c r="AF236" s="128"/>
      <c r="AG236" s="128"/>
      <c r="AH236" s="127"/>
    </row>
    <row r="237" spans="1:34" ht="13.2">
      <c r="A237" s="88"/>
      <c r="B237" s="88"/>
      <c r="C237" s="88"/>
      <c r="D237" s="88"/>
      <c r="E237" s="88"/>
      <c r="F237" s="88"/>
      <c r="G237" s="88"/>
      <c r="H237" s="88"/>
      <c r="I237" s="88"/>
      <c r="J237" s="88"/>
      <c r="K237" s="88"/>
      <c r="L237" s="88"/>
      <c r="M237" s="88"/>
      <c r="N237" s="88"/>
      <c r="O237" s="88"/>
      <c r="P237" s="88"/>
      <c r="Q237" s="88"/>
      <c r="R237" s="88"/>
      <c r="S237" s="88"/>
      <c r="T237" s="88"/>
      <c r="U237" s="88"/>
      <c r="V237" s="88"/>
      <c r="W237" s="88"/>
      <c r="X237" s="88"/>
      <c r="Y237" s="88"/>
      <c r="Z237" s="88"/>
      <c r="AA237" s="88"/>
      <c r="AB237" s="128"/>
      <c r="AC237" s="128"/>
      <c r="AD237" s="128"/>
      <c r="AE237" s="128"/>
      <c r="AF237" s="128"/>
      <c r="AG237" s="128"/>
      <c r="AH237" s="127"/>
    </row>
    <row r="238" spans="1:34" ht="13.2">
      <c r="A238" s="88"/>
      <c r="B238" s="88"/>
      <c r="C238" s="88"/>
      <c r="D238" s="88"/>
      <c r="E238" s="88"/>
      <c r="F238" s="88"/>
      <c r="G238" s="88"/>
      <c r="H238" s="88"/>
      <c r="I238" s="88"/>
      <c r="J238" s="88"/>
      <c r="K238" s="88"/>
      <c r="L238" s="88"/>
      <c r="M238" s="88"/>
      <c r="N238" s="88"/>
      <c r="O238" s="88"/>
      <c r="P238" s="88"/>
      <c r="Q238" s="88"/>
      <c r="R238" s="88"/>
      <c r="S238" s="88"/>
      <c r="T238" s="88"/>
      <c r="U238" s="88"/>
      <c r="V238" s="88"/>
      <c r="W238" s="88"/>
      <c r="X238" s="88"/>
      <c r="Y238" s="88"/>
      <c r="Z238" s="88"/>
      <c r="AA238" s="88"/>
      <c r="AB238" s="128"/>
      <c r="AC238" s="128"/>
      <c r="AD238" s="128"/>
      <c r="AE238" s="128"/>
      <c r="AF238" s="128"/>
      <c r="AG238" s="128"/>
      <c r="AH238" s="127"/>
    </row>
    <row r="239" spans="1:34" ht="13.2">
      <c r="A239" s="88"/>
      <c r="B239" s="88"/>
      <c r="C239" s="88"/>
      <c r="D239" s="88"/>
      <c r="E239" s="88"/>
      <c r="F239" s="88"/>
      <c r="G239" s="88"/>
      <c r="H239" s="88"/>
      <c r="I239" s="88"/>
      <c r="J239" s="88"/>
      <c r="K239" s="88"/>
      <c r="L239" s="88"/>
      <c r="M239" s="88"/>
      <c r="N239" s="88"/>
      <c r="O239" s="88"/>
      <c r="P239" s="88"/>
      <c r="Q239" s="88"/>
      <c r="R239" s="88"/>
      <c r="S239" s="88"/>
      <c r="T239" s="88"/>
      <c r="U239" s="88"/>
      <c r="V239" s="88"/>
      <c r="W239" s="88"/>
      <c r="X239" s="88"/>
      <c r="Y239" s="88"/>
      <c r="Z239" s="88"/>
      <c r="AA239" s="88"/>
      <c r="AB239" s="128"/>
      <c r="AC239" s="128"/>
      <c r="AD239" s="128"/>
      <c r="AE239" s="128"/>
      <c r="AF239" s="128"/>
      <c r="AG239" s="128"/>
      <c r="AH239" s="127"/>
    </row>
    <row r="240" spans="1:34" ht="13.2">
      <c r="A240" s="88"/>
      <c r="B240" s="88"/>
      <c r="C240" s="88"/>
      <c r="D240" s="88"/>
      <c r="E240" s="88"/>
      <c r="F240" s="88"/>
      <c r="G240" s="88"/>
      <c r="H240" s="88"/>
      <c r="I240" s="88"/>
      <c r="J240" s="88"/>
      <c r="K240" s="88"/>
      <c r="L240" s="88"/>
      <c r="M240" s="88"/>
      <c r="N240" s="88"/>
      <c r="O240" s="88"/>
      <c r="P240" s="88"/>
      <c r="Q240" s="88"/>
      <c r="R240" s="88"/>
      <c r="S240" s="88"/>
      <c r="T240" s="88"/>
      <c r="U240" s="88"/>
      <c r="V240" s="88"/>
      <c r="W240" s="88"/>
      <c r="X240" s="88"/>
      <c r="Y240" s="88"/>
      <c r="Z240" s="88"/>
      <c r="AA240" s="88"/>
      <c r="AB240" s="128"/>
      <c r="AC240" s="128"/>
      <c r="AD240" s="128"/>
      <c r="AE240" s="128"/>
      <c r="AF240" s="128"/>
      <c r="AG240" s="128"/>
      <c r="AH240" s="127"/>
    </row>
    <row r="241" spans="1:34" ht="13.2">
      <c r="A241" s="88"/>
      <c r="B241" s="88"/>
      <c r="C241" s="88"/>
      <c r="D241" s="88"/>
      <c r="E241" s="88"/>
      <c r="F241" s="88"/>
      <c r="G241" s="88"/>
      <c r="H241" s="88"/>
      <c r="I241" s="88"/>
      <c r="J241" s="88"/>
      <c r="K241" s="88"/>
      <c r="L241" s="88"/>
      <c r="M241" s="88"/>
      <c r="N241" s="88"/>
      <c r="O241" s="88"/>
      <c r="P241" s="88"/>
      <c r="Q241" s="88"/>
      <c r="R241" s="88"/>
      <c r="S241" s="88"/>
      <c r="T241" s="88"/>
      <c r="U241" s="88"/>
      <c r="V241" s="88"/>
      <c r="W241" s="88"/>
      <c r="X241" s="88"/>
      <c r="Y241" s="88"/>
      <c r="Z241" s="88"/>
      <c r="AA241" s="88"/>
      <c r="AB241" s="128"/>
      <c r="AC241" s="128"/>
      <c r="AD241" s="128"/>
      <c r="AE241" s="128"/>
      <c r="AF241" s="128"/>
      <c r="AG241" s="128"/>
      <c r="AH241" s="127"/>
    </row>
    <row r="242" spans="1:34" ht="13.2">
      <c r="A242" s="88"/>
      <c r="B242" s="88"/>
      <c r="C242" s="88"/>
      <c r="D242" s="88"/>
      <c r="E242" s="88"/>
      <c r="F242" s="88"/>
      <c r="G242" s="88"/>
      <c r="H242" s="88"/>
      <c r="I242" s="88"/>
      <c r="J242" s="88"/>
      <c r="K242" s="88"/>
      <c r="L242" s="88"/>
      <c r="M242" s="88"/>
      <c r="N242" s="88"/>
      <c r="O242" s="88"/>
      <c r="P242" s="88"/>
      <c r="Q242" s="88"/>
      <c r="R242" s="88"/>
      <c r="S242" s="88"/>
      <c r="T242" s="88"/>
      <c r="U242" s="88"/>
      <c r="V242" s="88"/>
      <c r="W242" s="88"/>
      <c r="X242" s="88"/>
      <c r="Y242" s="88"/>
      <c r="Z242" s="88"/>
      <c r="AA242" s="88"/>
      <c r="AB242" s="128"/>
      <c r="AC242" s="128"/>
      <c r="AD242" s="128"/>
      <c r="AE242" s="128"/>
      <c r="AF242" s="128"/>
      <c r="AG242" s="128"/>
      <c r="AH242" s="127"/>
    </row>
    <row r="243" spans="1:34" ht="13.2">
      <c r="A243" s="88"/>
      <c r="B243" s="88"/>
      <c r="C243" s="88"/>
      <c r="D243" s="88"/>
      <c r="E243" s="88"/>
      <c r="F243" s="88"/>
      <c r="G243" s="88"/>
      <c r="H243" s="88"/>
      <c r="I243" s="88"/>
      <c r="J243" s="88"/>
      <c r="K243" s="88"/>
      <c r="L243" s="88"/>
      <c r="M243" s="88"/>
      <c r="N243" s="88"/>
      <c r="O243" s="88"/>
      <c r="P243" s="88"/>
      <c r="Q243" s="88"/>
      <c r="R243" s="88"/>
      <c r="S243" s="88"/>
      <c r="T243" s="88"/>
      <c r="U243" s="88"/>
      <c r="V243" s="88"/>
      <c r="W243" s="88"/>
      <c r="X243" s="88"/>
      <c r="Y243" s="88"/>
      <c r="Z243" s="88"/>
      <c r="AA243" s="88"/>
      <c r="AB243" s="128"/>
      <c r="AC243" s="128"/>
      <c r="AD243" s="128"/>
      <c r="AE243" s="128"/>
      <c r="AF243" s="128"/>
      <c r="AG243" s="128"/>
      <c r="AH243" s="127"/>
    </row>
    <row r="244" spans="1:34" ht="13.2">
      <c r="A244" s="88"/>
      <c r="B244" s="88"/>
      <c r="C244" s="88"/>
      <c r="D244" s="88"/>
      <c r="E244" s="88"/>
      <c r="F244" s="88"/>
      <c r="G244" s="88"/>
      <c r="H244" s="88"/>
      <c r="I244" s="88"/>
      <c r="J244" s="88"/>
      <c r="K244" s="88"/>
      <c r="L244" s="88"/>
      <c r="M244" s="88"/>
      <c r="N244" s="88"/>
      <c r="O244" s="88"/>
      <c r="P244" s="88"/>
      <c r="Q244" s="88"/>
      <c r="R244" s="88"/>
      <c r="S244" s="88"/>
      <c r="T244" s="88"/>
      <c r="U244" s="88"/>
      <c r="V244" s="88"/>
      <c r="W244" s="88"/>
      <c r="X244" s="88"/>
      <c r="Y244" s="88"/>
      <c r="Z244" s="88"/>
      <c r="AA244" s="88"/>
      <c r="AB244" s="128"/>
      <c r="AC244" s="128"/>
      <c r="AD244" s="128"/>
      <c r="AE244" s="128"/>
      <c r="AF244" s="128"/>
      <c r="AG244" s="128"/>
      <c r="AH244" s="127"/>
    </row>
    <row r="245" spans="1:34" ht="13.2">
      <c r="A245" s="88"/>
      <c r="B245" s="88"/>
      <c r="C245" s="88"/>
      <c r="D245" s="88"/>
      <c r="E245" s="88"/>
      <c r="F245" s="88"/>
      <c r="G245" s="88"/>
      <c r="H245" s="88"/>
      <c r="I245" s="88"/>
      <c r="J245" s="88"/>
      <c r="K245" s="88"/>
      <c r="L245" s="88"/>
      <c r="M245" s="88"/>
      <c r="N245" s="88"/>
      <c r="O245" s="88"/>
      <c r="P245" s="88"/>
      <c r="Q245" s="88"/>
      <c r="R245" s="88"/>
      <c r="S245" s="88"/>
      <c r="T245" s="88"/>
      <c r="U245" s="88"/>
      <c r="V245" s="88"/>
      <c r="W245" s="88"/>
      <c r="X245" s="88"/>
      <c r="Y245" s="88"/>
      <c r="Z245" s="88"/>
      <c r="AA245" s="88"/>
      <c r="AB245" s="128"/>
      <c r="AC245" s="128"/>
      <c r="AD245" s="128"/>
      <c r="AE245" s="128"/>
      <c r="AF245" s="128"/>
      <c r="AG245" s="128"/>
      <c r="AH245" s="127"/>
    </row>
    <row r="246" spans="1:34" ht="13.2">
      <c r="A246" s="88"/>
      <c r="B246" s="88"/>
      <c r="C246" s="88"/>
      <c r="D246" s="88"/>
      <c r="E246" s="88"/>
      <c r="F246" s="88"/>
      <c r="G246" s="88"/>
      <c r="H246" s="88"/>
      <c r="I246" s="88"/>
      <c r="J246" s="88"/>
      <c r="K246" s="88"/>
      <c r="L246" s="88"/>
      <c r="M246" s="88"/>
      <c r="N246" s="88"/>
      <c r="O246" s="88"/>
      <c r="P246" s="88"/>
      <c r="Q246" s="88"/>
      <c r="R246" s="88"/>
      <c r="S246" s="88"/>
      <c r="T246" s="88"/>
      <c r="U246" s="88"/>
      <c r="V246" s="88"/>
      <c r="W246" s="88"/>
      <c r="X246" s="88"/>
      <c r="Y246" s="88"/>
      <c r="Z246" s="88"/>
      <c r="AA246" s="88"/>
      <c r="AB246" s="128"/>
      <c r="AC246" s="128"/>
      <c r="AD246" s="128"/>
      <c r="AE246" s="128"/>
      <c r="AF246" s="128"/>
      <c r="AG246" s="128"/>
      <c r="AH246" s="127"/>
    </row>
    <row r="247" spans="1:34" ht="13.2">
      <c r="A247" s="88"/>
      <c r="B247" s="88"/>
      <c r="C247" s="88"/>
      <c r="D247" s="88"/>
      <c r="E247" s="88"/>
      <c r="F247" s="88"/>
      <c r="G247" s="88"/>
      <c r="H247" s="88"/>
      <c r="I247" s="88"/>
      <c r="J247" s="88"/>
      <c r="K247" s="88"/>
      <c r="L247" s="88"/>
      <c r="M247" s="88"/>
      <c r="N247" s="88"/>
      <c r="O247" s="88"/>
      <c r="P247" s="88"/>
      <c r="Q247" s="88"/>
      <c r="R247" s="88"/>
      <c r="S247" s="88"/>
      <c r="T247" s="88"/>
      <c r="U247" s="88"/>
      <c r="V247" s="88"/>
      <c r="W247" s="88"/>
      <c r="X247" s="88"/>
      <c r="Y247" s="88"/>
      <c r="Z247" s="88"/>
      <c r="AA247" s="88"/>
      <c r="AB247" s="128"/>
      <c r="AC247" s="128"/>
      <c r="AD247" s="128"/>
      <c r="AE247" s="128"/>
      <c r="AF247" s="128"/>
      <c r="AG247" s="128"/>
      <c r="AH247" s="127"/>
    </row>
    <row r="248" spans="1:34" ht="13.2">
      <c r="A248" s="88"/>
      <c r="B248" s="88"/>
      <c r="C248" s="88"/>
      <c r="D248" s="88"/>
      <c r="E248" s="88"/>
      <c r="F248" s="88"/>
      <c r="G248" s="88"/>
      <c r="H248" s="88"/>
      <c r="I248" s="88"/>
      <c r="J248" s="88"/>
      <c r="K248" s="88"/>
      <c r="L248" s="88"/>
      <c r="M248" s="88"/>
      <c r="N248" s="88"/>
      <c r="O248" s="88"/>
      <c r="P248" s="88"/>
      <c r="Q248" s="88"/>
      <c r="R248" s="88"/>
      <c r="S248" s="88"/>
      <c r="T248" s="88"/>
      <c r="U248" s="88"/>
      <c r="V248" s="88"/>
      <c r="W248" s="88"/>
      <c r="X248" s="88"/>
      <c r="Y248" s="88"/>
      <c r="Z248" s="88"/>
      <c r="AA248" s="88"/>
      <c r="AB248" s="128"/>
      <c r="AC248" s="128"/>
      <c r="AD248" s="128"/>
      <c r="AE248" s="128"/>
      <c r="AF248" s="128"/>
      <c r="AG248" s="128"/>
      <c r="AH248" s="127"/>
    </row>
    <row r="249" spans="1:34" ht="13.2">
      <c r="A249" s="88"/>
      <c r="B249" s="88"/>
      <c r="C249" s="88"/>
      <c r="D249" s="88"/>
      <c r="E249" s="88"/>
      <c r="F249" s="88"/>
      <c r="G249" s="88"/>
      <c r="H249" s="88"/>
      <c r="I249" s="88"/>
      <c r="J249" s="88"/>
      <c r="K249" s="88"/>
      <c r="L249" s="88"/>
      <c r="M249" s="88"/>
      <c r="N249" s="88"/>
      <c r="O249" s="88"/>
      <c r="P249" s="88"/>
      <c r="Q249" s="88"/>
      <c r="R249" s="88"/>
      <c r="S249" s="88"/>
      <c r="T249" s="88"/>
      <c r="U249" s="88"/>
      <c r="V249" s="88"/>
      <c r="W249" s="88"/>
      <c r="X249" s="88"/>
      <c r="Y249" s="88"/>
      <c r="Z249" s="88"/>
      <c r="AA249" s="88"/>
      <c r="AB249" s="128"/>
      <c r="AC249" s="128"/>
      <c r="AD249" s="128"/>
      <c r="AE249" s="128"/>
      <c r="AF249" s="128"/>
      <c r="AG249" s="128"/>
      <c r="AH249" s="127"/>
    </row>
    <row r="250" spans="1:34" ht="13.2">
      <c r="A250" s="88"/>
      <c r="B250" s="88"/>
      <c r="C250" s="88"/>
      <c r="D250" s="88"/>
      <c r="E250" s="88"/>
      <c r="F250" s="88"/>
      <c r="G250" s="88"/>
      <c r="H250" s="88"/>
      <c r="I250" s="88"/>
      <c r="J250" s="88"/>
      <c r="K250" s="88"/>
      <c r="L250" s="88"/>
      <c r="M250" s="88"/>
      <c r="N250" s="88"/>
      <c r="O250" s="88"/>
      <c r="P250" s="88"/>
      <c r="Q250" s="88"/>
      <c r="R250" s="88"/>
      <c r="S250" s="88"/>
      <c r="T250" s="88"/>
      <c r="U250" s="88"/>
      <c r="V250" s="88"/>
      <c r="W250" s="88"/>
      <c r="X250" s="88"/>
      <c r="Y250" s="88"/>
      <c r="Z250" s="88"/>
      <c r="AA250" s="88"/>
      <c r="AB250" s="128"/>
      <c r="AC250" s="128"/>
      <c r="AD250" s="128"/>
      <c r="AE250" s="128"/>
      <c r="AF250" s="128"/>
      <c r="AG250" s="128"/>
      <c r="AH250" s="127"/>
    </row>
    <row r="251" spans="1:34" ht="13.2">
      <c r="A251" s="88"/>
      <c r="B251" s="88"/>
      <c r="C251" s="88"/>
      <c r="D251" s="88"/>
      <c r="E251" s="88"/>
      <c r="F251" s="88"/>
      <c r="G251" s="88"/>
      <c r="H251" s="88"/>
      <c r="I251" s="88"/>
      <c r="J251" s="88"/>
      <c r="K251" s="88"/>
      <c r="L251" s="88"/>
      <c r="M251" s="88"/>
      <c r="N251" s="88"/>
      <c r="O251" s="88"/>
      <c r="P251" s="88"/>
      <c r="Q251" s="88"/>
      <c r="R251" s="88"/>
      <c r="S251" s="88"/>
      <c r="T251" s="88"/>
      <c r="U251" s="88"/>
      <c r="V251" s="88"/>
      <c r="W251" s="88"/>
      <c r="X251" s="88"/>
      <c r="Y251" s="88"/>
      <c r="Z251" s="88"/>
      <c r="AA251" s="88"/>
      <c r="AB251" s="128"/>
      <c r="AC251" s="128"/>
      <c r="AD251" s="128"/>
      <c r="AE251" s="128"/>
      <c r="AF251" s="128"/>
      <c r="AG251" s="128"/>
      <c r="AH251" s="127"/>
    </row>
    <row r="252" spans="1:34" ht="13.2">
      <c r="A252" s="88"/>
      <c r="B252" s="88"/>
      <c r="C252" s="88"/>
      <c r="D252" s="88"/>
      <c r="E252" s="88"/>
      <c r="F252" s="88"/>
      <c r="G252" s="88"/>
      <c r="H252" s="88"/>
      <c r="I252" s="88"/>
      <c r="J252" s="88"/>
      <c r="K252" s="88"/>
      <c r="L252" s="88"/>
      <c r="M252" s="88"/>
      <c r="N252" s="88"/>
      <c r="O252" s="88"/>
      <c r="P252" s="88"/>
      <c r="Q252" s="88"/>
      <c r="R252" s="88"/>
      <c r="S252" s="88"/>
      <c r="T252" s="88"/>
      <c r="U252" s="88"/>
      <c r="V252" s="88"/>
      <c r="W252" s="88"/>
      <c r="X252" s="88"/>
      <c r="Y252" s="88"/>
      <c r="Z252" s="88"/>
      <c r="AA252" s="88"/>
      <c r="AB252" s="128"/>
      <c r="AC252" s="128"/>
      <c r="AD252" s="128"/>
      <c r="AE252" s="128"/>
      <c r="AF252" s="128"/>
      <c r="AG252" s="128"/>
      <c r="AH252" s="127"/>
    </row>
    <row r="253" spans="1:34" ht="13.2">
      <c r="A253" s="88"/>
      <c r="B253" s="88"/>
      <c r="C253" s="88"/>
      <c r="D253" s="88"/>
      <c r="E253" s="88"/>
      <c r="F253" s="88"/>
      <c r="G253" s="88"/>
      <c r="H253" s="88"/>
      <c r="I253" s="88"/>
      <c r="J253" s="88"/>
      <c r="K253" s="88"/>
      <c r="L253" s="88"/>
      <c r="M253" s="88"/>
      <c r="N253" s="88"/>
      <c r="O253" s="88"/>
      <c r="P253" s="88"/>
      <c r="Q253" s="88"/>
      <c r="R253" s="88"/>
      <c r="S253" s="88"/>
      <c r="T253" s="88"/>
      <c r="U253" s="88"/>
      <c r="V253" s="88"/>
      <c r="W253" s="88"/>
      <c r="X253" s="88"/>
      <c r="Y253" s="88"/>
      <c r="Z253" s="88"/>
      <c r="AA253" s="88"/>
      <c r="AB253" s="128"/>
      <c r="AC253" s="128"/>
      <c r="AD253" s="128"/>
      <c r="AE253" s="128"/>
      <c r="AF253" s="128"/>
      <c r="AG253" s="128"/>
      <c r="AH253" s="127"/>
    </row>
    <row r="254" spans="1:34" ht="13.2">
      <c r="A254" s="88"/>
      <c r="B254" s="88"/>
      <c r="C254" s="88"/>
      <c r="D254" s="88"/>
      <c r="E254" s="88"/>
      <c r="F254" s="88"/>
      <c r="G254" s="88"/>
      <c r="H254" s="88"/>
      <c r="I254" s="88"/>
      <c r="J254" s="88"/>
      <c r="K254" s="88"/>
      <c r="L254" s="88"/>
      <c r="M254" s="88"/>
      <c r="N254" s="88"/>
      <c r="O254" s="88"/>
      <c r="P254" s="88"/>
      <c r="Q254" s="88"/>
      <c r="R254" s="88"/>
      <c r="S254" s="88"/>
      <c r="T254" s="88"/>
      <c r="U254" s="88"/>
      <c r="V254" s="88"/>
      <c r="W254" s="88"/>
      <c r="X254" s="88"/>
      <c r="Y254" s="88"/>
      <c r="Z254" s="88"/>
      <c r="AA254" s="88"/>
      <c r="AB254" s="128"/>
      <c r="AC254" s="128"/>
      <c r="AD254" s="128"/>
      <c r="AE254" s="128"/>
      <c r="AF254" s="128"/>
      <c r="AG254" s="128"/>
      <c r="AH254" s="127"/>
    </row>
    <row r="255" spans="1:34" ht="13.2">
      <c r="A255" s="88"/>
      <c r="B255" s="88"/>
      <c r="C255" s="88"/>
      <c r="D255" s="88"/>
      <c r="E255" s="88"/>
      <c r="F255" s="88"/>
      <c r="G255" s="88"/>
      <c r="H255" s="88"/>
      <c r="I255" s="88"/>
      <c r="J255" s="88"/>
      <c r="K255" s="88"/>
      <c r="L255" s="88"/>
      <c r="M255" s="88"/>
      <c r="N255" s="88"/>
      <c r="O255" s="88"/>
      <c r="P255" s="88"/>
      <c r="Q255" s="88"/>
      <c r="R255" s="88"/>
      <c r="S255" s="88"/>
      <c r="T255" s="88"/>
      <c r="U255" s="88"/>
      <c r="V255" s="88"/>
      <c r="W255" s="88"/>
      <c r="X255" s="88"/>
      <c r="Y255" s="88"/>
      <c r="Z255" s="88"/>
      <c r="AA255" s="88"/>
      <c r="AB255" s="128"/>
      <c r="AC255" s="128"/>
      <c r="AD255" s="128"/>
      <c r="AE255" s="128"/>
      <c r="AF255" s="128"/>
      <c r="AG255" s="128"/>
      <c r="AH255" s="127"/>
    </row>
    <row r="256" spans="1:34" ht="13.2">
      <c r="A256" s="88"/>
      <c r="B256" s="88"/>
      <c r="C256" s="88"/>
      <c r="D256" s="88"/>
      <c r="E256" s="88"/>
      <c r="F256" s="88"/>
      <c r="G256" s="88"/>
      <c r="H256" s="88"/>
      <c r="I256" s="88"/>
      <c r="J256" s="88"/>
      <c r="K256" s="88"/>
      <c r="L256" s="88"/>
      <c r="M256" s="88"/>
      <c r="N256" s="88"/>
      <c r="O256" s="88"/>
      <c r="P256" s="88"/>
      <c r="Q256" s="88"/>
      <c r="R256" s="88"/>
      <c r="S256" s="88"/>
      <c r="T256" s="88"/>
      <c r="U256" s="88"/>
      <c r="V256" s="88"/>
      <c r="W256" s="88"/>
      <c r="X256" s="88"/>
      <c r="Y256" s="88"/>
      <c r="Z256" s="88"/>
      <c r="AA256" s="88"/>
      <c r="AB256" s="128"/>
      <c r="AC256" s="128"/>
      <c r="AD256" s="128"/>
      <c r="AE256" s="128"/>
      <c r="AF256" s="128"/>
      <c r="AG256" s="128"/>
      <c r="AH256" s="127"/>
    </row>
    <row r="257" spans="1:34" ht="13.2">
      <c r="A257" s="88"/>
      <c r="B257" s="88"/>
      <c r="C257" s="88"/>
      <c r="D257" s="88"/>
      <c r="E257" s="88"/>
      <c r="F257" s="88"/>
      <c r="G257" s="88"/>
      <c r="H257" s="88"/>
      <c r="I257" s="88"/>
      <c r="J257" s="88"/>
      <c r="K257" s="88"/>
      <c r="L257" s="88"/>
      <c r="M257" s="88"/>
      <c r="N257" s="88"/>
      <c r="O257" s="88"/>
      <c r="P257" s="88"/>
      <c r="Q257" s="88"/>
      <c r="R257" s="88"/>
      <c r="S257" s="88"/>
      <c r="T257" s="88"/>
      <c r="U257" s="88"/>
      <c r="V257" s="88"/>
      <c r="W257" s="88"/>
      <c r="X257" s="88"/>
      <c r="Y257" s="88"/>
      <c r="Z257" s="88"/>
      <c r="AA257" s="88"/>
      <c r="AB257" s="128"/>
      <c r="AC257" s="128"/>
      <c r="AD257" s="128"/>
      <c r="AE257" s="128"/>
      <c r="AF257" s="128"/>
      <c r="AG257" s="128"/>
      <c r="AH257" s="127"/>
    </row>
    <row r="258" spans="1:34" ht="13.2">
      <c r="A258" s="88"/>
      <c r="B258" s="88"/>
      <c r="C258" s="88"/>
      <c r="D258" s="88"/>
      <c r="E258" s="88"/>
      <c r="F258" s="88"/>
      <c r="G258" s="88"/>
      <c r="H258" s="88"/>
      <c r="I258" s="88"/>
      <c r="J258" s="88"/>
      <c r="K258" s="88"/>
      <c r="L258" s="88"/>
      <c r="M258" s="88"/>
      <c r="N258" s="88"/>
      <c r="O258" s="88"/>
      <c r="P258" s="88"/>
      <c r="Q258" s="88"/>
      <c r="R258" s="88"/>
      <c r="S258" s="88"/>
      <c r="T258" s="88"/>
      <c r="U258" s="88"/>
      <c r="V258" s="88"/>
      <c r="W258" s="88"/>
      <c r="X258" s="88"/>
      <c r="Y258" s="88"/>
      <c r="Z258" s="88"/>
      <c r="AA258" s="88"/>
      <c r="AB258" s="128"/>
      <c r="AC258" s="128"/>
      <c r="AD258" s="128"/>
      <c r="AE258" s="128"/>
      <c r="AF258" s="128"/>
      <c r="AG258" s="128"/>
      <c r="AH258" s="127"/>
    </row>
    <row r="259" spans="1:34" ht="13.2">
      <c r="A259" s="88"/>
      <c r="B259" s="88"/>
      <c r="C259" s="88"/>
      <c r="D259" s="88"/>
      <c r="E259" s="88"/>
      <c r="F259" s="88"/>
      <c r="G259" s="88"/>
      <c r="H259" s="88"/>
      <c r="I259" s="88"/>
      <c r="J259" s="88"/>
      <c r="K259" s="88"/>
      <c r="L259" s="88"/>
      <c r="M259" s="88"/>
      <c r="N259" s="88"/>
      <c r="O259" s="88"/>
      <c r="P259" s="88"/>
      <c r="Q259" s="88"/>
      <c r="R259" s="88"/>
      <c r="S259" s="88"/>
      <c r="T259" s="88"/>
      <c r="U259" s="88"/>
      <c r="V259" s="88"/>
      <c r="W259" s="88"/>
      <c r="X259" s="88"/>
      <c r="Y259" s="88"/>
      <c r="Z259" s="88"/>
      <c r="AA259" s="88"/>
      <c r="AB259" s="128"/>
      <c r="AC259" s="128"/>
      <c r="AD259" s="128"/>
      <c r="AE259" s="128"/>
      <c r="AF259" s="128"/>
      <c r="AG259" s="128"/>
      <c r="AH259" s="127"/>
    </row>
    <row r="260" spans="1:34" ht="13.2">
      <c r="A260" s="88"/>
      <c r="B260" s="88"/>
      <c r="C260" s="88"/>
      <c r="D260" s="88"/>
      <c r="E260" s="88"/>
      <c r="F260" s="88"/>
      <c r="G260" s="88"/>
      <c r="H260" s="88"/>
      <c r="I260" s="88"/>
      <c r="J260" s="88"/>
      <c r="K260" s="88"/>
      <c r="L260" s="88"/>
      <c r="M260" s="88"/>
      <c r="N260" s="88"/>
      <c r="O260" s="88"/>
      <c r="P260" s="88"/>
      <c r="Q260" s="88"/>
      <c r="R260" s="88"/>
      <c r="S260" s="88"/>
      <c r="T260" s="88"/>
      <c r="U260" s="88"/>
      <c r="V260" s="88"/>
      <c r="W260" s="88"/>
      <c r="X260" s="88"/>
      <c r="Y260" s="88"/>
      <c r="Z260" s="88"/>
      <c r="AA260" s="88"/>
      <c r="AB260" s="128"/>
      <c r="AC260" s="128"/>
      <c r="AD260" s="128"/>
      <c r="AE260" s="128"/>
      <c r="AF260" s="128"/>
      <c r="AG260" s="128"/>
      <c r="AH260" s="127"/>
    </row>
    <row r="261" spans="1:34" ht="13.2">
      <c r="A261" s="88"/>
      <c r="B261" s="88"/>
      <c r="C261" s="88"/>
      <c r="D261" s="88"/>
      <c r="E261" s="88"/>
      <c r="F261" s="88"/>
      <c r="G261" s="88"/>
      <c r="H261" s="88"/>
      <c r="I261" s="88"/>
      <c r="J261" s="88"/>
      <c r="K261" s="88"/>
      <c r="L261" s="88"/>
      <c r="M261" s="88"/>
      <c r="N261" s="88"/>
      <c r="O261" s="88"/>
      <c r="P261" s="88"/>
      <c r="Q261" s="88"/>
      <c r="R261" s="88"/>
      <c r="S261" s="88"/>
      <c r="T261" s="88"/>
      <c r="U261" s="88"/>
      <c r="V261" s="88"/>
      <c r="W261" s="88"/>
      <c r="X261" s="88"/>
      <c r="Y261" s="88"/>
      <c r="Z261" s="88"/>
      <c r="AA261" s="88"/>
      <c r="AB261" s="128"/>
      <c r="AC261" s="128"/>
      <c r="AD261" s="128"/>
      <c r="AE261" s="128"/>
      <c r="AF261" s="128"/>
      <c r="AG261" s="128"/>
      <c r="AH261" s="127"/>
    </row>
    <row r="262" spans="1:34" ht="13.2">
      <c r="A262" s="88"/>
      <c r="B262" s="88"/>
      <c r="C262" s="88"/>
      <c r="D262" s="88"/>
      <c r="E262" s="88"/>
      <c r="F262" s="88"/>
      <c r="G262" s="88"/>
      <c r="H262" s="88"/>
      <c r="I262" s="88"/>
      <c r="J262" s="88"/>
      <c r="K262" s="88"/>
      <c r="L262" s="88"/>
      <c r="M262" s="88"/>
      <c r="N262" s="88"/>
      <c r="O262" s="88"/>
      <c r="P262" s="88"/>
      <c r="Q262" s="88"/>
      <c r="R262" s="88"/>
      <c r="S262" s="88"/>
      <c r="T262" s="88"/>
      <c r="U262" s="88"/>
      <c r="V262" s="88"/>
      <c r="W262" s="88"/>
      <c r="X262" s="88"/>
      <c r="Y262" s="88"/>
      <c r="Z262" s="88"/>
      <c r="AA262" s="88"/>
      <c r="AB262" s="128"/>
      <c r="AC262" s="128"/>
      <c r="AD262" s="128"/>
      <c r="AE262" s="128"/>
      <c r="AF262" s="128"/>
      <c r="AG262" s="128"/>
      <c r="AH262" s="127"/>
    </row>
    <row r="263" spans="1:34" ht="13.2">
      <c r="A263" s="88"/>
      <c r="B263" s="88"/>
      <c r="C263" s="88"/>
      <c r="D263" s="88"/>
      <c r="E263" s="88"/>
      <c r="F263" s="88"/>
      <c r="G263" s="88"/>
      <c r="H263" s="88"/>
      <c r="I263" s="88"/>
      <c r="J263" s="88"/>
      <c r="K263" s="88"/>
      <c r="L263" s="88"/>
      <c r="M263" s="88"/>
      <c r="N263" s="88"/>
      <c r="O263" s="88"/>
      <c r="P263" s="88"/>
      <c r="Q263" s="88"/>
      <c r="R263" s="88"/>
      <c r="S263" s="88"/>
      <c r="T263" s="88"/>
      <c r="U263" s="88"/>
      <c r="V263" s="88"/>
      <c r="W263" s="88"/>
      <c r="X263" s="88"/>
      <c r="Y263" s="88"/>
      <c r="Z263" s="88"/>
      <c r="AA263" s="88"/>
      <c r="AB263" s="128"/>
      <c r="AC263" s="128"/>
      <c r="AD263" s="128"/>
      <c r="AE263" s="128"/>
      <c r="AF263" s="128"/>
      <c r="AG263" s="128"/>
      <c r="AH263" s="127"/>
    </row>
    <row r="264" spans="1:34" ht="13.2">
      <c r="A264" s="88"/>
      <c r="B264" s="88"/>
      <c r="C264" s="88"/>
      <c r="D264" s="88"/>
      <c r="E264" s="88"/>
      <c r="F264" s="88"/>
      <c r="G264" s="88"/>
      <c r="H264" s="88"/>
      <c r="I264" s="88"/>
      <c r="J264" s="88"/>
      <c r="K264" s="88"/>
      <c r="L264" s="88"/>
      <c r="M264" s="88"/>
      <c r="N264" s="88"/>
      <c r="O264" s="88"/>
      <c r="P264" s="88"/>
      <c r="Q264" s="88"/>
      <c r="R264" s="88"/>
      <c r="S264" s="88"/>
      <c r="T264" s="88"/>
      <c r="U264" s="88"/>
      <c r="V264" s="88"/>
      <c r="W264" s="88"/>
      <c r="X264" s="88"/>
      <c r="Y264" s="88"/>
      <c r="Z264" s="88"/>
      <c r="AA264" s="88"/>
      <c r="AB264" s="128"/>
      <c r="AC264" s="128"/>
      <c r="AD264" s="128"/>
      <c r="AE264" s="128"/>
      <c r="AF264" s="128"/>
      <c r="AG264" s="128"/>
      <c r="AH264" s="127"/>
    </row>
    <row r="265" spans="1:34" ht="13.2">
      <c r="A265" s="88"/>
      <c r="B265" s="88"/>
      <c r="C265" s="88"/>
      <c r="D265" s="88"/>
      <c r="E265" s="88"/>
      <c r="F265" s="88"/>
      <c r="G265" s="88"/>
      <c r="H265" s="88"/>
      <c r="I265" s="88"/>
      <c r="J265" s="88"/>
      <c r="K265" s="88"/>
      <c r="L265" s="88"/>
      <c r="M265" s="88"/>
      <c r="N265" s="88"/>
      <c r="O265" s="88"/>
      <c r="P265" s="88"/>
      <c r="Q265" s="88"/>
      <c r="R265" s="88"/>
      <c r="S265" s="88"/>
      <c r="T265" s="88"/>
      <c r="U265" s="88"/>
      <c r="V265" s="88"/>
      <c r="W265" s="88"/>
      <c r="X265" s="88"/>
      <c r="Y265" s="88"/>
      <c r="Z265" s="88"/>
      <c r="AA265" s="88"/>
      <c r="AB265" s="128"/>
      <c r="AC265" s="128"/>
      <c r="AD265" s="128"/>
      <c r="AE265" s="128"/>
      <c r="AF265" s="128"/>
      <c r="AG265" s="128"/>
      <c r="AH265" s="127"/>
    </row>
    <row r="266" spans="1:34" ht="13.2">
      <c r="A266" s="88"/>
      <c r="B266" s="88"/>
      <c r="C266" s="88"/>
      <c r="D266" s="88"/>
      <c r="E266" s="88"/>
      <c r="F266" s="88"/>
      <c r="G266" s="88"/>
      <c r="H266" s="88"/>
      <c r="I266" s="88"/>
      <c r="J266" s="88"/>
      <c r="K266" s="88"/>
      <c r="L266" s="88"/>
      <c r="M266" s="88"/>
      <c r="N266" s="88"/>
      <c r="O266" s="88"/>
      <c r="P266" s="88"/>
      <c r="Q266" s="88"/>
      <c r="R266" s="88"/>
      <c r="S266" s="88"/>
      <c r="T266" s="88"/>
      <c r="U266" s="88"/>
      <c r="V266" s="88"/>
      <c r="W266" s="88"/>
      <c r="X266" s="88"/>
      <c r="Y266" s="88"/>
      <c r="Z266" s="88"/>
      <c r="AA266" s="88"/>
      <c r="AB266" s="128"/>
      <c r="AC266" s="128"/>
      <c r="AD266" s="128"/>
      <c r="AE266" s="128"/>
      <c r="AF266" s="128"/>
      <c r="AG266" s="128"/>
      <c r="AH266" s="127"/>
    </row>
    <row r="267" spans="1:34" ht="13.2">
      <c r="A267" s="88"/>
      <c r="B267" s="88"/>
      <c r="C267" s="88"/>
      <c r="D267" s="88"/>
      <c r="E267" s="88"/>
      <c r="F267" s="88"/>
      <c r="G267" s="88"/>
      <c r="H267" s="88"/>
      <c r="I267" s="88"/>
      <c r="J267" s="88"/>
      <c r="K267" s="88"/>
      <c r="L267" s="88"/>
      <c r="M267" s="88"/>
      <c r="N267" s="88"/>
      <c r="O267" s="88"/>
      <c r="P267" s="88"/>
      <c r="Q267" s="88"/>
      <c r="R267" s="88"/>
      <c r="S267" s="88"/>
      <c r="T267" s="88"/>
      <c r="U267" s="88"/>
      <c r="V267" s="88"/>
      <c r="W267" s="88"/>
      <c r="X267" s="88"/>
      <c r="Y267" s="88"/>
      <c r="Z267" s="88"/>
      <c r="AA267" s="88"/>
      <c r="AB267" s="128"/>
      <c r="AC267" s="128"/>
      <c r="AD267" s="128"/>
      <c r="AE267" s="128"/>
      <c r="AF267" s="128"/>
      <c r="AG267" s="128"/>
      <c r="AH267" s="127"/>
    </row>
    <row r="268" spans="1:34" ht="13.2">
      <c r="A268" s="88"/>
      <c r="B268" s="88"/>
      <c r="C268" s="88"/>
      <c r="D268" s="88"/>
      <c r="E268" s="88"/>
      <c r="F268" s="88"/>
      <c r="G268" s="88"/>
      <c r="H268" s="88"/>
      <c r="I268" s="88"/>
      <c r="J268" s="88"/>
      <c r="K268" s="88"/>
      <c r="L268" s="88"/>
      <c r="M268" s="88"/>
      <c r="N268" s="88"/>
      <c r="O268" s="88"/>
      <c r="P268" s="88"/>
      <c r="Q268" s="88"/>
      <c r="R268" s="88"/>
      <c r="S268" s="88"/>
      <c r="T268" s="88"/>
      <c r="U268" s="88"/>
      <c r="V268" s="88"/>
      <c r="W268" s="88"/>
      <c r="X268" s="88"/>
      <c r="Y268" s="88"/>
      <c r="Z268" s="88"/>
      <c r="AA268" s="88"/>
      <c r="AB268" s="128"/>
      <c r="AC268" s="128"/>
      <c r="AD268" s="128"/>
      <c r="AE268" s="128"/>
      <c r="AF268" s="128"/>
      <c r="AG268" s="128"/>
      <c r="AH268" s="127"/>
    </row>
    <row r="269" spans="1:34" ht="13.2">
      <c r="A269" s="88"/>
      <c r="B269" s="88"/>
      <c r="C269" s="88"/>
      <c r="D269" s="88"/>
      <c r="E269" s="88"/>
      <c r="F269" s="88"/>
      <c r="G269" s="88"/>
      <c r="H269" s="88"/>
      <c r="I269" s="88"/>
      <c r="J269" s="88"/>
      <c r="K269" s="88"/>
      <c r="L269" s="88"/>
      <c r="M269" s="88"/>
      <c r="N269" s="88"/>
      <c r="O269" s="88"/>
      <c r="P269" s="88"/>
      <c r="Q269" s="88"/>
      <c r="R269" s="88"/>
      <c r="S269" s="88"/>
      <c r="T269" s="88"/>
      <c r="U269" s="88"/>
      <c r="V269" s="88"/>
      <c r="W269" s="88"/>
      <c r="X269" s="88"/>
      <c r="Y269" s="88"/>
      <c r="Z269" s="88"/>
      <c r="AA269" s="88"/>
      <c r="AB269" s="128"/>
      <c r="AC269" s="128"/>
      <c r="AD269" s="128"/>
      <c r="AE269" s="128"/>
      <c r="AF269" s="128"/>
      <c r="AG269" s="128"/>
      <c r="AH269" s="127"/>
    </row>
    <row r="270" spans="1:34" ht="13.2">
      <c r="A270" s="88"/>
      <c r="B270" s="88"/>
      <c r="C270" s="88"/>
      <c r="D270" s="88"/>
      <c r="E270" s="88"/>
      <c r="F270" s="88"/>
      <c r="G270" s="88"/>
      <c r="H270" s="88"/>
      <c r="I270" s="88"/>
      <c r="J270" s="88"/>
      <c r="K270" s="88"/>
      <c r="L270" s="88"/>
      <c r="M270" s="88"/>
      <c r="N270" s="88"/>
      <c r="O270" s="88"/>
      <c r="P270" s="88"/>
      <c r="Q270" s="88"/>
      <c r="R270" s="88"/>
      <c r="S270" s="88"/>
      <c r="T270" s="88"/>
      <c r="U270" s="88"/>
      <c r="V270" s="88"/>
      <c r="W270" s="88"/>
      <c r="X270" s="88"/>
      <c r="Y270" s="88"/>
      <c r="Z270" s="88"/>
      <c r="AA270" s="88"/>
      <c r="AB270" s="128"/>
      <c r="AC270" s="128"/>
      <c r="AD270" s="128"/>
      <c r="AE270" s="128"/>
      <c r="AF270" s="128"/>
      <c r="AG270" s="128"/>
      <c r="AH270" s="127"/>
    </row>
    <row r="271" spans="1:34" ht="13.2">
      <c r="A271" s="88"/>
      <c r="B271" s="88"/>
      <c r="C271" s="88"/>
      <c r="D271" s="88"/>
      <c r="E271" s="88"/>
      <c r="F271" s="88"/>
      <c r="G271" s="88"/>
      <c r="H271" s="88"/>
      <c r="I271" s="88"/>
      <c r="J271" s="88"/>
      <c r="K271" s="88"/>
      <c r="L271" s="88"/>
      <c r="M271" s="88"/>
      <c r="N271" s="88"/>
      <c r="O271" s="88"/>
      <c r="P271" s="88"/>
      <c r="Q271" s="88"/>
      <c r="R271" s="88"/>
      <c r="S271" s="88"/>
      <c r="T271" s="88"/>
      <c r="U271" s="88"/>
      <c r="V271" s="88"/>
      <c r="W271" s="88"/>
      <c r="X271" s="88"/>
      <c r="Y271" s="88"/>
      <c r="Z271" s="88"/>
      <c r="AA271" s="88"/>
      <c r="AB271" s="128"/>
      <c r="AC271" s="128"/>
      <c r="AD271" s="128"/>
      <c r="AE271" s="128"/>
      <c r="AF271" s="128"/>
      <c r="AG271" s="128"/>
      <c r="AH271" s="127"/>
    </row>
    <row r="272" spans="1:34" ht="13.2">
      <c r="A272" s="88"/>
      <c r="B272" s="88"/>
      <c r="C272" s="88"/>
      <c r="D272" s="88"/>
      <c r="E272" s="88"/>
      <c r="F272" s="88"/>
      <c r="G272" s="88"/>
      <c r="H272" s="88"/>
      <c r="I272" s="88"/>
      <c r="J272" s="88"/>
      <c r="K272" s="88"/>
      <c r="L272" s="88"/>
      <c r="M272" s="88"/>
      <c r="N272" s="88"/>
      <c r="O272" s="88"/>
      <c r="P272" s="88"/>
      <c r="Q272" s="88"/>
      <c r="R272" s="88"/>
      <c r="S272" s="88"/>
      <c r="T272" s="88"/>
      <c r="U272" s="88"/>
      <c r="V272" s="88"/>
      <c r="W272" s="88"/>
      <c r="X272" s="88"/>
      <c r="Y272" s="88"/>
      <c r="Z272" s="88"/>
      <c r="AA272" s="88"/>
      <c r="AB272" s="128"/>
      <c r="AC272" s="128"/>
      <c r="AD272" s="128"/>
      <c r="AE272" s="128"/>
      <c r="AF272" s="128"/>
      <c r="AG272" s="128"/>
      <c r="AH272" s="127"/>
    </row>
    <row r="273" spans="1:34" ht="13.2">
      <c r="A273" s="88"/>
      <c r="B273" s="88"/>
      <c r="C273" s="88"/>
      <c r="D273" s="88"/>
      <c r="E273" s="88"/>
      <c r="F273" s="88"/>
      <c r="G273" s="88"/>
      <c r="H273" s="88"/>
      <c r="I273" s="88"/>
      <c r="J273" s="88"/>
      <c r="K273" s="88"/>
      <c r="L273" s="88"/>
      <c r="M273" s="88"/>
      <c r="N273" s="88"/>
      <c r="O273" s="88"/>
      <c r="P273" s="88"/>
      <c r="Q273" s="88"/>
      <c r="R273" s="88"/>
      <c r="S273" s="88"/>
      <c r="T273" s="88"/>
      <c r="U273" s="88"/>
      <c r="V273" s="88"/>
      <c r="W273" s="88"/>
      <c r="X273" s="88"/>
      <c r="Y273" s="88"/>
      <c r="Z273" s="88"/>
      <c r="AA273" s="88"/>
      <c r="AB273" s="128"/>
      <c r="AC273" s="128"/>
      <c r="AD273" s="128"/>
      <c r="AE273" s="128"/>
      <c r="AF273" s="128"/>
      <c r="AG273" s="128"/>
      <c r="AH273" s="127"/>
    </row>
    <row r="274" spans="1:34" ht="13.2">
      <c r="A274" s="88"/>
      <c r="B274" s="88"/>
      <c r="C274" s="88"/>
      <c r="D274" s="88"/>
      <c r="E274" s="88"/>
      <c r="F274" s="88"/>
      <c r="G274" s="88"/>
      <c r="H274" s="88"/>
      <c r="I274" s="88"/>
      <c r="J274" s="88"/>
      <c r="K274" s="88"/>
      <c r="L274" s="88"/>
      <c r="M274" s="88"/>
      <c r="N274" s="88"/>
      <c r="O274" s="88"/>
      <c r="P274" s="88"/>
      <c r="Q274" s="88"/>
      <c r="R274" s="88"/>
      <c r="S274" s="88"/>
      <c r="T274" s="88"/>
      <c r="U274" s="88"/>
      <c r="V274" s="88"/>
      <c r="W274" s="88"/>
      <c r="X274" s="88"/>
      <c r="Y274" s="88"/>
      <c r="Z274" s="88"/>
      <c r="AA274" s="88"/>
      <c r="AB274" s="128"/>
      <c r="AC274" s="128"/>
      <c r="AD274" s="128"/>
      <c r="AE274" s="128"/>
      <c r="AF274" s="128"/>
      <c r="AG274" s="128"/>
      <c r="AH274" s="127"/>
    </row>
    <row r="275" spans="1:34" ht="13.2">
      <c r="A275" s="88"/>
      <c r="B275" s="88"/>
      <c r="C275" s="88"/>
      <c r="D275" s="88"/>
      <c r="E275" s="88"/>
      <c r="F275" s="88"/>
      <c r="G275" s="88"/>
      <c r="H275" s="88"/>
      <c r="I275" s="88"/>
      <c r="J275" s="88"/>
      <c r="K275" s="88"/>
      <c r="L275" s="88"/>
      <c r="M275" s="88"/>
      <c r="N275" s="88"/>
      <c r="O275" s="88"/>
      <c r="P275" s="88"/>
      <c r="Q275" s="88"/>
      <c r="R275" s="88"/>
      <c r="S275" s="88"/>
      <c r="T275" s="88"/>
      <c r="U275" s="88"/>
      <c r="V275" s="88"/>
      <c r="W275" s="88"/>
      <c r="X275" s="88"/>
      <c r="Y275" s="88"/>
      <c r="Z275" s="88"/>
      <c r="AA275" s="88"/>
      <c r="AB275" s="128"/>
      <c r="AC275" s="128"/>
      <c r="AD275" s="128"/>
      <c r="AE275" s="128"/>
      <c r="AF275" s="128"/>
      <c r="AG275" s="128"/>
      <c r="AH275" s="127"/>
    </row>
    <row r="276" spans="1:34" ht="13.2">
      <c r="A276" s="88"/>
      <c r="B276" s="88"/>
      <c r="C276" s="88"/>
      <c r="D276" s="88"/>
      <c r="E276" s="88"/>
      <c r="F276" s="88"/>
      <c r="G276" s="88"/>
      <c r="H276" s="88"/>
      <c r="I276" s="88"/>
      <c r="J276" s="88"/>
      <c r="K276" s="88"/>
      <c r="L276" s="88"/>
      <c r="M276" s="88"/>
      <c r="N276" s="88"/>
      <c r="O276" s="88"/>
      <c r="P276" s="88"/>
      <c r="Q276" s="88"/>
      <c r="R276" s="88"/>
      <c r="S276" s="88"/>
      <c r="T276" s="88"/>
      <c r="U276" s="88"/>
      <c r="V276" s="88"/>
      <c r="W276" s="88"/>
      <c r="X276" s="88"/>
      <c r="Y276" s="88"/>
      <c r="Z276" s="88"/>
      <c r="AA276" s="88"/>
      <c r="AB276" s="128"/>
      <c r="AC276" s="128"/>
      <c r="AD276" s="128"/>
      <c r="AE276" s="128"/>
      <c r="AF276" s="128"/>
      <c r="AG276" s="128"/>
      <c r="AH276" s="127"/>
    </row>
    <row r="277" spans="1:34" ht="13.2">
      <c r="A277" s="88"/>
      <c r="B277" s="88"/>
      <c r="C277" s="88"/>
      <c r="D277" s="88"/>
      <c r="E277" s="88"/>
      <c r="F277" s="88"/>
      <c r="G277" s="88"/>
      <c r="H277" s="88"/>
      <c r="I277" s="88"/>
      <c r="J277" s="88"/>
      <c r="K277" s="88"/>
      <c r="L277" s="88"/>
      <c r="M277" s="88"/>
      <c r="N277" s="88"/>
      <c r="O277" s="88"/>
      <c r="P277" s="88"/>
      <c r="Q277" s="88"/>
      <c r="R277" s="88"/>
      <c r="S277" s="88"/>
      <c r="T277" s="88"/>
      <c r="U277" s="88"/>
      <c r="V277" s="88"/>
      <c r="W277" s="88"/>
      <c r="X277" s="88"/>
      <c r="Y277" s="88"/>
      <c r="Z277" s="88"/>
      <c r="AA277" s="88"/>
      <c r="AB277" s="128"/>
      <c r="AC277" s="128"/>
      <c r="AD277" s="128"/>
      <c r="AE277" s="128"/>
      <c r="AF277" s="128"/>
      <c r="AG277" s="128"/>
      <c r="AH277" s="127"/>
    </row>
    <row r="278" spans="1:34" ht="13.2">
      <c r="A278" s="88"/>
      <c r="B278" s="88"/>
      <c r="C278" s="88"/>
      <c r="D278" s="88"/>
      <c r="E278" s="88"/>
      <c r="F278" s="88"/>
      <c r="G278" s="88"/>
      <c r="H278" s="88"/>
      <c r="I278" s="88"/>
      <c r="J278" s="88"/>
      <c r="K278" s="88"/>
      <c r="L278" s="88"/>
      <c r="M278" s="88"/>
      <c r="N278" s="88"/>
      <c r="O278" s="88"/>
      <c r="P278" s="88"/>
      <c r="Q278" s="88"/>
      <c r="R278" s="88"/>
      <c r="S278" s="88"/>
      <c r="T278" s="88"/>
      <c r="U278" s="88"/>
      <c r="V278" s="88"/>
      <c r="W278" s="88"/>
      <c r="X278" s="88"/>
      <c r="Y278" s="88"/>
      <c r="Z278" s="88"/>
      <c r="AA278" s="88"/>
      <c r="AB278" s="128"/>
      <c r="AC278" s="128"/>
      <c r="AD278" s="128"/>
      <c r="AE278" s="128"/>
      <c r="AF278" s="128"/>
      <c r="AG278" s="128"/>
      <c r="AH278" s="127"/>
    </row>
    <row r="279" spans="1:34" ht="13.2">
      <c r="A279" s="88"/>
      <c r="B279" s="88"/>
      <c r="C279" s="88"/>
      <c r="D279" s="88"/>
      <c r="E279" s="88"/>
      <c r="F279" s="88"/>
      <c r="G279" s="88"/>
      <c r="H279" s="88"/>
      <c r="I279" s="88"/>
      <c r="J279" s="88"/>
      <c r="K279" s="88"/>
      <c r="L279" s="88"/>
      <c r="M279" s="88"/>
      <c r="N279" s="88"/>
      <c r="O279" s="88"/>
      <c r="P279" s="88"/>
      <c r="Q279" s="88"/>
      <c r="R279" s="88"/>
      <c r="S279" s="88"/>
      <c r="T279" s="88"/>
      <c r="U279" s="88"/>
      <c r="V279" s="88"/>
      <c r="W279" s="88"/>
      <c r="X279" s="88"/>
      <c r="Y279" s="88"/>
      <c r="Z279" s="88"/>
      <c r="AA279" s="88"/>
      <c r="AB279" s="128"/>
      <c r="AC279" s="128"/>
      <c r="AD279" s="128"/>
      <c r="AE279" s="128"/>
      <c r="AF279" s="128"/>
      <c r="AG279" s="128"/>
      <c r="AH279" s="127"/>
    </row>
    <row r="280" spans="1:34" ht="13.2">
      <c r="A280" s="88"/>
      <c r="B280" s="88"/>
      <c r="C280" s="88"/>
      <c r="D280" s="88"/>
      <c r="E280" s="88"/>
      <c r="F280" s="88"/>
      <c r="G280" s="88"/>
      <c r="H280" s="88"/>
      <c r="I280" s="88"/>
      <c r="J280" s="88"/>
      <c r="K280" s="88"/>
      <c r="L280" s="88"/>
      <c r="M280" s="88"/>
      <c r="N280" s="88"/>
      <c r="O280" s="88"/>
      <c r="P280" s="88"/>
      <c r="Q280" s="88"/>
      <c r="R280" s="88"/>
      <c r="S280" s="88"/>
      <c r="T280" s="88"/>
      <c r="U280" s="88"/>
      <c r="V280" s="88"/>
      <c r="W280" s="88"/>
      <c r="X280" s="88"/>
      <c r="Y280" s="88"/>
      <c r="Z280" s="88"/>
      <c r="AA280" s="88"/>
      <c r="AB280" s="128"/>
      <c r="AC280" s="128"/>
      <c r="AD280" s="128"/>
      <c r="AE280" s="128"/>
      <c r="AF280" s="128"/>
      <c r="AG280" s="128"/>
      <c r="AH280" s="127"/>
    </row>
    <row r="281" spans="1:34" ht="13.2">
      <c r="A281" s="88"/>
      <c r="B281" s="88"/>
      <c r="C281" s="88"/>
      <c r="D281" s="88"/>
      <c r="E281" s="88"/>
      <c r="F281" s="88"/>
      <c r="G281" s="88"/>
      <c r="H281" s="88"/>
      <c r="I281" s="88"/>
      <c r="J281" s="88"/>
      <c r="K281" s="88"/>
      <c r="L281" s="88"/>
      <c r="M281" s="88"/>
      <c r="N281" s="88"/>
      <c r="O281" s="88"/>
      <c r="P281" s="88"/>
      <c r="Q281" s="88"/>
      <c r="R281" s="88"/>
      <c r="S281" s="88"/>
      <c r="T281" s="88"/>
      <c r="U281" s="88"/>
      <c r="V281" s="88"/>
      <c r="W281" s="88"/>
      <c r="X281" s="88"/>
      <c r="Y281" s="88"/>
      <c r="Z281" s="88"/>
      <c r="AA281" s="88"/>
      <c r="AB281" s="128"/>
      <c r="AC281" s="128"/>
      <c r="AD281" s="128"/>
      <c r="AE281" s="128"/>
      <c r="AF281" s="128"/>
      <c r="AG281" s="128"/>
      <c r="AH281" s="127"/>
    </row>
    <row r="282" spans="1:34" ht="13.2">
      <c r="A282" s="88"/>
      <c r="B282" s="88"/>
      <c r="C282" s="88"/>
      <c r="D282" s="88"/>
      <c r="E282" s="88"/>
      <c r="F282" s="88"/>
      <c r="G282" s="88"/>
      <c r="H282" s="88"/>
      <c r="I282" s="88"/>
      <c r="J282" s="88"/>
      <c r="K282" s="88"/>
      <c r="L282" s="88"/>
      <c r="M282" s="88"/>
      <c r="N282" s="88"/>
      <c r="O282" s="88"/>
      <c r="P282" s="88"/>
      <c r="Q282" s="88"/>
      <c r="R282" s="88"/>
      <c r="S282" s="88"/>
      <c r="T282" s="88"/>
      <c r="U282" s="88"/>
      <c r="V282" s="88"/>
      <c r="W282" s="88"/>
      <c r="X282" s="88"/>
      <c r="Y282" s="88"/>
      <c r="Z282" s="88"/>
      <c r="AA282" s="88"/>
      <c r="AB282" s="128"/>
      <c r="AC282" s="128"/>
      <c r="AD282" s="128"/>
      <c r="AE282" s="128"/>
      <c r="AF282" s="128"/>
      <c r="AG282" s="128"/>
      <c r="AH282" s="127"/>
    </row>
    <row r="283" spans="1:34" ht="13.2">
      <c r="A283" s="88"/>
      <c r="B283" s="88"/>
      <c r="C283" s="88"/>
      <c r="D283" s="88"/>
      <c r="E283" s="88"/>
      <c r="F283" s="88"/>
      <c r="G283" s="88"/>
      <c r="H283" s="88"/>
      <c r="I283" s="88"/>
      <c r="J283" s="88"/>
      <c r="K283" s="88"/>
      <c r="L283" s="88"/>
      <c r="M283" s="88"/>
      <c r="N283" s="88"/>
      <c r="O283" s="88"/>
      <c r="P283" s="88"/>
      <c r="Q283" s="88"/>
      <c r="R283" s="88"/>
      <c r="S283" s="88"/>
      <c r="T283" s="88"/>
      <c r="U283" s="88"/>
      <c r="V283" s="88"/>
      <c r="W283" s="88"/>
      <c r="X283" s="88"/>
      <c r="Y283" s="88"/>
      <c r="Z283" s="88"/>
      <c r="AA283" s="88"/>
      <c r="AB283" s="128"/>
      <c r="AC283" s="128"/>
      <c r="AD283" s="128"/>
      <c r="AE283" s="128"/>
      <c r="AF283" s="128"/>
      <c r="AG283" s="128"/>
      <c r="AH283" s="127"/>
    </row>
    <row r="284" spans="1:34" ht="13.2">
      <c r="A284" s="88"/>
      <c r="B284" s="88"/>
      <c r="C284" s="88"/>
      <c r="D284" s="88"/>
      <c r="E284" s="88"/>
      <c r="F284" s="88"/>
      <c r="G284" s="88"/>
      <c r="H284" s="88"/>
      <c r="I284" s="88"/>
      <c r="J284" s="88"/>
      <c r="K284" s="88"/>
      <c r="L284" s="88"/>
      <c r="M284" s="88"/>
      <c r="N284" s="88"/>
      <c r="O284" s="88"/>
      <c r="P284" s="88"/>
      <c r="Q284" s="88"/>
      <c r="R284" s="88"/>
      <c r="S284" s="88"/>
      <c r="T284" s="88"/>
      <c r="U284" s="88"/>
      <c r="V284" s="88"/>
      <c r="W284" s="88"/>
      <c r="X284" s="88"/>
      <c r="Y284" s="88"/>
      <c r="Z284" s="88"/>
      <c r="AA284" s="88"/>
      <c r="AB284" s="128"/>
      <c r="AC284" s="128"/>
      <c r="AD284" s="128"/>
      <c r="AE284" s="128"/>
      <c r="AF284" s="128"/>
      <c r="AG284" s="128"/>
      <c r="AH284" s="127"/>
    </row>
    <row r="285" spans="1:34" ht="13.2">
      <c r="A285" s="88"/>
      <c r="B285" s="88"/>
      <c r="C285" s="88"/>
      <c r="D285" s="88"/>
      <c r="E285" s="88"/>
      <c r="F285" s="88"/>
      <c r="G285" s="88"/>
      <c r="H285" s="88"/>
      <c r="I285" s="88"/>
      <c r="J285" s="88"/>
      <c r="K285" s="88"/>
      <c r="L285" s="88"/>
      <c r="M285" s="88"/>
      <c r="N285" s="88"/>
      <c r="O285" s="88"/>
      <c r="P285" s="88"/>
      <c r="Q285" s="88"/>
      <c r="R285" s="88"/>
      <c r="S285" s="88"/>
      <c r="T285" s="88"/>
      <c r="U285" s="88"/>
      <c r="V285" s="88"/>
      <c r="W285" s="88"/>
      <c r="X285" s="88"/>
      <c r="Y285" s="88"/>
      <c r="Z285" s="88"/>
      <c r="AA285" s="88"/>
      <c r="AB285" s="128"/>
      <c r="AC285" s="128"/>
      <c r="AD285" s="128"/>
      <c r="AE285" s="128"/>
      <c r="AF285" s="128"/>
      <c r="AG285" s="128"/>
      <c r="AH285" s="127"/>
    </row>
    <row r="286" spans="1:34" ht="13.2">
      <c r="A286" s="88"/>
      <c r="B286" s="88"/>
      <c r="C286" s="88"/>
      <c r="D286" s="88"/>
      <c r="E286" s="88"/>
      <c r="F286" s="88"/>
      <c r="G286" s="88"/>
      <c r="H286" s="88"/>
      <c r="I286" s="88"/>
      <c r="J286" s="88"/>
      <c r="K286" s="88"/>
      <c r="L286" s="88"/>
      <c r="M286" s="88"/>
      <c r="N286" s="88"/>
      <c r="O286" s="88"/>
      <c r="P286" s="88"/>
      <c r="Q286" s="88"/>
      <c r="R286" s="88"/>
      <c r="S286" s="88"/>
      <c r="T286" s="88"/>
      <c r="U286" s="88"/>
      <c r="V286" s="88"/>
      <c r="W286" s="88"/>
      <c r="X286" s="88"/>
      <c r="Y286" s="88"/>
      <c r="Z286" s="88"/>
      <c r="AA286" s="88"/>
      <c r="AB286" s="128"/>
      <c r="AC286" s="128"/>
      <c r="AD286" s="128"/>
      <c r="AE286" s="128"/>
      <c r="AF286" s="128"/>
      <c r="AG286" s="128"/>
      <c r="AH286" s="127"/>
    </row>
    <row r="287" spans="1:34" ht="13.2">
      <c r="A287" s="88"/>
      <c r="B287" s="88"/>
      <c r="C287" s="88"/>
      <c r="D287" s="88"/>
      <c r="E287" s="88"/>
      <c r="F287" s="88"/>
      <c r="G287" s="88"/>
      <c r="H287" s="88"/>
      <c r="I287" s="88"/>
      <c r="J287" s="88"/>
      <c r="K287" s="88"/>
      <c r="L287" s="88"/>
      <c r="M287" s="88"/>
      <c r="N287" s="88"/>
      <c r="O287" s="88"/>
      <c r="P287" s="88"/>
      <c r="Q287" s="88"/>
      <c r="R287" s="88"/>
      <c r="S287" s="88"/>
      <c r="T287" s="88"/>
      <c r="U287" s="88"/>
      <c r="V287" s="88"/>
      <c r="W287" s="88"/>
      <c r="X287" s="88"/>
      <c r="Y287" s="88"/>
      <c r="Z287" s="88"/>
      <c r="AA287" s="88"/>
      <c r="AB287" s="128"/>
      <c r="AC287" s="128"/>
      <c r="AD287" s="128"/>
      <c r="AE287" s="128"/>
      <c r="AF287" s="128"/>
      <c r="AG287" s="128"/>
      <c r="AH287" s="127"/>
    </row>
    <row r="288" spans="1:34" ht="13.2">
      <c r="A288" s="88"/>
      <c r="B288" s="88"/>
      <c r="C288" s="88"/>
      <c r="D288" s="88"/>
      <c r="E288" s="88"/>
      <c r="F288" s="88"/>
      <c r="G288" s="88"/>
      <c r="H288" s="88"/>
      <c r="I288" s="88"/>
      <c r="J288" s="88"/>
      <c r="K288" s="88"/>
      <c r="L288" s="88"/>
      <c r="M288" s="88"/>
      <c r="N288" s="88"/>
      <c r="O288" s="88"/>
      <c r="P288" s="88"/>
      <c r="Q288" s="88"/>
      <c r="R288" s="88"/>
      <c r="S288" s="88"/>
      <c r="T288" s="88"/>
      <c r="U288" s="88"/>
      <c r="V288" s="88"/>
      <c r="W288" s="88"/>
      <c r="X288" s="88"/>
      <c r="Y288" s="88"/>
      <c r="Z288" s="88"/>
      <c r="AA288" s="88"/>
      <c r="AB288" s="128"/>
      <c r="AC288" s="128"/>
      <c r="AD288" s="128"/>
      <c r="AE288" s="128"/>
      <c r="AF288" s="128"/>
      <c r="AG288" s="128"/>
      <c r="AH288" s="127"/>
    </row>
    <row r="289" spans="1:34" ht="13.2">
      <c r="A289" s="88"/>
      <c r="B289" s="88"/>
      <c r="C289" s="88"/>
      <c r="D289" s="88"/>
      <c r="E289" s="88"/>
      <c r="F289" s="88"/>
      <c r="G289" s="88"/>
      <c r="H289" s="88"/>
      <c r="I289" s="88"/>
      <c r="J289" s="88"/>
      <c r="K289" s="88"/>
      <c r="L289" s="88"/>
      <c r="M289" s="88"/>
      <c r="N289" s="88"/>
      <c r="O289" s="88"/>
      <c r="P289" s="88"/>
      <c r="Q289" s="88"/>
      <c r="R289" s="88"/>
      <c r="S289" s="88"/>
      <c r="T289" s="88"/>
      <c r="U289" s="88"/>
      <c r="V289" s="88"/>
      <c r="W289" s="88"/>
      <c r="X289" s="88"/>
      <c r="Y289" s="88"/>
      <c r="Z289" s="88"/>
      <c r="AA289" s="88"/>
      <c r="AB289" s="128"/>
      <c r="AC289" s="128"/>
      <c r="AD289" s="128"/>
      <c r="AE289" s="128"/>
      <c r="AF289" s="128"/>
      <c r="AG289" s="128"/>
      <c r="AH289" s="127"/>
    </row>
    <row r="290" spans="1:34" ht="13.2">
      <c r="A290" s="88"/>
      <c r="B290" s="88"/>
      <c r="C290" s="88"/>
      <c r="D290" s="88"/>
      <c r="E290" s="88"/>
      <c r="F290" s="88"/>
      <c r="G290" s="88"/>
      <c r="H290" s="88"/>
      <c r="I290" s="88"/>
      <c r="J290" s="88"/>
      <c r="K290" s="88"/>
      <c r="L290" s="88"/>
      <c r="M290" s="88"/>
      <c r="N290" s="88"/>
      <c r="O290" s="88"/>
      <c r="P290" s="88"/>
      <c r="Q290" s="88"/>
      <c r="R290" s="88"/>
      <c r="S290" s="88"/>
      <c r="T290" s="88"/>
      <c r="U290" s="88"/>
      <c r="V290" s="88"/>
      <c r="W290" s="88"/>
      <c r="X290" s="88"/>
      <c r="Y290" s="88"/>
      <c r="Z290" s="88"/>
      <c r="AA290" s="88"/>
      <c r="AB290" s="128"/>
      <c r="AC290" s="128"/>
      <c r="AD290" s="128"/>
      <c r="AE290" s="128"/>
      <c r="AF290" s="128"/>
      <c r="AG290" s="128"/>
      <c r="AH290" s="127"/>
    </row>
    <row r="291" spans="1:34" ht="13.2">
      <c r="A291" s="88"/>
      <c r="B291" s="88"/>
      <c r="C291" s="88"/>
      <c r="D291" s="88"/>
      <c r="E291" s="88"/>
      <c r="F291" s="88"/>
      <c r="G291" s="88"/>
      <c r="H291" s="88"/>
      <c r="I291" s="88"/>
      <c r="J291" s="88"/>
      <c r="K291" s="88"/>
      <c r="L291" s="88"/>
      <c r="M291" s="88"/>
      <c r="N291" s="88"/>
      <c r="O291" s="88"/>
      <c r="P291" s="88"/>
      <c r="Q291" s="88"/>
      <c r="R291" s="88"/>
      <c r="S291" s="88"/>
      <c r="T291" s="88"/>
      <c r="U291" s="88"/>
      <c r="V291" s="88"/>
      <c r="W291" s="88"/>
      <c r="X291" s="88"/>
      <c r="Y291" s="88"/>
      <c r="Z291" s="88"/>
      <c r="AA291" s="88"/>
      <c r="AB291" s="128"/>
      <c r="AC291" s="128"/>
      <c r="AD291" s="128"/>
      <c r="AE291" s="128"/>
      <c r="AF291" s="128"/>
      <c r="AG291" s="128"/>
      <c r="AH291" s="127"/>
    </row>
    <row r="292" spans="1:34" ht="13.2">
      <c r="A292" s="88"/>
      <c r="B292" s="88"/>
      <c r="C292" s="88"/>
      <c r="D292" s="88"/>
      <c r="E292" s="88"/>
      <c r="F292" s="88"/>
      <c r="G292" s="88"/>
      <c r="H292" s="88"/>
      <c r="I292" s="88"/>
      <c r="J292" s="88"/>
      <c r="K292" s="88"/>
      <c r="L292" s="88"/>
      <c r="M292" s="88"/>
      <c r="N292" s="88"/>
      <c r="O292" s="88"/>
      <c r="P292" s="88"/>
      <c r="Q292" s="88"/>
      <c r="R292" s="88"/>
      <c r="S292" s="88"/>
      <c r="T292" s="88"/>
      <c r="U292" s="88"/>
      <c r="V292" s="88"/>
      <c r="W292" s="88"/>
      <c r="X292" s="88"/>
      <c r="Y292" s="88"/>
      <c r="Z292" s="88"/>
      <c r="AA292" s="88"/>
      <c r="AB292" s="128"/>
      <c r="AC292" s="128"/>
      <c r="AD292" s="128"/>
      <c r="AE292" s="128"/>
      <c r="AF292" s="128"/>
      <c r="AG292" s="128"/>
      <c r="AH292" s="127"/>
    </row>
    <row r="293" spans="1:34" ht="13.2">
      <c r="A293" s="88"/>
      <c r="B293" s="88"/>
      <c r="C293" s="88"/>
      <c r="D293" s="88"/>
      <c r="E293" s="88"/>
      <c r="F293" s="88"/>
      <c r="G293" s="88"/>
      <c r="H293" s="88"/>
      <c r="I293" s="88"/>
      <c r="J293" s="88"/>
      <c r="K293" s="88"/>
      <c r="L293" s="88"/>
      <c r="M293" s="88"/>
      <c r="N293" s="88"/>
      <c r="O293" s="88"/>
      <c r="P293" s="88"/>
      <c r="Q293" s="88"/>
      <c r="R293" s="88"/>
      <c r="S293" s="88"/>
      <c r="T293" s="88"/>
      <c r="U293" s="88"/>
      <c r="V293" s="88"/>
      <c r="W293" s="88"/>
      <c r="X293" s="88"/>
      <c r="Y293" s="88"/>
      <c r="Z293" s="88"/>
      <c r="AA293" s="88"/>
      <c r="AB293" s="128"/>
      <c r="AC293" s="128"/>
      <c r="AD293" s="128"/>
      <c r="AE293" s="128"/>
      <c r="AF293" s="128"/>
      <c r="AG293" s="128"/>
      <c r="AH293" s="127"/>
    </row>
    <row r="294" spans="1:34" ht="13.2">
      <c r="A294" s="88"/>
      <c r="B294" s="88"/>
      <c r="C294" s="88"/>
      <c r="D294" s="88"/>
      <c r="E294" s="88"/>
      <c r="F294" s="88"/>
      <c r="G294" s="88"/>
      <c r="H294" s="88"/>
      <c r="I294" s="88"/>
      <c r="J294" s="88"/>
      <c r="K294" s="88"/>
      <c r="L294" s="88"/>
      <c r="M294" s="88"/>
      <c r="N294" s="88"/>
      <c r="O294" s="88"/>
      <c r="P294" s="88"/>
      <c r="Q294" s="88"/>
      <c r="R294" s="88"/>
      <c r="S294" s="88"/>
      <c r="T294" s="88"/>
      <c r="U294" s="88"/>
      <c r="V294" s="88"/>
      <c r="W294" s="88"/>
      <c r="X294" s="88"/>
      <c r="Y294" s="88"/>
      <c r="Z294" s="88"/>
      <c r="AA294" s="88"/>
      <c r="AB294" s="128"/>
      <c r="AC294" s="128"/>
      <c r="AD294" s="128"/>
      <c r="AE294" s="128"/>
      <c r="AF294" s="128"/>
      <c r="AG294" s="128"/>
      <c r="AH294" s="127"/>
    </row>
    <row r="295" spans="1:34" ht="13.2">
      <c r="A295" s="88"/>
      <c r="B295" s="88"/>
      <c r="C295" s="88"/>
      <c r="D295" s="88"/>
      <c r="E295" s="88"/>
      <c r="F295" s="88"/>
      <c r="G295" s="88"/>
      <c r="H295" s="88"/>
      <c r="I295" s="88"/>
      <c r="J295" s="88"/>
      <c r="K295" s="88"/>
      <c r="L295" s="88"/>
      <c r="M295" s="88"/>
      <c r="N295" s="88"/>
      <c r="O295" s="88"/>
      <c r="P295" s="88"/>
      <c r="Q295" s="88"/>
      <c r="R295" s="88"/>
      <c r="S295" s="88"/>
      <c r="T295" s="88"/>
      <c r="U295" s="88"/>
      <c r="V295" s="88"/>
      <c r="W295" s="88"/>
      <c r="X295" s="88"/>
      <c r="Y295" s="88"/>
      <c r="Z295" s="88"/>
      <c r="AA295" s="88"/>
      <c r="AB295" s="128"/>
      <c r="AC295" s="128"/>
      <c r="AD295" s="128"/>
      <c r="AE295" s="128"/>
      <c r="AF295" s="128"/>
      <c r="AG295" s="128"/>
      <c r="AH295" s="127"/>
    </row>
    <row r="296" spans="1:34" ht="13.2">
      <c r="A296" s="88"/>
      <c r="B296" s="88"/>
      <c r="C296" s="88"/>
      <c r="D296" s="88"/>
      <c r="E296" s="88"/>
      <c r="F296" s="88"/>
      <c r="G296" s="88"/>
      <c r="H296" s="88"/>
      <c r="I296" s="88"/>
      <c r="J296" s="88"/>
      <c r="K296" s="88"/>
      <c r="L296" s="88"/>
      <c r="M296" s="88"/>
      <c r="N296" s="88"/>
      <c r="O296" s="88"/>
      <c r="P296" s="88"/>
      <c r="Q296" s="88"/>
      <c r="R296" s="88"/>
      <c r="S296" s="88"/>
      <c r="T296" s="88"/>
      <c r="U296" s="88"/>
      <c r="V296" s="88"/>
      <c r="W296" s="88"/>
      <c r="X296" s="88"/>
      <c r="Y296" s="88"/>
      <c r="Z296" s="88"/>
      <c r="AA296" s="88"/>
      <c r="AB296" s="128"/>
      <c r="AC296" s="128"/>
      <c r="AD296" s="128"/>
      <c r="AE296" s="128"/>
      <c r="AF296" s="128"/>
      <c r="AG296" s="128"/>
      <c r="AH296" s="127"/>
    </row>
    <row r="297" spans="1:34" ht="13.2">
      <c r="A297" s="88"/>
      <c r="B297" s="88"/>
      <c r="C297" s="88"/>
      <c r="D297" s="88"/>
      <c r="E297" s="88"/>
      <c r="F297" s="88"/>
      <c r="G297" s="88"/>
      <c r="H297" s="88"/>
      <c r="I297" s="88"/>
      <c r="J297" s="88"/>
      <c r="K297" s="88"/>
      <c r="L297" s="88"/>
      <c r="M297" s="88"/>
      <c r="N297" s="88"/>
      <c r="O297" s="88"/>
      <c r="P297" s="88"/>
      <c r="Q297" s="88"/>
      <c r="R297" s="88"/>
      <c r="S297" s="88"/>
      <c r="T297" s="88"/>
      <c r="U297" s="88"/>
      <c r="V297" s="88"/>
      <c r="W297" s="88"/>
      <c r="X297" s="88"/>
      <c r="Y297" s="88"/>
      <c r="Z297" s="88"/>
      <c r="AA297" s="88"/>
      <c r="AB297" s="128"/>
      <c r="AC297" s="128"/>
      <c r="AD297" s="128"/>
      <c r="AE297" s="128"/>
      <c r="AF297" s="128"/>
      <c r="AG297" s="128"/>
      <c r="AH297" s="127"/>
    </row>
    <row r="298" spans="1:34" ht="13.2">
      <c r="A298" s="88"/>
      <c r="B298" s="88"/>
      <c r="C298" s="88"/>
      <c r="D298" s="88"/>
      <c r="E298" s="88"/>
      <c r="F298" s="88"/>
      <c r="G298" s="88"/>
      <c r="H298" s="88"/>
      <c r="I298" s="88"/>
      <c r="J298" s="88"/>
      <c r="K298" s="88"/>
      <c r="L298" s="88"/>
      <c r="M298" s="88"/>
      <c r="N298" s="88"/>
      <c r="O298" s="88"/>
      <c r="P298" s="88"/>
      <c r="Q298" s="88"/>
      <c r="R298" s="88"/>
      <c r="S298" s="88"/>
      <c r="T298" s="88"/>
      <c r="U298" s="88"/>
      <c r="V298" s="88"/>
      <c r="W298" s="88"/>
      <c r="X298" s="88"/>
      <c r="Y298" s="88"/>
      <c r="Z298" s="88"/>
      <c r="AA298" s="88"/>
      <c r="AB298" s="128"/>
      <c r="AC298" s="128"/>
      <c r="AD298" s="128"/>
      <c r="AE298" s="128"/>
      <c r="AF298" s="128"/>
      <c r="AG298" s="128"/>
      <c r="AH298" s="127"/>
    </row>
    <row r="299" spans="1:34" ht="13.2">
      <c r="A299" s="88"/>
      <c r="B299" s="88"/>
      <c r="C299" s="88"/>
      <c r="D299" s="88"/>
      <c r="E299" s="88"/>
      <c r="F299" s="88"/>
      <c r="G299" s="88"/>
      <c r="H299" s="88"/>
      <c r="I299" s="88"/>
      <c r="J299" s="88"/>
      <c r="K299" s="88"/>
      <c r="L299" s="88"/>
      <c r="M299" s="88"/>
      <c r="N299" s="88"/>
      <c r="O299" s="88"/>
      <c r="P299" s="88"/>
      <c r="Q299" s="88"/>
      <c r="R299" s="88"/>
      <c r="S299" s="88"/>
      <c r="T299" s="88"/>
      <c r="U299" s="88"/>
      <c r="V299" s="88"/>
      <c r="W299" s="88"/>
      <c r="X299" s="88"/>
      <c r="Y299" s="88"/>
      <c r="Z299" s="88"/>
      <c r="AA299" s="88"/>
      <c r="AB299" s="128"/>
      <c r="AC299" s="128"/>
      <c r="AD299" s="128"/>
      <c r="AE299" s="128"/>
      <c r="AF299" s="128"/>
      <c r="AG299" s="128"/>
      <c r="AH299" s="127"/>
    </row>
    <row r="300" spans="1:34" ht="13.2">
      <c r="A300" s="88"/>
      <c r="B300" s="88"/>
      <c r="C300" s="88"/>
      <c r="D300" s="88"/>
      <c r="E300" s="88"/>
      <c r="F300" s="88"/>
      <c r="G300" s="88"/>
      <c r="H300" s="88"/>
      <c r="I300" s="88"/>
      <c r="J300" s="88"/>
      <c r="K300" s="88"/>
      <c r="L300" s="88"/>
      <c r="M300" s="88"/>
      <c r="N300" s="88"/>
      <c r="O300" s="88"/>
      <c r="P300" s="88"/>
      <c r="Q300" s="88"/>
      <c r="R300" s="88"/>
      <c r="S300" s="88"/>
      <c r="T300" s="88"/>
      <c r="U300" s="88"/>
      <c r="V300" s="88"/>
      <c r="W300" s="88"/>
      <c r="X300" s="88"/>
      <c r="Y300" s="88"/>
      <c r="Z300" s="88"/>
      <c r="AA300" s="88"/>
      <c r="AB300" s="128"/>
      <c r="AC300" s="128"/>
      <c r="AD300" s="128"/>
      <c r="AE300" s="128"/>
      <c r="AF300" s="128"/>
      <c r="AG300" s="128"/>
      <c r="AH300" s="127"/>
    </row>
    <row r="301" spans="1:34" ht="13.2">
      <c r="A301" s="88"/>
      <c r="B301" s="88"/>
      <c r="C301" s="88"/>
      <c r="D301" s="88"/>
      <c r="E301" s="88"/>
      <c r="F301" s="88"/>
      <c r="G301" s="88"/>
      <c r="H301" s="88"/>
      <c r="I301" s="88"/>
      <c r="J301" s="88"/>
      <c r="K301" s="88"/>
      <c r="L301" s="88"/>
      <c r="M301" s="88"/>
      <c r="N301" s="88"/>
      <c r="O301" s="88"/>
      <c r="P301" s="88"/>
      <c r="Q301" s="88"/>
      <c r="R301" s="88"/>
      <c r="S301" s="88"/>
      <c r="T301" s="88"/>
      <c r="U301" s="88"/>
      <c r="V301" s="88"/>
      <c r="W301" s="88"/>
      <c r="X301" s="88"/>
      <c r="Y301" s="88"/>
      <c r="Z301" s="88"/>
      <c r="AA301" s="88"/>
      <c r="AB301" s="128"/>
      <c r="AC301" s="128"/>
      <c r="AD301" s="128"/>
      <c r="AE301" s="128"/>
      <c r="AF301" s="128"/>
      <c r="AG301" s="128"/>
      <c r="AH301" s="127"/>
    </row>
    <row r="302" spans="1:34" ht="13.2">
      <c r="A302" s="88"/>
      <c r="B302" s="88"/>
      <c r="C302" s="88"/>
      <c r="D302" s="88"/>
      <c r="E302" s="88"/>
      <c r="F302" s="88"/>
      <c r="G302" s="88"/>
      <c r="H302" s="88"/>
      <c r="I302" s="88"/>
      <c r="J302" s="88"/>
      <c r="K302" s="88"/>
      <c r="L302" s="88"/>
      <c r="M302" s="88"/>
      <c r="N302" s="88"/>
      <c r="O302" s="88"/>
      <c r="P302" s="88"/>
      <c r="Q302" s="88"/>
      <c r="R302" s="88"/>
      <c r="S302" s="88"/>
      <c r="T302" s="88"/>
      <c r="U302" s="88"/>
      <c r="V302" s="88"/>
      <c r="W302" s="88"/>
      <c r="X302" s="88"/>
      <c r="Y302" s="88"/>
      <c r="Z302" s="88"/>
      <c r="AA302" s="88"/>
      <c r="AB302" s="128"/>
      <c r="AC302" s="128"/>
      <c r="AD302" s="128"/>
      <c r="AE302" s="128"/>
      <c r="AF302" s="128"/>
      <c r="AG302" s="128"/>
      <c r="AH302" s="127"/>
    </row>
    <row r="303" spans="1:34" ht="13.2">
      <c r="A303" s="88"/>
      <c r="B303" s="88"/>
      <c r="C303" s="88"/>
      <c r="D303" s="88"/>
      <c r="E303" s="88"/>
      <c r="F303" s="88"/>
      <c r="G303" s="88"/>
      <c r="H303" s="88"/>
      <c r="I303" s="88"/>
      <c r="J303" s="88"/>
      <c r="K303" s="88"/>
      <c r="L303" s="88"/>
      <c r="M303" s="88"/>
      <c r="N303" s="88"/>
      <c r="O303" s="88"/>
      <c r="P303" s="88"/>
      <c r="Q303" s="88"/>
      <c r="R303" s="88"/>
      <c r="S303" s="88"/>
      <c r="T303" s="88"/>
      <c r="U303" s="88"/>
      <c r="V303" s="88"/>
      <c r="W303" s="88"/>
      <c r="X303" s="88"/>
      <c r="Y303" s="88"/>
      <c r="Z303" s="88"/>
      <c r="AA303" s="88"/>
      <c r="AB303" s="128"/>
      <c r="AC303" s="128"/>
      <c r="AD303" s="128"/>
      <c r="AE303" s="128"/>
      <c r="AF303" s="128"/>
      <c r="AG303" s="128"/>
      <c r="AH303" s="127"/>
    </row>
    <row r="304" spans="1:34" ht="13.2">
      <c r="A304" s="88"/>
      <c r="B304" s="88"/>
      <c r="C304" s="88"/>
      <c r="D304" s="88"/>
      <c r="E304" s="88"/>
      <c r="F304" s="88"/>
      <c r="G304" s="88"/>
      <c r="H304" s="88"/>
      <c r="I304" s="88"/>
      <c r="J304" s="88"/>
      <c r="K304" s="88"/>
      <c r="L304" s="88"/>
      <c r="M304" s="88"/>
      <c r="N304" s="88"/>
      <c r="O304" s="88"/>
      <c r="P304" s="88"/>
      <c r="Q304" s="88"/>
      <c r="R304" s="88"/>
      <c r="S304" s="88"/>
      <c r="T304" s="88"/>
      <c r="U304" s="88"/>
      <c r="V304" s="88"/>
      <c r="W304" s="88"/>
      <c r="X304" s="88"/>
      <c r="Y304" s="88"/>
      <c r="Z304" s="88"/>
      <c r="AA304" s="88"/>
      <c r="AB304" s="128"/>
      <c r="AC304" s="128"/>
      <c r="AD304" s="128"/>
      <c r="AE304" s="128"/>
      <c r="AF304" s="128"/>
      <c r="AG304" s="128"/>
      <c r="AH304" s="127"/>
    </row>
    <row r="305" spans="1:34" ht="13.2">
      <c r="A305" s="88"/>
      <c r="B305" s="88"/>
      <c r="C305" s="88"/>
      <c r="D305" s="88"/>
      <c r="E305" s="88"/>
      <c r="F305" s="88"/>
      <c r="G305" s="88"/>
      <c r="H305" s="88"/>
      <c r="I305" s="88"/>
      <c r="J305" s="88"/>
      <c r="K305" s="88"/>
      <c r="L305" s="88"/>
      <c r="M305" s="88"/>
      <c r="N305" s="88"/>
      <c r="O305" s="88"/>
      <c r="P305" s="88"/>
      <c r="Q305" s="88"/>
      <c r="R305" s="88"/>
      <c r="S305" s="88"/>
      <c r="T305" s="88"/>
      <c r="U305" s="88"/>
      <c r="V305" s="88"/>
      <c r="W305" s="88"/>
      <c r="X305" s="88"/>
      <c r="Y305" s="88"/>
      <c r="Z305" s="88"/>
      <c r="AA305" s="88"/>
      <c r="AB305" s="128"/>
      <c r="AC305" s="128"/>
      <c r="AD305" s="128"/>
      <c r="AE305" s="128"/>
      <c r="AF305" s="128"/>
      <c r="AG305" s="128"/>
      <c r="AH305" s="127"/>
    </row>
    <row r="306" spans="1:34" ht="13.2">
      <c r="A306" s="88"/>
      <c r="B306" s="88"/>
      <c r="C306" s="88"/>
      <c r="D306" s="88"/>
      <c r="E306" s="88"/>
      <c r="F306" s="88"/>
      <c r="G306" s="88"/>
      <c r="H306" s="88"/>
      <c r="I306" s="88"/>
      <c r="J306" s="88"/>
      <c r="K306" s="88"/>
      <c r="L306" s="88"/>
      <c r="M306" s="88"/>
      <c r="N306" s="88"/>
      <c r="O306" s="88"/>
      <c r="P306" s="88"/>
      <c r="Q306" s="88"/>
      <c r="R306" s="88"/>
      <c r="S306" s="88"/>
      <c r="T306" s="88"/>
      <c r="U306" s="88"/>
      <c r="V306" s="88"/>
      <c r="W306" s="88"/>
      <c r="X306" s="88"/>
      <c r="Y306" s="88"/>
      <c r="Z306" s="88"/>
      <c r="AA306" s="88"/>
      <c r="AB306" s="128"/>
      <c r="AC306" s="128"/>
      <c r="AD306" s="128"/>
      <c r="AE306" s="128"/>
      <c r="AF306" s="128"/>
      <c r="AG306" s="128"/>
      <c r="AH306" s="127"/>
    </row>
    <row r="307" spans="1:34" ht="13.2">
      <c r="A307" s="88"/>
      <c r="B307" s="88"/>
      <c r="C307" s="88"/>
      <c r="D307" s="88"/>
      <c r="E307" s="88"/>
      <c r="F307" s="88"/>
      <c r="G307" s="88"/>
      <c r="H307" s="88"/>
      <c r="I307" s="88"/>
      <c r="J307" s="88"/>
      <c r="K307" s="88"/>
      <c r="L307" s="88"/>
      <c r="M307" s="88"/>
      <c r="N307" s="88"/>
      <c r="O307" s="88"/>
      <c r="P307" s="88"/>
      <c r="Q307" s="88"/>
      <c r="R307" s="88"/>
      <c r="S307" s="88"/>
      <c r="T307" s="88"/>
      <c r="U307" s="88"/>
      <c r="V307" s="88"/>
      <c r="W307" s="88"/>
      <c r="X307" s="88"/>
      <c r="Y307" s="88"/>
      <c r="Z307" s="88"/>
      <c r="AA307" s="88"/>
      <c r="AB307" s="128"/>
      <c r="AC307" s="128"/>
      <c r="AD307" s="128"/>
      <c r="AE307" s="128"/>
      <c r="AF307" s="128"/>
      <c r="AG307" s="128"/>
      <c r="AH307" s="127"/>
    </row>
    <row r="308" spans="1:34" ht="13.2">
      <c r="A308" s="88"/>
      <c r="B308" s="88"/>
      <c r="C308" s="88"/>
      <c r="D308" s="88"/>
      <c r="E308" s="88"/>
      <c r="F308" s="88"/>
      <c r="G308" s="88"/>
      <c r="H308" s="88"/>
      <c r="I308" s="88"/>
      <c r="J308" s="88"/>
      <c r="K308" s="88"/>
      <c r="L308" s="88"/>
      <c r="M308" s="88"/>
      <c r="N308" s="88"/>
      <c r="O308" s="88"/>
      <c r="P308" s="88"/>
      <c r="Q308" s="88"/>
      <c r="R308" s="88"/>
      <c r="S308" s="88"/>
      <c r="T308" s="88"/>
      <c r="U308" s="88"/>
      <c r="V308" s="88"/>
      <c r="W308" s="88"/>
      <c r="X308" s="88"/>
      <c r="Y308" s="88"/>
      <c r="Z308" s="88"/>
      <c r="AA308" s="88"/>
      <c r="AB308" s="128"/>
      <c r="AC308" s="128"/>
      <c r="AD308" s="128"/>
      <c r="AE308" s="128"/>
      <c r="AF308" s="128"/>
      <c r="AG308" s="128"/>
      <c r="AH308" s="127"/>
    </row>
    <row r="309" spans="1:34" ht="13.2">
      <c r="A309" s="88"/>
      <c r="B309" s="88"/>
      <c r="C309" s="88"/>
      <c r="D309" s="88"/>
      <c r="E309" s="88"/>
      <c r="F309" s="88"/>
      <c r="G309" s="88"/>
      <c r="H309" s="88"/>
      <c r="I309" s="88"/>
      <c r="J309" s="88"/>
      <c r="K309" s="88"/>
      <c r="L309" s="88"/>
      <c r="M309" s="88"/>
      <c r="N309" s="88"/>
      <c r="O309" s="88"/>
      <c r="P309" s="88"/>
      <c r="Q309" s="88"/>
      <c r="R309" s="88"/>
      <c r="S309" s="88"/>
      <c r="T309" s="88"/>
      <c r="U309" s="88"/>
      <c r="V309" s="88"/>
      <c r="W309" s="88"/>
      <c r="X309" s="88"/>
      <c r="Y309" s="88"/>
      <c r="Z309" s="88"/>
      <c r="AA309" s="88"/>
      <c r="AB309" s="128"/>
      <c r="AC309" s="128"/>
      <c r="AD309" s="128"/>
      <c r="AE309" s="128"/>
      <c r="AF309" s="128"/>
      <c r="AG309" s="128"/>
      <c r="AH309" s="127"/>
    </row>
    <row r="310" spans="1:34" ht="13.2">
      <c r="A310" s="88"/>
      <c r="B310" s="88"/>
      <c r="C310" s="88"/>
      <c r="D310" s="88"/>
      <c r="E310" s="88"/>
      <c r="F310" s="88"/>
      <c r="G310" s="88"/>
      <c r="H310" s="88"/>
      <c r="I310" s="88"/>
      <c r="J310" s="88"/>
      <c r="K310" s="88"/>
      <c r="L310" s="88"/>
      <c r="M310" s="88"/>
      <c r="N310" s="88"/>
      <c r="O310" s="88"/>
      <c r="P310" s="88"/>
      <c r="Q310" s="88"/>
      <c r="R310" s="88"/>
      <c r="S310" s="88"/>
      <c r="T310" s="88"/>
      <c r="U310" s="88"/>
      <c r="V310" s="88"/>
      <c r="W310" s="88"/>
      <c r="X310" s="88"/>
      <c r="Y310" s="88"/>
      <c r="Z310" s="88"/>
      <c r="AA310" s="88"/>
      <c r="AB310" s="128"/>
      <c r="AC310" s="128"/>
      <c r="AD310" s="128"/>
      <c r="AE310" s="128"/>
      <c r="AF310" s="128"/>
      <c r="AG310" s="128"/>
      <c r="AH310" s="127"/>
    </row>
    <row r="311" spans="1:34" ht="13.2">
      <c r="A311" s="88"/>
      <c r="B311" s="88"/>
      <c r="C311" s="88"/>
      <c r="D311" s="88"/>
      <c r="E311" s="88"/>
      <c r="F311" s="88"/>
      <c r="G311" s="88"/>
      <c r="H311" s="88"/>
      <c r="I311" s="88"/>
      <c r="J311" s="88"/>
      <c r="K311" s="88"/>
      <c r="L311" s="88"/>
      <c r="M311" s="88"/>
      <c r="N311" s="88"/>
      <c r="O311" s="88"/>
      <c r="P311" s="88"/>
      <c r="Q311" s="88"/>
      <c r="R311" s="88"/>
      <c r="S311" s="88"/>
      <c r="T311" s="88"/>
      <c r="U311" s="88"/>
      <c r="V311" s="88"/>
      <c r="W311" s="88"/>
      <c r="X311" s="88"/>
      <c r="Y311" s="88"/>
      <c r="Z311" s="88"/>
      <c r="AA311" s="88"/>
      <c r="AB311" s="128"/>
      <c r="AC311" s="128"/>
      <c r="AD311" s="128"/>
      <c r="AE311" s="128"/>
      <c r="AF311" s="128"/>
      <c r="AG311" s="128"/>
      <c r="AH311" s="127"/>
    </row>
    <row r="312" spans="1:34" ht="13.2">
      <c r="A312" s="88"/>
      <c r="B312" s="88"/>
      <c r="C312" s="88"/>
      <c r="D312" s="88"/>
      <c r="E312" s="88"/>
      <c r="F312" s="88"/>
      <c r="G312" s="88"/>
      <c r="H312" s="88"/>
      <c r="I312" s="88"/>
      <c r="J312" s="88"/>
      <c r="K312" s="88"/>
      <c r="L312" s="88"/>
      <c r="M312" s="88"/>
      <c r="N312" s="88"/>
      <c r="O312" s="88"/>
      <c r="P312" s="88"/>
      <c r="Q312" s="88"/>
      <c r="R312" s="88"/>
      <c r="S312" s="88"/>
      <c r="T312" s="88"/>
      <c r="U312" s="88"/>
      <c r="V312" s="88"/>
      <c r="W312" s="88"/>
      <c r="X312" s="88"/>
      <c r="Y312" s="88"/>
      <c r="Z312" s="88"/>
      <c r="AA312" s="88"/>
      <c r="AB312" s="128"/>
      <c r="AC312" s="128"/>
      <c r="AD312" s="128"/>
      <c r="AE312" s="128"/>
      <c r="AF312" s="128"/>
      <c r="AG312" s="128"/>
      <c r="AH312" s="127"/>
    </row>
    <row r="313" spans="1:34" ht="13.2">
      <c r="A313" s="88"/>
      <c r="B313" s="88"/>
      <c r="C313" s="88"/>
      <c r="D313" s="88"/>
      <c r="E313" s="88"/>
      <c r="F313" s="88"/>
      <c r="G313" s="88"/>
      <c r="H313" s="88"/>
      <c r="I313" s="88"/>
      <c r="J313" s="88"/>
      <c r="K313" s="88"/>
      <c r="L313" s="88"/>
      <c r="M313" s="88"/>
      <c r="N313" s="88"/>
      <c r="O313" s="88"/>
      <c r="P313" s="88"/>
      <c r="Q313" s="88"/>
      <c r="R313" s="88"/>
      <c r="S313" s="88"/>
      <c r="T313" s="88"/>
      <c r="U313" s="88"/>
      <c r="V313" s="88"/>
      <c r="W313" s="88"/>
      <c r="X313" s="88"/>
      <c r="Y313" s="88"/>
      <c r="Z313" s="88"/>
      <c r="AA313" s="88"/>
      <c r="AB313" s="128"/>
      <c r="AC313" s="128"/>
      <c r="AD313" s="128"/>
      <c r="AE313" s="128"/>
      <c r="AF313" s="128"/>
      <c r="AG313" s="128"/>
      <c r="AH313" s="127"/>
    </row>
    <row r="314" spans="1:34" ht="13.2">
      <c r="A314" s="88"/>
      <c r="B314" s="88"/>
      <c r="C314" s="88"/>
      <c r="D314" s="88"/>
      <c r="E314" s="88"/>
      <c r="F314" s="88"/>
      <c r="G314" s="88"/>
      <c r="H314" s="88"/>
      <c r="I314" s="88"/>
      <c r="J314" s="88"/>
      <c r="K314" s="88"/>
      <c r="L314" s="88"/>
      <c r="M314" s="88"/>
      <c r="N314" s="88"/>
      <c r="O314" s="88"/>
      <c r="P314" s="88"/>
      <c r="Q314" s="88"/>
      <c r="R314" s="88"/>
      <c r="S314" s="88"/>
      <c r="T314" s="88"/>
      <c r="U314" s="88"/>
      <c r="V314" s="88"/>
      <c r="W314" s="88"/>
      <c r="X314" s="88"/>
      <c r="Y314" s="88"/>
      <c r="Z314" s="88"/>
      <c r="AA314" s="88"/>
      <c r="AB314" s="128"/>
      <c r="AC314" s="128"/>
      <c r="AD314" s="128"/>
      <c r="AE314" s="128"/>
      <c r="AF314" s="128"/>
      <c r="AG314" s="128"/>
      <c r="AH314" s="127"/>
    </row>
    <row r="315" spans="1:34" ht="13.2">
      <c r="A315" s="88"/>
      <c r="B315" s="88"/>
      <c r="C315" s="88"/>
      <c r="D315" s="88"/>
      <c r="E315" s="88"/>
      <c r="F315" s="88"/>
      <c r="G315" s="88"/>
      <c r="H315" s="88"/>
      <c r="I315" s="88"/>
      <c r="J315" s="88"/>
      <c r="K315" s="88"/>
      <c r="L315" s="88"/>
      <c r="M315" s="88"/>
      <c r="N315" s="88"/>
      <c r="O315" s="88"/>
      <c r="P315" s="88"/>
      <c r="Q315" s="88"/>
      <c r="R315" s="88"/>
      <c r="S315" s="88"/>
      <c r="T315" s="88"/>
      <c r="U315" s="88"/>
      <c r="V315" s="88"/>
      <c r="W315" s="88"/>
      <c r="X315" s="88"/>
      <c r="Y315" s="88"/>
      <c r="Z315" s="88"/>
      <c r="AA315" s="88"/>
      <c r="AB315" s="128"/>
      <c r="AC315" s="128"/>
      <c r="AD315" s="128"/>
      <c r="AE315" s="128"/>
      <c r="AF315" s="128"/>
      <c r="AG315" s="128"/>
      <c r="AH315" s="127"/>
    </row>
    <row r="316" spans="1:34" ht="13.2">
      <c r="A316" s="88"/>
      <c r="B316" s="88"/>
      <c r="C316" s="88"/>
      <c r="D316" s="88"/>
      <c r="E316" s="88"/>
      <c r="F316" s="88"/>
      <c r="G316" s="88"/>
      <c r="H316" s="88"/>
      <c r="I316" s="88"/>
      <c r="J316" s="88"/>
      <c r="K316" s="88"/>
      <c r="L316" s="88"/>
      <c r="M316" s="88"/>
      <c r="N316" s="88"/>
      <c r="O316" s="88"/>
      <c r="P316" s="88"/>
      <c r="Q316" s="88"/>
      <c r="R316" s="88"/>
      <c r="S316" s="88"/>
      <c r="T316" s="88"/>
      <c r="U316" s="88"/>
      <c r="V316" s="88"/>
      <c r="W316" s="88"/>
      <c r="X316" s="88"/>
      <c r="Y316" s="88"/>
      <c r="Z316" s="88"/>
      <c r="AA316" s="88"/>
      <c r="AB316" s="128"/>
      <c r="AC316" s="128"/>
      <c r="AD316" s="128"/>
      <c r="AE316" s="128"/>
      <c r="AF316" s="128"/>
      <c r="AG316" s="128"/>
      <c r="AH316" s="127"/>
    </row>
    <row r="317" spans="1:34" ht="13.2">
      <c r="A317" s="88"/>
      <c r="B317" s="88"/>
      <c r="C317" s="88"/>
      <c r="D317" s="88"/>
      <c r="E317" s="88"/>
      <c r="F317" s="88"/>
      <c r="G317" s="88"/>
      <c r="H317" s="88"/>
      <c r="I317" s="88"/>
      <c r="J317" s="88"/>
      <c r="K317" s="88"/>
      <c r="L317" s="88"/>
      <c r="M317" s="88"/>
      <c r="N317" s="88"/>
      <c r="O317" s="88"/>
      <c r="P317" s="88"/>
      <c r="Q317" s="88"/>
      <c r="R317" s="88"/>
      <c r="S317" s="88"/>
      <c r="T317" s="88"/>
      <c r="U317" s="88"/>
      <c r="V317" s="88"/>
      <c r="W317" s="88"/>
      <c r="X317" s="88"/>
      <c r="Y317" s="88"/>
      <c r="Z317" s="88"/>
      <c r="AA317" s="88"/>
      <c r="AB317" s="128"/>
      <c r="AC317" s="128"/>
      <c r="AD317" s="128"/>
      <c r="AE317" s="128"/>
      <c r="AF317" s="128"/>
      <c r="AG317" s="128"/>
      <c r="AH317" s="127"/>
    </row>
    <row r="318" spans="1:34" ht="13.2">
      <c r="A318" s="88"/>
      <c r="B318" s="88"/>
      <c r="C318" s="88"/>
      <c r="D318" s="88"/>
      <c r="E318" s="88"/>
      <c r="F318" s="88"/>
      <c r="G318" s="88"/>
      <c r="H318" s="88"/>
      <c r="I318" s="88"/>
      <c r="J318" s="88"/>
      <c r="K318" s="88"/>
      <c r="L318" s="88"/>
      <c r="M318" s="88"/>
      <c r="N318" s="88"/>
      <c r="O318" s="88"/>
      <c r="P318" s="88"/>
      <c r="Q318" s="88"/>
      <c r="R318" s="88"/>
      <c r="S318" s="88"/>
      <c r="T318" s="88"/>
      <c r="U318" s="88"/>
      <c r="V318" s="88"/>
      <c r="W318" s="88"/>
      <c r="X318" s="88"/>
      <c r="Y318" s="88"/>
      <c r="Z318" s="88"/>
      <c r="AA318" s="88"/>
      <c r="AB318" s="128"/>
      <c r="AC318" s="128"/>
      <c r="AD318" s="128"/>
      <c r="AE318" s="128"/>
      <c r="AF318" s="128"/>
      <c r="AG318" s="128"/>
      <c r="AH318" s="127"/>
    </row>
    <row r="319" spans="1:34" ht="13.2">
      <c r="A319" s="88"/>
      <c r="B319" s="88"/>
      <c r="C319" s="88"/>
      <c r="D319" s="88"/>
      <c r="E319" s="88"/>
      <c r="F319" s="88"/>
      <c r="G319" s="88"/>
      <c r="H319" s="88"/>
      <c r="I319" s="88"/>
      <c r="J319" s="88"/>
      <c r="K319" s="88"/>
      <c r="L319" s="88"/>
      <c r="M319" s="88"/>
      <c r="N319" s="88"/>
      <c r="O319" s="88"/>
      <c r="P319" s="88"/>
      <c r="Q319" s="88"/>
      <c r="R319" s="88"/>
      <c r="S319" s="88"/>
      <c r="T319" s="88"/>
      <c r="U319" s="88"/>
      <c r="V319" s="88"/>
      <c r="W319" s="88"/>
      <c r="X319" s="88"/>
      <c r="Y319" s="88"/>
      <c r="Z319" s="88"/>
      <c r="AA319" s="88"/>
      <c r="AB319" s="128"/>
      <c r="AC319" s="128"/>
      <c r="AD319" s="128"/>
      <c r="AE319" s="128"/>
      <c r="AF319" s="128"/>
      <c r="AG319" s="128"/>
      <c r="AH319" s="127"/>
    </row>
    <row r="320" spans="1:34" ht="13.2">
      <c r="A320" s="88"/>
      <c r="B320" s="88"/>
      <c r="C320" s="88"/>
      <c r="D320" s="88"/>
      <c r="E320" s="88"/>
      <c r="F320" s="88"/>
      <c r="G320" s="88"/>
      <c r="H320" s="88"/>
      <c r="I320" s="88"/>
      <c r="J320" s="88"/>
      <c r="K320" s="88"/>
      <c r="L320" s="88"/>
      <c r="M320" s="88"/>
      <c r="N320" s="88"/>
      <c r="O320" s="88"/>
      <c r="P320" s="88"/>
      <c r="Q320" s="88"/>
      <c r="R320" s="88"/>
      <c r="S320" s="88"/>
      <c r="T320" s="88"/>
      <c r="U320" s="88"/>
      <c r="V320" s="88"/>
      <c r="W320" s="88"/>
      <c r="X320" s="88"/>
      <c r="Y320" s="88"/>
      <c r="Z320" s="88"/>
      <c r="AA320" s="88"/>
      <c r="AB320" s="128"/>
      <c r="AC320" s="128"/>
      <c r="AD320" s="128"/>
      <c r="AE320" s="128"/>
      <c r="AF320" s="128"/>
      <c r="AG320" s="128"/>
      <c r="AH320" s="127"/>
    </row>
    <row r="321" spans="1:34" ht="13.2">
      <c r="A321" s="88"/>
      <c r="B321" s="88"/>
      <c r="C321" s="88"/>
      <c r="D321" s="88"/>
      <c r="E321" s="88"/>
      <c r="F321" s="88"/>
      <c r="G321" s="88"/>
      <c r="H321" s="88"/>
      <c r="I321" s="88"/>
      <c r="J321" s="88"/>
      <c r="K321" s="88"/>
      <c r="L321" s="88"/>
      <c r="M321" s="88"/>
      <c r="N321" s="88"/>
      <c r="O321" s="88"/>
      <c r="P321" s="88"/>
      <c r="Q321" s="88"/>
      <c r="R321" s="88"/>
      <c r="S321" s="88"/>
      <c r="T321" s="88"/>
      <c r="U321" s="88"/>
      <c r="V321" s="88"/>
      <c r="W321" s="88"/>
      <c r="X321" s="88"/>
      <c r="Y321" s="88"/>
      <c r="Z321" s="88"/>
      <c r="AA321" s="88"/>
      <c r="AB321" s="128"/>
      <c r="AC321" s="128"/>
      <c r="AD321" s="128"/>
      <c r="AE321" s="128"/>
      <c r="AF321" s="128"/>
      <c r="AG321" s="128"/>
      <c r="AH321" s="127"/>
    </row>
    <row r="322" spans="1:34" ht="13.2">
      <c r="A322" s="88"/>
      <c r="B322" s="88"/>
      <c r="C322" s="88"/>
      <c r="D322" s="88"/>
      <c r="E322" s="88"/>
      <c r="F322" s="88"/>
      <c r="G322" s="88"/>
      <c r="H322" s="88"/>
      <c r="I322" s="88"/>
      <c r="J322" s="88"/>
      <c r="K322" s="88"/>
      <c r="L322" s="88"/>
      <c r="M322" s="88"/>
      <c r="N322" s="88"/>
      <c r="O322" s="88"/>
      <c r="P322" s="88"/>
      <c r="Q322" s="88"/>
      <c r="R322" s="88"/>
      <c r="S322" s="88"/>
      <c r="T322" s="88"/>
      <c r="U322" s="88"/>
      <c r="V322" s="88"/>
      <c r="W322" s="88"/>
      <c r="X322" s="88"/>
      <c r="Y322" s="88"/>
      <c r="Z322" s="88"/>
      <c r="AA322" s="88"/>
      <c r="AB322" s="128"/>
      <c r="AC322" s="128"/>
      <c r="AD322" s="128"/>
      <c r="AE322" s="128"/>
      <c r="AF322" s="128"/>
      <c r="AG322" s="128"/>
      <c r="AH322" s="127"/>
    </row>
    <row r="323" spans="1:34" ht="13.2">
      <c r="A323" s="88"/>
      <c r="B323" s="88"/>
      <c r="C323" s="88"/>
      <c r="D323" s="88"/>
      <c r="E323" s="88"/>
      <c r="F323" s="88"/>
      <c r="G323" s="88"/>
      <c r="H323" s="88"/>
      <c r="I323" s="88"/>
      <c r="J323" s="88"/>
      <c r="K323" s="88"/>
      <c r="L323" s="88"/>
      <c r="M323" s="88"/>
      <c r="N323" s="88"/>
      <c r="O323" s="88"/>
      <c r="P323" s="88"/>
      <c r="Q323" s="88"/>
      <c r="R323" s="88"/>
      <c r="S323" s="88"/>
      <c r="T323" s="88"/>
      <c r="U323" s="88"/>
      <c r="V323" s="88"/>
      <c r="W323" s="88"/>
      <c r="X323" s="88"/>
      <c r="Y323" s="88"/>
      <c r="Z323" s="88"/>
      <c r="AA323" s="88"/>
      <c r="AB323" s="128"/>
      <c r="AC323" s="128"/>
      <c r="AD323" s="128"/>
      <c r="AE323" s="128"/>
      <c r="AF323" s="128"/>
      <c r="AG323" s="128"/>
      <c r="AH323" s="127"/>
    </row>
    <row r="324" spans="1:34" ht="13.2">
      <c r="A324" s="88"/>
      <c r="B324" s="88"/>
      <c r="C324" s="88"/>
      <c r="D324" s="88"/>
      <c r="E324" s="88"/>
      <c r="F324" s="88"/>
      <c r="G324" s="88"/>
      <c r="H324" s="88"/>
      <c r="I324" s="88"/>
      <c r="J324" s="88"/>
      <c r="K324" s="88"/>
      <c r="L324" s="88"/>
      <c r="M324" s="88"/>
      <c r="N324" s="88"/>
      <c r="O324" s="88"/>
      <c r="P324" s="88"/>
      <c r="Q324" s="88"/>
      <c r="R324" s="88"/>
      <c r="S324" s="88"/>
      <c r="T324" s="88"/>
      <c r="U324" s="88"/>
      <c r="V324" s="88"/>
      <c r="W324" s="88"/>
      <c r="X324" s="88"/>
      <c r="Y324" s="88"/>
      <c r="Z324" s="88"/>
      <c r="AA324" s="88"/>
      <c r="AB324" s="128"/>
      <c r="AC324" s="128"/>
      <c r="AD324" s="128"/>
      <c r="AE324" s="128"/>
      <c r="AF324" s="128"/>
      <c r="AG324" s="128"/>
      <c r="AH324" s="127"/>
    </row>
    <row r="325" spans="1:34" ht="13.2">
      <c r="A325" s="88"/>
      <c r="B325" s="88"/>
      <c r="C325" s="88"/>
      <c r="D325" s="88"/>
      <c r="E325" s="88"/>
      <c r="F325" s="88"/>
      <c r="G325" s="88"/>
      <c r="H325" s="88"/>
      <c r="I325" s="88"/>
      <c r="J325" s="88"/>
      <c r="K325" s="88"/>
      <c r="L325" s="88"/>
      <c r="M325" s="88"/>
      <c r="N325" s="88"/>
      <c r="O325" s="88"/>
      <c r="P325" s="88"/>
      <c r="Q325" s="88"/>
      <c r="R325" s="88"/>
      <c r="S325" s="88"/>
      <c r="T325" s="88"/>
      <c r="U325" s="88"/>
      <c r="V325" s="88"/>
      <c r="W325" s="88"/>
      <c r="X325" s="88"/>
      <c r="Y325" s="88"/>
      <c r="Z325" s="88"/>
      <c r="AA325" s="88"/>
      <c r="AB325" s="128"/>
      <c r="AC325" s="128"/>
      <c r="AD325" s="128"/>
      <c r="AE325" s="128"/>
      <c r="AF325" s="128"/>
      <c r="AG325" s="128"/>
      <c r="AH325" s="127"/>
    </row>
    <row r="326" spans="1:34" ht="13.2">
      <c r="A326" s="88"/>
      <c r="B326" s="88"/>
      <c r="C326" s="88"/>
      <c r="D326" s="88"/>
      <c r="E326" s="88"/>
      <c r="F326" s="88"/>
      <c r="G326" s="88"/>
      <c r="H326" s="88"/>
      <c r="I326" s="88"/>
      <c r="J326" s="88"/>
      <c r="K326" s="88"/>
      <c r="L326" s="88"/>
      <c r="M326" s="88"/>
      <c r="N326" s="88"/>
      <c r="O326" s="88"/>
      <c r="P326" s="88"/>
      <c r="Q326" s="88"/>
      <c r="R326" s="88"/>
      <c r="S326" s="88"/>
      <c r="T326" s="88"/>
      <c r="U326" s="88"/>
      <c r="V326" s="88"/>
      <c r="W326" s="88"/>
      <c r="X326" s="88"/>
      <c r="Y326" s="88"/>
      <c r="Z326" s="88"/>
      <c r="AA326" s="88"/>
      <c r="AB326" s="128"/>
      <c r="AC326" s="128"/>
      <c r="AD326" s="128"/>
      <c r="AE326" s="128"/>
      <c r="AF326" s="128"/>
      <c r="AG326" s="128"/>
      <c r="AH326" s="127"/>
    </row>
    <row r="327" spans="1:34" ht="13.2">
      <c r="A327" s="88"/>
      <c r="B327" s="88"/>
      <c r="C327" s="88"/>
      <c r="D327" s="88"/>
      <c r="E327" s="88"/>
      <c r="F327" s="88"/>
      <c r="G327" s="88"/>
      <c r="H327" s="88"/>
      <c r="I327" s="88"/>
      <c r="J327" s="88"/>
      <c r="K327" s="88"/>
      <c r="L327" s="88"/>
      <c r="M327" s="88"/>
      <c r="N327" s="88"/>
      <c r="O327" s="88"/>
      <c r="P327" s="88"/>
      <c r="Q327" s="88"/>
      <c r="R327" s="88"/>
      <c r="S327" s="88"/>
      <c r="T327" s="88"/>
      <c r="U327" s="88"/>
      <c r="V327" s="88"/>
      <c r="W327" s="88"/>
      <c r="X327" s="88"/>
      <c r="Y327" s="88"/>
      <c r="Z327" s="88"/>
      <c r="AA327" s="88"/>
      <c r="AB327" s="128"/>
      <c r="AC327" s="128"/>
      <c r="AD327" s="128"/>
      <c r="AE327" s="128"/>
      <c r="AF327" s="128"/>
      <c r="AG327" s="128"/>
      <c r="AH327" s="127"/>
    </row>
    <row r="328" spans="1:34" ht="13.2">
      <c r="A328" s="88"/>
      <c r="B328" s="88"/>
      <c r="C328" s="88"/>
      <c r="D328" s="88"/>
      <c r="E328" s="88"/>
      <c r="F328" s="88"/>
      <c r="G328" s="88"/>
      <c r="H328" s="88"/>
      <c r="I328" s="88"/>
      <c r="J328" s="88"/>
      <c r="K328" s="88"/>
      <c r="L328" s="88"/>
      <c r="M328" s="88"/>
      <c r="N328" s="88"/>
      <c r="O328" s="88"/>
      <c r="P328" s="88"/>
      <c r="Q328" s="88"/>
      <c r="R328" s="88"/>
      <c r="S328" s="88"/>
      <c r="T328" s="88"/>
      <c r="U328" s="88"/>
      <c r="V328" s="88"/>
      <c r="W328" s="88"/>
      <c r="X328" s="88"/>
      <c r="Y328" s="88"/>
      <c r="Z328" s="88"/>
      <c r="AA328" s="88"/>
      <c r="AB328" s="128"/>
      <c r="AC328" s="128"/>
      <c r="AD328" s="128"/>
      <c r="AE328" s="128"/>
      <c r="AF328" s="128"/>
      <c r="AG328" s="128"/>
      <c r="AH328" s="127"/>
    </row>
    <row r="329" spans="1:34" ht="13.2">
      <c r="A329" s="88"/>
      <c r="B329" s="88"/>
      <c r="C329" s="88"/>
      <c r="D329" s="88"/>
      <c r="E329" s="88"/>
      <c r="F329" s="88"/>
      <c r="G329" s="88"/>
      <c r="H329" s="88"/>
      <c r="I329" s="88"/>
      <c r="J329" s="88"/>
      <c r="K329" s="88"/>
      <c r="L329" s="88"/>
      <c r="M329" s="88"/>
      <c r="N329" s="88"/>
      <c r="O329" s="88"/>
      <c r="P329" s="88"/>
      <c r="Q329" s="88"/>
      <c r="R329" s="88"/>
      <c r="S329" s="88"/>
      <c r="T329" s="88"/>
      <c r="U329" s="88"/>
      <c r="V329" s="88"/>
      <c r="W329" s="88"/>
      <c r="X329" s="88"/>
      <c r="Y329" s="88"/>
      <c r="Z329" s="88"/>
      <c r="AA329" s="88"/>
      <c r="AB329" s="128"/>
      <c r="AC329" s="128"/>
      <c r="AD329" s="128"/>
      <c r="AE329" s="128"/>
      <c r="AF329" s="128"/>
      <c r="AG329" s="128"/>
      <c r="AH329" s="127"/>
    </row>
    <row r="330" spans="1:34" ht="13.2">
      <c r="A330" s="88"/>
      <c r="B330" s="88"/>
      <c r="C330" s="88"/>
      <c r="D330" s="88"/>
      <c r="E330" s="88"/>
      <c r="F330" s="88"/>
      <c r="G330" s="88"/>
      <c r="H330" s="88"/>
      <c r="I330" s="88"/>
      <c r="J330" s="88"/>
      <c r="K330" s="88"/>
      <c r="L330" s="88"/>
      <c r="M330" s="88"/>
      <c r="N330" s="88"/>
      <c r="O330" s="88"/>
      <c r="P330" s="88"/>
      <c r="Q330" s="88"/>
      <c r="R330" s="88"/>
      <c r="S330" s="88"/>
      <c r="T330" s="88"/>
      <c r="U330" s="88"/>
      <c r="V330" s="88"/>
      <c r="W330" s="88"/>
      <c r="X330" s="88"/>
      <c r="Y330" s="88"/>
      <c r="Z330" s="88"/>
      <c r="AA330" s="88"/>
      <c r="AB330" s="128"/>
      <c r="AC330" s="128"/>
      <c r="AD330" s="128"/>
      <c r="AE330" s="128"/>
      <c r="AF330" s="128"/>
      <c r="AG330" s="128"/>
      <c r="AH330" s="127"/>
    </row>
    <row r="331" spans="1:34" ht="13.2">
      <c r="A331" s="88"/>
      <c r="B331" s="88"/>
      <c r="C331" s="88"/>
      <c r="D331" s="88"/>
      <c r="E331" s="88"/>
      <c r="F331" s="88"/>
      <c r="G331" s="88"/>
      <c r="H331" s="88"/>
      <c r="I331" s="88"/>
      <c r="J331" s="88"/>
      <c r="K331" s="88"/>
      <c r="L331" s="88"/>
      <c r="M331" s="88"/>
      <c r="N331" s="88"/>
      <c r="O331" s="88"/>
      <c r="P331" s="88"/>
      <c r="Q331" s="88"/>
      <c r="R331" s="88"/>
      <c r="S331" s="88"/>
      <c r="T331" s="88"/>
      <c r="U331" s="88"/>
      <c r="V331" s="88"/>
      <c r="W331" s="88"/>
      <c r="X331" s="88"/>
      <c r="Y331" s="88"/>
      <c r="Z331" s="88"/>
      <c r="AA331" s="88"/>
      <c r="AB331" s="128"/>
      <c r="AC331" s="128"/>
      <c r="AD331" s="128"/>
      <c r="AE331" s="128"/>
      <c r="AF331" s="128"/>
      <c r="AG331" s="128"/>
      <c r="AH331" s="127"/>
    </row>
    <row r="332" spans="1:34" ht="13.2">
      <c r="A332" s="88"/>
      <c r="B332" s="88"/>
      <c r="C332" s="88"/>
      <c r="D332" s="88"/>
      <c r="E332" s="88"/>
      <c r="F332" s="88"/>
      <c r="G332" s="88"/>
      <c r="H332" s="88"/>
      <c r="I332" s="88"/>
      <c r="J332" s="88"/>
      <c r="K332" s="88"/>
      <c r="L332" s="88"/>
      <c r="M332" s="88"/>
      <c r="N332" s="88"/>
      <c r="O332" s="88"/>
      <c r="P332" s="88"/>
      <c r="Q332" s="88"/>
      <c r="R332" s="88"/>
      <c r="S332" s="88"/>
      <c r="T332" s="88"/>
      <c r="U332" s="88"/>
      <c r="V332" s="88"/>
      <c r="W332" s="88"/>
      <c r="X332" s="88"/>
      <c r="Y332" s="88"/>
      <c r="Z332" s="88"/>
      <c r="AA332" s="88"/>
      <c r="AB332" s="128"/>
      <c r="AC332" s="128"/>
      <c r="AD332" s="128"/>
      <c r="AE332" s="128"/>
      <c r="AF332" s="128"/>
      <c r="AG332" s="128"/>
      <c r="AH332" s="127"/>
    </row>
    <row r="333" spans="1:34" ht="13.2">
      <c r="A333" s="88"/>
      <c r="B333" s="88"/>
      <c r="C333" s="88"/>
      <c r="D333" s="88"/>
      <c r="E333" s="88"/>
      <c r="F333" s="88"/>
      <c r="G333" s="88"/>
      <c r="H333" s="88"/>
      <c r="I333" s="88"/>
      <c r="J333" s="88"/>
      <c r="K333" s="88"/>
      <c r="L333" s="88"/>
      <c r="M333" s="88"/>
      <c r="N333" s="88"/>
      <c r="O333" s="88"/>
      <c r="P333" s="88"/>
      <c r="Q333" s="88"/>
      <c r="R333" s="88"/>
      <c r="S333" s="88"/>
      <c r="T333" s="88"/>
      <c r="U333" s="88"/>
      <c r="V333" s="88"/>
      <c r="W333" s="88"/>
      <c r="X333" s="88"/>
      <c r="Y333" s="88"/>
      <c r="Z333" s="88"/>
      <c r="AA333" s="88"/>
      <c r="AB333" s="128"/>
      <c r="AC333" s="128"/>
      <c r="AD333" s="128"/>
      <c r="AE333" s="128"/>
      <c r="AF333" s="128"/>
      <c r="AG333" s="128"/>
      <c r="AH333" s="127"/>
    </row>
    <row r="334" spans="1:34" ht="13.2">
      <c r="A334" s="88"/>
      <c r="B334" s="88"/>
      <c r="C334" s="88"/>
      <c r="D334" s="88"/>
      <c r="E334" s="88"/>
      <c r="F334" s="88"/>
      <c r="G334" s="88"/>
      <c r="H334" s="88"/>
      <c r="I334" s="88"/>
      <c r="J334" s="88"/>
      <c r="K334" s="88"/>
      <c r="L334" s="88"/>
      <c r="M334" s="88"/>
      <c r="N334" s="88"/>
      <c r="O334" s="88"/>
      <c r="P334" s="88"/>
      <c r="Q334" s="88"/>
      <c r="R334" s="88"/>
      <c r="S334" s="88"/>
      <c r="T334" s="88"/>
      <c r="U334" s="88"/>
      <c r="V334" s="88"/>
      <c r="W334" s="88"/>
      <c r="X334" s="88"/>
      <c r="Y334" s="88"/>
      <c r="Z334" s="88"/>
      <c r="AA334" s="88"/>
      <c r="AB334" s="128"/>
      <c r="AC334" s="128"/>
      <c r="AD334" s="128"/>
      <c r="AE334" s="128"/>
      <c r="AF334" s="128"/>
      <c r="AG334" s="128"/>
      <c r="AH334" s="127"/>
    </row>
    <row r="335" spans="1:34" ht="13.2">
      <c r="A335" s="88"/>
      <c r="B335" s="88"/>
      <c r="C335" s="88"/>
      <c r="D335" s="88"/>
      <c r="E335" s="88"/>
      <c r="F335" s="88"/>
      <c r="G335" s="88"/>
      <c r="H335" s="88"/>
      <c r="I335" s="88"/>
      <c r="J335" s="88"/>
      <c r="K335" s="88"/>
      <c r="L335" s="88"/>
      <c r="M335" s="88"/>
      <c r="N335" s="88"/>
      <c r="O335" s="88"/>
      <c r="P335" s="88"/>
      <c r="Q335" s="88"/>
      <c r="R335" s="88"/>
      <c r="S335" s="88"/>
      <c r="T335" s="88"/>
      <c r="U335" s="88"/>
      <c r="V335" s="88"/>
      <c r="W335" s="88"/>
      <c r="X335" s="88"/>
      <c r="Y335" s="88"/>
      <c r="Z335" s="88"/>
      <c r="AA335" s="88"/>
      <c r="AB335" s="128"/>
      <c r="AC335" s="128"/>
      <c r="AD335" s="128"/>
      <c r="AE335" s="128"/>
      <c r="AF335" s="128"/>
      <c r="AG335" s="128"/>
      <c r="AH335" s="127"/>
    </row>
    <row r="336" spans="1:34" ht="13.2">
      <c r="A336" s="88"/>
      <c r="B336" s="88"/>
      <c r="C336" s="88"/>
      <c r="D336" s="88"/>
      <c r="E336" s="88"/>
      <c r="F336" s="88"/>
      <c r="G336" s="88"/>
      <c r="H336" s="88"/>
      <c r="I336" s="88"/>
      <c r="J336" s="88"/>
      <c r="K336" s="88"/>
      <c r="L336" s="88"/>
      <c r="M336" s="88"/>
      <c r="N336" s="88"/>
      <c r="O336" s="88"/>
      <c r="P336" s="88"/>
      <c r="Q336" s="88"/>
      <c r="R336" s="88"/>
      <c r="S336" s="88"/>
      <c r="T336" s="88"/>
      <c r="U336" s="88"/>
      <c r="V336" s="88"/>
      <c r="W336" s="88"/>
      <c r="X336" s="88"/>
      <c r="Y336" s="88"/>
      <c r="Z336" s="88"/>
      <c r="AA336" s="88"/>
      <c r="AB336" s="128"/>
      <c r="AC336" s="128"/>
      <c r="AD336" s="128"/>
      <c r="AE336" s="128"/>
      <c r="AF336" s="128"/>
      <c r="AG336" s="128"/>
      <c r="AH336" s="127"/>
    </row>
    <row r="337" spans="1:34" ht="13.2">
      <c r="A337" s="88"/>
      <c r="B337" s="88"/>
      <c r="C337" s="88"/>
      <c r="D337" s="88"/>
      <c r="E337" s="88"/>
      <c r="F337" s="88"/>
      <c r="G337" s="88"/>
      <c r="H337" s="88"/>
      <c r="I337" s="88"/>
      <c r="J337" s="88"/>
      <c r="K337" s="88"/>
      <c r="L337" s="88"/>
      <c r="M337" s="88"/>
      <c r="N337" s="88"/>
      <c r="O337" s="88"/>
      <c r="P337" s="88"/>
      <c r="Q337" s="88"/>
      <c r="R337" s="88"/>
      <c r="S337" s="88"/>
      <c r="T337" s="88"/>
      <c r="U337" s="88"/>
      <c r="V337" s="88"/>
      <c r="W337" s="88"/>
      <c r="X337" s="88"/>
      <c r="Y337" s="88"/>
      <c r="Z337" s="88"/>
      <c r="AA337" s="88"/>
      <c r="AB337" s="128"/>
      <c r="AC337" s="128"/>
      <c r="AD337" s="128"/>
      <c r="AE337" s="128"/>
      <c r="AF337" s="128"/>
      <c r="AG337" s="128"/>
      <c r="AH337" s="127"/>
    </row>
    <row r="338" spans="1:34" ht="13.2">
      <c r="A338" s="88"/>
      <c r="B338" s="88"/>
      <c r="C338" s="88"/>
      <c r="D338" s="88"/>
      <c r="E338" s="88"/>
      <c r="F338" s="88"/>
      <c r="G338" s="88"/>
      <c r="H338" s="88"/>
      <c r="I338" s="88"/>
      <c r="J338" s="88"/>
      <c r="K338" s="88"/>
      <c r="L338" s="88"/>
      <c r="M338" s="88"/>
      <c r="N338" s="88"/>
      <c r="O338" s="88"/>
      <c r="P338" s="88"/>
      <c r="Q338" s="88"/>
      <c r="R338" s="88"/>
      <c r="S338" s="88"/>
      <c r="T338" s="88"/>
      <c r="U338" s="88"/>
      <c r="V338" s="88"/>
      <c r="W338" s="88"/>
      <c r="X338" s="88"/>
      <c r="Y338" s="88"/>
      <c r="Z338" s="88"/>
      <c r="AA338" s="88"/>
      <c r="AB338" s="128"/>
      <c r="AC338" s="128"/>
      <c r="AD338" s="128"/>
      <c r="AE338" s="128"/>
      <c r="AF338" s="128"/>
      <c r="AG338" s="128"/>
      <c r="AH338" s="127"/>
    </row>
    <row r="339" spans="1:34" ht="13.2">
      <c r="A339" s="88"/>
      <c r="B339" s="88"/>
      <c r="C339" s="88"/>
      <c r="D339" s="88"/>
      <c r="E339" s="88"/>
      <c r="F339" s="88"/>
      <c r="G339" s="88"/>
      <c r="H339" s="88"/>
      <c r="I339" s="88"/>
      <c r="J339" s="88"/>
      <c r="K339" s="88"/>
      <c r="L339" s="88"/>
      <c r="M339" s="88"/>
      <c r="N339" s="88"/>
      <c r="O339" s="88"/>
      <c r="P339" s="88"/>
      <c r="Q339" s="88"/>
      <c r="R339" s="88"/>
      <c r="S339" s="88"/>
      <c r="T339" s="88"/>
      <c r="U339" s="88"/>
      <c r="V339" s="88"/>
      <c r="W339" s="88"/>
      <c r="X339" s="88"/>
      <c r="Y339" s="88"/>
      <c r="Z339" s="88"/>
      <c r="AA339" s="88"/>
      <c r="AB339" s="128"/>
      <c r="AC339" s="128"/>
      <c r="AD339" s="128"/>
      <c r="AE339" s="128"/>
      <c r="AF339" s="128"/>
      <c r="AG339" s="128"/>
      <c r="AH339" s="127"/>
    </row>
    <row r="340" spans="1:34" ht="13.2">
      <c r="A340" s="88"/>
      <c r="B340" s="88"/>
      <c r="C340" s="88"/>
      <c r="D340" s="88"/>
      <c r="E340" s="88"/>
      <c r="F340" s="88"/>
      <c r="G340" s="88"/>
      <c r="H340" s="88"/>
      <c r="I340" s="88"/>
      <c r="J340" s="88"/>
      <c r="K340" s="88"/>
      <c r="L340" s="88"/>
      <c r="M340" s="88"/>
      <c r="N340" s="88"/>
      <c r="O340" s="88"/>
      <c r="P340" s="88"/>
      <c r="Q340" s="88"/>
      <c r="R340" s="88"/>
      <c r="S340" s="88"/>
      <c r="T340" s="88"/>
      <c r="U340" s="88"/>
      <c r="V340" s="88"/>
      <c r="W340" s="88"/>
      <c r="X340" s="88"/>
      <c r="Y340" s="88"/>
      <c r="Z340" s="88"/>
      <c r="AA340" s="88"/>
      <c r="AB340" s="128"/>
      <c r="AC340" s="128"/>
      <c r="AD340" s="128"/>
      <c r="AE340" s="128"/>
      <c r="AF340" s="128"/>
      <c r="AG340" s="128"/>
      <c r="AH340" s="127"/>
    </row>
    <row r="341" spans="1:34" ht="13.2">
      <c r="A341" s="88"/>
      <c r="B341" s="88"/>
      <c r="C341" s="88"/>
      <c r="D341" s="88"/>
      <c r="E341" s="88"/>
      <c r="F341" s="88"/>
      <c r="G341" s="88"/>
      <c r="H341" s="88"/>
      <c r="I341" s="88"/>
      <c r="J341" s="88"/>
      <c r="K341" s="88"/>
      <c r="L341" s="88"/>
      <c r="M341" s="88"/>
      <c r="N341" s="88"/>
      <c r="O341" s="88"/>
      <c r="P341" s="88"/>
      <c r="Q341" s="88"/>
      <c r="R341" s="88"/>
      <c r="S341" s="88"/>
      <c r="T341" s="88"/>
      <c r="U341" s="88"/>
      <c r="V341" s="88"/>
      <c r="W341" s="88"/>
      <c r="X341" s="88"/>
      <c r="Y341" s="88"/>
      <c r="Z341" s="88"/>
      <c r="AA341" s="88"/>
      <c r="AB341" s="128"/>
      <c r="AC341" s="128"/>
      <c r="AD341" s="128"/>
      <c r="AE341" s="128"/>
      <c r="AF341" s="128"/>
      <c r="AG341" s="128"/>
      <c r="AH341" s="127"/>
    </row>
    <row r="342" spans="1:34" ht="13.2">
      <c r="A342" s="88"/>
      <c r="B342" s="88"/>
      <c r="C342" s="88"/>
      <c r="D342" s="88"/>
      <c r="E342" s="88"/>
      <c r="F342" s="88"/>
      <c r="G342" s="88"/>
      <c r="H342" s="88"/>
      <c r="I342" s="88"/>
      <c r="J342" s="88"/>
      <c r="K342" s="88"/>
      <c r="L342" s="88"/>
      <c r="M342" s="88"/>
      <c r="N342" s="88"/>
      <c r="O342" s="88"/>
      <c r="P342" s="88"/>
      <c r="Q342" s="88"/>
      <c r="R342" s="88"/>
      <c r="S342" s="88"/>
      <c r="T342" s="88"/>
      <c r="U342" s="88"/>
      <c r="V342" s="88"/>
      <c r="W342" s="88"/>
      <c r="X342" s="88"/>
      <c r="Y342" s="88"/>
      <c r="Z342" s="88"/>
      <c r="AA342" s="88"/>
      <c r="AB342" s="128"/>
      <c r="AC342" s="128"/>
      <c r="AD342" s="128"/>
      <c r="AE342" s="128"/>
      <c r="AF342" s="128"/>
      <c r="AG342" s="128"/>
      <c r="AH342" s="127"/>
    </row>
    <row r="343" spans="1:34" ht="13.2">
      <c r="A343" s="88"/>
      <c r="B343" s="88"/>
      <c r="C343" s="88"/>
      <c r="D343" s="88"/>
      <c r="E343" s="88"/>
      <c r="F343" s="88"/>
      <c r="G343" s="88"/>
      <c r="H343" s="88"/>
      <c r="I343" s="88"/>
      <c r="J343" s="88"/>
      <c r="K343" s="88"/>
      <c r="L343" s="88"/>
      <c r="M343" s="88"/>
      <c r="N343" s="88"/>
      <c r="O343" s="88"/>
      <c r="P343" s="88"/>
      <c r="Q343" s="88"/>
      <c r="R343" s="88"/>
      <c r="S343" s="88"/>
      <c r="T343" s="88"/>
      <c r="U343" s="88"/>
      <c r="V343" s="88"/>
      <c r="W343" s="88"/>
      <c r="X343" s="88"/>
      <c r="Y343" s="88"/>
      <c r="Z343" s="88"/>
      <c r="AA343" s="88"/>
      <c r="AB343" s="128"/>
      <c r="AC343" s="128"/>
      <c r="AD343" s="128"/>
      <c r="AE343" s="128"/>
      <c r="AF343" s="128"/>
      <c r="AG343" s="128"/>
      <c r="AH343" s="127"/>
    </row>
    <row r="344" spans="1:34" ht="13.2">
      <c r="A344" s="88"/>
      <c r="B344" s="88"/>
      <c r="C344" s="88"/>
      <c r="D344" s="88"/>
      <c r="E344" s="88"/>
      <c r="F344" s="88"/>
      <c r="G344" s="88"/>
      <c r="H344" s="88"/>
      <c r="I344" s="88"/>
      <c r="J344" s="88"/>
      <c r="K344" s="88"/>
      <c r="L344" s="88"/>
      <c r="M344" s="88"/>
      <c r="N344" s="88"/>
      <c r="O344" s="88"/>
      <c r="P344" s="88"/>
      <c r="Q344" s="88"/>
      <c r="R344" s="88"/>
      <c r="S344" s="88"/>
      <c r="T344" s="88"/>
      <c r="U344" s="88"/>
      <c r="V344" s="88"/>
      <c r="W344" s="88"/>
      <c r="X344" s="88"/>
      <c r="Y344" s="88"/>
      <c r="Z344" s="88"/>
      <c r="AA344" s="88"/>
      <c r="AB344" s="128"/>
      <c r="AC344" s="128"/>
      <c r="AD344" s="128"/>
      <c r="AE344" s="128"/>
      <c r="AF344" s="128"/>
      <c r="AG344" s="128"/>
      <c r="AH344" s="127"/>
    </row>
    <row r="345" spans="1:34" ht="13.2">
      <c r="A345" s="88"/>
      <c r="B345" s="88"/>
      <c r="C345" s="88"/>
      <c r="D345" s="88"/>
      <c r="E345" s="88"/>
      <c r="F345" s="88"/>
      <c r="G345" s="88"/>
      <c r="H345" s="88"/>
      <c r="I345" s="88"/>
      <c r="J345" s="88"/>
      <c r="K345" s="88"/>
      <c r="L345" s="88"/>
      <c r="M345" s="88"/>
      <c r="N345" s="88"/>
      <c r="O345" s="88"/>
      <c r="P345" s="88"/>
      <c r="Q345" s="88"/>
      <c r="R345" s="88"/>
      <c r="S345" s="88"/>
      <c r="T345" s="88"/>
      <c r="U345" s="88"/>
      <c r="V345" s="88"/>
      <c r="W345" s="88"/>
      <c r="X345" s="88"/>
      <c r="Y345" s="88"/>
      <c r="Z345" s="88"/>
      <c r="AA345" s="88"/>
      <c r="AB345" s="128"/>
      <c r="AC345" s="128"/>
      <c r="AD345" s="128"/>
      <c r="AE345" s="128"/>
      <c r="AF345" s="128"/>
      <c r="AG345" s="128"/>
      <c r="AH345" s="127"/>
    </row>
    <row r="346" spans="1:34" ht="13.2">
      <c r="A346" s="88"/>
      <c r="B346" s="88"/>
      <c r="C346" s="88"/>
      <c r="D346" s="88"/>
      <c r="E346" s="88"/>
      <c r="F346" s="88"/>
      <c r="G346" s="88"/>
      <c r="H346" s="88"/>
      <c r="I346" s="88"/>
      <c r="J346" s="88"/>
      <c r="K346" s="88"/>
      <c r="L346" s="88"/>
      <c r="M346" s="88"/>
      <c r="N346" s="88"/>
      <c r="O346" s="88"/>
      <c r="P346" s="88"/>
      <c r="Q346" s="88"/>
      <c r="R346" s="88"/>
      <c r="S346" s="88"/>
      <c r="T346" s="88"/>
      <c r="U346" s="88"/>
      <c r="V346" s="88"/>
      <c r="W346" s="88"/>
      <c r="X346" s="88"/>
      <c r="Y346" s="88"/>
      <c r="Z346" s="88"/>
      <c r="AA346" s="88"/>
      <c r="AB346" s="128"/>
      <c r="AC346" s="128"/>
      <c r="AD346" s="128"/>
      <c r="AE346" s="128"/>
      <c r="AF346" s="128"/>
      <c r="AG346" s="128"/>
      <c r="AH346" s="127"/>
    </row>
    <row r="347" spans="1:34" ht="13.2">
      <c r="A347" s="88"/>
      <c r="B347" s="88"/>
      <c r="C347" s="88"/>
      <c r="D347" s="88"/>
      <c r="E347" s="88"/>
      <c r="F347" s="88"/>
      <c r="G347" s="88"/>
      <c r="H347" s="88"/>
      <c r="I347" s="88"/>
      <c r="J347" s="88"/>
      <c r="K347" s="88"/>
      <c r="L347" s="88"/>
      <c r="M347" s="88"/>
      <c r="N347" s="88"/>
      <c r="O347" s="88"/>
      <c r="P347" s="88"/>
      <c r="Q347" s="88"/>
      <c r="R347" s="88"/>
      <c r="S347" s="88"/>
      <c r="T347" s="88"/>
      <c r="U347" s="88"/>
      <c r="V347" s="88"/>
      <c r="W347" s="88"/>
      <c r="X347" s="88"/>
      <c r="Y347" s="88"/>
      <c r="Z347" s="88"/>
      <c r="AA347" s="88"/>
      <c r="AB347" s="128"/>
      <c r="AC347" s="128"/>
      <c r="AD347" s="128"/>
      <c r="AE347" s="128"/>
      <c r="AF347" s="128"/>
      <c r="AG347" s="128"/>
      <c r="AH347" s="127"/>
    </row>
    <row r="348" spans="1:34" ht="13.2">
      <c r="A348" s="88"/>
      <c r="B348" s="88"/>
      <c r="C348" s="88"/>
      <c r="D348" s="88"/>
      <c r="E348" s="88"/>
      <c r="F348" s="88"/>
      <c r="G348" s="88"/>
      <c r="H348" s="88"/>
      <c r="I348" s="88"/>
      <c r="J348" s="88"/>
      <c r="K348" s="88"/>
      <c r="L348" s="88"/>
      <c r="M348" s="88"/>
      <c r="N348" s="88"/>
      <c r="O348" s="88"/>
      <c r="P348" s="88"/>
      <c r="Q348" s="88"/>
      <c r="R348" s="88"/>
      <c r="S348" s="88"/>
      <c r="T348" s="88"/>
      <c r="U348" s="88"/>
      <c r="V348" s="88"/>
      <c r="W348" s="88"/>
      <c r="X348" s="88"/>
      <c r="Y348" s="88"/>
      <c r="Z348" s="88"/>
      <c r="AA348" s="88"/>
      <c r="AB348" s="128"/>
      <c r="AC348" s="128"/>
      <c r="AD348" s="128"/>
      <c r="AE348" s="128"/>
      <c r="AF348" s="128"/>
      <c r="AG348" s="128"/>
      <c r="AH348" s="127"/>
    </row>
    <row r="349" spans="1:34" ht="13.2">
      <c r="A349" s="88"/>
      <c r="B349" s="88"/>
      <c r="C349" s="88"/>
      <c r="D349" s="88"/>
      <c r="E349" s="88"/>
      <c r="F349" s="88"/>
      <c r="G349" s="88"/>
      <c r="H349" s="88"/>
      <c r="I349" s="88"/>
      <c r="J349" s="88"/>
      <c r="K349" s="88"/>
      <c r="L349" s="88"/>
      <c r="M349" s="88"/>
      <c r="N349" s="88"/>
      <c r="O349" s="88"/>
      <c r="P349" s="88"/>
      <c r="Q349" s="88"/>
      <c r="R349" s="88"/>
      <c r="S349" s="88"/>
      <c r="T349" s="88"/>
      <c r="U349" s="88"/>
      <c r="V349" s="88"/>
      <c r="W349" s="88"/>
      <c r="X349" s="88"/>
      <c r="Y349" s="88"/>
      <c r="Z349" s="88"/>
      <c r="AA349" s="88"/>
      <c r="AB349" s="128"/>
      <c r="AC349" s="128"/>
      <c r="AD349" s="128"/>
      <c r="AE349" s="128"/>
      <c r="AF349" s="128"/>
      <c r="AG349" s="128"/>
      <c r="AH349" s="127"/>
    </row>
    <row r="350" spans="1:34" ht="13.2">
      <c r="A350" s="88"/>
      <c r="B350" s="88"/>
      <c r="C350" s="88"/>
      <c r="D350" s="88"/>
      <c r="E350" s="88"/>
      <c r="F350" s="88"/>
      <c r="G350" s="88"/>
      <c r="H350" s="88"/>
      <c r="I350" s="88"/>
      <c r="J350" s="88"/>
      <c r="K350" s="88"/>
      <c r="L350" s="88"/>
      <c r="M350" s="88"/>
      <c r="N350" s="88"/>
      <c r="O350" s="88"/>
      <c r="P350" s="88"/>
      <c r="Q350" s="88"/>
      <c r="R350" s="88"/>
      <c r="S350" s="88"/>
      <c r="T350" s="88"/>
      <c r="U350" s="88"/>
      <c r="V350" s="88"/>
      <c r="W350" s="88"/>
      <c r="X350" s="88"/>
      <c r="Y350" s="88"/>
      <c r="Z350" s="88"/>
      <c r="AA350" s="88"/>
      <c r="AB350" s="128"/>
      <c r="AC350" s="128"/>
      <c r="AD350" s="128"/>
      <c r="AE350" s="128"/>
      <c r="AF350" s="128"/>
      <c r="AG350" s="128"/>
      <c r="AH350" s="127"/>
    </row>
    <row r="351" spans="1:34" ht="13.2">
      <c r="A351" s="88"/>
      <c r="B351" s="88"/>
      <c r="C351" s="88"/>
      <c r="D351" s="88"/>
      <c r="E351" s="88"/>
      <c r="F351" s="88"/>
      <c r="G351" s="88"/>
      <c r="H351" s="88"/>
      <c r="I351" s="88"/>
      <c r="J351" s="88"/>
      <c r="K351" s="88"/>
      <c r="L351" s="88"/>
      <c r="M351" s="88"/>
      <c r="N351" s="88"/>
      <c r="O351" s="88"/>
      <c r="P351" s="88"/>
      <c r="Q351" s="88"/>
      <c r="R351" s="88"/>
      <c r="S351" s="88"/>
      <c r="T351" s="88"/>
      <c r="U351" s="88"/>
      <c r="V351" s="88"/>
      <c r="W351" s="88"/>
      <c r="X351" s="88"/>
      <c r="Y351" s="88"/>
      <c r="Z351" s="88"/>
      <c r="AA351" s="88"/>
      <c r="AB351" s="128"/>
      <c r="AC351" s="128"/>
      <c r="AD351" s="128"/>
      <c r="AE351" s="128"/>
      <c r="AF351" s="128"/>
      <c r="AG351" s="128"/>
      <c r="AH351" s="127"/>
    </row>
    <row r="352" spans="1:34" ht="13.2">
      <c r="A352" s="88"/>
      <c r="B352" s="88"/>
      <c r="C352" s="88"/>
      <c r="D352" s="88"/>
      <c r="E352" s="88"/>
      <c r="F352" s="88"/>
      <c r="G352" s="88"/>
      <c r="H352" s="88"/>
      <c r="I352" s="88"/>
      <c r="J352" s="88"/>
      <c r="K352" s="88"/>
      <c r="L352" s="88"/>
      <c r="M352" s="88"/>
      <c r="N352" s="88"/>
      <c r="O352" s="88"/>
      <c r="P352" s="88"/>
      <c r="Q352" s="88"/>
      <c r="R352" s="88"/>
      <c r="S352" s="88"/>
      <c r="T352" s="88"/>
      <c r="U352" s="88"/>
      <c r="V352" s="88"/>
      <c r="W352" s="88"/>
      <c r="X352" s="88"/>
      <c r="Y352" s="88"/>
      <c r="Z352" s="88"/>
      <c r="AA352" s="88"/>
      <c r="AB352" s="128"/>
      <c r="AC352" s="128"/>
      <c r="AD352" s="128"/>
      <c r="AE352" s="128"/>
      <c r="AF352" s="128"/>
      <c r="AG352" s="128"/>
      <c r="AH352" s="127"/>
    </row>
    <row r="353" spans="1:34" ht="13.2">
      <c r="A353" s="88"/>
      <c r="B353" s="88"/>
      <c r="C353" s="88"/>
      <c r="D353" s="88"/>
      <c r="E353" s="88"/>
      <c r="F353" s="88"/>
      <c r="G353" s="88"/>
      <c r="H353" s="88"/>
      <c r="I353" s="88"/>
      <c r="J353" s="88"/>
      <c r="K353" s="88"/>
      <c r="L353" s="88"/>
      <c r="M353" s="88"/>
      <c r="N353" s="88"/>
      <c r="O353" s="88"/>
      <c r="P353" s="88"/>
      <c r="Q353" s="88"/>
      <c r="R353" s="88"/>
      <c r="S353" s="88"/>
      <c r="T353" s="88"/>
      <c r="U353" s="88"/>
      <c r="V353" s="88"/>
      <c r="W353" s="88"/>
      <c r="X353" s="88"/>
      <c r="Y353" s="88"/>
      <c r="Z353" s="88"/>
      <c r="AA353" s="88"/>
      <c r="AB353" s="128"/>
      <c r="AC353" s="128"/>
      <c r="AD353" s="128"/>
      <c r="AE353" s="128"/>
      <c r="AF353" s="128"/>
      <c r="AG353" s="128"/>
      <c r="AH353" s="127"/>
    </row>
    <row r="354" spans="1:34" ht="13.2">
      <c r="A354" s="88"/>
      <c r="B354" s="88"/>
      <c r="C354" s="88"/>
      <c r="D354" s="88"/>
      <c r="E354" s="88"/>
      <c r="F354" s="88"/>
      <c r="G354" s="88"/>
      <c r="H354" s="88"/>
      <c r="I354" s="88"/>
      <c r="J354" s="88"/>
      <c r="K354" s="88"/>
      <c r="L354" s="88"/>
      <c r="M354" s="88"/>
      <c r="N354" s="88"/>
      <c r="O354" s="88"/>
      <c r="P354" s="88"/>
      <c r="Q354" s="88"/>
      <c r="R354" s="88"/>
      <c r="S354" s="88"/>
      <c r="T354" s="88"/>
      <c r="U354" s="88"/>
      <c r="V354" s="88"/>
      <c r="W354" s="88"/>
      <c r="X354" s="88"/>
      <c r="Y354" s="88"/>
      <c r="Z354" s="88"/>
      <c r="AA354" s="88"/>
      <c r="AB354" s="128"/>
      <c r="AC354" s="128"/>
      <c r="AD354" s="128"/>
      <c r="AE354" s="128"/>
      <c r="AF354" s="128"/>
      <c r="AG354" s="128"/>
      <c r="AH354" s="127"/>
    </row>
    <row r="355" spans="1:34" ht="13.2">
      <c r="A355" s="88"/>
      <c r="B355" s="88"/>
      <c r="C355" s="88"/>
      <c r="D355" s="88"/>
      <c r="E355" s="88"/>
      <c r="F355" s="88"/>
      <c r="G355" s="88"/>
      <c r="H355" s="88"/>
      <c r="I355" s="88"/>
      <c r="J355" s="88"/>
      <c r="K355" s="88"/>
      <c r="L355" s="88"/>
      <c r="M355" s="88"/>
      <c r="N355" s="88"/>
      <c r="O355" s="88"/>
      <c r="P355" s="88"/>
      <c r="Q355" s="88"/>
      <c r="R355" s="88"/>
      <c r="S355" s="88"/>
      <c r="T355" s="88"/>
      <c r="U355" s="88"/>
      <c r="V355" s="88"/>
      <c r="W355" s="88"/>
      <c r="X355" s="88"/>
      <c r="Y355" s="88"/>
      <c r="Z355" s="88"/>
      <c r="AA355" s="88"/>
      <c r="AB355" s="128"/>
      <c r="AC355" s="128"/>
      <c r="AD355" s="128"/>
      <c r="AE355" s="128"/>
      <c r="AF355" s="128"/>
      <c r="AG355" s="128"/>
      <c r="AH355" s="127"/>
    </row>
    <row r="356" spans="1:34" ht="13.2">
      <c r="A356" s="88"/>
      <c r="B356" s="88"/>
      <c r="C356" s="88"/>
      <c r="D356" s="88"/>
      <c r="E356" s="88"/>
      <c r="F356" s="88"/>
      <c r="G356" s="88"/>
      <c r="H356" s="88"/>
      <c r="I356" s="88"/>
      <c r="J356" s="88"/>
      <c r="K356" s="88"/>
      <c r="L356" s="88"/>
      <c r="M356" s="88"/>
      <c r="N356" s="88"/>
      <c r="O356" s="88"/>
      <c r="P356" s="88"/>
      <c r="Q356" s="88"/>
      <c r="R356" s="88"/>
      <c r="S356" s="88"/>
      <c r="T356" s="88"/>
      <c r="U356" s="88"/>
      <c r="V356" s="88"/>
      <c r="W356" s="88"/>
      <c r="X356" s="88"/>
      <c r="Y356" s="88"/>
      <c r="Z356" s="88"/>
      <c r="AA356" s="88"/>
      <c r="AB356" s="128"/>
      <c r="AC356" s="128"/>
      <c r="AD356" s="128"/>
      <c r="AE356" s="128"/>
      <c r="AF356" s="128"/>
      <c r="AG356" s="128"/>
      <c r="AH356" s="127"/>
    </row>
    <row r="357" spans="1:34" ht="13.2">
      <c r="A357" s="88"/>
      <c r="B357" s="88"/>
      <c r="C357" s="88"/>
      <c r="D357" s="88"/>
      <c r="E357" s="88"/>
      <c r="F357" s="88"/>
      <c r="G357" s="88"/>
      <c r="H357" s="88"/>
      <c r="I357" s="88"/>
      <c r="J357" s="88"/>
      <c r="K357" s="88"/>
      <c r="L357" s="88"/>
      <c r="M357" s="88"/>
      <c r="N357" s="88"/>
      <c r="O357" s="88"/>
      <c r="P357" s="88"/>
      <c r="Q357" s="88"/>
      <c r="R357" s="88"/>
      <c r="S357" s="88"/>
      <c r="T357" s="88"/>
      <c r="U357" s="88"/>
      <c r="V357" s="88"/>
      <c r="W357" s="88"/>
      <c r="X357" s="88"/>
      <c r="Y357" s="88"/>
      <c r="Z357" s="88"/>
      <c r="AA357" s="88"/>
      <c r="AB357" s="128"/>
      <c r="AC357" s="128"/>
      <c r="AD357" s="128"/>
      <c r="AE357" s="128"/>
      <c r="AF357" s="128"/>
      <c r="AG357" s="128"/>
      <c r="AH357" s="127"/>
    </row>
    <row r="358" spans="1:34" ht="13.2">
      <c r="A358" s="88"/>
      <c r="B358" s="88"/>
      <c r="C358" s="88"/>
      <c r="D358" s="88"/>
      <c r="E358" s="88"/>
      <c r="F358" s="88"/>
      <c r="G358" s="88"/>
      <c r="H358" s="88"/>
      <c r="I358" s="88"/>
      <c r="J358" s="88"/>
      <c r="K358" s="88"/>
      <c r="L358" s="88"/>
      <c r="M358" s="88"/>
      <c r="N358" s="88"/>
      <c r="O358" s="88"/>
      <c r="P358" s="88"/>
      <c r="Q358" s="88"/>
      <c r="R358" s="88"/>
      <c r="S358" s="88"/>
      <c r="T358" s="88"/>
      <c r="U358" s="88"/>
      <c r="V358" s="88"/>
      <c r="W358" s="88"/>
      <c r="X358" s="88"/>
      <c r="Y358" s="88"/>
      <c r="Z358" s="88"/>
      <c r="AA358" s="88"/>
      <c r="AB358" s="128"/>
      <c r="AC358" s="128"/>
      <c r="AD358" s="128"/>
      <c r="AE358" s="128"/>
      <c r="AF358" s="128"/>
      <c r="AG358" s="128"/>
      <c r="AH358" s="127"/>
    </row>
    <row r="359" spans="1:34" ht="13.2">
      <c r="A359" s="88"/>
      <c r="B359" s="88"/>
      <c r="C359" s="88"/>
      <c r="D359" s="88"/>
      <c r="E359" s="88"/>
      <c r="F359" s="88"/>
      <c r="G359" s="88"/>
      <c r="H359" s="88"/>
      <c r="I359" s="88"/>
      <c r="J359" s="88"/>
      <c r="K359" s="88"/>
      <c r="L359" s="88"/>
      <c r="M359" s="88"/>
      <c r="N359" s="88"/>
      <c r="O359" s="88"/>
      <c r="P359" s="88"/>
      <c r="Q359" s="88"/>
      <c r="R359" s="88"/>
      <c r="S359" s="88"/>
      <c r="T359" s="88"/>
      <c r="U359" s="88"/>
      <c r="V359" s="88"/>
      <c r="W359" s="88"/>
      <c r="X359" s="88"/>
      <c r="Y359" s="88"/>
      <c r="Z359" s="88"/>
      <c r="AA359" s="88"/>
      <c r="AB359" s="128"/>
      <c r="AC359" s="128"/>
      <c r="AD359" s="128"/>
      <c r="AE359" s="128"/>
      <c r="AF359" s="128"/>
      <c r="AG359" s="128"/>
      <c r="AH359" s="127"/>
    </row>
    <row r="360" spans="1:34" ht="13.2">
      <c r="A360" s="88"/>
      <c r="B360" s="88"/>
      <c r="C360" s="88"/>
      <c r="D360" s="88"/>
      <c r="E360" s="88"/>
      <c r="F360" s="88"/>
      <c r="G360" s="88"/>
      <c r="H360" s="88"/>
      <c r="I360" s="88"/>
      <c r="J360" s="88"/>
      <c r="K360" s="88"/>
      <c r="L360" s="88"/>
      <c r="M360" s="88"/>
      <c r="N360" s="88"/>
      <c r="O360" s="88"/>
      <c r="P360" s="88"/>
      <c r="Q360" s="88"/>
      <c r="R360" s="88"/>
      <c r="S360" s="88"/>
      <c r="T360" s="88"/>
      <c r="U360" s="88"/>
      <c r="V360" s="88"/>
      <c r="W360" s="88"/>
      <c r="X360" s="88"/>
      <c r="Y360" s="88"/>
      <c r="Z360" s="88"/>
      <c r="AA360" s="88"/>
      <c r="AB360" s="128"/>
      <c r="AC360" s="128"/>
      <c r="AD360" s="128"/>
      <c r="AE360" s="128"/>
      <c r="AF360" s="128"/>
      <c r="AG360" s="128"/>
      <c r="AH360" s="127"/>
    </row>
    <row r="361" spans="1:34" ht="13.2">
      <c r="A361" s="88"/>
      <c r="B361" s="88"/>
      <c r="C361" s="88"/>
      <c r="D361" s="88"/>
      <c r="E361" s="88"/>
      <c r="F361" s="88"/>
      <c r="G361" s="88"/>
      <c r="H361" s="88"/>
      <c r="I361" s="88"/>
      <c r="J361" s="88"/>
      <c r="K361" s="88"/>
      <c r="L361" s="88"/>
      <c r="M361" s="88"/>
      <c r="N361" s="88"/>
      <c r="O361" s="88"/>
      <c r="P361" s="88"/>
      <c r="Q361" s="88"/>
      <c r="R361" s="88"/>
      <c r="S361" s="88"/>
      <c r="T361" s="88"/>
      <c r="U361" s="88"/>
      <c r="V361" s="88"/>
      <c r="W361" s="88"/>
      <c r="X361" s="88"/>
      <c r="Y361" s="88"/>
      <c r="Z361" s="88"/>
      <c r="AA361" s="88"/>
      <c r="AB361" s="128"/>
      <c r="AC361" s="128"/>
      <c r="AD361" s="128"/>
      <c r="AE361" s="128"/>
      <c r="AF361" s="128"/>
      <c r="AG361" s="128"/>
      <c r="AH361" s="127"/>
    </row>
    <row r="362" spans="1:34" ht="13.2">
      <c r="A362" s="88"/>
      <c r="B362" s="88"/>
      <c r="C362" s="88"/>
      <c r="D362" s="88"/>
      <c r="E362" s="88"/>
      <c r="F362" s="88"/>
      <c r="G362" s="88"/>
      <c r="H362" s="88"/>
      <c r="I362" s="88"/>
      <c r="J362" s="88"/>
      <c r="K362" s="88"/>
      <c r="L362" s="88"/>
      <c r="M362" s="88"/>
      <c r="N362" s="88"/>
      <c r="O362" s="88"/>
      <c r="P362" s="88"/>
      <c r="Q362" s="88"/>
      <c r="R362" s="88"/>
      <c r="S362" s="88"/>
      <c r="T362" s="88"/>
      <c r="U362" s="88"/>
      <c r="V362" s="88"/>
      <c r="W362" s="88"/>
      <c r="X362" s="88"/>
      <c r="Y362" s="88"/>
      <c r="Z362" s="88"/>
      <c r="AA362" s="88"/>
      <c r="AB362" s="128"/>
      <c r="AC362" s="128"/>
      <c r="AD362" s="128"/>
      <c r="AE362" s="128"/>
      <c r="AF362" s="128"/>
      <c r="AG362" s="128"/>
      <c r="AH362" s="127"/>
    </row>
    <row r="363" spans="1:34" ht="13.2">
      <c r="A363" s="88"/>
      <c r="B363" s="88"/>
      <c r="C363" s="88"/>
      <c r="D363" s="88"/>
      <c r="E363" s="88"/>
      <c r="F363" s="88"/>
      <c r="G363" s="88"/>
      <c r="H363" s="88"/>
      <c r="I363" s="88"/>
      <c r="J363" s="88"/>
      <c r="K363" s="88"/>
      <c r="L363" s="88"/>
      <c r="M363" s="88"/>
      <c r="N363" s="88"/>
      <c r="O363" s="88"/>
      <c r="P363" s="88"/>
      <c r="Q363" s="88"/>
      <c r="R363" s="88"/>
      <c r="S363" s="88"/>
      <c r="T363" s="88"/>
      <c r="U363" s="88"/>
      <c r="V363" s="88"/>
      <c r="W363" s="88"/>
      <c r="X363" s="88"/>
      <c r="Y363" s="88"/>
      <c r="Z363" s="88"/>
      <c r="AA363" s="88"/>
      <c r="AB363" s="128"/>
      <c r="AC363" s="128"/>
      <c r="AD363" s="128"/>
      <c r="AE363" s="128"/>
      <c r="AF363" s="128"/>
      <c r="AG363" s="128"/>
      <c r="AH363" s="127"/>
    </row>
    <row r="364" spans="1:34" ht="13.2">
      <c r="A364" s="88"/>
      <c r="B364" s="88"/>
      <c r="C364" s="88"/>
      <c r="D364" s="88"/>
      <c r="E364" s="88"/>
      <c r="F364" s="88"/>
      <c r="G364" s="88"/>
      <c r="H364" s="88"/>
      <c r="I364" s="88"/>
      <c r="J364" s="88"/>
      <c r="K364" s="88"/>
      <c r="L364" s="88"/>
      <c r="M364" s="88"/>
      <c r="N364" s="88"/>
      <c r="O364" s="88"/>
      <c r="P364" s="88"/>
      <c r="Q364" s="88"/>
      <c r="R364" s="88"/>
      <c r="S364" s="88"/>
      <c r="T364" s="88"/>
      <c r="U364" s="88"/>
      <c r="V364" s="88"/>
      <c r="W364" s="88"/>
      <c r="X364" s="88"/>
      <c r="Y364" s="88"/>
      <c r="Z364" s="88"/>
      <c r="AA364" s="88"/>
      <c r="AB364" s="128"/>
      <c r="AC364" s="128"/>
      <c r="AD364" s="128"/>
      <c r="AE364" s="128"/>
      <c r="AF364" s="128"/>
      <c r="AG364" s="128"/>
      <c r="AH364" s="127"/>
    </row>
    <row r="365" spans="1:34" ht="13.2">
      <c r="A365" s="88"/>
      <c r="B365" s="88"/>
      <c r="C365" s="88"/>
      <c r="D365" s="88"/>
      <c r="E365" s="88"/>
      <c r="F365" s="88"/>
      <c r="G365" s="88"/>
      <c r="H365" s="88"/>
      <c r="I365" s="88"/>
      <c r="J365" s="88"/>
      <c r="K365" s="88"/>
      <c r="L365" s="88"/>
      <c r="M365" s="88"/>
      <c r="N365" s="88"/>
      <c r="O365" s="88"/>
      <c r="P365" s="88"/>
      <c r="Q365" s="88"/>
      <c r="R365" s="88"/>
      <c r="S365" s="88"/>
      <c r="T365" s="88"/>
      <c r="U365" s="88"/>
      <c r="V365" s="88"/>
      <c r="W365" s="88"/>
      <c r="X365" s="88"/>
      <c r="Y365" s="88"/>
      <c r="Z365" s="88"/>
      <c r="AA365" s="88"/>
      <c r="AB365" s="128"/>
      <c r="AC365" s="128"/>
      <c r="AD365" s="128"/>
      <c r="AE365" s="128"/>
      <c r="AF365" s="128"/>
      <c r="AG365" s="128"/>
      <c r="AH365" s="127"/>
    </row>
    <row r="366" spans="1:34" ht="13.2">
      <c r="A366" s="88"/>
      <c r="B366" s="88"/>
      <c r="C366" s="88"/>
      <c r="D366" s="88"/>
      <c r="E366" s="88"/>
      <c r="F366" s="88"/>
      <c r="G366" s="88"/>
      <c r="H366" s="88"/>
      <c r="I366" s="88"/>
      <c r="J366" s="88"/>
      <c r="K366" s="88"/>
      <c r="L366" s="88"/>
      <c r="M366" s="88"/>
      <c r="N366" s="88"/>
      <c r="O366" s="88"/>
      <c r="P366" s="88"/>
      <c r="Q366" s="88"/>
      <c r="R366" s="88"/>
      <c r="S366" s="88"/>
      <c r="T366" s="88"/>
      <c r="U366" s="88"/>
      <c r="V366" s="88"/>
      <c r="W366" s="88"/>
      <c r="X366" s="88"/>
      <c r="Y366" s="88"/>
      <c r="Z366" s="88"/>
      <c r="AA366" s="88"/>
      <c r="AB366" s="128"/>
      <c r="AC366" s="128"/>
      <c r="AD366" s="128"/>
      <c r="AE366" s="128"/>
      <c r="AF366" s="128"/>
      <c r="AG366" s="128"/>
      <c r="AH366" s="127"/>
    </row>
    <row r="367" spans="1:34" ht="13.2">
      <c r="A367" s="88"/>
      <c r="B367" s="88"/>
      <c r="C367" s="88"/>
      <c r="D367" s="88"/>
      <c r="E367" s="88"/>
      <c r="F367" s="88"/>
      <c r="G367" s="88"/>
      <c r="H367" s="88"/>
      <c r="I367" s="88"/>
      <c r="J367" s="88"/>
      <c r="K367" s="88"/>
      <c r="L367" s="88"/>
      <c r="M367" s="88"/>
      <c r="N367" s="88"/>
      <c r="O367" s="88"/>
      <c r="P367" s="88"/>
      <c r="Q367" s="88"/>
      <c r="R367" s="88"/>
      <c r="S367" s="88"/>
      <c r="T367" s="88"/>
      <c r="U367" s="88"/>
      <c r="V367" s="88"/>
      <c r="W367" s="88"/>
      <c r="X367" s="88"/>
      <c r="Y367" s="88"/>
      <c r="Z367" s="88"/>
      <c r="AA367" s="88"/>
      <c r="AB367" s="128"/>
      <c r="AC367" s="128"/>
      <c r="AD367" s="128"/>
      <c r="AE367" s="128"/>
      <c r="AF367" s="128"/>
      <c r="AG367" s="128"/>
      <c r="AH367" s="127"/>
    </row>
    <row r="368" spans="1:34" ht="13.2">
      <c r="A368" s="88"/>
      <c r="B368" s="88"/>
      <c r="C368" s="88"/>
      <c r="D368" s="88"/>
      <c r="E368" s="88"/>
      <c r="F368" s="88"/>
      <c r="G368" s="88"/>
      <c r="H368" s="88"/>
      <c r="I368" s="88"/>
      <c r="J368" s="88"/>
      <c r="K368" s="88"/>
      <c r="L368" s="88"/>
      <c r="M368" s="88"/>
      <c r="N368" s="88"/>
      <c r="O368" s="88"/>
      <c r="P368" s="88"/>
      <c r="Q368" s="88"/>
      <c r="R368" s="88"/>
      <c r="S368" s="88"/>
      <c r="T368" s="88"/>
      <c r="U368" s="88"/>
      <c r="V368" s="88"/>
      <c r="W368" s="88"/>
      <c r="X368" s="88"/>
      <c r="Y368" s="88"/>
      <c r="Z368" s="88"/>
      <c r="AA368" s="88"/>
      <c r="AB368" s="128"/>
      <c r="AC368" s="128"/>
      <c r="AD368" s="128"/>
      <c r="AE368" s="128"/>
      <c r="AF368" s="128"/>
      <c r="AG368" s="128"/>
      <c r="AH368" s="127"/>
    </row>
    <row r="369" spans="1:34" ht="13.2">
      <c r="A369" s="88"/>
      <c r="B369" s="88"/>
      <c r="C369" s="88"/>
      <c r="D369" s="88"/>
      <c r="E369" s="88"/>
      <c r="F369" s="88"/>
      <c r="G369" s="88"/>
      <c r="H369" s="88"/>
      <c r="I369" s="88"/>
      <c r="J369" s="88"/>
      <c r="K369" s="88"/>
      <c r="L369" s="88"/>
      <c r="M369" s="88"/>
      <c r="N369" s="88"/>
      <c r="O369" s="88"/>
      <c r="P369" s="88"/>
      <c r="Q369" s="88"/>
      <c r="R369" s="88"/>
      <c r="S369" s="88"/>
      <c r="T369" s="88"/>
      <c r="U369" s="88"/>
      <c r="V369" s="88"/>
      <c r="W369" s="88"/>
      <c r="X369" s="88"/>
      <c r="Y369" s="88"/>
      <c r="Z369" s="88"/>
      <c r="AA369" s="88"/>
      <c r="AB369" s="128"/>
      <c r="AC369" s="128"/>
      <c r="AD369" s="128"/>
      <c r="AE369" s="128"/>
      <c r="AF369" s="128"/>
      <c r="AG369" s="128"/>
      <c r="AH369" s="127"/>
    </row>
    <row r="370" spans="1:34" ht="13.2">
      <c r="A370" s="88"/>
      <c r="B370" s="88"/>
      <c r="C370" s="88"/>
      <c r="D370" s="88"/>
      <c r="E370" s="88"/>
      <c r="F370" s="88"/>
      <c r="G370" s="88"/>
      <c r="H370" s="88"/>
      <c r="I370" s="88"/>
      <c r="J370" s="88"/>
      <c r="K370" s="88"/>
      <c r="L370" s="88"/>
      <c r="M370" s="88"/>
      <c r="N370" s="88"/>
      <c r="O370" s="88"/>
      <c r="P370" s="88"/>
      <c r="Q370" s="88"/>
      <c r="R370" s="88"/>
      <c r="S370" s="88"/>
      <c r="T370" s="88"/>
      <c r="U370" s="88"/>
      <c r="V370" s="88"/>
      <c r="W370" s="88"/>
      <c r="X370" s="88"/>
      <c r="Y370" s="88"/>
      <c r="Z370" s="88"/>
      <c r="AA370" s="88"/>
      <c r="AB370" s="128"/>
      <c r="AC370" s="128"/>
      <c r="AD370" s="128"/>
      <c r="AE370" s="128"/>
      <c r="AF370" s="128"/>
      <c r="AG370" s="128"/>
      <c r="AH370" s="127"/>
    </row>
    <row r="371" spans="1:34" ht="13.2">
      <c r="A371" s="88"/>
      <c r="B371" s="88"/>
      <c r="C371" s="88"/>
      <c r="D371" s="88"/>
      <c r="E371" s="88"/>
      <c r="F371" s="88"/>
      <c r="G371" s="88"/>
      <c r="H371" s="88"/>
      <c r="I371" s="88"/>
      <c r="J371" s="88"/>
      <c r="K371" s="88"/>
      <c r="L371" s="88"/>
      <c r="M371" s="88"/>
      <c r="N371" s="88"/>
      <c r="O371" s="88"/>
      <c r="P371" s="88"/>
      <c r="Q371" s="88"/>
      <c r="R371" s="88"/>
      <c r="S371" s="88"/>
      <c r="T371" s="88"/>
      <c r="U371" s="88"/>
      <c r="V371" s="88"/>
      <c r="W371" s="88"/>
      <c r="X371" s="88"/>
      <c r="Y371" s="88"/>
      <c r="Z371" s="88"/>
      <c r="AA371" s="88"/>
      <c r="AB371" s="128"/>
      <c r="AC371" s="128"/>
      <c r="AD371" s="128"/>
      <c r="AE371" s="128"/>
      <c r="AF371" s="128"/>
      <c r="AG371" s="128"/>
      <c r="AH371" s="127"/>
    </row>
    <row r="372" spans="1:34" ht="13.2">
      <c r="A372" s="88"/>
      <c r="B372" s="88"/>
      <c r="C372" s="88"/>
      <c r="D372" s="88"/>
      <c r="E372" s="88"/>
      <c r="F372" s="88"/>
      <c r="G372" s="88"/>
      <c r="H372" s="88"/>
      <c r="I372" s="88"/>
      <c r="J372" s="88"/>
      <c r="K372" s="88"/>
      <c r="L372" s="88"/>
      <c r="M372" s="88"/>
      <c r="N372" s="88"/>
      <c r="O372" s="88"/>
      <c r="P372" s="88"/>
      <c r="Q372" s="88"/>
      <c r="R372" s="88"/>
      <c r="S372" s="88"/>
      <c r="T372" s="88"/>
      <c r="U372" s="88"/>
      <c r="V372" s="88"/>
      <c r="W372" s="88"/>
      <c r="X372" s="88"/>
      <c r="Y372" s="88"/>
      <c r="Z372" s="88"/>
      <c r="AA372" s="88"/>
      <c r="AB372" s="128"/>
      <c r="AC372" s="128"/>
      <c r="AD372" s="128"/>
      <c r="AE372" s="128"/>
      <c r="AF372" s="128"/>
      <c r="AG372" s="128"/>
      <c r="AH372" s="127"/>
    </row>
    <row r="373" spans="1:34" ht="13.2">
      <c r="A373" s="88"/>
      <c r="B373" s="88"/>
      <c r="C373" s="88"/>
      <c r="D373" s="88"/>
      <c r="E373" s="88"/>
      <c r="F373" s="88"/>
      <c r="G373" s="88"/>
      <c r="H373" s="88"/>
      <c r="I373" s="88"/>
      <c r="J373" s="88"/>
      <c r="K373" s="88"/>
      <c r="L373" s="88"/>
      <c r="M373" s="88"/>
      <c r="N373" s="88"/>
      <c r="O373" s="88"/>
      <c r="P373" s="88"/>
      <c r="Q373" s="88"/>
      <c r="R373" s="88"/>
      <c r="S373" s="88"/>
      <c r="T373" s="88"/>
      <c r="U373" s="88"/>
      <c r="V373" s="88"/>
      <c r="W373" s="88"/>
      <c r="X373" s="88"/>
      <c r="Y373" s="88"/>
      <c r="Z373" s="88"/>
      <c r="AA373" s="88"/>
      <c r="AB373" s="128"/>
      <c r="AC373" s="128"/>
      <c r="AD373" s="128"/>
      <c r="AE373" s="128"/>
      <c r="AF373" s="128"/>
      <c r="AG373" s="128"/>
      <c r="AH373" s="127"/>
    </row>
    <row r="374" spans="1:34" ht="13.2">
      <c r="A374" s="88"/>
      <c r="B374" s="88"/>
      <c r="C374" s="88"/>
      <c r="D374" s="88"/>
      <c r="E374" s="88"/>
      <c r="F374" s="88"/>
      <c r="G374" s="88"/>
      <c r="H374" s="88"/>
      <c r="I374" s="88"/>
      <c r="J374" s="88"/>
      <c r="K374" s="88"/>
      <c r="L374" s="88"/>
      <c r="M374" s="88"/>
      <c r="N374" s="88"/>
      <c r="O374" s="88"/>
      <c r="P374" s="88"/>
      <c r="Q374" s="88"/>
      <c r="R374" s="88"/>
      <c r="S374" s="88"/>
      <c r="T374" s="88"/>
      <c r="U374" s="88"/>
      <c r="V374" s="88"/>
      <c r="W374" s="88"/>
      <c r="X374" s="88"/>
      <c r="Y374" s="88"/>
      <c r="Z374" s="88"/>
      <c r="AA374" s="88"/>
      <c r="AB374" s="128"/>
      <c r="AC374" s="128"/>
      <c r="AD374" s="128"/>
      <c r="AE374" s="128"/>
      <c r="AF374" s="128"/>
      <c r="AG374" s="128"/>
      <c r="AH374" s="127"/>
    </row>
    <row r="375" spans="1:34" ht="13.2">
      <c r="A375" s="88"/>
      <c r="B375" s="88"/>
      <c r="C375" s="88"/>
      <c r="D375" s="88"/>
      <c r="E375" s="88"/>
      <c r="F375" s="88"/>
      <c r="G375" s="88"/>
      <c r="H375" s="88"/>
      <c r="I375" s="88"/>
      <c r="J375" s="88"/>
      <c r="K375" s="88"/>
      <c r="L375" s="88"/>
      <c r="M375" s="88"/>
      <c r="N375" s="88"/>
      <c r="O375" s="88"/>
      <c r="P375" s="88"/>
      <c r="Q375" s="88"/>
      <c r="R375" s="88"/>
      <c r="S375" s="88"/>
      <c r="T375" s="88"/>
      <c r="U375" s="88"/>
      <c r="V375" s="88"/>
      <c r="W375" s="88"/>
      <c r="X375" s="88"/>
      <c r="Y375" s="88"/>
      <c r="Z375" s="88"/>
      <c r="AA375" s="88"/>
      <c r="AB375" s="128"/>
      <c r="AC375" s="128"/>
      <c r="AD375" s="128"/>
      <c r="AE375" s="128"/>
      <c r="AF375" s="128"/>
      <c r="AG375" s="128"/>
      <c r="AH375" s="127"/>
    </row>
    <row r="376" spans="1:34" ht="13.2">
      <c r="A376" s="88"/>
      <c r="B376" s="88"/>
      <c r="C376" s="88"/>
      <c r="D376" s="88"/>
      <c r="E376" s="88"/>
      <c r="F376" s="88"/>
      <c r="G376" s="88"/>
      <c r="H376" s="88"/>
      <c r="I376" s="88"/>
      <c r="J376" s="88"/>
      <c r="K376" s="88"/>
      <c r="L376" s="88"/>
      <c r="M376" s="88"/>
      <c r="N376" s="88"/>
      <c r="O376" s="88"/>
      <c r="P376" s="88"/>
      <c r="Q376" s="88"/>
      <c r="R376" s="88"/>
      <c r="S376" s="88"/>
      <c r="T376" s="88"/>
      <c r="U376" s="88"/>
      <c r="V376" s="88"/>
      <c r="W376" s="88"/>
      <c r="X376" s="88"/>
      <c r="Y376" s="88"/>
      <c r="Z376" s="88"/>
      <c r="AA376" s="88"/>
      <c r="AB376" s="128"/>
      <c r="AC376" s="128"/>
      <c r="AD376" s="128"/>
      <c r="AE376" s="128"/>
      <c r="AF376" s="128"/>
      <c r="AG376" s="128"/>
      <c r="AH376" s="127"/>
    </row>
    <row r="377" spans="1:34" ht="13.2">
      <c r="A377" s="88"/>
      <c r="B377" s="88"/>
      <c r="C377" s="88"/>
      <c r="D377" s="88"/>
      <c r="E377" s="88"/>
      <c r="F377" s="88"/>
      <c r="G377" s="88"/>
      <c r="H377" s="88"/>
      <c r="I377" s="88"/>
      <c r="J377" s="88"/>
      <c r="K377" s="88"/>
      <c r="L377" s="88"/>
      <c r="M377" s="88"/>
      <c r="N377" s="88"/>
      <c r="O377" s="88"/>
      <c r="P377" s="88"/>
      <c r="Q377" s="88"/>
      <c r="R377" s="88"/>
      <c r="S377" s="88"/>
      <c r="T377" s="88"/>
      <c r="U377" s="88"/>
      <c r="V377" s="88"/>
      <c r="W377" s="88"/>
      <c r="X377" s="88"/>
      <c r="Y377" s="88"/>
      <c r="Z377" s="88"/>
      <c r="AA377" s="88"/>
      <c r="AB377" s="128"/>
      <c r="AC377" s="128"/>
      <c r="AD377" s="128"/>
      <c r="AE377" s="128"/>
      <c r="AF377" s="128"/>
      <c r="AG377" s="128"/>
      <c r="AH377" s="127"/>
    </row>
    <row r="378" spans="1:34" ht="13.2">
      <c r="A378" s="88"/>
      <c r="B378" s="88"/>
      <c r="C378" s="88"/>
      <c r="D378" s="88"/>
      <c r="E378" s="88"/>
      <c r="F378" s="88"/>
      <c r="G378" s="88"/>
      <c r="H378" s="88"/>
      <c r="I378" s="88"/>
      <c r="J378" s="88"/>
      <c r="K378" s="88"/>
      <c r="L378" s="88"/>
      <c r="M378" s="88"/>
      <c r="N378" s="88"/>
      <c r="O378" s="88"/>
      <c r="P378" s="88"/>
      <c r="Q378" s="88"/>
      <c r="R378" s="88"/>
      <c r="S378" s="88"/>
      <c r="T378" s="88"/>
      <c r="U378" s="88"/>
      <c r="V378" s="88"/>
      <c r="W378" s="88"/>
      <c r="X378" s="88"/>
      <c r="Y378" s="88"/>
      <c r="Z378" s="88"/>
      <c r="AA378" s="88"/>
      <c r="AB378" s="128"/>
      <c r="AC378" s="128"/>
      <c r="AD378" s="128"/>
      <c r="AE378" s="128"/>
      <c r="AF378" s="128"/>
      <c r="AG378" s="128"/>
      <c r="AH378" s="127"/>
    </row>
    <row r="379" spans="1:34" ht="13.2">
      <c r="A379" s="88"/>
      <c r="B379" s="88"/>
      <c r="C379" s="88"/>
      <c r="D379" s="88"/>
      <c r="E379" s="88"/>
      <c r="F379" s="88"/>
      <c r="G379" s="88"/>
      <c r="H379" s="88"/>
      <c r="I379" s="88"/>
      <c r="J379" s="88"/>
      <c r="K379" s="88"/>
      <c r="L379" s="88"/>
      <c r="M379" s="88"/>
      <c r="N379" s="88"/>
      <c r="O379" s="88"/>
      <c r="P379" s="88"/>
      <c r="Q379" s="88"/>
      <c r="R379" s="88"/>
      <c r="S379" s="88"/>
      <c r="T379" s="88"/>
      <c r="U379" s="88"/>
      <c r="V379" s="88"/>
      <c r="W379" s="88"/>
      <c r="X379" s="88"/>
      <c r="Y379" s="88"/>
      <c r="Z379" s="88"/>
      <c r="AA379" s="88"/>
      <c r="AB379" s="128"/>
      <c r="AC379" s="128"/>
      <c r="AD379" s="128"/>
      <c r="AE379" s="128"/>
      <c r="AF379" s="128"/>
      <c r="AG379" s="128"/>
      <c r="AH379" s="127"/>
    </row>
    <row r="380" spans="1:34" ht="13.2">
      <c r="A380" s="88"/>
      <c r="B380" s="88"/>
      <c r="C380" s="88"/>
      <c r="D380" s="88"/>
      <c r="E380" s="88"/>
      <c r="F380" s="88"/>
      <c r="G380" s="88"/>
      <c r="H380" s="88"/>
      <c r="I380" s="88"/>
      <c r="J380" s="88"/>
      <c r="K380" s="88"/>
      <c r="L380" s="88"/>
      <c r="M380" s="88"/>
      <c r="N380" s="88"/>
      <c r="O380" s="88"/>
      <c r="P380" s="88"/>
      <c r="Q380" s="88"/>
      <c r="R380" s="88"/>
      <c r="S380" s="88"/>
      <c r="T380" s="88"/>
      <c r="U380" s="88"/>
      <c r="V380" s="88"/>
      <c r="W380" s="88"/>
      <c r="X380" s="88"/>
      <c r="Y380" s="88"/>
      <c r="Z380" s="88"/>
      <c r="AA380" s="88"/>
      <c r="AB380" s="128"/>
      <c r="AC380" s="128"/>
      <c r="AD380" s="128"/>
      <c r="AE380" s="128"/>
      <c r="AF380" s="128"/>
      <c r="AG380" s="128"/>
      <c r="AH380" s="127"/>
    </row>
    <row r="381" spans="1:34" ht="13.2">
      <c r="A381" s="88"/>
      <c r="B381" s="88"/>
      <c r="C381" s="88"/>
      <c r="D381" s="88"/>
      <c r="E381" s="88"/>
      <c r="F381" s="88"/>
      <c r="G381" s="88"/>
      <c r="H381" s="88"/>
      <c r="I381" s="88"/>
      <c r="J381" s="88"/>
      <c r="K381" s="88"/>
      <c r="L381" s="88"/>
      <c r="M381" s="88"/>
      <c r="N381" s="88"/>
      <c r="O381" s="88"/>
      <c r="P381" s="88"/>
      <c r="Q381" s="88"/>
      <c r="R381" s="88"/>
      <c r="S381" s="88"/>
      <c r="T381" s="88"/>
      <c r="U381" s="88"/>
      <c r="V381" s="88"/>
      <c r="W381" s="88"/>
      <c r="X381" s="88"/>
      <c r="Y381" s="88"/>
      <c r="Z381" s="88"/>
      <c r="AA381" s="88"/>
      <c r="AB381" s="128"/>
      <c r="AC381" s="128"/>
      <c r="AD381" s="128"/>
      <c r="AE381" s="128"/>
      <c r="AF381" s="128"/>
      <c r="AG381" s="128"/>
      <c r="AH381" s="127"/>
    </row>
    <row r="382" spans="1:34" ht="13.2">
      <c r="A382" s="88"/>
      <c r="B382" s="88"/>
      <c r="C382" s="88"/>
      <c r="D382" s="88"/>
      <c r="E382" s="88"/>
      <c r="F382" s="88"/>
      <c r="G382" s="88"/>
      <c r="H382" s="88"/>
      <c r="I382" s="88"/>
      <c r="J382" s="88"/>
      <c r="K382" s="88"/>
      <c r="L382" s="88"/>
      <c r="M382" s="88"/>
      <c r="N382" s="88"/>
      <c r="O382" s="88"/>
      <c r="P382" s="88"/>
      <c r="Q382" s="88"/>
      <c r="R382" s="88"/>
      <c r="S382" s="88"/>
      <c r="T382" s="88"/>
      <c r="U382" s="88"/>
      <c r="V382" s="88"/>
      <c r="W382" s="88"/>
      <c r="X382" s="88"/>
      <c r="Y382" s="88"/>
      <c r="Z382" s="88"/>
      <c r="AA382" s="88"/>
      <c r="AB382" s="128"/>
      <c r="AC382" s="128"/>
      <c r="AD382" s="128"/>
      <c r="AE382" s="128"/>
      <c r="AF382" s="128"/>
      <c r="AG382" s="128"/>
      <c r="AH382" s="127"/>
    </row>
    <row r="383" spans="1:34" ht="13.2">
      <c r="A383" s="88"/>
      <c r="B383" s="88"/>
      <c r="C383" s="88"/>
      <c r="D383" s="88"/>
      <c r="E383" s="88"/>
      <c r="F383" s="88"/>
      <c r="G383" s="88"/>
      <c r="H383" s="88"/>
      <c r="I383" s="88"/>
      <c r="J383" s="88"/>
      <c r="K383" s="88"/>
      <c r="L383" s="88"/>
      <c r="M383" s="88"/>
      <c r="N383" s="88"/>
      <c r="O383" s="88"/>
      <c r="P383" s="88"/>
      <c r="Q383" s="88"/>
      <c r="R383" s="88"/>
      <c r="S383" s="88"/>
      <c r="T383" s="88"/>
      <c r="U383" s="88"/>
      <c r="V383" s="88"/>
      <c r="W383" s="88"/>
      <c r="X383" s="88"/>
      <c r="Y383" s="88"/>
      <c r="Z383" s="88"/>
      <c r="AA383" s="88"/>
      <c r="AB383" s="128"/>
      <c r="AC383" s="128"/>
      <c r="AD383" s="128"/>
      <c r="AE383" s="128"/>
      <c r="AF383" s="128"/>
      <c r="AG383" s="128"/>
      <c r="AH383" s="127"/>
    </row>
    <row r="384" spans="1:34" ht="13.2">
      <c r="A384" s="88"/>
      <c r="B384" s="88"/>
      <c r="C384" s="88"/>
      <c r="D384" s="88"/>
      <c r="E384" s="88"/>
      <c r="F384" s="88"/>
      <c r="G384" s="88"/>
      <c r="H384" s="88"/>
      <c r="I384" s="88"/>
      <c r="J384" s="88"/>
      <c r="K384" s="88"/>
      <c r="L384" s="88"/>
      <c r="M384" s="88"/>
      <c r="N384" s="88"/>
      <c r="O384" s="88"/>
      <c r="P384" s="88"/>
      <c r="Q384" s="88"/>
      <c r="R384" s="88"/>
      <c r="S384" s="88"/>
      <c r="T384" s="88"/>
      <c r="U384" s="88"/>
      <c r="V384" s="88"/>
      <c r="W384" s="88"/>
      <c r="X384" s="88"/>
      <c r="Y384" s="88"/>
      <c r="Z384" s="88"/>
      <c r="AA384" s="88"/>
      <c r="AB384" s="128"/>
      <c r="AC384" s="128"/>
      <c r="AD384" s="128"/>
      <c r="AE384" s="128"/>
      <c r="AF384" s="128"/>
      <c r="AG384" s="128"/>
      <c r="AH384" s="127"/>
    </row>
    <row r="385" spans="1:34" ht="13.2">
      <c r="A385" s="88"/>
      <c r="B385" s="88"/>
      <c r="C385" s="88"/>
      <c r="D385" s="88"/>
      <c r="E385" s="88"/>
      <c r="F385" s="88"/>
      <c r="G385" s="88"/>
      <c r="H385" s="88"/>
      <c r="I385" s="88"/>
      <c r="J385" s="88"/>
      <c r="K385" s="88"/>
      <c r="L385" s="88"/>
      <c r="M385" s="88"/>
      <c r="N385" s="88"/>
      <c r="O385" s="88"/>
      <c r="P385" s="88"/>
      <c r="Q385" s="88"/>
      <c r="R385" s="88"/>
      <c r="S385" s="88"/>
      <c r="T385" s="88"/>
      <c r="U385" s="88"/>
      <c r="V385" s="88"/>
      <c r="W385" s="88"/>
      <c r="X385" s="88"/>
      <c r="Y385" s="88"/>
      <c r="Z385" s="88"/>
      <c r="AA385" s="88"/>
      <c r="AB385" s="128"/>
      <c r="AC385" s="128"/>
      <c r="AD385" s="128"/>
      <c r="AE385" s="128"/>
      <c r="AF385" s="128"/>
      <c r="AG385" s="128"/>
      <c r="AH385" s="127"/>
    </row>
    <row r="386" spans="1:34" ht="13.2">
      <c r="A386" s="88"/>
      <c r="B386" s="88"/>
      <c r="C386" s="88"/>
      <c r="D386" s="88"/>
      <c r="E386" s="88"/>
      <c r="F386" s="88"/>
      <c r="G386" s="88"/>
      <c r="H386" s="88"/>
      <c r="I386" s="88"/>
      <c r="J386" s="88"/>
      <c r="K386" s="88"/>
      <c r="L386" s="88"/>
      <c r="M386" s="88"/>
      <c r="N386" s="88"/>
      <c r="O386" s="88"/>
      <c r="P386" s="88"/>
      <c r="Q386" s="88"/>
      <c r="R386" s="88"/>
      <c r="S386" s="88"/>
      <c r="T386" s="88"/>
      <c r="U386" s="88"/>
      <c r="V386" s="88"/>
      <c r="W386" s="88"/>
      <c r="X386" s="88"/>
      <c r="Y386" s="88"/>
      <c r="Z386" s="88"/>
      <c r="AA386" s="88"/>
      <c r="AB386" s="128"/>
      <c r="AC386" s="128"/>
      <c r="AD386" s="128"/>
      <c r="AE386" s="128"/>
      <c r="AF386" s="128"/>
      <c r="AG386" s="128"/>
      <c r="AH386" s="127"/>
    </row>
    <row r="387" spans="1:34" ht="13.2">
      <c r="A387" s="88"/>
      <c r="B387" s="88"/>
      <c r="C387" s="88"/>
      <c r="D387" s="88"/>
      <c r="E387" s="88"/>
      <c r="F387" s="88"/>
      <c r="G387" s="88"/>
      <c r="H387" s="88"/>
      <c r="I387" s="88"/>
      <c r="J387" s="88"/>
      <c r="K387" s="88"/>
      <c r="L387" s="88"/>
      <c r="M387" s="88"/>
      <c r="N387" s="88"/>
      <c r="O387" s="88"/>
      <c r="P387" s="88"/>
      <c r="Q387" s="88"/>
      <c r="R387" s="88"/>
      <c r="S387" s="88"/>
      <c r="T387" s="88"/>
      <c r="U387" s="88"/>
      <c r="V387" s="88"/>
      <c r="W387" s="88"/>
      <c r="X387" s="88"/>
      <c r="Y387" s="88"/>
      <c r="Z387" s="88"/>
      <c r="AA387" s="88"/>
      <c r="AB387" s="128"/>
      <c r="AC387" s="128"/>
      <c r="AD387" s="128"/>
      <c r="AE387" s="128"/>
      <c r="AF387" s="128"/>
      <c r="AG387" s="128"/>
      <c r="AH387" s="127"/>
    </row>
    <row r="388" spans="1:34" ht="13.2">
      <c r="A388" s="88"/>
      <c r="B388" s="88"/>
      <c r="C388" s="88"/>
      <c r="D388" s="88"/>
      <c r="E388" s="88"/>
      <c r="F388" s="88"/>
      <c r="G388" s="88"/>
      <c r="H388" s="88"/>
      <c r="I388" s="88"/>
      <c r="J388" s="88"/>
      <c r="K388" s="88"/>
      <c r="L388" s="88"/>
      <c r="M388" s="88"/>
      <c r="N388" s="88"/>
      <c r="O388" s="88"/>
      <c r="P388" s="88"/>
      <c r="Q388" s="88"/>
      <c r="R388" s="88"/>
      <c r="S388" s="88"/>
      <c r="T388" s="88"/>
      <c r="U388" s="88"/>
      <c r="V388" s="88"/>
      <c r="W388" s="88"/>
      <c r="X388" s="88"/>
      <c r="Y388" s="88"/>
      <c r="Z388" s="88"/>
      <c r="AA388" s="88"/>
      <c r="AB388" s="128"/>
      <c r="AC388" s="128"/>
      <c r="AD388" s="128"/>
      <c r="AE388" s="128"/>
      <c r="AF388" s="128"/>
      <c r="AG388" s="128"/>
      <c r="AH388" s="127"/>
    </row>
    <row r="389" spans="1:34" ht="13.2">
      <c r="A389" s="88"/>
      <c r="B389" s="88"/>
      <c r="C389" s="88"/>
      <c r="D389" s="88"/>
      <c r="E389" s="88"/>
      <c r="F389" s="88"/>
      <c r="G389" s="88"/>
      <c r="H389" s="88"/>
      <c r="I389" s="88"/>
      <c r="J389" s="88"/>
      <c r="K389" s="88"/>
      <c r="L389" s="88"/>
      <c r="M389" s="88"/>
      <c r="N389" s="88"/>
      <c r="O389" s="88"/>
      <c r="P389" s="88"/>
      <c r="Q389" s="88"/>
      <c r="R389" s="88"/>
      <c r="S389" s="88"/>
      <c r="T389" s="88"/>
      <c r="U389" s="88"/>
      <c r="V389" s="88"/>
      <c r="W389" s="88"/>
      <c r="X389" s="88"/>
      <c r="Y389" s="88"/>
      <c r="Z389" s="88"/>
      <c r="AA389" s="88"/>
      <c r="AB389" s="128"/>
      <c r="AC389" s="128"/>
      <c r="AD389" s="128"/>
      <c r="AE389" s="128"/>
      <c r="AF389" s="128"/>
      <c r="AG389" s="128"/>
      <c r="AH389" s="127"/>
    </row>
    <row r="390" spans="1:34" ht="13.2">
      <c r="A390" s="88"/>
      <c r="B390" s="88"/>
      <c r="C390" s="88"/>
      <c r="D390" s="88"/>
      <c r="E390" s="88"/>
      <c r="F390" s="88"/>
      <c r="G390" s="88"/>
      <c r="H390" s="88"/>
      <c r="I390" s="88"/>
      <c r="J390" s="88"/>
      <c r="K390" s="88"/>
      <c r="L390" s="88"/>
      <c r="M390" s="88"/>
      <c r="N390" s="88"/>
      <c r="O390" s="88"/>
      <c r="P390" s="88"/>
      <c r="Q390" s="88"/>
      <c r="R390" s="88"/>
      <c r="S390" s="88"/>
      <c r="T390" s="88"/>
      <c r="U390" s="88"/>
      <c r="V390" s="88"/>
      <c r="W390" s="88"/>
      <c r="X390" s="88"/>
      <c r="Y390" s="88"/>
      <c r="Z390" s="88"/>
      <c r="AA390" s="88"/>
      <c r="AB390" s="128"/>
      <c r="AC390" s="128"/>
      <c r="AD390" s="128"/>
      <c r="AE390" s="128"/>
      <c r="AF390" s="128"/>
      <c r="AG390" s="128"/>
      <c r="AH390" s="127"/>
    </row>
    <row r="391" spans="1:34" ht="13.2">
      <c r="A391" s="88"/>
      <c r="B391" s="88"/>
      <c r="C391" s="88"/>
      <c r="D391" s="88"/>
      <c r="E391" s="88"/>
      <c r="F391" s="88"/>
      <c r="G391" s="88"/>
      <c r="H391" s="88"/>
      <c r="I391" s="88"/>
      <c r="J391" s="88"/>
      <c r="K391" s="88"/>
      <c r="L391" s="88"/>
      <c r="M391" s="88"/>
      <c r="N391" s="88"/>
      <c r="O391" s="88"/>
      <c r="P391" s="88"/>
      <c r="Q391" s="88"/>
      <c r="R391" s="88"/>
      <c r="S391" s="88"/>
      <c r="T391" s="88"/>
      <c r="U391" s="88"/>
      <c r="V391" s="88"/>
      <c r="W391" s="88"/>
      <c r="X391" s="88"/>
      <c r="Y391" s="88"/>
      <c r="Z391" s="88"/>
      <c r="AA391" s="88"/>
      <c r="AB391" s="128"/>
      <c r="AC391" s="128"/>
      <c r="AD391" s="128"/>
      <c r="AE391" s="128"/>
      <c r="AF391" s="128"/>
      <c r="AG391" s="128"/>
      <c r="AH391" s="127"/>
    </row>
    <row r="392" spans="1:34" ht="13.2">
      <c r="A392" s="88"/>
      <c r="B392" s="88"/>
      <c r="C392" s="88"/>
      <c r="D392" s="88"/>
      <c r="E392" s="88"/>
      <c r="F392" s="88"/>
      <c r="G392" s="88"/>
      <c r="H392" s="88"/>
      <c r="I392" s="88"/>
      <c r="J392" s="88"/>
      <c r="K392" s="88"/>
      <c r="L392" s="88"/>
      <c r="M392" s="88"/>
      <c r="N392" s="88"/>
      <c r="O392" s="88"/>
      <c r="P392" s="88"/>
      <c r="Q392" s="88"/>
      <c r="R392" s="88"/>
      <c r="S392" s="88"/>
      <c r="T392" s="88"/>
      <c r="U392" s="88"/>
      <c r="V392" s="88"/>
      <c r="W392" s="88"/>
      <c r="X392" s="88"/>
      <c r="Y392" s="88"/>
      <c r="Z392" s="88"/>
      <c r="AA392" s="88"/>
      <c r="AB392" s="128"/>
      <c r="AC392" s="128"/>
      <c r="AD392" s="128"/>
      <c r="AE392" s="128"/>
      <c r="AF392" s="128"/>
      <c r="AG392" s="128"/>
      <c r="AH392" s="127"/>
    </row>
    <row r="393" spans="1:34" ht="13.2">
      <c r="A393" s="88"/>
      <c r="B393" s="88"/>
      <c r="C393" s="88"/>
      <c r="D393" s="88"/>
      <c r="E393" s="88"/>
      <c r="F393" s="88"/>
      <c r="G393" s="88"/>
      <c r="H393" s="88"/>
      <c r="I393" s="88"/>
      <c r="J393" s="88"/>
      <c r="K393" s="88"/>
      <c r="L393" s="88"/>
      <c r="M393" s="88"/>
      <c r="N393" s="88"/>
      <c r="O393" s="88"/>
      <c r="P393" s="88"/>
      <c r="Q393" s="88"/>
      <c r="R393" s="88"/>
      <c r="S393" s="88"/>
      <c r="T393" s="88"/>
      <c r="U393" s="88"/>
      <c r="V393" s="88"/>
      <c r="W393" s="88"/>
      <c r="X393" s="88"/>
      <c r="Y393" s="88"/>
      <c r="Z393" s="88"/>
      <c r="AA393" s="88"/>
      <c r="AB393" s="128"/>
      <c r="AC393" s="128"/>
      <c r="AD393" s="128"/>
      <c r="AE393" s="128"/>
      <c r="AF393" s="128"/>
      <c r="AG393" s="128"/>
      <c r="AH393" s="127"/>
    </row>
    <row r="394" spans="1:34" ht="13.2">
      <c r="A394" s="88"/>
      <c r="B394" s="88"/>
      <c r="C394" s="88"/>
      <c r="D394" s="88"/>
      <c r="E394" s="88"/>
      <c r="F394" s="88"/>
      <c r="G394" s="88"/>
      <c r="H394" s="88"/>
      <c r="I394" s="88"/>
      <c r="J394" s="88"/>
      <c r="K394" s="88"/>
      <c r="L394" s="88"/>
      <c r="M394" s="88"/>
      <c r="N394" s="88"/>
      <c r="O394" s="88"/>
      <c r="P394" s="88"/>
      <c r="Q394" s="88"/>
      <c r="R394" s="88"/>
      <c r="S394" s="88"/>
      <c r="T394" s="88"/>
      <c r="U394" s="88"/>
      <c r="V394" s="88"/>
      <c r="W394" s="88"/>
      <c r="X394" s="88"/>
      <c r="Y394" s="88"/>
      <c r="Z394" s="88"/>
      <c r="AA394" s="88"/>
      <c r="AB394" s="128"/>
      <c r="AC394" s="128"/>
      <c r="AD394" s="128"/>
      <c r="AE394" s="128"/>
      <c r="AF394" s="128"/>
      <c r="AG394" s="128"/>
      <c r="AH394" s="127"/>
    </row>
    <row r="395" spans="1:34" ht="13.2">
      <c r="A395" s="88"/>
      <c r="B395" s="88"/>
      <c r="C395" s="88"/>
      <c r="D395" s="88"/>
      <c r="E395" s="88"/>
      <c r="F395" s="88"/>
      <c r="G395" s="88"/>
      <c r="H395" s="88"/>
      <c r="I395" s="88"/>
      <c r="J395" s="88"/>
      <c r="K395" s="88"/>
      <c r="L395" s="88"/>
      <c r="M395" s="88"/>
      <c r="N395" s="88"/>
      <c r="O395" s="88"/>
      <c r="P395" s="88"/>
      <c r="Q395" s="88"/>
      <c r="R395" s="88"/>
      <c r="S395" s="88"/>
      <c r="T395" s="88"/>
      <c r="U395" s="88"/>
      <c r="V395" s="88"/>
      <c r="W395" s="88"/>
      <c r="X395" s="88"/>
      <c r="Y395" s="88"/>
      <c r="Z395" s="88"/>
      <c r="AA395" s="88"/>
      <c r="AB395" s="128"/>
      <c r="AC395" s="128"/>
      <c r="AD395" s="128"/>
      <c r="AE395" s="128"/>
      <c r="AF395" s="128"/>
      <c r="AG395" s="128"/>
      <c r="AH395" s="127"/>
    </row>
    <row r="396" spans="1:34" ht="13.2">
      <c r="A396" s="88"/>
      <c r="B396" s="88"/>
      <c r="C396" s="88"/>
      <c r="D396" s="88"/>
      <c r="E396" s="88"/>
      <c r="F396" s="88"/>
      <c r="G396" s="88"/>
      <c r="H396" s="88"/>
      <c r="I396" s="88"/>
      <c r="J396" s="88"/>
      <c r="K396" s="88"/>
      <c r="L396" s="88"/>
      <c r="M396" s="88"/>
      <c r="N396" s="88"/>
      <c r="O396" s="88"/>
      <c r="P396" s="88"/>
      <c r="Q396" s="88"/>
      <c r="R396" s="88"/>
      <c r="S396" s="88"/>
      <c r="T396" s="88"/>
      <c r="U396" s="88"/>
      <c r="V396" s="88"/>
      <c r="W396" s="88"/>
      <c r="X396" s="88"/>
      <c r="Y396" s="88"/>
      <c r="Z396" s="88"/>
      <c r="AA396" s="88"/>
      <c r="AB396" s="128"/>
      <c r="AC396" s="128"/>
      <c r="AD396" s="128"/>
      <c r="AE396" s="128"/>
      <c r="AF396" s="128"/>
      <c r="AG396" s="128"/>
      <c r="AH396" s="127"/>
    </row>
    <row r="397" spans="1:34" ht="13.2">
      <c r="A397" s="88"/>
      <c r="B397" s="88"/>
      <c r="C397" s="88"/>
      <c r="D397" s="88"/>
      <c r="E397" s="88"/>
      <c r="F397" s="88"/>
      <c r="G397" s="88"/>
      <c r="H397" s="88"/>
      <c r="I397" s="88"/>
      <c r="J397" s="88"/>
      <c r="K397" s="88"/>
      <c r="L397" s="88"/>
      <c r="M397" s="88"/>
      <c r="N397" s="88"/>
      <c r="O397" s="88"/>
      <c r="P397" s="88"/>
      <c r="Q397" s="88"/>
      <c r="R397" s="88"/>
      <c r="S397" s="88"/>
      <c r="T397" s="88"/>
      <c r="U397" s="88"/>
      <c r="V397" s="88"/>
      <c r="W397" s="88"/>
      <c r="X397" s="88"/>
      <c r="Y397" s="88"/>
      <c r="Z397" s="88"/>
      <c r="AA397" s="88"/>
      <c r="AB397" s="128"/>
      <c r="AC397" s="128"/>
      <c r="AD397" s="128"/>
      <c r="AE397" s="128"/>
      <c r="AF397" s="128"/>
      <c r="AG397" s="128"/>
      <c r="AH397" s="127"/>
    </row>
    <row r="398" spans="1:34" ht="13.2">
      <c r="A398" s="88"/>
      <c r="B398" s="88"/>
      <c r="C398" s="88"/>
      <c r="D398" s="88"/>
      <c r="E398" s="88"/>
      <c r="F398" s="88"/>
      <c r="G398" s="88"/>
      <c r="H398" s="88"/>
      <c r="I398" s="88"/>
      <c r="J398" s="88"/>
      <c r="K398" s="88"/>
      <c r="L398" s="88"/>
      <c r="M398" s="88"/>
      <c r="N398" s="88"/>
      <c r="O398" s="88"/>
      <c r="P398" s="88"/>
      <c r="Q398" s="88"/>
      <c r="R398" s="88"/>
      <c r="S398" s="88"/>
      <c r="T398" s="88"/>
      <c r="U398" s="88"/>
      <c r="V398" s="88"/>
      <c r="W398" s="88"/>
      <c r="X398" s="88"/>
      <c r="Y398" s="88"/>
      <c r="Z398" s="88"/>
      <c r="AA398" s="88"/>
      <c r="AB398" s="128"/>
      <c r="AC398" s="128"/>
      <c r="AD398" s="128"/>
      <c r="AE398" s="128"/>
      <c r="AF398" s="128"/>
      <c r="AG398" s="128"/>
      <c r="AH398" s="127"/>
    </row>
    <row r="399" spans="1:34" ht="13.2">
      <c r="A399" s="88"/>
      <c r="B399" s="88"/>
      <c r="C399" s="88"/>
      <c r="D399" s="88"/>
      <c r="E399" s="88"/>
      <c r="F399" s="88"/>
      <c r="G399" s="88"/>
      <c r="H399" s="88"/>
      <c r="I399" s="88"/>
      <c r="J399" s="88"/>
      <c r="K399" s="88"/>
      <c r="L399" s="88"/>
      <c r="M399" s="88"/>
      <c r="N399" s="88"/>
      <c r="O399" s="88"/>
      <c r="P399" s="88"/>
      <c r="Q399" s="88"/>
      <c r="R399" s="88"/>
      <c r="S399" s="88"/>
      <c r="T399" s="88"/>
      <c r="U399" s="88"/>
      <c r="V399" s="88"/>
      <c r="W399" s="88"/>
      <c r="X399" s="88"/>
      <c r="Y399" s="88"/>
      <c r="Z399" s="88"/>
      <c r="AA399" s="88"/>
      <c r="AB399" s="128"/>
      <c r="AC399" s="128"/>
      <c r="AD399" s="128"/>
      <c r="AE399" s="128"/>
      <c r="AF399" s="128"/>
      <c r="AG399" s="128"/>
      <c r="AH399" s="127"/>
    </row>
    <row r="400" spans="1:34" ht="13.2">
      <c r="A400" s="88"/>
      <c r="B400" s="88"/>
      <c r="C400" s="88"/>
      <c r="D400" s="88"/>
      <c r="E400" s="88"/>
      <c r="F400" s="88"/>
      <c r="G400" s="88"/>
      <c r="H400" s="88"/>
      <c r="I400" s="88"/>
      <c r="J400" s="88"/>
      <c r="K400" s="88"/>
      <c r="L400" s="88"/>
      <c r="M400" s="88"/>
      <c r="N400" s="88"/>
      <c r="O400" s="88"/>
      <c r="P400" s="88"/>
      <c r="Q400" s="88"/>
      <c r="R400" s="88"/>
      <c r="S400" s="88"/>
      <c r="T400" s="88"/>
      <c r="U400" s="88"/>
      <c r="V400" s="88"/>
      <c r="W400" s="88"/>
      <c r="X400" s="88"/>
      <c r="Y400" s="88"/>
      <c r="Z400" s="88"/>
      <c r="AA400" s="88"/>
      <c r="AB400" s="128"/>
      <c r="AC400" s="128"/>
      <c r="AD400" s="128"/>
      <c r="AE400" s="128"/>
      <c r="AF400" s="128"/>
      <c r="AG400" s="128"/>
      <c r="AH400" s="127"/>
    </row>
    <row r="401" spans="1:34" ht="13.2">
      <c r="A401" s="88"/>
      <c r="B401" s="88"/>
      <c r="C401" s="88"/>
      <c r="D401" s="88"/>
      <c r="E401" s="88"/>
      <c r="F401" s="88"/>
      <c r="G401" s="88"/>
      <c r="H401" s="88"/>
      <c r="I401" s="88"/>
      <c r="J401" s="88"/>
      <c r="K401" s="88"/>
      <c r="L401" s="88"/>
      <c r="M401" s="88"/>
      <c r="N401" s="88"/>
      <c r="O401" s="88"/>
      <c r="P401" s="88"/>
      <c r="Q401" s="88"/>
      <c r="R401" s="88"/>
      <c r="S401" s="88"/>
      <c r="T401" s="88"/>
      <c r="U401" s="88"/>
      <c r="V401" s="88"/>
      <c r="W401" s="88"/>
      <c r="X401" s="88"/>
      <c r="Y401" s="88"/>
      <c r="Z401" s="88"/>
      <c r="AA401" s="88"/>
      <c r="AB401" s="128"/>
      <c r="AC401" s="128"/>
      <c r="AD401" s="128"/>
      <c r="AE401" s="128"/>
      <c r="AF401" s="128"/>
      <c r="AG401" s="128"/>
      <c r="AH401" s="127"/>
    </row>
    <row r="402" spans="1:34" ht="13.2">
      <c r="A402" s="88"/>
      <c r="B402" s="88"/>
      <c r="C402" s="88"/>
      <c r="D402" s="88"/>
      <c r="E402" s="88"/>
      <c r="F402" s="88"/>
      <c r="G402" s="88"/>
      <c r="H402" s="88"/>
      <c r="I402" s="88"/>
      <c r="J402" s="88"/>
      <c r="K402" s="88"/>
      <c r="L402" s="88"/>
      <c r="M402" s="88"/>
      <c r="N402" s="88"/>
      <c r="O402" s="88"/>
      <c r="P402" s="88"/>
      <c r="Q402" s="88"/>
      <c r="R402" s="88"/>
      <c r="S402" s="88"/>
      <c r="T402" s="88"/>
      <c r="U402" s="88"/>
      <c r="V402" s="88"/>
      <c r="W402" s="88"/>
      <c r="X402" s="88"/>
      <c r="Y402" s="88"/>
      <c r="Z402" s="88"/>
      <c r="AA402" s="88"/>
      <c r="AB402" s="128"/>
      <c r="AC402" s="128"/>
      <c r="AD402" s="128"/>
      <c r="AE402" s="128"/>
      <c r="AF402" s="128"/>
      <c r="AG402" s="128"/>
      <c r="AH402" s="127"/>
    </row>
    <row r="403" spans="1:34" ht="13.2">
      <c r="A403" s="88"/>
      <c r="B403" s="88"/>
      <c r="C403" s="88"/>
      <c r="D403" s="88"/>
      <c r="E403" s="88"/>
      <c r="F403" s="88"/>
      <c r="G403" s="88"/>
      <c r="H403" s="88"/>
      <c r="I403" s="88"/>
      <c r="J403" s="88"/>
      <c r="K403" s="88"/>
      <c r="L403" s="88"/>
      <c r="M403" s="88"/>
      <c r="N403" s="88"/>
      <c r="O403" s="88"/>
      <c r="P403" s="88"/>
      <c r="Q403" s="88"/>
      <c r="R403" s="88"/>
      <c r="S403" s="88"/>
      <c r="T403" s="88"/>
      <c r="U403" s="88"/>
      <c r="V403" s="88"/>
      <c r="W403" s="88"/>
      <c r="X403" s="88"/>
      <c r="Y403" s="88"/>
      <c r="Z403" s="88"/>
      <c r="AA403" s="88"/>
      <c r="AB403" s="128"/>
      <c r="AC403" s="128"/>
      <c r="AD403" s="128"/>
      <c r="AE403" s="128"/>
      <c r="AF403" s="128"/>
      <c r="AG403" s="128"/>
      <c r="AH403" s="127"/>
    </row>
    <row r="404" spans="1:34" ht="13.2">
      <c r="A404" s="88"/>
      <c r="B404" s="88"/>
      <c r="C404" s="88"/>
      <c r="D404" s="88"/>
      <c r="E404" s="88"/>
      <c r="F404" s="88"/>
      <c r="G404" s="88"/>
      <c r="H404" s="88"/>
      <c r="I404" s="88"/>
      <c r="J404" s="88"/>
      <c r="K404" s="88"/>
      <c r="L404" s="88"/>
      <c r="M404" s="88"/>
      <c r="N404" s="88"/>
      <c r="O404" s="88"/>
      <c r="P404" s="88"/>
      <c r="Q404" s="88"/>
      <c r="R404" s="88"/>
      <c r="S404" s="88"/>
      <c r="T404" s="88"/>
      <c r="U404" s="88"/>
      <c r="V404" s="88"/>
      <c r="W404" s="88"/>
      <c r="X404" s="88"/>
      <c r="Y404" s="88"/>
      <c r="Z404" s="88"/>
      <c r="AA404" s="88"/>
      <c r="AB404" s="128"/>
      <c r="AC404" s="128"/>
      <c r="AD404" s="128"/>
      <c r="AE404" s="128"/>
      <c r="AF404" s="128"/>
      <c r="AG404" s="128"/>
      <c r="AH404" s="127"/>
    </row>
    <row r="405" spans="1:34" ht="13.2">
      <c r="A405" s="88"/>
      <c r="B405" s="88"/>
      <c r="C405" s="88"/>
      <c r="D405" s="88"/>
      <c r="E405" s="88"/>
      <c r="F405" s="88"/>
      <c r="G405" s="88"/>
      <c r="H405" s="88"/>
      <c r="I405" s="88"/>
      <c r="J405" s="88"/>
      <c r="K405" s="88"/>
      <c r="L405" s="88"/>
      <c r="M405" s="88"/>
      <c r="N405" s="88"/>
      <c r="O405" s="88"/>
      <c r="P405" s="88"/>
      <c r="Q405" s="88"/>
      <c r="R405" s="88"/>
      <c r="S405" s="88"/>
      <c r="T405" s="88"/>
      <c r="U405" s="88"/>
      <c r="V405" s="88"/>
      <c r="W405" s="88"/>
      <c r="X405" s="88"/>
      <c r="Y405" s="88"/>
      <c r="Z405" s="88"/>
      <c r="AA405" s="88"/>
      <c r="AB405" s="128"/>
      <c r="AC405" s="128"/>
      <c r="AD405" s="128"/>
      <c r="AE405" s="128"/>
      <c r="AF405" s="128"/>
      <c r="AG405" s="128"/>
      <c r="AH405" s="127"/>
    </row>
    <row r="406" spans="1:34" ht="13.2">
      <c r="A406" s="88"/>
      <c r="B406" s="88"/>
      <c r="C406" s="88"/>
      <c r="D406" s="88"/>
      <c r="E406" s="88"/>
      <c r="F406" s="88"/>
      <c r="G406" s="88"/>
      <c r="H406" s="88"/>
      <c r="I406" s="88"/>
      <c r="J406" s="88"/>
      <c r="K406" s="88"/>
      <c r="L406" s="88"/>
      <c r="M406" s="88"/>
      <c r="N406" s="88"/>
      <c r="O406" s="88"/>
      <c r="P406" s="88"/>
      <c r="Q406" s="88"/>
      <c r="R406" s="88"/>
      <c r="S406" s="88"/>
      <c r="T406" s="88"/>
      <c r="U406" s="88"/>
      <c r="V406" s="88"/>
      <c r="W406" s="88"/>
      <c r="X406" s="88"/>
      <c r="Y406" s="88"/>
      <c r="Z406" s="88"/>
      <c r="AA406" s="88"/>
      <c r="AB406" s="128"/>
      <c r="AC406" s="128"/>
      <c r="AD406" s="128"/>
      <c r="AE406" s="128"/>
      <c r="AF406" s="128"/>
      <c r="AG406" s="128"/>
      <c r="AH406" s="127"/>
    </row>
    <row r="407" spans="1:34" ht="13.2">
      <c r="A407" s="88"/>
      <c r="B407" s="88"/>
      <c r="C407" s="88"/>
      <c r="D407" s="88"/>
      <c r="E407" s="88"/>
      <c r="F407" s="88"/>
      <c r="G407" s="88"/>
      <c r="H407" s="88"/>
      <c r="I407" s="88"/>
      <c r="J407" s="88"/>
      <c r="K407" s="88"/>
      <c r="L407" s="88"/>
      <c r="M407" s="88"/>
      <c r="N407" s="88"/>
      <c r="O407" s="88"/>
      <c r="P407" s="88"/>
      <c r="Q407" s="88"/>
      <c r="R407" s="88"/>
      <c r="S407" s="88"/>
      <c r="T407" s="88"/>
      <c r="U407" s="88"/>
      <c r="V407" s="88"/>
      <c r="W407" s="88"/>
      <c r="X407" s="88"/>
      <c r="Y407" s="88"/>
      <c r="Z407" s="88"/>
      <c r="AA407" s="88"/>
      <c r="AB407" s="128"/>
      <c r="AC407" s="128"/>
      <c r="AD407" s="128"/>
      <c r="AE407" s="128"/>
      <c r="AF407" s="128"/>
      <c r="AG407" s="128"/>
      <c r="AH407" s="127"/>
    </row>
    <row r="408" spans="1:34" ht="13.2">
      <c r="A408" s="88"/>
      <c r="B408" s="88"/>
      <c r="C408" s="88"/>
      <c r="D408" s="88"/>
      <c r="E408" s="88"/>
      <c r="F408" s="88"/>
      <c r="G408" s="88"/>
      <c r="H408" s="88"/>
      <c r="I408" s="88"/>
      <c r="J408" s="88"/>
      <c r="K408" s="88"/>
      <c r="L408" s="88"/>
      <c r="M408" s="88"/>
      <c r="N408" s="88"/>
      <c r="O408" s="88"/>
      <c r="P408" s="88"/>
      <c r="Q408" s="88"/>
      <c r="R408" s="88"/>
      <c r="S408" s="88"/>
      <c r="T408" s="88"/>
      <c r="U408" s="88"/>
      <c r="V408" s="88"/>
      <c r="W408" s="88"/>
      <c r="X408" s="88"/>
      <c r="Y408" s="88"/>
      <c r="Z408" s="88"/>
      <c r="AA408" s="88"/>
      <c r="AB408" s="128"/>
      <c r="AC408" s="128"/>
      <c r="AD408" s="128"/>
      <c r="AE408" s="128"/>
      <c r="AF408" s="128"/>
      <c r="AG408" s="128"/>
      <c r="AH408" s="127"/>
    </row>
    <row r="409" spans="1:34" ht="13.2">
      <c r="A409" s="88"/>
      <c r="B409" s="88"/>
      <c r="C409" s="88"/>
      <c r="D409" s="88"/>
      <c r="E409" s="88"/>
      <c r="F409" s="88"/>
      <c r="G409" s="88"/>
      <c r="H409" s="88"/>
      <c r="I409" s="88"/>
      <c r="J409" s="88"/>
      <c r="K409" s="88"/>
      <c r="L409" s="88"/>
      <c r="M409" s="88"/>
      <c r="N409" s="88"/>
      <c r="O409" s="88"/>
      <c r="P409" s="88"/>
      <c r="Q409" s="88"/>
      <c r="R409" s="88"/>
      <c r="S409" s="88"/>
      <c r="T409" s="88"/>
      <c r="U409" s="88"/>
      <c r="V409" s="88"/>
      <c r="W409" s="88"/>
      <c r="X409" s="88"/>
      <c r="Y409" s="88"/>
      <c r="Z409" s="88"/>
      <c r="AA409" s="88"/>
      <c r="AB409" s="128"/>
      <c r="AC409" s="128"/>
      <c r="AD409" s="128"/>
      <c r="AE409" s="128"/>
      <c r="AF409" s="128"/>
      <c r="AG409" s="128"/>
      <c r="AH409" s="127"/>
    </row>
    <row r="410" spans="1:34" ht="13.2">
      <c r="A410" s="88"/>
      <c r="B410" s="88"/>
      <c r="C410" s="88"/>
      <c r="D410" s="88"/>
      <c r="E410" s="88"/>
      <c r="F410" s="88"/>
      <c r="G410" s="88"/>
      <c r="H410" s="88"/>
      <c r="I410" s="88"/>
      <c r="J410" s="88"/>
      <c r="K410" s="88"/>
      <c r="L410" s="88"/>
      <c r="M410" s="88"/>
      <c r="N410" s="88"/>
      <c r="O410" s="88"/>
      <c r="P410" s="88"/>
      <c r="Q410" s="88"/>
      <c r="R410" s="88"/>
      <c r="S410" s="88"/>
      <c r="T410" s="88"/>
      <c r="U410" s="88"/>
      <c r="V410" s="88"/>
      <c r="W410" s="88"/>
      <c r="X410" s="88"/>
      <c r="Y410" s="88"/>
      <c r="Z410" s="88"/>
      <c r="AA410" s="88"/>
      <c r="AB410" s="128"/>
      <c r="AC410" s="128"/>
      <c r="AD410" s="128"/>
      <c r="AE410" s="128"/>
      <c r="AF410" s="128"/>
      <c r="AG410" s="128"/>
      <c r="AH410" s="127"/>
    </row>
    <row r="411" spans="1:34" ht="13.2">
      <c r="A411" s="88"/>
      <c r="B411" s="88"/>
      <c r="C411" s="88"/>
      <c r="D411" s="88"/>
      <c r="E411" s="88"/>
      <c r="F411" s="88"/>
      <c r="G411" s="88"/>
      <c r="H411" s="88"/>
      <c r="I411" s="88"/>
      <c r="J411" s="88"/>
      <c r="K411" s="88"/>
      <c r="L411" s="88"/>
      <c r="M411" s="88"/>
      <c r="N411" s="88"/>
      <c r="O411" s="88"/>
      <c r="P411" s="88"/>
      <c r="Q411" s="88"/>
      <c r="R411" s="88"/>
      <c r="S411" s="88"/>
      <c r="T411" s="88"/>
      <c r="U411" s="88"/>
      <c r="V411" s="88"/>
      <c r="W411" s="88"/>
      <c r="X411" s="88"/>
      <c r="Y411" s="88"/>
      <c r="Z411" s="88"/>
      <c r="AA411" s="88"/>
      <c r="AB411" s="128"/>
      <c r="AC411" s="128"/>
      <c r="AD411" s="128"/>
      <c r="AE411" s="128"/>
      <c r="AF411" s="128"/>
      <c r="AG411" s="128"/>
      <c r="AH411" s="127"/>
    </row>
    <row r="412" spans="1:34" ht="13.2">
      <c r="A412" s="88"/>
      <c r="B412" s="88"/>
      <c r="C412" s="88"/>
      <c r="D412" s="88"/>
      <c r="E412" s="88"/>
      <c r="F412" s="88"/>
      <c r="G412" s="88"/>
      <c r="H412" s="88"/>
      <c r="I412" s="88"/>
      <c r="J412" s="88"/>
      <c r="K412" s="88"/>
      <c r="L412" s="88"/>
      <c r="M412" s="88"/>
      <c r="N412" s="88"/>
      <c r="O412" s="88"/>
      <c r="P412" s="88"/>
      <c r="Q412" s="88"/>
      <c r="R412" s="88"/>
      <c r="S412" s="88"/>
      <c r="T412" s="88"/>
      <c r="U412" s="88"/>
      <c r="V412" s="88"/>
      <c r="W412" s="88"/>
      <c r="X412" s="88"/>
      <c r="Y412" s="88"/>
      <c r="Z412" s="88"/>
      <c r="AA412" s="88"/>
      <c r="AB412" s="128"/>
      <c r="AC412" s="128"/>
      <c r="AD412" s="128"/>
      <c r="AE412" s="128"/>
      <c r="AF412" s="128"/>
      <c r="AG412" s="128"/>
      <c r="AH412" s="127"/>
    </row>
    <row r="413" spans="1:34" ht="13.2">
      <c r="A413" s="88"/>
      <c r="B413" s="88"/>
      <c r="C413" s="88"/>
      <c r="D413" s="88"/>
      <c r="E413" s="88"/>
      <c r="F413" s="88"/>
      <c r="G413" s="88"/>
      <c r="H413" s="88"/>
      <c r="I413" s="88"/>
      <c r="J413" s="88"/>
      <c r="K413" s="88"/>
      <c r="L413" s="88"/>
      <c r="M413" s="88"/>
      <c r="N413" s="88"/>
      <c r="O413" s="88"/>
      <c r="P413" s="88"/>
      <c r="Q413" s="88"/>
      <c r="R413" s="88"/>
      <c r="S413" s="88"/>
      <c r="T413" s="88"/>
      <c r="U413" s="88"/>
      <c r="V413" s="88"/>
      <c r="W413" s="88"/>
      <c r="X413" s="88"/>
      <c r="Y413" s="88"/>
      <c r="Z413" s="88"/>
      <c r="AA413" s="88"/>
      <c r="AB413" s="128"/>
      <c r="AC413" s="128"/>
      <c r="AD413" s="128"/>
      <c r="AE413" s="128"/>
      <c r="AF413" s="128"/>
      <c r="AG413" s="128"/>
      <c r="AH413" s="127"/>
    </row>
    <row r="414" spans="1:34" ht="13.2">
      <c r="A414" s="88"/>
      <c r="B414" s="88"/>
      <c r="C414" s="88"/>
      <c r="D414" s="88"/>
      <c r="E414" s="88"/>
      <c r="F414" s="88"/>
      <c r="G414" s="88"/>
      <c r="H414" s="88"/>
      <c r="I414" s="88"/>
      <c r="J414" s="88"/>
      <c r="K414" s="88"/>
      <c r="L414" s="88"/>
      <c r="M414" s="88"/>
      <c r="N414" s="88"/>
      <c r="O414" s="88"/>
      <c r="P414" s="88"/>
      <c r="Q414" s="88"/>
      <c r="R414" s="88"/>
      <c r="S414" s="88"/>
      <c r="T414" s="88"/>
      <c r="U414" s="88"/>
      <c r="V414" s="88"/>
      <c r="W414" s="88"/>
      <c r="X414" s="88"/>
      <c r="Y414" s="88"/>
      <c r="Z414" s="88"/>
      <c r="AA414" s="88"/>
      <c r="AB414" s="128"/>
      <c r="AC414" s="128"/>
      <c r="AD414" s="128"/>
      <c r="AE414" s="128"/>
      <c r="AF414" s="128"/>
      <c r="AG414" s="128"/>
      <c r="AH414" s="127"/>
    </row>
    <row r="415" spans="1:34" ht="13.2">
      <c r="A415" s="88"/>
      <c r="B415" s="88"/>
      <c r="C415" s="88"/>
      <c r="D415" s="88"/>
      <c r="E415" s="88"/>
      <c r="F415" s="88"/>
      <c r="G415" s="88"/>
      <c r="H415" s="88"/>
      <c r="I415" s="88"/>
      <c r="J415" s="88"/>
      <c r="K415" s="88"/>
      <c r="L415" s="88"/>
      <c r="M415" s="88"/>
      <c r="N415" s="88"/>
      <c r="O415" s="88"/>
      <c r="P415" s="88"/>
      <c r="Q415" s="88"/>
      <c r="R415" s="88"/>
      <c r="S415" s="88"/>
      <c r="T415" s="88"/>
      <c r="U415" s="88"/>
      <c r="V415" s="88"/>
      <c r="W415" s="88"/>
      <c r="X415" s="88"/>
      <c r="Y415" s="88"/>
      <c r="Z415" s="88"/>
      <c r="AA415" s="88"/>
      <c r="AB415" s="128"/>
      <c r="AC415" s="128"/>
      <c r="AD415" s="128"/>
      <c r="AE415" s="128"/>
      <c r="AF415" s="128"/>
      <c r="AG415" s="128"/>
      <c r="AH415" s="127"/>
    </row>
    <row r="416" spans="1:34" ht="13.2">
      <c r="A416" s="88"/>
      <c r="B416" s="88"/>
      <c r="C416" s="88"/>
      <c r="D416" s="88"/>
      <c r="E416" s="88"/>
      <c r="F416" s="88"/>
      <c r="G416" s="88"/>
      <c r="H416" s="88"/>
      <c r="I416" s="88"/>
      <c r="J416" s="88"/>
      <c r="K416" s="88"/>
      <c r="L416" s="88"/>
      <c r="M416" s="88"/>
      <c r="N416" s="88"/>
      <c r="O416" s="88"/>
      <c r="P416" s="88"/>
      <c r="Q416" s="88"/>
      <c r="R416" s="88"/>
      <c r="S416" s="88"/>
      <c r="T416" s="88"/>
      <c r="U416" s="88"/>
      <c r="V416" s="88"/>
      <c r="W416" s="88"/>
      <c r="X416" s="88"/>
      <c r="Y416" s="88"/>
      <c r="Z416" s="88"/>
      <c r="AA416" s="88"/>
      <c r="AB416" s="128"/>
      <c r="AC416" s="128"/>
      <c r="AD416" s="128"/>
      <c r="AE416" s="128"/>
      <c r="AF416" s="128"/>
      <c r="AG416" s="128"/>
      <c r="AH416" s="127"/>
    </row>
    <row r="417" spans="1:34" ht="13.2">
      <c r="A417" s="88"/>
      <c r="B417" s="88"/>
      <c r="C417" s="88"/>
      <c r="D417" s="88"/>
      <c r="E417" s="88"/>
      <c r="F417" s="88"/>
      <c r="G417" s="88"/>
      <c r="H417" s="88"/>
      <c r="I417" s="88"/>
      <c r="J417" s="88"/>
      <c r="K417" s="88"/>
      <c r="L417" s="88"/>
      <c r="M417" s="88"/>
      <c r="N417" s="88"/>
      <c r="O417" s="88"/>
      <c r="P417" s="88"/>
      <c r="Q417" s="88"/>
      <c r="R417" s="88"/>
      <c r="S417" s="88"/>
      <c r="T417" s="88"/>
      <c r="U417" s="88"/>
      <c r="V417" s="88"/>
      <c r="W417" s="88"/>
      <c r="X417" s="88"/>
      <c r="Y417" s="88"/>
      <c r="Z417" s="88"/>
      <c r="AA417" s="88"/>
      <c r="AB417" s="128"/>
      <c r="AC417" s="128"/>
      <c r="AD417" s="128"/>
      <c r="AE417" s="128"/>
      <c r="AF417" s="128"/>
      <c r="AG417" s="128"/>
      <c r="AH417" s="127"/>
    </row>
    <row r="418" spans="1:34" ht="13.2">
      <c r="A418" s="88"/>
      <c r="B418" s="88"/>
      <c r="C418" s="88"/>
      <c r="D418" s="88"/>
      <c r="E418" s="88"/>
      <c r="F418" s="88"/>
      <c r="G418" s="88"/>
      <c r="H418" s="88"/>
      <c r="I418" s="88"/>
      <c r="J418" s="88"/>
      <c r="K418" s="88"/>
      <c r="L418" s="88"/>
      <c r="M418" s="88"/>
      <c r="N418" s="88"/>
      <c r="O418" s="88"/>
      <c r="P418" s="88"/>
      <c r="Q418" s="88"/>
      <c r="R418" s="88"/>
      <c r="S418" s="88"/>
      <c r="T418" s="88"/>
      <c r="U418" s="88"/>
      <c r="V418" s="88"/>
      <c r="W418" s="88"/>
      <c r="X418" s="88"/>
      <c r="Y418" s="88"/>
      <c r="Z418" s="88"/>
      <c r="AA418" s="88"/>
      <c r="AB418" s="128"/>
      <c r="AC418" s="128"/>
      <c r="AD418" s="128"/>
      <c r="AE418" s="128"/>
      <c r="AF418" s="128"/>
      <c r="AG418" s="128"/>
      <c r="AH418" s="127"/>
    </row>
    <row r="419" spans="1:34" ht="13.2">
      <c r="A419" s="88"/>
      <c r="B419" s="88"/>
      <c r="C419" s="88"/>
      <c r="D419" s="88"/>
      <c r="E419" s="88"/>
      <c r="F419" s="88"/>
      <c r="G419" s="88"/>
      <c r="H419" s="88"/>
      <c r="I419" s="88"/>
      <c r="J419" s="88"/>
      <c r="K419" s="88"/>
      <c r="L419" s="88"/>
      <c r="M419" s="88"/>
      <c r="N419" s="88"/>
      <c r="O419" s="88"/>
      <c r="P419" s="88"/>
      <c r="Q419" s="88"/>
      <c r="R419" s="88"/>
      <c r="S419" s="88"/>
      <c r="T419" s="88"/>
      <c r="U419" s="88"/>
      <c r="V419" s="88"/>
      <c r="W419" s="88"/>
      <c r="X419" s="88"/>
      <c r="Y419" s="88"/>
      <c r="Z419" s="88"/>
      <c r="AA419" s="88"/>
      <c r="AB419" s="128"/>
      <c r="AC419" s="128"/>
      <c r="AD419" s="128"/>
      <c r="AE419" s="128"/>
      <c r="AF419" s="128"/>
      <c r="AG419" s="128"/>
      <c r="AH419" s="127"/>
    </row>
    <row r="420" spans="1:34" ht="13.2">
      <c r="A420" s="88"/>
      <c r="B420" s="88"/>
      <c r="C420" s="88"/>
      <c r="D420" s="88"/>
      <c r="E420" s="88"/>
      <c r="F420" s="88"/>
      <c r="G420" s="88"/>
      <c r="H420" s="88"/>
      <c r="I420" s="88"/>
      <c r="J420" s="88"/>
      <c r="K420" s="88"/>
      <c r="L420" s="88"/>
      <c r="M420" s="88"/>
      <c r="N420" s="88"/>
      <c r="O420" s="88"/>
      <c r="P420" s="88"/>
      <c r="Q420" s="88"/>
      <c r="R420" s="88"/>
      <c r="S420" s="88"/>
      <c r="T420" s="88"/>
      <c r="U420" s="88"/>
      <c r="V420" s="88"/>
      <c r="W420" s="88"/>
      <c r="X420" s="88"/>
      <c r="Y420" s="88"/>
      <c r="Z420" s="88"/>
      <c r="AA420" s="88"/>
      <c r="AB420" s="128"/>
      <c r="AC420" s="128"/>
      <c r="AD420" s="128"/>
      <c r="AE420" s="128"/>
      <c r="AF420" s="128"/>
      <c r="AG420" s="128"/>
      <c r="AH420" s="127"/>
    </row>
    <row r="421" spans="1:34" ht="13.2">
      <c r="A421" s="88"/>
      <c r="B421" s="88"/>
      <c r="C421" s="88"/>
      <c r="D421" s="88"/>
      <c r="E421" s="88"/>
      <c r="F421" s="88"/>
      <c r="G421" s="88"/>
      <c r="H421" s="88"/>
      <c r="I421" s="88"/>
      <c r="J421" s="88"/>
      <c r="K421" s="88"/>
      <c r="L421" s="88"/>
      <c r="M421" s="88"/>
      <c r="N421" s="88"/>
      <c r="O421" s="88"/>
      <c r="P421" s="88"/>
      <c r="Q421" s="88"/>
      <c r="R421" s="88"/>
      <c r="S421" s="88"/>
      <c r="T421" s="88"/>
      <c r="U421" s="88"/>
      <c r="V421" s="88"/>
      <c r="W421" s="88"/>
      <c r="X421" s="88"/>
      <c r="Y421" s="88"/>
      <c r="Z421" s="88"/>
      <c r="AA421" s="88"/>
      <c r="AB421" s="128"/>
      <c r="AC421" s="128"/>
      <c r="AD421" s="128"/>
      <c r="AE421" s="128"/>
      <c r="AF421" s="128"/>
      <c r="AG421" s="128"/>
      <c r="AH421" s="127"/>
    </row>
    <row r="422" spans="1:34" ht="13.2">
      <c r="A422" s="88"/>
      <c r="B422" s="88"/>
      <c r="C422" s="88"/>
      <c r="D422" s="88"/>
      <c r="E422" s="88"/>
      <c r="F422" s="88"/>
      <c r="G422" s="88"/>
      <c r="H422" s="88"/>
      <c r="I422" s="88"/>
      <c r="J422" s="88"/>
      <c r="K422" s="88"/>
      <c r="L422" s="88"/>
      <c r="M422" s="88"/>
      <c r="N422" s="88"/>
      <c r="O422" s="88"/>
      <c r="P422" s="88"/>
      <c r="Q422" s="88"/>
      <c r="R422" s="88"/>
      <c r="S422" s="88"/>
      <c r="T422" s="88"/>
      <c r="U422" s="88"/>
      <c r="V422" s="88"/>
      <c r="W422" s="88"/>
      <c r="X422" s="88"/>
      <c r="Y422" s="88"/>
      <c r="Z422" s="88"/>
      <c r="AA422" s="88"/>
      <c r="AB422" s="128"/>
      <c r="AC422" s="128"/>
      <c r="AD422" s="128"/>
      <c r="AE422" s="128"/>
      <c r="AF422" s="128"/>
      <c r="AG422" s="128"/>
      <c r="AH422" s="127"/>
    </row>
    <row r="423" spans="1:34" ht="13.2">
      <c r="A423" s="88"/>
      <c r="B423" s="88"/>
      <c r="C423" s="88"/>
      <c r="D423" s="88"/>
      <c r="E423" s="88"/>
      <c r="F423" s="88"/>
      <c r="G423" s="88"/>
      <c r="H423" s="88"/>
      <c r="I423" s="88"/>
      <c r="J423" s="88"/>
      <c r="K423" s="88"/>
      <c r="L423" s="88"/>
      <c r="M423" s="88"/>
      <c r="N423" s="88"/>
      <c r="O423" s="88"/>
      <c r="P423" s="88"/>
      <c r="Q423" s="88"/>
      <c r="R423" s="88"/>
      <c r="S423" s="88"/>
      <c r="T423" s="88"/>
      <c r="U423" s="88"/>
      <c r="V423" s="88"/>
      <c r="W423" s="88"/>
      <c r="X423" s="88"/>
      <c r="Y423" s="88"/>
      <c r="Z423" s="88"/>
      <c r="AA423" s="88"/>
      <c r="AB423" s="128"/>
      <c r="AC423" s="128"/>
      <c r="AD423" s="128"/>
      <c r="AE423" s="128"/>
      <c r="AF423" s="128"/>
      <c r="AG423" s="128"/>
      <c r="AH423" s="127"/>
    </row>
    <row r="424" spans="1:34" ht="13.2">
      <c r="A424" s="88"/>
      <c r="B424" s="88"/>
      <c r="C424" s="88"/>
      <c r="D424" s="88"/>
      <c r="E424" s="88"/>
      <c r="F424" s="88"/>
      <c r="G424" s="88"/>
      <c r="H424" s="88"/>
      <c r="I424" s="88"/>
      <c r="J424" s="88"/>
      <c r="K424" s="88"/>
      <c r="L424" s="88"/>
      <c r="M424" s="88"/>
      <c r="N424" s="88"/>
      <c r="O424" s="88"/>
      <c r="P424" s="88"/>
      <c r="Q424" s="88"/>
      <c r="R424" s="88"/>
      <c r="S424" s="88"/>
      <c r="T424" s="88"/>
      <c r="U424" s="88"/>
      <c r="V424" s="88"/>
      <c r="W424" s="88"/>
      <c r="X424" s="88"/>
      <c r="Y424" s="88"/>
      <c r="Z424" s="88"/>
      <c r="AA424" s="88"/>
      <c r="AB424" s="128"/>
      <c r="AC424" s="128"/>
      <c r="AD424" s="128"/>
      <c r="AE424" s="128"/>
      <c r="AF424" s="128"/>
      <c r="AG424" s="128"/>
      <c r="AH424" s="127"/>
    </row>
    <row r="425" spans="1:34" ht="13.2">
      <c r="A425" s="88"/>
      <c r="B425" s="88"/>
      <c r="C425" s="88"/>
      <c r="D425" s="88"/>
      <c r="E425" s="88"/>
      <c r="F425" s="88"/>
      <c r="G425" s="88"/>
      <c r="H425" s="88"/>
      <c r="I425" s="88"/>
      <c r="J425" s="88"/>
      <c r="K425" s="88"/>
      <c r="L425" s="88"/>
      <c r="M425" s="88"/>
      <c r="N425" s="88"/>
      <c r="O425" s="88"/>
      <c r="P425" s="88"/>
      <c r="Q425" s="88"/>
      <c r="R425" s="88"/>
      <c r="S425" s="88"/>
      <c r="T425" s="88"/>
      <c r="U425" s="88"/>
      <c r="V425" s="88"/>
      <c r="W425" s="88"/>
      <c r="X425" s="88"/>
      <c r="Y425" s="88"/>
      <c r="Z425" s="88"/>
      <c r="AA425" s="88"/>
      <c r="AB425" s="128"/>
      <c r="AC425" s="128"/>
      <c r="AD425" s="128"/>
      <c r="AE425" s="128"/>
      <c r="AF425" s="128"/>
      <c r="AG425" s="128"/>
      <c r="AH425" s="127"/>
    </row>
    <row r="426" spans="1:34" ht="13.2">
      <c r="A426" s="88"/>
      <c r="B426" s="88"/>
      <c r="C426" s="88"/>
      <c r="D426" s="88"/>
      <c r="E426" s="88"/>
      <c r="F426" s="88"/>
      <c r="G426" s="88"/>
      <c r="H426" s="88"/>
      <c r="I426" s="88"/>
      <c r="J426" s="88"/>
      <c r="K426" s="88"/>
      <c r="L426" s="88"/>
      <c r="M426" s="88"/>
      <c r="N426" s="88"/>
      <c r="O426" s="88"/>
      <c r="P426" s="88"/>
      <c r="Q426" s="88"/>
      <c r="R426" s="88"/>
      <c r="S426" s="88"/>
      <c r="T426" s="88"/>
      <c r="U426" s="88"/>
      <c r="V426" s="88"/>
      <c r="W426" s="88"/>
      <c r="X426" s="88"/>
      <c r="Y426" s="88"/>
      <c r="Z426" s="88"/>
      <c r="AA426" s="88"/>
      <c r="AB426" s="128"/>
      <c r="AC426" s="128"/>
      <c r="AD426" s="128"/>
      <c r="AE426" s="128"/>
      <c r="AF426" s="128"/>
      <c r="AG426" s="128"/>
      <c r="AH426" s="127"/>
    </row>
    <row r="427" spans="1:34" ht="13.2">
      <c r="A427" s="88"/>
      <c r="B427" s="88"/>
      <c r="C427" s="88"/>
      <c r="D427" s="88"/>
      <c r="E427" s="88"/>
      <c r="F427" s="88"/>
      <c r="G427" s="88"/>
      <c r="H427" s="88"/>
      <c r="I427" s="88"/>
      <c r="J427" s="88"/>
      <c r="K427" s="88"/>
      <c r="L427" s="88"/>
      <c r="M427" s="88"/>
      <c r="N427" s="88"/>
      <c r="O427" s="88"/>
      <c r="P427" s="88"/>
      <c r="Q427" s="88"/>
      <c r="R427" s="88"/>
      <c r="S427" s="88"/>
      <c r="T427" s="88"/>
      <c r="U427" s="88"/>
      <c r="V427" s="88"/>
      <c r="W427" s="88"/>
      <c r="X427" s="88"/>
      <c r="Y427" s="88"/>
      <c r="Z427" s="88"/>
      <c r="AA427" s="88"/>
      <c r="AB427" s="128"/>
      <c r="AC427" s="128"/>
      <c r="AD427" s="128"/>
      <c r="AE427" s="128"/>
      <c r="AF427" s="128"/>
      <c r="AG427" s="128"/>
      <c r="AH427" s="127"/>
    </row>
    <row r="428" spans="1:34" ht="13.2">
      <c r="A428" s="88"/>
      <c r="B428" s="88"/>
      <c r="C428" s="88"/>
      <c r="D428" s="88"/>
      <c r="E428" s="88"/>
      <c r="F428" s="88"/>
      <c r="G428" s="88"/>
      <c r="H428" s="88"/>
      <c r="I428" s="88"/>
      <c r="J428" s="88"/>
      <c r="K428" s="88"/>
      <c r="L428" s="88"/>
      <c r="M428" s="88"/>
      <c r="N428" s="88"/>
      <c r="O428" s="88"/>
      <c r="P428" s="88"/>
      <c r="Q428" s="88"/>
      <c r="R428" s="88"/>
      <c r="S428" s="88"/>
      <c r="T428" s="88"/>
      <c r="U428" s="88"/>
      <c r="V428" s="88"/>
      <c r="W428" s="88"/>
      <c r="X428" s="88"/>
      <c r="Y428" s="88"/>
      <c r="Z428" s="88"/>
      <c r="AA428" s="88"/>
      <c r="AB428" s="128"/>
      <c r="AC428" s="128"/>
      <c r="AD428" s="128"/>
      <c r="AE428" s="128"/>
      <c r="AF428" s="128"/>
      <c r="AG428" s="128"/>
      <c r="AH428" s="127"/>
    </row>
    <row r="429" spans="1:34" ht="13.2">
      <c r="A429" s="88"/>
      <c r="B429" s="88"/>
      <c r="C429" s="88"/>
      <c r="D429" s="88"/>
      <c r="E429" s="88"/>
      <c r="F429" s="88"/>
      <c r="G429" s="88"/>
      <c r="H429" s="88"/>
      <c r="I429" s="88"/>
      <c r="J429" s="88"/>
      <c r="K429" s="88"/>
      <c r="L429" s="88"/>
      <c r="M429" s="88"/>
      <c r="N429" s="88"/>
      <c r="O429" s="88"/>
      <c r="P429" s="88"/>
      <c r="Q429" s="88"/>
      <c r="R429" s="88"/>
      <c r="S429" s="88"/>
      <c r="T429" s="88"/>
      <c r="U429" s="88"/>
      <c r="V429" s="88"/>
      <c r="W429" s="88"/>
      <c r="X429" s="88"/>
      <c r="Y429" s="88"/>
      <c r="Z429" s="88"/>
      <c r="AA429" s="88"/>
      <c r="AB429" s="128"/>
      <c r="AC429" s="128"/>
      <c r="AD429" s="128"/>
      <c r="AE429" s="128"/>
      <c r="AF429" s="128"/>
      <c r="AG429" s="128"/>
      <c r="AH429" s="127"/>
    </row>
    <row r="430" spans="1:34" ht="13.2">
      <c r="A430" s="88"/>
      <c r="B430" s="88"/>
      <c r="C430" s="88"/>
      <c r="D430" s="88"/>
      <c r="E430" s="88"/>
      <c r="F430" s="88"/>
      <c r="G430" s="88"/>
      <c r="H430" s="88"/>
      <c r="I430" s="88"/>
      <c r="J430" s="88"/>
      <c r="K430" s="88"/>
      <c r="L430" s="88"/>
      <c r="M430" s="88"/>
      <c r="N430" s="88"/>
      <c r="O430" s="88"/>
      <c r="P430" s="88"/>
      <c r="Q430" s="88"/>
      <c r="R430" s="88"/>
      <c r="S430" s="88"/>
      <c r="T430" s="88"/>
      <c r="U430" s="88"/>
      <c r="V430" s="88"/>
      <c r="W430" s="88"/>
      <c r="X430" s="88"/>
      <c r="Y430" s="88"/>
      <c r="Z430" s="88"/>
      <c r="AA430" s="88"/>
      <c r="AB430" s="128"/>
      <c r="AC430" s="128"/>
      <c r="AD430" s="128"/>
      <c r="AE430" s="128"/>
      <c r="AF430" s="128"/>
      <c r="AG430" s="128"/>
      <c r="AH430" s="127"/>
    </row>
    <row r="431" spans="1:34" ht="13.2">
      <c r="A431" s="88"/>
      <c r="B431" s="88"/>
      <c r="C431" s="88"/>
      <c r="D431" s="88"/>
      <c r="E431" s="88"/>
      <c r="F431" s="88"/>
      <c r="G431" s="88"/>
      <c r="H431" s="88"/>
      <c r="I431" s="88"/>
      <c r="J431" s="88"/>
      <c r="K431" s="88"/>
      <c r="L431" s="88"/>
      <c r="M431" s="88"/>
      <c r="N431" s="88"/>
      <c r="O431" s="88"/>
      <c r="P431" s="88"/>
      <c r="Q431" s="88"/>
      <c r="R431" s="88"/>
      <c r="S431" s="88"/>
      <c r="T431" s="88"/>
      <c r="U431" s="88"/>
      <c r="V431" s="88"/>
      <c r="W431" s="88"/>
      <c r="X431" s="88"/>
      <c r="Y431" s="88"/>
      <c r="Z431" s="88"/>
      <c r="AA431" s="88"/>
      <c r="AB431" s="128"/>
      <c r="AC431" s="128"/>
      <c r="AD431" s="128"/>
      <c r="AE431" s="128"/>
      <c r="AF431" s="128"/>
      <c r="AG431" s="128"/>
      <c r="AH431" s="127"/>
    </row>
    <row r="432" spans="1:34" ht="13.2">
      <c r="A432" s="88"/>
      <c r="B432" s="88"/>
      <c r="C432" s="88"/>
      <c r="D432" s="88"/>
      <c r="E432" s="88"/>
      <c r="F432" s="88"/>
      <c r="G432" s="88"/>
      <c r="H432" s="88"/>
      <c r="I432" s="88"/>
      <c r="J432" s="88"/>
      <c r="K432" s="88"/>
      <c r="L432" s="88"/>
      <c r="M432" s="88"/>
      <c r="N432" s="88"/>
      <c r="O432" s="88"/>
      <c r="P432" s="88"/>
      <c r="Q432" s="88"/>
      <c r="R432" s="88"/>
      <c r="S432" s="88"/>
      <c r="T432" s="88"/>
      <c r="U432" s="88"/>
      <c r="V432" s="88"/>
      <c r="W432" s="88"/>
      <c r="X432" s="88"/>
      <c r="Y432" s="88"/>
      <c r="Z432" s="88"/>
      <c r="AA432" s="88"/>
      <c r="AB432" s="128"/>
      <c r="AC432" s="128"/>
      <c r="AD432" s="128"/>
      <c r="AE432" s="128"/>
      <c r="AF432" s="128"/>
      <c r="AG432" s="128"/>
      <c r="AH432" s="127"/>
    </row>
    <row r="433" spans="1:34" ht="13.2">
      <c r="A433" s="88"/>
      <c r="B433" s="88"/>
      <c r="C433" s="88"/>
      <c r="D433" s="88"/>
      <c r="E433" s="88"/>
      <c r="F433" s="88"/>
      <c r="G433" s="88"/>
      <c r="H433" s="88"/>
      <c r="I433" s="88"/>
      <c r="J433" s="88"/>
      <c r="K433" s="88"/>
      <c r="L433" s="88"/>
      <c r="M433" s="88"/>
      <c r="N433" s="88"/>
      <c r="O433" s="88"/>
      <c r="P433" s="88"/>
      <c r="Q433" s="88"/>
      <c r="R433" s="88"/>
      <c r="S433" s="88"/>
      <c r="T433" s="88"/>
      <c r="U433" s="88"/>
      <c r="V433" s="88"/>
      <c r="W433" s="88"/>
      <c r="X433" s="88"/>
      <c r="Y433" s="88"/>
      <c r="Z433" s="88"/>
      <c r="AA433" s="88"/>
      <c r="AB433" s="128"/>
      <c r="AC433" s="128"/>
      <c r="AD433" s="128"/>
      <c r="AE433" s="128"/>
      <c r="AF433" s="128"/>
      <c r="AG433" s="128"/>
      <c r="AH433" s="127"/>
    </row>
    <row r="434" spans="1:34" ht="13.2">
      <c r="A434" s="88"/>
      <c r="B434" s="88"/>
      <c r="C434" s="88"/>
      <c r="D434" s="88"/>
      <c r="E434" s="88"/>
      <c r="F434" s="88"/>
      <c r="G434" s="88"/>
      <c r="H434" s="88"/>
      <c r="I434" s="88"/>
      <c r="J434" s="88"/>
      <c r="K434" s="88"/>
      <c r="L434" s="88"/>
      <c r="M434" s="88"/>
      <c r="N434" s="88"/>
      <c r="O434" s="88"/>
      <c r="P434" s="88"/>
      <c r="Q434" s="88"/>
      <c r="R434" s="88"/>
      <c r="S434" s="88"/>
      <c r="T434" s="88"/>
      <c r="U434" s="88"/>
      <c r="V434" s="88"/>
      <c r="W434" s="88"/>
      <c r="X434" s="88"/>
      <c r="Y434" s="88"/>
      <c r="Z434" s="88"/>
      <c r="AA434" s="88"/>
      <c r="AB434" s="128"/>
      <c r="AC434" s="128"/>
      <c r="AD434" s="128"/>
      <c r="AE434" s="128"/>
      <c r="AF434" s="128"/>
      <c r="AG434" s="128"/>
      <c r="AH434" s="127"/>
    </row>
    <row r="435" spans="1:34" ht="13.2">
      <c r="A435" s="88"/>
      <c r="B435" s="88"/>
      <c r="C435" s="88"/>
      <c r="D435" s="88"/>
      <c r="E435" s="88"/>
      <c r="F435" s="88"/>
      <c r="G435" s="88"/>
      <c r="H435" s="88"/>
      <c r="I435" s="88"/>
      <c r="J435" s="88"/>
      <c r="K435" s="88"/>
      <c r="L435" s="88"/>
      <c r="M435" s="88"/>
      <c r="N435" s="88"/>
      <c r="O435" s="88"/>
      <c r="P435" s="88"/>
      <c r="Q435" s="88"/>
      <c r="R435" s="88"/>
      <c r="S435" s="88"/>
      <c r="T435" s="88"/>
      <c r="U435" s="88"/>
      <c r="V435" s="88"/>
      <c r="W435" s="88"/>
      <c r="X435" s="88"/>
      <c r="Y435" s="88"/>
      <c r="Z435" s="88"/>
      <c r="AA435" s="88"/>
      <c r="AB435" s="128"/>
      <c r="AC435" s="128"/>
      <c r="AD435" s="128"/>
      <c r="AE435" s="128"/>
      <c r="AF435" s="128"/>
      <c r="AG435" s="128"/>
      <c r="AH435" s="127"/>
    </row>
    <row r="436" spans="1:34" ht="13.2">
      <c r="A436" s="88"/>
      <c r="B436" s="88"/>
      <c r="C436" s="88"/>
      <c r="D436" s="88"/>
      <c r="E436" s="88"/>
      <c r="F436" s="88"/>
      <c r="G436" s="88"/>
      <c r="H436" s="88"/>
      <c r="I436" s="88"/>
      <c r="J436" s="88"/>
      <c r="K436" s="88"/>
      <c r="L436" s="88"/>
      <c r="M436" s="88"/>
      <c r="N436" s="88"/>
      <c r="O436" s="88"/>
      <c r="P436" s="88"/>
      <c r="Q436" s="88"/>
      <c r="R436" s="88"/>
      <c r="S436" s="88"/>
      <c r="T436" s="88"/>
      <c r="U436" s="88"/>
      <c r="V436" s="88"/>
      <c r="W436" s="88"/>
      <c r="X436" s="88"/>
      <c r="Y436" s="88"/>
      <c r="Z436" s="88"/>
      <c r="AA436" s="88"/>
      <c r="AB436" s="128"/>
      <c r="AC436" s="128"/>
      <c r="AD436" s="128"/>
      <c r="AE436" s="128"/>
      <c r="AF436" s="128"/>
      <c r="AG436" s="128"/>
      <c r="AH436" s="127"/>
    </row>
    <row r="437" spans="1:34" ht="13.2">
      <c r="A437" s="88"/>
      <c r="B437" s="88"/>
      <c r="C437" s="88"/>
      <c r="D437" s="88"/>
      <c r="E437" s="88"/>
      <c r="F437" s="88"/>
      <c r="G437" s="88"/>
      <c r="H437" s="88"/>
      <c r="I437" s="88"/>
      <c r="J437" s="88"/>
      <c r="K437" s="88"/>
      <c r="L437" s="88"/>
      <c r="M437" s="88"/>
      <c r="N437" s="88"/>
      <c r="O437" s="88"/>
      <c r="P437" s="88"/>
      <c r="Q437" s="88"/>
      <c r="R437" s="88"/>
      <c r="S437" s="88"/>
      <c r="T437" s="88"/>
      <c r="U437" s="88"/>
      <c r="V437" s="88"/>
      <c r="W437" s="88"/>
      <c r="X437" s="88"/>
      <c r="Y437" s="88"/>
      <c r="Z437" s="88"/>
      <c r="AA437" s="88"/>
      <c r="AB437" s="128"/>
      <c r="AC437" s="128"/>
      <c r="AD437" s="128"/>
      <c r="AE437" s="128"/>
      <c r="AF437" s="128"/>
      <c r="AG437" s="128"/>
      <c r="AH437" s="127"/>
    </row>
    <row r="438" spans="1:34" ht="13.2">
      <c r="A438" s="88"/>
      <c r="B438" s="88"/>
      <c r="C438" s="88"/>
      <c r="D438" s="88"/>
      <c r="E438" s="88"/>
      <c r="F438" s="88"/>
      <c r="G438" s="88"/>
      <c r="H438" s="88"/>
      <c r="I438" s="88"/>
      <c r="J438" s="88"/>
      <c r="K438" s="88"/>
      <c r="L438" s="88"/>
      <c r="M438" s="88"/>
      <c r="N438" s="88"/>
      <c r="O438" s="88"/>
      <c r="P438" s="88"/>
      <c r="Q438" s="88"/>
      <c r="R438" s="88"/>
      <c r="S438" s="88"/>
      <c r="T438" s="88"/>
      <c r="U438" s="88"/>
      <c r="V438" s="88"/>
      <c r="W438" s="88"/>
      <c r="X438" s="88"/>
      <c r="Y438" s="88"/>
      <c r="Z438" s="88"/>
      <c r="AA438" s="88"/>
      <c r="AB438" s="128"/>
      <c r="AC438" s="128"/>
      <c r="AD438" s="128"/>
      <c r="AE438" s="128"/>
      <c r="AF438" s="128"/>
      <c r="AG438" s="128"/>
      <c r="AH438" s="127"/>
    </row>
    <row r="439" spans="1:34" ht="13.2">
      <c r="A439" s="88"/>
      <c r="B439" s="88"/>
      <c r="C439" s="88"/>
      <c r="D439" s="88"/>
      <c r="E439" s="88"/>
      <c r="F439" s="88"/>
      <c r="G439" s="88"/>
      <c r="H439" s="88"/>
      <c r="I439" s="88"/>
      <c r="J439" s="88"/>
      <c r="K439" s="88"/>
      <c r="L439" s="88"/>
      <c r="M439" s="88"/>
      <c r="N439" s="88"/>
      <c r="O439" s="88"/>
      <c r="P439" s="88"/>
      <c r="Q439" s="88"/>
      <c r="R439" s="88"/>
      <c r="S439" s="88"/>
      <c r="T439" s="88"/>
      <c r="U439" s="88"/>
      <c r="V439" s="88"/>
      <c r="W439" s="88"/>
      <c r="X439" s="88"/>
      <c r="Y439" s="88"/>
      <c r="Z439" s="88"/>
      <c r="AA439" s="88"/>
      <c r="AB439" s="128"/>
      <c r="AC439" s="128"/>
      <c r="AD439" s="128"/>
      <c r="AE439" s="128"/>
      <c r="AF439" s="128"/>
      <c r="AG439" s="128"/>
      <c r="AH439" s="127"/>
    </row>
    <row r="440" spans="1:34" ht="13.2">
      <c r="A440" s="88"/>
      <c r="B440" s="88"/>
      <c r="C440" s="88"/>
      <c r="D440" s="88"/>
      <c r="E440" s="88"/>
      <c r="F440" s="88"/>
      <c r="G440" s="88"/>
      <c r="H440" s="88"/>
      <c r="I440" s="88"/>
      <c r="J440" s="88"/>
      <c r="K440" s="88"/>
      <c r="L440" s="88"/>
      <c r="M440" s="88"/>
      <c r="N440" s="88"/>
      <c r="O440" s="88"/>
      <c r="P440" s="88"/>
      <c r="Q440" s="88"/>
      <c r="R440" s="88"/>
      <c r="S440" s="88"/>
      <c r="T440" s="88"/>
      <c r="U440" s="88"/>
      <c r="V440" s="88"/>
      <c r="W440" s="88"/>
      <c r="X440" s="88"/>
      <c r="Y440" s="88"/>
      <c r="Z440" s="88"/>
      <c r="AA440" s="88"/>
      <c r="AB440" s="128"/>
      <c r="AC440" s="128"/>
      <c r="AD440" s="128"/>
      <c r="AE440" s="128"/>
      <c r="AF440" s="128"/>
      <c r="AG440" s="128"/>
      <c r="AH440" s="127"/>
    </row>
    <row r="441" spans="1:34" ht="13.2">
      <c r="A441" s="88"/>
      <c r="B441" s="88"/>
      <c r="C441" s="88"/>
      <c r="D441" s="88"/>
      <c r="E441" s="88"/>
      <c r="F441" s="88"/>
      <c r="G441" s="88"/>
      <c r="H441" s="88"/>
      <c r="I441" s="88"/>
      <c r="J441" s="88"/>
      <c r="K441" s="88"/>
      <c r="L441" s="88"/>
      <c r="M441" s="88"/>
      <c r="N441" s="88"/>
      <c r="O441" s="88"/>
      <c r="P441" s="88"/>
      <c r="Q441" s="88"/>
      <c r="R441" s="88"/>
      <c r="S441" s="88"/>
      <c r="T441" s="88"/>
      <c r="U441" s="88"/>
      <c r="V441" s="88"/>
      <c r="W441" s="88"/>
      <c r="X441" s="88"/>
      <c r="Y441" s="88"/>
      <c r="Z441" s="88"/>
      <c r="AA441" s="88"/>
      <c r="AB441" s="128"/>
      <c r="AC441" s="128"/>
      <c r="AD441" s="128"/>
      <c r="AE441" s="128"/>
      <c r="AF441" s="128"/>
      <c r="AG441" s="128"/>
      <c r="AH441" s="127"/>
    </row>
    <row r="442" spans="1:34" ht="13.2">
      <c r="A442" s="88"/>
      <c r="B442" s="88"/>
      <c r="C442" s="88"/>
      <c r="D442" s="88"/>
      <c r="E442" s="88"/>
      <c r="F442" s="88"/>
      <c r="G442" s="88"/>
      <c r="H442" s="88"/>
      <c r="I442" s="88"/>
      <c r="J442" s="88"/>
      <c r="K442" s="88"/>
      <c r="L442" s="88"/>
      <c r="M442" s="88"/>
      <c r="N442" s="88"/>
      <c r="O442" s="88"/>
      <c r="P442" s="88"/>
      <c r="Q442" s="88"/>
      <c r="R442" s="88"/>
      <c r="S442" s="88"/>
      <c r="T442" s="88"/>
      <c r="U442" s="88"/>
      <c r="V442" s="88"/>
      <c r="W442" s="88"/>
      <c r="X442" s="88"/>
      <c r="Y442" s="88"/>
      <c r="Z442" s="88"/>
      <c r="AA442" s="88"/>
      <c r="AB442" s="128"/>
      <c r="AC442" s="128"/>
      <c r="AD442" s="128"/>
      <c r="AE442" s="128"/>
      <c r="AF442" s="128"/>
      <c r="AG442" s="128"/>
      <c r="AH442" s="127"/>
    </row>
    <row r="443" spans="1:34" ht="13.2">
      <c r="A443" s="88"/>
      <c r="B443" s="88"/>
      <c r="C443" s="88"/>
      <c r="D443" s="88"/>
      <c r="E443" s="88"/>
      <c r="F443" s="88"/>
      <c r="G443" s="88"/>
      <c r="H443" s="88"/>
      <c r="I443" s="88"/>
      <c r="J443" s="88"/>
      <c r="K443" s="88"/>
      <c r="L443" s="88"/>
      <c r="M443" s="88"/>
      <c r="N443" s="88"/>
      <c r="O443" s="88"/>
      <c r="P443" s="88"/>
      <c r="Q443" s="88"/>
      <c r="R443" s="88"/>
      <c r="S443" s="88"/>
      <c r="T443" s="88"/>
      <c r="U443" s="88"/>
      <c r="V443" s="88"/>
      <c r="W443" s="88"/>
      <c r="X443" s="88"/>
      <c r="Y443" s="88"/>
      <c r="Z443" s="88"/>
      <c r="AA443" s="88"/>
      <c r="AB443" s="128"/>
      <c r="AC443" s="128"/>
      <c r="AD443" s="128"/>
      <c r="AE443" s="128"/>
      <c r="AF443" s="128"/>
      <c r="AG443" s="128"/>
      <c r="AH443" s="127"/>
    </row>
    <row r="444" spans="1:34" ht="13.2">
      <c r="A444" s="88"/>
      <c r="B444" s="88"/>
      <c r="C444" s="88"/>
      <c r="D444" s="88"/>
      <c r="E444" s="88"/>
      <c r="F444" s="88"/>
      <c r="G444" s="88"/>
      <c r="H444" s="88"/>
      <c r="I444" s="88"/>
      <c r="J444" s="88"/>
      <c r="K444" s="88"/>
      <c r="L444" s="88"/>
      <c r="M444" s="88"/>
      <c r="N444" s="88"/>
      <c r="O444" s="88"/>
      <c r="P444" s="88"/>
      <c r="Q444" s="88"/>
      <c r="R444" s="88"/>
      <c r="S444" s="88"/>
      <c r="T444" s="88"/>
      <c r="U444" s="88"/>
      <c r="V444" s="88"/>
      <c r="W444" s="88"/>
      <c r="X444" s="88"/>
      <c r="Y444" s="88"/>
      <c r="Z444" s="88"/>
      <c r="AA444" s="88"/>
      <c r="AB444" s="128"/>
      <c r="AC444" s="128"/>
      <c r="AD444" s="128"/>
      <c r="AE444" s="128"/>
      <c r="AF444" s="128"/>
      <c r="AG444" s="128"/>
      <c r="AH444" s="127"/>
    </row>
    <row r="445" spans="1:34" ht="13.2">
      <c r="A445" s="88"/>
      <c r="B445" s="88"/>
      <c r="C445" s="88"/>
      <c r="D445" s="88"/>
      <c r="E445" s="88"/>
      <c r="F445" s="88"/>
      <c r="G445" s="88"/>
      <c r="H445" s="88"/>
      <c r="I445" s="88"/>
      <c r="J445" s="88"/>
      <c r="K445" s="88"/>
      <c r="L445" s="88"/>
      <c r="M445" s="88"/>
      <c r="N445" s="88"/>
      <c r="O445" s="88"/>
      <c r="P445" s="88"/>
      <c r="Q445" s="88"/>
      <c r="R445" s="88"/>
      <c r="S445" s="88"/>
      <c r="T445" s="88"/>
      <c r="U445" s="88"/>
      <c r="V445" s="88"/>
      <c r="W445" s="88"/>
      <c r="X445" s="88"/>
      <c r="Y445" s="88"/>
      <c r="Z445" s="88"/>
      <c r="AA445" s="88"/>
      <c r="AB445" s="128"/>
      <c r="AC445" s="128"/>
      <c r="AD445" s="128"/>
      <c r="AE445" s="128"/>
      <c r="AF445" s="128"/>
      <c r="AG445" s="128"/>
      <c r="AH445" s="127"/>
    </row>
    <row r="446" spans="1:34" ht="13.2">
      <c r="A446" s="88"/>
      <c r="B446" s="88"/>
      <c r="C446" s="88"/>
      <c r="D446" s="88"/>
      <c r="E446" s="88"/>
      <c r="F446" s="88"/>
      <c r="G446" s="88"/>
      <c r="H446" s="88"/>
      <c r="I446" s="88"/>
      <c r="J446" s="88"/>
      <c r="K446" s="88"/>
      <c r="L446" s="88"/>
      <c r="M446" s="88"/>
      <c r="N446" s="88"/>
      <c r="O446" s="88"/>
      <c r="P446" s="88"/>
      <c r="Q446" s="88"/>
      <c r="R446" s="88"/>
      <c r="S446" s="88"/>
      <c r="T446" s="88"/>
      <c r="U446" s="88"/>
      <c r="V446" s="88"/>
      <c r="W446" s="88"/>
      <c r="X446" s="88"/>
      <c r="Y446" s="88"/>
      <c r="Z446" s="88"/>
      <c r="AA446" s="88"/>
      <c r="AB446" s="128"/>
      <c r="AC446" s="128"/>
      <c r="AD446" s="128"/>
      <c r="AE446" s="128"/>
      <c r="AF446" s="128"/>
      <c r="AG446" s="128"/>
      <c r="AH446" s="127"/>
    </row>
    <row r="447" spans="1:34" ht="13.2">
      <c r="A447" s="88"/>
      <c r="B447" s="88"/>
      <c r="C447" s="88"/>
      <c r="D447" s="88"/>
      <c r="E447" s="88"/>
      <c r="F447" s="88"/>
      <c r="G447" s="88"/>
      <c r="H447" s="88"/>
      <c r="I447" s="88"/>
      <c r="J447" s="88"/>
      <c r="K447" s="88"/>
      <c r="L447" s="88"/>
      <c r="M447" s="88"/>
      <c r="N447" s="88"/>
      <c r="O447" s="88"/>
      <c r="P447" s="88"/>
      <c r="Q447" s="88"/>
      <c r="R447" s="88"/>
      <c r="S447" s="88"/>
      <c r="T447" s="88"/>
      <c r="U447" s="88"/>
      <c r="V447" s="88"/>
      <c r="W447" s="88"/>
      <c r="X447" s="88"/>
      <c r="Y447" s="88"/>
      <c r="Z447" s="88"/>
      <c r="AA447" s="88"/>
      <c r="AB447" s="128"/>
      <c r="AC447" s="128"/>
      <c r="AD447" s="128"/>
      <c r="AE447" s="128"/>
      <c r="AF447" s="128"/>
      <c r="AG447" s="128"/>
      <c r="AH447" s="127"/>
    </row>
    <row r="448" spans="1:34" ht="13.2">
      <c r="A448" s="88"/>
      <c r="B448" s="88"/>
      <c r="C448" s="88"/>
      <c r="D448" s="88"/>
      <c r="E448" s="88"/>
      <c r="F448" s="88"/>
      <c r="G448" s="88"/>
      <c r="H448" s="88"/>
      <c r="I448" s="88"/>
      <c r="J448" s="88"/>
      <c r="K448" s="88"/>
      <c r="L448" s="88"/>
      <c r="M448" s="88"/>
      <c r="N448" s="88"/>
      <c r="O448" s="88"/>
      <c r="P448" s="88"/>
      <c r="Q448" s="88"/>
      <c r="R448" s="88"/>
      <c r="S448" s="88"/>
      <c r="T448" s="88"/>
      <c r="U448" s="88"/>
      <c r="V448" s="88"/>
      <c r="W448" s="88"/>
      <c r="X448" s="88"/>
      <c r="Y448" s="88"/>
      <c r="Z448" s="88"/>
      <c r="AA448" s="88"/>
      <c r="AB448" s="128"/>
      <c r="AC448" s="128"/>
      <c r="AD448" s="128"/>
      <c r="AE448" s="128"/>
      <c r="AF448" s="128"/>
      <c r="AG448" s="128"/>
      <c r="AH448" s="127"/>
    </row>
    <row r="449" spans="1:34" ht="13.2">
      <c r="A449" s="88"/>
      <c r="B449" s="88"/>
      <c r="C449" s="88"/>
      <c r="D449" s="88"/>
      <c r="E449" s="88"/>
      <c r="F449" s="88"/>
      <c r="G449" s="88"/>
      <c r="H449" s="88"/>
      <c r="I449" s="88"/>
      <c r="J449" s="88"/>
      <c r="K449" s="88"/>
      <c r="L449" s="88"/>
      <c r="M449" s="88"/>
      <c r="N449" s="88"/>
      <c r="O449" s="88"/>
      <c r="P449" s="88"/>
      <c r="Q449" s="88"/>
      <c r="R449" s="88"/>
      <c r="S449" s="88"/>
      <c r="T449" s="88"/>
      <c r="U449" s="88"/>
      <c r="V449" s="88"/>
      <c r="W449" s="88"/>
      <c r="X449" s="88"/>
      <c r="Y449" s="88"/>
      <c r="Z449" s="88"/>
      <c r="AA449" s="88"/>
      <c r="AB449" s="128"/>
      <c r="AC449" s="128"/>
      <c r="AD449" s="128"/>
      <c r="AE449" s="128"/>
      <c r="AF449" s="128"/>
      <c r="AG449" s="128"/>
      <c r="AH449" s="127"/>
    </row>
    <row r="450" spans="1:34" ht="13.2">
      <c r="A450" s="88"/>
      <c r="B450" s="88"/>
      <c r="C450" s="88"/>
      <c r="D450" s="88"/>
      <c r="E450" s="88"/>
      <c r="F450" s="88"/>
      <c r="G450" s="88"/>
      <c r="H450" s="88"/>
      <c r="I450" s="88"/>
      <c r="J450" s="88"/>
      <c r="K450" s="88"/>
      <c r="L450" s="88"/>
      <c r="M450" s="88"/>
      <c r="N450" s="88"/>
      <c r="O450" s="88"/>
      <c r="P450" s="88"/>
      <c r="Q450" s="88"/>
      <c r="R450" s="88"/>
      <c r="S450" s="88"/>
      <c r="T450" s="88"/>
      <c r="U450" s="88"/>
      <c r="V450" s="88"/>
      <c r="W450" s="88"/>
      <c r="X450" s="88"/>
      <c r="Y450" s="88"/>
      <c r="Z450" s="88"/>
      <c r="AA450" s="88"/>
      <c r="AB450" s="128"/>
      <c r="AC450" s="128"/>
      <c r="AD450" s="128"/>
      <c r="AE450" s="128"/>
      <c r="AF450" s="128"/>
      <c r="AG450" s="128"/>
      <c r="AH450" s="127"/>
    </row>
    <row r="451" spans="1:34" ht="13.2">
      <c r="A451" s="88"/>
      <c r="B451" s="88"/>
      <c r="C451" s="88"/>
      <c r="D451" s="88"/>
      <c r="E451" s="88"/>
      <c r="F451" s="88"/>
      <c r="G451" s="88"/>
      <c r="H451" s="88"/>
      <c r="I451" s="88"/>
      <c r="J451" s="88"/>
      <c r="K451" s="88"/>
      <c r="L451" s="88"/>
      <c r="M451" s="88"/>
      <c r="N451" s="88"/>
      <c r="O451" s="88"/>
      <c r="P451" s="88"/>
      <c r="Q451" s="88"/>
      <c r="R451" s="88"/>
      <c r="S451" s="88"/>
      <c r="T451" s="88"/>
      <c r="U451" s="88"/>
      <c r="V451" s="88"/>
      <c r="W451" s="88"/>
      <c r="X451" s="88"/>
      <c r="Y451" s="88"/>
      <c r="Z451" s="88"/>
      <c r="AA451" s="88"/>
      <c r="AB451" s="128"/>
      <c r="AC451" s="128"/>
      <c r="AD451" s="128"/>
      <c r="AE451" s="128"/>
      <c r="AF451" s="128"/>
      <c r="AG451" s="128"/>
      <c r="AH451" s="127"/>
    </row>
    <row r="452" spans="1:34" ht="13.2">
      <c r="A452" s="88"/>
      <c r="B452" s="88"/>
      <c r="C452" s="88"/>
      <c r="D452" s="88"/>
      <c r="E452" s="88"/>
      <c r="F452" s="88"/>
      <c r="G452" s="88"/>
      <c r="H452" s="88"/>
      <c r="I452" s="88"/>
      <c r="J452" s="88"/>
      <c r="K452" s="88"/>
      <c r="L452" s="88"/>
      <c r="M452" s="88"/>
      <c r="N452" s="88"/>
      <c r="O452" s="88"/>
      <c r="P452" s="88"/>
      <c r="Q452" s="88"/>
      <c r="R452" s="88"/>
      <c r="S452" s="88"/>
      <c r="T452" s="88"/>
      <c r="U452" s="88"/>
      <c r="V452" s="88"/>
      <c r="W452" s="88"/>
      <c r="X452" s="88"/>
      <c r="Y452" s="88"/>
      <c r="Z452" s="88"/>
      <c r="AA452" s="88"/>
      <c r="AB452" s="128"/>
      <c r="AC452" s="128"/>
      <c r="AD452" s="128"/>
      <c r="AE452" s="128"/>
      <c r="AF452" s="128"/>
      <c r="AG452" s="128"/>
      <c r="AH452" s="127"/>
    </row>
    <row r="453" spans="1:34" ht="13.2">
      <c r="A453" s="88"/>
      <c r="B453" s="88"/>
      <c r="C453" s="88"/>
      <c r="D453" s="88"/>
      <c r="E453" s="88"/>
      <c r="F453" s="88"/>
      <c r="G453" s="88"/>
      <c r="H453" s="88"/>
      <c r="I453" s="88"/>
      <c r="J453" s="88"/>
      <c r="K453" s="88"/>
      <c r="L453" s="88"/>
      <c r="M453" s="88"/>
      <c r="N453" s="88"/>
      <c r="O453" s="88"/>
      <c r="P453" s="88"/>
      <c r="Q453" s="88"/>
      <c r="R453" s="88"/>
      <c r="S453" s="88"/>
      <c r="T453" s="88"/>
      <c r="U453" s="88"/>
      <c r="V453" s="88"/>
      <c r="W453" s="88"/>
      <c r="X453" s="88"/>
      <c r="Y453" s="88"/>
      <c r="Z453" s="88"/>
      <c r="AA453" s="88"/>
      <c r="AB453" s="128"/>
      <c r="AC453" s="128"/>
      <c r="AD453" s="128"/>
      <c r="AE453" s="128"/>
      <c r="AF453" s="128"/>
      <c r="AG453" s="128"/>
      <c r="AH453" s="127"/>
    </row>
    <row r="454" spans="1:34" ht="13.2">
      <c r="A454" s="88"/>
      <c r="B454" s="88"/>
      <c r="C454" s="88"/>
      <c r="D454" s="88"/>
      <c r="E454" s="88"/>
      <c r="F454" s="88"/>
      <c r="G454" s="88"/>
      <c r="H454" s="88"/>
      <c r="I454" s="88"/>
      <c r="J454" s="88"/>
      <c r="K454" s="88"/>
      <c r="L454" s="88"/>
      <c r="M454" s="88"/>
      <c r="N454" s="88"/>
      <c r="O454" s="88"/>
      <c r="P454" s="88"/>
      <c r="Q454" s="88"/>
      <c r="R454" s="88"/>
      <c r="S454" s="88"/>
      <c r="T454" s="88"/>
      <c r="U454" s="88"/>
      <c r="V454" s="88"/>
      <c r="W454" s="88"/>
      <c r="X454" s="88"/>
      <c r="Y454" s="88"/>
      <c r="Z454" s="88"/>
      <c r="AA454" s="88"/>
      <c r="AB454" s="128"/>
      <c r="AC454" s="128"/>
      <c r="AD454" s="128"/>
      <c r="AE454" s="128"/>
      <c r="AF454" s="128"/>
      <c r="AG454" s="128"/>
      <c r="AH454" s="127"/>
    </row>
    <row r="455" spans="1:34" ht="13.2">
      <c r="A455" s="88"/>
      <c r="B455" s="88"/>
      <c r="C455" s="88"/>
      <c r="D455" s="88"/>
      <c r="E455" s="88"/>
      <c r="F455" s="88"/>
      <c r="G455" s="88"/>
      <c r="H455" s="88"/>
      <c r="I455" s="88"/>
      <c r="J455" s="88"/>
      <c r="K455" s="88"/>
      <c r="L455" s="88"/>
      <c r="M455" s="88"/>
      <c r="N455" s="88"/>
      <c r="O455" s="88"/>
      <c r="P455" s="88"/>
      <c r="Q455" s="88"/>
      <c r="R455" s="88"/>
      <c r="S455" s="88"/>
      <c r="T455" s="88"/>
      <c r="U455" s="88"/>
      <c r="V455" s="88"/>
      <c r="W455" s="88"/>
      <c r="X455" s="88"/>
      <c r="Y455" s="88"/>
      <c r="Z455" s="88"/>
      <c r="AA455" s="88"/>
      <c r="AB455" s="128"/>
      <c r="AC455" s="128"/>
      <c r="AD455" s="128"/>
      <c r="AE455" s="128"/>
      <c r="AF455" s="128"/>
      <c r="AG455" s="128"/>
      <c r="AH455" s="127"/>
    </row>
    <row r="456" spans="1:34" ht="13.2">
      <c r="A456" s="88"/>
      <c r="B456" s="88"/>
      <c r="C456" s="88"/>
      <c r="D456" s="88"/>
      <c r="E456" s="88"/>
      <c r="F456" s="88"/>
      <c r="G456" s="88"/>
      <c r="H456" s="88"/>
      <c r="I456" s="88"/>
      <c r="J456" s="88"/>
      <c r="K456" s="88"/>
      <c r="L456" s="88"/>
      <c r="M456" s="88"/>
      <c r="N456" s="88"/>
      <c r="O456" s="88"/>
      <c r="P456" s="88"/>
      <c r="Q456" s="88"/>
      <c r="R456" s="88"/>
      <c r="S456" s="88"/>
      <c r="T456" s="88"/>
      <c r="U456" s="88"/>
      <c r="V456" s="88"/>
      <c r="W456" s="88"/>
      <c r="X456" s="88"/>
      <c r="Y456" s="88"/>
      <c r="Z456" s="88"/>
      <c r="AA456" s="88"/>
      <c r="AB456" s="128"/>
      <c r="AC456" s="128"/>
      <c r="AD456" s="128"/>
      <c r="AE456" s="128"/>
      <c r="AF456" s="128"/>
      <c r="AG456" s="128"/>
      <c r="AH456" s="127"/>
    </row>
    <row r="457" spans="1:34" ht="13.2">
      <c r="A457" s="88"/>
      <c r="B457" s="88"/>
      <c r="C457" s="88"/>
      <c r="D457" s="88"/>
      <c r="E457" s="88"/>
      <c r="F457" s="88"/>
      <c r="G457" s="88"/>
      <c r="H457" s="88"/>
      <c r="I457" s="88"/>
      <c r="J457" s="88"/>
      <c r="K457" s="88"/>
      <c r="L457" s="88"/>
      <c r="M457" s="88"/>
      <c r="N457" s="88"/>
      <c r="O457" s="88"/>
      <c r="P457" s="88"/>
      <c r="Q457" s="88"/>
      <c r="R457" s="88"/>
      <c r="S457" s="88"/>
      <c r="T457" s="88"/>
      <c r="U457" s="88"/>
      <c r="V457" s="88"/>
      <c r="W457" s="88"/>
      <c r="X457" s="88"/>
      <c r="Y457" s="88"/>
      <c r="Z457" s="88"/>
      <c r="AA457" s="88"/>
      <c r="AB457" s="128"/>
      <c r="AC457" s="128"/>
      <c r="AD457" s="128"/>
      <c r="AE457" s="128"/>
      <c r="AF457" s="128"/>
      <c r="AG457" s="128"/>
      <c r="AH457" s="127"/>
    </row>
    <row r="458" spans="1:34" ht="13.2">
      <c r="A458" s="88"/>
      <c r="B458" s="88"/>
      <c r="C458" s="88"/>
      <c r="D458" s="88"/>
      <c r="E458" s="88"/>
      <c r="F458" s="88"/>
      <c r="G458" s="88"/>
      <c r="H458" s="88"/>
      <c r="I458" s="88"/>
      <c r="J458" s="88"/>
      <c r="K458" s="88"/>
      <c r="L458" s="88"/>
      <c r="M458" s="88"/>
      <c r="N458" s="88"/>
      <c r="O458" s="88"/>
      <c r="P458" s="88"/>
      <c r="Q458" s="88"/>
      <c r="R458" s="88"/>
      <c r="S458" s="88"/>
      <c r="T458" s="88"/>
      <c r="U458" s="88"/>
      <c r="V458" s="88"/>
      <c r="W458" s="88"/>
      <c r="X458" s="88"/>
      <c r="Y458" s="88"/>
      <c r="Z458" s="88"/>
      <c r="AA458" s="88"/>
      <c r="AB458" s="128"/>
      <c r="AC458" s="128"/>
      <c r="AD458" s="128"/>
      <c r="AE458" s="128"/>
      <c r="AF458" s="128"/>
      <c r="AG458" s="128"/>
      <c r="AH458" s="127"/>
    </row>
    <row r="459" spans="1:34" ht="13.2">
      <c r="A459" s="88"/>
      <c r="B459" s="88"/>
      <c r="C459" s="88"/>
      <c r="D459" s="88"/>
      <c r="E459" s="88"/>
      <c r="F459" s="88"/>
      <c r="G459" s="88"/>
      <c r="H459" s="88"/>
      <c r="I459" s="88"/>
      <c r="J459" s="88"/>
      <c r="K459" s="88"/>
      <c r="L459" s="88"/>
      <c r="M459" s="88"/>
      <c r="N459" s="88"/>
      <c r="O459" s="88"/>
      <c r="P459" s="88"/>
      <c r="Q459" s="88"/>
      <c r="R459" s="88"/>
      <c r="S459" s="88"/>
      <c r="T459" s="88"/>
      <c r="U459" s="88"/>
      <c r="V459" s="88"/>
      <c r="W459" s="88"/>
      <c r="X459" s="88"/>
      <c r="Y459" s="88"/>
      <c r="Z459" s="88"/>
      <c r="AA459" s="88"/>
      <c r="AB459" s="128"/>
      <c r="AC459" s="128"/>
      <c r="AD459" s="128"/>
      <c r="AE459" s="128"/>
      <c r="AF459" s="128"/>
      <c r="AG459" s="128"/>
      <c r="AH459" s="127"/>
    </row>
    <row r="460" spans="1:34" ht="13.2">
      <c r="A460" s="88"/>
      <c r="B460" s="88"/>
      <c r="C460" s="88"/>
      <c r="D460" s="88"/>
      <c r="E460" s="88"/>
      <c r="F460" s="88"/>
      <c r="G460" s="88"/>
      <c r="H460" s="88"/>
      <c r="I460" s="88"/>
      <c r="J460" s="88"/>
      <c r="K460" s="88"/>
      <c r="L460" s="88"/>
      <c r="M460" s="88"/>
      <c r="N460" s="88"/>
      <c r="O460" s="88"/>
      <c r="P460" s="88"/>
      <c r="Q460" s="88"/>
      <c r="R460" s="88"/>
      <c r="S460" s="88"/>
      <c r="T460" s="88"/>
      <c r="U460" s="88"/>
      <c r="V460" s="88"/>
      <c r="W460" s="88"/>
      <c r="X460" s="88"/>
      <c r="Y460" s="88"/>
      <c r="Z460" s="88"/>
      <c r="AA460" s="88"/>
      <c r="AB460" s="128"/>
      <c r="AC460" s="128"/>
      <c r="AD460" s="128"/>
      <c r="AE460" s="128"/>
      <c r="AF460" s="128"/>
      <c r="AG460" s="128"/>
      <c r="AH460" s="127"/>
    </row>
    <row r="461" spans="1:34" ht="13.2">
      <c r="A461" s="88"/>
      <c r="B461" s="88"/>
      <c r="C461" s="88"/>
      <c r="D461" s="88"/>
      <c r="E461" s="88"/>
      <c r="F461" s="88"/>
      <c r="G461" s="88"/>
      <c r="H461" s="88"/>
      <c r="I461" s="88"/>
      <c r="J461" s="88"/>
      <c r="K461" s="88"/>
      <c r="L461" s="88"/>
      <c r="M461" s="88"/>
      <c r="N461" s="88"/>
      <c r="O461" s="88"/>
      <c r="P461" s="88"/>
      <c r="Q461" s="88"/>
      <c r="R461" s="88"/>
      <c r="S461" s="88"/>
      <c r="T461" s="88"/>
      <c r="U461" s="88"/>
      <c r="V461" s="88"/>
      <c r="W461" s="88"/>
      <c r="X461" s="88"/>
      <c r="Y461" s="88"/>
      <c r="Z461" s="88"/>
      <c r="AA461" s="88"/>
      <c r="AB461" s="128"/>
      <c r="AC461" s="128"/>
      <c r="AD461" s="128"/>
      <c r="AE461" s="128"/>
      <c r="AF461" s="128"/>
      <c r="AG461" s="128"/>
      <c r="AH461" s="127"/>
    </row>
    <row r="462" spans="1:34" ht="13.2">
      <c r="A462" s="88"/>
      <c r="B462" s="88"/>
      <c r="C462" s="88"/>
      <c r="D462" s="88"/>
      <c r="E462" s="88"/>
      <c r="F462" s="88"/>
      <c r="G462" s="88"/>
      <c r="H462" s="88"/>
      <c r="I462" s="88"/>
      <c r="J462" s="88"/>
      <c r="K462" s="88"/>
      <c r="L462" s="88"/>
      <c r="M462" s="88"/>
      <c r="N462" s="88"/>
      <c r="O462" s="88"/>
      <c r="P462" s="88"/>
      <c r="Q462" s="88"/>
      <c r="R462" s="88"/>
      <c r="S462" s="88"/>
      <c r="T462" s="88"/>
      <c r="U462" s="88"/>
      <c r="V462" s="88"/>
      <c r="W462" s="88"/>
      <c r="X462" s="88"/>
      <c r="Y462" s="88"/>
      <c r="Z462" s="88"/>
      <c r="AA462" s="88"/>
      <c r="AB462" s="128"/>
      <c r="AC462" s="128"/>
      <c r="AD462" s="128"/>
      <c r="AE462" s="128"/>
      <c r="AF462" s="128"/>
      <c r="AG462" s="128"/>
      <c r="AH462" s="127"/>
    </row>
    <row r="463" spans="1:34" ht="13.2">
      <c r="A463" s="88"/>
      <c r="B463" s="88"/>
      <c r="C463" s="88"/>
      <c r="D463" s="88"/>
      <c r="E463" s="88"/>
      <c r="F463" s="88"/>
      <c r="G463" s="88"/>
      <c r="H463" s="88"/>
      <c r="I463" s="88"/>
      <c r="J463" s="88"/>
      <c r="K463" s="88"/>
      <c r="L463" s="88"/>
      <c r="M463" s="88"/>
      <c r="N463" s="88"/>
      <c r="O463" s="88"/>
      <c r="P463" s="88"/>
      <c r="Q463" s="88"/>
      <c r="R463" s="88"/>
      <c r="S463" s="88"/>
      <c r="T463" s="88"/>
      <c r="U463" s="88"/>
      <c r="V463" s="88"/>
      <c r="W463" s="88"/>
      <c r="X463" s="88"/>
      <c r="Y463" s="88"/>
      <c r="Z463" s="88"/>
      <c r="AA463" s="88"/>
      <c r="AB463" s="128"/>
      <c r="AC463" s="128"/>
      <c r="AD463" s="128"/>
      <c r="AE463" s="128"/>
      <c r="AF463" s="128"/>
      <c r="AG463" s="128"/>
      <c r="AH463" s="127"/>
    </row>
    <row r="464" spans="1:34" ht="13.2">
      <c r="A464" s="88"/>
      <c r="B464" s="88"/>
      <c r="C464" s="88"/>
      <c r="D464" s="88"/>
      <c r="E464" s="88"/>
      <c r="F464" s="88"/>
      <c r="G464" s="88"/>
      <c r="H464" s="88"/>
      <c r="I464" s="88"/>
      <c r="J464" s="88"/>
      <c r="K464" s="88"/>
      <c r="L464" s="88"/>
      <c r="M464" s="88"/>
      <c r="N464" s="88"/>
      <c r="O464" s="88"/>
      <c r="P464" s="88"/>
      <c r="Q464" s="88"/>
      <c r="R464" s="88"/>
      <c r="S464" s="88"/>
      <c r="T464" s="88"/>
      <c r="U464" s="88"/>
      <c r="V464" s="88"/>
      <c r="W464" s="88"/>
      <c r="X464" s="88"/>
      <c r="Y464" s="88"/>
      <c r="Z464" s="88"/>
      <c r="AA464" s="88"/>
      <c r="AB464" s="128"/>
      <c r="AC464" s="128"/>
      <c r="AD464" s="128"/>
      <c r="AE464" s="128"/>
      <c r="AF464" s="128"/>
      <c r="AG464" s="128"/>
      <c r="AH464" s="127"/>
    </row>
    <row r="465" spans="1:34" ht="13.2">
      <c r="A465" s="88"/>
      <c r="B465" s="88"/>
      <c r="C465" s="88"/>
      <c r="D465" s="88"/>
      <c r="E465" s="88"/>
      <c r="F465" s="88"/>
      <c r="G465" s="88"/>
      <c r="H465" s="88"/>
      <c r="I465" s="88"/>
      <c r="J465" s="88"/>
      <c r="K465" s="88"/>
      <c r="L465" s="88"/>
      <c r="M465" s="88"/>
      <c r="N465" s="88"/>
      <c r="O465" s="88"/>
      <c r="P465" s="88"/>
      <c r="Q465" s="88"/>
      <c r="R465" s="88"/>
      <c r="S465" s="88"/>
      <c r="T465" s="88"/>
      <c r="U465" s="88"/>
      <c r="V465" s="88"/>
      <c r="W465" s="88"/>
      <c r="X465" s="88"/>
      <c r="Y465" s="88"/>
      <c r="Z465" s="88"/>
      <c r="AA465" s="88"/>
      <c r="AB465" s="128"/>
      <c r="AC465" s="128"/>
      <c r="AD465" s="128"/>
      <c r="AE465" s="128"/>
      <c r="AF465" s="128"/>
      <c r="AG465" s="128"/>
      <c r="AH465" s="127"/>
    </row>
    <row r="466" spans="1:34" ht="13.2">
      <c r="A466" s="88"/>
      <c r="B466" s="88"/>
      <c r="C466" s="88"/>
      <c r="D466" s="88"/>
      <c r="E466" s="88"/>
      <c r="F466" s="88"/>
      <c r="G466" s="88"/>
      <c r="H466" s="88"/>
      <c r="I466" s="88"/>
      <c r="J466" s="88"/>
      <c r="K466" s="88"/>
      <c r="L466" s="88"/>
      <c r="M466" s="88"/>
      <c r="N466" s="88"/>
      <c r="O466" s="88"/>
      <c r="P466" s="88"/>
      <c r="Q466" s="88"/>
      <c r="R466" s="88"/>
      <c r="S466" s="88"/>
      <c r="T466" s="88"/>
      <c r="U466" s="88"/>
      <c r="V466" s="88"/>
      <c r="W466" s="88"/>
      <c r="X466" s="88"/>
      <c r="Y466" s="88"/>
      <c r="Z466" s="88"/>
      <c r="AA466" s="88"/>
      <c r="AB466" s="128"/>
      <c r="AC466" s="128"/>
      <c r="AD466" s="128"/>
      <c r="AE466" s="128"/>
      <c r="AF466" s="128"/>
      <c r="AG466" s="128"/>
      <c r="AH466" s="127"/>
    </row>
    <row r="467" spans="1:34" ht="13.2">
      <c r="A467" s="88"/>
      <c r="B467" s="88"/>
      <c r="C467" s="88"/>
      <c r="D467" s="88"/>
      <c r="E467" s="88"/>
      <c r="F467" s="88"/>
      <c r="G467" s="88"/>
      <c r="H467" s="88"/>
      <c r="I467" s="88"/>
      <c r="J467" s="88"/>
      <c r="K467" s="88"/>
      <c r="L467" s="88"/>
      <c r="M467" s="88"/>
      <c r="N467" s="88"/>
      <c r="O467" s="88"/>
      <c r="P467" s="88"/>
      <c r="Q467" s="88"/>
      <c r="R467" s="88"/>
      <c r="S467" s="88"/>
      <c r="T467" s="88"/>
      <c r="U467" s="88"/>
      <c r="V467" s="88"/>
      <c r="W467" s="88"/>
      <c r="X467" s="88"/>
      <c r="Y467" s="88"/>
      <c r="Z467" s="88"/>
      <c r="AA467" s="88"/>
      <c r="AB467" s="128"/>
      <c r="AC467" s="128"/>
      <c r="AD467" s="128"/>
      <c r="AE467" s="128"/>
      <c r="AF467" s="128"/>
      <c r="AG467" s="128"/>
      <c r="AH467" s="127"/>
    </row>
    <row r="468" spans="1:34" ht="13.2">
      <c r="A468" s="88"/>
      <c r="B468" s="88"/>
      <c r="C468" s="88"/>
      <c r="D468" s="88"/>
      <c r="E468" s="88"/>
      <c r="F468" s="88"/>
      <c r="G468" s="88"/>
      <c r="H468" s="88"/>
      <c r="I468" s="88"/>
      <c r="J468" s="88"/>
      <c r="K468" s="88"/>
      <c r="L468" s="88"/>
      <c r="M468" s="88"/>
      <c r="N468" s="88"/>
      <c r="O468" s="88"/>
      <c r="P468" s="88"/>
      <c r="Q468" s="88"/>
      <c r="R468" s="88"/>
      <c r="S468" s="88"/>
      <c r="T468" s="88"/>
      <c r="U468" s="88"/>
      <c r="V468" s="88"/>
      <c r="W468" s="88"/>
      <c r="X468" s="88"/>
      <c r="Y468" s="88"/>
      <c r="Z468" s="88"/>
      <c r="AA468" s="88"/>
      <c r="AB468" s="128"/>
      <c r="AC468" s="128"/>
      <c r="AD468" s="128"/>
      <c r="AE468" s="128"/>
      <c r="AF468" s="128"/>
      <c r="AG468" s="128"/>
      <c r="AH468" s="127"/>
    </row>
    <row r="469" spans="1:34" ht="13.2">
      <c r="A469" s="88"/>
      <c r="B469" s="88"/>
      <c r="C469" s="88"/>
      <c r="D469" s="88"/>
      <c r="E469" s="88"/>
      <c r="F469" s="88"/>
      <c r="G469" s="88"/>
      <c r="H469" s="88"/>
      <c r="I469" s="88"/>
      <c r="J469" s="88"/>
      <c r="K469" s="88"/>
      <c r="L469" s="88"/>
      <c r="M469" s="88"/>
      <c r="N469" s="88"/>
      <c r="O469" s="88"/>
      <c r="P469" s="88"/>
      <c r="Q469" s="88"/>
      <c r="R469" s="88"/>
      <c r="S469" s="88"/>
      <c r="T469" s="88"/>
      <c r="U469" s="88"/>
      <c r="V469" s="88"/>
      <c r="W469" s="88"/>
      <c r="X469" s="88"/>
      <c r="Y469" s="88"/>
      <c r="Z469" s="88"/>
      <c r="AA469" s="88"/>
      <c r="AB469" s="128"/>
      <c r="AC469" s="128"/>
      <c r="AD469" s="128"/>
      <c r="AE469" s="128"/>
      <c r="AF469" s="128"/>
      <c r="AG469" s="128"/>
      <c r="AH469" s="127"/>
    </row>
    <row r="470" spans="1:34" ht="13.2">
      <c r="A470" s="88"/>
      <c r="B470" s="88"/>
      <c r="C470" s="88"/>
      <c r="D470" s="88"/>
      <c r="E470" s="88"/>
      <c r="F470" s="88"/>
      <c r="G470" s="88"/>
      <c r="H470" s="88"/>
      <c r="I470" s="88"/>
      <c r="J470" s="88"/>
      <c r="K470" s="88"/>
      <c r="L470" s="88"/>
      <c r="M470" s="88"/>
      <c r="N470" s="88"/>
      <c r="O470" s="88"/>
      <c r="P470" s="88"/>
      <c r="Q470" s="88"/>
      <c r="R470" s="88"/>
      <c r="S470" s="88"/>
      <c r="T470" s="88"/>
      <c r="U470" s="88"/>
      <c r="V470" s="88"/>
      <c r="W470" s="88"/>
      <c r="X470" s="88"/>
      <c r="Y470" s="88"/>
      <c r="Z470" s="88"/>
      <c r="AA470" s="88"/>
      <c r="AB470" s="128"/>
      <c r="AC470" s="128"/>
      <c r="AD470" s="128"/>
      <c r="AE470" s="128"/>
      <c r="AF470" s="128"/>
      <c r="AG470" s="128"/>
      <c r="AH470" s="127"/>
    </row>
    <row r="471" spans="1:34" ht="13.2">
      <c r="A471" s="88"/>
      <c r="B471" s="88"/>
      <c r="C471" s="88"/>
      <c r="D471" s="88"/>
      <c r="E471" s="88"/>
      <c r="F471" s="88"/>
      <c r="G471" s="88"/>
      <c r="H471" s="88"/>
      <c r="I471" s="88"/>
      <c r="J471" s="88"/>
      <c r="K471" s="88"/>
      <c r="L471" s="88"/>
      <c r="M471" s="88"/>
      <c r="N471" s="88"/>
      <c r="O471" s="88"/>
      <c r="P471" s="88"/>
      <c r="Q471" s="88"/>
      <c r="R471" s="88"/>
      <c r="S471" s="88"/>
      <c r="T471" s="88"/>
      <c r="U471" s="88"/>
      <c r="V471" s="88"/>
      <c r="W471" s="88"/>
      <c r="X471" s="88"/>
      <c r="Y471" s="88"/>
      <c r="Z471" s="88"/>
      <c r="AA471" s="88"/>
      <c r="AB471" s="128"/>
      <c r="AC471" s="128"/>
      <c r="AD471" s="128"/>
      <c r="AE471" s="128"/>
      <c r="AF471" s="128"/>
      <c r="AG471" s="128"/>
      <c r="AH471" s="127"/>
    </row>
    <row r="472" spans="1:34" ht="13.2">
      <c r="A472" s="88"/>
      <c r="B472" s="88"/>
      <c r="C472" s="88"/>
      <c r="D472" s="88"/>
      <c r="E472" s="88"/>
      <c r="F472" s="88"/>
      <c r="G472" s="88"/>
      <c r="H472" s="88"/>
      <c r="I472" s="88"/>
      <c r="J472" s="88"/>
      <c r="K472" s="88"/>
      <c r="L472" s="88"/>
      <c r="M472" s="88"/>
      <c r="N472" s="88"/>
      <c r="O472" s="88"/>
      <c r="P472" s="88"/>
      <c r="Q472" s="88"/>
      <c r="R472" s="88"/>
      <c r="S472" s="88"/>
      <c r="T472" s="88"/>
      <c r="U472" s="88"/>
      <c r="V472" s="88"/>
      <c r="W472" s="88"/>
      <c r="X472" s="88"/>
      <c r="Y472" s="88"/>
      <c r="Z472" s="88"/>
      <c r="AA472" s="88"/>
      <c r="AB472" s="128"/>
      <c r="AC472" s="128"/>
      <c r="AD472" s="128"/>
      <c r="AE472" s="128"/>
      <c r="AF472" s="128"/>
      <c r="AG472" s="128"/>
      <c r="AH472" s="127"/>
    </row>
    <row r="473" spans="1:34" ht="13.2">
      <c r="A473" s="88"/>
      <c r="B473" s="88"/>
      <c r="C473" s="88"/>
      <c r="D473" s="88"/>
      <c r="E473" s="88"/>
      <c r="F473" s="88"/>
      <c r="G473" s="88"/>
      <c r="H473" s="88"/>
      <c r="I473" s="88"/>
      <c r="J473" s="88"/>
      <c r="K473" s="88"/>
      <c r="L473" s="88"/>
      <c r="M473" s="88"/>
      <c r="N473" s="88"/>
      <c r="O473" s="88"/>
      <c r="P473" s="88"/>
      <c r="Q473" s="88"/>
      <c r="R473" s="88"/>
      <c r="S473" s="88"/>
      <c r="T473" s="88"/>
      <c r="U473" s="88"/>
      <c r="V473" s="88"/>
      <c r="W473" s="88"/>
      <c r="X473" s="88"/>
      <c r="Y473" s="88"/>
      <c r="Z473" s="88"/>
      <c r="AA473" s="88"/>
      <c r="AB473" s="128"/>
      <c r="AC473" s="128"/>
      <c r="AD473" s="128"/>
      <c r="AE473" s="128"/>
      <c r="AF473" s="128"/>
      <c r="AG473" s="128"/>
      <c r="AH473" s="127"/>
    </row>
    <row r="474" spans="1:34" ht="13.2">
      <c r="A474" s="88"/>
      <c r="B474" s="88"/>
      <c r="C474" s="88"/>
      <c r="D474" s="88"/>
      <c r="E474" s="88"/>
      <c r="F474" s="88"/>
      <c r="G474" s="88"/>
      <c r="H474" s="88"/>
      <c r="I474" s="88"/>
      <c r="J474" s="88"/>
      <c r="K474" s="88"/>
      <c r="L474" s="88"/>
      <c r="M474" s="88"/>
      <c r="N474" s="88"/>
      <c r="O474" s="88"/>
      <c r="P474" s="88"/>
      <c r="Q474" s="88"/>
      <c r="R474" s="88"/>
      <c r="S474" s="88"/>
      <c r="T474" s="88"/>
      <c r="U474" s="88"/>
      <c r="V474" s="88"/>
      <c r="W474" s="88"/>
      <c r="X474" s="88"/>
      <c r="Y474" s="88"/>
      <c r="Z474" s="88"/>
      <c r="AA474" s="88"/>
      <c r="AB474" s="128"/>
      <c r="AC474" s="128"/>
      <c r="AD474" s="128"/>
      <c r="AE474" s="128"/>
      <c r="AF474" s="128"/>
      <c r="AG474" s="128"/>
      <c r="AH474" s="127"/>
    </row>
    <row r="475" spans="1:34" ht="13.2">
      <c r="A475" s="88"/>
      <c r="B475" s="88"/>
      <c r="C475" s="88"/>
      <c r="D475" s="88"/>
      <c r="E475" s="88"/>
      <c r="F475" s="88"/>
      <c r="G475" s="88"/>
      <c r="H475" s="88"/>
      <c r="I475" s="88"/>
      <c r="J475" s="88"/>
      <c r="K475" s="88"/>
      <c r="L475" s="88"/>
      <c r="M475" s="88"/>
      <c r="N475" s="88"/>
      <c r="O475" s="88"/>
      <c r="P475" s="88"/>
      <c r="Q475" s="88"/>
      <c r="R475" s="88"/>
      <c r="S475" s="88"/>
      <c r="T475" s="88"/>
      <c r="U475" s="88"/>
      <c r="V475" s="88"/>
      <c r="W475" s="88"/>
      <c r="X475" s="88"/>
      <c r="Y475" s="88"/>
      <c r="Z475" s="88"/>
      <c r="AA475" s="88"/>
      <c r="AB475" s="128"/>
      <c r="AC475" s="128"/>
      <c r="AD475" s="128"/>
      <c r="AE475" s="128"/>
      <c r="AF475" s="128"/>
      <c r="AG475" s="128"/>
      <c r="AH475" s="127"/>
    </row>
    <row r="476" spans="1:34" ht="13.2">
      <c r="A476" s="88"/>
      <c r="B476" s="88"/>
      <c r="C476" s="88"/>
      <c r="D476" s="88"/>
      <c r="E476" s="88"/>
      <c r="F476" s="88"/>
      <c r="G476" s="88"/>
      <c r="H476" s="88"/>
      <c r="I476" s="88"/>
      <c r="J476" s="88"/>
      <c r="K476" s="88"/>
      <c r="L476" s="88"/>
      <c r="M476" s="88"/>
      <c r="N476" s="88"/>
      <c r="O476" s="88"/>
      <c r="P476" s="88"/>
      <c r="Q476" s="88"/>
      <c r="R476" s="88"/>
      <c r="S476" s="88"/>
      <c r="T476" s="88"/>
      <c r="U476" s="88"/>
      <c r="V476" s="88"/>
      <c r="W476" s="88"/>
      <c r="X476" s="88"/>
      <c r="Y476" s="88"/>
      <c r="Z476" s="88"/>
      <c r="AA476" s="88"/>
      <c r="AB476" s="128"/>
      <c r="AC476" s="128"/>
      <c r="AD476" s="128"/>
      <c r="AE476" s="128"/>
      <c r="AF476" s="128"/>
      <c r="AG476" s="128"/>
      <c r="AH476" s="127"/>
    </row>
    <row r="477" spans="1:34" ht="13.2">
      <c r="A477" s="88"/>
      <c r="B477" s="88"/>
      <c r="C477" s="88"/>
      <c r="D477" s="88"/>
      <c r="E477" s="88"/>
      <c r="F477" s="88"/>
      <c r="G477" s="88"/>
      <c r="H477" s="88"/>
      <c r="I477" s="88"/>
      <c r="J477" s="88"/>
      <c r="K477" s="88"/>
      <c r="L477" s="88"/>
      <c r="M477" s="88"/>
      <c r="N477" s="88"/>
      <c r="O477" s="88"/>
      <c r="P477" s="88"/>
      <c r="Q477" s="88"/>
      <c r="R477" s="88"/>
      <c r="S477" s="88"/>
      <c r="T477" s="88"/>
      <c r="U477" s="88"/>
      <c r="V477" s="88"/>
      <c r="W477" s="88"/>
      <c r="X477" s="88"/>
      <c r="Y477" s="88"/>
      <c r="Z477" s="88"/>
      <c r="AA477" s="88"/>
      <c r="AB477" s="128"/>
      <c r="AC477" s="128"/>
      <c r="AD477" s="128"/>
      <c r="AE477" s="128"/>
      <c r="AF477" s="128"/>
      <c r="AG477" s="128"/>
      <c r="AH477" s="127"/>
    </row>
    <row r="478" spans="1:34" ht="13.2">
      <c r="A478" s="88"/>
      <c r="B478" s="88"/>
      <c r="C478" s="88"/>
      <c r="D478" s="88"/>
      <c r="E478" s="88"/>
      <c r="F478" s="88"/>
      <c r="G478" s="88"/>
      <c r="H478" s="88"/>
      <c r="I478" s="88"/>
      <c r="J478" s="88"/>
      <c r="K478" s="88"/>
      <c r="L478" s="88"/>
      <c r="M478" s="88"/>
      <c r="N478" s="88"/>
      <c r="O478" s="88"/>
      <c r="P478" s="88"/>
      <c r="Q478" s="88"/>
      <c r="R478" s="88"/>
      <c r="S478" s="88"/>
      <c r="T478" s="88"/>
      <c r="U478" s="88"/>
      <c r="V478" s="88"/>
      <c r="W478" s="88"/>
      <c r="X478" s="88"/>
      <c r="Y478" s="88"/>
      <c r="Z478" s="88"/>
      <c r="AA478" s="88"/>
      <c r="AB478" s="128"/>
      <c r="AC478" s="128"/>
      <c r="AD478" s="128"/>
      <c r="AE478" s="128"/>
      <c r="AF478" s="128"/>
      <c r="AG478" s="128"/>
      <c r="AH478" s="127"/>
    </row>
    <row r="479" spans="1:34" ht="13.2">
      <c r="A479" s="88"/>
      <c r="B479" s="88"/>
      <c r="C479" s="88"/>
      <c r="D479" s="88"/>
      <c r="E479" s="88"/>
      <c r="F479" s="88"/>
      <c r="G479" s="88"/>
      <c r="H479" s="88"/>
      <c r="I479" s="88"/>
      <c r="J479" s="88"/>
      <c r="K479" s="88"/>
      <c r="L479" s="88"/>
      <c r="M479" s="88"/>
      <c r="N479" s="88"/>
      <c r="O479" s="88"/>
      <c r="P479" s="88"/>
      <c r="Q479" s="88"/>
      <c r="R479" s="88"/>
      <c r="S479" s="88"/>
      <c r="T479" s="88"/>
      <c r="U479" s="88"/>
      <c r="V479" s="88"/>
      <c r="W479" s="88"/>
      <c r="X479" s="88"/>
      <c r="Y479" s="88"/>
      <c r="Z479" s="88"/>
      <c r="AA479" s="88"/>
      <c r="AB479" s="128"/>
      <c r="AC479" s="128"/>
      <c r="AD479" s="128"/>
      <c r="AE479" s="128"/>
      <c r="AF479" s="128"/>
      <c r="AG479" s="128"/>
      <c r="AH479" s="127"/>
    </row>
    <row r="480" spans="1:34" ht="13.2">
      <c r="A480" s="88"/>
      <c r="B480" s="88"/>
      <c r="C480" s="88"/>
      <c r="D480" s="88"/>
      <c r="E480" s="88"/>
      <c r="F480" s="88"/>
      <c r="G480" s="88"/>
      <c r="H480" s="88"/>
      <c r="I480" s="88"/>
      <c r="J480" s="88"/>
      <c r="K480" s="88"/>
      <c r="L480" s="88"/>
      <c r="M480" s="88"/>
      <c r="N480" s="88"/>
      <c r="O480" s="88"/>
      <c r="P480" s="88"/>
      <c r="Q480" s="88"/>
      <c r="R480" s="88"/>
      <c r="S480" s="88"/>
      <c r="T480" s="88"/>
      <c r="U480" s="88"/>
      <c r="V480" s="88"/>
      <c r="W480" s="88"/>
      <c r="X480" s="88"/>
      <c r="Y480" s="88"/>
      <c r="Z480" s="88"/>
      <c r="AA480" s="88"/>
      <c r="AB480" s="128"/>
      <c r="AC480" s="128"/>
      <c r="AD480" s="128"/>
      <c r="AE480" s="128"/>
      <c r="AF480" s="128"/>
      <c r="AG480" s="128"/>
      <c r="AH480" s="127"/>
    </row>
    <row r="481" spans="1:34" ht="13.2">
      <c r="A481" s="88"/>
      <c r="B481" s="88"/>
      <c r="C481" s="88"/>
      <c r="D481" s="88"/>
      <c r="E481" s="88"/>
      <c r="F481" s="88"/>
      <c r="G481" s="88"/>
      <c r="H481" s="88"/>
      <c r="I481" s="88"/>
      <c r="J481" s="88"/>
      <c r="K481" s="88"/>
      <c r="L481" s="88"/>
      <c r="M481" s="88"/>
      <c r="N481" s="88"/>
      <c r="O481" s="88"/>
      <c r="P481" s="88"/>
      <c r="Q481" s="88"/>
      <c r="R481" s="88"/>
      <c r="S481" s="88"/>
      <c r="T481" s="88"/>
      <c r="U481" s="88"/>
      <c r="V481" s="88"/>
      <c r="W481" s="88"/>
      <c r="X481" s="88"/>
      <c r="Y481" s="88"/>
      <c r="Z481" s="88"/>
      <c r="AA481" s="88"/>
      <c r="AB481" s="128"/>
      <c r="AC481" s="128"/>
      <c r="AD481" s="128"/>
      <c r="AE481" s="128"/>
      <c r="AF481" s="128"/>
      <c r="AG481" s="128"/>
      <c r="AH481" s="127"/>
    </row>
    <row r="482" spans="1:34" ht="13.2">
      <c r="A482" s="88"/>
      <c r="B482" s="88"/>
      <c r="C482" s="88"/>
      <c r="D482" s="88"/>
      <c r="E482" s="88"/>
      <c r="F482" s="88"/>
      <c r="G482" s="88"/>
      <c r="H482" s="88"/>
      <c r="I482" s="88"/>
      <c r="J482" s="88"/>
      <c r="K482" s="88"/>
      <c r="L482" s="88"/>
      <c r="M482" s="88"/>
      <c r="N482" s="88"/>
      <c r="O482" s="88"/>
      <c r="P482" s="88"/>
      <c r="Q482" s="88"/>
      <c r="R482" s="88"/>
      <c r="S482" s="88"/>
      <c r="T482" s="88"/>
      <c r="U482" s="88"/>
      <c r="V482" s="88"/>
      <c r="W482" s="88"/>
      <c r="X482" s="88"/>
      <c r="Y482" s="88"/>
      <c r="Z482" s="88"/>
      <c r="AA482" s="88"/>
      <c r="AB482" s="128"/>
      <c r="AC482" s="128"/>
      <c r="AD482" s="128"/>
      <c r="AE482" s="128"/>
      <c r="AF482" s="128"/>
      <c r="AG482" s="128"/>
      <c r="AH482" s="127"/>
    </row>
    <row r="483" spans="1:34" ht="13.2">
      <c r="A483" s="88"/>
      <c r="B483" s="88"/>
      <c r="C483" s="88"/>
      <c r="D483" s="88"/>
      <c r="E483" s="88"/>
      <c r="F483" s="88"/>
      <c r="G483" s="88"/>
      <c r="H483" s="88"/>
      <c r="I483" s="88"/>
      <c r="J483" s="88"/>
      <c r="K483" s="88"/>
      <c r="L483" s="88"/>
      <c r="M483" s="88"/>
      <c r="N483" s="88"/>
      <c r="O483" s="88"/>
      <c r="P483" s="88"/>
      <c r="Q483" s="88"/>
      <c r="R483" s="88"/>
      <c r="S483" s="88"/>
      <c r="T483" s="88"/>
      <c r="U483" s="88"/>
      <c r="V483" s="88"/>
      <c r="W483" s="88"/>
      <c r="X483" s="88"/>
      <c r="Y483" s="88"/>
      <c r="Z483" s="88"/>
      <c r="AA483" s="88"/>
      <c r="AB483" s="128"/>
      <c r="AC483" s="128"/>
      <c r="AD483" s="128"/>
      <c r="AE483" s="128"/>
      <c r="AF483" s="128"/>
      <c r="AG483" s="128"/>
      <c r="AH483" s="127"/>
    </row>
    <row r="484" spans="1:34" ht="13.2">
      <c r="A484" s="88"/>
      <c r="B484" s="88"/>
      <c r="C484" s="88"/>
      <c r="D484" s="88"/>
      <c r="E484" s="88"/>
      <c r="F484" s="88"/>
      <c r="G484" s="88"/>
      <c r="H484" s="88"/>
      <c r="I484" s="88"/>
      <c r="J484" s="88"/>
      <c r="K484" s="88"/>
      <c r="L484" s="88"/>
      <c r="M484" s="88"/>
      <c r="N484" s="88"/>
      <c r="O484" s="88"/>
      <c r="P484" s="88"/>
      <c r="Q484" s="88"/>
      <c r="R484" s="88"/>
      <c r="S484" s="88"/>
      <c r="T484" s="88"/>
      <c r="U484" s="88"/>
      <c r="V484" s="88"/>
      <c r="W484" s="88"/>
      <c r="X484" s="88"/>
      <c r="Y484" s="88"/>
      <c r="Z484" s="88"/>
      <c r="AA484" s="88"/>
      <c r="AB484" s="128"/>
      <c r="AC484" s="128"/>
      <c r="AD484" s="128"/>
      <c r="AE484" s="128"/>
      <c r="AF484" s="128"/>
      <c r="AG484" s="128"/>
      <c r="AH484" s="127"/>
    </row>
    <row r="485" spans="1:34" ht="13.2">
      <c r="A485" s="88"/>
      <c r="B485" s="88"/>
      <c r="C485" s="88"/>
      <c r="D485" s="88"/>
      <c r="E485" s="88"/>
      <c r="F485" s="88"/>
      <c r="G485" s="88"/>
      <c r="H485" s="88"/>
      <c r="I485" s="88"/>
      <c r="J485" s="88"/>
      <c r="K485" s="88"/>
      <c r="L485" s="88"/>
      <c r="M485" s="88"/>
      <c r="N485" s="88"/>
      <c r="O485" s="88"/>
      <c r="P485" s="88"/>
      <c r="Q485" s="88"/>
      <c r="R485" s="88"/>
      <c r="S485" s="88"/>
      <c r="T485" s="88"/>
      <c r="U485" s="88"/>
      <c r="V485" s="88"/>
      <c r="W485" s="88"/>
      <c r="X485" s="88"/>
      <c r="Y485" s="88"/>
      <c r="Z485" s="88"/>
      <c r="AA485" s="88"/>
      <c r="AB485" s="128"/>
      <c r="AC485" s="128"/>
      <c r="AD485" s="128"/>
      <c r="AE485" s="128"/>
      <c r="AF485" s="128"/>
      <c r="AG485" s="128"/>
      <c r="AH485" s="127"/>
    </row>
    <row r="486" spans="1:34" ht="13.2">
      <c r="A486" s="88"/>
      <c r="B486" s="88"/>
      <c r="C486" s="88"/>
      <c r="D486" s="88"/>
      <c r="E486" s="88"/>
      <c r="F486" s="88"/>
      <c r="G486" s="88"/>
      <c r="H486" s="88"/>
      <c r="I486" s="88"/>
      <c r="J486" s="88"/>
      <c r="K486" s="88"/>
      <c r="L486" s="88"/>
      <c r="M486" s="88"/>
      <c r="N486" s="88"/>
      <c r="O486" s="88"/>
      <c r="P486" s="88"/>
      <c r="Q486" s="88"/>
      <c r="R486" s="88"/>
      <c r="S486" s="88"/>
      <c r="T486" s="88"/>
      <c r="U486" s="88"/>
      <c r="V486" s="88"/>
      <c r="W486" s="88"/>
      <c r="X486" s="88"/>
      <c r="Y486" s="88"/>
      <c r="Z486" s="88"/>
      <c r="AA486" s="88"/>
      <c r="AB486" s="128"/>
      <c r="AC486" s="128"/>
      <c r="AD486" s="128"/>
      <c r="AE486" s="128"/>
      <c r="AF486" s="128"/>
      <c r="AG486" s="128"/>
      <c r="AH486" s="127"/>
    </row>
    <row r="487" spans="1:34" ht="13.2">
      <c r="A487" s="88"/>
      <c r="B487" s="88"/>
      <c r="C487" s="88"/>
      <c r="D487" s="88"/>
      <c r="E487" s="88"/>
      <c r="F487" s="88"/>
      <c r="G487" s="88"/>
      <c r="H487" s="88"/>
      <c r="I487" s="88"/>
      <c r="J487" s="88"/>
      <c r="K487" s="88"/>
      <c r="L487" s="88"/>
      <c r="M487" s="88"/>
      <c r="N487" s="88"/>
      <c r="O487" s="88"/>
      <c r="P487" s="88"/>
      <c r="Q487" s="88"/>
      <c r="R487" s="88"/>
      <c r="S487" s="88"/>
      <c r="T487" s="88"/>
      <c r="U487" s="88"/>
      <c r="V487" s="88"/>
      <c r="W487" s="88"/>
      <c r="X487" s="88"/>
      <c r="Y487" s="88"/>
      <c r="Z487" s="88"/>
      <c r="AA487" s="88"/>
      <c r="AB487" s="128"/>
      <c r="AC487" s="128"/>
      <c r="AD487" s="128"/>
      <c r="AE487" s="128"/>
      <c r="AF487" s="128"/>
      <c r="AG487" s="128"/>
      <c r="AH487" s="127"/>
    </row>
    <row r="488" spans="1:34" ht="13.2">
      <c r="A488" s="88"/>
      <c r="B488" s="88"/>
      <c r="C488" s="88"/>
      <c r="D488" s="88"/>
      <c r="E488" s="88"/>
      <c r="F488" s="88"/>
      <c r="G488" s="88"/>
      <c r="H488" s="88"/>
      <c r="I488" s="88"/>
      <c r="J488" s="88"/>
      <c r="K488" s="88"/>
      <c r="L488" s="88"/>
      <c r="M488" s="88"/>
      <c r="N488" s="88"/>
      <c r="O488" s="88"/>
      <c r="P488" s="88"/>
      <c r="Q488" s="88"/>
      <c r="R488" s="88"/>
      <c r="S488" s="88"/>
      <c r="T488" s="88"/>
      <c r="U488" s="88"/>
      <c r="V488" s="88"/>
      <c r="W488" s="88"/>
      <c r="X488" s="88"/>
      <c r="Y488" s="88"/>
      <c r="Z488" s="88"/>
      <c r="AA488" s="88"/>
      <c r="AB488" s="128"/>
      <c r="AC488" s="128"/>
      <c r="AD488" s="128"/>
      <c r="AE488" s="128"/>
      <c r="AF488" s="128"/>
      <c r="AG488" s="128"/>
      <c r="AH488" s="127"/>
    </row>
    <row r="489" spans="1:34" ht="13.2">
      <c r="A489" s="88"/>
      <c r="B489" s="88"/>
      <c r="C489" s="88"/>
      <c r="D489" s="88"/>
      <c r="E489" s="88"/>
      <c r="F489" s="88"/>
      <c r="G489" s="88"/>
      <c r="H489" s="88"/>
      <c r="I489" s="88"/>
      <c r="J489" s="88"/>
      <c r="K489" s="88"/>
      <c r="L489" s="88"/>
      <c r="M489" s="88"/>
      <c r="N489" s="88"/>
      <c r="O489" s="88"/>
      <c r="P489" s="88"/>
      <c r="Q489" s="88"/>
      <c r="R489" s="88"/>
      <c r="S489" s="88"/>
      <c r="T489" s="88"/>
      <c r="U489" s="88"/>
      <c r="V489" s="88"/>
      <c r="W489" s="88"/>
      <c r="X489" s="88"/>
      <c r="Y489" s="88"/>
      <c r="Z489" s="88"/>
      <c r="AA489" s="88"/>
      <c r="AB489" s="128"/>
      <c r="AC489" s="128"/>
      <c r="AD489" s="128"/>
      <c r="AE489" s="128"/>
      <c r="AF489" s="128"/>
      <c r="AG489" s="128"/>
      <c r="AH489" s="127"/>
    </row>
    <row r="490" spans="1:34" ht="13.2">
      <c r="A490" s="88"/>
      <c r="B490" s="88"/>
      <c r="C490" s="88"/>
      <c r="D490" s="88"/>
      <c r="E490" s="88"/>
      <c r="F490" s="88"/>
      <c r="G490" s="88"/>
      <c r="H490" s="88"/>
      <c r="I490" s="88"/>
      <c r="J490" s="88"/>
      <c r="K490" s="88"/>
      <c r="L490" s="88"/>
      <c r="M490" s="88"/>
      <c r="N490" s="88"/>
      <c r="O490" s="88"/>
      <c r="P490" s="88"/>
      <c r="Q490" s="88"/>
      <c r="R490" s="88"/>
      <c r="S490" s="88"/>
      <c r="T490" s="88"/>
      <c r="U490" s="88"/>
      <c r="V490" s="88"/>
      <c r="W490" s="88"/>
      <c r="X490" s="88"/>
      <c r="Y490" s="88"/>
      <c r="Z490" s="88"/>
      <c r="AA490" s="88"/>
      <c r="AB490" s="128"/>
      <c r="AC490" s="128"/>
      <c r="AD490" s="128"/>
      <c r="AE490" s="128"/>
      <c r="AF490" s="128"/>
      <c r="AG490" s="128"/>
      <c r="AH490" s="127"/>
    </row>
    <row r="491" spans="1:34" ht="13.2">
      <c r="A491" s="88"/>
      <c r="B491" s="88"/>
      <c r="C491" s="88"/>
      <c r="D491" s="88"/>
      <c r="E491" s="88"/>
      <c r="F491" s="88"/>
      <c r="G491" s="88"/>
      <c r="H491" s="88"/>
      <c r="I491" s="88"/>
      <c r="J491" s="88"/>
      <c r="K491" s="88"/>
      <c r="L491" s="88"/>
      <c r="M491" s="88"/>
      <c r="N491" s="88"/>
      <c r="O491" s="88"/>
      <c r="P491" s="88"/>
      <c r="Q491" s="88"/>
      <c r="R491" s="88"/>
      <c r="S491" s="88"/>
      <c r="T491" s="88"/>
      <c r="U491" s="88"/>
      <c r="V491" s="88"/>
      <c r="W491" s="88"/>
      <c r="X491" s="88"/>
      <c r="Y491" s="88"/>
      <c r="Z491" s="88"/>
      <c r="AA491" s="88"/>
      <c r="AB491" s="128"/>
      <c r="AC491" s="128"/>
      <c r="AD491" s="128"/>
      <c r="AE491" s="128"/>
      <c r="AF491" s="128"/>
      <c r="AG491" s="128"/>
      <c r="AH491" s="127"/>
    </row>
    <row r="492" spans="1:34" ht="13.2">
      <c r="A492" s="88"/>
      <c r="B492" s="88"/>
      <c r="C492" s="88"/>
      <c r="D492" s="88"/>
      <c r="E492" s="88"/>
      <c r="F492" s="88"/>
      <c r="G492" s="88"/>
      <c r="H492" s="88"/>
      <c r="I492" s="88"/>
      <c r="J492" s="88"/>
      <c r="K492" s="88"/>
      <c r="L492" s="88"/>
      <c r="M492" s="88"/>
      <c r="N492" s="88"/>
      <c r="O492" s="88"/>
      <c r="P492" s="88"/>
      <c r="Q492" s="88"/>
      <c r="R492" s="88"/>
      <c r="S492" s="88"/>
      <c r="T492" s="88"/>
      <c r="U492" s="88"/>
      <c r="V492" s="88"/>
      <c r="W492" s="88"/>
      <c r="X492" s="88"/>
      <c r="Y492" s="88"/>
      <c r="Z492" s="88"/>
      <c r="AA492" s="88"/>
      <c r="AB492" s="128"/>
      <c r="AC492" s="128"/>
      <c r="AD492" s="128"/>
      <c r="AE492" s="128"/>
      <c r="AF492" s="128"/>
      <c r="AG492" s="128"/>
      <c r="AH492" s="127"/>
    </row>
    <row r="493" spans="1:34" ht="13.2">
      <c r="A493" s="88"/>
      <c r="B493" s="88"/>
      <c r="C493" s="88"/>
      <c r="D493" s="88"/>
      <c r="E493" s="88"/>
      <c r="F493" s="88"/>
      <c r="G493" s="88"/>
      <c r="H493" s="88"/>
      <c r="I493" s="88"/>
      <c r="J493" s="88"/>
      <c r="K493" s="88"/>
      <c r="L493" s="88"/>
      <c r="M493" s="88"/>
      <c r="N493" s="88"/>
      <c r="O493" s="88"/>
      <c r="P493" s="88"/>
      <c r="Q493" s="88"/>
      <c r="R493" s="88"/>
      <c r="S493" s="88"/>
      <c r="T493" s="88"/>
      <c r="U493" s="88"/>
      <c r="V493" s="88"/>
      <c r="W493" s="88"/>
      <c r="X493" s="88"/>
      <c r="Y493" s="88"/>
      <c r="Z493" s="88"/>
      <c r="AA493" s="88"/>
      <c r="AB493" s="128"/>
      <c r="AC493" s="128"/>
      <c r="AD493" s="128"/>
      <c r="AE493" s="128"/>
      <c r="AF493" s="128"/>
      <c r="AG493" s="128"/>
      <c r="AH493" s="127"/>
    </row>
    <row r="494" spans="1:34" ht="13.2">
      <c r="A494" s="88"/>
      <c r="B494" s="88"/>
      <c r="C494" s="88"/>
      <c r="D494" s="88"/>
      <c r="E494" s="88"/>
      <c r="F494" s="88"/>
      <c r="G494" s="88"/>
      <c r="H494" s="88"/>
      <c r="I494" s="88"/>
      <c r="J494" s="88"/>
      <c r="K494" s="88"/>
      <c r="L494" s="88"/>
      <c r="M494" s="88"/>
      <c r="N494" s="88"/>
      <c r="O494" s="88"/>
      <c r="P494" s="88"/>
      <c r="Q494" s="88"/>
      <c r="R494" s="88"/>
      <c r="S494" s="88"/>
      <c r="T494" s="88"/>
      <c r="U494" s="88"/>
      <c r="V494" s="88"/>
      <c r="W494" s="88"/>
      <c r="X494" s="88"/>
      <c r="Y494" s="88"/>
      <c r="Z494" s="88"/>
      <c r="AA494" s="88"/>
      <c r="AB494" s="128"/>
      <c r="AC494" s="128"/>
      <c r="AD494" s="128"/>
      <c r="AE494" s="128"/>
      <c r="AF494" s="128"/>
      <c r="AG494" s="128"/>
      <c r="AH494" s="127"/>
    </row>
    <row r="495" spans="1:34" ht="13.2">
      <c r="A495" s="88"/>
      <c r="B495" s="88"/>
      <c r="C495" s="88"/>
      <c r="D495" s="88"/>
      <c r="E495" s="88"/>
      <c r="F495" s="88"/>
      <c r="G495" s="88"/>
      <c r="H495" s="88"/>
      <c r="I495" s="88"/>
      <c r="J495" s="88"/>
      <c r="K495" s="88"/>
      <c r="L495" s="88"/>
      <c r="M495" s="88"/>
      <c r="N495" s="88"/>
      <c r="O495" s="88"/>
      <c r="P495" s="88"/>
      <c r="Q495" s="88"/>
      <c r="R495" s="88"/>
      <c r="S495" s="88"/>
      <c r="T495" s="88"/>
      <c r="U495" s="88"/>
      <c r="V495" s="88"/>
      <c r="W495" s="88"/>
      <c r="X495" s="88"/>
      <c r="Y495" s="88"/>
      <c r="Z495" s="88"/>
      <c r="AA495" s="88"/>
      <c r="AB495" s="128"/>
      <c r="AC495" s="128"/>
      <c r="AD495" s="128"/>
      <c r="AE495" s="128"/>
      <c r="AF495" s="128"/>
      <c r="AG495" s="128"/>
      <c r="AH495" s="127"/>
    </row>
    <row r="496" spans="1:34" ht="13.2">
      <c r="A496" s="88"/>
      <c r="B496" s="88"/>
      <c r="C496" s="88"/>
      <c r="D496" s="88"/>
      <c r="E496" s="88"/>
      <c r="F496" s="88"/>
      <c r="G496" s="88"/>
      <c r="H496" s="88"/>
      <c r="I496" s="88"/>
      <c r="J496" s="88"/>
      <c r="K496" s="88"/>
      <c r="L496" s="88"/>
      <c r="M496" s="88"/>
      <c r="N496" s="88"/>
      <c r="O496" s="88"/>
      <c r="P496" s="88"/>
      <c r="Q496" s="88"/>
      <c r="R496" s="88"/>
      <c r="S496" s="88"/>
      <c r="T496" s="88"/>
      <c r="U496" s="88"/>
      <c r="V496" s="88"/>
      <c r="W496" s="88"/>
      <c r="X496" s="88"/>
      <c r="Y496" s="88"/>
      <c r="Z496" s="88"/>
      <c r="AA496" s="88"/>
      <c r="AB496" s="128"/>
      <c r="AC496" s="128"/>
      <c r="AD496" s="128"/>
      <c r="AE496" s="128"/>
      <c r="AF496" s="128"/>
      <c r="AG496" s="128"/>
      <c r="AH496" s="127"/>
    </row>
    <row r="497" spans="1:34" ht="13.2">
      <c r="A497" s="88"/>
      <c r="B497" s="88"/>
      <c r="C497" s="88"/>
      <c r="D497" s="88"/>
      <c r="E497" s="88"/>
      <c r="F497" s="88"/>
      <c r="G497" s="88"/>
      <c r="H497" s="88"/>
      <c r="I497" s="88"/>
      <c r="J497" s="88"/>
      <c r="K497" s="88"/>
      <c r="L497" s="88"/>
      <c r="M497" s="88"/>
      <c r="N497" s="88"/>
      <c r="O497" s="88"/>
      <c r="P497" s="88"/>
      <c r="Q497" s="88"/>
      <c r="R497" s="88"/>
      <c r="S497" s="88"/>
      <c r="T497" s="88"/>
      <c r="U497" s="88"/>
      <c r="V497" s="88"/>
      <c r="W497" s="88"/>
      <c r="X497" s="88"/>
      <c r="Y497" s="88"/>
      <c r="Z497" s="88"/>
      <c r="AA497" s="88"/>
      <c r="AB497" s="128"/>
      <c r="AC497" s="128"/>
      <c r="AD497" s="128"/>
      <c r="AE497" s="128"/>
      <c r="AF497" s="128"/>
      <c r="AG497" s="128"/>
      <c r="AH497" s="127"/>
    </row>
    <row r="498" spans="1:34" ht="13.2">
      <c r="A498" s="88"/>
      <c r="B498" s="88"/>
      <c r="C498" s="88"/>
      <c r="D498" s="88"/>
      <c r="E498" s="88"/>
      <c r="F498" s="88"/>
      <c r="G498" s="88"/>
      <c r="H498" s="88"/>
      <c r="I498" s="88"/>
      <c r="J498" s="88"/>
      <c r="K498" s="88"/>
      <c r="L498" s="88"/>
      <c r="M498" s="88"/>
      <c r="N498" s="88"/>
      <c r="O498" s="88"/>
      <c r="P498" s="88"/>
      <c r="Q498" s="88"/>
      <c r="R498" s="88"/>
      <c r="S498" s="88"/>
      <c r="T498" s="88"/>
      <c r="U498" s="88"/>
      <c r="V498" s="88"/>
      <c r="W498" s="88"/>
      <c r="X498" s="88"/>
      <c r="Y498" s="88"/>
      <c r="Z498" s="88"/>
      <c r="AA498" s="88"/>
      <c r="AB498" s="128"/>
      <c r="AC498" s="128"/>
      <c r="AD498" s="128"/>
      <c r="AE498" s="128"/>
      <c r="AF498" s="128"/>
      <c r="AG498" s="128"/>
      <c r="AH498" s="127"/>
    </row>
    <row r="499" spans="1:34" ht="13.2">
      <c r="A499" s="88"/>
      <c r="B499" s="88"/>
      <c r="C499" s="88"/>
      <c r="D499" s="88"/>
      <c r="E499" s="88"/>
      <c r="F499" s="88"/>
      <c r="G499" s="88"/>
      <c r="H499" s="88"/>
      <c r="I499" s="88"/>
      <c r="J499" s="88"/>
      <c r="K499" s="88"/>
      <c r="L499" s="88"/>
      <c r="M499" s="88"/>
      <c r="N499" s="88"/>
      <c r="O499" s="88"/>
      <c r="P499" s="88"/>
      <c r="Q499" s="88"/>
      <c r="R499" s="88"/>
      <c r="S499" s="88"/>
      <c r="T499" s="88"/>
      <c r="U499" s="88"/>
      <c r="V499" s="88"/>
      <c r="W499" s="88"/>
      <c r="X499" s="88"/>
      <c r="Y499" s="88"/>
      <c r="Z499" s="88"/>
      <c r="AA499" s="88"/>
      <c r="AB499" s="128"/>
      <c r="AC499" s="128"/>
      <c r="AD499" s="128"/>
      <c r="AE499" s="128"/>
      <c r="AF499" s="128"/>
      <c r="AG499" s="128"/>
      <c r="AH499" s="127"/>
    </row>
    <row r="500" spans="1:34" ht="13.2">
      <c r="A500" s="88"/>
      <c r="B500" s="88"/>
      <c r="C500" s="88"/>
      <c r="D500" s="88"/>
      <c r="E500" s="88"/>
      <c r="F500" s="88"/>
      <c r="G500" s="88"/>
      <c r="H500" s="88"/>
      <c r="I500" s="88"/>
      <c r="J500" s="88"/>
      <c r="K500" s="88"/>
      <c r="L500" s="88"/>
      <c r="M500" s="88"/>
      <c r="N500" s="88"/>
      <c r="O500" s="88"/>
      <c r="P500" s="88"/>
      <c r="Q500" s="88"/>
      <c r="R500" s="88"/>
      <c r="S500" s="88"/>
      <c r="T500" s="88"/>
      <c r="U500" s="88"/>
      <c r="V500" s="88"/>
      <c r="W500" s="88"/>
      <c r="X500" s="88"/>
      <c r="Y500" s="88"/>
      <c r="Z500" s="88"/>
      <c r="AA500" s="88"/>
      <c r="AB500" s="128"/>
      <c r="AC500" s="128"/>
      <c r="AD500" s="128"/>
      <c r="AE500" s="128"/>
      <c r="AF500" s="128"/>
      <c r="AG500" s="128"/>
      <c r="AH500" s="127"/>
    </row>
    <row r="501" spans="1:34" ht="13.2">
      <c r="A501" s="88"/>
      <c r="B501" s="88"/>
      <c r="C501" s="88"/>
      <c r="D501" s="88"/>
      <c r="E501" s="88"/>
      <c r="F501" s="88"/>
      <c r="G501" s="88"/>
      <c r="H501" s="88"/>
      <c r="I501" s="88"/>
      <c r="J501" s="88"/>
      <c r="K501" s="88"/>
      <c r="L501" s="88"/>
      <c r="M501" s="88"/>
      <c r="N501" s="88"/>
      <c r="O501" s="88"/>
      <c r="P501" s="88"/>
      <c r="Q501" s="88"/>
      <c r="R501" s="88"/>
      <c r="S501" s="88"/>
      <c r="T501" s="88"/>
      <c r="U501" s="88"/>
      <c r="V501" s="88"/>
      <c r="W501" s="88"/>
      <c r="X501" s="88"/>
      <c r="Y501" s="88"/>
      <c r="Z501" s="88"/>
      <c r="AA501" s="88"/>
      <c r="AB501" s="128"/>
      <c r="AC501" s="128"/>
      <c r="AD501" s="128"/>
      <c r="AE501" s="128"/>
      <c r="AF501" s="128"/>
      <c r="AG501" s="128"/>
      <c r="AH501" s="127"/>
    </row>
    <row r="502" spans="1:34" ht="13.2">
      <c r="A502" s="88"/>
      <c r="B502" s="88"/>
      <c r="C502" s="88"/>
      <c r="D502" s="88"/>
      <c r="E502" s="88"/>
      <c r="F502" s="88"/>
      <c r="G502" s="88"/>
      <c r="H502" s="88"/>
      <c r="I502" s="88"/>
      <c r="J502" s="88"/>
      <c r="K502" s="88"/>
      <c r="L502" s="88"/>
      <c r="M502" s="88"/>
      <c r="N502" s="88"/>
      <c r="O502" s="88"/>
      <c r="P502" s="88"/>
      <c r="Q502" s="88"/>
      <c r="R502" s="88"/>
      <c r="S502" s="88"/>
      <c r="T502" s="88"/>
      <c r="U502" s="88"/>
      <c r="V502" s="88"/>
      <c r="W502" s="88"/>
      <c r="X502" s="88"/>
      <c r="Y502" s="88"/>
      <c r="Z502" s="88"/>
      <c r="AA502" s="88"/>
      <c r="AB502" s="128"/>
      <c r="AC502" s="128"/>
      <c r="AD502" s="128"/>
      <c r="AE502" s="128"/>
      <c r="AF502" s="128"/>
      <c r="AG502" s="128"/>
      <c r="AH502" s="127"/>
    </row>
    <row r="503" spans="1:34" ht="13.2">
      <c r="A503" s="88"/>
      <c r="B503" s="88"/>
      <c r="C503" s="88"/>
      <c r="D503" s="88"/>
      <c r="E503" s="88"/>
      <c r="F503" s="88"/>
      <c r="G503" s="88"/>
      <c r="H503" s="88"/>
      <c r="I503" s="88"/>
      <c r="J503" s="88"/>
      <c r="K503" s="88"/>
      <c r="L503" s="88"/>
      <c r="M503" s="88"/>
      <c r="N503" s="88"/>
      <c r="O503" s="88"/>
      <c r="P503" s="88"/>
      <c r="Q503" s="88"/>
      <c r="R503" s="88"/>
      <c r="S503" s="88"/>
      <c r="T503" s="88"/>
      <c r="U503" s="88"/>
      <c r="V503" s="88"/>
      <c r="W503" s="88"/>
      <c r="X503" s="88"/>
      <c r="Y503" s="88"/>
      <c r="Z503" s="88"/>
      <c r="AA503" s="88"/>
      <c r="AB503" s="128"/>
      <c r="AC503" s="128"/>
      <c r="AD503" s="128"/>
      <c r="AE503" s="128"/>
      <c r="AF503" s="128"/>
      <c r="AG503" s="128"/>
      <c r="AH503" s="127"/>
    </row>
    <row r="504" spans="1:34" ht="13.2">
      <c r="A504" s="88"/>
      <c r="B504" s="88"/>
      <c r="C504" s="88"/>
      <c r="D504" s="88"/>
      <c r="E504" s="88"/>
      <c r="F504" s="88"/>
      <c r="G504" s="88"/>
      <c r="H504" s="88"/>
      <c r="I504" s="88"/>
      <c r="J504" s="88"/>
      <c r="K504" s="88"/>
      <c r="L504" s="88"/>
      <c r="M504" s="88"/>
      <c r="N504" s="88"/>
      <c r="O504" s="88"/>
      <c r="P504" s="88"/>
      <c r="Q504" s="88"/>
      <c r="R504" s="88"/>
      <c r="S504" s="88"/>
      <c r="T504" s="88"/>
      <c r="U504" s="88"/>
      <c r="V504" s="88"/>
      <c r="W504" s="88"/>
      <c r="X504" s="88"/>
      <c r="Y504" s="88"/>
      <c r="Z504" s="88"/>
      <c r="AA504" s="88"/>
      <c r="AB504" s="128"/>
      <c r="AC504" s="128"/>
      <c r="AD504" s="128"/>
      <c r="AE504" s="128"/>
      <c r="AF504" s="128"/>
      <c r="AG504" s="128"/>
      <c r="AH504" s="127"/>
    </row>
    <row r="505" spans="1:34" ht="13.2">
      <c r="A505" s="88"/>
      <c r="B505" s="88"/>
      <c r="C505" s="88"/>
      <c r="D505" s="88"/>
      <c r="E505" s="88"/>
      <c r="F505" s="88"/>
      <c r="G505" s="88"/>
      <c r="H505" s="88"/>
      <c r="I505" s="88"/>
      <c r="J505" s="88"/>
      <c r="K505" s="88"/>
      <c r="L505" s="88"/>
      <c r="M505" s="88"/>
      <c r="N505" s="88"/>
      <c r="O505" s="88"/>
      <c r="P505" s="88"/>
      <c r="Q505" s="88"/>
      <c r="R505" s="88"/>
      <c r="S505" s="88"/>
      <c r="T505" s="88"/>
      <c r="U505" s="88"/>
      <c r="V505" s="88"/>
      <c r="W505" s="88"/>
      <c r="X505" s="88"/>
      <c r="Y505" s="88"/>
      <c r="Z505" s="88"/>
      <c r="AA505" s="88"/>
      <c r="AB505" s="128"/>
      <c r="AC505" s="128"/>
      <c r="AD505" s="128"/>
      <c r="AE505" s="128"/>
      <c r="AF505" s="128"/>
      <c r="AG505" s="128"/>
      <c r="AH505" s="127"/>
    </row>
    <row r="506" spans="1:34" ht="13.2">
      <c r="A506" s="88"/>
      <c r="B506" s="88"/>
      <c r="C506" s="88"/>
      <c r="D506" s="88"/>
      <c r="E506" s="88"/>
      <c r="F506" s="88"/>
      <c r="G506" s="88"/>
      <c r="H506" s="88"/>
      <c r="I506" s="88"/>
      <c r="J506" s="88"/>
      <c r="K506" s="88"/>
      <c r="L506" s="88"/>
      <c r="M506" s="88"/>
      <c r="N506" s="88"/>
      <c r="O506" s="88"/>
      <c r="P506" s="88"/>
      <c r="Q506" s="88"/>
      <c r="R506" s="88"/>
      <c r="S506" s="88"/>
      <c r="T506" s="88"/>
      <c r="U506" s="88"/>
      <c r="V506" s="88"/>
      <c r="W506" s="88"/>
      <c r="X506" s="88"/>
      <c r="Y506" s="88"/>
      <c r="Z506" s="88"/>
      <c r="AA506" s="88"/>
      <c r="AB506" s="128"/>
      <c r="AC506" s="128"/>
      <c r="AD506" s="128"/>
      <c r="AE506" s="128"/>
      <c r="AF506" s="128"/>
      <c r="AG506" s="128"/>
      <c r="AH506" s="127"/>
    </row>
    <row r="507" spans="1:34" ht="13.2">
      <c r="A507" s="88"/>
      <c r="B507" s="88"/>
      <c r="C507" s="88"/>
      <c r="D507" s="88"/>
      <c r="E507" s="88"/>
      <c r="F507" s="88"/>
      <c r="G507" s="88"/>
      <c r="H507" s="88"/>
      <c r="I507" s="88"/>
      <c r="J507" s="88"/>
      <c r="K507" s="88"/>
      <c r="L507" s="88"/>
      <c r="M507" s="88"/>
      <c r="N507" s="88"/>
      <c r="O507" s="88"/>
      <c r="P507" s="88"/>
      <c r="Q507" s="88"/>
      <c r="R507" s="88"/>
      <c r="S507" s="88"/>
      <c r="T507" s="88"/>
      <c r="U507" s="88"/>
      <c r="V507" s="88"/>
      <c r="W507" s="88"/>
      <c r="X507" s="88"/>
      <c r="Y507" s="88"/>
      <c r="Z507" s="88"/>
      <c r="AA507" s="88"/>
      <c r="AB507" s="128"/>
      <c r="AC507" s="128"/>
      <c r="AD507" s="128"/>
      <c r="AE507" s="128"/>
      <c r="AF507" s="128"/>
      <c r="AG507" s="128"/>
      <c r="AH507" s="127"/>
    </row>
    <row r="508" spans="1:34" ht="13.2">
      <c r="A508" s="88"/>
      <c r="B508" s="88"/>
      <c r="C508" s="88"/>
      <c r="D508" s="88"/>
      <c r="E508" s="88"/>
      <c r="F508" s="88"/>
      <c r="G508" s="88"/>
      <c r="H508" s="88"/>
      <c r="I508" s="88"/>
      <c r="J508" s="88"/>
      <c r="K508" s="88"/>
      <c r="L508" s="88"/>
      <c r="M508" s="88"/>
      <c r="N508" s="88"/>
      <c r="O508" s="88"/>
      <c r="P508" s="88"/>
      <c r="Q508" s="88"/>
      <c r="R508" s="88"/>
      <c r="S508" s="88"/>
      <c r="T508" s="88"/>
      <c r="U508" s="88"/>
      <c r="V508" s="88"/>
      <c r="W508" s="88"/>
      <c r="X508" s="88"/>
      <c r="Y508" s="88"/>
      <c r="Z508" s="88"/>
      <c r="AA508" s="88"/>
      <c r="AB508" s="128"/>
      <c r="AC508" s="128"/>
      <c r="AD508" s="128"/>
      <c r="AE508" s="128"/>
      <c r="AF508" s="128"/>
      <c r="AG508" s="128"/>
      <c r="AH508" s="127"/>
    </row>
    <row r="509" spans="1:34" ht="13.2">
      <c r="A509" s="88"/>
      <c r="B509" s="88"/>
      <c r="C509" s="88"/>
      <c r="D509" s="88"/>
      <c r="E509" s="88"/>
      <c r="F509" s="88"/>
      <c r="G509" s="88"/>
      <c r="H509" s="88"/>
      <c r="I509" s="88"/>
      <c r="J509" s="88"/>
      <c r="K509" s="88"/>
      <c r="L509" s="88"/>
      <c r="M509" s="88"/>
      <c r="N509" s="88"/>
      <c r="O509" s="88"/>
      <c r="P509" s="88"/>
      <c r="Q509" s="88"/>
      <c r="R509" s="88"/>
      <c r="S509" s="88"/>
      <c r="T509" s="88"/>
      <c r="U509" s="88"/>
      <c r="V509" s="88"/>
      <c r="W509" s="88"/>
      <c r="X509" s="88"/>
      <c r="Y509" s="88"/>
      <c r="Z509" s="88"/>
      <c r="AA509" s="88"/>
      <c r="AB509" s="128"/>
      <c r="AC509" s="128"/>
      <c r="AD509" s="128"/>
      <c r="AE509" s="128"/>
      <c r="AF509" s="128"/>
      <c r="AG509" s="128"/>
      <c r="AH509" s="127"/>
    </row>
    <row r="510" spans="1:34" ht="13.2">
      <c r="A510" s="88"/>
      <c r="B510" s="88"/>
      <c r="C510" s="88"/>
      <c r="D510" s="88"/>
      <c r="E510" s="88"/>
      <c r="F510" s="88"/>
      <c r="G510" s="88"/>
      <c r="H510" s="88"/>
      <c r="I510" s="88"/>
      <c r="J510" s="88"/>
      <c r="K510" s="88"/>
      <c r="L510" s="88"/>
      <c r="M510" s="88"/>
      <c r="N510" s="88"/>
      <c r="O510" s="88"/>
      <c r="P510" s="88"/>
      <c r="Q510" s="88"/>
      <c r="R510" s="88"/>
      <c r="S510" s="88"/>
      <c r="T510" s="88"/>
      <c r="U510" s="88"/>
      <c r="V510" s="88"/>
      <c r="W510" s="88"/>
      <c r="X510" s="88"/>
      <c r="Y510" s="88"/>
      <c r="Z510" s="88"/>
      <c r="AA510" s="88"/>
      <c r="AB510" s="128"/>
      <c r="AC510" s="128"/>
      <c r="AD510" s="128"/>
      <c r="AE510" s="128"/>
      <c r="AF510" s="128"/>
      <c r="AG510" s="128"/>
      <c r="AH510" s="127"/>
    </row>
    <row r="511" spans="1:34" ht="13.2">
      <c r="A511" s="88"/>
      <c r="B511" s="88"/>
      <c r="C511" s="88"/>
      <c r="D511" s="88"/>
      <c r="E511" s="88"/>
      <c r="F511" s="88"/>
      <c r="G511" s="88"/>
      <c r="H511" s="88"/>
      <c r="I511" s="88"/>
      <c r="J511" s="88"/>
      <c r="K511" s="88"/>
      <c r="L511" s="88"/>
      <c r="M511" s="88"/>
      <c r="N511" s="88"/>
      <c r="O511" s="88"/>
      <c r="P511" s="88"/>
      <c r="Q511" s="88"/>
      <c r="R511" s="88"/>
      <c r="S511" s="88"/>
      <c r="T511" s="88"/>
      <c r="U511" s="88"/>
      <c r="V511" s="88"/>
      <c r="W511" s="88"/>
      <c r="X511" s="88"/>
      <c r="Y511" s="88"/>
      <c r="Z511" s="88"/>
      <c r="AA511" s="88"/>
      <c r="AB511" s="128"/>
      <c r="AC511" s="128"/>
      <c r="AD511" s="128"/>
      <c r="AE511" s="128"/>
      <c r="AF511" s="128"/>
      <c r="AG511" s="128"/>
      <c r="AH511" s="127"/>
    </row>
    <row r="512" spans="1:34" ht="13.2">
      <c r="A512" s="88"/>
      <c r="B512" s="88"/>
      <c r="C512" s="88"/>
      <c r="D512" s="88"/>
      <c r="E512" s="88"/>
      <c r="F512" s="88"/>
      <c r="G512" s="88"/>
      <c r="H512" s="88"/>
      <c r="I512" s="88"/>
      <c r="J512" s="88"/>
      <c r="K512" s="88"/>
      <c r="L512" s="88"/>
      <c r="M512" s="88"/>
      <c r="N512" s="88"/>
      <c r="O512" s="88"/>
      <c r="P512" s="88"/>
      <c r="Q512" s="88"/>
      <c r="R512" s="88"/>
      <c r="S512" s="88"/>
      <c r="T512" s="88"/>
      <c r="U512" s="88"/>
      <c r="V512" s="88"/>
      <c r="W512" s="88"/>
      <c r="X512" s="88"/>
      <c r="Y512" s="88"/>
      <c r="Z512" s="88"/>
      <c r="AA512" s="88"/>
      <c r="AB512" s="128"/>
      <c r="AC512" s="128"/>
      <c r="AD512" s="128"/>
      <c r="AE512" s="128"/>
      <c r="AF512" s="128"/>
      <c r="AG512" s="128"/>
      <c r="AH512" s="127"/>
    </row>
    <row r="513" spans="1:34" ht="13.2">
      <c r="A513" s="88"/>
      <c r="B513" s="88"/>
      <c r="C513" s="88"/>
      <c r="D513" s="88"/>
      <c r="E513" s="88"/>
      <c r="F513" s="88"/>
      <c r="G513" s="88"/>
      <c r="H513" s="88"/>
      <c r="I513" s="88"/>
      <c r="J513" s="88"/>
      <c r="K513" s="88"/>
      <c r="L513" s="88"/>
      <c r="M513" s="88"/>
      <c r="N513" s="88"/>
      <c r="O513" s="88"/>
      <c r="P513" s="88"/>
      <c r="Q513" s="88"/>
      <c r="R513" s="88"/>
      <c r="S513" s="88"/>
      <c r="T513" s="88"/>
      <c r="U513" s="88"/>
      <c r="V513" s="88"/>
      <c r="W513" s="88"/>
      <c r="X513" s="88"/>
      <c r="Y513" s="88"/>
      <c r="Z513" s="88"/>
      <c r="AA513" s="88"/>
      <c r="AB513" s="128"/>
      <c r="AC513" s="128"/>
      <c r="AD513" s="128"/>
      <c r="AE513" s="128"/>
      <c r="AF513" s="128"/>
      <c r="AG513" s="128"/>
      <c r="AH513" s="127"/>
    </row>
    <row r="514" spans="1:34" ht="13.2">
      <c r="A514" s="88"/>
      <c r="B514" s="88"/>
      <c r="C514" s="88"/>
      <c r="D514" s="88"/>
      <c r="E514" s="88"/>
      <c r="F514" s="88"/>
      <c r="G514" s="88"/>
      <c r="H514" s="88"/>
      <c r="I514" s="88"/>
      <c r="J514" s="88"/>
      <c r="K514" s="88"/>
      <c r="L514" s="88"/>
      <c r="M514" s="88"/>
      <c r="N514" s="88"/>
      <c r="O514" s="88"/>
      <c r="P514" s="88"/>
      <c r="Q514" s="88"/>
      <c r="R514" s="88"/>
      <c r="S514" s="88"/>
      <c r="T514" s="88"/>
      <c r="U514" s="88"/>
      <c r="V514" s="88"/>
      <c r="W514" s="88"/>
      <c r="X514" s="88"/>
      <c r="Y514" s="88"/>
      <c r="Z514" s="88"/>
      <c r="AA514" s="88"/>
      <c r="AB514" s="128"/>
      <c r="AC514" s="128"/>
      <c r="AD514" s="128"/>
      <c r="AE514" s="128"/>
      <c r="AF514" s="128"/>
      <c r="AG514" s="128"/>
      <c r="AH514" s="127"/>
    </row>
    <row r="515" spans="1:34" ht="13.2">
      <c r="A515" s="88"/>
      <c r="B515" s="88"/>
      <c r="C515" s="88"/>
      <c r="D515" s="88"/>
      <c r="E515" s="88"/>
      <c r="F515" s="88"/>
      <c r="G515" s="88"/>
      <c r="H515" s="88"/>
      <c r="I515" s="88"/>
      <c r="J515" s="88"/>
      <c r="K515" s="88"/>
      <c r="L515" s="88"/>
      <c r="M515" s="88"/>
      <c r="N515" s="88"/>
      <c r="O515" s="88"/>
      <c r="P515" s="88"/>
      <c r="Q515" s="88"/>
      <c r="R515" s="88"/>
      <c r="S515" s="88"/>
      <c r="T515" s="88"/>
      <c r="U515" s="88"/>
      <c r="V515" s="88"/>
      <c r="W515" s="88"/>
      <c r="X515" s="88"/>
      <c r="Y515" s="88"/>
      <c r="Z515" s="88"/>
      <c r="AA515" s="88"/>
      <c r="AB515" s="128"/>
      <c r="AC515" s="128"/>
      <c r="AD515" s="128"/>
      <c r="AE515" s="128"/>
      <c r="AF515" s="128"/>
      <c r="AG515" s="128"/>
      <c r="AH515" s="127"/>
    </row>
    <row r="516" spans="1:34" ht="13.2">
      <c r="A516" s="88"/>
      <c r="B516" s="88"/>
      <c r="C516" s="88"/>
      <c r="D516" s="88"/>
      <c r="E516" s="88"/>
      <c r="F516" s="88"/>
      <c r="G516" s="88"/>
      <c r="H516" s="88"/>
      <c r="I516" s="88"/>
      <c r="J516" s="88"/>
      <c r="K516" s="88"/>
      <c r="L516" s="88"/>
      <c r="M516" s="88"/>
      <c r="N516" s="88"/>
      <c r="O516" s="88"/>
      <c r="P516" s="88"/>
      <c r="Q516" s="88"/>
      <c r="R516" s="88"/>
      <c r="S516" s="88"/>
      <c r="T516" s="88"/>
      <c r="U516" s="88"/>
      <c r="V516" s="88"/>
      <c r="W516" s="88"/>
      <c r="X516" s="88"/>
      <c r="Y516" s="88"/>
      <c r="Z516" s="88"/>
      <c r="AA516" s="88"/>
      <c r="AB516" s="128"/>
      <c r="AC516" s="128"/>
      <c r="AD516" s="128"/>
      <c r="AE516" s="128"/>
      <c r="AF516" s="128"/>
      <c r="AG516" s="128"/>
      <c r="AH516" s="127"/>
    </row>
    <row r="517" spans="1:34" ht="13.2">
      <c r="A517" s="88"/>
      <c r="B517" s="88"/>
      <c r="C517" s="88"/>
      <c r="D517" s="88"/>
      <c r="E517" s="88"/>
      <c r="F517" s="88"/>
      <c r="G517" s="88"/>
      <c r="H517" s="88"/>
      <c r="I517" s="88"/>
      <c r="J517" s="88"/>
      <c r="K517" s="88"/>
      <c r="L517" s="88"/>
      <c r="M517" s="88"/>
      <c r="N517" s="88"/>
      <c r="O517" s="88"/>
      <c r="P517" s="88"/>
      <c r="Q517" s="88"/>
      <c r="R517" s="88"/>
      <c r="S517" s="88"/>
      <c r="T517" s="88"/>
      <c r="U517" s="88"/>
      <c r="V517" s="88"/>
      <c r="W517" s="88"/>
      <c r="X517" s="88"/>
      <c r="Y517" s="88"/>
      <c r="Z517" s="88"/>
      <c r="AA517" s="88"/>
      <c r="AB517" s="128"/>
      <c r="AC517" s="128"/>
      <c r="AD517" s="128"/>
      <c r="AE517" s="128"/>
      <c r="AF517" s="128"/>
      <c r="AG517" s="128"/>
      <c r="AH517" s="127"/>
    </row>
    <row r="518" spans="1:34" ht="13.2">
      <c r="A518" s="88"/>
      <c r="B518" s="88"/>
      <c r="C518" s="88"/>
      <c r="D518" s="88"/>
      <c r="E518" s="88"/>
      <c r="F518" s="88"/>
      <c r="G518" s="88"/>
      <c r="H518" s="88"/>
      <c r="I518" s="88"/>
      <c r="J518" s="88"/>
      <c r="K518" s="88"/>
      <c r="L518" s="88"/>
      <c r="M518" s="88"/>
      <c r="N518" s="88"/>
      <c r="O518" s="88"/>
      <c r="P518" s="88"/>
      <c r="Q518" s="88"/>
      <c r="R518" s="88"/>
      <c r="S518" s="88"/>
      <c r="T518" s="88"/>
      <c r="U518" s="88"/>
      <c r="V518" s="88"/>
      <c r="W518" s="88"/>
      <c r="X518" s="88"/>
      <c r="Y518" s="88"/>
      <c r="Z518" s="88"/>
      <c r="AA518" s="88"/>
      <c r="AB518" s="128"/>
      <c r="AC518" s="128"/>
      <c r="AD518" s="128"/>
      <c r="AE518" s="128"/>
      <c r="AF518" s="128"/>
      <c r="AG518" s="128"/>
      <c r="AH518" s="127"/>
    </row>
    <row r="519" spans="1:34" ht="13.2">
      <c r="A519" s="88"/>
      <c r="B519" s="88"/>
      <c r="C519" s="88"/>
      <c r="D519" s="88"/>
      <c r="E519" s="88"/>
      <c r="F519" s="88"/>
      <c r="G519" s="88"/>
      <c r="H519" s="88"/>
      <c r="I519" s="88"/>
      <c r="J519" s="88"/>
      <c r="K519" s="88"/>
      <c r="L519" s="88"/>
      <c r="M519" s="88"/>
      <c r="N519" s="88"/>
      <c r="O519" s="88"/>
      <c r="P519" s="88"/>
      <c r="Q519" s="88"/>
      <c r="R519" s="88"/>
      <c r="S519" s="88"/>
      <c r="T519" s="88"/>
      <c r="U519" s="88"/>
      <c r="V519" s="88"/>
      <c r="W519" s="88"/>
      <c r="X519" s="88"/>
      <c r="Y519" s="88"/>
      <c r="Z519" s="88"/>
      <c r="AA519" s="88"/>
      <c r="AB519" s="128"/>
      <c r="AC519" s="128"/>
      <c r="AD519" s="128"/>
      <c r="AE519" s="128"/>
      <c r="AF519" s="128"/>
      <c r="AG519" s="128"/>
      <c r="AH519" s="127"/>
    </row>
    <row r="520" spans="1:34" ht="13.2">
      <c r="A520" s="88"/>
      <c r="B520" s="88"/>
      <c r="C520" s="88"/>
      <c r="D520" s="88"/>
      <c r="E520" s="88"/>
      <c r="F520" s="88"/>
      <c r="G520" s="88"/>
      <c r="H520" s="88"/>
      <c r="I520" s="88"/>
      <c r="J520" s="88"/>
      <c r="K520" s="88"/>
      <c r="L520" s="88"/>
      <c r="M520" s="88"/>
      <c r="N520" s="88"/>
      <c r="O520" s="88"/>
      <c r="P520" s="88"/>
      <c r="Q520" s="88"/>
      <c r="R520" s="88"/>
      <c r="S520" s="88"/>
      <c r="T520" s="88"/>
      <c r="U520" s="88"/>
      <c r="V520" s="88"/>
      <c r="W520" s="88"/>
      <c r="X520" s="88"/>
      <c r="Y520" s="88"/>
      <c r="Z520" s="88"/>
      <c r="AA520" s="88"/>
      <c r="AB520" s="128"/>
      <c r="AC520" s="128"/>
      <c r="AD520" s="128"/>
      <c r="AE520" s="128"/>
      <c r="AF520" s="128"/>
      <c r="AG520" s="128"/>
      <c r="AH520" s="127"/>
    </row>
    <row r="521" spans="1:34" ht="13.2">
      <c r="A521" s="88"/>
      <c r="B521" s="88"/>
      <c r="C521" s="88"/>
      <c r="D521" s="88"/>
      <c r="E521" s="88"/>
      <c r="F521" s="88"/>
      <c r="G521" s="88"/>
      <c r="H521" s="88"/>
      <c r="I521" s="88"/>
      <c r="J521" s="88"/>
      <c r="K521" s="88"/>
      <c r="L521" s="88"/>
      <c r="M521" s="88"/>
      <c r="N521" s="88"/>
      <c r="O521" s="88"/>
      <c r="P521" s="88"/>
      <c r="Q521" s="88"/>
      <c r="R521" s="88"/>
      <c r="S521" s="88"/>
      <c r="T521" s="88"/>
      <c r="U521" s="88"/>
      <c r="V521" s="88"/>
      <c r="W521" s="88"/>
      <c r="X521" s="88"/>
      <c r="Y521" s="88"/>
      <c r="Z521" s="88"/>
      <c r="AA521" s="88"/>
      <c r="AB521" s="128"/>
      <c r="AC521" s="128"/>
      <c r="AD521" s="128"/>
      <c r="AE521" s="128"/>
      <c r="AF521" s="128"/>
      <c r="AG521" s="128"/>
      <c r="AH521" s="127"/>
    </row>
    <row r="522" spans="1:34" ht="13.2">
      <c r="A522" s="88"/>
      <c r="B522" s="88"/>
      <c r="C522" s="88"/>
      <c r="D522" s="88"/>
      <c r="E522" s="88"/>
      <c r="F522" s="88"/>
      <c r="G522" s="88"/>
      <c r="H522" s="88"/>
      <c r="I522" s="88"/>
      <c r="J522" s="88"/>
      <c r="K522" s="88"/>
      <c r="L522" s="88"/>
      <c r="M522" s="88"/>
      <c r="N522" s="88"/>
      <c r="O522" s="88"/>
      <c r="P522" s="88"/>
      <c r="Q522" s="88"/>
      <c r="R522" s="88"/>
      <c r="S522" s="88"/>
      <c r="T522" s="88"/>
      <c r="U522" s="88"/>
      <c r="V522" s="88"/>
      <c r="W522" s="88"/>
      <c r="X522" s="88"/>
      <c r="Y522" s="88"/>
      <c r="Z522" s="88"/>
      <c r="AA522" s="88"/>
      <c r="AB522" s="128"/>
      <c r="AC522" s="128"/>
      <c r="AD522" s="128"/>
      <c r="AE522" s="128"/>
      <c r="AF522" s="128"/>
      <c r="AG522" s="128"/>
      <c r="AH522" s="127"/>
    </row>
    <row r="523" spans="1:34" ht="13.2">
      <c r="A523" s="88"/>
      <c r="B523" s="88"/>
      <c r="C523" s="88"/>
      <c r="D523" s="88"/>
      <c r="E523" s="88"/>
      <c r="F523" s="88"/>
      <c r="G523" s="88"/>
      <c r="H523" s="88"/>
      <c r="I523" s="88"/>
      <c r="J523" s="88"/>
      <c r="K523" s="88"/>
      <c r="L523" s="88"/>
      <c r="M523" s="88"/>
      <c r="N523" s="88"/>
      <c r="O523" s="88"/>
      <c r="P523" s="88"/>
      <c r="Q523" s="88"/>
      <c r="R523" s="88"/>
      <c r="S523" s="88"/>
      <c r="T523" s="88"/>
      <c r="U523" s="88"/>
      <c r="V523" s="88"/>
      <c r="W523" s="88"/>
      <c r="X523" s="88"/>
      <c r="Y523" s="88"/>
      <c r="Z523" s="88"/>
      <c r="AA523" s="88"/>
      <c r="AB523" s="128"/>
      <c r="AC523" s="128"/>
      <c r="AD523" s="128"/>
      <c r="AE523" s="128"/>
      <c r="AF523" s="128"/>
      <c r="AG523" s="128"/>
      <c r="AH523" s="127"/>
    </row>
    <row r="524" spans="1:34" ht="13.2">
      <c r="A524" s="88"/>
      <c r="B524" s="88"/>
      <c r="C524" s="88"/>
      <c r="D524" s="88"/>
      <c r="E524" s="88"/>
      <c r="F524" s="88"/>
      <c r="G524" s="88"/>
      <c r="H524" s="88"/>
      <c r="I524" s="88"/>
      <c r="J524" s="88"/>
      <c r="K524" s="88"/>
      <c r="L524" s="88"/>
      <c r="M524" s="88"/>
      <c r="N524" s="88"/>
      <c r="O524" s="88"/>
      <c r="P524" s="88"/>
      <c r="Q524" s="88"/>
      <c r="R524" s="88"/>
      <c r="S524" s="88"/>
      <c r="T524" s="88"/>
      <c r="U524" s="88"/>
      <c r="V524" s="88"/>
      <c r="W524" s="88"/>
      <c r="X524" s="88"/>
      <c r="Y524" s="88"/>
      <c r="Z524" s="88"/>
      <c r="AA524" s="88"/>
      <c r="AB524" s="128"/>
      <c r="AC524" s="128"/>
      <c r="AD524" s="128"/>
      <c r="AE524" s="128"/>
      <c r="AF524" s="128"/>
      <c r="AG524" s="128"/>
      <c r="AH524" s="127"/>
    </row>
    <row r="525" spans="1:34" ht="13.2">
      <c r="A525" s="88"/>
      <c r="B525" s="88"/>
      <c r="C525" s="88"/>
      <c r="D525" s="88"/>
      <c r="E525" s="88"/>
      <c r="F525" s="88"/>
      <c r="G525" s="88"/>
      <c r="H525" s="88"/>
      <c r="I525" s="88"/>
      <c r="J525" s="88"/>
      <c r="K525" s="88"/>
      <c r="L525" s="88"/>
      <c r="M525" s="88"/>
      <c r="N525" s="88"/>
      <c r="O525" s="88"/>
      <c r="P525" s="88"/>
      <c r="Q525" s="88"/>
      <c r="R525" s="88"/>
      <c r="S525" s="88"/>
      <c r="T525" s="88"/>
      <c r="U525" s="88"/>
      <c r="V525" s="88"/>
      <c r="W525" s="88"/>
      <c r="X525" s="88"/>
      <c r="Y525" s="88"/>
      <c r="Z525" s="88"/>
      <c r="AA525" s="88"/>
      <c r="AB525" s="128"/>
      <c r="AC525" s="128"/>
      <c r="AD525" s="128"/>
      <c r="AE525" s="128"/>
      <c r="AF525" s="128"/>
      <c r="AG525" s="128"/>
      <c r="AH525" s="127"/>
    </row>
    <row r="526" spans="1:34" ht="13.2">
      <c r="A526" s="88"/>
      <c r="B526" s="88"/>
      <c r="C526" s="88"/>
      <c r="D526" s="88"/>
      <c r="E526" s="88"/>
      <c r="F526" s="88"/>
      <c r="G526" s="88"/>
      <c r="H526" s="88"/>
      <c r="I526" s="88"/>
      <c r="J526" s="88"/>
      <c r="K526" s="88"/>
      <c r="L526" s="88"/>
      <c r="M526" s="88"/>
      <c r="N526" s="88"/>
      <c r="O526" s="88"/>
      <c r="P526" s="88"/>
      <c r="Q526" s="88"/>
      <c r="R526" s="88"/>
      <c r="S526" s="88"/>
      <c r="T526" s="88"/>
      <c r="U526" s="88"/>
      <c r="V526" s="88"/>
      <c r="W526" s="88"/>
      <c r="X526" s="88"/>
      <c r="Y526" s="88"/>
      <c r="Z526" s="88"/>
      <c r="AA526" s="88"/>
      <c r="AB526" s="128"/>
      <c r="AC526" s="128"/>
      <c r="AD526" s="128"/>
      <c r="AE526" s="128"/>
      <c r="AF526" s="128"/>
      <c r="AG526" s="128"/>
      <c r="AH526" s="127"/>
    </row>
    <row r="527" spans="1:34" ht="13.2">
      <c r="A527" s="88"/>
      <c r="B527" s="88"/>
      <c r="C527" s="88"/>
      <c r="D527" s="88"/>
      <c r="E527" s="88"/>
      <c r="F527" s="88"/>
      <c r="G527" s="88"/>
      <c r="H527" s="88"/>
      <c r="I527" s="88"/>
      <c r="J527" s="88"/>
      <c r="K527" s="88"/>
      <c r="L527" s="88"/>
      <c r="M527" s="88"/>
      <c r="N527" s="88"/>
      <c r="O527" s="88"/>
      <c r="P527" s="88"/>
      <c r="Q527" s="88"/>
      <c r="R527" s="88"/>
      <c r="S527" s="88"/>
      <c r="T527" s="88"/>
      <c r="U527" s="88"/>
      <c r="V527" s="88"/>
      <c r="W527" s="88"/>
      <c r="X527" s="88"/>
      <c r="Y527" s="88"/>
      <c r="Z527" s="88"/>
      <c r="AA527" s="88"/>
      <c r="AB527" s="128"/>
      <c r="AC527" s="128"/>
      <c r="AD527" s="128"/>
      <c r="AE527" s="128"/>
      <c r="AF527" s="128"/>
      <c r="AG527" s="128"/>
      <c r="AH527" s="127"/>
    </row>
    <row r="528" spans="1:34" ht="13.2">
      <c r="A528" s="88"/>
      <c r="B528" s="88"/>
      <c r="C528" s="88"/>
      <c r="D528" s="88"/>
      <c r="E528" s="88"/>
      <c r="F528" s="88"/>
      <c r="G528" s="88"/>
      <c r="H528" s="88"/>
      <c r="I528" s="88"/>
      <c r="J528" s="88"/>
      <c r="K528" s="88"/>
      <c r="L528" s="88"/>
      <c r="M528" s="88"/>
      <c r="N528" s="88"/>
      <c r="O528" s="88"/>
      <c r="P528" s="88"/>
      <c r="Q528" s="88"/>
      <c r="R528" s="88"/>
      <c r="S528" s="88"/>
      <c r="T528" s="88"/>
      <c r="U528" s="88"/>
      <c r="V528" s="88"/>
      <c r="W528" s="88"/>
      <c r="X528" s="88"/>
      <c r="Y528" s="88"/>
      <c r="Z528" s="88"/>
      <c r="AA528" s="88"/>
      <c r="AB528" s="128"/>
      <c r="AC528" s="128"/>
      <c r="AD528" s="128"/>
      <c r="AE528" s="128"/>
      <c r="AF528" s="128"/>
      <c r="AG528" s="128"/>
      <c r="AH528" s="127"/>
    </row>
    <row r="529" spans="1:34" ht="13.2">
      <c r="A529" s="88"/>
      <c r="B529" s="88"/>
      <c r="C529" s="88"/>
      <c r="D529" s="88"/>
      <c r="E529" s="88"/>
      <c r="F529" s="88"/>
      <c r="G529" s="88"/>
      <c r="H529" s="88"/>
      <c r="I529" s="88"/>
      <c r="J529" s="88"/>
      <c r="K529" s="88"/>
      <c r="L529" s="88"/>
      <c r="M529" s="88"/>
      <c r="N529" s="88"/>
      <c r="O529" s="88"/>
      <c r="P529" s="88"/>
      <c r="Q529" s="88"/>
      <c r="R529" s="88"/>
      <c r="S529" s="88"/>
      <c r="T529" s="88"/>
      <c r="U529" s="88"/>
      <c r="V529" s="88"/>
      <c r="W529" s="88"/>
      <c r="X529" s="88"/>
      <c r="Y529" s="88"/>
      <c r="Z529" s="88"/>
      <c r="AA529" s="88"/>
      <c r="AB529" s="128"/>
      <c r="AC529" s="128"/>
      <c r="AD529" s="128"/>
      <c r="AE529" s="128"/>
      <c r="AF529" s="128"/>
      <c r="AG529" s="128"/>
      <c r="AH529" s="127"/>
    </row>
    <row r="530" spans="1:34" ht="13.2">
      <c r="A530" s="88"/>
      <c r="B530" s="88"/>
      <c r="C530" s="88"/>
      <c r="D530" s="88"/>
      <c r="E530" s="88"/>
      <c r="F530" s="88"/>
      <c r="G530" s="88"/>
      <c r="H530" s="88"/>
      <c r="I530" s="88"/>
      <c r="J530" s="88"/>
      <c r="K530" s="88"/>
      <c r="L530" s="88"/>
      <c r="M530" s="88"/>
      <c r="N530" s="88"/>
      <c r="O530" s="88"/>
      <c r="P530" s="88"/>
      <c r="Q530" s="88"/>
      <c r="R530" s="88"/>
      <c r="S530" s="88"/>
      <c r="T530" s="88"/>
      <c r="U530" s="88"/>
      <c r="V530" s="88"/>
      <c r="W530" s="88"/>
      <c r="X530" s="88"/>
      <c r="Y530" s="88"/>
      <c r="Z530" s="88"/>
      <c r="AA530" s="88"/>
      <c r="AB530" s="128"/>
      <c r="AC530" s="128"/>
      <c r="AD530" s="128"/>
      <c r="AE530" s="128"/>
      <c r="AF530" s="128"/>
      <c r="AG530" s="128"/>
      <c r="AH530" s="127"/>
    </row>
    <row r="531" spans="1:34" ht="13.2">
      <c r="A531" s="88"/>
      <c r="B531" s="88"/>
      <c r="C531" s="88"/>
      <c r="D531" s="88"/>
      <c r="E531" s="88"/>
      <c r="F531" s="88"/>
      <c r="G531" s="88"/>
      <c r="H531" s="88"/>
      <c r="I531" s="88"/>
      <c r="J531" s="88"/>
      <c r="K531" s="88"/>
      <c r="L531" s="88"/>
      <c r="M531" s="88"/>
      <c r="N531" s="88"/>
      <c r="O531" s="88"/>
      <c r="P531" s="88"/>
      <c r="Q531" s="88"/>
      <c r="R531" s="88"/>
      <c r="S531" s="88"/>
      <c r="T531" s="88"/>
      <c r="U531" s="88"/>
      <c r="V531" s="88"/>
      <c r="W531" s="88"/>
      <c r="X531" s="88"/>
      <c r="Y531" s="88"/>
      <c r="Z531" s="88"/>
      <c r="AA531" s="88"/>
      <c r="AB531" s="128"/>
      <c r="AC531" s="128"/>
      <c r="AD531" s="128"/>
      <c r="AE531" s="128"/>
      <c r="AF531" s="128"/>
      <c r="AG531" s="128"/>
      <c r="AH531" s="127"/>
    </row>
    <row r="532" spans="1:34" ht="13.2">
      <c r="A532" s="88"/>
      <c r="B532" s="88"/>
      <c r="C532" s="88"/>
      <c r="D532" s="88"/>
      <c r="E532" s="88"/>
      <c r="F532" s="88"/>
      <c r="G532" s="88"/>
      <c r="H532" s="88"/>
      <c r="I532" s="88"/>
      <c r="J532" s="88"/>
      <c r="K532" s="88"/>
      <c r="L532" s="88"/>
      <c r="M532" s="88"/>
      <c r="N532" s="88"/>
      <c r="O532" s="88"/>
      <c r="P532" s="88"/>
      <c r="Q532" s="88"/>
      <c r="R532" s="88"/>
      <c r="S532" s="88"/>
      <c r="T532" s="88"/>
      <c r="U532" s="88"/>
      <c r="V532" s="88"/>
      <c r="W532" s="88"/>
      <c r="X532" s="88"/>
      <c r="Y532" s="88"/>
      <c r="Z532" s="88"/>
      <c r="AA532" s="88"/>
      <c r="AB532" s="128"/>
      <c r="AC532" s="128"/>
      <c r="AD532" s="128"/>
      <c r="AE532" s="128"/>
      <c r="AF532" s="128"/>
      <c r="AG532" s="128"/>
      <c r="AH532" s="127"/>
    </row>
    <row r="533" spans="1:34" ht="13.2">
      <c r="A533" s="88"/>
      <c r="B533" s="88"/>
      <c r="C533" s="88"/>
      <c r="D533" s="88"/>
      <c r="E533" s="88"/>
      <c r="F533" s="88"/>
      <c r="G533" s="88"/>
      <c r="H533" s="88"/>
      <c r="I533" s="88"/>
      <c r="J533" s="88"/>
      <c r="K533" s="88"/>
      <c r="L533" s="88"/>
      <c r="M533" s="88"/>
      <c r="N533" s="88"/>
      <c r="O533" s="88"/>
      <c r="P533" s="88"/>
      <c r="Q533" s="88"/>
      <c r="R533" s="88"/>
      <c r="S533" s="88"/>
      <c r="T533" s="88"/>
      <c r="U533" s="88"/>
      <c r="V533" s="88"/>
      <c r="W533" s="88"/>
      <c r="X533" s="88"/>
      <c r="Y533" s="88"/>
      <c r="Z533" s="88"/>
      <c r="AA533" s="88"/>
      <c r="AB533" s="128"/>
      <c r="AC533" s="128"/>
      <c r="AD533" s="128"/>
      <c r="AE533" s="128"/>
      <c r="AF533" s="128"/>
      <c r="AG533" s="128"/>
      <c r="AH533" s="127"/>
    </row>
    <row r="534" spans="1:34" ht="13.2">
      <c r="A534" s="88"/>
      <c r="B534" s="88"/>
      <c r="C534" s="88"/>
      <c r="D534" s="88"/>
      <c r="E534" s="88"/>
      <c r="F534" s="88"/>
      <c r="G534" s="88"/>
      <c r="H534" s="88"/>
      <c r="I534" s="88"/>
      <c r="J534" s="88"/>
      <c r="K534" s="88"/>
      <c r="L534" s="88"/>
      <c r="M534" s="88"/>
      <c r="N534" s="88"/>
      <c r="O534" s="88"/>
      <c r="P534" s="88"/>
      <c r="Q534" s="88"/>
      <c r="R534" s="88"/>
      <c r="S534" s="88"/>
      <c r="T534" s="88"/>
      <c r="U534" s="88"/>
      <c r="V534" s="88"/>
      <c r="W534" s="88"/>
      <c r="X534" s="88"/>
      <c r="Y534" s="88"/>
      <c r="Z534" s="88"/>
      <c r="AA534" s="88"/>
      <c r="AB534" s="128"/>
      <c r="AC534" s="128"/>
      <c r="AD534" s="128"/>
      <c r="AE534" s="128"/>
      <c r="AF534" s="128"/>
      <c r="AG534" s="128"/>
      <c r="AH534" s="127"/>
    </row>
    <row r="535" spans="1:34" ht="13.2">
      <c r="A535" s="88"/>
      <c r="B535" s="88"/>
      <c r="C535" s="88"/>
      <c r="D535" s="88"/>
      <c r="E535" s="88"/>
      <c r="F535" s="88"/>
      <c r="G535" s="88"/>
      <c r="H535" s="88"/>
      <c r="I535" s="88"/>
      <c r="J535" s="88"/>
      <c r="K535" s="88"/>
      <c r="L535" s="88"/>
      <c r="M535" s="88"/>
      <c r="N535" s="88"/>
      <c r="O535" s="88"/>
      <c r="P535" s="88"/>
      <c r="Q535" s="88"/>
      <c r="R535" s="88"/>
      <c r="S535" s="88"/>
      <c r="T535" s="88"/>
      <c r="U535" s="88"/>
      <c r="V535" s="88"/>
      <c r="W535" s="88"/>
      <c r="X535" s="88"/>
      <c r="Y535" s="88"/>
      <c r="Z535" s="88"/>
      <c r="AA535" s="88"/>
      <c r="AB535" s="128"/>
      <c r="AC535" s="128"/>
      <c r="AD535" s="128"/>
      <c r="AE535" s="128"/>
      <c r="AF535" s="128"/>
      <c r="AG535" s="128"/>
      <c r="AH535" s="127"/>
    </row>
    <row r="536" spans="1:34" ht="13.2">
      <c r="A536" s="88"/>
      <c r="B536" s="88"/>
      <c r="C536" s="88"/>
      <c r="D536" s="88"/>
      <c r="E536" s="88"/>
      <c r="F536" s="88"/>
      <c r="G536" s="88"/>
      <c r="H536" s="88"/>
      <c r="I536" s="88"/>
      <c r="J536" s="88"/>
      <c r="K536" s="88"/>
      <c r="L536" s="88"/>
      <c r="M536" s="88"/>
      <c r="N536" s="88"/>
      <c r="O536" s="88"/>
      <c r="P536" s="88"/>
      <c r="Q536" s="88"/>
      <c r="R536" s="88"/>
      <c r="S536" s="88"/>
      <c r="T536" s="88"/>
      <c r="U536" s="88"/>
      <c r="V536" s="88"/>
      <c r="W536" s="88"/>
      <c r="X536" s="88"/>
      <c r="Y536" s="88"/>
      <c r="Z536" s="88"/>
      <c r="AA536" s="88"/>
      <c r="AB536" s="128"/>
      <c r="AC536" s="128"/>
      <c r="AD536" s="128"/>
      <c r="AE536" s="128"/>
      <c r="AF536" s="128"/>
      <c r="AG536" s="128"/>
      <c r="AH536" s="127"/>
    </row>
    <row r="537" spans="1:34" ht="13.2">
      <c r="A537" s="88"/>
      <c r="B537" s="88"/>
      <c r="C537" s="88"/>
      <c r="D537" s="88"/>
      <c r="E537" s="88"/>
      <c r="F537" s="88"/>
      <c r="G537" s="88"/>
      <c r="H537" s="88"/>
      <c r="I537" s="88"/>
      <c r="J537" s="88"/>
      <c r="K537" s="88"/>
      <c r="L537" s="88"/>
      <c r="M537" s="88"/>
      <c r="N537" s="88"/>
      <c r="O537" s="88"/>
      <c r="P537" s="88"/>
      <c r="Q537" s="88"/>
      <c r="R537" s="88"/>
      <c r="S537" s="88"/>
      <c r="T537" s="88"/>
      <c r="U537" s="88"/>
      <c r="V537" s="88"/>
      <c r="W537" s="88"/>
      <c r="X537" s="88"/>
      <c r="Y537" s="88"/>
      <c r="Z537" s="88"/>
      <c r="AA537" s="88"/>
      <c r="AB537" s="128"/>
      <c r="AC537" s="128"/>
      <c r="AD537" s="128"/>
      <c r="AE537" s="128"/>
      <c r="AF537" s="128"/>
      <c r="AG537" s="128"/>
      <c r="AH537" s="127"/>
    </row>
    <row r="538" spans="1:34" ht="13.2">
      <c r="A538" s="88"/>
      <c r="B538" s="88"/>
      <c r="C538" s="88"/>
      <c r="D538" s="88"/>
      <c r="E538" s="88"/>
      <c r="F538" s="88"/>
      <c r="G538" s="88"/>
      <c r="H538" s="88"/>
      <c r="I538" s="88"/>
      <c r="J538" s="88"/>
      <c r="K538" s="88"/>
      <c r="L538" s="88"/>
      <c r="M538" s="88"/>
      <c r="N538" s="88"/>
      <c r="O538" s="88"/>
      <c r="P538" s="88"/>
      <c r="Q538" s="88"/>
      <c r="R538" s="88"/>
      <c r="S538" s="88"/>
      <c r="T538" s="88"/>
      <c r="U538" s="88"/>
      <c r="V538" s="88"/>
      <c r="W538" s="88"/>
      <c r="X538" s="88"/>
      <c r="Y538" s="88"/>
      <c r="Z538" s="88"/>
      <c r="AA538" s="88"/>
      <c r="AB538" s="128"/>
      <c r="AC538" s="128"/>
      <c r="AD538" s="128"/>
      <c r="AE538" s="128"/>
      <c r="AF538" s="128"/>
      <c r="AG538" s="128"/>
      <c r="AH538" s="127"/>
    </row>
    <row r="539" spans="1:34" ht="13.2">
      <c r="A539" s="88"/>
      <c r="B539" s="88"/>
      <c r="C539" s="88"/>
      <c r="D539" s="88"/>
      <c r="E539" s="88"/>
      <c r="F539" s="88"/>
      <c r="G539" s="88"/>
      <c r="H539" s="88"/>
      <c r="I539" s="88"/>
      <c r="J539" s="88"/>
      <c r="K539" s="88"/>
      <c r="L539" s="88"/>
      <c r="M539" s="88"/>
      <c r="N539" s="88"/>
      <c r="O539" s="88"/>
      <c r="P539" s="88"/>
      <c r="Q539" s="88"/>
      <c r="R539" s="88"/>
      <c r="S539" s="88"/>
      <c r="T539" s="88"/>
      <c r="U539" s="88"/>
      <c r="V539" s="88"/>
      <c r="W539" s="88"/>
      <c r="X539" s="88"/>
      <c r="Y539" s="88"/>
      <c r="Z539" s="88"/>
      <c r="AA539" s="88"/>
      <c r="AB539" s="128"/>
      <c r="AC539" s="128"/>
      <c r="AD539" s="128"/>
      <c r="AE539" s="128"/>
      <c r="AF539" s="128"/>
      <c r="AG539" s="128"/>
      <c r="AH539" s="127"/>
    </row>
    <row r="540" spans="1:34" ht="13.2">
      <c r="A540" s="88"/>
      <c r="B540" s="88"/>
      <c r="C540" s="88"/>
      <c r="D540" s="88"/>
      <c r="E540" s="88"/>
      <c r="F540" s="88"/>
      <c r="G540" s="88"/>
      <c r="H540" s="88"/>
      <c r="I540" s="88"/>
      <c r="J540" s="88"/>
      <c r="K540" s="88"/>
      <c r="L540" s="88"/>
      <c r="M540" s="88"/>
      <c r="N540" s="88"/>
      <c r="O540" s="88"/>
      <c r="P540" s="88"/>
      <c r="Q540" s="88"/>
      <c r="R540" s="88"/>
      <c r="S540" s="88"/>
      <c r="T540" s="88"/>
      <c r="U540" s="88"/>
      <c r="V540" s="88"/>
      <c r="W540" s="88"/>
      <c r="X540" s="88"/>
      <c r="Y540" s="88"/>
      <c r="Z540" s="88"/>
      <c r="AA540" s="88"/>
      <c r="AB540" s="128"/>
      <c r="AC540" s="128"/>
      <c r="AD540" s="128"/>
      <c r="AE540" s="128"/>
      <c r="AF540" s="128"/>
      <c r="AG540" s="128"/>
      <c r="AH540" s="127"/>
    </row>
    <row r="541" spans="1:34" ht="13.2">
      <c r="A541" s="88"/>
      <c r="B541" s="88"/>
      <c r="C541" s="88"/>
      <c r="D541" s="88"/>
      <c r="E541" s="88"/>
      <c r="F541" s="88"/>
      <c r="G541" s="88"/>
      <c r="H541" s="88"/>
      <c r="I541" s="88"/>
      <c r="J541" s="88"/>
      <c r="K541" s="88"/>
      <c r="L541" s="88"/>
      <c r="M541" s="88"/>
      <c r="N541" s="88"/>
      <c r="O541" s="88"/>
      <c r="P541" s="88"/>
      <c r="Q541" s="88"/>
      <c r="R541" s="88"/>
      <c r="S541" s="88"/>
      <c r="T541" s="88"/>
      <c r="U541" s="88"/>
      <c r="V541" s="88"/>
      <c r="W541" s="88"/>
      <c r="X541" s="88"/>
      <c r="Y541" s="88"/>
      <c r="Z541" s="88"/>
      <c r="AA541" s="88"/>
      <c r="AB541" s="128"/>
      <c r="AC541" s="128"/>
      <c r="AD541" s="128"/>
      <c r="AE541" s="128"/>
      <c r="AF541" s="128"/>
      <c r="AG541" s="128"/>
      <c r="AH541" s="127"/>
    </row>
    <row r="542" spans="1:34" ht="13.2">
      <c r="A542" s="88"/>
      <c r="B542" s="88"/>
      <c r="C542" s="88"/>
      <c r="D542" s="88"/>
      <c r="E542" s="88"/>
      <c r="F542" s="88"/>
      <c r="G542" s="88"/>
      <c r="H542" s="88"/>
      <c r="I542" s="88"/>
      <c r="J542" s="88"/>
      <c r="K542" s="88"/>
      <c r="L542" s="88"/>
      <c r="M542" s="88"/>
      <c r="N542" s="88"/>
      <c r="O542" s="88"/>
      <c r="P542" s="88"/>
      <c r="Q542" s="88"/>
      <c r="R542" s="88"/>
      <c r="S542" s="88"/>
      <c r="T542" s="88"/>
      <c r="U542" s="88"/>
      <c r="V542" s="88"/>
      <c r="W542" s="88"/>
      <c r="X542" s="88"/>
      <c r="Y542" s="88"/>
      <c r="Z542" s="88"/>
      <c r="AA542" s="88"/>
      <c r="AB542" s="128"/>
      <c r="AC542" s="128"/>
      <c r="AD542" s="128"/>
      <c r="AE542" s="128"/>
      <c r="AF542" s="128"/>
      <c r="AG542" s="128"/>
      <c r="AH542" s="127"/>
    </row>
    <row r="543" spans="1:34" ht="13.2">
      <c r="A543" s="88"/>
      <c r="B543" s="88"/>
      <c r="C543" s="88"/>
      <c r="D543" s="88"/>
      <c r="E543" s="88"/>
      <c r="F543" s="88"/>
      <c r="G543" s="88"/>
      <c r="H543" s="88"/>
      <c r="I543" s="88"/>
      <c r="J543" s="88"/>
      <c r="K543" s="88"/>
      <c r="L543" s="88"/>
      <c r="M543" s="88"/>
      <c r="N543" s="88"/>
      <c r="O543" s="88"/>
      <c r="P543" s="88"/>
      <c r="Q543" s="88"/>
      <c r="R543" s="88"/>
      <c r="S543" s="88"/>
      <c r="T543" s="88"/>
      <c r="U543" s="88"/>
      <c r="V543" s="88"/>
      <c r="W543" s="88"/>
      <c r="X543" s="88"/>
      <c r="Y543" s="88"/>
      <c r="Z543" s="88"/>
      <c r="AA543" s="88"/>
      <c r="AB543" s="128"/>
      <c r="AC543" s="128"/>
      <c r="AD543" s="128"/>
      <c r="AE543" s="128"/>
      <c r="AF543" s="128"/>
      <c r="AG543" s="128"/>
      <c r="AH543" s="127"/>
    </row>
    <row r="544" spans="1:34" ht="13.2">
      <c r="A544" s="88"/>
      <c r="B544" s="88"/>
      <c r="C544" s="88"/>
      <c r="D544" s="88"/>
      <c r="E544" s="88"/>
      <c r="F544" s="88"/>
      <c r="G544" s="88"/>
      <c r="H544" s="88"/>
      <c r="I544" s="88"/>
      <c r="J544" s="88"/>
      <c r="K544" s="88"/>
      <c r="L544" s="88"/>
      <c r="M544" s="88"/>
      <c r="N544" s="88"/>
      <c r="O544" s="88"/>
      <c r="P544" s="88"/>
      <c r="Q544" s="88"/>
      <c r="R544" s="88"/>
      <c r="S544" s="88"/>
      <c r="T544" s="88"/>
      <c r="U544" s="88"/>
      <c r="V544" s="88"/>
      <c r="W544" s="88"/>
      <c r="X544" s="88"/>
      <c r="Y544" s="88"/>
      <c r="Z544" s="88"/>
      <c r="AA544" s="88"/>
      <c r="AB544" s="128"/>
      <c r="AC544" s="128"/>
      <c r="AD544" s="128"/>
      <c r="AE544" s="128"/>
      <c r="AF544" s="128"/>
      <c r="AG544" s="128"/>
      <c r="AH544" s="127"/>
    </row>
    <row r="545" spans="1:34" ht="13.2">
      <c r="A545" s="88"/>
      <c r="B545" s="88"/>
      <c r="C545" s="88"/>
      <c r="D545" s="88"/>
      <c r="E545" s="88"/>
      <c r="F545" s="88"/>
      <c r="G545" s="88"/>
      <c r="H545" s="88"/>
      <c r="I545" s="88"/>
      <c r="J545" s="88"/>
      <c r="K545" s="88"/>
      <c r="L545" s="88"/>
      <c r="M545" s="88"/>
      <c r="N545" s="88"/>
      <c r="O545" s="88"/>
      <c r="P545" s="88"/>
      <c r="Q545" s="88"/>
      <c r="R545" s="88"/>
      <c r="S545" s="88"/>
      <c r="T545" s="88"/>
      <c r="U545" s="88"/>
      <c r="V545" s="88"/>
      <c r="W545" s="88"/>
      <c r="X545" s="88"/>
      <c r="Y545" s="88"/>
      <c r="Z545" s="88"/>
      <c r="AA545" s="88"/>
      <c r="AB545" s="128"/>
      <c r="AC545" s="128"/>
      <c r="AD545" s="128"/>
      <c r="AE545" s="128"/>
      <c r="AF545" s="128"/>
      <c r="AG545" s="128"/>
      <c r="AH545" s="127"/>
    </row>
    <row r="546" spans="1:34" ht="13.2">
      <c r="A546" s="88"/>
      <c r="B546" s="88"/>
      <c r="C546" s="88"/>
      <c r="D546" s="88"/>
      <c r="E546" s="88"/>
      <c r="F546" s="88"/>
      <c r="G546" s="88"/>
      <c r="H546" s="88"/>
      <c r="I546" s="88"/>
      <c r="J546" s="88"/>
      <c r="K546" s="88"/>
      <c r="L546" s="88"/>
      <c r="M546" s="88"/>
      <c r="N546" s="88"/>
      <c r="O546" s="88"/>
      <c r="P546" s="88"/>
      <c r="Q546" s="88"/>
      <c r="R546" s="88"/>
      <c r="S546" s="88"/>
      <c r="T546" s="88"/>
      <c r="U546" s="88"/>
      <c r="V546" s="88"/>
      <c r="W546" s="88"/>
      <c r="X546" s="88"/>
      <c r="Y546" s="88"/>
      <c r="Z546" s="88"/>
      <c r="AA546" s="88"/>
      <c r="AB546" s="128"/>
      <c r="AC546" s="128"/>
      <c r="AD546" s="128"/>
      <c r="AE546" s="128"/>
      <c r="AF546" s="128"/>
      <c r="AG546" s="128"/>
      <c r="AH546" s="127"/>
    </row>
    <row r="547" spans="1:34" ht="13.2">
      <c r="A547" s="88"/>
      <c r="B547" s="88"/>
      <c r="C547" s="88"/>
      <c r="D547" s="88"/>
      <c r="E547" s="88"/>
      <c r="F547" s="88"/>
      <c r="G547" s="88"/>
      <c r="H547" s="88"/>
      <c r="I547" s="88"/>
      <c r="J547" s="88"/>
      <c r="K547" s="88"/>
      <c r="L547" s="88"/>
      <c r="M547" s="88"/>
      <c r="N547" s="88"/>
      <c r="O547" s="88"/>
      <c r="P547" s="88"/>
      <c r="Q547" s="88"/>
      <c r="R547" s="88"/>
      <c r="S547" s="88"/>
      <c r="T547" s="88"/>
      <c r="U547" s="88"/>
      <c r="V547" s="88"/>
      <c r="W547" s="88"/>
      <c r="X547" s="88"/>
      <c r="Y547" s="88"/>
      <c r="Z547" s="88"/>
      <c r="AA547" s="88"/>
      <c r="AB547" s="128"/>
      <c r="AC547" s="128"/>
      <c r="AD547" s="128"/>
      <c r="AE547" s="128"/>
      <c r="AF547" s="128"/>
      <c r="AG547" s="128"/>
      <c r="AH547" s="127"/>
    </row>
    <row r="548" spans="1:34" ht="13.2">
      <c r="A548" s="88"/>
      <c r="B548" s="88"/>
      <c r="C548" s="88"/>
      <c r="D548" s="88"/>
      <c r="E548" s="88"/>
      <c r="F548" s="88"/>
      <c r="G548" s="88"/>
      <c r="H548" s="88"/>
      <c r="I548" s="88"/>
      <c r="J548" s="88"/>
      <c r="K548" s="88"/>
      <c r="L548" s="88"/>
      <c r="M548" s="88"/>
      <c r="N548" s="88"/>
      <c r="O548" s="88"/>
      <c r="P548" s="88"/>
      <c r="Q548" s="88"/>
      <c r="R548" s="88"/>
      <c r="S548" s="88"/>
      <c r="T548" s="88"/>
      <c r="U548" s="88"/>
      <c r="V548" s="88"/>
      <c r="W548" s="88"/>
      <c r="X548" s="88"/>
      <c r="Y548" s="88"/>
      <c r="Z548" s="88"/>
      <c r="AA548" s="88"/>
      <c r="AB548" s="128"/>
      <c r="AC548" s="128"/>
      <c r="AD548" s="128"/>
      <c r="AE548" s="128"/>
      <c r="AF548" s="128"/>
      <c r="AG548" s="128"/>
      <c r="AH548" s="127"/>
    </row>
    <row r="549" spans="1:34" ht="13.2">
      <c r="A549" s="88"/>
      <c r="B549" s="88"/>
      <c r="C549" s="88"/>
      <c r="D549" s="88"/>
      <c r="E549" s="88"/>
      <c r="F549" s="88"/>
      <c r="G549" s="88"/>
      <c r="H549" s="88"/>
      <c r="I549" s="88"/>
      <c r="J549" s="88"/>
      <c r="K549" s="88"/>
      <c r="L549" s="88"/>
      <c r="M549" s="88"/>
      <c r="N549" s="88"/>
      <c r="O549" s="88"/>
      <c r="P549" s="88"/>
      <c r="Q549" s="88"/>
      <c r="R549" s="88"/>
      <c r="S549" s="88"/>
      <c r="T549" s="88"/>
      <c r="U549" s="88"/>
      <c r="V549" s="88"/>
      <c r="W549" s="88"/>
      <c r="X549" s="88"/>
      <c r="Y549" s="88"/>
      <c r="Z549" s="88"/>
      <c r="AA549" s="88"/>
      <c r="AB549" s="128"/>
      <c r="AC549" s="128"/>
      <c r="AD549" s="128"/>
      <c r="AE549" s="128"/>
      <c r="AF549" s="128"/>
      <c r="AG549" s="128"/>
      <c r="AH549" s="127"/>
    </row>
    <row r="550" spans="1:34" ht="13.2">
      <c r="A550" s="88"/>
      <c r="B550" s="88"/>
      <c r="C550" s="88"/>
      <c r="D550" s="88"/>
      <c r="E550" s="88"/>
      <c r="F550" s="88"/>
      <c r="G550" s="88"/>
      <c r="H550" s="88"/>
      <c r="I550" s="88"/>
      <c r="J550" s="88"/>
      <c r="K550" s="88"/>
      <c r="L550" s="88"/>
      <c r="M550" s="88"/>
      <c r="N550" s="88"/>
      <c r="O550" s="88"/>
      <c r="P550" s="88"/>
      <c r="Q550" s="88"/>
      <c r="R550" s="88"/>
      <c r="S550" s="88"/>
      <c r="T550" s="88"/>
      <c r="U550" s="88"/>
      <c r="V550" s="88"/>
      <c r="W550" s="88"/>
      <c r="X550" s="88"/>
      <c r="Y550" s="88"/>
      <c r="Z550" s="88"/>
      <c r="AA550" s="88"/>
      <c r="AB550" s="128"/>
      <c r="AC550" s="128"/>
      <c r="AD550" s="128"/>
      <c r="AE550" s="128"/>
      <c r="AF550" s="128"/>
      <c r="AG550" s="128"/>
      <c r="AH550" s="127"/>
    </row>
    <row r="551" spans="1:34" ht="13.2">
      <c r="A551" s="88"/>
      <c r="B551" s="88"/>
      <c r="C551" s="88"/>
      <c r="D551" s="88"/>
      <c r="E551" s="88"/>
      <c r="F551" s="88"/>
      <c r="G551" s="88"/>
      <c r="H551" s="88"/>
      <c r="I551" s="88"/>
      <c r="J551" s="88"/>
      <c r="K551" s="88"/>
      <c r="L551" s="88"/>
      <c r="M551" s="88"/>
      <c r="N551" s="88"/>
      <c r="O551" s="88"/>
      <c r="P551" s="88"/>
      <c r="Q551" s="88"/>
      <c r="R551" s="88"/>
      <c r="S551" s="88"/>
      <c r="T551" s="88"/>
      <c r="U551" s="88"/>
      <c r="V551" s="88"/>
      <c r="W551" s="88"/>
      <c r="X551" s="88"/>
      <c r="Y551" s="88"/>
      <c r="Z551" s="88"/>
      <c r="AA551" s="88"/>
      <c r="AB551" s="128"/>
      <c r="AC551" s="128"/>
      <c r="AD551" s="128"/>
      <c r="AE551" s="128"/>
      <c r="AF551" s="128"/>
      <c r="AG551" s="128"/>
      <c r="AH551" s="127"/>
    </row>
    <row r="552" spans="1:34" ht="13.2">
      <c r="A552" s="88"/>
      <c r="B552" s="88"/>
      <c r="C552" s="88"/>
      <c r="D552" s="88"/>
      <c r="E552" s="88"/>
      <c r="F552" s="88"/>
      <c r="G552" s="88"/>
      <c r="H552" s="88"/>
      <c r="I552" s="88"/>
      <c r="J552" s="88"/>
      <c r="K552" s="88"/>
      <c r="L552" s="88"/>
      <c r="M552" s="88"/>
      <c r="N552" s="88"/>
      <c r="O552" s="88"/>
      <c r="P552" s="88"/>
      <c r="Q552" s="88"/>
      <c r="R552" s="88"/>
      <c r="S552" s="88"/>
      <c r="T552" s="88"/>
      <c r="U552" s="88"/>
      <c r="V552" s="88"/>
      <c r="W552" s="88"/>
      <c r="X552" s="88"/>
      <c r="Y552" s="88"/>
      <c r="Z552" s="88"/>
      <c r="AA552" s="88"/>
      <c r="AB552" s="128"/>
      <c r="AC552" s="128"/>
      <c r="AD552" s="128"/>
      <c r="AE552" s="128"/>
      <c r="AF552" s="128"/>
      <c r="AG552" s="128"/>
      <c r="AH552" s="127"/>
    </row>
    <row r="553" spans="1:34" ht="13.2">
      <c r="A553" s="88"/>
      <c r="B553" s="88"/>
      <c r="C553" s="88"/>
      <c r="D553" s="88"/>
      <c r="E553" s="88"/>
      <c r="F553" s="88"/>
      <c r="G553" s="88"/>
      <c r="H553" s="88"/>
      <c r="I553" s="88"/>
      <c r="J553" s="88"/>
      <c r="K553" s="88"/>
      <c r="L553" s="88"/>
      <c r="M553" s="88"/>
      <c r="N553" s="88"/>
      <c r="O553" s="88"/>
      <c r="P553" s="88"/>
      <c r="Q553" s="88"/>
      <c r="R553" s="88"/>
      <c r="S553" s="88"/>
      <c r="T553" s="88"/>
      <c r="U553" s="88"/>
      <c r="V553" s="88"/>
      <c r="W553" s="88"/>
      <c r="X553" s="88"/>
      <c r="Y553" s="88"/>
      <c r="Z553" s="88"/>
      <c r="AA553" s="88"/>
      <c r="AB553" s="128"/>
      <c r="AC553" s="128"/>
      <c r="AD553" s="128"/>
      <c r="AE553" s="128"/>
      <c r="AF553" s="128"/>
      <c r="AG553" s="128"/>
      <c r="AH553" s="127"/>
    </row>
    <row r="554" spans="1:34" ht="13.2">
      <c r="A554" s="88"/>
      <c r="B554" s="88"/>
      <c r="C554" s="88"/>
      <c r="D554" s="88"/>
      <c r="E554" s="88"/>
      <c r="F554" s="88"/>
      <c r="G554" s="88"/>
      <c r="H554" s="88"/>
      <c r="I554" s="88"/>
      <c r="J554" s="88"/>
      <c r="K554" s="88"/>
      <c r="L554" s="88"/>
      <c r="M554" s="88"/>
      <c r="N554" s="88"/>
      <c r="O554" s="88"/>
      <c r="P554" s="88"/>
      <c r="Q554" s="88"/>
      <c r="R554" s="88"/>
      <c r="S554" s="88"/>
      <c r="T554" s="88"/>
      <c r="U554" s="88"/>
      <c r="V554" s="88"/>
      <c r="W554" s="88"/>
      <c r="X554" s="88"/>
      <c r="Y554" s="88"/>
      <c r="Z554" s="88"/>
      <c r="AA554" s="88"/>
      <c r="AB554" s="128"/>
      <c r="AC554" s="128"/>
      <c r="AD554" s="128"/>
      <c r="AE554" s="128"/>
      <c r="AF554" s="128"/>
      <c r="AG554" s="128"/>
      <c r="AH554" s="127"/>
    </row>
    <row r="555" spans="1:34" ht="13.2">
      <c r="A555" s="88"/>
      <c r="B555" s="88"/>
      <c r="C555" s="88"/>
      <c r="D555" s="88"/>
      <c r="E555" s="88"/>
      <c r="F555" s="88"/>
      <c r="G555" s="88"/>
      <c r="H555" s="88"/>
      <c r="I555" s="88"/>
      <c r="J555" s="88"/>
      <c r="K555" s="88"/>
      <c r="L555" s="88"/>
      <c r="M555" s="88"/>
      <c r="N555" s="88"/>
      <c r="O555" s="88"/>
      <c r="P555" s="88"/>
      <c r="Q555" s="88"/>
      <c r="R555" s="88"/>
      <c r="S555" s="88"/>
      <c r="T555" s="88"/>
      <c r="U555" s="88"/>
      <c r="V555" s="88"/>
      <c r="W555" s="88"/>
      <c r="X555" s="88"/>
      <c r="Y555" s="88"/>
      <c r="Z555" s="88"/>
      <c r="AA555" s="88"/>
      <c r="AB555" s="128"/>
      <c r="AC555" s="128"/>
      <c r="AD555" s="128"/>
      <c r="AE555" s="128"/>
      <c r="AF555" s="128"/>
      <c r="AG555" s="128"/>
      <c r="AH555" s="127"/>
    </row>
    <row r="556" spans="1:34" ht="13.2">
      <c r="A556" s="88"/>
      <c r="B556" s="88"/>
      <c r="C556" s="88"/>
      <c r="D556" s="88"/>
      <c r="E556" s="88"/>
      <c r="F556" s="88"/>
      <c r="G556" s="88"/>
      <c r="H556" s="88"/>
      <c r="I556" s="88"/>
      <c r="J556" s="88"/>
      <c r="K556" s="88"/>
      <c r="L556" s="88"/>
      <c r="M556" s="88"/>
      <c r="N556" s="88"/>
      <c r="O556" s="88"/>
      <c r="P556" s="88"/>
      <c r="Q556" s="88"/>
      <c r="R556" s="88"/>
      <c r="S556" s="88"/>
      <c r="T556" s="88"/>
      <c r="U556" s="88"/>
      <c r="V556" s="88"/>
      <c r="W556" s="88"/>
      <c r="X556" s="88"/>
      <c r="Y556" s="88"/>
      <c r="Z556" s="88"/>
      <c r="AA556" s="88"/>
      <c r="AB556" s="128"/>
      <c r="AC556" s="128"/>
      <c r="AD556" s="128"/>
      <c r="AE556" s="128"/>
      <c r="AF556" s="128"/>
      <c r="AG556" s="128"/>
      <c r="AH556" s="127"/>
    </row>
    <row r="557" spans="1:34" ht="13.2">
      <c r="A557" s="88"/>
      <c r="B557" s="88"/>
      <c r="C557" s="88"/>
      <c r="D557" s="88"/>
      <c r="E557" s="88"/>
      <c r="F557" s="88"/>
      <c r="G557" s="88"/>
      <c r="H557" s="88"/>
      <c r="I557" s="88"/>
      <c r="J557" s="88"/>
      <c r="K557" s="88"/>
      <c r="L557" s="88"/>
      <c r="M557" s="88"/>
      <c r="N557" s="88"/>
      <c r="O557" s="88"/>
      <c r="P557" s="88"/>
      <c r="Q557" s="88"/>
      <c r="R557" s="88"/>
      <c r="S557" s="88"/>
      <c r="T557" s="88"/>
      <c r="U557" s="88"/>
      <c r="V557" s="88"/>
      <c r="W557" s="88"/>
      <c r="X557" s="88"/>
      <c r="Y557" s="88"/>
      <c r="Z557" s="88"/>
      <c r="AA557" s="88"/>
      <c r="AB557" s="128"/>
      <c r="AC557" s="128"/>
      <c r="AD557" s="128"/>
      <c r="AE557" s="128"/>
      <c r="AF557" s="128"/>
      <c r="AG557" s="128"/>
      <c r="AH557" s="127"/>
    </row>
    <row r="558" spans="1:34" ht="13.2">
      <c r="A558" s="88"/>
      <c r="B558" s="88"/>
      <c r="C558" s="88"/>
      <c r="D558" s="88"/>
      <c r="E558" s="88"/>
      <c r="F558" s="88"/>
      <c r="G558" s="88"/>
      <c r="H558" s="88"/>
      <c r="I558" s="88"/>
      <c r="J558" s="88"/>
      <c r="K558" s="88"/>
      <c r="L558" s="88"/>
      <c r="M558" s="88"/>
      <c r="N558" s="88"/>
      <c r="O558" s="88"/>
      <c r="P558" s="88"/>
      <c r="Q558" s="88"/>
      <c r="R558" s="88"/>
      <c r="S558" s="88"/>
      <c r="T558" s="88"/>
      <c r="U558" s="88"/>
      <c r="V558" s="88"/>
      <c r="W558" s="88"/>
      <c r="X558" s="88"/>
      <c r="Y558" s="88"/>
      <c r="Z558" s="88"/>
      <c r="AA558" s="88"/>
      <c r="AB558" s="128"/>
      <c r="AC558" s="128"/>
      <c r="AD558" s="128"/>
      <c r="AE558" s="128"/>
      <c r="AF558" s="128"/>
      <c r="AG558" s="128"/>
      <c r="AH558" s="127"/>
    </row>
    <row r="559" spans="1:34" ht="13.2">
      <c r="A559" s="88"/>
      <c r="B559" s="88"/>
      <c r="C559" s="88"/>
      <c r="D559" s="88"/>
      <c r="E559" s="88"/>
      <c r="F559" s="88"/>
      <c r="G559" s="88"/>
      <c r="H559" s="88"/>
      <c r="I559" s="88"/>
      <c r="J559" s="88"/>
      <c r="K559" s="88"/>
      <c r="L559" s="88"/>
      <c r="M559" s="88"/>
      <c r="N559" s="88"/>
      <c r="O559" s="88"/>
      <c r="P559" s="88"/>
      <c r="Q559" s="88"/>
      <c r="R559" s="88"/>
      <c r="S559" s="88"/>
      <c r="T559" s="88"/>
      <c r="U559" s="88"/>
      <c r="V559" s="88"/>
      <c r="W559" s="88"/>
      <c r="X559" s="88"/>
      <c r="Y559" s="88"/>
      <c r="Z559" s="88"/>
      <c r="AA559" s="88"/>
      <c r="AB559" s="128"/>
      <c r="AC559" s="128"/>
      <c r="AD559" s="128"/>
      <c r="AE559" s="128"/>
      <c r="AF559" s="128"/>
      <c r="AG559" s="128"/>
      <c r="AH559" s="127"/>
    </row>
    <row r="560" spans="1:34" ht="13.2">
      <c r="A560" s="88"/>
      <c r="B560" s="88"/>
      <c r="C560" s="88"/>
      <c r="D560" s="88"/>
      <c r="E560" s="88"/>
      <c r="F560" s="88"/>
      <c r="G560" s="88"/>
      <c r="H560" s="88"/>
      <c r="I560" s="88"/>
      <c r="J560" s="88"/>
      <c r="K560" s="88"/>
      <c r="L560" s="88"/>
      <c r="M560" s="88"/>
      <c r="N560" s="88"/>
      <c r="O560" s="88"/>
      <c r="P560" s="88"/>
      <c r="Q560" s="88"/>
      <c r="R560" s="88"/>
      <c r="S560" s="88"/>
      <c r="T560" s="88"/>
      <c r="U560" s="88"/>
      <c r="V560" s="88"/>
      <c r="W560" s="88"/>
      <c r="X560" s="88"/>
      <c r="Y560" s="88"/>
      <c r="Z560" s="88"/>
      <c r="AA560" s="88"/>
      <c r="AB560" s="128"/>
      <c r="AC560" s="128"/>
      <c r="AD560" s="128"/>
      <c r="AE560" s="128"/>
      <c r="AF560" s="128"/>
      <c r="AG560" s="128"/>
      <c r="AH560" s="127"/>
    </row>
    <row r="561" spans="1:34" ht="13.2">
      <c r="A561" s="88"/>
      <c r="B561" s="88"/>
      <c r="C561" s="88"/>
      <c r="D561" s="88"/>
      <c r="E561" s="88"/>
      <c r="F561" s="88"/>
      <c r="G561" s="88"/>
      <c r="H561" s="88"/>
      <c r="I561" s="88"/>
      <c r="J561" s="88"/>
      <c r="K561" s="88"/>
      <c r="L561" s="88"/>
      <c r="M561" s="88"/>
      <c r="N561" s="88"/>
      <c r="O561" s="88"/>
      <c r="P561" s="88"/>
      <c r="Q561" s="88"/>
      <c r="R561" s="88"/>
      <c r="S561" s="88"/>
      <c r="T561" s="88"/>
      <c r="U561" s="88"/>
      <c r="V561" s="88"/>
      <c r="W561" s="88"/>
      <c r="X561" s="88"/>
      <c r="Y561" s="88"/>
      <c r="Z561" s="88"/>
      <c r="AA561" s="88"/>
      <c r="AB561" s="128"/>
      <c r="AC561" s="128"/>
      <c r="AD561" s="128"/>
      <c r="AE561" s="128"/>
      <c r="AF561" s="128"/>
      <c r="AG561" s="128"/>
      <c r="AH561" s="127"/>
    </row>
    <row r="562" spans="1:34" ht="13.2">
      <c r="A562" s="88"/>
      <c r="B562" s="88"/>
      <c r="C562" s="88"/>
      <c r="D562" s="88"/>
      <c r="E562" s="88"/>
      <c r="F562" s="88"/>
      <c r="G562" s="88"/>
      <c r="H562" s="88"/>
      <c r="I562" s="88"/>
      <c r="J562" s="88"/>
      <c r="K562" s="88"/>
      <c r="L562" s="88"/>
      <c r="M562" s="88"/>
      <c r="N562" s="88"/>
      <c r="O562" s="88"/>
      <c r="P562" s="88"/>
      <c r="Q562" s="88"/>
      <c r="R562" s="88"/>
      <c r="S562" s="88"/>
      <c r="T562" s="88"/>
      <c r="U562" s="88"/>
      <c r="V562" s="88"/>
      <c r="W562" s="88"/>
      <c r="X562" s="88"/>
      <c r="Y562" s="88"/>
      <c r="Z562" s="88"/>
      <c r="AA562" s="88"/>
      <c r="AB562" s="128"/>
      <c r="AC562" s="128"/>
      <c r="AD562" s="128"/>
      <c r="AE562" s="128"/>
      <c r="AF562" s="128"/>
      <c r="AG562" s="128"/>
      <c r="AH562" s="127"/>
    </row>
    <row r="563" spans="1:34" ht="13.2">
      <c r="A563" s="88"/>
      <c r="B563" s="88"/>
      <c r="C563" s="88"/>
      <c r="D563" s="88"/>
      <c r="E563" s="88"/>
      <c r="F563" s="88"/>
      <c r="G563" s="88"/>
      <c r="H563" s="88"/>
      <c r="I563" s="88"/>
      <c r="J563" s="88"/>
      <c r="K563" s="88"/>
      <c r="L563" s="88"/>
      <c r="M563" s="88"/>
      <c r="N563" s="88"/>
      <c r="O563" s="88"/>
      <c r="P563" s="88"/>
      <c r="Q563" s="88"/>
      <c r="R563" s="88"/>
      <c r="S563" s="88"/>
      <c r="T563" s="88"/>
      <c r="U563" s="88"/>
      <c r="V563" s="88"/>
      <c r="W563" s="88"/>
      <c r="X563" s="88"/>
      <c r="Y563" s="88"/>
      <c r="Z563" s="88"/>
      <c r="AA563" s="88"/>
      <c r="AB563" s="128"/>
      <c r="AC563" s="128"/>
      <c r="AD563" s="128"/>
      <c r="AE563" s="128"/>
      <c r="AF563" s="128"/>
      <c r="AG563" s="128"/>
      <c r="AH563" s="127"/>
    </row>
    <row r="564" spans="1:34" ht="13.2">
      <c r="A564" s="88"/>
      <c r="B564" s="88"/>
      <c r="C564" s="88"/>
      <c r="D564" s="88"/>
      <c r="E564" s="88"/>
      <c r="F564" s="88"/>
      <c r="G564" s="88"/>
      <c r="H564" s="88"/>
      <c r="I564" s="88"/>
      <c r="J564" s="88"/>
      <c r="K564" s="88"/>
      <c r="L564" s="88"/>
      <c r="M564" s="88"/>
      <c r="N564" s="88"/>
      <c r="O564" s="88"/>
      <c r="P564" s="88"/>
      <c r="Q564" s="88"/>
      <c r="R564" s="88"/>
      <c r="S564" s="88"/>
      <c r="T564" s="88"/>
      <c r="U564" s="88"/>
      <c r="V564" s="88"/>
      <c r="W564" s="88"/>
      <c r="X564" s="88"/>
      <c r="Y564" s="88"/>
      <c r="Z564" s="88"/>
      <c r="AA564" s="88"/>
      <c r="AB564" s="128"/>
      <c r="AC564" s="128"/>
      <c r="AD564" s="128"/>
      <c r="AE564" s="128"/>
      <c r="AF564" s="128"/>
      <c r="AG564" s="128"/>
      <c r="AH564" s="127"/>
    </row>
    <row r="565" spans="1:34" ht="13.2">
      <c r="A565" s="88"/>
      <c r="B565" s="88"/>
      <c r="C565" s="88"/>
      <c r="D565" s="88"/>
      <c r="E565" s="88"/>
      <c r="F565" s="88"/>
      <c r="G565" s="88"/>
      <c r="H565" s="88"/>
      <c r="I565" s="88"/>
      <c r="J565" s="88"/>
      <c r="K565" s="88"/>
      <c r="L565" s="88"/>
      <c r="M565" s="88"/>
      <c r="N565" s="88"/>
      <c r="O565" s="88"/>
      <c r="P565" s="88"/>
      <c r="Q565" s="88"/>
      <c r="R565" s="88"/>
      <c r="S565" s="88"/>
      <c r="T565" s="88"/>
      <c r="U565" s="88"/>
      <c r="V565" s="88"/>
      <c r="W565" s="88"/>
      <c r="X565" s="88"/>
      <c r="Y565" s="88"/>
      <c r="Z565" s="88"/>
      <c r="AA565" s="88"/>
      <c r="AB565" s="128"/>
      <c r="AC565" s="128"/>
      <c r="AD565" s="128"/>
      <c r="AE565" s="128"/>
      <c r="AF565" s="128"/>
      <c r="AG565" s="128"/>
      <c r="AH565" s="127"/>
    </row>
    <row r="566" spans="1:34" ht="13.2">
      <c r="A566" s="88"/>
      <c r="B566" s="88"/>
      <c r="C566" s="88"/>
      <c r="D566" s="88"/>
      <c r="E566" s="88"/>
      <c r="F566" s="88"/>
      <c r="G566" s="88"/>
      <c r="H566" s="88"/>
      <c r="I566" s="88"/>
      <c r="J566" s="88"/>
      <c r="K566" s="88"/>
      <c r="L566" s="88"/>
      <c r="M566" s="88"/>
      <c r="N566" s="88"/>
      <c r="O566" s="88"/>
      <c r="P566" s="88"/>
      <c r="Q566" s="88"/>
      <c r="R566" s="88"/>
      <c r="S566" s="88"/>
      <c r="T566" s="88"/>
      <c r="U566" s="88"/>
      <c r="V566" s="88"/>
      <c r="W566" s="88"/>
      <c r="X566" s="88"/>
      <c r="Y566" s="88"/>
      <c r="Z566" s="88"/>
      <c r="AA566" s="88"/>
      <c r="AB566" s="128"/>
      <c r="AC566" s="128"/>
      <c r="AD566" s="128"/>
      <c r="AE566" s="128"/>
      <c r="AF566" s="128"/>
      <c r="AG566" s="128"/>
      <c r="AH566" s="127"/>
    </row>
    <row r="567" spans="1:34" ht="13.2">
      <c r="A567" s="88"/>
      <c r="B567" s="88"/>
      <c r="C567" s="88"/>
      <c r="D567" s="88"/>
      <c r="E567" s="88"/>
      <c r="F567" s="88"/>
      <c r="G567" s="88"/>
      <c r="H567" s="88"/>
      <c r="I567" s="88"/>
      <c r="J567" s="88"/>
      <c r="K567" s="88"/>
      <c r="L567" s="88"/>
      <c r="M567" s="88"/>
      <c r="N567" s="88"/>
      <c r="O567" s="88"/>
      <c r="P567" s="88"/>
      <c r="Q567" s="88"/>
      <c r="R567" s="88"/>
      <c r="S567" s="88"/>
      <c r="T567" s="88"/>
      <c r="U567" s="88"/>
      <c r="V567" s="88"/>
      <c r="W567" s="88"/>
      <c r="X567" s="88"/>
      <c r="Y567" s="88"/>
      <c r="Z567" s="88"/>
      <c r="AA567" s="88"/>
      <c r="AB567" s="128"/>
      <c r="AC567" s="128"/>
      <c r="AD567" s="128"/>
      <c r="AE567" s="128"/>
      <c r="AF567" s="128"/>
      <c r="AG567" s="128"/>
      <c r="AH567" s="127"/>
    </row>
    <row r="568" spans="1:34" ht="13.2">
      <c r="A568" s="88"/>
      <c r="B568" s="88"/>
      <c r="C568" s="88"/>
      <c r="D568" s="88"/>
      <c r="E568" s="88"/>
      <c r="F568" s="88"/>
      <c r="G568" s="88"/>
      <c r="H568" s="88"/>
      <c r="I568" s="88"/>
      <c r="J568" s="88"/>
      <c r="K568" s="88"/>
      <c r="L568" s="88"/>
      <c r="M568" s="88"/>
      <c r="N568" s="88"/>
      <c r="O568" s="88"/>
      <c r="P568" s="88"/>
      <c r="Q568" s="88"/>
      <c r="R568" s="88"/>
      <c r="S568" s="88"/>
      <c r="T568" s="88"/>
      <c r="U568" s="88"/>
      <c r="V568" s="88"/>
      <c r="W568" s="88"/>
      <c r="X568" s="88"/>
      <c r="Y568" s="88"/>
      <c r="Z568" s="88"/>
      <c r="AA568" s="88"/>
      <c r="AB568" s="128"/>
      <c r="AC568" s="128"/>
      <c r="AD568" s="128"/>
      <c r="AE568" s="128"/>
      <c r="AF568" s="128"/>
      <c r="AG568" s="128"/>
      <c r="AH568" s="127"/>
    </row>
    <row r="569" spans="1:34" ht="13.2">
      <c r="A569" s="88"/>
      <c r="B569" s="88"/>
      <c r="C569" s="88"/>
      <c r="D569" s="88"/>
      <c r="E569" s="88"/>
      <c r="F569" s="88"/>
      <c r="G569" s="88"/>
      <c r="H569" s="88"/>
      <c r="I569" s="88"/>
      <c r="J569" s="88"/>
      <c r="K569" s="88"/>
      <c r="L569" s="88"/>
      <c r="M569" s="88"/>
      <c r="N569" s="88"/>
      <c r="O569" s="88"/>
      <c r="P569" s="88"/>
      <c r="Q569" s="88"/>
      <c r="R569" s="88"/>
      <c r="S569" s="88"/>
      <c r="T569" s="88"/>
      <c r="U569" s="88"/>
      <c r="V569" s="88"/>
      <c r="W569" s="88"/>
      <c r="X569" s="88"/>
      <c r="Y569" s="88"/>
      <c r="Z569" s="88"/>
      <c r="AA569" s="88"/>
      <c r="AB569" s="128"/>
      <c r="AC569" s="128"/>
      <c r="AD569" s="128"/>
      <c r="AE569" s="128"/>
      <c r="AF569" s="128"/>
      <c r="AG569" s="128"/>
      <c r="AH569" s="127"/>
    </row>
    <row r="570" spans="1:34" ht="13.2">
      <c r="A570" s="88"/>
      <c r="B570" s="88"/>
      <c r="C570" s="88"/>
      <c r="D570" s="88"/>
      <c r="E570" s="88"/>
      <c r="F570" s="88"/>
      <c r="G570" s="88"/>
      <c r="H570" s="88"/>
      <c r="I570" s="88"/>
      <c r="J570" s="88"/>
      <c r="K570" s="88"/>
      <c r="L570" s="88"/>
      <c r="M570" s="88"/>
      <c r="N570" s="88"/>
      <c r="O570" s="88"/>
      <c r="P570" s="88"/>
      <c r="Q570" s="88"/>
      <c r="R570" s="88"/>
      <c r="S570" s="88"/>
      <c r="T570" s="88"/>
      <c r="U570" s="88"/>
      <c r="V570" s="88"/>
      <c r="W570" s="88"/>
      <c r="X570" s="88"/>
      <c r="Y570" s="88"/>
      <c r="Z570" s="88"/>
      <c r="AA570" s="88"/>
      <c r="AB570" s="128"/>
      <c r="AC570" s="128"/>
      <c r="AD570" s="128"/>
      <c r="AE570" s="128"/>
      <c r="AF570" s="128"/>
      <c r="AG570" s="128"/>
      <c r="AH570" s="127"/>
    </row>
    <row r="571" spans="1:34" ht="13.2">
      <c r="A571" s="88"/>
      <c r="B571" s="88"/>
      <c r="C571" s="88"/>
      <c r="D571" s="88"/>
      <c r="E571" s="88"/>
      <c r="F571" s="88"/>
      <c r="G571" s="88"/>
      <c r="H571" s="88"/>
      <c r="I571" s="88"/>
      <c r="J571" s="88"/>
      <c r="K571" s="88"/>
      <c r="L571" s="88"/>
      <c r="M571" s="88"/>
      <c r="N571" s="88"/>
      <c r="O571" s="88"/>
      <c r="P571" s="88"/>
      <c r="Q571" s="88"/>
      <c r="R571" s="88"/>
      <c r="S571" s="88"/>
      <c r="T571" s="88"/>
      <c r="U571" s="88"/>
      <c r="V571" s="88"/>
      <c r="W571" s="88"/>
      <c r="X571" s="88"/>
      <c r="Y571" s="88"/>
      <c r="Z571" s="88"/>
      <c r="AA571" s="88"/>
      <c r="AB571" s="128"/>
      <c r="AC571" s="128"/>
      <c r="AD571" s="128"/>
      <c r="AE571" s="128"/>
      <c r="AF571" s="128"/>
      <c r="AG571" s="128"/>
      <c r="AH571" s="127"/>
    </row>
    <row r="572" spans="1:34" ht="13.2">
      <c r="A572" s="88"/>
      <c r="B572" s="88"/>
      <c r="C572" s="88"/>
      <c r="D572" s="88"/>
      <c r="E572" s="88"/>
      <c r="F572" s="88"/>
      <c r="G572" s="88"/>
      <c r="H572" s="88"/>
      <c r="I572" s="88"/>
      <c r="J572" s="88"/>
      <c r="K572" s="88"/>
      <c r="L572" s="88"/>
      <c r="M572" s="88"/>
      <c r="N572" s="88"/>
      <c r="O572" s="88"/>
      <c r="P572" s="88"/>
      <c r="Q572" s="88"/>
      <c r="R572" s="88"/>
      <c r="S572" s="88"/>
      <c r="T572" s="88"/>
      <c r="U572" s="88"/>
      <c r="V572" s="88"/>
      <c r="W572" s="88"/>
      <c r="X572" s="88"/>
      <c r="Y572" s="88"/>
      <c r="Z572" s="88"/>
      <c r="AA572" s="88"/>
      <c r="AB572" s="128"/>
      <c r="AC572" s="128"/>
      <c r="AD572" s="128"/>
      <c r="AE572" s="128"/>
      <c r="AF572" s="128"/>
      <c r="AG572" s="128"/>
      <c r="AH572" s="127"/>
    </row>
    <row r="573" spans="1:34" ht="13.2">
      <c r="A573" s="88"/>
      <c r="B573" s="88"/>
      <c r="C573" s="88"/>
      <c r="D573" s="88"/>
      <c r="E573" s="88"/>
      <c r="F573" s="88"/>
      <c r="G573" s="88"/>
      <c r="H573" s="88"/>
      <c r="I573" s="88"/>
      <c r="J573" s="88"/>
      <c r="K573" s="88"/>
      <c r="L573" s="88"/>
      <c r="M573" s="88"/>
      <c r="N573" s="88"/>
      <c r="O573" s="88"/>
      <c r="P573" s="88"/>
      <c r="Q573" s="88"/>
      <c r="R573" s="88"/>
      <c r="S573" s="88"/>
      <c r="T573" s="88"/>
      <c r="U573" s="88"/>
      <c r="V573" s="88"/>
      <c r="W573" s="88"/>
      <c r="X573" s="88"/>
      <c r="Y573" s="88"/>
      <c r="Z573" s="88"/>
      <c r="AA573" s="88"/>
      <c r="AB573" s="128"/>
      <c r="AC573" s="128"/>
      <c r="AD573" s="128"/>
      <c r="AE573" s="128"/>
      <c r="AF573" s="128"/>
      <c r="AG573" s="128"/>
      <c r="AH573" s="127"/>
    </row>
    <row r="574" spans="1:34" ht="13.2">
      <c r="A574" s="88"/>
      <c r="B574" s="88"/>
      <c r="C574" s="88"/>
      <c r="D574" s="88"/>
      <c r="E574" s="88"/>
      <c r="F574" s="88"/>
      <c r="G574" s="88"/>
      <c r="H574" s="88"/>
      <c r="I574" s="88"/>
      <c r="J574" s="88"/>
      <c r="K574" s="88"/>
      <c r="L574" s="88"/>
      <c r="M574" s="88"/>
      <c r="N574" s="88"/>
      <c r="O574" s="88"/>
      <c r="P574" s="88"/>
      <c r="Q574" s="88"/>
      <c r="R574" s="88"/>
      <c r="S574" s="88"/>
      <c r="T574" s="88"/>
      <c r="U574" s="88"/>
      <c r="V574" s="88"/>
      <c r="W574" s="88"/>
      <c r="X574" s="88"/>
      <c r="Y574" s="88"/>
      <c r="Z574" s="88"/>
      <c r="AA574" s="88"/>
      <c r="AB574" s="128"/>
      <c r="AC574" s="128"/>
      <c r="AD574" s="128"/>
      <c r="AE574" s="128"/>
      <c r="AF574" s="128"/>
      <c r="AG574" s="128"/>
      <c r="AH574" s="127"/>
    </row>
    <row r="575" spans="1:34" ht="13.2">
      <c r="A575" s="88"/>
      <c r="B575" s="88"/>
      <c r="C575" s="88"/>
      <c r="D575" s="88"/>
      <c r="E575" s="88"/>
      <c r="F575" s="88"/>
      <c r="G575" s="88"/>
      <c r="H575" s="88"/>
      <c r="I575" s="88"/>
      <c r="J575" s="88"/>
      <c r="K575" s="88"/>
      <c r="L575" s="88"/>
      <c r="M575" s="88"/>
      <c r="N575" s="88"/>
      <c r="O575" s="88"/>
      <c r="P575" s="88"/>
      <c r="Q575" s="88"/>
      <c r="R575" s="88"/>
      <c r="S575" s="88"/>
      <c r="T575" s="88"/>
      <c r="U575" s="88"/>
      <c r="V575" s="88"/>
      <c r="W575" s="88"/>
      <c r="X575" s="88"/>
      <c r="Y575" s="88"/>
      <c r="Z575" s="88"/>
      <c r="AA575" s="88"/>
      <c r="AB575" s="128"/>
      <c r="AC575" s="128"/>
      <c r="AD575" s="128"/>
      <c r="AE575" s="128"/>
      <c r="AF575" s="128"/>
      <c r="AG575" s="128"/>
      <c r="AH575" s="127"/>
    </row>
    <row r="576" spans="1:34" ht="13.2">
      <c r="A576" s="88"/>
      <c r="B576" s="88"/>
      <c r="C576" s="88"/>
      <c r="D576" s="88"/>
      <c r="E576" s="88"/>
      <c r="F576" s="88"/>
      <c r="G576" s="88"/>
      <c r="H576" s="88"/>
      <c r="I576" s="88"/>
      <c r="J576" s="88"/>
      <c r="K576" s="88"/>
      <c r="L576" s="88"/>
      <c r="M576" s="88"/>
      <c r="N576" s="88"/>
      <c r="O576" s="88"/>
      <c r="P576" s="88"/>
      <c r="Q576" s="88"/>
      <c r="R576" s="88"/>
      <c r="S576" s="88"/>
      <c r="T576" s="88"/>
      <c r="U576" s="88"/>
      <c r="V576" s="88"/>
      <c r="W576" s="88"/>
      <c r="X576" s="88"/>
      <c r="Y576" s="88"/>
      <c r="Z576" s="88"/>
      <c r="AA576" s="88"/>
      <c r="AB576" s="128"/>
      <c r="AC576" s="128"/>
      <c r="AD576" s="128"/>
      <c r="AE576" s="128"/>
      <c r="AF576" s="128"/>
      <c r="AG576" s="128"/>
      <c r="AH576" s="127"/>
    </row>
    <row r="577" spans="1:34" ht="13.2">
      <c r="A577" s="88"/>
      <c r="B577" s="88"/>
      <c r="C577" s="88"/>
      <c r="D577" s="88"/>
      <c r="E577" s="88"/>
      <c r="F577" s="88"/>
      <c r="G577" s="88"/>
      <c r="H577" s="88"/>
      <c r="I577" s="88"/>
      <c r="J577" s="88"/>
      <c r="K577" s="88"/>
      <c r="L577" s="88"/>
      <c r="M577" s="88"/>
      <c r="N577" s="88"/>
      <c r="O577" s="88"/>
      <c r="P577" s="88"/>
      <c r="Q577" s="88"/>
      <c r="R577" s="88"/>
      <c r="S577" s="88"/>
      <c r="T577" s="88"/>
      <c r="U577" s="88"/>
      <c r="V577" s="88"/>
      <c r="W577" s="88"/>
      <c r="X577" s="88"/>
      <c r="Y577" s="88"/>
      <c r="Z577" s="88"/>
      <c r="AA577" s="88"/>
      <c r="AB577" s="128"/>
      <c r="AC577" s="128"/>
      <c r="AD577" s="128"/>
      <c r="AE577" s="128"/>
      <c r="AF577" s="128"/>
      <c r="AG577" s="128"/>
      <c r="AH577" s="127"/>
    </row>
    <row r="578" spans="1:34" ht="13.2">
      <c r="A578" s="88"/>
      <c r="B578" s="88"/>
      <c r="C578" s="88"/>
      <c r="D578" s="88"/>
      <c r="E578" s="88"/>
      <c r="F578" s="88"/>
      <c r="G578" s="88"/>
      <c r="H578" s="88"/>
      <c r="I578" s="88"/>
      <c r="J578" s="88"/>
      <c r="K578" s="88"/>
      <c r="L578" s="88"/>
      <c r="M578" s="88"/>
      <c r="N578" s="88"/>
      <c r="O578" s="88"/>
      <c r="P578" s="88"/>
      <c r="Q578" s="88"/>
      <c r="R578" s="88"/>
      <c r="S578" s="88"/>
      <c r="T578" s="88"/>
      <c r="U578" s="88"/>
      <c r="V578" s="88"/>
      <c r="W578" s="88"/>
      <c r="X578" s="88"/>
      <c r="Y578" s="88"/>
      <c r="Z578" s="88"/>
      <c r="AA578" s="88"/>
      <c r="AB578" s="128"/>
      <c r="AC578" s="128"/>
      <c r="AD578" s="128"/>
      <c r="AE578" s="128"/>
      <c r="AF578" s="128"/>
      <c r="AG578" s="128"/>
      <c r="AH578" s="127"/>
    </row>
    <row r="579" spans="1:34" ht="13.2">
      <c r="A579" s="88"/>
      <c r="B579" s="88"/>
      <c r="C579" s="88"/>
      <c r="D579" s="88"/>
      <c r="E579" s="88"/>
      <c r="F579" s="88"/>
      <c r="G579" s="88"/>
      <c r="H579" s="88"/>
      <c r="I579" s="88"/>
      <c r="J579" s="88"/>
      <c r="K579" s="88"/>
      <c r="L579" s="88"/>
      <c r="M579" s="88"/>
      <c r="N579" s="88"/>
      <c r="O579" s="88"/>
      <c r="P579" s="88"/>
      <c r="Q579" s="88"/>
      <c r="R579" s="88"/>
      <c r="S579" s="88"/>
      <c r="T579" s="88"/>
      <c r="U579" s="88"/>
      <c r="V579" s="88"/>
      <c r="W579" s="88"/>
      <c r="X579" s="88"/>
      <c r="Y579" s="88"/>
      <c r="Z579" s="88"/>
      <c r="AA579" s="88"/>
      <c r="AB579" s="128"/>
      <c r="AC579" s="128"/>
      <c r="AD579" s="128"/>
      <c r="AE579" s="128"/>
      <c r="AF579" s="128"/>
      <c r="AG579" s="128"/>
      <c r="AH579" s="127"/>
    </row>
    <row r="580" spans="1:34" ht="13.2">
      <c r="A580" s="88"/>
      <c r="B580" s="88"/>
      <c r="C580" s="88"/>
      <c r="D580" s="88"/>
      <c r="E580" s="88"/>
      <c r="F580" s="88"/>
      <c r="G580" s="88"/>
      <c r="H580" s="88"/>
      <c r="I580" s="88"/>
      <c r="J580" s="88"/>
      <c r="K580" s="88"/>
      <c r="L580" s="88"/>
      <c r="M580" s="88"/>
      <c r="N580" s="88"/>
      <c r="O580" s="88"/>
      <c r="P580" s="88"/>
      <c r="Q580" s="88"/>
      <c r="R580" s="88"/>
      <c r="S580" s="88"/>
      <c r="T580" s="88"/>
      <c r="U580" s="88"/>
      <c r="V580" s="88"/>
      <c r="W580" s="88"/>
      <c r="X580" s="88"/>
      <c r="Y580" s="88"/>
      <c r="Z580" s="88"/>
      <c r="AA580" s="88"/>
      <c r="AB580" s="128"/>
      <c r="AC580" s="128"/>
      <c r="AD580" s="128"/>
      <c r="AE580" s="128"/>
      <c r="AF580" s="128"/>
      <c r="AG580" s="128"/>
      <c r="AH580" s="127"/>
    </row>
    <row r="581" spans="1:34" ht="13.2">
      <c r="A581" s="88"/>
      <c r="B581" s="88"/>
      <c r="C581" s="88"/>
      <c r="D581" s="88"/>
      <c r="E581" s="88"/>
      <c r="F581" s="88"/>
      <c r="G581" s="88"/>
      <c r="H581" s="88"/>
      <c r="I581" s="88"/>
      <c r="J581" s="88"/>
      <c r="K581" s="88"/>
      <c r="L581" s="88"/>
      <c r="M581" s="88"/>
      <c r="N581" s="88"/>
      <c r="O581" s="88"/>
      <c r="P581" s="88"/>
      <c r="Q581" s="88"/>
      <c r="R581" s="88"/>
      <c r="S581" s="88"/>
      <c r="T581" s="88"/>
      <c r="U581" s="88"/>
      <c r="V581" s="88"/>
      <c r="W581" s="88"/>
      <c r="X581" s="88"/>
      <c r="Y581" s="88"/>
      <c r="Z581" s="88"/>
      <c r="AA581" s="88"/>
      <c r="AB581" s="128"/>
      <c r="AC581" s="128"/>
      <c r="AD581" s="128"/>
      <c r="AE581" s="128"/>
      <c r="AF581" s="128"/>
      <c r="AG581" s="128"/>
      <c r="AH581" s="127"/>
    </row>
    <row r="582" spans="1:34" ht="13.2">
      <c r="A582" s="88"/>
      <c r="B582" s="88"/>
      <c r="C582" s="88"/>
      <c r="D582" s="88"/>
      <c r="E582" s="88"/>
      <c r="F582" s="88"/>
      <c r="G582" s="88"/>
      <c r="H582" s="88"/>
      <c r="I582" s="88"/>
      <c r="J582" s="88"/>
      <c r="K582" s="88"/>
      <c r="L582" s="88"/>
      <c r="M582" s="88"/>
      <c r="N582" s="88"/>
      <c r="O582" s="88"/>
      <c r="P582" s="88"/>
      <c r="Q582" s="88"/>
      <c r="R582" s="88"/>
      <c r="S582" s="88"/>
      <c r="T582" s="88"/>
      <c r="U582" s="88"/>
      <c r="V582" s="88"/>
      <c r="W582" s="88"/>
      <c r="X582" s="88"/>
      <c r="Y582" s="88"/>
      <c r="Z582" s="88"/>
      <c r="AA582" s="88"/>
      <c r="AB582" s="128"/>
      <c r="AC582" s="128"/>
      <c r="AD582" s="128"/>
      <c r="AE582" s="128"/>
      <c r="AF582" s="128"/>
      <c r="AG582" s="128"/>
      <c r="AH582" s="127"/>
    </row>
    <row r="583" spans="1:34" ht="13.2">
      <c r="A583" s="88"/>
      <c r="B583" s="88"/>
      <c r="C583" s="88"/>
      <c r="D583" s="88"/>
      <c r="E583" s="88"/>
      <c r="F583" s="88"/>
      <c r="G583" s="88"/>
      <c r="H583" s="88"/>
      <c r="I583" s="88"/>
      <c r="J583" s="88"/>
      <c r="K583" s="88"/>
      <c r="L583" s="88"/>
      <c r="M583" s="88"/>
      <c r="N583" s="88"/>
      <c r="O583" s="88"/>
      <c r="P583" s="88"/>
      <c r="Q583" s="88"/>
      <c r="R583" s="88"/>
      <c r="S583" s="88"/>
      <c r="T583" s="88"/>
      <c r="U583" s="88"/>
      <c r="V583" s="88"/>
      <c r="W583" s="88"/>
      <c r="X583" s="88"/>
      <c r="Y583" s="88"/>
      <c r="Z583" s="88"/>
      <c r="AA583" s="88"/>
      <c r="AB583" s="128"/>
      <c r="AC583" s="128"/>
      <c r="AD583" s="128"/>
      <c r="AE583" s="128"/>
      <c r="AF583" s="128"/>
      <c r="AG583" s="128"/>
      <c r="AH583" s="127"/>
    </row>
    <row r="584" spans="1:34" ht="13.2">
      <c r="A584" s="88"/>
      <c r="B584" s="88"/>
      <c r="C584" s="88"/>
      <c r="D584" s="88"/>
      <c r="E584" s="88"/>
      <c r="F584" s="88"/>
      <c r="G584" s="88"/>
      <c r="H584" s="88"/>
      <c r="I584" s="88"/>
      <c r="J584" s="88"/>
      <c r="K584" s="88"/>
      <c r="L584" s="88"/>
      <c r="M584" s="88"/>
      <c r="N584" s="88"/>
      <c r="O584" s="88"/>
      <c r="P584" s="88"/>
      <c r="Q584" s="88"/>
      <c r="R584" s="88"/>
      <c r="S584" s="88"/>
      <c r="T584" s="88"/>
      <c r="U584" s="88"/>
      <c r="V584" s="88"/>
      <c r="W584" s="88"/>
      <c r="X584" s="88"/>
      <c r="Y584" s="88"/>
      <c r="Z584" s="88"/>
      <c r="AA584" s="88"/>
      <c r="AB584" s="128"/>
      <c r="AC584" s="128"/>
      <c r="AD584" s="128"/>
      <c r="AE584" s="128"/>
      <c r="AF584" s="128"/>
      <c r="AG584" s="128"/>
      <c r="AH584" s="127"/>
    </row>
    <row r="585" spans="1:34" ht="13.2">
      <c r="A585" s="88"/>
      <c r="B585" s="88"/>
      <c r="C585" s="88"/>
      <c r="D585" s="88"/>
      <c r="E585" s="88"/>
      <c r="F585" s="88"/>
      <c r="G585" s="88"/>
      <c r="H585" s="88"/>
      <c r="I585" s="88"/>
      <c r="J585" s="88"/>
      <c r="K585" s="88"/>
      <c r="L585" s="88"/>
      <c r="M585" s="88"/>
      <c r="N585" s="88"/>
      <c r="O585" s="88"/>
      <c r="P585" s="88"/>
      <c r="Q585" s="88"/>
      <c r="R585" s="88"/>
      <c r="S585" s="88"/>
      <c r="T585" s="88"/>
      <c r="U585" s="88"/>
      <c r="V585" s="88"/>
      <c r="W585" s="88"/>
      <c r="X585" s="88"/>
      <c r="Y585" s="88"/>
      <c r="Z585" s="88"/>
      <c r="AA585" s="88"/>
      <c r="AB585" s="128"/>
      <c r="AC585" s="128"/>
      <c r="AD585" s="128"/>
      <c r="AE585" s="128"/>
      <c r="AF585" s="128"/>
      <c r="AG585" s="128"/>
      <c r="AH585" s="127"/>
    </row>
    <row r="586" spans="1:34" ht="13.2">
      <c r="A586" s="88"/>
      <c r="B586" s="88"/>
      <c r="C586" s="88"/>
      <c r="D586" s="88"/>
      <c r="E586" s="88"/>
      <c r="F586" s="88"/>
      <c r="G586" s="88"/>
      <c r="H586" s="88"/>
      <c r="I586" s="88"/>
      <c r="J586" s="88"/>
      <c r="K586" s="88"/>
      <c r="L586" s="88"/>
      <c r="M586" s="88"/>
      <c r="N586" s="88"/>
      <c r="O586" s="88"/>
      <c r="P586" s="88"/>
      <c r="Q586" s="88"/>
      <c r="R586" s="88"/>
      <c r="S586" s="88"/>
      <c r="T586" s="88"/>
      <c r="U586" s="88"/>
      <c r="V586" s="88"/>
      <c r="W586" s="88"/>
      <c r="X586" s="88"/>
      <c r="Y586" s="88"/>
      <c r="Z586" s="88"/>
      <c r="AA586" s="88"/>
      <c r="AB586" s="128"/>
      <c r="AC586" s="128"/>
      <c r="AD586" s="128"/>
      <c r="AE586" s="128"/>
      <c r="AF586" s="128"/>
      <c r="AG586" s="128"/>
      <c r="AH586" s="127"/>
    </row>
    <row r="587" spans="1:34" ht="13.2">
      <c r="A587" s="88"/>
      <c r="B587" s="88"/>
      <c r="C587" s="88"/>
      <c r="D587" s="88"/>
      <c r="E587" s="88"/>
      <c r="F587" s="88"/>
      <c r="G587" s="88"/>
      <c r="H587" s="88"/>
      <c r="I587" s="88"/>
      <c r="J587" s="88"/>
      <c r="K587" s="88"/>
      <c r="L587" s="88"/>
      <c r="M587" s="88"/>
      <c r="N587" s="88"/>
      <c r="O587" s="88"/>
      <c r="P587" s="88"/>
      <c r="Q587" s="88"/>
      <c r="R587" s="88"/>
      <c r="S587" s="88"/>
      <c r="T587" s="88"/>
      <c r="U587" s="88"/>
      <c r="V587" s="88"/>
      <c r="W587" s="88"/>
      <c r="X587" s="88"/>
      <c r="Y587" s="88"/>
      <c r="Z587" s="88"/>
      <c r="AA587" s="88"/>
      <c r="AB587" s="128"/>
      <c r="AC587" s="128"/>
      <c r="AD587" s="128"/>
      <c r="AE587" s="128"/>
      <c r="AF587" s="128"/>
      <c r="AG587" s="128"/>
      <c r="AH587" s="127"/>
    </row>
    <row r="588" spans="1:34" ht="13.2">
      <c r="A588" s="88"/>
      <c r="B588" s="88"/>
      <c r="C588" s="88"/>
      <c r="D588" s="88"/>
      <c r="E588" s="88"/>
      <c r="F588" s="88"/>
      <c r="G588" s="88"/>
      <c r="H588" s="88"/>
      <c r="I588" s="88"/>
      <c r="J588" s="88"/>
      <c r="K588" s="88"/>
      <c r="L588" s="88"/>
      <c r="M588" s="88"/>
      <c r="N588" s="88"/>
      <c r="O588" s="88"/>
      <c r="P588" s="88"/>
      <c r="Q588" s="88"/>
      <c r="R588" s="88"/>
      <c r="S588" s="88"/>
      <c r="T588" s="88"/>
      <c r="U588" s="88"/>
      <c r="V588" s="88"/>
      <c r="W588" s="88"/>
      <c r="X588" s="88"/>
      <c r="Y588" s="88"/>
      <c r="Z588" s="88"/>
      <c r="AA588" s="88"/>
      <c r="AB588" s="128"/>
      <c r="AC588" s="128"/>
      <c r="AD588" s="128"/>
      <c r="AE588" s="128"/>
      <c r="AF588" s="128"/>
      <c r="AG588" s="128"/>
      <c r="AH588" s="127"/>
    </row>
    <row r="589" spans="1:34" ht="13.2">
      <c r="A589" s="88"/>
      <c r="B589" s="88"/>
      <c r="C589" s="88"/>
      <c r="D589" s="88"/>
      <c r="E589" s="88"/>
      <c r="F589" s="88"/>
      <c r="G589" s="88"/>
      <c r="H589" s="88"/>
      <c r="I589" s="88"/>
      <c r="J589" s="88"/>
      <c r="K589" s="88"/>
      <c r="L589" s="88"/>
      <c r="M589" s="88"/>
      <c r="N589" s="88"/>
      <c r="O589" s="88"/>
      <c r="P589" s="88"/>
      <c r="Q589" s="88"/>
      <c r="R589" s="88"/>
      <c r="S589" s="88"/>
      <c r="T589" s="88"/>
      <c r="U589" s="88"/>
      <c r="V589" s="88"/>
      <c r="W589" s="88"/>
      <c r="X589" s="88"/>
      <c r="Y589" s="88"/>
      <c r="Z589" s="88"/>
      <c r="AA589" s="88"/>
      <c r="AB589" s="128"/>
      <c r="AC589" s="128"/>
      <c r="AD589" s="128"/>
      <c r="AE589" s="128"/>
      <c r="AF589" s="128"/>
      <c r="AG589" s="128"/>
      <c r="AH589" s="127"/>
    </row>
    <row r="590" spans="1:34" ht="13.2">
      <c r="A590" s="88"/>
      <c r="B590" s="88"/>
      <c r="C590" s="88"/>
      <c r="D590" s="88"/>
      <c r="E590" s="88"/>
      <c r="F590" s="88"/>
      <c r="G590" s="88"/>
      <c r="H590" s="88"/>
      <c r="I590" s="88"/>
      <c r="J590" s="88"/>
      <c r="K590" s="88"/>
      <c r="L590" s="88"/>
      <c r="M590" s="88"/>
      <c r="N590" s="88"/>
      <c r="O590" s="88"/>
      <c r="P590" s="88"/>
      <c r="Q590" s="88"/>
      <c r="R590" s="88"/>
      <c r="S590" s="88"/>
      <c r="T590" s="88"/>
      <c r="U590" s="88"/>
      <c r="V590" s="88"/>
      <c r="W590" s="88"/>
      <c r="X590" s="88"/>
      <c r="Y590" s="88"/>
      <c r="Z590" s="88"/>
      <c r="AA590" s="88"/>
      <c r="AB590" s="128"/>
      <c r="AC590" s="128"/>
      <c r="AD590" s="128"/>
      <c r="AE590" s="128"/>
      <c r="AF590" s="128"/>
      <c r="AG590" s="128"/>
      <c r="AH590" s="127"/>
    </row>
    <row r="591" spans="1:34" ht="13.2">
      <c r="A591" s="88"/>
      <c r="B591" s="88"/>
      <c r="C591" s="88"/>
      <c r="D591" s="88"/>
      <c r="E591" s="88"/>
      <c r="F591" s="88"/>
      <c r="G591" s="88"/>
      <c r="H591" s="88"/>
      <c r="I591" s="88"/>
      <c r="J591" s="88"/>
      <c r="K591" s="88"/>
      <c r="L591" s="88"/>
      <c r="M591" s="88"/>
      <c r="N591" s="88"/>
      <c r="O591" s="88"/>
      <c r="P591" s="88"/>
      <c r="Q591" s="88"/>
      <c r="R591" s="88"/>
      <c r="S591" s="88"/>
      <c r="T591" s="88"/>
      <c r="U591" s="88"/>
      <c r="V591" s="88"/>
      <c r="W591" s="88"/>
      <c r="X591" s="88"/>
      <c r="Y591" s="88"/>
      <c r="Z591" s="88"/>
      <c r="AA591" s="88"/>
      <c r="AB591" s="128"/>
      <c r="AC591" s="128"/>
      <c r="AD591" s="128"/>
      <c r="AE591" s="128"/>
      <c r="AF591" s="128"/>
      <c r="AG591" s="128"/>
      <c r="AH591" s="127"/>
    </row>
    <row r="592" spans="1:34" ht="13.2">
      <c r="A592" s="88"/>
      <c r="B592" s="88"/>
      <c r="C592" s="88"/>
      <c r="D592" s="88"/>
      <c r="E592" s="88"/>
      <c r="F592" s="88"/>
      <c r="G592" s="88"/>
      <c r="H592" s="88"/>
      <c r="I592" s="88"/>
      <c r="J592" s="88"/>
      <c r="K592" s="88"/>
      <c r="L592" s="88"/>
      <c r="M592" s="88"/>
      <c r="N592" s="88"/>
      <c r="O592" s="88"/>
      <c r="P592" s="88"/>
      <c r="Q592" s="88"/>
      <c r="R592" s="88"/>
      <c r="S592" s="88"/>
      <c r="T592" s="88"/>
      <c r="U592" s="88"/>
      <c r="V592" s="88"/>
      <c r="W592" s="88"/>
      <c r="X592" s="88"/>
      <c r="Y592" s="88"/>
      <c r="Z592" s="88"/>
      <c r="AA592" s="88"/>
      <c r="AB592" s="128"/>
      <c r="AC592" s="128"/>
      <c r="AD592" s="128"/>
      <c r="AE592" s="128"/>
      <c r="AF592" s="128"/>
      <c r="AG592" s="128"/>
      <c r="AH592" s="127"/>
    </row>
    <row r="593" spans="1:34" ht="13.2">
      <c r="A593" s="88"/>
      <c r="B593" s="88"/>
      <c r="C593" s="88"/>
      <c r="D593" s="88"/>
      <c r="E593" s="88"/>
      <c r="F593" s="88"/>
      <c r="G593" s="88"/>
      <c r="H593" s="88"/>
      <c r="I593" s="88"/>
      <c r="J593" s="88"/>
      <c r="K593" s="88"/>
      <c r="L593" s="88"/>
      <c r="M593" s="88"/>
      <c r="N593" s="88"/>
      <c r="O593" s="88"/>
      <c r="P593" s="88"/>
      <c r="Q593" s="88"/>
      <c r="R593" s="88"/>
      <c r="S593" s="88"/>
      <c r="T593" s="88"/>
      <c r="U593" s="88"/>
      <c r="V593" s="88"/>
      <c r="W593" s="88"/>
      <c r="X593" s="88"/>
      <c r="Y593" s="88"/>
      <c r="Z593" s="88"/>
      <c r="AA593" s="88"/>
      <c r="AB593" s="128"/>
      <c r="AC593" s="128"/>
      <c r="AD593" s="128"/>
      <c r="AE593" s="128"/>
      <c r="AF593" s="128"/>
      <c r="AG593" s="128"/>
      <c r="AH593" s="127"/>
    </row>
    <row r="594" spans="1:34" ht="13.2">
      <c r="A594" s="88"/>
      <c r="B594" s="88"/>
      <c r="C594" s="88"/>
      <c r="D594" s="88"/>
      <c r="E594" s="88"/>
      <c r="F594" s="88"/>
      <c r="G594" s="88"/>
      <c r="H594" s="88"/>
      <c r="I594" s="88"/>
      <c r="J594" s="88"/>
      <c r="K594" s="88"/>
      <c r="L594" s="88"/>
      <c r="M594" s="88"/>
      <c r="N594" s="88"/>
      <c r="O594" s="88"/>
      <c r="P594" s="88"/>
      <c r="Q594" s="88"/>
      <c r="R594" s="88"/>
      <c r="S594" s="88"/>
      <c r="T594" s="88"/>
      <c r="U594" s="88"/>
      <c r="V594" s="88"/>
      <c r="W594" s="88"/>
      <c r="X594" s="88"/>
      <c r="Y594" s="88"/>
      <c r="Z594" s="88"/>
      <c r="AA594" s="88"/>
      <c r="AB594" s="128"/>
      <c r="AC594" s="128"/>
      <c r="AD594" s="128"/>
      <c r="AE594" s="128"/>
      <c r="AF594" s="128"/>
      <c r="AG594" s="128"/>
      <c r="AH594" s="127"/>
    </row>
    <row r="595" spans="1:34" ht="13.2">
      <c r="A595" s="88"/>
      <c r="B595" s="88"/>
      <c r="C595" s="88"/>
      <c r="D595" s="88"/>
      <c r="E595" s="88"/>
      <c r="F595" s="88"/>
      <c r="G595" s="88"/>
      <c r="H595" s="88"/>
      <c r="I595" s="88"/>
      <c r="J595" s="88"/>
      <c r="K595" s="88"/>
      <c r="L595" s="88"/>
      <c r="M595" s="88"/>
      <c r="N595" s="88"/>
      <c r="O595" s="88"/>
      <c r="P595" s="88"/>
      <c r="Q595" s="88"/>
      <c r="R595" s="88"/>
      <c r="S595" s="88"/>
      <c r="T595" s="88"/>
      <c r="U595" s="88"/>
      <c r="V595" s="88"/>
      <c r="W595" s="88"/>
      <c r="X595" s="88"/>
      <c r="Y595" s="88"/>
      <c r="Z595" s="88"/>
      <c r="AA595" s="88"/>
      <c r="AB595" s="128"/>
      <c r="AC595" s="128"/>
      <c r="AD595" s="128"/>
      <c r="AE595" s="128"/>
      <c r="AF595" s="128"/>
      <c r="AG595" s="128"/>
      <c r="AH595" s="127"/>
    </row>
    <row r="596" spans="1:34" ht="13.2">
      <c r="A596" s="88"/>
      <c r="B596" s="88"/>
      <c r="C596" s="88"/>
      <c r="D596" s="88"/>
      <c r="E596" s="88"/>
      <c r="F596" s="88"/>
      <c r="G596" s="88"/>
      <c r="H596" s="88"/>
      <c r="I596" s="88"/>
      <c r="J596" s="88"/>
      <c r="K596" s="88"/>
      <c r="L596" s="88"/>
      <c r="M596" s="88"/>
      <c r="N596" s="88"/>
      <c r="O596" s="88"/>
      <c r="P596" s="88"/>
      <c r="Q596" s="88"/>
      <c r="R596" s="88"/>
      <c r="S596" s="88"/>
      <c r="T596" s="88"/>
      <c r="U596" s="88"/>
      <c r="V596" s="88"/>
      <c r="W596" s="88"/>
      <c r="X596" s="88"/>
      <c r="Y596" s="88"/>
      <c r="Z596" s="88"/>
      <c r="AA596" s="88"/>
      <c r="AB596" s="128"/>
      <c r="AC596" s="128"/>
      <c r="AD596" s="128"/>
      <c r="AE596" s="128"/>
      <c r="AF596" s="128"/>
      <c r="AG596" s="128"/>
      <c r="AH596" s="127"/>
    </row>
    <row r="597" spans="1:34" ht="13.2">
      <c r="A597" s="88"/>
      <c r="B597" s="88"/>
      <c r="C597" s="88"/>
      <c r="D597" s="88"/>
      <c r="E597" s="88"/>
      <c r="F597" s="88"/>
      <c r="G597" s="88"/>
      <c r="H597" s="88"/>
      <c r="I597" s="88"/>
      <c r="J597" s="88"/>
      <c r="K597" s="88"/>
      <c r="L597" s="88"/>
      <c r="M597" s="88"/>
      <c r="N597" s="88"/>
      <c r="O597" s="88"/>
      <c r="P597" s="88"/>
      <c r="Q597" s="88"/>
      <c r="R597" s="88"/>
      <c r="S597" s="88"/>
      <c r="T597" s="88"/>
      <c r="U597" s="88"/>
      <c r="V597" s="88"/>
      <c r="W597" s="88"/>
      <c r="X597" s="88"/>
      <c r="Y597" s="88"/>
      <c r="Z597" s="88"/>
      <c r="AA597" s="88"/>
      <c r="AB597" s="128"/>
      <c r="AC597" s="128"/>
      <c r="AD597" s="128"/>
      <c r="AE597" s="128"/>
      <c r="AF597" s="128"/>
      <c r="AG597" s="128"/>
      <c r="AH597" s="127"/>
    </row>
    <row r="598" spans="1:34" ht="13.2">
      <c r="A598" s="88"/>
      <c r="B598" s="88"/>
      <c r="C598" s="88"/>
      <c r="D598" s="88"/>
      <c r="E598" s="88"/>
      <c r="F598" s="88"/>
      <c r="G598" s="88"/>
      <c r="H598" s="88"/>
      <c r="I598" s="88"/>
      <c r="J598" s="88"/>
      <c r="K598" s="88"/>
      <c r="L598" s="88"/>
      <c r="M598" s="88"/>
      <c r="N598" s="88"/>
      <c r="O598" s="88"/>
      <c r="P598" s="88"/>
      <c r="Q598" s="88"/>
      <c r="R598" s="88"/>
      <c r="S598" s="88"/>
      <c r="T598" s="88"/>
      <c r="U598" s="88"/>
      <c r="V598" s="88"/>
      <c r="W598" s="88"/>
      <c r="X598" s="88"/>
      <c r="Y598" s="88"/>
      <c r="Z598" s="88"/>
      <c r="AA598" s="88"/>
      <c r="AB598" s="128"/>
      <c r="AC598" s="128"/>
      <c r="AD598" s="128"/>
      <c r="AE598" s="128"/>
      <c r="AF598" s="128"/>
      <c r="AG598" s="128"/>
      <c r="AH598" s="127"/>
    </row>
    <row r="599" spans="1:34" ht="13.2">
      <c r="A599" s="88"/>
      <c r="B599" s="88"/>
      <c r="C599" s="88"/>
      <c r="D599" s="88"/>
      <c r="E599" s="88"/>
      <c r="F599" s="88"/>
      <c r="G599" s="88"/>
      <c r="H599" s="88"/>
      <c r="I599" s="88"/>
      <c r="J599" s="88"/>
      <c r="K599" s="88"/>
      <c r="L599" s="88"/>
      <c r="M599" s="88"/>
      <c r="N599" s="88"/>
      <c r="O599" s="88"/>
      <c r="P599" s="88"/>
      <c r="Q599" s="88"/>
      <c r="R599" s="88"/>
      <c r="S599" s="88"/>
      <c r="T599" s="88"/>
      <c r="U599" s="88"/>
      <c r="V599" s="88"/>
      <c r="W599" s="88"/>
      <c r="X599" s="88"/>
      <c r="Y599" s="88"/>
      <c r="Z599" s="88"/>
      <c r="AA599" s="88"/>
      <c r="AB599" s="128"/>
      <c r="AC599" s="128"/>
      <c r="AD599" s="128"/>
      <c r="AE599" s="128"/>
      <c r="AF599" s="128"/>
      <c r="AG599" s="128"/>
      <c r="AH599" s="127"/>
    </row>
    <row r="600" spans="1:34" ht="13.2">
      <c r="A600" s="88"/>
      <c r="B600" s="88"/>
      <c r="C600" s="88"/>
      <c r="D600" s="88"/>
      <c r="E600" s="88"/>
      <c r="F600" s="88"/>
      <c r="G600" s="88"/>
      <c r="H600" s="88"/>
      <c r="I600" s="88"/>
      <c r="J600" s="88"/>
      <c r="K600" s="88"/>
      <c r="L600" s="88"/>
      <c r="M600" s="88"/>
      <c r="N600" s="88"/>
      <c r="O600" s="88"/>
      <c r="P600" s="88"/>
      <c r="Q600" s="88"/>
      <c r="R600" s="88"/>
      <c r="S600" s="88"/>
      <c r="T600" s="88"/>
      <c r="U600" s="88"/>
      <c r="V600" s="88"/>
      <c r="W600" s="88"/>
      <c r="X600" s="88"/>
      <c r="Y600" s="88"/>
      <c r="Z600" s="88"/>
      <c r="AA600" s="88"/>
      <c r="AB600" s="128"/>
      <c r="AC600" s="128"/>
      <c r="AD600" s="128"/>
      <c r="AE600" s="128"/>
      <c r="AF600" s="128"/>
      <c r="AG600" s="128"/>
      <c r="AH600" s="127"/>
    </row>
    <row r="601" spans="1:34" ht="13.2">
      <c r="A601" s="88"/>
      <c r="B601" s="88"/>
      <c r="C601" s="88"/>
      <c r="D601" s="88"/>
      <c r="E601" s="88"/>
      <c r="F601" s="88"/>
      <c r="G601" s="88"/>
      <c r="H601" s="88"/>
      <c r="I601" s="88"/>
      <c r="J601" s="88"/>
      <c r="K601" s="88"/>
      <c r="L601" s="88"/>
      <c r="M601" s="88"/>
      <c r="N601" s="88"/>
      <c r="O601" s="88"/>
      <c r="P601" s="88"/>
      <c r="Q601" s="88"/>
      <c r="R601" s="88"/>
      <c r="S601" s="88"/>
      <c r="T601" s="88"/>
      <c r="U601" s="88"/>
      <c r="V601" s="88"/>
      <c r="W601" s="88"/>
      <c r="X601" s="88"/>
      <c r="Y601" s="88"/>
      <c r="Z601" s="88"/>
      <c r="AA601" s="88"/>
      <c r="AB601" s="128"/>
      <c r="AC601" s="128"/>
      <c r="AD601" s="128"/>
      <c r="AE601" s="128"/>
      <c r="AF601" s="128"/>
      <c r="AG601" s="128"/>
      <c r="AH601" s="127"/>
    </row>
    <row r="602" spans="1:34" ht="13.2">
      <c r="A602" s="88"/>
      <c r="B602" s="88"/>
      <c r="C602" s="88"/>
      <c r="D602" s="88"/>
      <c r="E602" s="88"/>
      <c r="F602" s="88"/>
      <c r="G602" s="88"/>
      <c r="H602" s="88"/>
      <c r="I602" s="88"/>
      <c r="J602" s="88"/>
      <c r="K602" s="88"/>
      <c r="L602" s="88"/>
      <c r="M602" s="88"/>
      <c r="N602" s="88"/>
      <c r="O602" s="88"/>
      <c r="P602" s="88"/>
      <c r="Q602" s="88"/>
      <c r="R602" s="88"/>
      <c r="S602" s="88"/>
      <c r="T602" s="88"/>
      <c r="U602" s="88"/>
      <c r="V602" s="88"/>
      <c r="W602" s="88"/>
      <c r="X602" s="88"/>
      <c r="Y602" s="88"/>
      <c r="Z602" s="88"/>
      <c r="AA602" s="88"/>
      <c r="AB602" s="128"/>
      <c r="AC602" s="128"/>
      <c r="AD602" s="128"/>
      <c r="AE602" s="128"/>
      <c r="AF602" s="128"/>
      <c r="AG602" s="128"/>
      <c r="AH602" s="127"/>
    </row>
    <row r="603" spans="1:34" ht="13.2">
      <c r="A603" s="88"/>
      <c r="B603" s="88"/>
      <c r="C603" s="88"/>
      <c r="D603" s="88"/>
      <c r="E603" s="88"/>
      <c r="F603" s="88"/>
      <c r="G603" s="88"/>
      <c r="H603" s="88"/>
      <c r="I603" s="88"/>
      <c r="J603" s="88"/>
      <c r="K603" s="88"/>
      <c r="L603" s="88"/>
      <c r="M603" s="88"/>
      <c r="N603" s="88"/>
      <c r="O603" s="88"/>
      <c r="P603" s="88"/>
      <c r="Q603" s="88"/>
      <c r="R603" s="88"/>
      <c r="S603" s="88"/>
      <c r="T603" s="88"/>
      <c r="U603" s="88"/>
      <c r="V603" s="88"/>
      <c r="W603" s="88"/>
      <c r="X603" s="88"/>
      <c r="Y603" s="88"/>
      <c r="Z603" s="88"/>
      <c r="AA603" s="88"/>
      <c r="AB603" s="128"/>
      <c r="AC603" s="128"/>
      <c r="AD603" s="128"/>
      <c r="AE603" s="128"/>
      <c r="AF603" s="128"/>
      <c r="AG603" s="128"/>
      <c r="AH603" s="127"/>
    </row>
    <row r="604" spans="1:34" ht="13.2">
      <c r="A604" s="88"/>
      <c r="B604" s="88"/>
      <c r="C604" s="88"/>
      <c r="D604" s="88"/>
      <c r="E604" s="88"/>
      <c r="F604" s="88"/>
      <c r="G604" s="88"/>
      <c r="H604" s="88"/>
      <c r="I604" s="88"/>
      <c r="J604" s="88"/>
      <c r="K604" s="88"/>
      <c r="L604" s="88"/>
      <c r="M604" s="88"/>
      <c r="N604" s="88"/>
      <c r="O604" s="88"/>
      <c r="P604" s="88"/>
      <c r="Q604" s="88"/>
      <c r="R604" s="88"/>
      <c r="S604" s="88"/>
      <c r="T604" s="88"/>
      <c r="U604" s="88"/>
      <c r="V604" s="88"/>
      <c r="W604" s="88"/>
      <c r="X604" s="88"/>
      <c r="Y604" s="88"/>
      <c r="Z604" s="88"/>
      <c r="AA604" s="88"/>
      <c r="AB604" s="128"/>
      <c r="AC604" s="128"/>
      <c r="AD604" s="128"/>
      <c r="AE604" s="128"/>
      <c r="AF604" s="128"/>
      <c r="AG604" s="128"/>
      <c r="AH604" s="127"/>
    </row>
    <row r="605" spans="1:34" ht="13.2">
      <c r="A605" s="88"/>
      <c r="B605" s="88"/>
      <c r="C605" s="88"/>
      <c r="D605" s="88"/>
      <c r="E605" s="88"/>
      <c r="F605" s="88"/>
      <c r="G605" s="88"/>
      <c r="H605" s="88"/>
      <c r="I605" s="88"/>
      <c r="J605" s="88"/>
      <c r="K605" s="88"/>
      <c r="L605" s="88"/>
      <c r="M605" s="88"/>
      <c r="N605" s="88"/>
      <c r="O605" s="88"/>
      <c r="P605" s="88"/>
      <c r="Q605" s="88"/>
      <c r="R605" s="88"/>
      <c r="S605" s="88"/>
      <c r="T605" s="88"/>
      <c r="U605" s="88"/>
      <c r="V605" s="88"/>
      <c r="W605" s="88"/>
      <c r="X605" s="88"/>
      <c r="Y605" s="88"/>
      <c r="Z605" s="88"/>
      <c r="AA605" s="88"/>
      <c r="AB605" s="128"/>
      <c r="AC605" s="128"/>
      <c r="AD605" s="128"/>
      <c r="AE605" s="128"/>
      <c r="AF605" s="128"/>
      <c r="AG605" s="128"/>
      <c r="AH605" s="127"/>
    </row>
    <row r="606" spans="1:34" ht="13.2">
      <c r="A606" s="88"/>
      <c r="B606" s="88"/>
      <c r="C606" s="88"/>
      <c r="D606" s="88"/>
      <c r="E606" s="88"/>
      <c r="F606" s="88"/>
      <c r="G606" s="88"/>
      <c r="H606" s="88"/>
      <c r="I606" s="88"/>
      <c r="J606" s="88"/>
      <c r="K606" s="88"/>
      <c r="L606" s="88"/>
      <c r="M606" s="88"/>
      <c r="N606" s="88"/>
      <c r="O606" s="88"/>
      <c r="P606" s="88"/>
      <c r="Q606" s="88"/>
      <c r="R606" s="88"/>
      <c r="S606" s="88"/>
      <c r="T606" s="88"/>
      <c r="U606" s="88"/>
      <c r="V606" s="88"/>
      <c r="W606" s="88"/>
      <c r="X606" s="88"/>
      <c r="Y606" s="88"/>
      <c r="Z606" s="88"/>
      <c r="AA606" s="88"/>
      <c r="AB606" s="128"/>
      <c r="AC606" s="128"/>
      <c r="AD606" s="128"/>
      <c r="AE606" s="128"/>
      <c r="AF606" s="128"/>
      <c r="AG606" s="128"/>
      <c r="AH606" s="127"/>
    </row>
    <row r="607" spans="1:34" ht="13.2">
      <c r="A607" s="88"/>
      <c r="B607" s="88"/>
      <c r="C607" s="88"/>
      <c r="D607" s="88"/>
      <c r="E607" s="88"/>
      <c r="F607" s="88"/>
      <c r="G607" s="88"/>
      <c r="H607" s="88"/>
      <c r="I607" s="88"/>
      <c r="J607" s="88"/>
      <c r="K607" s="88"/>
      <c r="L607" s="88"/>
      <c r="M607" s="88"/>
      <c r="N607" s="88"/>
      <c r="O607" s="88"/>
      <c r="P607" s="88"/>
      <c r="Q607" s="88"/>
      <c r="R607" s="88"/>
      <c r="S607" s="88"/>
      <c r="T607" s="88"/>
      <c r="U607" s="88"/>
      <c r="V607" s="88"/>
      <c r="W607" s="88"/>
      <c r="X607" s="88"/>
      <c r="Y607" s="88"/>
      <c r="Z607" s="88"/>
      <c r="AA607" s="88"/>
      <c r="AB607" s="128"/>
      <c r="AC607" s="128"/>
      <c r="AD607" s="128"/>
      <c r="AE607" s="128"/>
      <c r="AF607" s="128"/>
      <c r="AG607" s="128"/>
      <c r="AH607" s="127"/>
    </row>
    <row r="608" spans="1:34" ht="13.2">
      <c r="A608" s="88"/>
      <c r="B608" s="88"/>
      <c r="C608" s="88"/>
      <c r="D608" s="88"/>
      <c r="E608" s="88"/>
      <c r="F608" s="88"/>
      <c r="G608" s="88"/>
      <c r="H608" s="88"/>
      <c r="I608" s="88"/>
      <c r="J608" s="88"/>
      <c r="K608" s="88"/>
      <c r="L608" s="88"/>
      <c r="M608" s="88"/>
      <c r="N608" s="88"/>
      <c r="O608" s="88"/>
      <c r="P608" s="88"/>
      <c r="Q608" s="88"/>
      <c r="R608" s="88"/>
      <c r="S608" s="88"/>
      <c r="T608" s="88"/>
      <c r="U608" s="88"/>
      <c r="V608" s="88"/>
      <c r="W608" s="88"/>
      <c r="X608" s="88"/>
      <c r="Y608" s="88"/>
      <c r="Z608" s="88"/>
      <c r="AA608" s="88"/>
      <c r="AB608" s="128"/>
      <c r="AC608" s="128"/>
      <c r="AD608" s="128"/>
      <c r="AE608" s="128"/>
      <c r="AF608" s="128"/>
      <c r="AG608" s="128"/>
      <c r="AH608" s="127"/>
    </row>
    <row r="609" spans="1:34" ht="13.2">
      <c r="A609" s="88"/>
      <c r="B609" s="88"/>
      <c r="C609" s="88"/>
      <c r="D609" s="88"/>
      <c r="E609" s="88"/>
      <c r="F609" s="88"/>
      <c r="G609" s="88"/>
      <c r="H609" s="88"/>
      <c r="I609" s="88"/>
      <c r="J609" s="88"/>
      <c r="K609" s="88"/>
      <c r="L609" s="88"/>
      <c r="M609" s="88"/>
      <c r="N609" s="88"/>
      <c r="O609" s="88"/>
      <c r="P609" s="88"/>
      <c r="Q609" s="88"/>
      <c r="R609" s="88"/>
      <c r="S609" s="88"/>
      <c r="T609" s="88"/>
      <c r="U609" s="88"/>
      <c r="V609" s="88"/>
      <c r="W609" s="88"/>
      <c r="X609" s="88"/>
      <c r="Y609" s="88"/>
      <c r="Z609" s="88"/>
      <c r="AA609" s="88"/>
      <c r="AB609" s="128"/>
      <c r="AC609" s="128"/>
      <c r="AD609" s="128"/>
      <c r="AE609" s="128"/>
      <c r="AF609" s="128"/>
      <c r="AG609" s="128"/>
      <c r="AH609" s="127"/>
    </row>
    <row r="610" spans="1:34" ht="13.2">
      <c r="A610" s="88"/>
      <c r="B610" s="88"/>
      <c r="C610" s="88"/>
      <c r="D610" s="88"/>
      <c r="E610" s="88"/>
      <c r="F610" s="88"/>
      <c r="G610" s="88"/>
      <c r="H610" s="88"/>
      <c r="I610" s="88"/>
      <c r="J610" s="88"/>
      <c r="K610" s="88"/>
      <c r="L610" s="88"/>
      <c r="M610" s="88"/>
      <c r="N610" s="88"/>
      <c r="O610" s="88"/>
      <c r="P610" s="88"/>
      <c r="Q610" s="88"/>
      <c r="R610" s="88"/>
      <c r="S610" s="88"/>
      <c r="T610" s="88"/>
      <c r="U610" s="88"/>
      <c r="V610" s="88"/>
      <c r="W610" s="88"/>
      <c r="X610" s="88"/>
      <c r="Y610" s="88"/>
      <c r="Z610" s="88"/>
      <c r="AA610" s="88"/>
      <c r="AB610" s="128"/>
      <c r="AC610" s="128"/>
      <c r="AD610" s="128"/>
      <c r="AE610" s="128"/>
      <c r="AF610" s="128"/>
      <c r="AG610" s="128"/>
      <c r="AH610" s="127"/>
    </row>
    <row r="611" spans="1:34" ht="13.2">
      <c r="A611" s="88"/>
      <c r="B611" s="88"/>
      <c r="C611" s="88"/>
      <c r="D611" s="88"/>
      <c r="E611" s="88"/>
      <c r="F611" s="88"/>
      <c r="G611" s="88"/>
      <c r="H611" s="88"/>
      <c r="I611" s="88"/>
      <c r="J611" s="88"/>
      <c r="K611" s="88"/>
      <c r="L611" s="88"/>
      <c r="M611" s="88"/>
      <c r="N611" s="88"/>
      <c r="O611" s="88"/>
      <c r="P611" s="88"/>
      <c r="Q611" s="88"/>
      <c r="R611" s="88"/>
      <c r="S611" s="88"/>
      <c r="T611" s="88"/>
      <c r="U611" s="88"/>
      <c r="V611" s="88"/>
      <c r="W611" s="88"/>
      <c r="X611" s="88"/>
      <c r="Y611" s="88"/>
      <c r="Z611" s="88"/>
      <c r="AA611" s="88"/>
      <c r="AB611" s="128"/>
      <c r="AC611" s="128"/>
      <c r="AD611" s="128"/>
      <c r="AE611" s="128"/>
      <c r="AF611" s="128"/>
      <c r="AG611" s="128"/>
      <c r="AH611" s="127"/>
    </row>
    <row r="612" spans="1:34" ht="13.2">
      <c r="A612" s="88"/>
      <c r="B612" s="88"/>
      <c r="C612" s="88"/>
      <c r="D612" s="88"/>
      <c r="E612" s="88"/>
      <c r="F612" s="88"/>
      <c r="G612" s="88"/>
      <c r="H612" s="88"/>
      <c r="I612" s="88"/>
      <c r="J612" s="88"/>
      <c r="K612" s="88"/>
      <c r="L612" s="88"/>
      <c r="M612" s="88"/>
      <c r="N612" s="88"/>
      <c r="O612" s="88"/>
      <c r="P612" s="88"/>
      <c r="Q612" s="88"/>
      <c r="R612" s="88"/>
      <c r="S612" s="88"/>
      <c r="T612" s="88"/>
      <c r="U612" s="88"/>
      <c r="V612" s="88"/>
      <c r="W612" s="88"/>
      <c r="X612" s="88"/>
      <c r="Y612" s="88"/>
      <c r="Z612" s="88"/>
      <c r="AA612" s="88"/>
      <c r="AB612" s="128"/>
      <c r="AC612" s="128"/>
      <c r="AD612" s="128"/>
      <c r="AE612" s="128"/>
      <c r="AF612" s="128"/>
      <c r="AG612" s="128"/>
      <c r="AH612" s="127"/>
    </row>
    <row r="613" spans="1:34" ht="13.2">
      <c r="A613" s="88"/>
      <c r="B613" s="88"/>
      <c r="C613" s="88"/>
      <c r="D613" s="88"/>
      <c r="E613" s="88"/>
      <c r="F613" s="88"/>
      <c r="G613" s="88"/>
      <c r="H613" s="88"/>
      <c r="I613" s="88"/>
      <c r="J613" s="88"/>
      <c r="K613" s="88"/>
      <c r="L613" s="88"/>
      <c r="M613" s="88"/>
      <c r="N613" s="88"/>
      <c r="O613" s="88"/>
      <c r="P613" s="88"/>
      <c r="Q613" s="88"/>
      <c r="R613" s="88"/>
      <c r="S613" s="88"/>
      <c r="T613" s="88"/>
      <c r="U613" s="88"/>
      <c r="V613" s="88"/>
      <c r="W613" s="88"/>
      <c r="X613" s="88"/>
      <c r="Y613" s="88"/>
      <c r="Z613" s="88"/>
      <c r="AA613" s="88"/>
      <c r="AB613" s="128"/>
      <c r="AC613" s="128"/>
      <c r="AD613" s="128"/>
      <c r="AE613" s="128"/>
      <c r="AF613" s="128"/>
      <c r="AG613" s="128"/>
      <c r="AH613" s="127"/>
    </row>
    <row r="614" spans="1:34" ht="13.2">
      <c r="A614" s="88"/>
      <c r="B614" s="88"/>
      <c r="C614" s="88"/>
      <c r="D614" s="88"/>
      <c r="E614" s="88"/>
      <c r="F614" s="88"/>
      <c r="G614" s="88"/>
      <c r="H614" s="88"/>
      <c r="I614" s="88"/>
      <c r="J614" s="88"/>
      <c r="K614" s="88"/>
      <c r="L614" s="88"/>
      <c r="M614" s="88"/>
      <c r="N614" s="88"/>
      <c r="O614" s="88"/>
      <c r="P614" s="88"/>
      <c r="Q614" s="88"/>
      <c r="R614" s="88"/>
      <c r="S614" s="88"/>
      <c r="T614" s="88"/>
      <c r="U614" s="88"/>
      <c r="V614" s="88"/>
      <c r="W614" s="88"/>
      <c r="X614" s="88"/>
      <c r="Y614" s="88"/>
      <c r="Z614" s="88"/>
      <c r="AA614" s="88"/>
      <c r="AB614" s="128"/>
      <c r="AC614" s="128"/>
      <c r="AD614" s="128"/>
      <c r="AE614" s="128"/>
      <c r="AF614" s="128"/>
      <c r="AG614" s="128"/>
      <c r="AH614" s="127"/>
    </row>
    <row r="615" spans="1:34" ht="13.2">
      <c r="A615" s="88"/>
      <c r="B615" s="88"/>
      <c r="C615" s="88"/>
      <c r="D615" s="88"/>
      <c r="E615" s="88"/>
      <c r="F615" s="88"/>
      <c r="G615" s="88"/>
      <c r="H615" s="88"/>
      <c r="I615" s="88"/>
      <c r="J615" s="88"/>
      <c r="K615" s="88"/>
      <c r="L615" s="88"/>
      <c r="M615" s="88"/>
      <c r="N615" s="88"/>
      <c r="O615" s="88"/>
      <c r="P615" s="88"/>
      <c r="Q615" s="88"/>
      <c r="R615" s="88"/>
      <c r="S615" s="88"/>
      <c r="T615" s="88"/>
      <c r="U615" s="88"/>
      <c r="V615" s="88"/>
      <c r="W615" s="88"/>
      <c r="X615" s="88"/>
      <c r="Y615" s="88"/>
      <c r="Z615" s="88"/>
      <c r="AA615" s="88"/>
      <c r="AB615" s="128"/>
      <c r="AC615" s="128"/>
      <c r="AD615" s="128"/>
      <c r="AE615" s="128"/>
      <c r="AF615" s="128"/>
      <c r="AG615" s="128"/>
      <c r="AH615" s="127"/>
    </row>
    <row r="616" spans="1:34" ht="13.2">
      <c r="A616" s="88"/>
      <c r="B616" s="88"/>
      <c r="C616" s="88"/>
      <c r="D616" s="88"/>
      <c r="E616" s="88"/>
      <c r="F616" s="88"/>
      <c r="G616" s="88"/>
      <c r="H616" s="88"/>
      <c r="I616" s="88"/>
      <c r="J616" s="88"/>
      <c r="K616" s="88"/>
      <c r="L616" s="88"/>
      <c r="M616" s="88"/>
      <c r="N616" s="88"/>
      <c r="O616" s="88"/>
      <c r="P616" s="88"/>
      <c r="Q616" s="88"/>
      <c r="R616" s="88"/>
      <c r="S616" s="88"/>
      <c r="T616" s="88"/>
      <c r="U616" s="88"/>
      <c r="V616" s="88"/>
      <c r="W616" s="88"/>
      <c r="X616" s="88"/>
      <c r="Y616" s="88"/>
      <c r="Z616" s="88"/>
      <c r="AA616" s="88"/>
      <c r="AB616" s="128"/>
      <c r="AC616" s="128"/>
      <c r="AD616" s="128"/>
      <c r="AE616" s="128"/>
      <c r="AF616" s="128"/>
      <c r="AG616" s="128"/>
      <c r="AH616" s="127"/>
    </row>
    <row r="617" spans="1:34" ht="13.2">
      <c r="A617" s="88"/>
      <c r="B617" s="88"/>
      <c r="C617" s="88"/>
      <c r="D617" s="88"/>
      <c r="E617" s="88"/>
      <c r="F617" s="88"/>
      <c r="G617" s="88"/>
      <c r="H617" s="88"/>
      <c r="I617" s="88"/>
      <c r="J617" s="88"/>
      <c r="K617" s="88"/>
      <c r="L617" s="88"/>
      <c r="M617" s="88"/>
      <c r="N617" s="88"/>
      <c r="O617" s="88"/>
      <c r="P617" s="88"/>
      <c r="Q617" s="88"/>
      <c r="R617" s="88"/>
      <c r="S617" s="88"/>
      <c r="T617" s="88"/>
      <c r="U617" s="88"/>
      <c r="V617" s="88"/>
      <c r="W617" s="88"/>
      <c r="X617" s="88"/>
      <c r="Y617" s="88"/>
      <c r="Z617" s="88"/>
      <c r="AA617" s="88"/>
      <c r="AB617" s="128"/>
      <c r="AC617" s="128"/>
      <c r="AD617" s="128"/>
      <c r="AE617" s="128"/>
      <c r="AF617" s="128"/>
      <c r="AG617" s="128"/>
      <c r="AH617" s="127"/>
    </row>
    <row r="618" spans="1:34" ht="13.2">
      <c r="A618" s="88"/>
      <c r="B618" s="88"/>
      <c r="C618" s="88"/>
      <c r="D618" s="88"/>
      <c r="E618" s="88"/>
      <c r="F618" s="88"/>
      <c r="G618" s="88"/>
      <c r="H618" s="88"/>
      <c r="I618" s="88"/>
      <c r="J618" s="88"/>
      <c r="K618" s="88"/>
      <c r="L618" s="88"/>
      <c r="M618" s="88"/>
      <c r="N618" s="88"/>
      <c r="O618" s="88"/>
      <c r="P618" s="88"/>
      <c r="Q618" s="88"/>
      <c r="R618" s="88"/>
      <c r="S618" s="88"/>
      <c r="T618" s="88"/>
      <c r="U618" s="88"/>
      <c r="V618" s="88"/>
      <c r="W618" s="88"/>
      <c r="X618" s="88"/>
      <c r="Y618" s="88"/>
      <c r="Z618" s="88"/>
      <c r="AA618" s="88"/>
      <c r="AB618" s="128"/>
      <c r="AC618" s="128"/>
      <c r="AD618" s="128"/>
      <c r="AE618" s="128"/>
      <c r="AF618" s="128"/>
      <c r="AG618" s="128"/>
      <c r="AH618" s="127"/>
    </row>
    <row r="619" spans="1:34" ht="13.2">
      <c r="A619" s="88"/>
      <c r="B619" s="88"/>
      <c r="C619" s="88"/>
      <c r="D619" s="88"/>
      <c r="E619" s="88"/>
      <c r="F619" s="88"/>
      <c r="G619" s="88"/>
      <c r="H619" s="88"/>
      <c r="I619" s="88"/>
      <c r="J619" s="88"/>
      <c r="K619" s="88"/>
      <c r="L619" s="88"/>
      <c r="M619" s="88"/>
      <c r="N619" s="88"/>
      <c r="O619" s="88"/>
      <c r="P619" s="88"/>
      <c r="Q619" s="88"/>
      <c r="R619" s="88"/>
      <c r="S619" s="88"/>
      <c r="T619" s="88"/>
      <c r="U619" s="88"/>
      <c r="V619" s="88"/>
      <c r="W619" s="88"/>
      <c r="X619" s="88"/>
      <c r="Y619" s="88"/>
      <c r="Z619" s="88"/>
      <c r="AA619" s="88"/>
      <c r="AB619" s="128"/>
      <c r="AC619" s="128"/>
      <c r="AD619" s="128"/>
      <c r="AE619" s="128"/>
      <c r="AF619" s="128"/>
      <c r="AG619" s="128"/>
      <c r="AH619" s="127"/>
    </row>
    <row r="620" spans="1:34" ht="13.2">
      <c r="A620" s="88"/>
      <c r="B620" s="88"/>
      <c r="C620" s="88"/>
      <c r="D620" s="88"/>
      <c r="E620" s="88"/>
      <c r="F620" s="88"/>
      <c r="G620" s="88"/>
      <c r="H620" s="88"/>
      <c r="I620" s="88"/>
      <c r="J620" s="88"/>
      <c r="K620" s="88"/>
      <c r="L620" s="88"/>
      <c r="M620" s="88"/>
      <c r="N620" s="88"/>
      <c r="O620" s="88"/>
      <c r="P620" s="88"/>
      <c r="Q620" s="88"/>
      <c r="R620" s="88"/>
      <c r="S620" s="88"/>
      <c r="T620" s="88"/>
      <c r="U620" s="88"/>
      <c r="V620" s="88"/>
      <c r="W620" s="88"/>
      <c r="X620" s="88"/>
      <c r="Y620" s="88"/>
      <c r="Z620" s="88"/>
      <c r="AA620" s="88"/>
      <c r="AB620" s="128"/>
      <c r="AC620" s="128"/>
      <c r="AD620" s="128"/>
      <c r="AE620" s="128"/>
      <c r="AF620" s="128"/>
      <c r="AG620" s="128"/>
      <c r="AH620" s="127"/>
    </row>
    <row r="621" spans="1:34" ht="13.2">
      <c r="A621" s="88"/>
      <c r="B621" s="88"/>
      <c r="C621" s="88"/>
      <c r="D621" s="88"/>
      <c r="E621" s="88"/>
      <c r="F621" s="88"/>
      <c r="G621" s="88"/>
      <c r="H621" s="88"/>
      <c r="I621" s="88"/>
      <c r="J621" s="88"/>
      <c r="K621" s="88"/>
      <c r="L621" s="88"/>
      <c r="M621" s="88"/>
      <c r="N621" s="88"/>
      <c r="O621" s="88"/>
      <c r="P621" s="88"/>
      <c r="Q621" s="88"/>
      <c r="R621" s="88"/>
      <c r="S621" s="88"/>
      <c r="T621" s="88"/>
      <c r="U621" s="88"/>
      <c r="V621" s="88"/>
      <c r="W621" s="88"/>
      <c r="X621" s="88"/>
      <c r="Y621" s="88"/>
      <c r="Z621" s="88"/>
      <c r="AA621" s="88"/>
      <c r="AB621" s="128"/>
      <c r="AC621" s="128"/>
      <c r="AD621" s="128"/>
      <c r="AE621" s="128"/>
      <c r="AF621" s="128"/>
      <c r="AG621" s="128"/>
      <c r="AH621" s="127"/>
    </row>
    <row r="622" spans="1:34" ht="13.2">
      <c r="A622" s="88"/>
      <c r="B622" s="88"/>
      <c r="C622" s="88"/>
      <c r="D622" s="88"/>
      <c r="E622" s="88"/>
      <c r="F622" s="88"/>
      <c r="G622" s="88"/>
      <c r="H622" s="88"/>
      <c r="I622" s="88"/>
      <c r="J622" s="88"/>
      <c r="K622" s="88"/>
      <c r="L622" s="88"/>
      <c r="M622" s="88"/>
      <c r="N622" s="88"/>
      <c r="O622" s="88"/>
      <c r="P622" s="88"/>
      <c r="Q622" s="88"/>
      <c r="R622" s="88"/>
      <c r="S622" s="88"/>
      <c r="T622" s="88"/>
      <c r="U622" s="88"/>
      <c r="V622" s="88"/>
      <c r="W622" s="88"/>
      <c r="X622" s="88"/>
      <c r="Y622" s="88"/>
      <c r="Z622" s="88"/>
      <c r="AA622" s="88"/>
      <c r="AB622" s="128"/>
      <c r="AC622" s="128"/>
      <c r="AD622" s="128"/>
      <c r="AE622" s="128"/>
      <c r="AF622" s="128"/>
      <c r="AG622" s="128"/>
      <c r="AH622" s="127"/>
    </row>
    <row r="623" spans="1:34" ht="13.2">
      <c r="A623" s="88"/>
      <c r="B623" s="88"/>
      <c r="C623" s="88"/>
      <c r="D623" s="88"/>
      <c r="E623" s="88"/>
      <c r="F623" s="88"/>
      <c r="G623" s="88"/>
      <c r="H623" s="88"/>
      <c r="I623" s="88"/>
      <c r="J623" s="88"/>
      <c r="K623" s="88"/>
      <c r="L623" s="88"/>
      <c r="M623" s="88"/>
      <c r="N623" s="88"/>
      <c r="O623" s="88"/>
      <c r="P623" s="88"/>
      <c r="Q623" s="88"/>
      <c r="R623" s="88"/>
      <c r="S623" s="88"/>
      <c r="T623" s="88"/>
      <c r="U623" s="88"/>
      <c r="V623" s="88"/>
      <c r="W623" s="88"/>
      <c r="X623" s="88"/>
      <c r="Y623" s="88"/>
      <c r="Z623" s="88"/>
      <c r="AA623" s="88"/>
      <c r="AB623" s="128"/>
      <c r="AC623" s="128"/>
      <c r="AD623" s="128"/>
      <c r="AE623" s="128"/>
      <c r="AF623" s="128"/>
      <c r="AG623" s="128"/>
      <c r="AH623" s="127"/>
    </row>
    <row r="624" spans="1:34" ht="13.2">
      <c r="A624" s="88"/>
      <c r="B624" s="88"/>
      <c r="C624" s="88"/>
      <c r="D624" s="88"/>
      <c r="E624" s="88"/>
      <c r="F624" s="88"/>
      <c r="G624" s="88"/>
      <c r="H624" s="88"/>
      <c r="I624" s="88"/>
      <c r="J624" s="88"/>
      <c r="K624" s="88"/>
      <c r="L624" s="88"/>
      <c r="M624" s="88"/>
      <c r="N624" s="88"/>
      <c r="O624" s="88"/>
      <c r="P624" s="88"/>
      <c r="Q624" s="88"/>
      <c r="R624" s="88"/>
      <c r="S624" s="88"/>
      <c r="T624" s="88"/>
      <c r="U624" s="88"/>
      <c r="V624" s="88"/>
      <c r="W624" s="88"/>
      <c r="X624" s="88"/>
      <c r="Y624" s="88"/>
      <c r="Z624" s="88"/>
      <c r="AA624" s="88"/>
      <c r="AB624" s="128"/>
      <c r="AC624" s="128"/>
      <c r="AD624" s="128"/>
      <c r="AE624" s="128"/>
      <c r="AF624" s="128"/>
      <c r="AG624" s="128"/>
      <c r="AH624" s="127"/>
    </row>
    <row r="625" spans="1:34" ht="13.2">
      <c r="A625" s="88"/>
      <c r="B625" s="88"/>
      <c r="C625" s="88"/>
      <c r="D625" s="88"/>
      <c r="E625" s="88"/>
      <c r="F625" s="88"/>
      <c r="G625" s="88"/>
      <c r="H625" s="88"/>
      <c r="I625" s="88"/>
      <c r="J625" s="88"/>
      <c r="K625" s="88"/>
      <c r="L625" s="88"/>
      <c r="M625" s="88"/>
      <c r="N625" s="88"/>
      <c r="O625" s="88"/>
      <c r="P625" s="88"/>
      <c r="Q625" s="88"/>
      <c r="R625" s="88"/>
      <c r="S625" s="88"/>
      <c r="T625" s="88"/>
      <c r="U625" s="88"/>
      <c r="V625" s="88"/>
      <c r="W625" s="88"/>
      <c r="X625" s="88"/>
      <c r="Y625" s="88"/>
      <c r="Z625" s="88"/>
      <c r="AA625" s="88"/>
      <c r="AB625" s="128"/>
      <c r="AC625" s="128"/>
      <c r="AD625" s="128"/>
      <c r="AE625" s="128"/>
      <c r="AF625" s="128"/>
      <c r="AG625" s="128"/>
      <c r="AH625" s="127"/>
    </row>
    <row r="626" spans="1:34" ht="13.2">
      <c r="A626" s="88"/>
      <c r="B626" s="88"/>
      <c r="C626" s="88"/>
      <c r="D626" s="88"/>
      <c r="E626" s="88"/>
      <c r="F626" s="88"/>
      <c r="G626" s="88"/>
      <c r="H626" s="88"/>
      <c r="I626" s="88"/>
      <c r="J626" s="88"/>
      <c r="K626" s="88"/>
      <c r="L626" s="88"/>
      <c r="M626" s="88"/>
      <c r="N626" s="88"/>
      <c r="O626" s="88"/>
      <c r="P626" s="88"/>
      <c r="Q626" s="88"/>
      <c r="R626" s="88"/>
      <c r="S626" s="88"/>
      <c r="T626" s="88"/>
      <c r="U626" s="88"/>
      <c r="V626" s="88"/>
      <c r="W626" s="88"/>
      <c r="X626" s="88"/>
      <c r="Y626" s="88"/>
      <c r="Z626" s="88"/>
      <c r="AA626" s="88"/>
      <c r="AB626" s="128"/>
      <c r="AC626" s="128"/>
      <c r="AD626" s="128"/>
      <c r="AE626" s="128"/>
      <c r="AF626" s="128"/>
      <c r="AG626" s="128"/>
      <c r="AH626" s="127"/>
    </row>
    <row r="627" spans="1:34" ht="13.2">
      <c r="A627" s="88"/>
      <c r="B627" s="88"/>
      <c r="C627" s="88"/>
      <c r="D627" s="88"/>
      <c r="E627" s="88"/>
      <c r="F627" s="88"/>
      <c r="G627" s="88"/>
      <c r="H627" s="88"/>
      <c r="I627" s="88"/>
      <c r="J627" s="88"/>
      <c r="K627" s="88"/>
      <c r="L627" s="88"/>
      <c r="M627" s="88"/>
      <c r="N627" s="88"/>
      <c r="O627" s="88"/>
      <c r="P627" s="88"/>
      <c r="Q627" s="88"/>
      <c r="R627" s="88"/>
      <c r="S627" s="88"/>
      <c r="T627" s="88"/>
      <c r="U627" s="88"/>
      <c r="V627" s="88"/>
      <c r="W627" s="88"/>
      <c r="X627" s="88"/>
      <c r="Y627" s="88"/>
      <c r="Z627" s="88"/>
      <c r="AA627" s="88"/>
      <c r="AB627" s="128"/>
      <c r="AC627" s="128"/>
      <c r="AD627" s="128"/>
      <c r="AE627" s="128"/>
      <c r="AF627" s="128"/>
      <c r="AG627" s="128"/>
      <c r="AH627" s="127"/>
    </row>
    <row r="628" spans="1:34" ht="13.2">
      <c r="A628" s="88"/>
      <c r="B628" s="88"/>
      <c r="C628" s="88"/>
      <c r="D628" s="88"/>
      <c r="E628" s="88"/>
      <c r="F628" s="88"/>
      <c r="G628" s="88"/>
      <c r="H628" s="88"/>
      <c r="I628" s="88"/>
      <c r="J628" s="88"/>
      <c r="K628" s="88"/>
      <c r="L628" s="88"/>
      <c r="M628" s="88"/>
      <c r="N628" s="88"/>
      <c r="O628" s="88"/>
      <c r="P628" s="88"/>
      <c r="Q628" s="88"/>
      <c r="R628" s="88"/>
      <c r="S628" s="88"/>
      <c r="T628" s="88"/>
      <c r="U628" s="88"/>
      <c r="V628" s="88"/>
      <c r="W628" s="88"/>
      <c r="X628" s="88"/>
      <c r="Y628" s="88"/>
      <c r="Z628" s="88"/>
      <c r="AA628" s="88"/>
      <c r="AB628" s="128"/>
      <c r="AC628" s="128"/>
      <c r="AD628" s="128"/>
      <c r="AE628" s="128"/>
      <c r="AF628" s="128"/>
      <c r="AG628" s="128"/>
      <c r="AH628" s="127"/>
    </row>
    <row r="629" spans="1:34" ht="13.2">
      <c r="A629" s="88"/>
      <c r="B629" s="88"/>
      <c r="C629" s="88"/>
      <c r="D629" s="88"/>
      <c r="E629" s="88"/>
      <c r="F629" s="88"/>
      <c r="G629" s="88"/>
      <c r="H629" s="88"/>
      <c r="I629" s="88"/>
      <c r="J629" s="88"/>
      <c r="K629" s="88"/>
      <c r="L629" s="88"/>
      <c r="M629" s="88"/>
      <c r="N629" s="88"/>
      <c r="O629" s="88"/>
      <c r="P629" s="88"/>
      <c r="Q629" s="88"/>
      <c r="R629" s="88"/>
      <c r="S629" s="88"/>
      <c r="T629" s="88"/>
      <c r="U629" s="88"/>
      <c r="V629" s="88"/>
      <c r="W629" s="88"/>
      <c r="X629" s="88"/>
      <c r="Y629" s="88"/>
      <c r="Z629" s="88"/>
      <c r="AA629" s="88"/>
      <c r="AB629" s="128"/>
      <c r="AC629" s="128"/>
      <c r="AD629" s="128"/>
      <c r="AE629" s="128"/>
      <c r="AF629" s="128"/>
      <c r="AG629" s="128"/>
      <c r="AH629" s="127"/>
    </row>
    <row r="630" spans="1:34" ht="13.2">
      <c r="A630" s="88"/>
      <c r="B630" s="88"/>
      <c r="C630" s="88"/>
      <c r="D630" s="88"/>
      <c r="E630" s="88"/>
      <c r="F630" s="88"/>
      <c r="G630" s="88"/>
      <c r="H630" s="88"/>
      <c r="I630" s="88"/>
      <c r="J630" s="88"/>
      <c r="K630" s="88"/>
      <c r="L630" s="88"/>
      <c r="M630" s="88"/>
      <c r="N630" s="88"/>
      <c r="O630" s="88"/>
      <c r="P630" s="88"/>
      <c r="Q630" s="88"/>
      <c r="R630" s="88"/>
      <c r="S630" s="88"/>
      <c r="T630" s="88"/>
      <c r="U630" s="88"/>
      <c r="V630" s="88"/>
      <c r="W630" s="88"/>
      <c r="X630" s="88"/>
      <c r="Y630" s="88"/>
      <c r="Z630" s="88"/>
      <c r="AA630" s="88"/>
      <c r="AB630" s="128"/>
      <c r="AC630" s="128"/>
      <c r="AD630" s="128"/>
      <c r="AE630" s="128"/>
      <c r="AF630" s="128"/>
      <c r="AG630" s="128"/>
      <c r="AH630" s="127"/>
    </row>
    <row r="631" spans="1:34" ht="13.2">
      <c r="A631" s="88"/>
      <c r="B631" s="88"/>
      <c r="C631" s="88"/>
      <c r="D631" s="88"/>
      <c r="E631" s="88"/>
      <c r="F631" s="88"/>
      <c r="G631" s="88"/>
      <c r="H631" s="88"/>
      <c r="I631" s="88"/>
      <c r="J631" s="88"/>
      <c r="K631" s="88"/>
      <c r="L631" s="88"/>
      <c r="M631" s="88"/>
      <c r="N631" s="88"/>
      <c r="O631" s="88"/>
      <c r="P631" s="88"/>
      <c r="Q631" s="88"/>
      <c r="R631" s="88"/>
      <c r="S631" s="88"/>
      <c r="T631" s="88"/>
      <c r="U631" s="88"/>
      <c r="V631" s="88"/>
      <c r="W631" s="88"/>
      <c r="X631" s="88"/>
      <c r="Y631" s="88"/>
      <c r="Z631" s="88"/>
      <c r="AA631" s="88"/>
      <c r="AB631" s="128"/>
      <c r="AC631" s="128"/>
      <c r="AD631" s="128"/>
      <c r="AE631" s="128"/>
      <c r="AF631" s="128"/>
      <c r="AG631" s="128"/>
      <c r="AH631" s="127"/>
    </row>
    <row r="632" spans="1:34" ht="13.2">
      <c r="A632" s="88"/>
      <c r="B632" s="88"/>
      <c r="C632" s="88"/>
      <c r="D632" s="88"/>
      <c r="E632" s="88"/>
      <c r="F632" s="88"/>
      <c r="G632" s="88"/>
      <c r="H632" s="88"/>
      <c r="I632" s="88"/>
      <c r="J632" s="88"/>
      <c r="K632" s="88"/>
      <c r="L632" s="88"/>
      <c r="M632" s="88"/>
      <c r="N632" s="88"/>
      <c r="O632" s="88"/>
      <c r="P632" s="88"/>
      <c r="Q632" s="88"/>
      <c r="R632" s="88"/>
      <c r="S632" s="88"/>
      <c r="T632" s="88"/>
      <c r="U632" s="88"/>
      <c r="V632" s="88"/>
      <c r="W632" s="88"/>
      <c r="X632" s="88"/>
      <c r="Y632" s="88"/>
      <c r="Z632" s="88"/>
      <c r="AA632" s="88"/>
      <c r="AB632" s="128"/>
      <c r="AC632" s="128"/>
      <c r="AD632" s="128"/>
      <c r="AE632" s="128"/>
      <c r="AF632" s="128"/>
      <c r="AG632" s="128"/>
      <c r="AH632" s="127"/>
    </row>
    <row r="633" spans="1:34" ht="13.2">
      <c r="A633" s="88"/>
      <c r="B633" s="88"/>
      <c r="C633" s="88"/>
      <c r="D633" s="88"/>
      <c r="E633" s="88"/>
      <c r="F633" s="88"/>
      <c r="G633" s="88"/>
      <c r="H633" s="88"/>
      <c r="I633" s="88"/>
      <c r="J633" s="88"/>
      <c r="K633" s="88"/>
      <c r="L633" s="88"/>
      <c r="M633" s="88"/>
      <c r="N633" s="88"/>
      <c r="O633" s="88"/>
      <c r="P633" s="88"/>
      <c r="Q633" s="88"/>
      <c r="R633" s="88"/>
      <c r="S633" s="88"/>
      <c r="T633" s="88"/>
      <c r="U633" s="88"/>
      <c r="V633" s="88"/>
      <c r="W633" s="88"/>
      <c r="X633" s="88"/>
      <c r="Y633" s="88"/>
      <c r="Z633" s="88"/>
      <c r="AA633" s="88"/>
      <c r="AB633" s="128"/>
      <c r="AC633" s="128"/>
      <c r="AD633" s="128"/>
      <c r="AE633" s="128"/>
      <c r="AF633" s="128"/>
      <c r="AG633" s="128"/>
      <c r="AH633" s="127"/>
    </row>
    <row r="634" spans="1:34" ht="13.2">
      <c r="A634" s="88"/>
      <c r="B634" s="88"/>
      <c r="C634" s="88"/>
      <c r="D634" s="88"/>
      <c r="E634" s="88"/>
      <c r="F634" s="88"/>
      <c r="G634" s="88"/>
      <c r="H634" s="88"/>
      <c r="I634" s="88"/>
      <c r="J634" s="88"/>
      <c r="K634" s="88"/>
      <c r="L634" s="88"/>
      <c r="M634" s="88"/>
      <c r="N634" s="88"/>
      <c r="O634" s="88"/>
      <c r="P634" s="88"/>
      <c r="Q634" s="88"/>
      <c r="R634" s="88"/>
      <c r="S634" s="88"/>
      <c r="T634" s="88"/>
      <c r="U634" s="88"/>
      <c r="V634" s="88"/>
      <c r="W634" s="88"/>
      <c r="X634" s="88"/>
      <c r="Y634" s="88"/>
      <c r="Z634" s="88"/>
      <c r="AA634" s="88"/>
      <c r="AB634" s="128"/>
      <c r="AC634" s="128"/>
      <c r="AD634" s="128"/>
      <c r="AE634" s="128"/>
      <c r="AF634" s="128"/>
      <c r="AG634" s="128"/>
      <c r="AH634" s="127"/>
    </row>
    <row r="635" spans="1:34" ht="13.2">
      <c r="A635" s="88"/>
      <c r="B635" s="88"/>
      <c r="C635" s="88"/>
      <c r="D635" s="88"/>
      <c r="E635" s="88"/>
      <c r="F635" s="88"/>
      <c r="G635" s="88"/>
      <c r="H635" s="88"/>
      <c r="I635" s="88"/>
      <c r="J635" s="88"/>
      <c r="K635" s="88"/>
      <c r="L635" s="88"/>
      <c r="M635" s="88"/>
      <c r="N635" s="88"/>
      <c r="O635" s="88"/>
      <c r="P635" s="88"/>
      <c r="Q635" s="88"/>
      <c r="R635" s="88"/>
      <c r="S635" s="88"/>
      <c r="T635" s="88"/>
      <c r="U635" s="88"/>
      <c r="V635" s="88"/>
      <c r="W635" s="88"/>
      <c r="X635" s="88"/>
      <c r="Y635" s="88"/>
      <c r="Z635" s="88"/>
      <c r="AA635" s="88"/>
      <c r="AB635" s="128"/>
      <c r="AC635" s="128"/>
      <c r="AD635" s="128"/>
      <c r="AE635" s="128"/>
      <c r="AF635" s="128"/>
      <c r="AG635" s="128"/>
      <c r="AH635" s="127"/>
    </row>
    <row r="636" spans="1:34" ht="13.2">
      <c r="A636" s="88"/>
      <c r="B636" s="88"/>
      <c r="C636" s="88"/>
      <c r="D636" s="88"/>
      <c r="E636" s="88"/>
      <c r="F636" s="88"/>
      <c r="G636" s="88"/>
      <c r="H636" s="88"/>
      <c r="I636" s="88"/>
      <c r="J636" s="88"/>
      <c r="K636" s="88"/>
      <c r="L636" s="88"/>
      <c r="M636" s="88"/>
      <c r="N636" s="88"/>
      <c r="O636" s="88"/>
      <c r="P636" s="88"/>
      <c r="Q636" s="88"/>
      <c r="R636" s="88"/>
      <c r="S636" s="88"/>
      <c r="T636" s="88"/>
      <c r="U636" s="88"/>
      <c r="V636" s="88"/>
      <c r="W636" s="88"/>
      <c r="X636" s="88"/>
      <c r="Y636" s="88"/>
      <c r="Z636" s="88"/>
      <c r="AA636" s="88"/>
      <c r="AB636" s="128"/>
      <c r="AC636" s="128"/>
      <c r="AD636" s="128"/>
      <c r="AE636" s="128"/>
      <c r="AF636" s="128"/>
      <c r="AG636" s="128"/>
      <c r="AH636" s="127"/>
    </row>
    <row r="637" spans="1:34" ht="13.2">
      <c r="A637" s="88"/>
      <c r="B637" s="88"/>
      <c r="C637" s="88"/>
      <c r="D637" s="88"/>
      <c r="E637" s="88"/>
      <c r="F637" s="88"/>
      <c r="G637" s="88"/>
      <c r="H637" s="88"/>
      <c r="I637" s="88"/>
      <c r="J637" s="88"/>
      <c r="K637" s="88"/>
      <c r="L637" s="88"/>
      <c r="M637" s="88"/>
      <c r="N637" s="88"/>
      <c r="O637" s="88"/>
      <c r="P637" s="88"/>
      <c r="Q637" s="88"/>
      <c r="R637" s="88"/>
      <c r="S637" s="88"/>
      <c r="T637" s="88"/>
      <c r="U637" s="88"/>
      <c r="V637" s="88"/>
      <c r="W637" s="88"/>
      <c r="X637" s="88"/>
      <c r="Y637" s="88"/>
      <c r="Z637" s="88"/>
      <c r="AA637" s="88"/>
      <c r="AB637" s="128"/>
      <c r="AC637" s="128"/>
      <c r="AD637" s="128"/>
      <c r="AE637" s="128"/>
      <c r="AF637" s="128"/>
      <c r="AG637" s="128"/>
      <c r="AH637" s="127"/>
    </row>
    <row r="638" spans="1:34" ht="13.2">
      <c r="A638" s="88"/>
      <c r="B638" s="88"/>
      <c r="C638" s="88"/>
      <c r="D638" s="88"/>
      <c r="E638" s="88"/>
      <c r="F638" s="88"/>
      <c r="G638" s="88"/>
      <c r="H638" s="88"/>
      <c r="I638" s="88"/>
      <c r="J638" s="88"/>
      <c r="K638" s="88"/>
      <c r="L638" s="88"/>
      <c r="M638" s="88"/>
      <c r="N638" s="88"/>
      <c r="O638" s="88"/>
      <c r="P638" s="88"/>
      <c r="Q638" s="88"/>
      <c r="R638" s="88"/>
      <c r="S638" s="88"/>
      <c r="T638" s="88"/>
      <c r="U638" s="88"/>
      <c r="V638" s="88"/>
      <c r="W638" s="88"/>
      <c r="X638" s="88"/>
      <c r="Y638" s="88"/>
      <c r="Z638" s="88"/>
      <c r="AA638" s="88"/>
      <c r="AB638" s="128"/>
      <c r="AC638" s="128"/>
      <c r="AD638" s="128"/>
      <c r="AE638" s="128"/>
      <c r="AF638" s="128"/>
      <c r="AG638" s="128"/>
      <c r="AH638" s="127"/>
    </row>
    <row r="639" spans="1:34" ht="13.2">
      <c r="A639" s="88"/>
      <c r="B639" s="88"/>
      <c r="C639" s="88"/>
      <c r="D639" s="88"/>
      <c r="E639" s="88"/>
      <c r="F639" s="88"/>
      <c r="G639" s="88"/>
      <c r="H639" s="88"/>
      <c r="I639" s="88"/>
      <c r="J639" s="88"/>
      <c r="K639" s="88"/>
      <c r="L639" s="88"/>
      <c r="M639" s="88"/>
      <c r="N639" s="88"/>
      <c r="O639" s="88"/>
      <c r="P639" s="88"/>
      <c r="Q639" s="88"/>
      <c r="R639" s="88"/>
      <c r="S639" s="88"/>
      <c r="T639" s="88"/>
      <c r="U639" s="88"/>
      <c r="V639" s="88"/>
      <c r="W639" s="88"/>
      <c r="X639" s="88"/>
      <c r="Y639" s="88"/>
      <c r="Z639" s="88"/>
      <c r="AA639" s="88"/>
      <c r="AB639" s="128"/>
      <c r="AC639" s="128"/>
      <c r="AD639" s="128"/>
      <c r="AE639" s="128"/>
      <c r="AF639" s="128"/>
      <c r="AG639" s="128"/>
      <c r="AH639" s="127"/>
    </row>
    <row r="640" spans="1:34" ht="13.2">
      <c r="A640" s="88"/>
      <c r="B640" s="88"/>
      <c r="C640" s="88"/>
      <c r="D640" s="88"/>
      <c r="E640" s="88"/>
      <c r="F640" s="88"/>
      <c r="G640" s="88"/>
      <c r="H640" s="88"/>
      <c r="I640" s="88"/>
      <c r="J640" s="88"/>
      <c r="K640" s="88"/>
      <c r="L640" s="88"/>
      <c r="M640" s="88"/>
      <c r="N640" s="88"/>
      <c r="O640" s="88"/>
      <c r="P640" s="88"/>
      <c r="Q640" s="88"/>
      <c r="R640" s="88"/>
      <c r="S640" s="88"/>
      <c r="T640" s="88"/>
      <c r="U640" s="88"/>
      <c r="V640" s="88"/>
      <c r="W640" s="88"/>
      <c r="X640" s="88"/>
      <c r="Y640" s="88"/>
      <c r="Z640" s="88"/>
      <c r="AA640" s="88"/>
      <c r="AB640" s="128"/>
      <c r="AC640" s="128"/>
      <c r="AD640" s="128"/>
      <c r="AE640" s="128"/>
      <c r="AF640" s="128"/>
      <c r="AG640" s="128"/>
      <c r="AH640" s="127"/>
    </row>
    <row r="641" spans="1:34" ht="13.2">
      <c r="A641" s="88"/>
      <c r="B641" s="88"/>
      <c r="C641" s="88"/>
      <c r="D641" s="88"/>
      <c r="E641" s="88"/>
      <c r="F641" s="88"/>
      <c r="G641" s="88"/>
      <c r="H641" s="88"/>
      <c r="I641" s="88"/>
      <c r="J641" s="88"/>
      <c r="K641" s="88"/>
      <c r="L641" s="88"/>
      <c r="M641" s="88"/>
      <c r="N641" s="88"/>
      <c r="O641" s="88"/>
      <c r="P641" s="88"/>
      <c r="Q641" s="88"/>
      <c r="R641" s="88"/>
      <c r="S641" s="88"/>
      <c r="T641" s="88"/>
      <c r="U641" s="88"/>
      <c r="V641" s="88"/>
      <c r="W641" s="88"/>
      <c r="X641" s="88"/>
      <c r="Y641" s="88"/>
      <c r="Z641" s="88"/>
      <c r="AA641" s="88"/>
      <c r="AB641" s="128"/>
      <c r="AC641" s="128"/>
      <c r="AD641" s="128"/>
      <c r="AE641" s="128"/>
      <c r="AF641" s="128"/>
      <c r="AG641" s="128"/>
      <c r="AH641" s="127"/>
    </row>
    <row r="642" spans="1:34" ht="13.2">
      <c r="A642" s="88"/>
      <c r="B642" s="88"/>
      <c r="C642" s="88"/>
      <c r="D642" s="88"/>
      <c r="E642" s="88"/>
      <c r="F642" s="88"/>
      <c r="G642" s="88"/>
      <c r="H642" s="88"/>
      <c r="I642" s="88"/>
      <c r="J642" s="88"/>
      <c r="K642" s="88"/>
      <c r="L642" s="88"/>
      <c r="M642" s="88"/>
      <c r="N642" s="88"/>
      <c r="O642" s="88"/>
      <c r="P642" s="88"/>
      <c r="Q642" s="88"/>
      <c r="R642" s="88"/>
      <c r="S642" s="88"/>
      <c r="T642" s="88"/>
      <c r="U642" s="88"/>
      <c r="V642" s="88"/>
      <c r="W642" s="88"/>
      <c r="X642" s="88"/>
      <c r="Y642" s="88"/>
      <c r="Z642" s="88"/>
      <c r="AA642" s="88"/>
      <c r="AB642" s="128"/>
      <c r="AC642" s="128"/>
      <c r="AD642" s="128"/>
      <c r="AE642" s="128"/>
      <c r="AF642" s="128"/>
      <c r="AG642" s="128"/>
      <c r="AH642" s="127"/>
    </row>
    <row r="643" spans="1:34" ht="13.2">
      <c r="A643" s="88"/>
      <c r="B643" s="88"/>
      <c r="C643" s="88"/>
      <c r="D643" s="88"/>
      <c r="E643" s="88"/>
      <c r="F643" s="88"/>
      <c r="G643" s="88"/>
      <c r="H643" s="88"/>
      <c r="I643" s="88"/>
      <c r="J643" s="88"/>
      <c r="K643" s="88"/>
      <c r="L643" s="88"/>
      <c r="M643" s="88"/>
      <c r="N643" s="88"/>
      <c r="O643" s="88"/>
      <c r="P643" s="88"/>
      <c r="Q643" s="88"/>
      <c r="R643" s="88"/>
      <c r="S643" s="88"/>
      <c r="T643" s="88"/>
      <c r="U643" s="88"/>
      <c r="V643" s="88"/>
      <c r="W643" s="88"/>
      <c r="X643" s="88"/>
      <c r="Y643" s="88"/>
      <c r="Z643" s="88"/>
      <c r="AA643" s="88"/>
      <c r="AB643" s="128"/>
      <c r="AC643" s="128"/>
      <c r="AD643" s="128"/>
      <c r="AE643" s="128"/>
      <c r="AF643" s="128"/>
      <c r="AG643" s="128"/>
      <c r="AH643" s="127"/>
    </row>
    <row r="644" spans="1:34" ht="13.2">
      <c r="A644" s="88"/>
      <c r="B644" s="88"/>
      <c r="C644" s="88"/>
      <c r="D644" s="88"/>
      <c r="E644" s="88"/>
      <c r="F644" s="88"/>
      <c r="G644" s="88"/>
      <c r="H644" s="88"/>
      <c r="I644" s="88"/>
      <c r="J644" s="88"/>
      <c r="K644" s="88"/>
      <c r="L644" s="88"/>
      <c r="M644" s="88"/>
      <c r="N644" s="88"/>
      <c r="O644" s="88"/>
      <c r="P644" s="88"/>
      <c r="Q644" s="88"/>
      <c r="R644" s="88"/>
      <c r="S644" s="88"/>
      <c r="T644" s="88"/>
      <c r="U644" s="88"/>
      <c r="V644" s="88"/>
      <c r="W644" s="88"/>
      <c r="X644" s="88"/>
      <c r="Y644" s="88"/>
      <c r="Z644" s="88"/>
      <c r="AA644" s="88"/>
      <c r="AB644" s="128"/>
      <c r="AC644" s="128"/>
      <c r="AD644" s="128"/>
      <c r="AE644" s="128"/>
      <c r="AF644" s="128"/>
      <c r="AG644" s="128"/>
      <c r="AH644" s="127"/>
    </row>
    <row r="645" spans="1:34" ht="13.2">
      <c r="A645" s="88"/>
      <c r="B645" s="88"/>
      <c r="C645" s="88"/>
      <c r="D645" s="88"/>
      <c r="E645" s="88"/>
      <c r="F645" s="88"/>
      <c r="G645" s="88"/>
      <c r="H645" s="88"/>
      <c r="I645" s="88"/>
      <c r="J645" s="88"/>
      <c r="K645" s="88"/>
      <c r="L645" s="88"/>
      <c r="M645" s="88"/>
      <c r="N645" s="88"/>
      <c r="O645" s="88"/>
      <c r="P645" s="88"/>
      <c r="Q645" s="88"/>
      <c r="R645" s="88"/>
      <c r="S645" s="88"/>
      <c r="T645" s="88"/>
      <c r="U645" s="88"/>
      <c r="V645" s="88"/>
      <c r="W645" s="88"/>
      <c r="X645" s="88"/>
      <c r="Y645" s="88"/>
      <c r="Z645" s="88"/>
      <c r="AA645" s="88"/>
      <c r="AB645" s="128"/>
      <c r="AC645" s="128"/>
      <c r="AD645" s="128"/>
      <c r="AE645" s="128"/>
      <c r="AF645" s="128"/>
      <c r="AG645" s="128"/>
      <c r="AH645" s="127"/>
    </row>
    <row r="646" spans="1:34" ht="13.2">
      <c r="A646" s="88"/>
      <c r="B646" s="88"/>
      <c r="C646" s="88"/>
      <c r="D646" s="88"/>
      <c r="E646" s="88"/>
      <c r="F646" s="88"/>
      <c r="G646" s="88"/>
      <c r="H646" s="88"/>
      <c r="I646" s="88"/>
      <c r="J646" s="88"/>
      <c r="K646" s="88"/>
      <c r="L646" s="88"/>
      <c r="M646" s="88"/>
      <c r="N646" s="88"/>
      <c r="O646" s="88"/>
      <c r="P646" s="88"/>
      <c r="Q646" s="88"/>
      <c r="R646" s="88"/>
      <c r="S646" s="88"/>
      <c r="T646" s="88"/>
      <c r="U646" s="88"/>
      <c r="V646" s="88"/>
      <c r="W646" s="88"/>
      <c r="X646" s="88"/>
      <c r="Y646" s="88"/>
      <c r="Z646" s="88"/>
      <c r="AA646" s="88"/>
      <c r="AB646" s="128"/>
      <c r="AC646" s="128"/>
      <c r="AD646" s="128"/>
      <c r="AE646" s="128"/>
      <c r="AF646" s="128"/>
      <c r="AG646" s="128"/>
      <c r="AH646" s="127"/>
    </row>
    <row r="647" spans="1:34" ht="13.2">
      <c r="A647" s="88"/>
      <c r="B647" s="88"/>
      <c r="C647" s="88"/>
      <c r="D647" s="88"/>
      <c r="E647" s="88"/>
      <c r="F647" s="88"/>
      <c r="G647" s="88"/>
      <c r="H647" s="88"/>
      <c r="I647" s="88"/>
      <c r="J647" s="88"/>
      <c r="K647" s="88"/>
      <c r="L647" s="88"/>
      <c r="M647" s="88"/>
      <c r="N647" s="88"/>
      <c r="O647" s="88"/>
      <c r="P647" s="88"/>
      <c r="Q647" s="88"/>
      <c r="R647" s="88"/>
      <c r="S647" s="88"/>
      <c r="T647" s="88"/>
      <c r="U647" s="88"/>
      <c r="V647" s="88"/>
      <c r="W647" s="88"/>
      <c r="X647" s="88"/>
      <c r="Y647" s="88"/>
      <c r="Z647" s="88"/>
      <c r="AA647" s="88"/>
      <c r="AB647" s="128"/>
      <c r="AC647" s="128"/>
      <c r="AD647" s="128"/>
      <c r="AE647" s="128"/>
      <c r="AF647" s="128"/>
      <c r="AG647" s="128"/>
      <c r="AH647" s="127"/>
    </row>
    <row r="648" spans="1:34" ht="13.2">
      <c r="A648" s="88"/>
      <c r="B648" s="88"/>
      <c r="C648" s="88"/>
      <c r="D648" s="88"/>
      <c r="E648" s="88"/>
      <c r="F648" s="88"/>
      <c r="G648" s="88"/>
      <c r="H648" s="88"/>
      <c r="I648" s="88"/>
      <c r="J648" s="88"/>
      <c r="K648" s="88"/>
      <c r="L648" s="88"/>
      <c r="M648" s="88"/>
      <c r="N648" s="88"/>
      <c r="O648" s="88"/>
      <c r="P648" s="88"/>
      <c r="Q648" s="88"/>
      <c r="R648" s="88"/>
      <c r="S648" s="88"/>
      <c r="T648" s="88"/>
      <c r="U648" s="88"/>
      <c r="V648" s="88"/>
      <c r="W648" s="88"/>
      <c r="X648" s="88"/>
      <c r="Y648" s="88"/>
      <c r="Z648" s="88"/>
      <c r="AA648" s="88"/>
      <c r="AB648" s="128"/>
      <c r="AC648" s="128"/>
      <c r="AD648" s="128"/>
      <c r="AE648" s="128"/>
      <c r="AF648" s="128"/>
      <c r="AG648" s="128"/>
      <c r="AH648" s="127"/>
    </row>
    <row r="649" spans="1:34" ht="13.2">
      <c r="A649" s="88"/>
      <c r="B649" s="88"/>
      <c r="C649" s="88"/>
      <c r="D649" s="88"/>
      <c r="E649" s="88"/>
      <c r="F649" s="88"/>
      <c r="G649" s="88"/>
      <c r="H649" s="88"/>
      <c r="I649" s="88"/>
      <c r="J649" s="88"/>
      <c r="K649" s="88"/>
      <c r="L649" s="88"/>
      <c r="M649" s="88"/>
      <c r="N649" s="88"/>
      <c r="O649" s="88"/>
      <c r="P649" s="88"/>
      <c r="Q649" s="88"/>
      <c r="R649" s="88"/>
      <c r="S649" s="88"/>
      <c r="T649" s="88"/>
      <c r="U649" s="88"/>
      <c r="V649" s="88"/>
      <c r="W649" s="88"/>
      <c r="X649" s="88"/>
      <c r="Y649" s="88"/>
      <c r="Z649" s="88"/>
      <c r="AA649" s="88"/>
      <c r="AB649" s="128"/>
      <c r="AC649" s="128"/>
      <c r="AD649" s="128"/>
      <c r="AE649" s="128"/>
      <c r="AF649" s="128"/>
      <c r="AG649" s="128"/>
      <c r="AH649" s="127"/>
    </row>
    <row r="650" spans="1:34" ht="13.2">
      <c r="A650" s="88"/>
      <c r="B650" s="88"/>
      <c r="C650" s="88"/>
      <c r="D650" s="88"/>
      <c r="E650" s="88"/>
      <c r="F650" s="88"/>
      <c r="G650" s="88"/>
      <c r="H650" s="88"/>
      <c r="I650" s="88"/>
      <c r="J650" s="88"/>
      <c r="K650" s="88"/>
      <c r="L650" s="88"/>
      <c r="M650" s="88"/>
      <c r="N650" s="88"/>
      <c r="O650" s="88"/>
      <c r="P650" s="88"/>
      <c r="Q650" s="88"/>
      <c r="R650" s="88"/>
      <c r="S650" s="88"/>
      <c r="T650" s="88"/>
      <c r="U650" s="88"/>
      <c r="V650" s="88"/>
      <c r="W650" s="88"/>
      <c r="X650" s="88"/>
      <c r="Y650" s="88"/>
      <c r="Z650" s="88"/>
      <c r="AA650" s="88"/>
      <c r="AB650" s="128"/>
      <c r="AC650" s="128"/>
      <c r="AD650" s="128"/>
      <c r="AE650" s="128"/>
      <c r="AF650" s="128"/>
      <c r="AG650" s="128"/>
      <c r="AH650" s="127"/>
    </row>
    <row r="651" spans="1:34" ht="13.2">
      <c r="A651" s="88"/>
      <c r="B651" s="88"/>
      <c r="C651" s="88"/>
      <c r="D651" s="88"/>
      <c r="E651" s="88"/>
      <c r="F651" s="88"/>
      <c r="G651" s="88"/>
      <c r="H651" s="88"/>
      <c r="I651" s="88"/>
      <c r="J651" s="88"/>
      <c r="K651" s="88"/>
      <c r="L651" s="88"/>
      <c r="M651" s="88"/>
      <c r="N651" s="88"/>
      <c r="O651" s="88"/>
      <c r="P651" s="88"/>
      <c r="Q651" s="88"/>
      <c r="R651" s="88"/>
      <c r="S651" s="88"/>
      <c r="T651" s="88"/>
      <c r="U651" s="88"/>
      <c r="V651" s="88"/>
      <c r="W651" s="88"/>
      <c r="X651" s="88"/>
      <c r="Y651" s="88"/>
      <c r="Z651" s="88"/>
      <c r="AA651" s="88"/>
      <c r="AB651" s="128"/>
      <c r="AC651" s="128"/>
      <c r="AD651" s="128"/>
      <c r="AE651" s="128"/>
      <c r="AF651" s="128"/>
      <c r="AG651" s="128"/>
      <c r="AH651" s="127"/>
    </row>
    <row r="652" spans="1:34" ht="13.2">
      <c r="A652" s="88"/>
      <c r="B652" s="88"/>
      <c r="C652" s="88"/>
      <c r="D652" s="88"/>
      <c r="E652" s="88"/>
      <c r="F652" s="88"/>
      <c r="G652" s="88"/>
      <c r="H652" s="88"/>
      <c r="I652" s="88"/>
      <c r="J652" s="88"/>
      <c r="K652" s="88"/>
      <c r="L652" s="88"/>
      <c r="M652" s="88"/>
      <c r="N652" s="88"/>
      <c r="O652" s="88"/>
      <c r="P652" s="88"/>
      <c r="Q652" s="88"/>
      <c r="R652" s="88"/>
      <c r="S652" s="88"/>
      <c r="T652" s="88"/>
      <c r="U652" s="88"/>
      <c r="V652" s="88"/>
      <c r="W652" s="88"/>
      <c r="X652" s="88"/>
      <c r="Y652" s="88"/>
      <c r="Z652" s="88"/>
      <c r="AA652" s="88"/>
      <c r="AB652" s="128"/>
      <c r="AC652" s="128"/>
      <c r="AD652" s="128"/>
      <c r="AE652" s="128"/>
      <c r="AF652" s="128"/>
      <c r="AG652" s="128"/>
      <c r="AH652" s="127"/>
    </row>
    <row r="653" spans="1:34" ht="13.2">
      <c r="A653" s="88"/>
      <c r="B653" s="88"/>
      <c r="C653" s="88"/>
      <c r="D653" s="88"/>
      <c r="E653" s="88"/>
      <c r="F653" s="88"/>
      <c r="G653" s="88"/>
      <c r="H653" s="88"/>
      <c r="I653" s="88"/>
      <c r="J653" s="88"/>
      <c r="K653" s="88"/>
      <c r="L653" s="88"/>
      <c r="M653" s="88"/>
      <c r="N653" s="88"/>
      <c r="O653" s="88"/>
      <c r="P653" s="88"/>
      <c r="Q653" s="88"/>
      <c r="R653" s="88"/>
      <c r="S653" s="88"/>
      <c r="T653" s="88"/>
      <c r="U653" s="88"/>
      <c r="V653" s="88"/>
      <c r="W653" s="88"/>
      <c r="X653" s="88"/>
      <c r="Y653" s="88"/>
      <c r="Z653" s="88"/>
      <c r="AA653" s="88"/>
      <c r="AB653" s="128"/>
      <c r="AC653" s="128"/>
      <c r="AD653" s="128"/>
      <c r="AE653" s="128"/>
      <c r="AF653" s="128"/>
      <c r="AG653" s="128"/>
      <c r="AH653" s="127"/>
    </row>
    <row r="654" spans="1:34" ht="13.2">
      <c r="A654" s="88"/>
      <c r="B654" s="88"/>
      <c r="C654" s="88"/>
      <c r="D654" s="88"/>
      <c r="E654" s="88"/>
      <c r="F654" s="88"/>
      <c r="G654" s="88"/>
      <c r="H654" s="88"/>
      <c r="I654" s="88"/>
      <c r="J654" s="88"/>
      <c r="K654" s="88"/>
      <c r="L654" s="88"/>
      <c r="M654" s="88"/>
      <c r="N654" s="88"/>
      <c r="O654" s="88"/>
      <c r="P654" s="88"/>
      <c r="Q654" s="88"/>
      <c r="R654" s="88"/>
      <c r="S654" s="88"/>
      <c r="T654" s="88"/>
      <c r="U654" s="88"/>
      <c r="V654" s="88"/>
      <c r="W654" s="88"/>
      <c r="X654" s="88"/>
      <c r="Y654" s="88"/>
      <c r="Z654" s="88"/>
      <c r="AA654" s="88"/>
      <c r="AB654" s="128"/>
      <c r="AC654" s="128"/>
      <c r="AD654" s="128"/>
      <c r="AE654" s="128"/>
      <c r="AF654" s="128"/>
      <c r="AG654" s="128"/>
      <c r="AH654" s="127"/>
    </row>
    <row r="655" spans="1:34" ht="13.2">
      <c r="A655" s="88"/>
      <c r="B655" s="88"/>
      <c r="C655" s="88"/>
      <c r="D655" s="88"/>
      <c r="E655" s="88"/>
      <c r="F655" s="88"/>
      <c r="G655" s="88"/>
      <c r="H655" s="88"/>
      <c r="I655" s="88"/>
      <c r="J655" s="88"/>
      <c r="K655" s="88"/>
      <c r="L655" s="88"/>
      <c r="M655" s="88"/>
      <c r="N655" s="88"/>
      <c r="O655" s="88"/>
      <c r="P655" s="88"/>
      <c r="Q655" s="88"/>
      <c r="R655" s="88"/>
      <c r="S655" s="88"/>
      <c r="T655" s="88"/>
      <c r="U655" s="88"/>
      <c r="V655" s="88"/>
      <c r="W655" s="88"/>
      <c r="X655" s="88"/>
      <c r="Y655" s="88"/>
      <c r="Z655" s="88"/>
      <c r="AA655" s="88"/>
      <c r="AB655" s="128"/>
      <c r="AC655" s="128"/>
      <c r="AD655" s="128"/>
      <c r="AE655" s="128"/>
      <c r="AF655" s="128"/>
      <c r="AG655" s="128"/>
      <c r="AH655" s="127"/>
    </row>
    <row r="656" spans="1:34" ht="13.2">
      <c r="A656" s="88"/>
      <c r="B656" s="88"/>
      <c r="C656" s="88"/>
      <c r="D656" s="88"/>
      <c r="E656" s="88"/>
      <c r="F656" s="88"/>
      <c r="G656" s="88"/>
      <c r="H656" s="88"/>
      <c r="I656" s="88"/>
      <c r="J656" s="88"/>
      <c r="K656" s="88"/>
      <c r="L656" s="88"/>
      <c r="M656" s="88"/>
      <c r="N656" s="88"/>
      <c r="O656" s="88"/>
      <c r="P656" s="88"/>
      <c r="Q656" s="88"/>
      <c r="R656" s="88"/>
      <c r="S656" s="88"/>
      <c r="T656" s="88"/>
      <c r="U656" s="88"/>
      <c r="V656" s="88"/>
      <c r="W656" s="88"/>
      <c r="X656" s="88"/>
      <c r="Y656" s="88"/>
      <c r="Z656" s="88"/>
      <c r="AA656" s="88"/>
      <c r="AB656" s="128"/>
      <c r="AC656" s="128"/>
      <c r="AD656" s="128"/>
      <c r="AE656" s="128"/>
      <c r="AF656" s="128"/>
      <c r="AG656" s="128"/>
      <c r="AH656" s="127"/>
    </row>
    <row r="657" spans="1:34" ht="13.2">
      <c r="A657" s="88"/>
      <c r="B657" s="88"/>
      <c r="C657" s="88"/>
      <c r="D657" s="88"/>
      <c r="E657" s="88"/>
      <c r="F657" s="88"/>
      <c r="G657" s="88"/>
      <c r="H657" s="88"/>
      <c r="I657" s="88"/>
      <c r="J657" s="88"/>
      <c r="K657" s="88"/>
      <c r="L657" s="88"/>
      <c r="M657" s="88"/>
      <c r="N657" s="88"/>
      <c r="O657" s="88"/>
      <c r="P657" s="88"/>
      <c r="Q657" s="88"/>
      <c r="R657" s="88"/>
      <c r="S657" s="88"/>
      <c r="T657" s="88"/>
      <c r="U657" s="88"/>
      <c r="V657" s="88"/>
      <c r="W657" s="88"/>
      <c r="X657" s="88"/>
      <c r="Y657" s="88"/>
      <c r="Z657" s="88"/>
      <c r="AA657" s="88"/>
      <c r="AB657" s="128"/>
      <c r="AC657" s="128"/>
      <c r="AD657" s="128"/>
      <c r="AE657" s="128"/>
      <c r="AF657" s="128"/>
      <c r="AG657" s="128"/>
      <c r="AH657" s="127"/>
    </row>
    <row r="658" spans="1:34" ht="13.2">
      <c r="A658" s="88"/>
      <c r="B658" s="88"/>
      <c r="C658" s="88"/>
      <c r="D658" s="88"/>
      <c r="E658" s="88"/>
      <c r="F658" s="88"/>
      <c r="G658" s="88"/>
      <c r="H658" s="88"/>
      <c r="I658" s="88"/>
      <c r="J658" s="88"/>
      <c r="K658" s="88"/>
      <c r="L658" s="88"/>
      <c r="M658" s="88"/>
      <c r="N658" s="88"/>
      <c r="O658" s="88"/>
      <c r="P658" s="88"/>
      <c r="Q658" s="88"/>
      <c r="R658" s="88"/>
      <c r="S658" s="88"/>
      <c r="T658" s="88"/>
      <c r="U658" s="88"/>
      <c r="V658" s="88"/>
      <c r="W658" s="88"/>
      <c r="X658" s="88"/>
      <c r="Y658" s="88"/>
      <c r="Z658" s="88"/>
      <c r="AA658" s="88"/>
      <c r="AB658" s="128"/>
      <c r="AC658" s="128"/>
      <c r="AD658" s="128"/>
      <c r="AE658" s="128"/>
      <c r="AF658" s="128"/>
      <c r="AG658" s="128"/>
      <c r="AH658" s="127"/>
    </row>
    <row r="659" spans="1:34" ht="13.2">
      <c r="A659" s="88"/>
      <c r="B659" s="88"/>
      <c r="C659" s="88"/>
      <c r="D659" s="88"/>
      <c r="E659" s="88"/>
      <c r="F659" s="88"/>
      <c r="G659" s="88"/>
      <c r="H659" s="88"/>
      <c r="I659" s="88"/>
      <c r="J659" s="88"/>
      <c r="K659" s="88"/>
      <c r="L659" s="88"/>
      <c r="M659" s="88"/>
      <c r="N659" s="88"/>
      <c r="O659" s="88"/>
      <c r="P659" s="88"/>
      <c r="Q659" s="88"/>
      <c r="R659" s="88"/>
      <c r="S659" s="88"/>
      <c r="T659" s="88"/>
      <c r="U659" s="88"/>
      <c r="V659" s="88"/>
      <c r="W659" s="88"/>
      <c r="X659" s="88"/>
      <c r="Y659" s="88"/>
      <c r="Z659" s="88"/>
      <c r="AA659" s="88"/>
      <c r="AB659" s="128"/>
      <c r="AC659" s="128"/>
      <c r="AD659" s="128"/>
      <c r="AE659" s="128"/>
      <c r="AF659" s="128"/>
      <c r="AG659" s="128"/>
      <c r="AH659" s="127"/>
    </row>
    <row r="660" spans="1:34" ht="13.2">
      <c r="A660" s="88"/>
      <c r="B660" s="88"/>
      <c r="C660" s="88"/>
      <c r="D660" s="88"/>
      <c r="E660" s="88"/>
      <c r="F660" s="88"/>
      <c r="G660" s="88"/>
      <c r="H660" s="88"/>
      <c r="I660" s="88"/>
      <c r="J660" s="88"/>
      <c r="K660" s="88"/>
      <c r="L660" s="88"/>
      <c r="M660" s="88"/>
      <c r="N660" s="88"/>
      <c r="O660" s="88"/>
      <c r="P660" s="88"/>
      <c r="Q660" s="88"/>
      <c r="R660" s="88"/>
      <c r="S660" s="88"/>
      <c r="T660" s="88"/>
      <c r="U660" s="88"/>
      <c r="V660" s="88"/>
      <c r="W660" s="88"/>
      <c r="X660" s="88"/>
      <c r="Y660" s="88"/>
      <c r="Z660" s="88"/>
      <c r="AA660" s="88"/>
      <c r="AB660" s="128"/>
      <c r="AC660" s="128"/>
      <c r="AD660" s="128"/>
      <c r="AE660" s="128"/>
      <c r="AF660" s="128"/>
      <c r="AG660" s="128"/>
      <c r="AH660" s="127"/>
    </row>
    <row r="661" spans="1:34" ht="13.2">
      <c r="A661" s="88"/>
      <c r="B661" s="88"/>
      <c r="C661" s="88"/>
      <c r="D661" s="88"/>
      <c r="E661" s="88"/>
      <c r="F661" s="88"/>
      <c r="G661" s="88"/>
      <c r="H661" s="88"/>
      <c r="I661" s="88"/>
      <c r="J661" s="88"/>
      <c r="K661" s="88"/>
      <c r="L661" s="88"/>
      <c r="M661" s="88"/>
      <c r="N661" s="88"/>
      <c r="O661" s="88"/>
      <c r="P661" s="88"/>
      <c r="Q661" s="88"/>
      <c r="R661" s="88"/>
      <c r="S661" s="88"/>
      <c r="T661" s="88"/>
      <c r="U661" s="88"/>
      <c r="V661" s="88"/>
      <c r="W661" s="88"/>
      <c r="X661" s="88"/>
      <c r="Y661" s="88"/>
      <c r="Z661" s="88"/>
      <c r="AA661" s="88"/>
      <c r="AB661" s="128"/>
      <c r="AC661" s="128"/>
      <c r="AD661" s="128"/>
      <c r="AE661" s="128"/>
      <c r="AF661" s="128"/>
      <c r="AG661" s="128"/>
      <c r="AH661" s="127"/>
    </row>
    <row r="662" spans="1:34" ht="13.2">
      <c r="A662" s="88"/>
      <c r="B662" s="88"/>
      <c r="C662" s="88"/>
      <c r="D662" s="88"/>
      <c r="E662" s="88"/>
      <c r="F662" s="88"/>
      <c r="G662" s="88"/>
      <c r="H662" s="88"/>
      <c r="I662" s="88"/>
      <c r="J662" s="88"/>
      <c r="K662" s="88"/>
      <c r="L662" s="88"/>
      <c r="M662" s="88"/>
      <c r="N662" s="88"/>
      <c r="O662" s="88"/>
      <c r="P662" s="88"/>
      <c r="Q662" s="88"/>
      <c r="R662" s="88"/>
      <c r="S662" s="88"/>
      <c r="T662" s="88"/>
      <c r="U662" s="88"/>
      <c r="V662" s="88"/>
      <c r="W662" s="88"/>
      <c r="X662" s="88"/>
      <c r="Y662" s="88"/>
      <c r="Z662" s="88"/>
      <c r="AA662" s="88"/>
      <c r="AB662" s="128"/>
      <c r="AC662" s="128"/>
      <c r="AD662" s="128"/>
      <c r="AE662" s="128"/>
      <c r="AF662" s="128"/>
      <c r="AG662" s="128"/>
      <c r="AH662" s="127"/>
    </row>
    <row r="663" spans="1:34" ht="13.2">
      <c r="A663" s="88"/>
      <c r="B663" s="88"/>
      <c r="C663" s="88"/>
      <c r="D663" s="88"/>
      <c r="E663" s="88"/>
      <c r="F663" s="88"/>
      <c r="G663" s="88"/>
      <c r="H663" s="88"/>
      <c r="I663" s="88"/>
      <c r="J663" s="88"/>
      <c r="K663" s="88"/>
      <c r="L663" s="88"/>
      <c r="M663" s="88"/>
      <c r="N663" s="88"/>
      <c r="O663" s="88"/>
      <c r="P663" s="88"/>
      <c r="Q663" s="88"/>
      <c r="R663" s="88"/>
      <c r="S663" s="88"/>
      <c r="T663" s="88"/>
      <c r="U663" s="88"/>
      <c r="V663" s="88"/>
      <c r="W663" s="88"/>
      <c r="X663" s="88"/>
      <c r="Y663" s="88"/>
      <c r="Z663" s="88"/>
      <c r="AA663" s="88"/>
      <c r="AB663" s="128"/>
      <c r="AC663" s="128"/>
      <c r="AD663" s="128"/>
      <c r="AE663" s="128"/>
      <c r="AF663" s="128"/>
      <c r="AG663" s="128"/>
      <c r="AH663" s="127"/>
    </row>
    <row r="664" spans="1:34" ht="13.2">
      <c r="A664" s="88"/>
      <c r="B664" s="88"/>
      <c r="C664" s="88"/>
      <c r="D664" s="88"/>
      <c r="E664" s="88"/>
      <c r="F664" s="88"/>
      <c r="G664" s="88"/>
      <c r="H664" s="88"/>
      <c r="I664" s="88"/>
      <c r="J664" s="88"/>
      <c r="K664" s="88"/>
      <c r="L664" s="88"/>
      <c r="M664" s="88"/>
      <c r="N664" s="88"/>
      <c r="O664" s="88"/>
      <c r="P664" s="88"/>
      <c r="Q664" s="88"/>
      <c r="R664" s="88"/>
      <c r="S664" s="88"/>
      <c r="T664" s="88"/>
      <c r="U664" s="88"/>
      <c r="V664" s="88"/>
      <c r="W664" s="88"/>
      <c r="X664" s="88"/>
      <c r="Y664" s="88"/>
      <c r="Z664" s="88"/>
      <c r="AA664" s="88"/>
      <c r="AB664" s="128"/>
      <c r="AC664" s="128"/>
      <c r="AD664" s="128"/>
      <c r="AE664" s="128"/>
      <c r="AF664" s="128"/>
      <c r="AG664" s="128"/>
      <c r="AH664" s="127"/>
    </row>
    <row r="665" spans="1:34" ht="13.2">
      <c r="A665" s="88"/>
      <c r="B665" s="88"/>
      <c r="C665" s="88"/>
      <c r="D665" s="88"/>
      <c r="E665" s="88"/>
      <c r="F665" s="88"/>
      <c r="G665" s="88"/>
      <c r="H665" s="88"/>
      <c r="I665" s="88"/>
      <c r="J665" s="88"/>
      <c r="K665" s="88"/>
      <c r="L665" s="88"/>
      <c r="M665" s="88"/>
      <c r="N665" s="88"/>
      <c r="O665" s="88"/>
      <c r="P665" s="88"/>
      <c r="Q665" s="88"/>
      <c r="R665" s="88"/>
      <c r="S665" s="88"/>
      <c r="T665" s="88"/>
      <c r="U665" s="88"/>
      <c r="V665" s="88"/>
      <c r="W665" s="88"/>
      <c r="X665" s="88"/>
      <c r="Y665" s="88"/>
      <c r="Z665" s="88"/>
      <c r="AA665" s="88"/>
      <c r="AB665" s="128"/>
      <c r="AC665" s="128"/>
      <c r="AD665" s="128"/>
      <c r="AE665" s="128"/>
      <c r="AF665" s="128"/>
      <c r="AG665" s="128"/>
      <c r="AH665" s="127"/>
    </row>
    <row r="666" spans="1:34" ht="13.2">
      <c r="A666" s="88"/>
      <c r="B666" s="88"/>
      <c r="C666" s="88"/>
      <c r="D666" s="88"/>
      <c r="E666" s="88"/>
      <c r="F666" s="88"/>
      <c r="G666" s="88"/>
      <c r="H666" s="88"/>
      <c r="I666" s="88"/>
      <c r="J666" s="88"/>
      <c r="K666" s="88"/>
      <c r="L666" s="88"/>
      <c r="M666" s="88"/>
      <c r="N666" s="88"/>
      <c r="O666" s="88"/>
      <c r="P666" s="88"/>
      <c r="Q666" s="88"/>
      <c r="R666" s="88"/>
      <c r="S666" s="88"/>
      <c r="T666" s="88"/>
      <c r="U666" s="88"/>
      <c r="V666" s="88"/>
      <c r="W666" s="88"/>
      <c r="X666" s="88"/>
      <c r="Y666" s="88"/>
      <c r="Z666" s="88"/>
      <c r="AA666" s="88"/>
      <c r="AB666" s="128"/>
      <c r="AC666" s="128"/>
      <c r="AD666" s="128"/>
      <c r="AE666" s="128"/>
      <c r="AF666" s="128"/>
      <c r="AG666" s="128"/>
      <c r="AH666" s="127"/>
    </row>
    <row r="667" spans="1:34" ht="13.2">
      <c r="A667" s="88"/>
      <c r="B667" s="88"/>
      <c r="C667" s="88"/>
      <c r="D667" s="88"/>
      <c r="E667" s="88"/>
      <c r="F667" s="88"/>
      <c r="G667" s="88"/>
      <c r="H667" s="88"/>
      <c r="I667" s="88"/>
      <c r="J667" s="88"/>
      <c r="K667" s="88"/>
      <c r="L667" s="88"/>
      <c r="M667" s="88"/>
      <c r="N667" s="88"/>
      <c r="O667" s="88"/>
      <c r="P667" s="88"/>
      <c r="Q667" s="88"/>
      <c r="R667" s="88"/>
      <c r="S667" s="88"/>
      <c r="T667" s="88"/>
      <c r="U667" s="88"/>
      <c r="V667" s="88"/>
      <c r="W667" s="88"/>
      <c r="X667" s="88"/>
      <c r="Y667" s="88"/>
      <c r="Z667" s="88"/>
      <c r="AA667" s="88"/>
      <c r="AB667" s="128"/>
      <c r="AC667" s="128"/>
      <c r="AD667" s="128"/>
      <c r="AE667" s="128"/>
      <c r="AF667" s="128"/>
      <c r="AG667" s="128"/>
      <c r="AH667" s="127"/>
    </row>
    <row r="668" spans="1:34" ht="13.2">
      <c r="A668" s="88"/>
      <c r="B668" s="88"/>
      <c r="C668" s="88"/>
      <c r="D668" s="88"/>
      <c r="E668" s="88"/>
      <c r="F668" s="88"/>
      <c r="G668" s="88"/>
      <c r="H668" s="88"/>
      <c r="I668" s="88"/>
      <c r="J668" s="88"/>
      <c r="K668" s="88"/>
      <c r="L668" s="88"/>
      <c r="M668" s="88"/>
      <c r="N668" s="88"/>
      <c r="O668" s="88"/>
      <c r="P668" s="88"/>
      <c r="Q668" s="88"/>
      <c r="R668" s="88"/>
      <c r="S668" s="88"/>
      <c r="T668" s="88"/>
      <c r="U668" s="88"/>
      <c r="V668" s="88"/>
      <c r="W668" s="88"/>
      <c r="X668" s="88"/>
      <c r="Y668" s="88"/>
      <c r="Z668" s="88"/>
      <c r="AA668" s="88"/>
      <c r="AB668" s="128"/>
      <c r="AC668" s="128"/>
      <c r="AD668" s="128"/>
      <c r="AE668" s="128"/>
      <c r="AF668" s="128"/>
      <c r="AG668" s="128"/>
      <c r="AH668" s="127"/>
    </row>
    <row r="669" spans="1:34" ht="13.2">
      <c r="A669" s="88"/>
      <c r="B669" s="88"/>
      <c r="C669" s="88"/>
      <c r="D669" s="88"/>
      <c r="E669" s="88"/>
      <c r="F669" s="88"/>
      <c r="G669" s="88"/>
      <c r="H669" s="88"/>
      <c r="I669" s="88"/>
      <c r="J669" s="88"/>
      <c r="K669" s="88"/>
      <c r="L669" s="88"/>
      <c r="M669" s="88"/>
      <c r="N669" s="88"/>
      <c r="O669" s="88"/>
      <c r="P669" s="88"/>
      <c r="Q669" s="88"/>
      <c r="R669" s="88"/>
      <c r="S669" s="88"/>
      <c r="T669" s="88"/>
      <c r="U669" s="88"/>
      <c r="V669" s="88"/>
      <c r="W669" s="88"/>
      <c r="X669" s="88"/>
      <c r="Y669" s="88"/>
      <c r="Z669" s="88"/>
      <c r="AA669" s="88"/>
      <c r="AB669" s="128"/>
      <c r="AC669" s="128"/>
      <c r="AD669" s="128"/>
      <c r="AE669" s="128"/>
      <c r="AF669" s="128"/>
      <c r="AG669" s="128"/>
      <c r="AH669" s="127"/>
    </row>
    <row r="670" spans="1:34" ht="13.2">
      <c r="A670" s="88"/>
      <c r="B670" s="88"/>
      <c r="C670" s="88"/>
      <c r="D670" s="88"/>
      <c r="E670" s="88"/>
      <c r="F670" s="88"/>
      <c r="G670" s="88"/>
      <c r="H670" s="88"/>
      <c r="I670" s="88"/>
      <c r="J670" s="88"/>
      <c r="K670" s="88"/>
      <c r="L670" s="88"/>
      <c r="M670" s="88"/>
      <c r="N670" s="88"/>
      <c r="O670" s="88"/>
      <c r="P670" s="88"/>
      <c r="Q670" s="88"/>
      <c r="R670" s="88"/>
      <c r="S670" s="88"/>
      <c r="T670" s="88"/>
      <c r="U670" s="88"/>
      <c r="V670" s="88"/>
      <c r="W670" s="88"/>
      <c r="X670" s="88"/>
      <c r="Y670" s="88"/>
      <c r="Z670" s="88"/>
      <c r="AA670" s="88"/>
      <c r="AB670" s="128"/>
      <c r="AC670" s="128"/>
      <c r="AD670" s="128"/>
      <c r="AE670" s="128"/>
      <c r="AF670" s="128"/>
      <c r="AG670" s="128"/>
      <c r="AH670" s="127"/>
    </row>
    <row r="671" spans="1:34" ht="13.2">
      <c r="A671" s="88"/>
      <c r="B671" s="88"/>
      <c r="C671" s="88"/>
      <c r="D671" s="88"/>
      <c r="E671" s="88"/>
      <c r="F671" s="88"/>
      <c r="G671" s="88"/>
      <c r="H671" s="88"/>
      <c r="I671" s="88"/>
      <c r="J671" s="88"/>
      <c r="K671" s="88"/>
      <c r="L671" s="88"/>
      <c r="M671" s="88"/>
      <c r="N671" s="88"/>
      <c r="O671" s="88"/>
      <c r="P671" s="88"/>
      <c r="Q671" s="88"/>
      <c r="R671" s="88"/>
      <c r="S671" s="88"/>
      <c r="T671" s="88"/>
      <c r="U671" s="88"/>
      <c r="V671" s="88"/>
      <c r="W671" s="88"/>
      <c r="X671" s="88"/>
      <c r="Y671" s="88"/>
      <c r="Z671" s="88"/>
      <c r="AA671" s="88"/>
      <c r="AB671" s="128"/>
      <c r="AC671" s="128"/>
      <c r="AD671" s="128"/>
      <c r="AE671" s="128"/>
      <c r="AF671" s="128"/>
      <c r="AG671" s="128"/>
      <c r="AH671" s="127"/>
    </row>
    <row r="672" spans="1:34" ht="13.2">
      <c r="A672" s="88"/>
      <c r="B672" s="88"/>
      <c r="C672" s="88"/>
      <c r="D672" s="88"/>
      <c r="E672" s="88"/>
      <c r="F672" s="88"/>
      <c r="G672" s="88"/>
      <c r="H672" s="88"/>
      <c r="I672" s="88"/>
      <c r="J672" s="88"/>
      <c r="K672" s="88"/>
      <c r="L672" s="88"/>
      <c r="M672" s="88"/>
      <c r="N672" s="88"/>
      <c r="O672" s="88"/>
      <c r="P672" s="88"/>
      <c r="Q672" s="88"/>
      <c r="R672" s="88"/>
      <c r="S672" s="88"/>
      <c r="T672" s="88"/>
      <c r="U672" s="88"/>
      <c r="V672" s="88"/>
      <c r="W672" s="88"/>
      <c r="X672" s="88"/>
      <c r="Y672" s="88"/>
      <c r="Z672" s="88"/>
      <c r="AA672" s="88"/>
      <c r="AB672" s="128"/>
      <c r="AC672" s="128"/>
      <c r="AD672" s="128"/>
      <c r="AE672" s="128"/>
      <c r="AF672" s="128"/>
      <c r="AG672" s="128"/>
      <c r="AH672" s="127"/>
    </row>
    <row r="673" spans="1:34" ht="13.2">
      <c r="A673" s="88"/>
      <c r="B673" s="88"/>
      <c r="C673" s="88"/>
      <c r="D673" s="88"/>
      <c r="E673" s="88"/>
      <c r="F673" s="88"/>
      <c r="G673" s="88"/>
      <c r="H673" s="88"/>
      <c r="I673" s="88"/>
      <c r="J673" s="88"/>
      <c r="K673" s="88"/>
      <c r="L673" s="88"/>
      <c r="M673" s="88"/>
      <c r="N673" s="88"/>
      <c r="O673" s="88"/>
      <c r="P673" s="88"/>
      <c r="Q673" s="88"/>
      <c r="R673" s="88"/>
      <c r="S673" s="88"/>
      <c r="T673" s="88"/>
      <c r="U673" s="88"/>
      <c r="V673" s="88"/>
      <c r="W673" s="88"/>
      <c r="X673" s="88"/>
      <c r="Y673" s="88"/>
      <c r="Z673" s="88"/>
      <c r="AA673" s="88"/>
      <c r="AB673" s="128"/>
      <c r="AC673" s="128"/>
      <c r="AD673" s="128"/>
      <c r="AE673" s="128"/>
      <c r="AF673" s="128"/>
      <c r="AG673" s="128"/>
      <c r="AH673" s="127"/>
    </row>
    <row r="674" spans="1:34" ht="13.2">
      <c r="A674" s="88"/>
      <c r="B674" s="88"/>
      <c r="C674" s="88"/>
      <c r="D674" s="88"/>
      <c r="E674" s="88"/>
      <c r="F674" s="88"/>
      <c r="G674" s="88"/>
      <c r="H674" s="88"/>
      <c r="I674" s="88"/>
      <c r="J674" s="88"/>
      <c r="K674" s="88"/>
      <c r="L674" s="88"/>
      <c r="M674" s="88"/>
      <c r="N674" s="88"/>
      <c r="O674" s="88"/>
      <c r="P674" s="88"/>
      <c r="Q674" s="88"/>
      <c r="R674" s="88"/>
      <c r="S674" s="88"/>
      <c r="T674" s="88"/>
      <c r="U674" s="88"/>
      <c r="V674" s="88"/>
      <c r="W674" s="88"/>
      <c r="X674" s="88"/>
      <c r="Y674" s="88"/>
      <c r="Z674" s="88"/>
      <c r="AA674" s="88"/>
      <c r="AB674" s="128"/>
      <c r="AC674" s="128"/>
      <c r="AD674" s="128"/>
      <c r="AE674" s="128"/>
      <c r="AF674" s="128"/>
      <c r="AG674" s="128"/>
      <c r="AH674" s="127"/>
    </row>
    <row r="675" spans="1:34" ht="13.2">
      <c r="A675" s="88"/>
      <c r="B675" s="88"/>
      <c r="C675" s="88"/>
      <c r="D675" s="88"/>
      <c r="E675" s="88"/>
      <c r="F675" s="88"/>
      <c r="G675" s="88"/>
      <c r="H675" s="88"/>
      <c r="I675" s="88"/>
      <c r="J675" s="88"/>
      <c r="K675" s="88"/>
      <c r="L675" s="88"/>
      <c r="M675" s="88"/>
      <c r="N675" s="88"/>
      <c r="O675" s="88"/>
      <c r="P675" s="88"/>
      <c r="Q675" s="88"/>
      <c r="R675" s="88"/>
      <c r="S675" s="88"/>
      <c r="T675" s="88"/>
      <c r="U675" s="88"/>
      <c r="V675" s="88"/>
      <c r="W675" s="88"/>
      <c r="X675" s="88"/>
      <c r="Y675" s="88"/>
      <c r="Z675" s="88"/>
      <c r="AA675" s="88"/>
      <c r="AB675" s="128"/>
      <c r="AC675" s="128"/>
      <c r="AD675" s="128"/>
      <c r="AE675" s="128"/>
      <c r="AF675" s="128"/>
      <c r="AG675" s="128"/>
      <c r="AH675" s="127"/>
    </row>
    <row r="676" spans="1:34" ht="13.2">
      <c r="A676" s="88"/>
      <c r="B676" s="88"/>
      <c r="C676" s="88"/>
      <c r="D676" s="88"/>
      <c r="E676" s="88"/>
      <c r="F676" s="88"/>
      <c r="G676" s="88"/>
      <c r="H676" s="88"/>
      <c r="I676" s="88"/>
      <c r="J676" s="88"/>
      <c r="K676" s="88"/>
      <c r="L676" s="88"/>
      <c r="M676" s="88"/>
      <c r="N676" s="88"/>
      <c r="O676" s="88"/>
      <c r="P676" s="88"/>
      <c r="Q676" s="88"/>
      <c r="R676" s="88"/>
      <c r="S676" s="88"/>
      <c r="T676" s="88"/>
      <c r="U676" s="88"/>
      <c r="V676" s="88"/>
      <c r="W676" s="88"/>
      <c r="X676" s="88"/>
      <c r="Y676" s="88"/>
      <c r="Z676" s="88"/>
      <c r="AA676" s="88"/>
      <c r="AB676" s="128"/>
      <c r="AC676" s="128"/>
      <c r="AD676" s="128"/>
      <c r="AE676" s="128"/>
      <c r="AF676" s="128"/>
      <c r="AG676" s="128"/>
      <c r="AH676" s="127"/>
    </row>
    <row r="677" spans="1:34" ht="13.2">
      <c r="A677" s="88"/>
      <c r="B677" s="88"/>
      <c r="C677" s="88"/>
      <c r="D677" s="88"/>
      <c r="E677" s="88"/>
      <c r="F677" s="88"/>
      <c r="G677" s="88"/>
      <c r="H677" s="88"/>
      <c r="I677" s="88"/>
      <c r="J677" s="88"/>
      <c r="K677" s="88"/>
      <c r="L677" s="88"/>
      <c r="M677" s="88"/>
      <c r="N677" s="88"/>
      <c r="O677" s="88"/>
      <c r="P677" s="88"/>
      <c r="Q677" s="88"/>
      <c r="R677" s="88"/>
      <c r="S677" s="88"/>
      <c r="T677" s="88"/>
      <c r="U677" s="88"/>
      <c r="V677" s="88"/>
      <c r="W677" s="88"/>
      <c r="X677" s="88"/>
      <c r="Y677" s="88"/>
      <c r="Z677" s="88"/>
      <c r="AA677" s="88"/>
      <c r="AB677" s="128"/>
      <c r="AC677" s="128"/>
      <c r="AD677" s="128"/>
      <c r="AE677" s="128"/>
      <c r="AF677" s="128"/>
      <c r="AG677" s="128"/>
      <c r="AH677" s="127"/>
    </row>
    <row r="678" spans="1:34" ht="13.2">
      <c r="A678" s="88"/>
      <c r="B678" s="88"/>
      <c r="C678" s="88"/>
      <c r="D678" s="88"/>
      <c r="E678" s="88"/>
      <c r="F678" s="88"/>
      <c r="G678" s="88"/>
      <c r="H678" s="88"/>
      <c r="I678" s="88"/>
      <c r="J678" s="88"/>
      <c r="K678" s="88"/>
      <c r="L678" s="88"/>
      <c r="M678" s="88"/>
      <c r="N678" s="88"/>
      <c r="O678" s="88"/>
      <c r="P678" s="88"/>
      <c r="Q678" s="88"/>
      <c r="R678" s="88"/>
      <c r="S678" s="88"/>
      <c r="T678" s="88"/>
      <c r="U678" s="88"/>
      <c r="V678" s="88"/>
      <c r="W678" s="88"/>
      <c r="X678" s="88"/>
      <c r="Y678" s="88"/>
      <c r="Z678" s="88"/>
      <c r="AA678" s="88"/>
      <c r="AB678" s="128"/>
      <c r="AC678" s="128"/>
      <c r="AD678" s="128"/>
      <c r="AE678" s="128"/>
      <c r="AF678" s="128"/>
      <c r="AG678" s="128"/>
      <c r="AH678" s="127"/>
    </row>
    <row r="679" spans="1:34" ht="13.2">
      <c r="A679" s="88"/>
      <c r="B679" s="88"/>
      <c r="C679" s="88"/>
      <c r="D679" s="88"/>
      <c r="E679" s="88"/>
      <c r="F679" s="88"/>
      <c r="G679" s="88"/>
      <c r="H679" s="88"/>
      <c r="I679" s="88"/>
      <c r="J679" s="88"/>
      <c r="K679" s="88"/>
      <c r="L679" s="88"/>
      <c r="M679" s="88"/>
      <c r="N679" s="88"/>
      <c r="O679" s="88"/>
      <c r="P679" s="88"/>
      <c r="Q679" s="88"/>
      <c r="R679" s="88"/>
      <c r="S679" s="88"/>
      <c r="T679" s="88"/>
      <c r="U679" s="88"/>
      <c r="V679" s="88"/>
      <c r="W679" s="88"/>
      <c r="X679" s="88"/>
      <c r="Y679" s="88"/>
      <c r="Z679" s="88"/>
      <c r="AA679" s="88"/>
      <c r="AB679" s="128"/>
      <c r="AC679" s="128"/>
      <c r="AD679" s="128"/>
      <c r="AE679" s="128"/>
      <c r="AF679" s="128"/>
      <c r="AG679" s="128"/>
      <c r="AH679" s="127"/>
    </row>
    <row r="680" spans="1:34" ht="13.2">
      <c r="A680" s="88"/>
      <c r="B680" s="88"/>
      <c r="C680" s="88"/>
      <c r="D680" s="88"/>
      <c r="E680" s="88"/>
      <c r="F680" s="88"/>
      <c r="G680" s="88"/>
      <c r="H680" s="88"/>
      <c r="I680" s="88"/>
      <c r="J680" s="88"/>
      <c r="K680" s="88"/>
      <c r="L680" s="88"/>
      <c r="M680" s="88"/>
      <c r="N680" s="88"/>
      <c r="O680" s="88"/>
      <c r="P680" s="88"/>
      <c r="Q680" s="88"/>
      <c r="R680" s="88"/>
      <c r="S680" s="88"/>
      <c r="T680" s="88"/>
      <c r="U680" s="88"/>
      <c r="V680" s="88"/>
      <c r="W680" s="88"/>
      <c r="X680" s="88"/>
      <c r="Y680" s="88"/>
      <c r="Z680" s="88"/>
      <c r="AA680" s="88"/>
      <c r="AB680" s="128"/>
      <c r="AC680" s="128"/>
      <c r="AD680" s="128"/>
      <c r="AE680" s="128"/>
      <c r="AF680" s="128"/>
      <c r="AG680" s="128"/>
      <c r="AH680" s="127"/>
    </row>
    <row r="681" spans="1:34" ht="13.2">
      <c r="A681" s="88"/>
      <c r="B681" s="88"/>
      <c r="C681" s="88"/>
      <c r="D681" s="88"/>
      <c r="E681" s="88"/>
      <c r="F681" s="88"/>
      <c r="G681" s="88"/>
      <c r="H681" s="88"/>
      <c r="I681" s="88"/>
      <c r="J681" s="88"/>
      <c r="K681" s="88"/>
      <c r="L681" s="88"/>
      <c r="M681" s="88"/>
      <c r="N681" s="88"/>
      <c r="O681" s="88"/>
      <c r="P681" s="88"/>
      <c r="Q681" s="88"/>
      <c r="R681" s="88"/>
      <c r="S681" s="88"/>
      <c r="T681" s="88"/>
      <c r="U681" s="88"/>
      <c r="V681" s="88"/>
      <c r="W681" s="88"/>
      <c r="X681" s="88"/>
      <c r="Y681" s="88"/>
      <c r="Z681" s="88"/>
      <c r="AA681" s="88"/>
      <c r="AB681" s="128"/>
      <c r="AC681" s="128"/>
      <c r="AD681" s="128"/>
      <c r="AE681" s="128"/>
      <c r="AF681" s="128"/>
      <c r="AG681" s="128"/>
      <c r="AH681" s="127"/>
    </row>
    <row r="682" spans="1:34" ht="13.2">
      <c r="A682" s="88"/>
      <c r="B682" s="88"/>
      <c r="C682" s="88"/>
      <c r="D682" s="88"/>
      <c r="E682" s="88"/>
      <c r="F682" s="88"/>
      <c r="G682" s="88"/>
      <c r="H682" s="88"/>
      <c r="I682" s="88"/>
      <c r="J682" s="88"/>
      <c r="K682" s="88"/>
      <c r="L682" s="88"/>
      <c r="M682" s="88"/>
      <c r="N682" s="88"/>
      <c r="O682" s="88"/>
      <c r="P682" s="88"/>
      <c r="Q682" s="88"/>
      <c r="R682" s="88"/>
      <c r="S682" s="88"/>
      <c r="T682" s="88"/>
      <c r="U682" s="88"/>
      <c r="V682" s="88"/>
      <c r="W682" s="88"/>
      <c r="X682" s="88"/>
      <c r="Y682" s="88"/>
      <c r="Z682" s="88"/>
      <c r="AA682" s="88"/>
      <c r="AB682" s="128"/>
      <c r="AC682" s="128"/>
      <c r="AD682" s="128"/>
      <c r="AE682" s="128"/>
      <c r="AF682" s="128"/>
      <c r="AG682" s="128"/>
      <c r="AH682" s="127"/>
    </row>
    <row r="683" spans="1:34" ht="13.2">
      <c r="A683" s="88"/>
      <c r="B683" s="88"/>
      <c r="C683" s="88"/>
      <c r="D683" s="88"/>
      <c r="E683" s="88"/>
      <c r="F683" s="88"/>
      <c r="G683" s="88"/>
      <c r="H683" s="88"/>
      <c r="I683" s="88"/>
      <c r="J683" s="88"/>
      <c r="K683" s="88"/>
      <c r="L683" s="88"/>
      <c r="M683" s="88"/>
      <c r="N683" s="88"/>
      <c r="O683" s="88"/>
      <c r="P683" s="88"/>
      <c r="Q683" s="88"/>
      <c r="R683" s="88"/>
      <c r="S683" s="88"/>
      <c r="T683" s="88"/>
      <c r="U683" s="88"/>
      <c r="V683" s="88"/>
      <c r="W683" s="88"/>
      <c r="X683" s="88"/>
      <c r="Y683" s="88"/>
      <c r="Z683" s="88"/>
      <c r="AA683" s="88"/>
      <c r="AB683" s="128"/>
      <c r="AC683" s="128"/>
      <c r="AD683" s="128"/>
      <c r="AE683" s="128"/>
      <c r="AF683" s="128"/>
      <c r="AG683" s="128"/>
      <c r="AH683" s="127"/>
    </row>
    <row r="684" spans="1:34" ht="13.2">
      <c r="A684" s="88"/>
      <c r="B684" s="88"/>
      <c r="C684" s="88"/>
      <c r="D684" s="88"/>
      <c r="E684" s="88"/>
      <c r="F684" s="88"/>
      <c r="G684" s="88"/>
      <c r="H684" s="88"/>
      <c r="I684" s="88"/>
      <c r="J684" s="88"/>
      <c r="K684" s="88"/>
      <c r="L684" s="88"/>
      <c r="M684" s="88"/>
      <c r="N684" s="88"/>
      <c r="O684" s="88"/>
      <c r="P684" s="88"/>
      <c r="Q684" s="88"/>
      <c r="R684" s="88"/>
      <c r="S684" s="88"/>
      <c r="T684" s="88"/>
      <c r="U684" s="88"/>
      <c r="V684" s="88"/>
      <c r="W684" s="88"/>
      <c r="X684" s="88"/>
      <c r="Y684" s="88"/>
      <c r="Z684" s="88"/>
      <c r="AA684" s="88"/>
      <c r="AB684" s="128"/>
      <c r="AC684" s="128"/>
      <c r="AD684" s="128"/>
      <c r="AE684" s="128"/>
      <c r="AF684" s="128"/>
      <c r="AG684" s="128"/>
      <c r="AH684" s="127"/>
    </row>
    <row r="685" spans="1:34" ht="13.2">
      <c r="A685" s="88"/>
      <c r="B685" s="88"/>
      <c r="C685" s="88"/>
      <c r="D685" s="88"/>
      <c r="E685" s="88"/>
      <c r="F685" s="88"/>
      <c r="G685" s="88"/>
      <c r="H685" s="88"/>
      <c r="I685" s="88"/>
      <c r="J685" s="88"/>
      <c r="K685" s="88"/>
      <c r="L685" s="88"/>
      <c r="M685" s="88"/>
      <c r="N685" s="88"/>
      <c r="O685" s="88"/>
      <c r="P685" s="88"/>
      <c r="Q685" s="88"/>
      <c r="R685" s="88"/>
      <c r="S685" s="88"/>
      <c r="T685" s="88"/>
      <c r="U685" s="88"/>
      <c r="V685" s="88"/>
      <c r="W685" s="88"/>
      <c r="X685" s="88"/>
      <c r="Y685" s="88"/>
      <c r="Z685" s="88"/>
      <c r="AA685" s="88"/>
      <c r="AB685" s="128"/>
      <c r="AC685" s="128"/>
      <c r="AD685" s="128"/>
      <c r="AE685" s="128"/>
      <c r="AF685" s="128"/>
      <c r="AG685" s="128"/>
      <c r="AH685" s="127"/>
    </row>
    <row r="686" spans="1:34" ht="13.2">
      <c r="A686" s="88"/>
      <c r="B686" s="88"/>
      <c r="C686" s="88"/>
      <c r="D686" s="88"/>
      <c r="E686" s="88"/>
      <c r="F686" s="88"/>
      <c r="G686" s="88"/>
      <c r="H686" s="88"/>
      <c r="I686" s="88"/>
      <c r="J686" s="88"/>
      <c r="K686" s="88"/>
      <c r="L686" s="88"/>
      <c r="M686" s="88"/>
      <c r="N686" s="88"/>
      <c r="O686" s="88"/>
      <c r="P686" s="88"/>
      <c r="Q686" s="88"/>
      <c r="R686" s="88"/>
      <c r="S686" s="88"/>
      <c r="T686" s="88"/>
      <c r="U686" s="88"/>
      <c r="V686" s="88"/>
      <c r="W686" s="88"/>
      <c r="X686" s="88"/>
      <c r="Y686" s="88"/>
      <c r="Z686" s="88"/>
      <c r="AA686" s="88"/>
      <c r="AB686" s="128"/>
      <c r="AC686" s="128"/>
      <c r="AD686" s="128"/>
      <c r="AE686" s="128"/>
      <c r="AF686" s="128"/>
      <c r="AG686" s="128"/>
      <c r="AH686" s="127"/>
    </row>
    <row r="687" spans="1:34" ht="13.2">
      <c r="A687" s="88"/>
      <c r="B687" s="88"/>
      <c r="C687" s="88"/>
      <c r="D687" s="88"/>
      <c r="E687" s="88"/>
      <c r="F687" s="88"/>
      <c r="G687" s="88"/>
      <c r="H687" s="88"/>
      <c r="I687" s="88"/>
      <c r="J687" s="88"/>
      <c r="K687" s="88"/>
      <c r="L687" s="88"/>
      <c r="M687" s="88"/>
      <c r="N687" s="88"/>
      <c r="O687" s="88"/>
      <c r="P687" s="88"/>
      <c r="Q687" s="88"/>
      <c r="R687" s="88"/>
      <c r="S687" s="88"/>
      <c r="T687" s="88"/>
      <c r="U687" s="88"/>
      <c r="V687" s="88"/>
      <c r="W687" s="88"/>
      <c r="X687" s="88"/>
      <c r="Y687" s="88"/>
      <c r="Z687" s="88"/>
      <c r="AA687" s="88"/>
      <c r="AB687" s="128"/>
      <c r="AC687" s="128"/>
      <c r="AD687" s="128"/>
      <c r="AE687" s="128"/>
      <c r="AF687" s="128"/>
      <c r="AG687" s="128"/>
      <c r="AH687" s="127"/>
    </row>
    <row r="688" spans="1:34" ht="13.2">
      <c r="A688" s="88"/>
      <c r="B688" s="88"/>
      <c r="C688" s="88"/>
      <c r="D688" s="88"/>
      <c r="E688" s="88"/>
      <c r="F688" s="88"/>
      <c r="G688" s="88"/>
      <c r="H688" s="88"/>
      <c r="I688" s="88"/>
      <c r="J688" s="88"/>
      <c r="K688" s="88"/>
      <c r="L688" s="88"/>
      <c r="M688" s="88"/>
      <c r="N688" s="88"/>
      <c r="O688" s="88"/>
      <c r="P688" s="88"/>
      <c r="Q688" s="88"/>
      <c r="R688" s="88"/>
      <c r="S688" s="88"/>
      <c r="T688" s="88"/>
      <c r="U688" s="88"/>
      <c r="V688" s="88"/>
      <c r="W688" s="88"/>
      <c r="X688" s="88"/>
      <c r="Y688" s="88"/>
      <c r="Z688" s="88"/>
      <c r="AA688" s="88"/>
      <c r="AB688" s="128"/>
      <c r="AC688" s="128"/>
      <c r="AD688" s="128"/>
      <c r="AE688" s="128"/>
      <c r="AF688" s="128"/>
      <c r="AG688" s="128"/>
      <c r="AH688" s="127"/>
    </row>
    <row r="689" spans="1:34" ht="13.2">
      <c r="A689" s="88"/>
      <c r="B689" s="88"/>
      <c r="C689" s="88"/>
      <c r="D689" s="88"/>
      <c r="E689" s="88"/>
      <c r="F689" s="88"/>
      <c r="G689" s="88"/>
      <c r="H689" s="88"/>
      <c r="I689" s="88"/>
      <c r="J689" s="88"/>
      <c r="K689" s="88"/>
      <c r="L689" s="88"/>
      <c r="M689" s="88"/>
      <c r="N689" s="88"/>
      <c r="O689" s="88"/>
      <c r="P689" s="88"/>
      <c r="Q689" s="88"/>
      <c r="R689" s="88"/>
      <c r="S689" s="88"/>
      <c r="T689" s="88"/>
      <c r="U689" s="88"/>
      <c r="V689" s="88"/>
      <c r="W689" s="88"/>
      <c r="X689" s="88"/>
      <c r="Y689" s="88"/>
      <c r="Z689" s="88"/>
      <c r="AA689" s="88"/>
      <c r="AB689" s="128"/>
      <c r="AC689" s="128"/>
      <c r="AD689" s="128"/>
      <c r="AE689" s="128"/>
      <c r="AF689" s="128"/>
      <c r="AG689" s="128"/>
      <c r="AH689" s="127"/>
    </row>
    <row r="690" spans="1:34" ht="13.2">
      <c r="A690" s="88"/>
      <c r="B690" s="88"/>
      <c r="C690" s="88"/>
      <c r="D690" s="88"/>
      <c r="E690" s="88"/>
      <c r="F690" s="88"/>
      <c r="G690" s="88"/>
      <c r="H690" s="88"/>
      <c r="I690" s="88"/>
      <c r="J690" s="88"/>
      <c r="K690" s="88"/>
      <c r="L690" s="88"/>
      <c r="M690" s="88"/>
      <c r="N690" s="88"/>
      <c r="O690" s="88"/>
      <c r="P690" s="88"/>
      <c r="Q690" s="88"/>
      <c r="R690" s="88"/>
      <c r="S690" s="88"/>
      <c r="T690" s="88"/>
      <c r="U690" s="88"/>
      <c r="V690" s="88"/>
      <c r="W690" s="88"/>
      <c r="X690" s="88"/>
      <c r="Y690" s="88"/>
      <c r="Z690" s="88"/>
      <c r="AA690" s="88"/>
      <c r="AB690" s="128"/>
      <c r="AC690" s="128"/>
      <c r="AD690" s="128"/>
      <c r="AE690" s="128"/>
      <c r="AF690" s="128"/>
      <c r="AG690" s="128"/>
      <c r="AH690" s="127"/>
    </row>
    <row r="691" spans="1:34" ht="13.2">
      <c r="A691" s="88"/>
      <c r="B691" s="88"/>
      <c r="C691" s="88"/>
      <c r="D691" s="88"/>
      <c r="E691" s="88"/>
      <c r="F691" s="88"/>
      <c r="G691" s="88"/>
      <c r="H691" s="88"/>
      <c r="I691" s="88"/>
      <c r="J691" s="88"/>
      <c r="K691" s="88"/>
      <c r="L691" s="88"/>
      <c r="M691" s="88"/>
      <c r="N691" s="88"/>
      <c r="O691" s="88"/>
      <c r="P691" s="88"/>
      <c r="Q691" s="88"/>
      <c r="R691" s="88"/>
      <c r="S691" s="88"/>
      <c r="T691" s="88"/>
      <c r="U691" s="88"/>
      <c r="V691" s="88"/>
      <c r="W691" s="88"/>
      <c r="X691" s="88"/>
      <c r="Y691" s="88"/>
      <c r="Z691" s="88"/>
      <c r="AA691" s="88"/>
      <c r="AB691" s="128"/>
      <c r="AC691" s="128"/>
      <c r="AD691" s="128"/>
      <c r="AE691" s="128"/>
      <c r="AF691" s="128"/>
      <c r="AG691" s="128"/>
      <c r="AH691" s="127"/>
    </row>
    <row r="692" spans="1:34" ht="13.2">
      <c r="A692" s="88"/>
      <c r="B692" s="88"/>
      <c r="C692" s="88"/>
      <c r="D692" s="88"/>
      <c r="E692" s="88"/>
      <c r="F692" s="88"/>
      <c r="G692" s="88"/>
      <c r="H692" s="88"/>
      <c r="I692" s="88"/>
      <c r="J692" s="88"/>
      <c r="K692" s="88"/>
      <c r="L692" s="88"/>
      <c r="M692" s="88"/>
      <c r="N692" s="88"/>
      <c r="O692" s="88"/>
      <c r="P692" s="88"/>
      <c r="Q692" s="88"/>
      <c r="R692" s="88"/>
      <c r="S692" s="88"/>
      <c r="T692" s="88"/>
      <c r="U692" s="88"/>
      <c r="V692" s="88"/>
      <c r="W692" s="88"/>
      <c r="X692" s="88"/>
      <c r="Y692" s="88"/>
      <c r="Z692" s="88"/>
      <c r="AA692" s="88"/>
      <c r="AB692" s="128"/>
      <c r="AC692" s="128"/>
      <c r="AD692" s="128"/>
      <c r="AE692" s="128"/>
      <c r="AF692" s="128"/>
      <c r="AG692" s="128"/>
      <c r="AH692" s="127"/>
    </row>
    <row r="693" spans="1:34" ht="13.2">
      <c r="A693" s="88"/>
      <c r="B693" s="88"/>
      <c r="C693" s="88"/>
      <c r="D693" s="88"/>
      <c r="E693" s="88"/>
      <c r="F693" s="88"/>
      <c r="G693" s="88"/>
      <c r="H693" s="88"/>
      <c r="I693" s="88"/>
      <c r="J693" s="88"/>
      <c r="K693" s="88"/>
      <c r="L693" s="88"/>
      <c r="M693" s="88"/>
      <c r="N693" s="88"/>
      <c r="O693" s="88"/>
      <c r="P693" s="88"/>
      <c r="Q693" s="88"/>
      <c r="R693" s="88"/>
      <c r="S693" s="88"/>
      <c r="T693" s="88"/>
      <c r="U693" s="88"/>
      <c r="V693" s="88"/>
      <c r="W693" s="88"/>
      <c r="X693" s="88"/>
      <c r="Y693" s="88"/>
      <c r="Z693" s="88"/>
      <c r="AA693" s="88"/>
      <c r="AB693" s="128"/>
      <c r="AC693" s="128"/>
      <c r="AD693" s="128"/>
      <c r="AE693" s="128"/>
      <c r="AF693" s="128"/>
      <c r="AG693" s="128"/>
      <c r="AH693" s="127"/>
    </row>
    <row r="694" spans="1:34" ht="13.2">
      <c r="A694" s="88"/>
      <c r="B694" s="88"/>
      <c r="C694" s="88"/>
      <c r="D694" s="88"/>
      <c r="E694" s="88"/>
      <c r="F694" s="88"/>
      <c r="G694" s="88"/>
      <c r="H694" s="88"/>
      <c r="I694" s="88"/>
      <c r="J694" s="88"/>
      <c r="K694" s="88"/>
      <c r="L694" s="88"/>
      <c r="M694" s="88"/>
      <c r="N694" s="88"/>
      <c r="O694" s="88"/>
      <c r="P694" s="88"/>
      <c r="Q694" s="88"/>
      <c r="R694" s="88"/>
      <c r="S694" s="88"/>
      <c r="T694" s="88"/>
      <c r="U694" s="88"/>
      <c r="V694" s="88"/>
      <c r="W694" s="88"/>
      <c r="X694" s="88"/>
      <c r="Y694" s="88"/>
      <c r="Z694" s="88"/>
      <c r="AA694" s="88"/>
      <c r="AB694" s="128"/>
      <c r="AC694" s="128"/>
      <c r="AD694" s="128"/>
      <c r="AE694" s="128"/>
      <c r="AF694" s="128"/>
      <c r="AG694" s="128"/>
      <c r="AH694" s="127"/>
    </row>
    <row r="695" spans="1:34" ht="13.2">
      <c r="A695" s="88"/>
      <c r="B695" s="88"/>
      <c r="C695" s="88"/>
      <c r="D695" s="88"/>
      <c r="E695" s="88"/>
      <c r="F695" s="88"/>
      <c r="G695" s="88"/>
      <c r="H695" s="88"/>
      <c r="I695" s="88"/>
      <c r="J695" s="88"/>
      <c r="K695" s="88"/>
      <c r="L695" s="88"/>
      <c r="M695" s="88"/>
      <c r="N695" s="88"/>
      <c r="O695" s="88"/>
      <c r="P695" s="88"/>
      <c r="Q695" s="88"/>
      <c r="R695" s="88"/>
      <c r="S695" s="88"/>
      <c r="T695" s="88"/>
      <c r="U695" s="88"/>
      <c r="V695" s="88"/>
      <c r="W695" s="88"/>
      <c r="X695" s="88"/>
      <c r="Y695" s="88"/>
      <c r="Z695" s="88"/>
      <c r="AA695" s="88"/>
      <c r="AB695" s="128"/>
      <c r="AC695" s="128"/>
      <c r="AD695" s="128"/>
      <c r="AE695" s="128"/>
      <c r="AF695" s="128"/>
      <c r="AG695" s="128"/>
      <c r="AH695" s="127"/>
    </row>
    <row r="696" spans="1:34" ht="13.2">
      <c r="A696" s="88"/>
      <c r="B696" s="88"/>
      <c r="C696" s="88"/>
      <c r="D696" s="88"/>
      <c r="E696" s="88"/>
      <c r="F696" s="88"/>
      <c r="G696" s="88"/>
      <c r="H696" s="88"/>
      <c r="I696" s="88"/>
      <c r="J696" s="88"/>
      <c r="K696" s="88"/>
      <c r="L696" s="88"/>
      <c r="M696" s="88"/>
      <c r="N696" s="88"/>
      <c r="O696" s="88"/>
      <c r="P696" s="88"/>
      <c r="Q696" s="88"/>
      <c r="R696" s="88"/>
      <c r="S696" s="88"/>
      <c r="T696" s="88"/>
      <c r="U696" s="88"/>
      <c r="V696" s="88"/>
      <c r="W696" s="88"/>
      <c r="X696" s="88"/>
      <c r="Y696" s="88"/>
      <c r="Z696" s="88"/>
      <c r="AA696" s="88"/>
      <c r="AB696" s="128"/>
      <c r="AC696" s="128"/>
      <c r="AD696" s="128"/>
      <c r="AE696" s="128"/>
      <c r="AF696" s="128"/>
      <c r="AG696" s="128"/>
      <c r="AH696" s="127"/>
    </row>
    <row r="697" spans="1:34" ht="13.2">
      <c r="A697" s="88"/>
      <c r="B697" s="88"/>
      <c r="C697" s="88"/>
      <c r="D697" s="88"/>
      <c r="E697" s="88"/>
      <c r="F697" s="88"/>
      <c r="G697" s="88"/>
      <c r="H697" s="88"/>
      <c r="I697" s="88"/>
      <c r="J697" s="88"/>
      <c r="K697" s="88"/>
      <c r="L697" s="88"/>
      <c r="M697" s="88"/>
      <c r="N697" s="88"/>
      <c r="O697" s="88"/>
      <c r="P697" s="88"/>
      <c r="Q697" s="88"/>
      <c r="R697" s="88"/>
      <c r="S697" s="88"/>
      <c r="T697" s="88"/>
      <c r="U697" s="88"/>
      <c r="V697" s="88"/>
      <c r="W697" s="88"/>
      <c r="X697" s="88"/>
      <c r="Y697" s="88"/>
      <c r="Z697" s="88"/>
      <c r="AA697" s="88"/>
      <c r="AB697" s="128"/>
      <c r="AC697" s="128"/>
      <c r="AD697" s="128"/>
      <c r="AE697" s="128"/>
      <c r="AF697" s="128"/>
      <c r="AG697" s="128"/>
      <c r="AH697" s="127"/>
    </row>
    <row r="698" spans="1:34" ht="13.2">
      <c r="A698" s="88"/>
      <c r="B698" s="88"/>
      <c r="C698" s="88"/>
      <c r="D698" s="88"/>
      <c r="E698" s="88"/>
      <c r="F698" s="88"/>
      <c r="G698" s="88"/>
      <c r="H698" s="88"/>
      <c r="I698" s="88"/>
      <c r="J698" s="88"/>
      <c r="K698" s="88"/>
      <c r="L698" s="88"/>
      <c r="M698" s="88"/>
      <c r="N698" s="88"/>
      <c r="O698" s="88"/>
      <c r="P698" s="88"/>
      <c r="Q698" s="88"/>
      <c r="R698" s="88"/>
      <c r="S698" s="88"/>
      <c r="T698" s="88"/>
      <c r="U698" s="88"/>
      <c r="V698" s="88"/>
      <c r="W698" s="88"/>
      <c r="X698" s="88"/>
      <c r="Y698" s="88"/>
      <c r="Z698" s="88"/>
      <c r="AA698" s="88"/>
      <c r="AB698" s="128"/>
      <c r="AC698" s="128"/>
      <c r="AD698" s="128"/>
      <c r="AE698" s="128"/>
      <c r="AF698" s="128"/>
      <c r="AG698" s="128"/>
      <c r="AH698" s="127"/>
    </row>
    <row r="699" spans="1:34" ht="13.2">
      <c r="A699" s="88"/>
      <c r="B699" s="88"/>
      <c r="C699" s="88"/>
      <c r="D699" s="88"/>
      <c r="E699" s="88"/>
      <c r="F699" s="88"/>
      <c r="G699" s="88"/>
      <c r="H699" s="88"/>
      <c r="I699" s="88"/>
      <c r="J699" s="88"/>
      <c r="K699" s="88"/>
      <c r="L699" s="88"/>
      <c r="M699" s="88"/>
      <c r="N699" s="88"/>
      <c r="O699" s="88"/>
      <c r="P699" s="88"/>
      <c r="Q699" s="88"/>
      <c r="R699" s="88"/>
      <c r="S699" s="88"/>
      <c r="T699" s="88"/>
      <c r="U699" s="88"/>
      <c r="V699" s="88"/>
      <c r="W699" s="88"/>
      <c r="X699" s="88"/>
      <c r="Y699" s="88"/>
      <c r="Z699" s="88"/>
      <c r="AA699" s="88"/>
      <c r="AB699" s="128"/>
      <c r="AC699" s="128"/>
      <c r="AD699" s="128"/>
      <c r="AE699" s="128"/>
      <c r="AF699" s="128"/>
      <c r="AG699" s="128"/>
      <c r="AH699" s="127"/>
    </row>
    <row r="700" spans="1:34" ht="13.2">
      <c r="A700" s="88"/>
      <c r="B700" s="88"/>
      <c r="C700" s="88"/>
      <c r="D700" s="88"/>
      <c r="E700" s="88"/>
      <c r="F700" s="88"/>
      <c r="G700" s="88"/>
      <c r="H700" s="88"/>
      <c r="I700" s="88"/>
      <c r="J700" s="88"/>
      <c r="K700" s="88"/>
      <c r="L700" s="88"/>
      <c r="M700" s="88"/>
      <c r="N700" s="88"/>
      <c r="O700" s="88"/>
      <c r="P700" s="88"/>
      <c r="Q700" s="88"/>
      <c r="R700" s="88"/>
      <c r="S700" s="88"/>
      <c r="T700" s="88"/>
      <c r="U700" s="88"/>
      <c r="V700" s="88"/>
      <c r="W700" s="88"/>
      <c r="X700" s="88"/>
      <c r="Y700" s="88"/>
      <c r="Z700" s="88"/>
      <c r="AA700" s="88"/>
      <c r="AB700" s="128"/>
      <c r="AC700" s="128"/>
      <c r="AD700" s="128"/>
      <c r="AE700" s="128"/>
      <c r="AF700" s="128"/>
      <c r="AG700" s="128"/>
      <c r="AH700" s="127"/>
    </row>
    <row r="701" spans="1:34" ht="13.2">
      <c r="A701" s="88"/>
      <c r="B701" s="88"/>
      <c r="C701" s="88"/>
      <c r="D701" s="88"/>
      <c r="E701" s="88"/>
      <c r="F701" s="88"/>
      <c r="G701" s="88"/>
      <c r="H701" s="88"/>
      <c r="I701" s="88"/>
      <c r="J701" s="88"/>
      <c r="K701" s="88"/>
      <c r="L701" s="88"/>
      <c r="M701" s="88"/>
      <c r="N701" s="88"/>
      <c r="O701" s="88"/>
      <c r="P701" s="88"/>
      <c r="Q701" s="88"/>
      <c r="R701" s="88"/>
      <c r="S701" s="88"/>
      <c r="T701" s="88"/>
      <c r="U701" s="88"/>
      <c r="V701" s="88"/>
      <c r="W701" s="88"/>
      <c r="X701" s="88"/>
      <c r="Y701" s="88"/>
      <c r="Z701" s="88"/>
      <c r="AA701" s="88"/>
      <c r="AB701" s="128"/>
      <c r="AC701" s="128"/>
      <c r="AD701" s="128"/>
      <c r="AE701" s="128"/>
      <c r="AF701" s="128"/>
      <c r="AG701" s="128"/>
      <c r="AH701" s="127"/>
    </row>
    <row r="702" spans="1:34" ht="13.2">
      <c r="A702" s="88"/>
      <c r="B702" s="88"/>
      <c r="C702" s="88"/>
      <c r="D702" s="88"/>
      <c r="E702" s="88"/>
      <c r="F702" s="88"/>
      <c r="G702" s="88"/>
      <c r="H702" s="88"/>
      <c r="I702" s="88"/>
      <c r="J702" s="88"/>
      <c r="K702" s="88"/>
      <c r="L702" s="88"/>
      <c r="M702" s="88"/>
      <c r="N702" s="88"/>
      <c r="O702" s="88"/>
      <c r="P702" s="88"/>
      <c r="Q702" s="88"/>
      <c r="R702" s="88"/>
      <c r="S702" s="88"/>
      <c r="T702" s="88"/>
      <c r="U702" s="88"/>
      <c r="V702" s="88"/>
      <c r="W702" s="88"/>
      <c r="X702" s="88"/>
      <c r="Y702" s="88"/>
      <c r="Z702" s="88"/>
      <c r="AA702" s="88"/>
      <c r="AB702" s="128"/>
      <c r="AC702" s="128"/>
      <c r="AD702" s="128"/>
      <c r="AE702" s="128"/>
      <c r="AF702" s="128"/>
      <c r="AG702" s="128"/>
      <c r="AH702" s="127"/>
    </row>
    <row r="703" spans="1:34" ht="13.2">
      <c r="A703" s="88"/>
      <c r="B703" s="88"/>
      <c r="C703" s="88"/>
      <c r="D703" s="88"/>
      <c r="E703" s="88"/>
      <c r="F703" s="88"/>
      <c r="G703" s="88"/>
      <c r="H703" s="88"/>
      <c r="I703" s="88"/>
      <c r="J703" s="88"/>
      <c r="K703" s="88"/>
      <c r="L703" s="88"/>
      <c r="M703" s="88"/>
      <c r="N703" s="88"/>
      <c r="O703" s="88"/>
      <c r="P703" s="88"/>
      <c r="Q703" s="88"/>
      <c r="R703" s="88"/>
      <c r="S703" s="88"/>
      <c r="T703" s="88"/>
      <c r="U703" s="88"/>
      <c r="V703" s="88"/>
      <c r="W703" s="88"/>
      <c r="X703" s="88"/>
      <c r="Y703" s="88"/>
      <c r="Z703" s="88"/>
      <c r="AA703" s="88"/>
      <c r="AB703" s="128"/>
      <c r="AC703" s="128"/>
      <c r="AD703" s="128"/>
      <c r="AE703" s="128"/>
      <c r="AF703" s="128"/>
      <c r="AG703" s="128"/>
      <c r="AH703" s="127"/>
    </row>
    <row r="704" spans="1:34" ht="13.2">
      <c r="A704" s="88"/>
      <c r="B704" s="88"/>
      <c r="C704" s="88"/>
      <c r="D704" s="88"/>
      <c r="E704" s="88"/>
      <c r="F704" s="88"/>
      <c r="G704" s="88"/>
      <c r="H704" s="88"/>
      <c r="I704" s="88"/>
      <c r="J704" s="88"/>
      <c r="K704" s="88"/>
      <c r="L704" s="88"/>
      <c r="M704" s="88"/>
      <c r="N704" s="88"/>
      <c r="O704" s="88"/>
      <c r="P704" s="88"/>
      <c r="Q704" s="88"/>
      <c r="R704" s="88"/>
      <c r="S704" s="88"/>
      <c r="T704" s="88"/>
      <c r="U704" s="88"/>
      <c r="V704" s="88"/>
      <c r="W704" s="88"/>
      <c r="X704" s="88"/>
      <c r="Y704" s="88"/>
      <c r="Z704" s="88"/>
      <c r="AA704" s="88"/>
      <c r="AB704" s="128"/>
      <c r="AC704" s="128"/>
      <c r="AD704" s="128"/>
      <c r="AE704" s="128"/>
      <c r="AF704" s="128"/>
      <c r="AG704" s="128"/>
      <c r="AH704" s="127"/>
    </row>
    <row r="705" spans="1:34" ht="13.2">
      <c r="A705" s="88"/>
      <c r="B705" s="88"/>
      <c r="C705" s="88"/>
      <c r="D705" s="88"/>
      <c r="E705" s="88"/>
      <c r="F705" s="88"/>
      <c r="G705" s="88"/>
      <c r="H705" s="88"/>
      <c r="I705" s="88"/>
      <c r="J705" s="88"/>
      <c r="K705" s="88"/>
      <c r="L705" s="88"/>
      <c r="M705" s="88"/>
      <c r="N705" s="88"/>
      <c r="O705" s="88"/>
      <c r="P705" s="88"/>
      <c r="Q705" s="88"/>
      <c r="R705" s="88"/>
      <c r="S705" s="88"/>
      <c r="T705" s="88"/>
      <c r="U705" s="88"/>
      <c r="V705" s="88"/>
      <c r="W705" s="88"/>
      <c r="X705" s="88"/>
      <c r="Y705" s="88"/>
      <c r="Z705" s="88"/>
      <c r="AA705" s="88"/>
      <c r="AB705" s="128"/>
      <c r="AC705" s="128"/>
      <c r="AD705" s="128"/>
      <c r="AE705" s="128"/>
      <c r="AF705" s="128"/>
      <c r="AG705" s="128"/>
      <c r="AH705" s="127"/>
    </row>
    <row r="706" spans="1:34" ht="13.2">
      <c r="A706" s="88"/>
      <c r="B706" s="88"/>
      <c r="C706" s="88"/>
      <c r="D706" s="88"/>
      <c r="E706" s="88"/>
      <c r="F706" s="88"/>
      <c r="G706" s="88"/>
      <c r="H706" s="88"/>
      <c r="I706" s="88"/>
      <c r="J706" s="88"/>
      <c r="K706" s="88"/>
      <c r="L706" s="88"/>
      <c r="M706" s="88"/>
      <c r="N706" s="88"/>
      <c r="O706" s="88"/>
      <c r="P706" s="88"/>
      <c r="Q706" s="88"/>
      <c r="R706" s="88"/>
      <c r="S706" s="88"/>
      <c r="T706" s="88"/>
      <c r="U706" s="88"/>
      <c r="V706" s="88"/>
      <c r="W706" s="88"/>
      <c r="X706" s="88"/>
      <c r="Y706" s="88"/>
      <c r="Z706" s="88"/>
      <c r="AA706" s="88"/>
      <c r="AB706" s="128"/>
      <c r="AC706" s="128"/>
      <c r="AD706" s="128"/>
      <c r="AE706" s="128"/>
      <c r="AF706" s="128"/>
      <c r="AG706" s="128"/>
      <c r="AH706" s="127"/>
    </row>
    <row r="707" spans="1:34" ht="13.2">
      <c r="A707" s="88"/>
      <c r="B707" s="88"/>
      <c r="C707" s="88"/>
      <c r="D707" s="88"/>
      <c r="E707" s="88"/>
      <c r="F707" s="88"/>
      <c r="G707" s="88"/>
      <c r="H707" s="88"/>
      <c r="I707" s="88"/>
      <c r="J707" s="88"/>
      <c r="K707" s="88"/>
      <c r="L707" s="88"/>
      <c r="M707" s="88"/>
      <c r="N707" s="88"/>
      <c r="O707" s="88"/>
      <c r="P707" s="88"/>
      <c r="Q707" s="88"/>
      <c r="R707" s="88"/>
      <c r="S707" s="88"/>
      <c r="T707" s="88"/>
      <c r="U707" s="88"/>
      <c r="V707" s="88"/>
      <c r="W707" s="88"/>
      <c r="X707" s="88"/>
      <c r="Y707" s="88"/>
      <c r="Z707" s="88"/>
      <c r="AA707" s="88"/>
      <c r="AB707" s="128"/>
      <c r="AC707" s="128"/>
      <c r="AD707" s="128"/>
      <c r="AE707" s="128"/>
      <c r="AF707" s="128"/>
      <c r="AG707" s="128"/>
      <c r="AH707" s="127"/>
    </row>
    <row r="708" spans="1:34" ht="13.2">
      <c r="A708" s="88"/>
      <c r="B708" s="88"/>
      <c r="C708" s="88"/>
      <c r="D708" s="88"/>
      <c r="E708" s="88"/>
      <c r="F708" s="88"/>
      <c r="G708" s="88"/>
      <c r="H708" s="88"/>
      <c r="I708" s="88"/>
      <c r="J708" s="88"/>
      <c r="K708" s="88"/>
      <c r="L708" s="88"/>
      <c r="M708" s="88"/>
      <c r="N708" s="88"/>
      <c r="O708" s="88"/>
      <c r="P708" s="88"/>
      <c r="Q708" s="88"/>
      <c r="R708" s="88"/>
      <c r="S708" s="88"/>
      <c r="T708" s="88"/>
      <c r="U708" s="88"/>
      <c r="V708" s="88"/>
      <c r="W708" s="88"/>
      <c r="X708" s="88"/>
      <c r="Y708" s="88"/>
      <c r="Z708" s="88"/>
      <c r="AA708" s="88"/>
      <c r="AB708" s="128"/>
      <c r="AC708" s="128"/>
      <c r="AD708" s="128"/>
      <c r="AE708" s="128"/>
      <c r="AF708" s="128"/>
      <c r="AG708" s="128"/>
      <c r="AH708" s="127"/>
    </row>
    <row r="709" spans="1:34" ht="13.2">
      <c r="A709" s="88"/>
      <c r="B709" s="88"/>
      <c r="C709" s="88"/>
      <c r="D709" s="88"/>
      <c r="E709" s="88"/>
      <c r="F709" s="88"/>
      <c r="G709" s="88"/>
      <c r="H709" s="88"/>
      <c r="I709" s="88"/>
      <c r="J709" s="88"/>
      <c r="K709" s="88"/>
      <c r="L709" s="88"/>
      <c r="M709" s="88"/>
      <c r="N709" s="88"/>
      <c r="O709" s="88"/>
      <c r="P709" s="88"/>
      <c r="Q709" s="88"/>
      <c r="R709" s="88"/>
      <c r="S709" s="88"/>
      <c r="T709" s="88"/>
      <c r="U709" s="88"/>
      <c r="V709" s="88"/>
      <c r="W709" s="88"/>
      <c r="X709" s="88"/>
      <c r="Y709" s="88"/>
      <c r="Z709" s="88"/>
      <c r="AA709" s="88"/>
      <c r="AB709" s="128"/>
      <c r="AC709" s="128"/>
      <c r="AD709" s="128"/>
      <c r="AE709" s="128"/>
      <c r="AF709" s="128"/>
      <c r="AG709" s="128"/>
      <c r="AH709" s="127"/>
    </row>
    <row r="710" spans="1:34" ht="13.2">
      <c r="A710" s="88"/>
      <c r="B710" s="88"/>
      <c r="C710" s="88"/>
      <c r="D710" s="88"/>
      <c r="E710" s="88"/>
      <c r="F710" s="88"/>
      <c r="G710" s="88"/>
      <c r="H710" s="88"/>
      <c r="I710" s="88"/>
      <c r="J710" s="88"/>
      <c r="K710" s="88"/>
      <c r="L710" s="88"/>
      <c r="M710" s="88"/>
      <c r="N710" s="88"/>
      <c r="O710" s="88"/>
      <c r="P710" s="88"/>
      <c r="Q710" s="88"/>
      <c r="R710" s="88"/>
      <c r="S710" s="88"/>
      <c r="T710" s="88"/>
      <c r="U710" s="88"/>
      <c r="V710" s="88"/>
      <c r="W710" s="88"/>
      <c r="X710" s="88"/>
      <c r="Y710" s="88"/>
      <c r="Z710" s="88"/>
      <c r="AA710" s="88"/>
      <c r="AB710" s="128"/>
      <c r="AC710" s="128"/>
      <c r="AD710" s="128"/>
      <c r="AE710" s="128"/>
      <c r="AF710" s="128"/>
      <c r="AG710" s="128"/>
      <c r="AH710" s="127"/>
    </row>
    <row r="711" spans="1:34" ht="13.2">
      <c r="A711" s="88"/>
      <c r="B711" s="88"/>
      <c r="C711" s="88"/>
      <c r="D711" s="88"/>
      <c r="E711" s="88"/>
      <c r="F711" s="88"/>
      <c r="G711" s="88"/>
      <c r="H711" s="88"/>
      <c r="I711" s="88"/>
      <c r="J711" s="88"/>
      <c r="K711" s="88"/>
      <c r="L711" s="88"/>
      <c r="M711" s="88"/>
      <c r="N711" s="88"/>
      <c r="O711" s="88"/>
      <c r="P711" s="88"/>
      <c r="Q711" s="88"/>
      <c r="R711" s="88"/>
      <c r="S711" s="88"/>
      <c r="T711" s="88"/>
      <c r="U711" s="88"/>
      <c r="V711" s="88"/>
      <c r="W711" s="88"/>
      <c r="X711" s="88"/>
      <c r="Y711" s="88"/>
      <c r="Z711" s="88"/>
      <c r="AA711" s="88"/>
      <c r="AB711" s="128"/>
      <c r="AC711" s="128"/>
      <c r="AD711" s="128"/>
      <c r="AE711" s="128"/>
      <c r="AF711" s="128"/>
      <c r="AG711" s="128"/>
      <c r="AH711" s="127"/>
    </row>
    <row r="712" spans="1:34" ht="13.2">
      <c r="A712" s="88"/>
      <c r="B712" s="88"/>
      <c r="C712" s="88"/>
      <c r="D712" s="88"/>
      <c r="E712" s="88"/>
      <c r="F712" s="88"/>
      <c r="G712" s="88"/>
      <c r="H712" s="88"/>
      <c r="I712" s="88"/>
      <c r="J712" s="88"/>
      <c r="K712" s="88"/>
      <c r="L712" s="88"/>
      <c r="M712" s="88"/>
      <c r="N712" s="88"/>
      <c r="O712" s="88"/>
      <c r="P712" s="88"/>
      <c r="Q712" s="88"/>
      <c r="R712" s="88"/>
      <c r="S712" s="88"/>
      <c r="T712" s="88"/>
      <c r="U712" s="88"/>
      <c r="V712" s="88"/>
      <c r="W712" s="88"/>
      <c r="X712" s="88"/>
      <c r="Y712" s="88"/>
      <c r="Z712" s="88"/>
      <c r="AA712" s="88"/>
      <c r="AB712" s="128"/>
      <c r="AC712" s="128"/>
      <c r="AD712" s="128"/>
      <c r="AE712" s="128"/>
      <c r="AF712" s="128"/>
      <c r="AG712" s="128"/>
      <c r="AH712" s="127"/>
    </row>
    <row r="713" spans="1:34" ht="13.2">
      <c r="A713" s="88"/>
      <c r="B713" s="88"/>
      <c r="C713" s="88"/>
      <c r="D713" s="88"/>
      <c r="E713" s="88"/>
      <c r="F713" s="88"/>
      <c r="G713" s="88"/>
      <c r="H713" s="88"/>
      <c r="I713" s="88"/>
      <c r="J713" s="88"/>
      <c r="K713" s="88"/>
      <c r="L713" s="88"/>
      <c r="M713" s="88"/>
      <c r="N713" s="88"/>
      <c r="O713" s="88"/>
      <c r="P713" s="88"/>
      <c r="Q713" s="88"/>
      <c r="R713" s="88"/>
      <c r="S713" s="88"/>
      <c r="T713" s="88"/>
      <c r="U713" s="88"/>
      <c r="V713" s="88"/>
      <c r="W713" s="88"/>
      <c r="X713" s="88"/>
      <c r="Y713" s="88"/>
      <c r="Z713" s="88"/>
      <c r="AA713" s="88"/>
      <c r="AB713" s="128"/>
      <c r="AC713" s="128"/>
      <c r="AD713" s="128"/>
      <c r="AE713" s="128"/>
      <c r="AF713" s="128"/>
      <c r="AG713" s="128"/>
      <c r="AH713" s="127"/>
    </row>
    <row r="714" spans="1:34" ht="13.2">
      <c r="A714" s="88"/>
      <c r="B714" s="88"/>
      <c r="C714" s="88"/>
      <c r="D714" s="88"/>
      <c r="E714" s="88"/>
      <c r="F714" s="88"/>
      <c r="G714" s="88"/>
      <c r="H714" s="88"/>
      <c r="I714" s="88"/>
      <c r="J714" s="88"/>
      <c r="K714" s="88"/>
      <c r="L714" s="88"/>
      <c r="M714" s="88"/>
      <c r="N714" s="88"/>
      <c r="O714" s="88"/>
      <c r="P714" s="88"/>
      <c r="Q714" s="88"/>
      <c r="R714" s="88"/>
      <c r="S714" s="88"/>
      <c r="T714" s="88"/>
      <c r="U714" s="88"/>
      <c r="V714" s="88"/>
      <c r="W714" s="88"/>
      <c r="X714" s="88"/>
      <c r="Y714" s="88"/>
      <c r="Z714" s="88"/>
      <c r="AA714" s="88"/>
      <c r="AB714" s="128"/>
      <c r="AC714" s="128"/>
      <c r="AD714" s="128"/>
      <c r="AE714" s="128"/>
      <c r="AF714" s="128"/>
      <c r="AG714" s="128"/>
      <c r="AH714" s="127"/>
    </row>
    <row r="715" spans="1:34" ht="13.2">
      <c r="A715" s="88"/>
      <c r="B715" s="88"/>
      <c r="C715" s="88"/>
      <c r="D715" s="88"/>
      <c r="E715" s="88"/>
      <c r="F715" s="88"/>
      <c r="G715" s="88"/>
      <c r="H715" s="88"/>
      <c r="I715" s="88"/>
      <c r="J715" s="88"/>
      <c r="K715" s="88"/>
      <c r="L715" s="88"/>
      <c r="M715" s="88"/>
      <c r="N715" s="88"/>
      <c r="O715" s="88"/>
      <c r="P715" s="88"/>
      <c r="Q715" s="88"/>
      <c r="R715" s="88"/>
      <c r="S715" s="88"/>
      <c r="T715" s="88"/>
      <c r="U715" s="88"/>
      <c r="V715" s="88"/>
      <c r="W715" s="88"/>
      <c r="X715" s="88"/>
      <c r="Y715" s="88"/>
      <c r="Z715" s="88"/>
      <c r="AA715" s="88"/>
      <c r="AB715" s="128"/>
      <c r="AC715" s="128"/>
      <c r="AD715" s="128"/>
      <c r="AE715" s="128"/>
      <c r="AF715" s="128"/>
      <c r="AG715" s="128"/>
      <c r="AH715" s="127"/>
    </row>
    <row r="716" spans="1:34" ht="13.2">
      <c r="A716" s="88"/>
      <c r="B716" s="88"/>
      <c r="C716" s="88"/>
      <c r="D716" s="88"/>
      <c r="E716" s="88"/>
      <c r="F716" s="88"/>
      <c r="G716" s="88"/>
      <c r="H716" s="88"/>
      <c r="I716" s="88"/>
      <c r="J716" s="88"/>
      <c r="K716" s="88"/>
      <c r="L716" s="88"/>
      <c r="M716" s="88"/>
      <c r="N716" s="88"/>
      <c r="O716" s="88"/>
      <c r="P716" s="88"/>
      <c r="Q716" s="88"/>
      <c r="R716" s="88"/>
      <c r="S716" s="88"/>
      <c r="T716" s="88"/>
      <c r="U716" s="88"/>
      <c r="V716" s="88"/>
      <c r="W716" s="88"/>
      <c r="X716" s="88"/>
      <c r="Y716" s="88"/>
      <c r="Z716" s="88"/>
      <c r="AA716" s="88"/>
      <c r="AB716" s="128"/>
      <c r="AC716" s="128"/>
      <c r="AD716" s="128"/>
      <c r="AE716" s="128"/>
      <c r="AF716" s="128"/>
      <c r="AG716" s="128"/>
      <c r="AH716" s="127"/>
    </row>
    <row r="717" spans="1:34" ht="13.2">
      <c r="A717" s="88"/>
      <c r="B717" s="88"/>
      <c r="C717" s="88"/>
      <c r="D717" s="88"/>
      <c r="E717" s="88"/>
      <c r="F717" s="88"/>
      <c r="G717" s="88"/>
      <c r="H717" s="88"/>
      <c r="I717" s="88"/>
      <c r="J717" s="88"/>
      <c r="K717" s="88"/>
      <c r="L717" s="88"/>
      <c r="M717" s="88"/>
      <c r="N717" s="88"/>
      <c r="O717" s="88"/>
      <c r="P717" s="88"/>
      <c r="Q717" s="88"/>
      <c r="R717" s="88"/>
      <c r="S717" s="88"/>
      <c r="T717" s="88"/>
      <c r="U717" s="88"/>
      <c r="V717" s="88"/>
      <c r="W717" s="88"/>
      <c r="X717" s="88"/>
      <c r="Y717" s="88"/>
      <c r="Z717" s="88"/>
      <c r="AA717" s="88"/>
      <c r="AB717" s="128"/>
      <c r="AC717" s="128"/>
      <c r="AD717" s="128"/>
      <c r="AE717" s="128"/>
      <c r="AF717" s="128"/>
      <c r="AG717" s="128"/>
      <c r="AH717" s="127"/>
    </row>
    <row r="718" spans="1:34" ht="13.2">
      <c r="A718" s="88"/>
      <c r="B718" s="88"/>
      <c r="C718" s="88"/>
      <c r="D718" s="88"/>
      <c r="E718" s="88"/>
      <c r="F718" s="88"/>
      <c r="G718" s="88"/>
      <c r="H718" s="88"/>
      <c r="I718" s="88"/>
      <c r="J718" s="88"/>
      <c r="K718" s="88"/>
      <c r="L718" s="88"/>
      <c r="M718" s="88"/>
      <c r="N718" s="88"/>
      <c r="O718" s="88"/>
      <c r="P718" s="88"/>
      <c r="Q718" s="88"/>
      <c r="R718" s="88"/>
      <c r="S718" s="88"/>
      <c r="T718" s="88"/>
      <c r="U718" s="88"/>
      <c r="V718" s="88"/>
      <c r="W718" s="88"/>
      <c r="X718" s="88"/>
      <c r="Y718" s="88"/>
      <c r="Z718" s="88"/>
      <c r="AA718" s="88"/>
      <c r="AB718" s="128"/>
      <c r="AC718" s="128"/>
      <c r="AD718" s="128"/>
      <c r="AE718" s="128"/>
      <c r="AF718" s="128"/>
      <c r="AG718" s="128"/>
      <c r="AH718" s="127"/>
    </row>
    <row r="719" spans="1:34" ht="13.2">
      <c r="A719" s="88"/>
      <c r="B719" s="88"/>
      <c r="C719" s="88"/>
      <c r="D719" s="88"/>
      <c r="E719" s="88"/>
      <c r="F719" s="88"/>
      <c r="G719" s="88"/>
      <c r="H719" s="88"/>
      <c r="I719" s="88"/>
      <c r="J719" s="88"/>
      <c r="K719" s="88"/>
      <c r="L719" s="88"/>
      <c r="M719" s="88"/>
      <c r="N719" s="88"/>
      <c r="O719" s="88"/>
      <c r="P719" s="88"/>
      <c r="Q719" s="88"/>
      <c r="R719" s="88"/>
      <c r="S719" s="88"/>
      <c r="T719" s="88"/>
      <c r="U719" s="88"/>
      <c r="V719" s="88"/>
      <c r="W719" s="88"/>
      <c r="X719" s="88"/>
      <c r="Y719" s="88"/>
      <c r="Z719" s="88"/>
      <c r="AA719" s="88"/>
      <c r="AB719" s="128"/>
      <c r="AC719" s="128"/>
      <c r="AD719" s="128"/>
      <c r="AE719" s="128"/>
      <c r="AF719" s="128"/>
      <c r="AG719" s="128"/>
      <c r="AH719" s="127"/>
    </row>
    <row r="720" spans="1:34" ht="13.2">
      <c r="A720" s="88"/>
      <c r="B720" s="88"/>
      <c r="C720" s="88"/>
      <c r="D720" s="88"/>
      <c r="E720" s="88"/>
      <c r="F720" s="88"/>
      <c r="G720" s="88"/>
      <c r="H720" s="88"/>
      <c r="I720" s="88"/>
      <c r="J720" s="88"/>
      <c r="K720" s="88"/>
      <c r="L720" s="88"/>
      <c r="M720" s="88"/>
      <c r="N720" s="88"/>
      <c r="O720" s="88"/>
      <c r="P720" s="88"/>
      <c r="Q720" s="88"/>
      <c r="R720" s="88"/>
      <c r="S720" s="88"/>
      <c r="T720" s="88"/>
      <c r="U720" s="88"/>
      <c r="V720" s="88"/>
      <c r="W720" s="88"/>
      <c r="X720" s="88"/>
      <c r="Y720" s="88"/>
      <c r="Z720" s="88"/>
      <c r="AA720" s="88"/>
      <c r="AB720" s="128"/>
      <c r="AC720" s="128"/>
      <c r="AD720" s="128"/>
      <c r="AE720" s="128"/>
      <c r="AF720" s="128"/>
      <c r="AG720" s="128"/>
      <c r="AH720" s="127"/>
    </row>
    <row r="721" spans="1:34" ht="13.2">
      <c r="A721" s="88"/>
      <c r="B721" s="88"/>
      <c r="C721" s="88"/>
      <c r="D721" s="88"/>
      <c r="E721" s="88"/>
      <c r="F721" s="88"/>
      <c r="G721" s="88"/>
      <c r="H721" s="88"/>
      <c r="I721" s="88"/>
      <c r="J721" s="88"/>
      <c r="K721" s="88"/>
      <c r="L721" s="88"/>
      <c r="M721" s="88"/>
      <c r="N721" s="88"/>
      <c r="O721" s="88"/>
      <c r="P721" s="88"/>
      <c r="Q721" s="88"/>
      <c r="R721" s="88"/>
      <c r="S721" s="88"/>
      <c r="T721" s="88"/>
      <c r="U721" s="88"/>
      <c r="V721" s="88"/>
      <c r="W721" s="88"/>
      <c r="X721" s="88"/>
      <c r="Y721" s="88"/>
      <c r="Z721" s="88"/>
      <c r="AA721" s="88"/>
      <c r="AB721" s="128"/>
      <c r="AC721" s="128"/>
      <c r="AD721" s="128"/>
      <c r="AE721" s="128"/>
      <c r="AF721" s="128"/>
      <c r="AG721" s="128"/>
      <c r="AH721" s="127"/>
    </row>
    <row r="722" spans="1:34" ht="13.2">
      <c r="A722" s="88"/>
      <c r="B722" s="88"/>
      <c r="C722" s="88"/>
      <c r="D722" s="88"/>
      <c r="E722" s="88"/>
      <c r="F722" s="88"/>
      <c r="G722" s="88"/>
      <c r="H722" s="88"/>
      <c r="I722" s="88"/>
      <c r="J722" s="88"/>
      <c r="K722" s="88"/>
      <c r="L722" s="88"/>
      <c r="M722" s="88"/>
      <c r="N722" s="88"/>
      <c r="O722" s="88"/>
      <c r="P722" s="88"/>
      <c r="Q722" s="88"/>
      <c r="R722" s="88"/>
      <c r="S722" s="88"/>
      <c r="T722" s="88"/>
      <c r="U722" s="88"/>
      <c r="V722" s="88"/>
      <c r="W722" s="88"/>
      <c r="X722" s="88"/>
      <c r="Y722" s="88"/>
      <c r="Z722" s="88"/>
      <c r="AA722" s="88"/>
      <c r="AB722" s="128"/>
      <c r="AC722" s="128"/>
      <c r="AD722" s="128"/>
      <c r="AE722" s="128"/>
      <c r="AF722" s="128"/>
      <c r="AG722" s="128"/>
      <c r="AH722" s="127"/>
    </row>
    <row r="723" spans="1:34" ht="13.2">
      <c r="A723" s="88"/>
      <c r="B723" s="88"/>
      <c r="C723" s="88"/>
      <c r="D723" s="88"/>
      <c r="E723" s="88"/>
      <c r="F723" s="88"/>
      <c r="G723" s="88"/>
      <c r="H723" s="88"/>
      <c r="I723" s="88"/>
      <c r="J723" s="88"/>
      <c r="K723" s="88"/>
      <c r="L723" s="88"/>
      <c r="M723" s="88"/>
      <c r="N723" s="88"/>
      <c r="O723" s="88"/>
      <c r="P723" s="88"/>
      <c r="Q723" s="88"/>
      <c r="R723" s="88"/>
      <c r="S723" s="88"/>
      <c r="T723" s="88"/>
      <c r="U723" s="88"/>
      <c r="V723" s="88"/>
      <c r="W723" s="88"/>
      <c r="X723" s="88"/>
      <c r="Y723" s="88"/>
      <c r="Z723" s="88"/>
      <c r="AA723" s="88"/>
      <c r="AB723" s="128"/>
      <c r="AC723" s="128"/>
      <c r="AD723" s="128"/>
      <c r="AE723" s="128"/>
      <c r="AF723" s="128"/>
      <c r="AG723" s="128"/>
      <c r="AH723" s="127"/>
    </row>
    <row r="724" spans="1:34" ht="13.2">
      <c r="A724" s="88"/>
      <c r="B724" s="88"/>
      <c r="C724" s="88"/>
      <c r="D724" s="88"/>
      <c r="E724" s="88"/>
      <c r="F724" s="88"/>
      <c r="G724" s="88"/>
      <c r="H724" s="88"/>
      <c r="I724" s="88"/>
      <c r="J724" s="88"/>
      <c r="K724" s="88"/>
      <c r="L724" s="88"/>
      <c r="M724" s="88"/>
      <c r="N724" s="88"/>
      <c r="O724" s="88"/>
      <c r="P724" s="88"/>
      <c r="Q724" s="88"/>
      <c r="R724" s="88"/>
      <c r="S724" s="88"/>
      <c r="T724" s="88"/>
      <c r="U724" s="88"/>
      <c r="V724" s="88"/>
      <c r="W724" s="88"/>
      <c r="X724" s="88"/>
      <c r="Y724" s="88"/>
      <c r="Z724" s="88"/>
      <c r="AA724" s="88"/>
      <c r="AB724" s="128"/>
      <c r="AC724" s="128"/>
      <c r="AD724" s="128"/>
      <c r="AE724" s="128"/>
      <c r="AF724" s="128"/>
      <c r="AG724" s="128"/>
      <c r="AH724" s="127"/>
    </row>
    <row r="725" spans="1:34" ht="13.2">
      <c r="A725" s="88"/>
      <c r="B725" s="88"/>
      <c r="C725" s="88"/>
      <c r="D725" s="88"/>
      <c r="E725" s="88"/>
      <c r="F725" s="88"/>
      <c r="G725" s="88"/>
      <c r="H725" s="88"/>
      <c r="I725" s="88"/>
      <c r="J725" s="88"/>
      <c r="K725" s="88"/>
      <c r="L725" s="88"/>
      <c r="M725" s="88"/>
      <c r="N725" s="88"/>
      <c r="O725" s="88"/>
      <c r="P725" s="88"/>
      <c r="Q725" s="88"/>
      <c r="R725" s="88"/>
      <c r="S725" s="88"/>
      <c r="T725" s="88"/>
      <c r="U725" s="88"/>
      <c r="V725" s="88"/>
      <c r="W725" s="88"/>
      <c r="X725" s="88"/>
      <c r="Y725" s="88"/>
      <c r="Z725" s="88"/>
      <c r="AA725" s="88"/>
      <c r="AB725" s="128"/>
      <c r="AC725" s="128"/>
      <c r="AD725" s="128"/>
      <c r="AE725" s="128"/>
      <c r="AF725" s="128"/>
      <c r="AG725" s="128"/>
      <c r="AH725" s="127"/>
    </row>
    <row r="726" spans="1:34" ht="13.2">
      <c r="A726" s="88"/>
      <c r="B726" s="88"/>
      <c r="C726" s="88"/>
      <c r="D726" s="88"/>
      <c r="E726" s="88"/>
      <c r="F726" s="88"/>
      <c r="G726" s="88"/>
      <c r="H726" s="88"/>
      <c r="I726" s="88"/>
      <c r="J726" s="88"/>
      <c r="K726" s="88"/>
      <c r="L726" s="88"/>
      <c r="M726" s="88"/>
      <c r="N726" s="88"/>
      <c r="O726" s="88"/>
      <c r="P726" s="88"/>
      <c r="Q726" s="88"/>
      <c r="R726" s="88"/>
      <c r="S726" s="88"/>
      <c r="T726" s="88"/>
      <c r="U726" s="88"/>
      <c r="V726" s="88"/>
      <c r="W726" s="88"/>
      <c r="X726" s="88"/>
      <c r="Y726" s="88"/>
      <c r="Z726" s="88"/>
      <c r="AA726" s="88"/>
      <c r="AB726" s="128"/>
      <c r="AC726" s="128"/>
      <c r="AD726" s="128"/>
      <c r="AE726" s="128"/>
      <c r="AF726" s="128"/>
      <c r="AG726" s="128"/>
      <c r="AH726" s="127"/>
    </row>
    <row r="727" spans="1:34" ht="13.2">
      <c r="A727" s="88"/>
      <c r="B727" s="88"/>
      <c r="C727" s="88"/>
      <c r="D727" s="88"/>
      <c r="E727" s="88"/>
      <c r="F727" s="88"/>
      <c r="G727" s="88"/>
      <c r="H727" s="88"/>
      <c r="I727" s="88"/>
      <c r="J727" s="88"/>
      <c r="K727" s="88"/>
      <c r="L727" s="88"/>
      <c r="M727" s="88"/>
      <c r="N727" s="88"/>
      <c r="O727" s="88"/>
      <c r="P727" s="88"/>
      <c r="Q727" s="88"/>
      <c r="R727" s="88"/>
      <c r="S727" s="88"/>
      <c r="T727" s="88"/>
      <c r="U727" s="88"/>
      <c r="V727" s="88"/>
      <c r="W727" s="88"/>
      <c r="X727" s="88"/>
      <c r="Y727" s="88"/>
      <c r="Z727" s="88"/>
      <c r="AA727" s="88"/>
      <c r="AB727" s="128"/>
      <c r="AC727" s="128"/>
      <c r="AD727" s="128"/>
      <c r="AE727" s="128"/>
      <c r="AF727" s="128"/>
      <c r="AG727" s="128"/>
      <c r="AH727" s="127"/>
    </row>
    <row r="728" spans="1:34" ht="13.2">
      <c r="A728" s="88"/>
      <c r="B728" s="88"/>
      <c r="C728" s="88"/>
      <c r="D728" s="88"/>
      <c r="E728" s="88"/>
      <c r="F728" s="88"/>
      <c r="G728" s="88"/>
      <c r="H728" s="88"/>
      <c r="I728" s="88"/>
      <c r="J728" s="88"/>
      <c r="K728" s="88"/>
      <c r="L728" s="88"/>
      <c r="M728" s="88"/>
      <c r="N728" s="88"/>
      <c r="O728" s="88"/>
      <c r="P728" s="88"/>
      <c r="Q728" s="88"/>
      <c r="R728" s="88"/>
      <c r="S728" s="88"/>
      <c r="T728" s="88"/>
      <c r="U728" s="88"/>
      <c r="V728" s="88"/>
      <c r="W728" s="88"/>
      <c r="X728" s="88"/>
      <c r="Y728" s="88"/>
      <c r="Z728" s="88"/>
      <c r="AA728" s="88"/>
      <c r="AB728" s="128"/>
      <c r="AC728" s="128"/>
      <c r="AD728" s="128"/>
      <c r="AE728" s="128"/>
      <c r="AF728" s="128"/>
      <c r="AG728" s="128"/>
      <c r="AH728" s="127"/>
    </row>
    <row r="729" spans="1:34" ht="13.2">
      <c r="A729" s="88"/>
      <c r="B729" s="88"/>
      <c r="C729" s="88"/>
      <c r="D729" s="88"/>
      <c r="E729" s="88"/>
      <c r="F729" s="88"/>
      <c r="G729" s="88"/>
      <c r="H729" s="88"/>
      <c r="I729" s="88"/>
      <c r="J729" s="88"/>
      <c r="K729" s="88"/>
      <c r="L729" s="88"/>
      <c r="M729" s="88"/>
      <c r="N729" s="88"/>
      <c r="O729" s="88"/>
      <c r="P729" s="88"/>
      <c r="Q729" s="88"/>
      <c r="R729" s="88"/>
      <c r="S729" s="88"/>
      <c r="T729" s="88"/>
      <c r="U729" s="88"/>
      <c r="V729" s="88"/>
      <c r="W729" s="88"/>
      <c r="X729" s="88"/>
      <c r="Y729" s="88"/>
      <c r="Z729" s="88"/>
      <c r="AA729" s="88"/>
      <c r="AB729" s="128"/>
      <c r="AC729" s="128"/>
      <c r="AD729" s="128"/>
      <c r="AE729" s="128"/>
      <c r="AF729" s="128"/>
      <c r="AG729" s="128"/>
      <c r="AH729" s="127"/>
    </row>
    <row r="730" spans="1:34" ht="13.2">
      <c r="A730" s="88"/>
      <c r="B730" s="88"/>
      <c r="C730" s="88"/>
      <c r="D730" s="88"/>
      <c r="E730" s="88"/>
      <c r="F730" s="88"/>
      <c r="G730" s="88"/>
      <c r="H730" s="88"/>
      <c r="I730" s="88"/>
      <c r="J730" s="88"/>
      <c r="K730" s="88"/>
      <c r="L730" s="88"/>
      <c r="M730" s="88"/>
      <c r="N730" s="88"/>
      <c r="O730" s="88"/>
      <c r="P730" s="88"/>
      <c r="Q730" s="88"/>
      <c r="R730" s="88"/>
      <c r="S730" s="88"/>
      <c r="T730" s="88"/>
      <c r="U730" s="88"/>
      <c r="V730" s="88"/>
      <c r="W730" s="88"/>
      <c r="X730" s="88"/>
      <c r="Y730" s="88"/>
      <c r="Z730" s="88"/>
      <c r="AA730" s="88"/>
      <c r="AB730" s="128"/>
      <c r="AC730" s="128"/>
      <c r="AD730" s="128"/>
      <c r="AE730" s="128"/>
      <c r="AF730" s="128"/>
      <c r="AG730" s="128"/>
      <c r="AH730" s="127"/>
    </row>
    <row r="731" spans="1:34" ht="13.2">
      <c r="A731" s="88"/>
      <c r="B731" s="88"/>
      <c r="C731" s="88"/>
      <c r="D731" s="88"/>
      <c r="E731" s="88"/>
      <c r="F731" s="88"/>
      <c r="G731" s="88"/>
      <c r="H731" s="88"/>
      <c r="I731" s="88"/>
      <c r="J731" s="88"/>
      <c r="K731" s="88"/>
      <c r="L731" s="88"/>
      <c r="M731" s="88"/>
      <c r="N731" s="88"/>
      <c r="O731" s="88"/>
      <c r="P731" s="88"/>
      <c r="Q731" s="88"/>
      <c r="R731" s="88"/>
      <c r="S731" s="88"/>
      <c r="T731" s="88"/>
      <c r="U731" s="88"/>
      <c r="V731" s="88"/>
      <c r="W731" s="88"/>
      <c r="X731" s="88"/>
      <c r="Y731" s="88"/>
      <c r="Z731" s="88"/>
      <c r="AA731" s="88"/>
      <c r="AB731" s="128"/>
      <c r="AC731" s="128"/>
      <c r="AD731" s="128"/>
      <c r="AE731" s="128"/>
      <c r="AF731" s="128"/>
      <c r="AG731" s="128"/>
      <c r="AH731" s="127"/>
    </row>
    <row r="732" spans="1:34" ht="13.2">
      <c r="A732" s="88"/>
      <c r="B732" s="88"/>
      <c r="C732" s="88"/>
      <c r="D732" s="88"/>
      <c r="E732" s="88"/>
      <c r="F732" s="88"/>
      <c r="G732" s="88"/>
      <c r="H732" s="88"/>
      <c r="I732" s="88"/>
      <c r="J732" s="88"/>
      <c r="K732" s="88"/>
      <c r="L732" s="88"/>
      <c r="M732" s="88"/>
      <c r="N732" s="88"/>
      <c r="O732" s="88"/>
      <c r="P732" s="88"/>
      <c r="Q732" s="88"/>
      <c r="R732" s="88"/>
      <c r="S732" s="88"/>
      <c r="T732" s="88"/>
      <c r="U732" s="88"/>
      <c r="V732" s="88"/>
      <c r="W732" s="88"/>
      <c r="X732" s="88"/>
      <c r="Y732" s="88"/>
      <c r="Z732" s="88"/>
      <c r="AA732" s="88"/>
      <c r="AB732" s="128"/>
      <c r="AC732" s="128"/>
      <c r="AD732" s="128"/>
      <c r="AE732" s="128"/>
      <c r="AF732" s="128"/>
      <c r="AG732" s="128"/>
      <c r="AH732" s="127"/>
    </row>
    <row r="733" spans="1:34" ht="13.2">
      <c r="A733" s="88"/>
      <c r="B733" s="88"/>
      <c r="C733" s="88"/>
      <c r="D733" s="88"/>
      <c r="E733" s="88"/>
      <c r="F733" s="88"/>
      <c r="G733" s="88"/>
      <c r="H733" s="88"/>
      <c r="I733" s="88"/>
      <c r="J733" s="88"/>
      <c r="K733" s="88"/>
      <c r="L733" s="88"/>
      <c r="M733" s="88"/>
      <c r="N733" s="88"/>
      <c r="O733" s="88"/>
      <c r="P733" s="88"/>
      <c r="Q733" s="88"/>
      <c r="R733" s="88"/>
      <c r="S733" s="88"/>
      <c r="T733" s="88"/>
      <c r="U733" s="88"/>
      <c r="V733" s="88"/>
      <c r="W733" s="88"/>
      <c r="X733" s="88"/>
      <c r="Y733" s="88"/>
      <c r="Z733" s="88"/>
      <c r="AA733" s="88"/>
      <c r="AB733" s="128"/>
      <c r="AC733" s="128"/>
      <c r="AD733" s="128"/>
      <c r="AE733" s="128"/>
      <c r="AF733" s="128"/>
      <c r="AG733" s="128"/>
      <c r="AH733" s="127"/>
    </row>
    <row r="734" spans="1:34" ht="13.2">
      <c r="A734" s="88"/>
      <c r="B734" s="88"/>
      <c r="C734" s="88"/>
      <c r="D734" s="88"/>
      <c r="E734" s="88"/>
      <c r="F734" s="88"/>
      <c r="G734" s="88"/>
      <c r="H734" s="88"/>
      <c r="I734" s="88"/>
      <c r="J734" s="88"/>
      <c r="K734" s="88"/>
      <c r="L734" s="88"/>
      <c r="M734" s="88"/>
      <c r="N734" s="88"/>
      <c r="O734" s="88"/>
      <c r="P734" s="88"/>
      <c r="Q734" s="88"/>
      <c r="R734" s="88"/>
      <c r="S734" s="88"/>
      <c r="T734" s="88"/>
      <c r="U734" s="88"/>
      <c r="V734" s="88"/>
      <c r="W734" s="88"/>
      <c r="X734" s="88"/>
      <c r="Y734" s="88"/>
      <c r="Z734" s="88"/>
      <c r="AA734" s="88"/>
      <c r="AB734" s="128"/>
      <c r="AC734" s="128"/>
      <c r="AD734" s="128"/>
      <c r="AE734" s="128"/>
      <c r="AF734" s="128"/>
      <c r="AG734" s="128"/>
      <c r="AH734" s="127"/>
    </row>
    <row r="735" spans="1:34" ht="13.2">
      <c r="A735" s="88"/>
      <c r="B735" s="88"/>
      <c r="C735" s="88"/>
      <c r="D735" s="88"/>
      <c r="E735" s="88"/>
      <c r="F735" s="88"/>
      <c r="G735" s="88"/>
      <c r="H735" s="88"/>
      <c r="I735" s="88"/>
      <c r="J735" s="88"/>
      <c r="K735" s="88"/>
      <c r="L735" s="88"/>
      <c r="M735" s="88"/>
      <c r="N735" s="88"/>
      <c r="O735" s="88"/>
      <c r="P735" s="88"/>
      <c r="Q735" s="88"/>
      <c r="R735" s="88"/>
      <c r="S735" s="88"/>
      <c r="T735" s="88"/>
      <c r="U735" s="88"/>
      <c r="V735" s="88"/>
      <c r="W735" s="88"/>
      <c r="X735" s="88"/>
      <c r="Y735" s="88"/>
      <c r="Z735" s="88"/>
      <c r="AA735" s="88"/>
      <c r="AB735" s="128"/>
      <c r="AC735" s="128"/>
      <c r="AD735" s="128"/>
      <c r="AE735" s="128"/>
      <c r="AF735" s="128"/>
      <c r="AG735" s="128"/>
      <c r="AH735" s="127"/>
    </row>
    <row r="736" spans="1:34" ht="13.2">
      <c r="A736" s="88"/>
      <c r="B736" s="88"/>
      <c r="C736" s="88"/>
      <c r="D736" s="88"/>
      <c r="E736" s="88"/>
      <c r="F736" s="88"/>
      <c r="G736" s="88"/>
      <c r="H736" s="88"/>
      <c r="I736" s="88"/>
      <c r="J736" s="88"/>
      <c r="K736" s="88"/>
      <c r="L736" s="88"/>
      <c r="M736" s="88"/>
      <c r="N736" s="88"/>
      <c r="O736" s="88"/>
      <c r="P736" s="88"/>
      <c r="Q736" s="88"/>
      <c r="R736" s="88"/>
      <c r="S736" s="88"/>
      <c r="T736" s="88"/>
      <c r="U736" s="88"/>
      <c r="V736" s="88"/>
      <c r="W736" s="88"/>
      <c r="X736" s="88"/>
      <c r="Y736" s="88"/>
      <c r="Z736" s="88"/>
      <c r="AA736" s="88"/>
      <c r="AB736" s="128"/>
      <c r="AC736" s="128"/>
      <c r="AD736" s="128"/>
      <c r="AE736" s="128"/>
      <c r="AF736" s="128"/>
      <c r="AG736" s="128"/>
      <c r="AH736" s="127"/>
    </row>
    <row r="737" spans="1:34" ht="13.2">
      <c r="A737" s="88"/>
      <c r="B737" s="88"/>
      <c r="C737" s="88"/>
      <c r="D737" s="88"/>
      <c r="E737" s="88"/>
      <c r="F737" s="88"/>
      <c r="G737" s="88"/>
      <c r="H737" s="88"/>
      <c r="I737" s="88"/>
      <c r="J737" s="88"/>
      <c r="K737" s="88"/>
      <c r="L737" s="88"/>
      <c r="M737" s="88"/>
      <c r="N737" s="88"/>
      <c r="O737" s="88"/>
      <c r="P737" s="88"/>
      <c r="Q737" s="88"/>
      <c r="R737" s="88"/>
      <c r="S737" s="88"/>
      <c r="T737" s="88"/>
      <c r="U737" s="88"/>
      <c r="V737" s="88"/>
      <c r="W737" s="88"/>
      <c r="X737" s="88"/>
      <c r="Y737" s="88"/>
      <c r="Z737" s="88"/>
      <c r="AA737" s="88"/>
      <c r="AB737" s="128"/>
      <c r="AC737" s="128"/>
      <c r="AD737" s="128"/>
      <c r="AE737" s="128"/>
      <c r="AF737" s="128"/>
      <c r="AG737" s="128"/>
      <c r="AH737" s="127"/>
    </row>
    <row r="738" spans="1:34" ht="13.2">
      <c r="A738" s="88"/>
      <c r="B738" s="88"/>
      <c r="C738" s="88"/>
      <c r="D738" s="88"/>
      <c r="E738" s="88"/>
      <c r="F738" s="88"/>
      <c r="G738" s="88"/>
      <c r="H738" s="88"/>
      <c r="I738" s="88"/>
      <c r="J738" s="88"/>
      <c r="K738" s="88"/>
      <c r="L738" s="88"/>
      <c r="M738" s="88"/>
      <c r="N738" s="88"/>
      <c r="O738" s="88"/>
      <c r="P738" s="88"/>
      <c r="Q738" s="88"/>
      <c r="R738" s="88"/>
      <c r="S738" s="88"/>
      <c r="T738" s="88"/>
      <c r="U738" s="88"/>
      <c r="V738" s="88"/>
      <c r="W738" s="88"/>
      <c r="X738" s="88"/>
      <c r="Y738" s="88"/>
      <c r="Z738" s="88"/>
      <c r="AA738" s="88"/>
      <c r="AB738" s="128"/>
      <c r="AC738" s="128"/>
      <c r="AD738" s="128"/>
      <c r="AE738" s="128"/>
      <c r="AF738" s="128"/>
      <c r="AG738" s="128"/>
      <c r="AH738" s="127"/>
    </row>
    <row r="739" spans="1:34" ht="13.2">
      <c r="A739" s="88"/>
      <c r="B739" s="88"/>
      <c r="C739" s="88"/>
      <c r="D739" s="88"/>
      <c r="E739" s="88"/>
      <c r="F739" s="88"/>
      <c r="G739" s="88"/>
      <c r="H739" s="88"/>
      <c r="I739" s="88"/>
      <c r="J739" s="88"/>
      <c r="K739" s="88"/>
      <c r="L739" s="88"/>
      <c r="M739" s="88"/>
      <c r="N739" s="88"/>
      <c r="O739" s="88"/>
      <c r="P739" s="88"/>
      <c r="Q739" s="88"/>
      <c r="R739" s="88"/>
      <c r="S739" s="88"/>
      <c r="T739" s="88"/>
      <c r="U739" s="88"/>
      <c r="V739" s="88"/>
      <c r="W739" s="88"/>
      <c r="X739" s="88"/>
      <c r="Y739" s="88"/>
      <c r="Z739" s="88"/>
      <c r="AA739" s="88"/>
      <c r="AB739" s="128"/>
      <c r="AC739" s="128"/>
      <c r="AD739" s="128"/>
      <c r="AE739" s="128"/>
      <c r="AF739" s="128"/>
      <c r="AG739" s="128"/>
      <c r="AH739" s="127"/>
    </row>
    <row r="740" spans="1:34" ht="13.2">
      <c r="A740" s="88"/>
      <c r="B740" s="88"/>
      <c r="C740" s="88"/>
      <c r="D740" s="88"/>
      <c r="E740" s="88"/>
      <c r="F740" s="88"/>
      <c r="G740" s="88"/>
      <c r="H740" s="88"/>
      <c r="I740" s="88"/>
      <c r="J740" s="88"/>
      <c r="K740" s="88"/>
      <c r="L740" s="88"/>
      <c r="M740" s="88"/>
      <c r="N740" s="88"/>
      <c r="O740" s="88"/>
      <c r="P740" s="88"/>
      <c r="Q740" s="88"/>
      <c r="R740" s="88"/>
      <c r="S740" s="88"/>
      <c r="T740" s="88"/>
      <c r="U740" s="88"/>
      <c r="V740" s="88"/>
      <c r="W740" s="88"/>
      <c r="X740" s="88"/>
      <c r="Y740" s="88"/>
      <c r="Z740" s="88"/>
      <c r="AA740" s="88"/>
      <c r="AB740" s="128"/>
      <c r="AC740" s="128"/>
      <c r="AD740" s="128"/>
      <c r="AE740" s="128"/>
      <c r="AF740" s="128"/>
      <c r="AG740" s="128"/>
      <c r="AH740" s="127"/>
    </row>
    <row r="741" spans="1:34" ht="13.2">
      <c r="A741" s="88"/>
      <c r="B741" s="88"/>
      <c r="C741" s="88"/>
      <c r="D741" s="88"/>
      <c r="E741" s="88"/>
      <c r="F741" s="88"/>
      <c r="G741" s="88"/>
      <c r="H741" s="88"/>
      <c r="I741" s="88"/>
      <c r="J741" s="88"/>
      <c r="K741" s="88"/>
      <c r="L741" s="88"/>
      <c r="M741" s="88"/>
      <c r="N741" s="88"/>
      <c r="O741" s="88"/>
      <c r="P741" s="88"/>
      <c r="Q741" s="88"/>
      <c r="R741" s="88"/>
      <c r="S741" s="88"/>
      <c r="T741" s="88"/>
      <c r="U741" s="88"/>
      <c r="V741" s="88"/>
      <c r="W741" s="88"/>
      <c r="X741" s="88"/>
      <c r="Y741" s="88"/>
      <c r="Z741" s="88"/>
      <c r="AA741" s="88"/>
      <c r="AB741" s="128"/>
      <c r="AC741" s="128"/>
      <c r="AD741" s="128"/>
      <c r="AE741" s="128"/>
      <c r="AF741" s="128"/>
      <c r="AG741" s="128"/>
      <c r="AH741" s="127"/>
    </row>
    <row r="742" spans="1:34" ht="13.2">
      <c r="A742" s="88"/>
      <c r="B742" s="88"/>
      <c r="C742" s="88"/>
      <c r="D742" s="88"/>
      <c r="E742" s="88"/>
      <c r="F742" s="88"/>
      <c r="G742" s="88"/>
      <c r="H742" s="88"/>
      <c r="I742" s="88"/>
      <c r="J742" s="88"/>
      <c r="K742" s="88"/>
      <c r="L742" s="88"/>
      <c r="M742" s="88"/>
      <c r="N742" s="88"/>
      <c r="O742" s="88"/>
      <c r="P742" s="88"/>
      <c r="Q742" s="88"/>
      <c r="R742" s="88"/>
      <c r="S742" s="88"/>
      <c r="T742" s="88"/>
      <c r="U742" s="88"/>
      <c r="V742" s="88"/>
      <c r="W742" s="88"/>
      <c r="X742" s="88"/>
      <c r="Y742" s="88"/>
      <c r="Z742" s="88"/>
      <c r="AA742" s="88"/>
      <c r="AB742" s="128"/>
      <c r="AC742" s="128"/>
      <c r="AD742" s="128"/>
      <c r="AE742" s="128"/>
      <c r="AF742" s="128"/>
      <c r="AG742" s="128"/>
      <c r="AH742" s="127"/>
    </row>
    <row r="743" spans="1:34" ht="13.2">
      <c r="A743" s="88"/>
      <c r="B743" s="88"/>
      <c r="C743" s="88"/>
      <c r="D743" s="88"/>
      <c r="E743" s="88"/>
      <c r="F743" s="88"/>
      <c r="G743" s="88"/>
      <c r="H743" s="88"/>
      <c r="I743" s="88"/>
      <c r="J743" s="88"/>
      <c r="K743" s="88"/>
      <c r="L743" s="88"/>
      <c r="M743" s="88"/>
      <c r="N743" s="88"/>
      <c r="O743" s="88"/>
      <c r="P743" s="88"/>
      <c r="Q743" s="88"/>
      <c r="R743" s="88"/>
      <c r="S743" s="88"/>
      <c r="T743" s="88"/>
      <c r="U743" s="88"/>
      <c r="V743" s="88"/>
      <c r="W743" s="88"/>
      <c r="X743" s="88"/>
      <c r="Y743" s="88"/>
      <c r="Z743" s="88"/>
      <c r="AA743" s="88"/>
      <c r="AB743" s="128"/>
      <c r="AC743" s="128"/>
      <c r="AD743" s="128"/>
      <c r="AE743" s="128"/>
      <c r="AF743" s="128"/>
      <c r="AG743" s="128"/>
      <c r="AH743" s="127"/>
    </row>
    <row r="744" spans="1:34" ht="13.2">
      <c r="A744" s="88"/>
      <c r="B744" s="88"/>
      <c r="C744" s="88"/>
      <c r="D744" s="88"/>
      <c r="E744" s="88"/>
      <c r="F744" s="88"/>
      <c r="G744" s="88"/>
      <c r="H744" s="88"/>
      <c r="I744" s="88"/>
      <c r="J744" s="88"/>
      <c r="K744" s="88"/>
      <c r="L744" s="88"/>
      <c r="M744" s="88"/>
      <c r="N744" s="88"/>
      <c r="O744" s="88"/>
      <c r="P744" s="88"/>
      <c r="Q744" s="88"/>
      <c r="R744" s="88"/>
      <c r="S744" s="88"/>
      <c r="T744" s="88"/>
      <c r="U744" s="88"/>
      <c r="V744" s="88"/>
      <c r="W744" s="88"/>
      <c r="X744" s="88"/>
      <c r="Y744" s="88"/>
      <c r="Z744" s="88"/>
      <c r="AA744" s="88"/>
      <c r="AB744" s="128"/>
      <c r="AC744" s="128"/>
      <c r="AD744" s="128"/>
      <c r="AE744" s="128"/>
      <c r="AF744" s="128"/>
      <c r="AG744" s="128"/>
      <c r="AH744" s="127"/>
    </row>
    <row r="745" spans="1:34" ht="13.2">
      <c r="A745" s="88"/>
      <c r="B745" s="88"/>
      <c r="C745" s="88"/>
      <c r="D745" s="88"/>
      <c r="E745" s="88"/>
      <c r="F745" s="88"/>
      <c r="G745" s="88"/>
      <c r="H745" s="88"/>
      <c r="I745" s="88"/>
      <c r="J745" s="88"/>
      <c r="K745" s="88"/>
      <c r="L745" s="88"/>
      <c r="M745" s="88"/>
      <c r="N745" s="88"/>
      <c r="O745" s="88"/>
      <c r="P745" s="88"/>
      <c r="Q745" s="88"/>
      <c r="R745" s="88"/>
      <c r="S745" s="88"/>
      <c r="T745" s="88"/>
      <c r="U745" s="88"/>
      <c r="V745" s="88"/>
      <c r="W745" s="88"/>
      <c r="X745" s="88"/>
      <c r="Y745" s="88"/>
      <c r="Z745" s="88"/>
      <c r="AA745" s="88"/>
      <c r="AB745" s="128"/>
      <c r="AC745" s="128"/>
      <c r="AD745" s="128"/>
      <c r="AE745" s="128"/>
      <c r="AF745" s="128"/>
      <c r="AG745" s="128"/>
      <c r="AH745" s="127"/>
    </row>
    <row r="746" spans="1:34" ht="13.2">
      <c r="A746" s="88"/>
      <c r="B746" s="88"/>
      <c r="C746" s="88"/>
      <c r="D746" s="88"/>
      <c r="E746" s="88"/>
      <c r="F746" s="88"/>
      <c r="G746" s="88"/>
      <c r="H746" s="88"/>
      <c r="I746" s="88"/>
      <c r="J746" s="88"/>
      <c r="K746" s="88"/>
      <c r="L746" s="88"/>
      <c r="M746" s="88"/>
      <c r="N746" s="88"/>
      <c r="O746" s="88"/>
      <c r="P746" s="88"/>
      <c r="Q746" s="88"/>
      <c r="R746" s="88"/>
      <c r="S746" s="88"/>
      <c r="T746" s="88"/>
      <c r="U746" s="88"/>
      <c r="V746" s="88"/>
      <c r="W746" s="88"/>
      <c r="X746" s="88"/>
      <c r="Y746" s="88"/>
      <c r="Z746" s="88"/>
      <c r="AA746" s="88"/>
      <c r="AB746" s="128"/>
      <c r="AC746" s="128"/>
      <c r="AD746" s="128"/>
      <c r="AE746" s="128"/>
      <c r="AF746" s="128"/>
      <c r="AG746" s="128"/>
      <c r="AH746" s="127"/>
    </row>
    <row r="747" spans="1:34" ht="13.2">
      <c r="A747" s="88"/>
      <c r="B747" s="88"/>
      <c r="C747" s="88"/>
      <c r="D747" s="88"/>
      <c r="E747" s="88"/>
      <c r="F747" s="88"/>
      <c r="G747" s="88"/>
      <c r="H747" s="88"/>
      <c r="I747" s="88"/>
      <c r="J747" s="88"/>
      <c r="K747" s="88"/>
      <c r="L747" s="88"/>
      <c r="M747" s="88"/>
      <c r="N747" s="88"/>
      <c r="O747" s="88"/>
      <c r="P747" s="88"/>
      <c r="Q747" s="88"/>
      <c r="R747" s="88"/>
      <c r="S747" s="88"/>
      <c r="T747" s="88"/>
      <c r="U747" s="88"/>
      <c r="V747" s="88"/>
      <c r="W747" s="88"/>
      <c r="X747" s="88"/>
      <c r="Y747" s="88"/>
      <c r="Z747" s="88"/>
      <c r="AA747" s="88"/>
      <c r="AB747" s="128"/>
      <c r="AC747" s="128"/>
      <c r="AD747" s="128"/>
      <c r="AE747" s="128"/>
      <c r="AF747" s="128"/>
      <c r="AG747" s="128"/>
      <c r="AH747" s="127"/>
    </row>
    <row r="748" spans="1:34" ht="13.2">
      <c r="A748" s="88"/>
      <c r="B748" s="88"/>
      <c r="C748" s="88"/>
      <c r="D748" s="88"/>
      <c r="E748" s="88"/>
      <c r="F748" s="88"/>
      <c r="G748" s="88"/>
      <c r="H748" s="88"/>
      <c r="I748" s="88"/>
      <c r="J748" s="88"/>
      <c r="K748" s="88"/>
      <c r="L748" s="88"/>
      <c r="M748" s="88"/>
      <c r="N748" s="88"/>
      <c r="O748" s="88"/>
      <c r="P748" s="88"/>
      <c r="Q748" s="88"/>
      <c r="R748" s="88"/>
      <c r="S748" s="88"/>
      <c r="T748" s="88"/>
      <c r="U748" s="88"/>
      <c r="V748" s="88"/>
      <c r="W748" s="88"/>
      <c r="X748" s="88"/>
      <c r="Y748" s="88"/>
      <c r="Z748" s="88"/>
      <c r="AA748" s="88"/>
      <c r="AB748" s="128"/>
      <c r="AC748" s="128"/>
      <c r="AD748" s="128"/>
      <c r="AE748" s="128"/>
      <c r="AF748" s="128"/>
      <c r="AG748" s="128"/>
      <c r="AH748" s="127"/>
    </row>
    <row r="749" spans="1:34" ht="13.2">
      <c r="A749" s="88"/>
      <c r="B749" s="88"/>
      <c r="C749" s="88"/>
      <c r="D749" s="88"/>
      <c r="E749" s="88"/>
      <c r="F749" s="88"/>
      <c r="G749" s="88"/>
      <c r="H749" s="88"/>
      <c r="I749" s="88"/>
      <c r="J749" s="88"/>
      <c r="K749" s="88"/>
      <c r="L749" s="88"/>
      <c r="M749" s="88"/>
      <c r="N749" s="88"/>
      <c r="O749" s="88"/>
      <c r="P749" s="88"/>
      <c r="Q749" s="88"/>
      <c r="R749" s="88"/>
      <c r="S749" s="88"/>
      <c r="T749" s="88"/>
      <c r="U749" s="88"/>
      <c r="V749" s="88"/>
      <c r="W749" s="88"/>
      <c r="X749" s="88"/>
      <c r="Y749" s="88"/>
      <c r="Z749" s="88"/>
      <c r="AA749" s="88"/>
      <c r="AB749" s="128"/>
      <c r="AC749" s="128"/>
      <c r="AD749" s="128"/>
      <c r="AE749" s="128"/>
      <c r="AF749" s="128"/>
      <c r="AG749" s="128"/>
      <c r="AH749" s="127"/>
    </row>
    <row r="750" spans="1:34" ht="13.2">
      <c r="A750" s="88"/>
      <c r="B750" s="88"/>
      <c r="C750" s="88"/>
      <c r="D750" s="88"/>
      <c r="E750" s="88"/>
      <c r="F750" s="88"/>
      <c r="G750" s="88"/>
      <c r="H750" s="88"/>
      <c r="I750" s="88"/>
      <c r="J750" s="88"/>
      <c r="K750" s="88"/>
      <c r="L750" s="88"/>
      <c r="M750" s="88"/>
      <c r="N750" s="88"/>
      <c r="O750" s="88"/>
      <c r="P750" s="88"/>
      <c r="Q750" s="88"/>
      <c r="R750" s="88"/>
      <c r="S750" s="88"/>
      <c r="T750" s="88"/>
      <c r="U750" s="88"/>
      <c r="V750" s="88"/>
      <c r="W750" s="88"/>
      <c r="X750" s="88"/>
      <c r="Y750" s="88"/>
      <c r="Z750" s="88"/>
      <c r="AA750" s="88"/>
      <c r="AB750" s="128"/>
      <c r="AC750" s="128"/>
      <c r="AD750" s="128"/>
      <c r="AE750" s="128"/>
      <c r="AF750" s="128"/>
      <c r="AG750" s="128"/>
      <c r="AH750" s="127"/>
    </row>
    <row r="751" spans="1:34" ht="13.2">
      <c r="A751" s="88"/>
      <c r="B751" s="88"/>
      <c r="C751" s="88"/>
      <c r="D751" s="88"/>
      <c r="E751" s="88"/>
      <c r="F751" s="88"/>
      <c r="G751" s="88"/>
      <c r="H751" s="88"/>
      <c r="I751" s="88"/>
      <c r="J751" s="88"/>
      <c r="K751" s="88"/>
      <c r="L751" s="88"/>
      <c r="M751" s="88"/>
      <c r="N751" s="88"/>
      <c r="O751" s="88"/>
      <c r="P751" s="88"/>
      <c r="Q751" s="88"/>
      <c r="R751" s="88"/>
      <c r="S751" s="88"/>
      <c r="T751" s="88"/>
      <c r="U751" s="88"/>
      <c r="V751" s="88"/>
      <c r="W751" s="88"/>
      <c r="X751" s="88"/>
      <c r="Y751" s="88"/>
      <c r="Z751" s="88"/>
      <c r="AA751" s="88"/>
      <c r="AB751" s="128"/>
      <c r="AC751" s="128"/>
      <c r="AD751" s="128"/>
      <c r="AE751" s="128"/>
      <c r="AF751" s="128"/>
      <c r="AG751" s="128"/>
      <c r="AH751" s="127"/>
    </row>
    <row r="752" spans="1:34" ht="13.2">
      <c r="A752" s="88"/>
      <c r="B752" s="88"/>
      <c r="C752" s="88"/>
      <c r="D752" s="88"/>
      <c r="E752" s="88"/>
      <c r="F752" s="88"/>
      <c r="G752" s="88"/>
      <c r="H752" s="88"/>
      <c r="I752" s="88"/>
      <c r="J752" s="88"/>
      <c r="K752" s="88"/>
      <c r="L752" s="88"/>
      <c r="M752" s="88"/>
      <c r="N752" s="88"/>
      <c r="O752" s="88"/>
      <c r="P752" s="88"/>
      <c r="Q752" s="88"/>
      <c r="R752" s="88"/>
      <c r="S752" s="88"/>
      <c r="T752" s="88"/>
      <c r="U752" s="88"/>
      <c r="V752" s="88"/>
      <c r="W752" s="88"/>
      <c r="X752" s="88"/>
      <c r="Y752" s="88"/>
      <c r="Z752" s="88"/>
      <c r="AA752" s="88"/>
      <c r="AB752" s="128"/>
      <c r="AC752" s="128"/>
      <c r="AD752" s="128"/>
      <c r="AE752" s="128"/>
      <c r="AF752" s="128"/>
      <c r="AG752" s="128"/>
      <c r="AH752" s="127"/>
    </row>
    <row r="753" spans="1:34" ht="13.2">
      <c r="A753" s="88"/>
      <c r="B753" s="88"/>
      <c r="C753" s="88"/>
      <c r="D753" s="88"/>
      <c r="E753" s="88"/>
      <c r="F753" s="88"/>
      <c r="G753" s="88"/>
      <c r="H753" s="88"/>
      <c r="I753" s="88"/>
      <c r="J753" s="88"/>
      <c r="K753" s="88"/>
      <c r="L753" s="88"/>
      <c r="M753" s="88"/>
      <c r="N753" s="88"/>
      <c r="O753" s="88"/>
      <c r="P753" s="88"/>
      <c r="Q753" s="88"/>
      <c r="R753" s="88"/>
      <c r="S753" s="88"/>
      <c r="T753" s="88"/>
      <c r="U753" s="88"/>
      <c r="V753" s="88"/>
      <c r="W753" s="88"/>
      <c r="X753" s="88"/>
      <c r="Y753" s="88"/>
      <c r="Z753" s="88"/>
      <c r="AA753" s="88"/>
      <c r="AB753" s="128"/>
      <c r="AC753" s="128"/>
      <c r="AD753" s="128"/>
      <c r="AE753" s="128"/>
      <c r="AF753" s="128"/>
      <c r="AG753" s="128"/>
      <c r="AH753" s="127"/>
    </row>
    <row r="754" spans="1:34" ht="13.2">
      <c r="A754" s="88"/>
      <c r="B754" s="88"/>
      <c r="C754" s="88"/>
      <c r="D754" s="88"/>
      <c r="E754" s="88"/>
      <c r="F754" s="88"/>
      <c r="G754" s="88"/>
      <c r="H754" s="88"/>
      <c r="I754" s="88"/>
      <c r="J754" s="88"/>
      <c r="K754" s="88"/>
      <c r="L754" s="88"/>
      <c r="M754" s="88"/>
      <c r="N754" s="88"/>
      <c r="O754" s="88"/>
      <c r="P754" s="88"/>
      <c r="Q754" s="88"/>
      <c r="R754" s="88"/>
      <c r="S754" s="88"/>
      <c r="T754" s="88"/>
      <c r="U754" s="88"/>
      <c r="V754" s="88"/>
      <c r="W754" s="88"/>
      <c r="X754" s="88"/>
      <c r="Y754" s="88"/>
      <c r="Z754" s="88"/>
      <c r="AA754" s="88"/>
      <c r="AB754" s="128"/>
      <c r="AC754" s="128"/>
      <c r="AD754" s="128"/>
      <c r="AE754" s="128"/>
      <c r="AF754" s="128"/>
      <c r="AG754" s="128"/>
      <c r="AH754" s="127"/>
    </row>
    <row r="755" spans="1:34" ht="13.2">
      <c r="A755" s="88"/>
      <c r="B755" s="88"/>
      <c r="C755" s="88"/>
      <c r="D755" s="88"/>
      <c r="E755" s="88"/>
      <c r="F755" s="88"/>
      <c r="G755" s="88"/>
      <c r="H755" s="88"/>
      <c r="I755" s="88"/>
      <c r="J755" s="88"/>
      <c r="K755" s="88"/>
      <c r="L755" s="88"/>
      <c r="M755" s="88"/>
      <c r="N755" s="88"/>
      <c r="O755" s="88"/>
      <c r="P755" s="88"/>
      <c r="Q755" s="88"/>
      <c r="R755" s="88"/>
      <c r="S755" s="88"/>
      <c r="T755" s="88"/>
      <c r="U755" s="88"/>
      <c r="V755" s="88"/>
      <c r="W755" s="88"/>
      <c r="X755" s="88"/>
      <c r="Y755" s="88"/>
      <c r="Z755" s="88"/>
      <c r="AA755" s="88"/>
      <c r="AB755" s="128"/>
      <c r="AC755" s="128"/>
      <c r="AD755" s="128"/>
      <c r="AE755" s="128"/>
      <c r="AF755" s="128"/>
      <c r="AG755" s="128"/>
      <c r="AH755" s="127"/>
    </row>
    <row r="756" spans="1:34" ht="13.2">
      <c r="A756" s="88"/>
      <c r="B756" s="88"/>
      <c r="C756" s="88"/>
      <c r="D756" s="88"/>
      <c r="E756" s="88"/>
      <c r="F756" s="88"/>
      <c r="G756" s="88"/>
      <c r="H756" s="88"/>
      <c r="I756" s="88"/>
      <c r="J756" s="88"/>
      <c r="K756" s="88"/>
      <c r="L756" s="88"/>
      <c r="M756" s="88"/>
      <c r="N756" s="88"/>
      <c r="O756" s="88"/>
      <c r="P756" s="88"/>
      <c r="Q756" s="88"/>
      <c r="R756" s="88"/>
      <c r="S756" s="88"/>
      <c r="T756" s="88"/>
      <c r="U756" s="88"/>
      <c r="V756" s="88"/>
      <c r="W756" s="88"/>
      <c r="X756" s="88"/>
      <c r="Y756" s="88"/>
      <c r="Z756" s="88"/>
      <c r="AA756" s="88"/>
      <c r="AB756" s="128"/>
      <c r="AC756" s="128"/>
      <c r="AD756" s="128"/>
      <c r="AE756" s="128"/>
      <c r="AF756" s="128"/>
      <c r="AG756" s="128"/>
      <c r="AH756" s="127"/>
    </row>
    <row r="757" spans="1:34" ht="13.2">
      <c r="A757" s="88"/>
      <c r="B757" s="88"/>
      <c r="C757" s="88"/>
      <c r="D757" s="88"/>
      <c r="E757" s="88"/>
      <c r="F757" s="88"/>
      <c r="G757" s="88"/>
      <c r="H757" s="88"/>
      <c r="I757" s="88"/>
      <c r="J757" s="88"/>
      <c r="K757" s="88"/>
      <c r="L757" s="88"/>
      <c r="M757" s="88"/>
      <c r="N757" s="88"/>
      <c r="O757" s="88"/>
      <c r="P757" s="88"/>
      <c r="Q757" s="88"/>
      <c r="R757" s="88"/>
      <c r="S757" s="88"/>
      <c r="T757" s="88"/>
      <c r="U757" s="88"/>
      <c r="V757" s="88"/>
      <c r="W757" s="88"/>
      <c r="X757" s="88"/>
      <c r="Y757" s="88"/>
      <c r="Z757" s="88"/>
      <c r="AA757" s="88"/>
      <c r="AB757" s="128"/>
      <c r="AC757" s="128"/>
      <c r="AD757" s="128"/>
      <c r="AE757" s="128"/>
      <c r="AF757" s="128"/>
      <c r="AG757" s="128"/>
      <c r="AH757" s="127"/>
    </row>
    <row r="758" spans="1:34" ht="13.2">
      <c r="A758" s="88"/>
      <c r="B758" s="88"/>
      <c r="C758" s="88"/>
      <c r="D758" s="88"/>
      <c r="E758" s="88"/>
      <c r="F758" s="88"/>
      <c r="G758" s="88"/>
      <c r="H758" s="88"/>
      <c r="I758" s="88"/>
      <c r="J758" s="88"/>
      <c r="K758" s="88"/>
      <c r="L758" s="88"/>
      <c r="M758" s="88"/>
      <c r="N758" s="88"/>
      <c r="O758" s="88"/>
      <c r="P758" s="88"/>
      <c r="Q758" s="88"/>
      <c r="R758" s="88"/>
      <c r="S758" s="88"/>
      <c r="T758" s="88"/>
      <c r="U758" s="88"/>
      <c r="V758" s="88"/>
      <c r="W758" s="88"/>
      <c r="X758" s="88"/>
      <c r="Y758" s="88"/>
      <c r="Z758" s="88"/>
      <c r="AA758" s="88"/>
      <c r="AB758" s="128"/>
      <c r="AC758" s="128"/>
      <c r="AD758" s="128"/>
      <c r="AE758" s="128"/>
      <c r="AF758" s="128"/>
      <c r="AG758" s="128"/>
      <c r="AH758" s="127"/>
    </row>
    <row r="759" spans="1:34" ht="13.2">
      <c r="A759" s="88"/>
      <c r="B759" s="88"/>
      <c r="C759" s="88"/>
      <c r="D759" s="88"/>
      <c r="E759" s="88"/>
      <c r="F759" s="88"/>
      <c r="G759" s="88"/>
      <c r="H759" s="88"/>
      <c r="I759" s="88"/>
      <c r="J759" s="88"/>
      <c r="K759" s="88"/>
      <c r="L759" s="88"/>
      <c r="M759" s="88"/>
      <c r="N759" s="88"/>
      <c r="O759" s="88"/>
      <c r="P759" s="88"/>
      <c r="Q759" s="88"/>
      <c r="R759" s="88"/>
      <c r="S759" s="88"/>
      <c r="T759" s="88"/>
      <c r="U759" s="88"/>
      <c r="V759" s="88"/>
      <c r="W759" s="88"/>
      <c r="X759" s="88"/>
      <c r="Y759" s="88"/>
      <c r="Z759" s="88"/>
      <c r="AA759" s="88"/>
      <c r="AB759" s="128"/>
      <c r="AC759" s="128"/>
      <c r="AD759" s="128"/>
      <c r="AE759" s="128"/>
      <c r="AF759" s="128"/>
      <c r="AG759" s="128"/>
      <c r="AH759" s="127"/>
    </row>
    <row r="760" spans="1:34" ht="13.2">
      <c r="A760" s="88"/>
      <c r="B760" s="88"/>
      <c r="C760" s="88"/>
      <c r="D760" s="88"/>
      <c r="E760" s="88"/>
      <c r="F760" s="88"/>
      <c r="G760" s="88"/>
      <c r="H760" s="88"/>
      <c r="I760" s="88"/>
      <c r="J760" s="88"/>
      <c r="K760" s="88"/>
      <c r="L760" s="88"/>
      <c r="M760" s="88"/>
      <c r="N760" s="88"/>
      <c r="O760" s="88"/>
      <c r="P760" s="88"/>
      <c r="Q760" s="88"/>
      <c r="R760" s="88"/>
      <c r="S760" s="88"/>
      <c r="T760" s="88"/>
      <c r="U760" s="88"/>
      <c r="V760" s="88"/>
      <c r="W760" s="88"/>
      <c r="X760" s="88"/>
      <c r="Y760" s="88"/>
      <c r="Z760" s="88"/>
      <c r="AA760" s="88"/>
      <c r="AB760" s="128"/>
      <c r="AC760" s="128"/>
      <c r="AD760" s="128"/>
      <c r="AE760" s="128"/>
      <c r="AF760" s="128"/>
      <c r="AG760" s="128"/>
      <c r="AH760" s="127"/>
    </row>
    <row r="761" spans="1:34" ht="13.2">
      <c r="A761" s="88"/>
      <c r="B761" s="88"/>
      <c r="C761" s="88"/>
      <c r="D761" s="88"/>
      <c r="E761" s="88"/>
      <c r="F761" s="88"/>
      <c r="G761" s="88"/>
      <c r="H761" s="88"/>
      <c r="I761" s="88"/>
      <c r="J761" s="88"/>
      <c r="K761" s="88"/>
      <c r="L761" s="88"/>
      <c r="M761" s="88"/>
      <c r="N761" s="88"/>
      <c r="O761" s="88"/>
      <c r="P761" s="88"/>
      <c r="Q761" s="88"/>
      <c r="R761" s="88"/>
      <c r="S761" s="88"/>
      <c r="T761" s="88"/>
      <c r="U761" s="88"/>
      <c r="V761" s="88"/>
      <c r="W761" s="88"/>
      <c r="X761" s="88"/>
      <c r="Y761" s="88"/>
      <c r="Z761" s="88"/>
      <c r="AA761" s="88"/>
      <c r="AB761" s="128"/>
      <c r="AC761" s="128"/>
      <c r="AD761" s="128"/>
      <c r="AE761" s="128"/>
      <c r="AF761" s="128"/>
      <c r="AG761" s="128"/>
      <c r="AH761" s="127"/>
    </row>
    <row r="762" spans="1:34" ht="13.2">
      <c r="A762" s="88"/>
      <c r="B762" s="88"/>
      <c r="C762" s="88"/>
      <c r="D762" s="88"/>
      <c r="E762" s="88"/>
      <c r="F762" s="88"/>
      <c r="G762" s="88"/>
      <c r="H762" s="88"/>
      <c r="I762" s="88"/>
      <c r="J762" s="88"/>
      <c r="K762" s="88"/>
      <c r="L762" s="88"/>
      <c r="M762" s="88"/>
      <c r="N762" s="88"/>
      <c r="O762" s="88"/>
      <c r="P762" s="88"/>
      <c r="Q762" s="88"/>
      <c r="R762" s="88"/>
      <c r="S762" s="88"/>
      <c r="T762" s="88"/>
      <c r="U762" s="88"/>
      <c r="V762" s="88"/>
      <c r="W762" s="88"/>
      <c r="X762" s="88"/>
      <c r="Y762" s="88"/>
      <c r="Z762" s="88"/>
      <c r="AA762" s="88"/>
      <c r="AB762" s="128"/>
      <c r="AC762" s="128"/>
      <c r="AD762" s="128"/>
      <c r="AE762" s="128"/>
      <c r="AF762" s="128"/>
      <c r="AG762" s="128"/>
      <c r="AH762" s="127"/>
    </row>
    <row r="763" spans="1:34" ht="13.2">
      <c r="A763" s="88"/>
      <c r="B763" s="88"/>
      <c r="C763" s="88"/>
      <c r="D763" s="88"/>
      <c r="E763" s="88"/>
      <c r="F763" s="88"/>
      <c r="G763" s="88"/>
      <c r="H763" s="88"/>
      <c r="I763" s="88"/>
      <c r="J763" s="88"/>
      <c r="K763" s="88"/>
      <c r="L763" s="88"/>
      <c r="M763" s="88"/>
      <c r="N763" s="88"/>
      <c r="O763" s="88"/>
      <c r="P763" s="88"/>
      <c r="Q763" s="88"/>
      <c r="R763" s="88"/>
      <c r="S763" s="88"/>
      <c r="T763" s="88"/>
      <c r="U763" s="88"/>
      <c r="V763" s="88"/>
      <c r="W763" s="88"/>
      <c r="X763" s="88"/>
      <c r="Y763" s="88"/>
      <c r="Z763" s="88"/>
      <c r="AA763" s="88"/>
      <c r="AB763" s="128"/>
      <c r="AC763" s="128"/>
      <c r="AD763" s="128"/>
      <c r="AE763" s="128"/>
      <c r="AF763" s="128"/>
      <c r="AG763" s="128"/>
      <c r="AH763" s="127"/>
    </row>
    <row r="764" spans="1:34" ht="13.2">
      <c r="A764" s="88"/>
      <c r="B764" s="88"/>
      <c r="C764" s="88"/>
      <c r="D764" s="88"/>
      <c r="E764" s="88"/>
      <c r="F764" s="88"/>
      <c r="G764" s="88"/>
      <c r="H764" s="88"/>
      <c r="I764" s="88"/>
      <c r="J764" s="88"/>
      <c r="K764" s="88"/>
      <c r="L764" s="88"/>
      <c r="M764" s="88"/>
      <c r="N764" s="88"/>
      <c r="O764" s="88"/>
      <c r="P764" s="88"/>
      <c r="Q764" s="88"/>
      <c r="R764" s="88"/>
      <c r="S764" s="88"/>
      <c r="T764" s="88"/>
      <c r="U764" s="88"/>
      <c r="V764" s="88"/>
      <c r="W764" s="88"/>
      <c r="X764" s="88"/>
      <c r="Y764" s="88"/>
      <c r="Z764" s="88"/>
      <c r="AA764" s="88"/>
      <c r="AB764" s="128"/>
      <c r="AC764" s="128"/>
      <c r="AD764" s="128"/>
      <c r="AE764" s="128"/>
      <c r="AF764" s="128"/>
      <c r="AG764" s="128"/>
      <c r="AH764" s="127"/>
    </row>
    <row r="765" spans="1:34" ht="13.2">
      <c r="A765" s="88"/>
      <c r="B765" s="88"/>
      <c r="C765" s="88"/>
      <c r="D765" s="88"/>
      <c r="E765" s="88"/>
      <c r="F765" s="88"/>
      <c r="G765" s="88"/>
      <c r="H765" s="88"/>
      <c r="I765" s="88"/>
      <c r="J765" s="88"/>
      <c r="K765" s="88"/>
      <c r="L765" s="88"/>
      <c r="M765" s="88"/>
      <c r="N765" s="88"/>
      <c r="O765" s="88"/>
      <c r="P765" s="88"/>
      <c r="Q765" s="88"/>
      <c r="R765" s="88"/>
      <c r="S765" s="88"/>
      <c r="T765" s="88"/>
      <c r="U765" s="88"/>
      <c r="V765" s="88"/>
      <c r="W765" s="88"/>
      <c r="X765" s="88"/>
      <c r="Y765" s="88"/>
      <c r="Z765" s="88"/>
      <c r="AA765" s="88"/>
      <c r="AB765" s="128"/>
      <c r="AC765" s="128"/>
      <c r="AD765" s="128"/>
      <c r="AE765" s="128"/>
      <c r="AF765" s="128"/>
      <c r="AG765" s="128"/>
      <c r="AH765" s="127"/>
    </row>
    <row r="766" spans="1:34" ht="13.2">
      <c r="A766" s="88"/>
      <c r="B766" s="88"/>
      <c r="C766" s="88"/>
      <c r="D766" s="88"/>
      <c r="E766" s="88"/>
      <c r="F766" s="88"/>
      <c r="G766" s="88"/>
      <c r="H766" s="88"/>
      <c r="I766" s="88"/>
      <c r="J766" s="88"/>
      <c r="K766" s="88"/>
      <c r="L766" s="88"/>
      <c r="M766" s="88"/>
      <c r="N766" s="88"/>
      <c r="O766" s="88"/>
      <c r="P766" s="88"/>
      <c r="Q766" s="88"/>
      <c r="R766" s="88"/>
      <c r="S766" s="88"/>
      <c r="T766" s="88"/>
      <c r="U766" s="88"/>
      <c r="V766" s="88"/>
      <c r="W766" s="88"/>
      <c r="X766" s="88"/>
      <c r="Y766" s="88"/>
      <c r="Z766" s="88"/>
      <c r="AA766" s="88"/>
      <c r="AB766" s="128"/>
      <c r="AC766" s="128"/>
      <c r="AD766" s="128"/>
      <c r="AE766" s="128"/>
      <c r="AF766" s="128"/>
      <c r="AG766" s="128"/>
      <c r="AH766" s="127"/>
    </row>
    <row r="767" spans="1:34" ht="13.2">
      <c r="A767" s="88"/>
      <c r="B767" s="88"/>
      <c r="C767" s="88"/>
      <c r="D767" s="88"/>
      <c r="E767" s="88"/>
      <c r="F767" s="88"/>
      <c r="G767" s="88"/>
      <c r="H767" s="88"/>
      <c r="I767" s="88"/>
      <c r="J767" s="88"/>
      <c r="K767" s="88"/>
      <c r="L767" s="88"/>
      <c r="M767" s="88"/>
      <c r="N767" s="88"/>
      <c r="O767" s="88"/>
      <c r="P767" s="88"/>
      <c r="Q767" s="88"/>
      <c r="R767" s="88"/>
      <c r="S767" s="88"/>
      <c r="T767" s="88"/>
      <c r="U767" s="88"/>
      <c r="V767" s="88"/>
      <c r="W767" s="88"/>
      <c r="X767" s="88"/>
      <c r="Y767" s="88"/>
      <c r="Z767" s="88"/>
      <c r="AA767" s="88"/>
      <c r="AB767" s="128"/>
      <c r="AC767" s="128"/>
      <c r="AD767" s="128"/>
      <c r="AE767" s="128"/>
      <c r="AF767" s="128"/>
      <c r="AG767" s="128"/>
      <c r="AH767" s="127"/>
    </row>
    <row r="768" spans="1:34" ht="13.2">
      <c r="A768" s="88"/>
      <c r="B768" s="88"/>
      <c r="C768" s="88"/>
      <c r="D768" s="88"/>
      <c r="E768" s="88"/>
      <c r="F768" s="88"/>
      <c r="G768" s="88"/>
      <c r="H768" s="88"/>
      <c r="I768" s="88"/>
      <c r="J768" s="88"/>
      <c r="K768" s="88"/>
      <c r="L768" s="88"/>
      <c r="M768" s="88"/>
      <c r="N768" s="88"/>
      <c r="O768" s="88"/>
      <c r="P768" s="88"/>
      <c r="Q768" s="88"/>
      <c r="R768" s="88"/>
      <c r="S768" s="88"/>
      <c r="T768" s="88"/>
      <c r="U768" s="88"/>
      <c r="V768" s="88"/>
      <c r="W768" s="88"/>
      <c r="X768" s="88"/>
      <c r="Y768" s="88"/>
      <c r="Z768" s="88"/>
      <c r="AA768" s="88"/>
      <c r="AB768" s="128"/>
      <c r="AC768" s="128"/>
      <c r="AD768" s="128"/>
      <c r="AE768" s="128"/>
      <c r="AF768" s="128"/>
      <c r="AG768" s="128"/>
      <c r="AH768" s="127"/>
    </row>
    <row r="769" spans="1:34" ht="13.2">
      <c r="A769" s="88"/>
      <c r="B769" s="88"/>
      <c r="C769" s="88"/>
      <c r="D769" s="88"/>
      <c r="E769" s="88"/>
      <c r="F769" s="88"/>
      <c r="G769" s="88"/>
      <c r="H769" s="88"/>
      <c r="I769" s="88"/>
      <c r="J769" s="88"/>
      <c r="K769" s="88"/>
      <c r="L769" s="88"/>
      <c r="M769" s="88"/>
      <c r="N769" s="88"/>
      <c r="O769" s="88"/>
      <c r="P769" s="88"/>
      <c r="Q769" s="88"/>
      <c r="R769" s="88"/>
      <c r="S769" s="88"/>
      <c r="T769" s="88"/>
      <c r="U769" s="88"/>
      <c r="V769" s="88"/>
      <c r="W769" s="88"/>
      <c r="X769" s="88"/>
      <c r="Y769" s="88"/>
      <c r="Z769" s="88"/>
      <c r="AA769" s="88"/>
      <c r="AB769" s="128"/>
      <c r="AC769" s="128"/>
      <c r="AD769" s="128"/>
      <c r="AE769" s="128"/>
      <c r="AF769" s="128"/>
      <c r="AG769" s="128"/>
      <c r="AH769" s="127"/>
    </row>
    <row r="770" spans="1:34" ht="13.2">
      <c r="A770" s="88"/>
      <c r="B770" s="88"/>
      <c r="C770" s="88"/>
      <c r="D770" s="88"/>
      <c r="E770" s="88"/>
      <c r="F770" s="88"/>
      <c r="G770" s="88"/>
      <c r="H770" s="88"/>
      <c r="I770" s="88"/>
      <c r="J770" s="88"/>
      <c r="K770" s="88"/>
      <c r="L770" s="88"/>
      <c r="M770" s="88"/>
      <c r="N770" s="88"/>
      <c r="O770" s="88"/>
      <c r="P770" s="88"/>
      <c r="Q770" s="88"/>
      <c r="R770" s="88"/>
      <c r="S770" s="88"/>
      <c r="T770" s="88"/>
      <c r="U770" s="88"/>
      <c r="V770" s="88"/>
      <c r="W770" s="88"/>
      <c r="X770" s="88"/>
      <c r="Y770" s="88"/>
      <c r="Z770" s="88"/>
      <c r="AA770" s="88"/>
      <c r="AB770" s="128"/>
      <c r="AC770" s="128"/>
      <c r="AD770" s="128"/>
      <c r="AE770" s="128"/>
      <c r="AF770" s="128"/>
      <c r="AG770" s="128"/>
      <c r="AH770" s="127"/>
    </row>
    <row r="771" spans="1:34" ht="13.2">
      <c r="A771" s="88"/>
      <c r="B771" s="88"/>
      <c r="C771" s="88"/>
      <c r="D771" s="88"/>
      <c r="E771" s="88"/>
      <c r="F771" s="88"/>
      <c r="G771" s="88"/>
      <c r="H771" s="88"/>
      <c r="I771" s="88"/>
      <c r="J771" s="88"/>
      <c r="K771" s="88"/>
      <c r="L771" s="88"/>
      <c r="M771" s="88"/>
      <c r="N771" s="88"/>
      <c r="O771" s="88"/>
      <c r="P771" s="88"/>
      <c r="Q771" s="88"/>
      <c r="R771" s="88"/>
      <c r="S771" s="88"/>
      <c r="T771" s="88"/>
      <c r="U771" s="88"/>
      <c r="V771" s="88"/>
      <c r="W771" s="88"/>
      <c r="X771" s="88"/>
      <c r="Y771" s="88"/>
      <c r="Z771" s="88"/>
      <c r="AA771" s="88"/>
      <c r="AB771" s="128"/>
      <c r="AC771" s="128"/>
      <c r="AD771" s="128"/>
      <c r="AE771" s="128"/>
      <c r="AF771" s="128"/>
      <c r="AG771" s="128"/>
      <c r="AH771" s="127"/>
    </row>
    <row r="772" spans="1:34" ht="13.2">
      <c r="A772" s="88"/>
      <c r="B772" s="88"/>
      <c r="C772" s="88"/>
      <c r="D772" s="88"/>
      <c r="E772" s="88"/>
      <c r="F772" s="88"/>
      <c r="G772" s="88"/>
      <c r="H772" s="88"/>
      <c r="I772" s="88"/>
      <c r="J772" s="88"/>
      <c r="K772" s="88"/>
      <c r="L772" s="88"/>
      <c r="M772" s="88"/>
      <c r="N772" s="88"/>
      <c r="O772" s="88"/>
      <c r="P772" s="88"/>
      <c r="Q772" s="88"/>
      <c r="R772" s="88"/>
      <c r="S772" s="88"/>
      <c r="T772" s="88"/>
      <c r="U772" s="88"/>
      <c r="V772" s="88"/>
      <c r="W772" s="88"/>
      <c r="X772" s="88"/>
      <c r="Y772" s="88"/>
      <c r="Z772" s="88"/>
      <c r="AA772" s="88"/>
      <c r="AB772" s="128"/>
      <c r="AC772" s="128"/>
      <c r="AD772" s="128"/>
      <c r="AE772" s="128"/>
      <c r="AF772" s="128"/>
      <c r="AG772" s="128"/>
      <c r="AH772" s="127"/>
    </row>
    <row r="773" spans="1:34" ht="13.2">
      <c r="A773" s="88"/>
      <c r="B773" s="88"/>
      <c r="C773" s="88"/>
      <c r="D773" s="88"/>
      <c r="E773" s="88"/>
      <c r="F773" s="88"/>
      <c r="G773" s="88"/>
      <c r="H773" s="88"/>
      <c r="I773" s="88"/>
      <c r="J773" s="88"/>
      <c r="K773" s="88"/>
      <c r="L773" s="88"/>
      <c r="M773" s="88"/>
      <c r="N773" s="88"/>
      <c r="O773" s="88"/>
      <c r="P773" s="88"/>
      <c r="Q773" s="88"/>
      <c r="R773" s="88"/>
      <c r="S773" s="88"/>
      <c r="T773" s="88"/>
      <c r="U773" s="88"/>
      <c r="V773" s="88"/>
      <c r="W773" s="88"/>
      <c r="X773" s="88"/>
      <c r="Y773" s="88"/>
      <c r="Z773" s="88"/>
      <c r="AA773" s="88"/>
      <c r="AB773" s="128"/>
      <c r="AC773" s="128"/>
      <c r="AD773" s="128"/>
      <c r="AE773" s="128"/>
      <c r="AF773" s="128"/>
      <c r="AG773" s="128"/>
      <c r="AH773" s="127"/>
    </row>
    <row r="774" spans="1:34" ht="13.2">
      <c r="A774" s="88"/>
      <c r="B774" s="88"/>
      <c r="C774" s="88"/>
      <c r="D774" s="88"/>
      <c r="E774" s="88"/>
      <c r="F774" s="88"/>
      <c r="G774" s="88"/>
      <c r="H774" s="88"/>
      <c r="I774" s="88"/>
      <c r="J774" s="88"/>
      <c r="K774" s="88"/>
      <c r="L774" s="88"/>
      <c r="M774" s="88"/>
      <c r="N774" s="88"/>
      <c r="O774" s="88"/>
      <c r="P774" s="88"/>
      <c r="Q774" s="88"/>
      <c r="R774" s="88"/>
      <c r="S774" s="88"/>
      <c r="T774" s="88"/>
      <c r="U774" s="88"/>
      <c r="V774" s="88"/>
      <c r="W774" s="88"/>
      <c r="X774" s="88"/>
      <c r="Y774" s="88"/>
      <c r="Z774" s="88"/>
      <c r="AA774" s="88"/>
      <c r="AB774" s="128"/>
      <c r="AC774" s="128"/>
      <c r="AD774" s="128"/>
      <c r="AE774" s="128"/>
      <c r="AF774" s="128"/>
      <c r="AG774" s="128"/>
      <c r="AH774" s="127"/>
    </row>
    <row r="775" spans="1:34" ht="13.2">
      <c r="A775" s="88"/>
      <c r="B775" s="88"/>
      <c r="C775" s="88"/>
      <c r="D775" s="88"/>
      <c r="E775" s="88"/>
      <c r="F775" s="88"/>
      <c r="G775" s="88"/>
      <c r="H775" s="88"/>
      <c r="I775" s="88"/>
      <c r="J775" s="88"/>
      <c r="K775" s="88"/>
      <c r="L775" s="88"/>
      <c r="M775" s="88"/>
      <c r="N775" s="88"/>
      <c r="O775" s="88"/>
      <c r="P775" s="88"/>
      <c r="Q775" s="88"/>
      <c r="R775" s="88"/>
      <c r="S775" s="88"/>
      <c r="T775" s="88"/>
      <c r="U775" s="88"/>
      <c r="V775" s="88"/>
      <c r="W775" s="88"/>
      <c r="X775" s="88"/>
      <c r="Y775" s="88"/>
      <c r="Z775" s="88"/>
      <c r="AA775" s="88"/>
      <c r="AB775" s="128"/>
      <c r="AC775" s="128"/>
      <c r="AD775" s="128"/>
      <c r="AE775" s="128"/>
      <c r="AF775" s="128"/>
      <c r="AG775" s="128"/>
      <c r="AH775" s="127"/>
    </row>
    <row r="776" spans="1:34" ht="13.2">
      <c r="A776" s="88"/>
      <c r="B776" s="88"/>
      <c r="C776" s="88"/>
      <c r="D776" s="88"/>
      <c r="E776" s="88"/>
      <c r="F776" s="88"/>
      <c r="G776" s="88"/>
      <c r="H776" s="88"/>
      <c r="I776" s="88"/>
      <c r="J776" s="88"/>
      <c r="K776" s="88"/>
      <c r="L776" s="88"/>
      <c r="M776" s="88"/>
      <c r="N776" s="88"/>
      <c r="O776" s="88"/>
      <c r="P776" s="88"/>
      <c r="Q776" s="88"/>
      <c r="R776" s="88"/>
      <c r="S776" s="88"/>
      <c r="T776" s="88"/>
      <c r="U776" s="88"/>
      <c r="V776" s="88"/>
      <c r="W776" s="88"/>
      <c r="X776" s="88"/>
      <c r="Y776" s="88"/>
      <c r="Z776" s="88"/>
      <c r="AA776" s="88"/>
      <c r="AB776" s="128"/>
      <c r="AC776" s="128"/>
      <c r="AD776" s="128"/>
      <c r="AE776" s="128"/>
      <c r="AF776" s="128"/>
      <c r="AG776" s="128"/>
      <c r="AH776" s="127"/>
    </row>
    <row r="777" spans="1:34" ht="13.2">
      <c r="A777" s="88"/>
      <c r="B777" s="88"/>
      <c r="C777" s="88"/>
      <c r="D777" s="88"/>
      <c r="E777" s="88"/>
      <c r="F777" s="88"/>
      <c r="G777" s="88"/>
      <c r="H777" s="88"/>
      <c r="I777" s="88"/>
      <c r="J777" s="88"/>
      <c r="K777" s="88"/>
      <c r="L777" s="88"/>
      <c r="M777" s="88"/>
      <c r="N777" s="88"/>
      <c r="O777" s="88"/>
      <c r="P777" s="88"/>
      <c r="Q777" s="88"/>
      <c r="R777" s="88"/>
      <c r="S777" s="88"/>
      <c r="T777" s="88"/>
      <c r="U777" s="88"/>
      <c r="V777" s="88"/>
      <c r="W777" s="88"/>
      <c r="X777" s="88"/>
      <c r="Y777" s="88"/>
      <c r="Z777" s="88"/>
      <c r="AA777" s="88"/>
      <c r="AB777" s="128"/>
      <c r="AC777" s="128"/>
      <c r="AD777" s="128"/>
      <c r="AE777" s="128"/>
      <c r="AF777" s="128"/>
      <c r="AG777" s="128"/>
      <c r="AH777" s="127"/>
    </row>
    <row r="778" spans="1:34" ht="13.2">
      <c r="A778" s="88"/>
      <c r="B778" s="88"/>
      <c r="C778" s="88"/>
      <c r="D778" s="88"/>
      <c r="E778" s="88"/>
      <c r="F778" s="88"/>
      <c r="G778" s="88"/>
      <c r="H778" s="88"/>
      <c r="I778" s="88"/>
      <c r="J778" s="88"/>
      <c r="K778" s="88"/>
      <c r="L778" s="88"/>
      <c r="M778" s="88"/>
      <c r="N778" s="88"/>
      <c r="O778" s="88"/>
      <c r="P778" s="88"/>
      <c r="Q778" s="88"/>
      <c r="R778" s="88"/>
      <c r="S778" s="88"/>
      <c r="T778" s="88"/>
      <c r="U778" s="88"/>
      <c r="V778" s="88"/>
      <c r="W778" s="88"/>
      <c r="X778" s="88"/>
      <c r="Y778" s="88"/>
      <c r="Z778" s="88"/>
      <c r="AA778" s="88"/>
      <c r="AB778" s="128"/>
      <c r="AC778" s="128"/>
      <c r="AD778" s="128"/>
      <c r="AE778" s="128"/>
      <c r="AF778" s="128"/>
      <c r="AG778" s="128"/>
      <c r="AH778" s="127"/>
    </row>
    <row r="779" spans="1:34" ht="13.2">
      <c r="A779" s="88"/>
      <c r="B779" s="88"/>
      <c r="C779" s="88"/>
      <c r="D779" s="88"/>
      <c r="E779" s="88"/>
      <c r="F779" s="88"/>
      <c r="G779" s="88"/>
      <c r="H779" s="88"/>
      <c r="I779" s="88"/>
      <c r="J779" s="88"/>
      <c r="K779" s="88"/>
      <c r="L779" s="88"/>
      <c r="M779" s="88"/>
      <c r="N779" s="88"/>
      <c r="O779" s="88"/>
      <c r="P779" s="88"/>
      <c r="Q779" s="88"/>
      <c r="R779" s="88"/>
      <c r="S779" s="88"/>
      <c r="T779" s="88"/>
      <c r="U779" s="88"/>
      <c r="V779" s="88"/>
      <c r="W779" s="88"/>
      <c r="X779" s="88"/>
      <c r="Y779" s="88"/>
      <c r="Z779" s="88"/>
      <c r="AA779" s="88"/>
      <c r="AB779" s="128"/>
      <c r="AC779" s="128"/>
      <c r="AD779" s="128"/>
      <c r="AE779" s="128"/>
      <c r="AF779" s="128"/>
      <c r="AG779" s="128"/>
      <c r="AH779" s="127"/>
    </row>
    <row r="780" spans="1:34" ht="13.2">
      <c r="A780" s="88"/>
      <c r="B780" s="88"/>
      <c r="C780" s="88"/>
      <c r="D780" s="88"/>
      <c r="E780" s="88"/>
      <c r="F780" s="88"/>
      <c r="G780" s="88"/>
      <c r="H780" s="88"/>
      <c r="I780" s="88"/>
      <c r="J780" s="88"/>
      <c r="K780" s="88"/>
      <c r="L780" s="88"/>
      <c r="M780" s="88"/>
      <c r="N780" s="88"/>
      <c r="O780" s="88"/>
      <c r="P780" s="88"/>
      <c r="Q780" s="88"/>
      <c r="R780" s="88"/>
      <c r="S780" s="88"/>
      <c r="T780" s="88"/>
      <c r="U780" s="88"/>
      <c r="V780" s="88"/>
      <c r="W780" s="88"/>
      <c r="X780" s="88"/>
      <c r="Y780" s="88"/>
      <c r="Z780" s="88"/>
      <c r="AA780" s="88"/>
      <c r="AB780" s="128"/>
      <c r="AC780" s="128"/>
      <c r="AD780" s="128"/>
      <c r="AE780" s="128"/>
      <c r="AF780" s="128"/>
      <c r="AG780" s="128"/>
      <c r="AH780" s="127"/>
    </row>
    <row r="781" spans="1:34" ht="13.2">
      <c r="A781" s="88"/>
      <c r="B781" s="88"/>
      <c r="C781" s="88"/>
      <c r="D781" s="88"/>
      <c r="E781" s="88"/>
      <c r="F781" s="88"/>
      <c r="G781" s="88"/>
      <c r="H781" s="88"/>
      <c r="I781" s="88"/>
      <c r="J781" s="88"/>
      <c r="K781" s="88"/>
      <c r="L781" s="88"/>
      <c r="M781" s="88"/>
      <c r="N781" s="88"/>
      <c r="O781" s="88"/>
      <c r="P781" s="88"/>
      <c r="Q781" s="88"/>
      <c r="R781" s="88"/>
      <c r="S781" s="88"/>
      <c r="T781" s="88"/>
      <c r="U781" s="88"/>
      <c r="V781" s="88"/>
      <c r="W781" s="88"/>
      <c r="X781" s="88"/>
      <c r="Y781" s="88"/>
      <c r="Z781" s="88"/>
      <c r="AA781" s="88"/>
      <c r="AB781" s="128"/>
      <c r="AC781" s="128"/>
      <c r="AD781" s="128"/>
      <c r="AE781" s="128"/>
      <c r="AF781" s="128"/>
      <c r="AG781" s="128"/>
      <c r="AH781" s="127"/>
    </row>
    <row r="782" spans="1:34" ht="13.2">
      <c r="A782" s="88"/>
      <c r="B782" s="88"/>
      <c r="C782" s="88"/>
      <c r="D782" s="88"/>
      <c r="E782" s="88"/>
      <c r="F782" s="88"/>
      <c r="G782" s="88"/>
      <c r="H782" s="88"/>
      <c r="I782" s="88"/>
      <c r="J782" s="88"/>
      <c r="K782" s="88"/>
      <c r="L782" s="88"/>
      <c r="M782" s="88"/>
      <c r="N782" s="88"/>
      <c r="O782" s="88"/>
      <c r="P782" s="88"/>
      <c r="Q782" s="88"/>
      <c r="R782" s="88"/>
      <c r="S782" s="88"/>
      <c r="T782" s="88"/>
      <c r="U782" s="88"/>
      <c r="V782" s="88"/>
      <c r="W782" s="88"/>
      <c r="X782" s="88"/>
      <c r="Y782" s="88"/>
      <c r="Z782" s="88"/>
      <c r="AA782" s="88"/>
      <c r="AB782" s="128"/>
      <c r="AC782" s="128"/>
      <c r="AD782" s="128"/>
      <c r="AE782" s="128"/>
      <c r="AF782" s="128"/>
      <c r="AG782" s="128"/>
      <c r="AH782" s="127"/>
    </row>
    <row r="783" spans="1:34" ht="13.2">
      <c r="A783" s="88"/>
      <c r="B783" s="88"/>
      <c r="C783" s="88"/>
      <c r="D783" s="88"/>
      <c r="E783" s="88"/>
      <c r="F783" s="88"/>
      <c r="G783" s="88"/>
      <c r="H783" s="88"/>
      <c r="I783" s="88"/>
      <c r="J783" s="88"/>
      <c r="K783" s="88"/>
      <c r="L783" s="88"/>
      <c r="M783" s="88"/>
      <c r="N783" s="88"/>
      <c r="O783" s="88"/>
      <c r="P783" s="88"/>
      <c r="Q783" s="88"/>
      <c r="R783" s="88"/>
      <c r="S783" s="88"/>
      <c r="T783" s="88"/>
      <c r="U783" s="88"/>
      <c r="V783" s="88"/>
      <c r="W783" s="88"/>
      <c r="X783" s="88"/>
      <c r="Y783" s="88"/>
      <c r="Z783" s="88"/>
      <c r="AA783" s="88"/>
      <c r="AB783" s="128"/>
      <c r="AC783" s="128"/>
      <c r="AD783" s="128"/>
      <c r="AE783" s="128"/>
      <c r="AF783" s="128"/>
      <c r="AG783" s="128"/>
      <c r="AH783" s="127"/>
    </row>
    <row r="784" spans="1:34" ht="13.2">
      <c r="A784" s="88"/>
      <c r="B784" s="88"/>
      <c r="C784" s="88"/>
      <c r="D784" s="88"/>
      <c r="E784" s="88"/>
      <c r="F784" s="88"/>
      <c r="G784" s="88"/>
      <c r="H784" s="88"/>
      <c r="I784" s="88"/>
      <c r="J784" s="88"/>
      <c r="K784" s="88"/>
      <c r="L784" s="88"/>
      <c r="M784" s="88"/>
      <c r="N784" s="88"/>
      <c r="O784" s="88"/>
      <c r="P784" s="88"/>
      <c r="Q784" s="88"/>
      <c r="R784" s="88"/>
      <c r="S784" s="88"/>
      <c r="T784" s="88"/>
      <c r="U784" s="88"/>
      <c r="V784" s="88"/>
      <c r="W784" s="88"/>
      <c r="X784" s="88"/>
      <c r="Y784" s="88"/>
      <c r="Z784" s="88"/>
      <c r="AA784" s="88"/>
      <c r="AB784" s="128"/>
      <c r="AC784" s="128"/>
      <c r="AD784" s="128"/>
      <c r="AE784" s="128"/>
      <c r="AF784" s="128"/>
      <c r="AG784" s="128"/>
      <c r="AH784" s="127"/>
    </row>
    <row r="785" spans="1:34" ht="13.2">
      <c r="A785" s="88"/>
      <c r="B785" s="88"/>
      <c r="C785" s="88"/>
      <c r="D785" s="88"/>
      <c r="E785" s="88"/>
      <c r="F785" s="88"/>
      <c r="G785" s="88"/>
      <c r="H785" s="88"/>
      <c r="I785" s="88"/>
      <c r="J785" s="88"/>
      <c r="K785" s="88"/>
      <c r="L785" s="88"/>
      <c r="M785" s="88"/>
      <c r="N785" s="88"/>
      <c r="O785" s="88"/>
      <c r="P785" s="88"/>
      <c r="Q785" s="88"/>
      <c r="R785" s="88"/>
      <c r="S785" s="88"/>
      <c r="T785" s="88"/>
      <c r="U785" s="88"/>
      <c r="V785" s="88"/>
      <c r="W785" s="88"/>
      <c r="X785" s="88"/>
      <c r="Y785" s="88"/>
      <c r="Z785" s="88"/>
      <c r="AA785" s="88"/>
      <c r="AB785" s="128"/>
      <c r="AC785" s="128"/>
      <c r="AD785" s="128"/>
      <c r="AE785" s="128"/>
      <c r="AF785" s="128"/>
      <c r="AG785" s="128"/>
      <c r="AH785" s="127"/>
    </row>
    <row r="786" spans="1:34" ht="13.2">
      <c r="A786" s="88"/>
      <c r="B786" s="88"/>
      <c r="C786" s="88"/>
      <c r="D786" s="88"/>
      <c r="E786" s="88"/>
      <c r="F786" s="88"/>
      <c r="G786" s="88"/>
      <c r="H786" s="88"/>
      <c r="I786" s="88"/>
      <c r="J786" s="88"/>
      <c r="K786" s="88"/>
      <c r="L786" s="88"/>
      <c r="M786" s="88"/>
      <c r="N786" s="88"/>
      <c r="O786" s="88"/>
      <c r="P786" s="88"/>
      <c r="Q786" s="88"/>
      <c r="R786" s="88"/>
      <c r="S786" s="88"/>
      <c r="T786" s="88"/>
      <c r="U786" s="88"/>
      <c r="V786" s="88"/>
      <c r="W786" s="88"/>
      <c r="X786" s="88"/>
      <c r="Y786" s="88"/>
      <c r="Z786" s="88"/>
      <c r="AA786" s="88"/>
      <c r="AB786" s="128"/>
      <c r="AC786" s="128"/>
      <c r="AD786" s="128"/>
      <c r="AE786" s="128"/>
      <c r="AF786" s="128"/>
      <c r="AG786" s="128"/>
      <c r="AH786" s="127"/>
    </row>
    <row r="787" spans="1:34" ht="13.2">
      <c r="A787" s="88"/>
      <c r="B787" s="88"/>
      <c r="C787" s="88"/>
      <c r="D787" s="88"/>
      <c r="E787" s="88"/>
      <c r="F787" s="88"/>
      <c r="G787" s="88"/>
      <c r="H787" s="88"/>
      <c r="I787" s="88"/>
      <c r="J787" s="88"/>
      <c r="K787" s="88"/>
      <c r="L787" s="88"/>
      <c r="M787" s="88"/>
      <c r="N787" s="88"/>
      <c r="O787" s="88"/>
      <c r="P787" s="88"/>
      <c r="Q787" s="88"/>
      <c r="R787" s="88"/>
      <c r="S787" s="88"/>
      <c r="T787" s="88"/>
      <c r="U787" s="88"/>
      <c r="V787" s="88"/>
      <c r="W787" s="88"/>
      <c r="X787" s="88"/>
      <c r="Y787" s="88"/>
      <c r="Z787" s="88"/>
      <c r="AA787" s="88"/>
      <c r="AB787" s="128"/>
      <c r="AC787" s="128"/>
      <c r="AD787" s="128"/>
      <c r="AE787" s="128"/>
      <c r="AF787" s="128"/>
      <c r="AG787" s="128"/>
      <c r="AH787" s="127"/>
    </row>
    <row r="788" spans="1:34" ht="13.2">
      <c r="A788" s="88"/>
      <c r="B788" s="88"/>
      <c r="C788" s="88"/>
      <c r="D788" s="88"/>
      <c r="E788" s="88"/>
      <c r="F788" s="88"/>
      <c r="G788" s="88"/>
      <c r="H788" s="88"/>
      <c r="I788" s="88"/>
      <c r="J788" s="88"/>
      <c r="K788" s="88"/>
      <c r="L788" s="88"/>
      <c r="M788" s="88"/>
      <c r="N788" s="88"/>
      <c r="O788" s="88"/>
      <c r="P788" s="88"/>
      <c r="Q788" s="88"/>
      <c r="R788" s="88"/>
      <c r="S788" s="88"/>
      <c r="T788" s="88"/>
      <c r="U788" s="88"/>
      <c r="V788" s="88"/>
      <c r="W788" s="88"/>
      <c r="X788" s="88"/>
      <c r="Y788" s="88"/>
      <c r="Z788" s="88"/>
      <c r="AA788" s="88"/>
      <c r="AB788" s="128"/>
      <c r="AC788" s="128"/>
      <c r="AD788" s="128"/>
      <c r="AE788" s="128"/>
      <c r="AF788" s="128"/>
      <c r="AG788" s="128"/>
      <c r="AH788" s="127"/>
    </row>
    <row r="789" spans="1:34" ht="13.2">
      <c r="A789" s="88"/>
      <c r="B789" s="88"/>
      <c r="C789" s="88"/>
      <c r="D789" s="88"/>
      <c r="E789" s="88"/>
      <c r="F789" s="88"/>
      <c r="G789" s="88"/>
      <c r="H789" s="88"/>
      <c r="I789" s="88"/>
      <c r="J789" s="88"/>
      <c r="K789" s="88"/>
      <c r="L789" s="88"/>
      <c r="M789" s="88"/>
      <c r="N789" s="88"/>
      <c r="O789" s="88"/>
      <c r="P789" s="88"/>
      <c r="Q789" s="88"/>
      <c r="R789" s="88"/>
      <c r="S789" s="88"/>
      <c r="T789" s="88"/>
      <c r="U789" s="88"/>
      <c r="V789" s="88"/>
      <c r="W789" s="88"/>
      <c r="X789" s="88"/>
      <c r="Y789" s="88"/>
      <c r="Z789" s="88"/>
      <c r="AA789" s="88"/>
      <c r="AB789" s="128"/>
      <c r="AC789" s="128"/>
      <c r="AD789" s="128"/>
      <c r="AE789" s="128"/>
      <c r="AF789" s="128"/>
      <c r="AG789" s="128"/>
      <c r="AH789" s="127"/>
    </row>
    <row r="790" spans="1:34" ht="13.2">
      <c r="A790" s="88"/>
      <c r="B790" s="88"/>
      <c r="C790" s="88"/>
      <c r="D790" s="88"/>
      <c r="E790" s="88"/>
      <c r="F790" s="88"/>
      <c r="G790" s="88"/>
      <c r="H790" s="88"/>
      <c r="I790" s="88"/>
      <c r="J790" s="88"/>
      <c r="K790" s="88"/>
      <c r="L790" s="88"/>
      <c r="M790" s="88"/>
      <c r="N790" s="88"/>
      <c r="O790" s="88"/>
      <c r="P790" s="88"/>
      <c r="Q790" s="88"/>
      <c r="R790" s="88"/>
      <c r="S790" s="88"/>
      <c r="T790" s="88"/>
      <c r="U790" s="88"/>
      <c r="V790" s="88"/>
      <c r="W790" s="88"/>
      <c r="X790" s="88"/>
      <c r="Y790" s="88"/>
      <c r="Z790" s="88"/>
      <c r="AA790" s="88"/>
      <c r="AB790" s="128"/>
      <c r="AC790" s="128"/>
      <c r="AD790" s="128"/>
      <c r="AE790" s="128"/>
      <c r="AF790" s="128"/>
      <c r="AG790" s="128"/>
      <c r="AH790" s="127"/>
    </row>
    <row r="791" spans="1:34" ht="13.2">
      <c r="A791" s="88"/>
      <c r="B791" s="88"/>
      <c r="C791" s="88"/>
      <c r="D791" s="88"/>
      <c r="E791" s="88"/>
      <c r="F791" s="88"/>
      <c r="G791" s="88"/>
      <c r="H791" s="88"/>
      <c r="I791" s="88"/>
      <c r="J791" s="88"/>
      <c r="K791" s="88"/>
      <c r="L791" s="88"/>
      <c r="M791" s="88"/>
      <c r="N791" s="88"/>
      <c r="O791" s="88"/>
      <c r="P791" s="88"/>
      <c r="Q791" s="88"/>
      <c r="R791" s="88"/>
      <c r="S791" s="88"/>
      <c r="T791" s="88"/>
      <c r="U791" s="88"/>
      <c r="V791" s="88"/>
      <c r="W791" s="88"/>
      <c r="X791" s="88"/>
      <c r="Y791" s="88"/>
      <c r="Z791" s="88"/>
      <c r="AA791" s="88"/>
      <c r="AB791" s="128"/>
      <c r="AC791" s="128"/>
      <c r="AD791" s="128"/>
      <c r="AE791" s="128"/>
      <c r="AF791" s="128"/>
      <c r="AG791" s="128"/>
      <c r="AH791" s="127"/>
    </row>
    <row r="792" spans="1:34" ht="13.2">
      <c r="A792" s="88"/>
      <c r="B792" s="88"/>
      <c r="C792" s="88"/>
      <c r="D792" s="88"/>
      <c r="E792" s="88"/>
      <c r="F792" s="88"/>
      <c r="G792" s="88"/>
      <c r="H792" s="88"/>
      <c r="I792" s="88"/>
      <c r="J792" s="88"/>
      <c r="K792" s="88"/>
      <c r="L792" s="88"/>
      <c r="M792" s="88"/>
      <c r="N792" s="88"/>
      <c r="O792" s="88"/>
      <c r="P792" s="88"/>
      <c r="Q792" s="88"/>
      <c r="R792" s="88"/>
      <c r="S792" s="88"/>
      <c r="T792" s="88"/>
      <c r="U792" s="88"/>
      <c r="V792" s="88"/>
      <c r="W792" s="88"/>
      <c r="X792" s="88"/>
      <c r="Y792" s="88"/>
      <c r="Z792" s="88"/>
      <c r="AA792" s="88"/>
      <c r="AB792" s="128"/>
      <c r="AC792" s="128"/>
      <c r="AD792" s="128"/>
      <c r="AE792" s="128"/>
      <c r="AF792" s="128"/>
      <c r="AG792" s="128"/>
      <c r="AH792" s="127"/>
    </row>
    <row r="793" spans="1:34" ht="13.2">
      <c r="A793" s="88"/>
      <c r="B793" s="88"/>
      <c r="C793" s="88"/>
      <c r="D793" s="88"/>
      <c r="E793" s="88"/>
      <c r="F793" s="88"/>
      <c r="G793" s="88"/>
      <c r="H793" s="88"/>
      <c r="I793" s="88"/>
      <c r="J793" s="88"/>
      <c r="K793" s="88"/>
      <c r="L793" s="88"/>
      <c r="M793" s="88"/>
      <c r="N793" s="88"/>
      <c r="O793" s="88"/>
      <c r="P793" s="88"/>
      <c r="Q793" s="88"/>
      <c r="R793" s="88"/>
      <c r="S793" s="88"/>
      <c r="T793" s="88"/>
      <c r="U793" s="88"/>
      <c r="V793" s="88"/>
      <c r="W793" s="88"/>
      <c r="X793" s="88"/>
      <c r="Y793" s="88"/>
      <c r="Z793" s="88"/>
      <c r="AA793" s="88"/>
      <c r="AB793" s="128"/>
      <c r="AC793" s="128"/>
      <c r="AD793" s="128"/>
      <c r="AE793" s="128"/>
      <c r="AF793" s="128"/>
      <c r="AG793" s="128"/>
      <c r="AH793" s="127"/>
    </row>
    <row r="794" spans="1:34" ht="13.2">
      <c r="A794" s="88"/>
      <c r="B794" s="88"/>
      <c r="C794" s="88"/>
      <c r="D794" s="88"/>
      <c r="E794" s="88"/>
      <c r="F794" s="88"/>
      <c r="G794" s="88"/>
      <c r="H794" s="88"/>
      <c r="I794" s="88"/>
      <c r="J794" s="88"/>
      <c r="K794" s="88"/>
      <c r="L794" s="88"/>
      <c r="M794" s="88"/>
      <c r="N794" s="88"/>
      <c r="O794" s="88"/>
      <c r="P794" s="88"/>
      <c r="Q794" s="88"/>
      <c r="R794" s="88"/>
      <c r="S794" s="88"/>
      <c r="T794" s="88"/>
      <c r="U794" s="88"/>
      <c r="V794" s="88"/>
      <c r="W794" s="88"/>
      <c r="X794" s="88"/>
      <c r="Y794" s="88"/>
      <c r="Z794" s="88"/>
      <c r="AA794" s="88"/>
      <c r="AB794" s="128"/>
      <c r="AC794" s="128"/>
      <c r="AD794" s="128"/>
      <c r="AE794" s="128"/>
      <c r="AF794" s="128"/>
      <c r="AG794" s="128"/>
      <c r="AH794" s="127"/>
    </row>
    <row r="795" spans="1:34" ht="13.2">
      <c r="A795" s="88"/>
      <c r="B795" s="88"/>
      <c r="C795" s="88"/>
      <c r="D795" s="88"/>
      <c r="E795" s="88"/>
      <c r="F795" s="88"/>
      <c r="G795" s="88"/>
      <c r="H795" s="88"/>
      <c r="I795" s="88"/>
      <c r="J795" s="88"/>
      <c r="K795" s="88"/>
      <c r="L795" s="88"/>
      <c r="M795" s="88"/>
      <c r="N795" s="88"/>
      <c r="O795" s="88"/>
      <c r="P795" s="88"/>
      <c r="Q795" s="88"/>
      <c r="R795" s="88"/>
      <c r="S795" s="88"/>
      <c r="T795" s="88"/>
      <c r="U795" s="88"/>
      <c r="V795" s="88"/>
      <c r="W795" s="88"/>
      <c r="X795" s="88"/>
      <c r="Y795" s="88"/>
      <c r="Z795" s="88"/>
      <c r="AA795" s="88"/>
      <c r="AB795" s="128"/>
      <c r="AC795" s="128"/>
      <c r="AD795" s="128"/>
      <c r="AE795" s="128"/>
      <c r="AF795" s="128"/>
      <c r="AG795" s="128"/>
      <c r="AH795" s="127"/>
    </row>
    <row r="796" spans="1:34" ht="13.2">
      <c r="A796" s="88"/>
      <c r="B796" s="88"/>
      <c r="C796" s="88"/>
      <c r="D796" s="88"/>
      <c r="E796" s="88"/>
      <c r="F796" s="88"/>
      <c r="G796" s="88"/>
      <c r="H796" s="88"/>
      <c r="I796" s="88"/>
      <c r="J796" s="88"/>
      <c r="K796" s="88"/>
      <c r="L796" s="88"/>
      <c r="M796" s="88"/>
      <c r="N796" s="88"/>
      <c r="O796" s="88"/>
      <c r="P796" s="88"/>
      <c r="Q796" s="88"/>
      <c r="R796" s="88"/>
      <c r="S796" s="88"/>
      <c r="T796" s="88"/>
      <c r="U796" s="88"/>
      <c r="V796" s="88"/>
      <c r="W796" s="88"/>
      <c r="X796" s="88"/>
      <c r="Y796" s="88"/>
      <c r="Z796" s="88"/>
      <c r="AA796" s="88"/>
      <c r="AB796" s="128"/>
      <c r="AC796" s="128"/>
      <c r="AD796" s="128"/>
      <c r="AE796" s="128"/>
      <c r="AF796" s="128"/>
      <c r="AG796" s="128"/>
      <c r="AH796" s="127"/>
    </row>
    <row r="797" spans="1:34" ht="13.2">
      <c r="A797" s="88"/>
      <c r="B797" s="88"/>
      <c r="C797" s="88"/>
      <c r="D797" s="88"/>
      <c r="E797" s="88"/>
      <c r="F797" s="88"/>
      <c r="G797" s="88"/>
      <c r="H797" s="88"/>
      <c r="I797" s="88"/>
      <c r="J797" s="88"/>
      <c r="K797" s="88"/>
      <c r="L797" s="88"/>
      <c r="M797" s="88"/>
      <c r="N797" s="88"/>
      <c r="O797" s="88"/>
      <c r="P797" s="88"/>
      <c r="Q797" s="88"/>
      <c r="R797" s="88"/>
      <c r="S797" s="88"/>
      <c r="T797" s="88"/>
      <c r="U797" s="88"/>
      <c r="V797" s="88"/>
      <c r="W797" s="88"/>
      <c r="X797" s="88"/>
      <c r="Y797" s="88"/>
      <c r="Z797" s="88"/>
      <c r="AA797" s="88"/>
      <c r="AB797" s="128"/>
      <c r="AC797" s="128"/>
      <c r="AD797" s="128"/>
      <c r="AE797" s="128"/>
      <c r="AF797" s="128"/>
      <c r="AG797" s="128"/>
      <c r="AH797" s="127"/>
    </row>
    <row r="798" spans="1:34" ht="13.2">
      <c r="A798" s="88"/>
      <c r="B798" s="88"/>
      <c r="C798" s="88"/>
      <c r="D798" s="88"/>
      <c r="E798" s="88"/>
      <c r="F798" s="88"/>
      <c r="G798" s="88"/>
      <c r="H798" s="88"/>
      <c r="I798" s="88"/>
      <c r="J798" s="88"/>
      <c r="K798" s="88"/>
      <c r="L798" s="88"/>
      <c r="M798" s="88"/>
      <c r="N798" s="88"/>
      <c r="O798" s="88"/>
      <c r="P798" s="88"/>
      <c r="Q798" s="88"/>
      <c r="R798" s="88"/>
      <c r="S798" s="88"/>
      <c r="T798" s="88"/>
      <c r="U798" s="88"/>
      <c r="V798" s="88"/>
      <c r="W798" s="88"/>
      <c r="X798" s="88"/>
      <c r="Y798" s="88"/>
      <c r="Z798" s="88"/>
      <c r="AA798" s="88"/>
      <c r="AB798" s="128"/>
      <c r="AC798" s="128"/>
      <c r="AD798" s="128"/>
      <c r="AE798" s="128"/>
      <c r="AF798" s="128"/>
      <c r="AG798" s="128"/>
      <c r="AH798" s="127"/>
    </row>
    <row r="799" spans="1:34" ht="13.2">
      <c r="A799" s="88"/>
      <c r="B799" s="88"/>
      <c r="C799" s="88"/>
      <c r="D799" s="88"/>
      <c r="E799" s="88"/>
      <c r="F799" s="88"/>
      <c r="G799" s="88"/>
      <c r="H799" s="88"/>
      <c r="I799" s="88"/>
      <c r="J799" s="88"/>
      <c r="K799" s="88"/>
      <c r="L799" s="88"/>
      <c r="M799" s="88"/>
      <c r="N799" s="88"/>
      <c r="O799" s="88"/>
      <c r="P799" s="88"/>
      <c r="Q799" s="88"/>
      <c r="R799" s="88"/>
      <c r="S799" s="88"/>
      <c r="T799" s="88"/>
      <c r="U799" s="88"/>
      <c r="V799" s="88"/>
      <c r="W799" s="88"/>
      <c r="X799" s="88"/>
      <c r="Y799" s="88"/>
      <c r="Z799" s="88"/>
      <c r="AA799" s="88"/>
      <c r="AB799" s="128"/>
      <c r="AC799" s="128"/>
      <c r="AD799" s="128"/>
      <c r="AE799" s="128"/>
      <c r="AF799" s="128"/>
      <c r="AG799" s="128"/>
      <c r="AH799" s="127"/>
    </row>
    <row r="800" spans="1:34" ht="13.2">
      <c r="A800" s="88"/>
      <c r="B800" s="88"/>
      <c r="C800" s="88"/>
      <c r="D800" s="88"/>
      <c r="E800" s="88"/>
      <c r="F800" s="88"/>
      <c r="G800" s="88"/>
      <c r="H800" s="88"/>
      <c r="I800" s="88"/>
      <c r="J800" s="88"/>
      <c r="K800" s="88"/>
      <c r="L800" s="88"/>
      <c r="M800" s="88"/>
      <c r="N800" s="88"/>
      <c r="O800" s="88"/>
      <c r="P800" s="88"/>
      <c r="Q800" s="88"/>
      <c r="R800" s="88"/>
      <c r="S800" s="88"/>
      <c r="T800" s="88"/>
      <c r="U800" s="88"/>
      <c r="V800" s="88"/>
      <c r="W800" s="88"/>
      <c r="X800" s="88"/>
      <c r="Y800" s="88"/>
      <c r="Z800" s="88"/>
      <c r="AA800" s="88"/>
      <c r="AB800" s="128"/>
      <c r="AC800" s="128"/>
      <c r="AD800" s="128"/>
      <c r="AE800" s="128"/>
      <c r="AF800" s="128"/>
      <c r="AG800" s="128"/>
      <c r="AH800" s="127"/>
    </row>
    <row r="801" spans="1:34" ht="13.2">
      <c r="A801" s="88"/>
      <c r="B801" s="88"/>
      <c r="C801" s="88"/>
      <c r="D801" s="88"/>
      <c r="E801" s="88"/>
      <c r="F801" s="88"/>
      <c r="G801" s="88"/>
      <c r="H801" s="88"/>
      <c r="I801" s="88"/>
      <c r="J801" s="88"/>
      <c r="K801" s="88"/>
      <c r="L801" s="88"/>
      <c r="M801" s="88"/>
      <c r="N801" s="88"/>
      <c r="O801" s="88"/>
      <c r="P801" s="88"/>
      <c r="Q801" s="88"/>
      <c r="R801" s="88"/>
      <c r="S801" s="88"/>
      <c r="T801" s="88"/>
      <c r="U801" s="88"/>
      <c r="V801" s="88"/>
      <c r="W801" s="88"/>
      <c r="X801" s="88"/>
      <c r="Y801" s="88"/>
      <c r="Z801" s="88"/>
      <c r="AA801" s="88"/>
      <c r="AB801" s="128"/>
      <c r="AC801" s="128"/>
      <c r="AD801" s="128"/>
      <c r="AE801" s="128"/>
      <c r="AF801" s="128"/>
      <c r="AG801" s="128"/>
      <c r="AH801" s="127"/>
    </row>
    <row r="802" spans="1:34" ht="13.2">
      <c r="A802" s="88"/>
      <c r="B802" s="88"/>
      <c r="C802" s="88"/>
      <c r="D802" s="88"/>
      <c r="E802" s="88"/>
      <c r="F802" s="88"/>
      <c r="G802" s="88"/>
      <c r="H802" s="88"/>
      <c r="I802" s="88"/>
      <c r="J802" s="88"/>
      <c r="K802" s="88"/>
      <c r="L802" s="88"/>
      <c r="M802" s="88"/>
      <c r="N802" s="88"/>
      <c r="O802" s="88"/>
      <c r="P802" s="88"/>
      <c r="Q802" s="88"/>
      <c r="R802" s="88"/>
      <c r="S802" s="88"/>
      <c r="T802" s="88"/>
      <c r="U802" s="88"/>
      <c r="V802" s="88"/>
      <c r="W802" s="88"/>
      <c r="X802" s="88"/>
      <c r="Y802" s="88"/>
      <c r="Z802" s="88"/>
      <c r="AA802" s="88"/>
      <c r="AB802" s="128"/>
      <c r="AC802" s="128"/>
      <c r="AD802" s="128"/>
      <c r="AE802" s="128"/>
      <c r="AF802" s="128"/>
      <c r="AG802" s="128"/>
      <c r="AH802" s="127"/>
    </row>
    <row r="803" spans="1:34" ht="13.2">
      <c r="A803" s="88"/>
      <c r="B803" s="88"/>
      <c r="C803" s="88"/>
      <c r="D803" s="88"/>
      <c r="E803" s="88"/>
      <c r="F803" s="88"/>
      <c r="G803" s="88"/>
      <c r="H803" s="88"/>
      <c r="I803" s="88"/>
      <c r="J803" s="88"/>
      <c r="K803" s="88"/>
      <c r="L803" s="88"/>
      <c r="M803" s="88"/>
      <c r="N803" s="88"/>
      <c r="O803" s="88"/>
      <c r="P803" s="88"/>
      <c r="Q803" s="88"/>
      <c r="R803" s="88"/>
      <c r="S803" s="88"/>
      <c r="T803" s="88"/>
      <c r="U803" s="88"/>
      <c r="V803" s="88"/>
      <c r="W803" s="88"/>
      <c r="X803" s="88"/>
      <c r="Y803" s="88"/>
      <c r="Z803" s="88"/>
      <c r="AA803" s="88"/>
      <c r="AB803" s="128"/>
      <c r="AC803" s="128"/>
      <c r="AD803" s="128"/>
      <c r="AE803" s="128"/>
      <c r="AF803" s="128"/>
      <c r="AG803" s="128"/>
      <c r="AH803" s="127"/>
    </row>
    <row r="804" spans="1:34" ht="13.2">
      <c r="A804" s="88"/>
      <c r="B804" s="88"/>
      <c r="C804" s="88"/>
      <c r="D804" s="88"/>
      <c r="E804" s="88"/>
      <c r="F804" s="88"/>
      <c r="G804" s="88"/>
      <c r="H804" s="88"/>
      <c r="I804" s="88"/>
      <c r="J804" s="88"/>
      <c r="K804" s="88"/>
      <c r="L804" s="88"/>
      <c r="M804" s="88"/>
      <c r="N804" s="88"/>
      <c r="O804" s="88"/>
      <c r="P804" s="88"/>
      <c r="Q804" s="88"/>
      <c r="R804" s="88"/>
      <c r="S804" s="88"/>
      <c r="T804" s="88"/>
      <c r="U804" s="88"/>
      <c r="V804" s="88"/>
      <c r="W804" s="88"/>
      <c r="X804" s="88"/>
      <c r="Y804" s="88"/>
      <c r="Z804" s="88"/>
      <c r="AA804" s="88"/>
      <c r="AB804" s="128"/>
      <c r="AC804" s="128"/>
      <c r="AD804" s="128"/>
      <c r="AE804" s="128"/>
      <c r="AF804" s="128"/>
      <c r="AG804" s="128"/>
      <c r="AH804" s="127"/>
    </row>
    <row r="805" spans="1:34" ht="13.2">
      <c r="A805" s="88"/>
      <c r="B805" s="88"/>
      <c r="C805" s="88"/>
      <c r="D805" s="88"/>
      <c r="E805" s="88"/>
      <c r="F805" s="88"/>
      <c r="G805" s="88"/>
      <c r="H805" s="88"/>
      <c r="I805" s="88"/>
      <c r="J805" s="88"/>
      <c r="K805" s="88"/>
      <c r="L805" s="88"/>
      <c r="M805" s="88"/>
      <c r="N805" s="88"/>
      <c r="O805" s="88"/>
      <c r="P805" s="88"/>
      <c r="Q805" s="88"/>
      <c r="R805" s="88"/>
      <c r="S805" s="88"/>
      <c r="T805" s="88"/>
      <c r="U805" s="88"/>
      <c r="V805" s="88"/>
      <c r="W805" s="88"/>
      <c r="X805" s="88"/>
      <c r="Y805" s="88"/>
      <c r="Z805" s="88"/>
      <c r="AA805" s="88"/>
      <c r="AB805" s="128"/>
      <c r="AC805" s="128"/>
      <c r="AD805" s="128"/>
      <c r="AE805" s="128"/>
      <c r="AF805" s="128"/>
      <c r="AG805" s="128"/>
      <c r="AH805" s="127"/>
    </row>
    <row r="806" spans="1:34" ht="13.2">
      <c r="A806" s="88"/>
      <c r="B806" s="88"/>
      <c r="C806" s="88"/>
      <c r="D806" s="88"/>
      <c r="E806" s="88"/>
      <c r="F806" s="88"/>
      <c r="G806" s="88"/>
      <c r="H806" s="88"/>
      <c r="I806" s="88"/>
      <c r="J806" s="88"/>
      <c r="K806" s="88"/>
      <c r="L806" s="88"/>
      <c r="M806" s="88"/>
      <c r="N806" s="88"/>
      <c r="O806" s="88"/>
      <c r="P806" s="88"/>
      <c r="Q806" s="88"/>
      <c r="R806" s="88"/>
      <c r="S806" s="88"/>
      <c r="T806" s="88"/>
      <c r="U806" s="88"/>
      <c r="V806" s="88"/>
      <c r="W806" s="88"/>
      <c r="X806" s="88"/>
      <c r="Y806" s="88"/>
      <c r="Z806" s="88"/>
      <c r="AA806" s="88"/>
      <c r="AB806" s="128"/>
      <c r="AC806" s="128"/>
      <c r="AD806" s="128"/>
      <c r="AE806" s="128"/>
      <c r="AF806" s="128"/>
      <c r="AG806" s="128"/>
      <c r="AH806" s="127"/>
    </row>
    <row r="807" spans="1:34" ht="13.2">
      <c r="A807" s="88"/>
      <c r="B807" s="88"/>
      <c r="C807" s="88"/>
      <c r="D807" s="88"/>
      <c r="E807" s="88"/>
      <c r="F807" s="88"/>
      <c r="G807" s="88"/>
      <c r="H807" s="88"/>
      <c r="I807" s="88"/>
      <c r="J807" s="88"/>
      <c r="K807" s="88"/>
      <c r="L807" s="88"/>
      <c r="M807" s="88"/>
      <c r="N807" s="88"/>
      <c r="O807" s="88"/>
      <c r="P807" s="88"/>
      <c r="Q807" s="88"/>
      <c r="R807" s="88"/>
      <c r="S807" s="88"/>
      <c r="T807" s="88"/>
      <c r="U807" s="88"/>
      <c r="V807" s="88"/>
      <c r="W807" s="88"/>
      <c r="X807" s="88"/>
      <c r="Y807" s="88"/>
      <c r="Z807" s="88"/>
      <c r="AA807" s="88"/>
      <c r="AB807" s="128"/>
      <c r="AC807" s="128"/>
      <c r="AD807" s="128"/>
      <c r="AE807" s="128"/>
      <c r="AF807" s="128"/>
      <c r="AG807" s="128"/>
      <c r="AH807" s="127"/>
    </row>
    <row r="808" spans="1:34" ht="13.2">
      <c r="A808" s="88"/>
      <c r="B808" s="88"/>
      <c r="C808" s="88"/>
      <c r="D808" s="88"/>
      <c r="E808" s="88"/>
      <c r="F808" s="88"/>
      <c r="G808" s="88"/>
      <c r="H808" s="88"/>
      <c r="I808" s="88"/>
      <c r="J808" s="88"/>
      <c r="K808" s="88"/>
      <c r="L808" s="88"/>
      <c r="M808" s="88"/>
      <c r="N808" s="88"/>
      <c r="O808" s="88"/>
      <c r="P808" s="88"/>
      <c r="Q808" s="88"/>
      <c r="R808" s="88"/>
      <c r="S808" s="88"/>
      <c r="T808" s="88"/>
      <c r="U808" s="88"/>
      <c r="V808" s="88"/>
      <c r="W808" s="88"/>
      <c r="X808" s="88"/>
      <c r="Y808" s="88"/>
      <c r="Z808" s="88"/>
      <c r="AA808" s="88"/>
      <c r="AB808" s="128"/>
      <c r="AC808" s="128"/>
      <c r="AD808" s="128"/>
      <c r="AE808" s="128"/>
      <c r="AF808" s="128"/>
      <c r="AG808" s="128"/>
      <c r="AH808" s="127"/>
    </row>
    <row r="809" spans="1:34" ht="13.2">
      <c r="A809" s="88"/>
      <c r="B809" s="88"/>
      <c r="C809" s="88"/>
      <c r="D809" s="88"/>
      <c r="E809" s="88"/>
      <c r="F809" s="88"/>
      <c r="G809" s="88"/>
      <c r="H809" s="88"/>
      <c r="I809" s="88"/>
      <c r="J809" s="88"/>
      <c r="K809" s="88"/>
      <c r="L809" s="88"/>
      <c r="M809" s="88"/>
      <c r="N809" s="88"/>
      <c r="O809" s="88"/>
      <c r="P809" s="88"/>
      <c r="Q809" s="88"/>
      <c r="R809" s="88"/>
      <c r="S809" s="88"/>
      <c r="T809" s="88"/>
      <c r="U809" s="88"/>
      <c r="V809" s="88"/>
      <c r="W809" s="88"/>
      <c r="X809" s="88"/>
      <c r="Y809" s="88"/>
      <c r="Z809" s="88"/>
      <c r="AA809" s="88"/>
      <c r="AB809" s="128"/>
      <c r="AC809" s="128"/>
      <c r="AD809" s="128"/>
      <c r="AE809" s="128"/>
      <c r="AF809" s="128"/>
      <c r="AG809" s="128"/>
      <c r="AH809" s="127"/>
    </row>
    <row r="810" spans="1:34" ht="13.2">
      <c r="A810" s="88"/>
      <c r="B810" s="88"/>
      <c r="C810" s="88"/>
      <c r="D810" s="88"/>
      <c r="E810" s="88"/>
      <c r="F810" s="88"/>
      <c r="G810" s="88"/>
      <c r="H810" s="88"/>
      <c r="I810" s="88"/>
      <c r="J810" s="88"/>
      <c r="K810" s="88"/>
      <c r="L810" s="88"/>
      <c r="M810" s="88"/>
      <c r="N810" s="88"/>
      <c r="O810" s="88"/>
      <c r="P810" s="88"/>
      <c r="Q810" s="88"/>
      <c r="R810" s="88"/>
      <c r="S810" s="88"/>
      <c r="T810" s="88"/>
      <c r="U810" s="88"/>
      <c r="V810" s="88"/>
      <c r="W810" s="88"/>
      <c r="X810" s="88"/>
      <c r="Y810" s="88"/>
      <c r="Z810" s="88"/>
      <c r="AA810" s="88"/>
      <c r="AB810" s="128"/>
      <c r="AC810" s="128"/>
      <c r="AD810" s="128"/>
      <c r="AE810" s="128"/>
      <c r="AF810" s="128"/>
      <c r="AG810" s="128"/>
      <c r="AH810" s="127"/>
    </row>
    <row r="811" spans="1:34" ht="13.2">
      <c r="A811" s="88"/>
      <c r="B811" s="88"/>
      <c r="C811" s="88"/>
      <c r="D811" s="88"/>
      <c r="E811" s="88"/>
      <c r="F811" s="88"/>
      <c r="G811" s="88"/>
      <c r="H811" s="88"/>
      <c r="I811" s="88"/>
      <c r="J811" s="88"/>
      <c r="K811" s="88"/>
      <c r="L811" s="88"/>
      <c r="M811" s="88"/>
      <c r="N811" s="88"/>
      <c r="O811" s="88"/>
      <c r="P811" s="88"/>
      <c r="Q811" s="88"/>
      <c r="R811" s="88"/>
      <c r="S811" s="88"/>
      <c r="T811" s="88"/>
      <c r="U811" s="88"/>
      <c r="V811" s="88"/>
      <c r="W811" s="88"/>
      <c r="X811" s="88"/>
      <c r="Y811" s="88"/>
      <c r="Z811" s="88"/>
      <c r="AA811" s="88"/>
      <c r="AB811" s="128"/>
      <c r="AC811" s="128"/>
      <c r="AD811" s="128"/>
      <c r="AE811" s="128"/>
      <c r="AF811" s="128"/>
      <c r="AG811" s="128"/>
      <c r="AH811" s="127"/>
    </row>
    <row r="812" spans="1:34" ht="13.2">
      <c r="A812" s="88"/>
      <c r="B812" s="88"/>
      <c r="C812" s="88"/>
      <c r="D812" s="88"/>
      <c r="E812" s="88"/>
      <c r="F812" s="88"/>
      <c r="G812" s="88"/>
      <c r="H812" s="88"/>
      <c r="I812" s="88"/>
      <c r="J812" s="88"/>
      <c r="K812" s="88"/>
      <c r="L812" s="88"/>
      <c r="M812" s="88"/>
      <c r="N812" s="88"/>
      <c r="O812" s="88"/>
      <c r="P812" s="88"/>
      <c r="Q812" s="88"/>
      <c r="R812" s="88"/>
      <c r="S812" s="88"/>
      <c r="T812" s="88"/>
      <c r="U812" s="88"/>
      <c r="V812" s="88"/>
      <c r="W812" s="88"/>
      <c r="X812" s="88"/>
      <c r="Y812" s="88"/>
      <c r="Z812" s="88"/>
      <c r="AA812" s="88"/>
      <c r="AB812" s="128"/>
      <c r="AC812" s="128"/>
      <c r="AD812" s="128"/>
      <c r="AE812" s="128"/>
      <c r="AF812" s="128"/>
      <c r="AG812" s="128"/>
      <c r="AH812" s="127"/>
    </row>
    <row r="813" spans="1:34" ht="13.2">
      <c r="A813" s="88"/>
      <c r="B813" s="88"/>
      <c r="C813" s="88"/>
      <c r="D813" s="88"/>
      <c r="E813" s="88"/>
      <c r="F813" s="88"/>
      <c r="G813" s="88"/>
      <c r="H813" s="88"/>
      <c r="I813" s="88"/>
      <c r="J813" s="88"/>
      <c r="K813" s="88"/>
      <c r="L813" s="88"/>
      <c r="M813" s="88"/>
      <c r="N813" s="88"/>
      <c r="O813" s="88"/>
      <c r="P813" s="88"/>
      <c r="Q813" s="88"/>
      <c r="R813" s="88"/>
      <c r="S813" s="88"/>
      <c r="T813" s="88"/>
      <c r="U813" s="88"/>
      <c r="V813" s="88"/>
      <c r="W813" s="88"/>
      <c r="X813" s="88"/>
      <c r="Y813" s="88"/>
      <c r="Z813" s="88"/>
      <c r="AA813" s="88"/>
      <c r="AB813" s="128"/>
      <c r="AC813" s="128"/>
      <c r="AD813" s="128"/>
      <c r="AE813" s="128"/>
      <c r="AF813" s="128"/>
      <c r="AG813" s="128"/>
      <c r="AH813" s="127"/>
    </row>
    <row r="814" spans="1:34" ht="13.2">
      <c r="A814" s="88"/>
      <c r="B814" s="88"/>
      <c r="C814" s="88"/>
      <c r="D814" s="88"/>
      <c r="E814" s="88"/>
      <c r="F814" s="88"/>
      <c r="G814" s="88"/>
      <c r="H814" s="88"/>
      <c r="I814" s="88"/>
      <c r="J814" s="88"/>
      <c r="K814" s="88"/>
      <c r="L814" s="88"/>
      <c r="M814" s="88"/>
      <c r="N814" s="88"/>
      <c r="O814" s="88"/>
      <c r="P814" s="88"/>
      <c r="Q814" s="88"/>
      <c r="R814" s="88"/>
      <c r="S814" s="88"/>
      <c r="T814" s="88"/>
      <c r="U814" s="88"/>
      <c r="V814" s="88"/>
      <c r="W814" s="88"/>
      <c r="X814" s="88"/>
      <c r="Y814" s="88"/>
      <c r="Z814" s="88"/>
      <c r="AA814" s="88"/>
      <c r="AB814" s="128"/>
      <c r="AC814" s="128"/>
      <c r="AD814" s="128"/>
      <c r="AE814" s="128"/>
      <c r="AF814" s="128"/>
      <c r="AG814" s="128"/>
      <c r="AH814" s="127"/>
    </row>
    <row r="815" spans="1:34" ht="13.2">
      <c r="A815" s="88"/>
      <c r="B815" s="88"/>
      <c r="C815" s="88"/>
      <c r="D815" s="88"/>
      <c r="E815" s="88"/>
      <c r="F815" s="88"/>
      <c r="G815" s="88"/>
      <c r="H815" s="88"/>
      <c r="I815" s="88"/>
      <c r="J815" s="88"/>
      <c r="K815" s="88"/>
      <c r="L815" s="88"/>
      <c r="M815" s="88"/>
      <c r="N815" s="88"/>
      <c r="O815" s="88"/>
      <c r="P815" s="88"/>
      <c r="Q815" s="88"/>
      <c r="R815" s="88"/>
      <c r="S815" s="88"/>
      <c r="T815" s="88"/>
      <c r="U815" s="88"/>
      <c r="V815" s="88"/>
      <c r="W815" s="88"/>
      <c r="X815" s="88"/>
      <c r="Y815" s="88"/>
      <c r="Z815" s="88"/>
      <c r="AA815" s="88"/>
      <c r="AB815" s="128"/>
      <c r="AC815" s="128"/>
      <c r="AD815" s="128"/>
      <c r="AE815" s="128"/>
      <c r="AF815" s="128"/>
      <c r="AG815" s="128"/>
      <c r="AH815" s="127"/>
    </row>
    <row r="816" spans="1:34" ht="13.2">
      <c r="A816" s="88"/>
      <c r="B816" s="88"/>
      <c r="C816" s="88"/>
      <c r="D816" s="88"/>
      <c r="E816" s="88"/>
      <c r="F816" s="88"/>
      <c r="G816" s="88"/>
      <c r="H816" s="88"/>
      <c r="I816" s="88"/>
      <c r="J816" s="88"/>
      <c r="K816" s="88"/>
      <c r="L816" s="88"/>
      <c r="M816" s="88"/>
      <c r="N816" s="88"/>
      <c r="O816" s="88"/>
      <c r="P816" s="88"/>
      <c r="Q816" s="88"/>
      <c r="R816" s="88"/>
      <c r="S816" s="88"/>
      <c r="T816" s="88"/>
      <c r="U816" s="88"/>
      <c r="V816" s="88"/>
      <c r="W816" s="88"/>
      <c r="X816" s="88"/>
      <c r="Y816" s="88"/>
      <c r="Z816" s="88"/>
      <c r="AA816" s="88"/>
      <c r="AB816" s="128"/>
      <c r="AC816" s="128"/>
      <c r="AD816" s="128"/>
      <c r="AE816" s="128"/>
      <c r="AF816" s="128"/>
      <c r="AG816" s="128"/>
      <c r="AH816" s="127"/>
    </row>
    <row r="817" spans="1:34" ht="13.2">
      <c r="A817" s="88"/>
      <c r="B817" s="88"/>
      <c r="C817" s="88"/>
      <c r="D817" s="88"/>
      <c r="E817" s="88"/>
      <c r="F817" s="88"/>
      <c r="G817" s="88"/>
      <c r="H817" s="88"/>
      <c r="I817" s="88"/>
      <c r="J817" s="88"/>
      <c r="K817" s="88"/>
      <c r="L817" s="88"/>
      <c r="M817" s="88"/>
      <c r="N817" s="88"/>
      <c r="O817" s="88"/>
      <c r="P817" s="88"/>
      <c r="Q817" s="88"/>
      <c r="R817" s="88"/>
      <c r="S817" s="88"/>
      <c r="T817" s="88"/>
      <c r="U817" s="88"/>
      <c r="V817" s="88"/>
      <c r="W817" s="88"/>
      <c r="X817" s="88"/>
      <c r="Y817" s="88"/>
      <c r="Z817" s="88"/>
      <c r="AA817" s="88"/>
      <c r="AB817" s="128"/>
      <c r="AC817" s="128"/>
      <c r="AD817" s="128"/>
      <c r="AE817" s="128"/>
      <c r="AF817" s="128"/>
      <c r="AG817" s="128"/>
      <c r="AH817" s="127"/>
    </row>
    <row r="818" spans="1:34" ht="13.2">
      <c r="A818" s="88"/>
      <c r="B818" s="88"/>
      <c r="C818" s="88"/>
      <c r="D818" s="88"/>
      <c r="E818" s="88"/>
      <c r="F818" s="88"/>
      <c r="G818" s="88"/>
      <c r="H818" s="88"/>
      <c r="I818" s="88"/>
      <c r="J818" s="88"/>
      <c r="K818" s="88"/>
      <c r="L818" s="88"/>
      <c r="M818" s="88"/>
      <c r="N818" s="88"/>
      <c r="O818" s="88"/>
      <c r="P818" s="88"/>
      <c r="Q818" s="88"/>
      <c r="R818" s="88"/>
      <c r="S818" s="88"/>
      <c r="T818" s="88"/>
      <c r="U818" s="88"/>
      <c r="V818" s="88"/>
      <c r="W818" s="88"/>
      <c r="X818" s="88"/>
      <c r="Y818" s="88"/>
      <c r="Z818" s="88"/>
      <c r="AA818" s="88"/>
      <c r="AB818" s="128"/>
      <c r="AC818" s="128"/>
      <c r="AD818" s="128"/>
      <c r="AE818" s="128"/>
      <c r="AF818" s="128"/>
      <c r="AG818" s="128"/>
      <c r="AH818" s="127"/>
    </row>
    <row r="819" spans="1:34" ht="13.2">
      <c r="A819" s="88"/>
      <c r="B819" s="88"/>
      <c r="C819" s="88"/>
      <c r="D819" s="88"/>
      <c r="E819" s="88"/>
      <c r="F819" s="88"/>
      <c r="G819" s="88"/>
      <c r="H819" s="88"/>
      <c r="I819" s="88"/>
      <c r="J819" s="88"/>
      <c r="K819" s="88"/>
      <c r="L819" s="88"/>
      <c r="M819" s="88"/>
      <c r="N819" s="88"/>
      <c r="O819" s="88"/>
      <c r="P819" s="88"/>
      <c r="Q819" s="88"/>
      <c r="R819" s="88"/>
      <c r="S819" s="88"/>
      <c r="T819" s="88"/>
      <c r="U819" s="88"/>
      <c r="V819" s="88"/>
      <c r="W819" s="88"/>
      <c r="X819" s="88"/>
      <c r="Y819" s="88"/>
      <c r="Z819" s="88"/>
      <c r="AA819" s="88"/>
      <c r="AB819" s="128"/>
      <c r="AC819" s="128"/>
      <c r="AD819" s="128"/>
      <c r="AE819" s="128"/>
      <c r="AF819" s="128"/>
      <c r="AG819" s="128"/>
      <c r="AH819" s="127"/>
    </row>
    <row r="820" spans="1:34" ht="13.2">
      <c r="A820" s="88"/>
      <c r="B820" s="88"/>
      <c r="C820" s="88"/>
      <c r="D820" s="88"/>
      <c r="E820" s="88"/>
      <c r="F820" s="88"/>
      <c r="G820" s="88"/>
      <c r="H820" s="88"/>
      <c r="I820" s="88"/>
      <c r="J820" s="88"/>
      <c r="K820" s="88"/>
      <c r="L820" s="88"/>
      <c r="M820" s="88"/>
      <c r="N820" s="88"/>
      <c r="O820" s="88"/>
      <c r="P820" s="88"/>
      <c r="Q820" s="88"/>
      <c r="R820" s="88"/>
      <c r="S820" s="88"/>
      <c r="T820" s="88"/>
      <c r="U820" s="88"/>
      <c r="V820" s="88"/>
      <c r="W820" s="88"/>
      <c r="X820" s="88"/>
      <c r="Y820" s="88"/>
      <c r="Z820" s="88"/>
      <c r="AA820" s="88"/>
      <c r="AB820" s="128"/>
      <c r="AC820" s="128"/>
      <c r="AD820" s="128"/>
      <c r="AE820" s="128"/>
      <c r="AF820" s="128"/>
      <c r="AG820" s="128"/>
      <c r="AH820" s="127"/>
    </row>
    <row r="821" spans="1:34" ht="13.2">
      <c r="A821" s="88"/>
      <c r="B821" s="88"/>
      <c r="C821" s="88"/>
      <c r="D821" s="88"/>
      <c r="E821" s="88"/>
      <c r="F821" s="88"/>
      <c r="G821" s="88"/>
      <c r="H821" s="88"/>
      <c r="I821" s="88"/>
      <c r="J821" s="88"/>
      <c r="K821" s="88"/>
      <c r="L821" s="88"/>
      <c r="M821" s="88"/>
      <c r="N821" s="88"/>
      <c r="O821" s="88"/>
      <c r="P821" s="88"/>
      <c r="Q821" s="88"/>
      <c r="R821" s="88"/>
      <c r="S821" s="88"/>
      <c r="T821" s="88"/>
      <c r="U821" s="88"/>
      <c r="V821" s="88"/>
      <c r="W821" s="88"/>
      <c r="X821" s="88"/>
      <c r="Y821" s="88"/>
      <c r="Z821" s="88"/>
      <c r="AA821" s="88"/>
      <c r="AB821" s="128"/>
      <c r="AC821" s="128"/>
      <c r="AD821" s="128"/>
      <c r="AE821" s="128"/>
      <c r="AF821" s="128"/>
      <c r="AG821" s="128"/>
      <c r="AH821" s="127"/>
    </row>
    <row r="822" spans="1:34" ht="13.2">
      <c r="A822" s="88"/>
      <c r="B822" s="88"/>
      <c r="C822" s="88"/>
      <c r="D822" s="88"/>
      <c r="E822" s="88"/>
      <c r="F822" s="88"/>
      <c r="G822" s="88"/>
      <c r="H822" s="88"/>
      <c r="I822" s="88"/>
      <c r="J822" s="88"/>
      <c r="K822" s="88"/>
      <c r="L822" s="88"/>
      <c r="M822" s="88"/>
      <c r="N822" s="88"/>
      <c r="O822" s="88"/>
      <c r="P822" s="88"/>
      <c r="Q822" s="88"/>
      <c r="R822" s="88"/>
      <c r="S822" s="88"/>
      <c r="T822" s="88"/>
      <c r="U822" s="88"/>
      <c r="V822" s="88"/>
      <c r="W822" s="88"/>
      <c r="X822" s="88"/>
      <c r="Y822" s="88"/>
      <c r="Z822" s="88"/>
      <c r="AA822" s="88"/>
      <c r="AB822" s="128"/>
      <c r="AC822" s="128"/>
      <c r="AD822" s="128"/>
      <c r="AE822" s="128"/>
      <c r="AF822" s="128"/>
      <c r="AG822" s="128"/>
      <c r="AH822" s="127"/>
    </row>
    <row r="823" spans="1:34" ht="13.2">
      <c r="A823" s="88"/>
      <c r="B823" s="88"/>
      <c r="C823" s="88"/>
      <c r="D823" s="88"/>
      <c r="E823" s="88"/>
      <c r="F823" s="88"/>
      <c r="G823" s="88"/>
      <c r="H823" s="88"/>
      <c r="I823" s="88"/>
      <c r="J823" s="88"/>
      <c r="K823" s="88"/>
      <c r="L823" s="88"/>
      <c r="M823" s="88"/>
      <c r="N823" s="88"/>
      <c r="O823" s="88"/>
      <c r="P823" s="88"/>
      <c r="Q823" s="88"/>
      <c r="R823" s="88"/>
      <c r="S823" s="88"/>
      <c r="T823" s="88"/>
      <c r="U823" s="88"/>
      <c r="V823" s="88"/>
      <c r="W823" s="88"/>
      <c r="X823" s="88"/>
      <c r="Y823" s="88"/>
      <c r="Z823" s="88"/>
      <c r="AA823" s="88"/>
      <c r="AB823" s="128"/>
      <c r="AC823" s="128"/>
      <c r="AD823" s="128"/>
      <c r="AE823" s="128"/>
      <c r="AF823" s="128"/>
      <c r="AG823" s="128"/>
      <c r="AH823" s="127"/>
    </row>
    <row r="824" spans="1:34" ht="13.2">
      <c r="A824" s="88"/>
      <c r="B824" s="88"/>
      <c r="C824" s="88"/>
      <c r="D824" s="88"/>
      <c r="E824" s="88"/>
      <c r="F824" s="88"/>
      <c r="G824" s="88"/>
      <c r="H824" s="88"/>
      <c r="I824" s="88"/>
      <c r="J824" s="88"/>
      <c r="K824" s="88"/>
      <c r="L824" s="88"/>
      <c r="M824" s="88"/>
      <c r="N824" s="88"/>
      <c r="O824" s="88"/>
      <c r="P824" s="88"/>
      <c r="Q824" s="88"/>
      <c r="R824" s="88"/>
      <c r="S824" s="88"/>
      <c r="T824" s="88"/>
      <c r="U824" s="88"/>
      <c r="V824" s="88"/>
      <c r="W824" s="88"/>
      <c r="X824" s="88"/>
      <c r="Y824" s="88"/>
      <c r="Z824" s="88"/>
      <c r="AA824" s="88"/>
      <c r="AB824" s="128"/>
      <c r="AC824" s="128"/>
      <c r="AD824" s="128"/>
      <c r="AE824" s="128"/>
      <c r="AF824" s="128"/>
      <c r="AG824" s="128"/>
      <c r="AH824" s="127"/>
    </row>
    <row r="825" spans="1:34" ht="13.2">
      <c r="A825" s="88"/>
      <c r="B825" s="88"/>
      <c r="C825" s="88"/>
      <c r="D825" s="88"/>
      <c r="E825" s="88"/>
      <c r="F825" s="88"/>
      <c r="G825" s="88"/>
      <c r="H825" s="88"/>
      <c r="I825" s="88"/>
      <c r="J825" s="88"/>
      <c r="K825" s="88"/>
      <c r="L825" s="88"/>
      <c r="M825" s="88"/>
      <c r="N825" s="88"/>
      <c r="O825" s="88"/>
      <c r="P825" s="88"/>
      <c r="Q825" s="88"/>
      <c r="R825" s="88"/>
      <c r="S825" s="88"/>
      <c r="T825" s="88"/>
      <c r="U825" s="88"/>
      <c r="V825" s="88"/>
      <c r="W825" s="88"/>
      <c r="X825" s="88"/>
      <c r="Y825" s="88"/>
      <c r="Z825" s="88"/>
      <c r="AA825" s="88"/>
      <c r="AB825" s="128"/>
      <c r="AC825" s="128"/>
      <c r="AD825" s="128"/>
      <c r="AE825" s="128"/>
      <c r="AF825" s="128"/>
      <c r="AG825" s="128"/>
      <c r="AH825" s="127"/>
    </row>
    <row r="826" spans="1:34" ht="13.2">
      <c r="A826" s="88"/>
      <c r="B826" s="88"/>
      <c r="C826" s="88"/>
      <c r="D826" s="88"/>
      <c r="E826" s="88"/>
      <c r="F826" s="88"/>
      <c r="G826" s="88"/>
      <c r="H826" s="88"/>
      <c r="I826" s="88"/>
      <c r="J826" s="88"/>
      <c r="K826" s="88"/>
      <c r="L826" s="88"/>
      <c r="M826" s="88"/>
      <c r="N826" s="88"/>
      <c r="O826" s="88"/>
      <c r="P826" s="88"/>
      <c r="Q826" s="88"/>
      <c r="R826" s="88"/>
      <c r="S826" s="88"/>
      <c r="T826" s="88"/>
      <c r="U826" s="88"/>
      <c r="V826" s="88"/>
      <c r="W826" s="88"/>
      <c r="X826" s="88"/>
      <c r="Y826" s="88"/>
      <c r="Z826" s="88"/>
      <c r="AA826" s="88"/>
      <c r="AB826" s="128"/>
      <c r="AC826" s="128"/>
      <c r="AD826" s="128"/>
      <c r="AE826" s="128"/>
      <c r="AF826" s="128"/>
      <c r="AG826" s="128"/>
      <c r="AH826" s="127"/>
    </row>
    <row r="827" spans="1:34" ht="13.2">
      <c r="A827" s="88"/>
      <c r="B827" s="88"/>
      <c r="C827" s="88"/>
      <c r="D827" s="88"/>
      <c r="E827" s="88"/>
      <c r="F827" s="88"/>
      <c r="G827" s="88"/>
      <c r="H827" s="88"/>
      <c r="I827" s="88"/>
      <c r="J827" s="88"/>
      <c r="K827" s="88"/>
      <c r="L827" s="88"/>
      <c r="M827" s="88"/>
      <c r="N827" s="88"/>
      <c r="O827" s="88"/>
      <c r="P827" s="88"/>
      <c r="Q827" s="88"/>
      <c r="R827" s="88"/>
      <c r="S827" s="88"/>
      <c r="T827" s="88"/>
      <c r="U827" s="88"/>
      <c r="V827" s="88"/>
      <c r="W827" s="88"/>
      <c r="X827" s="88"/>
      <c r="Y827" s="88"/>
      <c r="Z827" s="88"/>
      <c r="AA827" s="88"/>
      <c r="AB827" s="128"/>
      <c r="AC827" s="128"/>
      <c r="AD827" s="128"/>
      <c r="AE827" s="128"/>
      <c r="AF827" s="128"/>
      <c r="AG827" s="128"/>
      <c r="AH827" s="127"/>
    </row>
    <row r="828" spans="1:34" ht="13.2">
      <c r="A828" s="88"/>
      <c r="B828" s="88"/>
      <c r="C828" s="88"/>
      <c r="D828" s="88"/>
      <c r="E828" s="88"/>
      <c r="F828" s="88"/>
      <c r="G828" s="88"/>
      <c r="H828" s="88"/>
      <c r="I828" s="88"/>
      <c r="J828" s="88"/>
      <c r="K828" s="88"/>
      <c r="L828" s="88"/>
      <c r="M828" s="88"/>
      <c r="N828" s="88"/>
      <c r="O828" s="88"/>
      <c r="P828" s="88"/>
      <c r="Q828" s="88"/>
      <c r="R828" s="88"/>
      <c r="S828" s="88"/>
      <c r="T828" s="88"/>
      <c r="U828" s="88"/>
      <c r="V828" s="88"/>
      <c r="W828" s="88"/>
      <c r="X828" s="88"/>
      <c r="Y828" s="88"/>
      <c r="Z828" s="88"/>
      <c r="AA828" s="88"/>
      <c r="AB828" s="128"/>
      <c r="AC828" s="128"/>
      <c r="AD828" s="128"/>
      <c r="AE828" s="128"/>
      <c r="AF828" s="128"/>
      <c r="AG828" s="128"/>
      <c r="AH828" s="127"/>
    </row>
    <row r="829" spans="1:34" ht="13.2">
      <c r="A829" s="88"/>
      <c r="B829" s="88"/>
      <c r="C829" s="88"/>
      <c r="D829" s="88"/>
      <c r="E829" s="88"/>
      <c r="F829" s="88"/>
      <c r="G829" s="88"/>
      <c r="H829" s="88"/>
      <c r="I829" s="88"/>
      <c r="J829" s="88"/>
      <c r="K829" s="88"/>
      <c r="L829" s="88"/>
      <c r="M829" s="88"/>
      <c r="N829" s="88"/>
      <c r="O829" s="88"/>
      <c r="P829" s="88"/>
      <c r="Q829" s="88"/>
      <c r="R829" s="88"/>
      <c r="S829" s="88"/>
      <c r="T829" s="88"/>
      <c r="U829" s="88"/>
      <c r="V829" s="88"/>
      <c r="W829" s="88"/>
      <c r="X829" s="88"/>
      <c r="Y829" s="88"/>
      <c r="Z829" s="88"/>
      <c r="AA829" s="88"/>
      <c r="AB829" s="128"/>
      <c r="AC829" s="128"/>
      <c r="AD829" s="128"/>
      <c r="AE829" s="128"/>
      <c r="AF829" s="128"/>
      <c r="AG829" s="128"/>
      <c r="AH829" s="127"/>
    </row>
    <row r="830" spans="1:34" ht="13.2">
      <c r="A830" s="88"/>
      <c r="B830" s="88"/>
      <c r="C830" s="88"/>
      <c r="D830" s="88"/>
      <c r="E830" s="88"/>
      <c r="F830" s="88"/>
      <c r="G830" s="88"/>
      <c r="H830" s="88"/>
      <c r="I830" s="88"/>
      <c r="J830" s="88"/>
      <c r="K830" s="88"/>
      <c r="L830" s="88"/>
      <c r="M830" s="88"/>
      <c r="N830" s="88"/>
      <c r="O830" s="88"/>
      <c r="P830" s="88"/>
      <c r="Q830" s="88"/>
      <c r="R830" s="88"/>
      <c r="S830" s="88"/>
      <c r="T830" s="88"/>
      <c r="U830" s="88"/>
      <c r="V830" s="88"/>
      <c r="W830" s="88"/>
      <c r="X830" s="88"/>
      <c r="Y830" s="88"/>
      <c r="Z830" s="88"/>
      <c r="AA830" s="88"/>
      <c r="AB830" s="128"/>
      <c r="AC830" s="128"/>
      <c r="AD830" s="128"/>
      <c r="AE830" s="128"/>
      <c r="AF830" s="128"/>
      <c r="AG830" s="128"/>
      <c r="AH830" s="127"/>
    </row>
    <row r="831" spans="1:34" ht="13.2">
      <c r="A831" s="88"/>
      <c r="B831" s="88"/>
      <c r="C831" s="88"/>
      <c r="D831" s="88"/>
      <c r="E831" s="88"/>
      <c r="F831" s="88"/>
      <c r="G831" s="88"/>
      <c r="H831" s="88"/>
      <c r="I831" s="88"/>
      <c r="J831" s="88"/>
      <c r="K831" s="88"/>
      <c r="L831" s="88"/>
      <c r="M831" s="88"/>
      <c r="N831" s="88"/>
      <c r="O831" s="88"/>
      <c r="P831" s="88"/>
      <c r="Q831" s="88"/>
      <c r="R831" s="88"/>
      <c r="S831" s="88"/>
      <c r="T831" s="88"/>
      <c r="U831" s="88"/>
      <c r="V831" s="88"/>
      <c r="W831" s="88"/>
      <c r="X831" s="88"/>
      <c r="Y831" s="88"/>
      <c r="Z831" s="88"/>
      <c r="AA831" s="88"/>
      <c r="AB831" s="128"/>
      <c r="AC831" s="128"/>
      <c r="AD831" s="128"/>
      <c r="AE831" s="128"/>
      <c r="AF831" s="128"/>
      <c r="AG831" s="128"/>
      <c r="AH831" s="127"/>
    </row>
    <row r="832" spans="1:34" ht="13.2">
      <c r="A832" s="88"/>
      <c r="B832" s="88"/>
      <c r="C832" s="88"/>
      <c r="D832" s="88"/>
      <c r="E832" s="88"/>
      <c r="F832" s="88"/>
      <c r="G832" s="88"/>
      <c r="H832" s="88"/>
      <c r="I832" s="88"/>
      <c r="J832" s="88"/>
      <c r="K832" s="88"/>
      <c r="L832" s="88"/>
      <c r="M832" s="88"/>
      <c r="N832" s="88"/>
      <c r="O832" s="88"/>
      <c r="P832" s="88"/>
      <c r="Q832" s="88"/>
      <c r="R832" s="88"/>
      <c r="S832" s="88"/>
      <c r="T832" s="88"/>
      <c r="U832" s="88"/>
      <c r="V832" s="88"/>
      <c r="W832" s="88"/>
      <c r="X832" s="88"/>
      <c r="Y832" s="88"/>
      <c r="Z832" s="88"/>
      <c r="AA832" s="88"/>
      <c r="AB832" s="128"/>
      <c r="AC832" s="128"/>
      <c r="AD832" s="128"/>
      <c r="AE832" s="128"/>
      <c r="AF832" s="128"/>
      <c r="AG832" s="128"/>
      <c r="AH832" s="127"/>
    </row>
    <row r="833" spans="1:34" ht="13.2">
      <c r="A833" s="88"/>
      <c r="B833" s="88"/>
      <c r="C833" s="88"/>
      <c r="D833" s="88"/>
      <c r="E833" s="88"/>
      <c r="F833" s="88"/>
      <c r="G833" s="88"/>
      <c r="H833" s="88"/>
      <c r="I833" s="88"/>
      <c r="J833" s="88"/>
      <c r="K833" s="88"/>
      <c r="L833" s="88"/>
      <c r="M833" s="88"/>
      <c r="N833" s="88"/>
      <c r="O833" s="88"/>
      <c r="P833" s="88"/>
      <c r="Q833" s="88"/>
      <c r="R833" s="88"/>
      <c r="S833" s="88"/>
      <c r="T833" s="88"/>
      <c r="U833" s="88"/>
      <c r="V833" s="88"/>
      <c r="W833" s="88"/>
      <c r="X833" s="88"/>
      <c r="Y833" s="88"/>
      <c r="Z833" s="88"/>
      <c r="AA833" s="88"/>
      <c r="AB833" s="128"/>
      <c r="AC833" s="128"/>
      <c r="AD833" s="128"/>
      <c r="AE833" s="128"/>
      <c r="AF833" s="128"/>
      <c r="AG833" s="128"/>
      <c r="AH833" s="127"/>
    </row>
    <row r="834" spans="1:34" ht="13.2">
      <c r="A834" s="88"/>
      <c r="B834" s="88"/>
      <c r="C834" s="88"/>
      <c r="D834" s="88"/>
      <c r="E834" s="88"/>
      <c r="F834" s="88"/>
      <c r="G834" s="88"/>
      <c r="H834" s="88"/>
      <c r="I834" s="88"/>
      <c r="J834" s="88"/>
      <c r="K834" s="88"/>
      <c r="L834" s="88"/>
      <c r="M834" s="88"/>
      <c r="N834" s="88"/>
      <c r="O834" s="88"/>
      <c r="P834" s="88"/>
      <c r="Q834" s="88"/>
      <c r="R834" s="88"/>
      <c r="S834" s="88"/>
      <c r="T834" s="88"/>
      <c r="U834" s="88"/>
      <c r="V834" s="88"/>
      <c r="W834" s="88"/>
      <c r="X834" s="88"/>
      <c r="Y834" s="88"/>
      <c r="Z834" s="88"/>
      <c r="AA834" s="88"/>
      <c r="AB834" s="128"/>
      <c r="AC834" s="128"/>
      <c r="AD834" s="128"/>
      <c r="AE834" s="128"/>
      <c r="AF834" s="128"/>
      <c r="AG834" s="128"/>
      <c r="AH834" s="127"/>
    </row>
    <row r="835" spans="1:34" ht="13.2">
      <c r="A835" s="88"/>
      <c r="B835" s="88"/>
      <c r="C835" s="88"/>
      <c r="D835" s="88"/>
      <c r="E835" s="88"/>
      <c r="F835" s="88"/>
      <c r="G835" s="88"/>
      <c r="H835" s="88"/>
      <c r="I835" s="88"/>
      <c r="J835" s="88"/>
      <c r="K835" s="88"/>
      <c r="L835" s="88"/>
      <c r="M835" s="88"/>
      <c r="N835" s="88"/>
      <c r="O835" s="88"/>
      <c r="P835" s="88"/>
      <c r="Q835" s="88"/>
      <c r="R835" s="88"/>
      <c r="S835" s="88"/>
      <c r="T835" s="88"/>
      <c r="U835" s="88"/>
      <c r="V835" s="88"/>
      <c r="W835" s="88"/>
      <c r="X835" s="88"/>
      <c r="Y835" s="88"/>
      <c r="Z835" s="88"/>
      <c r="AA835" s="88"/>
      <c r="AB835" s="128"/>
      <c r="AC835" s="128"/>
      <c r="AD835" s="128"/>
      <c r="AE835" s="128"/>
      <c r="AF835" s="128"/>
      <c r="AG835" s="128"/>
      <c r="AH835" s="127"/>
    </row>
    <row r="836" spans="1:34" ht="13.2">
      <c r="A836" s="88"/>
      <c r="B836" s="88"/>
      <c r="C836" s="88"/>
      <c r="D836" s="88"/>
      <c r="E836" s="88"/>
      <c r="F836" s="88"/>
      <c r="G836" s="88"/>
      <c r="H836" s="88"/>
      <c r="I836" s="88"/>
      <c r="J836" s="88"/>
      <c r="K836" s="88"/>
      <c r="L836" s="88"/>
      <c r="M836" s="88"/>
      <c r="N836" s="88"/>
      <c r="O836" s="88"/>
      <c r="P836" s="88"/>
      <c r="Q836" s="88"/>
      <c r="R836" s="88"/>
      <c r="S836" s="88"/>
      <c r="T836" s="88"/>
      <c r="U836" s="88"/>
      <c r="V836" s="88"/>
      <c r="W836" s="88"/>
      <c r="X836" s="88"/>
      <c r="Y836" s="88"/>
      <c r="Z836" s="88"/>
      <c r="AA836" s="88"/>
      <c r="AB836" s="128"/>
      <c r="AC836" s="128"/>
      <c r="AD836" s="128"/>
      <c r="AE836" s="128"/>
      <c r="AF836" s="128"/>
      <c r="AG836" s="128"/>
      <c r="AH836" s="127"/>
    </row>
    <row r="837" spans="1:34" ht="13.2">
      <c r="A837" s="88"/>
      <c r="B837" s="88"/>
      <c r="C837" s="88"/>
      <c r="D837" s="88"/>
      <c r="E837" s="88"/>
      <c r="F837" s="88"/>
      <c r="G837" s="88"/>
      <c r="H837" s="88"/>
      <c r="I837" s="88"/>
      <c r="J837" s="88"/>
      <c r="K837" s="88"/>
      <c r="L837" s="88"/>
      <c r="M837" s="88"/>
      <c r="N837" s="88"/>
      <c r="O837" s="88"/>
      <c r="P837" s="88"/>
      <c r="Q837" s="88"/>
      <c r="R837" s="88"/>
      <c r="S837" s="88"/>
      <c r="T837" s="88"/>
      <c r="U837" s="88"/>
      <c r="V837" s="88"/>
      <c r="W837" s="88"/>
      <c r="X837" s="88"/>
      <c r="Y837" s="88"/>
      <c r="Z837" s="88"/>
      <c r="AA837" s="88"/>
      <c r="AB837" s="128"/>
      <c r="AC837" s="128"/>
      <c r="AD837" s="128"/>
      <c r="AE837" s="128"/>
      <c r="AF837" s="128"/>
      <c r="AG837" s="128"/>
      <c r="AH837" s="127"/>
    </row>
    <row r="838" spans="1:34" ht="13.2">
      <c r="A838" s="88"/>
      <c r="B838" s="88"/>
      <c r="C838" s="88"/>
      <c r="D838" s="88"/>
      <c r="E838" s="88"/>
      <c r="F838" s="88"/>
      <c r="G838" s="88"/>
      <c r="H838" s="88"/>
      <c r="I838" s="88"/>
      <c r="J838" s="88"/>
      <c r="K838" s="88"/>
      <c r="L838" s="88"/>
      <c r="M838" s="88"/>
      <c r="N838" s="88"/>
      <c r="O838" s="88"/>
      <c r="P838" s="88"/>
      <c r="Q838" s="88"/>
      <c r="R838" s="88"/>
      <c r="S838" s="88"/>
      <c r="T838" s="88"/>
      <c r="U838" s="88"/>
      <c r="V838" s="88"/>
      <c r="W838" s="88"/>
      <c r="X838" s="88"/>
      <c r="Y838" s="88"/>
      <c r="Z838" s="88"/>
      <c r="AA838" s="88"/>
      <c r="AB838" s="128"/>
      <c r="AC838" s="128"/>
      <c r="AD838" s="128"/>
      <c r="AE838" s="128"/>
      <c r="AF838" s="128"/>
      <c r="AG838" s="128"/>
      <c r="AH838" s="127"/>
    </row>
    <row r="839" spans="1:34" ht="13.2">
      <c r="A839" s="88"/>
      <c r="B839" s="88"/>
      <c r="C839" s="88"/>
      <c r="D839" s="88"/>
      <c r="E839" s="88"/>
      <c r="F839" s="88"/>
      <c r="G839" s="88"/>
      <c r="H839" s="88"/>
      <c r="I839" s="88"/>
      <c r="J839" s="88"/>
      <c r="K839" s="88"/>
      <c r="L839" s="88"/>
      <c r="M839" s="88"/>
      <c r="N839" s="88"/>
      <c r="O839" s="88"/>
      <c r="P839" s="88"/>
      <c r="Q839" s="88"/>
      <c r="R839" s="88"/>
      <c r="S839" s="88"/>
      <c r="T839" s="88"/>
      <c r="U839" s="88"/>
      <c r="V839" s="88"/>
      <c r="W839" s="88"/>
      <c r="X839" s="88"/>
      <c r="Y839" s="88"/>
      <c r="Z839" s="88"/>
      <c r="AA839" s="88"/>
      <c r="AB839" s="128"/>
      <c r="AC839" s="128"/>
      <c r="AD839" s="128"/>
      <c r="AE839" s="128"/>
      <c r="AF839" s="128"/>
      <c r="AG839" s="128"/>
      <c r="AH839" s="127"/>
    </row>
    <row r="840" spans="1:34" ht="13.2">
      <c r="A840" s="88"/>
      <c r="B840" s="88"/>
      <c r="C840" s="88"/>
      <c r="D840" s="88"/>
      <c r="E840" s="88"/>
      <c r="F840" s="88"/>
      <c r="G840" s="88"/>
      <c r="H840" s="88"/>
      <c r="I840" s="88"/>
      <c r="J840" s="88"/>
      <c r="K840" s="88"/>
      <c r="L840" s="88"/>
      <c r="M840" s="88"/>
      <c r="N840" s="88"/>
      <c r="O840" s="88"/>
      <c r="P840" s="88"/>
      <c r="Q840" s="88"/>
      <c r="R840" s="88"/>
      <c r="S840" s="88"/>
      <c r="T840" s="88"/>
      <c r="U840" s="88"/>
      <c r="V840" s="88"/>
      <c r="W840" s="88"/>
      <c r="X840" s="88"/>
      <c r="Y840" s="88"/>
      <c r="Z840" s="88"/>
      <c r="AA840" s="88"/>
      <c r="AB840" s="128"/>
      <c r="AC840" s="128"/>
      <c r="AD840" s="128"/>
      <c r="AE840" s="128"/>
      <c r="AF840" s="128"/>
      <c r="AG840" s="128"/>
      <c r="AH840" s="127"/>
    </row>
    <row r="841" spans="1:34" ht="13.2">
      <c r="A841" s="88"/>
      <c r="B841" s="88"/>
      <c r="C841" s="88"/>
      <c r="D841" s="88"/>
      <c r="E841" s="88"/>
      <c r="F841" s="88"/>
      <c r="G841" s="88"/>
      <c r="H841" s="88"/>
      <c r="I841" s="88"/>
      <c r="J841" s="88"/>
      <c r="K841" s="88"/>
      <c r="L841" s="88"/>
      <c r="M841" s="88"/>
      <c r="N841" s="88"/>
      <c r="O841" s="88"/>
      <c r="P841" s="88"/>
      <c r="Q841" s="88"/>
      <c r="R841" s="88"/>
      <c r="S841" s="88"/>
      <c r="T841" s="88"/>
      <c r="U841" s="88"/>
      <c r="V841" s="88"/>
      <c r="W841" s="88"/>
      <c r="X841" s="88"/>
      <c r="Y841" s="88"/>
      <c r="Z841" s="88"/>
      <c r="AA841" s="88"/>
      <c r="AB841" s="128"/>
      <c r="AC841" s="128"/>
      <c r="AD841" s="128"/>
      <c r="AE841" s="128"/>
      <c r="AF841" s="128"/>
      <c r="AG841" s="128"/>
      <c r="AH841" s="127"/>
    </row>
    <row r="842" spans="1:34" ht="13.2">
      <c r="A842" s="88"/>
      <c r="B842" s="88"/>
      <c r="C842" s="88"/>
      <c r="D842" s="88"/>
      <c r="E842" s="88"/>
      <c r="F842" s="88"/>
      <c r="G842" s="88"/>
      <c r="H842" s="88"/>
      <c r="I842" s="88"/>
      <c r="J842" s="88"/>
      <c r="K842" s="88"/>
      <c r="L842" s="88"/>
      <c r="M842" s="88"/>
      <c r="N842" s="88"/>
      <c r="O842" s="88"/>
      <c r="P842" s="88"/>
      <c r="Q842" s="88"/>
      <c r="R842" s="88"/>
      <c r="S842" s="88"/>
      <c r="T842" s="88"/>
      <c r="U842" s="88"/>
      <c r="V842" s="88"/>
      <c r="W842" s="88"/>
      <c r="X842" s="88"/>
      <c r="Y842" s="88"/>
      <c r="Z842" s="88"/>
      <c r="AA842" s="88"/>
      <c r="AB842" s="128"/>
      <c r="AC842" s="128"/>
      <c r="AD842" s="128"/>
      <c r="AE842" s="128"/>
      <c r="AF842" s="128"/>
      <c r="AG842" s="128"/>
      <c r="AH842" s="127"/>
    </row>
    <row r="843" spans="1:34" ht="13.2">
      <c r="A843" s="88"/>
      <c r="B843" s="88"/>
      <c r="C843" s="88"/>
      <c r="D843" s="88"/>
      <c r="E843" s="88"/>
      <c r="F843" s="88"/>
      <c r="G843" s="88"/>
      <c r="H843" s="88"/>
      <c r="I843" s="88"/>
      <c r="J843" s="88"/>
      <c r="K843" s="88"/>
      <c r="L843" s="88"/>
      <c r="M843" s="88"/>
      <c r="N843" s="88"/>
      <c r="O843" s="88"/>
      <c r="P843" s="88"/>
      <c r="Q843" s="88"/>
      <c r="R843" s="88"/>
      <c r="S843" s="88"/>
      <c r="T843" s="88"/>
      <c r="U843" s="88"/>
      <c r="V843" s="88"/>
      <c r="W843" s="88"/>
      <c r="X843" s="88"/>
      <c r="Y843" s="88"/>
      <c r="Z843" s="88"/>
      <c r="AA843" s="88"/>
      <c r="AB843" s="128"/>
      <c r="AC843" s="128"/>
      <c r="AD843" s="128"/>
      <c r="AE843" s="128"/>
      <c r="AF843" s="128"/>
      <c r="AG843" s="128"/>
      <c r="AH843" s="127"/>
    </row>
    <row r="844" spans="1:34" ht="13.2">
      <c r="A844" s="88"/>
      <c r="B844" s="88"/>
      <c r="C844" s="88"/>
      <c r="D844" s="88"/>
      <c r="E844" s="88"/>
      <c r="F844" s="88"/>
      <c r="G844" s="88"/>
      <c r="H844" s="88"/>
      <c r="I844" s="88"/>
      <c r="J844" s="88"/>
      <c r="K844" s="88"/>
      <c r="L844" s="88"/>
      <c r="M844" s="88"/>
      <c r="N844" s="88"/>
      <c r="O844" s="88"/>
      <c r="P844" s="88"/>
      <c r="Q844" s="88"/>
      <c r="R844" s="88"/>
      <c r="S844" s="88"/>
      <c r="T844" s="88"/>
      <c r="U844" s="88"/>
      <c r="V844" s="88"/>
      <c r="W844" s="88"/>
      <c r="X844" s="88"/>
      <c r="Y844" s="88"/>
      <c r="Z844" s="88"/>
      <c r="AA844" s="88"/>
      <c r="AB844" s="128"/>
      <c r="AC844" s="128"/>
      <c r="AD844" s="128"/>
      <c r="AE844" s="128"/>
      <c r="AF844" s="128"/>
      <c r="AG844" s="128"/>
      <c r="AH844" s="127"/>
    </row>
    <row r="845" spans="1:34" ht="13.2">
      <c r="A845" s="88"/>
      <c r="B845" s="88"/>
      <c r="C845" s="88"/>
      <c r="D845" s="88"/>
      <c r="E845" s="88"/>
      <c r="F845" s="88"/>
      <c r="G845" s="88"/>
      <c r="H845" s="88"/>
      <c r="I845" s="88"/>
      <c r="J845" s="88"/>
      <c r="K845" s="88"/>
      <c r="L845" s="88"/>
      <c r="M845" s="88"/>
      <c r="N845" s="88"/>
      <c r="O845" s="88"/>
      <c r="P845" s="88"/>
      <c r="Q845" s="88"/>
      <c r="R845" s="88"/>
      <c r="S845" s="88"/>
      <c r="T845" s="88"/>
      <c r="U845" s="88"/>
      <c r="V845" s="88"/>
      <c r="W845" s="88"/>
      <c r="X845" s="88"/>
      <c r="Y845" s="88"/>
      <c r="Z845" s="88"/>
      <c r="AA845" s="88"/>
      <c r="AB845" s="128"/>
      <c r="AC845" s="128"/>
      <c r="AD845" s="128"/>
      <c r="AE845" s="128"/>
      <c r="AF845" s="128"/>
      <c r="AG845" s="128"/>
      <c r="AH845" s="127"/>
    </row>
    <row r="846" spans="1:34" ht="13.2">
      <c r="A846" s="88"/>
      <c r="B846" s="88"/>
      <c r="C846" s="88"/>
      <c r="D846" s="88"/>
      <c r="E846" s="88"/>
      <c r="F846" s="88"/>
      <c r="G846" s="88"/>
      <c r="H846" s="88"/>
      <c r="I846" s="88"/>
      <c r="J846" s="88"/>
      <c r="K846" s="88"/>
      <c r="L846" s="88"/>
      <c r="M846" s="88"/>
      <c r="N846" s="88"/>
      <c r="O846" s="88"/>
      <c r="P846" s="88"/>
      <c r="Q846" s="88"/>
      <c r="R846" s="88"/>
      <c r="S846" s="88"/>
      <c r="T846" s="88"/>
      <c r="U846" s="88"/>
      <c r="V846" s="88"/>
      <c r="W846" s="88"/>
      <c r="X846" s="88"/>
      <c r="Y846" s="88"/>
      <c r="Z846" s="88"/>
      <c r="AA846" s="88"/>
      <c r="AB846" s="128"/>
      <c r="AC846" s="128"/>
      <c r="AD846" s="128"/>
      <c r="AE846" s="128"/>
      <c r="AF846" s="128"/>
      <c r="AG846" s="128"/>
      <c r="AH846" s="127"/>
    </row>
    <row r="847" spans="1:34" ht="13.2">
      <c r="A847" s="88"/>
      <c r="B847" s="88"/>
      <c r="C847" s="88"/>
      <c r="D847" s="88"/>
      <c r="E847" s="88"/>
      <c r="F847" s="88"/>
      <c r="G847" s="88"/>
      <c r="H847" s="88"/>
      <c r="I847" s="88"/>
      <c r="J847" s="88"/>
      <c r="K847" s="88"/>
      <c r="L847" s="88"/>
      <c r="M847" s="88"/>
      <c r="N847" s="88"/>
      <c r="O847" s="88"/>
      <c r="P847" s="88"/>
      <c r="Q847" s="88"/>
      <c r="R847" s="88"/>
      <c r="S847" s="88"/>
      <c r="T847" s="88"/>
      <c r="U847" s="88"/>
      <c r="V847" s="88"/>
      <c r="W847" s="88"/>
      <c r="X847" s="88"/>
      <c r="Y847" s="88"/>
      <c r="Z847" s="88"/>
      <c r="AA847" s="88"/>
      <c r="AB847" s="128"/>
      <c r="AC847" s="128"/>
      <c r="AD847" s="128"/>
      <c r="AE847" s="128"/>
      <c r="AF847" s="128"/>
      <c r="AG847" s="128"/>
      <c r="AH847" s="127"/>
    </row>
    <row r="848" spans="1:34" ht="13.2">
      <c r="A848" s="88"/>
      <c r="B848" s="88"/>
      <c r="C848" s="88"/>
      <c r="D848" s="88"/>
      <c r="E848" s="88"/>
      <c r="F848" s="88"/>
      <c r="G848" s="88"/>
      <c r="H848" s="88"/>
      <c r="I848" s="88"/>
      <c r="J848" s="88"/>
      <c r="K848" s="88"/>
      <c r="L848" s="88"/>
      <c r="M848" s="88"/>
      <c r="N848" s="88"/>
      <c r="O848" s="88"/>
      <c r="P848" s="88"/>
      <c r="Q848" s="88"/>
      <c r="R848" s="88"/>
      <c r="S848" s="88"/>
      <c r="T848" s="88"/>
      <c r="U848" s="88"/>
      <c r="V848" s="88"/>
      <c r="W848" s="88"/>
      <c r="X848" s="88"/>
      <c r="Y848" s="88"/>
      <c r="Z848" s="88"/>
      <c r="AA848" s="88"/>
      <c r="AB848" s="128"/>
      <c r="AC848" s="128"/>
      <c r="AD848" s="128"/>
      <c r="AE848" s="128"/>
      <c r="AF848" s="128"/>
      <c r="AG848" s="128"/>
      <c r="AH848" s="127"/>
    </row>
    <row r="849" spans="1:34" ht="13.2">
      <c r="A849" s="88"/>
      <c r="B849" s="88"/>
      <c r="C849" s="88"/>
      <c r="D849" s="88"/>
      <c r="E849" s="88"/>
      <c r="F849" s="88"/>
      <c r="G849" s="88"/>
      <c r="H849" s="88"/>
      <c r="I849" s="88"/>
      <c r="J849" s="88"/>
      <c r="K849" s="88"/>
      <c r="L849" s="88"/>
      <c r="M849" s="88"/>
      <c r="N849" s="88"/>
      <c r="O849" s="88"/>
      <c r="P849" s="88"/>
      <c r="Q849" s="88"/>
      <c r="R849" s="88"/>
      <c r="S849" s="88"/>
      <c r="T849" s="88"/>
      <c r="U849" s="88"/>
      <c r="V849" s="88"/>
      <c r="W849" s="88"/>
      <c r="X849" s="88"/>
      <c r="Y849" s="88"/>
      <c r="Z849" s="88"/>
      <c r="AA849" s="88"/>
      <c r="AB849" s="128"/>
      <c r="AC849" s="128"/>
      <c r="AD849" s="128"/>
      <c r="AE849" s="128"/>
      <c r="AF849" s="128"/>
      <c r="AG849" s="128"/>
      <c r="AH849" s="127"/>
    </row>
    <row r="850" spans="1:34" ht="13.2">
      <c r="A850" s="88"/>
      <c r="B850" s="88"/>
      <c r="C850" s="88"/>
      <c r="D850" s="88"/>
      <c r="E850" s="88"/>
      <c r="F850" s="88"/>
      <c r="G850" s="88"/>
      <c r="H850" s="88"/>
      <c r="I850" s="88"/>
      <c r="J850" s="88"/>
      <c r="K850" s="88"/>
      <c r="L850" s="88"/>
      <c r="M850" s="88"/>
      <c r="N850" s="88"/>
      <c r="O850" s="88"/>
      <c r="P850" s="88"/>
      <c r="Q850" s="88"/>
      <c r="R850" s="88"/>
      <c r="S850" s="88"/>
      <c r="T850" s="88"/>
      <c r="U850" s="88"/>
      <c r="V850" s="88"/>
      <c r="W850" s="88"/>
      <c r="X850" s="88"/>
      <c r="Y850" s="88"/>
      <c r="Z850" s="88"/>
      <c r="AA850" s="88"/>
      <c r="AB850" s="128"/>
      <c r="AC850" s="128"/>
      <c r="AD850" s="128"/>
      <c r="AE850" s="128"/>
      <c r="AF850" s="128"/>
      <c r="AG850" s="128"/>
      <c r="AH850" s="127"/>
    </row>
    <row r="851" spans="1:34" ht="13.2">
      <c r="A851" s="88"/>
      <c r="B851" s="88"/>
      <c r="C851" s="88"/>
      <c r="D851" s="88"/>
      <c r="E851" s="88"/>
      <c r="F851" s="88"/>
      <c r="G851" s="88"/>
      <c r="H851" s="88"/>
      <c r="I851" s="88"/>
      <c r="J851" s="88"/>
      <c r="K851" s="88"/>
      <c r="L851" s="88"/>
      <c r="M851" s="88"/>
      <c r="N851" s="88"/>
      <c r="O851" s="88"/>
      <c r="P851" s="88"/>
      <c r="Q851" s="88"/>
      <c r="R851" s="88"/>
      <c r="S851" s="88"/>
      <c r="T851" s="88"/>
      <c r="U851" s="88"/>
      <c r="V851" s="88"/>
      <c r="W851" s="88"/>
      <c r="X851" s="88"/>
      <c r="Y851" s="88"/>
      <c r="Z851" s="88"/>
      <c r="AA851" s="88"/>
      <c r="AB851" s="128"/>
      <c r="AC851" s="128"/>
      <c r="AD851" s="128"/>
      <c r="AE851" s="128"/>
      <c r="AF851" s="128"/>
      <c r="AG851" s="128"/>
      <c r="AH851" s="127"/>
    </row>
    <row r="852" spans="1:34" ht="13.2">
      <c r="A852" s="88"/>
      <c r="B852" s="88"/>
      <c r="C852" s="88"/>
      <c r="D852" s="88"/>
      <c r="E852" s="88"/>
      <c r="F852" s="88"/>
      <c r="G852" s="88"/>
      <c r="H852" s="88"/>
      <c r="I852" s="88"/>
      <c r="J852" s="88"/>
      <c r="K852" s="88"/>
      <c r="L852" s="88"/>
      <c r="M852" s="88"/>
      <c r="N852" s="88"/>
      <c r="O852" s="88"/>
      <c r="P852" s="88"/>
      <c r="Q852" s="88"/>
      <c r="R852" s="88"/>
      <c r="S852" s="88"/>
      <c r="T852" s="88"/>
      <c r="U852" s="88"/>
      <c r="V852" s="88"/>
      <c r="W852" s="88"/>
      <c r="X852" s="88"/>
      <c r="Y852" s="88"/>
      <c r="Z852" s="88"/>
      <c r="AA852" s="88"/>
      <c r="AB852" s="128"/>
      <c r="AC852" s="128"/>
      <c r="AD852" s="128"/>
      <c r="AE852" s="128"/>
      <c r="AF852" s="128"/>
      <c r="AG852" s="128"/>
      <c r="AH852" s="127"/>
    </row>
    <row r="853" spans="1:34" ht="13.2">
      <c r="A853" s="88"/>
      <c r="B853" s="88"/>
      <c r="C853" s="88"/>
      <c r="D853" s="88"/>
      <c r="E853" s="88"/>
      <c r="F853" s="88"/>
      <c r="G853" s="88"/>
      <c r="H853" s="88"/>
      <c r="I853" s="88"/>
      <c r="J853" s="88"/>
      <c r="K853" s="88"/>
      <c r="L853" s="88"/>
      <c r="M853" s="88"/>
      <c r="N853" s="88"/>
      <c r="O853" s="88"/>
      <c r="P853" s="88"/>
      <c r="Q853" s="88"/>
      <c r="R853" s="88"/>
      <c r="S853" s="88"/>
      <c r="T853" s="88"/>
      <c r="U853" s="88"/>
      <c r="V853" s="88"/>
      <c r="W853" s="88"/>
      <c r="X853" s="88"/>
      <c r="Y853" s="88"/>
      <c r="Z853" s="88"/>
      <c r="AA853" s="88"/>
      <c r="AB853" s="128"/>
      <c r="AC853" s="128"/>
      <c r="AD853" s="128"/>
      <c r="AE853" s="128"/>
      <c r="AF853" s="128"/>
      <c r="AG853" s="128"/>
      <c r="AH853" s="127"/>
    </row>
    <row r="854" spans="1:34" ht="13.2">
      <c r="A854" s="88"/>
      <c r="B854" s="88"/>
      <c r="C854" s="88"/>
      <c r="D854" s="88"/>
      <c r="E854" s="88"/>
      <c r="F854" s="88"/>
      <c r="G854" s="88"/>
      <c r="H854" s="88"/>
      <c r="I854" s="88"/>
      <c r="J854" s="88"/>
      <c r="K854" s="88"/>
      <c r="L854" s="88"/>
      <c r="M854" s="88"/>
      <c r="N854" s="88"/>
      <c r="O854" s="88"/>
      <c r="P854" s="88"/>
      <c r="Q854" s="88"/>
      <c r="R854" s="88"/>
      <c r="S854" s="88"/>
      <c r="T854" s="88"/>
      <c r="U854" s="88"/>
      <c r="V854" s="88"/>
      <c r="W854" s="88"/>
      <c r="X854" s="88"/>
      <c r="Y854" s="88"/>
      <c r="Z854" s="88"/>
      <c r="AA854" s="88"/>
      <c r="AB854" s="128"/>
      <c r="AC854" s="128"/>
      <c r="AD854" s="128"/>
      <c r="AE854" s="128"/>
      <c r="AF854" s="128"/>
      <c r="AG854" s="128"/>
      <c r="AH854" s="127"/>
    </row>
    <row r="855" spans="1:34" ht="13.2">
      <c r="A855" s="88"/>
      <c r="B855" s="88"/>
      <c r="C855" s="88"/>
      <c r="D855" s="88"/>
      <c r="E855" s="88"/>
      <c r="F855" s="88"/>
      <c r="G855" s="88"/>
      <c r="H855" s="88"/>
      <c r="I855" s="88"/>
      <c r="J855" s="88"/>
      <c r="K855" s="88"/>
      <c r="L855" s="88"/>
      <c r="M855" s="88"/>
      <c r="N855" s="88"/>
      <c r="O855" s="88"/>
      <c r="P855" s="88"/>
      <c r="Q855" s="88"/>
      <c r="R855" s="88"/>
      <c r="S855" s="88"/>
      <c r="T855" s="88"/>
      <c r="U855" s="88"/>
      <c r="V855" s="88"/>
      <c r="W855" s="88"/>
      <c r="X855" s="88"/>
      <c r="Y855" s="88"/>
      <c r="Z855" s="88"/>
      <c r="AA855" s="88"/>
      <c r="AB855" s="128"/>
      <c r="AC855" s="128"/>
      <c r="AD855" s="128"/>
      <c r="AE855" s="128"/>
      <c r="AF855" s="128"/>
      <c r="AG855" s="128"/>
      <c r="AH855" s="127"/>
    </row>
    <row r="856" spans="1:34" ht="13.2">
      <c r="A856" s="88"/>
      <c r="B856" s="88"/>
      <c r="C856" s="88"/>
      <c r="D856" s="88"/>
      <c r="E856" s="88"/>
      <c r="F856" s="88"/>
      <c r="G856" s="88"/>
      <c r="H856" s="88"/>
      <c r="I856" s="88"/>
      <c r="J856" s="88"/>
      <c r="K856" s="88"/>
      <c r="L856" s="88"/>
      <c r="M856" s="88"/>
      <c r="N856" s="88"/>
      <c r="O856" s="88"/>
      <c r="P856" s="88"/>
      <c r="Q856" s="88"/>
      <c r="R856" s="88"/>
      <c r="S856" s="88"/>
      <c r="T856" s="88"/>
      <c r="U856" s="88"/>
      <c r="V856" s="88"/>
      <c r="W856" s="88"/>
      <c r="X856" s="88"/>
      <c r="Y856" s="88"/>
      <c r="Z856" s="88"/>
      <c r="AA856" s="88"/>
      <c r="AB856" s="128"/>
      <c r="AC856" s="128"/>
      <c r="AD856" s="128"/>
      <c r="AE856" s="128"/>
      <c r="AF856" s="128"/>
      <c r="AG856" s="128"/>
      <c r="AH856" s="127"/>
    </row>
    <row r="857" spans="1:34" ht="13.2">
      <c r="A857" s="88"/>
      <c r="B857" s="88"/>
      <c r="C857" s="88"/>
      <c r="D857" s="88"/>
      <c r="E857" s="88"/>
      <c r="F857" s="88"/>
      <c r="G857" s="88"/>
      <c r="H857" s="88"/>
      <c r="I857" s="88"/>
      <c r="J857" s="88"/>
      <c r="K857" s="88"/>
      <c r="L857" s="88"/>
      <c r="M857" s="88"/>
      <c r="N857" s="88"/>
      <c r="O857" s="88"/>
      <c r="P857" s="88"/>
      <c r="Q857" s="88"/>
      <c r="R857" s="88"/>
      <c r="S857" s="88"/>
      <c r="T857" s="88"/>
      <c r="U857" s="88"/>
      <c r="V857" s="88"/>
      <c r="W857" s="88"/>
      <c r="X857" s="88"/>
      <c r="Y857" s="88"/>
      <c r="Z857" s="88"/>
      <c r="AA857" s="88"/>
      <c r="AB857" s="128"/>
      <c r="AC857" s="128"/>
      <c r="AD857" s="128"/>
      <c r="AE857" s="128"/>
      <c r="AF857" s="128"/>
      <c r="AG857" s="128"/>
      <c r="AH857" s="127"/>
    </row>
    <row r="858" spans="1:34" ht="13.2">
      <c r="A858" s="88"/>
      <c r="B858" s="88"/>
      <c r="C858" s="88"/>
      <c r="D858" s="88"/>
      <c r="E858" s="88"/>
      <c r="F858" s="88"/>
      <c r="G858" s="88"/>
      <c r="H858" s="88"/>
      <c r="I858" s="88"/>
      <c r="J858" s="88"/>
      <c r="K858" s="88"/>
      <c r="L858" s="88"/>
      <c r="M858" s="88"/>
      <c r="N858" s="88"/>
      <c r="O858" s="88"/>
      <c r="P858" s="88"/>
      <c r="Q858" s="88"/>
      <c r="R858" s="88"/>
      <c r="S858" s="88"/>
      <c r="T858" s="88"/>
      <c r="U858" s="88"/>
      <c r="V858" s="88"/>
      <c r="W858" s="88"/>
      <c r="X858" s="88"/>
      <c r="Y858" s="88"/>
      <c r="Z858" s="88"/>
      <c r="AA858" s="88"/>
      <c r="AB858" s="128"/>
      <c r="AC858" s="128"/>
      <c r="AD858" s="128"/>
      <c r="AE858" s="128"/>
      <c r="AF858" s="128"/>
      <c r="AG858" s="128"/>
      <c r="AH858" s="127"/>
    </row>
    <row r="859" spans="1:34" ht="13.2">
      <c r="A859" s="88"/>
      <c r="B859" s="88"/>
      <c r="C859" s="88"/>
      <c r="D859" s="88"/>
      <c r="E859" s="88"/>
      <c r="F859" s="88"/>
      <c r="G859" s="88"/>
      <c r="H859" s="88"/>
      <c r="I859" s="88"/>
      <c r="J859" s="88"/>
      <c r="K859" s="88"/>
      <c r="L859" s="88"/>
      <c r="M859" s="88"/>
      <c r="N859" s="88"/>
      <c r="O859" s="88"/>
      <c r="P859" s="88"/>
      <c r="Q859" s="88"/>
      <c r="R859" s="88"/>
      <c r="S859" s="88"/>
      <c r="T859" s="88"/>
      <c r="U859" s="88"/>
      <c r="V859" s="88"/>
      <c r="W859" s="88"/>
      <c r="X859" s="88"/>
      <c r="Y859" s="88"/>
      <c r="Z859" s="88"/>
      <c r="AA859" s="88"/>
      <c r="AB859" s="128"/>
      <c r="AC859" s="128"/>
      <c r="AD859" s="128"/>
      <c r="AE859" s="128"/>
      <c r="AF859" s="128"/>
      <c r="AG859" s="128"/>
      <c r="AH859" s="127"/>
    </row>
    <row r="860" spans="1:34" ht="13.2">
      <c r="A860" s="88"/>
      <c r="B860" s="88"/>
      <c r="C860" s="88"/>
      <c r="D860" s="88"/>
      <c r="E860" s="88"/>
      <c r="F860" s="88"/>
      <c r="G860" s="88"/>
      <c r="H860" s="88"/>
      <c r="I860" s="88"/>
      <c r="J860" s="88"/>
      <c r="K860" s="88"/>
      <c r="L860" s="88"/>
      <c r="M860" s="88"/>
      <c r="N860" s="88"/>
      <c r="O860" s="88"/>
      <c r="P860" s="88"/>
      <c r="Q860" s="88"/>
      <c r="R860" s="88"/>
      <c r="S860" s="88"/>
      <c r="T860" s="88"/>
      <c r="U860" s="88"/>
      <c r="V860" s="88"/>
      <c r="W860" s="88"/>
      <c r="X860" s="88"/>
      <c r="Y860" s="88"/>
      <c r="Z860" s="88"/>
      <c r="AA860" s="88"/>
      <c r="AB860" s="128"/>
      <c r="AC860" s="128"/>
      <c r="AD860" s="128"/>
      <c r="AE860" s="128"/>
      <c r="AF860" s="128"/>
      <c r="AG860" s="128"/>
      <c r="AH860" s="127"/>
    </row>
    <row r="861" spans="1:34" ht="13.2">
      <c r="A861" s="88"/>
      <c r="B861" s="88"/>
      <c r="C861" s="88"/>
      <c r="D861" s="88"/>
      <c r="E861" s="88"/>
      <c r="F861" s="88"/>
      <c r="G861" s="88"/>
      <c r="H861" s="88"/>
      <c r="I861" s="88"/>
      <c r="J861" s="88"/>
      <c r="K861" s="88"/>
      <c r="L861" s="88"/>
      <c r="M861" s="88"/>
      <c r="N861" s="88"/>
      <c r="O861" s="88"/>
      <c r="P861" s="88"/>
      <c r="Q861" s="88"/>
      <c r="R861" s="88"/>
      <c r="S861" s="88"/>
      <c r="T861" s="88"/>
      <c r="U861" s="88"/>
      <c r="V861" s="88"/>
      <c r="W861" s="88"/>
      <c r="X861" s="88"/>
      <c r="Y861" s="88"/>
      <c r="Z861" s="88"/>
      <c r="AA861" s="88"/>
      <c r="AB861" s="128"/>
      <c r="AC861" s="128"/>
      <c r="AD861" s="128"/>
      <c r="AE861" s="128"/>
      <c r="AF861" s="128"/>
      <c r="AG861" s="128"/>
      <c r="AH861" s="127"/>
    </row>
    <row r="862" spans="1:34" ht="13.2">
      <c r="A862" s="88"/>
      <c r="B862" s="88"/>
      <c r="C862" s="88"/>
      <c r="D862" s="88"/>
      <c r="E862" s="88"/>
      <c r="F862" s="88"/>
      <c r="G862" s="88"/>
      <c r="H862" s="88"/>
      <c r="I862" s="88"/>
      <c r="J862" s="88"/>
      <c r="K862" s="88"/>
      <c r="L862" s="88"/>
      <c r="M862" s="88"/>
      <c r="N862" s="88"/>
      <c r="O862" s="88"/>
      <c r="P862" s="88"/>
      <c r="Q862" s="88"/>
      <c r="R862" s="88"/>
      <c r="S862" s="88"/>
      <c r="T862" s="88"/>
      <c r="U862" s="88"/>
      <c r="V862" s="88"/>
      <c r="W862" s="88"/>
      <c r="X862" s="88"/>
      <c r="Y862" s="88"/>
      <c r="Z862" s="88"/>
      <c r="AA862" s="88"/>
      <c r="AB862" s="128"/>
      <c r="AC862" s="128"/>
      <c r="AD862" s="128"/>
      <c r="AE862" s="128"/>
      <c r="AF862" s="128"/>
      <c r="AG862" s="128"/>
      <c r="AH862" s="127"/>
    </row>
    <row r="863" spans="1:34" ht="13.2">
      <c r="A863" s="88"/>
      <c r="B863" s="88"/>
      <c r="C863" s="88"/>
      <c r="D863" s="88"/>
      <c r="E863" s="88"/>
      <c r="F863" s="88"/>
      <c r="G863" s="88"/>
      <c r="H863" s="88"/>
      <c r="I863" s="88"/>
      <c r="J863" s="88"/>
      <c r="K863" s="88"/>
      <c r="L863" s="88"/>
      <c r="M863" s="88"/>
      <c r="N863" s="88"/>
      <c r="O863" s="88"/>
      <c r="P863" s="88"/>
      <c r="Q863" s="88"/>
      <c r="R863" s="88"/>
      <c r="S863" s="88"/>
      <c r="T863" s="88"/>
      <c r="U863" s="88"/>
      <c r="V863" s="88"/>
      <c r="W863" s="88"/>
      <c r="X863" s="88"/>
      <c r="Y863" s="88"/>
      <c r="Z863" s="88"/>
      <c r="AA863" s="88"/>
      <c r="AB863" s="128"/>
      <c r="AC863" s="128"/>
      <c r="AD863" s="128"/>
      <c r="AE863" s="128"/>
      <c r="AF863" s="128"/>
      <c r="AG863" s="128"/>
      <c r="AH863" s="127"/>
    </row>
    <row r="864" spans="1:34" ht="13.2">
      <c r="A864" s="88"/>
      <c r="B864" s="88"/>
      <c r="C864" s="88"/>
      <c r="D864" s="88"/>
      <c r="E864" s="88"/>
      <c r="F864" s="88"/>
      <c r="G864" s="88"/>
      <c r="H864" s="88"/>
      <c r="I864" s="88"/>
      <c r="J864" s="88"/>
      <c r="K864" s="88"/>
      <c r="L864" s="88"/>
      <c r="M864" s="88"/>
      <c r="N864" s="88"/>
      <c r="O864" s="88"/>
      <c r="P864" s="88"/>
      <c r="Q864" s="88"/>
      <c r="R864" s="88"/>
      <c r="S864" s="88"/>
      <c r="T864" s="88"/>
      <c r="U864" s="88"/>
      <c r="V864" s="88"/>
      <c r="W864" s="88"/>
      <c r="X864" s="88"/>
      <c r="Y864" s="88"/>
      <c r="Z864" s="88"/>
      <c r="AA864" s="88"/>
      <c r="AB864" s="128"/>
      <c r="AC864" s="128"/>
      <c r="AD864" s="128"/>
      <c r="AE864" s="128"/>
      <c r="AF864" s="128"/>
      <c r="AG864" s="128"/>
      <c r="AH864" s="127"/>
    </row>
    <row r="865" spans="1:34" ht="13.2">
      <c r="A865" s="88"/>
      <c r="B865" s="88"/>
      <c r="C865" s="88"/>
      <c r="D865" s="88"/>
      <c r="E865" s="88"/>
      <c r="F865" s="88"/>
      <c r="G865" s="88"/>
      <c r="H865" s="88"/>
      <c r="I865" s="88"/>
      <c r="J865" s="88"/>
      <c r="K865" s="88"/>
      <c r="L865" s="88"/>
      <c r="M865" s="88"/>
      <c r="N865" s="88"/>
      <c r="O865" s="88"/>
      <c r="P865" s="88"/>
      <c r="Q865" s="88"/>
      <c r="R865" s="88"/>
      <c r="S865" s="88"/>
      <c r="T865" s="88"/>
      <c r="U865" s="88"/>
      <c r="V865" s="88"/>
      <c r="W865" s="88"/>
      <c r="X865" s="88"/>
      <c r="Y865" s="88"/>
      <c r="Z865" s="88"/>
      <c r="AA865" s="88"/>
      <c r="AB865" s="128"/>
      <c r="AC865" s="128"/>
      <c r="AD865" s="128"/>
      <c r="AE865" s="128"/>
      <c r="AF865" s="128"/>
      <c r="AG865" s="128"/>
      <c r="AH865" s="127"/>
    </row>
    <row r="866" spans="1:34" ht="13.2">
      <c r="A866" s="88"/>
      <c r="B866" s="88"/>
      <c r="C866" s="88"/>
      <c r="D866" s="88"/>
      <c r="E866" s="88"/>
      <c r="F866" s="88"/>
      <c r="G866" s="88"/>
      <c r="H866" s="88"/>
      <c r="I866" s="88"/>
      <c r="J866" s="88"/>
      <c r="K866" s="88"/>
      <c r="L866" s="88"/>
      <c r="M866" s="88"/>
      <c r="N866" s="88"/>
      <c r="O866" s="88"/>
      <c r="P866" s="88"/>
      <c r="Q866" s="88"/>
      <c r="R866" s="88"/>
      <c r="S866" s="88"/>
      <c r="T866" s="88"/>
      <c r="U866" s="88"/>
      <c r="V866" s="88"/>
      <c r="W866" s="88"/>
      <c r="X866" s="88"/>
      <c r="Y866" s="88"/>
      <c r="Z866" s="88"/>
      <c r="AA866" s="88"/>
      <c r="AB866" s="128"/>
      <c r="AC866" s="128"/>
      <c r="AD866" s="128"/>
      <c r="AE866" s="128"/>
      <c r="AF866" s="128"/>
      <c r="AG866" s="128"/>
      <c r="AH866" s="127"/>
    </row>
    <row r="867" spans="1:34" ht="13.2">
      <c r="A867" s="88"/>
      <c r="B867" s="88"/>
      <c r="C867" s="88"/>
      <c r="D867" s="88"/>
      <c r="E867" s="88"/>
      <c r="F867" s="88"/>
      <c r="G867" s="88"/>
      <c r="H867" s="88"/>
      <c r="I867" s="88"/>
      <c r="J867" s="88"/>
      <c r="K867" s="88"/>
      <c r="L867" s="88"/>
      <c r="M867" s="88"/>
      <c r="N867" s="88"/>
      <c r="O867" s="88"/>
      <c r="P867" s="88"/>
      <c r="Q867" s="88"/>
      <c r="R867" s="88"/>
      <c r="S867" s="88"/>
      <c r="T867" s="88"/>
      <c r="U867" s="88"/>
      <c r="V867" s="88"/>
      <c r="W867" s="88"/>
      <c r="X867" s="88"/>
      <c r="Y867" s="88"/>
      <c r="Z867" s="88"/>
      <c r="AA867" s="88"/>
      <c r="AB867" s="128"/>
      <c r="AC867" s="128"/>
      <c r="AD867" s="128"/>
      <c r="AE867" s="128"/>
      <c r="AF867" s="128"/>
      <c r="AG867" s="128"/>
      <c r="AH867" s="127"/>
    </row>
    <row r="868" spans="1:34" ht="13.2">
      <c r="A868" s="88"/>
      <c r="B868" s="88"/>
      <c r="C868" s="88"/>
      <c r="D868" s="88"/>
      <c r="E868" s="88"/>
      <c r="F868" s="88"/>
      <c r="G868" s="88"/>
      <c r="H868" s="88"/>
      <c r="I868" s="88"/>
      <c r="J868" s="88"/>
      <c r="K868" s="88"/>
      <c r="L868" s="88"/>
      <c r="M868" s="88"/>
      <c r="N868" s="88"/>
      <c r="O868" s="88"/>
      <c r="P868" s="88"/>
      <c r="Q868" s="88"/>
      <c r="R868" s="88"/>
      <c r="S868" s="88"/>
      <c r="T868" s="88"/>
      <c r="U868" s="88"/>
      <c r="V868" s="88"/>
      <c r="W868" s="88"/>
      <c r="X868" s="88"/>
      <c r="Y868" s="88"/>
      <c r="Z868" s="88"/>
      <c r="AA868" s="88"/>
      <c r="AB868" s="128"/>
      <c r="AC868" s="128"/>
      <c r="AD868" s="128"/>
      <c r="AE868" s="128"/>
      <c r="AF868" s="128"/>
      <c r="AG868" s="128"/>
      <c r="AH868" s="127"/>
    </row>
    <row r="869" spans="1:34" ht="13.2">
      <c r="A869" s="88"/>
      <c r="B869" s="88"/>
      <c r="C869" s="88"/>
      <c r="D869" s="88"/>
      <c r="E869" s="88"/>
      <c r="F869" s="88"/>
      <c r="G869" s="88"/>
      <c r="H869" s="88"/>
      <c r="I869" s="88"/>
      <c r="J869" s="88"/>
      <c r="K869" s="88"/>
      <c r="L869" s="88"/>
      <c r="M869" s="88"/>
      <c r="N869" s="88"/>
      <c r="O869" s="88"/>
      <c r="P869" s="88"/>
      <c r="Q869" s="88"/>
      <c r="R869" s="88"/>
      <c r="S869" s="88"/>
      <c r="T869" s="88"/>
      <c r="U869" s="88"/>
      <c r="V869" s="88"/>
      <c r="W869" s="88"/>
      <c r="X869" s="88"/>
      <c r="Y869" s="88"/>
      <c r="Z869" s="88"/>
      <c r="AA869" s="88"/>
      <c r="AB869" s="128"/>
      <c r="AC869" s="128"/>
      <c r="AD869" s="128"/>
      <c r="AE869" s="128"/>
      <c r="AF869" s="128"/>
      <c r="AG869" s="128"/>
      <c r="AH869" s="127"/>
    </row>
    <row r="870" spans="1:34" ht="13.2">
      <c r="A870" s="88"/>
      <c r="B870" s="88"/>
      <c r="C870" s="88"/>
      <c r="D870" s="88"/>
      <c r="E870" s="88"/>
      <c r="F870" s="88"/>
      <c r="G870" s="88"/>
      <c r="H870" s="88"/>
      <c r="I870" s="88"/>
      <c r="J870" s="88"/>
      <c r="K870" s="88"/>
      <c r="L870" s="88"/>
      <c r="M870" s="88"/>
      <c r="N870" s="88"/>
      <c r="O870" s="88"/>
      <c r="P870" s="88"/>
      <c r="Q870" s="88"/>
      <c r="R870" s="88"/>
      <c r="S870" s="88"/>
      <c r="T870" s="88"/>
      <c r="U870" s="88"/>
      <c r="V870" s="88"/>
      <c r="W870" s="88"/>
      <c r="X870" s="88"/>
      <c r="Y870" s="88"/>
      <c r="Z870" s="88"/>
      <c r="AA870" s="88"/>
      <c r="AB870" s="128"/>
      <c r="AC870" s="128"/>
      <c r="AD870" s="128"/>
      <c r="AE870" s="128"/>
      <c r="AF870" s="128"/>
      <c r="AG870" s="128"/>
      <c r="AH870" s="127"/>
    </row>
    <row r="871" spans="1:34" ht="13.2">
      <c r="A871" s="88"/>
      <c r="B871" s="88"/>
      <c r="C871" s="88"/>
      <c r="D871" s="88"/>
      <c r="E871" s="88"/>
      <c r="F871" s="88"/>
      <c r="G871" s="88"/>
      <c r="H871" s="88"/>
      <c r="I871" s="88"/>
      <c r="J871" s="88"/>
      <c r="K871" s="88"/>
      <c r="L871" s="88"/>
      <c r="M871" s="88"/>
      <c r="N871" s="88"/>
      <c r="O871" s="88"/>
      <c r="P871" s="88"/>
      <c r="Q871" s="88"/>
      <c r="R871" s="88"/>
      <c r="S871" s="88"/>
      <c r="T871" s="88"/>
      <c r="U871" s="88"/>
      <c r="V871" s="88"/>
      <c r="W871" s="88"/>
      <c r="X871" s="88"/>
      <c r="Y871" s="88"/>
      <c r="Z871" s="88"/>
      <c r="AA871" s="88"/>
      <c r="AB871" s="128"/>
      <c r="AC871" s="128"/>
      <c r="AD871" s="128"/>
      <c r="AE871" s="128"/>
      <c r="AF871" s="128"/>
      <c r="AG871" s="128"/>
      <c r="AH871" s="127"/>
    </row>
    <row r="872" spans="1:34" ht="13.2">
      <c r="A872" s="88"/>
      <c r="B872" s="88"/>
      <c r="C872" s="88"/>
      <c r="D872" s="88"/>
      <c r="E872" s="88"/>
      <c r="F872" s="88"/>
      <c r="G872" s="88"/>
      <c r="H872" s="88"/>
      <c r="I872" s="88"/>
      <c r="J872" s="88"/>
      <c r="K872" s="88"/>
      <c r="L872" s="88"/>
      <c r="M872" s="88"/>
      <c r="N872" s="88"/>
      <c r="O872" s="88"/>
      <c r="P872" s="88"/>
      <c r="Q872" s="88"/>
      <c r="R872" s="88"/>
      <c r="S872" s="88"/>
      <c r="T872" s="88"/>
      <c r="U872" s="88"/>
      <c r="V872" s="88"/>
      <c r="W872" s="88"/>
      <c r="X872" s="88"/>
      <c r="Y872" s="88"/>
      <c r="Z872" s="88"/>
      <c r="AA872" s="88"/>
      <c r="AB872" s="128"/>
      <c r="AC872" s="128"/>
      <c r="AD872" s="128"/>
      <c r="AE872" s="128"/>
      <c r="AF872" s="128"/>
      <c r="AG872" s="128"/>
      <c r="AH872" s="127"/>
    </row>
    <row r="873" spans="1:34" ht="13.2">
      <c r="A873" s="88"/>
      <c r="B873" s="88"/>
      <c r="C873" s="88"/>
      <c r="D873" s="88"/>
      <c r="E873" s="88"/>
      <c r="F873" s="88"/>
      <c r="G873" s="88"/>
      <c r="H873" s="88"/>
      <c r="I873" s="88"/>
      <c r="J873" s="88"/>
      <c r="K873" s="88"/>
      <c r="L873" s="88"/>
      <c r="M873" s="88"/>
      <c r="N873" s="88"/>
      <c r="O873" s="88"/>
      <c r="P873" s="88"/>
      <c r="Q873" s="88"/>
      <c r="R873" s="88"/>
      <c r="S873" s="88"/>
      <c r="T873" s="88"/>
      <c r="U873" s="88"/>
      <c r="V873" s="88"/>
      <c r="W873" s="88"/>
      <c r="X873" s="88"/>
      <c r="Y873" s="88"/>
      <c r="Z873" s="88"/>
      <c r="AA873" s="88"/>
      <c r="AB873" s="128"/>
      <c r="AC873" s="128"/>
      <c r="AD873" s="128"/>
      <c r="AE873" s="128"/>
      <c r="AF873" s="128"/>
      <c r="AG873" s="128"/>
      <c r="AH873" s="127"/>
    </row>
    <row r="874" spans="1:34" ht="13.2">
      <c r="A874" s="88"/>
      <c r="B874" s="88"/>
      <c r="C874" s="88"/>
      <c r="D874" s="88"/>
      <c r="E874" s="88"/>
      <c r="F874" s="88"/>
      <c r="G874" s="88"/>
      <c r="H874" s="88"/>
      <c r="I874" s="88"/>
      <c r="J874" s="88"/>
      <c r="K874" s="88"/>
      <c r="L874" s="88"/>
      <c r="M874" s="88"/>
      <c r="N874" s="88"/>
      <c r="O874" s="88"/>
      <c r="P874" s="88"/>
      <c r="Q874" s="88"/>
      <c r="R874" s="88"/>
      <c r="S874" s="88"/>
      <c r="T874" s="88"/>
      <c r="U874" s="88"/>
      <c r="V874" s="88"/>
      <c r="W874" s="88"/>
      <c r="X874" s="88"/>
      <c r="Y874" s="88"/>
      <c r="Z874" s="88"/>
      <c r="AA874" s="88"/>
      <c r="AB874" s="128"/>
      <c r="AC874" s="128"/>
      <c r="AD874" s="128"/>
      <c r="AE874" s="128"/>
      <c r="AF874" s="128"/>
      <c r="AG874" s="128"/>
      <c r="AH874" s="127"/>
    </row>
    <row r="875" spans="1:34" ht="13.2">
      <c r="A875" s="88"/>
      <c r="B875" s="88"/>
      <c r="C875" s="88"/>
      <c r="D875" s="88"/>
      <c r="E875" s="88"/>
      <c r="F875" s="88"/>
      <c r="G875" s="88"/>
      <c r="H875" s="88"/>
      <c r="I875" s="88"/>
      <c r="J875" s="88"/>
      <c r="K875" s="88"/>
      <c r="L875" s="88"/>
      <c r="M875" s="88"/>
      <c r="N875" s="88"/>
      <c r="O875" s="88"/>
      <c r="P875" s="88"/>
      <c r="Q875" s="88"/>
      <c r="R875" s="88"/>
      <c r="S875" s="88"/>
      <c r="T875" s="88"/>
      <c r="U875" s="88"/>
      <c r="V875" s="88"/>
      <c r="W875" s="88"/>
      <c r="X875" s="88"/>
      <c r="Y875" s="88"/>
      <c r="Z875" s="88"/>
      <c r="AA875" s="88"/>
      <c r="AB875" s="128"/>
      <c r="AC875" s="128"/>
      <c r="AD875" s="128"/>
      <c r="AE875" s="128"/>
      <c r="AF875" s="128"/>
      <c r="AG875" s="128"/>
      <c r="AH875" s="127"/>
    </row>
    <row r="876" spans="1:34" ht="13.2">
      <c r="A876" s="88"/>
      <c r="B876" s="88"/>
      <c r="C876" s="88"/>
      <c r="D876" s="88"/>
      <c r="E876" s="88"/>
      <c r="F876" s="88"/>
      <c r="G876" s="88"/>
      <c r="H876" s="88"/>
      <c r="I876" s="88"/>
      <c r="J876" s="88"/>
      <c r="K876" s="88"/>
      <c r="L876" s="88"/>
      <c r="M876" s="88"/>
      <c r="N876" s="88"/>
      <c r="O876" s="88"/>
      <c r="P876" s="88"/>
      <c r="Q876" s="88"/>
      <c r="R876" s="88"/>
      <c r="S876" s="88"/>
      <c r="T876" s="88"/>
      <c r="U876" s="88"/>
      <c r="V876" s="88"/>
      <c r="W876" s="88"/>
      <c r="X876" s="88"/>
      <c r="Y876" s="88"/>
      <c r="Z876" s="88"/>
      <c r="AA876" s="88"/>
      <c r="AB876" s="128"/>
      <c r="AC876" s="128"/>
      <c r="AD876" s="128"/>
      <c r="AE876" s="128"/>
      <c r="AF876" s="128"/>
      <c r="AG876" s="128"/>
      <c r="AH876" s="127"/>
    </row>
    <row r="877" spans="1:34" ht="13.2">
      <c r="A877" s="88"/>
      <c r="B877" s="88"/>
      <c r="C877" s="88"/>
      <c r="D877" s="88"/>
      <c r="E877" s="88"/>
      <c r="F877" s="88"/>
      <c r="G877" s="88"/>
      <c r="H877" s="88"/>
      <c r="I877" s="88"/>
      <c r="J877" s="88"/>
      <c r="K877" s="88"/>
      <c r="L877" s="88"/>
      <c r="M877" s="88"/>
      <c r="N877" s="88"/>
      <c r="O877" s="88"/>
      <c r="P877" s="88"/>
      <c r="Q877" s="88"/>
      <c r="R877" s="88"/>
      <c r="S877" s="88"/>
      <c r="T877" s="88"/>
      <c r="U877" s="88"/>
      <c r="V877" s="88"/>
      <c r="W877" s="88"/>
      <c r="X877" s="88"/>
      <c r="Y877" s="88"/>
      <c r="Z877" s="88"/>
      <c r="AA877" s="88"/>
      <c r="AB877" s="128"/>
      <c r="AC877" s="128"/>
      <c r="AD877" s="128"/>
      <c r="AE877" s="128"/>
      <c r="AF877" s="128"/>
      <c r="AG877" s="128"/>
      <c r="AH877" s="127"/>
    </row>
    <row r="878" spans="1:34" ht="13.2">
      <c r="A878" s="88"/>
      <c r="B878" s="88"/>
      <c r="C878" s="88"/>
      <c r="D878" s="88"/>
      <c r="E878" s="88"/>
      <c r="F878" s="88"/>
      <c r="G878" s="88"/>
      <c r="H878" s="88"/>
      <c r="I878" s="88"/>
      <c r="J878" s="88"/>
      <c r="K878" s="88"/>
      <c r="L878" s="88"/>
      <c r="M878" s="88"/>
      <c r="N878" s="88"/>
      <c r="O878" s="88"/>
      <c r="P878" s="88"/>
      <c r="Q878" s="88"/>
      <c r="R878" s="88"/>
      <c r="S878" s="88"/>
      <c r="T878" s="88"/>
      <c r="U878" s="88"/>
      <c r="V878" s="88"/>
      <c r="W878" s="88"/>
      <c r="X878" s="88"/>
      <c r="Y878" s="88"/>
      <c r="Z878" s="88"/>
      <c r="AA878" s="88"/>
      <c r="AB878" s="128"/>
      <c r="AC878" s="128"/>
      <c r="AD878" s="128"/>
      <c r="AE878" s="128"/>
      <c r="AF878" s="128"/>
      <c r="AG878" s="128"/>
      <c r="AH878" s="127"/>
    </row>
    <row r="879" spans="1:34" ht="13.2">
      <c r="A879" s="88"/>
      <c r="B879" s="88"/>
      <c r="C879" s="88"/>
      <c r="D879" s="88"/>
      <c r="E879" s="88"/>
      <c r="F879" s="88"/>
      <c r="G879" s="88"/>
      <c r="H879" s="88"/>
      <c r="I879" s="88"/>
      <c r="J879" s="88"/>
      <c r="K879" s="88"/>
      <c r="L879" s="88"/>
      <c r="M879" s="88"/>
      <c r="N879" s="88"/>
      <c r="O879" s="88"/>
      <c r="P879" s="88"/>
      <c r="Q879" s="88"/>
      <c r="R879" s="88"/>
      <c r="S879" s="88"/>
      <c r="T879" s="88"/>
      <c r="U879" s="88"/>
      <c r="V879" s="88"/>
      <c r="W879" s="88"/>
      <c r="X879" s="88"/>
      <c r="Y879" s="88"/>
      <c r="Z879" s="88"/>
      <c r="AA879" s="88"/>
      <c r="AB879" s="128"/>
      <c r="AC879" s="128"/>
      <c r="AD879" s="128"/>
      <c r="AE879" s="128"/>
      <c r="AF879" s="128"/>
      <c r="AG879" s="128"/>
      <c r="AH879" s="127"/>
    </row>
    <row r="880" spans="1:34" ht="13.2">
      <c r="A880" s="88"/>
      <c r="B880" s="88"/>
      <c r="C880" s="88"/>
      <c r="D880" s="88"/>
      <c r="E880" s="88"/>
      <c r="F880" s="88"/>
      <c r="G880" s="88"/>
      <c r="H880" s="88"/>
      <c r="I880" s="88"/>
      <c r="J880" s="88"/>
      <c r="K880" s="88"/>
      <c r="L880" s="88"/>
      <c r="M880" s="88"/>
      <c r="N880" s="88"/>
      <c r="O880" s="88"/>
      <c r="P880" s="88"/>
      <c r="Q880" s="88"/>
      <c r="R880" s="88"/>
      <c r="S880" s="88"/>
      <c r="T880" s="88"/>
      <c r="U880" s="88"/>
      <c r="V880" s="88"/>
      <c r="W880" s="88"/>
      <c r="X880" s="88"/>
      <c r="Y880" s="88"/>
      <c r="Z880" s="88"/>
      <c r="AA880" s="88"/>
      <c r="AB880" s="128"/>
      <c r="AC880" s="128"/>
      <c r="AD880" s="128"/>
      <c r="AE880" s="128"/>
      <c r="AF880" s="128"/>
      <c r="AG880" s="128"/>
      <c r="AH880" s="127"/>
    </row>
    <row r="881" spans="1:34" ht="13.2">
      <c r="A881" s="88"/>
      <c r="B881" s="88"/>
      <c r="C881" s="88"/>
      <c r="D881" s="88"/>
      <c r="E881" s="88"/>
      <c r="F881" s="88"/>
      <c r="G881" s="88"/>
      <c r="H881" s="88"/>
      <c r="I881" s="88"/>
      <c r="J881" s="88"/>
      <c r="K881" s="88"/>
      <c r="L881" s="88"/>
      <c r="M881" s="88"/>
      <c r="N881" s="88"/>
      <c r="O881" s="88"/>
      <c r="P881" s="88"/>
      <c r="Q881" s="88"/>
      <c r="R881" s="88"/>
      <c r="S881" s="88"/>
      <c r="T881" s="88"/>
      <c r="U881" s="88"/>
      <c r="V881" s="88"/>
      <c r="W881" s="88"/>
      <c r="X881" s="88"/>
      <c r="Y881" s="88"/>
      <c r="Z881" s="88"/>
      <c r="AA881" s="88"/>
      <c r="AB881" s="128"/>
      <c r="AC881" s="128"/>
      <c r="AD881" s="128"/>
      <c r="AE881" s="128"/>
      <c r="AF881" s="128"/>
      <c r="AG881" s="128"/>
      <c r="AH881" s="127"/>
    </row>
    <row r="882" spans="1:34" ht="13.2">
      <c r="A882" s="88"/>
      <c r="B882" s="88"/>
      <c r="C882" s="88"/>
      <c r="D882" s="88"/>
      <c r="E882" s="88"/>
      <c r="F882" s="88"/>
      <c r="G882" s="88"/>
      <c r="H882" s="88"/>
      <c r="I882" s="88"/>
      <c r="J882" s="88"/>
      <c r="K882" s="88"/>
      <c r="L882" s="88"/>
      <c r="M882" s="88"/>
      <c r="N882" s="88"/>
      <c r="O882" s="88"/>
      <c r="P882" s="88"/>
      <c r="Q882" s="88"/>
      <c r="R882" s="88"/>
      <c r="S882" s="88"/>
      <c r="T882" s="88"/>
      <c r="U882" s="88"/>
      <c r="V882" s="88"/>
      <c r="W882" s="88"/>
      <c r="X882" s="88"/>
      <c r="Y882" s="88"/>
      <c r="Z882" s="88"/>
      <c r="AA882" s="88"/>
      <c r="AB882" s="128"/>
      <c r="AC882" s="128"/>
      <c r="AD882" s="128"/>
      <c r="AE882" s="128"/>
      <c r="AF882" s="128"/>
      <c r="AG882" s="128"/>
      <c r="AH882" s="127"/>
    </row>
    <row r="883" spans="1:34" ht="13.2">
      <c r="A883" s="88"/>
      <c r="B883" s="88"/>
      <c r="C883" s="88"/>
      <c r="D883" s="88"/>
      <c r="E883" s="88"/>
      <c r="F883" s="88"/>
      <c r="G883" s="88"/>
      <c r="H883" s="88"/>
      <c r="I883" s="88"/>
      <c r="J883" s="88"/>
      <c r="K883" s="88"/>
      <c r="L883" s="88"/>
      <c r="M883" s="88"/>
      <c r="N883" s="88"/>
      <c r="O883" s="88"/>
      <c r="P883" s="88"/>
      <c r="Q883" s="88"/>
      <c r="R883" s="88"/>
      <c r="S883" s="88"/>
      <c r="T883" s="88"/>
      <c r="U883" s="88"/>
      <c r="V883" s="88"/>
      <c r="W883" s="88"/>
      <c r="X883" s="88"/>
      <c r="Y883" s="88"/>
      <c r="Z883" s="88"/>
      <c r="AA883" s="88"/>
      <c r="AB883" s="128"/>
      <c r="AC883" s="128"/>
      <c r="AD883" s="128"/>
      <c r="AE883" s="128"/>
      <c r="AF883" s="128"/>
      <c r="AG883" s="128"/>
      <c r="AH883" s="127"/>
    </row>
    <row r="884" spans="1:34" ht="13.2">
      <c r="A884" s="88"/>
      <c r="B884" s="88"/>
      <c r="C884" s="88"/>
      <c r="D884" s="88"/>
      <c r="E884" s="88"/>
      <c r="F884" s="88"/>
      <c r="G884" s="88"/>
      <c r="H884" s="88"/>
      <c r="I884" s="88"/>
      <c r="J884" s="88"/>
      <c r="K884" s="88"/>
      <c r="L884" s="88"/>
      <c r="M884" s="88"/>
      <c r="N884" s="88"/>
      <c r="O884" s="88"/>
      <c r="P884" s="88"/>
      <c r="Q884" s="88"/>
      <c r="R884" s="88"/>
      <c r="S884" s="88"/>
      <c r="T884" s="88"/>
      <c r="U884" s="88"/>
      <c r="V884" s="88"/>
      <c r="W884" s="88"/>
      <c r="X884" s="88"/>
      <c r="Y884" s="88"/>
      <c r="Z884" s="88"/>
      <c r="AA884" s="88"/>
      <c r="AB884" s="128"/>
      <c r="AC884" s="128"/>
      <c r="AD884" s="128"/>
      <c r="AE884" s="128"/>
      <c r="AF884" s="128"/>
      <c r="AG884" s="128"/>
      <c r="AH884" s="127"/>
    </row>
    <row r="885" spans="1:34" ht="13.2">
      <c r="A885" s="88"/>
      <c r="B885" s="88"/>
      <c r="C885" s="88"/>
      <c r="D885" s="88"/>
      <c r="E885" s="88"/>
      <c r="F885" s="88"/>
      <c r="G885" s="88"/>
      <c r="H885" s="88"/>
      <c r="I885" s="88"/>
      <c r="J885" s="88"/>
      <c r="K885" s="88"/>
      <c r="L885" s="88"/>
      <c r="M885" s="88"/>
      <c r="N885" s="88"/>
      <c r="O885" s="88"/>
      <c r="P885" s="88"/>
      <c r="Q885" s="88"/>
      <c r="R885" s="88"/>
      <c r="S885" s="88"/>
      <c r="T885" s="88"/>
      <c r="U885" s="88"/>
      <c r="V885" s="88"/>
      <c r="W885" s="88"/>
      <c r="X885" s="88"/>
      <c r="Y885" s="88"/>
      <c r="Z885" s="88"/>
      <c r="AA885" s="88"/>
      <c r="AB885" s="128"/>
      <c r="AC885" s="128"/>
      <c r="AD885" s="128"/>
      <c r="AE885" s="128"/>
      <c r="AF885" s="128"/>
      <c r="AG885" s="128"/>
      <c r="AH885" s="127"/>
    </row>
    <row r="886" spans="1:34" ht="13.2">
      <c r="A886" s="88"/>
      <c r="B886" s="88"/>
      <c r="C886" s="88"/>
      <c r="D886" s="88"/>
      <c r="E886" s="88"/>
      <c r="F886" s="88"/>
      <c r="G886" s="88"/>
      <c r="H886" s="88"/>
      <c r="I886" s="88"/>
      <c r="J886" s="88"/>
      <c r="K886" s="88"/>
      <c r="L886" s="88"/>
      <c r="M886" s="88"/>
      <c r="N886" s="88"/>
      <c r="O886" s="88"/>
      <c r="P886" s="88"/>
      <c r="Q886" s="88"/>
      <c r="R886" s="88"/>
      <c r="S886" s="88"/>
      <c r="T886" s="88"/>
      <c r="U886" s="88"/>
      <c r="V886" s="88"/>
      <c r="W886" s="88"/>
      <c r="X886" s="88"/>
      <c r="Y886" s="88"/>
      <c r="Z886" s="88"/>
      <c r="AA886" s="88"/>
      <c r="AB886" s="128"/>
      <c r="AC886" s="128"/>
      <c r="AD886" s="128"/>
      <c r="AE886" s="128"/>
      <c r="AF886" s="128"/>
      <c r="AG886" s="128"/>
      <c r="AH886" s="127"/>
    </row>
    <row r="887" spans="1:34" ht="13.2">
      <c r="A887" s="88"/>
      <c r="B887" s="88"/>
      <c r="C887" s="88"/>
      <c r="D887" s="88"/>
      <c r="E887" s="88"/>
      <c r="F887" s="88"/>
      <c r="G887" s="88"/>
      <c r="H887" s="88"/>
      <c r="I887" s="88"/>
      <c r="J887" s="88"/>
      <c r="K887" s="88"/>
      <c r="L887" s="88"/>
      <c r="M887" s="88"/>
      <c r="N887" s="88"/>
      <c r="O887" s="88"/>
      <c r="P887" s="88"/>
      <c r="Q887" s="88"/>
      <c r="R887" s="88"/>
      <c r="S887" s="88"/>
      <c r="T887" s="88"/>
      <c r="U887" s="88"/>
      <c r="V887" s="88"/>
      <c r="W887" s="88"/>
      <c r="X887" s="88"/>
      <c r="Y887" s="88"/>
      <c r="Z887" s="88"/>
      <c r="AA887" s="88"/>
      <c r="AB887" s="128"/>
      <c r="AC887" s="128"/>
      <c r="AD887" s="128"/>
      <c r="AE887" s="128"/>
      <c r="AF887" s="128"/>
      <c r="AG887" s="128"/>
      <c r="AH887" s="127"/>
    </row>
    <row r="888" spans="1:34" ht="13.2">
      <c r="A888" s="88"/>
      <c r="B888" s="88"/>
      <c r="C888" s="88"/>
      <c r="D888" s="88"/>
      <c r="E888" s="88"/>
      <c r="F888" s="88"/>
      <c r="G888" s="88"/>
      <c r="H888" s="88"/>
      <c r="I888" s="88"/>
      <c r="J888" s="88"/>
      <c r="K888" s="88"/>
      <c r="L888" s="88"/>
      <c r="M888" s="88"/>
      <c r="N888" s="88"/>
      <c r="O888" s="88"/>
      <c r="P888" s="88"/>
      <c r="Q888" s="88"/>
      <c r="R888" s="88"/>
      <c r="S888" s="88"/>
      <c r="T888" s="88"/>
      <c r="U888" s="88"/>
      <c r="V888" s="88"/>
      <c r="W888" s="88"/>
      <c r="X888" s="88"/>
      <c r="Y888" s="88"/>
      <c r="Z888" s="88"/>
      <c r="AA888" s="88"/>
      <c r="AB888" s="128"/>
      <c r="AC888" s="128"/>
      <c r="AD888" s="128"/>
      <c r="AE888" s="128"/>
      <c r="AF888" s="128"/>
      <c r="AG888" s="128"/>
      <c r="AH888" s="127"/>
    </row>
    <row r="889" spans="1:34" ht="13.2">
      <c r="A889" s="88"/>
      <c r="B889" s="88"/>
      <c r="C889" s="88"/>
      <c r="D889" s="88"/>
      <c r="E889" s="88"/>
      <c r="F889" s="88"/>
      <c r="G889" s="88"/>
      <c r="H889" s="88"/>
      <c r="I889" s="88"/>
      <c r="J889" s="88"/>
      <c r="K889" s="88"/>
      <c r="L889" s="88"/>
      <c r="M889" s="88"/>
      <c r="N889" s="88"/>
      <c r="O889" s="88"/>
      <c r="P889" s="88"/>
      <c r="Q889" s="88"/>
      <c r="R889" s="88"/>
      <c r="S889" s="88"/>
      <c r="T889" s="88"/>
      <c r="U889" s="88"/>
      <c r="V889" s="88"/>
      <c r="W889" s="88"/>
      <c r="X889" s="88"/>
      <c r="Y889" s="88"/>
      <c r="Z889" s="88"/>
      <c r="AA889" s="88"/>
      <c r="AB889" s="128"/>
      <c r="AC889" s="128"/>
      <c r="AD889" s="128"/>
      <c r="AE889" s="128"/>
      <c r="AF889" s="128"/>
      <c r="AG889" s="128"/>
      <c r="AH889" s="127"/>
    </row>
    <row r="890" spans="1:34" ht="13.2">
      <c r="A890" s="88"/>
      <c r="B890" s="88"/>
      <c r="C890" s="88"/>
      <c r="D890" s="88"/>
      <c r="E890" s="88"/>
      <c r="F890" s="88"/>
      <c r="G890" s="88"/>
      <c r="H890" s="88"/>
      <c r="I890" s="88"/>
      <c r="J890" s="88"/>
      <c r="K890" s="88"/>
      <c r="L890" s="88"/>
      <c r="M890" s="88"/>
      <c r="N890" s="88"/>
      <c r="O890" s="88"/>
      <c r="P890" s="88"/>
      <c r="Q890" s="88"/>
      <c r="R890" s="88"/>
      <c r="S890" s="88"/>
      <c r="T890" s="88"/>
      <c r="U890" s="88"/>
      <c r="V890" s="88"/>
      <c r="W890" s="88"/>
      <c r="X890" s="88"/>
      <c r="Y890" s="88"/>
      <c r="Z890" s="88"/>
      <c r="AA890" s="88"/>
      <c r="AB890" s="128"/>
      <c r="AC890" s="128"/>
      <c r="AD890" s="128"/>
      <c r="AE890" s="128"/>
      <c r="AF890" s="128"/>
      <c r="AG890" s="128"/>
      <c r="AH890" s="127"/>
    </row>
    <row r="891" spans="1:34" ht="13.2">
      <c r="A891" s="88"/>
      <c r="B891" s="88"/>
      <c r="C891" s="88"/>
      <c r="D891" s="88"/>
      <c r="E891" s="88"/>
      <c r="F891" s="88"/>
      <c r="G891" s="88"/>
      <c r="H891" s="88"/>
      <c r="I891" s="88"/>
      <c r="J891" s="88"/>
      <c r="K891" s="88"/>
      <c r="L891" s="88"/>
      <c r="M891" s="88"/>
      <c r="N891" s="88"/>
      <c r="O891" s="88"/>
      <c r="P891" s="88"/>
      <c r="Q891" s="88"/>
      <c r="R891" s="88"/>
      <c r="S891" s="88"/>
      <c r="T891" s="88"/>
      <c r="U891" s="88"/>
      <c r="V891" s="88"/>
      <c r="W891" s="88"/>
      <c r="X891" s="88"/>
      <c r="Y891" s="88"/>
      <c r="Z891" s="88"/>
      <c r="AA891" s="88"/>
      <c r="AB891" s="128"/>
      <c r="AC891" s="128"/>
      <c r="AD891" s="128"/>
      <c r="AE891" s="128"/>
      <c r="AF891" s="128"/>
      <c r="AG891" s="128"/>
      <c r="AH891" s="127"/>
    </row>
    <row r="892" spans="1:34" ht="13.2">
      <c r="A892" s="88"/>
      <c r="B892" s="88"/>
      <c r="C892" s="88"/>
      <c r="D892" s="88"/>
      <c r="E892" s="88"/>
      <c r="F892" s="88"/>
      <c r="G892" s="88"/>
      <c r="H892" s="88"/>
      <c r="I892" s="88"/>
      <c r="J892" s="88"/>
      <c r="K892" s="88"/>
      <c r="L892" s="88"/>
      <c r="M892" s="88"/>
      <c r="N892" s="88"/>
      <c r="O892" s="88"/>
      <c r="P892" s="88"/>
      <c r="Q892" s="88"/>
      <c r="R892" s="88"/>
      <c r="S892" s="88"/>
      <c r="T892" s="88"/>
      <c r="U892" s="88"/>
      <c r="V892" s="88"/>
      <c r="W892" s="88"/>
      <c r="X892" s="88"/>
      <c r="Y892" s="88"/>
      <c r="Z892" s="88"/>
      <c r="AA892" s="88"/>
      <c r="AB892" s="128"/>
      <c r="AC892" s="128"/>
      <c r="AD892" s="128"/>
      <c r="AE892" s="128"/>
      <c r="AF892" s="128"/>
      <c r="AG892" s="128"/>
      <c r="AH892" s="127"/>
    </row>
    <row r="893" spans="1:34" ht="13.2">
      <c r="A893" s="88"/>
      <c r="B893" s="88"/>
      <c r="C893" s="88"/>
      <c r="D893" s="88"/>
      <c r="E893" s="88"/>
      <c r="F893" s="88"/>
      <c r="G893" s="88"/>
      <c r="H893" s="88"/>
      <c r="I893" s="88"/>
      <c r="J893" s="88"/>
      <c r="K893" s="88"/>
      <c r="L893" s="88"/>
      <c r="M893" s="88"/>
      <c r="N893" s="88"/>
      <c r="O893" s="88"/>
      <c r="P893" s="88"/>
      <c r="Q893" s="88"/>
      <c r="R893" s="88"/>
      <c r="S893" s="88"/>
      <c r="T893" s="88"/>
      <c r="U893" s="88"/>
      <c r="V893" s="88"/>
      <c r="W893" s="88"/>
      <c r="X893" s="88"/>
      <c r="Y893" s="88"/>
      <c r="Z893" s="88"/>
      <c r="AA893" s="88"/>
      <c r="AB893" s="128"/>
      <c r="AC893" s="128"/>
      <c r="AD893" s="128"/>
      <c r="AE893" s="128"/>
      <c r="AF893" s="128"/>
      <c r="AG893" s="128"/>
      <c r="AH893" s="127"/>
    </row>
    <row r="894" spans="1:34" ht="13.2">
      <c r="A894" s="88"/>
      <c r="B894" s="88"/>
      <c r="C894" s="88"/>
      <c r="D894" s="88"/>
      <c r="E894" s="88"/>
      <c r="F894" s="88"/>
      <c r="G894" s="88"/>
      <c r="H894" s="88"/>
      <c r="I894" s="88"/>
      <c r="J894" s="88"/>
      <c r="K894" s="88"/>
      <c r="L894" s="88"/>
      <c r="M894" s="88"/>
      <c r="N894" s="88"/>
      <c r="O894" s="88"/>
      <c r="P894" s="88"/>
      <c r="Q894" s="88"/>
      <c r="R894" s="88"/>
      <c r="S894" s="88"/>
      <c r="T894" s="88"/>
      <c r="U894" s="88"/>
      <c r="V894" s="88"/>
      <c r="W894" s="88"/>
      <c r="X894" s="88"/>
      <c r="Y894" s="88"/>
      <c r="Z894" s="88"/>
      <c r="AA894" s="88"/>
      <c r="AB894" s="128"/>
      <c r="AC894" s="128"/>
      <c r="AD894" s="128"/>
      <c r="AE894" s="128"/>
      <c r="AF894" s="128"/>
      <c r="AG894" s="128"/>
      <c r="AH894" s="127"/>
    </row>
    <row r="895" spans="1:34" ht="13.2">
      <c r="A895" s="88"/>
      <c r="B895" s="88"/>
      <c r="C895" s="88"/>
      <c r="D895" s="88"/>
      <c r="E895" s="88"/>
      <c r="F895" s="88"/>
      <c r="G895" s="88"/>
      <c r="H895" s="88"/>
      <c r="I895" s="88"/>
      <c r="J895" s="88"/>
      <c r="K895" s="88"/>
      <c r="L895" s="88"/>
      <c r="M895" s="88"/>
      <c r="N895" s="88"/>
      <c r="O895" s="88"/>
      <c r="P895" s="88"/>
      <c r="Q895" s="88"/>
      <c r="R895" s="88"/>
      <c r="S895" s="88"/>
      <c r="T895" s="88"/>
      <c r="U895" s="88"/>
      <c r="V895" s="88"/>
      <c r="W895" s="88"/>
      <c r="X895" s="88"/>
      <c r="Y895" s="88"/>
      <c r="Z895" s="88"/>
      <c r="AA895" s="88"/>
      <c r="AB895" s="128"/>
      <c r="AC895" s="128"/>
      <c r="AD895" s="128"/>
      <c r="AE895" s="128"/>
      <c r="AF895" s="128"/>
      <c r="AG895" s="128"/>
      <c r="AH895" s="127"/>
    </row>
    <row r="896" spans="1:34" ht="13.2">
      <c r="A896" s="88"/>
      <c r="B896" s="88"/>
      <c r="C896" s="88"/>
      <c r="D896" s="88"/>
      <c r="E896" s="88"/>
      <c r="F896" s="88"/>
      <c r="G896" s="88"/>
      <c r="H896" s="88"/>
      <c r="I896" s="88"/>
      <c r="J896" s="88"/>
      <c r="K896" s="88"/>
      <c r="L896" s="88"/>
      <c r="M896" s="88"/>
      <c r="N896" s="88"/>
      <c r="O896" s="88"/>
      <c r="P896" s="88"/>
      <c r="Q896" s="88"/>
      <c r="R896" s="88"/>
      <c r="S896" s="88"/>
      <c r="T896" s="88"/>
      <c r="U896" s="88"/>
      <c r="V896" s="88"/>
      <c r="W896" s="88"/>
      <c r="X896" s="88"/>
      <c r="Y896" s="88"/>
      <c r="Z896" s="88"/>
      <c r="AA896" s="88"/>
      <c r="AB896" s="128"/>
      <c r="AC896" s="128"/>
      <c r="AD896" s="128"/>
      <c r="AE896" s="128"/>
      <c r="AF896" s="128"/>
      <c r="AG896" s="128"/>
      <c r="AH896" s="127"/>
    </row>
    <row r="897" spans="1:34" ht="13.2">
      <c r="A897" s="88"/>
      <c r="B897" s="88"/>
      <c r="C897" s="88"/>
      <c r="D897" s="88"/>
      <c r="E897" s="88"/>
      <c r="F897" s="88"/>
      <c r="G897" s="88"/>
      <c r="H897" s="88"/>
      <c r="I897" s="88"/>
      <c r="J897" s="88"/>
      <c r="K897" s="88"/>
      <c r="L897" s="88"/>
      <c r="M897" s="88"/>
      <c r="N897" s="88"/>
      <c r="O897" s="88"/>
      <c r="P897" s="88"/>
      <c r="Q897" s="88"/>
      <c r="R897" s="88"/>
      <c r="S897" s="88"/>
      <c r="T897" s="88"/>
      <c r="U897" s="88"/>
      <c r="V897" s="88"/>
      <c r="W897" s="88"/>
      <c r="X897" s="88"/>
      <c r="Y897" s="88"/>
      <c r="Z897" s="88"/>
      <c r="AA897" s="88"/>
      <c r="AB897" s="128"/>
      <c r="AC897" s="128"/>
      <c r="AD897" s="128"/>
      <c r="AE897" s="128"/>
      <c r="AF897" s="128"/>
      <c r="AG897" s="128"/>
      <c r="AH897" s="127"/>
    </row>
    <row r="898" spans="1:34" ht="13.2">
      <c r="A898" s="88"/>
      <c r="B898" s="88"/>
      <c r="C898" s="88"/>
      <c r="D898" s="88"/>
      <c r="E898" s="88"/>
      <c r="F898" s="88"/>
      <c r="G898" s="88"/>
      <c r="H898" s="88"/>
      <c r="I898" s="88"/>
      <c r="J898" s="88"/>
      <c r="K898" s="88"/>
      <c r="L898" s="88"/>
      <c r="M898" s="88"/>
      <c r="N898" s="88"/>
      <c r="O898" s="88"/>
      <c r="P898" s="88"/>
      <c r="Q898" s="88"/>
      <c r="R898" s="88"/>
      <c r="S898" s="88"/>
      <c r="T898" s="88"/>
      <c r="U898" s="88"/>
      <c r="V898" s="88"/>
      <c r="W898" s="88"/>
      <c r="X898" s="88"/>
      <c r="Y898" s="88"/>
      <c r="Z898" s="88"/>
      <c r="AA898" s="88"/>
      <c r="AB898" s="128"/>
      <c r="AC898" s="128"/>
      <c r="AD898" s="128"/>
      <c r="AE898" s="128"/>
      <c r="AF898" s="128"/>
      <c r="AG898" s="128"/>
      <c r="AH898" s="127"/>
    </row>
    <row r="899" spans="1:34" ht="13.2">
      <c r="A899" s="88"/>
      <c r="B899" s="88"/>
      <c r="C899" s="88"/>
      <c r="D899" s="88"/>
      <c r="E899" s="88"/>
      <c r="F899" s="88"/>
      <c r="G899" s="88"/>
      <c r="H899" s="88"/>
      <c r="I899" s="88"/>
      <c r="J899" s="88"/>
      <c r="K899" s="88"/>
      <c r="L899" s="88"/>
      <c r="M899" s="88"/>
      <c r="N899" s="88"/>
      <c r="O899" s="88"/>
      <c r="P899" s="88"/>
      <c r="Q899" s="88"/>
      <c r="R899" s="88"/>
      <c r="S899" s="88"/>
      <c r="T899" s="88"/>
      <c r="U899" s="88"/>
      <c r="V899" s="88"/>
      <c r="W899" s="88"/>
      <c r="X899" s="88"/>
      <c r="Y899" s="88"/>
      <c r="Z899" s="88"/>
      <c r="AA899" s="88"/>
      <c r="AB899" s="128"/>
      <c r="AC899" s="128"/>
      <c r="AD899" s="128"/>
      <c r="AE899" s="128"/>
      <c r="AF899" s="128"/>
      <c r="AG899" s="128"/>
      <c r="AH899" s="127"/>
    </row>
    <row r="900" spans="1:34" ht="13.2">
      <c r="A900" s="88"/>
      <c r="B900" s="88"/>
      <c r="C900" s="88"/>
      <c r="D900" s="88"/>
      <c r="E900" s="88"/>
      <c r="F900" s="88"/>
      <c r="G900" s="88"/>
      <c r="H900" s="88"/>
      <c r="I900" s="88"/>
      <c r="J900" s="88"/>
      <c r="K900" s="88"/>
      <c r="L900" s="88"/>
      <c r="M900" s="88"/>
      <c r="N900" s="88"/>
      <c r="O900" s="88"/>
      <c r="P900" s="88"/>
      <c r="Q900" s="88"/>
      <c r="R900" s="88"/>
      <c r="S900" s="88"/>
      <c r="T900" s="88"/>
      <c r="U900" s="88"/>
      <c r="V900" s="88"/>
      <c r="W900" s="88"/>
      <c r="X900" s="88"/>
      <c r="Y900" s="88"/>
      <c r="Z900" s="88"/>
      <c r="AA900" s="88"/>
      <c r="AB900" s="128"/>
      <c r="AC900" s="128"/>
      <c r="AD900" s="128"/>
      <c r="AE900" s="128"/>
      <c r="AF900" s="128"/>
      <c r="AG900" s="128"/>
      <c r="AH900" s="127"/>
    </row>
    <row r="901" spans="1:34" ht="13.2">
      <c r="A901" s="88"/>
      <c r="B901" s="88"/>
      <c r="C901" s="88"/>
      <c r="D901" s="88"/>
      <c r="E901" s="88"/>
      <c r="F901" s="88"/>
      <c r="G901" s="88"/>
      <c r="H901" s="88"/>
      <c r="I901" s="88"/>
      <c r="J901" s="88"/>
      <c r="K901" s="88"/>
      <c r="L901" s="88"/>
      <c r="M901" s="88"/>
      <c r="N901" s="88"/>
      <c r="O901" s="88"/>
      <c r="P901" s="88"/>
      <c r="Q901" s="88"/>
      <c r="R901" s="88"/>
      <c r="S901" s="88"/>
      <c r="T901" s="88"/>
      <c r="U901" s="88"/>
      <c r="V901" s="88"/>
      <c r="W901" s="88"/>
      <c r="X901" s="88"/>
      <c r="Y901" s="88"/>
      <c r="Z901" s="88"/>
      <c r="AA901" s="88"/>
      <c r="AB901" s="128"/>
      <c r="AC901" s="128"/>
      <c r="AD901" s="128"/>
      <c r="AE901" s="128"/>
      <c r="AF901" s="128"/>
      <c r="AG901" s="128"/>
      <c r="AH901" s="127"/>
    </row>
    <row r="902" spans="1:34" ht="13.2">
      <c r="A902" s="88"/>
      <c r="B902" s="88"/>
      <c r="C902" s="88"/>
      <c r="D902" s="88"/>
      <c r="E902" s="88"/>
      <c r="F902" s="88"/>
      <c r="G902" s="88"/>
      <c r="H902" s="88"/>
      <c r="I902" s="88"/>
      <c r="J902" s="88"/>
      <c r="K902" s="88"/>
      <c r="L902" s="88"/>
      <c r="M902" s="88"/>
      <c r="N902" s="88"/>
      <c r="O902" s="88"/>
      <c r="P902" s="88"/>
      <c r="Q902" s="88"/>
      <c r="R902" s="88"/>
      <c r="S902" s="88"/>
      <c r="T902" s="88"/>
      <c r="U902" s="88"/>
      <c r="V902" s="88"/>
      <c r="W902" s="88"/>
      <c r="X902" s="88"/>
      <c r="Y902" s="88"/>
      <c r="Z902" s="88"/>
      <c r="AA902" s="88"/>
      <c r="AB902" s="128"/>
      <c r="AC902" s="128"/>
      <c r="AD902" s="128"/>
      <c r="AE902" s="128"/>
      <c r="AF902" s="128"/>
      <c r="AG902" s="128"/>
      <c r="AH902" s="127"/>
    </row>
    <row r="903" spans="1:34" ht="13.2">
      <c r="A903" s="88"/>
      <c r="B903" s="88"/>
      <c r="C903" s="88"/>
      <c r="D903" s="88"/>
      <c r="E903" s="88"/>
      <c r="F903" s="88"/>
      <c r="G903" s="88"/>
      <c r="H903" s="88"/>
      <c r="I903" s="88"/>
      <c r="J903" s="88"/>
      <c r="K903" s="88"/>
      <c r="L903" s="88"/>
      <c r="M903" s="88"/>
      <c r="N903" s="88"/>
      <c r="O903" s="88"/>
      <c r="P903" s="88"/>
      <c r="Q903" s="88"/>
      <c r="R903" s="88"/>
      <c r="S903" s="88"/>
      <c r="T903" s="88"/>
      <c r="U903" s="88"/>
      <c r="V903" s="88"/>
      <c r="W903" s="88"/>
      <c r="X903" s="88"/>
      <c r="Y903" s="88"/>
      <c r="Z903" s="88"/>
      <c r="AA903" s="88"/>
      <c r="AB903" s="128"/>
      <c r="AC903" s="128"/>
      <c r="AD903" s="128"/>
      <c r="AE903" s="128"/>
      <c r="AF903" s="128"/>
      <c r="AG903" s="128"/>
      <c r="AH903" s="127"/>
    </row>
    <row r="904" spans="1:34" ht="13.2">
      <c r="A904" s="88"/>
      <c r="B904" s="88"/>
      <c r="C904" s="88"/>
      <c r="D904" s="88"/>
      <c r="E904" s="88"/>
      <c r="F904" s="88"/>
      <c r="G904" s="88"/>
      <c r="H904" s="88"/>
      <c r="I904" s="88"/>
      <c r="J904" s="88"/>
      <c r="K904" s="88"/>
      <c r="L904" s="88"/>
      <c r="M904" s="88"/>
      <c r="N904" s="88"/>
      <c r="O904" s="88"/>
      <c r="P904" s="88"/>
      <c r="Q904" s="88"/>
      <c r="R904" s="88"/>
      <c r="S904" s="88"/>
      <c r="T904" s="88"/>
      <c r="U904" s="88"/>
      <c r="V904" s="88"/>
      <c r="W904" s="88"/>
      <c r="X904" s="88"/>
      <c r="Y904" s="88"/>
      <c r="Z904" s="88"/>
      <c r="AA904" s="88"/>
      <c r="AB904" s="128"/>
      <c r="AC904" s="128"/>
      <c r="AD904" s="128"/>
      <c r="AE904" s="128"/>
      <c r="AF904" s="128"/>
      <c r="AG904" s="128"/>
      <c r="AH904" s="127"/>
    </row>
    <row r="905" spans="1:34" ht="13.2">
      <c r="A905" s="88"/>
      <c r="B905" s="88"/>
      <c r="C905" s="88"/>
      <c r="D905" s="88"/>
      <c r="E905" s="88"/>
      <c r="F905" s="88"/>
      <c r="G905" s="88"/>
      <c r="H905" s="88"/>
      <c r="I905" s="88"/>
      <c r="J905" s="88"/>
      <c r="K905" s="88"/>
      <c r="L905" s="88"/>
      <c r="M905" s="88"/>
      <c r="N905" s="88"/>
      <c r="O905" s="88"/>
      <c r="P905" s="88"/>
      <c r="Q905" s="88"/>
      <c r="R905" s="88"/>
      <c r="S905" s="88"/>
      <c r="T905" s="88"/>
      <c r="U905" s="88"/>
      <c r="V905" s="88"/>
      <c r="W905" s="88"/>
      <c r="X905" s="88"/>
      <c r="Y905" s="88"/>
      <c r="Z905" s="88"/>
      <c r="AA905" s="88"/>
      <c r="AB905" s="128"/>
      <c r="AC905" s="128"/>
      <c r="AD905" s="128"/>
      <c r="AE905" s="128"/>
      <c r="AF905" s="128"/>
      <c r="AG905" s="128"/>
      <c r="AH905" s="127"/>
    </row>
    <row r="906" spans="1:34" ht="13.2">
      <c r="A906" s="88"/>
      <c r="B906" s="88"/>
      <c r="C906" s="88"/>
      <c r="D906" s="88"/>
      <c r="E906" s="88"/>
      <c r="F906" s="88"/>
      <c r="G906" s="88"/>
      <c r="H906" s="88"/>
      <c r="I906" s="88"/>
      <c r="J906" s="88"/>
      <c r="K906" s="88"/>
      <c r="L906" s="88"/>
      <c r="M906" s="88"/>
      <c r="N906" s="88"/>
      <c r="O906" s="88"/>
      <c r="P906" s="88"/>
      <c r="Q906" s="88"/>
      <c r="R906" s="88"/>
      <c r="S906" s="88"/>
      <c r="T906" s="88"/>
      <c r="U906" s="88"/>
      <c r="V906" s="88"/>
      <c r="W906" s="88"/>
      <c r="X906" s="88"/>
      <c r="Y906" s="88"/>
      <c r="Z906" s="88"/>
      <c r="AA906" s="88"/>
      <c r="AB906" s="128"/>
      <c r="AC906" s="128"/>
      <c r="AD906" s="128"/>
      <c r="AE906" s="128"/>
      <c r="AF906" s="128"/>
      <c r="AG906" s="128"/>
      <c r="AH906" s="127"/>
    </row>
    <row r="907" spans="1:34" ht="13.2">
      <c r="A907" s="88"/>
      <c r="B907" s="88"/>
      <c r="C907" s="88"/>
      <c r="D907" s="88"/>
      <c r="E907" s="88"/>
      <c r="F907" s="88"/>
      <c r="G907" s="88"/>
      <c r="H907" s="88"/>
      <c r="I907" s="88"/>
      <c r="J907" s="88"/>
      <c r="K907" s="88"/>
      <c r="L907" s="88"/>
      <c r="M907" s="88"/>
      <c r="N907" s="88"/>
      <c r="O907" s="88"/>
      <c r="P907" s="88"/>
      <c r="Q907" s="88"/>
      <c r="R907" s="88"/>
      <c r="S907" s="88"/>
      <c r="T907" s="88"/>
      <c r="U907" s="88"/>
      <c r="V907" s="88"/>
      <c r="W907" s="88"/>
      <c r="X907" s="88"/>
      <c r="Y907" s="88"/>
      <c r="Z907" s="88"/>
      <c r="AA907" s="88"/>
      <c r="AB907" s="128"/>
      <c r="AC907" s="128"/>
      <c r="AD907" s="128"/>
      <c r="AE907" s="128"/>
      <c r="AF907" s="128"/>
      <c r="AG907" s="128"/>
      <c r="AH907" s="127"/>
    </row>
    <row r="908" spans="1:34" ht="13.2">
      <c r="A908" s="88"/>
      <c r="B908" s="88"/>
      <c r="C908" s="88"/>
      <c r="D908" s="88"/>
      <c r="E908" s="88"/>
      <c r="F908" s="88"/>
      <c r="G908" s="88"/>
      <c r="H908" s="88"/>
      <c r="I908" s="88"/>
      <c r="J908" s="88"/>
      <c r="K908" s="88"/>
      <c r="L908" s="88"/>
      <c r="M908" s="88"/>
      <c r="N908" s="88"/>
      <c r="O908" s="88"/>
      <c r="P908" s="88"/>
      <c r="Q908" s="88"/>
      <c r="R908" s="88"/>
      <c r="S908" s="88"/>
      <c r="T908" s="88"/>
      <c r="U908" s="88"/>
      <c r="V908" s="88"/>
      <c r="W908" s="88"/>
      <c r="X908" s="88"/>
      <c r="Y908" s="88"/>
      <c r="Z908" s="88"/>
      <c r="AA908" s="88"/>
      <c r="AB908" s="128"/>
      <c r="AC908" s="128"/>
      <c r="AD908" s="128"/>
      <c r="AE908" s="128"/>
      <c r="AF908" s="128"/>
      <c r="AG908" s="128"/>
      <c r="AH908" s="127"/>
    </row>
    <row r="909" spans="1:34" ht="13.2">
      <c r="A909" s="88"/>
      <c r="B909" s="88"/>
      <c r="C909" s="88"/>
      <c r="D909" s="88"/>
      <c r="E909" s="88"/>
      <c r="F909" s="88"/>
      <c r="G909" s="88"/>
      <c r="H909" s="88"/>
      <c r="I909" s="88"/>
      <c r="J909" s="88"/>
      <c r="K909" s="88"/>
      <c r="L909" s="88"/>
      <c r="M909" s="88"/>
      <c r="N909" s="88"/>
      <c r="O909" s="88"/>
      <c r="P909" s="88"/>
      <c r="Q909" s="88"/>
      <c r="R909" s="88"/>
      <c r="S909" s="88"/>
      <c r="T909" s="88"/>
      <c r="U909" s="88"/>
      <c r="V909" s="88"/>
      <c r="W909" s="88"/>
      <c r="X909" s="88"/>
      <c r="Y909" s="88"/>
      <c r="Z909" s="88"/>
      <c r="AA909" s="88"/>
      <c r="AB909" s="128"/>
      <c r="AC909" s="128"/>
      <c r="AD909" s="128"/>
      <c r="AE909" s="128"/>
      <c r="AF909" s="128"/>
      <c r="AG909" s="128"/>
      <c r="AH909" s="127"/>
    </row>
    <row r="910" spans="1:34" ht="13.2">
      <c r="A910" s="88"/>
      <c r="B910" s="88"/>
      <c r="C910" s="88"/>
      <c r="D910" s="88"/>
      <c r="E910" s="88"/>
      <c r="F910" s="88"/>
      <c r="G910" s="88"/>
      <c r="H910" s="88"/>
      <c r="I910" s="88"/>
      <c r="J910" s="88"/>
      <c r="K910" s="88"/>
      <c r="L910" s="88"/>
      <c r="M910" s="88"/>
      <c r="N910" s="88"/>
      <c r="O910" s="88"/>
      <c r="P910" s="88"/>
      <c r="Q910" s="88"/>
      <c r="R910" s="88"/>
      <c r="S910" s="88"/>
      <c r="T910" s="88"/>
      <c r="U910" s="88"/>
      <c r="V910" s="88"/>
      <c r="W910" s="88"/>
      <c r="X910" s="88"/>
      <c r="Y910" s="88"/>
      <c r="Z910" s="88"/>
      <c r="AA910" s="88"/>
      <c r="AB910" s="128"/>
      <c r="AC910" s="128"/>
      <c r="AD910" s="128"/>
      <c r="AE910" s="128"/>
      <c r="AF910" s="128"/>
      <c r="AG910" s="128"/>
      <c r="AH910" s="127"/>
    </row>
    <row r="911" spans="1:34" ht="13.2">
      <c r="A911" s="88"/>
      <c r="B911" s="88"/>
      <c r="C911" s="88"/>
      <c r="D911" s="88"/>
      <c r="E911" s="88"/>
      <c r="F911" s="88"/>
      <c r="G911" s="88"/>
      <c r="H911" s="88"/>
      <c r="I911" s="88"/>
      <c r="J911" s="88"/>
      <c r="K911" s="88"/>
      <c r="L911" s="88"/>
      <c r="M911" s="88"/>
      <c r="N911" s="88"/>
      <c r="O911" s="88"/>
      <c r="P911" s="88"/>
      <c r="Q911" s="88"/>
      <c r="R911" s="88"/>
      <c r="S911" s="88"/>
      <c r="T911" s="88"/>
      <c r="U911" s="88"/>
      <c r="V911" s="88"/>
      <c r="W911" s="88"/>
      <c r="X911" s="88"/>
      <c r="Y911" s="88"/>
      <c r="Z911" s="88"/>
      <c r="AA911" s="88"/>
      <c r="AB911" s="128"/>
      <c r="AC911" s="128"/>
      <c r="AD911" s="128"/>
      <c r="AE911" s="128"/>
      <c r="AF911" s="128"/>
      <c r="AG911" s="128"/>
      <c r="AH911" s="127"/>
    </row>
    <row r="912" spans="1:34" ht="13.2">
      <c r="A912" s="88"/>
      <c r="B912" s="88"/>
      <c r="C912" s="88"/>
      <c r="D912" s="88"/>
      <c r="E912" s="88"/>
      <c r="F912" s="88"/>
      <c r="G912" s="88"/>
      <c r="H912" s="88"/>
      <c r="I912" s="88"/>
      <c r="J912" s="88"/>
      <c r="K912" s="88"/>
      <c r="L912" s="88"/>
      <c r="M912" s="88"/>
      <c r="N912" s="88"/>
      <c r="O912" s="88"/>
      <c r="P912" s="88"/>
      <c r="Q912" s="88"/>
      <c r="R912" s="88"/>
      <c r="S912" s="88"/>
      <c r="T912" s="88"/>
      <c r="U912" s="88"/>
      <c r="V912" s="88"/>
      <c r="W912" s="88"/>
      <c r="X912" s="88"/>
      <c r="Y912" s="88"/>
      <c r="Z912" s="88"/>
      <c r="AA912" s="88"/>
      <c r="AB912" s="128"/>
      <c r="AC912" s="128"/>
      <c r="AD912" s="128"/>
      <c r="AE912" s="128"/>
      <c r="AF912" s="128"/>
      <c r="AG912" s="128"/>
      <c r="AH912" s="127"/>
    </row>
    <row r="913" spans="1:34" ht="13.2">
      <c r="A913" s="88"/>
      <c r="B913" s="88"/>
      <c r="C913" s="88"/>
      <c r="D913" s="88"/>
      <c r="E913" s="88"/>
      <c r="F913" s="88"/>
      <c r="G913" s="88"/>
      <c r="H913" s="88"/>
      <c r="I913" s="88"/>
      <c r="J913" s="88"/>
      <c r="K913" s="88"/>
      <c r="L913" s="88"/>
      <c r="M913" s="88"/>
      <c r="N913" s="88"/>
      <c r="O913" s="88"/>
      <c r="P913" s="88"/>
      <c r="Q913" s="88"/>
      <c r="R913" s="88"/>
      <c r="S913" s="88"/>
      <c r="T913" s="88"/>
      <c r="U913" s="88"/>
      <c r="V913" s="88"/>
      <c r="W913" s="88"/>
      <c r="X913" s="88"/>
      <c r="Y913" s="88"/>
      <c r="Z913" s="88"/>
      <c r="AA913" s="88"/>
      <c r="AB913" s="128"/>
      <c r="AC913" s="128"/>
      <c r="AD913" s="128"/>
      <c r="AE913" s="128"/>
      <c r="AF913" s="128"/>
      <c r="AG913" s="128"/>
      <c r="AH913" s="127"/>
    </row>
    <row r="914" spans="1:34" ht="13.2">
      <c r="A914" s="88"/>
      <c r="B914" s="88"/>
      <c r="C914" s="88"/>
      <c r="D914" s="88"/>
      <c r="E914" s="88"/>
      <c r="F914" s="88"/>
      <c r="G914" s="88"/>
      <c r="H914" s="88"/>
      <c r="I914" s="88"/>
      <c r="J914" s="88"/>
      <c r="K914" s="88"/>
      <c r="L914" s="88"/>
      <c r="M914" s="88"/>
      <c r="N914" s="88"/>
      <c r="O914" s="88"/>
      <c r="P914" s="88"/>
      <c r="Q914" s="88"/>
      <c r="R914" s="88"/>
      <c r="S914" s="88"/>
      <c r="T914" s="88"/>
      <c r="U914" s="88"/>
      <c r="V914" s="88"/>
      <c r="W914" s="88"/>
      <c r="X914" s="88"/>
      <c r="Y914" s="88"/>
      <c r="Z914" s="88"/>
      <c r="AA914" s="88"/>
      <c r="AB914" s="128"/>
      <c r="AC914" s="128"/>
      <c r="AD914" s="128"/>
      <c r="AE914" s="128"/>
      <c r="AF914" s="128"/>
      <c r="AG914" s="128"/>
      <c r="AH914" s="127"/>
    </row>
    <row r="915" spans="1:34" ht="13.2">
      <c r="A915" s="88"/>
      <c r="B915" s="88"/>
      <c r="C915" s="88"/>
      <c r="D915" s="88"/>
      <c r="E915" s="88"/>
      <c r="F915" s="88"/>
      <c r="G915" s="88"/>
      <c r="H915" s="88"/>
      <c r="I915" s="88"/>
      <c r="J915" s="88"/>
      <c r="K915" s="88"/>
      <c r="L915" s="88"/>
      <c r="M915" s="88"/>
      <c r="N915" s="88"/>
      <c r="O915" s="88"/>
      <c r="P915" s="88"/>
      <c r="Q915" s="88"/>
      <c r="R915" s="88"/>
      <c r="S915" s="88"/>
      <c r="T915" s="88"/>
      <c r="U915" s="88"/>
      <c r="V915" s="88"/>
      <c r="W915" s="88"/>
      <c r="X915" s="88"/>
      <c r="Y915" s="88"/>
      <c r="Z915" s="88"/>
      <c r="AA915" s="88"/>
      <c r="AB915" s="128"/>
      <c r="AC915" s="128"/>
      <c r="AD915" s="128"/>
      <c r="AE915" s="128"/>
      <c r="AF915" s="128"/>
      <c r="AG915" s="128"/>
      <c r="AH915" s="127"/>
    </row>
    <row r="916" spans="1:34" ht="13.2">
      <c r="A916" s="88"/>
      <c r="B916" s="88"/>
      <c r="C916" s="88"/>
      <c r="D916" s="88"/>
      <c r="E916" s="88"/>
      <c r="F916" s="88"/>
      <c r="G916" s="88"/>
      <c r="H916" s="88"/>
      <c r="I916" s="88"/>
      <c r="J916" s="88"/>
      <c r="K916" s="88"/>
      <c r="L916" s="88"/>
      <c r="M916" s="88"/>
      <c r="N916" s="88"/>
      <c r="O916" s="88"/>
      <c r="P916" s="88"/>
      <c r="Q916" s="88"/>
      <c r="R916" s="88"/>
      <c r="S916" s="88"/>
      <c r="T916" s="88"/>
      <c r="U916" s="88"/>
      <c r="V916" s="88"/>
      <c r="W916" s="88"/>
      <c r="X916" s="88"/>
      <c r="Y916" s="88"/>
      <c r="Z916" s="88"/>
      <c r="AA916" s="88"/>
      <c r="AB916" s="128"/>
      <c r="AC916" s="128"/>
      <c r="AD916" s="128"/>
      <c r="AE916" s="128"/>
      <c r="AF916" s="128"/>
      <c r="AG916" s="128"/>
      <c r="AH916" s="127"/>
    </row>
    <row r="917" spans="1:34" ht="13.2">
      <c r="A917" s="88"/>
      <c r="B917" s="88"/>
      <c r="C917" s="88"/>
      <c r="D917" s="88"/>
      <c r="E917" s="88"/>
      <c r="F917" s="88"/>
      <c r="G917" s="88"/>
      <c r="H917" s="88"/>
      <c r="I917" s="88"/>
      <c r="J917" s="88"/>
      <c r="K917" s="88"/>
      <c r="L917" s="88"/>
      <c r="M917" s="88"/>
      <c r="N917" s="88"/>
      <c r="O917" s="88"/>
      <c r="P917" s="88"/>
      <c r="Q917" s="88"/>
      <c r="R917" s="88"/>
      <c r="S917" s="88"/>
      <c r="T917" s="88"/>
      <c r="U917" s="88"/>
      <c r="V917" s="88"/>
      <c r="W917" s="88"/>
      <c r="X917" s="88"/>
      <c r="Y917" s="88"/>
      <c r="Z917" s="88"/>
      <c r="AA917" s="88"/>
      <c r="AB917" s="128"/>
      <c r="AC917" s="128"/>
      <c r="AD917" s="128"/>
      <c r="AE917" s="128"/>
      <c r="AF917" s="128"/>
      <c r="AG917" s="128"/>
      <c r="AH917" s="127"/>
    </row>
    <row r="918" spans="1:34" ht="13.2">
      <c r="A918" s="88"/>
      <c r="B918" s="88"/>
      <c r="C918" s="88"/>
      <c r="D918" s="88"/>
      <c r="E918" s="88"/>
      <c r="F918" s="88"/>
      <c r="G918" s="88"/>
      <c r="H918" s="88"/>
      <c r="I918" s="88"/>
      <c r="J918" s="88"/>
      <c r="K918" s="88"/>
      <c r="L918" s="88"/>
      <c r="M918" s="88"/>
      <c r="N918" s="88"/>
      <c r="O918" s="88"/>
      <c r="P918" s="88"/>
      <c r="Q918" s="88"/>
      <c r="R918" s="88"/>
      <c r="S918" s="88"/>
      <c r="T918" s="88"/>
      <c r="U918" s="88"/>
      <c r="V918" s="88"/>
      <c r="W918" s="88"/>
      <c r="X918" s="88"/>
      <c r="Y918" s="88"/>
      <c r="Z918" s="88"/>
      <c r="AA918" s="88"/>
      <c r="AB918" s="128"/>
      <c r="AC918" s="128"/>
      <c r="AD918" s="128"/>
      <c r="AE918" s="128"/>
      <c r="AF918" s="128"/>
      <c r="AG918" s="128"/>
      <c r="AH918" s="127"/>
    </row>
    <row r="919" spans="1:34" ht="13.2">
      <c r="A919" s="88"/>
      <c r="B919" s="88"/>
      <c r="C919" s="88"/>
      <c r="D919" s="88"/>
      <c r="E919" s="88"/>
      <c r="F919" s="88"/>
      <c r="G919" s="88"/>
      <c r="H919" s="88"/>
      <c r="I919" s="88"/>
      <c r="J919" s="88"/>
      <c r="K919" s="88"/>
      <c r="L919" s="88"/>
      <c r="M919" s="88"/>
      <c r="N919" s="88"/>
      <c r="O919" s="88"/>
      <c r="P919" s="88"/>
      <c r="Q919" s="88"/>
      <c r="R919" s="88"/>
      <c r="S919" s="88"/>
      <c r="T919" s="88"/>
      <c r="U919" s="88"/>
      <c r="V919" s="88"/>
      <c r="W919" s="88"/>
      <c r="X919" s="88"/>
      <c r="Y919" s="88"/>
      <c r="Z919" s="88"/>
      <c r="AA919" s="88"/>
      <c r="AB919" s="128"/>
      <c r="AC919" s="128"/>
      <c r="AD919" s="128"/>
      <c r="AE919" s="128"/>
      <c r="AF919" s="128"/>
      <c r="AG919" s="128"/>
      <c r="AH919" s="127"/>
    </row>
    <row r="920" spans="1:34" ht="13.2">
      <c r="A920" s="88"/>
      <c r="B920" s="88"/>
      <c r="C920" s="88"/>
      <c r="D920" s="88"/>
      <c r="E920" s="88"/>
      <c r="F920" s="88"/>
      <c r="G920" s="88"/>
      <c r="H920" s="88"/>
      <c r="I920" s="88"/>
      <c r="J920" s="88"/>
      <c r="K920" s="88"/>
      <c r="L920" s="88"/>
      <c r="M920" s="88"/>
      <c r="N920" s="88"/>
      <c r="O920" s="88"/>
      <c r="P920" s="88"/>
      <c r="Q920" s="88"/>
      <c r="R920" s="88"/>
      <c r="S920" s="88"/>
      <c r="T920" s="88"/>
      <c r="U920" s="88"/>
      <c r="V920" s="88"/>
      <c r="W920" s="88"/>
      <c r="X920" s="88"/>
      <c r="Y920" s="88"/>
      <c r="Z920" s="88"/>
      <c r="AA920" s="88"/>
      <c r="AB920" s="128"/>
      <c r="AC920" s="128"/>
      <c r="AD920" s="128"/>
      <c r="AE920" s="128"/>
      <c r="AF920" s="128"/>
      <c r="AG920" s="128"/>
      <c r="AH920" s="127"/>
    </row>
    <row r="921" spans="1:34" ht="13.2">
      <c r="A921" s="88"/>
      <c r="B921" s="88"/>
      <c r="C921" s="88"/>
      <c r="D921" s="88"/>
      <c r="E921" s="88"/>
      <c r="F921" s="88"/>
      <c r="G921" s="88"/>
      <c r="H921" s="88"/>
      <c r="I921" s="88"/>
      <c r="J921" s="88"/>
      <c r="K921" s="88"/>
      <c r="L921" s="88"/>
      <c r="M921" s="88"/>
      <c r="N921" s="88"/>
      <c r="O921" s="88"/>
      <c r="P921" s="88"/>
      <c r="Q921" s="88"/>
      <c r="R921" s="88"/>
      <c r="S921" s="88"/>
      <c r="T921" s="88"/>
      <c r="U921" s="88"/>
      <c r="V921" s="88"/>
      <c r="W921" s="88"/>
      <c r="X921" s="88"/>
      <c r="Y921" s="88"/>
      <c r="Z921" s="88"/>
      <c r="AA921" s="88"/>
      <c r="AB921" s="128"/>
      <c r="AC921" s="128"/>
      <c r="AD921" s="128"/>
      <c r="AE921" s="128"/>
      <c r="AF921" s="128"/>
      <c r="AG921" s="128"/>
      <c r="AH921" s="127"/>
    </row>
    <row r="922" spans="1:34" ht="13.2">
      <c r="A922" s="88"/>
      <c r="B922" s="88"/>
      <c r="C922" s="88"/>
      <c r="D922" s="88"/>
      <c r="E922" s="88"/>
      <c r="F922" s="88"/>
      <c r="G922" s="88"/>
      <c r="H922" s="88"/>
      <c r="I922" s="88"/>
      <c r="J922" s="88"/>
      <c r="K922" s="88"/>
      <c r="L922" s="88"/>
      <c r="M922" s="88"/>
      <c r="N922" s="88"/>
      <c r="O922" s="88"/>
      <c r="P922" s="88"/>
      <c r="Q922" s="88"/>
      <c r="R922" s="88"/>
      <c r="S922" s="88"/>
      <c r="T922" s="88"/>
      <c r="U922" s="88"/>
      <c r="V922" s="88"/>
      <c r="W922" s="88"/>
      <c r="X922" s="88"/>
      <c r="Y922" s="88"/>
      <c r="Z922" s="88"/>
      <c r="AA922" s="88"/>
      <c r="AB922" s="128"/>
      <c r="AC922" s="128"/>
      <c r="AD922" s="128"/>
      <c r="AE922" s="128"/>
      <c r="AF922" s="128"/>
      <c r="AG922" s="128"/>
      <c r="AH922" s="127"/>
    </row>
    <row r="923" spans="1:34" ht="13.2">
      <c r="A923" s="88"/>
      <c r="B923" s="88"/>
      <c r="C923" s="88"/>
      <c r="D923" s="88"/>
      <c r="E923" s="88"/>
      <c r="F923" s="88"/>
      <c r="G923" s="88"/>
      <c r="H923" s="88"/>
      <c r="I923" s="88"/>
      <c r="J923" s="88"/>
      <c r="K923" s="88"/>
      <c r="L923" s="88"/>
      <c r="M923" s="88"/>
      <c r="N923" s="88"/>
      <c r="O923" s="88"/>
      <c r="P923" s="88"/>
      <c r="Q923" s="88"/>
      <c r="R923" s="88"/>
      <c r="S923" s="88"/>
      <c r="T923" s="88"/>
      <c r="U923" s="88"/>
      <c r="V923" s="88"/>
      <c r="W923" s="88"/>
      <c r="X923" s="88"/>
      <c r="Y923" s="88"/>
      <c r="Z923" s="88"/>
      <c r="AA923" s="88"/>
      <c r="AB923" s="128"/>
      <c r="AC923" s="128"/>
      <c r="AD923" s="128"/>
      <c r="AE923" s="128"/>
      <c r="AF923" s="128"/>
      <c r="AG923" s="128"/>
      <c r="AH923" s="127"/>
    </row>
    <row r="924" spans="1:34" ht="13.2">
      <c r="A924" s="88"/>
      <c r="B924" s="88"/>
      <c r="C924" s="88"/>
      <c r="D924" s="88"/>
      <c r="E924" s="88"/>
      <c r="F924" s="88"/>
      <c r="G924" s="88"/>
      <c r="H924" s="88"/>
      <c r="I924" s="88"/>
      <c r="J924" s="88"/>
      <c r="K924" s="88"/>
      <c r="L924" s="88"/>
      <c r="M924" s="88"/>
      <c r="N924" s="88"/>
      <c r="O924" s="88"/>
      <c r="P924" s="88"/>
      <c r="Q924" s="88"/>
      <c r="R924" s="88"/>
      <c r="S924" s="88"/>
      <c r="T924" s="88"/>
      <c r="U924" s="88"/>
      <c r="V924" s="88"/>
      <c r="W924" s="88"/>
      <c r="X924" s="88"/>
      <c r="Y924" s="88"/>
      <c r="Z924" s="88"/>
      <c r="AA924" s="88"/>
      <c r="AB924" s="128"/>
      <c r="AC924" s="128"/>
      <c r="AD924" s="128"/>
      <c r="AE924" s="128"/>
      <c r="AF924" s="128"/>
      <c r="AG924" s="128"/>
      <c r="AH924" s="127"/>
    </row>
    <row r="925" spans="1:34" ht="13.2">
      <c r="A925" s="88"/>
      <c r="B925" s="88"/>
      <c r="C925" s="88"/>
      <c r="D925" s="88"/>
      <c r="E925" s="88"/>
      <c r="F925" s="88"/>
      <c r="G925" s="88"/>
      <c r="H925" s="88"/>
      <c r="I925" s="88"/>
      <c r="J925" s="88"/>
      <c r="K925" s="88"/>
      <c r="L925" s="88"/>
      <c r="M925" s="88"/>
      <c r="N925" s="88"/>
      <c r="O925" s="88"/>
      <c r="P925" s="88"/>
      <c r="Q925" s="88"/>
      <c r="R925" s="88"/>
      <c r="S925" s="88"/>
      <c r="T925" s="88"/>
      <c r="U925" s="88"/>
      <c r="V925" s="88"/>
      <c r="W925" s="88"/>
      <c r="X925" s="88"/>
      <c r="Y925" s="88"/>
      <c r="Z925" s="88"/>
      <c r="AA925" s="88"/>
      <c r="AB925" s="128"/>
      <c r="AC925" s="128"/>
      <c r="AD925" s="128"/>
      <c r="AE925" s="128"/>
      <c r="AF925" s="128"/>
      <c r="AG925" s="128"/>
      <c r="AH925" s="127"/>
    </row>
    <row r="926" spans="1:34" ht="13.2">
      <c r="A926" s="88"/>
      <c r="B926" s="88"/>
      <c r="C926" s="88"/>
      <c r="D926" s="88"/>
      <c r="E926" s="88"/>
      <c r="F926" s="88"/>
      <c r="G926" s="88"/>
      <c r="H926" s="88"/>
      <c r="I926" s="88"/>
      <c r="J926" s="88"/>
      <c r="K926" s="88"/>
      <c r="L926" s="88"/>
      <c r="M926" s="88"/>
      <c r="N926" s="88"/>
      <c r="O926" s="88"/>
      <c r="P926" s="88"/>
      <c r="Q926" s="88"/>
      <c r="R926" s="88"/>
      <c r="S926" s="88"/>
      <c r="T926" s="88"/>
      <c r="U926" s="88"/>
      <c r="V926" s="88"/>
      <c r="W926" s="88"/>
      <c r="X926" s="88"/>
      <c r="Y926" s="88"/>
      <c r="Z926" s="88"/>
      <c r="AA926" s="88"/>
      <c r="AB926" s="128"/>
      <c r="AC926" s="128"/>
      <c r="AD926" s="128"/>
      <c r="AE926" s="128"/>
      <c r="AF926" s="128"/>
      <c r="AG926" s="128"/>
      <c r="AH926" s="127"/>
    </row>
    <row r="927" spans="1:34" ht="13.2">
      <c r="A927" s="88"/>
      <c r="B927" s="88"/>
      <c r="C927" s="88"/>
      <c r="D927" s="88"/>
      <c r="E927" s="88"/>
      <c r="F927" s="88"/>
      <c r="G927" s="88"/>
      <c r="H927" s="88"/>
      <c r="I927" s="88"/>
      <c r="J927" s="88"/>
      <c r="K927" s="88"/>
      <c r="L927" s="88"/>
      <c r="M927" s="88"/>
      <c r="N927" s="88"/>
      <c r="O927" s="88"/>
      <c r="P927" s="88"/>
      <c r="Q927" s="88"/>
      <c r="R927" s="88"/>
      <c r="S927" s="88"/>
      <c r="T927" s="88"/>
      <c r="U927" s="88"/>
      <c r="V927" s="88"/>
      <c r="W927" s="88"/>
      <c r="X927" s="88"/>
      <c r="Y927" s="88"/>
      <c r="Z927" s="88"/>
      <c r="AA927" s="88"/>
      <c r="AB927" s="128"/>
      <c r="AC927" s="128"/>
      <c r="AD927" s="128"/>
      <c r="AE927" s="128"/>
      <c r="AF927" s="128"/>
      <c r="AG927" s="128"/>
      <c r="AH927" s="127"/>
    </row>
    <row r="928" spans="1:34" ht="13.2">
      <c r="A928" s="88"/>
      <c r="B928" s="88"/>
      <c r="C928" s="88"/>
      <c r="D928" s="88"/>
      <c r="E928" s="88"/>
      <c r="F928" s="88"/>
      <c r="G928" s="88"/>
      <c r="H928" s="88"/>
      <c r="I928" s="88"/>
      <c r="J928" s="88"/>
      <c r="K928" s="88"/>
      <c r="L928" s="88"/>
      <c r="M928" s="88"/>
      <c r="N928" s="88"/>
      <c r="O928" s="88"/>
      <c r="P928" s="88"/>
      <c r="Q928" s="88"/>
      <c r="R928" s="88"/>
      <c r="S928" s="88"/>
      <c r="T928" s="88"/>
      <c r="U928" s="88"/>
      <c r="V928" s="88"/>
      <c r="W928" s="88"/>
      <c r="X928" s="88"/>
      <c r="Y928" s="88"/>
      <c r="Z928" s="88"/>
      <c r="AA928" s="88"/>
      <c r="AB928" s="128"/>
      <c r="AC928" s="128"/>
      <c r="AD928" s="128"/>
      <c r="AE928" s="128"/>
      <c r="AF928" s="128"/>
      <c r="AG928" s="128"/>
      <c r="AH928" s="127"/>
    </row>
    <row r="929" spans="1:34" ht="13.2">
      <c r="A929" s="88"/>
      <c r="B929" s="88"/>
      <c r="C929" s="88"/>
      <c r="D929" s="88"/>
      <c r="E929" s="88"/>
      <c r="F929" s="88"/>
      <c r="G929" s="88"/>
      <c r="H929" s="88"/>
      <c r="I929" s="88"/>
      <c r="J929" s="88"/>
      <c r="K929" s="88"/>
      <c r="L929" s="88"/>
      <c r="M929" s="88"/>
      <c r="N929" s="88"/>
      <c r="O929" s="88"/>
      <c r="P929" s="88"/>
      <c r="Q929" s="88"/>
      <c r="R929" s="88"/>
      <c r="S929" s="88"/>
      <c r="T929" s="88"/>
      <c r="U929" s="88"/>
      <c r="V929" s="88"/>
      <c r="W929" s="88"/>
      <c r="X929" s="88"/>
      <c r="Y929" s="88"/>
      <c r="Z929" s="88"/>
      <c r="AA929" s="88"/>
      <c r="AB929" s="128"/>
      <c r="AC929" s="128"/>
      <c r="AD929" s="128"/>
      <c r="AE929" s="128"/>
      <c r="AF929" s="128"/>
      <c r="AG929" s="128"/>
      <c r="AH929" s="127"/>
    </row>
    <row r="930" spans="1:34" ht="13.2">
      <c r="A930" s="88"/>
      <c r="B930" s="88"/>
      <c r="C930" s="88"/>
      <c r="D930" s="88"/>
      <c r="E930" s="88"/>
      <c r="F930" s="88"/>
      <c r="G930" s="88"/>
      <c r="H930" s="88"/>
      <c r="I930" s="88"/>
      <c r="J930" s="88"/>
      <c r="K930" s="88"/>
      <c r="L930" s="88"/>
      <c r="M930" s="88"/>
      <c r="N930" s="88"/>
      <c r="O930" s="88"/>
      <c r="P930" s="88"/>
      <c r="Q930" s="88"/>
      <c r="R930" s="88"/>
      <c r="S930" s="88"/>
      <c r="T930" s="88"/>
      <c r="U930" s="88"/>
      <c r="V930" s="88"/>
      <c r="W930" s="88"/>
      <c r="X930" s="88"/>
      <c r="Y930" s="88"/>
      <c r="Z930" s="88"/>
      <c r="AA930" s="88"/>
      <c r="AB930" s="128"/>
      <c r="AC930" s="128"/>
      <c r="AD930" s="128"/>
      <c r="AE930" s="128"/>
      <c r="AF930" s="128"/>
      <c r="AG930" s="128"/>
      <c r="AH930" s="127"/>
    </row>
    <row r="931" spans="1:34" ht="13.2">
      <c r="A931" s="88"/>
      <c r="B931" s="88"/>
      <c r="C931" s="88"/>
      <c r="D931" s="88"/>
      <c r="E931" s="88"/>
      <c r="F931" s="88"/>
      <c r="G931" s="88"/>
      <c r="H931" s="88"/>
      <c r="I931" s="88"/>
      <c r="J931" s="88"/>
      <c r="K931" s="88"/>
      <c r="L931" s="88"/>
      <c r="M931" s="88"/>
      <c r="N931" s="88"/>
      <c r="O931" s="88"/>
      <c r="P931" s="88"/>
      <c r="Q931" s="88"/>
      <c r="R931" s="88"/>
      <c r="S931" s="88"/>
      <c r="T931" s="88"/>
      <c r="U931" s="88"/>
      <c r="V931" s="88"/>
      <c r="W931" s="88"/>
      <c r="X931" s="88"/>
      <c r="Y931" s="88"/>
      <c r="Z931" s="88"/>
      <c r="AA931" s="88"/>
      <c r="AB931" s="128"/>
      <c r="AC931" s="128"/>
      <c r="AD931" s="128"/>
      <c r="AE931" s="128"/>
      <c r="AF931" s="128"/>
      <c r="AG931" s="128"/>
      <c r="AH931" s="127"/>
    </row>
    <row r="932" spans="1:34" ht="13.2">
      <c r="A932" s="88"/>
      <c r="B932" s="88"/>
      <c r="C932" s="88"/>
      <c r="D932" s="88"/>
      <c r="E932" s="88"/>
      <c r="F932" s="88"/>
      <c r="G932" s="88"/>
      <c r="H932" s="88"/>
      <c r="I932" s="88"/>
      <c r="J932" s="88"/>
      <c r="K932" s="88"/>
      <c r="L932" s="88"/>
      <c r="M932" s="88"/>
      <c r="N932" s="88"/>
      <c r="O932" s="88"/>
      <c r="P932" s="88"/>
      <c r="Q932" s="88"/>
      <c r="R932" s="88"/>
      <c r="S932" s="88"/>
      <c r="T932" s="88"/>
      <c r="U932" s="88"/>
      <c r="V932" s="88"/>
      <c r="W932" s="88"/>
      <c r="X932" s="88"/>
      <c r="Y932" s="88"/>
      <c r="Z932" s="88"/>
      <c r="AA932" s="88"/>
      <c r="AB932" s="128"/>
      <c r="AC932" s="128"/>
      <c r="AD932" s="128"/>
      <c r="AE932" s="128"/>
      <c r="AF932" s="128"/>
      <c r="AG932" s="128"/>
      <c r="AH932" s="127"/>
    </row>
    <row r="933" spans="1:34" ht="13.2">
      <c r="A933" s="88"/>
      <c r="B933" s="88"/>
      <c r="C933" s="88"/>
      <c r="D933" s="88"/>
      <c r="E933" s="88"/>
      <c r="F933" s="88"/>
      <c r="G933" s="88"/>
      <c r="H933" s="88"/>
      <c r="I933" s="88"/>
      <c r="J933" s="88"/>
      <c r="K933" s="88"/>
      <c r="L933" s="88"/>
      <c r="M933" s="88"/>
      <c r="N933" s="88"/>
      <c r="O933" s="88"/>
      <c r="P933" s="88"/>
      <c r="Q933" s="88"/>
      <c r="R933" s="88"/>
      <c r="S933" s="88"/>
      <c r="T933" s="88"/>
      <c r="U933" s="88"/>
      <c r="V933" s="88"/>
      <c r="W933" s="88"/>
      <c r="X933" s="88"/>
      <c r="Y933" s="88"/>
      <c r="Z933" s="88"/>
      <c r="AA933" s="88"/>
      <c r="AB933" s="128"/>
      <c r="AC933" s="128"/>
      <c r="AD933" s="128"/>
      <c r="AE933" s="128"/>
      <c r="AF933" s="128"/>
      <c r="AG933" s="128"/>
      <c r="AH933" s="127"/>
    </row>
    <row r="934" spans="1:34" ht="13.2">
      <c r="A934" s="88"/>
      <c r="B934" s="88"/>
      <c r="C934" s="88"/>
      <c r="D934" s="88"/>
      <c r="E934" s="88"/>
      <c r="F934" s="88"/>
      <c r="G934" s="88"/>
      <c r="H934" s="88"/>
      <c r="I934" s="88"/>
      <c r="J934" s="88"/>
      <c r="K934" s="88"/>
      <c r="L934" s="88"/>
      <c r="M934" s="88"/>
      <c r="N934" s="88"/>
      <c r="O934" s="88"/>
      <c r="P934" s="88"/>
      <c r="Q934" s="88"/>
      <c r="R934" s="88"/>
      <c r="S934" s="88"/>
      <c r="T934" s="88"/>
      <c r="U934" s="88"/>
      <c r="V934" s="88"/>
      <c r="W934" s="88"/>
      <c r="X934" s="88"/>
      <c r="Y934" s="88"/>
      <c r="Z934" s="88"/>
      <c r="AA934" s="88"/>
      <c r="AB934" s="128"/>
      <c r="AC934" s="128"/>
      <c r="AD934" s="128"/>
      <c r="AE934" s="128"/>
      <c r="AF934" s="128"/>
      <c r="AG934" s="128"/>
      <c r="AH934" s="127"/>
    </row>
    <row r="935" spans="1:34" ht="13.2">
      <c r="A935" s="88"/>
      <c r="B935" s="88"/>
      <c r="C935" s="88"/>
      <c r="D935" s="88"/>
      <c r="E935" s="88"/>
      <c r="F935" s="88"/>
      <c r="G935" s="88"/>
      <c r="H935" s="88"/>
      <c r="I935" s="88"/>
      <c r="J935" s="88"/>
      <c r="K935" s="88"/>
      <c r="L935" s="88"/>
      <c r="M935" s="88"/>
      <c r="N935" s="88"/>
      <c r="O935" s="88"/>
      <c r="P935" s="88"/>
      <c r="Q935" s="88"/>
      <c r="R935" s="88"/>
      <c r="S935" s="88"/>
      <c r="T935" s="88"/>
      <c r="U935" s="88"/>
      <c r="V935" s="88"/>
      <c r="W935" s="88"/>
      <c r="X935" s="88"/>
      <c r="Y935" s="88"/>
      <c r="Z935" s="88"/>
      <c r="AA935" s="88"/>
      <c r="AB935" s="128"/>
      <c r="AC935" s="128"/>
      <c r="AD935" s="128"/>
      <c r="AE935" s="128"/>
      <c r="AF935" s="128"/>
      <c r="AG935" s="128"/>
      <c r="AH935" s="127"/>
    </row>
    <row r="936" spans="1:34" ht="13.2">
      <c r="A936" s="88"/>
      <c r="B936" s="88"/>
      <c r="C936" s="88"/>
      <c r="D936" s="88"/>
      <c r="E936" s="88"/>
      <c r="F936" s="88"/>
      <c r="G936" s="88"/>
      <c r="H936" s="88"/>
      <c r="I936" s="88"/>
      <c r="J936" s="88"/>
      <c r="K936" s="88"/>
      <c r="L936" s="88"/>
      <c r="M936" s="88"/>
      <c r="N936" s="88"/>
      <c r="O936" s="88"/>
      <c r="P936" s="88"/>
      <c r="Q936" s="88"/>
      <c r="R936" s="88"/>
      <c r="S936" s="88"/>
      <c r="T936" s="88"/>
      <c r="U936" s="88"/>
      <c r="V936" s="88"/>
      <c r="W936" s="88"/>
      <c r="X936" s="88"/>
      <c r="Y936" s="88"/>
      <c r="Z936" s="88"/>
      <c r="AA936" s="88"/>
      <c r="AB936" s="128"/>
      <c r="AC936" s="128"/>
      <c r="AD936" s="128"/>
      <c r="AE936" s="128"/>
      <c r="AF936" s="128"/>
      <c r="AG936" s="128"/>
      <c r="AH936" s="127"/>
    </row>
    <row r="937" spans="1:34" ht="13.2">
      <c r="A937" s="88"/>
      <c r="B937" s="88"/>
      <c r="C937" s="88"/>
      <c r="D937" s="88"/>
      <c r="E937" s="88"/>
      <c r="F937" s="88"/>
      <c r="G937" s="88"/>
      <c r="H937" s="88"/>
      <c r="I937" s="88"/>
      <c r="J937" s="88"/>
      <c r="K937" s="88"/>
      <c r="L937" s="88"/>
      <c r="M937" s="88"/>
      <c r="N937" s="88"/>
      <c r="O937" s="88"/>
      <c r="P937" s="88"/>
      <c r="Q937" s="88"/>
      <c r="R937" s="88"/>
      <c r="S937" s="88"/>
      <c r="T937" s="88"/>
      <c r="U937" s="88"/>
      <c r="V937" s="88"/>
      <c r="W937" s="88"/>
      <c r="X937" s="88"/>
      <c r="Y937" s="88"/>
      <c r="Z937" s="88"/>
      <c r="AA937" s="88"/>
      <c r="AB937" s="128"/>
      <c r="AC937" s="128"/>
      <c r="AD937" s="128"/>
      <c r="AE937" s="128"/>
      <c r="AF937" s="128"/>
      <c r="AG937" s="128"/>
      <c r="AH937" s="127"/>
    </row>
    <row r="938" spans="1:34" ht="13.2">
      <c r="A938" s="88"/>
      <c r="B938" s="88"/>
      <c r="C938" s="88"/>
      <c r="D938" s="88"/>
      <c r="E938" s="88"/>
      <c r="F938" s="88"/>
      <c r="G938" s="88"/>
      <c r="H938" s="88"/>
      <c r="I938" s="88"/>
      <c r="J938" s="88"/>
      <c r="K938" s="88"/>
      <c r="L938" s="88"/>
      <c r="M938" s="88"/>
      <c r="N938" s="88"/>
      <c r="O938" s="88"/>
      <c r="P938" s="88"/>
      <c r="Q938" s="88"/>
      <c r="R938" s="88"/>
      <c r="S938" s="88"/>
      <c r="T938" s="88"/>
      <c r="U938" s="88"/>
      <c r="V938" s="88"/>
      <c r="W938" s="88"/>
      <c r="X938" s="88"/>
      <c r="Y938" s="88"/>
      <c r="Z938" s="88"/>
      <c r="AA938" s="88"/>
      <c r="AB938" s="128"/>
      <c r="AC938" s="128"/>
      <c r="AD938" s="128"/>
      <c r="AE938" s="128"/>
      <c r="AF938" s="128"/>
      <c r="AG938" s="128"/>
      <c r="AH938" s="127"/>
    </row>
    <row r="939" spans="1:34" ht="13.2">
      <c r="A939" s="88"/>
      <c r="B939" s="88"/>
      <c r="C939" s="88"/>
      <c r="D939" s="88"/>
      <c r="E939" s="88"/>
      <c r="F939" s="88"/>
      <c r="G939" s="88"/>
      <c r="H939" s="88"/>
      <c r="I939" s="88"/>
      <c r="J939" s="88"/>
      <c r="K939" s="88"/>
      <c r="L939" s="88"/>
      <c r="M939" s="88"/>
      <c r="N939" s="88"/>
      <c r="O939" s="88"/>
      <c r="P939" s="88"/>
      <c r="Q939" s="88"/>
      <c r="R939" s="88"/>
      <c r="S939" s="88"/>
      <c r="T939" s="88"/>
      <c r="U939" s="88"/>
      <c r="V939" s="88"/>
      <c r="W939" s="88"/>
      <c r="X939" s="88"/>
      <c r="Y939" s="88"/>
      <c r="Z939" s="88"/>
      <c r="AA939" s="88"/>
      <c r="AB939" s="128"/>
      <c r="AC939" s="128"/>
      <c r="AD939" s="128"/>
      <c r="AE939" s="128"/>
      <c r="AF939" s="128"/>
      <c r="AG939" s="128"/>
      <c r="AH939" s="127"/>
    </row>
    <row r="940" spans="1:34" ht="13.2">
      <c r="A940" s="88"/>
      <c r="B940" s="88"/>
      <c r="C940" s="88"/>
      <c r="D940" s="88"/>
      <c r="E940" s="88"/>
      <c r="F940" s="88"/>
      <c r="G940" s="88"/>
      <c r="H940" s="88"/>
      <c r="I940" s="88"/>
      <c r="J940" s="88"/>
      <c r="K940" s="88"/>
      <c r="L940" s="88"/>
      <c r="M940" s="88"/>
      <c r="N940" s="88"/>
      <c r="O940" s="88"/>
      <c r="P940" s="88"/>
      <c r="Q940" s="88"/>
      <c r="R940" s="88"/>
      <c r="S940" s="88"/>
      <c r="T940" s="88"/>
      <c r="U940" s="88"/>
      <c r="V940" s="88"/>
      <c r="W940" s="88"/>
      <c r="X940" s="88"/>
      <c r="Y940" s="88"/>
      <c r="Z940" s="88"/>
      <c r="AA940" s="88"/>
      <c r="AB940" s="128"/>
      <c r="AC940" s="128"/>
      <c r="AD940" s="128"/>
      <c r="AE940" s="128"/>
      <c r="AF940" s="128"/>
      <c r="AG940" s="128"/>
      <c r="AH940" s="127"/>
    </row>
    <row r="941" spans="1:34" ht="13.2">
      <c r="A941" s="88"/>
      <c r="B941" s="88"/>
      <c r="C941" s="88"/>
      <c r="D941" s="88"/>
      <c r="E941" s="88"/>
      <c r="F941" s="88"/>
      <c r="G941" s="88"/>
      <c r="H941" s="88"/>
      <c r="I941" s="88"/>
      <c r="J941" s="88"/>
      <c r="K941" s="88"/>
      <c r="L941" s="88"/>
      <c r="M941" s="88"/>
      <c r="N941" s="88"/>
      <c r="O941" s="88"/>
      <c r="P941" s="88"/>
      <c r="Q941" s="88"/>
      <c r="R941" s="88"/>
      <c r="S941" s="88"/>
      <c r="T941" s="88"/>
      <c r="U941" s="88"/>
      <c r="V941" s="88"/>
      <c r="W941" s="88"/>
      <c r="X941" s="88"/>
      <c r="Y941" s="88"/>
      <c r="Z941" s="88"/>
      <c r="AA941" s="88"/>
      <c r="AB941" s="128"/>
      <c r="AC941" s="128"/>
      <c r="AD941" s="128"/>
      <c r="AE941" s="128"/>
      <c r="AF941" s="128"/>
      <c r="AG941" s="128"/>
      <c r="AH941" s="127"/>
    </row>
    <row r="942" spans="1:34" ht="13.2">
      <c r="A942" s="88"/>
      <c r="B942" s="88"/>
      <c r="C942" s="88"/>
      <c r="D942" s="88"/>
      <c r="E942" s="88"/>
      <c r="F942" s="88"/>
      <c r="G942" s="88"/>
      <c r="H942" s="88"/>
      <c r="I942" s="88"/>
      <c r="J942" s="88"/>
      <c r="K942" s="88"/>
      <c r="L942" s="88"/>
      <c r="M942" s="88"/>
      <c r="N942" s="88"/>
      <c r="O942" s="88"/>
      <c r="P942" s="88"/>
      <c r="Q942" s="88"/>
      <c r="R942" s="88"/>
      <c r="S942" s="88"/>
      <c r="T942" s="88"/>
      <c r="U942" s="88"/>
      <c r="V942" s="88"/>
      <c r="W942" s="88"/>
      <c r="X942" s="88"/>
      <c r="Y942" s="88"/>
      <c r="Z942" s="88"/>
      <c r="AA942" s="88"/>
      <c r="AB942" s="128"/>
      <c r="AC942" s="128"/>
      <c r="AD942" s="128"/>
      <c r="AE942" s="128"/>
      <c r="AF942" s="128"/>
      <c r="AG942" s="128"/>
      <c r="AH942" s="127"/>
    </row>
    <row r="943" spans="1:34" ht="13.2">
      <c r="A943" s="88"/>
      <c r="B943" s="88"/>
      <c r="C943" s="88"/>
      <c r="D943" s="88"/>
      <c r="E943" s="88"/>
      <c r="F943" s="88"/>
      <c r="G943" s="88"/>
      <c r="H943" s="88"/>
      <c r="I943" s="88"/>
      <c r="J943" s="88"/>
      <c r="K943" s="88"/>
      <c r="L943" s="88"/>
      <c r="M943" s="88"/>
      <c r="N943" s="88"/>
      <c r="O943" s="88"/>
      <c r="P943" s="88"/>
      <c r="Q943" s="88"/>
      <c r="R943" s="88"/>
      <c r="S943" s="88"/>
      <c r="T943" s="88"/>
      <c r="U943" s="88"/>
      <c r="V943" s="88"/>
      <c r="W943" s="88"/>
      <c r="X943" s="88"/>
      <c r="Y943" s="88"/>
      <c r="Z943" s="88"/>
      <c r="AA943" s="88"/>
      <c r="AB943" s="128"/>
      <c r="AC943" s="128"/>
      <c r="AD943" s="128"/>
      <c r="AE943" s="128"/>
      <c r="AF943" s="128"/>
      <c r="AG943" s="128"/>
      <c r="AH943" s="127"/>
    </row>
    <row r="944" spans="1:34" ht="13.2">
      <c r="A944" s="88"/>
      <c r="B944" s="88"/>
      <c r="C944" s="88"/>
      <c r="D944" s="88"/>
      <c r="E944" s="88"/>
      <c r="F944" s="88"/>
      <c r="G944" s="88"/>
      <c r="H944" s="88"/>
      <c r="I944" s="88"/>
      <c r="J944" s="88"/>
      <c r="K944" s="88"/>
      <c r="L944" s="88"/>
      <c r="M944" s="88"/>
      <c r="N944" s="88"/>
      <c r="O944" s="88"/>
      <c r="P944" s="88"/>
      <c r="Q944" s="88"/>
      <c r="R944" s="88"/>
      <c r="S944" s="88"/>
      <c r="T944" s="88"/>
      <c r="U944" s="88"/>
      <c r="V944" s="88"/>
      <c r="W944" s="88"/>
      <c r="X944" s="88"/>
      <c r="Y944" s="88"/>
      <c r="Z944" s="88"/>
      <c r="AA944" s="88"/>
      <c r="AB944" s="128"/>
      <c r="AC944" s="128"/>
      <c r="AD944" s="128"/>
      <c r="AE944" s="128"/>
      <c r="AF944" s="128"/>
      <c r="AG944" s="128"/>
      <c r="AH944" s="127"/>
    </row>
    <row r="945" spans="1:34" ht="13.2">
      <c r="A945" s="88"/>
      <c r="B945" s="88"/>
      <c r="C945" s="88"/>
      <c r="D945" s="88"/>
      <c r="E945" s="88"/>
      <c r="F945" s="88"/>
      <c r="G945" s="88"/>
      <c r="H945" s="88"/>
      <c r="I945" s="88"/>
      <c r="J945" s="88"/>
      <c r="K945" s="88"/>
      <c r="L945" s="88"/>
      <c r="M945" s="88"/>
      <c r="N945" s="88"/>
      <c r="O945" s="88"/>
      <c r="P945" s="88"/>
      <c r="Q945" s="88"/>
      <c r="R945" s="88"/>
      <c r="S945" s="88"/>
      <c r="T945" s="88"/>
      <c r="U945" s="88"/>
      <c r="V945" s="88"/>
      <c r="W945" s="88"/>
      <c r="X945" s="88"/>
      <c r="Y945" s="88"/>
      <c r="Z945" s="88"/>
      <c r="AA945" s="88"/>
      <c r="AB945" s="128"/>
      <c r="AC945" s="128"/>
      <c r="AD945" s="128"/>
      <c r="AE945" s="128"/>
      <c r="AF945" s="128"/>
      <c r="AG945" s="128"/>
      <c r="AH945" s="127"/>
    </row>
    <row r="946" spans="1:34" ht="13.2">
      <c r="A946" s="88"/>
      <c r="B946" s="88"/>
      <c r="C946" s="88"/>
      <c r="D946" s="88"/>
      <c r="E946" s="88"/>
      <c r="F946" s="88"/>
      <c r="G946" s="88"/>
      <c r="H946" s="88"/>
      <c r="I946" s="88"/>
      <c r="J946" s="88"/>
      <c r="K946" s="88"/>
      <c r="L946" s="88"/>
      <c r="M946" s="88"/>
      <c r="N946" s="88"/>
      <c r="O946" s="88"/>
      <c r="P946" s="88"/>
      <c r="Q946" s="88"/>
      <c r="R946" s="88"/>
      <c r="S946" s="88"/>
      <c r="T946" s="88"/>
      <c r="U946" s="88"/>
      <c r="V946" s="88"/>
      <c r="W946" s="88"/>
      <c r="X946" s="88"/>
      <c r="Y946" s="88"/>
      <c r="Z946" s="88"/>
      <c r="AA946" s="88"/>
      <c r="AB946" s="128"/>
      <c r="AC946" s="128"/>
      <c r="AD946" s="128"/>
      <c r="AE946" s="128"/>
      <c r="AF946" s="128"/>
      <c r="AG946" s="128"/>
      <c r="AH946" s="127"/>
    </row>
    <row r="947" spans="1:34" ht="13.2">
      <c r="A947" s="88"/>
      <c r="B947" s="88"/>
      <c r="C947" s="88"/>
      <c r="D947" s="88"/>
      <c r="E947" s="88"/>
      <c r="F947" s="88"/>
      <c r="G947" s="88"/>
      <c r="H947" s="88"/>
      <c r="I947" s="88"/>
      <c r="J947" s="88"/>
      <c r="K947" s="88"/>
      <c r="L947" s="88"/>
      <c r="M947" s="88"/>
      <c r="N947" s="88"/>
      <c r="O947" s="88"/>
      <c r="P947" s="88"/>
      <c r="Q947" s="88"/>
      <c r="R947" s="88"/>
      <c r="S947" s="88"/>
      <c r="T947" s="88"/>
      <c r="U947" s="88"/>
      <c r="V947" s="88"/>
      <c r="W947" s="88"/>
      <c r="X947" s="88"/>
      <c r="Y947" s="88"/>
      <c r="Z947" s="88"/>
      <c r="AA947" s="88"/>
      <c r="AB947" s="128"/>
      <c r="AC947" s="128"/>
      <c r="AD947" s="128"/>
      <c r="AE947" s="128"/>
      <c r="AF947" s="128"/>
      <c r="AG947" s="128"/>
      <c r="AH947" s="127"/>
    </row>
    <row r="948" spans="1:34" ht="13.2">
      <c r="A948" s="88"/>
      <c r="B948" s="88"/>
      <c r="C948" s="88"/>
      <c r="D948" s="88"/>
      <c r="E948" s="88"/>
      <c r="F948" s="88"/>
      <c r="G948" s="88"/>
      <c r="H948" s="88"/>
      <c r="I948" s="88"/>
      <c r="J948" s="88"/>
      <c r="K948" s="88"/>
      <c r="L948" s="88"/>
      <c r="M948" s="88"/>
      <c r="N948" s="88"/>
      <c r="O948" s="88"/>
      <c r="P948" s="88"/>
      <c r="Q948" s="88"/>
      <c r="R948" s="88"/>
      <c r="S948" s="88"/>
      <c r="T948" s="88"/>
      <c r="U948" s="88"/>
      <c r="V948" s="88"/>
      <c r="W948" s="88"/>
      <c r="X948" s="88"/>
      <c r="Y948" s="88"/>
      <c r="Z948" s="88"/>
      <c r="AA948" s="88"/>
      <c r="AB948" s="128"/>
      <c r="AC948" s="128"/>
      <c r="AD948" s="128"/>
      <c r="AE948" s="128"/>
      <c r="AF948" s="128"/>
      <c r="AG948" s="128"/>
      <c r="AH948" s="127"/>
    </row>
    <row r="949" spans="1:34" ht="13.2">
      <c r="A949" s="88"/>
      <c r="B949" s="88"/>
      <c r="C949" s="88"/>
      <c r="D949" s="88"/>
      <c r="E949" s="88"/>
      <c r="F949" s="88"/>
      <c r="G949" s="88"/>
      <c r="H949" s="88"/>
      <c r="I949" s="88"/>
      <c r="J949" s="88"/>
      <c r="K949" s="88"/>
      <c r="L949" s="88"/>
      <c r="M949" s="88"/>
      <c r="N949" s="88"/>
      <c r="O949" s="88"/>
      <c r="P949" s="88"/>
      <c r="Q949" s="88"/>
      <c r="R949" s="88"/>
      <c r="S949" s="88"/>
      <c r="T949" s="88"/>
      <c r="U949" s="88"/>
      <c r="V949" s="88"/>
      <c r="W949" s="88"/>
      <c r="X949" s="88"/>
      <c r="Y949" s="88"/>
      <c r="Z949" s="88"/>
      <c r="AA949" s="88"/>
      <c r="AB949" s="128"/>
      <c r="AC949" s="128"/>
      <c r="AD949" s="128"/>
      <c r="AE949" s="128"/>
      <c r="AF949" s="128"/>
      <c r="AG949" s="128"/>
      <c r="AH949" s="127"/>
    </row>
    <row r="950" spans="1:34" ht="13.2">
      <c r="A950" s="88"/>
      <c r="B950" s="88"/>
      <c r="C950" s="88"/>
      <c r="D950" s="88"/>
      <c r="E950" s="88"/>
      <c r="F950" s="88"/>
      <c r="G950" s="88"/>
      <c r="H950" s="88"/>
      <c r="I950" s="88"/>
      <c r="J950" s="88"/>
      <c r="K950" s="88"/>
      <c r="L950" s="88"/>
      <c r="M950" s="88"/>
      <c r="N950" s="88"/>
      <c r="O950" s="88"/>
      <c r="P950" s="88"/>
      <c r="Q950" s="88"/>
      <c r="R950" s="88"/>
      <c r="S950" s="88"/>
      <c r="T950" s="88"/>
      <c r="U950" s="88"/>
      <c r="V950" s="88"/>
      <c r="W950" s="88"/>
      <c r="X950" s="88"/>
      <c r="Y950" s="88"/>
      <c r="Z950" s="88"/>
      <c r="AA950" s="88"/>
      <c r="AB950" s="128"/>
      <c r="AC950" s="128"/>
      <c r="AD950" s="128"/>
      <c r="AE950" s="128"/>
      <c r="AF950" s="128"/>
      <c r="AG950" s="128"/>
      <c r="AH950" s="127"/>
    </row>
    <row r="951" spans="1:34" ht="13.2">
      <c r="A951" s="88"/>
      <c r="B951" s="88"/>
      <c r="C951" s="88"/>
      <c r="D951" s="88"/>
      <c r="E951" s="88"/>
      <c r="F951" s="88"/>
      <c r="G951" s="88"/>
      <c r="H951" s="88"/>
      <c r="I951" s="88"/>
      <c r="J951" s="88"/>
      <c r="K951" s="88"/>
      <c r="L951" s="88"/>
      <c r="M951" s="88"/>
      <c r="N951" s="88"/>
      <c r="O951" s="88"/>
      <c r="P951" s="88"/>
      <c r="Q951" s="88"/>
      <c r="R951" s="88"/>
      <c r="S951" s="88"/>
      <c r="T951" s="88"/>
      <c r="U951" s="88"/>
      <c r="V951" s="88"/>
      <c r="W951" s="88"/>
      <c r="X951" s="88"/>
      <c r="Y951" s="88"/>
      <c r="Z951" s="88"/>
      <c r="AA951" s="88"/>
      <c r="AB951" s="128"/>
      <c r="AC951" s="128"/>
      <c r="AD951" s="128"/>
      <c r="AE951" s="128"/>
      <c r="AF951" s="128"/>
      <c r="AG951" s="128"/>
      <c r="AH951" s="127"/>
    </row>
    <row r="952" spans="1:34" ht="13.2">
      <c r="A952" s="88"/>
      <c r="B952" s="88"/>
      <c r="C952" s="88"/>
      <c r="D952" s="88"/>
      <c r="E952" s="88"/>
      <c r="F952" s="88"/>
      <c r="G952" s="88"/>
      <c r="H952" s="88"/>
      <c r="I952" s="88"/>
      <c r="J952" s="88"/>
      <c r="K952" s="88"/>
      <c r="L952" s="88"/>
      <c r="M952" s="88"/>
      <c r="N952" s="88"/>
      <c r="O952" s="88"/>
      <c r="P952" s="88"/>
      <c r="Q952" s="88"/>
      <c r="R952" s="88"/>
      <c r="S952" s="88"/>
      <c r="T952" s="88"/>
      <c r="U952" s="88"/>
      <c r="V952" s="88"/>
      <c r="W952" s="88"/>
      <c r="X952" s="88"/>
      <c r="Y952" s="88"/>
      <c r="Z952" s="88"/>
      <c r="AA952" s="88"/>
      <c r="AB952" s="128"/>
      <c r="AC952" s="128"/>
      <c r="AD952" s="128"/>
      <c r="AE952" s="128"/>
      <c r="AF952" s="128"/>
      <c r="AG952" s="128"/>
      <c r="AH952" s="127"/>
    </row>
    <row r="953" spans="1:34" ht="13.2">
      <c r="A953" s="88"/>
      <c r="B953" s="88"/>
      <c r="C953" s="88"/>
      <c r="D953" s="88"/>
      <c r="E953" s="88"/>
      <c r="F953" s="88"/>
      <c r="G953" s="88"/>
      <c r="H953" s="88"/>
      <c r="I953" s="88"/>
      <c r="J953" s="88"/>
      <c r="K953" s="88"/>
      <c r="L953" s="88"/>
      <c r="M953" s="88"/>
      <c r="N953" s="88"/>
      <c r="O953" s="88"/>
      <c r="P953" s="88"/>
      <c r="Q953" s="88"/>
      <c r="R953" s="88"/>
      <c r="S953" s="88"/>
      <c r="T953" s="88"/>
      <c r="U953" s="88"/>
      <c r="V953" s="88"/>
      <c r="W953" s="88"/>
      <c r="X953" s="88"/>
      <c r="Y953" s="88"/>
      <c r="Z953" s="88"/>
      <c r="AA953" s="88"/>
      <c r="AB953" s="128"/>
      <c r="AC953" s="128"/>
      <c r="AD953" s="128"/>
      <c r="AE953" s="128"/>
      <c r="AF953" s="128"/>
      <c r="AG953" s="128"/>
      <c r="AH953" s="127"/>
    </row>
    <row r="954" spans="1:34" ht="13.2">
      <c r="A954" s="88"/>
      <c r="B954" s="88"/>
      <c r="C954" s="88"/>
      <c r="D954" s="88"/>
      <c r="E954" s="88"/>
      <c r="F954" s="88"/>
      <c r="G954" s="88"/>
      <c r="H954" s="88"/>
      <c r="I954" s="88"/>
      <c r="J954" s="88"/>
      <c r="K954" s="88"/>
      <c r="L954" s="88"/>
      <c r="M954" s="88"/>
      <c r="N954" s="88"/>
      <c r="O954" s="88"/>
      <c r="P954" s="88"/>
      <c r="Q954" s="88"/>
      <c r="R954" s="88"/>
      <c r="S954" s="88"/>
      <c r="T954" s="88"/>
      <c r="U954" s="88"/>
      <c r="V954" s="88"/>
      <c r="W954" s="88"/>
      <c r="X954" s="88"/>
      <c r="Y954" s="88"/>
      <c r="Z954" s="88"/>
      <c r="AA954" s="88"/>
      <c r="AB954" s="128"/>
      <c r="AC954" s="128"/>
      <c r="AD954" s="128"/>
      <c r="AE954" s="128"/>
      <c r="AF954" s="128"/>
      <c r="AG954" s="128"/>
      <c r="AH954" s="127"/>
    </row>
    <row r="955" spans="1:34" ht="13.2">
      <c r="A955" s="88"/>
      <c r="B955" s="88"/>
      <c r="C955" s="88"/>
      <c r="D955" s="88"/>
      <c r="E955" s="88"/>
      <c r="F955" s="88"/>
      <c r="G955" s="88"/>
      <c r="H955" s="88"/>
      <c r="I955" s="88"/>
      <c r="J955" s="88"/>
      <c r="K955" s="88"/>
      <c r="L955" s="88"/>
      <c r="M955" s="88"/>
      <c r="N955" s="88"/>
      <c r="O955" s="88"/>
      <c r="P955" s="88"/>
      <c r="Q955" s="88"/>
      <c r="R955" s="88"/>
      <c r="S955" s="88"/>
      <c r="T955" s="88"/>
      <c r="U955" s="88"/>
      <c r="V955" s="88"/>
      <c r="W955" s="88"/>
      <c r="X955" s="88"/>
      <c r="Y955" s="88"/>
      <c r="Z955" s="88"/>
      <c r="AA955" s="88"/>
      <c r="AB955" s="128"/>
      <c r="AC955" s="128"/>
      <c r="AD955" s="128"/>
      <c r="AE955" s="128"/>
      <c r="AF955" s="128"/>
      <c r="AG955" s="128"/>
      <c r="AH955" s="127"/>
    </row>
    <row r="956" spans="1:34" ht="13.2">
      <c r="A956" s="88"/>
      <c r="B956" s="88"/>
      <c r="C956" s="88"/>
      <c r="D956" s="88"/>
      <c r="E956" s="88"/>
      <c r="F956" s="88"/>
      <c r="G956" s="88"/>
      <c r="H956" s="88"/>
      <c r="I956" s="88"/>
      <c r="J956" s="88"/>
      <c r="K956" s="88"/>
      <c r="L956" s="88"/>
      <c r="M956" s="88"/>
      <c r="N956" s="88"/>
      <c r="O956" s="88"/>
      <c r="P956" s="88"/>
      <c r="Q956" s="88"/>
      <c r="R956" s="88"/>
      <c r="S956" s="88"/>
      <c r="T956" s="88"/>
      <c r="U956" s="88"/>
      <c r="V956" s="88"/>
      <c r="W956" s="88"/>
      <c r="X956" s="88"/>
      <c r="Y956" s="88"/>
      <c r="Z956" s="88"/>
      <c r="AA956" s="88"/>
      <c r="AB956" s="128"/>
      <c r="AC956" s="128"/>
      <c r="AD956" s="128"/>
      <c r="AE956" s="128"/>
      <c r="AF956" s="128"/>
      <c r="AG956" s="128"/>
      <c r="AH956" s="127"/>
    </row>
    <row r="957" spans="1:34" ht="13.2">
      <c r="A957" s="88"/>
      <c r="B957" s="88"/>
      <c r="C957" s="88"/>
      <c r="D957" s="88"/>
      <c r="E957" s="88"/>
      <c r="F957" s="88"/>
      <c r="G957" s="88"/>
      <c r="H957" s="88"/>
      <c r="I957" s="88"/>
      <c r="J957" s="88"/>
      <c r="K957" s="88"/>
      <c r="L957" s="88"/>
      <c r="M957" s="88"/>
      <c r="N957" s="88"/>
      <c r="O957" s="88"/>
      <c r="P957" s="88"/>
      <c r="Q957" s="88"/>
      <c r="R957" s="88"/>
      <c r="S957" s="88"/>
      <c r="T957" s="88"/>
      <c r="U957" s="88"/>
      <c r="V957" s="88"/>
      <c r="W957" s="88"/>
      <c r="X957" s="88"/>
      <c r="Y957" s="88"/>
      <c r="Z957" s="88"/>
      <c r="AA957" s="88"/>
      <c r="AB957" s="128"/>
      <c r="AC957" s="128"/>
      <c r="AD957" s="128"/>
      <c r="AE957" s="128"/>
      <c r="AF957" s="128"/>
      <c r="AG957" s="128"/>
      <c r="AH957" s="127"/>
    </row>
    <row r="958" spans="1:34" ht="13.2">
      <c r="A958" s="88"/>
      <c r="B958" s="88"/>
      <c r="C958" s="88"/>
      <c r="D958" s="88"/>
      <c r="E958" s="88"/>
      <c r="F958" s="88"/>
      <c r="G958" s="88"/>
      <c r="H958" s="88"/>
      <c r="I958" s="88"/>
      <c r="J958" s="88"/>
      <c r="K958" s="88"/>
      <c r="L958" s="88"/>
      <c r="M958" s="88"/>
      <c r="N958" s="88"/>
      <c r="O958" s="88"/>
      <c r="P958" s="88"/>
      <c r="Q958" s="88"/>
      <c r="R958" s="88"/>
      <c r="S958" s="88"/>
      <c r="T958" s="88"/>
      <c r="U958" s="88"/>
      <c r="V958" s="88"/>
      <c r="W958" s="88"/>
      <c r="X958" s="88"/>
      <c r="Y958" s="88"/>
      <c r="Z958" s="88"/>
      <c r="AA958" s="88"/>
      <c r="AB958" s="128"/>
      <c r="AC958" s="128"/>
      <c r="AD958" s="128"/>
      <c r="AE958" s="128"/>
      <c r="AF958" s="128"/>
      <c r="AG958" s="128"/>
      <c r="AH958" s="127"/>
    </row>
    <row r="959" spans="1:34" ht="13.2">
      <c r="A959" s="88"/>
      <c r="B959" s="88"/>
      <c r="C959" s="88"/>
      <c r="D959" s="88"/>
      <c r="E959" s="88"/>
      <c r="F959" s="88"/>
      <c r="G959" s="88"/>
      <c r="H959" s="88"/>
      <c r="I959" s="88"/>
      <c r="J959" s="88"/>
      <c r="K959" s="88"/>
      <c r="L959" s="88"/>
      <c r="M959" s="88"/>
      <c r="N959" s="88"/>
      <c r="O959" s="88"/>
      <c r="P959" s="88"/>
      <c r="Q959" s="88"/>
      <c r="R959" s="88"/>
      <c r="S959" s="88"/>
      <c r="T959" s="88"/>
      <c r="U959" s="88"/>
      <c r="V959" s="88"/>
      <c r="W959" s="88"/>
      <c r="X959" s="88"/>
      <c r="Y959" s="88"/>
      <c r="Z959" s="88"/>
      <c r="AA959" s="88"/>
      <c r="AB959" s="128"/>
      <c r="AC959" s="128"/>
      <c r="AD959" s="128"/>
      <c r="AE959" s="128"/>
      <c r="AF959" s="128"/>
      <c r="AG959" s="128"/>
      <c r="AH959" s="127"/>
    </row>
    <row r="960" spans="1:34" ht="13.2">
      <c r="A960" s="88"/>
      <c r="B960" s="88"/>
      <c r="C960" s="88"/>
      <c r="D960" s="88"/>
      <c r="E960" s="88"/>
      <c r="F960" s="88"/>
      <c r="G960" s="88"/>
      <c r="H960" s="88"/>
      <c r="I960" s="88"/>
      <c r="J960" s="88"/>
      <c r="K960" s="88"/>
      <c r="L960" s="88"/>
      <c r="M960" s="88"/>
      <c r="N960" s="88"/>
      <c r="O960" s="88"/>
      <c r="P960" s="88"/>
      <c r="Q960" s="88"/>
      <c r="R960" s="88"/>
      <c r="S960" s="88"/>
      <c r="T960" s="88"/>
      <c r="U960" s="88"/>
      <c r="V960" s="88"/>
      <c r="W960" s="88"/>
      <c r="X960" s="88"/>
      <c r="Y960" s="88"/>
      <c r="Z960" s="88"/>
      <c r="AA960" s="88"/>
      <c r="AB960" s="128"/>
      <c r="AC960" s="128"/>
      <c r="AD960" s="128"/>
      <c r="AE960" s="128"/>
      <c r="AF960" s="128"/>
      <c r="AG960" s="128"/>
      <c r="AH960" s="127"/>
    </row>
    <row r="961" spans="1:34" ht="13.2">
      <c r="A961" s="88"/>
      <c r="B961" s="88"/>
      <c r="C961" s="88"/>
      <c r="D961" s="88"/>
      <c r="E961" s="88"/>
      <c r="F961" s="88"/>
      <c r="G961" s="88"/>
      <c r="H961" s="88"/>
      <c r="I961" s="88"/>
      <c r="J961" s="88"/>
      <c r="K961" s="88"/>
      <c r="L961" s="88"/>
      <c r="M961" s="88"/>
      <c r="N961" s="88"/>
      <c r="O961" s="88"/>
      <c r="P961" s="88"/>
      <c r="Q961" s="88"/>
      <c r="R961" s="88"/>
      <c r="S961" s="88"/>
      <c r="T961" s="88"/>
      <c r="U961" s="88"/>
      <c r="V961" s="88"/>
      <c r="W961" s="88"/>
      <c r="X961" s="88"/>
      <c r="Y961" s="88"/>
      <c r="Z961" s="88"/>
      <c r="AA961" s="88"/>
      <c r="AB961" s="128"/>
      <c r="AC961" s="128"/>
      <c r="AD961" s="128"/>
      <c r="AE961" s="128"/>
      <c r="AF961" s="128"/>
      <c r="AG961" s="128"/>
      <c r="AH961" s="127"/>
    </row>
    <row r="962" spans="1:34" ht="13.2">
      <c r="A962" s="88"/>
      <c r="B962" s="88"/>
      <c r="C962" s="88"/>
      <c r="D962" s="88"/>
      <c r="E962" s="88"/>
      <c r="F962" s="88"/>
      <c r="G962" s="88"/>
      <c r="H962" s="88"/>
      <c r="I962" s="88"/>
      <c r="J962" s="88"/>
      <c r="K962" s="88"/>
      <c r="L962" s="88"/>
      <c r="M962" s="88"/>
      <c r="N962" s="88"/>
      <c r="O962" s="88"/>
      <c r="P962" s="88"/>
      <c r="Q962" s="88"/>
      <c r="R962" s="88"/>
      <c r="S962" s="88"/>
      <c r="T962" s="88"/>
      <c r="U962" s="88"/>
      <c r="V962" s="88"/>
      <c r="W962" s="88"/>
      <c r="X962" s="88"/>
      <c r="Y962" s="88"/>
      <c r="Z962" s="88"/>
      <c r="AA962" s="88"/>
      <c r="AB962" s="128"/>
      <c r="AC962" s="128"/>
      <c r="AD962" s="128"/>
      <c r="AE962" s="128"/>
      <c r="AF962" s="128"/>
      <c r="AG962" s="128"/>
      <c r="AH962" s="127"/>
    </row>
    <row r="963" spans="1:34" ht="13.2">
      <c r="A963" s="88"/>
      <c r="B963" s="88"/>
      <c r="C963" s="88"/>
      <c r="D963" s="88"/>
      <c r="E963" s="88"/>
      <c r="F963" s="88"/>
      <c r="G963" s="88"/>
      <c r="H963" s="88"/>
      <c r="I963" s="88"/>
      <c r="J963" s="88"/>
      <c r="K963" s="88"/>
      <c r="L963" s="88"/>
      <c r="M963" s="88"/>
      <c r="N963" s="88"/>
      <c r="O963" s="88"/>
      <c r="P963" s="88"/>
      <c r="Q963" s="88"/>
      <c r="R963" s="88"/>
      <c r="S963" s="88"/>
      <c r="T963" s="88"/>
      <c r="U963" s="88"/>
      <c r="V963" s="88"/>
      <c r="W963" s="88"/>
      <c r="X963" s="88"/>
      <c r="Y963" s="88"/>
      <c r="Z963" s="88"/>
      <c r="AA963" s="88"/>
      <c r="AB963" s="128"/>
      <c r="AC963" s="128"/>
      <c r="AD963" s="128"/>
      <c r="AE963" s="128"/>
      <c r="AF963" s="128"/>
      <c r="AG963" s="128"/>
      <c r="AH963" s="127"/>
    </row>
  </sheetData>
  <mergeCells count="7">
    <mergeCell ref="X3:Y3"/>
    <mergeCell ref="X26:Y26"/>
    <mergeCell ref="C2:F2"/>
    <mergeCell ref="G2:K2"/>
    <mergeCell ref="L2:P2"/>
    <mergeCell ref="Q2:U2"/>
    <mergeCell ref="V2:W2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A423B-0350-4096-8FA9-3F65019560E7}">
  <sheetPr>
    <tabColor rgb="FF00B050"/>
    <outlinePr summaryBelow="0" summaryRight="0"/>
  </sheetPr>
  <dimension ref="A1:AH960"/>
  <sheetViews>
    <sheetView showGridLines="0" topLeftCell="C1" zoomScaleNormal="100" workbookViewId="0">
      <selection activeCell="AB16" sqref="AB16"/>
    </sheetView>
  </sheetViews>
  <sheetFormatPr defaultColWidth="12.6640625" defaultRowHeight="15.75" customHeight="1"/>
  <cols>
    <col min="1" max="1" width="4.6640625" customWidth="1"/>
    <col min="2" max="2" width="31.44140625" customWidth="1"/>
    <col min="3" max="7" width="5.33203125" customWidth="1"/>
    <col min="8" max="16" width="4.6640625" customWidth="1"/>
    <col min="17" max="22" width="5.33203125" customWidth="1"/>
    <col min="23" max="23" width="5" customWidth="1"/>
    <col min="24" max="26" width="4.6640625" customWidth="1"/>
    <col min="27" max="27" width="7.5546875" style="3" bestFit="1" customWidth="1"/>
    <col min="28" max="28" width="10.6640625" style="3" customWidth="1"/>
    <col min="29" max="29" width="60.44140625" style="3" bestFit="1" customWidth="1"/>
    <col min="30" max="30" width="13.44140625" style="3" customWidth="1"/>
    <col min="31" max="31" width="12.6640625" style="3"/>
    <col min="32" max="32" width="16" style="3" bestFit="1" customWidth="1"/>
    <col min="33" max="33" width="12.6640625" style="3"/>
  </cols>
  <sheetData>
    <row r="1" spans="1:34" ht="13.8" thickBot="1">
      <c r="A1" s="88"/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128"/>
      <c r="AC1" s="128"/>
      <c r="AD1" s="128"/>
      <c r="AE1" s="128"/>
      <c r="AF1" s="128"/>
      <c r="AG1" s="128"/>
      <c r="AH1" s="127"/>
    </row>
    <row r="2" spans="1:34" ht="13.2">
      <c r="A2" s="88"/>
      <c r="B2" s="88"/>
      <c r="C2" s="281" t="s">
        <v>28</v>
      </c>
      <c r="D2" s="282"/>
      <c r="E2" s="282"/>
      <c r="F2" s="283"/>
      <c r="G2" s="281" t="s">
        <v>29</v>
      </c>
      <c r="H2" s="282"/>
      <c r="I2" s="282"/>
      <c r="J2" s="282"/>
      <c r="K2" s="283"/>
      <c r="L2" s="281" t="s">
        <v>30</v>
      </c>
      <c r="M2" s="282"/>
      <c r="N2" s="282"/>
      <c r="O2" s="282"/>
      <c r="P2" s="283"/>
      <c r="Q2" s="281" t="s">
        <v>31</v>
      </c>
      <c r="R2" s="282"/>
      <c r="S2" s="282"/>
      <c r="T2" s="282"/>
      <c r="U2" s="283"/>
      <c r="V2" s="281" t="s">
        <v>32</v>
      </c>
      <c r="W2" s="282"/>
      <c r="X2" s="88"/>
      <c r="Y2" s="88"/>
      <c r="Z2" s="90"/>
      <c r="AA2" s="91" t="s">
        <v>33</v>
      </c>
      <c r="AB2" s="91" t="s">
        <v>34</v>
      </c>
      <c r="AC2" s="91" t="s">
        <v>141</v>
      </c>
      <c r="AD2" s="91" t="s">
        <v>35</v>
      </c>
      <c r="AE2" s="91" t="s">
        <v>36</v>
      </c>
      <c r="AF2" s="91" t="s">
        <v>37</v>
      </c>
      <c r="AG2" s="91" t="s">
        <v>38</v>
      </c>
      <c r="AH2" s="91" t="s">
        <v>39</v>
      </c>
    </row>
    <row r="3" spans="1:34" ht="13.2">
      <c r="A3" s="88"/>
      <c r="B3" s="88"/>
      <c r="C3" s="83">
        <v>1</v>
      </c>
      <c r="D3" s="84">
        <v>2</v>
      </c>
      <c r="E3" s="84">
        <v>3</v>
      </c>
      <c r="F3" s="85">
        <v>5</v>
      </c>
      <c r="G3" s="83">
        <v>8</v>
      </c>
      <c r="H3" s="84">
        <v>9</v>
      </c>
      <c r="I3" s="84">
        <v>10</v>
      </c>
      <c r="J3" s="84">
        <v>11</v>
      </c>
      <c r="K3" s="85">
        <v>12</v>
      </c>
      <c r="L3" s="83">
        <v>15</v>
      </c>
      <c r="M3" s="84">
        <v>16</v>
      </c>
      <c r="N3" s="84">
        <v>17</v>
      </c>
      <c r="O3" s="84">
        <v>18</v>
      </c>
      <c r="P3" s="85">
        <v>19</v>
      </c>
      <c r="Q3" s="83">
        <v>22</v>
      </c>
      <c r="R3" s="84">
        <v>23</v>
      </c>
      <c r="S3" s="84">
        <v>24</v>
      </c>
      <c r="T3" s="84">
        <v>25</v>
      </c>
      <c r="U3" s="85">
        <v>26</v>
      </c>
      <c r="V3" s="83">
        <v>29</v>
      </c>
      <c r="W3" s="85">
        <v>30</v>
      </c>
      <c r="X3" s="278"/>
      <c r="Y3" s="279"/>
      <c r="Z3" s="88"/>
      <c r="AA3" s="87">
        <v>1</v>
      </c>
      <c r="AB3" s="129">
        <v>33463</v>
      </c>
      <c r="AC3" s="129" t="s">
        <v>165</v>
      </c>
      <c r="AD3" s="130">
        <v>46087</v>
      </c>
      <c r="AE3" s="129">
        <v>745.8</v>
      </c>
      <c r="AF3" s="130">
        <v>46106</v>
      </c>
      <c r="AG3" s="129" t="s">
        <v>56</v>
      </c>
      <c r="AH3" s="131">
        <v>70</v>
      </c>
    </row>
    <row r="4" spans="1:34" ht="13.2">
      <c r="A4" s="88"/>
      <c r="B4" s="95" t="s">
        <v>41</v>
      </c>
      <c r="C4" s="96" t="s">
        <v>42</v>
      </c>
      <c r="D4" s="97" t="s">
        <v>43</v>
      </c>
      <c r="E4" s="97" t="s">
        <v>44</v>
      </c>
      <c r="F4" s="98" t="s">
        <v>44</v>
      </c>
      <c r="G4" s="96" t="s">
        <v>42</v>
      </c>
      <c r="H4" s="97" t="s">
        <v>42</v>
      </c>
      <c r="I4" s="97" t="s">
        <v>43</v>
      </c>
      <c r="J4" s="97" t="s">
        <v>44</v>
      </c>
      <c r="K4" s="98" t="s">
        <v>44</v>
      </c>
      <c r="L4" s="96" t="s">
        <v>42</v>
      </c>
      <c r="M4" s="97" t="s">
        <v>42</v>
      </c>
      <c r="N4" s="97" t="s">
        <v>43</v>
      </c>
      <c r="O4" s="97" t="s">
        <v>44</v>
      </c>
      <c r="P4" s="98" t="s">
        <v>44</v>
      </c>
      <c r="Q4" s="96" t="s">
        <v>42</v>
      </c>
      <c r="R4" s="97" t="s">
        <v>42</v>
      </c>
      <c r="S4" s="97" t="s">
        <v>43</v>
      </c>
      <c r="T4" s="97" t="s">
        <v>44</v>
      </c>
      <c r="U4" s="98" t="s">
        <v>44</v>
      </c>
      <c r="V4" s="96" t="s">
        <v>42</v>
      </c>
      <c r="W4" s="98" t="s">
        <v>42</v>
      </c>
      <c r="X4" s="99" t="s">
        <v>11</v>
      </c>
      <c r="Y4" s="88"/>
      <c r="Z4" s="88"/>
      <c r="AA4" s="87">
        <v>2</v>
      </c>
      <c r="AB4" s="129">
        <v>42936</v>
      </c>
      <c r="AC4" s="129" t="s">
        <v>166</v>
      </c>
      <c r="AD4" s="130">
        <v>46087</v>
      </c>
      <c r="AE4" s="129">
        <v>183.75</v>
      </c>
      <c r="AF4" s="130">
        <v>46112</v>
      </c>
      <c r="AG4" s="129" t="s">
        <v>56</v>
      </c>
      <c r="AH4" s="131">
        <v>64</v>
      </c>
    </row>
    <row r="5" spans="1:34" ht="13.2">
      <c r="A5" s="88"/>
      <c r="B5" s="100" t="s">
        <v>2</v>
      </c>
      <c r="C5" s="101">
        <v>2</v>
      </c>
      <c r="D5" s="102">
        <v>2</v>
      </c>
      <c r="E5" s="102">
        <v>2</v>
      </c>
      <c r="F5" s="103">
        <v>2</v>
      </c>
      <c r="G5" s="101">
        <v>2</v>
      </c>
      <c r="H5" s="102">
        <v>2</v>
      </c>
      <c r="I5" s="102">
        <v>2</v>
      </c>
      <c r="J5" s="102">
        <v>2</v>
      </c>
      <c r="K5" s="103">
        <v>2</v>
      </c>
      <c r="L5" s="101">
        <v>1</v>
      </c>
      <c r="M5" s="102">
        <v>1</v>
      </c>
      <c r="N5" s="102">
        <v>1</v>
      </c>
      <c r="O5" s="102">
        <v>1</v>
      </c>
      <c r="P5" s="103">
        <v>1</v>
      </c>
      <c r="Q5" s="101">
        <v>1</v>
      </c>
      <c r="R5" s="102">
        <v>1</v>
      </c>
      <c r="S5" s="102">
        <v>1</v>
      </c>
      <c r="T5" s="102">
        <v>1</v>
      </c>
      <c r="U5" s="103">
        <v>1</v>
      </c>
      <c r="V5" s="51">
        <v>1</v>
      </c>
      <c r="W5" s="103">
        <v>1</v>
      </c>
      <c r="X5" s="104">
        <v>30</v>
      </c>
      <c r="Y5" s="88"/>
      <c r="Z5" s="88"/>
      <c r="AA5" s="87">
        <v>3</v>
      </c>
      <c r="AB5" s="129">
        <v>30921</v>
      </c>
      <c r="AC5" s="129" t="s">
        <v>167</v>
      </c>
      <c r="AD5" s="130">
        <v>46148</v>
      </c>
      <c r="AE5" s="129">
        <v>210.65</v>
      </c>
      <c r="AF5" s="130">
        <v>46099</v>
      </c>
      <c r="AG5" s="129" t="s">
        <v>56</v>
      </c>
      <c r="AH5" s="131">
        <v>79</v>
      </c>
    </row>
    <row r="6" spans="1:34" ht="13.8" thickBot="1">
      <c r="A6" s="88"/>
      <c r="B6" s="100" t="s">
        <v>46</v>
      </c>
      <c r="C6" s="105">
        <v>0</v>
      </c>
      <c r="D6" s="106">
        <v>0</v>
      </c>
      <c r="E6" s="106">
        <v>2</v>
      </c>
      <c r="F6" s="107">
        <v>1</v>
      </c>
      <c r="G6" s="105">
        <v>0</v>
      </c>
      <c r="H6" s="106">
        <v>1</v>
      </c>
      <c r="I6" s="106">
        <v>3</v>
      </c>
      <c r="J6" s="106">
        <v>4</v>
      </c>
      <c r="K6" s="107">
        <v>0</v>
      </c>
      <c r="L6" s="105">
        <v>0</v>
      </c>
      <c r="M6" s="106">
        <v>0</v>
      </c>
      <c r="N6" s="106">
        <v>2</v>
      </c>
      <c r="O6" s="106">
        <v>1</v>
      </c>
      <c r="P6" s="107">
        <v>1</v>
      </c>
      <c r="Q6" s="105">
        <v>1</v>
      </c>
      <c r="R6" s="106">
        <v>1</v>
      </c>
      <c r="S6" s="106">
        <v>1</v>
      </c>
      <c r="T6" s="106">
        <v>3</v>
      </c>
      <c r="U6" s="107">
        <v>2</v>
      </c>
      <c r="V6" s="105">
        <v>0</v>
      </c>
      <c r="W6" s="107">
        <v>4</v>
      </c>
      <c r="X6" s="104">
        <v>27</v>
      </c>
      <c r="Y6" s="108">
        <v>-3</v>
      </c>
      <c r="Z6" s="88"/>
      <c r="AA6" s="87">
        <v>4</v>
      </c>
      <c r="AB6" s="129">
        <v>12165</v>
      </c>
      <c r="AC6" s="129" t="s">
        <v>168</v>
      </c>
      <c r="AD6" s="130">
        <v>46271</v>
      </c>
      <c r="AE6" s="129">
        <v>420.18</v>
      </c>
      <c r="AF6" s="130">
        <v>46127</v>
      </c>
      <c r="AG6" s="129" t="s">
        <v>56</v>
      </c>
      <c r="AH6" s="131">
        <v>55</v>
      </c>
    </row>
    <row r="7" spans="1:34" ht="13.2">
      <c r="A7" s="88"/>
      <c r="B7" s="88"/>
      <c r="C7" s="88"/>
      <c r="D7" s="88"/>
      <c r="E7" s="88"/>
      <c r="F7" s="88"/>
      <c r="G7" s="88"/>
      <c r="H7" s="88"/>
      <c r="I7" s="88"/>
      <c r="J7" s="88"/>
      <c r="K7" s="88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  <c r="AA7" s="87">
        <v>5</v>
      </c>
      <c r="AB7" s="129">
        <v>28192</v>
      </c>
      <c r="AC7" s="129" t="s">
        <v>169</v>
      </c>
      <c r="AD7" s="130">
        <v>46301</v>
      </c>
      <c r="AE7" s="129">
        <v>264.45</v>
      </c>
      <c r="AF7" s="130">
        <v>46238</v>
      </c>
      <c r="AG7" s="129" t="s">
        <v>56</v>
      </c>
      <c r="AH7" s="131">
        <v>63</v>
      </c>
    </row>
    <row r="8" spans="1:34" ht="13.2">
      <c r="A8" s="88"/>
      <c r="B8" s="88"/>
      <c r="C8" s="88"/>
      <c r="D8" s="88"/>
      <c r="E8" s="88"/>
      <c r="F8" s="88"/>
      <c r="G8" s="88"/>
      <c r="H8" s="88"/>
      <c r="I8" s="88"/>
      <c r="J8" s="88"/>
      <c r="K8" s="88"/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  <c r="AA8" s="87">
        <v>6</v>
      </c>
      <c r="AB8" s="129">
        <v>37151</v>
      </c>
      <c r="AC8" s="129" t="s">
        <v>170</v>
      </c>
      <c r="AD8" s="130">
        <v>46301</v>
      </c>
      <c r="AE8" s="129">
        <v>411.74</v>
      </c>
      <c r="AF8" s="130">
        <v>46099</v>
      </c>
      <c r="AG8" s="129" t="s">
        <v>56</v>
      </c>
      <c r="AH8" s="131">
        <v>84</v>
      </c>
    </row>
    <row r="9" spans="1:34" ht="13.2">
      <c r="A9" s="88"/>
      <c r="B9" s="109" t="s">
        <v>49</v>
      </c>
      <c r="C9" s="83">
        <v>1</v>
      </c>
      <c r="D9" s="84">
        <v>2</v>
      </c>
      <c r="E9" s="84">
        <v>3</v>
      </c>
      <c r="F9" s="85">
        <v>5</v>
      </c>
      <c r="G9" s="83">
        <v>8</v>
      </c>
      <c r="H9" s="84">
        <v>9</v>
      </c>
      <c r="I9" s="84">
        <v>10</v>
      </c>
      <c r="J9" s="84">
        <v>11</v>
      </c>
      <c r="K9" s="85">
        <v>12</v>
      </c>
      <c r="L9" s="83">
        <v>15</v>
      </c>
      <c r="M9" s="84">
        <v>16</v>
      </c>
      <c r="N9" s="84">
        <v>17</v>
      </c>
      <c r="O9" s="84">
        <v>18</v>
      </c>
      <c r="P9" s="85">
        <v>19</v>
      </c>
      <c r="Q9" s="83">
        <v>22</v>
      </c>
      <c r="R9" s="84">
        <v>23</v>
      </c>
      <c r="S9" s="84">
        <v>24</v>
      </c>
      <c r="T9" s="84">
        <v>25</v>
      </c>
      <c r="U9" s="85">
        <v>26</v>
      </c>
      <c r="V9" s="83">
        <v>29</v>
      </c>
      <c r="W9" s="85">
        <v>30</v>
      </c>
      <c r="X9" s="88"/>
      <c r="Y9" s="88"/>
      <c r="Z9" s="88"/>
      <c r="AA9" s="87">
        <v>7</v>
      </c>
      <c r="AB9" s="129">
        <v>44572</v>
      </c>
      <c r="AC9" s="129" t="s">
        <v>171</v>
      </c>
      <c r="AD9" s="130">
        <v>46301</v>
      </c>
      <c r="AE9" s="129">
        <v>391.55</v>
      </c>
      <c r="AF9" s="130">
        <v>46103</v>
      </c>
      <c r="AG9" s="129" t="s">
        <v>56</v>
      </c>
      <c r="AH9" s="131">
        <v>80</v>
      </c>
    </row>
    <row r="10" spans="1:34" ht="13.2">
      <c r="A10" s="88"/>
      <c r="B10" s="97" t="s">
        <v>15</v>
      </c>
      <c r="C10" s="102">
        <v>50</v>
      </c>
      <c r="D10" s="102"/>
      <c r="E10" s="102">
        <v>50</v>
      </c>
      <c r="F10" s="2">
        <v>26</v>
      </c>
      <c r="G10" s="2">
        <v>26</v>
      </c>
      <c r="H10" s="102">
        <v>2</v>
      </c>
      <c r="I10" s="102">
        <v>0</v>
      </c>
      <c r="J10" s="102">
        <v>0</v>
      </c>
      <c r="K10" s="102"/>
      <c r="L10" s="102">
        <v>0</v>
      </c>
      <c r="M10" s="102">
        <v>10</v>
      </c>
      <c r="N10" s="102">
        <v>9</v>
      </c>
      <c r="O10" s="102"/>
      <c r="P10" s="102">
        <v>0</v>
      </c>
      <c r="Q10" s="102">
        <v>0</v>
      </c>
      <c r="R10" s="114">
        <v>14</v>
      </c>
      <c r="S10" s="81">
        <v>11</v>
      </c>
      <c r="T10" s="115">
        <v>0</v>
      </c>
      <c r="U10" s="116">
        <v>8</v>
      </c>
      <c r="V10" s="102">
        <v>1</v>
      </c>
      <c r="W10" s="102"/>
      <c r="X10" s="88"/>
      <c r="Y10" s="88"/>
      <c r="Z10" s="88"/>
      <c r="AA10" s="87">
        <v>8</v>
      </c>
      <c r="AB10" s="129">
        <v>601</v>
      </c>
      <c r="AC10" s="129" t="s">
        <v>172</v>
      </c>
      <c r="AD10" s="130">
        <v>46332</v>
      </c>
      <c r="AE10" s="129">
        <v>819.5</v>
      </c>
      <c r="AF10" s="130">
        <v>46238</v>
      </c>
      <c r="AG10" s="129" t="s">
        <v>56</v>
      </c>
      <c r="AH10" s="131">
        <v>64</v>
      </c>
    </row>
    <row r="11" spans="1:34" ht="13.2">
      <c r="A11" s="88"/>
      <c r="B11" s="97" t="s">
        <v>16</v>
      </c>
      <c r="C11" s="102">
        <v>14</v>
      </c>
      <c r="D11" s="102"/>
      <c r="E11" s="102">
        <v>14</v>
      </c>
      <c r="F11" s="2">
        <v>7</v>
      </c>
      <c r="G11" s="2">
        <v>4</v>
      </c>
      <c r="H11" s="102">
        <v>0</v>
      </c>
      <c r="I11" s="102">
        <v>0</v>
      </c>
      <c r="J11" s="102">
        <v>0</v>
      </c>
      <c r="K11" s="102"/>
      <c r="L11" s="102">
        <v>0</v>
      </c>
      <c r="M11" s="102">
        <v>0</v>
      </c>
      <c r="N11" s="102">
        <v>0</v>
      </c>
      <c r="O11" s="102"/>
      <c r="P11" s="102">
        <v>0</v>
      </c>
      <c r="Q11" s="102">
        <v>0</v>
      </c>
      <c r="R11" s="114">
        <v>0</v>
      </c>
      <c r="S11" s="81">
        <v>0</v>
      </c>
      <c r="T11" s="115">
        <v>0</v>
      </c>
      <c r="U11" s="116">
        <v>0</v>
      </c>
      <c r="V11" s="102">
        <v>0</v>
      </c>
      <c r="W11" s="102"/>
      <c r="X11" s="88"/>
      <c r="Y11" s="88"/>
      <c r="Z11" s="88"/>
      <c r="AA11" s="87">
        <v>9</v>
      </c>
      <c r="AB11" s="129">
        <v>32604</v>
      </c>
      <c r="AC11" s="129" t="s">
        <v>173</v>
      </c>
      <c r="AD11" s="130">
        <v>46332</v>
      </c>
      <c r="AE11" s="129">
        <v>183.35</v>
      </c>
      <c r="AF11" s="130">
        <v>46112</v>
      </c>
      <c r="AG11" s="129" t="s">
        <v>56</v>
      </c>
      <c r="AH11" s="131">
        <v>72</v>
      </c>
    </row>
    <row r="12" spans="1:34" ht="13.2">
      <c r="A12" s="88"/>
      <c r="B12" s="97" t="s">
        <v>17</v>
      </c>
      <c r="C12" s="102">
        <v>0</v>
      </c>
      <c r="D12" s="102"/>
      <c r="E12" s="102">
        <v>0</v>
      </c>
      <c r="F12" s="2">
        <v>0</v>
      </c>
      <c r="G12" s="2">
        <v>0</v>
      </c>
      <c r="H12" s="102">
        <v>1</v>
      </c>
      <c r="I12" s="102">
        <v>0</v>
      </c>
      <c r="J12" s="102">
        <v>0</v>
      </c>
      <c r="K12" s="102"/>
      <c r="L12" s="102">
        <v>0</v>
      </c>
      <c r="M12" s="102">
        <v>0</v>
      </c>
      <c r="N12" s="102">
        <v>0</v>
      </c>
      <c r="O12" s="102"/>
      <c r="P12" s="102">
        <v>0</v>
      </c>
      <c r="Q12" s="102">
        <v>0</v>
      </c>
      <c r="R12" s="114">
        <v>0</v>
      </c>
      <c r="S12" s="81">
        <v>0</v>
      </c>
      <c r="T12" s="115">
        <v>0</v>
      </c>
      <c r="U12" s="116">
        <v>0</v>
      </c>
      <c r="V12" s="102">
        <v>0</v>
      </c>
      <c r="W12" s="102"/>
      <c r="X12" s="88"/>
      <c r="Y12" s="88"/>
      <c r="Z12" s="88"/>
      <c r="AA12" s="87">
        <v>10</v>
      </c>
      <c r="AB12" s="129">
        <v>30889</v>
      </c>
      <c r="AC12" s="129" t="s">
        <v>174</v>
      </c>
      <c r="AD12" s="130">
        <v>46332</v>
      </c>
      <c r="AE12" s="129">
        <v>994.8</v>
      </c>
      <c r="AF12" s="130">
        <v>46136</v>
      </c>
      <c r="AG12" s="129" t="s">
        <v>56</v>
      </c>
      <c r="AH12" s="131">
        <v>48</v>
      </c>
    </row>
    <row r="13" spans="1:34" ht="13.2">
      <c r="A13" s="88"/>
      <c r="B13" s="97" t="s">
        <v>18</v>
      </c>
      <c r="C13" s="102">
        <v>0</v>
      </c>
      <c r="D13" s="102"/>
      <c r="E13" s="102">
        <v>0</v>
      </c>
      <c r="F13" s="2">
        <v>0</v>
      </c>
      <c r="G13" s="2">
        <v>0</v>
      </c>
      <c r="H13" s="102">
        <v>0</v>
      </c>
      <c r="I13" s="102">
        <v>0</v>
      </c>
      <c r="J13" s="102">
        <v>0</v>
      </c>
      <c r="K13" s="102"/>
      <c r="L13" s="102">
        <v>0</v>
      </c>
      <c r="M13" s="102">
        <v>0</v>
      </c>
      <c r="N13" s="102">
        <v>0</v>
      </c>
      <c r="O13" s="102"/>
      <c r="P13" s="102">
        <v>0</v>
      </c>
      <c r="Q13" s="102">
        <v>0</v>
      </c>
      <c r="R13" s="114">
        <v>0</v>
      </c>
      <c r="S13" s="81">
        <v>0</v>
      </c>
      <c r="T13" s="115">
        <v>0</v>
      </c>
      <c r="U13" s="116">
        <v>0</v>
      </c>
      <c r="V13" s="102">
        <v>0</v>
      </c>
      <c r="W13" s="102"/>
      <c r="X13" s="88"/>
      <c r="Y13" s="88"/>
      <c r="Z13" s="88"/>
      <c r="AA13" s="87">
        <v>11</v>
      </c>
      <c r="AB13" s="129">
        <v>20583</v>
      </c>
      <c r="AC13" s="129" t="s">
        <v>175</v>
      </c>
      <c r="AD13" s="130">
        <v>46332</v>
      </c>
      <c r="AE13" s="129">
        <v>1658</v>
      </c>
      <c r="AF13" s="130">
        <v>46127</v>
      </c>
      <c r="AG13" s="129" t="s">
        <v>56</v>
      </c>
      <c r="AH13" s="131">
        <v>57</v>
      </c>
    </row>
    <row r="14" spans="1:34" ht="13.2">
      <c r="A14" s="88"/>
      <c r="B14" s="97" t="s">
        <v>51</v>
      </c>
      <c r="C14" s="102">
        <v>147</v>
      </c>
      <c r="D14" s="102"/>
      <c r="E14" s="102">
        <v>120</v>
      </c>
      <c r="F14" s="2">
        <v>141</v>
      </c>
      <c r="G14" s="2">
        <v>143</v>
      </c>
      <c r="H14" s="113">
        <v>169</v>
      </c>
      <c r="I14" s="102">
        <v>169</v>
      </c>
      <c r="J14" s="102">
        <v>167</v>
      </c>
      <c r="K14" s="102"/>
      <c r="L14" s="113">
        <v>169</v>
      </c>
      <c r="M14" s="102">
        <v>170</v>
      </c>
      <c r="N14" s="102">
        <v>167</v>
      </c>
      <c r="O14" s="102"/>
      <c r="P14" s="102">
        <v>177</v>
      </c>
      <c r="Q14" s="102">
        <v>173</v>
      </c>
      <c r="R14" s="114">
        <v>179</v>
      </c>
      <c r="S14" s="81">
        <v>187</v>
      </c>
      <c r="T14" s="115">
        <v>193</v>
      </c>
      <c r="U14" s="87">
        <v>193</v>
      </c>
      <c r="V14" s="102">
        <v>201</v>
      </c>
      <c r="W14" s="102"/>
      <c r="X14" s="88"/>
      <c r="Y14" s="88"/>
      <c r="Z14" s="88"/>
      <c r="AA14" s="87">
        <v>12</v>
      </c>
      <c r="AB14" s="129">
        <v>21387</v>
      </c>
      <c r="AC14" s="129" t="s">
        <v>176</v>
      </c>
      <c r="AD14" s="130">
        <v>46190</v>
      </c>
      <c r="AE14" s="129">
        <v>239.95</v>
      </c>
      <c r="AF14" s="130">
        <v>46134</v>
      </c>
      <c r="AG14" s="129" t="s">
        <v>56</v>
      </c>
      <c r="AH14" s="131">
        <v>56</v>
      </c>
    </row>
    <row r="15" spans="1:34" ht="13.2">
      <c r="A15" s="88"/>
      <c r="B15" s="97" t="s">
        <v>52</v>
      </c>
      <c r="C15" s="102">
        <v>47</v>
      </c>
      <c r="D15" s="102"/>
      <c r="E15" s="102">
        <v>45</v>
      </c>
      <c r="F15" s="2">
        <v>49</v>
      </c>
      <c r="G15" s="2">
        <v>49</v>
      </c>
      <c r="H15" s="102">
        <v>63</v>
      </c>
      <c r="I15" s="102">
        <v>62</v>
      </c>
      <c r="J15" s="102">
        <v>62</v>
      </c>
      <c r="K15" s="102"/>
      <c r="L15" s="113">
        <v>62</v>
      </c>
      <c r="M15" s="102">
        <v>65</v>
      </c>
      <c r="N15" s="102">
        <v>66</v>
      </c>
      <c r="O15" s="102"/>
      <c r="P15" s="102">
        <v>68</v>
      </c>
      <c r="Q15" s="102">
        <v>68</v>
      </c>
      <c r="R15" s="114">
        <v>70</v>
      </c>
      <c r="S15" s="81">
        <v>69</v>
      </c>
      <c r="T15" s="115">
        <v>69</v>
      </c>
      <c r="U15" s="117">
        <v>69</v>
      </c>
      <c r="V15" s="102">
        <v>70</v>
      </c>
      <c r="W15" s="102"/>
      <c r="X15" s="88"/>
      <c r="Y15" s="88"/>
      <c r="Z15" s="88"/>
      <c r="AA15" s="122">
        <v>13</v>
      </c>
      <c r="AB15" s="132">
        <v>35547</v>
      </c>
      <c r="AC15" s="132" t="s">
        <v>177</v>
      </c>
      <c r="AD15" s="133">
        <v>46190</v>
      </c>
      <c r="AE15" s="132">
        <v>207.34</v>
      </c>
      <c r="AF15" s="133">
        <v>46045</v>
      </c>
      <c r="AG15" s="132" t="s">
        <v>56</v>
      </c>
      <c r="AH15" s="132">
        <v>145</v>
      </c>
    </row>
    <row r="16" spans="1:34" ht="13.2">
      <c r="A16" s="88"/>
      <c r="B16" s="97" t="s">
        <v>22</v>
      </c>
      <c r="C16" s="102">
        <v>0</v>
      </c>
      <c r="D16" s="102"/>
      <c r="E16" s="102">
        <v>0</v>
      </c>
      <c r="F16" s="2">
        <v>1</v>
      </c>
      <c r="G16" s="2">
        <v>1</v>
      </c>
      <c r="H16" s="102">
        <v>4</v>
      </c>
      <c r="I16" s="102">
        <v>4</v>
      </c>
      <c r="J16" s="102">
        <v>4</v>
      </c>
      <c r="K16" s="102"/>
      <c r="L16" s="113">
        <v>5</v>
      </c>
      <c r="M16" s="102">
        <v>6</v>
      </c>
      <c r="N16" s="102">
        <v>6</v>
      </c>
      <c r="O16" s="102"/>
      <c r="P16" s="102">
        <v>6</v>
      </c>
      <c r="Q16" s="102">
        <v>5</v>
      </c>
      <c r="R16" s="114">
        <v>6</v>
      </c>
      <c r="S16" s="81">
        <v>6</v>
      </c>
      <c r="T16" s="115">
        <v>6</v>
      </c>
      <c r="U16" s="87">
        <v>6</v>
      </c>
      <c r="V16" s="102">
        <v>6</v>
      </c>
      <c r="W16" s="102"/>
      <c r="X16" s="88"/>
      <c r="Y16" s="88"/>
      <c r="Z16" s="88"/>
      <c r="AA16" s="87">
        <v>14</v>
      </c>
      <c r="AB16" s="129">
        <v>42774</v>
      </c>
      <c r="AC16" s="129" t="s">
        <v>178</v>
      </c>
      <c r="AD16" s="130">
        <v>46191</v>
      </c>
      <c r="AE16" s="129">
        <v>829</v>
      </c>
      <c r="AF16" s="130">
        <v>46057</v>
      </c>
      <c r="AG16" s="129" t="s">
        <v>63</v>
      </c>
      <c r="AH16" s="131">
        <v>77</v>
      </c>
    </row>
    <row r="17" spans="1:34" ht="13.2">
      <c r="A17" s="88"/>
      <c r="B17" s="97" t="s">
        <v>23</v>
      </c>
      <c r="C17" s="102">
        <v>0</v>
      </c>
      <c r="D17" s="102"/>
      <c r="E17" s="102">
        <v>0</v>
      </c>
      <c r="F17" s="2">
        <v>0</v>
      </c>
      <c r="G17" s="2">
        <v>0</v>
      </c>
      <c r="H17" s="102">
        <v>0</v>
      </c>
      <c r="I17" s="102">
        <v>0</v>
      </c>
      <c r="J17" s="102">
        <v>1</v>
      </c>
      <c r="K17" s="102"/>
      <c r="L17" s="113">
        <v>1</v>
      </c>
      <c r="M17" s="102">
        <v>2</v>
      </c>
      <c r="N17" s="102">
        <v>2</v>
      </c>
      <c r="O17" s="102"/>
      <c r="P17" s="102">
        <v>2</v>
      </c>
      <c r="Q17" s="102">
        <v>2</v>
      </c>
      <c r="R17" s="114">
        <v>2</v>
      </c>
      <c r="S17" s="81">
        <v>2</v>
      </c>
      <c r="T17" s="115">
        <v>2</v>
      </c>
      <c r="U17" s="87">
        <v>2</v>
      </c>
      <c r="V17" s="102">
        <v>3</v>
      </c>
      <c r="W17" s="102"/>
      <c r="X17" s="88"/>
      <c r="Y17" s="88"/>
      <c r="Z17" s="88"/>
      <c r="AA17" s="87">
        <v>15</v>
      </c>
      <c r="AB17" s="129">
        <v>38903</v>
      </c>
      <c r="AC17" s="129" t="s">
        <v>179</v>
      </c>
      <c r="AD17" s="130">
        <v>46192</v>
      </c>
      <c r="AE17" s="129">
        <v>617</v>
      </c>
      <c r="AF17" s="130">
        <v>46269</v>
      </c>
      <c r="AG17" s="129" t="s">
        <v>56</v>
      </c>
      <c r="AH17" s="131">
        <v>71</v>
      </c>
    </row>
    <row r="18" spans="1:34" ht="13.2">
      <c r="A18" s="88"/>
      <c r="B18" s="97" t="s">
        <v>24</v>
      </c>
      <c r="C18" s="102">
        <v>0</v>
      </c>
      <c r="D18" s="102"/>
      <c r="E18" s="102">
        <v>8</v>
      </c>
      <c r="F18" s="2">
        <v>8</v>
      </c>
      <c r="G18" s="2">
        <v>8</v>
      </c>
      <c r="H18" s="102">
        <v>8</v>
      </c>
      <c r="I18" s="102">
        <v>8</v>
      </c>
      <c r="J18" s="102">
        <v>9</v>
      </c>
      <c r="K18" s="102"/>
      <c r="L18" s="113">
        <v>9</v>
      </c>
      <c r="M18" s="102">
        <v>10</v>
      </c>
      <c r="N18" s="102">
        <v>11</v>
      </c>
      <c r="O18" s="102"/>
      <c r="P18" s="102">
        <v>11</v>
      </c>
      <c r="Q18" s="102">
        <v>13</v>
      </c>
      <c r="R18" s="102">
        <v>13</v>
      </c>
      <c r="S18" s="81">
        <v>13</v>
      </c>
      <c r="T18" s="115">
        <v>13</v>
      </c>
      <c r="U18" s="87">
        <v>13</v>
      </c>
      <c r="V18" s="102">
        <v>15</v>
      </c>
      <c r="W18" s="102"/>
      <c r="X18" s="88"/>
      <c r="Y18" s="88"/>
      <c r="Z18" s="88"/>
      <c r="AA18" s="122">
        <v>16</v>
      </c>
      <c r="AB18" s="132">
        <v>10376</v>
      </c>
      <c r="AC18" s="132" t="s">
        <v>180</v>
      </c>
      <c r="AD18" s="133">
        <v>46195</v>
      </c>
      <c r="AE18" s="132">
        <v>892.99</v>
      </c>
      <c r="AF18" s="133">
        <v>45756</v>
      </c>
      <c r="AG18" s="132" t="s">
        <v>10</v>
      </c>
      <c r="AH18" s="132">
        <v>291</v>
      </c>
    </row>
    <row r="19" spans="1:34" ht="13.2">
      <c r="A19" s="88"/>
      <c r="B19" s="97" t="s">
        <v>25</v>
      </c>
      <c r="C19" s="102">
        <v>0</v>
      </c>
      <c r="D19" s="102"/>
      <c r="E19" s="102">
        <v>1</v>
      </c>
      <c r="F19" s="2">
        <v>7</v>
      </c>
      <c r="G19" s="2">
        <v>7</v>
      </c>
      <c r="H19" s="102">
        <v>9</v>
      </c>
      <c r="I19" s="102">
        <v>10</v>
      </c>
      <c r="J19" s="102">
        <v>10</v>
      </c>
      <c r="K19" s="102"/>
      <c r="L19" s="113">
        <v>10</v>
      </c>
      <c r="M19" s="102">
        <v>12</v>
      </c>
      <c r="N19" s="102">
        <v>13</v>
      </c>
      <c r="O19" s="102"/>
      <c r="P19" s="102">
        <v>13</v>
      </c>
      <c r="Q19" s="102">
        <v>13</v>
      </c>
      <c r="R19" s="114">
        <v>14</v>
      </c>
      <c r="S19" s="81">
        <v>14</v>
      </c>
      <c r="T19" s="115">
        <v>15</v>
      </c>
      <c r="U19" s="87">
        <v>15</v>
      </c>
      <c r="V19" s="102">
        <v>18</v>
      </c>
      <c r="W19" s="102"/>
      <c r="X19" s="88"/>
      <c r="Y19" s="88"/>
      <c r="Z19" s="88"/>
      <c r="AA19" s="87">
        <v>17</v>
      </c>
      <c r="AB19" s="129">
        <v>41363</v>
      </c>
      <c r="AC19" s="129" t="s">
        <v>181</v>
      </c>
      <c r="AD19" s="130">
        <v>46196</v>
      </c>
      <c r="AE19" s="129">
        <v>536.6</v>
      </c>
      <c r="AF19" s="130">
        <v>46135</v>
      </c>
      <c r="AG19" s="129" t="s">
        <v>56</v>
      </c>
      <c r="AH19" s="131">
        <v>61</v>
      </c>
    </row>
    <row r="20" spans="1:34" ht="13.2">
      <c r="A20" s="88"/>
      <c r="B20" s="97" t="s">
        <v>26</v>
      </c>
      <c r="C20" s="102">
        <v>0</v>
      </c>
      <c r="D20" s="102"/>
      <c r="E20" s="102">
        <v>1</v>
      </c>
      <c r="F20" s="2">
        <v>2</v>
      </c>
      <c r="G20" s="2">
        <v>2</v>
      </c>
      <c r="H20" s="102">
        <v>3</v>
      </c>
      <c r="I20" s="102">
        <v>3</v>
      </c>
      <c r="J20" s="102">
        <v>3</v>
      </c>
      <c r="K20" s="102"/>
      <c r="L20" s="113">
        <v>3</v>
      </c>
      <c r="M20" s="102">
        <v>3</v>
      </c>
      <c r="N20" s="102">
        <v>3</v>
      </c>
      <c r="O20" s="102"/>
      <c r="P20" s="102">
        <v>3</v>
      </c>
      <c r="Q20" s="102">
        <v>3</v>
      </c>
      <c r="R20" s="114">
        <v>3</v>
      </c>
      <c r="S20" s="81">
        <v>3</v>
      </c>
      <c r="T20" s="115">
        <v>4</v>
      </c>
      <c r="U20" s="87">
        <v>4</v>
      </c>
      <c r="V20" s="102">
        <v>4</v>
      </c>
      <c r="W20" s="102"/>
      <c r="X20" s="88"/>
      <c r="Y20" s="88"/>
      <c r="Z20" s="88"/>
      <c r="AA20" s="87">
        <v>18</v>
      </c>
      <c r="AB20" s="129">
        <v>40966</v>
      </c>
      <c r="AC20" s="129" t="s">
        <v>182</v>
      </c>
      <c r="AD20" s="130">
        <v>46197</v>
      </c>
      <c r="AE20" s="129">
        <v>497.4</v>
      </c>
      <c r="AF20" s="130">
        <v>46239</v>
      </c>
      <c r="AG20" s="129" t="s">
        <v>56</v>
      </c>
      <c r="AH20" s="131">
        <v>47</v>
      </c>
    </row>
    <row r="21" spans="1:34" ht="13.2">
      <c r="A21" s="88"/>
      <c r="B21" s="109" t="s">
        <v>11</v>
      </c>
      <c r="C21" s="109">
        <v>258</v>
      </c>
      <c r="D21" s="109">
        <v>0</v>
      </c>
      <c r="E21" s="109">
        <v>239</v>
      </c>
      <c r="F21" s="109">
        <v>241</v>
      </c>
      <c r="G21" s="109">
        <v>240</v>
      </c>
      <c r="H21" s="109">
        <v>259</v>
      </c>
      <c r="I21" s="109">
        <v>256</v>
      </c>
      <c r="J21" s="109">
        <v>256</v>
      </c>
      <c r="K21" s="109">
        <v>0</v>
      </c>
      <c r="L21" s="109">
        <v>259</v>
      </c>
      <c r="M21" s="109">
        <v>278</v>
      </c>
      <c r="N21" s="109">
        <v>277</v>
      </c>
      <c r="O21" s="109">
        <v>0</v>
      </c>
      <c r="P21" s="109">
        <v>280</v>
      </c>
      <c r="Q21" s="109">
        <v>277</v>
      </c>
      <c r="R21" s="109">
        <v>301</v>
      </c>
      <c r="S21" s="109">
        <v>305</v>
      </c>
      <c r="T21" s="109">
        <v>302</v>
      </c>
      <c r="U21" s="109">
        <v>310</v>
      </c>
      <c r="V21" s="109">
        <v>318</v>
      </c>
      <c r="W21" s="109">
        <v>0</v>
      </c>
      <c r="X21" s="88"/>
      <c r="Y21" s="88"/>
      <c r="Z21" s="88"/>
      <c r="AA21" s="87">
        <v>19</v>
      </c>
      <c r="AB21" s="129">
        <v>33732</v>
      </c>
      <c r="AC21" s="129" t="s">
        <v>183</v>
      </c>
      <c r="AD21" s="130">
        <v>46198</v>
      </c>
      <c r="AE21" s="129">
        <v>587.41</v>
      </c>
      <c r="AF21" s="130">
        <v>46135</v>
      </c>
      <c r="AG21" s="129" t="s">
        <v>56</v>
      </c>
      <c r="AH21" s="131">
        <v>63</v>
      </c>
    </row>
    <row r="22" spans="1:34" ht="13.2">
      <c r="A22" s="88"/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  <c r="AA22" s="87">
        <v>20</v>
      </c>
      <c r="AB22" s="129">
        <v>43985</v>
      </c>
      <c r="AC22" s="129" t="s">
        <v>184</v>
      </c>
      <c r="AD22" s="130">
        <v>46198</v>
      </c>
      <c r="AE22" s="129">
        <v>331.04</v>
      </c>
      <c r="AF22" s="130">
        <v>46208</v>
      </c>
      <c r="AG22" s="129" t="s">
        <v>56</v>
      </c>
      <c r="AH22" s="131">
        <v>49</v>
      </c>
    </row>
    <row r="23" spans="1:34" ht="13.2">
      <c r="A23" s="88"/>
      <c r="B23" s="82" t="s">
        <v>53</v>
      </c>
      <c r="C23" s="83">
        <v>1</v>
      </c>
      <c r="D23" s="84">
        <v>2</v>
      </c>
      <c r="E23" s="84">
        <v>3</v>
      </c>
      <c r="F23" s="85">
        <v>5</v>
      </c>
      <c r="G23" s="83">
        <v>8</v>
      </c>
      <c r="H23" s="84">
        <v>9</v>
      </c>
      <c r="I23" s="84">
        <v>10</v>
      </c>
      <c r="J23" s="84">
        <v>11</v>
      </c>
      <c r="K23" s="85">
        <v>12</v>
      </c>
      <c r="L23" s="83">
        <v>15</v>
      </c>
      <c r="M23" s="84">
        <v>16</v>
      </c>
      <c r="N23" s="84">
        <v>17</v>
      </c>
      <c r="O23" s="84">
        <v>18</v>
      </c>
      <c r="P23" s="85">
        <v>19</v>
      </c>
      <c r="Q23" s="83">
        <v>22</v>
      </c>
      <c r="R23" s="84">
        <v>23</v>
      </c>
      <c r="S23" s="84">
        <v>24</v>
      </c>
      <c r="T23" s="84">
        <v>25</v>
      </c>
      <c r="U23" s="85">
        <v>26</v>
      </c>
      <c r="V23" s="83">
        <v>29</v>
      </c>
      <c r="W23" s="85">
        <v>30</v>
      </c>
      <c r="X23" s="86" t="s">
        <v>11</v>
      </c>
      <c r="Y23" s="88"/>
      <c r="Z23" s="88"/>
      <c r="AA23" s="122">
        <v>21</v>
      </c>
      <c r="AB23" s="132">
        <v>26794</v>
      </c>
      <c r="AC23" s="132" t="s">
        <v>185</v>
      </c>
      <c r="AD23" s="133">
        <v>46198</v>
      </c>
      <c r="AE23" s="132">
        <v>631.20000000000005</v>
      </c>
      <c r="AF23" s="133">
        <v>44866</v>
      </c>
      <c r="AG23" s="132" t="s">
        <v>62</v>
      </c>
      <c r="AH23" s="132">
        <v>1626</v>
      </c>
    </row>
    <row r="24" spans="1:34" ht="13.2">
      <c r="A24" s="88"/>
      <c r="B24" s="81" t="s">
        <v>2</v>
      </c>
      <c r="C24" s="87">
        <v>17</v>
      </c>
      <c r="D24" s="87">
        <v>17</v>
      </c>
      <c r="E24" s="87">
        <v>17</v>
      </c>
      <c r="F24" s="87">
        <v>17</v>
      </c>
      <c r="G24" s="87">
        <v>17</v>
      </c>
      <c r="H24" s="87">
        <v>17</v>
      </c>
      <c r="I24" s="87">
        <v>17</v>
      </c>
      <c r="J24" s="87">
        <v>17</v>
      </c>
      <c r="K24" s="87">
        <v>17</v>
      </c>
      <c r="L24" s="87">
        <v>17</v>
      </c>
      <c r="M24" s="87">
        <v>17</v>
      </c>
      <c r="N24" s="87">
        <v>17</v>
      </c>
      <c r="O24" s="87">
        <v>17</v>
      </c>
      <c r="P24" s="87">
        <v>17</v>
      </c>
      <c r="Q24" s="87">
        <v>17</v>
      </c>
      <c r="R24" s="87">
        <v>17</v>
      </c>
      <c r="S24" s="87">
        <v>17</v>
      </c>
      <c r="T24" s="87">
        <v>16</v>
      </c>
      <c r="U24" s="87">
        <v>15</v>
      </c>
      <c r="V24" s="87">
        <v>15</v>
      </c>
      <c r="W24" s="87">
        <v>15</v>
      </c>
      <c r="X24" s="81">
        <v>350</v>
      </c>
      <c r="Y24" s="88"/>
      <c r="Z24" s="88"/>
      <c r="AA24" s="122">
        <v>22</v>
      </c>
      <c r="AB24" s="132">
        <v>41617</v>
      </c>
      <c r="AC24" s="132" t="s">
        <v>186</v>
      </c>
      <c r="AD24" s="133">
        <v>46199</v>
      </c>
      <c r="AE24" s="132">
        <v>4653.17</v>
      </c>
      <c r="AF24" s="133">
        <v>46157</v>
      </c>
      <c r="AG24" s="132" t="s">
        <v>56</v>
      </c>
      <c r="AH24" s="132">
        <v>42</v>
      </c>
    </row>
    <row r="25" spans="1:34" ht="13.2">
      <c r="A25" s="88"/>
      <c r="B25" s="81" t="s">
        <v>115</v>
      </c>
      <c r="C25" s="87">
        <v>0</v>
      </c>
      <c r="D25" s="87">
        <v>0</v>
      </c>
      <c r="E25" s="87">
        <v>0</v>
      </c>
      <c r="F25" s="87">
        <v>30</v>
      </c>
      <c r="G25" s="87">
        <v>30</v>
      </c>
      <c r="H25" s="87">
        <v>25</v>
      </c>
      <c r="I25" s="87">
        <v>13</v>
      </c>
      <c r="J25" s="87">
        <v>20</v>
      </c>
      <c r="K25" s="87">
        <v>41</v>
      </c>
      <c r="L25" s="87">
        <v>24</v>
      </c>
      <c r="M25" s="87">
        <v>23</v>
      </c>
      <c r="N25" s="87">
        <v>21</v>
      </c>
      <c r="O25" s="87">
        <v>18</v>
      </c>
      <c r="P25" s="87">
        <v>20</v>
      </c>
      <c r="Q25" s="87">
        <v>24</v>
      </c>
      <c r="R25" s="87">
        <v>24</v>
      </c>
      <c r="S25" s="87">
        <v>24</v>
      </c>
      <c r="T25" s="87">
        <v>19</v>
      </c>
      <c r="U25" s="87">
        <v>0</v>
      </c>
      <c r="V25" s="87">
        <v>30</v>
      </c>
      <c r="W25" s="87">
        <v>0</v>
      </c>
      <c r="X25" s="81">
        <v>386</v>
      </c>
      <c r="Y25" s="108">
        <v>36</v>
      </c>
      <c r="Z25" s="88"/>
      <c r="AA25" s="87">
        <v>23</v>
      </c>
      <c r="AB25" s="129">
        <v>20012</v>
      </c>
      <c r="AC25" s="129" t="s">
        <v>187</v>
      </c>
      <c r="AD25" s="130">
        <v>46199</v>
      </c>
      <c r="AE25" s="129">
        <v>173</v>
      </c>
      <c r="AF25" s="130">
        <v>46129</v>
      </c>
      <c r="AG25" s="129" t="s">
        <v>56</v>
      </c>
      <c r="AH25" s="131">
        <v>70</v>
      </c>
    </row>
    <row r="26" spans="1:34" ht="13.2">
      <c r="A26" s="88"/>
      <c r="B26" s="88"/>
      <c r="C26" s="88"/>
      <c r="D26" s="88"/>
      <c r="E26" s="88"/>
      <c r="F26" s="88"/>
      <c r="G26" s="88"/>
      <c r="H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284"/>
      <c r="Y26" s="284"/>
      <c r="Z26" s="88"/>
      <c r="AA26" s="126">
        <v>24</v>
      </c>
      <c r="AB26" s="134">
        <v>31923</v>
      </c>
      <c r="AC26" s="134" t="s">
        <v>188</v>
      </c>
      <c r="AD26" s="135">
        <v>46203</v>
      </c>
      <c r="AE26" s="134">
        <v>714.78</v>
      </c>
      <c r="AF26" s="135">
        <v>46147</v>
      </c>
      <c r="AG26" s="134" t="s">
        <v>56</v>
      </c>
      <c r="AH26" s="136">
        <v>56</v>
      </c>
    </row>
    <row r="27" spans="1:34" ht="13.2">
      <c r="A27" s="88"/>
      <c r="B27" s="88"/>
      <c r="C27" s="88"/>
      <c r="D27" s="88"/>
      <c r="E27" s="88"/>
      <c r="F27" s="88"/>
      <c r="G27" s="88"/>
      <c r="H27" s="88"/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  <c r="AA27" s="87">
        <v>25</v>
      </c>
      <c r="AB27" s="129">
        <v>41105</v>
      </c>
      <c r="AC27" s="129" t="s">
        <v>189</v>
      </c>
      <c r="AD27" s="130">
        <v>46203</v>
      </c>
      <c r="AE27" s="129">
        <v>1058</v>
      </c>
      <c r="AF27" s="130">
        <v>46141</v>
      </c>
      <c r="AG27" s="129" t="s">
        <v>56</v>
      </c>
      <c r="AH27" s="131">
        <v>62</v>
      </c>
    </row>
    <row r="28" spans="1:34" ht="13.2">
      <c r="A28" s="88"/>
      <c r="B28" s="88"/>
      <c r="C28" s="88"/>
      <c r="D28" s="88"/>
      <c r="E28" s="88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  <c r="AA28" s="87">
        <v>26</v>
      </c>
      <c r="AB28" s="129">
        <v>37503</v>
      </c>
      <c r="AC28" s="129" t="s">
        <v>190</v>
      </c>
      <c r="AD28" s="130">
        <v>46203</v>
      </c>
      <c r="AE28" s="129">
        <v>943.5</v>
      </c>
      <c r="AF28" s="130">
        <v>46156</v>
      </c>
      <c r="AG28" s="129" t="s">
        <v>59</v>
      </c>
      <c r="AH28" s="131">
        <v>47</v>
      </c>
    </row>
    <row r="29" spans="1:34" ht="13.2">
      <c r="A29" s="88"/>
      <c r="B29" s="88"/>
      <c r="C29" s="88"/>
      <c r="D29" s="88"/>
      <c r="E29" s="88"/>
      <c r="F29" s="88"/>
      <c r="G29" s="88"/>
      <c r="H29" s="88"/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  <c r="AA29" s="81">
        <v>27</v>
      </c>
      <c r="AB29" s="131">
        <v>38526</v>
      </c>
      <c r="AC29" s="131" t="s">
        <v>191</v>
      </c>
      <c r="AD29" s="130">
        <v>46029</v>
      </c>
      <c r="AE29" s="131">
        <v>187.85</v>
      </c>
      <c r="AF29" s="160">
        <v>46239</v>
      </c>
      <c r="AG29" s="129" t="s">
        <v>118</v>
      </c>
      <c r="AH29" s="131">
        <v>54</v>
      </c>
    </row>
    <row r="30" spans="1:34" ht="13.2">
      <c r="A30" s="88"/>
      <c r="B30" s="88"/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  <c r="AA30" s="88"/>
      <c r="AB30" s="128"/>
      <c r="AC30" s="128"/>
      <c r="AD30" s="128"/>
      <c r="AE30" s="138">
        <v>19384</v>
      </c>
      <c r="AF30" s="128"/>
      <c r="AG30" s="128"/>
      <c r="AH30" s="127"/>
    </row>
    <row r="31" spans="1:34" ht="13.2">
      <c r="A31" s="88"/>
      <c r="B31" s="88"/>
      <c r="C31" s="88"/>
      <c r="D31" s="88"/>
      <c r="E31" s="88"/>
      <c r="F31" s="88"/>
      <c r="G31" s="88"/>
      <c r="H31" s="88"/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  <c r="AA31" s="88"/>
      <c r="AB31" s="128"/>
      <c r="AC31" s="128"/>
      <c r="AD31" s="128"/>
      <c r="AE31" s="128"/>
      <c r="AF31" s="128"/>
      <c r="AG31" s="128"/>
      <c r="AH31" s="127"/>
    </row>
    <row r="32" spans="1:34" ht="13.2">
      <c r="A32" s="88"/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  <c r="AA32" s="88"/>
      <c r="AB32" s="128"/>
      <c r="AC32" s="128"/>
      <c r="AD32" s="128"/>
      <c r="AE32" s="128"/>
      <c r="AF32" s="128"/>
      <c r="AG32" s="128"/>
      <c r="AH32" s="127"/>
    </row>
    <row r="33" spans="1:34" ht="13.2">
      <c r="A33" s="88"/>
      <c r="B33" s="88"/>
      <c r="C33" s="88"/>
      <c r="D33" s="88"/>
      <c r="E33" s="88"/>
      <c r="F33" s="88"/>
      <c r="G33" s="88"/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  <c r="AA33" s="88"/>
      <c r="AB33" s="128"/>
      <c r="AC33" s="128"/>
      <c r="AD33" s="128"/>
      <c r="AE33" s="128"/>
      <c r="AF33" s="128"/>
      <c r="AG33" s="128"/>
      <c r="AH33" s="127"/>
    </row>
    <row r="34" spans="1:34" ht="13.2">
      <c r="A34" s="88"/>
      <c r="B34" s="88"/>
      <c r="C34" s="88"/>
      <c r="D34" s="88"/>
      <c r="E34" s="88"/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  <c r="AA34" s="88"/>
      <c r="AB34" s="128"/>
      <c r="AC34" s="128"/>
      <c r="AD34" s="128"/>
      <c r="AE34" s="128"/>
      <c r="AF34" s="128"/>
      <c r="AG34" s="128"/>
      <c r="AH34" s="127"/>
    </row>
    <row r="35" spans="1:34" ht="13.2">
      <c r="A35" s="88"/>
      <c r="B35" s="88"/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  <c r="AA35" s="88"/>
      <c r="AB35" s="128"/>
      <c r="AC35" s="128"/>
      <c r="AD35" s="128"/>
      <c r="AE35" s="128"/>
      <c r="AF35" s="128"/>
      <c r="AG35" s="128"/>
      <c r="AH35" s="127"/>
    </row>
    <row r="36" spans="1:34" ht="13.2">
      <c r="A36" s="88"/>
      <c r="B36" s="88"/>
      <c r="C36" s="88"/>
      <c r="D36" s="88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  <c r="AB36" s="128"/>
      <c r="AC36" s="128"/>
      <c r="AD36" s="128"/>
      <c r="AE36" s="128"/>
      <c r="AF36" s="128"/>
      <c r="AG36" s="128"/>
      <c r="AH36" s="127"/>
    </row>
    <row r="37" spans="1:34" ht="13.2">
      <c r="A37" s="88"/>
      <c r="B37" s="88"/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  <c r="AA37" s="88"/>
      <c r="AB37" s="128"/>
      <c r="AC37" s="128"/>
      <c r="AD37" s="128"/>
      <c r="AE37" s="128"/>
      <c r="AF37" s="128"/>
      <c r="AG37" s="128"/>
      <c r="AH37" s="127"/>
    </row>
    <row r="38" spans="1:34" ht="13.2">
      <c r="A38" s="88"/>
      <c r="B38" s="88"/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  <c r="AA38" s="88"/>
      <c r="AB38" s="128"/>
      <c r="AC38" s="128"/>
      <c r="AD38" s="128"/>
      <c r="AE38" s="128"/>
      <c r="AF38" s="128"/>
      <c r="AG38" s="128"/>
      <c r="AH38" s="127"/>
    </row>
    <row r="39" spans="1:34" ht="13.2">
      <c r="A39" s="88"/>
      <c r="B39" s="88"/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  <c r="AA39" s="88"/>
      <c r="AB39" s="128"/>
      <c r="AC39" s="128"/>
      <c r="AD39" s="128"/>
      <c r="AE39" s="128"/>
      <c r="AF39" s="128"/>
      <c r="AG39" s="128"/>
      <c r="AH39" s="127"/>
    </row>
    <row r="40" spans="1:34" ht="13.2">
      <c r="A40" s="88"/>
      <c r="B40" s="88"/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  <c r="AB40" s="128"/>
      <c r="AC40" s="128"/>
      <c r="AD40" s="128"/>
      <c r="AE40" s="128"/>
      <c r="AF40" s="128"/>
      <c r="AG40" s="128"/>
      <c r="AH40" s="127"/>
    </row>
    <row r="41" spans="1:34" ht="13.2">
      <c r="A41" s="88"/>
      <c r="B41" s="88"/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  <c r="AB41" s="128"/>
      <c r="AC41" s="128"/>
      <c r="AD41" s="128"/>
      <c r="AE41" s="128"/>
      <c r="AF41" s="128"/>
      <c r="AG41" s="128"/>
      <c r="AH41" s="127"/>
    </row>
    <row r="42" spans="1:34" ht="13.2">
      <c r="A42" s="88"/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128"/>
      <c r="AC42" s="128"/>
      <c r="AD42" s="128"/>
      <c r="AE42" s="128"/>
      <c r="AF42" s="128"/>
      <c r="AG42" s="128"/>
      <c r="AH42" s="127"/>
    </row>
    <row r="43" spans="1:34" ht="13.2">
      <c r="A43" s="88"/>
      <c r="B43" s="88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  <c r="AB43" s="128"/>
      <c r="AC43" s="128"/>
      <c r="AD43" s="128"/>
      <c r="AE43" s="128"/>
      <c r="AF43" s="128"/>
      <c r="AG43" s="128"/>
      <c r="AH43" s="127"/>
    </row>
    <row r="44" spans="1:34" ht="13.2">
      <c r="A44" s="88"/>
      <c r="B44" s="88"/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  <c r="AB44" s="128"/>
      <c r="AC44" s="128"/>
      <c r="AD44" s="128"/>
      <c r="AE44" s="128"/>
      <c r="AF44" s="128"/>
      <c r="AG44" s="128"/>
      <c r="AH44" s="127"/>
    </row>
    <row r="45" spans="1:34" ht="13.2">
      <c r="A45" s="88"/>
      <c r="B45" s="88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88"/>
      <c r="AB45" s="128"/>
      <c r="AC45" s="128"/>
      <c r="AD45" s="128"/>
      <c r="AE45" s="128"/>
      <c r="AF45" s="128"/>
      <c r="AG45" s="128"/>
      <c r="AH45" s="127"/>
    </row>
    <row r="46" spans="1:34" ht="13.2">
      <c r="A46" s="88"/>
      <c r="B46" s="88"/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  <c r="AA46" s="88"/>
      <c r="AB46" s="128"/>
      <c r="AC46" s="128"/>
      <c r="AD46" s="128"/>
      <c r="AE46" s="128"/>
      <c r="AF46" s="128"/>
      <c r="AG46" s="128"/>
      <c r="AH46" s="127"/>
    </row>
    <row r="47" spans="1:34" ht="13.2">
      <c r="A47" s="88"/>
      <c r="B47" s="88"/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  <c r="AA47" s="88"/>
      <c r="AB47" s="128"/>
      <c r="AC47" s="128"/>
      <c r="AD47" s="128"/>
      <c r="AE47" s="128"/>
      <c r="AF47" s="128"/>
      <c r="AG47" s="128"/>
      <c r="AH47" s="127"/>
    </row>
    <row r="48" spans="1:34" ht="13.2">
      <c r="A48" s="88"/>
      <c r="B48" s="88"/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  <c r="AA48" s="88"/>
      <c r="AB48" s="128"/>
      <c r="AC48" s="128"/>
      <c r="AD48" s="128"/>
      <c r="AE48" s="128"/>
      <c r="AF48" s="128"/>
      <c r="AG48" s="128"/>
      <c r="AH48" s="127"/>
    </row>
    <row r="49" spans="1:34" ht="13.2">
      <c r="A49" s="88"/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  <c r="AA49" s="88"/>
      <c r="AB49" s="128"/>
      <c r="AC49" s="128"/>
      <c r="AD49" s="128"/>
      <c r="AE49" s="128"/>
      <c r="AF49" s="128"/>
      <c r="AG49" s="128"/>
      <c r="AH49" s="127"/>
    </row>
    <row r="50" spans="1:34" ht="13.2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  <c r="AA50" s="88"/>
      <c r="AB50" s="128"/>
      <c r="AC50" s="128"/>
      <c r="AD50" s="128"/>
      <c r="AE50" s="128"/>
      <c r="AF50" s="128"/>
      <c r="AG50" s="128"/>
      <c r="AH50" s="127"/>
    </row>
    <row r="51" spans="1:34" ht="13.2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  <c r="AA51" s="88"/>
      <c r="AB51" s="128"/>
      <c r="AC51" s="128"/>
      <c r="AD51" s="128"/>
      <c r="AE51" s="128"/>
      <c r="AF51" s="128"/>
      <c r="AG51" s="128"/>
      <c r="AH51" s="127"/>
    </row>
    <row r="52" spans="1:34" ht="13.2">
      <c r="A52" s="88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  <c r="AA52" s="88"/>
      <c r="AB52" s="128"/>
      <c r="AC52" s="128"/>
      <c r="AD52" s="128"/>
      <c r="AE52" s="128"/>
      <c r="AF52" s="128"/>
      <c r="AG52" s="128"/>
      <c r="AH52" s="127"/>
    </row>
    <row r="53" spans="1:34" ht="13.2">
      <c r="A53" s="88"/>
      <c r="B53" s="88"/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  <c r="AA53" s="88"/>
      <c r="AB53" s="128"/>
      <c r="AC53" s="128"/>
      <c r="AD53" s="128"/>
      <c r="AE53" s="128"/>
      <c r="AF53" s="128"/>
      <c r="AG53" s="128"/>
      <c r="AH53" s="127"/>
    </row>
    <row r="54" spans="1:34" ht="13.2">
      <c r="A54" s="88"/>
      <c r="B54" s="88"/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  <c r="AA54" s="88"/>
      <c r="AB54" s="128"/>
      <c r="AC54" s="128"/>
      <c r="AD54" s="128"/>
      <c r="AE54" s="128"/>
      <c r="AF54" s="128"/>
      <c r="AG54" s="128"/>
      <c r="AH54" s="127"/>
    </row>
    <row r="55" spans="1:34" ht="13.2">
      <c r="A55" s="88"/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  <c r="AA55" s="88"/>
      <c r="AB55" s="128"/>
      <c r="AC55" s="128"/>
      <c r="AD55" s="128"/>
      <c r="AE55" s="128"/>
      <c r="AF55" s="128"/>
      <c r="AG55" s="128"/>
      <c r="AH55" s="127"/>
    </row>
    <row r="56" spans="1:34" ht="13.2">
      <c r="A56" s="88"/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  <c r="AA56" s="88"/>
      <c r="AB56" s="128"/>
      <c r="AC56" s="128"/>
      <c r="AD56" s="128"/>
      <c r="AE56" s="128"/>
      <c r="AF56" s="128"/>
      <c r="AG56" s="128"/>
      <c r="AH56" s="127"/>
    </row>
    <row r="57" spans="1:34" ht="13.2">
      <c r="A57" s="88"/>
      <c r="B57" s="88"/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  <c r="AA57" s="88"/>
      <c r="AB57" s="128"/>
      <c r="AC57" s="128"/>
      <c r="AD57" s="128"/>
      <c r="AE57" s="128"/>
      <c r="AF57" s="128"/>
      <c r="AG57" s="128"/>
      <c r="AH57" s="127"/>
    </row>
    <row r="58" spans="1:34" ht="13.2">
      <c r="A58" s="88"/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  <c r="AA58" s="88"/>
      <c r="AB58" s="128"/>
      <c r="AC58" s="128"/>
      <c r="AD58" s="128"/>
      <c r="AE58" s="128"/>
      <c r="AF58" s="128"/>
      <c r="AG58" s="128"/>
      <c r="AH58" s="127"/>
    </row>
    <row r="59" spans="1:34" ht="13.2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  <c r="AA59" s="88"/>
      <c r="AB59" s="128"/>
      <c r="AC59" s="128"/>
      <c r="AD59" s="128"/>
      <c r="AE59" s="128"/>
      <c r="AF59" s="128"/>
      <c r="AG59" s="128"/>
      <c r="AH59" s="127"/>
    </row>
    <row r="60" spans="1:34" ht="13.2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  <c r="AA60" s="88"/>
      <c r="AB60" s="128"/>
      <c r="AC60" s="128"/>
      <c r="AD60" s="128"/>
      <c r="AE60" s="128"/>
      <c r="AF60" s="128"/>
      <c r="AG60" s="128"/>
      <c r="AH60" s="127"/>
    </row>
    <row r="61" spans="1:34" ht="13.2">
      <c r="A61" s="88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  <c r="AA61" s="88"/>
      <c r="AB61" s="128"/>
      <c r="AC61" s="128"/>
      <c r="AD61" s="128"/>
      <c r="AE61" s="128"/>
      <c r="AF61" s="128"/>
      <c r="AG61" s="128"/>
      <c r="AH61" s="127"/>
    </row>
    <row r="62" spans="1:34" ht="13.2">
      <c r="A62" s="88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  <c r="AB62" s="128"/>
      <c r="AC62" s="128"/>
      <c r="AD62" s="128"/>
      <c r="AE62" s="128"/>
      <c r="AF62" s="128"/>
      <c r="AG62" s="128"/>
      <c r="AH62" s="127"/>
    </row>
    <row r="63" spans="1:34" ht="13.2">
      <c r="A63" s="88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  <c r="AA63" s="88"/>
      <c r="AB63" s="128"/>
      <c r="AC63" s="128"/>
      <c r="AD63" s="128"/>
      <c r="AE63" s="128"/>
      <c r="AF63" s="128"/>
      <c r="AG63" s="128"/>
      <c r="AH63" s="127"/>
    </row>
    <row r="64" spans="1:34" ht="13.2">
      <c r="A64" s="88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  <c r="AA64" s="88"/>
      <c r="AB64" s="128"/>
      <c r="AC64" s="128"/>
      <c r="AD64" s="128"/>
      <c r="AE64" s="128"/>
      <c r="AF64" s="128"/>
      <c r="AG64" s="128"/>
      <c r="AH64" s="127"/>
    </row>
    <row r="65" spans="1:34" ht="13.2">
      <c r="A65" s="88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  <c r="AA65" s="88"/>
      <c r="AB65" s="128"/>
      <c r="AC65" s="128"/>
      <c r="AD65" s="128"/>
      <c r="AE65" s="128"/>
      <c r="AF65" s="128"/>
      <c r="AG65" s="128"/>
      <c r="AH65" s="127"/>
    </row>
    <row r="66" spans="1:34" ht="13.2">
      <c r="A66" s="88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  <c r="AA66" s="88"/>
      <c r="AB66" s="128"/>
      <c r="AC66" s="128"/>
      <c r="AD66" s="128"/>
      <c r="AE66" s="128"/>
      <c r="AF66" s="128"/>
      <c r="AG66" s="128"/>
      <c r="AH66" s="127"/>
    </row>
    <row r="67" spans="1:34" ht="13.2">
      <c r="A67" s="88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  <c r="AA67" s="88"/>
      <c r="AB67" s="128"/>
      <c r="AC67" s="128"/>
      <c r="AD67" s="128"/>
      <c r="AE67" s="128"/>
      <c r="AF67" s="128"/>
      <c r="AG67" s="128"/>
      <c r="AH67" s="127"/>
    </row>
    <row r="68" spans="1:34" ht="13.2">
      <c r="A68" s="88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  <c r="AA68" s="88"/>
      <c r="AB68" s="128"/>
      <c r="AC68" s="128"/>
      <c r="AD68" s="128"/>
      <c r="AE68" s="128"/>
      <c r="AF68" s="128"/>
      <c r="AG68" s="128"/>
      <c r="AH68" s="127"/>
    </row>
    <row r="69" spans="1:34" ht="13.2">
      <c r="A69" s="88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  <c r="AA69" s="88"/>
      <c r="AB69" s="128"/>
      <c r="AC69" s="128"/>
      <c r="AD69" s="128"/>
      <c r="AE69" s="128"/>
      <c r="AF69" s="128"/>
      <c r="AG69" s="128"/>
      <c r="AH69" s="127"/>
    </row>
    <row r="70" spans="1:34" ht="13.2">
      <c r="A70" s="88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  <c r="AA70" s="88"/>
      <c r="AB70" s="128"/>
      <c r="AC70" s="128"/>
      <c r="AD70" s="128"/>
      <c r="AE70" s="128"/>
      <c r="AF70" s="128"/>
      <c r="AG70" s="128"/>
      <c r="AH70" s="127"/>
    </row>
    <row r="71" spans="1:34" ht="13.2">
      <c r="A71" s="88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  <c r="AA71" s="88"/>
      <c r="AB71" s="128"/>
      <c r="AC71" s="128"/>
      <c r="AD71" s="128"/>
      <c r="AE71" s="128"/>
      <c r="AF71" s="128"/>
      <c r="AG71" s="128"/>
      <c r="AH71" s="127"/>
    </row>
    <row r="72" spans="1:34" ht="13.2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  <c r="AA72" s="88"/>
      <c r="AB72" s="128"/>
      <c r="AC72" s="128"/>
      <c r="AD72" s="128"/>
      <c r="AE72" s="128"/>
      <c r="AF72" s="128"/>
      <c r="AG72" s="128"/>
      <c r="AH72" s="127"/>
    </row>
    <row r="73" spans="1:34" ht="13.2">
      <c r="A73" s="88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  <c r="AA73" s="88"/>
      <c r="AB73" s="128"/>
      <c r="AC73" s="128"/>
      <c r="AD73" s="128"/>
      <c r="AE73" s="128"/>
      <c r="AF73" s="128"/>
      <c r="AG73" s="128"/>
      <c r="AH73" s="127"/>
    </row>
    <row r="74" spans="1:34" ht="13.2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  <c r="AA74" s="88"/>
      <c r="AB74" s="128"/>
      <c r="AC74" s="128"/>
      <c r="AD74" s="128"/>
      <c r="AE74" s="128"/>
      <c r="AF74" s="128"/>
      <c r="AG74" s="128"/>
      <c r="AH74" s="127"/>
    </row>
    <row r="75" spans="1:34" ht="13.2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  <c r="AA75" s="88"/>
      <c r="AB75" s="128"/>
      <c r="AC75" s="128"/>
      <c r="AD75" s="128"/>
      <c r="AE75" s="128"/>
      <c r="AF75" s="128"/>
      <c r="AG75" s="128"/>
      <c r="AH75" s="127"/>
    </row>
    <row r="76" spans="1:34" ht="13.2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  <c r="AA76" s="88"/>
      <c r="AB76" s="128"/>
      <c r="AC76" s="128"/>
      <c r="AD76" s="128"/>
      <c r="AE76" s="128"/>
      <c r="AF76" s="128"/>
      <c r="AG76" s="128"/>
      <c r="AH76" s="127"/>
    </row>
    <row r="77" spans="1:34" ht="13.2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  <c r="AA77" s="88"/>
      <c r="AB77" s="128"/>
      <c r="AC77" s="128"/>
      <c r="AD77" s="128"/>
      <c r="AE77" s="128"/>
      <c r="AF77" s="128"/>
      <c r="AG77" s="128"/>
      <c r="AH77" s="127"/>
    </row>
    <row r="78" spans="1:34" ht="13.2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  <c r="AA78" s="88"/>
      <c r="AB78" s="128"/>
      <c r="AC78" s="128"/>
      <c r="AD78" s="128"/>
      <c r="AE78" s="128"/>
      <c r="AF78" s="128"/>
      <c r="AG78" s="128"/>
      <c r="AH78" s="127"/>
    </row>
    <row r="79" spans="1:34" ht="13.2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  <c r="AA79" s="88"/>
      <c r="AB79" s="128"/>
      <c r="AC79" s="128"/>
      <c r="AD79" s="128"/>
      <c r="AE79" s="128"/>
      <c r="AF79" s="128"/>
      <c r="AG79" s="128"/>
      <c r="AH79" s="127"/>
    </row>
    <row r="80" spans="1:34" ht="13.2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  <c r="AA80" s="88"/>
      <c r="AB80" s="128"/>
      <c r="AC80" s="128"/>
      <c r="AD80" s="128"/>
      <c r="AE80" s="128"/>
      <c r="AF80" s="128"/>
      <c r="AG80" s="128"/>
      <c r="AH80" s="127"/>
    </row>
    <row r="81" spans="1:34" ht="13.2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  <c r="AA81" s="88"/>
      <c r="AB81" s="128"/>
      <c r="AC81" s="128"/>
      <c r="AD81" s="128"/>
      <c r="AE81" s="128"/>
      <c r="AF81" s="128"/>
      <c r="AG81" s="128"/>
      <c r="AH81" s="127"/>
    </row>
    <row r="82" spans="1:34" ht="13.2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  <c r="AA82" s="88"/>
      <c r="AB82" s="128"/>
      <c r="AC82" s="128"/>
      <c r="AD82" s="128"/>
      <c r="AE82" s="128"/>
      <c r="AF82" s="128"/>
      <c r="AG82" s="128"/>
      <c r="AH82" s="127"/>
    </row>
    <row r="83" spans="1:34" ht="13.2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  <c r="AA83" s="88"/>
      <c r="AB83" s="128"/>
      <c r="AC83" s="128"/>
      <c r="AD83" s="128"/>
      <c r="AE83" s="128"/>
      <c r="AF83" s="128"/>
      <c r="AG83" s="128"/>
      <c r="AH83" s="127"/>
    </row>
    <row r="84" spans="1:34" ht="13.2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  <c r="AA84" s="88"/>
      <c r="AB84" s="128"/>
      <c r="AC84" s="128"/>
      <c r="AD84" s="128"/>
      <c r="AE84" s="128"/>
      <c r="AF84" s="128"/>
      <c r="AG84" s="128"/>
      <c r="AH84" s="127"/>
    </row>
    <row r="85" spans="1:34" ht="13.2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  <c r="AA85" s="88"/>
      <c r="AB85" s="128"/>
      <c r="AC85" s="128"/>
      <c r="AD85" s="128"/>
      <c r="AE85" s="128"/>
      <c r="AF85" s="128"/>
      <c r="AG85" s="128"/>
      <c r="AH85" s="127"/>
    </row>
    <row r="86" spans="1:34" ht="13.2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  <c r="AA86" s="88"/>
      <c r="AB86" s="128"/>
      <c r="AC86" s="128"/>
      <c r="AD86" s="128"/>
      <c r="AE86" s="128"/>
      <c r="AF86" s="128"/>
      <c r="AG86" s="128"/>
      <c r="AH86" s="127"/>
    </row>
    <row r="87" spans="1:34" ht="13.2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  <c r="AA87" s="88"/>
      <c r="AB87" s="128"/>
      <c r="AC87" s="128"/>
      <c r="AD87" s="128"/>
      <c r="AE87" s="128"/>
      <c r="AF87" s="128"/>
      <c r="AG87" s="128"/>
      <c r="AH87" s="127"/>
    </row>
    <row r="88" spans="1:34" ht="13.2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  <c r="AA88" s="88"/>
      <c r="AB88" s="128"/>
      <c r="AC88" s="128"/>
      <c r="AD88" s="128"/>
      <c r="AE88" s="128"/>
      <c r="AF88" s="128"/>
      <c r="AG88" s="128"/>
      <c r="AH88" s="127"/>
    </row>
    <row r="89" spans="1:34" ht="13.2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  <c r="AA89" s="88"/>
      <c r="AB89" s="128"/>
      <c r="AC89" s="128"/>
      <c r="AD89" s="128"/>
      <c r="AE89" s="128"/>
      <c r="AF89" s="128"/>
      <c r="AG89" s="128"/>
      <c r="AH89" s="127"/>
    </row>
    <row r="90" spans="1:34" ht="13.2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  <c r="AA90" s="88"/>
      <c r="AB90" s="128"/>
      <c r="AC90" s="128"/>
      <c r="AD90" s="128"/>
      <c r="AE90" s="128"/>
      <c r="AF90" s="128"/>
      <c r="AG90" s="128"/>
      <c r="AH90" s="127"/>
    </row>
    <row r="91" spans="1:34" ht="13.2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  <c r="AA91" s="88"/>
      <c r="AB91" s="128"/>
      <c r="AC91" s="128"/>
      <c r="AD91" s="128"/>
      <c r="AE91" s="128"/>
      <c r="AF91" s="128"/>
      <c r="AG91" s="128"/>
      <c r="AH91" s="127"/>
    </row>
    <row r="92" spans="1:34" ht="13.2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  <c r="AA92" s="88"/>
      <c r="AB92" s="128"/>
      <c r="AC92" s="128"/>
      <c r="AD92" s="128"/>
      <c r="AE92" s="128"/>
      <c r="AF92" s="128"/>
      <c r="AG92" s="128"/>
      <c r="AH92" s="127"/>
    </row>
    <row r="93" spans="1:34" ht="13.2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  <c r="AA93" s="88"/>
      <c r="AB93" s="128"/>
      <c r="AC93" s="128"/>
      <c r="AD93" s="128"/>
      <c r="AE93" s="128"/>
      <c r="AF93" s="128"/>
      <c r="AG93" s="128"/>
      <c r="AH93" s="127"/>
    </row>
    <row r="94" spans="1:34" ht="13.2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  <c r="AA94" s="88"/>
      <c r="AB94" s="128"/>
      <c r="AC94" s="128"/>
      <c r="AD94" s="128"/>
      <c r="AE94" s="128"/>
      <c r="AF94" s="128"/>
      <c r="AG94" s="128"/>
      <c r="AH94" s="127"/>
    </row>
    <row r="95" spans="1:34" ht="13.2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  <c r="AA95" s="88"/>
      <c r="AB95" s="128"/>
      <c r="AC95" s="128"/>
      <c r="AD95" s="128"/>
      <c r="AE95" s="128"/>
      <c r="AF95" s="128"/>
      <c r="AG95" s="128"/>
      <c r="AH95" s="127"/>
    </row>
    <row r="96" spans="1:34" ht="13.2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  <c r="AA96" s="88"/>
      <c r="AB96" s="128"/>
      <c r="AC96" s="128"/>
      <c r="AD96" s="128"/>
      <c r="AE96" s="128"/>
      <c r="AF96" s="128"/>
      <c r="AG96" s="128"/>
      <c r="AH96" s="127"/>
    </row>
    <row r="97" spans="1:34" ht="13.2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  <c r="AA97" s="88"/>
      <c r="AB97" s="128"/>
      <c r="AC97" s="128"/>
      <c r="AD97" s="128"/>
      <c r="AE97" s="128"/>
      <c r="AF97" s="128"/>
      <c r="AG97" s="128"/>
      <c r="AH97" s="127"/>
    </row>
    <row r="98" spans="1:34" ht="13.2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  <c r="AA98" s="88"/>
      <c r="AB98" s="128"/>
      <c r="AC98" s="128"/>
      <c r="AD98" s="128"/>
      <c r="AE98" s="128"/>
      <c r="AF98" s="128"/>
      <c r="AG98" s="128"/>
      <c r="AH98" s="127"/>
    </row>
    <row r="99" spans="1:34" ht="13.2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  <c r="AA99" s="88"/>
      <c r="AB99" s="128"/>
      <c r="AC99" s="128"/>
      <c r="AD99" s="128"/>
      <c r="AE99" s="128"/>
      <c r="AF99" s="128"/>
      <c r="AG99" s="128"/>
      <c r="AH99" s="127"/>
    </row>
    <row r="100" spans="1:34" ht="13.2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  <c r="AA100" s="88"/>
      <c r="AB100" s="128"/>
      <c r="AC100" s="128"/>
      <c r="AD100" s="128"/>
      <c r="AE100" s="128"/>
      <c r="AF100" s="128"/>
      <c r="AG100" s="128"/>
      <c r="AH100" s="127"/>
    </row>
    <row r="101" spans="1:34" ht="13.2">
      <c r="A101" s="88"/>
      <c r="B101" s="88"/>
      <c r="C101" s="88"/>
      <c r="D101" s="88"/>
      <c r="E101" s="88"/>
      <c r="F101" s="88"/>
      <c r="G101" s="88"/>
      <c r="H101" s="88"/>
      <c r="I101" s="88"/>
      <c r="J101" s="88"/>
      <c r="K101" s="88"/>
      <c r="L101" s="88"/>
      <c r="M101" s="88"/>
      <c r="N101" s="88"/>
      <c r="O101" s="88"/>
      <c r="P101" s="88"/>
      <c r="Q101" s="88"/>
      <c r="R101" s="88"/>
      <c r="S101" s="88"/>
      <c r="T101" s="88"/>
      <c r="U101" s="88"/>
      <c r="V101" s="88"/>
      <c r="W101" s="88"/>
      <c r="X101" s="88"/>
      <c r="Y101" s="88"/>
      <c r="Z101" s="88"/>
      <c r="AA101" s="88"/>
      <c r="AB101" s="128"/>
      <c r="AC101" s="128"/>
      <c r="AD101" s="128"/>
      <c r="AE101" s="128"/>
      <c r="AF101" s="128"/>
      <c r="AG101" s="128"/>
      <c r="AH101" s="127"/>
    </row>
    <row r="102" spans="1:34" ht="13.2">
      <c r="A102" s="88"/>
      <c r="B102" s="88"/>
      <c r="C102" s="88"/>
      <c r="D102" s="88"/>
      <c r="E102" s="88"/>
      <c r="F102" s="88"/>
      <c r="G102" s="88"/>
      <c r="H102" s="88"/>
      <c r="I102" s="88"/>
      <c r="J102" s="88"/>
      <c r="K102" s="88"/>
      <c r="L102" s="88"/>
      <c r="M102" s="88"/>
      <c r="N102" s="88"/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8"/>
      <c r="Z102" s="88"/>
      <c r="AA102" s="88"/>
      <c r="AB102" s="128"/>
      <c r="AC102" s="128"/>
      <c r="AD102" s="128"/>
      <c r="AE102" s="128"/>
      <c r="AF102" s="128"/>
      <c r="AG102" s="128"/>
      <c r="AH102" s="127"/>
    </row>
    <row r="103" spans="1:34" ht="13.2">
      <c r="A103" s="88"/>
      <c r="B103" s="88"/>
      <c r="C103" s="88"/>
      <c r="D103" s="88"/>
      <c r="E103" s="88"/>
      <c r="F103" s="88"/>
      <c r="G103" s="88"/>
      <c r="H103" s="88"/>
      <c r="I103" s="88"/>
      <c r="J103" s="88"/>
      <c r="K103" s="88"/>
      <c r="L103" s="88"/>
      <c r="M103" s="88"/>
      <c r="N103" s="88"/>
      <c r="O103" s="88"/>
      <c r="P103" s="88"/>
      <c r="Q103" s="88"/>
      <c r="R103" s="88"/>
      <c r="S103" s="88"/>
      <c r="T103" s="88"/>
      <c r="U103" s="88"/>
      <c r="V103" s="88"/>
      <c r="W103" s="88"/>
      <c r="X103" s="88"/>
      <c r="Y103" s="88"/>
      <c r="Z103" s="88"/>
      <c r="AA103" s="88"/>
      <c r="AB103" s="128"/>
      <c r="AC103" s="128"/>
      <c r="AD103" s="128"/>
      <c r="AE103" s="128"/>
      <c r="AF103" s="128"/>
      <c r="AG103" s="128"/>
      <c r="AH103" s="127"/>
    </row>
    <row r="104" spans="1:34" ht="13.2">
      <c r="A104" s="88"/>
      <c r="B104" s="88"/>
      <c r="C104" s="88"/>
      <c r="D104" s="88"/>
      <c r="E104" s="88"/>
      <c r="F104" s="88"/>
      <c r="G104" s="88"/>
      <c r="H104" s="88"/>
      <c r="I104" s="88"/>
      <c r="J104" s="88"/>
      <c r="K104" s="88"/>
      <c r="L104" s="88"/>
      <c r="M104" s="88"/>
      <c r="N104" s="88"/>
      <c r="O104" s="88"/>
      <c r="P104" s="88"/>
      <c r="Q104" s="88"/>
      <c r="R104" s="88"/>
      <c r="S104" s="88"/>
      <c r="T104" s="88"/>
      <c r="U104" s="88"/>
      <c r="V104" s="88"/>
      <c r="W104" s="88"/>
      <c r="X104" s="88"/>
      <c r="Y104" s="88"/>
      <c r="Z104" s="88"/>
      <c r="AA104" s="88"/>
      <c r="AB104" s="128"/>
      <c r="AC104" s="128"/>
      <c r="AD104" s="128"/>
      <c r="AE104" s="128"/>
      <c r="AF104" s="128"/>
      <c r="AG104" s="128"/>
      <c r="AH104" s="127"/>
    </row>
    <row r="105" spans="1:34" ht="13.2">
      <c r="A105" s="88"/>
      <c r="B105" s="88"/>
      <c r="C105" s="88"/>
      <c r="D105" s="88"/>
      <c r="E105" s="88"/>
      <c r="F105" s="88"/>
      <c r="G105" s="88"/>
      <c r="H105" s="88"/>
      <c r="I105" s="88"/>
      <c r="J105" s="88"/>
      <c r="K105" s="88"/>
      <c r="L105" s="88"/>
      <c r="M105" s="88"/>
      <c r="N105" s="88"/>
      <c r="O105" s="88"/>
      <c r="P105" s="88"/>
      <c r="Q105" s="88"/>
      <c r="R105" s="88"/>
      <c r="S105" s="88"/>
      <c r="T105" s="88"/>
      <c r="U105" s="88"/>
      <c r="V105" s="88"/>
      <c r="W105" s="88"/>
      <c r="X105" s="88"/>
      <c r="Y105" s="88"/>
      <c r="Z105" s="88"/>
      <c r="AA105" s="88"/>
      <c r="AB105" s="128"/>
      <c r="AC105" s="128"/>
      <c r="AD105" s="128"/>
      <c r="AE105" s="128"/>
      <c r="AF105" s="128"/>
      <c r="AG105" s="128"/>
      <c r="AH105" s="127"/>
    </row>
    <row r="106" spans="1:34" ht="13.2">
      <c r="A106" s="88"/>
      <c r="B106" s="88"/>
      <c r="C106" s="88"/>
      <c r="D106" s="88"/>
      <c r="E106" s="88"/>
      <c r="F106" s="88"/>
      <c r="G106" s="88"/>
      <c r="H106" s="88"/>
      <c r="I106" s="88"/>
      <c r="J106" s="88"/>
      <c r="K106" s="88"/>
      <c r="L106" s="88"/>
      <c r="M106" s="88"/>
      <c r="N106" s="88"/>
      <c r="O106" s="88"/>
      <c r="P106" s="88"/>
      <c r="Q106" s="88"/>
      <c r="R106" s="88"/>
      <c r="S106" s="88"/>
      <c r="T106" s="88"/>
      <c r="U106" s="88"/>
      <c r="V106" s="88"/>
      <c r="W106" s="88"/>
      <c r="X106" s="88"/>
      <c r="Y106" s="88"/>
      <c r="Z106" s="88"/>
      <c r="AA106" s="88"/>
      <c r="AB106" s="128"/>
      <c r="AC106" s="128"/>
      <c r="AD106" s="128"/>
      <c r="AE106" s="128"/>
      <c r="AF106" s="128"/>
      <c r="AG106" s="128"/>
      <c r="AH106" s="127"/>
    </row>
    <row r="107" spans="1:34" ht="13.2">
      <c r="A107" s="88"/>
      <c r="B107" s="88"/>
      <c r="C107" s="88"/>
      <c r="D107" s="88"/>
      <c r="E107" s="88"/>
      <c r="F107" s="88"/>
      <c r="G107" s="88"/>
      <c r="H107" s="88"/>
      <c r="I107" s="88"/>
      <c r="J107" s="88"/>
      <c r="K107" s="88"/>
      <c r="L107" s="88"/>
      <c r="M107" s="88"/>
      <c r="N107" s="88"/>
      <c r="O107" s="88"/>
      <c r="P107" s="88"/>
      <c r="Q107" s="88"/>
      <c r="R107" s="88"/>
      <c r="S107" s="88"/>
      <c r="T107" s="88"/>
      <c r="U107" s="88"/>
      <c r="V107" s="88"/>
      <c r="W107" s="88"/>
      <c r="X107" s="88"/>
      <c r="Y107" s="88"/>
      <c r="Z107" s="88"/>
      <c r="AA107" s="88"/>
      <c r="AB107" s="128"/>
      <c r="AC107" s="128"/>
      <c r="AD107" s="128"/>
      <c r="AE107" s="128"/>
      <c r="AF107" s="128"/>
      <c r="AG107" s="128"/>
      <c r="AH107" s="127"/>
    </row>
    <row r="108" spans="1:34" ht="13.2">
      <c r="A108" s="88"/>
      <c r="B108" s="88"/>
      <c r="C108" s="88"/>
      <c r="D108" s="88"/>
      <c r="E108" s="88"/>
      <c r="F108" s="88"/>
      <c r="G108" s="88"/>
      <c r="H108" s="88"/>
      <c r="I108" s="88"/>
      <c r="J108" s="88"/>
      <c r="K108" s="88"/>
      <c r="L108" s="88"/>
      <c r="M108" s="88"/>
      <c r="N108" s="88"/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8"/>
      <c r="Z108" s="88"/>
      <c r="AA108" s="88"/>
      <c r="AB108" s="128"/>
      <c r="AC108" s="128"/>
      <c r="AD108" s="128"/>
      <c r="AE108" s="128"/>
      <c r="AF108" s="128"/>
      <c r="AG108" s="128"/>
      <c r="AH108" s="127"/>
    </row>
    <row r="109" spans="1:34" ht="13.2">
      <c r="A109" s="88"/>
      <c r="B109" s="88"/>
      <c r="C109" s="88"/>
      <c r="D109" s="88"/>
      <c r="E109" s="88"/>
      <c r="F109" s="88"/>
      <c r="G109" s="88"/>
      <c r="H109" s="88"/>
      <c r="I109" s="88"/>
      <c r="J109" s="88"/>
      <c r="K109" s="88"/>
      <c r="L109" s="88"/>
      <c r="M109" s="88"/>
      <c r="N109" s="88"/>
      <c r="O109" s="88"/>
      <c r="P109" s="88"/>
      <c r="Q109" s="88"/>
      <c r="R109" s="88"/>
      <c r="S109" s="88"/>
      <c r="T109" s="88"/>
      <c r="U109" s="88"/>
      <c r="V109" s="88"/>
      <c r="W109" s="88"/>
      <c r="X109" s="88"/>
      <c r="Y109" s="88"/>
      <c r="Z109" s="88"/>
      <c r="AA109" s="88"/>
      <c r="AB109" s="128"/>
      <c r="AC109" s="128"/>
      <c r="AD109" s="128"/>
      <c r="AE109" s="128"/>
      <c r="AF109" s="128"/>
      <c r="AG109" s="128"/>
      <c r="AH109" s="127"/>
    </row>
    <row r="110" spans="1:34" ht="13.2">
      <c r="A110" s="88"/>
      <c r="B110" s="88"/>
      <c r="C110" s="88"/>
      <c r="D110" s="88"/>
      <c r="E110" s="88"/>
      <c r="F110" s="88"/>
      <c r="G110" s="88"/>
      <c r="H110" s="88"/>
      <c r="I110" s="88"/>
      <c r="J110" s="88"/>
      <c r="K110" s="88"/>
      <c r="L110" s="88"/>
      <c r="M110" s="88"/>
      <c r="N110" s="88"/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8"/>
      <c r="Z110" s="88"/>
      <c r="AA110" s="88"/>
      <c r="AB110" s="128"/>
      <c r="AC110" s="128"/>
      <c r="AD110" s="128"/>
      <c r="AE110" s="128"/>
      <c r="AF110" s="128"/>
      <c r="AG110" s="128"/>
      <c r="AH110" s="127"/>
    </row>
    <row r="111" spans="1:34" ht="13.2">
      <c r="A111" s="88"/>
      <c r="B111" s="88"/>
      <c r="C111" s="88"/>
      <c r="D111" s="88"/>
      <c r="E111" s="88"/>
      <c r="F111" s="88"/>
      <c r="G111" s="88"/>
      <c r="H111" s="88"/>
      <c r="I111" s="88"/>
      <c r="J111" s="88"/>
      <c r="K111" s="88"/>
      <c r="L111" s="88"/>
      <c r="M111" s="88"/>
      <c r="N111" s="88"/>
      <c r="O111" s="88"/>
      <c r="P111" s="88"/>
      <c r="Q111" s="88"/>
      <c r="R111" s="88"/>
      <c r="S111" s="88"/>
      <c r="T111" s="88"/>
      <c r="U111" s="88"/>
      <c r="V111" s="88"/>
      <c r="W111" s="88"/>
      <c r="X111" s="88"/>
      <c r="Y111" s="88"/>
      <c r="Z111" s="88"/>
      <c r="AA111" s="88"/>
      <c r="AB111" s="128"/>
      <c r="AC111" s="128"/>
      <c r="AD111" s="128"/>
      <c r="AE111" s="128"/>
      <c r="AF111" s="128"/>
      <c r="AG111" s="128"/>
      <c r="AH111" s="127"/>
    </row>
    <row r="112" spans="1:34" ht="13.2">
      <c r="A112" s="88"/>
      <c r="B112" s="88"/>
      <c r="C112" s="88"/>
      <c r="D112" s="88"/>
      <c r="E112" s="88"/>
      <c r="F112" s="88"/>
      <c r="G112" s="88"/>
      <c r="H112" s="88"/>
      <c r="I112" s="88"/>
      <c r="J112" s="88"/>
      <c r="K112" s="88"/>
      <c r="L112" s="88"/>
      <c r="M112" s="88"/>
      <c r="N112" s="88"/>
      <c r="O112" s="88"/>
      <c r="P112" s="88"/>
      <c r="Q112" s="88"/>
      <c r="R112" s="88"/>
      <c r="S112" s="88"/>
      <c r="T112" s="88"/>
      <c r="U112" s="88"/>
      <c r="V112" s="88"/>
      <c r="W112" s="88"/>
      <c r="X112" s="88"/>
      <c r="Y112" s="88"/>
      <c r="Z112" s="88"/>
      <c r="AA112" s="88"/>
      <c r="AB112" s="128"/>
      <c r="AC112" s="128"/>
      <c r="AD112" s="128"/>
      <c r="AE112" s="128"/>
      <c r="AF112" s="128"/>
      <c r="AG112" s="128"/>
      <c r="AH112" s="127"/>
    </row>
    <row r="113" spans="1:34" ht="13.2">
      <c r="A113" s="88"/>
      <c r="B113" s="88"/>
      <c r="C113" s="88"/>
      <c r="D113" s="88"/>
      <c r="E113" s="88"/>
      <c r="F113" s="88"/>
      <c r="G113" s="88"/>
      <c r="H113" s="88"/>
      <c r="I113" s="88"/>
      <c r="J113" s="88"/>
      <c r="K113" s="88"/>
      <c r="L113" s="88"/>
      <c r="M113" s="88"/>
      <c r="N113" s="88"/>
      <c r="O113" s="88"/>
      <c r="P113" s="88"/>
      <c r="Q113" s="88"/>
      <c r="R113" s="88"/>
      <c r="S113" s="88"/>
      <c r="T113" s="88"/>
      <c r="U113" s="88"/>
      <c r="V113" s="88"/>
      <c r="W113" s="88"/>
      <c r="X113" s="88"/>
      <c r="Y113" s="88"/>
      <c r="Z113" s="88"/>
      <c r="AA113" s="88"/>
      <c r="AB113" s="128"/>
      <c r="AC113" s="128"/>
      <c r="AD113" s="128"/>
      <c r="AE113" s="128"/>
      <c r="AF113" s="128"/>
      <c r="AG113" s="128"/>
      <c r="AH113" s="127"/>
    </row>
    <row r="114" spans="1:34" ht="13.2">
      <c r="A114" s="88"/>
      <c r="B114" s="88"/>
      <c r="C114" s="88"/>
      <c r="D114" s="88"/>
      <c r="E114" s="88"/>
      <c r="F114" s="88"/>
      <c r="G114" s="88"/>
      <c r="H114" s="88"/>
      <c r="I114" s="88"/>
      <c r="J114" s="88"/>
      <c r="K114" s="88"/>
      <c r="L114" s="88"/>
      <c r="M114" s="88"/>
      <c r="N114" s="88"/>
      <c r="O114" s="88"/>
      <c r="P114" s="88"/>
      <c r="Q114" s="88"/>
      <c r="R114" s="88"/>
      <c r="S114" s="88"/>
      <c r="T114" s="88"/>
      <c r="U114" s="88"/>
      <c r="V114" s="88"/>
      <c r="W114" s="88"/>
      <c r="X114" s="88"/>
      <c r="Y114" s="88"/>
      <c r="Z114" s="88"/>
      <c r="AA114" s="88"/>
      <c r="AB114" s="128"/>
      <c r="AC114" s="128"/>
      <c r="AD114" s="128"/>
      <c r="AE114" s="128"/>
      <c r="AF114" s="128"/>
      <c r="AG114" s="128"/>
      <c r="AH114" s="127"/>
    </row>
    <row r="115" spans="1:34" ht="13.2">
      <c r="A115" s="88"/>
      <c r="B115" s="88"/>
      <c r="C115" s="88"/>
      <c r="D115" s="88"/>
      <c r="E115" s="88"/>
      <c r="F115" s="88"/>
      <c r="G115" s="88"/>
      <c r="H115" s="88"/>
      <c r="I115" s="88"/>
      <c r="J115" s="88"/>
      <c r="K115" s="88"/>
      <c r="L115" s="88"/>
      <c r="M115" s="88"/>
      <c r="N115" s="88"/>
      <c r="O115" s="88"/>
      <c r="P115" s="88"/>
      <c r="Q115" s="88"/>
      <c r="R115" s="88"/>
      <c r="S115" s="88"/>
      <c r="T115" s="88"/>
      <c r="U115" s="88"/>
      <c r="V115" s="88"/>
      <c r="W115" s="88"/>
      <c r="X115" s="88"/>
      <c r="Y115" s="88"/>
      <c r="Z115" s="88"/>
      <c r="AA115" s="88"/>
      <c r="AB115" s="128"/>
      <c r="AC115" s="128"/>
      <c r="AD115" s="128"/>
      <c r="AE115" s="128"/>
      <c r="AF115" s="128"/>
      <c r="AG115" s="128"/>
      <c r="AH115" s="127"/>
    </row>
    <row r="116" spans="1:34" ht="13.2">
      <c r="A116" s="88"/>
      <c r="B116" s="88"/>
      <c r="C116" s="88"/>
      <c r="D116" s="88"/>
      <c r="E116" s="88"/>
      <c r="F116" s="88"/>
      <c r="G116" s="88"/>
      <c r="H116" s="88"/>
      <c r="I116" s="88"/>
      <c r="J116" s="88"/>
      <c r="K116" s="88"/>
      <c r="L116" s="88"/>
      <c r="M116" s="88"/>
      <c r="N116" s="88"/>
      <c r="O116" s="88"/>
      <c r="P116" s="88"/>
      <c r="Q116" s="88"/>
      <c r="R116" s="88"/>
      <c r="S116" s="88"/>
      <c r="T116" s="88"/>
      <c r="U116" s="88"/>
      <c r="V116" s="88"/>
      <c r="W116" s="88"/>
      <c r="X116" s="88"/>
      <c r="Y116" s="88"/>
      <c r="Z116" s="88"/>
      <c r="AA116" s="88"/>
      <c r="AB116" s="128"/>
      <c r="AC116" s="128"/>
      <c r="AD116" s="128"/>
      <c r="AE116" s="128"/>
      <c r="AF116" s="128"/>
      <c r="AG116" s="128"/>
      <c r="AH116" s="127"/>
    </row>
    <row r="117" spans="1:34" ht="13.2">
      <c r="A117" s="88"/>
      <c r="B117" s="88"/>
      <c r="C117" s="88"/>
      <c r="D117" s="88"/>
      <c r="E117" s="88"/>
      <c r="F117" s="88"/>
      <c r="G117" s="88"/>
      <c r="H117" s="88"/>
      <c r="I117" s="88"/>
      <c r="J117" s="88"/>
      <c r="K117" s="88"/>
      <c r="L117" s="88"/>
      <c r="M117" s="88"/>
      <c r="N117" s="88"/>
      <c r="O117" s="88"/>
      <c r="P117" s="88"/>
      <c r="Q117" s="88"/>
      <c r="R117" s="88"/>
      <c r="S117" s="88"/>
      <c r="T117" s="88"/>
      <c r="U117" s="88"/>
      <c r="V117" s="88"/>
      <c r="W117" s="88"/>
      <c r="X117" s="88"/>
      <c r="Y117" s="88"/>
      <c r="Z117" s="88"/>
      <c r="AA117" s="88"/>
      <c r="AB117" s="128"/>
      <c r="AC117" s="128"/>
      <c r="AD117" s="128"/>
      <c r="AE117" s="128"/>
      <c r="AF117" s="128"/>
      <c r="AG117" s="128"/>
      <c r="AH117" s="127"/>
    </row>
    <row r="118" spans="1:34" ht="13.2">
      <c r="A118" s="88"/>
      <c r="B118" s="88"/>
      <c r="C118" s="88"/>
      <c r="D118" s="88"/>
      <c r="E118" s="88"/>
      <c r="F118" s="88"/>
      <c r="G118" s="88"/>
      <c r="H118" s="88"/>
      <c r="I118" s="88"/>
      <c r="J118" s="88"/>
      <c r="K118" s="88"/>
      <c r="L118" s="88"/>
      <c r="M118" s="88"/>
      <c r="N118" s="88"/>
      <c r="O118" s="88"/>
      <c r="P118" s="88"/>
      <c r="Q118" s="88"/>
      <c r="R118" s="88"/>
      <c r="S118" s="88"/>
      <c r="T118" s="88"/>
      <c r="U118" s="88"/>
      <c r="V118" s="88"/>
      <c r="W118" s="88"/>
      <c r="X118" s="88"/>
      <c r="Y118" s="88"/>
      <c r="Z118" s="88"/>
      <c r="AA118" s="88"/>
      <c r="AB118" s="128"/>
      <c r="AC118" s="128"/>
      <c r="AD118" s="128"/>
      <c r="AE118" s="128"/>
      <c r="AF118" s="128"/>
      <c r="AG118" s="128"/>
      <c r="AH118" s="127"/>
    </row>
    <row r="119" spans="1:34" ht="13.2">
      <c r="A119" s="88"/>
      <c r="B119" s="88"/>
      <c r="C119" s="88"/>
      <c r="D119" s="88"/>
      <c r="E119" s="88"/>
      <c r="F119" s="88"/>
      <c r="G119" s="88"/>
      <c r="H119" s="88"/>
      <c r="I119" s="88"/>
      <c r="J119" s="88"/>
      <c r="K119" s="88"/>
      <c r="L119" s="88"/>
      <c r="M119" s="88"/>
      <c r="N119" s="88"/>
      <c r="O119" s="88"/>
      <c r="P119" s="88"/>
      <c r="Q119" s="88"/>
      <c r="R119" s="88"/>
      <c r="S119" s="88"/>
      <c r="T119" s="88"/>
      <c r="U119" s="88"/>
      <c r="V119" s="88"/>
      <c r="W119" s="88"/>
      <c r="X119" s="88"/>
      <c r="Y119" s="88"/>
      <c r="Z119" s="88"/>
      <c r="AA119" s="88"/>
      <c r="AB119" s="128"/>
      <c r="AC119" s="128"/>
      <c r="AD119" s="128"/>
      <c r="AE119" s="128"/>
      <c r="AF119" s="128"/>
      <c r="AG119" s="128"/>
      <c r="AH119" s="127"/>
    </row>
    <row r="120" spans="1:34" ht="13.2">
      <c r="A120" s="88"/>
      <c r="B120" s="88"/>
      <c r="C120" s="88"/>
      <c r="D120" s="88"/>
      <c r="E120" s="88"/>
      <c r="F120" s="88"/>
      <c r="G120" s="88"/>
      <c r="H120" s="88"/>
      <c r="I120" s="88"/>
      <c r="J120" s="88"/>
      <c r="K120" s="88"/>
      <c r="L120" s="88"/>
      <c r="M120" s="88"/>
      <c r="N120" s="88"/>
      <c r="O120" s="88"/>
      <c r="P120" s="88"/>
      <c r="Q120" s="88"/>
      <c r="R120" s="88"/>
      <c r="S120" s="88"/>
      <c r="T120" s="88"/>
      <c r="U120" s="88"/>
      <c r="V120" s="88"/>
      <c r="W120" s="88"/>
      <c r="X120" s="88"/>
      <c r="Y120" s="88"/>
      <c r="Z120" s="88"/>
      <c r="AA120" s="88"/>
      <c r="AB120" s="128"/>
      <c r="AC120" s="128"/>
      <c r="AD120" s="128"/>
      <c r="AE120" s="128"/>
      <c r="AF120" s="128"/>
      <c r="AG120" s="128"/>
      <c r="AH120" s="127"/>
    </row>
    <row r="121" spans="1:34" ht="13.2">
      <c r="A121" s="88"/>
      <c r="B121" s="88"/>
      <c r="C121" s="88"/>
      <c r="D121" s="88"/>
      <c r="E121" s="88"/>
      <c r="F121" s="88"/>
      <c r="G121" s="88"/>
      <c r="H121" s="88"/>
      <c r="I121" s="88"/>
      <c r="J121" s="88"/>
      <c r="K121" s="88"/>
      <c r="L121" s="88"/>
      <c r="M121" s="88"/>
      <c r="N121" s="88"/>
      <c r="O121" s="88"/>
      <c r="P121" s="88"/>
      <c r="Q121" s="88"/>
      <c r="R121" s="88"/>
      <c r="S121" s="88"/>
      <c r="T121" s="88"/>
      <c r="U121" s="88"/>
      <c r="V121" s="88"/>
      <c r="W121" s="88"/>
      <c r="X121" s="88"/>
      <c r="Y121" s="88"/>
      <c r="Z121" s="88"/>
      <c r="AA121" s="88"/>
      <c r="AB121" s="128"/>
      <c r="AC121" s="128"/>
      <c r="AD121" s="128"/>
      <c r="AE121" s="128"/>
      <c r="AF121" s="128"/>
      <c r="AG121" s="128"/>
      <c r="AH121" s="127"/>
    </row>
    <row r="122" spans="1:34" ht="13.2">
      <c r="A122" s="88"/>
      <c r="B122" s="88"/>
      <c r="C122" s="88"/>
      <c r="D122" s="88"/>
      <c r="E122" s="88"/>
      <c r="F122" s="88"/>
      <c r="G122" s="88"/>
      <c r="H122" s="88"/>
      <c r="I122" s="88"/>
      <c r="J122" s="88"/>
      <c r="K122" s="88"/>
      <c r="L122" s="88"/>
      <c r="M122" s="88"/>
      <c r="N122" s="88"/>
      <c r="O122" s="88"/>
      <c r="P122" s="88"/>
      <c r="Q122" s="88"/>
      <c r="R122" s="88"/>
      <c r="S122" s="88"/>
      <c r="T122" s="88"/>
      <c r="U122" s="88"/>
      <c r="V122" s="88"/>
      <c r="W122" s="88"/>
      <c r="X122" s="88"/>
      <c r="Y122" s="88"/>
      <c r="Z122" s="88"/>
      <c r="AA122" s="88"/>
      <c r="AB122" s="128"/>
      <c r="AC122" s="128"/>
      <c r="AD122" s="128"/>
      <c r="AE122" s="128"/>
      <c r="AF122" s="128"/>
      <c r="AG122" s="128"/>
      <c r="AH122" s="127"/>
    </row>
    <row r="123" spans="1:34" ht="13.2">
      <c r="A123" s="88"/>
      <c r="B123" s="88"/>
      <c r="C123" s="88"/>
      <c r="D123" s="88"/>
      <c r="E123" s="88"/>
      <c r="F123" s="88"/>
      <c r="G123" s="88"/>
      <c r="H123" s="88"/>
      <c r="I123" s="88"/>
      <c r="J123" s="88"/>
      <c r="K123" s="88"/>
      <c r="L123" s="88"/>
      <c r="M123" s="88"/>
      <c r="N123" s="88"/>
      <c r="O123" s="88"/>
      <c r="P123" s="88"/>
      <c r="Q123" s="88"/>
      <c r="R123" s="88"/>
      <c r="S123" s="88"/>
      <c r="T123" s="88"/>
      <c r="U123" s="88"/>
      <c r="V123" s="88"/>
      <c r="W123" s="88"/>
      <c r="X123" s="88"/>
      <c r="Y123" s="88"/>
      <c r="Z123" s="88"/>
      <c r="AA123" s="88"/>
      <c r="AB123" s="128"/>
      <c r="AC123" s="128"/>
      <c r="AD123" s="128"/>
      <c r="AE123" s="128"/>
      <c r="AF123" s="128"/>
      <c r="AG123" s="128"/>
      <c r="AH123" s="127"/>
    </row>
    <row r="124" spans="1:34" ht="13.2">
      <c r="A124" s="88"/>
      <c r="B124" s="88"/>
      <c r="C124" s="88"/>
      <c r="D124" s="88"/>
      <c r="E124" s="88"/>
      <c r="F124" s="88"/>
      <c r="G124" s="88"/>
      <c r="H124" s="88"/>
      <c r="I124" s="88"/>
      <c r="J124" s="88"/>
      <c r="K124" s="88"/>
      <c r="L124" s="88"/>
      <c r="M124" s="88"/>
      <c r="N124" s="88"/>
      <c r="O124" s="88"/>
      <c r="P124" s="88"/>
      <c r="Q124" s="88"/>
      <c r="R124" s="88"/>
      <c r="S124" s="88"/>
      <c r="T124" s="88"/>
      <c r="U124" s="88"/>
      <c r="V124" s="88"/>
      <c r="W124" s="88"/>
      <c r="X124" s="88"/>
      <c r="Y124" s="88"/>
      <c r="Z124" s="88"/>
      <c r="AA124" s="88"/>
      <c r="AB124" s="128"/>
      <c r="AC124" s="128"/>
      <c r="AD124" s="128"/>
      <c r="AE124" s="128"/>
      <c r="AF124" s="128"/>
      <c r="AG124" s="128"/>
      <c r="AH124" s="127"/>
    </row>
    <row r="125" spans="1:34" ht="13.2">
      <c r="A125" s="88"/>
      <c r="B125" s="88"/>
      <c r="C125" s="88"/>
      <c r="D125" s="88"/>
      <c r="E125" s="88"/>
      <c r="F125" s="88"/>
      <c r="G125" s="88"/>
      <c r="H125" s="88"/>
      <c r="I125" s="88"/>
      <c r="J125" s="88"/>
      <c r="K125" s="88"/>
      <c r="L125" s="88"/>
      <c r="M125" s="88"/>
      <c r="N125" s="88"/>
      <c r="O125" s="88"/>
      <c r="P125" s="88"/>
      <c r="Q125" s="88"/>
      <c r="R125" s="88"/>
      <c r="S125" s="88"/>
      <c r="T125" s="88"/>
      <c r="U125" s="88"/>
      <c r="V125" s="88"/>
      <c r="W125" s="88"/>
      <c r="X125" s="88"/>
      <c r="Y125" s="88"/>
      <c r="Z125" s="88"/>
      <c r="AA125" s="88"/>
      <c r="AB125" s="128"/>
      <c r="AC125" s="128"/>
      <c r="AD125" s="128"/>
      <c r="AE125" s="128"/>
      <c r="AF125" s="128"/>
      <c r="AG125" s="128"/>
      <c r="AH125" s="127"/>
    </row>
    <row r="126" spans="1:34" ht="13.2">
      <c r="A126" s="88"/>
      <c r="B126" s="88"/>
      <c r="C126" s="88"/>
      <c r="D126" s="88"/>
      <c r="E126" s="88"/>
      <c r="F126" s="88"/>
      <c r="G126" s="88"/>
      <c r="H126" s="88"/>
      <c r="I126" s="88"/>
      <c r="J126" s="88"/>
      <c r="K126" s="88"/>
      <c r="L126" s="88"/>
      <c r="M126" s="88"/>
      <c r="N126" s="88"/>
      <c r="O126" s="88"/>
      <c r="P126" s="88"/>
      <c r="Q126" s="88"/>
      <c r="R126" s="88"/>
      <c r="S126" s="88"/>
      <c r="T126" s="88"/>
      <c r="U126" s="88"/>
      <c r="V126" s="88"/>
      <c r="W126" s="88"/>
      <c r="X126" s="88"/>
      <c r="Y126" s="88"/>
      <c r="Z126" s="88"/>
      <c r="AA126" s="88"/>
      <c r="AB126" s="128"/>
      <c r="AC126" s="128"/>
      <c r="AD126" s="128"/>
      <c r="AE126" s="128"/>
      <c r="AF126" s="128"/>
      <c r="AG126" s="128"/>
      <c r="AH126" s="127"/>
    </row>
    <row r="127" spans="1:34" ht="13.2">
      <c r="A127" s="88"/>
      <c r="B127" s="88"/>
      <c r="C127" s="88"/>
      <c r="D127" s="88"/>
      <c r="E127" s="88"/>
      <c r="F127" s="88"/>
      <c r="G127" s="88"/>
      <c r="H127" s="88"/>
      <c r="I127" s="88"/>
      <c r="J127" s="88"/>
      <c r="K127" s="88"/>
      <c r="L127" s="88"/>
      <c r="M127" s="88"/>
      <c r="N127" s="88"/>
      <c r="O127" s="88"/>
      <c r="P127" s="88"/>
      <c r="Q127" s="88"/>
      <c r="R127" s="88"/>
      <c r="S127" s="88"/>
      <c r="T127" s="88"/>
      <c r="U127" s="88"/>
      <c r="V127" s="88"/>
      <c r="W127" s="88"/>
      <c r="X127" s="88"/>
      <c r="Y127" s="88"/>
      <c r="Z127" s="88"/>
      <c r="AA127" s="88"/>
      <c r="AB127" s="128"/>
      <c r="AC127" s="128"/>
      <c r="AD127" s="128"/>
      <c r="AE127" s="128"/>
      <c r="AF127" s="128"/>
      <c r="AG127" s="128"/>
      <c r="AH127" s="127"/>
    </row>
    <row r="128" spans="1:34" ht="13.2">
      <c r="A128" s="88"/>
      <c r="B128" s="88"/>
      <c r="C128" s="88"/>
      <c r="D128" s="88"/>
      <c r="E128" s="88"/>
      <c r="F128" s="88"/>
      <c r="G128" s="88"/>
      <c r="H128" s="88"/>
      <c r="I128" s="88"/>
      <c r="J128" s="88"/>
      <c r="K128" s="88"/>
      <c r="L128" s="88"/>
      <c r="M128" s="88"/>
      <c r="N128" s="88"/>
      <c r="O128" s="88"/>
      <c r="P128" s="88"/>
      <c r="Q128" s="88"/>
      <c r="R128" s="88"/>
      <c r="S128" s="88"/>
      <c r="T128" s="88"/>
      <c r="U128" s="88"/>
      <c r="V128" s="88"/>
      <c r="W128" s="88"/>
      <c r="X128" s="88"/>
      <c r="Y128" s="88"/>
      <c r="Z128" s="88"/>
      <c r="AA128" s="88"/>
      <c r="AB128" s="128"/>
      <c r="AC128" s="128"/>
      <c r="AD128" s="128"/>
      <c r="AE128" s="128"/>
      <c r="AF128" s="128"/>
      <c r="AG128" s="128"/>
      <c r="AH128" s="127"/>
    </row>
    <row r="129" spans="1:34" ht="13.2">
      <c r="A129" s="88"/>
      <c r="B129" s="88"/>
      <c r="C129" s="88"/>
      <c r="D129" s="88"/>
      <c r="E129" s="88"/>
      <c r="F129" s="88"/>
      <c r="G129" s="88"/>
      <c r="H129" s="88"/>
      <c r="I129" s="88"/>
      <c r="J129" s="88"/>
      <c r="K129" s="88"/>
      <c r="L129" s="88"/>
      <c r="M129" s="88"/>
      <c r="N129" s="88"/>
      <c r="O129" s="88"/>
      <c r="P129" s="88"/>
      <c r="Q129" s="88"/>
      <c r="R129" s="88"/>
      <c r="S129" s="88"/>
      <c r="T129" s="88"/>
      <c r="U129" s="88"/>
      <c r="V129" s="88"/>
      <c r="W129" s="88"/>
      <c r="X129" s="88"/>
      <c r="Y129" s="88"/>
      <c r="Z129" s="88"/>
      <c r="AA129" s="88"/>
      <c r="AB129" s="128"/>
      <c r="AC129" s="128"/>
      <c r="AD129" s="128"/>
      <c r="AE129" s="128"/>
      <c r="AF129" s="128"/>
      <c r="AG129" s="128"/>
      <c r="AH129" s="127"/>
    </row>
    <row r="130" spans="1:34" ht="13.2">
      <c r="A130" s="88"/>
      <c r="B130" s="88"/>
      <c r="C130" s="88"/>
      <c r="D130" s="88"/>
      <c r="E130" s="88"/>
      <c r="F130" s="88"/>
      <c r="G130" s="88"/>
      <c r="H130" s="88"/>
      <c r="I130" s="88"/>
      <c r="J130" s="88"/>
      <c r="K130" s="88"/>
      <c r="L130" s="88"/>
      <c r="M130" s="88"/>
      <c r="N130" s="88"/>
      <c r="O130" s="88"/>
      <c r="P130" s="88"/>
      <c r="Q130" s="88"/>
      <c r="R130" s="88"/>
      <c r="S130" s="88"/>
      <c r="T130" s="88"/>
      <c r="U130" s="88"/>
      <c r="V130" s="88"/>
      <c r="W130" s="88"/>
      <c r="X130" s="88"/>
      <c r="Y130" s="88"/>
      <c r="Z130" s="88"/>
      <c r="AA130" s="88"/>
      <c r="AB130" s="128"/>
      <c r="AC130" s="128"/>
      <c r="AD130" s="128"/>
      <c r="AE130" s="128"/>
      <c r="AF130" s="128"/>
      <c r="AG130" s="128"/>
      <c r="AH130" s="127"/>
    </row>
    <row r="131" spans="1:34" ht="13.2">
      <c r="A131" s="88"/>
      <c r="B131" s="88"/>
      <c r="C131" s="88"/>
      <c r="D131" s="88"/>
      <c r="E131" s="88"/>
      <c r="F131" s="88"/>
      <c r="G131" s="88"/>
      <c r="H131" s="88"/>
      <c r="I131" s="88"/>
      <c r="J131" s="88"/>
      <c r="K131" s="88"/>
      <c r="L131" s="88"/>
      <c r="M131" s="88"/>
      <c r="N131" s="88"/>
      <c r="O131" s="88"/>
      <c r="P131" s="88"/>
      <c r="Q131" s="88"/>
      <c r="R131" s="88"/>
      <c r="S131" s="88"/>
      <c r="T131" s="88"/>
      <c r="U131" s="88"/>
      <c r="V131" s="88"/>
      <c r="W131" s="88"/>
      <c r="X131" s="88"/>
      <c r="Y131" s="88"/>
      <c r="Z131" s="88"/>
      <c r="AA131" s="88"/>
      <c r="AB131" s="128"/>
      <c r="AC131" s="128"/>
      <c r="AD131" s="128"/>
      <c r="AE131" s="128"/>
      <c r="AF131" s="128"/>
      <c r="AG131" s="128"/>
      <c r="AH131" s="127"/>
    </row>
    <row r="132" spans="1:34" ht="13.2">
      <c r="A132" s="88"/>
      <c r="B132" s="88"/>
      <c r="C132" s="88"/>
      <c r="D132" s="88"/>
      <c r="E132" s="88"/>
      <c r="F132" s="88"/>
      <c r="G132" s="88"/>
      <c r="H132" s="88"/>
      <c r="I132" s="88"/>
      <c r="J132" s="88"/>
      <c r="K132" s="88"/>
      <c r="L132" s="88"/>
      <c r="M132" s="88"/>
      <c r="N132" s="88"/>
      <c r="O132" s="88"/>
      <c r="P132" s="88"/>
      <c r="Q132" s="88"/>
      <c r="R132" s="88"/>
      <c r="S132" s="88"/>
      <c r="T132" s="88"/>
      <c r="U132" s="88"/>
      <c r="V132" s="88"/>
      <c r="W132" s="88"/>
      <c r="X132" s="88"/>
      <c r="Y132" s="88"/>
      <c r="Z132" s="88"/>
      <c r="AA132" s="88"/>
      <c r="AB132" s="128"/>
      <c r="AC132" s="128"/>
      <c r="AD132" s="128"/>
      <c r="AE132" s="128"/>
      <c r="AF132" s="128"/>
      <c r="AG132" s="128"/>
      <c r="AH132" s="127"/>
    </row>
    <row r="133" spans="1:34" ht="13.2">
      <c r="A133" s="88"/>
      <c r="B133" s="88"/>
      <c r="C133" s="88"/>
      <c r="D133" s="88"/>
      <c r="E133" s="88"/>
      <c r="F133" s="88"/>
      <c r="G133" s="88"/>
      <c r="H133" s="88"/>
      <c r="I133" s="88"/>
      <c r="J133" s="88"/>
      <c r="K133" s="88"/>
      <c r="L133" s="88"/>
      <c r="M133" s="88"/>
      <c r="N133" s="88"/>
      <c r="O133" s="88"/>
      <c r="P133" s="88"/>
      <c r="Q133" s="88"/>
      <c r="R133" s="88"/>
      <c r="S133" s="88"/>
      <c r="T133" s="88"/>
      <c r="U133" s="88"/>
      <c r="V133" s="88"/>
      <c r="W133" s="88"/>
      <c r="X133" s="88"/>
      <c r="Y133" s="88"/>
      <c r="Z133" s="88"/>
      <c r="AA133" s="88"/>
      <c r="AB133" s="128"/>
      <c r="AC133" s="128"/>
      <c r="AD133" s="128"/>
      <c r="AE133" s="128"/>
      <c r="AF133" s="128"/>
      <c r="AG133" s="128"/>
      <c r="AH133" s="127"/>
    </row>
    <row r="134" spans="1:34" ht="13.2">
      <c r="A134" s="88"/>
      <c r="B134" s="88"/>
      <c r="C134" s="88"/>
      <c r="D134" s="88"/>
      <c r="E134" s="88"/>
      <c r="F134" s="88"/>
      <c r="G134" s="88"/>
      <c r="H134" s="88"/>
      <c r="I134" s="88"/>
      <c r="J134" s="88"/>
      <c r="K134" s="88"/>
      <c r="L134" s="88"/>
      <c r="M134" s="88"/>
      <c r="N134" s="88"/>
      <c r="O134" s="88"/>
      <c r="P134" s="88"/>
      <c r="Q134" s="88"/>
      <c r="R134" s="88"/>
      <c r="S134" s="88"/>
      <c r="T134" s="88"/>
      <c r="U134" s="88"/>
      <c r="V134" s="88"/>
      <c r="W134" s="88"/>
      <c r="X134" s="88"/>
      <c r="Y134" s="88"/>
      <c r="Z134" s="88"/>
      <c r="AA134" s="88"/>
      <c r="AB134" s="128"/>
      <c r="AC134" s="128"/>
      <c r="AD134" s="128"/>
      <c r="AE134" s="128"/>
      <c r="AF134" s="128"/>
      <c r="AG134" s="128"/>
      <c r="AH134" s="127"/>
    </row>
    <row r="135" spans="1:34" ht="13.2">
      <c r="A135" s="88"/>
      <c r="B135" s="88"/>
      <c r="C135" s="88"/>
      <c r="D135" s="88"/>
      <c r="E135" s="88"/>
      <c r="F135" s="88"/>
      <c r="G135" s="88"/>
      <c r="H135" s="88"/>
      <c r="I135" s="88"/>
      <c r="J135" s="88"/>
      <c r="K135" s="88"/>
      <c r="L135" s="88"/>
      <c r="M135" s="88"/>
      <c r="N135" s="88"/>
      <c r="O135" s="88"/>
      <c r="P135" s="88"/>
      <c r="Q135" s="88"/>
      <c r="R135" s="88"/>
      <c r="S135" s="88"/>
      <c r="T135" s="88"/>
      <c r="U135" s="88"/>
      <c r="V135" s="88"/>
      <c r="W135" s="88"/>
      <c r="X135" s="88"/>
      <c r="Y135" s="88"/>
      <c r="Z135" s="88"/>
      <c r="AA135" s="88"/>
      <c r="AB135" s="128"/>
      <c r="AC135" s="128"/>
      <c r="AD135" s="128"/>
      <c r="AE135" s="128"/>
      <c r="AF135" s="128"/>
      <c r="AG135" s="128"/>
      <c r="AH135" s="127"/>
    </row>
    <row r="136" spans="1:34" ht="13.2">
      <c r="A136" s="88"/>
      <c r="B136" s="88"/>
      <c r="C136" s="88"/>
      <c r="D136" s="88"/>
      <c r="E136" s="88"/>
      <c r="F136" s="88"/>
      <c r="G136" s="88"/>
      <c r="H136" s="88"/>
      <c r="I136" s="88"/>
      <c r="J136" s="88"/>
      <c r="K136" s="88"/>
      <c r="L136" s="88"/>
      <c r="M136" s="88"/>
      <c r="N136" s="88"/>
      <c r="O136" s="88"/>
      <c r="P136" s="88"/>
      <c r="Q136" s="88"/>
      <c r="R136" s="88"/>
      <c r="S136" s="88"/>
      <c r="T136" s="88"/>
      <c r="U136" s="88"/>
      <c r="V136" s="88"/>
      <c r="W136" s="88"/>
      <c r="X136" s="88"/>
      <c r="Y136" s="88"/>
      <c r="Z136" s="88"/>
      <c r="AA136" s="88"/>
      <c r="AB136" s="128"/>
      <c r="AC136" s="128"/>
      <c r="AD136" s="128"/>
      <c r="AE136" s="128"/>
      <c r="AF136" s="128"/>
      <c r="AG136" s="128"/>
      <c r="AH136" s="127"/>
    </row>
    <row r="137" spans="1:34" ht="13.2">
      <c r="A137" s="88"/>
      <c r="B137" s="88"/>
      <c r="C137" s="88"/>
      <c r="D137" s="88"/>
      <c r="E137" s="88"/>
      <c r="F137" s="88"/>
      <c r="G137" s="88"/>
      <c r="H137" s="88"/>
      <c r="I137" s="88"/>
      <c r="J137" s="88"/>
      <c r="K137" s="88"/>
      <c r="L137" s="88"/>
      <c r="M137" s="88"/>
      <c r="N137" s="88"/>
      <c r="O137" s="88"/>
      <c r="P137" s="88"/>
      <c r="Q137" s="88"/>
      <c r="R137" s="88"/>
      <c r="S137" s="88"/>
      <c r="T137" s="88"/>
      <c r="U137" s="88"/>
      <c r="V137" s="88"/>
      <c r="W137" s="88"/>
      <c r="X137" s="88"/>
      <c r="Y137" s="88"/>
      <c r="Z137" s="88"/>
      <c r="AA137" s="88"/>
      <c r="AB137" s="128"/>
      <c r="AC137" s="128"/>
      <c r="AD137" s="128"/>
      <c r="AE137" s="128"/>
      <c r="AF137" s="128"/>
      <c r="AG137" s="128"/>
      <c r="AH137" s="127"/>
    </row>
    <row r="138" spans="1:34" ht="13.2">
      <c r="A138" s="88"/>
      <c r="B138" s="88"/>
      <c r="C138" s="88"/>
      <c r="D138" s="88"/>
      <c r="E138" s="88"/>
      <c r="F138" s="88"/>
      <c r="G138" s="88"/>
      <c r="H138" s="88"/>
      <c r="I138" s="88"/>
      <c r="J138" s="88"/>
      <c r="K138" s="88"/>
      <c r="L138" s="88"/>
      <c r="M138" s="88"/>
      <c r="N138" s="88"/>
      <c r="O138" s="88"/>
      <c r="P138" s="88"/>
      <c r="Q138" s="88"/>
      <c r="R138" s="88"/>
      <c r="S138" s="88"/>
      <c r="T138" s="88"/>
      <c r="U138" s="88"/>
      <c r="V138" s="88"/>
      <c r="W138" s="88"/>
      <c r="X138" s="88"/>
      <c r="Y138" s="88"/>
      <c r="Z138" s="88"/>
      <c r="AA138" s="88"/>
      <c r="AB138" s="128"/>
      <c r="AC138" s="128"/>
      <c r="AD138" s="128"/>
      <c r="AE138" s="128"/>
      <c r="AF138" s="128"/>
      <c r="AG138" s="128"/>
      <c r="AH138" s="127"/>
    </row>
    <row r="139" spans="1:34" ht="13.2">
      <c r="A139" s="88"/>
      <c r="B139" s="88"/>
      <c r="C139" s="88"/>
      <c r="D139" s="88"/>
      <c r="E139" s="88"/>
      <c r="F139" s="88"/>
      <c r="G139" s="88"/>
      <c r="H139" s="88"/>
      <c r="I139" s="88"/>
      <c r="J139" s="88"/>
      <c r="K139" s="88"/>
      <c r="L139" s="88"/>
      <c r="M139" s="88"/>
      <c r="N139" s="88"/>
      <c r="O139" s="88"/>
      <c r="P139" s="88"/>
      <c r="Q139" s="88"/>
      <c r="R139" s="88"/>
      <c r="S139" s="88"/>
      <c r="T139" s="88"/>
      <c r="U139" s="88"/>
      <c r="V139" s="88"/>
      <c r="W139" s="88"/>
      <c r="X139" s="88"/>
      <c r="Y139" s="88"/>
      <c r="Z139" s="88"/>
      <c r="AA139" s="88"/>
      <c r="AB139" s="128"/>
      <c r="AC139" s="128"/>
      <c r="AD139" s="128"/>
      <c r="AE139" s="128"/>
      <c r="AF139" s="128"/>
      <c r="AG139" s="128"/>
      <c r="AH139" s="127"/>
    </row>
    <row r="140" spans="1:34" ht="13.2">
      <c r="A140" s="88"/>
      <c r="B140" s="88"/>
      <c r="C140" s="88"/>
      <c r="D140" s="88"/>
      <c r="E140" s="88"/>
      <c r="F140" s="88"/>
      <c r="G140" s="88"/>
      <c r="H140" s="88"/>
      <c r="I140" s="88"/>
      <c r="J140" s="88"/>
      <c r="K140" s="88"/>
      <c r="L140" s="88"/>
      <c r="M140" s="88"/>
      <c r="N140" s="88"/>
      <c r="O140" s="88"/>
      <c r="P140" s="88"/>
      <c r="Q140" s="88"/>
      <c r="R140" s="88"/>
      <c r="S140" s="88"/>
      <c r="T140" s="88"/>
      <c r="U140" s="88"/>
      <c r="V140" s="88"/>
      <c r="W140" s="88"/>
      <c r="X140" s="88"/>
      <c r="Y140" s="88"/>
      <c r="Z140" s="88"/>
      <c r="AA140" s="88"/>
      <c r="AB140" s="128"/>
      <c r="AC140" s="128"/>
      <c r="AD140" s="128"/>
      <c r="AE140" s="128"/>
      <c r="AF140" s="128"/>
      <c r="AG140" s="128"/>
      <c r="AH140" s="127"/>
    </row>
    <row r="141" spans="1:34" ht="13.2">
      <c r="A141" s="88"/>
      <c r="B141" s="88"/>
      <c r="C141" s="88"/>
      <c r="D141" s="88"/>
      <c r="E141" s="88"/>
      <c r="F141" s="88"/>
      <c r="G141" s="88"/>
      <c r="H141" s="88"/>
      <c r="I141" s="88"/>
      <c r="J141" s="88"/>
      <c r="K141" s="88"/>
      <c r="L141" s="88"/>
      <c r="M141" s="88"/>
      <c r="N141" s="88"/>
      <c r="O141" s="88"/>
      <c r="P141" s="88"/>
      <c r="Q141" s="88"/>
      <c r="R141" s="88"/>
      <c r="S141" s="88"/>
      <c r="T141" s="88"/>
      <c r="U141" s="88"/>
      <c r="V141" s="88"/>
      <c r="W141" s="88"/>
      <c r="X141" s="88"/>
      <c r="Y141" s="88"/>
      <c r="Z141" s="88"/>
      <c r="AA141" s="88"/>
      <c r="AB141" s="128"/>
      <c r="AC141" s="128"/>
      <c r="AD141" s="128"/>
      <c r="AE141" s="128"/>
      <c r="AF141" s="128"/>
      <c r="AG141" s="128"/>
      <c r="AH141" s="127"/>
    </row>
    <row r="142" spans="1:34" ht="13.2">
      <c r="A142" s="88"/>
      <c r="B142" s="88"/>
      <c r="C142" s="88"/>
      <c r="D142" s="88"/>
      <c r="E142" s="88"/>
      <c r="F142" s="88"/>
      <c r="G142" s="88"/>
      <c r="H142" s="88"/>
      <c r="I142" s="88"/>
      <c r="J142" s="88"/>
      <c r="K142" s="88"/>
      <c r="L142" s="88"/>
      <c r="M142" s="88"/>
      <c r="N142" s="88"/>
      <c r="O142" s="88"/>
      <c r="P142" s="88"/>
      <c r="Q142" s="88"/>
      <c r="R142" s="88"/>
      <c r="S142" s="88"/>
      <c r="T142" s="88"/>
      <c r="U142" s="88"/>
      <c r="V142" s="88"/>
      <c r="W142" s="88"/>
      <c r="X142" s="88"/>
      <c r="Y142" s="88"/>
      <c r="Z142" s="88"/>
      <c r="AA142" s="88"/>
      <c r="AB142" s="128"/>
      <c r="AC142" s="128"/>
      <c r="AD142" s="128"/>
      <c r="AE142" s="128"/>
      <c r="AF142" s="128"/>
      <c r="AG142" s="128"/>
      <c r="AH142" s="127"/>
    </row>
    <row r="143" spans="1:34" ht="13.2">
      <c r="A143" s="88"/>
      <c r="B143" s="88"/>
      <c r="C143" s="88"/>
      <c r="D143" s="88"/>
      <c r="E143" s="88"/>
      <c r="F143" s="88"/>
      <c r="G143" s="88"/>
      <c r="H143" s="88"/>
      <c r="I143" s="88"/>
      <c r="J143" s="88"/>
      <c r="K143" s="88"/>
      <c r="L143" s="88"/>
      <c r="M143" s="88"/>
      <c r="N143" s="88"/>
      <c r="O143" s="88"/>
      <c r="P143" s="88"/>
      <c r="Q143" s="88"/>
      <c r="R143" s="88"/>
      <c r="S143" s="88"/>
      <c r="T143" s="88"/>
      <c r="U143" s="88"/>
      <c r="V143" s="88"/>
      <c r="W143" s="88"/>
      <c r="X143" s="88"/>
      <c r="Y143" s="88"/>
      <c r="Z143" s="88"/>
      <c r="AA143" s="88"/>
      <c r="AB143" s="128"/>
      <c r="AC143" s="128"/>
      <c r="AD143" s="128"/>
      <c r="AE143" s="128"/>
      <c r="AF143" s="128"/>
      <c r="AG143" s="128"/>
      <c r="AH143" s="127"/>
    </row>
    <row r="144" spans="1:34" ht="13.2">
      <c r="A144" s="88"/>
      <c r="B144" s="88"/>
      <c r="C144" s="88"/>
      <c r="D144" s="88"/>
      <c r="E144" s="88"/>
      <c r="F144" s="88"/>
      <c r="G144" s="88"/>
      <c r="H144" s="88"/>
      <c r="I144" s="88"/>
      <c r="J144" s="88"/>
      <c r="K144" s="88"/>
      <c r="L144" s="88"/>
      <c r="M144" s="88"/>
      <c r="N144" s="88"/>
      <c r="O144" s="88"/>
      <c r="P144" s="88"/>
      <c r="Q144" s="88"/>
      <c r="R144" s="88"/>
      <c r="S144" s="88"/>
      <c r="T144" s="88"/>
      <c r="U144" s="88"/>
      <c r="V144" s="88"/>
      <c r="W144" s="88"/>
      <c r="X144" s="88"/>
      <c r="Y144" s="88"/>
      <c r="Z144" s="88"/>
      <c r="AA144" s="88"/>
      <c r="AB144" s="128"/>
      <c r="AC144" s="128"/>
      <c r="AD144" s="128"/>
      <c r="AE144" s="128"/>
      <c r="AF144" s="128"/>
      <c r="AG144" s="128"/>
      <c r="AH144" s="127"/>
    </row>
    <row r="145" spans="1:34" ht="13.2">
      <c r="A145" s="88"/>
      <c r="B145" s="88"/>
      <c r="C145" s="88"/>
      <c r="D145" s="88"/>
      <c r="E145" s="88"/>
      <c r="F145" s="88"/>
      <c r="G145" s="88"/>
      <c r="H145" s="88"/>
      <c r="I145" s="88"/>
      <c r="J145" s="88"/>
      <c r="K145" s="88"/>
      <c r="L145" s="88"/>
      <c r="M145" s="88"/>
      <c r="N145" s="88"/>
      <c r="O145" s="88"/>
      <c r="P145" s="88"/>
      <c r="Q145" s="88"/>
      <c r="R145" s="88"/>
      <c r="S145" s="88"/>
      <c r="T145" s="88"/>
      <c r="U145" s="88"/>
      <c r="V145" s="88"/>
      <c r="W145" s="88"/>
      <c r="X145" s="88"/>
      <c r="Y145" s="88"/>
      <c r="Z145" s="88"/>
      <c r="AA145" s="88"/>
      <c r="AB145" s="128"/>
      <c r="AC145" s="128"/>
      <c r="AD145" s="128"/>
      <c r="AE145" s="128"/>
      <c r="AF145" s="128"/>
      <c r="AG145" s="128"/>
      <c r="AH145" s="127"/>
    </row>
    <row r="146" spans="1:34" ht="13.2">
      <c r="A146" s="88"/>
      <c r="B146" s="88"/>
      <c r="C146" s="88"/>
      <c r="D146" s="88"/>
      <c r="E146" s="88"/>
      <c r="F146" s="88"/>
      <c r="G146" s="88"/>
      <c r="H146" s="88"/>
      <c r="I146" s="88"/>
      <c r="J146" s="88"/>
      <c r="K146" s="88"/>
      <c r="L146" s="88"/>
      <c r="M146" s="88"/>
      <c r="N146" s="88"/>
      <c r="O146" s="88"/>
      <c r="P146" s="88"/>
      <c r="Q146" s="88"/>
      <c r="R146" s="88"/>
      <c r="S146" s="88"/>
      <c r="T146" s="88"/>
      <c r="U146" s="88"/>
      <c r="V146" s="88"/>
      <c r="W146" s="88"/>
      <c r="X146" s="88"/>
      <c r="Y146" s="88"/>
      <c r="Z146" s="88"/>
      <c r="AA146" s="88"/>
      <c r="AB146" s="128"/>
      <c r="AC146" s="128"/>
      <c r="AD146" s="128"/>
      <c r="AE146" s="128"/>
      <c r="AF146" s="128"/>
      <c r="AG146" s="128"/>
      <c r="AH146" s="127"/>
    </row>
    <row r="147" spans="1:34" ht="13.2">
      <c r="A147" s="88"/>
      <c r="B147" s="88"/>
      <c r="C147" s="88"/>
      <c r="D147" s="88"/>
      <c r="E147" s="88"/>
      <c r="F147" s="88"/>
      <c r="G147" s="88"/>
      <c r="H147" s="88"/>
      <c r="I147" s="88"/>
      <c r="J147" s="88"/>
      <c r="K147" s="88"/>
      <c r="L147" s="88"/>
      <c r="M147" s="88"/>
      <c r="N147" s="88"/>
      <c r="O147" s="88"/>
      <c r="P147" s="88"/>
      <c r="Q147" s="88"/>
      <c r="R147" s="88"/>
      <c r="S147" s="88"/>
      <c r="T147" s="88"/>
      <c r="U147" s="88"/>
      <c r="V147" s="88"/>
      <c r="W147" s="88"/>
      <c r="X147" s="88"/>
      <c r="Y147" s="88"/>
      <c r="Z147" s="88"/>
      <c r="AA147" s="88"/>
      <c r="AB147" s="128"/>
      <c r="AC147" s="128"/>
      <c r="AD147" s="128"/>
      <c r="AE147" s="128"/>
      <c r="AF147" s="128"/>
      <c r="AG147" s="128"/>
      <c r="AH147" s="127"/>
    </row>
    <row r="148" spans="1:34" ht="13.2">
      <c r="A148" s="88"/>
      <c r="B148" s="88"/>
      <c r="C148" s="88"/>
      <c r="D148" s="88"/>
      <c r="E148" s="88"/>
      <c r="F148" s="88"/>
      <c r="G148" s="88"/>
      <c r="H148" s="88"/>
      <c r="I148" s="88"/>
      <c r="J148" s="88"/>
      <c r="K148" s="88"/>
      <c r="L148" s="88"/>
      <c r="M148" s="88"/>
      <c r="N148" s="88"/>
      <c r="O148" s="88"/>
      <c r="P148" s="88"/>
      <c r="Q148" s="88"/>
      <c r="R148" s="88"/>
      <c r="S148" s="88"/>
      <c r="T148" s="88"/>
      <c r="U148" s="88"/>
      <c r="V148" s="88"/>
      <c r="W148" s="88"/>
      <c r="X148" s="88"/>
      <c r="Y148" s="88"/>
      <c r="Z148" s="88"/>
      <c r="AA148" s="88"/>
      <c r="AB148" s="128"/>
      <c r="AC148" s="128"/>
      <c r="AD148" s="128"/>
      <c r="AE148" s="128"/>
      <c r="AF148" s="128"/>
      <c r="AG148" s="128"/>
      <c r="AH148" s="127"/>
    </row>
    <row r="149" spans="1:34" ht="13.2">
      <c r="A149" s="88"/>
      <c r="B149" s="88"/>
      <c r="C149" s="88"/>
      <c r="D149" s="88"/>
      <c r="E149" s="88"/>
      <c r="F149" s="88"/>
      <c r="G149" s="88"/>
      <c r="H149" s="88"/>
      <c r="I149" s="88"/>
      <c r="J149" s="88"/>
      <c r="K149" s="88"/>
      <c r="L149" s="88"/>
      <c r="M149" s="88"/>
      <c r="N149" s="88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8"/>
      <c r="Z149" s="88"/>
      <c r="AA149" s="88"/>
      <c r="AB149" s="128"/>
      <c r="AC149" s="128"/>
      <c r="AD149" s="128"/>
      <c r="AE149" s="128"/>
      <c r="AF149" s="128"/>
      <c r="AG149" s="128"/>
      <c r="AH149" s="127"/>
    </row>
    <row r="150" spans="1:34" ht="13.2">
      <c r="A150" s="88"/>
      <c r="B150" s="88"/>
      <c r="C150" s="88"/>
      <c r="D150" s="88"/>
      <c r="E150" s="88"/>
      <c r="F150" s="88"/>
      <c r="G150" s="88"/>
      <c r="H150" s="88"/>
      <c r="I150" s="88"/>
      <c r="J150" s="88"/>
      <c r="K150" s="88"/>
      <c r="L150" s="88"/>
      <c r="M150" s="88"/>
      <c r="N150" s="88"/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8"/>
      <c r="Z150" s="88"/>
      <c r="AA150" s="88"/>
      <c r="AB150" s="128"/>
      <c r="AC150" s="128"/>
      <c r="AD150" s="128"/>
      <c r="AE150" s="128"/>
      <c r="AF150" s="128"/>
      <c r="AG150" s="128"/>
      <c r="AH150" s="127"/>
    </row>
    <row r="151" spans="1:34" ht="13.2">
      <c r="A151" s="88"/>
      <c r="B151" s="88"/>
      <c r="C151" s="88"/>
      <c r="D151" s="88"/>
      <c r="E151" s="88"/>
      <c r="F151" s="88"/>
      <c r="G151" s="88"/>
      <c r="H151" s="88"/>
      <c r="I151" s="88"/>
      <c r="J151" s="88"/>
      <c r="K151" s="88"/>
      <c r="L151" s="88"/>
      <c r="M151" s="88"/>
      <c r="N151" s="88"/>
      <c r="O151" s="88"/>
      <c r="P151" s="88"/>
      <c r="Q151" s="88"/>
      <c r="R151" s="88"/>
      <c r="S151" s="88"/>
      <c r="T151" s="88"/>
      <c r="U151" s="88"/>
      <c r="V151" s="88"/>
      <c r="W151" s="88"/>
      <c r="X151" s="88"/>
      <c r="Y151" s="88"/>
      <c r="Z151" s="88"/>
      <c r="AA151" s="88"/>
      <c r="AB151" s="128"/>
      <c r="AC151" s="128"/>
      <c r="AD151" s="128"/>
      <c r="AE151" s="128"/>
      <c r="AF151" s="128"/>
      <c r="AG151" s="128"/>
      <c r="AH151" s="127"/>
    </row>
    <row r="152" spans="1:34" ht="13.2">
      <c r="A152" s="88"/>
      <c r="B152" s="88"/>
      <c r="C152" s="88"/>
      <c r="D152" s="88"/>
      <c r="E152" s="88"/>
      <c r="F152" s="88"/>
      <c r="G152" s="88"/>
      <c r="H152" s="88"/>
      <c r="I152" s="88"/>
      <c r="J152" s="88"/>
      <c r="K152" s="88"/>
      <c r="L152" s="88"/>
      <c r="M152" s="88"/>
      <c r="N152" s="88"/>
      <c r="O152" s="88"/>
      <c r="P152" s="88"/>
      <c r="Q152" s="88"/>
      <c r="R152" s="88"/>
      <c r="S152" s="88"/>
      <c r="T152" s="88"/>
      <c r="U152" s="88"/>
      <c r="V152" s="88"/>
      <c r="W152" s="88"/>
      <c r="X152" s="88"/>
      <c r="Y152" s="88"/>
      <c r="Z152" s="88"/>
      <c r="AA152" s="88"/>
      <c r="AB152" s="128"/>
      <c r="AC152" s="128"/>
      <c r="AD152" s="128"/>
      <c r="AE152" s="128"/>
      <c r="AF152" s="128"/>
      <c r="AG152" s="128"/>
      <c r="AH152" s="127"/>
    </row>
    <row r="153" spans="1:34" ht="13.2">
      <c r="A153" s="88"/>
      <c r="B153" s="88"/>
      <c r="C153" s="88"/>
      <c r="D153" s="88"/>
      <c r="E153" s="88"/>
      <c r="F153" s="88"/>
      <c r="G153" s="88"/>
      <c r="H153" s="88"/>
      <c r="I153" s="88"/>
      <c r="J153" s="88"/>
      <c r="K153" s="88"/>
      <c r="L153" s="88"/>
      <c r="M153" s="88"/>
      <c r="N153" s="88"/>
      <c r="O153" s="88"/>
      <c r="P153" s="88"/>
      <c r="Q153" s="88"/>
      <c r="R153" s="88"/>
      <c r="S153" s="88"/>
      <c r="T153" s="88"/>
      <c r="U153" s="88"/>
      <c r="V153" s="88"/>
      <c r="W153" s="88"/>
      <c r="X153" s="88"/>
      <c r="Y153" s="88"/>
      <c r="Z153" s="88"/>
      <c r="AA153" s="88"/>
      <c r="AB153" s="128"/>
      <c r="AC153" s="128"/>
      <c r="AD153" s="128"/>
      <c r="AE153" s="128"/>
      <c r="AF153" s="128"/>
      <c r="AG153" s="128"/>
      <c r="AH153" s="127"/>
    </row>
    <row r="154" spans="1:34" ht="13.2">
      <c r="A154" s="88"/>
      <c r="B154" s="88"/>
      <c r="C154" s="88"/>
      <c r="D154" s="88"/>
      <c r="E154" s="88"/>
      <c r="F154" s="88"/>
      <c r="G154" s="88"/>
      <c r="H154" s="88"/>
      <c r="I154" s="88"/>
      <c r="J154" s="88"/>
      <c r="K154" s="88"/>
      <c r="L154" s="88"/>
      <c r="M154" s="88"/>
      <c r="N154" s="88"/>
      <c r="O154" s="88"/>
      <c r="P154" s="88"/>
      <c r="Q154" s="88"/>
      <c r="R154" s="88"/>
      <c r="S154" s="88"/>
      <c r="T154" s="88"/>
      <c r="U154" s="88"/>
      <c r="V154" s="88"/>
      <c r="W154" s="88"/>
      <c r="X154" s="88"/>
      <c r="Y154" s="88"/>
      <c r="Z154" s="88"/>
      <c r="AA154" s="88"/>
      <c r="AB154" s="128"/>
      <c r="AC154" s="128"/>
      <c r="AD154" s="128"/>
      <c r="AE154" s="128"/>
      <c r="AF154" s="128"/>
      <c r="AG154" s="128"/>
      <c r="AH154" s="127"/>
    </row>
    <row r="155" spans="1:34" ht="13.2">
      <c r="A155" s="88"/>
      <c r="B155" s="88"/>
      <c r="C155" s="88"/>
      <c r="D155" s="88"/>
      <c r="E155" s="88"/>
      <c r="F155" s="88"/>
      <c r="G155" s="88"/>
      <c r="H155" s="88"/>
      <c r="I155" s="88"/>
      <c r="J155" s="88"/>
      <c r="K155" s="88"/>
      <c r="L155" s="88"/>
      <c r="M155" s="88"/>
      <c r="N155" s="88"/>
      <c r="O155" s="88"/>
      <c r="P155" s="88"/>
      <c r="Q155" s="88"/>
      <c r="R155" s="88"/>
      <c r="S155" s="88"/>
      <c r="T155" s="88"/>
      <c r="U155" s="88"/>
      <c r="V155" s="88"/>
      <c r="W155" s="88"/>
      <c r="X155" s="88"/>
      <c r="Y155" s="88"/>
      <c r="Z155" s="88"/>
      <c r="AA155" s="88"/>
      <c r="AB155" s="128"/>
      <c r="AC155" s="128"/>
      <c r="AD155" s="128"/>
      <c r="AE155" s="128"/>
      <c r="AF155" s="128"/>
      <c r="AG155" s="128"/>
      <c r="AH155" s="127"/>
    </row>
    <row r="156" spans="1:34" ht="13.2">
      <c r="A156" s="88"/>
      <c r="B156" s="88"/>
      <c r="C156" s="88"/>
      <c r="D156" s="88"/>
      <c r="E156" s="88"/>
      <c r="F156" s="88"/>
      <c r="G156" s="88"/>
      <c r="H156" s="88"/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  <c r="AB156" s="128"/>
      <c r="AC156" s="128"/>
      <c r="AD156" s="128"/>
      <c r="AE156" s="128"/>
      <c r="AF156" s="128"/>
      <c r="AG156" s="128"/>
      <c r="AH156" s="127"/>
    </row>
    <row r="157" spans="1:34" ht="13.2">
      <c r="A157" s="88"/>
      <c r="B157" s="88"/>
      <c r="C157" s="88"/>
      <c r="D157" s="88"/>
      <c r="E157" s="88"/>
      <c r="F157" s="88"/>
      <c r="G157" s="88"/>
      <c r="H157" s="88"/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  <c r="AB157" s="128"/>
      <c r="AC157" s="128"/>
      <c r="AD157" s="128"/>
      <c r="AE157" s="128"/>
      <c r="AF157" s="128"/>
      <c r="AG157" s="128"/>
      <c r="AH157" s="127"/>
    </row>
    <row r="158" spans="1:34" ht="13.2">
      <c r="A158" s="88"/>
      <c r="B158" s="88"/>
      <c r="C158" s="88"/>
      <c r="D158" s="88"/>
      <c r="E158" s="88"/>
      <c r="F158" s="88"/>
      <c r="G158" s="88"/>
      <c r="H158" s="88"/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  <c r="AB158" s="128"/>
      <c r="AC158" s="128"/>
      <c r="AD158" s="128"/>
      <c r="AE158" s="128"/>
      <c r="AF158" s="128"/>
      <c r="AG158" s="128"/>
      <c r="AH158" s="127"/>
    </row>
    <row r="159" spans="1:34" ht="13.2">
      <c r="A159" s="88"/>
      <c r="B159" s="88"/>
      <c r="C159" s="88"/>
      <c r="D159" s="88"/>
      <c r="E159" s="88"/>
      <c r="F159" s="88"/>
      <c r="G159" s="88"/>
      <c r="H159" s="88"/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  <c r="AB159" s="128"/>
      <c r="AC159" s="128"/>
      <c r="AD159" s="128"/>
      <c r="AE159" s="128"/>
      <c r="AF159" s="128"/>
      <c r="AG159" s="128"/>
      <c r="AH159" s="127"/>
    </row>
    <row r="160" spans="1:34" ht="13.2">
      <c r="A160" s="88"/>
      <c r="B160" s="88"/>
      <c r="C160" s="88"/>
      <c r="D160" s="88"/>
      <c r="E160" s="88"/>
      <c r="F160" s="88"/>
      <c r="G160" s="88"/>
      <c r="H160" s="88"/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  <c r="AB160" s="128"/>
      <c r="AC160" s="128"/>
      <c r="AD160" s="128"/>
      <c r="AE160" s="128"/>
      <c r="AF160" s="128"/>
      <c r="AG160" s="128"/>
      <c r="AH160" s="127"/>
    </row>
    <row r="161" spans="1:34" ht="13.2">
      <c r="A161" s="88"/>
      <c r="B161" s="88"/>
      <c r="C161" s="88"/>
      <c r="D161" s="88"/>
      <c r="E161" s="88"/>
      <c r="F161" s="88"/>
      <c r="G161" s="88"/>
      <c r="H161" s="88"/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  <c r="AB161" s="128"/>
      <c r="AC161" s="128"/>
      <c r="AD161" s="128"/>
      <c r="AE161" s="128"/>
      <c r="AF161" s="128"/>
      <c r="AG161" s="128"/>
      <c r="AH161" s="127"/>
    </row>
    <row r="162" spans="1:34" ht="13.2">
      <c r="A162" s="88"/>
      <c r="B162" s="88"/>
      <c r="C162" s="88"/>
      <c r="D162" s="88"/>
      <c r="E162" s="88"/>
      <c r="F162" s="88"/>
      <c r="G162" s="88"/>
      <c r="H162" s="88"/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  <c r="AB162" s="128"/>
      <c r="AC162" s="128"/>
      <c r="AD162" s="128"/>
      <c r="AE162" s="128"/>
      <c r="AF162" s="128"/>
      <c r="AG162" s="128"/>
      <c r="AH162" s="127"/>
    </row>
    <row r="163" spans="1:34" ht="13.2">
      <c r="A163" s="88"/>
      <c r="B163" s="88"/>
      <c r="C163" s="88"/>
      <c r="D163" s="88"/>
      <c r="E163" s="88"/>
      <c r="F163" s="88"/>
      <c r="G163" s="88"/>
      <c r="H163" s="88"/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  <c r="AB163" s="128"/>
      <c r="AC163" s="128"/>
      <c r="AD163" s="128"/>
      <c r="AE163" s="128"/>
      <c r="AF163" s="128"/>
      <c r="AG163" s="128"/>
      <c r="AH163" s="127"/>
    </row>
    <row r="164" spans="1:34" ht="13.2">
      <c r="A164" s="88"/>
      <c r="B164" s="88"/>
      <c r="C164" s="88"/>
      <c r="D164" s="88"/>
      <c r="E164" s="88"/>
      <c r="F164" s="88"/>
      <c r="G164" s="88"/>
      <c r="H164" s="88"/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  <c r="AB164" s="128"/>
      <c r="AC164" s="128"/>
      <c r="AD164" s="128"/>
      <c r="AE164" s="128"/>
      <c r="AF164" s="128"/>
      <c r="AG164" s="128"/>
      <c r="AH164" s="127"/>
    </row>
    <row r="165" spans="1:34" ht="13.2">
      <c r="A165" s="88"/>
      <c r="B165" s="88"/>
      <c r="C165" s="88"/>
      <c r="D165" s="88"/>
      <c r="E165" s="88"/>
      <c r="F165" s="88"/>
      <c r="G165" s="88"/>
      <c r="H165" s="88"/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  <c r="AB165" s="128"/>
      <c r="AC165" s="128"/>
      <c r="AD165" s="128"/>
      <c r="AE165" s="128"/>
      <c r="AF165" s="128"/>
      <c r="AG165" s="128"/>
      <c r="AH165" s="127"/>
    </row>
    <row r="166" spans="1:34" ht="13.2">
      <c r="A166" s="88"/>
      <c r="B166" s="88"/>
      <c r="C166" s="88"/>
      <c r="D166" s="88"/>
      <c r="E166" s="88"/>
      <c r="F166" s="88"/>
      <c r="G166" s="88"/>
      <c r="H166" s="88"/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128"/>
      <c r="AC166" s="128"/>
      <c r="AD166" s="128"/>
      <c r="AE166" s="128"/>
      <c r="AF166" s="128"/>
      <c r="AG166" s="128"/>
      <c r="AH166" s="127"/>
    </row>
    <row r="167" spans="1:34" ht="13.2">
      <c r="A167" s="88"/>
      <c r="B167" s="88"/>
      <c r="C167" s="88"/>
      <c r="D167" s="88"/>
      <c r="E167" s="88"/>
      <c r="F167" s="88"/>
      <c r="G167" s="88"/>
      <c r="H167" s="88"/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  <c r="AB167" s="128"/>
      <c r="AC167" s="128"/>
      <c r="AD167" s="128"/>
      <c r="AE167" s="128"/>
      <c r="AF167" s="128"/>
      <c r="AG167" s="128"/>
      <c r="AH167" s="127"/>
    </row>
    <row r="168" spans="1:34" ht="13.2">
      <c r="A168" s="88"/>
      <c r="B168" s="88"/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128"/>
      <c r="AC168" s="128"/>
      <c r="AD168" s="128"/>
      <c r="AE168" s="128"/>
      <c r="AF168" s="128"/>
      <c r="AG168" s="128"/>
      <c r="AH168" s="127"/>
    </row>
    <row r="169" spans="1:34" ht="13.2">
      <c r="A169" s="88"/>
      <c r="B169" s="88"/>
      <c r="C169" s="88"/>
      <c r="D169" s="88"/>
      <c r="E169" s="88"/>
      <c r="F169" s="88"/>
      <c r="G169" s="88"/>
      <c r="H169" s="88"/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88"/>
      <c r="AB169" s="128"/>
      <c r="AC169" s="128"/>
      <c r="AD169" s="128"/>
      <c r="AE169" s="128"/>
      <c r="AF169" s="128"/>
      <c r="AG169" s="128"/>
      <c r="AH169" s="127"/>
    </row>
    <row r="170" spans="1:34" ht="13.2">
      <c r="A170" s="88"/>
      <c r="B170" s="88"/>
      <c r="C170" s="88"/>
      <c r="D170" s="88"/>
      <c r="E170" s="88"/>
      <c r="F170" s="88"/>
      <c r="G170" s="88"/>
      <c r="H170" s="88"/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88"/>
      <c r="AB170" s="128"/>
      <c r="AC170" s="128"/>
      <c r="AD170" s="128"/>
      <c r="AE170" s="128"/>
      <c r="AF170" s="128"/>
      <c r="AG170" s="128"/>
      <c r="AH170" s="127"/>
    </row>
    <row r="171" spans="1:34" ht="13.2">
      <c r="A171" s="88"/>
      <c r="B171" s="88"/>
      <c r="C171" s="88"/>
      <c r="D171" s="88"/>
      <c r="E171" s="88"/>
      <c r="F171" s="88"/>
      <c r="G171" s="88"/>
      <c r="H171" s="88"/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  <c r="AA171" s="88"/>
      <c r="AB171" s="128"/>
      <c r="AC171" s="128"/>
      <c r="AD171" s="128"/>
      <c r="AE171" s="128"/>
      <c r="AF171" s="128"/>
      <c r="AG171" s="128"/>
      <c r="AH171" s="127"/>
    </row>
    <row r="172" spans="1:34" ht="13.2">
      <c r="A172" s="88"/>
      <c r="B172" s="88"/>
      <c r="C172" s="88"/>
      <c r="D172" s="88"/>
      <c r="E172" s="88"/>
      <c r="F172" s="88"/>
      <c r="G172" s="88"/>
      <c r="H172" s="88"/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  <c r="AA172" s="88"/>
      <c r="AB172" s="128"/>
      <c r="AC172" s="128"/>
      <c r="AD172" s="128"/>
      <c r="AE172" s="128"/>
      <c r="AF172" s="128"/>
      <c r="AG172" s="128"/>
      <c r="AH172" s="127"/>
    </row>
    <row r="173" spans="1:34" ht="13.2">
      <c r="A173" s="88"/>
      <c r="B173" s="88"/>
      <c r="C173" s="88"/>
      <c r="D173" s="88"/>
      <c r="E173" s="88"/>
      <c r="F173" s="88"/>
      <c r="G173" s="88"/>
      <c r="H173" s="88"/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  <c r="AB173" s="128"/>
      <c r="AC173" s="128"/>
      <c r="AD173" s="128"/>
      <c r="AE173" s="128"/>
      <c r="AF173" s="128"/>
      <c r="AG173" s="128"/>
      <c r="AH173" s="127"/>
    </row>
    <row r="174" spans="1:34" ht="13.2">
      <c r="A174" s="88"/>
      <c r="B174" s="88"/>
      <c r="C174" s="88"/>
      <c r="D174" s="88"/>
      <c r="E174" s="88"/>
      <c r="F174" s="88"/>
      <c r="G174" s="88"/>
      <c r="H174" s="88"/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  <c r="AB174" s="128"/>
      <c r="AC174" s="128"/>
      <c r="AD174" s="128"/>
      <c r="AE174" s="128"/>
      <c r="AF174" s="128"/>
      <c r="AG174" s="128"/>
      <c r="AH174" s="127"/>
    </row>
    <row r="175" spans="1:34" ht="13.2">
      <c r="A175" s="88"/>
      <c r="B175" s="88"/>
      <c r="C175" s="88"/>
      <c r="D175" s="88"/>
      <c r="E175" s="88"/>
      <c r="F175" s="88"/>
      <c r="G175" s="88"/>
      <c r="H175" s="88"/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/>
      <c r="AB175" s="128"/>
      <c r="AC175" s="128"/>
      <c r="AD175" s="128"/>
      <c r="AE175" s="128"/>
      <c r="AF175" s="128"/>
      <c r="AG175" s="128"/>
      <c r="AH175" s="127"/>
    </row>
    <row r="176" spans="1:34" ht="13.2">
      <c r="A176" s="88"/>
      <c r="B176" s="88"/>
      <c r="C176" s="88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  <c r="AB176" s="128"/>
      <c r="AC176" s="128"/>
      <c r="AD176" s="128"/>
      <c r="AE176" s="128"/>
      <c r="AF176" s="128"/>
      <c r="AG176" s="128"/>
      <c r="AH176" s="127"/>
    </row>
    <row r="177" spans="1:34" ht="13.2">
      <c r="A177" s="88"/>
      <c r="B177" s="88"/>
      <c r="C177" s="88"/>
      <c r="D177" s="88"/>
      <c r="E177" s="88"/>
      <c r="F177" s="88"/>
      <c r="G177" s="88"/>
      <c r="H177" s="88"/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88"/>
      <c r="AB177" s="128"/>
      <c r="AC177" s="128"/>
      <c r="AD177" s="128"/>
      <c r="AE177" s="128"/>
      <c r="AF177" s="128"/>
      <c r="AG177" s="128"/>
      <c r="AH177" s="127"/>
    </row>
    <row r="178" spans="1:34" ht="13.2">
      <c r="A178" s="88"/>
      <c r="B178" s="88"/>
      <c r="C178" s="88"/>
      <c r="D178" s="88"/>
      <c r="E178" s="88"/>
      <c r="F178" s="88"/>
      <c r="G178" s="88"/>
      <c r="H178" s="88"/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88"/>
      <c r="AB178" s="128"/>
      <c r="AC178" s="128"/>
      <c r="AD178" s="128"/>
      <c r="AE178" s="128"/>
      <c r="AF178" s="128"/>
      <c r="AG178" s="128"/>
      <c r="AH178" s="127"/>
    </row>
    <row r="179" spans="1:34" ht="13.2">
      <c r="A179" s="88"/>
      <c r="B179" s="88"/>
      <c r="C179" s="88"/>
      <c r="D179" s="88"/>
      <c r="E179" s="88"/>
      <c r="F179" s="88"/>
      <c r="G179" s="88"/>
      <c r="H179" s="88"/>
      <c r="I179" s="88"/>
      <c r="J179" s="88"/>
      <c r="K179" s="88"/>
      <c r="L179" s="88"/>
      <c r="M179" s="88"/>
      <c r="N179" s="88"/>
      <c r="O179" s="88"/>
      <c r="P179" s="88"/>
      <c r="Q179" s="88"/>
      <c r="R179" s="88"/>
      <c r="S179" s="88"/>
      <c r="T179" s="88"/>
      <c r="U179" s="88"/>
      <c r="V179" s="88"/>
      <c r="W179" s="88"/>
      <c r="X179" s="88"/>
      <c r="Y179" s="88"/>
      <c r="Z179" s="88"/>
      <c r="AA179" s="88"/>
      <c r="AB179" s="128"/>
      <c r="AC179" s="128"/>
      <c r="AD179" s="128"/>
      <c r="AE179" s="128"/>
      <c r="AF179" s="128"/>
      <c r="AG179" s="128"/>
      <c r="AH179" s="127"/>
    </row>
    <row r="180" spans="1:34" ht="13.2">
      <c r="A180" s="88"/>
      <c r="B180" s="88"/>
      <c r="C180" s="88"/>
      <c r="D180" s="88"/>
      <c r="E180" s="88"/>
      <c r="F180" s="88"/>
      <c r="G180" s="88"/>
      <c r="H180" s="88"/>
      <c r="I180" s="88"/>
      <c r="J180" s="88"/>
      <c r="K180" s="88"/>
      <c r="L180" s="88"/>
      <c r="M180" s="88"/>
      <c r="N180" s="88"/>
      <c r="O180" s="88"/>
      <c r="P180" s="88"/>
      <c r="Q180" s="88"/>
      <c r="R180" s="88"/>
      <c r="S180" s="88"/>
      <c r="T180" s="88"/>
      <c r="U180" s="88"/>
      <c r="V180" s="88"/>
      <c r="W180" s="88"/>
      <c r="X180" s="88"/>
      <c r="Y180" s="88"/>
      <c r="Z180" s="88"/>
      <c r="AA180" s="88"/>
      <c r="AB180" s="128"/>
      <c r="AC180" s="128"/>
      <c r="AD180" s="128"/>
      <c r="AE180" s="128"/>
      <c r="AF180" s="128"/>
      <c r="AG180" s="128"/>
      <c r="AH180" s="127"/>
    </row>
    <row r="181" spans="1:34" ht="13.2">
      <c r="A181" s="88"/>
      <c r="B181" s="88"/>
      <c r="C181" s="88"/>
      <c r="D181" s="88"/>
      <c r="E181" s="88"/>
      <c r="F181" s="88"/>
      <c r="G181" s="88"/>
      <c r="H181" s="88"/>
      <c r="I181" s="88"/>
      <c r="J181" s="88"/>
      <c r="K181" s="88"/>
      <c r="L181" s="88"/>
      <c r="M181" s="88"/>
      <c r="N181" s="88"/>
      <c r="O181" s="88"/>
      <c r="P181" s="88"/>
      <c r="Q181" s="88"/>
      <c r="R181" s="88"/>
      <c r="S181" s="88"/>
      <c r="T181" s="88"/>
      <c r="U181" s="88"/>
      <c r="V181" s="88"/>
      <c r="W181" s="88"/>
      <c r="X181" s="88"/>
      <c r="Y181" s="88"/>
      <c r="Z181" s="88"/>
      <c r="AA181" s="88"/>
      <c r="AB181" s="128"/>
      <c r="AC181" s="128"/>
      <c r="AD181" s="128"/>
      <c r="AE181" s="128"/>
      <c r="AF181" s="128"/>
      <c r="AG181" s="128"/>
      <c r="AH181" s="127"/>
    </row>
    <row r="182" spans="1:34" ht="13.2">
      <c r="A182" s="88"/>
      <c r="B182" s="88"/>
      <c r="C182" s="88"/>
      <c r="D182" s="88"/>
      <c r="E182" s="88"/>
      <c r="F182" s="88"/>
      <c r="G182" s="88"/>
      <c r="H182" s="88"/>
      <c r="I182" s="88"/>
      <c r="J182" s="88"/>
      <c r="K182" s="88"/>
      <c r="L182" s="88"/>
      <c r="M182" s="88"/>
      <c r="N182" s="88"/>
      <c r="O182" s="88"/>
      <c r="P182" s="88"/>
      <c r="Q182" s="88"/>
      <c r="R182" s="88"/>
      <c r="S182" s="88"/>
      <c r="T182" s="88"/>
      <c r="U182" s="88"/>
      <c r="V182" s="88"/>
      <c r="W182" s="88"/>
      <c r="X182" s="88"/>
      <c r="Y182" s="88"/>
      <c r="Z182" s="88"/>
      <c r="AA182" s="88"/>
      <c r="AB182" s="128"/>
      <c r="AC182" s="128"/>
      <c r="AD182" s="128"/>
      <c r="AE182" s="128"/>
      <c r="AF182" s="128"/>
      <c r="AG182" s="128"/>
      <c r="AH182" s="127"/>
    </row>
    <row r="183" spans="1:34" ht="13.2">
      <c r="A183" s="88"/>
      <c r="B183" s="88"/>
      <c r="C183" s="88"/>
      <c r="D183" s="88"/>
      <c r="E183" s="88"/>
      <c r="F183" s="88"/>
      <c r="G183" s="88"/>
      <c r="H183" s="88"/>
      <c r="I183" s="88"/>
      <c r="J183" s="88"/>
      <c r="K183" s="88"/>
      <c r="L183" s="88"/>
      <c r="M183" s="88"/>
      <c r="N183" s="88"/>
      <c r="O183" s="88"/>
      <c r="P183" s="88"/>
      <c r="Q183" s="88"/>
      <c r="R183" s="88"/>
      <c r="S183" s="88"/>
      <c r="T183" s="88"/>
      <c r="U183" s="88"/>
      <c r="V183" s="88"/>
      <c r="W183" s="88"/>
      <c r="X183" s="88"/>
      <c r="Y183" s="88"/>
      <c r="Z183" s="88"/>
      <c r="AA183" s="88"/>
      <c r="AB183" s="128"/>
      <c r="AC183" s="128"/>
      <c r="AD183" s="128"/>
      <c r="AE183" s="128"/>
      <c r="AF183" s="128"/>
      <c r="AG183" s="128"/>
      <c r="AH183" s="127"/>
    </row>
    <row r="184" spans="1:34" ht="13.2">
      <c r="A184" s="88"/>
      <c r="B184" s="88"/>
      <c r="C184" s="88"/>
      <c r="D184" s="88"/>
      <c r="E184" s="88"/>
      <c r="F184" s="88"/>
      <c r="G184" s="88"/>
      <c r="H184" s="88"/>
      <c r="I184" s="88"/>
      <c r="J184" s="88"/>
      <c r="K184" s="88"/>
      <c r="L184" s="88"/>
      <c r="M184" s="88"/>
      <c r="N184" s="88"/>
      <c r="O184" s="88"/>
      <c r="P184" s="88"/>
      <c r="Q184" s="88"/>
      <c r="R184" s="88"/>
      <c r="S184" s="88"/>
      <c r="T184" s="88"/>
      <c r="U184" s="88"/>
      <c r="V184" s="88"/>
      <c r="W184" s="88"/>
      <c r="X184" s="88"/>
      <c r="Y184" s="88"/>
      <c r="Z184" s="88"/>
      <c r="AA184" s="88"/>
      <c r="AB184" s="128"/>
      <c r="AC184" s="128"/>
      <c r="AD184" s="128"/>
      <c r="AE184" s="128"/>
      <c r="AF184" s="128"/>
      <c r="AG184" s="128"/>
      <c r="AH184" s="127"/>
    </row>
    <row r="185" spans="1:34" ht="13.2">
      <c r="A185" s="88"/>
      <c r="B185" s="88"/>
      <c r="C185" s="88"/>
      <c r="D185" s="88"/>
      <c r="E185" s="88"/>
      <c r="F185" s="88"/>
      <c r="G185" s="88"/>
      <c r="H185" s="88"/>
      <c r="I185" s="88"/>
      <c r="J185" s="88"/>
      <c r="K185" s="88"/>
      <c r="L185" s="88"/>
      <c r="M185" s="88"/>
      <c r="N185" s="88"/>
      <c r="O185" s="88"/>
      <c r="P185" s="88"/>
      <c r="Q185" s="88"/>
      <c r="R185" s="88"/>
      <c r="S185" s="88"/>
      <c r="T185" s="88"/>
      <c r="U185" s="88"/>
      <c r="V185" s="88"/>
      <c r="W185" s="88"/>
      <c r="X185" s="88"/>
      <c r="Y185" s="88"/>
      <c r="Z185" s="88"/>
      <c r="AA185" s="88"/>
      <c r="AB185" s="128"/>
      <c r="AC185" s="128"/>
      <c r="AD185" s="128"/>
      <c r="AE185" s="128"/>
      <c r="AF185" s="128"/>
      <c r="AG185" s="128"/>
      <c r="AH185" s="127"/>
    </row>
    <row r="186" spans="1:34" ht="13.2">
      <c r="A186" s="88"/>
      <c r="B186" s="88"/>
      <c r="C186" s="88"/>
      <c r="D186" s="88"/>
      <c r="E186" s="88"/>
      <c r="F186" s="88"/>
      <c r="G186" s="88"/>
      <c r="H186" s="88"/>
      <c r="I186" s="88"/>
      <c r="J186" s="88"/>
      <c r="K186" s="88"/>
      <c r="L186" s="88"/>
      <c r="M186" s="88"/>
      <c r="N186" s="88"/>
      <c r="O186" s="88"/>
      <c r="P186" s="88"/>
      <c r="Q186" s="88"/>
      <c r="R186" s="88"/>
      <c r="S186" s="88"/>
      <c r="T186" s="88"/>
      <c r="U186" s="88"/>
      <c r="V186" s="88"/>
      <c r="W186" s="88"/>
      <c r="X186" s="88"/>
      <c r="Y186" s="88"/>
      <c r="Z186" s="88"/>
      <c r="AA186" s="88"/>
      <c r="AB186" s="128"/>
      <c r="AC186" s="128"/>
      <c r="AD186" s="128"/>
      <c r="AE186" s="128"/>
      <c r="AF186" s="128"/>
      <c r="AG186" s="128"/>
      <c r="AH186" s="127"/>
    </row>
    <row r="187" spans="1:34" ht="13.2">
      <c r="A187" s="88"/>
      <c r="B187" s="88"/>
      <c r="C187" s="88"/>
      <c r="D187" s="88"/>
      <c r="E187" s="88"/>
      <c r="F187" s="88"/>
      <c r="G187" s="88"/>
      <c r="H187" s="88"/>
      <c r="I187" s="88"/>
      <c r="J187" s="88"/>
      <c r="K187" s="88"/>
      <c r="L187" s="88"/>
      <c r="M187" s="88"/>
      <c r="N187" s="88"/>
      <c r="O187" s="88"/>
      <c r="P187" s="88"/>
      <c r="Q187" s="88"/>
      <c r="R187" s="88"/>
      <c r="S187" s="88"/>
      <c r="T187" s="88"/>
      <c r="U187" s="88"/>
      <c r="V187" s="88"/>
      <c r="W187" s="88"/>
      <c r="X187" s="88"/>
      <c r="Y187" s="88"/>
      <c r="Z187" s="88"/>
      <c r="AA187" s="88"/>
      <c r="AB187" s="128"/>
      <c r="AC187" s="128"/>
      <c r="AD187" s="128"/>
      <c r="AE187" s="128"/>
      <c r="AF187" s="128"/>
      <c r="AG187" s="128"/>
      <c r="AH187" s="127"/>
    </row>
    <row r="188" spans="1:34" ht="13.2">
      <c r="A188" s="88"/>
      <c r="B188" s="88"/>
      <c r="C188" s="88"/>
      <c r="D188" s="88"/>
      <c r="E188" s="88"/>
      <c r="F188" s="88"/>
      <c r="G188" s="88"/>
      <c r="H188" s="88"/>
      <c r="I188" s="88"/>
      <c r="J188" s="88"/>
      <c r="K188" s="88"/>
      <c r="L188" s="88"/>
      <c r="M188" s="88"/>
      <c r="N188" s="88"/>
      <c r="O188" s="88"/>
      <c r="P188" s="88"/>
      <c r="Q188" s="88"/>
      <c r="R188" s="88"/>
      <c r="S188" s="88"/>
      <c r="T188" s="88"/>
      <c r="U188" s="88"/>
      <c r="V188" s="88"/>
      <c r="W188" s="88"/>
      <c r="X188" s="88"/>
      <c r="Y188" s="88"/>
      <c r="Z188" s="88"/>
      <c r="AA188" s="88"/>
      <c r="AB188" s="128"/>
      <c r="AC188" s="128"/>
      <c r="AD188" s="128"/>
      <c r="AE188" s="128"/>
      <c r="AF188" s="128"/>
      <c r="AG188" s="128"/>
      <c r="AH188" s="127"/>
    </row>
    <row r="189" spans="1:34" ht="13.2">
      <c r="A189" s="88"/>
      <c r="B189" s="88"/>
      <c r="C189" s="88"/>
      <c r="D189" s="88"/>
      <c r="E189" s="88"/>
      <c r="F189" s="88"/>
      <c r="G189" s="88"/>
      <c r="H189" s="88"/>
      <c r="I189" s="88"/>
      <c r="J189" s="88"/>
      <c r="K189" s="88"/>
      <c r="L189" s="88"/>
      <c r="M189" s="88"/>
      <c r="N189" s="88"/>
      <c r="O189" s="88"/>
      <c r="P189" s="88"/>
      <c r="Q189" s="88"/>
      <c r="R189" s="88"/>
      <c r="S189" s="88"/>
      <c r="T189" s="88"/>
      <c r="U189" s="88"/>
      <c r="V189" s="88"/>
      <c r="W189" s="88"/>
      <c r="X189" s="88"/>
      <c r="Y189" s="88"/>
      <c r="Z189" s="88"/>
      <c r="AA189" s="88"/>
      <c r="AB189" s="128"/>
      <c r="AC189" s="128"/>
      <c r="AD189" s="128"/>
      <c r="AE189" s="128"/>
      <c r="AF189" s="128"/>
      <c r="AG189" s="128"/>
      <c r="AH189" s="127"/>
    </row>
    <row r="190" spans="1:34" ht="13.2">
      <c r="A190" s="88"/>
      <c r="B190" s="88"/>
      <c r="C190" s="88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  <c r="O190" s="88"/>
      <c r="P190" s="88"/>
      <c r="Q190" s="88"/>
      <c r="R190" s="88"/>
      <c r="S190" s="88"/>
      <c r="T190" s="88"/>
      <c r="U190" s="88"/>
      <c r="V190" s="88"/>
      <c r="W190" s="88"/>
      <c r="X190" s="88"/>
      <c r="Y190" s="88"/>
      <c r="Z190" s="88"/>
      <c r="AA190" s="88"/>
      <c r="AB190" s="128"/>
      <c r="AC190" s="128"/>
      <c r="AD190" s="128"/>
      <c r="AE190" s="128"/>
      <c r="AF190" s="128"/>
      <c r="AG190" s="128"/>
      <c r="AH190" s="127"/>
    </row>
    <row r="191" spans="1:34" ht="13.2">
      <c r="A191" s="88"/>
      <c r="B191" s="88"/>
      <c r="C191" s="88"/>
      <c r="D191" s="88"/>
      <c r="E191" s="88"/>
      <c r="F191" s="88"/>
      <c r="G191" s="88"/>
      <c r="H191" s="88"/>
      <c r="I191" s="88"/>
      <c r="J191" s="88"/>
      <c r="K191" s="88"/>
      <c r="L191" s="88"/>
      <c r="M191" s="88"/>
      <c r="N191" s="88"/>
      <c r="O191" s="88"/>
      <c r="P191" s="88"/>
      <c r="Q191" s="88"/>
      <c r="R191" s="88"/>
      <c r="S191" s="88"/>
      <c r="T191" s="88"/>
      <c r="U191" s="88"/>
      <c r="V191" s="88"/>
      <c r="W191" s="88"/>
      <c r="X191" s="88"/>
      <c r="Y191" s="88"/>
      <c r="Z191" s="88"/>
      <c r="AA191" s="88"/>
      <c r="AB191" s="128"/>
      <c r="AC191" s="128"/>
      <c r="AD191" s="128"/>
      <c r="AE191" s="128"/>
      <c r="AF191" s="128"/>
      <c r="AG191" s="128"/>
      <c r="AH191" s="127"/>
    </row>
    <row r="192" spans="1:34" ht="13.2">
      <c r="A192" s="88"/>
      <c r="B192" s="88"/>
      <c r="C192" s="88"/>
      <c r="D192" s="88"/>
      <c r="E192" s="88"/>
      <c r="F192" s="88"/>
      <c r="G192" s="88"/>
      <c r="H192" s="88"/>
      <c r="I192" s="88"/>
      <c r="J192" s="88"/>
      <c r="K192" s="88"/>
      <c r="L192" s="88"/>
      <c r="M192" s="88"/>
      <c r="N192" s="88"/>
      <c r="O192" s="88"/>
      <c r="P192" s="88"/>
      <c r="Q192" s="88"/>
      <c r="R192" s="88"/>
      <c r="S192" s="88"/>
      <c r="T192" s="88"/>
      <c r="U192" s="88"/>
      <c r="V192" s="88"/>
      <c r="W192" s="88"/>
      <c r="X192" s="88"/>
      <c r="Y192" s="88"/>
      <c r="Z192" s="88"/>
      <c r="AA192" s="88"/>
      <c r="AB192" s="128"/>
      <c r="AC192" s="128"/>
      <c r="AD192" s="128"/>
      <c r="AE192" s="128"/>
      <c r="AF192" s="128"/>
      <c r="AG192" s="128"/>
      <c r="AH192" s="127"/>
    </row>
    <row r="193" spans="1:34" ht="13.2">
      <c r="A193" s="88"/>
      <c r="B193" s="88"/>
      <c r="C193" s="88"/>
      <c r="D193" s="88"/>
      <c r="E193" s="88"/>
      <c r="F193" s="88"/>
      <c r="G193" s="88"/>
      <c r="H193" s="88"/>
      <c r="I193" s="88"/>
      <c r="J193" s="88"/>
      <c r="K193" s="88"/>
      <c r="L193" s="88"/>
      <c r="M193" s="88"/>
      <c r="N193" s="88"/>
      <c r="O193" s="88"/>
      <c r="P193" s="88"/>
      <c r="Q193" s="88"/>
      <c r="R193" s="88"/>
      <c r="S193" s="88"/>
      <c r="T193" s="88"/>
      <c r="U193" s="88"/>
      <c r="V193" s="88"/>
      <c r="W193" s="88"/>
      <c r="X193" s="88"/>
      <c r="Y193" s="88"/>
      <c r="Z193" s="88"/>
      <c r="AA193" s="88"/>
      <c r="AB193" s="128"/>
      <c r="AC193" s="128"/>
      <c r="AD193" s="128"/>
      <c r="AE193" s="128"/>
      <c r="AF193" s="128"/>
      <c r="AG193" s="128"/>
      <c r="AH193" s="127"/>
    </row>
    <row r="194" spans="1:34" ht="13.2">
      <c r="A194" s="88"/>
      <c r="B194" s="88"/>
      <c r="C194" s="88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  <c r="O194" s="88"/>
      <c r="P194" s="88"/>
      <c r="Q194" s="88"/>
      <c r="R194" s="88"/>
      <c r="S194" s="88"/>
      <c r="T194" s="88"/>
      <c r="U194" s="88"/>
      <c r="V194" s="88"/>
      <c r="W194" s="88"/>
      <c r="X194" s="88"/>
      <c r="Y194" s="88"/>
      <c r="Z194" s="88"/>
      <c r="AA194" s="88"/>
      <c r="AB194" s="128"/>
      <c r="AC194" s="128"/>
      <c r="AD194" s="128"/>
      <c r="AE194" s="128"/>
      <c r="AF194" s="128"/>
      <c r="AG194" s="128"/>
      <c r="AH194" s="127"/>
    </row>
    <row r="195" spans="1:34" ht="13.2">
      <c r="A195" s="88"/>
      <c r="B195" s="88"/>
      <c r="C195" s="88"/>
      <c r="D195" s="88"/>
      <c r="E195" s="88"/>
      <c r="F195" s="88"/>
      <c r="G195" s="88"/>
      <c r="H195" s="88"/>
      <c r="I195" s="88"/>
      <c r="J195" s="88"/>
      <c r="K195" s="88"/>
      <c r="L195" s="88"/>
      <c r="M195" s="88"/>
      <c r="N195" s="88"/>
      <c r="O195" s="88"/>
      <c r="P195" s="88"/>
      <c r="Q195" s="88"/>
      <c r="R195" s="88"/>
      <c r="S195" s="88"/>
      <c r="T195" s="88"/>
      <c r="U195" s="88"/>
      <c r="V195" s="88"/>
      <c r="W195" s="88"/>
      <c r="X195" s="88"/>
      <c r="Y195" s="88"/>
      <c r="Z195" s="88"/>
      <c r="AA195" s="88"/>
      <c r="AB195" s="128"/>
      <c r="AC195" s="128"/>
      <c r="AD195" s="128"/>
      <c r="AE195" s="128"/>
      <c r="AF195" s="128"/>
      <c r="AG195" s="128"/>
      <c r="AH195" s="127"/>
    </row>
    <row r="196" spans="1:34" ht="13.2">
      <c r="A196" s="88"/>
      <c r="B196" s="88"/>
      <c r="C196" s="88"/>
      <c r="D196" s="88"/>
      <c r="E196" s="88"/>
      <c r="F196" s="88"/>
      <c r="G196" s="88"/>
      <c r="H196" s="88"/>
      <c r="I196" s="88"/>
      <c r="J196" s="88"/>
      <c r="K196" s="88"/>
      <c r="L196" s="88"/>
      <c r="M196" s="88"/>
      <c r="N196" s="88"/>
      <c r="O196" s="88"/>
      <c r="P196" s="88"/>
      <c r="Q196" s="88"/>
      <c r="R196" s="88"/>
      <c r="S196" s="88"/>
      <c r="T196" s="88"/>
      <c r="U196" s="88"/>
      <c r="V196" s="88"/>
      <c r="W196" s="88"/>
      <c r="X196" s="88"/>
      <c r="Y196" s="88"/>
      <c r="Z196" s="88"/>
      <c r="AA196" s="88"/>
      <c r="AB196" s="128"/>
      <c r="AC196" s="128"/>
      <c r="AD196" s="128"/>
      <c r="AE196" s="128"/>
      <c r="AF196" s="128"/>
      <c r="AG196" s="128"/>
      <c r="AH196" s="127"/>
    </row>
    <row r="197" spans="1:34" ht="13.2">
      <c r="A197" s="88"/>
      <c r="B197" s="88"/>
      <c r="C197" s="88"/>
      <c r="D197" s="88"/>
      <c r="E197" s="88"/>
      <c r="F197" s="88"/>
      <c r="G197" s="88"/>
      <c r="H197" s="88"/>
      <c r="I197" s="88"/>
      <c r="J197" s="88"/>
      <c r="K197" s="88"/>
      <c r="L197" s="88"/>
      <c r="M197" s="88"/>
      <c r="N197" s="88"/>
      <c r="O197" s="88"/>
      <c r="P197" s="88"/>
      <c r="Q197" s="88"/>
      <c r="R197" s="88"/>
      <c r="S197" s="88"/>
      <c r="T197" s="88"/>
      <c r="U197" s="88"/>
      <c r="V197" s="88"/>
      <c r="W197" s="88"/>
      <c r="X197" s="88"/>
      <c r="Y197" s="88"/>
      <c r="Z197" s="88"/>
      <c r="AA197" s="88"/>
      <c r="AB197" s="128"/>
      <c r="AC197" s="128"/>
      <c r="AD197" s="128"/>
      <c r="AE197" s="128"/>
      <c r="AF197" s="128"/>
      <c r="AG197" s="128"/>
      <c r="AH197" s="127"/>
    </row>
    <row r="198" spans="1:34" ht="13.2">
      <c r="A198" s="88"/>
      <c r="B198" s="88"/>
      <c r="C198" s="88"/>
      <c r="D198" s="88"/>
      <c r="E198" s="88"/>
      <c r="F198" s="88"/>
      <c r="G198" s="88"/>
      <c r="H198" s="88"/>
      <c r="I198" s="88"/>
      <c r="J198" s="88"/>
      <c r="K198" s="88"/>
      <c r="L198" s="88"/>
      <c r="M198" s="88"/>
      <c r="N198" s="88"/>
      <c r="O198" s="88"/>
      <c r="P198" s="88"/>
      <c r="Q198" s="88"/>
      <c r="R198" s="88"/>
      <c r="S198" s="88"/>
      <c r="T198" s="88"/>
      <c r="U198" s="88"/>
      <c r="V198" s="88"/>
      <c r="W198" s="88"/>
      <c r="X198" s="88"/>
      <c r="Y198" s="88"/>
      <c r="Z198" s="88"/>
      <c r="AA198" s="88"/>
      <c r="AB198" s="128"/>
      <c r="AC198" s="128"/>
      <c r="AD198" s="128"/>
      <c r="AE198" s="128"/>
      <c r="AF198" s="128"/>
      <c r="AG198" s="128"/>
      <c r="AH198" s="127"/>
    </row>
    <row r="199" spans="1:34" ht="13.2">
      <c r="A199" s="88"/>
      <c r="B199" s="88"/>
      <c r="C199" s="88"/>
      <c r="D199" s="88"/>
      <c r="E199" s="88"/>
      <c r="F199" s="88"/>
      <c r="G199" s="88"/>
      <c r="H199" s="88"/>
      <c r="I199" s="88"/>
      <c r="J199" s="88"/>
      <c r="K199" s="88"/>
      <c r="L199" s="88"/>
      <c r="M199" s="88"/>
      <c r="N199" s="88"/>
      <c r="O199" s="88"/>
      <c r="P199" s="88"/>
      <c r="Q199" s="88"/>
      <c r="R199" s="88"/>
      <c r="S199" s="88"/>
      <c r="T199" s="88"/>
      <c r="U199" s="88"/>
      <c r="V199" s="88"/>
      <c r="W199" s="88"/>
      <c r="X199" s="88"/>
      <c r="Y199" s="88"/>
      <c r="Z199" s="88"/>
      <c r="AA199" s="88"/>
      <c r="AB199" s="128"/>
      <c r="AC199" s="128"/>
      <c r="AD199" s="128"/>
      <c r="AE199" s="128"/>
      <c r="AF199" s="128"/>
      <c r="AG199" s="128"/>
      <c r="AH199" s="127"/>
    </row>
    <row r="200" spans="1:34" ht="13.2">
      <c r="A200" s="88"/>
      <c r="B200" s="88"/>
      <c r="C200" s="88"/>
      <c r="D200" s="88"/>
      <c r="E200" s="88"/>
      <c r="F200" s="88"/>
      <c r="G200" s="88"/>
      <c r="H200" s="88"/>
      <c r="I200" s="88"/>
      <c r="J200" s="88"/>
      <c r="K200" s="88"/>
      <c r="L200" s="88"/>
      <c r="M200" s="88"/>
      <c r="N200" s="88"/>
      <c r="O200" s="88"/>
      <c r="P200" s="88"/>
      <c r="Q200" s="88"/>
      <c r="R200" s="88"/>
      <c r="S200" s="88"/>
      <c r="T200" s="88"/>
      <c r="U200" s="88"/>
      <c r="V200" s="88"/>
      <c r="W200" s="88"/>
      <c r="X200" s="88"/>
      <c r="Y200" s="88"/>
      <c r="Z200" s="88"/>
      <c r="AA200" s="88"/>
      <c r="AB200" s="128"/>
      <c r="AC200" s="128"/>
      <c r="AD200" s="128"/>
      <c r="AE200" s="128"/>
      <c r="AF200" s="128"/>
      <c r="AG200" s="128"/>
      <c r="AH200" s="127"/>
    </row>
    <row r="201" spans="1:34" ht="13.2">
      <c r="A201" s="88"/>
      <c r="B201" s="88"/>
      <c r="C201" s="88"/>
      <c r="D201" s="88"/>
      <c r="E201" s="88"/>
      <c r="F201" s="88"/>
      <c r="G201" s="88"/>
      <c r="H201" s="88"/>
      <c r="I201" s="88"/>
      <c r="J201" s="88"/>
      <c r="K201" s="88"/>
      <c r="L201" s="88"/>
      <c r="M201" s="88"/>
      <c r="N201" s="88"/>
      <c r="O201" s="88"/>
      <c r="P201" s="88"/>
      <c r="Q201" s="88"/>
      <c r="R201" s="88"/>
      <c r="S201" s="88"/>
      <c r="T201" s="88"/>
      <c r="U201" s="88"/>
      <c r="V201" s="88"/>
      <c r="W201" s="88"/>
      <c r="X201" s="88"/>
      <c r="Y201" s="88"/>
      <c r="Z201" s="88"/>
      <c r="AA201" s="88"/>
      <c r="AB201" s="128"/>
      <c r="AC201" s="128"/>
      <c r="AD201" s="128"/>
      <c r="AE201" s="128"/>
      <c r="AF201" s="128"/>
      <c r="AG201" s="128"/>
      <c r="AH201" s="127"/>
    </row>
    <row r="202" spans="1:34" ht="13.2">
      <c r="A202" s="88"/>
      <c r="B202" s="88"/>
      <c r="C202" s="88"/>
      <c r="D202" s="88"/>
      <c r="E202" s="88"/>
      <c r="F202" s="88"/>
      <c r="G202" s="88"/>
      <c r="H202" s="88"/>
      <c r="I202" s="88"/>
      <c r="J202" s="88"/>
      <c r="K202" s="88"/>
      <c r="L202" s="88"/>
      <c r="M202" s="88"/>
      <c r="N202" s="88"/>
      <c r="O202" s="88"/>
      <c r="P202" s="88"/>
      <c r="Q202" s="88"/>
      <c r="R202" s="88"/>
      <c r="S202" s="88"/>
      <c r="T202" s="88"/>
      <c r="U202" s="88"/>
      <c r="V202" s="88"/>
      <c r="W202" s="88"/>
      <c r="X202" s="88"/>
      <c r="Y202" s="88"/>
      <c r="Z202" s="88"/>
      <c r="AA202" s="88"/>
      <c r="AB202" s="128"/>
      <c r="AC202" s="128"/>
      <c r="AD202" s="128"/>
      <c r="AE202" s="128"/>
      <c r="AF202" s="128"/>
      <c r="AG202" s="128"/>
      <c r="AH202" s="127"/>
    </row>
    <row r="203" spans="1:34" ht="13.2">
      <c r="A203" s="88"/>
      <c r="B203" s="88"/>
      <c r="C203" s="88"/>
      <c r="D203" s="88"/>
      <c r="E203" s="88"/>
      <c r="F203" s="88"/>
      <c r="G203" s="88"/>
      <c r="H203" s="88"/>
      <c r="I203" s="88"/>
      <c r="J203" s="88"/>
      <c r="K203" s="88"/>
      <c r="L203" s="88"/>
      <c r="M203" s="88"/>
      <c r="N203" s="88"/>
      <c r="O203" s="88"/>
      <c r="P203" s="88"/>
      <c r="Q203" s="88"/>
      <c r="R203" s="88"/>
      <c r="S203" s="88"/>
      <c r="T203" s="88"/>
      <c r="U203" s="88"/>
      <c r="V203" s="88"/>
      <c r="W203" s="88"/>
      <c r="X203" s="88"/>
      <c r="Y203" s="88"/>
      <c r="Z203" s="88"/>
      <c r="AA203" s="88"/>
      <c r="AB203" s="128"/>
      <c r="AC203" s="128"/>
      <c r="AD203" s="128"/>
      <c r="AE203" s="128"/>
      <c r="AF203" s="128"/>
      <c r="AG203" s="128"/>
      <c r="AH203" s="127"/>
    </row>
    <row r="204" spans="1:34" ht="13.2">
      <c r="A204" s="88"/>
      <c r="B204" s="88"/>
      <c r="C204" s="88"/>
      <c r="D204" s="88"/>
      <c r="E204" s="88"/>
      <c r="F204" s="88"/>
      <c r="G204" s="88"/>
      <c r="H204" s="88"/>
      <c r="I204" s="88"/>
      <c r="J204" s="88"/>
      <c r="K204" s="88"/>
      <c r="L204" s="88"/>
      <c r="M204" s="88"/>
      <c r="N204" s="88"/>
      <c r="O204" s="88"/>
      <c r="P204" s="88"/>
      <c r="Q204" s="88"/>
      <c r="R204" s="88"/>
      <c r="S204" s="88"/>
      <c r="T204" s="88"/>
      <c r="U204" s="88"/>
      <c r="V204" s="88"/>
      <c r="W204" s="88"/>
      <c r="X204" s="88"/>
      <c r="Y204" s="88"/>
      <c r="Z204" s="88"/>
      <c r="AA204" s="88"/>
      <c r="AB204" s="128"/>
      <c r="AC204" s="128"/>
      <c r="AD204" s="128"/>
      <c r="AE204" s="128"/>
      <c r="AF204" s="128"/>
      <c r="AG204" s="128"/>
      <c r="AH204" s="127"/>
    </row>
    <row r="205" spans="1:34" ht="13.2">
      <c r="A205" s="88"/>
      <c r="B205" s="88"/>
      <c r="C205" s="88"/>
      <c r="D205" s="88"/>
      <c r="E205" s="88"/>
      <c r="F205" s="88"/>
      <c r="G205" s="88"/>
      <c r="H205" s="88"/>
      <c r="I205" s="88"/>
      <c r="J205" s="88"/>
      <c r="K205" s="88"/>
      <c r="L205" s="88"/>
      <c r="M205" s="88"/>
      <c r="N205" s="88"/>
      <c r="O205" s="88"/>
      <c r="P205" s="88"/>
      <c r="Q205" s="88"/>
      <c r="R205" s="88"/>
      <c r="S205" s="88"/>
      <c r="T205" s="88"/>
      <c r="U205" s="88"/>
      <c r="V205" s="88"/>
      <c r="W205" s="88"/>
      <c r="X205" s="88"/>
      <c r="Y205" s="88"/>
      <c r="Z205" s="88"/>
      <c r="AA205" s="88"/>
      <c r="AB205" s="128"/>
      <c r="AC205" s="128"/>
      <c r="AD205" s="128"/>
      <c r="AE205" s="128"/>
      <c r="AF205" s="128"/>
      <c r="AG205" s="128"/>
      <c r="AH205" s="127"/>
    </row>
    <row r="206" spans="1:34" ht="13.2">
      <c r="A206" s="88"/>
      <c r="B206" s="88"/>
      <c r="C206" s="88"/>
      <c r="D206" s="88"/>
      <c r="E206" s="88"/>
      <c r="F206" s="88"/>
      <c r="G206" s="88"/>
      <c r="H206" s="88"/>
      <c r="I206" s="88"/>
      <c r="J206" s="88"/>
      <c r="K206" s="88"/>
      <c r="L206" s="88"/>
      <c r="M206" s="88"/>
      <c r="N206" s="88"/>
      <c r="O206" s="88"/>
      <c r="P206" s="88"/>
      <c r="Q206" s="88"/>
      <c r="R206" s="88"/>
      <c r="S206" s="88"/>
      <c r="T206" s="88"/>
      <c r="U206" s="88"/>
      <c r="V206" s="88"/>
      <c r="W206" s="88"/>
      <c r="X206" s="88"/>
      <c r="Y206" s="88"/>
      <c r="Z206" s="88"/>
      <c r="AA206" s="88"/>
      <c r="AB206" s="128"/>
      <c r="AC206" s="128"/>
      <c r="AD206" s="128"/>
      <c r="AE206" s="128"/>
      <c r="AF206" s="128"/>
      <c r="AG206" s="128"/>
      <c r="AH206" s="127"/>
    </row>
    <row r="207" spans="1:34" ht="13.2">
      <c r="A207" s="88"/>
      <c r="B207" s="88"/>
      <c r="C207" s="88"/>
      <c r="D207" s="88"/>
      <c r="E207" s="88"/>
      <c r="F207" s="88"/>
      <c r="G207" s="88"/>
      <c r="H207" s="88"/>
      <c r="I207" s="88"/>
      <c r="J207" s="88"/>
      <c r="K207" s="88"/>
      <c r="L207" s="88"/>
      <c r="M207" s="88"/>
      <c r="N207" s="88"/>
      <c r="O207" s="88"/>
      <c r="P207" s="88"/>
      <c r="Q207" s="88"/>
      <c r="R207" s="88"/>
      <c r="S207" s="88"/>
      <c r="T207" s="88"/>
      <c r="U207" s="88"/>
      <c r="V207" s="88"/>
      <c r="W207" s="88"/>
      <c r="X207" s="88"/>
      <c r="Y207" s="88"/>
      <c r="Z207" s="88"/>
      <c r="AA207" s="88"/>
      <c r="AB207" s="128"/>
      <c r="AC207" s="128"/>
      <c r="AD207" s="128"/>
      <c r="AE207" s="128"/>
      <c r="AF207" s="128"/>
      <c r="AG207" s="128"/>
      <c r="AH207" s="127"/>
    </row>
    <row r="208" spans="1:34" ht="13.2">
      <c r="A208" s="88"/>
      <c r="B208" s="88"/>
      <c r="C208" s="88"/>
      <c r="D208" s="88"/>
      <c r="E208" s="88"/>
      <c r="F208" s="88"/>
      <c r="G208" s="88"/>
      <c r="H208" s="88"/>
      <c r="I208" s="88"/>
      <c r="J208" s="88"/>
      <c r="K208" s="88"/>
      <c r="L208" s="88"/>
      <c r="M208" s="88"/>
      <c r="N208" s="88"/>
      <c r="O208" s="88"/>
      <c r="P208" s="88"/>
      <c r="Q208" s="88"/>
      <c r="R208" s="88"/>
      <c r="S208" s="88"/>
      <c r="T208" s="88"/>
      <c r="U208" s="88"/>
      <c r="V208" s="88"/>
      <c r="W208" s="88"/>
      <c r="X208" s="88"/>
      <c r="Y208" s="88"/>
      <c r="Z208" s="88"/>
      <c r="AA208" s="88"/>
      <c r="AB208" s="128"/>
      <c r="AC208" s="128"/>
      <c r="AD208" s="128"/>
      <c r="AE208" s="128"/>
      <c r="AF208" s="128"/>
      <c r="AG208" s="128"/>
      <c r="AH208" s="127"/>
    </row>
    <row r="209" spans="1:34" ht="13.2">
      <c r="A209" s="88"/>
      <c r="B209" s="88"/>
      <c r="C209" s="88"/>
      <c r="D209" s="88"/>
      <c r="E209" s="88"/>
      <c r="F209" s="88"/>
      <c r="G209" s="88"/>
      <c r="H209" s="88"/>
      <c r="I209" s="88"/>
      <c r="J209" s="88"/>
      <c r="K209" s="88"/>
      <c r="L209" s="88"/>
      <c r="M209" s="88"/>
      <c r="N209" s="88"/>
      <c r="O209" s="88"/>
      <c r="P209" s="88"/>
      <c r="Q209" s="88"/>
      <c r="R209" s="88"/>
      <c r="S209" s="88"/>
      <c r="T209" s="88"/>
      <c r="U209" s="88"/>
      <c r="V209" s="88"/>
      <c r="W209" s="88"/>
      <c r="X209" s="88"/>
      <c r="Y209" s="88"/>
      <c r="Z209" s="88"/>
      <c r="AA209" s="88"/>
      <c r="AB209" s="128"/>
      <c r="AC209" s="128"/>
      <c r="AD209" s="128"/>
      <c r="AE209" s="128"/>
      <c r="AF209" s="128"/>
      <c r="AG209" s="128"/>
      <c r="AH209" s="127"/>
    </row>
    <row r="210" spans="1:34" ht="13.2">
      <c r="A210" s="88"/>
      <c r="B210" s="88"/>
      <c r="C210" s="88"/>
      <c r="D210" s="88"/>
      <c r="E210" s="88"/>
      <c r="F210" s="88"/>
      <c r="G210" s="88"/>
      <c r="H210" s="88"/>
      <c r="I210" s="88"/>
      <c r="J210" s="88"/>
      <c r="K210" s="88"/>
      <c r="L210" s="88"/>
      <c r="M210" s="88"/>
      <c r="N210" s="88"/>
      <c r="O210" s="88"/>
      <c r="P210" s="88"/>
      <c r="Q210" s="88"/>
      <c r="R210" s="88"/>
      <c r="S210" s="88"/>
      <c r="T210" s="88"/>
      <c r="U210" s="88"/>
      <c r="V210" s="88"/>
      <c r="W210" s="88"/>
      <c r="X210" s="88"/>
      <c r="Y210" s="88"/>
      <c r="Z210" s="88"/>
      <c r="AA210" s="88"/>
      <c r="AB210" s="128"/>
      <c r="AC210" s="128"/>
      <c r="AD210" s="128"/>
      <c r="AE210" s="128"/>
      <c r="AF210" s="128"/>
      <c r="AG210" s="128"/>
      <c r="AH210" s="127"/>
    </row>
    <row r="211" spans="1:34" ht="13.2">
      <c r="A211" s="88"/>
      <c r="B211" s="88"/>
      <c r="C211" s="88"/>
      <c r="D211" s="88"/>
      <c r="E211" s="88"/>
      <c r="F211" s="88"/>
      <c r="G211" s="88"/>
      <c r="H211" s="88"/>
      <c r="I211" s="88"/>
      <c r="J211" s="88"/>
      <c r="K211" s="88"/>
      <c r="L211" s="88"/>
      <c r="M211" s="88"/>
      <c r="N211" s="88"/>
      <c r="O211" s="88"/>
      <c r="P211" s="88"/>
      <c r="Q211" s="88"/>
      <c r="R211" s="88"/>
      <c r="S211" s="88"/>
      <c r="T211" s="88"/>
      <c r="U211" s="88"/>
      <c r="V211" s="88"/>
      <c r="W211" s="88"/>
      <c r="X211" s="88"/>
      <c r="Y211" s="88"/>
      <c r="Z211" s="88"/>
      <c r="AA211" s="88"/>
      <c r="AB211" s="128"/>
      <c r="AC211" s="128"/>
      <c r="AD211" s="128"/>
      <c r="AE211" s="128"/>
      <c r="AF211" s="128"/>
      <c r="AG211" s="128"/>
      <c r="AH211" s="127"/>
    </row>
    <row r="212" spans="1:34" ht="13.2">
      <c r="A212" s="88"/>
      <c r="B212" s="88"/>
      <c r="C212" s="88"/>
      <c r="D212" s="88"/>
      <c r="E212" s="88"/>
      <c r="F212" s="88"/>
      <c r="G212" s="88"/>
      <c r="H212" s="88"/>
      <c r="I212" s="88"/>
      <c r="J212" s="88"/>
      <c r="K212" s="88"/>
      <c r="L212" s="88"/>
      <c r="M212" s="88"/>
      <c r="N212" s="88"/>
      <c r="O212" s="88"/>
      <c r="P212" s="88"/>
      <c r="Q212" s="88"/>
      <c r="R212" s="88"/>
      <c r="S212" s="88"/>
      <c r="T212" s="88"/>
      <c r="U212" s="88"/>
      <c r="V212" s="88"/>
      <c r="W212" s="88"/>
      <c r="X212" s="88"/>
      <c r="Y212" s="88"/>
      <c r="Z212" s="88"/>
      <c r="AA212" s="88"/>
      <c r="AB212" s="128"/>
      <c r="AC212" s="128"/>
      <c r="AD212" s="128"/>
      <c r="AE212" s="128"/>
      <c r="AF212" s="128"/>
      <c r="AG212" s="128"/>
      <c r="AH212" s="127"/>
    </row>
    <row r="213" spans="1:34" ht="13.2">
      <c r="A213" s="88"/>
      <c r="B213" s="88"/>
      <c r="C213" s="88"/>
      <c r="D213" s="88"/>
      <c r="E213" s="88"/>
      <c r="F213" s="88"/>
      <c r="G213" s="88"/>
      <c r="H213" s="88"/>
      <c r="I213" s="88"/>
      <c r="J213" s="88"/>
      <c r="K213" s="88"/>
      <c r="L213" s="88"/>
      <c r="M213" s="88"/>
      <c r="N213" s="88"/>
      <c r="O213" s="88"/>
      <c r="P213" s="88"/>
      <c r="Q213" s="88"/>
      <c r="R213" s="88"/>
      <c r="S213" s="88"/>
      <c r="T213" s="88"/>
      <c r="U213" s="88"/>
      <c r="V213" s="88"/>
      <c r="W213" s="88"/>
      <c r="X213" s="88"/>
      <c r="Y213" s="88"/>
      <c r="Z213" s="88"/>
      <c r="AA213" s="88"/>
      <c r="AB213" s="128"/>
      <c r="AC213" s="128"/>
      <c r="AD213" s="128"/>
      <c r="AE213" s="128"/>
      <c r="AF213" s="128"/>
      <c r="AG213" s="128"/>
      <c r="AH213" s="127"/>
    </row>
    <row r="214" spans="1:34" ht="13.2">
      <c r="A214" s="88"/>
      <c r="B214" s="88"/>
      <c r="C214" s="88"/>
      <c r="D214" s="88"/>
      <c r="E214" s="88"/>
      <c r="F214" s="88"/>
      <c r="G214" s="88"/>
      <c r="H214" s="88"/>
      <c r="I214" s="88"/>
      <c r="J214" s="88"/>
      <c r="K214" s="88"/>
      <c r="L214" s="88"/>
      <c r="M214" s="88"/>
      <c r="N214" s="88"/>
      <c r="O214" s="88"/>
      <c r="P214" s="88"/>
      <c r="Q214" s="88"/>
      <c r="R214" s="88"/>
      <c r="S214" s="88"/>
      <c r="T214" s="88"/>
      <c r="U214" s="88"/>
      <c r="V214" s="88"/>
      <c r="W214" s="88"/>
      <c r="X214" s="88"/>
      <c r="Y214" s="88"/>
      <c r="Z214" s="88"/>
      <c r="AA214" s="88"/>
      <c r="AB214" s="128"/>
      <c r="AC214" s="128"/>
      <c r="AD214" s="128"/>
      <c r="AE214" s="128"/>
      <c r="AF214" s="128"/>
      <c r="AG214" s="128"/>
      <c r="AH214" s="127"/>
    </row>
    <row r="215" spans="1:34" ht="13.2">
      <c r="A215" s="88"/>
      <c r="B215" s="88"/>
      <c r="C215" s="88"/>
      <c r="D215" s="88"/>
      <c r="E215" s="88"/>
      <c r="F215" s="88"/>
      <c r="G215" s="88"/>
      <c r="H215" s="88"/>
      <c r="I215" s="88"/>
      <c r="J215" s="88"/>
      <c r="K215" s="88"/>
      <c r="L215" s="88"/>
      <c r="M215" s="88"/>
      <c r="N215" s="88"/>
      <c r="O215" s="88"/>
      <c r="P215" s="88"/>
      <c r="Q215" s="88"/>
      <c r="R215" s="88"/>
      <c r="S215" s="88"/>
      <c r="T215" s="88"/>
      <c r="U215" s="88"/>
      <c r="V215" s="88"/>
      <c r="W215" s="88"/>
      <c r="X215" s="88"/>
      <c r="Y215" s="88"/>
      <c r="Z215" s="88"/>
      <c r="AA215" s="88"/>
      <c r="AB215" s="128"/>
      <c r="AC215" s="128"/>
      <c r="AD215" s="128"/>
      <c r="AE215" s="128"/>
      <c r="AF215" s="128"/>
      <c r="AG215" s="128"/>
      <c r="AH215" s="127"/>
    </row>
    <row r="216" spans="1:34" ht="13.2">
      <c r="A216" s="88"/>
      <c r="B216" s="88"/>
      <c r="C216" s="88"/>
      <c r="D216" s="88"/>
      <c r="E216" s="88"/>
      <c r="F216" s="88"/>
      <c r="G216" s="88"/>
      <c r="H216" s="88"/>
      <c r="I216" s="88"/>
      <c r="J216" s="88"/>
      <c r="K216" s="88"/>
      <c r="L216" s="88"/>
      <c r="M216" s="88"/>
      <c r="N216" s="88"/>
      <c r="O216" s="88"/>
      <c r="P216" s="88"/>
      <c r="Q216" s="88"/>
      <c r="R216" s="88"/>
      <c r="S216" s="88"/>
      <c r="T216" s="88"/>
      <c r="U216" s="88"/>
      <c r="V216" s="88"/>
      <c r="W216" s="88"/>
      <c r="X216" s="88"/>
      <c r="Y216" s="88"/>
      <c r="Z216" s="88"/>
      <c r="AA216" s="88"/>
      <c r="AB216" s="128"/>
      <c r="AC216" s="128"/>
      <c r="AD216" s="128"/>
      <c r="AE216" s="128"/>
      <c r="AF216" s="128"/>
      <c r="AG216" s="128"/>
      <c r="AH216" s="127"/>
    </row>
    <row r="217" spans="1:34" ht="13.2">
      <c r="A217" s="88"/>
      <c r="B217" s="88"/>
      <c r="C217" s="88"/>
      <c r="D217" s="88"/>
      <c r="E217" s="88"/>
      <c r="F217" s="88"/>
      <c r="G217" s="88"/>
      <c r="H217" s="88"/>
      <c r="I217" s="88"/>
      <c r="J217" s="88"/>
      <c r="K217" s="88"/>
      <c r="L217" s="88"/>
      <c r="M217" s="88"/>
      <c r="N217" s="88"/>
      <c r="O217" s="88"/>
      <c r="P217" s="88"/>
      <c r="Q217" s="88"/>
      <c r="R217" s="88"/>
      <c r="S217" s="88"/>
      <c r="T217" s="88"/>
      <c r="U217" s="88"/>
      <c r="V217" s="88"/>
      <c r="W217" s="88"/>
      <c r="X217" s="88"/>
      <c r="Y217" s="88"/>
      <c r="Z217" s="88"/>
      <c r="AA217" s="88"/>
      <c r="AB217" s="128"/>
      <c r="AC217" s="128"/>
      <c r="AD217" s="128"/>
      <c r="AE217" s="128"/>
      <c r="AF217" s="128"/>
      <c r="AG217" s="128"/>
      <c r="AH217" s="127"/>
    </row>
    <row r="218" spans="1:34" ht="13.2">
      <c r="A218" s="88"/>
      <c r="B218" s="88"/>
      <c r="C218" s="88"/>
      <c r="D218" s="88"/>
      <c r="E218" s="88"/>
      <c r="F218" s="88"/>
      <c r="G218" s="88"/>
      <c r="H218" s="88"/>
      <c r="I218" s="88"/>
      <c r="J218" s="88"/>
      <c r="K218" s="88"/>
      <c r="L218" s="88"/>
      <c r="M218" s="88"/>
      <c r="N218" s="88"/>
      <c r="O218" s="88"/>
      <c r="P218" s="88"/>
      <c r="Q218" s="88"/>
      <c r="R218" s="88"/>
      <c r="S218" s="88"/>
      <c r="T218" s="88"/>
      <c r="U218" s="88"/>
      <c r="V218" s="88"/>
      <c r="W218" s="88"/>
      <c r="X218" s="88"/>
      <c r="Y218" s="88"/>
      <c r="Z218" s="88"/>
      <c r="AA218" s="88"/>
      <c r="AB218" s="128"/>
      <c r="AC218" s="128"/>
      <c r="AD218" s="128"/>
      <c r="AE218" s="128"/>
      <c r="AF218" s="128"/>
      <c r="AG218" s="128"/>
      <c r="AH218" s="127"/>
    </row>
    <row r="219" spans="1:34" ht="13.2">
      <c r="A219" s="88"/>
      <c r="B219" s="88"/>
      <c r="C219" s="88"/>
      <c r="D219" s="88"/>
      <c r="E219" s="88"/>
      <c r="F219" s="88"/>
      <c r="G219" s="88"/>
      <c r="H219" s="88"/>
      <c r="I219" s="88"/>
      <c r="J219" s="88"/>
      <c r="K219" s="88"/>
      <c r="L219" s="88"/>
      <c r="M219" s="88"/>
      <c r="N219" s="88"/>
      <c r="O219" s="88"/>
      <c r="P219" s="88"/>
      <c r="Q219" s="88"/>
      <c r="R219" s="88"/>
      <c r="S219" s="88"/>
      <c r="T219" s="88"/>
      <c r="U219" s="88"/>
      <c r="V219" s="88"/>
      <c r="W219" s="88"/>
      <c r="X219" s="88"/>
      <c r="Y219" s="88"/>
      <c r="Z219" s="88"/>
      <c r="AA219" s="88"/>
      <c r="AB219" s="128"/>
      <c r="AC219" s="128"/>
      <c r="AD219" s="128"/>
      <c r="AE219" s="128"/>
      <c r="AF219" s="128"/>
      <c r="AG219" s="128"/>
      <c r="AH219" s="127"/>
    </row>
    <row r="220" spans="1:34" ht="13.2">
      <c r="A220" s="88"/>
      <c r="B220" s="88"/>
      <c r="C220" s="88"/>
      <c r="D220" s="88"/>
      <c r="E220" s="88"/>
      <c r="F220" s="88"/>
      <c r="G220" s="88"/>
      <c r="H220" s="88"/>
      <c r="I220" s="88"/>
      <c r="J220" s="88"/>
      <c r="K220" s="88"/>
      <c r="L220" s="88"/>
      <c r="M220" s="88"/>
      <c r="N220" s="88"/>
      <c r="O220" s="88"/>
      <c r="P220" s="88"/>
      <c r="Q220" s="88"/>
      <c r="R220" s="88"/>
      <c r="S220" s="88"/>
      <c r="T220" s="88"/>
      <c r="U220" s="88"/>
      <c r="V220" s="88"/>
      <c r="W220" s="88"/>
      <c r="X220" s="88"/>
      <c r="Y220" s="88"/>
      <c r="Z220" s="88"/>
      <c r="AA220" s="88"/>
      <c r="AB220" s="128"/>
      <c r="AC220" s="128"/>
      <c r="AD220" s="128"/>
      <c r="AE220" s="128"/>
      <c r="AF220" s="128"/>
      <c r="AG220" s="128"/>
      <c r="AH220" s="127"/>
    </row>
    <row r="221" spans="1:34" ht="13.2">
      <c r="A221" s="88"/>
      <c r="B221" s="88"/>
      <c r="C221" s="88"/>
      <c r="D221" s="88"/>
      <c r="E221" s="88"/>
      <c r="F221" s="88"/>
      <c r="G221" s="88"/>
      <c r="H221" s="88"/>
      <c r="I221" s="88"/>
      <c r="J221" s="88"/>
      <c r="K221" s="88"/>
      <c r="L221" s="88"/>
      <c r="M221" s="88"/>
      <c r="N221" s="88"/>
      <c r="O221" s="88"/>
      <c r="P221" s="88"/>
      <c r="Q221" s="88"/>
      <c r="R221" s="88"/>
      <c r="S221" s="88"/>
      <c r="T221" s="88"/>
      <c r="U221" s="88"/>
      <c r="V221" s="88"/>
      <c r="W221" s="88"/>
      <c r="X221" s="88"/>
      <c r="Y221" s="88"/>
      <c r="Z221" s="88"/>
      <c r="AA221" s="88"/>
      <c r="AB221" s="128"/>
      <c r="AC221" s="128"/>
      <c r="AD221" s="128"/>
      <c r="AE221" s="128"/>
      <c r="AF221" s="128"/>
      <c r="AG221" s="128"/>
      <c r="AH221" s="127"/>
    </row>
    <row r="222" spans="1:34" ht="13.2">
      <c r="A222" s="88"/>
      <c r="B222" s="88"/>
      <c r="C222" s="88"/>
      <c r="D222" s="88"/>
      <c r="E222" s="88"/>
      <c r="F222" s="88"/>
      <c r="G222" s="88"/>
      <c r="H222" s="88"/>
      <c r="I222" s="88"/>
      <c r="J222" s="88"/>
      <c r="K222" s="88"/>
      <c r="L222" s="88"/>
      <c r="M222" s="88"/>
      <c r="N222" s="88"/>
      <c r="O222" s="88"/>
      <c r="P222" s="88"/>
      <c r="Q222" s="88"/>
      <c r="R222" s="88"/>
      <c r="S222" s="88"/>
      <c r="T222" s="88"/>
      <c r="U222" s="88"/>
      <c r="V222" s="88"/>
      <c r="W222" s="88"/>
      <c r="X222" s="88"/>
      <c r="Y222" s="88"/>
      <c r="Z222" s="88"/>
      <c r="AA222" s="88"/>
      <c r="AB222" s="128"/>
      <c r="AC222" s="128"/>
      <c r="AD222" s="128"/>
      <c r="AE222" s="128"/>
      <c r="AF222" s="128"/>
      <c r="AG222" s="128"/>
      <c r="AH222" s="127"/>
    </row>
    <row r="223" spans="1:34" ht="13.2">
      <c r="A223" s="88"/>
      <c r="B223" s="88"/>
      <c r="C223" s="88"/>
      <c r="D223" s="88"/>
      <c r="E223" s="88"/>
      <c r="F223" s="88"/>
      <c r="G223" s="88"/>
      <c r="H223" s="88"/>
      <c r="I223" s="88"/>
      <c r="J223" s="88"/>
      <c r="K223" s="88"/>
      <c r="L223" s="88"/>
      <c r="M223" s="88"/>
      <c r="N223" s="88"/>
      <c r="O223" s="88"/>
      <c r="P223" s="88"/>
      <c r="Q223" s="88"/>
      <c r="R223" s="88"/>
      <c r="S223" s="88"/>
      <c r="T223" s="88"/>
      <c r="U223" s="88"/>
      <c r="V223" s="88"/>
      <c r="W223" s="88"/>
      <c r="X223" s="88"/>
      <c r="Y223" s="88"/>
      <c r="Z223" s="88"/>
      <c r="AA223" s="88"/>
      <c r="AB223" s="128"/>
      <c r="AC223" s="128"/>
      <c r="AD223" s="128"/>
      <c r="AE223" s="128"/>
      <c r="AF223" s="128"/>
      <c r="AG223" s="128"/>
      <c r="AH223" s="127"/>
    </row>
    <row r="224" spans="1:34" ht="13.2">
      <c r="A224" s="88"/>
      <c r="B224" s="88"/>
      <c r="C224" s="88"/>
      <c r="D224" s="88"/>
      <c r="E224" s="88"/>
      <c r="F224" s="88"/>
      <c r="G224" s="88"/>
      <c r="H224" s="88"/>
      <c r="I224" s="88"/>
      <c r="J224" s="88"/>
      <c r="K224" s="88"/>
      <c r="L224" s="88"/>
      <c r="M224" s="88"/>
      <c r="N224" s="88"/>
      <c r="O224" s="88"/>
      <c r="P224" s="88"/>
      <c r="Q224" s="88"/>
      <c r="R224" s="88"/>
      <c r="S224" s="88"/>
      <c r="T224" s="88"/>
      <c r="U224" s="88"/>
      <c r="V224" s="88"/>
      <c r="W224" s="88"/>
      <c r="X224" s="88"/>
      <c r="Y224" s="88"/>
      <c r="Z224" s="88"/>
      <c r="AA224" s="88"/>
      <c r="AB224" s="128"/>
      <c r="AC224" s="128"/>
      <c r="AD224" s="128"/>
      <c r="AE224" s="128"/>
      <c r="AF224" s="128"/>
      <c r="AG224" s="128"/>
      <c r="AH224" s="127"/>
    </row>
    <row r="225" spans="1:34" ht="13.2">
      <c r="A225" s="88"/>
      <c r="B225" s="88"/>
      <c r="C225" s="88"/>
      <c r="D225" s="88"/>
      <c r="E225" s="88"/>
      <c r="F225" s="88"/>
      <c r="G225" s="88"/>
      <c r="H225" s="88"/>
      <c r="I225" s="88"/>
      <c r="J225" s="88"/>
      <c r="K225" s="88"/>
      <c r="L225" s="88"/>
      <c r="M225" s="88"/>
      <c r="N225" s="88"/>
      <c r="O225" s="88"/>
      <c r="P225" s="88"/>
      <c r="Q225" s="88"/>
      <c r="R225" s="88"/>
      <c r="S225" s="88"/>
      <c r="T225" s="88"/>
      <c r="U225" s="88"/>
      <c r="V225" s="88"/>
      <c r="W225" s="88"/>
      <c r="X225" s="88"/>
      <c r="Y225" s="88"/>
      <c r="Z225" s="88"/>
      <c r="AA225" s="88"/>
      <c r="AB225" s="128"/>
      <c r="AC225" s="128"/>
      <c r="AD225" s="128"/>
      <c r="AE225" s="128"/>
      <c r="AF225" s="128"/>
      <c r="AG225" s="128"/>
      <c r="AH225" s="127"/>
    </row>
    <row r="226" spans="1:34" ht="13.2">
      <c r="A226" s="88"/>
      <c r="B226" s="88"/>
      <c r="C226" s="88"/>
      <c r="D226" s="88"/>
      <c r="E226" s="88"/>
      <c r="F226" s="88"/>
      <c r="G226" s="88"/>
      <c r="H226" s="88"/>
      <c r="I226" s="88"/>
      <c r="J226" s="88"/>
      <c r="K226" s="88"/>
      <c r="L226" s="88"/>
      <c r="M226" s="88"/>
      <c r="N226" s="88"/>
      <c r="O226" s="88"/>
      <c r="P226" s="88"/>
      <c r="Q226" s="88"/>
      <c r="R226" s="88"/>
      <c r="S226" s="88"/>
      <c r="T226" s="88"/>
      <c r="U226" s="88"/>
      <c r="V226" s="88"/>
      <c r="W226" s="88"/>
      <c r="X226" s="88"/>
      <c r="Y226" s="88"/>
      <c r="Z226" s="88"/>
      <c r="AA226" s="88"/>
      <c r="AB226" s="128"/>
      <c r="AC226" s="128"/>
      <c r="AD226" s="128"/>
      <c r="AE226" s="128"/>
      <c r="AF226" s="128"/>
      <c r="AG226" s="128"/>
      <c r="AH226" s="127"/>
    </row>
    <row r="227" spans="1:34" ht="13.2">
      <c r="A227" s="88"/>
      <c r="B227" s="88"/>
      <c r="C227" s="88"/>
      <c r="D227" s="88"/>
      <c r="E227" s="88"/>
      <c r="F227" s="88"/>
      <c r="G227" s="88"/>
      <c r="H227" s="88"/>
      <c r="I227" s="88"/>
      <c r="J227" s="88"/>
      <c r="K227" s="88"/>
      <c r="L227" s="88"/>
      <c r="M227" s="88"/>
      <c r="N227" s="88"/>
      <c r="O227" s="88"/>
      <c r="P227" s="88"/>
      <c r="Q227" s="88"/>
      <c r="R227" s="88"/>
      <c r="S227" s="88"/>
      <c r="T227" s="88"/>
      <c r="U227" s="88"/>
      <c r="V227" s="88"/>
      <c r="W227" s="88"/>
      <c r="X227" s="88"/>
      <c r="Y227" s="88"/>
      <c r="Z227" s="88"/>
      <c r="AA227" s="88"/>
      <c r="AB227" s="128"/>
      <c r="AC227" s="128"/>
      <c r="AD227" s="128"/>
      <c r="AE227" s="128"/>
      <c r="AF227" s="128"/>
      <c r="AG227" s="128"/>
      <c r="AH227" s="127"/>
    </row>
    <row r="228" spans="1:34" ht="13.2">
      <c r="A228" s="88"/>
      <c r="B228" s="88"/>
      <c r="C228" s="88"/>
      <c r="D228" s="88"/>
      <c r="E228" s="88"/>
      <c r="F228" s="88"/>
      <c r="G228" s="88"/>
      <c r="H228" s="88"/>
      <c r="I228" s="88"/>
      <c r="J228" s="88"/>
      <c r="K228" s="88"/>
      <c r="L228" s="88"/>
      <c r="M228" s="88"/>
      <c r="N228" s="88"/>
      <c r="O228" s="88"/>
      <c r="P228" s="88"/>
      <c r="Q228" s="88"/>
      <c r="R228" s="88"/>
      <c r="S228" s="88"/>
      <c r="T228" s="88"/>
      <c r="U228" s="88"/>
      <c r="V228" s="88"/>
      <c r="W228" s="88"/>
      <c r="X228" s="88"/>
      <c r="Y228" s="88"/>
      <c r="Z228" s="88"/>
      <c r="AA228" s="88"/>
      <c r="AB228" s="128"/>
      <c r="AC228" s="128"/>
      <c r="AD228" s="128"/>
      <c r="AE228" s="128"/>
      <c r="AF228" s="128"/>
      <c r="AG228" s="128"/>
      <c r="AH228" s="127"/>
    </row>
    <row r="229" spans="1:34" ht="13.2">
      <c r="A229" s="88"/>
      <c r="B229" s="88"/>
      <c r="C229" s="88"/>
      <c r="D229" s="88"/>
      <c r="E229" s="88"/>
      <c r="F229" s="88"/>
      <c r="G229" s="88"/>
      <c r="H229" s="88"/>
      <c r="I229" s="88"/>
      <c r="J229" s="88"/>
      <c r="K229" s="88"/>
      <c r="L229" s="88"/>
      <c r="M229" s="88"/>
      <c r="N229" s="88"/>
      <c r="O229" s="88"/>
      <c r="P229" s="88"/>
      <c r="Q229" s="88"/>
      <c r="R229" s="88"/>
      <c r="S229" s="88"/>
      <c r="T229" s="88"/>
      <c r="U229" s="88"/>
      <c r="V229" s="88"/>
      <c r="W229" s="88"/>
      <c r="X229" s="88"/>
      <c r="Y229" s="88"/>
      <c r="Z229" s="88"/>
      <c r="AA229" s="88"/>
      <c r="AB229" s="128"/>
      <c r="AC229" s="128"/>
      <c r="AD229" s="128"/>
      <c r="AE229" s="128"/>
      <c r="AF229" s="128"/>
      <c r="AG229" s="128"/>
      <c r="AH229" s="127"/>
    </row>
    <row r="230" spans="1:34" ht="13.2">
      <c r="A230" s="88"/>
      <c r="B230" s="88"/>
      <c r="C230" s="88"/>
      <c r="D230" s="88"/>
      <c r="E230" s="88"/>
      <c r="F230" s="88"/>
      <c r="G230" s="88"/>
      <c r="H230" s="88"/>
      <c r="I230" s="88"/>
      <c r="J230" s="88"/>
      <c r="K230" s="88"/>
      <c r="L230" s="88"/>
      <c r="M230" s="88"/>
      <c r="N230" s="88"/>
      <c r="O230" s="88"/>
      <c r="P230" s="88"/>
      <c r="Q230" s="88"/>
      <c r="R230" s="88"/>
      <c r="S230" s="88"/>
      <c r="T230" s="88"/>
      <c r="U230" s="88"/>
      <c r="V230" s="88"/>
      <c r="W230" s="88"/>
      <c r="X230" s="88"/>
      <c r="Y230" s="88"/>
      <c r="Z230" s="88"/>
      <c r="AA230" s="88"/>
      <c r="AB230" s="128"/>
      <c r="AC230" s="128"/>
      <c r="AD230" s="128"/>
      <c r="AE230" s="128"/>
      <c r="AF230" s="128"/>
      <c r="AG230" s="128"/>
      <c r="AH230" s="127"/>
    </row>
    <row r="231" spans="1:34" ht="13.2">
      <c r="A231" s="88"/>
      <c r="B231" s="88"/>
      <c r="C231" s="88"/>
      <c r="D231" s="88"/>
      <c r="E231" s="88"/>
      <c r="F231" s="88"/>
      <c r="G231" s="88"/>
      <c r="H231" s="88"/>
      <c r="I231" s="88"/>
      <c r="J231" s="88"/>
      <c r="K231" s="88"/>
      <c r="L231" s="88"/>
      <c r="M231" s="88"/>
      <c r="N231" s="88"/>
      <c r="O231" s="88"/>
      <c r="P231" s="88"/>
      <c r="Q231" s="88"/>
      <c r="R231" s="88"/>
      <c r="S231" s="88"/>
      <c r="T231" s="88"/>
      <c r="U231" s="88"/>
      <c r="V231" s="88"/>
      <c r="W231" s="88"/>
      <c r="X231" s="88"/>
      <c r="Y231" s="88"/>
      <c r="Z231" s="88"/>
      <c r="AA231" s="88"/>
      <c r="AB231" s="128"/>
      <c r="AC231" s="128"/>
      <c r="AD231" s="128"/>
      <c r="AE231" s="128"/>
      <c r="AF231" s="128"/>
      <c r="AG231" s="128"/>
      <c r="AH231" s="127"/>
    </row>
    <row r="232" spans="1:34" ht="13.2">
      <c r="A232" s="88"/>
      <c r="B232" s="88"/>
      <c r="C232" s="88"/>
      <c r="D232" s="88"/>
      <c r="E232" s="88"/>
      <c r="F232" s="88"/>
      <c r="G232" s="88"/>
      <c r="H232" s="88"/>
      <c r="I232" s="88"/>
      <c r="J232" s="88"/>
      <c r="K232" s="88"/>
      <c r="L232" s="88"/>
      <c r="M232" s="88"/>
      <c r="N232" s="88"/>
      <c r="O232" s="88"/>
      <c r="P232" s="88"/>
      <c r="Q232" s="88"/>
      <c r="R232" s="88"/>
      <c r="S232" s="88"/>
      <c r="T232" s="88"/>
      <c r="U232" s="88"/>
      <c r="V232" s="88"/>
      <c r="W232" s="88"/>
      <c r="X232" s="88"/>
      <c r="Y232" s="88"/>
      <c r="Z232" s="88"/>
      <c r="AA232" s="88"/>
      <c r="AB232" s="128"/>
      <c r="AC232" s="128"/>
      <c r="AD232" s="128"/>
      <c r="AE232" s="128"/>
      <c r="AF232" s="128"/>
      <c r="AG232" s="128"/>
      <c r="AH232" s="127"/>
    </row>
    <row r="233" spans="1:34" ht="13.2">
      <c r="A233" s="88"/>
      <c r="B233" s="88"/>
      <c r="C233" s="88"/>
      <c r="D233" s="88"/>
      <c r="E233" s="88"/>
      <c r="F233" s="88"/>
      <c r="G233" s="88"/>
      <c r="H233" s="88"/>
      <c r="I233" s="88"/>
      <c r="J233" s="88"/>
      <c r="K233" s="88"/>
      <c r="L233" s="88"/>
      <c r="M233" s="88"/>
      <c r="N233" s="88"/>
      <c r="O233" s="88"/>
      <c r="P233" s="88"/>
      <c r="Q233" s="88"/>
      <c r="R233" s="88"/>
      <c r="S233" s="88"/>
      <c r="T233" s="88"/>
      <c r="U233" s="88"/>
      <c r="V233" s="88"/>
      <c r="W233" s="88"/>
      <c r="X233" s="88"/>
      <c r="Y233" s="88"/>
      <c r="Z233" s="88"/>
      <c r="AA233" s="88"/>
      <c r="AB233" s="128"/>
      <c r="AC233" s="128"/>
      <c r="AD233" s="128"/>
      <c r="AE233" s="128"/>
      <c r="AF233" s="128"/>
      <c r="AG233" s="128"/>
      <c r="AH233" s="127"/>
    </row>
    <row r="234" spans="1:34" ht="13.2">
      <c r="A234" s="88"/>
      <c r="B234" s="88"/>
      <c r="C234" s="88"/>
      <c r="D234" s="88"/>
      <c r="E234" s="88"/>
      <c r="F234" s="88"/>
      <c r="G234" s="88"/>
      <c r="H234" s="88"/>
      <c r="I234" s="88"/>
      <c r="J234" s="88"/>
      <c r="K234" s="88"/>
      <c r="L234" s="88"/>
      <c r="M234" s="88"/>
      <c r="N234" s="88"/>
      <c r="O234" s="88"/>
      <c r="P234" s="88"/>
      <c r="Q234" s="88"/>
      <c r="R234" s="88"/>
      <c r="S234" s="88"/>
      <c r="T234" s="88"/>
      <c r="U234" s="88"/>
      <c r="V234" s="88"/>
      <c r="W234" s="88"/>
      <c r="X234" s="88"/>
      <c r="Y234" s="88"/>
      <c r="Z234" s="88"/>
      <c r="AA234" s="88"/>
      <c r="AB234" s="128"/>
      <c r="AC234" s="128"/>
      <c r="AD234" s="128"/>
      <c r="AE234" s="128"/>
      <c r="AF234" s="128"/>
      <c r="AG234" s="128"/>
      <c r="AH234" s="127"/>
    </row>
    <row r="235" spans="1:34" ht="13.2">
      <c r="A235" s="88"/>
      <c r="B235" s="88"/>
      <c r="C235" s="88"/>
      <c r="D235" s="88"/>
      <c r="E235" s="88"/>
      <c r="F235" s="88"/>
      <c r="G235" s="88"/>
      <c r="H235" s="88"/>
      <c r="I235" s="88"/>
      <c r="J235" s="88"/>
      <c r="K235" s="88"/>
      <c r="L235" s="88"/>
      <c r="M235" s="88"/>
      <c r="N235" s="88"/>
      <c r="O235" s="88"/>
      <c r="P235" s="88"/>
      <c r="Q235" s="88"/>
      <c r="R235" s="88"/>
      <c r="S235" s="88"/>
      <c r="T235" s="88"/>
      <c r="U235" s="88"/>
      <c r="V235" s="88"/>
      <c r="W235" s="88"/>
      <c r="X235" s="88"/>
      <c r="Y235" s="88"/>
      <c r="Z235" s="88"/>
      <c r="AA235" s="88"/>
      <c r="AB235" s="128"/>
      <c r="AC235" s="128"/>
      <c r="AD235" s="128"/>
      <c r="AE235" s="128"/>
      <c r="AF235" s="128"/>
      <c r="AG235" s="128"/>
      <c r="AH235" s="127"/>
    </row>
    <row r="236" spans="1:34" ht="13.2">
      <c r="A236" s="88"/>
      <c r="B236" s="88"/>
      <c r="C236" s="88"/>
      <c r="D236" s="88"/>
      <c r="E236" s="88"/>
      <c r="F236" s="88"/>
      <c r="G236" s="88"/>
      <c r="H236" s="88"/>
      <c r="I236" s="88"/>
      <c r="J236" s="88"/>
      <c r="K236" s="88"/>
      <c r="L236" s="88"/>
      <c r="M236" s="88"/>
      <c r="N236" s="88"/>
      <c r="O236" s="88"/>
      <c r="P236" s="88"/>
      <c r="Q236" s="88"/>
      <c r="R236" s="88"/>
      <c r="S236" s="88"/>
      <c r="T236" s="88"/>
      <c r="U236" s="88"/>
      <c r="V236" s="88"/>
      <c r="W236" s="88"/>
      <c r="X236" s="88"/>
      <c r="Y236" s="88"/>
      <c r="Z236" s="88"/>
      <c r="AA236" s="88"/>
      <c r="AB236" s="128"/>
      <c r="AC236" s="128"/>
      <c r="AD236" s="128"/>
      <c r="AE236" s="128"/>
      <c r="AF236" s="128"/>
      <c r="AG236" s="128"/>
      <c r="AH236" s="127"/>
    </row>
    <row r="237" spans="1:34" ht="13.2">
      <c r="A237" s="88"/>
      <c r="B237" s="88"/>
      <c r="C237" s="88"/>
      <c r="D237" s="88"/>
      <c r="E237" s="88"/>
      <c r="F237" s="88"/>
      <c r="G237" s="88"/>
      <c r="H237" s="88"/>
      <c r="I237" s="88"/>
      <c r="J237" s="88"/>
      <c r="K237" s="88"/>
      <c r="L237" s="88"/>
      <c r="M237" s="88"/>
      <c r="N237" s="88"/>
      <c r="O237" s="88"/>
      <c r="P237" s="88"/>
      <c r="Q237" s="88"/>
      <c r="R237" s="88"/>
      <c r="S237" s="88"/>
      <c r="T237" s="88"/>
      <c r="U237" s="88"/>
      <c r="V237" s="88"/>
      <c r="W237" s="88"/>
      <c r="X237" s="88"/>
      <c r="Y237" s="88"/>
      <c r="Z237" s="88"/>
      <c r="AA237" s="88"/>
      <c r="AB237" s="128"/>
      <c r="AC237" s="128"/>
      <c r="AD237" s="128"/>
      <c r="AE237" s="128"/>
      <c r="AF237" s="128"/>
      <c r="AG237" s="128"/>
      <c r="AH237" s="127"/>
    </row>
    <row r="238" spans="1:34" ht="13.2">
      <c r="A238" s="88"/>
      <c r="B238" s="88"/>
      <c r="C238" s="88"/>
      <c r="D238" s="88"/>
      <c r="E238" s="88"/>
      <c r="F238" s="88"/>
      <c r="G238" s="88"/>
      <c r="H238" s="88"/>
      <c r="I238" s="88"/>
      <c r="J238" s="88"/>
      <c r="K238" s="88"/>
      <c r="L238" s="88"/>
      <c r="M238" s="88"/>
      <c r="N238" s="88"/>
      <c r="O238" s="88"/>
      <c r="P238" s="88"/>
      <c r="Q238" s="88"/>
      <c r="R238" s="88"/>
      <c r="S238" s="88"/>
      <c r="T238" s="88"/>
      <c r="U238" s="88"/>
      <c r="V238" s="88"/>
      <c r="W238" s="88"/>
      <c r="X238" s="88"/>
      <c r="Y238" s="88"/>
      <c r="Z238" s="88"/>
      <c r="AA238" s="88"/>
      <c r="AB238" s="128"/>
      <c r="AC238" s="128"/>
      <c r="AD238" s="128"/>
      <c r="AE238" s="128"/>
      <c r="AF238" s="128"/>
      <c r="AG238" s="128"/>
      <c r="AH238" s="127"/>
    </row>
    <row r="239" spans="1:34" ht="13.2">
      <c r="A239" s="88"/>
      <c r="B239" s="88"/>
      <c r="C239" s="88"/>
      <c r="D239" s="88"/>
      <c r="E239" s="88"/>
      <c r="F239" s="88"/>
      <c r="G239" s="88"/>
      <c r="H239" s="88"/>
      <c r="I239" s="88"/>
      <c r="J239" s="88"/>
      <c r="K239" s="88"/>
      <c r="L239" s="88"/>
      <c r="M239" s="88"/>
      <c r="N239" s="88"/>
      <c r="O239" s="88"/>
      <c r="P239" s="88"/>
      <c r="Q239" s="88"/>
      <c r="R239" s="88"/>
      <c r="S239" s="88"/>
      <c r="T239" s="88"/>
      <c r="U239" s="88"/>
      <c r="V239" s="88"/>
      <c r="W239" s="88"/>
      <c r="X239" s="88"/>
      <c r="Y239" s="88"/>
      <c r="Z239" s="88"/>
      <c r="AA239" s="88"/>
      <c r="AB239" s="128"/>
      <c r="AC239" s="128"/>
      <c r="AD239" s="128"/>
      <c r="AE239" s="128"/>
      <c r="AF239" s="128"/>
      <c r="AG239" s="128"/>
      <c r="AH239" s="127"/>
    </row>
    <row r="240" spans="1:34" ht="13.2">
      <c r="A240" s="88"/>
      <c r="B240" s="88"/>
      <c r="C240" s="88"/>
      <c r="D240" s="88"/>
      <c r="E240" s="88"/>
      <c r="F240" s="88"/>
      <c r="G240" s="88"/>
      <c r="H240" s="88"/>
      <c r="I240" s="88"/>
      <c r="J240" s="88"/>
      <c r="K240" s="88"/>
      <c r="L240" s="88"/>
      <c r="M240" s="88"/>
      <c r="N240" s="88"/>
      <c r="O240" s="88"/>
      <c r="P240" s="88"/>
      <c r="Q240" s="88"/>
      <c r="R240" s="88"/>
      <c r="S240" s="88"/>
      <c r="T240" s="88"/>
      <c r="U240" s="88"/>
      <c r="V240" s="88"/>
      <c r="W240" s="88"/>
      <c r="X240" s="88"/>
      <c r="Y240" s="88"/>
      <c r="Z240" s="88"/>
      <c r="AA240" s="88"/>
      <c r="AB240" s="128"/>
      <c r="AC240" s="128"/>
      <c r="AD240" s="128"/>
      <c r="AE240" s="128"/>
      <c r="AF240" s="128"/>
      <c r="AG240" s="128"/>
      <c r="AH240" s="127"/>
    </row>
    <row r="241" spans="1:34" ht="13.2">
      <c r="A241" s="88"/>
      <c r="B241" s="88"/>
      <c r="C241" s="88"/>
      <c r="D241" s="88"/>
      <c r="E241" s="88"/>
      <c r="F241" s="88"/>
      <c r="G241" s="88"/>
      <c r="H241" s="88"/>
      <c r="I241" s="88"/>
      <c r="J241" s="88"/>
      <c r="K241" s="88"/>
      <c r="L241" s="88"/>
      <c r="M241" s="88"/>
      <c r="N241" s="88"/>
      <c r="O241" s="88"/>
      <c r="P241" s="88"/>
      <c r="Q241" s="88"/>
      <c r="R241" s="88"/>
      <c r="S241" s="88"/>
      <c r="T241" s="88"/>
      <c r="U241" s="88"/>
      <c r="V241" s="88"/>
      <c r="W241" s="88"/>
      <c r="X241" s="88"/>
      <c r="Y241" s="88"/>
      <c r="Z241" s="88"/>
      <c r="AA241" s="88"/>
      <c r="AB241" s="128"/>
      <c r="AC241" s="128"/>
      <c r="AD241" s="128"/>
      <c r="AE241" s="128"/>
      <c r="AF241" s="128"/>
      <c r="AG241" s="128"/>
      <c r="AH241" s="127"/>
    </row>
    <row r="242" spans="1:34" ht="13.2">
      <c r="A242" s="88"/>
      <c r="B242" s="88"/>
      <c r="C242" s="88"/>
      <c r="D242" s="88"/>
      <c r="E242" s="88"/>
      <c r="F242" s="88"/>
      <c r="G242" s="88"/>
      <c r="H242" s="88"/>
      <c r="I242" s="88"/>
      <c r="J242" s="88"/>
      <c r="K242" s="88"/>
      <c r="L242" s="88"/>
      <c r="M242" s="88"/>
      <c r="N242" s="88"/>
      <c r="O242" s="88"/>
      <c r="P242" s="88"/>
      <c r="Q242" s="88"/>
      <c r="R242" s="88"/>
      <c r="S242" s="88"/>
      <c r="T242" s="88"/>
      <c r="U242" s="88"/>
      <c r="V242" s="88"/>
      <c r="W242" s="88"/>
      <c r="X242" s="88"/>
      <c r="Y242" s="88"/>
      <c r="Z242" s="88"/>
      <c r="AA242" s="88"/>
      <c r="AB242" s="128"/>
      <c r="AC242" s="128"/>
      <c r="AD242" s="128"/>
      <c r="AE242" s="128"/>
      <c r="AF242" s="128"/>
      <c r="AG242" s="128"/>
      <c r="AH242" s="127"/>
    </row>
    <row r="243" spans="1:34" ht="13.2">
      <c r="A243" s="88"/>
      <c r="B243" s="88"/>
      <c r="C243" s="88"/>
      <c r="D243" s="88"/>
      <c r="E243" s="88"/>
      <c r="F243" s="88"/>
      <c r="G243" s="88"/>
      <c r="H243" s="88"/>
      <c r="I243" s="88"/>
      <c r="J243" s="88"/>
      <c r="K243" s="88"/>
      <c r="L243" s="88"/>
      <c r="M243" s="88"/>
      <c r="N243" s="88"/>
      <c r="O243" s="88"/>
      <c r="P243" s="88"/>
      <c r="Q243" s="88"/>
      <c r="R243" s="88"/>
      <c r="S243" s="88"/>
      <c r="T243" s="88"/>
      <c r="U243" s="88"/>
      <c r="V243" s="88"/>
      <c r="W243" s="88"/>
      <c r="X243" s="88"/>
      <c r="Y243" s="88"/>
      <c r="Z243" s="88"/>
      <c r="AA243" s="88"/>
      <c r="AB243" s="128"/>
      <c r="AC243" s="128"/>
      <c r="AD243" s="128"/>
      <c r="AE243" s="128"/>
      <c r="AF243" s="128"/>
      <c r="AG243" s="128"/>
      <c r="AH243" s="127"/>
    </row>
    <row r="244" spans="1:34" ht="13.2">
      <c r="A244" s="88"/>
      <c r="B244" s="88"/>
      <c r="C244" s="88"/>
      <c r="D244" s="88"/>
      <c r="E244" s="88"/>
      <c r="F244" s="88"/>
      <c r="G244" s="88"/>
      <c r="H244" s="88"/>
      <c r="I244" s="88"/>
      <c r="J244" s="88"/>
      <c r="K244" s="88"/>
      <c r="L244" s="88"/>
      <c r="M244" s="88"/>
      <c r="N244" s="88"/>
      <c r="O244" s="88"/>
      <c r="P244" s="88"/>
      <c r="Q244" s="88"/>
      <c r="R244" s="88"/>
      <c r="S244" s="88"/>
      <c r="T244" s="88"/>
      <c r="U244" s="88"/>
      <c r="V244" s="88"/>
      <c r="W244" s="88"/>
      <c r="X244" s="88"/>
      <c r="Y244" s="88"/>
      <c r="Z244" s="88"/>
      <c r="AA244" s="88"/>
      <c r="AB244" s="128"/>
      <c r="AC244" s="128"/>
      <c r="AD244" s="128"/>
      <c r="AE244" s="128"/>
      <c r="AF244" s="128"/>
      <c r="AG244" s="128"/>
      <c r="AH244" s="127"/>
    </row>
    <row r="245" spans="1:34" ht="13.2">
      <c r="A245" s="88"/>
      <c r="B245" s="88"/>
      <c r="C245" s="88"/>
      <c r="D245" s="88"/>
      <c r="E245" s="88"/>
      <c r="F245" s="88"/>
      <c r="G245" s="88"/>
      <c r="H245" s="88"/>
      <c r="I245" s="88"/>
      <c r="J245" s="88"/>
      <c r="K245" s="88"/>
      <c r="L245" s="88"/>
      <c r="M245" s="88"/>
      <c r="N245" s="88"/>
      <c r="O245" s="88"/>
      <c r="P245" s="88"/>
      <c r="Q245" s="88"/>
      <c r="R245" s="88"/>
      <c r="S245" s="88"/>
      <c r="T245" s="88"/>
      <c r="U245" s="88"/>
      <c r="V245" s="88"/>
      <c r="W245" s="88"/>
      <c r="X245" s="88"/>
      <c r="Y245" s="88"/>
      <c r="Z245" s="88"/>
      <c r="AA245" s="88"/>
      <c r="AB245" s="128"/>
      <c r="AC245" s="128"/>
      <c r="AD245" s="128"/>
      <c r="AE245" s="128"/>
      <c r="AF245" s="128"/>
      <c r="AG245" s="128"/>
      <c r="AH245" s="127"/>
    </row>
    <row r="246" spans="1:34" ht="13.2">
      <c r="A246" s="88"/>
      <c r="B246" s="88"/>
      <c r="C246" s="88"/>
      <c r="D246" s="88"/>
      <c r="E246" s="88"/>
      <c r="F246" s="88"/>
      <c r="G246" s="88"/>
      <c r="H246" s="88"/>
      <c r="I246" s="88"/>
      <c r="J246" s="88"/>
      <c r="K246" s="88"/>
      <c r="L246" s="88"/>
      <c r="M246" s="88"/>
      <c r="N246" s="88"/>
      <c r="O246" s="88"/>
      <c r="P246" s="88"/>
      <c r="Q246" s="88"/>
      <c r="R246" s="88"/>
      <c r="S246" s="88"/>
      <c r="T246" s="88"/>
      <c r="U246" s="88"/>
      <c r="V246" s="88"/>
      <c r="W246" s="88"/>
      <c r="X246" s="88"/>
      <c r="Y246" s="88"/>
      <c r="Z246" s="88"/>
      <c r="AA246" s="88"/>
      <c r="AB246" s="128"/>
      <c r="AC246" s="128"/>
      <c r="AD246" s="128"/>
      <c r="AE246" s="128"/>
      <c r="AF246" s="128"/>
      <c r="AG246" s="128"/>
      <c r="AH246" s="127"/>
    </row>
    <row r="247" spans="1:34" ht="13.2">
      <c r="A247" s="88"/>
      <c r="B247" s="88"/>
      <c r="C247" s="88"/>
      <c r="D247" s="88"/>
      <c r="E247" s="88"/>
      <c r="F247" s="88"/>
      <c r="G247" s="88"/>
      <c r="H247" s="88"/>
      <c r="I247" s="88"/>
      <c r="J247" s="88"/>
      <c r="K247" s="88"/>
      <c r="L247" s="88"/>
      <c r="M247" s="88"/>
      <c r="N247" s="88"/>
      <c r="O247" s="88"/>
      <c r="P247" s="88"/>
      <c r="Q247" s="88"/>
      <c r="R247" s="88"/>
      <c r="S247" s="88"/>
      <c r="T247" s="88"/>
      <c r="U247" s="88"/>
      <c r="V247" s="88"/>
      <c r="W247" s="88"/>
      <c r="X247" s="88"/>
      <c r="Y247" s="88"/>
      <c r="Z247" s="88"/>
      <c r="AA247" s="88"/>
      <c r="AB247" s="128"/>
      <c r="AC247" s="128"/>
      <c r="AD247" s="128"/>
      <c r="AE247" s="128"/>
      <c r="AF247" s="128"/>
      <c r="AG247" s="128"/>
      <c r="AH247" s="127"/>
    </row>
    <row r="248" spans="1:34" ht="13.2">
      <c r="A248" s="88"/>
      <c r="B248" s="88"/>
      <c r="C248" s="88"/>
      <c r="D248" s="88"/>
      <c r="E248" s="88"/>
      <c r="F248" s="88"/>
      <c r="G248" s="88"/>
      <c r="H248" s="88"/>
      <c r="I248" s="88"/>
      <c r="J248" s="88"/>
      <c r="K248" s="88"/>
      <c r="L248" s="88"/>
      <c r="M248" s="88"/>
      <c r="N248" s="88"/>
      <c r="O248" s="88"/>
      <c r="P248" s="88"/>
      <c r="Q248" s="88"/>
      <c r="R248" s="88"/>
      <c r="S248" s="88"/>
      <c r="T248" s="88"/>
      <c r="U248" s="88"/>
      <c r="V248" s="88"/>
      <c r="W248" s="88"/>
      <c r="X248" s="88"/>
      <c r="Y248" s="88"/>
      <c r="Z248" s="88"/>
      <c r="AA248" s="88"/>
      <c r="AB248" s="128"/>
      <c r="AC248" s="128"/>
      <c r="AD248" s="128"/>
      <c r="AE248" s="128"/>
      <c r="AF248" s="128"/>
      <c r="AG248" s="128"/>
      <c r="AH248" s="127"/>
    </row>
    <row r="249" spans="1:34" ht="13.2">
      <c r="A249" s="88"/>
      <c r="B249" s="88"/>
      <c r="C249" s="88"/>
      <c r="D249" s="88"/>
      <c r="E249" s="88"/>
      <c r="F249" s="88"/>
      <c r="G249" s="88"/>
      <c r="H249" s="88"/>
      <c r="I249" s="88"/>
      <c r="J249" s="88"/>
      <c r="K249" s="88"/>
      <c r="L249" s="88"/>
      <c r="M249" s="88"/>
      <c r="N249" s="88"/>
      <c r="O249" s="88"/>
      <c r="P249" s="88"/>
      <c r="Q249" s="88"/>
      <c r="R249" s="88"/>
      <c r="S249" s="88"/>
      <c r="T249" s="88"/>
      <c r="U249" s="88"/>
      <c r="V249" s="88"/>
      <c r="W249" s="88"/>
      <c r="X249" s="88"/>
      <c r="Y249" s="88"/>
      <c r="Z249" s="88"/>
      <c r="AA249" s="88"/>
      <c r="AB249" s="128"/>
      <c r="AC249" s="128"/>
      <c r="AD249" s="128"/>
      <c r="AE249" s="128"/>
      <c r="AF249" s="128"/>
      <c r="AG249" s="128"/>
      <c r="AH249" s="127"/>
    </row>
    <row r="250" spans="1:34" ht="13.2">
      <c r="A250" s="88"/>
      <c r="B250" s="88"/>
      <c r="C250" s="88"/>
      <c r="D250" s="88"/>
      <c r="E250" s="88"/>
      <c r="F250" s="88"/>
      <c r="G250" s="88"/>
      <c r="H250" s="88"/>
      <c r="I250" s="88"/>
      <c r="J250" s="88"/>
      <c r="K250" s="88"/>
      <c r="L250" s="88"/>
      <c r="M250" s="88"/>
      <c r="N250" s="88"/>
      <c r="O250" s="88"/>
      <c r="P250" s="88"/>
      <c r="Q250" s="88"/>
      <c r="R250" s="88"/>
      <c r="S250" s="88"/>
      <c r="T250" s="88"/>
      <c r="U250" s="88"/>
      <c r="V250" s="88"/>
      <c r="W250" s="88"/>
      <c r="X250" s="88"/>
      <c r="Y250" s="88"/>
      <c r="Z250" s="88"/>
      <c r="AA250" s="88"/>
      <c r="AB250" s="128"/>
      <c r="AC250" s="128"/>
      <c r="AD250" s="128"/>
      <c r="AE250" s="128"/>
      <c r="AF250" s="128"/>
      <c r="AG250" s="128"/>
      <c r="AH250" s="127"/>
    </row>
    <row r="251" spans="1:34" ht="13.2">
      <c r="A251" s="88"/>
      <c r="B251" s="88"/>
      <c r="C251" s="88"/>
      <c r="D251" s="88"/>
      <c r="E251" s="88"/>
      <c r="F251" s="88"/>
      <c r="G251" s="88"/>
      <c r="H251" s="88"/>
      <c r="I251" s="88"/>
      <c r="J251" s="88"/>
      <c r="K251" s="88"/>
      <c r="L251" s="88"/>
      <c r="M251" s="88"/>
      <c r="N251" s="88"/>
      <c r="O251" s="88"/>
      <c r="P251" s="88"/>
      <c r="Q251" s="88"/>
      <c r="R251" s="88"/>
      <c r="S251" s="88"/>
      <c r="T251" s="88"/>
      <c r="U251" s="88"/>
      <c r="V251" s="88"/>
      <c r="W251" s="88"/>
      <c r="X251" s="88"/>
      <c r="Y251" s="88"/>
      <c r="Z251" s="88"/>
      <c r="AA251" s="88"/>
      <c r="AB251" s="128"/>
      <c r="AC251" s="128"/>
      <c r="AD251" s="128"/>
      <c r="AE251" s="128"/>
      <c r="AF251" s="128"/>
      <c r="AG251" s="128"/>
      <c r="AH251" s="127"/>
    </row>
    <row r="252" spans="1:34" ht="13.2">
      <c r="A252" s="88"/>
      <c r="B252" s="88"/>
      <c r="C252" s="88"/>
      <c r="D252" s="88"/>
      <c r="E252" s="88"/>
      <c r="F252" s="88"/>
      <c r="G252" s="88"/>
      <c r="H252" s="88"/>
      <c r="I252" s="88"/>
      <c r="J252" s="88"/>
      <c r="K252" s="88"/>
      <c r="L252" s="88"/>
      <c r="M252" s="88"/>
      <c r="N252" s="88"/>
      <c r="O252" s="88"/>
      <c r="P252" s="88"/>
      <c r="Q252" s="88"/>
      <c r="R252" s="88"/>
      <c r="S252" s="88"/>
      <c r="T252" s="88"/>
      <c r="U252" s="88"/>
      <c r="V252" s="88"/>
      <c r="W252" s="88"/>
      <c r="X252" s="88"/>
      <c r="Y252" s="88"/>
      <c r="Z252" s="88"/>
      <c r="AA252" s="88"/>
      <c r="AB252" s="128"/>
      <c r="AC252" s="128"/>
      <c r="AD252" s="128"/>
      <c r="AE252" s="128"/>
      <c r="AF252" s="128"/>
      <c r="AG252" s="128"/>
      <c r="AH252" s="127"/>
    </row>
    <row r="253" spans="1:34" ht="13.2">
      <c r="A253" s="88"/>
      <c r="B253" s="88"/>
      <c r="C253" s="88"/>
      <c r="D253" s="88"/>
      <c r="E253" s="88"/>
      <c r="F253" s="88"/>
      <c r="G253" s="88"/>
      <c r="H253" s="88"/>
      <c r="I253" s="88"/>
      <c r="J253" s="88"/>
      <c r="K253" s="88"/>
      <c r="L253" s="88"/>
      <c r="M253" s="88"/>
      <c r="N253" s="88"/>
      <c r="O253" s="88"/>
      <c r="P253" s="88"/>
      <c r="Q253" s="88"/>
      <c r="R253" s="88"/>
      <c r="S253" s="88"/>
      <c r="T253" s="88"/>
      <c r="U253" s="88"/>
      <c r="V253" s="88"/>
      <c r="W253" s="88"/>
      <c r="X253" s="88"/>
      <c r="Y253" s="88"/>
      <c r="Z253" s="88"/>
      <c r="AA253" s="88"/>
      <c r="AB253" s="128"/>
      <c r="AC253" s="128"/>
      <c r="AD253" s="128"/>
      <c r="AE253" s="128"/>
      <c r="AF253" s="128"/>
      <c r="AG253" s="128"/>
      <c r="AH253" s="127"/>
    </row>
    <row r="254" spans="1:34" ht="13.2">
      <c r="A254" s="88"/>
      <c r="B254" s="88"/>
      <c r="C254" s="88"/>
      <c r="D254" s="88"/>
      <c r="E254" s="88"/>
      <c r="F254" s="88"/>
      <c r="G254" s="88"/>
      <c r="H254" s="88"/>
      <c r="I254" s="88"/>
      <c r="J254" s="88"/>
      <c r="K254" s="88"/>
      <c r="L254" s="88"/>
      <c r="M254" s="88"/>
      <c r="N254" s="88"/>
      <c r="O254" s="88"/>
      <c r="P254" s="88"/>
      <c r="Q254" s="88"/>
      <c r="R254" s="88"/>
      <c r="S254" s="88"/>
      <c r="T254" s="88"/>
      <c r="U254" s="88"/>
      <c r="V254" s="88"/>
      <c r="W254" s="88"/>
      <c r="X254" s="88"/>
      <c r="Y254" s="88"/>
      <c r="Z254" s="88"/>
      <c r="AA254" s="88"/>
      <c r="AB254" s="128"/>
      <c r="AC254" s="128"/>
      <c r="AD254" s="128"/>
      <c r="AE254" s="128"/>
      <c r="AF254" s="128"/>
      <c r="AG254" s="128"/>
      <c r="AH254" s="127"/>
    </row>
    <row r="255" spans="1:34" ht="13.2">
      <c r="A255" s="88"/>
      <c r="B255" s="88"/>
      <c r="C255" s="88"/>
      <c r="D255" s="88"/>
      <c r="E255" s="88"/>
      <c r="F255" s="88"/>
      <c r="G255" s="88"/>
      <c r="H255" s="88"/>
      <c r="I255" s="88"/>
      <c r="J255" s="88"/>
      <c r="K255" s="88"/>
      <c r="L255" s="88"/>
      <c r="M255" s="88"/>
      <c r="N255" s="88"/>
      <c r="O255" s="88"/>
      <c r="P255" s="88"/>
      <c r="Q255" s="88"/>
      <c r="R255" s="88"/>
      <c r="S255" s="88"/>
      <c r="T255" s="88"/>
      <c r="U255" s="88"/>
      <c r="V255" s="88"/>
      <c r="W255" s="88"/>
      <c r="X255" s="88"/>
      <c r="Y255" s="88"/>
      <c r="Z255" s="88"/>
      <c r="AA255" s="88"/>
      <c r="AB255" s="128"/>
      <c r="AC255" s="128"/>
      <c r="AD255" s="128"/>
      <c r="AE255" s="128"/>
      <c r="AF255" s="128"/>
      <c r="AG255" s="128"/>
      <c r="AH255" s="127"/>
    </row>
    <row r="256" spans="1:34" ht="13.2">
      <c r="A256" s="88"/>
      <c r="B256" s="88"/>
      <c r="C256" s="88"/>
      <c r="D256" s="88"/>
      <c r="E256" s="88"/>
      <c r="F256" s="88"/>
      <c r="G256" s="88"/>
      <c r="H256" s="88"/>
      <c r="I256" s="88"/>
      <c r="J256" s="88"/>
      <c r="K256" s="88"/>
      <c r="L256" s="88"/>
      <c r="M256" s="88"/>
      <c r="N256" s="88"/>
      <c r="O256" s="88"/>
      <c r="P256" s="88"/>
      <c r="Q256" s="88"/>
      <c r="R256" s="88"/>
      <c r="S256" s="88"/>
      <c r="T256" s="88"/>
      <c r="U256" s="88"/>
      <c r="V256" s="88"/>
      <c r="W256" s="88"/>
      <c r="X256" s="88"/>
      <c r="Y256" s="88"/>
      <c r="Z256" s="88"/>
      <c r="AA256" s="88"/>
      <c r="AB256" s="128"/>
      <c r="AC256" s="128"/>
      <c r="AD256" s="128"/>
      <c r="AE256" s="128"/>
      <c r="AF256" s="128"/>
      <c r="AG256" s="128"/>
      <c r="AH256" s="127"/>
    </row>
    <row r="257" spans="1:34" ht="13.2">
      <c r="A257" s="88"/>
      <c r="B257" s="88"/>
      <c r="C257" s="88"/>
      <c r="D257" s="88"/>
      <c r="E257" s="88"/>
      <c r="F257" s="88"/>
      <c r="G257" s="88"/>
      <c r="H257" s="88"/>
      <c r="I257" s="88"/>
      <c r="J257" s="88"/>
      <c r="K257" s="88"/>
      <c r="L257" s="88"/>
      <c r="M257" s="88"/>
      <c r="N257" s="88"/>
      <c r="O257" s="88"/>
      <c r="P257" s="88"/>
      <c r="Q257" s="88"/>
      <c r="R257" s="88"/>
      <c r="S257" s="88"/>
      <c r="T257" s="88"/>
      <c r="U257" s="88"/>
      <c r="V257" s="88"/>
      <c r="W257" s="88"/>
      <c r="X257" s="88"/>
      <c r="Y257" s="88"/>
      <c r="Z257" s="88"/>
      <c r="AA257" s="88"/>
      <c r="AB257" s="128"/>
      <c r="AC257" s="128"/>
      <c r="AD257" s="128"/>
      <c r="AE257" s="128"/>
      <c r="AF257" s="128"/>
      <c r="AG257" s="128"/>
      <c r="AH257" s="127"/>
    </row>
    <row r="258" spans="1:34" ht="13.2">
      <c r="A258" s="88"/>
      <c r="B258" s="88"/>
      <c r="C258" s="88"/>
      <c r="D258" s="88"/>
      <c r="E258" s="88"/>
      <c r="F258" s="88"/>
      <c r="G258" s="88"/>
      <c r="H258" s="88"/>
      <c r="I258" s="88"/>
      <c r="J258" s="88"/>
      <c r="K258" s="88"/>
      <c r="L258" s="88"/>
      <c r="M258" s="88"/>
      <c r="N258" s="88"/>
      <c r="O258" s="88"/>
      <c r="P258" s="88"/>
      <c r="Q258" s="88"/>
      <c r="R258" s="88"/>
      <c r="S258" s="88"/>
      <c r="T258" s="88"/>
      <c r="U258" s="88"/>
      <c r="V258" s="88"/>
      <c r="W258" s="88"/>
      <c r="X258" s="88"/>
      <c r="Y258" s="88"/>
      <c r="Z258" s="88"/>
      <c r="AA258" s="88"/>
      <c r="AB258" s="128"/>
      <c r="AC258" s="128"/>
      <c r="AD258" s="128"/>
      <c r="AE258" s="128"/>
      <c r="AF258" s="128"/>
      <c r="AG258" s="128"/>
      <c r="AH258" s="127"/>
    </row>
    <row r="259" spans="1:34" ht="13.2">
      <c r="A259" s="88"/>
      <c r="B259" s="88"/>
      <c r="C259" s="88"/>
      <c r="D259" s="88"/>
      <c r="E259" s="88"/>
      <c r="F259" s="88"/>
      <c r="G259" s="88"/>
      <c r="H259" s="88"/>
      <c r="I259" s="88"/>
      <c r="J259" s="88"/>
      <c r="K259" s="88"/>
      <c r="L259" s="88"/>
      <c r="M259" s="88"/>
      <c r="N259" s="88"/>
      <c r="O259" s="88"/>
      <c r="P259" s="88"/>
      <c r="Q259" s="88"/>
      <c r="R259" s="88"/>
      <c r="S259" s="88"/>
      <c r="T259" s="88"/>
      <c r="U259" s="88"/>
      <c r="V259" s="88"/>
      <c r="W259" s="88"/>
      <c r="X259" s="88"/>
      <c r="Y259" s="88"/>
      <c r="Z259" s="88"/>
      <c r="AA259" s="88"/>
      <c r="AB259" s="128"/>
      <c r="AC259" s="128"/>
      <c r="AD259" s="128"/>
      <c r="AE259" s="128"/>
      <c r="AF259" s="128"/>
      <c r="AG259" s="128"/>
      <c r="AH259" s="127"/>
    </row>
    <row r="260" spans="1:34" ht="13.2">
      <c r="A260" s="88"/>
      <c r="B260" s="88"/>
      <c r="C260" s="88"/>
      <c r="D260" s="88"/>
      <c r="E260" s="88"/>
      <c r="F260" s="88"/>
      <c r="G260" s="88"/>
      <c r="H260" s="88"/>
      <c r="I260" s="88"/>
      <c r="J260" s="88"/>
      <c r="K260" s="88"/>
      <c r="L260" s="88"/>
      <c r="M260" s="88"/>
      <c r="N260" s="88"/>
      <c r="O260" s="88"/>
      <c r="P260" s="88"/>
      <c r="Q260" s="88"/>
      <c r="R260" s="88"/>
      <c r="S260" s="88"/>
      <c r="T260" s="88"/>
      <c r="U260" s="88"/>
      <c r="V260" s="88"/>
      <c r="W260" s="88"/>
      <c r="X260" s="88"/>
      <c r="Y260" s="88"/>
      <c r="Z260" s="88"/>
      <c r="AA260" s="88"/>
      <c r="AB260" s="128"/>
      <c r="AC260" s="128"/>
      <c r="AD260" s="128"/>
      <c r="AE260" s="128"/>
      <c r="AF260" s="128"/>
      <c r="AG260" s="128"/>
      <c r="AH260" s="127"/>
    </row>
    <row r="261" spans="1:34" ht="13.2">
      <c r="A261" s="88"/>
      <c r="B261" s="88"/>
      <c r="C261" s="88"/>
      <c r="D261" s="88"/>
      <c r="E261" s="88"/>
      <c r="F261" s="88"/>
      <c r="G261" s="88"/>
      <c r="H261" s="88"/>
      <c r="I261" s="88"/>
      <c r="J261" s="88"/>
      <c r="K261" s="88"/>
      <c r="L261" s="88"/>
      <c r="M261" s="88"/>
      <c r="N261" s="88"/>
      <c r="O261" s="88"/>
      <c r="P261" s="88"/>
      <c r="Q261" s="88"/>
      <c r="R261" s="88"/>
      <c r="S261" s="88"/>
      <c r="T261" s="88"/>
      <c r="U261" s="88"/>
      <c r="V261" s="88"/>
      <c r="W261" s="88"/>
      <c r="X261" s="88"/>
      <c r="Y261" s="88"/>
      <c r="Z261" s="88"/>
      <c r="AA261" s="88"/>
      <c r="AB261" s="128"/>
      <c r="AC261" s="128"/>
      <c r="AD261" s="128"/>
      <c r="AE261" s="128"/>
      <c r="AF261" s="128"/>
      <c r="AG261" s="128"/>
      <c r="AH261" s="127"/>
    </row>
    <row r="262" spans="1:34" ht="13.2">
      <c r="A262" s="88"/>
      <c r="B262" s="88"/>
      <c r="C262" s="88"/>
      <c r="D262" s="88"/>
      <c r="E262" s="88"/>
      <c r="F262" s="88"/>
      <c r="G262" s="88"/>
      <c r="H262" s="88"/>
      <c r="I262" s="88"/>
      <c r="J262" s="88"/>
      <c r="K262" s="88"/>
      <c r="L262" s="88"/>
      <c r="M262" s="88"/>
      <c r="N262" s="88"/>
      <c r="O262" s="88"/>
      <c r="P262" s="88"/>
      <c r="Q262" s="88"/>
      <c r="R262" s="88"/>
      <c r="S262" s="88"/>
      <c r="T262" s="88"/>
      <c r="U262" s="88"/>
      <c r="V262" s="88"/>
      <c r="W262" s="88"/>
      <c r="X262" s="88"/>
      <c r="Y262" s="88"/>
      <c r="Z262" s="88"/>
      <c r="AA262" s="88"/>
      <c r="AB262" s="128"/>
      <c r="AC262" s="128"/>
      <c r="AD262" s="128"/>
      <c r="AE262" s="128"/>
      <c r="AF262" s="128"/>
      <c r="AG262" s="128"/>
      <c r="AH262" s="127"/>
    </row>
    <row r="263" spans="1:34" ht="13.2">
      <c r="A263" s="88"/>
      <c r="B263" s="88"/>
      <c r="C263" s="88"/>
      <c r="D263" s="88"/>
      <c r="E263" s="88"/>
      <c r="F263" s="88"/>
      <c r="G263" s="88"/>
      <c r="H263" s="88"/>
      <c r="I263" s="88"/>
      <c r="J263" s="88"/>
      <c r="K263" s="88"/>
      <c r="L263" s="88"/>
      <c r="M263" s="88"/>
      <c r="N263" s="88"/>
      <c r="O263" s="88"/>
      <c r="P263" s="88"/>
      <c r="Q263" s="88"/>
      <c r="R263" s="88"/>
      <c r="S263" s="88"/>
      <c r="T263" s="88"/>
      <c r="U263" s="88"/>
      <c r="V263" s="88"/>
      <c r="W263" s="88"/>
      <c r="X263" s="88"/>
      <c r="Y263" s="88"/>
      <c r="Z263" s="88"/>
      <c r="AA263" s="88"/>
      <c r="AB263" s="128"/>
      <c r="AC263" s="128"/>
      <c r="AD263" s="128"/>
      <c r="AE263" s="128"/>
      <c r="AF263" s="128"/>
      <c r="AG263" s="128"/>
      <c r="AH263" s="127"/>
    </row>
    <row r="264" spans="1:34" ht="13.2">
      <c r="A264" s="88"/>
      <c r="B264" s="88"/>
      <c r="C264" s="88"/>
      <c r="D264" s="88"/>
      <c r="E264" s="88"/>
      <c r="F264" s="88"/>
      <c r="G264" s="88"/>
      <c r="H264" s="88"/>
      <c r="I264" s="88"/>
      <c r="J264" s="88"/>
      <c r="K264" s="88"/>
      <c r="L264" s="88"/>
      <c r="M264" s="88"/>
      <c r="N264" s="88"/>
      <c r="O264" s="88"/>
      <c r="P264" s="88"/>
      <c r="Q264" s="88"/>
      <c r="R264" s="88"/>
      <c r="S264" s="88"/>
      <c r="T264" s="88"/>
      <c r="U264" s="88"/>
      <c r="V264" s="88"/>
      <c r="W264" s="88"/>
      <c r="X264" s="88"/>
      <c r="Y264" s="88"/>
      <c r="Z264" s="88"/>
      <c r="AA264" s="88"/>
      <c r="AB264" s="128"/>
      <c r="AC264" s="128"/>
      <c r="AD264" s="128"/>
      <c r="AE264" s="128"/>
      <c r="AF264" s="128"/>
      <c r="AG264" s="128"/>
      <c r="AH264" s="127"/>
    </row>
    <row r="265" spans="1:34" ht="13.2">
      <c r="A265" s="88"/>
      <c r="B265" s="88"/>
      <c r="C265" s="88"/>
      <c r="D265" s="88"/>
      <c r="E265" s="88"/>
      <c r="F265" s="88"/>
      <c r="G265" s="88"/>
      <c r="H265" s="88"/>
      <c r="I265" s="88"/>
      <c r="J265" s="88"/>
      <c r="K265" s="88"/>
      <c r="L265" s="88"/>
      <c r="M265" s="88"/>
      <c r="N265" s="88"/>
      <c r="O265" s="88"/>
      <c r="P265" s="88"/>
      <c r="Q265" s="88"/>
      <c r="R265" s="88"/>
      <c r="S265" s="88"/>
      <c r="T265" s="88"/>
      <c r="U265" s="88"/>
      <c r="V265" s="88"/>
      <c r="W265" s="88"/>
      <c r="X265" s="88"/>
      <c r="Y265" s="88"/>
      <c r="Z265" s="88"/>
      <c r="AA265" s="88"/>
      <c r="AB265" s="128"/>
      <c r="AC265" s="128"/>
      <c r="AD265" s="128"/>
      <c r="AE265" s="128"/>
      <c r="AF265" s="128"/>
      <c r="AG265" s="128"/>
      <c r="AH265" s="127"/>
    </row>
    <row r="266" spans="1:34" ht="13.2">
      <c r="A266" s="88"/>
      <c r="B266" s="88"/>
      <c r="C266" s="88"/>
      <c r="D266" s="88"/>
      <c r="E266" s="88"/>
      <c r="F266" s="88"/>
      <c r="G266" s="88"/>
      <c r="H266" s="88"/>
      <c r="I266" s="88"/>
      <c r="J266" s="88"/>
      <c r="K266" s="88"/>
      <c r="L266" s="88"/>
      <c r="M266" s="88"/>
      <c r="N266" s="88"/>
      <c r="O266" s="88"/>
      <c r="P266" s="88"/>
      <c r="Q266" s="88"/>
      <c r="R266" s="88"/>
      <c r="S266" s="88"/>
      <c r="T266" s="88"/>
      <c r="U266" s="88"/>
      <c r="V266" s="88"/>
      <c r="W266" s="88"/>
      <c r="X266" s="88"/>
      <c r="Y266" s="88"/>
      <c r="Z266" s="88"/>
      <c r="AA266" s="88"/>
      <c r="AB266" s="128"/>
      <c r="AC266" s="128"/>
      <c r="AD266" s="128"/>
      <c r="AE266" s="128"/>
      <c r="AF266" s="128"/>
      <c r="AG266" s="128"/>
      <c r="AH266" s="127"/>
    </row>
    <row r="267" spans="1:34" ht="13.2">
      <c r="A267" s="88"/>
      <c r="B267" s="88"/>
      <c r="C267" s="88"/>
      <c r="D267" s="88"/>
      <c r="E267" s="88"/>
      <c r="F267" s="88"/>
      <c r="G267" s="88"/>
      <c r="H267" s="88"/>
      <c r="I267" s="88"/>
      <c r="J267" s="88"/>
      <c r="K267" s="88"/>
      <c r="L267" s="88"/>
      <c r="M267" s="88"/>
      <c r="N267" s="88"/>
      <c r="O267" s="88"/>
      <c r="P267" s="88"/>
      <c r="Q267" s="88"/>
      <c r="R267" s="88"/>
      <c r="S267" s="88"/>
      <c r="T267" s="88"/>
      <c r="U267" s="88"/>
      <c r="V267" s="88"/>
      <c r="W267" s="88"/>
      <c r="X267" s="88"/>
      <c r="Y267" s="88"/>
      <c r="Z267" s="88"/>
      <c r="AA267" s="88"/>
      <c r="AB267" s="128"/>
      <c r="AC267" s="128"/>
      <c r="AD267" s="128"/>
      <c r="AE267" s="128"/>
      <c r="AF267" s="128"/>
      <c r="AG267" s="128"/>
      <c r="AH267" s="127"/>
    </row>
    <row r="268" spans="1:34" ht="13.2">
      <c r="A268" s="88"/>
      <c r="B268" s="88"/>
      <c r="C268" s="88"/>
      <c r="D268" s="88"/>
      <c r="E268" s="88"/>
      <c r="F268" s="88"/>
      <c r="G268" s="88"/>
      <c r="H268" s="88"/>
      <c r="I268" s="88"/>
      <c r="J268" s="88"/>
      <c r="K268" s="88"/>
      <c r="L268" s="88"/>
      <c r="M268" s="88"/>
      <c r="N268" s="88"/>
      <c r="O268" s="88"/>
      <c r="P268" s="88"/>
      <c r="Q268" s="88"/>
      <c r="R268" s="88"/>
      <c r="S268" s="88"/>
      <c r="T268" s="88"/>
      <c r="U268" s="88"/>
      <c r="V268" s="88"/>
      <c r="W268" s="88"/>
      <c r="X268" s="88"/>
      <c r="Y268" s="88"/>
      <c r="Z268" s="88"/>
      <c r="AA268" s="88"/>
      <c r="AB268" s="128"/>
      <c r="AC268" s="128"/>
      <c r="AD268" s="128"/>
      <c r="AE268" s="128"/>
      <c r="AF268" s="128"/>
      <c r="AG268" s="128"/>
      <c r="AH268" s="127"/>
    </row>
    <row r="269" spans="1:34" ht="13.2">
      <c r="A269" s="88"/>
      <c r="B269" s="88"/>
      <c r="C269" s="88"/>
      <c r="D269" s="88"/>
      <c r="E269" s="88"/>
      <c r="F269" s="88"/>
      <c r="G269" s="88"/>
      <c r="H269" s="88"/>
      <c r="I269" s="88"/>
      <c r="J269" s="88"/>
      <c r="K269" s="88"/>
      <c r="L269" s="88"/>
      <c r="M269" s="88"/>
      <c r="N269" s="88"/>
      <c r="O269" s="88"/>
      <c r="P269" s="88"/>
      <c r="Q269" s="88"/>
      <c r="R269" s="88"/>
      <c r="S269" s="88"/>
      <c r="T269" s="88"/>
      <c r="U269" s="88"/>
      <c r="V269" s="88"/>
      <c r="W269" s="88"/>
      <c r="X269" s="88"/>
      <c r="Y269" s="88"/>
      <c r="Z269" s="88"/>
      <c r="AA269" s="88"/>
      <c r="AB269" s="128"/>
      <c r="AC269" s="128"/>
      <c r="AD269" s="128"/>
      <c r="AE269" s="128"/>
      <c r="AF269" s="128"/>
      <c r="AG269" s="128"/>
      <c r="AH269" s="127"/>
    </row>
    <row r="270" spans="1:34" ht="13.2">
      <c r="A270" s="88"/>
      <c r="B270" s="88"/>
      <c r="C270" s="88"/>
      <c r="D270" s="88"/>
      <c r="E270" s="88"/>
      <c r="F270" s="88"/>
      <c r="G270" s="88"/>
      <c r="H270" s="88"/>
      <c r="I270" s="88"/>
      <c r="J270" s="88"/>
      <c r="K270" s="88"/>
      <c r="L270" s="88"/>
      <c r="M270" s="88"/>
      <c r="N270" s="88"/>
      <c r="O270" s="88"/>
      <c r="P270" s="88"/>
      <c r="Q270" s="88"/>
      <c r="R270" s="88"/>
      <c r="S270" s="88"/>
      <c r="T270" s="88"/>
      <c r="U270" s="88"/>
      <c r="V270" s="88"/>
      <c r="W270" s="88"/>
      <c r="X270" s="88"/>
      <c r="Y270" s="88"/>
      <c r="Z270" s="88"/>
      <c r="AA270" s="88"/>
      <c r="AB270" s="128"/>
      <c r="AC270" s="128"/>
      <c r="AD270" s="128"/>
      <c r="AE270" s="128"/>
      <c r="AF270" s="128"/>
      <c r="AG270" s="128"/>
      <c r="AH270" s="127"/>
    </row>
    <row r="271" spans="1:34" ht="13.2">
      <c r="A271" s="88"/>
      <c r="B271" s="88"/>
      <c r="C271" s="88"/>
      <c r="D271" s="88"/>
      <c r="E271" s="88"/>
      <c r="F271" s="88"/>
      <c r="G271" s="88"/>
      <c r="H271" s="88"/>
      <c r="I271" s="88"/>
      <c r="J271" s="88"/>
      <c r="K271" s="88"/>
      <c r="L271" s="88"/>
      <c r="M271" s="88"/>
      <c r="N271" s="88"/>
      <c r="O271" s="88"/>
      <c r="P271" s="88"/>
      <c r="Q271" s="88"/>
      <c r="R271" s="88"/>
      <c r="S271" s="88"/>
      <c r="T271" s="88"/>
      <c r="U271" s="88"/>
      <c r="V271" s="88"/>
      <c r="W271" s="88"/>
      <c r="X271" s="88"/>
      <c r="Y271" s="88"/>
      <c r="Z271" s="88"/>
      <c r="AA271" s="88"/>
      <c r="AB271" s="128"/>
      <c r="AC271" s="128"/>
      <c r="AD271" s="128"/>
      <c r="AE271" s="128"/>
      <c r="AF271" s="128"/>
      <c r="AG271" s="128"/>
      <c r="AH271" s="127"/>
    </row>
    <row r="272" spans="1:34" ht="13.2">
      <c r="A272" s="88"/>
      <c r="B272" s="88"/>
      <c r="C272" s="88"/>
      <c r="D272" s="88"/>
      <c r="E272" s="88"/>
      <c r="F272" s="88"/>
      <c r="G272" s="88"/>
      <c r="H272" s="88"/>
      <c r="I272" s="88"/>
      <c r="J272" s="88"/>
      <c r="K272" s="88"/>
      <c r="L272" s="88"/>
      <c r="M272" s="88"/>
      <c r="N272" s="88"/>
      <c r="O272" s="88"/>
      <c r="P272" s="88"/>
      <c r="Q272" s="88"/>
      <c r="R272" s="88"/>
      <c r="S272" s="88"/>
      <c r="T272" s="88"/>
      <c r="U272" s="88"/>
      <c r="V272" s="88"/>
      <c r="W272" s="88"/>
      <c r="X272" s="88"/>
      <c r="Y272" s="88"/>
      <c r="Z272" s="88"/>
      <c r="AA272" s="88"/>
      <c r="AB272" s="128"/>
      <c r="AC272" s="128"/>
      <c r="AD272" s="128"/>
      <c r="AE272" s="128"/>
      <c r="AF272" s="128"/>
      <c r="AG272" s="128"/>
      <c r="AH272" s="127"/>
    </row>
    <row r="273" spans="1:34" ht="13.2">
      <c r="A273" s="88"/>
      <c r="B273" s="88"/>
      <c r="C273" s="88"/>
      <c r="D273" s="88"/>
      <c r="E273" s="88"/>
      <c r="F273" s="88"/>
      <c r="G273" s="88"/>
      <c r="H273" s="88"/>
      <c r="I273" s="88"/>
      <c r="J273" s="88"/>
      <c r="K273" s="88"/>
      <c r="L273" s="88"/>
      <c r="M273" s="88"/>
      <c r="N273" s="88"/>
      <c r="O273" s="88"/>
      <c r="P273" s="88"/>
      <c r="Q273" s="88"/>
      <c r="R273" s="88"/>
      <c r="S273" s="88"/>
      <c r="T273" s="88"/>
      <c r="U273" s="88"/>
      <c r="V273" s="88"/>
      <c r="W273" s="88"/>
      <c r="X273" s="88"/>
      <c r="Y273" s="88"/>
      <c r="Z273" s="88"/>
      <c r="AA273" s="88"/>
      <c r="AB273" s="128"/>
      <c r="AC273" s="128"/>
      <c r="AD273" s="128"/>
      <c r="AE273" s="128"/>
      <c r="AF273" s="128"/>
      <c r="AG273" s="128"/>
      <c r="AH273" s="127"/>
    </row>
    <row r="274" spans="1:34" ht="13.2">
      <c r="A274" s="88"/>
      <c r="B274" s="88"/>
      <c r="C274" s="88"/>
      <c r="D274" s="88"/>
      <c r="E274" s="88"/>
      <c r="F274" s="88"/>
      <c r="G274" s="88"/>
      <c r="H274" s="88"/>
      <c r="I274" s="88"/>
      <c r="J274" s="88"/>
      <c r="K274" s="88"/>
      <c r="L274" s="88"/>
      <c r="M274" s="88"/>
      <c r="N274" s="88"/>
      <c r="O274" s="88"/>
      <c r="P274" s="88"/>
      <c r="Q274" s="88"/>
      <c r="R274" s="88"/>
      <c r="S274" s="88"/>
      <c r="T274" s="88"/>
      <c r="U274" s="88"/>
      <c r="V274" s="88"/>
      <c r="W274" s="88"/>
      <c r="X274" s="88"/>
      <c r="Y274" s="88"/>
      <c r="Z274" s="88"/>
      <c r="AA274" s="88"/>
      <c r="AB274" s="128"/>
      <c r="AC274" s="128"/>
      <c r="AD274" s="128"/>
      <c r="AE274" s="128"/>
      <c r="AF274" s="128"/>
      <c r="AG274" s="128"/>
      <c r="AH274" s="127"/>
    </row>
    <row r="275" spans="1:34" ht="13.2">
      <c r="A275" s="88"/>
      <c r="B275" s="88"/>
      <c r="C275" s="88"/>
      <c r="D275" s="88"/>
      <c r="E275" s="88"/>
      <c r="F275" s="88"/>
      <c r="G275" s="88"/>
      <c r="H275" s="88"/>
      <c r="I275" s="88"/>
      <c r="J275" s="88"/>
      <c r="K275" s="88"/>
      <c r="L275" s="88"/>
      <c r="M275" s="88"/>
      <c r="N275" s="88"/>
      <c r="O275" s="88"/>
      <c r="P275" s="88"/>
      <c r="Q275" s="88"/>
      <c r="R275" s="88"/>
      <c r="S275" s="88"/>
      <c r="T275" s="88"/>
      <c r="U275" s="88"/>
      <c r="V275" s="88"/>
      <c r="W275" s="88"/>
      <c r="X275" s="88"/>
      <c r="Y275" s="88"/>
      <c r="Z275" s="88"/>
      <c r="AA275" s="88"/>
      <c r="AB275" s="128"/>
      <c r="AC275" s="128"/>
      <c r="AD275" s="128"/>
      <c r="AE275" s="128"/>
      <c r="AF275" s="128"/>
      <c r="AG275" s="128"/>
      <c r="AH275" s="127"/>
    </row>
    <row r="276" spans="1:34" ht="13.2">
      <c r="A276" s="88"/>
      <c r="B276" s="88"/>
      <c r="C276" s="88"/>
      <c r="D276" s="88"/>
      <c r="E276" s="88"/>
      <c r="F276" s="88"/>
      <c r="G276" s="88"/>
      <c r="H276" s="88"/>
      <c r="I276" s="88"/>
      <c r="J276" s="88"/>
      <c r="K276" s="88"/>
      <c r="L276" s="88"/>
      <c r="M276" s="88"/>
      <c r="N276" s="88"/>
      <c r="O276" s="88"/>
      <c r="P276" s="88"/>
      <c r="Q276" s="88"/>
      <c r="R276" s="88"/>
      <c r="S276" s="88"/>
      <c r="T276" s="88"/>
      <c r="U276" s="88"/>
      <c r="V276" s="88"/>
      <c r="W276" s="88"/>
      <c r="X276" s="88"/>
      <c r="Y276" s="88"/>
      <c r="Z276" s="88"/>
      <c r="AA276" s="88"/>
      <c r="AB276" s="128"/>
      <c r="AC276" s="128"/>
      <c r="AD276" s="128"/>
      <c r="AE276" s="128"/>
      <c r="AF276" s="128"/>
      <c r="AG276" s="128"/>
      <c r="AH276" s="127"/>
    </row>
    <row r="277" spans="1:34" ht="13.2">
      <c r="A277" s="88"/>
      <c r="B277" s="88"/>
      <c r="C277" s="88"/>
      <c r="D277" s="88"/>
      <c r="E277" s="88"/>
      <c r="F277" s="88"/>
      <c r="G277" s="88"/>
      <c r="H277" s="88"/>
      <c r="I277" s="88"/>
      <c r="J277" s="88"/>
      <c r="K277" s="88"/>
      <c r="L277" s="88"/>
      <c r="M277" s="88"/>
      <c r="N277" s="88"/>
      <c r="O277" s="88"/>
      <c r="P277" s="88"/>
      <c r="Q277" s="88"/>
      <c r="R277" s="88"/>
      <c r="S277" s="88"/>
      <c r="T277" s="88"/>
      <c r="U277" s="88"/>
      <c r="V277" s="88"/>
      <c r="W277" s="88"/>
      <c r="X277" s="88"/>
      <c r="Y277" s="88"/>
      <c r="Z277" s="88"/>
      <c r="AA277" s="88"/>
      <c r="AB277" s="128"/>
      <c r="AC277" s="128"/>
      <c r="AD277" s="128"/>
      <c r="AE277" s="128"/>
      <c r="AF277" s="128"/>
      <c r="AG277" s="128"/>
      <c r="AH277" s="127"/>
    </row>
    <row r="278" spans="1:34" ht="13.2">
      <c r="A278" s="88"/>
      <c r="B278" s="88"/>
      <c r="C278" s="88"/>
      <c r="D278" s="88"/>
      <c r="E278" s="88"/>
      <c r="F278" s="88"/>
      <c r="G278" s="88"/>
      <c r="H278" s="88"/>
      <c r="I278" s="88"/>
      <c r="J278" s="88"/>
      <c r="K278" s="88"/>
      <c r="L278" s="88"/>
      <c r="M278" s="88"/>
      <c r="N278" s="88"/>
      <c r="O278" s="88"/>
      <c r="P278" s="88"/>
      <c r="Q278" s="88"/>
      <c r="R278" s="88"/>
      <c r="S278" s="88"/>
      <c r="T278" s="88"/>
      <c r="U278" s="88"/>
      <c r="V278" s="88"/>
      <c r="W278" s="88"/>
      <c r="X278" s="88"/>
      <c r="Y278" s="88"/>
      <c r="Z278" s="88"/>
      <c r="AA278" s="88"/>
      <c r="AB278" s="128"/>
      <c r="AC278" s="128"/>
      <c r="AD278" s="128"/>
      <c r="AE278" s="128"/>
      <c r="AF278" s="128"/>
      <c r="AG278" s="128"/>
      <c r="AH278" s="127"/>
    </row>
    <row r="279" spans="1:34" ht="13.2">
      <c r="A279" s="88"/>
      <c r="B279" s="88"/>
      <c r="C279" s="88"/>
      <c r="D279" s="88"/>
      <c r="E279" s="88"/>
      <c r="F279" s="88"/>
      <c r="G279" s="88"/>
      <c r="H279" s="88"/>
      <c r="I279" s="88"/>
      <c r="J279" s="88"/>
      <c r="K279" s="88"/>
      <c r="L279" s="88"/>
      <c r="M279" s="88"/>
      <c r="N279" s="88"/>
      <c r="O279" s="88"/>
      <c r="P279" s="88"/>
      <c r="Q279" s="88"/>
      <c r="R279" s="88"/>
      <c r="S279" s="88"/>
      <c r="T279" s="88"/>
      <c r="U279" s="88"/>
      <c r="V279" s="88"/>
      <c r="W279" s="88"/>
      <c r="X279" s="88"/>
      <c r="Y279" s="88"/>
      <c r="Z279" s="88"/>
      <c r="AA279" s="88"/>
      <c r="AB279" s="128"/>
      <c r="AC279" s="128"/>
      <c r="AD279" s="128"/>
      <c r="AE279" s="128"/>
      <c r="AF279" s="128"/>
      <c r="AG279" s="128"/>
      <c r="AH279" s="127"/>
    </row>
    <row r="280" spans="1:34" ht="13.2">
      <c r="A280" s="88"/>
      <c r="B280" s="88"/>
      <c r="C280" s="88"/>
      <c r="D280" s="88"/>
      <c r="E280" s="88"/>
      <c r="F280" s="88"/>
      <c r="G280" s="88"/>
      <c r="H280" s="88"/>
      <c r="I280" s="88"/>
      <c r="J280" s="88"/>
      <c r="K280" s="88"/>
      <c r="L280" s="88"/>
      <c r="M280" s="88"/>
      <c r="N280" s="88"/>
      <c r="O280" s="88"/>
      <c r="P280" s="88"/>
      <c r="Q280" s="88"/>
      <c r="R280" s="88"/>
      <c r="S280" s="88"/>
      <c r="T280" s="88"/>
      <c r="U280" s="88"/>
      <c r="V280" s="88"/>
      <c r="W280" s="88"/>
      <c r="X280" s="88"/>
      <c r="Y280" s="88"/>
      <c r="Z280" s="88"/>
      <c r="AA280" s="88"/>
      <c r="AB280" s="128"/>
      <c r="AC280" s="128"/>
      <c r="AD280" s="128"/>
      <c r="AE280" s="128"/>
      <c r="AF280" s="128"/>
      <c r="AG280" s="128"/>
      <c r="AH280" s="127"/>
    </row>
    <row r="281" spans="1:34" ht="13.2">
      <c r="A281" s="88"/>
      <c r="B281" s="88"/>
      <c r="C281" s="88"/>
      <c r="D281" s="88"/>
      <c r="E281" s="88"/>
      <c r="F281" s="88"/>
      <c r="G281" s="88"/>
      <c r="H281" s="88"/>
      <c r="I281" s="88"/>
      <c r="J281" s="88"/>
      <c r="K281" s="88"/>
      <c r="L281" s="88"/>
      <c r="M281" s="88"/>
      <c r="N281" s="88"/>
      <c r="O281" s="88"/>
      <c r="P281" s="88"/>
      <c r="Q281" s="88"/>
      <c r="R281" s="88"/>
      <c r="S281" s="88"/>
      <c r="T281" s="88"/>
      <c r="U281" s="88"/>
      <c r="V281" s="88"/>
      <c r="W281" s="88"/>
      <c r="X281" s="88"/>
      <c r="Y281" s="88"/>
      <c r="Z281" s="88"/>
      <c r="AA281" s="88"/>
      <c r="AB281" s="128"/>
      <c r="AC281" s="128"/>
      <c r="AD281" s="128"/>
      <c r="AE281" s="128"/>
      <c r="AF281" s="128"/>
      <c r="AG281" s="128"/>
      <c r="AH281" s="127"/>
    </row>
    <row r="282" spans="1:34" ht="13.2">
      <c r="A282" s="88"/>
      <c r="B282" s="88"/>
      <c r="C282" s="88"/>
      <c r="D282" s="88"/>
      <c r="E282" s="88"/>
      <c r="F282" s="88"/>
      <c r="G282" s="88"/>
      <c r="H282" s="88"/>
      <c r="I282" s="88"/>
      <c r="J282" s="88"/>
      <c r="K282" s="88"/>
      <c r="L282" s="88"/>
      <c r="M282" s="88"/>
      <c r="N282" s="88"/>
      <c r="O282" s="88"/>
      <c r="P282" s="88"/>
      <c r="Q282" s="88"/>
      <c r="R282" s="88"/>
      <c r="S282" s="88"/>
      <c r="T282" s="88"/>
      <c r="U282" s="88"/>
      <c r="V282" s="88"/>
      <c r="W282" s="88"/>
      <c r="X282" s="88"/>
      <c r="Y282" s="88"/>
      <c r="Z282" s="88"/>
      <c r="AA282" s="88"/>
      <c r="AB282" s="128"/>
      <c r="AC282" s="128"/>
      <c r="AD282" s="128"/>
      <c r="AE282" s="128"/>
      <c r="AF282" s="128"/>
      <c r="AG282" s="128"/>
      <c r="AH282" s="127"/>
    </row>
    <row r="283" spans="1:34" ht="13.2">
      <c r="A283" s="88"/>
      <c r="B283" s="88"/>
      <c r="C283" s="88"/>
      <c r="D283" s="88"/>
      <c r="E283" s="88"/>
      <c r="F283" s="88"/>
      <c r="G283" s="88"/>
      <c r="H283" s="88"/>
      <c r="I283" s="88"/>
      <c r="J283" s="88"/>
      <c r="K283" s="88"/>
      <c r="L283" s="88"/>
      <c r="M283" s="88"/>
      <c r="N283" s="88"/>
      <c r="O283" s="88"/>
      <c r="P283" s="88"/>
      <c r="Q283" s="88"/>
      <c r="R283" s="88"/>
      <c r="S283" s="88"/>
      <c r="T283" s="88"/>
      <c r="U283" s="88"/>
      <c r="V283" s="88"/>
      <c r="W283" s="88"/>
      <c r="X283" s="88"/>
      <c r="Y283" s="88"/>
      <c r="Z283" s="88"/>
      <c r="AA283" s="88"/>
      <c r="AB283" s="128"/>
      <c r="AC283" s="128"/>
      <c r="AD283" s="128"/>
      <c r="AE283" s="128"/>
      <c r="AF283" s="128"/>
      <c r="AG283" s="128"/>
      <c r="AH283" s="127"/>
    </row>
    <row r="284" spans="1:34" ht="13.2">
      <c r="A284" s="88"/>
      <c r="B284" s="88"/>
      <c r="C284" s="88"/>
      <c r="D284" s="88"/>
      <c r="E284" s="88"/>
      <c r="F284" s="88"/>
      <c r="G284" s="88"/>
      <c r="H284" s="88"/>
      <c r="I284" s="88"/>
      <c r="J284" s="88"/>
      <c r="K284" s="88"/>
      <c r="L284" s="88"/>
      <c r="M284" s="88"/>
      <c r="N284" s="88"/>
      <c r="O284" s="88"/>
      <c r="P284" s="88"/>
      <c r="Q284" s="88"/>
      <c r="R284" s="88"/>
      <c r="S284" s="88"/>
      <c r="T284" s="88"/>
      <c r="U284" s="88"/>
      <c r="V284" s="88"/>
      <c r="W284" s="88"/>
      <c r="X284" s="88"/>
      <c r="Y284" s="88"/>
      <c r="Z284" s="88"/>
      <c r="AA284" s="88"/>
      <c r="AB284" s="128"/>
      <c r="AC284" s="128"/>
      <c r="AD284" s="128"/>
      <c r="AE284" s="128"/>
      <c r="AF284" s="128"/>
      <c r="AG284" s="128"/>
      <c r="AH284" s="127"/>
    </row>
    <row r="285" spans="1:34" ht="13.2">
      <c r="A285" s="88"/>
      <c r="B285" s="88"/>
      <c r="C285" s="88"/>
      <c r="D285" s="88"/>
      <c r="E285" s="88"/>
      <c r="F285" s="88"/>
      <c r="G285" s="88"/>
      <c r="H285" s="88"/>
      <c r="I285" s="88"/>
      <c r="J285" s="88"/>
      <c r="K285" s="88"/>
      <c r="L285" s="88"/>
      <c r="M285" s="88"/>
      <c r="N285" s="88"/>
      <c r="O285" s="88"/>
      <c r="P285" s="88"/>
      <c r="Q285" s="88"/>
      <c r="R285" s="88"/>
      <c r="S285" s="88"/>
      <c r="T285" s="88"/>
      <c r="U285" s="88"/>
      <c r="V285" s="88"/>
      <c r="W285" s="88"/>
      <c r="X285" s="88"/>
      <c r="Y285" s="88"/>
      <c r="Z285" s="88"/>
      <c r="AA285" s="88"/>
      <c r="AB285" s="128"/>
      <c r="AC285" s="128"/>
      <c r="AD285" s="128"/>
      <c r="AE285" s="128"/>
      <c r="AF285" s="128"/>
      <c r="AG285" s="128"/>
      <c r="AH285" s="127"/>
    </row>
    <row r="286" spans="1:34" ht="13.2">
      <c r="A286" s="88"/>
      <c r="B286" s="88"/>
      <c r="C286" s="88"/>
      <c r="D286" s="88"/>
      <c r="E286" s="88"/>
      <c r="F286" s="88"/>
      <c r="G286" s="88"/>
      <c r="H286" s="88"/>
      <c r="I286" s="88"/>
      <c r="J286" s="88"/>
      <c r="K286" s="88"/>
      <c r="L286" s="88"/>
      <c r="M286" s="88"/>
      <c r="N286" s="88"/>
      <c r="O286" s="88"/>
      <c r="P286" s="88"/>
      <c r="Q286" s="88"/>
      <c r="R286" s="88"/>
      <c r="S286" s="88"/>
      <c r="T286" s="88"/>
      <c r="U286" s="88"/>
      <c r="V286" s="88"/>
      <c r="W286" s="88"/>
      <c r="X286" s="88"/>
      <c r="Y286" s="88"/>
      <c r="Z286" s="88"/>
      <c r="AA286" s="88"/>
      <c r="AB286" s="128"/>
      <c r="AC286" s="128"/>
      <c r="AD286" s="128"/>
      <c r="AE286" s="128"/>
      <c r="AF286" s="128"/>
      <c r="AG286" s="128"/>
      <c r="AH286" s="127"/>
    </row>
    <row r="287" spans="1:34" ht="13.2">
      <c r="A287" s="88"/>
      <c r="B287" s="88"/>
      <c r="C287" s="88"/>
      <c r="D287" s="88"/>
      <c r="E287" s="88"/>
      <c r="F287" s="88"/>
      <c r="G287" s="88"/>
      <c r="H287" s="88"/>
      <c r="I287" s="88"/>
      <c r="J287" s="88"/>
      <c r="K287" s="88"/>
      <c r="L287" s="88"/>
      <c r="M287" s="88"/>
      <c r="N287" s="88"/>
      <c r="O287" s="88"/>
      <c r="P287" s="88"/>
      <c r="Q287" s="88"/>
      <c r="R287" s="88"/>
      <c r="S287" s="88"/>
      <c r="T287" s="88"/>
      <c r="U287" s="88"/>
      <c r="V287" s="88"/>
      <c r="W287" s="88"/>
      <c r="X287" s="88"/>
      <c r="Y287" s="88"/>
      <c r="Z287" s="88"/>
      <c r="AA287" s="88"/>
      <c r="AB287" s="128"/>
      <c r="AC287" s="128"/>
      <c r="AD287" s="128"/>
      <c r="AE287" s="128"/>
      <c r="AF287" s="128"/>
      <c r="AG287" s="128"/>
      <c r="AH287" s="127"/>
    </row>
    <row r="288" spans="1:34" ht="13.2">
      <c r="A288" s="88"/>
      <c r="B288" s="88"/>
      <c r="C288" s="88"/>
      <c r="D288" s="88"/>
      <c r="E288" s="88"/>
      <c r="F288" s="88"/>
      <c r="G288" s="88"/>
      <c r="H288" s="88"/>
      <c r="I288" s="88"/>
      <c r="J288" s="88"/>
      <c r="K288" s="88"/>
      <c r="L288" s="88"/>
      <c r="M288" s="88"/>
      <c r="N288" s="88"/>
      <c r="O288" s="88"/>
      <c r="P288" s="88"/>
      <c r="Q288" s="88"/>
      <c r="R288" s="88"/>
      <c r="S288" s="88"/>
      <c r="T288" s="88"/>
      <c r="U288" s="88"/>
      <c r="V288" s="88"/>
      <c r="W288" s="88"/>
      <c r="X288" s="88"/>
      <c r="Y288" s="88"/>
      <c r="Z288" s="88"/>
      <c r="AA288" s="88"/>
      <c r="AB288" s="128"/>
      <c r="AC288" s="128"/>
      <c r="AD288" s="128"/>
      <c r="AE288" s="128"/>
      <c r="AF288" s="128"/>
      <c r="AG288" s="128"/>
      <c r="AH288" s="127"/>
    </row>
    <row r="289" spans="1:34" ht="13.2">
      <c r="A289" s="88"/>
      <c r="B289" s="88"/>
      <c r="C289" s="88"/>
      <c r="D289" s="88"/>
      <c r="E289" s="88"/>
      <c r="F289" s="88"/>
      <c r="G289" s="88"/>
      <c r="H289" s="88"/>
      <c r="I289" s="88"/>
      <c r="J289" s="88"/>
      <c r="K289" s="88"/>
      <c r="L289" s="88"/>
      <c r="M289" s="88"/>
      <c r="N289" s="88"/>
      <c r="O289" s="88"/>
      <c r="P289" s="88"/>
      <c r="Q289" s="88"/>
      <c r="R289" s="88"/>
      <c r="S289" s="88"/>
      <c r="T289" s="88"/>
      <c r="U289" s="88"/>
      <c r="V289" s="88"/>
      <c r="W289" s="88"/>
      <c r="X289" s="88"/>
      <c r="Y289" s="88"/>
      <c r="Z289" s="88"/>
      <c r="AA289" s="88"/>
      <c r="AB289" s="128"/>
      <c r="AC289" s="128"/>
      <c r="AD289" s="128"/>
      <c r="AE289" s="128"/>
      <c r="AF289" s="128"/>
      <c r="AG289" s="128"/>
      <c r="AH289" s="127"/>
    </row>
    <row r="290" spans="1:34" ht="13.2">
      <c r="A290" s="88"/>
      <c r="B290" s="88"/>
      <c r="C290" s="88"/>
      <c r="D290" s="88"/>
      <c r="E290" s="88"/>
      <c r="F290" s="88"/>
      <c r="G290" s="88"/>
      <c r="H290" s="88"/>
      <c r="I290" s="88"/>
      <c r="J290" s="88"/>
      <c r="K290" s="88"/>
      <c r="L290" s="88"/>
      <c r="M290" s="88"/>
      <c r="N290" s="88"/>
      <c r="O290" s="88"/>
      <c r="P290" s="88"/>
      <c r="Q290" s="88"/>
      <c r="R290" s="88"/>
      <c r="S290" s="88"/>
      <c r="T290" s="88"/>
      <c r="U290" s="88"/>
      <c r="V290" s="88"/>
      <c r="W290" s="88"/>
      <c r="X290" s="88"/>
      <c r="Y290" s="88"/>
      <c r="Z290" s="88"/>
      <c r="AA290" s="88"/>
      <c r="AB290" s="128"/>
      <c r="AC290" s="128"/>
      <c r="AD290" s="128"/>
      <c r="AE290" s="128"/>
      <c r="AF290" s="128"/>
      <c r="AG290" s="128"/>
      <c r="AH290" s="127"/>
    </row>
    <row r="291" spans="1:34" ht="13.2">
      <c r="A291" s="88"/>
      <c r="B291" s="88"/>
      <c r="C291" s="88"/>
      <c r="D291" s="88"/>
      <c r="E291" s="88"/>
      <c r="F291" s="88"/>
      <c r="G291" s="88"/>
      <c r="H291" s="88"/>
      <c r="I291" s="88"/>
      <c r="J291" s="88"/>
      <c r="K291" s="88"/>
      <c r="L291" s="88"/>
      <c r="M291" s="88"/>
      <c r="N291" s="88"/>
      <c r="O291" s="88"/>
      <c r="P291" s="88"/>
      <c r="Q291" s="88"/>
      <c r="R291" s="88"/>
      <c r="S291" s="88"/>
      <c r="T291" s="88"/>
      <c r="U291" s="88"/>
      <c r="V291" s="88"/>
      <c r="W291" s="88"/>
      <c r="X291" s="88"/>
      <c r="Y291" s="88"/>
      <c r="Z291" s="88"/>
      <c r="AA291" s="88"/>
      <c r="AB291" s="128"/>
      <c r="AC291" s="128"/>
      <c r="AD291" s="128"/>
      <c r="AE291" s="128"/>
      <c r="AF291" s="128"/>
      <c r="AG291" s="128"/>
      <c r="AH291" s="127"/>
    </row>
    <row r="292" spans="1:34" ht="13.2">
      <c r="A292" s="88"/>
      <c r="B292" s="88"/>
      <c r="C292" s="88"/>
      <c r="D292" s="88"/>
      <c r="E292" s="88"/>
      <c r="F292" s="88"/>
      <c r="G292" s="88"/>
      <c r="H292" s="88"/>
      <c r="I292" s="88"/>
      <c r="J292" s="88"/>
      <c r="K292" s="88"/>
      <c r="L292" s="88"/>
      <c r="M292" s="88"/>
      <c r="N292" s="88"/>
      <c r="O292" s="88"/>
      <c r="P292" s="88"/>
      <c r="Q292" s="88"/>
      <c r="R292" s="88"/>
      <c r="S292" s="88"/>
      <c r="T292" s="88"/>
      <c r="U292" s="88"/>
      <c r="V292" s="88"/>
      <c r="W292" s="88"/>
      <c r="X292" s="88"/>
      <c r="Y292" s="88"/>
      <c r="Z292" s="88"/>
      <c r="AA292" s="88"/>
      <c r="AB292" s="128"/>
      <c r="AC292" s="128"/>
      <c r="AD292" s="128"/>
      <c r="AE292" s="128"/>
      <c r="AF292" s="128"/>
      <c r="AG292" s="128"/>
      <c r="AH292" s="127"/>
    </row>
    <row r="293" spans="1:34" ht="13.2">
      <c r="A293" s="88"/>
      <c r="B293" s="88"/>
      <c r="C293" s="88"/>
      <c r="D293" s="88"/>
      <c r="E293" s="88"/>
      <c r="F293" s="88"/>
      <c r="G293" s="88"/>
      <c r="H293" s="88"/>
      <c r="I293" s="88"/>
      <c r="J293" s="88"/>
      <c r="K293" s="88"/>
      <c r="L293" s="88"/>
      <c r="M293" s="88"/>
      <c r="N293" s="88"/>
      <c r="O293" s="88"/>
      <c r="P293" s="88"/>
      <c r="Q293" s="88"/>
      <c r="R293" s="88"/>
      <c r="S293" s="88"/>
      <c r="T293" s="88"/>
      <c r="U293" s="88"/>
      <c r="V293" s="88"/>
      <c r="W293" s="88"/>
      <c r="X293" s="88"/>
      <c r="Y293" s="88"/>
      <c r="Z293" s="88"/>
      <c r="AA293" s="88"/>
      <c r="AB293" s="128"/>
      <c r="AC293" s="128"/>
      <c r="AD293" s="128"/>
      <c r="AE293" s="128"/>
      <c r="AF293" s="128"/>
      <c r="AG293" s="128"/>
      <c r="AH293" s="127"/>
    </row>
    <row r="294" spans="1:34" ht="13.2">
      <c r="A294" s="88"/>
      <c r="B294" s="88"/>
      <c r="C294" s="88"/>
      <c r="D294" s="88"/>
      <c r="E294" s="88"/>
      <c r="F294" s="88"/>
      <c r="G294" s="88"/>
      <c r="H294" s="88"/>
      <c r="I294" s="88"/>
      <c r="J294" s="88"/>
      <c r="K294" s="88"/>
      <c r="L294" s="88"/>
      <c r="M294" s="88"/>
      <c r="N294" s="88"/>
      <c r="O294" s="88"/>
      <c r="P294" s="88"/>
      <c r="Q294" s="88"/>
      <c r="R294" s="88"/>
      <c r="S294" s="88"/>
      <c r="T294" s="88"/>
      <c r="U294" s="88"/>
      <c r="V294" s="88"/>
      <c r="W294" s="88"/>
      <c r="X294" s="88"/>
      <c r="Y294" s="88"/>
      <c r="Z294" s="88"/>
      <c r="AA294" s="88"/>
      <c r="AB294" s="128"/>
      <c r="AC294" s="128"/>
      <c r="AD294" s="128"/>
      <c r="AE294" s="128"/>
      <c r="AF294" s="128"/>
      <c r="AG294" s="128"/>
      <c r="AH294" s="127"/>
    </row>
    <row r="295" spans="1:34" ht="13.2">
      <c r="A295" s="88"/>
      <c r="B295" s="88"/>
      <c r="C295" s="88"/>
      <c r="D295" s="88"/>
      <c r="E295" s="88"/>
      <c r="F295" s="88"/>
      <c r="G295" s="88"/>
      <c r="H295" s="88"/>
      <c r="I295" s="88"/>
      <c r="J295" s="88"/>
      <c r="K295" s="88"/>
      <c r="L295" s="88"/>
      <c r="M295" s="88"/>
      <c r="N295" s="88"/>
      <c r="O295" s="88"/>
      <c r="P295" s="88"/>
      <c r="Q295" s="88"/>
      <c r="R295" s="88"/>
      <c r="S295" s="88"/>
      <c r="T295" s="88"/>
      <c r="U295" s="88"/>
      <c r="V295" s="88"/>
      <c r="W295" s="88"/>
      <c r="X295" s="88"/>
      <c r="Y295" s="88"/>
      <c r="Z295" s="88"/>
      <c r="AA295" s="88"/>
      <c r="AB295" s="128"/>
      <c r="AC295" s="128"/>
      <c r="AD295" s="128"/>
      <c r="AE295" s="128"/>
      <c r="AF295" s="128"/>
      <c r="AG295" s="128"/>
      <c r="AH295" s="127"/>
    </row>
    <row r="296" spans="1:34" ht="13.2">
      <c r="A296" s="88"/>
      <c r="B296" s="88"/>
      <c r="C296" s="88"/>
      <c r="D296" s="88"/>
      <c r="E296" s="88"/>
      <c r="F296" s="88"/>
      <c r="G296" s="88"/>
      <c r="H296" s="88"/>
      <c r="I296" s="88"/>
      <c r="J296" s="88"/>
      <c r="K296" s="88"/>
      <c r="L296" s="88"/>
      <c r="M296" s="88"/>
      <c r="N296" s="88"/>
      <c r="O296" s="88"/>
      <c r="P296" s="88"/>
      <c r="Q296" s="88"/>
      <c r="R296" s="88"/>
      <c r="S296" s="88"/>
      <c r="T296" s="88"/>
      <c r="U296" s="88"/>
      <c r="V296" s="88"/>
      <c r="W296" s="88"/>
      <c r="X296" s="88"/>
      <c r="Y296" s="88"/>
      <c r="Z296" s="88"/>
      <c r="AA296" s="88"/>
      <c r="AB296" s="128"/>
      <c r="AC296" s="128"/>
      <c r="AD296" s="128"/>
      <c r="AE296" s="128"/>
      <c r="AF296" s="128"/>
      <c r="AG296" s="128"/>
      <c r="AH296" s="127"/>
    </row>
    <row r="297" spans="1:34" ht="13.2">
      <c r="A297" s="88"/>
      <c r="B297" s="88"/>
      <c r="C297" s="88"/>
      <c r="D297" s="88"/>
      <c r="E297" s="88"/>
      <c r="F297" s="88"/>
      <c r="G297" s="88"/>
      <c r="H297" s="88"/>
      <c r="I297" s="88"/>
      <c r="J297" s="88"/>
      <c r="K297" s="88"/>
      <c r="L297" s="88"/>
      <c r="M297" s="88"/>
      <c r="N297" s="88"/>
      <c r="O297" s="88"/>
      <c r="P297" s="88"/>
      <c r="Q297" s="88"/>
      <c r="R297" s="88"/>
      <c r="S297" s="88"/>
      <c r="T297" s="88"/>
      <c r="U297" s="88"/>
      <c r="V297" s="88"/>
      <c r="W297" s="88"/>
      <c r="X297" s="88"/>
      <c r="Y297" s="88"/>
      <c r="Z297" s="88"/>
      <c r="AA297" s="88"/>
      <c r="AB297" s="128"/>
      <c r="AC297" s="128"/>
      <c r="AD297" s="128"/>
      <c r="AE297" s="128"/>
      <c r="AF297" s="128"/>
      <c r="AG297" s="128"/>
      <c r="AH297" s="127"/>
    </row>
    <row r="298" spans="1:34" ht="13.2">
      <c r="A298" s="88"/>
      <c r="B298" s="88"/>
      <c r="C298" s="88"/>
      <c r="D298" s="88"/>
      <c r="E298" s="88"/>
      <c r="F298" s="88"/>
      <c r="G298" s="88"/>
      <c r="H298" s="88"/>
      <c r="I298" s="88"/>
      <c r="J298" s="88"/>
      <c r="K298" s="88"/>
      <c r="L298" s="88"/>
      <c r="M298" s="88"/>
      <c r="N298" s="88"/>
      <c r="O298" s="88"/>
      <c r="P298" s="88"/>
      <c r="Q298" s="88"/>
      <c r="R298" s="88"/>
      <c r="S298" s="88"/>
      <c r="T298" s="88"/>
      <c r="U298" s="88"/>
      <c r="V298" s="88"/>
      <c r="W298" s="88"/>
      <c r="X298" s="88"/>
      <c r="Y298" s="88"/>
      <c r="Z298" s="88"/>
      <c r="AA298" s="88"/>
      <c r="AB298" s="128"/>
      <c r="AC298" s="128"/>
      <c r="AD298" s="128"/>
      <c r="AE298" s="128"/>
      <c r="AF298" s="128"/>
      <c r="AG298" s="128"/>
      <c r="AH298" s="127"/>
    </row>
    <row r="299" spans="1:34" ht="13.2">
      <c r="A299" s="88"/>
      <c r="B299" s="88"/>
      <c r="C299" s="88"/>
      <c r="D299" s="88"/>
      <c r="E299" s="88"/>
      <c r="F299" s="88"/>
      <c r="G299" s="88"/>
      <c r="H299" s="88"/>
      <c r="I299" s="88"/>
      <c r="J299" s="88"/>
      <c r="K299" s="88"/>
      <c r="L299" s="88"/>
      <c r="M299" s="88"/>
      <c r="N299" s="88"/>
      <c r="O299" s="88"/>
      <c r="P299" s="88"/>
      <c r="Q299" s="88"/>
      <c r="R299" s="88"/>
      <c r="S299" s="88"/>
      <c r="T299" s="88"/>
      <c r="U299" s="88"/>
      <c r="V299" s="88"/>
      <c r="W299" s="88"/>
      <c r="X299" s="88"/>
      <c r="Y299" s="88"/>
      <c r="Z299" s="88"/>
      <c r="AA299" s="88"/>
      <c r="AB299" s="128"/>
      <c r="AC299" s="128"/>
      <c r="AD299" s="128"/>
      <c r="AE299" s="128"/>
      <c r="AF299" s="128"/>
      <c r="AG299" s="128"/>
      <c r="AH299" s="127"/>
    </row>
    <row r="300" spans="1:34" ht="13.2">
      <c r="A300" s="88"/>
      <c r="B300" s="88"/>
      <c r="C300" s="88"/>
      <c r="D300" s="88"/>
      <c r="E300" s="88"/>
      <c r="F300" s="88"/>
      <c r="G300" s="88"/>
      <c r="H300" s="88"/>
      <c r="I300" s="88"/>
      <c r="J300" s="88"/>
      <c r="K300" s="88"/>
      <c r="L300" s="88"/>
      <c r="M300" s="88"/>
      <c r="N300" s="88"/>
      <c r="O300" s="88"/>
      <c r="P300" s="88"/>
      <c r="Q300" s="88"/>
      <c r="R300" s="88"/>
      <c r="S300" s="88"/>
      <c r="T300" s="88"/>
      <c r="U300" s="88"/>
      <c r="V300" s="88"/>
      <c r="W300" s="88"/>
      <c r="X300" s="88"/>
      <c r="Y300" s="88"/>
      <c r="Z300" s="88"/>
      <c r="AA300" s="88"/>
      <c r="AB300" s="128"/>
      <c r="AC300" s="128"/>
      <c r="AD300" s="128"/>
      <c r="AE300" s="128"/>
      <c r="AF300" s="128"/>
      <c r="AG300" s="128"/>
      <c r="AH300" s="127"/>
    </row>
    <row r="301" spans="1:34" ht="13.2">
      <c r="A301" s="88"/>
      <c r="B301" s="88"/>
      <c r="C301" s="88"/>
      <c r="D301" s="88"/>
      <c r="E301" s="88"/>
      <c r="F301" s="88"/>
      <c r="G301" s="88"/>
      <c r="H301" s="88"/>
      <c r="I301" s="88"/>
      <c r="J301" s="88"/>
      <c r="K301" s="88"/>
      <c r="L301" s="88"/>
      <c r="M301" s="88"/>
      <c r="N301" s="88"/>
      <c r="O301" s="88"/>
      <c r="P301" s="88"/>
      <c r="Q301" s="88"/>
      <c r="R301" s="88"/>
      <c r="S301" s="88"/>
      <c r="T301" s="88"/>
      <c r="U301" s="88"/>
      <c r="V301" s="88"/>
      <c r="W301" s="88"/>
      <c r="X301" s="88"/>
      <c r="Y301" s="88"/>
      <c r="Z301" s="88"/>
      <c r="AA301" s="88"/>
      <c r="AB301" s="128"/>
      <c r="AC301" s="128"/>
      <c r="AD301" s="128"/>
      <c r="AE301" s="128"/>
      <c r="AF301" s="128"/>
      <c r="AG301" s="128"/>
      <c r="AH301" s="127"/>
    </row>
    <row r="302" spans="1:34" ht="13.2">
      <c r="A302" s="88"/>
      <c r="B302" s="88"/>
      <c r="C302" s="88"/>
      <c r="D302" s="88"/>
      <c r="E302" s="88"/>
      <c r="F302" s="88"/>
      <c r="G302" s="88"/>
      <c r="H302" s="88"/>
      <c r="I302" s="88"/>
      <c r="J302" s="88"/>
      <c r="K302" s="88"/>
      <c r="L302" s="88"/>
      <c r="M302" s="88"/>
      <c r="N302" s="88"/>
      <c r="O302" s="88"/>
      <c r="P302" s="88"/>
      <c r="Q302" s="88"/>
      <c r="R302" s="88"/>
      <c r="S302" s="88"/>
      <c r="T302" s="88"/>
      <c r="U302" s="88"/>
      <c r="V302" s="88"/>
      <c r="W302" s="88"/>
      <c r="X302" s="88"/>
      <c r="Y302" s="88"/>
      <c r="Z302" s="88"/>
      <c r="AA302" s="88"/>
      <c r="AB302" s="128"/>
      <c r="AC302" s="128"/>
      <c r="AD302" s="128"/>
      <c r="AE302" s="128"/>
      <c r="AF302" s="128"/>
      <c r="AG302" s="128"/>
      <c r="AH302" s="127"/>
    </row>
    <row r="303" spans="1:34" ht="13.2">
      <c r="A303" s="88"/>
      <c r="B303" s="88"/>
      <c r="C303" s="88"/>
      <c r="D303" s="88"/>
      <c r="E303" s="88"/>
      <c r="F303" s="88"/>
      <c r="G303" s="88"/>
      <c r="H303" s="88"/>
      <c r="I303" s="88"/>
      <c r="J303" s="88"/>
      <c r="K303" s="88"/>
      <c r="L303" s="88"/>
      <c r="M303" s="88"/>
      <c r="N303" s="88"/>
      <c r="O303" s="88"/>
      <c r="P303" s="88"/>
      <c r="Q303" s="88"/>
      <c r="R303" s="88"/>
      <c r="S303" s="88"/>
      <c r="T303" s="88"/>
      <c r="U303" s="88"/>
      <c r="V303" s="88"/>
      <c r="W303" s="88"/>
      <c r="X303" s="88"/>
      <c r="Y303" s="88"/>
      <c r="Z303" s="88"/>
      <c r="AA303" s="88"/>
      <c r="AB303" s="128"/>
      <c r="AC303" s="128"/>
      <c r="AD303" s="128"/>
      <c r="AE303" s="128"/>
      <c r="AF303" s="128"/>
      <c r="AG303" s="128"/>
      <c r="AH303" s="127"/>
    </row>
    <row r="304" spans="1:34" ht="13.2">
      <c r="A304" s="88"/>
      <c r="B304" s="88"/>
      <c r="C304" s="88"/>
      <c r="D304" s="88"/>
      <c r="E304" s="88"/>
      <c r="F304" s="88"/>
      <c r="G304" s="88"/>
      <c r="H304" s="88"/>
      <c r="I304" s="88"/>
      <c r="J304" s="88"/>
      <c r="K304" s="88"/>
      <c r="L304" s="88"/>
      <c r="M304" s="88"/>
      <c r="N304" s="88"/>
      <c r="O304" s="88"/>
      <c r="P304" s="88"/>
      <c r="Q304" s="88"/>
      <c r="R304" s="88"/>
      <c r="S304" s="88"/>
      <c r="T304" s="88"/>
      <c r="U304" s="88"/>
      <c r="V304" s="88"/>
      <c r="W304" s="88"/>
      <c r="X304" s="88"/>
      <c r="Y304" s="88"/>
      <c r="Z304" s="88"/>
      <c r="AA304" s="88"/>
      <c r="AB304" s="128"/>
      <c r="AC304" s="128"/>
      <c r="AD304" s="128"/>
      <c r="AE304" s="128"/>
      <c r="AF304" s="128"/>
      <c r="AG304" s="128"/>
      <c r="AH304" s="127"/>
    </row>
    <row r="305" spans="1:34" ht="13.2">
      <c r="A305" s="88"/>
      <c r="B305" s="88"/>
      <c r="C305" s="88"/>
      <c r="D305" s="88"/>
      <c r="E305" s="88"/>
      <c r="F305" s="88"/>
      <c r="G305" s="88"/>
      <c r="H305" s="88"/>
      <c r="I305" s="88"/>
      <c r="J305" s="88"/>
      <c r="K305" s="88"/>
      <c r="L305" s="88"/>
      <c r="M305" s="88"/>
      <c r="N305" s="88"/>
      <c r="O305" s="88"/>
      <c r="P305" s="88"/>
      <c r="Q305" s="88"/>
      <c r="R305" s="88"/>
      <c r="S305" s="88"/>
      <c r="T305" s="88"/>
      <c r="U305" s="88"/>
      <c r="V305" s="88"/>
      <c r="W305" s="88"/>
      <c r="X305" s="88"/>
      <c r="Y305" s="88"/>
      <c r="Z305" s="88"/>
      <c r="AA305" s="88"/>
      <c r="AB305" s="128"/>
      <c r="AC305" s="128"/>
      <c r="AD305" s="128"/>
      <c r="AE305" s="128"/>
      <c r="AF305" s="128"/>
      <c r="AG305" s="128"/>
      <c r="AH305" s="127"/>
    </row>
    <row r="306" spans="1:34" ht="13.2">
      <c r="A306" s="88"/>
      <c r="B306" s="88"/>
      <c r="C306" s="88"/>
      <c r="D306" s="88"/>
      <c r="E306" s="88"/>
      <c r="F306" s="88"/>
      <c r="G306" s="88"/>
      <c r="H306" s="88"/>
      <c r="I306" s="88"/>
      <c r="J306" s="88"/>
      <c r="K306" s="88"/>
      <c r="L306" s="88"/>
      <c r="M306" s="88"/>
      <c r="N306" s="88"/>
      <c r="O306" s="88"/>
      <c r="P306" s="88"/>
      <c r="Q306" s="88"/>
      <c r="R306" s="88"/>
      <c r="S306" s="88"/>
      <c r="T306" s="88"/>
      <c r="U306" s="88"/>
      <c r="V306" s="88"/>
      <c r="W306" s="88"/>
      <c r="X306" s="88"/>
      <c r="Y306" s="88"/>
      <c r="Z306" s="88"/>
      <c r="AA306" s="88"/>
      <c r="AB306" s="128"/>
      <c r="AC306" s="128"/>
      <c r="AD306" s="128"/>
      <c r="AE306" s="128"/>
      <c r="AF306" s="128"/>
      <c r="AG306" s="128"/>
      <c r="AH306" s="127"/>
    </row>
    <row r="307" spans="1:34" ht="13.2">
      <c r="A307" s="88"/>
      <c r="B307" s="88"/>
      <c r="C307" s="88"/>
      <c r="D307" s="88"/>
      <c r="E307" s="88"/>
      <c r="F307" s="88"/>
      <c r="G307" s="88"/>
      <c r="H307" s="88"/>
      <c r="I307" s="88"/>
      <c r="J307" s="88"/>
      <c r="K307" s="88"/>
      <c r="L307" s="88"/>
      <c r="M307" s="88"/>
      <c r="N307" s="88"/>
      <c r="O307" s="88"/>
      <c r="P307" s="88"/>
      <c r="Q307" s="88"/>
      <c r="R307" s="88"/>
      <c r="S307" s="88"/>
      <c r="T307" s="88"/>
      <c r="U307" s="88"/>
      <c r="V307" s="88"/>
      <c r="W307" s="88"/>
      <c r="X307" s="88"/>
      <c r="Y307" s="88"/>
      <c r="Z307" s="88"/>
      <c r="AA307" s="88"/>
      <c r="AB307" s="128"/>
      <c r="AC307" s="128"/>
      <c r="AD307" s="128"/>
      <c r="AE307" s="128"/>
      <c r="AF307" s="128"/>
      <c r="AG307" s="128"/>
      <c r="AH307" s="127"/>
    </row>
    <row r="308" spans="1:34" ht="13.2">
      <c r="A308" s="88"/>
      <c r="B308" s="88"/>
      <c r="C308" s="88"/>
      <c r="D308" s="88"/>
      <c r="E308" s="88"/>
      <c r="F308" s="88"/>
      <c r="G308" s="88"/>
      <c r="H308" s="88"/>
      <c r="I308" s="88"/>
      <c r="J308" s="88"/>
      <c r="K308" s="88"/>
      <c r="L308" s="88"/>
      <c r="M308" s="88"/>
      <c r="N308" s="88"/>
      <c r="O308" s="88"/>
      <c r="P308" s="88"/>
      <c r="Q308" s="88"/>
      <c r="R308" s="88"/>
      <c r="S308" s="88"/>
      <c r="T308" s="88"/>
      <c r="U308" s="88"/>
      <c r="V308" s="88"/>
      <c r="W308" s="88"/>
      <c r="X308" s="88"/>
      <c r="Y308" s="88"/>
      <c r="Z308" s="88"/>
      <c r="AA308" s="88"/>
      <c r="AB308" s="128"/>
      <c r="AC308" s="128"/>
      <c r="AD308" s="128"/>
      <c r="AE308" s="128"/>
      <c r="AF308" s="128"/>
      <c r="AG308" s="128"/>
      <c r="AH308" s="127"/>
    </row>
    <row r="309" spans="1:34" ht="13.2">
      <c r="A309" s="88"/>
      <c r="B309" s="88"/>
      <c r="C309" s="88"/>
      <c r="D309" s="88"/>
      <c r="E309" s="88"/>
      <c r="F309" s="88"/>
      <c r="G309" s="88"/>
      <c r="H309" s="88"/>
      <c r="I309" s="88"/>
      <c r="J309" s="88"/>
      <c r="K309" s="88"/>
      <c r="L309" s="88"/>
      <c r="M309" s="88"/>
      <c r="N309" s="88"/>
      <c r="O309" s="88"/>
      <c r="P309" s="88"/>
      <c r="Q309" s="88"/>
      <c r="R309" s="88"/>
      <c r="S309" s="88"/>
      <c r="T309" s="88"/>
      <c r="U309" s="88"/>
      <c r="V309" s="88"/>
      <c r="W309" s="88"/>
      <c r="X309" s="88"/>
      <c r="Y309" s="88"/>
      <c r="Z309" s="88"/>
      <c r="AA309" s="88"/>
      <c r="AB309" s="128"/>
      <c r="AC309" s="128"/>
      <c r="AD309" s="128"/>
      <c r="AE309" s="128"/>
      <c r="AF309" s="128"/>
      <c r="AG309" s="128"/>
      <c r="AH309" s="127"/>
    </row>
    <row r="310" spans="1:34" ht="13.2">
      <c r="A310" s="88"/>
      <c r="B310" s="88"/>
      <c r="C310" s="88"/>
      <c r="D310" s="88"/>
      <c r="E310" s="88"/>
      <c r="F310" s="88"/>
      <c r="G310" s="88"/>
      <c r="H310" s="88"/>
      <c r="I310" s="88"/>
      <c r="J310" s="88"/>
      <c r="K310" s="88"/>
      <c r="L310" s="88"/>
      <c r="M310" s="88"/>
      <c r="N310" s="88"/>
      <c r="O310" s="88"/>
      <c r="P310" s="88"/>
      <c r="Q310" s="88"/>
      <c r="R310" s="88"/>
      <c r="S310" s="88"/>
      <c r="T310" s="88"/>
      <c r="U310" s="88"/>
      <c r="V310" s="88"/>
      <c r="W310" s="88"/>
      <c r="X310" s="88"/>
      <c r="Y310" s="88"/>
      <c r="Z310" s="88"/>
      <c r="AA310" s="88"/>
      <c r="AB310" s="128"/>
      <c r="AC310" s="128"/>
      <c r="AD310" s="128"/>
      <c r="AE310" s="128"/>
      <c r="AF310" s="128"/>
      <c r="AG310" s="128"/>
      <c r="AH310" s="127"/>
    </row>
    <row r="311" spans="1:34" ht="13.2">
      <c r="A311" s="88"/>
      <c r="B311" s="88"/>
      <c r="C311" s="88"/>
      <c r="D311" s="88"/>
      <c r="E311" s="88"/>
      <c r="F311" s="88"/>
      <c r="G311" s="88"/>
      <c r="H311" s="88"/>
      <c r="I311" s="88"/>
      <c r="J311" s="88"/>
      <c r="K311" s="88"/>
      <c r="L311" s="88"/>
      <c r="M311" s="88"/>
      <c r="N311" s="88"/>
      <c r="O311" s="88"/>
      <c r="P311" s="88"/>
      <c r="Q311" s="88"/>
      <c r="R311" s="88"/>
      <c r="S311" s="88"/>
      <c r="T311" s="88"/>
      <c r="U311" s="88"/>
      <c r="V311" s="88"/>
      <c r="W311" s="88"/>
      <c r="X311" s="88"/>
      <c r="Y311" s="88"/>
      <c r="Z311" s="88"/>
      <c r="AA311" s="88"/>
      <c r="AB311" s="128"/>
      <c r="AC311" s="128"/>
      <c r="AD311" s="128"/>
      <c r="AE311" s="128"/>
      <c r="AF311" s="128"/>
      <c r="AG311" s="128"/>
      <c r="AH311" s="127"/>
    </row>
    <row r="312" spans="1:34" ht="13.2">
      <c r="A312" s="88"/>
      <c r="B312" s="88"/>
      <c r="C312" s="88"/>
      <c r="D312" s="88"/>
      <c r="E312" s="88"/>
      <c r="F312" s="88"/>
      <c r="G312" s="88"/>
      <c r="H312" s="88"/>
      <c r="I312" s="88"/>
      <c r="J312" s="88"/>
      <c r="K312" s="88"/>
      <c r="L312" s="88"/>
      <c r="M312" s="88"/>
      <c r="N312" s="88"/>
      <c r="O312" s="88"/>
      <c r="P312" s="88"/>
      <c r="Q312" s="88"/>
      <c r="R312" s="88"/>
      <c r="S312" s="88"/>
      <c r="T312" s="88"/>
      <c r="U312" s="88"/>
      <c r="V312" s="88"/>
      <c r="W312" s="88"/>
      <c r="X312" s="88"/>
      <c r="Y312" s="88"/>
      <c r="Z312" s="88"/>
      <c r="AA312" s="88"/>
      <c r="AB312" s="128"/>
      <c r="AC312" s="128"/>
      <c r="AD312" s="128"/>
      <c r="AE312" s="128"/>
      <c r="AF312" s="128"/>
      <c r="AG312" s="128"/>
      <c r="AH312" s="127"/>
    </row>
    <row r="313" spans="1:34" ht="13.2">
      <c r="A313" s="88"/>
      <c r="B313" s="88"/>
      <c r="C313" s="88"/>
      <c r="D313" s="88"/>
      <c r="E313" s="88"/>
      <c r="F313" s="88"/>
      <c r="G313" s="88"/>
      <c r="H313" s="88"/>
      <c r="I313" s="88"/>
      <c r="J313" s="88"/>
      <c r="K313" s="88"/>
      <c r="L313" s="88"/>
      <c r="M313" s="88"/>
      <c r="N313" s="88"/>
      <c r="O313" s="88"/>
      <c r="P313" s="88"/>
      <c r="Q313" s="88"/>
      <c r="R313" s="88"/>
      <c r="S313" s="88"/>
      <c r="T313" s="88"/>
      <c r="U313" s="88"/>
      <c r="V313" s="88"/>
      <c r="W313" s="88"/>
      <c r="X313" s="88"/>
      <c r="Y313" s="88"/>
      <c r="Z313" s="88"/>
      <c r="AA313" s="88"/>
      <c r="AB313" s="128"/>
      <c r="AC313" s="128"/>
      <c r="AD313" s="128"/>
      <c r="AE313" s="128"/>
      <c r="AF313" s="128"/>
      <c r="AG313" s="128"/>
      <c r="AH313" s="127"/>
    </row>
    <row r="314" spans="1:34" ht="13.2">
      <c r="A314" s="88"/>
      <c r="B314" s="88"/>
      <c r="C314" s="88"/>
      <c r="D314" s="88"/>
      <c r="E314" s="88"/>
      <c r="F314" s="88"/>
      <c r="G314" s="88"/>
      <c r="H314" s="88"/>
      <c r="I314" s="88"/>
      <c r="J314" s="88"/>
      <c r="K314" s="88"/>
      <c r="L314" s="88"/>
      <c r="M314" s="88"/>
      <c r="N314" s="88"/>
      <c r="O314" s="88"/>
      <c r="P314" s="88"/>
      <c r="Q314" s="88"/>
      <c r="R314" s="88"/>
      <c r="S314" s="88"/>
      <c r="T314" s="88"/>
      <c r="U314" s="88"/>
      <c r="V314" s="88"/>
      <c r="W314" s="88"/>
      <c r="X314" s="88"/>
      <c r="Y314" s="88"/>
      <c r="Z314" s="88"/>
      <c r="AA314" s="88"/>
      <c r="AB314" s="128"/>
      <c r="AC314" s="128"/>
      <c r="AD314" s="128"/>
      <c r="AE314" s="128"/>
      <c r="AF314" s="128"/>
      <c r="AG314" s="128"/>
      <c r="AH314" s="127"/>
    </row>
    <row r="315" spans="1:34" ht="13.2">
      <c r="A315" s="88"/>
      <c r="B315" s="88"/>
      <c r="C315" s="88"/>
      <c r="D315" s="88"/>
      <c r="E315" s="88"/>
      <c r="F315" s="88"/>
      <c r="G315" s="88"/>
      <c r="H315" s="88"/>
      <c r="I315" s="88"/>
      <c r="J315" s="88"/>
      <c r="K315" s="88"/>
      <c r="L315" s="88"/>
      <c r="M315" s="88"/>
      <c r="N315" s="88"/>
      <c r="O315" s="88"/>
      <c r="P315" s="88"/>
      <c r="Q315" s="88"/>
      <c r="R315" s="88"/>
      <c r="S315" s="88"/>
      <c r="T315" s="88"/>
      <c r="U315" s="88"/>
      <c r="V315" s="88"/>
      <c r="W315" s="88"/>
      <c r="X315" s="88"/>
      <c r="Y315" s="88"/>
      <c r="Z315" s="88"/>
      <c r="AA315" s="88"/>
      <c r="AB315" s="128"/>
      <c r="AC315" s="128"/>
      <c r="AD315" s="128"/>
      <c r="AE315" s="128"/>
      <c r="AF315" s="128"/>
      <c r="AG315" s="128"/>
      <c r="AH315" s="127"/>
    </row>
    <row r="316" spans="1:34" ht="13.2">
      <c r="A316" s="88"/>
      <c r="B316" s="88"/>
      <c r="C316" s="88"/>
      <c r="D316" s="88"/>
      <c r="E316" s="88"/>
      <c r="F316" s="88"/>
      <c r="G316" s="88"/>
      <c r="H316" s="88"/>
      <c r="I316" s="88"/>
      <c r="J316" s="88"/>
      <c r="K316" s="88"/>
      <c r="L316" s="88"/>
      <c r="M316" s="88"/>
      <c r="N316" s="88"/>
      <c r="O316" s="88"/>
      <c r="P316" s="88"/>
      <c r="Q316" s="88"/>
      <c r="R316" s="88"/>
      <c r="S316" s="88"/>
      <c r="T316" s="88"/>
      <c r="U316" s="88"/>
      <c r="V316" s="88"/>
      <c r="W316" s="88"/>
      <c r="X316" s="88"/>
      <c r="Y316" s="88"/>
      <c r="Z316" s="88"/>
      <c r="AA316" s="88"/>
      <c r="AB316" s="128"/>
      <c r="AC316" s="128"/>
      <c r="AD316" s="128"/>
      <c r="AE316" s="128"/>
      <c r="AF316" s="128"/>
      <c r="AG316" s="128"/>
      <c r="AH316" s="127"/>
    </row>
    <row r="317" spans="1:34" ht="13.2">
      <c r="A317" s="88"/>
      <c r="B317" s="88"/>
      <c r="C317" s="88"/>
      <c r="D317" s="88"/>
      <c r="E317" s="88"/>
      <c r="F317" s="88"/>
      <c r="G317" s="88"/>
      <c r="H317" s="88"/>
      <c r="I317" s="88"/>
      <c r="J317" s="88"/>
      <c r="K317" s="88"/>
      <c r="L317" s="88"/>
      <c r="M317" s="88"/>
      <c r="N317" s="88"/>
      <c r="O317" s="88"/>
      <c r="P317" s="88"/>
      <c r="Q317" s="88"/>
      <c r="R317" s="88"/>
      <c r="S317" s="88"/>
      <c r="T317" s="88"/>
      <c r="U317" s="88"/>
      <c r="V317" s="88"/>
      <c r="W317" s="88"/>
      <c r="X317" s="88"/>
      <c r="Y317" s="88"/>
      <c r="Z317" s="88"/>
      <c r="AA317" s="88"/>
      <c r="AB317" s="128"/>
      <c r="AC317" s="128"/>
      <c r="AD317" s="128"/>
      <c r="AE317" s="128"/>
      <c r="AF317" s="128"/>
      <c r="AG317" s="128"/>
      <c r="AH317" s="127"/>
    </row>
    <row r="318" spans="1:34" ht="13.2">
      <c r="A318" s="88"/>
      <c r="B318" s="88"/>
      <c r="C318" s="88"/>
      <c r="D318" s="88"/>
      <c r="E318" s="88"/>
      <c r="F318" s="88"/>
      <c r="G318" s="88"/>
      <c r="H318" s="88"/>
      <c r="I318" s="88"/>
      <c r="J318" s="88"/>
      <c r="K318" s="88"/>
      <c r="L318" s="88"/>
      <c r="M318" s="88"/>
      <c r="N318" s="88"/>
      <c r="O318" s="88"/>
      <c r="P318" s="88"/>
      <c r="Q318" s="88"/>
      <c r="R318" s="88"/>
      <c r="S318" s="88"/>
      <c r="T318" s="88"/>
      <c r="U318" s="88"/>
      <c r="V318" s="88"/>
      <c r="W318" s="88"/>
      <c r="X318" s="88"/>
      <c r="Y318" s="88"/>
      <c r="Z318" s="88"/>
      <c r="AA318" s="88"/>
      <c r="AB318" s="128"/>
      <c r="AC318" s="128"/>
      <c r="AD318" s="128"/>
      <c r="AE318" s="128"/>
      <c r="AF318" s="128"/>
      <c r="AG318" s="128"/>
      <c r="AH318" s="127"/>
    </row>
    <row r="319" spans="1:34" ht="13.2">
      <c r="A319" s="88"/>
      <c r="B319" s="88"/>
      <c r="C319" s="88"/>
      <c r="D319" s="88"/>
      <c r="E319" s="88"/>
      <c r="F319" s="88"/>
      <c r="G319" s="88"/>
      <c r="H319" s="88"/>
      <c r="I319" s="88"/>
      <c r="J319" s="88"/>
      <c r="K319" s="88"/>
      <c r="L319" s="88"/>
      <c r="M319" s="88"/>
      <c r="N319" s="88"/>
      <c r="O319" s="88"/>
      <c r="P319" s="88"/>
      <c r="Q319" s="88"/>
      <c r="R319" s="88"/>
      <c r="S319" s="88"/>
      <c r="T319" s="88"/>
      <c r="U319" s="88"/>
      <c r="V319" s="88"/>
      <c r="W319" s="88"/>
      <c r="X319" s="88"/>
      <c r="Y319" s="88"/>
      <c r="Z319" s="88"/>
      <c r="AA319" s="88"/>
      <c r="AB319" s="128"/>
      <c r="AC319" s="128"/>
      <c r="AD319" s="128"/>
      <c r="AE319" s="128"/>
      <c r="AF319" s="128"/>
      <c r="AG319" s="128"/>
      <c r="AH319" s="127"/>
    </row>
    <row r="320" spans="1:34" ht="13.2">
      <c r="A320" s="88"/>
      <c r="B320" s="88"/>
      <c r="C320" s="88"/>
      <c r="D320" s="88"/>
      <c r="E320" s="88"/>
      <c r="F320" s="88"/>
      <c r="G320" s="88"/>
      <c r="H320" s="88"/>
      <c r="I320" s="88"/>
      <c r="J320" s="88"/>
      <c r="K320" s="88"/>
      <c r="L320" s="88"/>
      <c r="M320" s="88"/>
      <c r="N320" s="88"/>
      <c r="O320" s="88"/>
      <c r="P320" s="88"/>
      <c r="Q320" s="88"/>
      <c r="R320" s="88"/>
      <c r="S320" s="88"/>
      <c r="T320" s="88"/>
      <c r="U320" s="88"/>
      <c r="V320" s="88"/>
      <c r="W320" s="88"/>
      <c r="X320" s="88"/>
      <c r="Y320" s="88"/>
      <c r="Z320" s="88"/>
      <c r="AA320" s="88"/>
      <c r="AB320" s="128"/>
      <c r="AC320" s="128"/>
      <c r="AD320" s="128"/>
      <c r="AE320" s="128"/>
      <c r="AF320" s="128"/>
      <c r="AG320" s="128"/>
      <c r="AH320" s="127"/>
    </row>
    <row r="321" spans="1:34" ht="13.2">
      <c r="A321" s="88"/>
      <c r="B321" s="88"/>
      <c r="C321" s="88"/>
      <c r="D321" s="88"/>
      <c r="E321" s="88"/>
      <c r="F321" s="88"/>
      <c r="G321" s="88"/>
      <c r="H321" s="88"/>
      <c r="I321" s="88"/>
      <c r="J321" s="88"/>
      <c r="K321" s="88"/>
      <c r="L321" s="88"/>
      <c r="M321" s="88"/>
      <c r="N321" s="88"/>
      <c r="O321" s="88"/>
      <c r="P321" s="88"/>
      <c r="Q321" s="88"/>
      <c r="R321" s="88"/>
      <c r="S321" s="88"/>
      <c r="T321" s="88"/>
      <c r="U321" s="88"/>
      <c r="V321" s="88"/>
      <c r="W321" s="88"/>
      <c r="X321" s="88"/>
      <c r="Y321" s="88"/>
      <c r="Z321" s="88"/>
      <c r="AA321" s="88"/>
      <c r="AB321" s="128"/>
      <c r="AC321" s="128"/>
      <c r="AD321" s="128"/>
      <c r="AE321" s="128"/>
      <c r="AF321" s="128"/>
      <c r="AG321" s="128"/>
      <c r="AH321" s="127"/>
    </row>
    <row r="322" spans="1:34" ht="13.2">
      <c r="A322" s="88"/>
      <c r="B322" s="88"/>
      <c r="C322" s="88"/>
      <c r="D322" s="88"/>
      <c r="E322" s="88"/>
      <c r="F322" s="88"/>
      <c r="G322" s="88"/>
      <c r="H322" s="88"/>
      <c r="I322" s="88"/>
      <c r="J322" s="88"/>
      <c r="K322" s="88"/>
      <c r="L322" s="88"/>
      <c r="M322" s="88"/>
      <c r="N322" s="88"/>
      <c r="O322" s="88"/>
      <c r="P322" s="88"/>
      <c r="Q322" s="88"/>
      <c r="R322" s="88"/>
      <c r="S322" s="88"/>
      <c r="T322" s="88"/>
      <c r="U322" s="88"/>
      <c r="V322" s="88"/>
      <c r="W322" s="88"/>
      <c r="X322" s="88"/>
      <c r="Y322" s="88"/>
      <c r="Z322" s="88"/>
      <c r="AA322" s="88"/>
      <c r="AB322" s="128"/>
      <c r="AC322" s="128"/>
      <c r="AD322" s="128"/>
      <c r="AE322" s="128"/>
      <c r="AF322" s="128"/>
      <c r="AG322" s="128"/>
      <c r="AH322" s="127"/>
    </row>
    <row r="323" spans="1:34" ht="13.2">
      <c r="A323" s="88"/>
      <c r="B323" s="88"/>
      <c r="C323" s="88"/>
      <c r="D323" s="88"/>
      <c r="E323" s="88"/>
      <c r="F323" s="88"/>
      <c r="G323" s="88"/>
      <c r="H323" s="88"/>
      <c r="I323" s="88"/>
      <c r="J323" s="88"/>
      <c r="K323" s="88"/>
      <c r="L323" s="88"/>
      <c r="M323" s="88"/>
      <c r="N323" s="88"/>
      <c r="O323" s="88"/>
      <c r="P323" s="88"/>
      <c r="Q323" s="88"/>
      <c r="R323" s="88"/>
      <c r="S323" s="88"/>
      <c r="T323" s="88"/>
      <c r="U323" s="88"/>
      <c r="V323" s="88"/>
      <c r="W323" s="88"/>
      <c r="X323" s="88"/>
      <c r="Y323" s="88"/>
      <c r="Z323" s="88"/>
      <c r="AA323" s="88"/>
      <c r="AB323" s="128"/>
      <c r="AC323" s="128"/>
      <c r="AD323" s="128"/>
      <c r="AE323" s="128"/>
      <c r="AF323" s="128"/>
      <c r="AG323" s="128"/>
      <c r="AH323" s="127"/>
    </row>
    <row r="324" spans="1:34" ht="13.2">
      <c r="A324" s="88"/>
      <c r="B324" s="88"/>
      <c r="C324" s="88"/>
      <c r="D324" s="88"/>
      <c r="E324" s="88"/>
      <c r="F324" s="88"/>
      <c r="G324" s="88"/>
      <c r="H324" s="88"/>
      <c r="I324" s="88"/>
      <c r="J324" s="88"/>
      <c r="K324" s="88"/>
      <c r="L324" s="88"/>
      <c r="M324" s="88"/>
      <c r="N324" s="88"/>
      <c r="O324" s="88"/>
      <c r="P324" s="88"/>
      <c r="Q324" s="88"/>
      <c r="R324" s="88"/>
      <c r="S324" s="88"/>
      <c r="T324" s="88"/>
      <c r="U324" s="88"/>
      <c r="V324" s="88"/>
      <c r="W324" s="88"/>
      <c r="X324" s="88"/>
      <c r="Y324" s="88"/>
      <c r="Z324" s="88"/>
      <c r="AA324" s="88"/>
      <c r="AB324" s="128"/>
      <c r="AC324" s="128"/>
      <c r="AD324" s="128"/>
      <c r="AE324" s="128"/>
      <c r="AF324" s="128"/>
      <c r="AG324" s="128"/>
      <c r="AH324" s="127"/>
    </row>
    <row r="325" spans="1:34" ht="13.2">
      <c r="A325" s="88"/>
      <c r="B325" s="88"/>
      <c r="C325" s="88"/>
      <c r="D325" s="88"/>
      <c r="E325" s="88"/>
      <c r="F325" s="88"/>
      <c r="G325" s="88"/>
      <c r="H325" s="88"/>
      <c r="I325" s="88"/>
      <c r="J325" s="88"/>
      <c r="K325" s="88"/>
      <c r="L325" s="88"/>
      <c r="M325" s="88"/>
      <c r="N325" s="88"/>
      <c r="O325" s="88"/>
      <c r="P325" s="88"/>
      <c r="Q325" s="88"/>
      <c r="R325" s="88"/>
      <c r="S325" s="88"/>
      <c r="T325" s="88"/>
      <c r="U325" s="88"/>
      <c r="V325" s="88"/>
      <c r="W325" s="88"/>
      <c r="X325" s="88"/>
      <c r="Y325" s="88"/>
      <c r="Z325" s="88"/>
      <c r="AA325" s="88"/>
      <c r="AB325" s="128"/>
      <c r="AC325" s="128"/>
      <c r="AD325" s="128"/>
      <c r="AE325" s="128"/>
      <c r="AF325" s="128"/>
      <c r="AG325" s="128"/>
      <c r="AH325" s="127"/>
    </row>
    <row r="326" spans="1:34" ht="13.2">
      <c r="A326" s="88"/>
      <c r="B326" s="88"/>
      <c r="C326" s="88"/>
      <c r="D326" s="88"/>
      <c r="E326" s="88"/>
      <c r="F326" s="88"/>
      <c r="G326" s="88"/>
      <c r="H326" s="88"/>
      <c r="I326" s="88"/>
      <c r="J326" s="88"/>
      <c r="K326" s="88"/>
      <c r="L326" s="88"/>
      <c r="M326" s="88"/>
      <c r="N326" s="88"/>
      <c r="O326" s="88"/>
      <c r="P326" s="88"/>
      <c r="Q326" s="88"/>
      <c r="R326" s="88"/>
      <c r="S326" s="88"/>
      <c r="T326" s="88"/>
      <c r="U326" s="88"/>
      <c r="V326" s="88"/>
      <c r="W326" s="88"/>
      <c r="X326" s="88"/>
      <c r="Y326" s="88"/>
      <c r="Z326" s="88"/>
      <c r="AA326" s="88"/>
      <c r="AB326" s="128"/>
      <c r="AC326" s="128"/>
      <c r="AD326" s="128"/>
      <c r="AE326" s="128"/>
      <c r="AF326" s="128"/>
      <c r="AG326" s="128"/>
      <c r="AH326" s="127"/>
    </row>
    <row r="327" spans="1:34" ht="13.2">
      <c r="A327" s="88"/>
      <c r="B327" s="88"/>
      <c r="C327" s="88"/>
      <c r="D327" s="88"/>
      <c r="E327" s="88"/>
      <c r="F327" s="88"/>
      <c r="G327" s="88"/>
      <c r="H327" s="88"/>
      <c r="I327" s="88"/>
      <c r="J327" s="88"/>
      <c r="K327" s="88"/>
      <c r="L327" s="88"/>
      <c r="M327" s="88"/>
      <c r="N327" s="88"/>
      <c r="O327" s="88"/>
      <c r="P327" s="88"/>
      <c r="Q327" s="88"/>
      <c r="R327" s="88"/>
      <c r="S327" s="88"/>
      <c r="T327" s="88"/>
      <c r="U327" s="88"/>
      <c r="V327" s="88"/>
      <c r="W327" s="88"/>
      <c r="X327" s="88"/>
      <c r="Y327" s="88"/>
      <c r="Z327" s="88"/>
      <c r="AA327" s="88"/>
      <c r="AB327" s="128"/>
      <c r="AC327" s="128"/>
      <c r="AD327" s="128"/>
      <c r="AE327" s="128"/>
      <c r="AF327" s="128"/>
      <c r="AG327" s="128"/>
      <c r="AH327" s="127"/>
    </row>
    <row r="328" spans="1:34" ht="13.2">
      <c r="A328" s="88"/>
      <c r="B328" s="88"/>
      <c r="C328" s="88"/>
      <c r="D328" s="88"/>
      <c r="E328" s="88"/>
      <c r="F328" s="88"/>
      <c r="G328" s="88"/>
      <c r="H328" s="88"/>
      <c r="I328" s="88"/>
      <c r="J328" s="88"/>
      <c r="K328" s="88"/>
      <c r="L328" s="88"/>
      <c r="M328" s="88"/>
      <c r="N328" s="88"/>
      <c r="O328" s="88"/>
      <c r="P328" s="88"/>
      <c r="Q328" s="88"/>
      <c r="R328" s="88"/>
      <c r="S328" s="88"/>
      <c r="T328" s="88"/>
      <c r="U328" s="88"/>
      <c r="V328" s="88"/>
      <c r="W328" s="88"/>
      <c r="X328" s="88"/>
      <c r="Y328" s="88"/>
      <c r="Z328" s="88"/>
      <c r="AA328" s="88"/>
      <c r="AB328" s="128"/>
      <c r="AC328" s="128"/>
      <c r="AD328" s="128"/>
      <c r="AE328" s="128"/>
      <c r="AF328" s="128"/>
      <c r="AG328" s="128"/>
      <c r="AH328" s="127"/>
    </row>
    <row r="329" spans="1:34" ht="13.2">
      <c r="A329" s="88"/>
      <c r="B329" s="88"/>
      <c r="C329" s="88"/>
      <c r="D329" s="88"/>
      <c r="E329" s="88"/>
      <c r="F329" s="88"/>
      <c r="G329" s="88"/>
      <c r="H329" s="88"/>
      <c r="I329" s="88"/>
      <c r="J329" s="88"/>
      <c r="K329" s="88"/>
      <c r="L329" s="88"/>
      <c r="M329" s="88"/>
      <c r="N329" s="88"/>
      <c r="O329" s="88"/>
      <c r="P329" s="88"/>
      <c r="Q329" s="88"/>
      <c r="R329" s="88"/>
      <c r="S329" s="88"/>
      <c r="T329" s="88"/>
      <c r="U329" s="88"/>
      <c r="V329" s="88"/>
      <c r="W329" s="88"/>
      <c r="X329" s="88"/>
      <c r="Y329" s="88"/>
      <c r="Z329" s="88"/>
      <c r="AA329" s="88"/>
      <c r="AB329" s="128"/>
      <c r="AC329" s="128"/>
      <c r="AD329" s="128"/>
      <c r="AE329" s="128"/>
      <c r="AF329" s="128"/>
      <c r="AG329" s="128"/>
      <c r="AH329" s="127"/>
    </row>
    <row r="330" spans="1:34" ht="13.2">
      <c r="A330" s="88"/>
      <c r="B330" s="88"/>
      <c r="C330" s="88"/>
      <c r="D330" s="88"/>
      <c r="E330" s="88"/>
      <c r="F330" s="88"/>
      <c r="G330" s="88"/>
      <c r="H330" s="88"/>
      <c r="I330" s="88"/>
      <c r="J330" s="88"/>
      <c r="K330" s="88"/>
      <c r="L330" s="88"/>
      <c r="M330" s="88"/>
      <c r="N330" s="88"/>
      <c r="O330" s="88"/>
      <c r="P330" s="88"/>
      <c r="Q330" s="88"/>
      <c r="R330" s="88"/>
      <c r="S330" s="88"/>
      <c r="T330" s="88"/>
      <c r="U330" s="88"/>
      <c r="V330" s="88"/>
      <c r="W330" s="88"/>
      <c r="X330" s="88"/>
      <c r="Y330" s="88"/>
      <c r="Z330" s="88"/>
      <c r="AA330" s="88"/>
      <c r="AB330" s="128"/>
      <c r="AC330" s="128"/>
      <c r="AD330" s="128"/>
      <c r="AE330" s="128"/>
      <c r="AF330" s="128"/>
      <c r="AG330" s="128"/>
      <c r="AH330" s="127"/>
    </row>
    <row r="331" spans="1:34" ht="13.2">
      <c r="A331" s="88"/>
      <c r="B331" s="88"/>
      <c r="C331" s="88"/>
      <c r="D331" s="88"/>
      <c r="E331" s="88"/>
      <c r="F331" s="88"/>
      <c r="G331" s="88"/>
      <c r="H331" s="88"/>
      <c r="I331" s="88"/>
      <c r="J331" s="88"/>
      <c r="K331" s="88"/>
      <c r="L331" s="88"/>
      <c r="M331" s="88"/>
      <c r="N331" s="88"/>
      <c r="O331" s="88"/>
      <c r="P331" s="88"/>
      <c r="Q331" s="88"/>
      <c r="R331" s="88"/>
      <c r="S331" s="88"/>
      <c r="T331" s="88"/>
      <c r="U331" s="88"/>
      <c r="V331" s="88"/>
      <c r="W331" s="88"/>
      <c r="X331" s="88"/>
      <c r="Y331" s="88"/>
      <c r="Z331" s="88"/>
      <c r="AA331" s="88"/>
      <c r="AB331" s="128"/>
      <c r="AC331" s="128"/>
      <c r="AD331" s="128"/>
      <c r="AE331" s="128"/>
      <c r="AF331" s="128"/>
      <c r="AG331" s="128"/>
      <c r="AH331" s="127"/>
    </row>
    <row r="332" spans="1:34" ht="13.2">
      <c r="A332" s="88"/>
      <c r="B332" s="88"/>
      <c r="C332" s="88"/>
      <c r="D332" s="88"/>
      <c r="E332" s="88"/>
      <c r="F332" s="88"/>
      <c r="G332" s="88"/>
      <c r="H332" s="88"/>
      <c r="I332" s="88"/>
      <c r="J332" s="88"/>
      <c r="K332" s="88"/>
      <c r="L332" s="88"/>
      <c r="M332" s="88"/>
      <c r="N332" s="88"/>
      <c r="O332" s="88"/>
      <c r="P332" s="88"/>
      <c r="Q332" s="88"/>
      <c r="R332" s="88"/>
      <c r="S332" s="88"/>
      <c r="T332" s="88"/>
      <c r="U332" s="88"/>
      <c r="V332" s="88"/>
      <c r="W332" s="88"/>
      <c r="X332" s="88"/>
      <c r="Y332" s="88"/>
      <c r="Z332" s="88"/>
      <c r="AA332" s="88"/>
      <c r="AB332" s="128"/>
      <c r="AC332" s="128"/>
      <c r="AD332" s="128"/>
      <c r="AE332" s="128"/>
      <c r="AF332" s="128"/>
      <c r="AG332" s="128"/>
      <c r="AH332" s="127"/>
    </row>
    <row r="333" spans="1:34" ht="13.2">
      <c r="A333" s="88"/>
      <c r="B333" s="88"/>
      <c r="C333" s="88"/>
      <c r="D333" s="88"/>
      <c r="E333" s="88"/>
      <c r="F333" s="88"/>
      <c r="G333" s="88"/>
      <c r="H333" s="88"/>
      <c r="I333" s="88"/>
      <c r="J333" s="88"/>
      <c r="K333" s="88"/>
      <c r="L333" s="88"/>
      <c r="M333" s="88"/>
      <c r="N333" s="88"/>
      <c r="O333" s="88"/>
      <c r="P333" s="88"/>
      <c r="Q333" s="88"/>
      <c r="R333" s="88"/>
      <c r="S333" s="88"/>
      <c r="T333" s="88"/>
      <c r="U333" s="88"/>
      <c r="V333" s="88"/>
      <c r="W333" s="88"/>
      <c r="X333" s="88"/>
      <c r="Y333" s="88"/>
      <c r="Z333" s="88"/>
      <c r="AA333" s="88"/>
      <c r="AB333" s="128"/>
      <c r="AC333" s="128"/>
      <c r="AD333" s="128"/>
      <c r="AE333" s="128"/>
      <c r="AF333" s="128"/>
      <c r="AG333" s="128"/>
      <c r="AH333" s="127"/>
    </row>
    <row r="334" spans="1:34" ht="13.2">
      <c r="A334" s="88"/>
      <c r="B334" s="88"/>
      <c r="C334" s="88"/>
      <c r="D334" s="88"/>
      <c r="E334" s="88"/>
      <c r="F334" s="88"/>
      <c r="G334" s="88"/>
      <c r="H334" s="88"/>
      <c r="I334" s="88"/>
      <c r="J334" s="88"/>
      <c r="K334" s="88"/>
      <c r="L334" s="88"/>
      <c r="M334" s="88"/>
      <c r="N334" s="88"/>
      <c r="O334" s="88"/>
      <c r="P334" s="88"/>
      <c r="Q334" s="88"/>
      <c r="R334" s="88"/>
      <c r="S334" s="88"/>
      <c r="T334" s="88"/>
      <c r="U334" s="88"/>
      <c r="V334" s="88"/>
      <c r="W334" s="88"/>
      <c r="X334" s="88"/>
      <c r="Y334" s="88"/>
      <c r="Z334" s="88"/>
      <c r="AA334" s="88"/>
      <c r="AB334" s="128"/>
      <c r="AC334" s="128"/>
      <c r="AD334" s="128"/>
      <c r="AE334" s="128"/>
      <c r="AF334" s="128"/>
      <c r="AG334" s="128"/>
      <c r="AH334" s="127"/>
    </row>
    <row r="335" spans="1:34" ht="13.2">
      <c r="A335" s="88"/>
      <c r="B335" s="88"/>
      <c r="C335" s="88"/>
      <c r="D335" s="88"/>
      <c r="E335" s="88"/>
      <c r="F335" s="88"/>
      <c r="G335" s="88"/>
      <c r="H335" s="88"/>
      <c r="I335" s="88"/>
      <c r="J335" s="88"/>
      <c r="K335" s="88"/>
      <c r="L335" s="88"/>
      <c r="M335" s="88"/>
      <c r="N335" s="88"/>
      <c r="O335" s="88"/>
      <c r="P335" s="88"/>
      <c r="Q335" s="88"/>
      <c r="R335" s="88"/>
      <c r="S335" s="88"/>
      <c r="T335" s="88"/>
      <c r="U335" s="88"/>
      <c r="V335" s="88"/>
      <c r="W335" s="88"/>
      <c r="X335" s="88"/>
      <c r="Y335" s="88"/>
      <c r="Z335" s="88"/>
      <c r="AA335" s="88"/>
      <c r="AB335" s="128"/>
      <c r="AC335" s="128"/>
      <c r="AD335" s="128"/>
      <c r="AE335" s="128"/>
      <c r="AF335" s="128"/>
      <c r="AG335" s="128"/>
      <c r="AH335" s="127"/>
    </row>
    <row r="336" spans="1:34" ht="13.2">
      <c r="A336" s="88"/>
      <c r="B336" s="88"/>
      <c r="C336" s="88"/>
      <c r="D336" s="88"/>
      <c r="E336" s="88"/>
      <c r="F336" s="88"/>
      <c r="G336" s="88"/>
      <c r="H336" s="88"/>
      <c r="I336" s="88"/>
      <c r="J336" s="88"/>
      <c r="K336" s="88"/>
      <c r="L336" s="88"/>
      <c r="M336" s="88"/>
      <c r="N336" s="88"/>
      <c r="O336" s="88"/>
      <c r="P336" s="88"/>
      <c r="Q336" s="88"/>
      <c r="R336" s="88"/>
      <c r="S336" s="88"/>
      <c r="T336" s="88"/>
      <c r="U336" s="88"/>
      <c r="V336" s="88"/>
      <c r="W336" s="88"/>
      <c r="X336" s="88"/>
      <c r="Y336" s="88"/>
      <c r="Z336" s="88"/>
      <c r="AA336" s="88"/>
      <c r="AB336" s="128"/>
      <c r="AC336" s="128"/>
      <c r="AD336" s="128"/>
      <c r="AE336" s="128"/>
      <c r="AF336" s="128"/>
      <c r="AG336" s="128"/>
      <c r="AH336" s="127"/>
    </row>
    <row r="337" spans="1:34" ht="13.2">
      <c r="A337" s="88"/>
      <c r="B337" s="88"/>
      <c r="C337" s="88"/>
      <c r="D337" s="88"/>
      <c r="E337" s="88"/>
      <c r="F337" s="88"/>
      <c r="G337" s="88"/>
      <c r="H337" s="88"/>
      <c r="I337" s="88"/>
      <c r="J337" s="88"/>
      <c r="K337" s="88"/>
      <c r="L337" s="88"/>
      <c r="M337" s="88"/>
      <c r="N337" s="88"/>
      <c r="O337" s="88"/>
      <c r="P337" s="88"/>
      <c r="Q337" s="88"/>
      <c r="R337" s="88"/>
      <c r="S337" s="88"/>
      <c r="T337" s="88"/>
      <c r="U337" s="88"/>
      <c r="V337" s="88"/>
      <c r="W337" s="88"/>
      <c r="X337" s="88"/>
      <c r="Y337" s="88"/>
      <c r="Z337" s="88"/>
      <c r="AA337" s="88"/>
      <c r="AB337" s="128"/>
      <c r="AC337" s="128"/>
      <c r="AD337" s="128"/>
      <c r="AE337" s="128"/>
      <c r="AF337" s="128"/>
      <c r="AG337" s="128"/>
      <c r="AH337" s="127"/>
    </row>
    <row r="338" spans="1:34" ht="13.2">
      <c r="A338" s="88"/>
      <c r="B338" s="88"/>
      <c r="C338" s="88"/>
      <c r="D338" s="88"/>
      <c r="E338" s="88"/>
      <c r="F338" s="88"/>
      <c r="G338" s="88"/>
      <c r="H338" s="88"/>
      <c r="I338" s="88"/>
      <c r="J338" s="88"/>
      <c r="K338" s="88"/>
      <c r="L338" s="88"/>
      <c r="M338" s="88"/>
      <c r="N338" s="88"/>
      <c r="O338" s="88"/>
      <c r="P338" s="88"/>
      <c r="Q338" s="88"/>
      <c r="R338" s="88"/>
      <c r="S338" s="88"/>
      <c r="T338" s="88"/>
      <c r="U338" s="88"/>
      <c r="V338" s="88"/>
      <c r="W338" s="88"/>
      <c r="X338" s="88"/>
      <c r="Y338" s="88"/>
      <c r="Z338" s="88"/>
      <c r="AA338" s="88"/>
      <c r="AB338" s="128"/>
      <c r="AC338" s="128"/>
      <c r="AD338" s="128"/>
      <c r="AE338" s="128"/>
      <c r="AF338" s="128"/>
      <c r="AG338" s="128"/>
      <c r="AH338" s="127"/>
    </row>
    <row r="339" spans="1:34" ht="13.2">
      <c r="A339" s="88"/>
      <c r="B339" s="88"/>
      <c r="C339" s="88"/>
      <c r="D339" s="88"/>
      <c r="E339" s="88"/>
      <c r="F339" s="88"/>
      <c r="G339" s="88"/>
      <c r="H339" s="88"/>
      <c r="I339" s="88"/>
      <c r="J339" s="88"/>
      <c r="K339" s="88"/>
      <c r="L339" s="88"/>
      <c r="M339" s="88"/>
      <c r="N339" s="88"/>
      <c r="O339" s="88"/>
      <c r="P339" s="88"/>
      <c r="Q339" s="88"/>
      <c r="R339" s="88"/>
      <c r="S339" s="88"/>
      <c r="T339" s="88"/>
      <c r="U339" s="88"/>
      <c r="V339" s="88"/>
      <c r="W339" s="88"/>
      <c r="X339" s="88"/>
      <c r="Y339" s="88"/>
      <c r="Z339" s="88"/>
      <c r="AA339" s="88"/>
      <c r="AB339" s="128"/>
      <c r="AC339" s="128"/>
      <c r="AD339" s="128"/>
      <c r="AE339" s="128"/>
      <c r="AF339" s="128"/>
      <c r="AG339" s="128"/>
      <c r="AH339" s="127"/>
    </row>
    <row r="340" spans="1:34" ht="13.2">
      <c r="A340" s="88"/>
      <c r="B340" s="88"/>
      <c r="C340" s="88"/>
      <c r="D340" s="88"/>
      <c r="E340" s="88"/>
      <c r="F340" s="88"/>
      <c r="G340" s="88"/>
      <c r="H340" s="88"/>
      <c r="I340" s="88"/>
      <c r="J340" s="88"/>
      <c r="K340" s="88"/>
      <c r="L340" s="88"/>
      <c r="M340" s="88"/>
      <c r="N340" s="88"/>
      <c r="O340" s="88"/>
      <c r="P340" s="88"/>
      <c r="Q340" s="88"/>
      <c r="R340" s="88"/>
      <c r="S340" s="88"/>
      <c r="T340" s="88"/>
      <c r="U340" s="88"/>
      <c r="V340" s="88"/>
      <c r="W340" s="88"/>
      <c r="X340" s="88"/>
      <c r="Y340" s="88"/>
      <c r="Z340" s="88"/>
      <c r="AA340" s="88"/>
      <c r="AB340" s="128"/>
      <c r="AC340" s="128"/>
      <c r="AD340" s="128"/>
      <c r="AE340" s="128"/>
      <c r="AF340" s="128"/>
      <c r="AG340" s="128"/>
      <c r="AH340" s="127"/>
    </row>
    <row r="341" spans="1:34" ht="13.2">
      <c r="A341" s="88"/>
      <c r="B341" s="88"/>
      <c r="C341" s="88"/>
      <c r="D341" s="88"/>
      <c r="E341" s="88"/>
      <c r="F341" s="88"/>
      <c r="G341" s="88"/>
      <c r="H341" s="88"/>
      <c r="I341" s="88"/>
      <c r="J341" s="88"/>
      <c r="K341" s="88"/>
      <c r="L341" s="88"/>
      <c r="M341" s="88"/>
      <c r="N341" s="88"/>
      <c r="O341" s="88"/>
      <c r="P341" s="88"/>
      <c r="Q341" s="88"/>
      <c r="R341" s="88"/>
      <c r="S341" s="88"/>
      <c r="T341" s="88"/>
      <c r="U341" s="88"/>
      <c r="V341" s="88"/>
      <c r="W341" s="88"/>
      <c r="X341" s="88"/>
      <c r="Y341" s="88"/>
      <c r="Z341" s="88"/>
      <c r="AA341" s="88"/>
      <c r="AB341" s="128"/>
      <c r="AC341" s="128"/>
      <c r="AD341" s="128"/>
      <c r="AE341" s="128"/>
      <c r="AF341" s="128"/>
      <c r="AG341" s="128"/>
      <c r="AH341" s="127"/>
    </row>
    <row r="342" spans="1:34" ht="13.2">
      <c r="A342" s="88"/>
      <c r="B342" s="88"/>
      <c r="C342" s="88"/>
      <c r="D342" s="88"/>
      <c r="E342" s="88"/>
      <c r="F342" s="88"/>
      <c r="G342" s="88"/>
      <c r="H342" s="88"/>
      <c r="I342" s="88"/>
      <c r="J342" s="88"/>
      <c r="K342" s="88"/>
      <c r="L342" s="88"/>
      <c r="M342" s="88"/>
      <c r="N342" s="88"/>
      <c r="O342" s="88"/>
      <c r="P342" s="88"/>
      <c r="Q342" s="88"/>
      <c r="R342" s="88"/>
      <c r="S342" s="88"/>
      <c r="T342" s="88"/>
      <c r="U342" s="88"/>
      <c r="V342" s="88"/>
      <c r="W342" s="88"/>
      <c r="X342" s="88"/>
      <c r="Y342" s="88"/>
      <c r="Z342" s="88"/>
      <c r="AA342" s="88"/>
      <c r="AB342" s="128"/>
      <c r="AC342" s="128"/>
      <c r="AD342" s="128"/>
      <c r="AE342" s="128"/>
      <c r="AF342" s="128"/>
      <c r="AG342" s="128"/>
      <c r="AH342" s="127"/>
    </row>
    <row r="343" spans="1:34" ht="13.2">
      <c r="A343" s="88"/>
      <c r="B343" s="88"/>
      <c r="C343" s="88"/>
      <c r="D343" s="88"/>
      <c r="E343" s="88"/>
      <c r="F343" s="88"/>
      <c r="G343" s="88"/>
      <c r="H343" s="88"/>
      <c r="I343" s="88"/>
      <c r="J343" s="88"/>
      <c r="K343" s="88"/>
      <c r="L343" s="88"/>
      <c r="M343" s="88"/>
      <c r="N343" s="88"/>
      <c r="O343" s="88"/>
      <c r="P343" s="88"/>
      <c r="Q343" s="88"/>
      <c r="R343" s="88"/>
      <c r="S343" s="88"/>
      <c r="T343" s="88"/>
      <c r="U343" s="88"/>
      <c r="V343" s="88"/>
      <c r="W343" s="88"/>
      <c r="X343" s="88"/>
      <c r="Y343" s="88"/>
      <c r="Z343" s="88"/>
      <c r="AA343" s="88"/>
      <c r="AB343" s="128"/>
      <c r="AC343" s="128"/>
      <c r="AD343" s="128"/>
      <c r="AE343" s="128"/>
      <c r="AF343" s="128"/>
      <c r="AG343" s="128"/>
      <c r="AH343" s="127"/>
    </row>
    <row r="344" spans="1:34" ht="13.2">
      <c r="A344" s="88"/>
      <c r="B344" s="88"/>
      <c r="C344" s="88"/>
      <c r="D344" s="88"/>
      <c r="E344" s="88"/>
      <c r="F344" s="88"/>
      <c r="G344" s="88"/>
      <c r="H344" s="88"/>
      <c r="I344" s="88"/>
      <c r="J344" s="88"/>
      <c r="K344" s="88"/>
      <c r="L344" s="88"/>
      <c r="M344" s="88"/>
      <c r="N344" s="88"/>
      <c r="O344" s="88"/>
      <c r="P344" s="88"/>
      <c r="Q344" s="88"/>
      <c r="R344" s="88"/>
      <c r="S344" s="88"/>
      <c r="T344" s="88"/>
      <c r="U344" s="88"/>
      <c r="V344" s="88"/>
      <c r="W344" s="88"/>
      <c r="X344" s="88"/>
      <c r="Y344" s="88"/>
      <c r="Z344" s="88"/>
      <c r="AA344" s="88"/>
      <c r="AB344" s="128"/>
      <c r="AC344" s="128"/>
      <c r="AD344" s="128"/>
      <c r="AE344" s="128"/>
      <c r="AF344" s="128"/>
      <c r="AG344" s="128"/>
      <c r="AH344" s="127"/>
    </row>
    <row r="345" spans="1:34" ht="13.2">
      <c r="A345" s="88"/>
      <c r="B345" s="88"/>
      <c r="C345" s="88"/>
      <c r="D345" s="88"/>
      <c r="E345" s="88"/>
      <c r="F345" s="88"/>
      <c r="G345" s="88"/>
      <c r="H345" s="88"/>
      <c r="I345" s="88"/>
      <c r="J345" s="88"/>
      <c r="K345" s="88"/>
      <c r="L345" s="88"/>
      <c r="M345" s="88"/>
      <c r="N345" s="88"/>
      <c r="O345" s="88"/>
      <c r="P345" s="88"/>
      <c r="Q345" s="88"/>
      <c r="R345" s="88"/>
      <c r="S345" s="88"/>
      <c r="T345" s="88"/>
      <c r="U345" s="88"/>
      <c r="V345" s="88"/>
      <c r="W345" s="88"/>
      <c r="X345" s="88"/>
      <c r="Y345" s="88"/>
      <c r="Z345" s="88"/>
      <c r="AA345" s="88"/>
      <c r="AB345" s="128"/>
      <c r="AC345" s="128"/>
      <c r="AD345" s="128"/>
      <c r="AE345" s="128"/>
      <c r="AF345" s="128"/>
      <c r="AG345" s="128"/>
      <c r="AH345" s="127"/>
    </row>
    <row r="346" spans="1:34" ht="13.2">
      <c r="A346" s="88"/>
      <c r="B346" s="88"/>
      <c r="C346" s="88"/>
      <c r="D346" s="88"/>
      <c r="E346" s="88"/>
      <c r="F346" s="88"/>
      <c r="G346" s="88"/>
      <c r="H346" s="88"/>
      <c r="I346" s="88"/>
      <c r="J346" s="88"/>
      <c r="K346" s="88"/>
      <c r="L346" s="88"/>
      <c r="M346" s="88"/>
      <c r="N346" s="88"/>
      <c r="O346" s="88"/>
      <c r="P346" s="88"/>
      <c r="Q346" s="88"/>
      <c r="R346" s="88"/>
      <c r="S346" s="88"/>
      <c r="T346" s="88"/>
      <c r="U346" s="88"/>
      <c r="V346" s="88"/>
      <c r="W346" s="88"/>
      <c r="X346" s="88"/>
      <c r="Y346" s="88"/>
      <c r="Z346" s="88"/>
      <c r="AA346" s="88"/>
      <c r="AB346" s="128"/>
      <c r="AC346" s="128"/>
      <c r="AD346" s="128"/>
      <c r="AE346" s="128"/>
      <c r="AF346" s="128"/>
      <c r="AG346" s="128"/>
      <c r="AH346" s="127"/>
    </row>
    <row r="347" spans="1:34" ht="13.2">
      <c r="A347" s="88"/>
      <c r="B347" s="88"/>
      <c r="C347" s="88"/>
      <c r="D347" s="88"/>
      <c r="E347" s="88"/>
      <c r="F347" s="88"/>
      <c r="G347" s="88"/>
      <c r="H347" s="88"/>
      <c r="I347" s="88"/>
      <c r="J347" s="88"/>
      <c r="K347" s="88"/>
      <c r="L347" s="88"/>
      <c r="M347" s="88"/>
      <c r="N347" s="88"/>
      <c r="O347" s="88"/>
      <c r="P347" s="88"/>
      <c r="Q347" s="88"/>
      <c r="R347" s="88"/>
      <c r="S347" s="88"/>
      <c r="T347" s="88"/>
      <c r="U347" s="88"/>
      <c r="V347" s="88"/>
      <c r="W347" s="88"/>
      <c r="X347" s="88"/>
      <c r="Y347" s="88"/>
      <c r="Z347" s="88"/>
      <c r="AA347" s="88"/>
      <c r="AB347" s="128"/>
      <c r="AC347" s="128"/>
      <c r="AD347" s="128"/>
      <c r="AE347" s="128"/>
      <c r="AF347" s="128"/>
      <c r="AG347" s="128"/>
      <c r="AH347" s="127"/>
    </row>
    <row r="348" spans="1:34" ht="13.2">
      <c r="A348" s="88"/>
      <c r="B348" s="88"/>
      <c r="C348" s="88"/>
      <c r="D348" s="88"/>
      <c r="E348" s="88"/>
      <c r="F348" s="88"/>
      <c r="G348" s="88"/>
      <c r="H348" s="88"/>
      <c r="I348" s="88"/>
      <c r="J348" s="88"/>
      <c r="K348" s="88"/>
      <c r="L348" s="88"/>
      <c r="M348" s="88"/>
      <c r="N348" s="88"/>
      <c r="O348" s="88"/>
      <c r="P348" s="88"/>
      <c r="Q348" s="88"/>
      <c r="R348" s="88"/>
      <c r="S348" s="88"/>
      <c r="T348" s="88"/>
      <c r="U348" s="88"/>
      <c r="V348" s="88"/>
      <c r="W348" s="88"/>
      <c r="X348" s="88"/>
      <c r="Y348" s="88"/>
      <c r="Z348" s="88"/>
      <c r="AA348" s="88"/>
      <c r="AB348" s="128"/>
      <c r="AC348" s="128"/>
      <c r="AD348" s="128"/>
      <c r="AE348" s="128"/>
      <c r="AF348" s="128"/>
      <c r="AG348" s="128"/>
      <c r="AH348" s="127"/>
    </row>
    <row r="349" spans="1:34" ht="13.2">
      <c r="A349" s="88"/>
      <c r="B349" s="88"/>
      <c r="C349" s="88"/>
      <c r="D349" s="88"/>
      <c r="E349" s="88"/>
      <c r="F349" s="88"/>
      <c r="G349" s="88"/>
      <c r="H349" s="88"/>
      <c r="I349" s="88"/>
      <c r="J349" s="88"/>
      <c r="K349" s="88"/>
      <c r="L349" s="88"/>
      <c r="M349" s="88"/>
      <c r="N349" s="88"/>
      <c r="O349" s="88"/>
      <c r="P349" s="88"/>
      <c r="Q349" s="88"/>
      <c r="R349" s="88"/>
      <c r="S349" s="88"/>
      <c r="T349" s="88"/>
      <c r="U349" s="88"/>
      <c r="V349" s="88"/>
      <c r="W349" s="88"/>
      <c r="X349" s="88"/>
      <c r="Y349" s="88"/>
      <c r="Z349" s="88"/>
      <c r="AA349" s="88"/>
      <c r="AB349" s="128"/>
      <c r="AC349" s="128"/>
      <c r="AD349" s="128"/>
      <c r="AE349" s="128"/>
      <c r="AF349" s="128"/>
      <c r="AG349" s="128"/>
      <c r="AH349" s="127"/>
    </row>
    <row r="350" spans="1:34" ht="13.2">
      <c r="A350" s="88"/>
      <c r="B350" s="88"/>
      <c r="C350" s="88"/>
      <c r="D350" s="88"/>
      <c r="E350" s="88"/>
      <c r="F350" s="88"/>
      <c r="G350" s="88"/>
      <c r="H350" s="88"/>
      <c r="I350" s="88"/>
      <c r="J350" s="88"/>
      <c r="K350" s="88"/>
      <c r="L350" s="88"/>
      <c r="M350" s="88"/>
      <c r="N350" s="88"/>
      <c r="O350" s="88"/>
      <c r="P350" s="88"/>
      <c r="Q350" s="88"/>
      <c r="R350" s="88"/>
      <c r="S350" s="88"/>
      <c r="T350" s="88"/>
      <c r="U350" s="88"/>
      <c r="V350" s="88"/>
      <c r="W350" s="88"/>
      <c r="X350" s="88"/>
      <c r="Y350" s="88"/>
      <c r="Z350" s="88"/>
      <c r="AA350" s="88"/>
      <c r="AB350" s="128"/>
      <c r="AC350" s="128"/>
      <c r="AD350" s="128"/>
      <c r="AE350" s="128"/>
      <c r="AF350" s="128"/>
      <c r="AG350" s="128"/>
      <c r="AH350" s="127"/>
    </row>
    <row r="351" spans="1:34" ht="13.2">
      <c r="A351" s="88"/>
      <c r="B351" s="88"/>
      <c r="C351" s="88"/>
      <c r="D351" s="88"/>
      <c r="E351" s="88"/>
      <c r="F351" s="88"/>
      <c r="G351" s="88"/>
      <c r="H351" s="88"/>
      <c r="I351" s="88"/>
      <c r="J351" s="88"/>
      <c r="K351" s="88"/>
      <c r="L351" s="88"/>
      <c r="M351" s="88"/>
      <c r="N351" s="88"/>
      <c r="O351" s="88"/>
      <c r="P351" s="88"/>
      <c r="Q351" s="88"/>
      <c r="R351" s="88"/>
      <c r="S351" s="88"/>
      <c r="T351" s="88"/>
      <c r="U351" s="88"/>
      <c r="V351" s="88"/>
      <c r="W351" s="88"/>
      <c r="X351" s="88"/>
      <c r="Y351" s="88"/>
      <c r="Z351" s="88"/>
      <c r="AA351" s="88"/>
      <c r="AB351" s="128"/>
      <c r="AC351" s="128"/>
      <c r="AD351" s="128"/>
      <c r="AE351" s="128"/>
      <c r="AF351" s="128"/>
      <c r="AG351" s="128"/>
      <c r="AH351" s="127"/>
    </row>
    <row r="352" spans="1:34" ht="13.2">
      <c r="A352" s="88"/>
      <c r="B352" s="88"/>
      <c r="C352" s="88"/>
      <c r="D352" s="88"/>
      <c r="E352" s="88"/>
      <c r="F352" s="88"/>
      <c r="G352" s="88"/>
      <c r="H352" s="88"/>
      <c r="I352" s="88"/>
      <c r="J352" s="88"/>
      <c r="K352" s="88"/>
      <c r="L352" s="88"/>
      <c r="M352" s="88"/>
      <c r="N352" s="88"/>
      <c r="O352" s="88"/>
      <c r="P352" s="88"/>
      <c r="Q352" s="88"/>
      <c r="R352" s="88"/>
      <c r="S352" s="88"/>
      <c r="T352" s="88"/>
      <c r="U352" s="88"/>
      <c r="V352" s="88"/>
      <c r="W352" s="88"/>
      <c r="X352" s="88"/>
      <c r="Y352" s="88"/>
      <c r="Z352" s="88"/>
      <c r="AA352" s="88"/>
      <c r="AB352" s="128"/>
      <c r="AC352" s="128"/>
      <c r="AD352" s="128"/>
      <c r="AE352" s="128"/>
      <c r="AF352" s="128"/>
      <c r="AG352" s="128"/>
      <c r="AH352" s="127"/>
    </row>
    <row r="353" spans="1:34" ht="13.2">
      <c r="A353" s="88"/>
      <c r="B353" s="88"/>
      <c r="C353" s="88"/>
      <c r="D353" s="88"/>
      <c r="E353" s="88"/>
      <c r="F353" s="88"/>
      <c r="G353" s="88"/>
      <c r="H353" s="88"/>
      <c r="I353" s="88"/>
      <c r="J353" s="88"/>
      <c r="K353" s="88"/>
      <c r="L353" s="88"/>
      <c r="M353" s="88"/>
      <c r="N353" s="88"/>
      <c r="O353" s="88"/>
      <c r="P353" s="88"/>
      <c r="Q353" s="88"/>
      <c r="R353" s="88"/>
      <c r="S353" s="88"/>
      <c r="T353" s="88"/>
      <c r="U353" s="88"/>
      <c r="V353" s="88"/>
      <c r="W353" s="88"/>
      <c r="X353" s="88"/>
      <c r="Y353" s="88"/>
      <c r="Z353" s="88"/>
      <c r="AA353" s="88"/>
      <c r="AB353" s="128"/>
      <c r="AC353" s="128"/>
      <c r="AD353" s="128"/>
      <c r="AE353" s="128"/>
      <c r="AF353" s="128"/>
      <c r="AG353" s="128"/>
      <c r="AH353" s="127"/>
    </row>
    <row r="354" spans="1:34" ht="13.2">
      <c r="A354" s="88"/>
      <c r="B354" s="88"/>
      <c r="C354" s="88"/>
      <c r="D354" s="88"/>
      <c r="E354" s="88"/>
      <c r="F354" s="88"/>
      <c r="G354" s="88"/>
      <c r="H354" s="88"/>
      <c r="I354" s="88"/>
      <c r="J354" s="88"/>
      <c r="K354" s="88"/>
      <c r="L354" s="88"/>
      <c r="M354" s="88"/>
      <c r="N354" s="88"/>
      <c r="O354" s="88"/>
      <c r="P354" s="88"/>
      <c r="Q354" s="88"/>
      <c r="R354" s="88"/>
      <c r="S354" s="88"/>
      <c r="T354" s="88"/>
      <c r="U354" s="88"/>
      <c r="V354" s="88"/>
      <c r="W354" s="88"/>
      <c r="X354" s="88"/>
      <c r="Y354" s="88"/>
      <c r="Z354" s="88"/>
      <c r="AA354" s="88"/>
      <c r="AB354" s="128"/>
      <c r="AC354" s="128"/>
      <c r="AD354" s="128"/>
      <c r="AE354" s="128"/>
      <c r="AF354" s="128"/>
      <c r="AG354" s="128"/>
      <c r="AH354" s="127"/>
    </row>
    <row r="355" spans="1:34" ht="13.2">
      <c r="A355" s="88"/>
      <c r="B355" s="88"/>
      <c r="C355" s="88"/>
      <c r="D355" s="88"/>
      <c r="E355" s="88"/>
      <c r="F355" s="88"/>
      <c r="G355" s="88"/>
      <c r="H355" s="88"/>
      <c r="I355" s="88"/>
      <c r="J355" s="88"/>
      <c r="K355" s="88"/>
      <c r="L355" s="88"/>
      <c r="M355" s="88"/>
      <c r="N355" s="88"/>
      <c r="O355" s="88"/>
      <c r="P355" s="88"/>
      <c r="Q355" s="88"/>
      <c r="R355" s="88"/>
      <c r="S355" s="88"/>
      <c r="T355" s="88"/>
      <c r="U355" s="88"/>
      <c r="V355" s="88"/>
      <c r="W355" s="88"/>
      <c r="X355" s="88"/>
      <c r="Y355" s="88"/>
      <c r="Z355" s="88"/>
      <c r="AA355" s="88"/>
      <c r="AB355" s="128"/>
      <c r="AC355" s="128"/>
      <c r="AD355" s="128"/>
      <c r="AE355" s="128"/>
      <c r="AF355" s="128"/>
      <c r="AG355" s="128"/>
      <c r="AH355" s="127"/>
    </row>
    <row r="356" spans="1:34" ht="13.2">
      <c r="A356" s="88"/>
      <c r="B356" s="88"/>
      <c r="C356" s="88"/>
      <c r="D356" s="88"/>
      <c r="E356" s="88"/>
      <c r="F356" s="88"/>
      <c r="G356" s="88"/>
      <c r="H356" s="88"/>
      <c r="I356" s="88"/>
      <c r="J356" s="88"/>
      <c r="K356" s="88"/>
      <c r="L356" s="88"/>
      <c r="M356" s="88"/>
      <c r="N356" s="88"/>
      <c r="O356" s="88"/>
      <c r="P356" s="88"/>
      <c r="Q356" s="88"/>
      <c r="R356" s="88"/>
      <c r="S356" s="88"/>
      <c r="T356" s="88"/>
      <c r="U356" s="88"/>
      <c r="V356" s="88"/>
      <c r="W356" s="88"/>
      <c r="X356" s="88"/>
      <c r="Y356" s="88"/>
      <c r="Z356" s="88"/>
      <c r="AA356" s="88"/>
      <c r="AB356" s="128"/>
      <c r="AC356" s="128"/>
      <c r="AD356" s="128"/>
      <c r="AE356" s="128"/>
      <c r="AF356" s="128"/>
      <c r="AG356" s="128"/>
      <c r="AH356" s="127"/>
    </row>
    <row r="357" spans="1:34" ht="13.2">
      <c r="A357" s="88"/>
      <c r="B357" s="88"/>
      <c r="C357" s="88"/>
      <c r="D357" s="88"/>
      <c r="E357" s="88"/>
      <c r="F357" s="88"/>
      <c r="G357" s="88"/>
      <c r="H357" s="88"/>
      <c r="I357" s="88"/>
      <c r="J357" s="88"/>
      <c r="K357" s="88"/>
      <c r="L357" s="88"/>
      <c r="M357" s="88"/>
      <c r="N357" s="88"/>
      <c r="O357" s="88"/>
      <c r="P357" s="88"/>
      <c r="Q357" s="88"/>
      <c r="R357" s="88"/>
      <c r="S357" s="88"/>
      <c r="T357" s="88"/>
      <c r="U357" s="88"/>
      <c r="V357" s="88"/>
      <c r="W357" s="88"/>
      <c r="X357" s="88"/>
      <c r="Y357" s="88"/>
      <c r="Z357" s="88"/>
      <c r="AA357" s="88"/>
      <c r="AB357" s="128"/>
      <c r="AC357" s="128"/>
      <c r="AD357" s="128"/>
      <c r="AE357" s="128"/>
      <c r="AF357" s="128"/>
      <c r="AG357" s="128"/>
      <c r="AH357" s="127"/>
    </row>
    <row r="358" spans="1:34" ht="13.2">
      <c r="A358" s="88"/>
      <c r="B358" s="88"/>
      <c r="C358" s="88"/>
      <c r="D358" s="88"/>
      <c r="E358" s="88"/>
      <c r="F358" s="88"/>
      <c r="G358" s="88"/>
      <c r="H358" s="88"/>
      <c r="I358" s="88"/>
      <c r="J358" s="88"/>
      <c r="K358" s="88"/>
      <c r="L358" s="88"/>
      <c r="M358" s="88"/>
      <c r="N358" s="88"/>
      <c r="O358" s="88"/>
      <c r="P358" s="88"/>
      <c r="Q358" s="88"/>
      <c r="R358" s="88"/>
      <c r="S358" s="88"/>
      <c r="T358" s="88"/>
      <c r="U358" s="88"/>
      <c r="V358" s="88"/>
      <c r="W358" s="88"/>
      <c r="X358" s="88"/>
      <c r="Y358" s="88"/>
      <c r="Z358" s="88"/>
      <c r="AA358" s="88"/>
      <c r="AB358" s="128"/>
      <c r="AC358" s="128"/>
      <c r="AD358" s="128"/>
      <c r="AE358" s="128"/>
      <c r="AF358" s="128"/>
      <c r="AG358" s="128"/>
      <c r="AH358" s="127"/>
    </row>
    <row r="359" spans="1:34" ht="13.2">
      <c r="A359" s="88"/>
      <c r="B359" s="88"/>
      <c r="C359" s="88"/>
      <c r="D359" s="88"/>
      <c r="E359" s="88"/>
      <c r="F359" s="88"/>
      <c r="G359" s="88"/>
      <c r="H359" s="88"/>
      <c r="I359" s="88"/>
      <c r="J359" s="88"/>
      <c r="K359" s="88"/>
      <c r="L359" s="88"/>
      <c r="M359" s="88"/>
      <c r="N359" s="88"/>
      <c r="O359" s="88"/>
      <c r="P359" s="88"/>
      <c r="Q359" s="88"/>
      <c r="R359" s="88"/>
      <c r="S359" s="88"/>
      <c r="T359" s="88"/>
      <c r="U359" s="88"/>
      <c r="V359" s="88"/>
      <c r="W359" s="88"/>
      <c r="X359" s="88"/>
      <c r="Y359" s="88"/>
      <c r="Z359" s="88"/>
      <c r="AA359" s="88"/>
      <c r="AB359" s="128"/>
      <c r="AC359" s="128"/>
      <c r="AD359" s="128"/>
      <c r="AE359" s="128"/>
      <c r="AF359" s="128"/>
      <c r="AG359" s="128"/>
      <c r="AH359" s="127"/>
    </row>
    <row r="360" spans="1:34" ht="13.2">
      <c r="A360" s="88"/>
      <c r="B360" s="88"/>
      <c r="C360" s="88"/>
      <c r="D360" s="88"/>
      <c r="E360" s="88"/>
      <c r="F360" s="88"/>
      <c r="G360" s="88"/>
      <c r="H360" s="88"/>
      <c r="I360" s="88"/>
      <c r="J360" s="88"/>
      <c r="K360" s="88"/>
      <c r="L360" s="88"/>
      <c r="M360" s="88"/>
      <c r="N360" s="88"/>
      <c r="O360" s="88"/>
      <c r="P360" s="88"/>
      <c r="Q360" s="88"/>
      <c r="R360" s="88"/>
      <c r="S360" s="88"/>
      <c r="T360" s="88"/>
      <c r="U360" s="88"/>
      <c r="V360" s="88"/>
      <c r="W360" s="88"/>
      <c r="X360" s="88"/>
      <c r="Y360" s="88"/>
      <c r="Z360" s="88"/>
      <c r="AA360" s="88"/>
      <c r="AB360" s="128"/>
      <c r="AC360" s="128"/>
      <c r="AD360" s="128"/>
      <c r="AE360" s="128"/>
      <c r="AF360" s="128"/>
      <c r="AG360" s="128"/>
      <c r="AH360" s="127"/>
    </row>
    <row r="361" spans="1:34" ht="13.2">
      <c r="A361" s="88"/>
      <c r="B361" s="88"/>
      <c r="C361" s="88"/>
      <c r="D361" s="88"/>
      <c r="E361" s="88"/>
      <c r="F361" s="88"/>
      <c r="G361" s="88"/>
      <c r="H361" s="88"/>
      <c r="I361" s="88"/>
      <c r="J361" s="88"/>
      <c r="K361" s="88"/>
      <c r="L361" s="88"/>
      <c r="M361" s="88"/>
      <c r="N361" s="88"/>
      <c r="O361" s="88"/>
      <c r="P361" s="88"/>
      <c r="Q361" s="88"/>
      <c r="R361" s="88"/>
      <c r="S361" s="88"/>
      <c r="T361" s="88"/>
      <c r="U361" s="88"/>
      <c r="V361" s="88"/>
      <c r="W361" s="88"/>
      <c r="X361" s="88"/>
      <c r="Y361" s="88"/>
      <c r="Z361" s="88"/>
      <c r="AA361" s="88"/>
      <c r="AB361" s="128"/>
      <c r="AC361" s="128"/>
      <c r="AD361" s="128"/>
      <c r="AE361" s="128"/>
      <c r="AF361" s="128"/>
      <c r="AG361" s="128"/>
      <c r="AH361" s="127"/>
    </row>
    <row r="362" spans="1:34" ht="13.2">
      <c r="A362" s="88"/>
      <c r="B362" s="88"/>
      <c r="C362" s="88"/>
      <c r="D362" s="88"/>
      <c r="E362" s="88"/>
      <c r="F362" s="88"/>
      <c r="G362" s="88"/>
      <c r="H362" s="88"/>
      <c r="I362" s="88"/>
      <c r="J362" s="88"/>
      <c r="K362" s="88"/>
      <c r="L362" s="88"/>
      <c r="M362" s="88"/>
      <c r="N362" s="88"/>
      <c r="O362" s="88"/>
      <c r="P362" s="88"/>
      <c r="Q362" s="88"/>
      <c r="R362" s="88"/>
      <c r="S362" s="88"/>
      <c r="T362" s="88"/>
      <c r="U362" s="88"/>
      <c r="V362" s="88"/>
      <c r="W362" s="88"/>
      <c r="X362" s="88"/>
      <c r="Y362" s="88"/>
      <c r="Z362" s="88"/>
      <c r="AA362" s="88"/>
      <c r="AB362" s="128"/>
      <c r="AC362" s="128"/>
      <c r="AD362" s="128"/>
      <c r="AE362" s="128"/>
      <c r="AF362" s="128"/>
      <c r="AG362" s="128"/>
      <c r="AH362" s="127"/>
    </row>
    <row r="363" spans="1:34" ht="13.2">
      <c r="A363" s="88"/>
      <c r="B363" s="88"/>
      <c r="C363" s="88"/>
      <c r="D363" s="88"/>
      <c r="E363" s="88"/>
      <c r="F363" s="88"/>
      <c r="G363" s="88"/>
      <c r="H363" s="88"/>
      <c r="I363" s="88"/>
      <c r="J363" s="88"/>
      <c r="K363" s="88"/>
      <c r="L363" s="88"/>
      <c r="M363" s="88"/>
      <c r="N363" s="88"/>
      <c r="O363" s="88"/>
      <c r="P363" s="88"/>
      <c r="Q363" s="88"/>
      <c r="R363" s="88"/>
      <c r="S363" s="88"/>
      <c r="T363" s="88"/>
      <c r="U363" s="88"/>
      <c r="V363" s="88"/>
      <c r="W363" s="88"/>
      <c r="X363" s="88"/>
      <c r="Y363" s="88"/>
      <c r="Z363" s="88"/>
      <c r="AA363" s="88"/>
      <c r="AB363" s="128"/>
      <c r="AC363" s="128"/>
      <c r="AD363" s="128"/>
      <c r="AE363" s="128"/>
      <c r="AF363" s="128"/>
      <c r="AG363" s="128"/>
      <c r="AH363" s="127"/>
    </row>
    <row r="364" spans="1:34" ht="13.2">
      <c r="A364" s="88"/>
      <c r="B364" s="88"/>
      <c r="C364" s="88"/>
      <c r="D364" s="88"/>
      <c r="E364" s="88"/>
      <c r="F364" s="88"/>
      <c r="G364" s="88"/>
      <c r="H364" s="88"/>
      <c r="I364" s="88"/>
      <c r="J364" s="88"/>
      <c r="K364" s="88"/>
      <c r="L364" s="88"/>
      <c r="M364" s="88"/>
      <c r="N364" s="88"/>
      <c r="O364" s="88"/>
      <c r="P364" s="88"/>
      <c r="Q364" s="88"/>
      <c r="R364" s="88"/>
      <c r="S364" s="88"/>
      <c r="T364" s="88"/>
      <c r="U364" s="88"/>
      <c r="V364" s="88"/>
      <c r="W364" s="88"/>
      <c r="X364" s="88"/>
      <c r="Y364" s="88"/>
      <c r="Z364" s="88"/>
      <c r="AA364" s="88"/>
      <c r="AB364" s="128"/>
      <c r="AC364" s="128"/>
      <c r="AD364" s="128"/>
      <c r="AE364" s="128"/>
      <c r="AF364" s="128"/>
      <c r="AG364" s="128"/>
      <c r="AH364" s="127"/>
    </row>
    <row r="365" spans="1:34" ht="13.2">
      <c r="A365" s="88"/>
      <c r="B365" s="88"/>
      <c r="C365" s="88"/>
      <c r="D365" s="88"/>
      <c r="E365" s="88"/>
      <c r="F365" s="88"/>
      <c r="G365" s="88"/>
      <c r="H365" s="88"/>
      <c r="I365" s="88"/>
      <c r="J365" s="88"/>
      <c r="K365" s="88"/>
      <c r="L365" s="88"/>
      <c r="M365" s="88"/>
      <c r="N365" s="88"/>
      <c r="O365" s="88"/>
      <c r="P365" s="88"/>
      <c r="Q365" s="88"/>
      <c r="R365" s="88"/>
      <c r="S365" s="88"/>
      <c r="T365" s="88"/>
      <c r="U365" s="88"/>
      <c r="V365" s="88"/>
      <c r="W365" s="88"/>
      <c r="X365" s="88"/>
      <c r="Y365" s="88"/>
      <c r="Z365" s="88"/>
      <c r="AA365" s="88"/>
      <c r="AB365" s="128"/>
      <c r="AC365" s="128"/>
      <c r="AD365" s="128"/>
      <c r="AE365" s="128"/>
      <c r="AF365" s="128"/>
      <c r="AG365" s="128"/>
      <c r="AH365" s="127"/>
    </row>
    <row r="366" spans="1:34" ht="13.2">
      <c r="A366" s="88"/>
      <c r="B366" s="88"/>
      <c r="C366" s="88"/>
      <c r="D366" s="88"/>
      <c r="E366" s="88"/>
      <c r="F366" s="88"/>
      <c r="G366" s="88"/>
      <c r="H366" s="88"/>
      <c r="I366" s="88"/>
      <c r="J366" s="88"/>
      <c r="K366" s="88"/>
      <c r="L366" s="88"/>
      <c r="M366" s="88"/>
      <c r="N366" s="88"/>
      <c r="O366" s="88"/>
      <c r="P366" s="88"/>
      <c r="Q366" s="88"/>
      <c r="R366" s="88"/>
      <c r="S366" s="88"/>
      <c r="T366" s="88"/>
      <c r="U366" s="88"/>
      <c r="V366" s="88"/>
      <c r="W366" s="88"/>
      <c r="X366" s="88"/>
      <c r="Y366" s="88"/>
      <c r="Z366" s="88"/>
      <c r="AA366" s="88"/>
      <c r="AB366" s="128"/>
      <c r="AC366" s="128"/>
      <c r="AD366" s="128"/>
      <c r="AE366" s="128"/>
      <c r="AF366" s="128"/>
      <c r="AG366" s="128"/>
      <c r="AH366" s="127"/>
    </row>
    <row r="367" spans="1:34" ht="13.2">
      <c r="A367" s="88"/>
      <c r="B367" s="88"/>
      <c r="C367" s="88"/>
      <c r="D367" s="88"/>
      <c r="E367" s="88"/>
      <c r="F367" s="88"/>
      <c r="G367" s="88"/>
      <c r="H367" s="88"/>
      <c r="I367" s="88"/>
      <c r="J367" s="88"/>
      <c r="K367" s="88"/>
      <c r="L367" s="88"/>
      <c r="M367" s="88"/>
      <c r="N367" s="88"/>
      <c r="O367" s="88"/>
      <c r="P367" s="88"/>
      <c r="Q367" s="88"/>
      <c r="R367" s="88"/>
      <c r="S367" s="88"/>
      <c r="T367" s="88"/>
      <c r="U367" s="88"/>
      <c r="V367" s="88"/>
      <c r="W367" s="88"/>
      <c r="X367" s="88"/>
      <c r="Y367" s="88"/>
      <c r="Z367" s="88"/>
      <c r="AA367" s="88"/>
      <c r="AB367" s="128"/>
      <c r="AC367" s="128"/>
      <c r="AD367" s="128"/>
      <c r="AE367" s="128"/>
      <c r="AF367" s="128"/>
      <c r="AG367" s="128"/>
      <c r="AH367" s="127"/>
    </row>
    <row r="368" spans="1:34" ht="13.2">
      <c r="A368" s="88"/>
      <c r="B368" s="88"/>
      <c r="C368" s="88"/>
      <c r="D368" s="88"/>
      <c r="E368" s="88"/>
      <c r="F368" s="88"/>
      <c r="G368" s="88"/>
      <c r="H368" s="88"/>
      <c r="I368" s="88"/>
      <c r="J368" s="88"/>
      <c r="K368" s="88"/>
      <c r="L368" s="88"/>
      <c r="M368" s="88"/>
      <c r="N368" s="88"/>
      <c r="O368" s="88"/>
      <c r="P368" s="88"/>
      <c r="Q368" s="88"/>
      <c r="R368" s="88"/>
      <c r="S368" s="88"/>
      <c r="T368" s="88"/>
      <c r="U368" s="88"/>
      <c r="V368" s="88"/>
      <c r="W368" s="88"/>
      <c r="X368" s="88"/>
      <c r="Y368" s="88"/>
      <c r="Z368" s="88"/>
      <c r="AA368" s="88"/>
      <c r="AB368" s="128"/>
      <c r="AC368" s="128"/>
      <c r="AD368" s="128"/>
      <c r="AE368" s="128"/>
      <c r="AF368" s="128"/>
      <c r="AG368" s="128"/>
      <c r="AH368" s="127"/>
    </row>
    <row r="369" spans="1:34" ht="13.2">
      <c r="A369" s="88"/>
      <c r="B369" s="88"/>
      <c r="C369" s="88"/>
      <c r="D369" s="88"/>
      <c r="E369" s="88"/>
      <c r="F369" s="88"/>
      <c r="G369" s="88"/>
      <c r="H369" s="88"/>
      <c r="I369" s="88"/>
      <c r="J369" s="88"/>
      <c r="K369" s="88"/>
      <c r="L369" s="88"/>
      <c r="M369" s="88"/>
      <c r="N369" s="88"/>
      <c r="O369" s="88"/>
      <c r="P369" s="88"/>
      <c r="Q369" s="88"/>
      <c r="R369" s="88"/>
      <c r="S369" s="88"/>
      <c r="T369" s="88"/>
      <c r="U369" s="88"/>
      <c r="V369" s="88"/>
      <c r="W369" s="88"/>
      <c r="X369" s="88"/>
      <c r="Y369" s="88"/>
      <c r="Z369" s="88"/>
      <c r="AA369" s="88"/>
      <c r="AB369" s="128"/>
      <c r="AC369" s="128"/>
      <c r="AD369" s="128"/>
      <c r="AE369" s="128"/>
      <c r="AF369" s="128"/>
      <c r="AG369" s="128"/>
      <c r="AH369" s="127"/>
    </row>
    <row r="370" spans="1:34" ht="13.2">
      <c r="A370" s="88"/>
      <c r="B370" s="88"/>
      <c r="C370" s="88"/>
      <c r="D370" s="88"/>
      <c r="E370" s="88"/>
      <c r="F370" s="88"/>
      <c r="G370" s="88"/>
      <c r="H370" s="88"/>
      <c r="I370" s="88"/>
      <c r="J370" s="88"/>
      <c r="K370" s="88"/>
      <c r="L370" s="88"/>
      <c r="M370" s="88"/>
      <c r="N370" s="88"/>
      <c r="O370" s="88"/>
      <c r="P370" s="88"/>
      <c r="Q370" s="88"/>
      <c r="R370" s="88"/>
      <c r="S370" s="88"/>
      <c r="T370" s="88"/>
      <c r="U370" s="88"/>
      <c r="V370" s="88"/>
      <c r="W370" s="88"/>
      <c r="X370" s="88"/>
      <c r="Y370" s="88"/>
      <c r="Z370" s="88"/>
      <c r="AA370" s="88"/>
      <c r="AB370" s="128"/>
      <c r="AC370" s="128"/>
      <c r="AD370" s="128"/>
      <c r="AE370" s="128"/>
      <c r="AF370" s="128"/>
      <c r="AG370" s="128"/>
      <c r="AH370" s="127"/>
    </row>
    <row r="371" spans="1:34" ht="13.2">
      <c r="A371" s="88"/>
      <c r="B371" s="88"/>
      <c r="C371" s="88"/>
      <c r="D371" s="88"/>
      <c r="E371" s="88"/>
      <c r="F371" s="88"/>
      <c r="G371" s="88"/>
      <c r="H371" s="88"/>
      <c r="I371" s="88"/>
      <c r="J371" s="88"/>
      <c r="K371" s="88"/>
      <c r="L371" s="88"/>
      <c r="M371" s="88"/>
      <c r="N371" s="88"/>
      <c r="O371" s="88"/>
      <c r="P371" s="88"/>
      <c r="Q371" s="88"/>
      <c r="R371" s="88"/>
      <c r="S371" s="88"/>
      <c r="T371" s="88"/>
      <c r="U371" s="88"/>
      <c r="V371" s="88"/>
      <c r="W371" s="88"/>
      <c r="X371" s="88"/>
      <c r="Y371" s="88"/>
      <c r="Z371" s="88"/>
      <c r="AA371" s="88"/>
      <c r="AB371" s="128"/>
      <c r="AC371" s="128"/>
      <c r="AD371" s="128"/>
      <c r="AE371" s="128"/>
      <c r="AF371" s="128"/>
      <c r="AG371" s="128"/>
      <c r="AH371" s="127"/>
    </row>
    <row r="372" spans="1:34" ht="13.2">
      <c r="A372" s="88"/>
      <c r="B372" s="88"/>
      <c r="C372" s="88"/>
      <c r="D372" s="88"/>
      <c r="E372" s="88"/>
      <c r="F372" s="88"/>
      <c r="G372" s="88"/>
      <c r="H372" s="88"/>
      <c r="I372" s="88"/>
      <c r="J372" s="88"/>
      <c r="K372" s="88"/>
      <c r="L372" s="88"/>
      <c r="M372" s="88"/>
      <c r="N372" s="88"/>
      <c r="O372" s="88"/>
      <c r="P372" s="88"/>
      <c r="Q372" s="88"/>
      <c r="R372" s="88"/>
      <c r="S372" s="88"/>
      <c r="T372" s="88"/>
      <c r="U372" s="88"/>
      <c r="V372" s="88"/>
      <c r="W372" s="88"/>
      <c r="X372" s="88"/>
      <c r="Y372" s="88"/>
      <c r="Z372" s="88"/>
      <c r="AA372" s="88"/>
      <c r="AB372" s="128"/>
      <c r="AC372" s="128"/>
      <c r="AD372" s="128"/>
      <c r="AE372" s="128"/>
      <c r="AF372" s="128"/>
      <c r="AG372" s="128"/>
      <c r="AH372" s="127"/>
    </row>
    <row r="373" spans="1:34" ht="13.2">
      <c r="A373" s="88"/>
      <c r="B373" s="88"/>
      <c r="C373" s="88"/>
      <c r="D373" s="88"/>
      <c r="E373" s="88"/>
      <c r="F373" s="88"/>
      <c r="G373" s="88"/>
      <c r="H373" s="88"/>
      <c r="I373" s="88"/>
      <c r="J373" s="88"/>
      <c r="K373" s="88"/>
      <c r="L373" s="88"/>
      <c r="M373" s="88"/>
      <c r="N373" s="88"/>
      <c r="O373" s="88"/>
      <c r="P373" s="88"/>
      <c r="Q373" s="88"/>
      <c r="R373" s="88"/>
      <c r="S373" s="88"/>
      <c r="T373" s="88"/>
      <c r="U373" s="88"/>
      <c r="V373" s="88"/>
      <c r="W373" s="88"/>
      <c r="X373" s="88"/>
      <c r="Y373" s="88"/>
      <c r="Z373" s="88"/>
      <c r="AA373" s="88"/>
      <c r="AB373" s="128"/>
      <c r="AC373" s="128"/>
      <c r="AD373" s="128"/>
      <c r="AE373" s="128"/>
      <c r="AF373" s="128"/>
      <c r="AG373" s="128"/>
      <c r="AH373" s="127"/>
    </row>
    <row r="374" spans="1:34" ht="13.2">
      <c r="A374" s="88"/>
      <c r="B374" s="88"/>
      <c r="C374" s="88"/>
      <c r="D374" s="88"/>
      <c r="E374" s="88"/>
      <c r="F374" s="88"/>
      <c r="G374" s="88"/>
      <c r="H374" s="88"/>
      <c r="I374" s="88"/>
      <c r="J374" s="88"/>
      <c r="K374" s="88"/>
      <c r="L374" s="88"/>
      <c r="M374" s="88"/>
      <c r="N374" s="88"/>
      <c r="O374" s="88"/>
      <c r="P374" s="88"/>
      <c r="Q374" s="88"/>
      <c r="R374" s="88"/>
      <c r="S374" s="88"/>
      <c r="T374" s="88"/>
      <c r="U374" s="88"/>
      <c r="V374" s="88"/>
      <c r="W374" s="88"/>
      <c r="X374" s="88"/>
      <c r="Y374" s="88"/>
      <c r="Z374" s="88"/>
      <c r="AA374" s="88"/>
      <c r="AB374" s="128"/>
      <c r="AC374" s="128"/>
      <c r="AD374" s="128"/>
      <c r="AE374" s="128"/>
      <c r="AF374" s="128"/>
      <c r="AG374" s="128"/>
      <c r="AH374" s="127"/>
    </row>
    <row r="375" spans="1:34" ht="13.2">
      <c r="A375" s="88"/>
      <c r="B375" s="88"/>
      <c r="C375" s="88"/>
      <c r="D375" s="88"/>
      <c r="E375" s="88"/>
      <c r="F375" s="88"/>
      <c r="G375" s="88"/>
      <c r="H375" s="88"/>
      <c r="I375" s="88"/>
      <c r="J375" s="88"/>
      <c r="K375" s="88"/>
      <c r="L375" s="88"/>
      <c r="M375" s="88"/>
      <c r="N375" s="88"/>
      <c r="O375" s="88"/>
      <c r="P375" s="88"/>
      <c r="Q375" s="88"/>
      <c r="R375" s="88"/>
      <c r="S375" s="88"/>
      <c r="T375" s="88"/>
      <c r="U375" s="88"/>
      <c r="V375" s="88"/>
      <c r="W375" s="88"/>
      <c r="X375" s="88"/>
      <c r="Y375" s="88"/>
      <c r="Z375" s="88"/>
      <c r="AA375" s="88"/>
      <c r="AB375" s="128"/>
      <c r="AC375" s="128"/>
      <c r="AD375" s="128"/>
      <c r="AE375" s="128"/>
      <c r="AF375" s="128"/>
      <c r="AG375" s="128"/>
      <c r="AH375" s="127"/>
    </row>
    <row r="376" spans="1:34" ht="13.2">
      <c r="A376" s="88"/>
      <c r="B376" s="88"/>
      <c r="C376" s="88"/>
      <c r="D376" s="88"/>
      <c r="E376" s="88"/>
      <c r="F376" s="88"/>
      <c r="G376" s="88"/>
      <c r="H376" s="88"/>
      <c r="I376" s="88"/>
      <c r="J376" s="88"/>
      <c r="K376" s="88"/>
      <c r="L376" s="88"/>
      <c r="M376" s="88"/>
      <c r="N376" s="88"/>
      <c r="O376" s="88"/>
      <c r="P376" s="88"/>
      <c r="Q376" s="88"/>
      <c r="R376" s="88"/>
      <c r="S376" s="88"/>
      <c r="T376" s="88"/>
      <c r="U376" s="88"/>
      <c r="V376" s="88"/>
      <c r="W376" s="88"/>
      <c r="X376" s="88"/>
      <c r="Y376" s="88"/>
      <c r="Z376" s="88"/>
      <c r="AA376" s="88"/>
      <c r="AB376" s="128"/>
      <c r="AC376" s="128"/>
      <c r="AD376" s="128"/>
      <c r="AE376" s="128"/>
      <c r="AF376" s="128"/>
      <c r="AG376" s="128"/>
      <c r="AH376" s="127"/>
    </row>
    <row r="377" spans="1:34" ht="13.2">
      <c r="A377" s="88"/>
      <c r="B377" s="88"/>
      <c r="C377" s="88"/>
      <c r="D377" s="88"/>
      <c r="E377" s="88"/>
      <c r="F377" s="88"/>
      <c r="G377" s="88"/>
      <c r="H377" s="88"/>
      <c r="I377" s="88"/>
      <c r="J377" s="88"/>
      <c r="K377" s="88"/>
      <c r="L377" s="88"/>
      <c r="M377" s="88"/>
      <c r="N377" s="88"/>
      <c r="O377" s="88"/>
      <c r="P377" s="88"/>
      <c r="Q377" s="88"/>
      <c r="R377" s="88"/>
      <c r="S377" s="88"/>
      <c r="T377" s="88"/>
      <c r="U377" s="88"/>
      <c r="V377" s="88"/>
      <c r="W377" s="88"/>
      <c r="X377" s="88"/>
      <c r="Y377" s="88"/>
      <c r="Z377" s="88"/>
      <c r="AA377" s="88"/>
      <c r="AB377" s="128"/>
      <c r="AC377" s="128"/>
      <c r="AD377" s="128"/>
      <c r="AE377" s="128"/>
      <c r="AF377" s="128"/>
      <c r="AG377" s="128"/>
      <c r="AH377" s="127"/>
    </row>
    <row r="378" spans="1:34" ht="13.2">
      <c r="A378" s="88"/>
      <c r="B378" s="88"/>
      <c r="C378" s="88"/>
      <c r="D378" s="88"/>
      <c r="E378" s="88"/>
      <c r="F378" s="88"/>
      <c r="G378" s="88"/>
      <c r="H378" s="88"/>
      <c r="I378" s="88"/>
      <c r="J378" s="88"/>
      <c r="K378" s="88"/>
      <c r="L378" s="88"/>
      <c r="M378" s="88"/>
      <c r="N378" s="88"/>
      <c r="O378" s="88"/>
      <c r="P378" s="88"/>
      <c r="Q378" s="88"/>
      <c r="R378" s="88"/>
      <c r="S378" s="88"/>
      <c r="T378" s="88"/>
      <c r="U378" s="88"/>
      <c r="V378" s="88"/>
      <c r="W378" s="88"/>
      <c r="X378" s="88"/>
      <c r="Y378" s="88"/>
      <c r="Z378" s="88"/>
      <c r="AA378" s="88"/>
      <c r="AB378" s="128"/>
      <c r="AC378" s="128"/>
      <c r="AD378" s="128"/>
      <c r="AE378" s="128"/>
      <c r="AF378" s="128"/>
      <c r="AG378" s="128"/>
      <c r="AH378" s="127"/>
    </row>
    <row r="379" spans="1:34" ht="13.2">
      <c r="A379" s="88"/>
      <c r="B379" s="88"/>
      <c r="C379" s="88"/>
      <c r="D379" s="88"/>
      <c r="E379" s="88"/>
      <c r="F379" s="88"/>
      <c r="G379" s="88"/>
      <c r="H379" s="88"/>
      <c r="I379" s="88"/>
      <c r="J379" s="88"/>
      <c r="K379" s="88"/>
      <c r="L379" s="88"/>
      <c r="M379" s="88"/>
      <c r="N379" s="88"/>
      <c r="O379" s="88"/>
      <c r="P379" s="88"/>
      <c r="Q379" s="88"/>
      <c r="R379" s="88"/>
      <c r="S379" s="88"/>
      <c r="T379" s="88"/>
      <c r="U379" s="88"/>
      <c r="V379" s="88"/>
      <c r="W379" s="88"/>
      <c r="X379" s="88"/>
      <c r="Y379" s="88"/>
      <c r="Z379" s="88"/>
      <c r="AA379" s="88"/>
      <c r="AB379" s="128"/>
      <c r="AC379" s="128"/>
      <c r="AD379" s="128"/>
      <c r="AE379" s="128"/>
      <c r="AF379" s="128"/>
      <c r="AG379" s="128"/>
      <c r="AH379" s="127"/>
    </row>
    <row r="380" spans="1:34" ht="13.2">
      <c r="A380" s="88"/>
      <c r="B380" s="88"/>
      <c r="C380" s="88"/>
      <c r="D380" s="88"/>
      <c r="E380" s="88"/>
      <c r="F380" s="88"/>
      <c r="G380" s="88"/>
      <c r="H380" s="88"/>
      <c r="I380" s="88"/>
      <c r="J380" s="88"/>
      <c r="K380" s="88"/>
      <c r="L380" s="88"/>
      <c r="M380" s="88"/>
      <c r="N380" s="88"/>
      <c r="O380" s="88"/>
      <c r="P380" s="88"/>
      <c r="Q380" s="88"/>
      <c r="R380" s="88"/>
      <c r="S380" s="88"/>
      <c r="T380" s="88"/>
      <c r="U380" s="88"/>
      <c r="V380" s="88"/>
      <c r="W380" s="88"/>
      <c r="X380" s="88"/>
      <c r="Y380" s="88"/>
      <c r="Z380" s="88"/>
      <c r="AA380" s="88"/>
      <c r="AB380" s="128"/>
      <c r="AC380" s="128"/>
      <c r="AD380" s="128"/>
      <c r="AE380" s="128"/>
      <c r="AF380" s="128"/>
      <c r="AG380" s="128"/>
      <c r="AH380" s="127"/>
    </row>
    <row r="381" spans="1:34" ht="13.2">
      <c r="A381" s="88"/>
      <c r="B381" s="88"/>
      <c r="C381" s="88"/>
      <c r="D381" s="88"/>
      <c r="E381" s="88"/>
      <c r="F381" s="88"/>
      <c r="G381" s="88"/>
      <c r="H381" s="88"/>
      <c r="I381" s="88"/>
      <c r="J381" s="88"/>
      <c r="K381" s="88"/>
      <c r="L381" s="88"/>
      <c r="M381" s="88"/>
      <c r="N381" s="88"/>
      <c r="O381" s="88"/>
      <c r="P381" s="88"/>
      <c r="Q381" s="88"/>
      <c r="R381" s="88"/>
      <c r="S381" s="88"/>
      <c r="T381" s="88"/>
      <c r="U381" s="88"/>
      <c r="V381" s="88"/>
      <c r="W381" s="88"/>
      <c r="X381" s="88"/>
      <c r="Y381" s="88"/>
      <c r="Z381" s="88"/>
      <c r="AA381" s="88"/>
      <c r="AB381" s="128"/>
      <c r="AC381" s="128"/>
      <c r="AD381" s="128"/>
      <c r="AE381" s="128"/>
      <c r="AF381" s="128"/>
      <c r="AG381" s="128"/>
      <c r="AH381" s="127"/>
    </row>
    <row r="382" spans="1:34" ht="13.2">
      <c r="A382" s="88"/>
      <c r="B382" s="88"/>
      <c r="C382" s="88"/>
      <c r="D382" s="88"/>
      <c r="E382" s="88"/>
      <c r="F382" s="88"/>
      <c r="G382" s="88"/>
      <c r="H382" s="88"/>
      <c r="I382" s="88"/>
      <c r="J382" s="88"/>
      <c r="K382" s="88"/>
      <c r="L382" s="88"/>
      <c r="M382" s="88"/>
      <c r="N382" s="88"/>
      <c r="O382" s="88"/>
      <c r="P382" s="88"/>
      <c r="Q382" s="88"/>
      <c r="R382" s="88"/>
      <c r="S382" s="88"/>
      <c r="T382" s="88"/>
      <c r="U382" s="88"/>
      <c r="V382" s="88"/>
      <c r="W382" s="88"/>
      <c r="X382" s="88"/>
      <c r="Y382" s="88"/>
      <c r="Z382" s="88"/>
      <c r="AA382" s="88"/>
      <c r="AB382" s="128"/>
      <c r="AC382" s="128"/>
      <c r="AD382" s="128"/>
      <c r="AE382" s="128"/>
      <c r="AF382" s="128"/>
      <c r="AG382" s="128"/>
      <c r="AH382" s="127"/>
    </row>
    <row r="383" spans="1:34" ht="13.2">
      <c r="A383" s="88"/>
      <c r="B383" s="88"/>
      <c r="C383" s="88"/>
      <c r="D383" s="88"/>
      <c r="E383" s="88"/>
      <c r="F383" s="88"/>
      <c r="G383" s="88"/>
      <c r="H383" s="88"/>
      <c r="I383" s="88"/>
      <c r="J383" s="88"/>
      <c r="K383" s="88"/>
      <c r="L383" s="88"/>
      <c r="M383" s="88"/>
      <c r="N383" s="88"/>
      <c r="O383" s="88"/>
      <c r="P383" s="88"/>
      <c r="Q383" s="88"/>
      <c r="R383" s="88"/>
      <c r="S383" s="88"/>
      <c r="T383" s="88"/>
      <c r="U383" s="88"/>
      <c r="V383" s="88"/>
      <c r="W383" s="88"/>
      <c r="X383" s="88"/>
      <c r="Y383" s="88"/>
      <c r="Z383" s="88"/>
      <c r="AA383" s="88"/>
      <c r="AB383" s="128"/>
      <c r="AC383" s="128"/>
      <c r="AD383" s="128"/>
      <c r="AE383" s="128"/>
      <c r="AF383" s="128"/>
      <c r="AG383" s="128"/>
      <c r="AH383" s="127"/>
    </row>
    <row r="384" spans="1:34" ht="13.2">
      <c r="A384" s="88"/>
      <c r="B384" s="88"/>
      <c r="C384" s="88"/>
      <c r="D384" s="88"/>
      <c r="E384" s="88"/>
      <c r="F384" s="88"/>
      <c r="G384" s="88"/>
      <c r="H384" s="88"/>
      <c r="I384" s="88"/>
      <c r="J384" s="88"/>
      <c r="K384" s="88"/>
      <c r="L384" s="88"/>
      <c r="M384" s="88"/>
      <c r="N384" s="88"/>
      <c r="O384" s="88"/>
      <c r="P384" s="88"/>
      <c r="Q384" s="88"/>
      <c r="R384" s="88"/>
      <c r="S384" s="88"/>
      <c r="T384" s="88"/>
      <c r="U384" s="88"/>
      <c r="V384" s="88"/>
      <c r="W384" s="88"/>
      <c r="X384" s="88"/>
      <c r="Y384" s="88"/>
      <c r="Z384" s="88"/>
      <c r="AA384" s="88"/>
      <c r="AB384" s="128"/>
      <c r="AC384" s="128"/>
      <c r="AD384" s="128"/>
      <c r="AE384" s="128"/>
      <c r="AF384" s="128"/>
      <c r="AG384" s="128"/>
      <c r="AH384" s="127"/>
    </row>
    <row r="385" spans="1:34" ht="13.2">
      <c r="A385" s="88"/>
      <c r="B385" s="88"/>
      <c r="C385" s="88"/>
      <c r="D385" s="88"/>
      <c r="E385" s="88"/>
      <c r="F385" s="88"/>
      <c r="G385" s="88"/>
      <c r="H385" s="88"/>
      <c r="I385" s="88"/>
      <c r="J385" s="88"/>
      <c r="K385" s="88"/>
      <c r="L385" s="88"/>
      <c r="M385" s="88"/>
      <c r="N385" s="88"/>
      <c r="O385" s="88"/>
      <c r="P385" s="88"/>
      <c r="Q385" s="88"/>
      <c r="R385" s="88"/>
      <c r="S385" s="88"/>
      <c r="T385" s="88"/>
      <c r="U385" s="88"/>
      <c r="V385" s="88"/>
      <c r="W385" s="88"/>
      <c r="X385" s="88"/>
      <c r="Y385" s="88"/>
      <c r="Z385" s="88"/>
      <c r="AA385" s="88"/>
      <c r="AB385" s="128"/>
      <c r="AC385" s="128"/>
      <c r="AD385" s="128"/>
      <c r="AE385" s="128"/>
      <c r="AF385" s="128"/>
      <c r="AG385" s="128"/>
      <c r="AH385" s="127"/>
    </row>
    <row r="386" spans="1:34" ht="13.2">
      <c r="A386" s="88"/>
      <c r="B386" s="88"/>
      <c r="C386" s="88"/>
      <c r="D386" s="88"/>
      <c r="E386" s="88"/>
      <c r="F386" s="88"/>
      <c r="G386" s="88"/>
      <c r="H386" s="88"/>
      <c r="I386" s="88"/>
      <c r="J386" s="88"/>
      <c r="K386" s="88"/>
      <c r="L386" s="88"/>
      <c r="M386" s="88"/>
      <c r="N386" s="88"/>
      <c r="O386" s="88"/>
      <c r="P386" s="88"/>
      <c r="Q386" s="88"/>
      <c r="R386" s="88"/>
      <c r="S386" s="88"/>
      <c r="T386" s="88"/>
      <c r="U386" s="88"/>
      <c r="V386" s="88"/>
      <c r="W386" s="88"/>
      <c r="X386" s="88"/>
      <c r="Y386" s="88"/>
      <c r="Z386" s="88"/>
      <c r="AA386" s="88"/>
      <c r="AB386" s="128"/>
      <c r="AC386" s="128"/>
      <c r="AD386" s="128"/>
      <c r="AE386" s="128"/>
      <c r="AF386" s="128"/>
      <c r="AG386" s="128"/>
      <c r="AH386" s="127"/>
    </row>
    <row r="387" spans="1:34" ht="13.2">
      <c r="A387" s="88"/>
      <c r="B387" s="88"/>
      <c r="C387" s="88"/>
      <c r="D387" s="88"/>
      <c r="E387" s="88"/>
      <c r="F387" s="88"/>
      <c r="G387" s="88"/>
      <c r="H387" s="88"/>
      <c r="I387" s="88"/>
      <c r="J387" s="88"/>
      <c r="K387" s="88"/>
      <c r="L387" s="88"/>
      <c r="M387" s="88"/>
      <c r="N387" s="88"/>
      <c r="O387" s="88"/>
      <c r="P387" s="88"/>
      <c r="Q387" s="88"/>
      <c r="R387" s="88"/>
      <c r="S387" s="88"/>
      <c r="T387" s="88"/>
      <c r="U387" s="88"/>
      <c r="V387" s="88"/>
      <c r="W387" s="88"/>
      <c r="X387" s="88"/>
      <c r="Y387" s="88"/>
      <c r="Z387" s="88"/>
      <c r="AA387" s="88"/>
      <c r="AB387" s="128"/>
      <c r="AC387" s="128"/>
      <c r="AD387" s="128"/>
      <c r="AE387" s="128"/>
      <c r="AF387" s="128"/>
      <c r="AG387" s="128"/>
      <c r="AH387" s="127"/>
    </row>
    <row r="388" spans="1:34" ht="13.2">
      <c r="A388" s="88"/>
      <c r="B388" s="88"/>
      <c r="C388" s="88"/>
      <c r="D388" s="88"/>
      <c r="E388" s="88"/>
      <c r="F388" s="88"/>
      <c r="G388" s="88"/>
      <c r="H388" s="88"/>
      <c r="I388" s="88"/>
      <c r="J388" s="88"/>
      <c r="K388" s="88"/>
      <c r="L388" s="88"/>
      <c r="M388" s="88"/>
      <c r="N388" s="88"/>
      <c r="O388" s="88"/>
      <c r="P388" s="88"/>
      <c r="Q388" s="88"/>
      <c r="R388" s="88"/>
      <c r="S388" s="88"/>
      <c r="T388" s="88"/>
      <c r="U388" s="88"/>
      <c r="V388" s="88"/>
      <c r="W388" s="88"/>
      <c r="X388" s="88"/>
      <c r="Y388" s="88"/>
      <c r="Z388" s="88"/>
      <c r="AA388" s="88"/>
      <c r="AB388" s="128"/>
      <c r="AC388" s="128"/>
      <c r="AD388" s="128"/>
      <c r="AE388" s="128"/>
      <c r="AF388" s="128"/>
      <c r="AG388" s="128"/>
      <c r="AH388" s="127"/>
    </row>
    <row r="389" spans="1:34" ht="13.2">
      <c r="A389" s="88"/>
      <c r="B389" s="88"/>
      <c r="C389" s="88"/>
      <c r="D389" s="88"/>
      <c r="E389" s="88"/>
      <c r="F389" s="88"/>
      <c r="G389" s="88"/>
      <c r="H389" s="88"/>
      <c r="I389" s="88"/>
      <c r="J389" s="88"/>
      <c r="K389" s="88"/>
      <c r="L389" s="88"/>
      <c r="M389" s="88"/>
      <c r="N389" s="88"/>
      <c r="O389" s="88"/>
      <c r="P389" s="88"/>
      <c r="Q389" s="88"/>
      <c r="R389" s="88"/>
      <c r="S389" s="88"/>
      <c r="T389" s="88"/>
      <c r="U389" s="88"/>
      <c r="V389" s="88"/>
      <c r="W389" s="88"/>
      <c r="X389" s="88"/>
      <c r="Y389" s="88"/>
      <c r="Z389" s="88"/>
      <c r="AA389" s="88"/>
      <c r="AB389" s="128"/>
      <c r="AC389" s="128"/>
      <c r="AD389" s="128"/>
      <c r="AE389" s="128"/>
      <c r="AF389" s="128"/>
      <c r="AG389" s="128"/>
      <c r="AH389" s="127"/>
    </row>
    <row r="390" spans="1:34" ht="13.2">
      <c r="A390" s="88"/>
      <c r="B390" s="88"/>
      <c r="C390" s="88"/>
      <c r="D390" s="88"/>
      <c r="E390" s="88"/>
      <c r="F390" s="88"/>
      <c r="G390" s="88"/>
      <c r="H390" s="88"/>
      <c r="I390" s="88"/>
      <c r="J390" s="88"/>
      <c r="K390" s="88"/>
      <c r="L390" s="88"/>
      <c r="M390" s="88"/>
      <c r="N390" s="88"/>
      <c r="O390" s="88"/>
      <c r="P390" s="88"/>
      <c r="Q390" s="88"/>
      <c r="R390" s="88"/>
      <c r="S390" s="88"/>
      <c r="T390" s="88"/>
      <c r="U390" s="88"/>
      <c r="V390" s="88"/>
      <c r="W390" s="88"/>
      <c r="X390" s="88"/>
      <c r="Y390" s="88"/>
      <c r="Z390" s="88"/>
      <c r="AA390" s="88"/>
      <c r="AB390" s="128"/>
      <c r="AC390" s="128"/>
      <c r="AD390" s="128"/>
      <c r="AE390" s="128"/>
      <c r="AF390" s="128"/>
      <c r="AG390" s="128"/>
      <c r="AH390" s="127"/>
    </row>
    <row r="391" spans="1:34" ht="13.2">
      <c r="A391" s="88"/>
      <c r="B391" s="88"/>
      <c r="C391" s="88"/>
      <c r="D391" s="88"/>
      <c r="E391" s="88"/>
      <c r="F391" s="88"/>
      <c r="G391" s="88"/>
      <c r="H391" s="88"/>
      <c r="I391" s="88"/>
      <c r="J391" s="88"/>
      <c r="K391" s="88"/>
      <c r="L391" s="88"/>
      <c r="M391" s="88"/>
      <c r="N391" s="88"/>
      <c r="O391" s="88"/>
      <c r="P391" s="88"/>
      <c r="Q391" s="88"/>
      <c r="R391" s="88"/>
      <c r="S391" s="88"/>
      <c r="T391" s="88"/>
      <c r="U391" s="88"/>
      <c r="V391" s="88"/>
      <c r="W391" s="88"/>
      <c r="X391" s="88"/>
      <c r="Y391" s="88"/>
      <c r="Z391" s="88"/>
      <c r="AA391" s="88"/>
      <c r="AB391" s="128"/>
      <c r="AC391" s="128"/>
      <c r="AD391" s="128"/>
      <c r="AE391" s="128"/>
      <c r="AF391" s="128"/>
      <c r="AG391" s="128"/>
      <c r="AH391" s="127"/>
    </row>
    <row r="392" spans="1:34" ht="13.2">
      <c r="A392" s="88"/>
      <c r="B392" s="88"/>
      <c r="C392" s="88"/>
      <c r="D392" s="88"/>
      <c r="E392" s="88"/>
      <c r="F392" s="88"/>
      <c r="G392" s="88"/>
      <c r="H392" s="88"/>
      <c r="I392" s="88"/>
      <c r="J392" s="88"/>
      <c r="K392" s="88"/>
      <c r="L392" s="88"/>
      <c r="M392" s="88"/>
      <c r="N392" s="88"/>
      <c r="O392" s="88"/>
      <c r="P392" s="88"/>
      <c r="Q392" s="88"/>
      <c r="R392" s="88"/>
      <c r="S392" s="88"/>
      <c r="T392" s="88"/>
      <c r="U392" s="88"/>
      <c r="V392" s="88"/>
      <c r="W392" s="88"/>
      <c r="X392" s="88"/>
      <c r="Y392" s="88"/>
      <c r="Z392" s="88"/>
      <c r="AA392" s="88"/>
      <c r="AB392" s="128"/>
      <c r="AC392" s="128"/>
      <c r="AD392" s="128"/>
      <c r="AE392" s="128"/>
      <c r="AF392" s="128"/>
      <c r="AG392" s="128"/>
      <c r="AH392" s="127"/>
    </row>
    <row r="393" spans="1:34" ht="13.2">
      <c r="A393" s="88"/>
      <c r="B393" s="88"/>
      <c r="C393" s="88"/>
      <c r="D393" s="88"/>
      <c r="E393" s="88"/>
      <c r="F393" s="88"/>
      <c r="G393" s="88"/>
      <c r="H393" s="88"/>
      <c r="I393" s="88"/>
      <c r="J393" s="88"/>
      <c r="K393" s="88"/>
      <c r="L393" s="88"/>
      <c r="M393" s="88"/>
      <c r="N393" s="88"/>
      <c r="O393" s="88"/>
      <c r="P393" s="88"/>
      <c r="Q393" s="88"/>
      <c r="R393" s="88"/>
      <c r="S393" s="88"/>
      <c r="T393" s="88"/>
      <c r="U393" s="88"/>
      <c r="V393" s="88"/>
      <c r="W393" s="88"/>
      <c r="X393" s="88"/>
      <c r="Y393" s="88"/>
      <c r="Z393" s="88"/>
      <c r="AA393" s="88"/>
      <c r="AB393" s="128"/>
      <c r="AC393" s="128"/>
      <c r="AD393" s="128"/>
      <c r="AE393" s="128"/>
      <c r="AF393" s="128"/>
      <c r="AG393" s="128"/>
      <c r="AH393" s="127"/>
    </row>
    <row r="394" spans="1:34" ht="13.2">
      <c r="A394" s="88"/>
      <c r="B394" s="88"/>
      <c r="C394" s="88"/>
      <c r="D394" s="88"/>
      <c r="E394" s="88"/>
      <c r="F394" s="88"/>
      <c r="G394" s="88"/>
      <c r="H394" s="88"/>
      <c r="I394" s="88"/>
      <c r="J394" s="88"/>
      <c r="K394" s="88"/>
      <c r="L394" s="88"/>
      <c r="M394" s="88"/>
      <c r="N394" s="88"/>
      <c r="O394" s="88"/>
      <c r="P394" s="88"/>
      <c r="Q394" s="88"/>
      <c r="R394" s="88"/>
      <c r="S394" s="88"/>
      <c r="T394" s="88"/>
      <c r="U394" s="88"/>
      <c r="V394" s="88"/>
      <c r="W394" s="88"/>
      <c r="X394" s="88"/>
      <c r="Y394" s="88"/>
      <c r="Z394" s="88"/>
      <c r="AA394" s="88"/>
      <c r="AB394" s="128"/>
      <c r="AC394" s="128"/>
      <c r="AD394" s="128"/>
      <c r="AE394" s="128"/>
      <c r="AF394" s="128"/>
      <c r="AG394" s="128"/>
      <c r="AH394" s="127"/>
    </row>
    <row r="395" spans="1:34" ht="13.2">
      <c r="A395" s="88"/>
      <c r="B395" s="88"/>
      <c r="C395" s="88"/>
      <c r="D395" s="88"/>
      <c r="E395" s="88"/>
      <c r="F395" s="88"/>
      <c r="G395" s="88"/>
      <c r="H395" s="88"/>
      <c r="I395" s="88"/>
      <c r="J395" s="88"/>
      <c r="K395" s="88"/>
      <c r="L395" s="88"/>
      <c r="M395" s="88"/>
      <c r="N395" s="88"/>
      <c r="O395" s="88"/>
      <c r="P395" s="88"/>
      <c r="Q395" s="88"/>
      <c r="R395" s="88"/>
      <c r="S395" s="88"/>
      <c r="T395" s="88"/>
      <c r="U395" s="88"/>
      <c r="V395" s="88"/>
      <c r="W395" s="88"/>
      <c r="X395" s="88"/>
      <c r="Y395" s="88"/>
      <c r="Z395" s="88"/>
      <c r="AA395" s="88"/>
      <c r="AB395" s="128"/>
      <c r="AC395" s="128"/>
      <c r="AD395" s="128"/>
      <c r="AE395" s="128"/>
      <c r="AF395" s="128"/>
      <c r="AG395" s="128"/>
      <c r="AH395" s="127"/>
    </row>
    <row r="396" spans="1:34" ht="13.2">
      <c r="A396" s="88"/>
      <c r="B396" s="88"/>
      <c r="C396" s="88"/>
      <c r="D396" s="88"/>
      <c r="E396" s="88"/>
      <c r="F396" s="88"/>
      <c r="G396" s="88"/>
      <c r="H396" s="88"/>
      <c r="I396" s="88"/>
      <c r="J396" s="88"/>
      <c r="K396" s="88"/>
      <c r="L396" s="88"/>
      <c r="M396" s="88"/>
      <c r="N396" s="88"/>
      <c r="O396" s="88"/>
      <c r="P396" s="88"/>
      <c r="Q396" s="88"/>
      <c r="R396" s="88"/>
      <c r="S396" s="88"/>
      <c r="T396" s="88"/>
      <c r="U396" s="88"/>
      <c r="V396" s="88"/>
      <c r="W396" s="88"/>
      <c r="X396" s="88"/>
      <c r="Y396" s="88"/>
      <c r="Z396" s="88"/>
      <c r="AA396" s="88"/>
      <c r="AB396" s="128"/>
      <c r="AC396" s="128"/>
      <c r="AD396" s="128"/>
      <c r="AE396" s="128"/>
      <c r="AF396" s="128"/>
      <c r="AG396" s="128"/>
      <c r="AH396" s="127"/>
    </row>
    <row r="397" spans="1:34" ht="13.2">
      <c r="A397" s="88"/>
      <c r="B397" s="88"/>
      <c r="C397" s="88"/>
      <c r="D397" s="88"/>
      <c r="E397" s="88"/>
      <c r="F397" s="88"/>
      <c r="G397" s="88"/>
      <c r="H397" s="88"/>
      <c r="I397" s="88"/>
      <c r="J397" s="88"/>
      <c r="K397" s="88"/>
      <c r="L397" s="88"/>
      <c r="M397" s="88"/>
      <c r="N397" s="88"/>
      <c r="O397" s="88"/>
      <c r="P397" s="88"/>
      <c r="Q397" s="88"/>
      <c r="R397" s="88"/>
      <c r="S397" s="88"/>
      <c r="T397" s="88"/>
      <c r="U397" s="88"/>
      <c r="V397" s="88"/>
      <c r="W397" s="88"/>
      <c r="X397" s="88"/>
      <c r="Y397" s="88"/>
      <c r="Z397" s="88"/>
      <c r="AA397" s="88"/>
      <c r="AB397" s="128"/>
      <c r="AC397" s="128"/>
      <c r="AD397" s="128"/>
      <c r="AE397" s="128"/>
      <c r="AF397" s="128"/>
      <c r="AG397" s="128"/>
      <c r="AH397" s="127"/>
    </row>
    <row r="398" spans="1:34" ht="13.2">
      <c r="A398" s="88"/>
      <c r="B398" s="88"/>
      <c r="C398" s="88"/>
      <c r="D398" s="88"/>
      <c r="E398" s="88"/>
      <c r="F398" s="88"/>
      <c r="G398" s="88"/>
      <c r="H398" s="88"/>
      <c r="I398" s="88"/>
      <c r="J398" s="88"/>
      <c r="K398" s="88"/>
      <c r="L398" s="88"/>
      <c r="M398" s="88"/>
      <c r="N398" s="88"/>
      <c r="O398" s="88"/>
      <c r="P398" s="88"/>
      <c r="Q398" s="88"/>
      <c r="R398" s="88"/>
      <c r="S398" s="88"/>
      <c r="T398" s="88"/>
      <c r="U398" s="88"/>
      <c r="V398" s="88"/>
      <c r="W398" s="88"/>
      <c r="X398" s="88"/>
      <c r="Y398" s="88"/>
      <c r="Z398" s="88"/>
      <c r="AA398" s="88"/>
      <c r="AB398" s="128"/>
      <c r="AC398" s="128"/>
      <c r="AD398" s="128"/>
      <c r="AE398" s="128"/>
      <c r="AF398" s="128"/>
      <c r="AG398" s="128"/>
      <c r="AH398" s="127"/>
    </row>
    <row r="399" spans="1:34" ht="13.2">
      <c r="A399" s="88"/>
      <c r="B399" s="88"/>
      <c r="C399" s="88"/>
      <c r="D399" s="88"/>
      <c r="E399" s="88"/>
      <c r="F399" s="88"/>
      <c r="G399" s="88"/>
      <c r="H399" s="88"/>
      <c r="I399" s="88"/>
      <c r="J399" s="88"/>
      <c r="K399" s="88"/>
      <c r="L399" s="88"/>
      <c r="M399" s="88"/>
      <c r="N399" s="88"/>
      <c r="O399" s="88"/>
      <c r="P399" s="88"/>
      <c r="Q399" s="88"/>
      <c r="R399" s="88"/>
      <c r="S399" s="88"/>
      <c r="T399" s="88"/>
      <c r="U399" s="88"/>
      <c r="V399" s="88"/>
      <c r="W399" s="88"/>
      <c r="X399" s="88"/>
      <c r="Y399" s="88"/>
      <c r="Z399" s="88"/>
      <c r="AA399" s="88"/>
      <c r="AB399" s="128"/>
      <c r="AC399" s="128"/>
      <c r="AD399" s="128"/>
      <c r="AE399" s="128"/>
      <c r="AF399" s="128"/>
      <c r="AG399" s="128"/>
      <c r="AH399" s="127"/>
    </row>
    <row r="400" spans="1:34" ht="13.2">
      <c r="A400" s="88"/>
      <c r="B400" s="88"/>
      <c r="C400" s="88"/>
      <c r="D400" s="88"/>
      <c r="E400" s="88"/>
      <c r="F400" s="88"/>
      <c r="G400" s="88"/>
      <c r="H400" s="88"/>
      <c r="I400" s="88"/>
      <c r="J400" s="88"/>
      <c r="K400" s="88"/>
      <c r="L400" s="88"/>
      <c r="M400" s="88"/>
      <c r="N400" s="88"/>
      <c r="O400" s="88"/>
      <c r="P400" s="88"/>
      <c r="Q400" s="88"/>
      <c r="R400" s="88"/>
      <c r="S400" s="88"/>
      <c r="T400" s="88"/>
      <c r="U400" s="88"/>
      <c r="V400" s="88"/>
      <c r="W400" s="88"/>
      <c r="X400" s="88"/>
      <c r="Y400" s="88"/>
      <c r="Z400" s="88"/>
      <c r="AA400" s="88"/>
      <c r="AB400" s="128"/>
      <c r="AC400" s="128"/>
      <c r="AD400" s="128"/>
      <c r="AE400" s="128"/>
      <c r="AF400" s="128"/>
      <c r="AG400" s="128"/>
      <c r="AH400" s="127"/>
    </row>
    <row r="401" spans="1:34" ht="13.2">
      <c r="A401" s="88"/>
      <c r="B401" s="88"/>
      <c r="C401" s="88"/>
      <c r="D401" s="88"/>
      <c r="E401" s="88"/>
      <c r="F401" s="88"/>
      <c r="G401" s="88"/>
      <c r="H401" s="88"/>
      <c r="I401" s="88"/>
      <c r="J401" s="88"/>
      <c r="K401" s="88"/>
      <c r="L401" s="88"/>
      <c r="M401" s="88"/>
      <c r="N401" s="88"/>
      <c r="O401" s="88"/>
      <c r="P401" s="88"/>
      <c r="Q401" s="88"/>
      <c r="R401" s="88"/>
      <c r="S401" s="88"/>
      <c r="T401" s="88"/>
      <c r="U401" s="88"/>
      <c r="V401" s="88"/>
      <c r="W401" s="88"/>
      <c r="X401" s="88"/>
      <c r="Y401" s="88"/>
      <c r="Z401" s="88"/>
      <c r="AA401" s="88"/>
      <c r="AB401" s="128"/>
      <c r="AC401" s="128"/>
      <c r="AD401" s="128"/>
      <c r="AE401" s="128"/>
      <c r="AF401" s="128"/>
      <c r="AG401" s="128"/>
      <c r="AH401" s="127"/>
    </row>
    <row r="402" spans="1:34" ht="13.2">
      <c r="A402" s="88"/>
      <c r="B402" s="88"/>
      <c r="C402" s="88"/>
      <c r="D402" s="88"/>
      <c r="E402" s="88"/>
      <c r="F402" s="88"/>
      <c r="G402" s="88"/>
      <c r="H402" s="88"/>
      <c r="I402" s="88"/>
      <c r="J402" s="88"/>
      <c r="K402" s="88"/>
      <c r="L402" s="88"/>
      <c r="M402" s="88"/>
      <c r="N402" s="88"/>
      <c r="O402" s="88"/>
      <c r="P402" s="88"/>
      <c r="Q402" s="88"/>
      <c r="R402" s="88"/>
      <c r="S402" s="88"/>
      <c r="T402" s="88"/>
      <c r="U402" s="88"/>
      <c r="V402" s="88"/>
      <c r="W402" s="88"/>
      <c r="X402" s="88"/>
      <c r="Y402" s="88"/>
      <c r="Z402" s="88"/>
      <c r="AA402" s="88"/>
      <c r="AB402" s="128"/>
      <c r="AC402" s="128"/>
      <c r="AD402" s="128"/>
      <c r="AE402" s="128"/>
      <c r="AF402" s="128"/>
      <c r="AG402" s="128"/>
      <c r="AH402" s="127"/>
    </row>
    <row r="403" spans="1:34" ht="13.2">
      <c r="A403" s="88"/>
      <c r="B403" s="88"/>
      <c r="C403" s="88"/>
      <c r="D403" s="88"/>
      <c r="E403" s="88"/>
      <c r="F403" s="88"/>
      <c r="G403" s="88"/>
      <c r="H403" s="88"/>
      <c r="I403" s="88"/>
      <c r="J403" s="88"/>
      <c r="K403" s="88"/>
      <c r="L403" s="88"/>
      <c r="M403" s="88"/>
      <c r="N403" s="88"/>
      <c r="O403" s="88"/>
      <c r="P403" s="88"/>
      <c r="Q403" s="88"/>
      <c r="R403" s="88"/>
      <c r="S403" s="88"/>
      <c r="T403" s="88"/>
      <c r="U403" s="88"/>
      <c r="V403" s="88"/>
      <c r="W403" s="88"/>
      <c r="X403" s="88"/>
      <c r="Y403" s="88"/>
      <c r="Z403" s="88"/>
      <c r="AA403" s="88"/>
      <c r="AB403" s="128"/>
      <c r="AC403" s="128"/>
      <c r="AD403" s="128"/>
      <c r="AE403" s="128"/>
      <c r="AF403" s="128"/>
      <c r="AG403" s="128"/>
      <c r="AH403" s="127"/>
    </row>
    <row r="404" spans="1:34" ht="13.2">
      <c r="A404" s="88"/>
      <c r="B404" s="88"/>
      <c r="C404" s="88"/>
      <c r="D404" s="88"/>
      <c r="E404" s="88"/>
      <c r="F404" s="88"/>
      <c r="G404" s="88"/>
      <c r="H404" s="88"/>
      <c r="I404" s="88"/>
      <c r="J404" s="88"/>
      <c r="K404" s="88"/>
      <c r="L404" s="88"/>
      <c r="M404" s="88"/>
      <c r="N404" s="88"/>
      <c r="O404" s="88"/>
      <c r="P404" s="88"/>
      <c r="Q404" s="88"/>
      <c r="R404" s="88"/>
      <c r="S404" s="88"/>
      <c r="T404" s="88"/>
      <c r="U404" s="88"/>
      <c r="V404" s="88"/>
      <c r="W404" s="88"/>
      <c r="X404" s="88"/>
      <c r="Y404" s="88"/>
      <c r="Z404" s="88"/>
      <c r="AA404" s="88"/>
      <c r="AB404" s="128"/>
      <c r="AC404" s="128"/>
      <c r="AD404" s="128"/>
      <c r="AE404" s="128"/>
      <c r="AF404" s="128"/>
      <c r="AG404" s="128"/>
      <c r="AH404" s="127"/>
    </row>
    <row r="405" spans="1:34" ht="13.2">
      <c r="A405" s="88"/>
      <c r="B405" s="88"/>
      <c r="C405" s="88"/>
      <c r="D405" s="88"/>
      <c r="E405" s="88"/>
      <c r="F405" s="88"/>
      <c r="G405" s="88"/>
      <c r="H405" s="88"/>
      <c r="I405" s="88"/>
      <c r="J405" s="88"/>
      <c r="K405" s="88"/>
      <c r="L405" s="88"/>
      <c r="M405" s="88"/>
      <c r="N405" s="88"/>
      <c r="O405" s="88"/>
      <c r="P405" s="88"/>
      <c r="Q405" s="88"/>
      <c r="R405" s="88"/>
      <c r="S405" s="88"/>
      <c r="T405" s="88"/>
      <c r="U405" s="88"/>
      <c r="V405" s="88"/>
      <c r="W405" s="88"/>
      <c r="X405" s="88"/>
      <c r="Y405" s="88"/>
      <c r="Z405" s="88"/>
      <c r="AA405" s="88"/>
      <c r="AB405" s="128"/>
      <c r="AC405" s="128"/>
      <c r="AD405" s="128"/>
      <c r="AE405" s="128"/>
      <c r="AF405" s="128"/>
      <c r="AG405" s="128"/>
      <c r="AH405" s="127"/>
    </row>
    <row r="406" spans="1:34" ht="13.2">
      <c r="A406" s="88"/>
      <c r="B406" s="88"/>
      <c r="C406" s="88"/>
      <c r="D406" s="88"/>
      <c r="E406" s="88"/>
      <c r="F406" s="88"/>
      <c r="G406" s="88"/>
      <c r="H406" s="88"/>
      <c r="I406" s="88"/>
      <c r="J406" s="88"/>
      <c r="K406" s="88"/>
      <c r="L406" s="88"/>
      <c r="M406" s="88"/>
      <c r="N406" s="88"/>
      <c r="O406" s="88"/>
      <c r="P406" s="88"/>
      <c r="Q406" s="88"/>
      <c r="R406" s="88"/>
      <c r="S406" s="88"/>
      <c r="T406" s="88"/>
      <c r="U406" s="88"/>
      <c r="V406" s="88"/>
      <c r="W406" s="88"/>
      <c r="X406" s="88"/>
      <c r="Y406" s="88"/>
      <c r="Z406" s="88"/>
      <c r="AA406" s="88"/>
      <c r="AB406" s="128"/>
      <c r="AC406" s="128"/>
      <c r="AD406" s="128"/>
      <c r="AE406" s="128"/>
      <c r="AF406" s="128"/>
      <c r="AG406" s="128"/>
      <c r="AH406" s="127"/>
    </row>
    <row r="407" spans="1:34" ht="13.2">
      <c r="A407" s="88"/>
      <c r="B407" s="88"/>
      <c r="C407" s="88"/>
      <c r="D407" s="88"/>
      <c r="E407" s="88"/>
      <c r="F407" s="88"/>
      <c r="G407" s="88"/>
      <c r="H407" s="88"/>
      <c r="I407" s="88"/>
      <c r="J407" s="88"/>
      <c r="K407" s="88"/>
      <c r="L407" s="88"/>
      <c r="M407" s="88"/>
      <c r="N407" s="88"/>
      <c r="O407" s="88"/>
      <c r="P407" s="88"/>
      <c r="Q407" s="88"/>
      <c r="R407" s="88"/>
      <c r="S407" s="88"/>
      <c r="T407" s="88"/>
      <c r="U407" s="88"/>
      <c r="V407" s="88"/>
      <c r="W407" s="88"/>
      <c r="X407" s="88"/>
      <c r="Y407" s="88"/>
      <c r="Z407" s="88"/>
      <c r="AA407" s="88"/>
      <c r="AB407" s="128"/>
      <c r="AC407" s="128"/>
      <c r="AD407" s="128"/>
      <c r="AE407" s="128"/>
      <c r="AF407" s="128"/>
      <c r="AG407" s="128"/>
      <c r="AH407" s="127"/>
    </row>
    <row r="408" spans="1:34" ht="13.2">
      <c r="A408" s="88"/>
      <c r="B408" s="88"/>
      <c r="C408" s="88"/>
      <c r="D408" s="88"/>
      <c r="E408" s="88"/>
      <c r="F408" s="88"/>
      <c r="G408" s="88"/>
      <c r="H408" s="88"/>
      <c r="I408" s="88"/>
      <c r="J408" s="88"/>
      <c r="K408" s="88"/>
      <c r="L408" s="88"/>
      <c r="M408" s="88"/>
      <c r="N408" s="88"/>
      <c r="O408" s="88"/>
      <c r="P408" s="88"/>
      <c r="Q408" s="88"/>
      <c r="R408" s="88"/>
      <c r="S408" s="88"/>
      <c r="T408" s="88"/>
      <c r="U408" s="88"/>
      <c r="V408" s="88"/>
      <c r="W408" s="88"/>
      <c r="X408" s="88"/>
      <c r="Y408" s="88"/>
      <c r="Z408" s="88"/>
      <c r="AA408" s="88"/>
      <c r="AB408" s="128"/>
      <c r="AC408" s="128"/>
      <c r="AD408" s="128"/>
      <c r="AE408" s="128"/>
      <c r="AF408" s="128"/>
      <c r="AG408" s="128"/>
      <c r="AH408" s="127"/>
    </row>
    <row r="409" spans="1:34" ht="13.2">
      <c r="A409" s="88"/>
      <c r="B409" s="88"/>
      <c r="C409" s="88"/>
      <c r="D409" s="88"/>
      <c r="E409" s="88"/>
      <c r="F409" s="88"/>
      <c r="G409" s="88"/>
      <c r="H409" s="88"/>
      <c r="I409" s="88"/>
      <c r="J409" s="88"/>
      <c r="K409" s="88"/>
      <c r="L409" s="88"/>
      <c r="M409" s="88"/>
      <c r="N409" s="88"/>
      <c r="O409" s="88"/>
      <c r="P409" s="88"/>
      <c r="Q409" s="88"/>
      <c r="R409" s="88"/>
      <c r="S409" s="88"/>
      <c r="T409" s="88"/>
      <c r="U409" s="88"/>
      <c r="V409" s="88"/>
      <c r="W409" s="88"/>
      <c r="X409" s="88"/>
      <c r="Y409" s="88"/>
      <c r="Z409" s="88"/>
      <c r="AA409" s="88"/>
      <c r="AB409" s="128"/>
      <c r="AC409" s="128"/>
      <c r="AD409" s="128"/>
      <c r="AE409" s="128"/>
      <c r="AF409" s="128"/>
      <c r="AG409" s="128"/>
      <c r="AH409" s="127"/>
    </row>
    <row r="410" spans="1:34" ht="13.2">
      <c r="A410" s="88"/>
      <c r="B410" s="88"/>
      <c r="C410" s="88"/>
      <c r="D410" s="88"/>
      <c r="E410" s="88"/>
      <c r="F410" s="88"/>
      <c r="G410" s="88"/>
      <c r="H410" s="88"/>
      <c r="I410" s="88"/>
      <c r="J410" s="88"/>
      <c r="K410" s="88"/>
      <c r="L410" s="88"/>
      <c r="M410" s="88"/>
      <c r="N410" s="88"/>
      <c r="O410" s="88"/>
      <c r="P410" s="88"/>
      <c r="Q410" s="88"/>
      <c r="R410" s="88"/>
      <c r="S410" s="88"/>
      <c r="T410" s="88"/>
      <c r="U410" s="88"/>
      <c r="V410" s="88"/>
      <c r="W410" s="88"/>
      <c r="X410" s="88"/>
      <c r="Y410" s="88"/>
      <c r="Z410" s="88"/>
      <c r="AA410" s="88"/>
      <c r="AB410" s="128"/>
      <c r="AC410" s="128"/>
      <c r="AD410" s="128"/>
      <c r="AE410" s="128"/>
      <c r="AF410" s="128"/>
      <c r="AG410" s="128"/>
      <c r="AH410" s="127"/>
    </row>
    <row r="411" spans="1:34" ht="13.2">
      <c r="A411" s="88"/>
      <c r="B411" s="88"/>
      <c r="C411" s="88"/>
      <c r="D411" s="88"/>
      <c r="E411" s="88"/>
      <c r="F411" s="88"/>
      <c r="G411" s="88"/>
      <c r="H411" s="88"/>
      <c r="I411" s="88"/>
      <c r="J411" s="88"/>
      <c r="K411" s="88"/>
      <c r="L411" s="88"/>
      <c r="M411" s="88"/>
      <c r="N411" s="88"/>
      <c r="O411" s="88"/>
      <c r="P411" s="88"/>
      <c r="Q411" s="88"/>
      <c r="R411" s="88"/>
      <c r="S411" s="88"/>
      <c r="T411" s="88"/>
      <c r="U411" s="88"/>
      <c r="V411" s="88"/>
      <c r="W411" s="88"/>
      <c r="X411" s="88"/>
      <c r="Y411" s="88"/>
      <c r="Z411" s="88"/>
      <c r="AA411" s="88"/>
      <c r="AB411" s="128"/>
      <c r="AC411" s="128"/>
      <c r="AD411" s="128"/>
      <c r="AE411" s="128"/>
      <c r="AF411" s="128"/>
      <c r="AG411" s="128"/>
      <c r="AH411" s="127"/>
    </row>
    <row r="412" spans="1:34" ht="13.2">
      <c r="A412" s="88"/>
      <c r="B412" s="88"/>
      <c r="C412" s="88"/>
      <c r="D412" s="88"/>
      <c r="E412" s="88"/>
      <c r="F412" s="88"/>
      <c r="G412" s="88"/>
      <c r="H412" s="88"/>
      <c r="I412" s="88"/>
      <c r="J412" s="88"/>
      <c r="K412" s="88"/>
      <c r="L412" s="88"/>
      <c r="M412" s="88"/>
      <c r="N412" s="88"/>
      <c r="O412" s="88"/>
      <c r="P412" s="88"/>
      <c r="Q412" s="88"/>
      <c r="R412" s="88"/>
      <c r="S412" s="88"/>
      <c r="T412" s="88"/>
      <c r="U412" s="88"/>
      <c r="V412" s="88"/>
      <c r="W412" s="88"/>
      <c r="X412" s="88"/>
      <c r="Y412" s="88"/>
      <c r="Z412" s="88"/>
      <c r="AA412" s="88"/>
      <c r="AB412" s="128"/>
      <c r="AC412" s="128"/>
      <c r="AD412" s="128"/>
      <c r="AE412" s="128"/>
      <c r="AF412" s="128"/>
      <c r="AG412" s="128"/>
      <c r="AH412" s="127"/>
    </row>
    <row r="413" spans="1:34" ht="13.2">
      <c r="A413" s="88"/>
      <c r="B413" s="88"/>
      <c r="C413" s="88"/>
      <c r="D413" s="88"/>
      <c r="E413" s="88"/>
      <c r="F413" s="88"/>
      <c r="G413" s="88"/>
      <c r="H413" s="88"/>
      <c r="I413" s="88"/>
      <c r="J413" s="88"/>
      <c r="K413" s="88"/>
      <c r="L413" s="88"/>
      <c r="M413" s="88"/>
      <c r="N413" s="88"/>
      <c r="O413" s="88"/>
      <c r="P413" s="88"/>
      <c r="Q413" s="88"/>
      <c r="R413" s="88"/>
      <c r="S413" s="88"/>
      <c r="T413" s="88"/>
      <c r="U413" s="88"/>
      <c r="V413" s="88"/>
      <c r="W413" s="88"/>
      <c r="X413" s="88"/>
      <c r="Y413" s="88"/>
      <c r="Z413" s="88"/>
      <c r="AA413" s="88"/>
      <c r="AB413" s="128"/>
      <c r="AC413" s="128"/>
      <c r="AD413" s="128"/>
      <c r="AE413" s="128"/>
      <c r="AF413" s="128"/>
      <c r="AG413" s="128"/>
      <c r="AH413" s="127"/>
    </row>
    <row r="414" spans="1:34" ht="13.2">
      <c r="A414" s="88"/>
      <c r="B414" s="88"/>
      <c r="C414" s="88"/>
      <c r="D414" s="88"/>
      <c r="E414" s="88"/>
      <c r="F414" s="88"/>
      <c r="G414" s="88"/>
      <c r="H414" s="88"/>
      <c r="I414" s="88"/>
      <c r="J414" s="88"/>
      <c r="K414" s="88"/>
      <c r="L414" s="88"/>
      <c r="M414" s="88"/>
      <c r="N414" s="88"/>
      <c r="O414" s="88"/>
      <c r="P414" s="88"/>
      <c r="Q414" s="88"/>
      <c r="R414" s="88"/>
      <c r="S414" s="88"/>
      <c r="T414" s="88"/>
      <c r="U414" s="88"/>
      <c r="V414" s="88"/>
      <c r="W414" s="88"/>
      <c r="X414" s="88"/>
      <c r="Y414" s="88"/>
      <c r="Z414" s="88"/>
      <c r="AA414" s="88"/>
      <c r="AB414" s="128"/>
      <c r="AC414" s="128"/>
      <c r="AD414" s="128"/>
      <c r="AE414" s="128"/>
      <c r="AF414" s="128"/>
      <c r="AG414" s="128"/>
      <c r="AH414" s="127"/>
    </row>
    <row r="415" spans="1:34" ht="13.2">
      <c r="A415" s="88"/>
      <c r="B415" s="88"/>
      <c r="C415" s="88"/>
      <c r="D415" s="88"/>
      <c r="E415" s="88"/>
      <c r="F415" s="88"/>
      <c r="G415" s="88"/>
      <c r="H415" s="88"/>
      <c r="I415" s="88"/>
      <c r="J415" s="88"/>
      <c r="K415" s="88"/>
      <c r="L415" s="88"/>
      <c r="M415" s="88"/>
      <c r="N415" s="88"/>
      <c r="O415" s="88"/>
      <c r="P415" s="88"/>
      <c r="Q415" s="88"/>
      <c r="R415" s="88"/>
      <c r="S415" s="88"/>
      <c r="T415" s="88"/>
      <c r="U415" s="88"/>
      <c r="V415" s="88"/>
      <c r="W415" s="88"/>
      <c r="X415" s="88"/>
      <c r="Y415" s="88"/>
      <c r="Z415" s="88"/>
      <c r="AA415" s="88"/>
      <c r="AB415" s="128"/>
      <c r="AC415" s="128"/>
      <c r="AD415" s="128"/>
      <c r="AE415" s="128"/>
      <c r="AF415" s="128"/>
      <c r="AG415" s="128"/>
      <c r="AH415" s="127"/>
    </row>
    <row r="416" spans="1:34" ht="13.2">
      <c r="A416" s="88"/>
      <c r="B416" s="88"/>
      <c r="C416" s="88"/>
      <c r="D416" s="88"/>
      <c r="E416" s="88"/>
      <c r="F416" s="88"/>
      <c r="G416" s="88"/>
      <c r="H416" s="88"/>
      <c r="I416" s="88"/>
      <c r="J416" s="88"/>
      <c r="K416" s="88"/>
      <c r="L416" s="88"/>
      <c r="M416" s="88"/>
      <c r="N416" s="88"/>
      <c r="O416" s="88"/>
      <c r="P416" s="88"/>
      <c r="Q416" s="88"/>
      <c r="R416" s="88"/>
      <c r="S416" s="88"/>
      <c r="T416" s="88"/>
      <c r="U416" s="88"/>
      <c r="V416" s="88"/>
      <c r="W416" s="88"/>
      <c r="X416" s="88"/>
      <c r="Y416" s="88"/>
      <c r="Z416" s="88"/>
      <c r="AA416" s="88"/>
      <c r="AB416" s="128"/>
      <c r="AC416" s="128"/>
      <c r="AD416" s="128"/>
      <c r="AE416" s="128"/>
      <c r="AF416" s="128"/>
      <c r="AG416" s="128"/>
      <c r="AH416" s="127"/>
    </row>
    <row r="417" spans="1:34" ht="13.2">
      <c r="A417" s="88"/>
      <c r="B417" s="88"/>
      <c r="C417" s="88"/>
      <c r="D417" s="88"/>
      <c r="E417" s="88"/>
      <c r="F417" s="88"/>
      <c r="G417" s="88"/>
      <c r="H417" s="88"/>
      <c r="I417" s="88"/>
      <c r="J417" s="88"/>
      <c r="K417" s="88"/>
      <c r="L417" s="88"/>
      <c r="M417" s="88"/>
      <c r="N417" s="88"/>
      <c r="O417" s="88"/>
      <c r="P417" s="88"/>
      <c r="Q417" s="88"/>
      <c r="R417" s="88"/>
      <c r="S417" s="88"/>
      <c r="T417" s="88"/>
      <c r="U417" s="88"/>
      <c r="V417" s="88"/>
      <c r="W417" s="88"/>
      <c r="X417" s="88"/>
      <c r="Y417" s="88"/>
      <c r="Z417" s="88"/>
      <c r="AA417" s="88"/>
      <c r="AB417" s="128"/>
      <c r="AC417" s="128"/>
      <c r="AD417" s="128"/>
      <c r="AE417" s="128"/>
      <c r="AF417" s="128"/>
      <c r="AG417" s="128"/>
      <c r="AH417" s="127"/>
    </row>
    <row r="418" spans="1:34" ht="13.2">
      <c r="A418" s="88"/>
      <c r="B418" s="88"/>
      <c r="C418" s="88"/>
      <c r="D418" s="88"/>
      <c r="E418" s="88"/>
      <c r="F418" s="88"/>
      <c r="G418" s="88"/>
      <c r="H418" s="88"/>
      <c r="I418" s="88"/>
      <c r="J418" s="88"/>
      <c r="K418" s="88"/>
      <c r="L418" s="88"/>
      <c r="M418" s="88"/>
      <c r="N418" s="88"/>
      <c r="O418" s="88"/>
      <c r="P418" s="88"/>
      <c r="Q418" s="88"/>
      <c r="R418" s="88"/>
      <c r="S418" s="88"/>
      <c r="T418" s="88"/>
      <c r="U418" s="88"/>
      <c r="V418" s="88"/>
      <c r="W418" s="88"/>
      <c r="X418" s="88"/>
      <c r="Y418" s="88"/>
      <c r="Z418" s="88"/>
      <c r="AA418" s="88"/>
      <c r="AB418" s="128"/>
      <c r="AC418" s="128"/>
      <c r="AD418" s="128"/>
      <c r="AE418" s="128"/>
      <c r="AF418" s="128"/>
      <c r="AG418" s="128"/>
      <c r="AH418" s="127"/>
    </row>
    <row r="419" spans="1:34" ht="13.2">
      <c r="A419" s="88"/>
      <c r="B419" s="88"/>
      <c r="C419" s="88"/>
      <c r="D419" s="88"/>
      <c r="E419" s="88"/>
      <c r="F419" s="88"/>
      <c r="G419" s="88"/>
      <c r="H419" s="88"/>
      <c r="I419" s="88"/>
      <c r="J419" s="88"/>
      <c r="K419" s="88"/>
      <c r="L419" s="88"/>
      <c r="M419" s="88"/>
      <c r="N419" s="88"/>
      <c r="O419" s="88"/>
      <c r="P419" s="88"/>
      <c r="Q419" s="88"/>
      <c r="R419" s="88"/>
      <c r="S419" s="88"/>
      <c r="T419" s="88"/>
      <c r="U419" s="88"/>
      <c r="V419" s="88"/>
      <c r="W419" s="88"/>
      <c r="X419" s="88"/>
      <c r="Y419" s="88"/>
      <c r="Z419" s="88"/>
      <c r="AA419" s="88"/>
      <c r="AB419" s="128"/>
      <c r="AC419" s="128"/>
      <c r="AD419" s="128"/>
      <c r="AE419" s="128"/>
      <c r="AF419" s="128"/>
      <c r="AG419" s="128"/>
      <c r="AH419" s="127"/>
    </row>
    <row r="420" spans="1:34" ht="13.2">
      <c r="A420" s="88"/>
      <c r="B420" s="88"/>
      <c r="C420" s="88"/>
      <c r="D420" s="88"/>
      <c r="E420" s="88"/>
      <c r="F420" s="88"/>
      <c r="G420" s="88"/>
      <c r="H420" s="88"/>
      <c r="I420" s="88"/>
      <c r="J420" s="88"/>
      <c r="K420" s="88"/>
      <c r="L420" s="88"/>
      <c r="M420" s="88"/>
      <c r="N420" s="88"/>
      <c r="O420" s="88"/>
      <c r="P420" s="88"/>
      <c r="Q420" s="88"/>
      <c r="R420" s="88"/>
      <c r="S420" s="88"/>
      <c r="T420" s="88"/>
      <c r="U420" s="88"/>
      <c r="V420" s="88"/>
      <c r="W420" s="88"/>
      <c r="X420" s="88"/>
      <c r="Y420" s="88"/>
      <c r="Z420" s="88"/>
      <c r="AA420" s="88"/>
      <c r="AB420" s="128"/>
      <c r="AC420" s="128"/>
      <c r="AD420" s="128"/>
      <c r="AE420" s="128"/>
      <c r="AF420" s="128"/>
      <c r="AG420" s="128"/>
      <c r="AH420" s="127"/>
    </row>
    <row r="421" spans="1:34" ht="13.2">
      <c r="A421" s="88"/>
      <c r="B421" s="88"/>
      <c r="C421" s="88"/>
      <c r="D421" s="88"/>
      <c r="E421" s="88"/>
      <c r="F421" s="88"/>
      <c r="G421" s="88"/>
      <c r="H421" s="88"/>
      <c r="I421" s="88"/>
      <c r="J421" s="88"/>
      <c r="K421" s="88"/>
      <c r="L421" s="88"/>
      <c r="M421" s="88"/>
      <c r="N421" s="88"/>
      <c r="O421" s="88"/>
      <c r="P421" s="88"/>
      <c r="Q421" s="88"/>
      <c r="R421" s="88"/>
      <c r="S421" s="88"/>
      <c r="T421" s="88"/>
      <c r="U421" s="88"/>
      <c r="V421" s="88"/>
      <c r="W421" s="88"/>
      <c r="X421" s="88"/>
      <c r="Y421" s="88"/>
      <c r="Z421" s="88"/>
      <c r="AA421" s="88"/>
      <c r="AB421" s="128"/>
      <c r="AC421" s="128"/>
      <c r="AD421" s="128"/>
      <c r="AE421" s="128"/>
      <c r="AF421" s="128"/>
      <c r="AG421" s="128"/>
      <c r="AH421" s="127"/>
    </row>
    <row r="422" spans="1:34" ht="13.2">
      <c r="A422" s="88"/>
      <c r="B422" s="88"/>
      <c r="C422" s="88"/>
      <c r="D422" s="88"/>
      <c r="E422" s="88"/>
      <c r="F422" s="88"/>
      <c r="G422" s="88"/>
      <c r="H422" s="88"/>
      <c r="I422" s="88"/>
      <c r="J422" s="88"/>
      <c r="K422" s="88"/>
      <c r="L422" s="88"/>
      <c r="M422" s="88"/>
      <c r="N422" s="88"/>
      <c r="O422" s="88"/>
      <c r="P422" s="88"/>
      <c r="Q422" s="88"/>
      <c r="R422" s="88"/>
      <c r="S422" s="88"/>
      <c r="T422" s="88"/>
      <c r="U422" s="88"/>
      <c r="V422" s="88"/>
      <c r="W422" s="88"/>
      <c r="X422" s="88"/>
      <c r="Y422" s="88"/>
      <c r="Z422" s="88"/>
      <c r="AA422" s="88"/>
      <c r="AB422" s="128"/>
      <c r="AC422" s="128"/>
      <c r="AD422" s="128"/>
      <c r="AE422" s="128"/>
      <c r="AF422" s="128"/>
      <c r="AG422" s="128"/>
      <c r="AH422" s="127"/>
    </row>
    <row r="423" spans="1:34" ht="13.2">
      <c r="A423" s="88"/>
      <c r="B423" s="88"/>
      <c r="C423" s="88"/>
      <c r="D423" s="88"/>
      <c r="E423" s="88"/>
      <c r="F423" s="88"/>
      <c r="G423" s="88"/>
      <c r="H423" s="88"/>
      <c r="I423" s="88"/>
      <c r="J423" s="88"/>
      <c r="K423" s="88"/>
      <c r="L423" s="88"/>
      <c r="M423" s="88"/>
      <c r="N423" s="88"/>
      <c r="O423" s="88"/>
      <c r="P423" s="88"/>
      <c r="Q423" s="88"/>
      <c r="R423" s="88"/>
      <c r="S423" s="88"/>
      <c r="T423" s="88"/>
      <c r="U423" s="88"/>
      <c r="V423" s="88"/>
      <c r="W423" s="88"/>
      <c r="X423" s="88"/>
      <c r="Y423" s="88"/>
      <c r="Z423" s="88"/>
      <c r="AA423" s="88"/>
      <c r="AB423" s="128"/>
      <c r="AC423" s="128"/>
      <c r="AD423" s="128"/>
      <c r="AE423" s="128"/>
      <c r="AF423" s="128"/>
      <c r="AG423" s="128"/>
      <c r="AH423" s="127"/>
    </row>
    <row r="424" spans="1:34" ht="13.2">
      <c r="A424" s="88"/>
      <c r="B424" s="88"/>
      <c r="C424" s="88"/>
      <c r="D424" s="88"/>
      <c r="E424" s="88"/>
      <c r="F424" s="88"/>
      <c r="G424" s="88"/>
      <c r="H424" s="88"/>
      <c r="I424" s="88"/>
      <c r="J424" s="88"/>
      <c r="K424" s="88"/>
      <c r="L424" s="88"/>
      <c r="M424" s="88"/>
      <c r="N424" s="88"/>
      <c r="O424" s="88"/>
      <c r="P424" s="88"/>
      <c r="Q424" s="88"/>
      <c r="R424" s="88"/>
      <c r="S424" s="88"/>
      <c r="T424" s="88"/>
      <c r="U424" s="88"/>
      <c r="V424" s="88"/>
      <c r="W424" s="88"/>
      <c r="X424" s="88"/>
      <c r="Y424" s="88"/>
      <c r="Z424" s="88"/>
      <c r="AA424" s="88"/>
      <c r="AB424" s="128"/>
      <c r="AC424" s="128"/>
      <c r="AD424" s="128"/>
      <c r="AE424" s="128"/>
      <c r="AF424" s="128"/>
      <c r="AG424" s="128"/>
      <c r="AH424" s="127"/>
    </row>
    <row r="425" spans="1:34" ht="13.2">
      <c r="A425" s="88"/>
      <c r="B425" s="88"/>
      <c r="C425" s="88"/>
      <c r="D425" s="88"/>
      <c r="E425" s="88"/>
      <c r="F425" s="88"/>
      <c r="G425" s="88"/>
      <c r="H425" s="88"/>
      <c r="I425" s="88"/>
      <c r="J425" s="88"/>
      <c r="K425" s="88"/>
      <c r="L425" s="88"/>
      <c r="M425" s="88"/>
      <c r="N425" s="88"/>
      <c r="O425" s="88"/>
      <c r="P425" s="88"/>
      <c r="Q425" s="88"/>
      <c r="R425" s="88"/>
      <c r="S425" s="88"/>
      <c r="T425" s="88"/>
      <c r="U425" s="88"/>
      <c r="V425" s="88"/>
      <c r="W425" s="88"/>
      <c r="X425" s="88"/>
      <c r="Y425" s="88"/>
      <c r="Z425" s="88"/>
      <c r="AA425" s="88"/>
      <c r="AB425" s="128"/>
      <c r="AC425" s="128"/>
      <c r="AD425" s="128"/>
      <c r="AE425" s="128"/>
      <c r="AF425" s="128"/>
      <c r="AG425" s="128"/>
      <c r="AH425" s="127"/>
    </row>
    <row r="426" spans="1:34" ht="13.2">
      <c r="A426" s="88"/>
      <c r="B426" s="88"/>
      <c r="C426" s="88"/>
      <c r="D426" s="88"/>
      <c r="E426" s="88"/>
      <c r="F426" s="88"/>
      <c r="G426" s="88"/>
      <c r="H426" s="88"/>
      <c r="I426" s="88"/>
      <c r="J426" s="88"/>
      <c r="K426" s="88"/>
      <c r="L426" s="88"/>
      <c r="M426" s="88"/>
      <c r="N426" s="88"/>
      <c r="O426" s="88"/>
      <c r="P426" s="88"/>
      <c r="Q426" s="88"/>
      <c r="R426" s="88"/>
      <c r="S426" s="88"/>
      <c r="T426" s="88"/>
      <c r="U426" s="88"/>
      <c r="V426" s="88"/>
      <c r="W426" s="88"/>
      <c r="X426" s="88"/>
      <c r="Y426" s="88"/>
      <c r="Z426" s="88"/>
      <c r="AA426" s="88"/>
      <c r="AB426" s="128"/>
      <c r="AC426" s="128"/>
      <c r="AD426" s="128"/>
      <c r="AE426" s="128"/>
      <c r="AF426" s="128"/>
      <c r="AG426" s="128"/>
      <c r="AH426" s="127"/>
    </row>
    <row r="427" spans="1:34" ht="13.2">
      <c r="A427" s="88"/>
      <c r="B427" s="88"/>
      <c r="C427" s="88"/>
      <c r="D427" s="88"/>
      <c r="E427" s="88"/>
      <c r="F427" s="88"/>
      <c r="G427" s="88"/>
      <c r="H427" s="88"/>
      <c r="I427" s="88"/>
      <c r="J427" s="88"/>
      <c r="K427" s="88"/>
      <c r="L427" s="88"/>
      <c r="M427" s="88"/>
      <c r="N427" s="88"/>
      <c r="O427" s="88"/>
      <c r="P427" s="88"/>
      <c r="Q427" s="88"/>
      <c r="R427" s="88"/>
      <c r="S427" s="88"/>
      <c r="T427" s="88"/>
      <c r="U427" s="88"/>
      <c r="V427" s="88"/>
      <c r="W427" s="88"/>
      <c r="X427" s="88"/>
      <c r="Y427" s="88"/>
      <c r="Z427" s="88"/>
      <c r="AA427" s="88"/>
      <c r="AB427" s="128"/>
      <c r="AC427" s="128"/>
      <c r="AD427" s="128"/>
      <c r="AE427" s="128"/>
      <c r="AF427" s="128"/>
      <c r="AG427" s="128"/>
      <c r="AH427" s="127"/>
    </row>
    <row r="428" spans="1:34" ht="13.2">
      <c r="A428" s="88"/>
      <c r="B428" s="88"/>
      <c r="C428" s="88"/>
      <c r="D428" s="88"/>
      <c r="E428" s="88"/>
      <c r="F428" s="88"/>
      <c r="G428" s="88"/>
      <c r="H428" s="88"/>
      <c r="I428" s="88"/>
      <c r="J428" s="88"/>
      <c r="K428" s="88"/>
      <c r="L428" s="88"/>
      <c r="M428" s="88"/>
      <c r="N428" s="88"/>
      <c r="O428" s="88"/>
      <c r="P428" s="88"/>
      <c r="Q428" s="88"/>
      <c r="R428" s="88"/>
      <c r="S428" s="88"/>
      <c r="T428" s="88"/>
      <c r="U428" s="88"/>
      <c r="V428" s="88"/>
      <c r="W428" s="88"/>
      <c r="X428" s="88"/>
      <c r="Y428" s="88"/>
      <c r="Z428" s="88"/>
      <c r="AA428" s="88"/>
      <c r="AB428" s="128"/>
      <c r="AC428" s="128"/>
      <c r="AD428" s="128"/>
      <c r="AE428" s="128"/>
      <c r="AF428" s="128"/>
      <c r="AG428" s="128"/>
      <c r="AH428" s="127"/>
    </row>
    <row r="429" spans="1:34" ht="13.2">
      <c r="A429" s="88"/>
      <c r="B429" s="88"/>
      <c r="C429" s="88"/>
      <c r="D429" s="88"/>
      <c r="E429" s="88"/>
      <c r="F429" s="88"/>
      <c r="G429" s="88"/>
      <c r="H429" s="88"/>
      <c r="I429" s="88"/>
      <c r="J429" s="88"/>
      <c r="K429" s="88"/>
      <c r="L429" s="88"/>
      <c r="M429" s="88"/>
      <c r="N429" s="88"/>
      <c r="O429" s="88"/>
      <c r="P429" s="88"/>
      <c r="Q429" s="88"/>
      <c r="R429" s="88"/>
      <c r="S429" s="88"/>
      <c r="T429" s="88"/>
      <c r="U429" s="88"/>
      <c r="V429" s="88"/>
      <c r="W429" s="88"/>
      <c r="X429" s="88"/>
      <c r="Y429" s="88"/>
      <c r="Z429" s="88"/>
      <c r="AA429" s="88"/>
      <c r="AB429" s="128"/>
      <c r="AC429" s="128"/>
      <c r="AD429" s="128"/>
      <c r="AE429" s="128"/>
      <c r="AF429" s="128"/>
      <c r="AG429" s="128"/>
      <c r="AH429" s="127"/>
    </row>
    <row r="430" spans="1:34" ht="13.2">
      <c r="A430" s="88"/>
      <c r="B430" s="88"/>
      <c r="C430" s="88"/>
      <c r="D430" s="88"/>
      <c r="E430" s="88"/>
      <c r="F430" s="88"/>
      <c r="G430" s="88"/>
      <c r="H430" s="88"/>
      <c r="I430" s="88"/>
      <c r="J430" s="88"/>
      <c r="K430" s="88"/>
      <c r="L430" s="88"/>
      <c r="M430" s="88"/>
      <c r="N430" s="88"/>
      <c r="O430" s="88"/>
      <c r="P430" s="88"/>
      <c r="Q430" s="88"/>
      <c r="R430" s="88"/>
      <c r="S430" s="88"/>
      <c r="T430" s="88"/>
      <c r="U430" s="88"/>
      <c r="V430" s="88"/>
      <c r="W430" s="88"/>
      <c r="X430" s="88"/>
      <c r="Y430" s="88"/>
      <c r="Z430" s="88"/>
      <c r="AA430" s="88"/>
      <c r="AB430" s="128"/>
      <c r="AC430" s="128"/>
      <c r="AD430" s="128"/>
      <c r="AE430" s="128"/>
      <c r="AF430" s="128"/>
      <c r="AG430" s="128"/>
      <c r="AH430" s="127"/>
    </row>
    <row r="431" spans="1:34" ht="13.2">
      <c r="A431" s="88"/>
      <c r="B431" s="88"/>
      <c r="C431" s="88"/>
      <c r="D431" s="88"/>
      <c r="E431" s="88"/>
      <c r="F431" s="88"/>
      <c r="G431" s="88"/>
      <c r="H431" s="88"/>
      <c r="I431" s="88"/>
      <c r="J431" s="88"/>
      <c r="K431" s="88"/>
      <c r="L431" s="88"/>
      <c r="M431" s="88"/>
      <c r="N431" s="88"/>
      <c r="O431" s="88"/>
      <c r="P431" s="88"/>
      <c r="Q431" s="88"/>
      <c r="R431" s="88"/>
      <c r="S431" s="88"/>
      <c r="T431" s="88"/>
      <c r="U431" s="88"/>
      <c r="V431" s="88"/>
      <c r="W431" s="88"/>
      <c r="X431" s="88"/>
      <c r="Y431" s="88"/>
      <c r="Z431" s="88"/>
      <c r="AA431" s="88"/>
      <c r="AB431" s="128"/>
      <c r="AC431" s="128"/>
      <c r="AD431" s="128"/>
      <c r="AE431" s="128"/>
      <c r="AF431" s="128"/>
      <c r="AG431" s="128"/>
      <c r="AH431" s="127"/>
    </row>
    <row r="432" spans="1:34" ht="13.2">
      <c r="A432" s="88"/>
      <c r="B432" s="88"/>
      <c r="C432" s="88"/>
      <c r="D432" s="88"/>
      <c r="E432" s="88"/>
      <c r="F432" s="88"/>
      <c r="G432" s="88"/>
      <c r="H432" s="88"/>
      <c r="I432" s="88"/>
      <c r="J432" s="88"/>
      <c r="K432" s="88"/>
      <c r="L432" s="88"/>
      <c r="M432" s="88"/>
      <c r="N432" s="88"/>
      <c r="O432" s="88"/>
      <c r="P432" s="88"/>
      <c r="Q432" s="88"/>
      <c r="R432" s="88"/>
      <c r="S432" s="88"/>
      <c r="T432" s="88"/>
      <c r="U432" s="88"/>
      <c r="V432" s="88"/>
      <c r="W432" s="88"/>
      <c r="X432" s="88"/>
      <c r="Y432" s="88"/>
      <c r="Z432" s="88"/>
      <c r="AA432" s="88"/>
      <c r="AB432" s="128"/>
      <c r="AC432" s="128"/>
      <c r="AD432" s="128"/>
      <c r="AE432" s="128"/>
      <c r="AF432" s="128"/>
      <c r="AG432" s="128"/>
      <c r="AH432" s="127"/>
    </row>
    <row r="433" spans="1:34" ht="13.2">
      <c r="A433" s="88"/>
      <c r="B433" s="88"/>
      <c r="C433" s="88"/>
      <c r="D433" s="88"/>
      <c r="E433" s="88"/>
      <c r="F433" s="88"/>
      <c r="G433" s="88"/>
      <c r="H433" s="88"/>
      <c r="I433" s="88"/>
      <c r="J433" s="88"/>
      <c r="K433" s="88"/>
      <c r="L433" s="88"/>
      <c r="M433" s="88"/>
      <c r="N433" s="88"/>
      <c r="O433" s="88"/>
      <c r="P433" s="88"/>
      <c r="Q433" s="88"/>
      <c r="R433" s="88"/>
      <c r="S433" s="88"/>
      <c r="T433" s="88"/>
      <c r="U433" s="88"/>
      <c r="V433" s="88"/>
      <c r="W433" s="88"/>
      <c r="X433" s="88"/>
      <c r="Y433" s="88"/>
      <c r="Z433" s="88"/>
      <c r="AA433" s="88"/>
      <c r="AB433" s="128"/>
      <c r="AC433" s="128"/>
      <c r="AD433" s="128"/>
      <c r="AE433" s="128"/>
      <c r="AF433" s="128"/>
      <c r="AG433" s="128"/>
      <c r="AH433" s="127"/>
    </row>
    <row r="434" spans="1:34" ht="13.2">
      <c r="A434" s="88"/>
      <c r="B434" s="88"/>
      <c r="C434" s="88"/>
      <c r="D434" s="88"/>
      <c r="E434" s="88"/>
      <c r="F434" s="88"/>
      <c r="G434" s="88"/>
      <c r="H434" s="88"/>
      <c r="I434" s="88"/>
      <c r="J434" s="88"/>
      <c r="K434" s="88"/>
      <c r="L434" s="88"/>
      <c r="M434" s="88"/>
      <c r="N434" s="88"/>
      <c r="O434" s="88"/>
      <c r="P434" s="88"/>
      <c r="Q434" s="88"/>
      <c r="R434" s="88"/>
      <c r="S434" s="88"/>
      <c r="T434" s="88"/>
      <c r="U434" s="88"/>
      <c r="V434" s="88"/>
      <c r="W434" s="88"/>
      <c r="X434" s="88"/>
      <c r="Y434" s="88"/>
      <c r="Z434" s="88"/>
      <c r="AA434" s="88"/>
      <c r="AB434" s="128"/>
      <c r="AC434" s="128"/>
      <c r="AD434" s="128"/>
      <c r="AE434" s="128"/>
      <c r="AF434" s="128"/>
      <c r="AG434" s="128"/>
      <c r="AH434" s="127"/>
    </row>
    <row r="435" spans="1:34" ht="13.2">
      <c r="A435" s="88"/>
      <c r="B435" s="88"/>
      <c r="C435" s="88"/>
      <c r="D435" s="88"/>
      <c r="E435" s="88"/>
      <c r="F435" s="88"/>
      <c r="G435" s="88"/>
      <c r="H435" s="88"/>
      <c r="I435" s="88"/>
      <c r="J435" s="88"/>
      <c r="K435" s="88"/>
      <c r="L435" s="88"/>
      <c r="M435" s="88"/>
      <c r="N435" s="88"/>
      <c r="O435" s="88"/>
      <c r="P435" s="88"/>
      <c r="Q435" s="88"/>
      <c r="R435" s="88"/>
      <c r="S435" s="88"/>
      <c r="T435" s="88"/>
      <c r="U435" s="88"/>
      <c r="V435" s="88"/>
      <c r="W435" s="88"/>
      <c r="X435" s="88"/>
      <c r="Y435" s="88"/>
      <c r="Z435" s="88"/>
      <c r="AA435" s="88"/>
      <c r="AB435" s="128"/>
      <c r="AC435" s="128"/>
      <c r="AD435" s="128"/>
      <c r="AE435" s="128"/>
      <c r="AF435" s="128"/>
      <c r="AG435" s="128"/>
      <c r="AH435" s="127"/>
    </row>
    <row r="436" spans="1:34" ht="13.2">
      <c r="A436" s="88"/>
      <c r="B436" s="88"/>
      <c r="C436" s="88"/>
      <c r="D436" s="88"/>
      <c r="E436" s="88"/>
      <c r="F436" s="88"/>
      <c r="G436" s="88"/>
      <c r="H436" s="88"/>
      <c r="I436" s="88"/>
      <c r="J436" s="88"/>
      <c r="K436" s="88"/>
      <c r="L436" s="88"/>
      <c r="M436" s="88"/>
      <c r="N436" s="88"/>
      <c r="O436" s="88"/>
      <c r="P436" s="88"/>
      <c r="Q436" s="88"/>
      <c r="R436" s="88"/>
      <c r="S436" s="88"/>
      <c r="T436" s="88"/>
      <c r="U436" s="88"/>
      <c r="V436" s="88"/>
      <c r="W436" s="88"/>
      <c r="X436" s="88"/>
      <c r="Y436" s="88"/>
      <c r="Z436" s="88"/>
      <c r="AA436" s="88"/>
      <c r="AB436" s="128"/>
      <c r="AC436" s="128"/>
      <c r="AD436" s="128"/>
      <c r="AE436" s="128"/>
      <c r="AF436" s="128"/>
      <c r="AG436" s="128"/>
      <c r="AH436" s="127"/>
    </row>
    <row r="437" spans="1:34" ht="13.2">
      <c r="A437" s="88"/>
      <c r="B437" s="88"/>
      <c r="C437" s="88"/>
      <c r="D437" s="88"/>
      <c r="E437" s="88"/>
      <c r="F437" s="88"/>
      <c r="G437" s="88"/>
      <c r="H437" s="88"/>
      <c r="I437" s="88"/>
      <c r="J437" s="88"/>
      <c r="K437" s="88"/>
      <c r="L437" s="88"/>
      <c r="M437" s="88"/>
      <c r="N437" s="88"/>
      <c r="O437" s="88"/>
      <c r="P437" s="88"/>
      <c r="Q437" s="88"/>
      <c r="R437" s="88"/>
      <c r="S437" s="88"/>
      <c r="T437" s="88"/>
      <c r="U437" s="88"/>
      <c r="V437" s="88"/>
      <c r="W437" s="88"/>
      <c r="X437" s="88"/>
      <c r="Y437" s="88"/>
      <c r="Z437" s="88"/>
      <c r="AA437" s="88"/>
      <c r="AB437" s="128"/>
      <c r="AC437" s="128"/>
      <c r="AD437" s="128"/>
      <c r="AE437" s="128"/>
      <c r="AF437" s="128"/>
      <c r="AG437" s="128"/>
      <c r="AH437" s="127"/>
    </row>
    <row r="438" spans="1:34" ht="13.2">
      <c r="A438" s="88"/>
      <c r="B438" s="88"/>
      <c r="C438" s="88"/>
      <c r="D438" s="88"/>
      <c r="E438" s="88"/>
      <c r="F438" s="88"/>
      <c r="G438" s="88"/>
      <c r="H438" s="88"/>
      <c r="I438" s="88"/>
      <c r="J438" s="88"/>
      <c r="K438" s="88"/>
      <c r="L438" s="88"/>
      <c r="M438" s="88"/>
      <c r="N438" s="88"/>
      <c r="O438" s="88"/>
      <c r="P438" s="88"/>
      <c r="Q438" s="88"/>
      <c r="R438" s="88"/>
      <c r="S438" s="88"/>
      <c r="T438" s="88"/>
      <c r="U438" s="88"/>
      <c r="V438" s="88"/>
      <c r="W438" s="88"/>
      <c r="X438" s="88"/>
      <c r="Y438" s="88"/>
      <c r="Z438" s="88"/>
      <c r="AA438" s="88"/>
      <c r="AB438" s="128"/>
      <c r="AC438" s="128"/>
      <c r="AD438" s="128"/>
      <c r="AE438" s="128"/>
      <c r="AF438" s="128"/>
      <c r="AG438" s="128"/>
      <c r="AH438" s="127"/>
    </row>
    <row r="439" spans="1:34" ht="13.2">
      <c r="A439" s="88"/>
      <c r="B439" s="88"/>
      <c r="C439" s="88"/>
      <c r="D439" s="88"/>
      <c r="E439" s="88"/>
      <c r="F439" s="88"/>
      <c r="G439" s="88"/>
      <c r="H439" s="88"/>
      <c r="I439" s="88"/>
      <c r="J439" s="88"/>
      <c r="K439" s="88"/>
      <c r="L439" s="88"/>
      <c r="M439" s="88"/>
      <c r="N439" s="88"/>
      <c r="O439" s="88"/>
      <c r="P439" s="88"/>
      <c r="Q439" s="88"/>
      <c r="R439" s="88"/>
      <c r="S439" s="88"/>
      <c r="T439" s="88"/>
      <c r="U439" s="88"/>
      <c r="V439" s="88"/>
      <c r="W439" s="88"/>
      <c r="X439" s="88"/>
      <c r="Y439" s="88"/>
      <c r="Z439" s="88"/>
      <c r="AA439" s="88"/>
      <c r="AB439" s="128"/>
      <c r="AC439" s="128"/>
      <c r="AD439" s="128"/>
      <c r="AE439" s="128"/>
      <c r="AF439" s="128"/>
      <c r="AG439" s="128"/>
      <c r="AH439" s="127"/>
    </row>
    <row r="440" spans="1:34" ht="13.2">
      <c r="A440" s="88"/>
      <c r="B440" s="88"/>
      <c r="C440" s="88"/>
      <c r="D440" s="88"/>
      <c r="E440" s="88"/>
      <c r="F440" s="88"/>
      <c r="G440" s="88"/>
      <c r="H440" s="88"/>
      <c r="I440" s="88"/>
      <c r="J440" s="88"/>
      <c r="K440" s="88"/>
      <c r="L440" s="88"/>
      <c r="M440" s="88"/>
      <c r="N440" s="88"/>
      <c r="O440" s="88"/>
      <c r="P440" s="88"/>
      <c r="Q440" s="88"/>
      <c r="R440" s="88"/>
      <c r="S440" s="88"/>
      <c r="T440" s="88"/>
      <c r="U440" s="88"/>
      <c r="V440" s="88"/>
      <c r="W440" s="88"/>
      <c r="X440" s="88"/>
      <c r="Y440" s="88"/>
      <c r="Z440" s="88"/>
      <c r="AA440" s="88"/>
      <c r="AB440" s="128"/>
      <c r="AC440" s="128"/>
      <c r="AD440" s="128"/>
      <c r="AE440" s="128"/>
      <c r="AF440" s="128"/>
      <c r="AG440" s="128"/>
      <c r="AH440" s="127"/>
    </row>
    <row r="441" spans="1:34" ht="13.2">
      <c r="A441" s="88"/>
      <c r="B441" s="88"/>
      <c r="C441" s="88"/>
      <c r="D441" s="88"/>
      <c r="E441" s="88"/>
      <c r="F441" s="88"/>
      <c r="G441" s="88"/>
      <c r="H441" s="88"/>
      <c r="I441" s="88"/>
      <c r="J441" s="88"/>
      <c r="K441" s="88"/>
      <c r="L441" s="88"/>
      <c r="M441" s="88"/>
      <c r="N441" s="88"/>
      <c r="O441" s="88"/>
      <c r="P441" s="88"/>
      <c r="Q441" s="88"/>
      <c r="R441" s="88"/>
      <c r="S441" s="88"/>
      <c r="T441" s="88"/>
      <c r="U441" s="88"/>
      <c r="V441" s="88"/>
      <c r="W441" s="88"/>
      <c r="X441" s="88"/>
      <c r="Y441" s="88"/>
      <c r="Z441" s="88"/>
      <c r="AA441" s="88"/>
      <c r="AB441" s="128"/>
      <c r="AC441" s="128"/>
      <c r="AD441" s="128"/>
      <c r="AE441" s="128"/>
      <c r="AF441" s="128"/>
      <c r="AG441" s="128"/>
      <c r="AH441" s="127"/>
    </row>
    <row r="442" spans="1:34" ht="13.2">
      <c r="A442" s="88"/>
      <c r="B442" s="88"/>
      <c r="C442" s="88"/>
      <c r="D442" s="88"/>
      <c r="E442" s="88"/>
      <c r="F442" s="88"/>
      <c r="G442" s="88"/>
      <c r="H442" s="88"/>
      <c r="I442" s="88"/>
      <c r="J442" s="88"/>
      <c r="K442" s="88"/>
      <c r="L442" s="88"/>
      <c r="M442" s="88"/>
      <c r="N442" s="88"/>
      <c r="O442" s="88"/>
      <c r="P442" s="88"/>
      <c r="Q442" s="88"/>
      <c r="R442" s="88"/>
      <c r="S442" s="88"/>
      <c r="T442" s="88"/>
      <c r="U442" s="88"/>
      <c r="V442" s="88"/>
      <c r="W442" s="88"/>
      <c r="X442" s="88"/>
      <c r="Y442" s="88"/>
      <c r="Z442" s="88"/>
      <c r="AA442" s="88"/>
      <c r="AB442" s="128"/>
      <c r="AC442" s="128"/>
      <c r="AD442" s="128"/>
      <c r="AE442" s="128"/>
      <c r="AF442" s="128"/>
      <c r="AG442" s="128"/>
      <c r="AH442" s="127"/>
    </row>
    <row r="443" spans="1:34" ht="13.2">
      <c r="A443" s="88"/>
      <c r="B443" s="88"/>
      <c r="C443" s="88"/>
      <c r="D443" s="88"/>
      <c r="E443" s="88"/>
      <c r="F443" s="88"/>
      <c r="G443" s="88"/>
      <c r="H443" s="88"/>
      <c r="I443" s="88"/>
      <c r="J443" s="88"/>
      <c r="K443" s="88"/>
      <c r="L443" s="88"/>
      <c r="M443" s="88"/>
      <c r="N443" s="88"/>
      <c r="O443" s="88"/>
      <c r="P443" s="88"/>
      <c r="Q443" s="88"/>
      <c r="R443" s="88"/>
      <c r="S443" s="88"/>
      <c r="T443" s="88"/>
      <c r="U443" s="88"/>
      <c r="V443" s="88"/>
      <c r="W443" s="88"/>
      <c r="X443" s="88"/>
      <c r="Y443" s="88"/>
      <c r="Z443" s="88"/>
      <c r="AA443" s="88"/>
      <c r="AB443" s="128"/>
      <c r="AC443" s="128"/>
      <c r="AD443" s="128"/>
      <c r="AE443" s="128"/>
      <c r="AF443" s="128"/>
      <c r="AG443" s="128"/>
      <c r="AH443" s="127"/>
    </row>
    <row r="444" spans="1:34" ht="13.2">
      <c r="A444" s="88"/>
      <c r="B444" s="88"/>
      <c r="C444" s="88"/>
      <c r="D444" s="88"/>
      <c r="E444" s="88"/>
      <c r="F444" s="88"/>
      <c r="G444" s="88"/>
      <c r="H444" s="88"/>
      <c r="I444" s="88"/>
      <c r="J444" s="88"/>
      <c r="K444" s="88"/>
      <c r="L444" s="88"/>
      <c r="M444" s="88"/>
      <c r="N444" s="88"/>
      <c r="O444" s="88"/>
      <c r="P444" s="88"/>
      <c r="Q444" s="88"/>
      <c r="R444" s="88"/>
      <c r="S444" s="88"/>
      <c r="T444" s="88"/>
      <c r="U444" s="88"/>
      <c r="V444" s="88"/>
      <c r="W444" s="88"/>
      <c r="X444" s="88"/>
      <c r="Y444" s="88"/>
      <c r="Z444" s="88"/>
      <c r="AA444" s="88"/>
      <c r="AB444" s="128"/>
      <c r="AC444" s="128"/>
      <c r="AD444" s="128"/>
      <c r="AE444" s="128"/>
      <c r="AF444" s="128"/>
      <c r="AG444" s="128"/>
      <c r="AH444" s="127"/>
    </row>
    <row r="445" spans="1:34" ht="13.2">
      <c r="A445" s="88"/>
      <c r="B445" s="88"/>
      <c r="C445" s="88"/>
      <c r="D445" s="88"/>
      <c r="E445" s="88"/>
      <c r="F445" s="88"/>
      <c r="G445" s="88"/>
      <c r="H445" s="88"/>
      <c r="I445" s="88"/>
      <c r="J445" s="88"/>
      <c r="K445" s="88"/>
      <c r="L445" s="88"/>
      <c r="M445" s="88"/>
      <c r="N445" s="88"/>
      <c r="O445" s="88"/>
      <c r="P445" s="88"/>
      <c r="Q445" s="88"/>
      <c r="R445" s="88"/>
      <c r="S445" s="88"/>
      <c r="T445" s="88"/>
      <c r="U445" s="88"/>
      <c r="V445" s="88"/>
      <c r="W445" s="88"/>
      <c r="X445" s="88"/>
      <c r="Y445" s="88"/>
      <c r="Z445" s="88"/>
      <c r="AA445" s="88"/>
      <c r="AB445" s="128"/>
      <c r="AC445" s="128"/>
      <c r="AD445" s="128"/>
      <c r="AE445" s="128"/>
      <c r="AF445" s="128"/>
      <c r="AG445" s="128"/>
      <c r="AH445" s="127"/>
    </row>
    <row r="446" spans="1:34" ht="13.2">
      <c r="A446" s="88"/>
      <c r="B446" s="88"/>
      <c r="C446" s="88"/>
      <c r="D446" s="88"/>
      <c r="E446" s="88"/>
      <c r="F446" s="88"/>
      <c r="G446" s="88"/>
      <c r="H446" s="88"/>
      <c r="I446" s="88"/>
      <c r="J446" s="88"/>
      <c r="K446" s="88"/>
      <c r="L446" s="88"/>
      <c r="M446" s="88"/>
      <c r="N446" s="88"/>
      <c r="O446" s="88"/>
      <c r="P446" s="88"/>
      <c r="Q446" s="88"/>
      <c r="R446" s="88"/>
      <c r="S446" s="88"/>
      <c r="T446" s="88"/>
      <c r="U446" s="88"/>
      <c r="V446" s="88"/>
      <c r="W446" s="88"/>
      <c r="X446" s="88"/>
      <c r="Y446" s="88"/>
      <c r="Z446" s="88"/>
      <c r="AA446" s="88"/>
      <c r="AB446" s="128"/>
      <c r="AC446" s="128"/>
      <c r="AD446" s="128"/>
      <c r="AE446" s="128"/>
      <c r="AF446" s="128"/>
      <c r="AG446" s="128"/>
      <c r="AH446" s="127"/>
    </row>
    <row r="447" spans="1:34" ht="13.2">
      <c r="A447" s="88"/>
      <c r="B447" s="88"/>
      <c r="C447" s="88"/>
      <c r="D447" s="88"/>
      <c r="E447" s="88"/>
      <c r="F447" s="88"/>
      <c r="G447" s="88"/>
      <c r="H447" s="88"/>
      <c r="I447" s="88"/>
      <c r="J447" s="88"/>
      <c r="K447" s="88"/>
      <c r="L447" s="88"/>
      <c r="M447" s="88"/>
      <c r="N447" s="88"/>
      <c r="O447" s="88"/>
      <c r="P447" s="88"/>
      <c r="Q447" s="88"/>
      <c r="R447" s="88"/>
      <c r="S447" s="88"/>
      <c r="T447" s="88"/>
      <c r="U447" s="88"/>
      <c r="V447" s="88"/>
      <c r="W447" s="88"/>
      <c r="X447" s="88"/>
      <c r="Y447" s="88"/>
      <c r="Z447" s="88"/>
      <c r="AA447" s="88"/>
      <c r="AB447" s="128"/>
      <c r="AC447" s="128"/>
      <c r="AD447" s="128"/>
      <c r="AE447" s="128"/>
      <c r="AF447" s="128"/>
      <c r="AG447" s="128"/>
      <c r="AH447" s="127"/>
    </row>
    <row r="448" spans="1:34" ht="13.2">
      <c r="A448" s="88"/>
      <c r="B448" s="88"/>
      <c r="C448" s="88"/>
      <c r="D448" s="88"/>
      <c r="E448" s="88"/>
      <c r="F448" s="88"/>
      <c r="G448" s="88"/>
      <c r="H448" s="88"/>
      <c r="I448" s="88"/>
      <c r="J448" s="88"/>
      <c r="K448" s="88"/>
      <c r="L448" s="88"/>
      <c r="M448" s="88"/>
      <c r="N448" s="88"/>
      <c r="O448" s="88"/>
      <c r="P448" s="88"/>
      <c r="Q448" s="88"/>
      <c r="R448" s="88"/>
      <c r="S448" s="88"/>
      <c r="T448" s="88"/>
      <c r="U448" s="88"/>
      <c r="V448" s="88"/>
      <c r="W448" s="88"/>
      <c r="X448" s="88"/>
      <c r="Y448" s="88"/>
      <c r="Z448" s="88"/>
      <c r="AA448" s="88"/>
      <c r="AB448" s="128"/>
      <c r="AC448" s="128"/>
      <c r="AD448" s="128"/>
      <c r="AE448" s="128"/>
      <c r="AF448" s="128"/>
      <c r="AG448" s="128"/>
      <c r="AH448" s="127"/>
    </row>
    <row r="449" spans="1:34" ht="13.2">
      <c r="A449" s="88"/>
      <c r="B449" s="88"/>
      <c r="C449" s="88"/>
      <c r="D449" s="88"/>
      <c r="E449" s="88"/>
      <c r="F449" s="88"/>
      <c r="G449" s="88"/>
      <c r="H449" s="88"/>
      <c r="I449" s="88"/>
      <c r="J449" s="88"/>
      <c r="K449" s="88"/>
      <c r="L449" s="88"/>
      <c r="M449" s="88"/>
      <c r="N449" s="88"/>
      <c r="O449" s="88"/>
      <c r="P449" s="88"/>
      <c r="Q449" s="88"/>
      <c r="R449" s="88"/>
      <c r="S449" s="88"/>
      <c r="T449" s="88"/>
      <c r="U449" s="88"/>
      <c r="V449" s="88"/>
      <c r="W449" s="88"/>
      <c r="X449" s="88"/>
      <c r="Y449" s="88"/>
      <c r="Z449" s="88"/>
      <c r="AA449" s="88"/>
      <c r="AB449" s="128"/>
      <c r="AC449" s="128"/>
      <c r="AD449" s="128"/>
      <c r="AE449" s="128"/>
      <c r="AF449" s="128"/>
      <c r="AG449" s="128"/>
      <c r="AH449" s="127"/>
    </row>
    <row r="450" spans="1:34" ht="13.2">
      <c r="A450" s="88"/>
      <c r="B450" s="88"/>
      <c r="C450" s="88"/>
      <c r="D450" s="88"/>
      <c r="E450" s="88"/>
      <c r="F450" s="88"/>
      <c r="G450" s="88"/>
      <c r="H450" s="88"/>
      <c r="I450" s="88"/>
      <c r="J450" s="88"/>
      <c r="K450" s="88"/>
      <c r="L450" s="88"/>
      <c r="M450" s="88"/>
      <c r="N450" s="88"/>
      <c r="O450" s="88"/>
      <c r="P450" s="88"/>
      <c r="Q450" s="88"/>
      <c r="R450" s="88"/>
      <c r="S450" s="88"/>
      <c r="T450" s="88"/>
      <c r="U450" s="88"/>
      <c r="V450" s="88"/>
      <c r="W450" s="88"/>
      <c r="X450" s="88"/>
      <c r="Y450" s="88"/>
      <c r="Z450" s="88"/>
      <c r="AA450" s="88"/>
      <c r="AB450" s="128"/>
      <c r="AC450" s="128"/>
      <c r="AD450" s="128"/>
      <c r="AE450" s="128"/>
      <c r="AF450" s="128"/>
      <c r="AG450" s="128"/>
      <c r="AH450" s="127"/>
    </row>
    <row r="451" spans="1:34" ht="13.2">
      <c r="A451" s="88"/>
      <c r="B451" s="88"/>
      <c r="C451" s="88"/>
      <c r="D451" s="88"/>
      <c r="E451" s="88"/>
      <c r="F451" s="88"/>
      <c r="G451" s="88"/>
      <c r="H451" s="88"/>
      <c r="I451" s="88"/>
      <c r="J451" s="88"/>
      <c r="K451" s="88"/>
      <c r="L451" s="88"/>
      <c r="M451" s="88"/>
      <c r="N451" s="88"/>
      <c r="O451" s="88"/>
      <c r="P451" s="88"/>
      <c r="Q451" s="88"/>
      <c r="R451" s="88"/>
      <c r="S451" s="88"/>
      <c r="T451" s="88"/>
      <c r="U451" s="88"/>
      <c r="V451" s="88"/>
      <c r="W451" s="88"/>
      <c r="X451" s="88"/>
      <c r="Y451" s="88"/>
      <c r="Z451" s="88"/>
      <c r="AA451" s="88"/>
      <c r="AB451" s="128"/>
      <c r="AC451" s="128"/>
      <c r="AD451" s="128"/>
      <c r="AE451" s="128"/>
      <c r="AF451" s="128"/>
      <c r="AG451" s="128"/>
      <c r="AH451" s="127"/>
    </row>
    <row r="452" spans="1:34" ht="13.2">
      <c r="A452" s="88"/>
      <c r="B452" s="88"/>
      <c r="C452" s="88"/>
      <c r="D452" s="88"/>
      <c r="E452" s="88"/>
      <c r="F452" s="88"/>
      <c r="G452" s="88"/>
      <c r="H452" s="88"/>
      <c r="I452" s="88"/>
      <c r="J452" s="88"/>
      <c r="K452" s="88"/>
      <c r="L452" s="88"/>
      <c r="M452" s="88"/>
      <c r="N452" s="88"/>
      <c r="O452" s="88"/>
      <c r="P452" s="88"/>
      <c r="Q452" s="88"/>
      <c r="R452" s="88"/>
      <c r="S452" s="88"/>
      <c r="T452" s="88"/>
      <c r="U452" s="88"/>
      <c r="V452" s="88"/>
      <c r="W452" s="88"/>
      <c r="X452" s="88"/>
      <c r="Y452" s="88"/>
      <c r="Z452" s="88"/>
      <c r="AA452" s="88"/>
      <c r="AB452" s="128"/>
      <c r="AC452" s="128"/>
      <c r="AD452" s="128"/>
      <c r="AE452" s="128"/>
      <c r="AF452" s="128"/>
      <c r="AG452" s="128"/>
      <c r="AH452" s="127"/>
    </row>
    <row r="453" spans="1:34" ht="13.2">
      <c r="A453" s="88"/>
      <c r="B453" s="88"/>
      <c r="C453" s="88"/>
      <c r="D453" s="88"/>
      <c r="E453" s="88"/>
      <c r="F453" s="88"/>
      <c r="G453" s="88"/>
      <c r="H453" s="88"/>
      <c r="I453" s="88"/>
      <c r="J453" s="88"/>
      <c r="K453" s="88"/>
      <c r="L453" s="88"/>
      <c r="M453" s="88"/>
      <c r="N453" s="88"/>
      <c r="O453" s="88"/>
      <c r="P453" s="88"/>
      <c r="Q453" s="88"/>
      <c r="R453" s="88"/>
      <c r="S453" s="88"/>
      <c r="T453" s="88"/>
      <c r="U453" s="88"/>
      <c r="V453" s="88"/>
      <c r="W453" s="88"/>
      <c r="X453" s="88"/>
      <c r="Y453" s="88"/>
      <c r="Z453" s="88"/>
      <c r="AA453" s="88"/>
      <c r="AB453" s="128"/>
      <c r="AC453" s="128"/>
      <c r="AD453" s="128"/>
      <c r="AE453" s="128"/>
      <c r="AF453" s="128"/>
      <c r="AG453" s="128"/>
      <c r="AH453" s="127"/>
    </row>
    <row r="454" spans="1:34" ht="13.2">
      <c r="A454" s="88"/>
      <c r="B454" s="88"/>
      <c r="C454" s="88"/>
      <c r="D454" s="88"/>
      <c r="E454" s="88"/>
      <c r="F454" s="88"/>
      <c r="G454" s="88"/>
      <c r="H454" s="88"/>
      <c r="I454" s="88"/>
      <c r="J454" s="88"/>
      <c r="K454" s="88"/>
      <c r="L454" s="88"/>
      <c r="M454" s="88"/>
      <c r="N454" s="88"/>
      <c r="O454" s="88"/>
      <c r="P454" s="88"/>
      <c r="Q454" s="88"/>
      <c r="R454" s="88"/>
      <c r="S454" s="88"/>
      <c r="T454" s="88"/>
      <c r="U454" s="88"/>
      <c r="V454" s="88"/>
      <c r="W454" s="88"/>
      <c r="X454" s="88"/>
      <c r="Y454" s="88"/>
      <c r="Z454" s="88"/>
      <c r="AA454" s="88"/>
      <c r="AB454" s="128"/>
      <c r="AC454" s="128"/>
      <c r="AD454" s="128"/>
      <c r="AE454" s="128"/>
      <c r="AF454" s="128"/>
      <c r="AG454" s="128"/>
      <c r="AH454" s="127"/>
    </row>
    <row r="455" spans="1:34" ht="13.2">
      <c r="A455" s="88"/>
      <c r="B455" s="88"/>
      <c r="C455" s="88"/>
      <c r="D455" s="88"/>
      <c r="E455" s="88"/>
      <c r="F455" s="88"/>
      <c r="G455" s="88"/>
      <c r="H455" s="88"/>
      <c r="I455" s="88"/>
      <c r="J455" s="88"/>
      <c r="K455" s="88"/>
      <c r="L455" s="88"/>
      <c r="M455" s="88"/>
      <c r="N455" s="88"/>
      <c r="O455" s="88"/>
      <c r="P455" s="88"/>
      <c r="Q455" s="88"/>
      <c r="R455" s="88"/>
      <c r="S455" s="88"/>
      <c r="T455" s="88"/>
      <c r="U455" s="88"/>
      <c r="V455" s="88"/>
      <c r="W455" s="88"/>
      <c r="X455" s="88"/>
      <c r="Y455" s="88"/>
      <c r="Z455" s="88"/>
      <c r="AA455" s="88"/>
      <c r="AB455" s="128"/>
      <c r="AC455" s="128"/>
      <c r="AD455" s="128"/>
      <c r="AE455" s="128"/>
      <c r="AF455" s="128"/>
      <c r="AG455" s="128"/>
      <c r="AH455" s="127"/>
    </row>
    <row r="456" spans="1:34" ht="13.2">
      <c r="A456" s="88"/>
      <c r="B456" s="88"/>
      <c r="C456" s="88"/>
      <c r="D456" s="88"/>
      <c r="E456" s="88"/>
      <c r="F456" s="88"/>
      <c r="G456" s="88"/>
      <c r="H456" s="88"/>
      <c r="I456" s="88"/>
      <c r="J456" s="88"/>
      <c r="K456" s="88"/>
      <c r="L456" s="88"/>
      <c r="M456" s="88"/>
      <c r="N456" s="88"/>
      <c r="O456" s="88"/>
      <c r="P456" s="88"/>
      <c r="Q456" s="88"/>
      <c r="R456" s="88"/>
      <c r="S456" s="88"/>
      <c r="T456" s="88"/>
      <c r="U456" s="88"/>
      <c r="V456" s="88"/>
      <c r="W456" s="88"/>
      <c r="X456" s="88"/>
      <c r="Y456" s="88"/>
      <c r="Z456" s="88"/>
      <c r="AA456" s="88"/>
      <c r="AB456" s="128"/>
      <c r="AC456" s="128"/>
      <c r="AD456" s="128"/>
      <c r="AE456" s="128"/>
      <c r="AF456" s="128"/>
      <c r="AG456" s="128"/>
      <c r="AH456" s="127"/>
    </row>
    <row r="457" spans="1:34" ht="13.2">
      <c r="A457" s="88"/>
      <c r="B457" s="88"/>
      <c r="C457" s="88"/>
      <c r="D457" s="88"/>
      <c r="E457" s="88"/>
      <c r="F457" s="88"/>
      <c r="G457" s="88"/>
      <c r="H457" s="88"/>
      <c r="I457" s="88"/>
      <c r="J457" s="88"/>
      <c r="K457" s="88"/>
      <c r="L457" s="88"/>
      <c r="M457" s="88"/>
      <c r="N457" s="88"/>
      <c r="O457" s="88"/>
      <c r="P457" s="88"/>
      <c r="Q457" s="88"/>
      <c r="R457" s="88"/>
      <c r="S457" s="88"/>
      <c r="T457" s="88"/>
      <c r="U457" s="88"/>
      <c r="V457" s="88"/>
      <c r="W457" s="88"/>
      <c r="X457" s="88"/>
      <c r="Y457" s="88"/>
      <c r="Z457" s="88"/>
      <c r="AA457" s="88"/>
      <c r="AB457" s="128"/>
      <c r="AC457" s="128"/>
      <c r="AD457" s="128"/>
      <c r="AE457" s="128"/>
      <c r="AF457" s="128"/>
      <c r="AG457" s="128"/>
      <c r="AH457" s="127"/>
    </row>
    <row r="458" spans="1:34" ht="13.2">
      <c r="A458" s="88"/>
      <c r="B458" s="88"/>
      <c r="C458" s="88"/>
      <c r="D458" s="88"/>
      <c r="E458" s="88"/>
      <c r="F458" s="88"/>
      <c r="G458" s="88"/>
      <c r="H458" s="88"/>
      <c r="I458" s="88"/>
      <c r="J458" s="88"/>
      <c r="K458" s="88"/>
      <c r="L458" s="88"/>
      <c r="M458" s="88"/>
      <c r="N458" s="88"/>
      <c r="O458" s="88"/>
      <c r="P458" s="88"/>
      <c r="Q458" s="88"/>
      <c r="R458" s="88"/>
      <c r="S458" s="88"/>
      <c r="T458" s="88"/>
      <c r="U458" s="88"/>
      <c r="V458" s="88"/>
      <c r="W458" s="88"/>
      <c r="X458" s="88"/>
      <c r="Y458" s="88"/>
      <c r="Z458" s="88"/>
      <c r="AA458" s="88"/>
      <c r="AB458" s="128"/>
      <c r="AC458" s="128"/>
      <c r="AD458" s="128"/>
      <c r="AE458" s="128"/>
      <c r="AF458" s="128"/>
      <c r="AG458" s="128"/>
      <c r="AH458" s="127"/>
    </row>
    <row r="459" spans="1:34" ht="13.2">
      <c r="A459" s="88"/>
      <c r="B459" s="88"/>
      <c r="C459" s="88"/>
      <c r="D459" s="88"/>
      <c r="E459" s="88"/>
      <c r="F459" s="88"/>
      <c r="G459" s="88"/>
      <c r="H459" s="88"/>
      <c r="I459" s="88"/>
      <c r="J459" s="88"/>
      <c r="K459" s="88"/>
      <c r="L459" s="88"/>
      <c r="M459" s="88"/>
      <c r="N459" s="88"/>
      <c r="O459" s="88"/>
      <c r="P459" s="88"/>
      <c r="Q459" s="88"/>
      <c r="R459" s="88"/>
      <c r="S459" s="88"/>
      <c r="T459" s="88"/>
      <c r="U459" s="88"/>
      <c r="V459" s="88"/>
      <c r="W459" s="88"/>
      <c r="X459" s="88"/>
      <c r="Y459" s="88"/>
      <c r="Z459" s="88"/>
      <c r="AA459" s="88"/>
      <c r="AB459" s="128"/>
      <c r="AC459" s="128"/>
      <c r="AD459" s="128"/>
      <c r="AE459" s="128"/>
      <c r="AF459" s="128"/>
      <c r="AG459" s="128"/>
      <c r="AH459" s="127"/>
    </row>
    <row r="460" spans="1:34" ht="13.2">
      <c r="A460" s="88"/>
      <c r="B460" s="88"/>
      <c r="C460" s="88"/>
      <c r="D460" s="88"/>
      <c r="E460" s="88"/>
      <c r="F460" s="88"/>
      <c r="G460" s="88"/>
      <c r="H460" s="88"/>
      <c r="I460" s="88"/>
      <c r="J460" s="88"/>
      <c r="K460" s="88"/>
      <c r="L460" s="88"/>
      <c r="M460" s="88"/>
      <c r="N460" s="88"/>
      <c r="O460" s="88"/>
      <c r="P460" s="88"/>
      <c r="Q460" s="88"/>
      <c r="R460" s="88"/>
      <c r="S460" s="88"/>
      <c r="T460" s="88"/>
      <c r="U460" s="88"/>
      <c r="V460" s="88"/>
      <c r="W460" s="88"/>
      <c r="X460" s="88"/>
      <c r="Y460" s="88"/>
      <c r="Z460" s="88"/>
      <c r="AA460" s="88"/>
      <c r="AB460" s="128"/>
      <c r="AC460" s="128"/>
      <c r="AD460" s="128"/>
      <c r="AE460" s="128"/>
      <c r="AF460" s="128"/>
      <c r="AG460" s="128"/>
      <c r="AH460" s="127"/>
    </row>
    <row r="461" spans="1:34" ht="13.2">
      <c r="A461" s="88"/>
      <c r="B461" s="88"/>
      <c r="C461" s="88"/>
      <c r="D461" s="88"/>
      <c r="E461" s="88"/>
      <c r="F461" s="88"/>
      <c r="G461" s="88"/>
      <c r="H461" s="88"/>
      <c r="I461" s="88"/>
      <c r="J461" s="88"/>
      <c r="K461" s="88"/>
      <c r="L461" s="88"/>
      <c r="M461" s="88"/>
      <c r="N461" s="88"/>
      <c r="O461" s="88"/>
      <c r="P461" s="88"/>
      <c r="Q461" s="88"/>
      <c r="R461" s="88"/>
      <c r="S461" s="88"/>
      <c r="T461" s="88"/>
      <c r="U461" s="88"/>
      <c r="V461" s="88"/>
      <c r="W461" s="88"/>
      <c r="X461" s="88"/>
      <c r="Y461" s="88"/>
      <c r="Z461" s="88"/>
      <c r="AA461" s="88"/>
      <c r="AB461" s="128"/>
      <c r="AC461" s="128"/>
      <c r="AD461" s="128"/>
      <c r="AE461" s="128"/>
      <c r="AF461" s="128"/>
      <c r="AG461" s="128"/>
      <c r="AH461" s="127"/>
    </row>
    <row r="462" spans="1:34" ht="13.2">
      <c r="A462" s="88"/>
      <c r="B462" s="88"/>
      <c r="C462" s="88"/>
      <c r="D462" s="88"/>
      <c r="E462" s="88"/>
      <c r="F462" s="88"/>
      <c r="G462" s="88"/>
      <c r="H462" s="88"/>
      <c r="I462" s="88"/>
      <c r="J462" s="88"/>
      <c r="K462" s="88"/>
      <c r="L462" s="88"/>
      <c r="M462" s="88"/>
      <c r="N462" s="88"/>
      <c r="O462" s="88"/>
      <c r="P462" s="88"/>
      <c r="Q462" s="88"/>
      <c r="R462" s="88"/>
      <c r="S462" s="88"/>
      <c r="T462" s="88"/>
      <c r="U462" s="88"/>
      <c r="V462" s="88"/>
      <c r="W462" s="88"/>
      <c r="X462" s="88"/>
      <c r="Y462" s="88"/>
      <c r="Z462" s="88"/>
      <c r="AA462" s="88"/>
      <c r="AB462" s="128"/>
      <c r="AC462" s="128"/>
      <c r="AD462" s="128"/>
      <c r="AE462" s="128"/>
      <c r="AF462" s="128"/>
      <c r="AG462" s="128"/>
      <c r="AH462" s="127"/>
    </row>
    <row r="463" spans="1:34" ht="13.2">
      <c r="A463" s="88"/>
      <c r="B463" s="88"/>
      <c r="C463" s="88"/>
      <c r="D463" s="88"/>
      <c r="E463" s="88"/>
      <c r="F463" s="88"/>
      <c r="G463" s="88"/>
      <c r="H463" s="88"/>
      <c r="I463" s="88"/>
      <c r="J463" s="88"/>
      <c r="K463" s="88"/>
      <c r="L463" s="88"/>
      <c r="M463" s="88"/>
      <c r="N463" s="88"/>
      <c r="O463" s="88"/>
      <c r="P463" s="88"/>
      <c r="Q463" s="88"/>
      <c r="R463" s="88"/>
      <c r="S463" s="88"/>
      <c r="T463" s="88"/>
      <c r="U463" s="88"/>
      <c r="V463" s="88"/>
      <c r="W463" s="88"/>
      <c r="X463" s="88"/>
      <c r="Y463" s="88"/>
      <c r="Z463" s="88"/>
      <c r="AA463" s="88"/>
      <c r="AB463" s="128"/>
      <c r="AC463" s="128"/>
      <c r="AD463" s="128"/>
      <c r="AE463" s="128"/>
      <c r="AF463" s="128"/>
      <c r="AG463" s="128"/>
      <c r="AH463" s="127"/>
    </row>
    <row r="464" spans="1:34" ht="13.2">
      <c r="A464" s="88"/>
      <c r="B464" s="88"/>
      <c r="C464" s="88"/>
      <c r="D464" s="88"/>
      <c r="E464" s="88"/>
      <c r="F464" s="88"/>
      <c r="G464" s="88"/>
      <c r="H464" s="88"/>
      <c r="I464" s="88"/>
      <c r="J464" s="88"/>
      <c r="K464" s="88"/>
      <c r="L464" s="88"/>
      <c r="M464" s="88"/>
      <c r="N464" s="88"/>
      <c r="O464" s="88"/>
      <c r="P464" s="88"/>
      <c r="Q464" s="88"/>
      <c r="R464" s="88"/>
      <c r="S464" s="88"/>
      <c r="T464" s="88"/>
      <c r="U464" s="88"/>
      <c r="V464" s="88"/>
      <c r="W464" s="88"/>
      <c r="X464" s="88"/>
      <c r="Y464" s="88"/>
      <c r="Z464" s="88"/>
      <c r="AA464" s="88"/>
      <c r="AB464" s="128"/>
      <c r="AC464" s="128"/>
      <c r="AD464" s="128"/>
      <c r="AE464" s="128"/>
      <c r="AF464" s="128"/>
      <c r="AG464" s="128"/>
      <c r="AH464" s="127"/>
    </row>
    <row r="465" spans="1:34" ht="13.2">
      <c r="A465" s="88"/>
      <c r="B465" s="88"/>
      <c r="C465" s="88"/>
      <c r="D465" s="88"/>
      <c r="E465" s="88"/>
      <c r="F465" s="88"/>
      <c r="G465" s="88"/>
      <c r="H465" s="88"/>
      <c r="I465" s="88"/>
      <c r="J465" s="88"/>
      <c r="K465" s="88"/>
      <c r="L465" s="88"/>
      <c r="M465" s="88"/>
      <c r="N465" s="88"/>
      <c r="O465" s="88"/>
      <c r="P465" s="88"/>
      <c r="Q465" s="88"/>
      <c r="R465" s="88"/>
      <c r="S465" s="88"/>
      <c r="T465" s="88"/>
      <c r="U465" s="88"/>
      <c r="V465" s="88"/>
      <c r="W465" s="88"/>
      <c r="X465" s="88"/>
      <c r="Y465" s="88"/>
      <c r="Z465" s="88"/>
      <c r="AA465" s="88"/>
      <c r="AB465" s="128"/>
      <c r="AC465" s="128"/>
      <c r="AD465" s="128"/>
      <c r="AE465" s="128"/>
      <c r="AF465" s="128"/>
      <c r="AG465" s="128"/>
      <c r="AH465" s="127"/>
    </row>
    <row r="466" spans="1:34" ht="13.2">
      <c r="A466" s="88"/>
      <c r="B466" s="88"/>
      <c r="C466" s="88"/>
      <c r="D466" s="88"/>
      <c r="E466" s="88"/>
      <c r="F466" s="88"/>
      <c r="G466" s="88"/>
      <c r="H466" s="88"/>
      <c r="I466" s="88"/>
      <c r="J466" s="88"/>
      <c r="K466" s="88"/>
      <c r="L466" s="88"/>
      <c r="M466" s="88"/>
      <c r="N466" s="88"/>
      <c r="O466" s="88"/>
      <c r="P466" s="88"/>
      <c r="Q466" s="88"/>
      <c r="R466" s="88"/>
      <c r="S466" s="88"/>
      <c r="T466" s="88"/>
      <c r="U466" s="88"/>
      <c r="V466" s="88"/>
      <c r="W466" s="88"/>
      <c r="X466" s="88"/>
      <c r="Y466" s="88"/>
      <c r="Z466" s="88"/>
      <c r="AA466" s="88"/>
      <c r="AB466" s="128"/>
      <c r="AC466" s="128"/>
      <c r="AD466" s="128"/>
      <c r="AE466" s="128"/>
      <c r="AF466" s="128"/>
      <c r="AG466" s="128"/>
      <c r="AH466" s="127"/>
    </row>
    <row r="467" spans="1:34" ht="13.2">
      <c r="A467" s="88"/>
      <c r="B467" s="88"/>
      <c r="C467" s="88"/>
      <c r="D467" s="88"/>
      <c r="E467" s="88"/>
      <c r="F467" s="88"/>
      <c r="G467" s="88"/>
      <c r="H467" s="88"/>
      <c r="I467" s="88"/>
      <c r="J467" s="88"/>
      <c r="K467" s="88"/>
      <c r="L467" s="88"/>
      <c r="M467" s="88"/>
      <c r="N467" s="88"/>
      <c r="O467" s="88"/>
      <c r="P467" s="88"/>
      <c r="Q467" s="88"/>
      <c r="R467" s="88"/>
      <c r="S467" s="88"/>
      <c r="T467" s="88"/>
      <c r="U467" s="88"/>
      <c r="V467" s="88"/>
      <c r="W467" s="88"/>
      <c r="X467" s="88"/>
      <c r="Y467" s="88"/>
      <c r="Z467" s="88"/>
      <c r="AA467" s="88"/>
      <c r="AB467" s="128"/>
      <c r="AC467" s="128"/>
      <c r="AD467" s="128"/>
      <c r="AE467" s="128"/>
      <c r="AF467" s="128"/>
      <c r="AG467" s="128"/>
      <c r="AH467" s="127"/>
    </row>
    <row r="468" spans="1:34" ht="13.2">
      <c r="A468" s="88"/>
      <c r="B468" s="88"/>
      <c r="C468" s="88"/>
      <c r="D468" s="88"/>
      <c r="E468" s="88"/>
      <c r="F468" s="88"/>
      <c r="G468" s="88"/>
      <c r="H468" s="88"/>
      <c r="I468" s="88"/>
      <c r="J468" s="88"/>
      <c r="K468" s="88"/>
      <c r="L468" s="88"/>
      <c r="M468" s="88"/>
      <c r="N468" s="88"/>
      <c r="O468" s="88"/>
      <c r="P468" s="88"/>
      <c r="Q468" s="88"/>
      <c r="R468" s="88"/>
      <c r="S468" s="88"/>
      <c r="T468" s="88"/>
      <c r="U468" s="88"/>
      <c r="V468" s="88"/>
      <c r="W468" s="88"/>
      <c r="X468" s="88"/>
      <c r="Y468" s="88"/>
      <c r="Z468" s="88"/>
      <c r="AA468" s="88"/>
      <c r="AB468" s="128"/>
      <c r="AC468" s="128"/>
      <c r="AD468" s="128"/>
      <c r="AE468" s="128"/>
      <c r="AF468" s="128"/>
      <c r="AG468" s="128"/>
      <c r="AH468" s="127"/>
    </row>
    <row r="469" spans="1:34" ht="13.2">
      <c r="A469" s="88"/>
      <c r="B469" s="88"/>
      <c r="C469" s="88"/>
      <c r="D469" s="88"/>
      <c r="E469" s="88"/>
      <c r="F469" s="88"/>
      <c r="G469" s="88"/>
      <c r="H469" s="88"/>
      <c r="I469" s="88"/>
      <c r="J469" s="88"/>
      <c r="K469" s="88"/>
      <c r="L469" s="88"/>
      <c r="M469" s="88"/>
      <c r="N469" s="88"/>
      <c r="O469" s="88"/>
      <c r="P469" s="88"/>
      <c r="Q469" s="88"/>
      <c r="R469" s="88"/>
      <c r="S469" s="88"/>
      <c r="T469" s="88"/>
      <c r="U469" s="88"/>
      <c r="V469" s="88"/>
      <c r="W469" s="88"/>
      <c r="X469" s="88"/>
      <c r="Y469" s="88"/>
      <c r="Z469" s="88"/>
      <c r="AA469" s="88"/>
      <c r="AB469" s="128"/>
      <c r="AC469" s="128"/>
      <c r="AD469" s="128"/>
      <c r="AE469" s="128"/>
      <c r="AF469" s="128"/>
      <c r="AG469" s="128"/>
      <c r="AH469" s="127"/>
    </row>
    <row r="470" spans="1:34" ht="13.2">
      <c r="A470" s="88"/>
      <c r="B470" s="88"/>
      <c r="C470" s="88"/>
      <c r="D470" s="88"/>
      <c r="E470" s="88"/>
      <c r="F470" s="88"/>
      <c r="G470" s="88"/>
      <c r="H470" s="88"/>
      <c r="I470" s="88"/>
      <c r="J470" s="88"/>
      <c r="K470" s="88"/>
      <c r="L470" s="88"/>
      <c r="M470" s="88"/>
      <c r="N470" s="88"/>
      <c r="O470" s="88"/>
      <c r="P470" s="88"/>
      <c r="Q470" s="88"/>
      <c r="R470" s="88"/>
      <c r="S470" s="88"/>
      <c r="T470" s="88"/>
      <c r="U470" s="88"/>
      <c r="V470" s="88"/>
      <c r="W470" s="88"/>
      <c r="X470" s="88"/>
      <c r="Y470" s="88"/>
      <c r="Z470" s="88"/>
      <c r="AA470" s="88"/>
      <c r="AB470" s="128"/>
      <c r="AC470" s="128"/>
      <c r="AD470" s="128"/>
      <c r="AE470" s="128"/>
      <c r="AF470" s="128"/>
      <c r="AG470" s="128"/>
      <c r="AH470" s="127"/>
    </row>
    <row r="471" spans="1:34" ht="13.2">
      <c r="A471" s="88"/>
      <c r="B471" s="88"/>
      <c r="C471" s="88"/>
      <c r="D471" s="88"/>
      <c r="E471" s="88"/>
      <c r="F471" s="88"/>
      <c r="G471" s="88"/>
      <c r="H471" s="88"/>
      <c r="I471" s="88"/>
      <c r="J471" s="88"/>
      <c r="K471" s="88"/>
      <c r="L471" s="88"/>
      <c r="M471" s="88"/>
      <c r="N471" s="88"/>
      <c r="O471" s="88"/>
      <c r="P471" s="88"/>
      <c r="Q471" s="88"/>
      <c r="R471" s="88"/>
      <c r="S471" s="88"/>
      <c r="T471" s="88"/>
      <c r="U471" s="88"/>
      <c r="V471" s="88"/>
      <c r="W471" s="88"/>
      <c r="X471" s="88"/>
      <c r="Y471" s="88"/>
      <c r="Z471" s="88"/>
      <c r="AA471" s="88"/>
      <c r="AB471" s="128"/>
      <c r="AC471" s="128"/>
      <c r="AD471" s="128"/>
      <c r="AE471" s="128"/>
      <c r="AF471" s="128"/>
      <c r="AG471" s="128"/>
      <c r="AH471" s="127"/>
    </row>
    <row r="472" spans="1:34" ht="13.2">
      <c r="A472" s="88"/>
      <c r="B472" s="88"/>
      <c r="C472" s="88"/>
      <c r="D472" s="88"/>
      <c r="E472" s="88"/>
      <c r="F472" s="88"/>
      <c r="G472" s="88"/>
      <c r="H472" s="88"/>
      <c r="I472" s="88"/>
      <c r="J472" s="88"/>
      <c r="K472" s="88"/>
      <c r="L472" s="88"/>
      <c r="M472" s="88"/>
      <c r="N472" s="88"/>
      <c r="O472" s="88"/>
      <c r="P472" s="88"/>
      <c r="Q472" s="88"/>
      <c r="R472" s="88"/>
      <c r="S472" s="88"/>
      <c r="T472" s="88"/>
      <c r="U472" s="88"/>
      <c r="V472" s="88"/>
      <c r="W472" s="88"/>
      <c r="X472" s="88"/>
      <c r="Y472" s="88"/>
      <c r="Z472" s="88"/>
      <c r="AA472" s="88"/>
      <c r="AB472" s="128"/>
      <c r="AC472" s="128"/>
      <c r="AD472" s="128"/>
      <c r="AE472" s="128"/>
      <c r="AF472" s="128"/>
      <c r="AG472" s="128"/>
      <c r="AH472" s="127"/>
    </row>
    <row r="473" spans="1:34" ht="13.2">
      <c r="A473" s="88"/>
      <c r="B473" s="88"/>
      <c r="C473" s="88"/>
      <c r="D473" s="88"/>
      <c r="E473" s="88"/>
      <c r="F473" s="88"/>
      <c r="G473" s="88"/>
      <c r="H473" s="88"/>
      <c r="I473" s="88"/>
      <c r="J473" s="88"/>
      <c r="K473" s="88"/>
      <c r="L473" s="88"/>
      <c r="M473" s="88"/>
      <c r="N473" s="88"/>
      <c r="O473" s="88"/>
      <c r="P473" s="88"/>
      <c r="Q473" s="88"/>
      <c r="R473" s="88"/>
      <c r="S473" s="88"/>
      <c r="T473" s="88"/>
      <c r="U473" s="88"/>
      <c r="V473" s="88"/>
      <c r="W473" s="88"/>
      <c r="X473" s="88"/>
      <c r="Y473" s="88"/>
      <c r="Z473" s="88"/>
      <c r="AA473" s="88"/>
      <c r="AB473" s="128"/>
      <c r="AC473" s="128"/>
      <c r="AD473" s="128"/>
      <c r="AE473" s="128"/>
      <c r="AF473" s="128"/>
      <c r="AG473" s="128"/>
      <c r="AH473" s="127"/>
    </row>
    <row r="474" spans="1:34" ht="13.2">
      <c r="A474" s="88"/>
      <c r="B474" s="88"/>
      <c r="C474" s="88"/>
      <c r="D474" s="88"/>
      <c r="E474" s="88"/>
      <c r="F474" s="88"/>
      <c r="G474" s="88"/>
      <c r="H474" s="88"/>
      <c r="I474" s="88"/>
      <c r="J474" s="88"/>
      <c r="K474" s="88"/>
      <c r="L474" s="88"/>
      <c r="M474" s="88"/>
      <c r="N474" s="88"/>
      <c r="O474" s="88"/>
      <c r="P474" s="88"/>
      <c r="Q474" s="88"/>
      <c r="R474" s="88"/>
      <c r="S474" s="88"/>
      <c r="T474" s="88"/>
      <c r="U474" s="88"/>
      <c r="V474" s="88"/>
      <c r="W474" s="88"/>
      <c r="X474" s="88"/>
      <c r="Y474" s="88"/>
      <c r="Z474" s="88"/>
      <c r="AA474" s="88"/>
      <c r="AB474" s="128"/>
      <c r="AC474" s="128"/>
      <c r="AD474" s="128"/>
      <c r="AE474" s="128"/>
      <c r="AF474" s="128"/>
      <c r="AG474" s="128"/>
      <c r="AH474" s="127"/>
    </row>
    <row r="475" spans="1:34" ht="13.2">
      <c r="A475" s="88"/>
      <c r="B475" s="88"/>
      <c r="C475" s="88"/>
      <c r="D475" s="88"/>
      <c r="E475" s="88"/>
      <c r="F475" s="88"/>
      <c r="G475" s="88"/>
      <c r="H475" s="88"/>
      <c r="I475" s="88"/>
      <c r="J475" s="88"/>
      <c r="K475" s="88"/>
      <c r="L475" s="88"/>
      <c r="M475" s="88"/>
      <c r="N475" s="88"/>
      <c r="O475" s="88"/>
      <c r="P475" s="88"/>
      <c r="Q475" s="88"/>
      <c r="R475" s="88"/>
      <c r="S475" s="88"/>
      <c r="T475" s="88"/>
      <c r="U475" s="88"/>
      <c r="V475" s="88"/>
      <c r="W475" s="88"/>
      <c r="X475" s="88"/>
      <c r="Y475" s="88"/>
      <c r="Z475" s="88"/>
      <c r="AA475" s="88"/>
      <c r="AB475" s="128"/>
      <c r="AC475" s="128"/>
      <c r="AD475" s="128"/>
      <c r="AE475" s="128"/>
      <c r="AF475" s="128"/>
      <c r="AG475" s="128"/>
      <c r="AH475" s="127"/>
    </row>
    <row r="476" spans="1:34" ht="13.2">
      <c r="A476" s="88"/>
      <c r="B476" s="88"/>
      <c r="C476" s="88"/>
      <c r="D476" s="88"/>
      <c r="E476" s="88"/>
      <c r="F476" s="88"/>
      <c r="G476" s="88"/>
      <c r="H476" s="88"/>
      <c r="I476" s="88"/>
      <c r="J476" s="88"/>
      <c r="K476" s="88"/>
      <c r="L476" s="88"/>
      <c r="M476" s="88"/>
      <c r="N476" s="88"/>
      <c r="O476" s="88"/>
      <c r="P476" s="88"/>
      <c r="Q476" s="88"/>
      <c r="R476" s="88"/>
      <c r="S476" s="88"/>
      <c r="T476" s="88"/>
      <c r="U476" s="88"/>
      <c r="V476" s="88"/>
      <c r="W476" s="88"/>
      <c r="X476" s="88"/>
      <c r="Y476" s="88"/>
      <c r="Z476" s="88"/>
      <c r="AA476" s="88"/>
      <c r="AB476" s="128"/>
      <c r="AC476" s="128"/>
      <c r="AD476" s="128"/>
      <c r="AE476" s="128"/>
      <c r="AF476" s="128"/>
      <c r="AG476" s="128"/>
      <c r="AH476" s="127"/>
    </row>
    <row r="477" spans="1:34" ht="13.2">
      <c r="A477" s="88"/>
      <c r="B477" s="88"/>
      <c r="C477" s="88"/>
      <c r="D477" s="88"/>
      <c r="E477" s="88"/>
      <c r="F477" s="88"/>
      <c r="G477" s="88"/>
      <c r="H477" s="88"/>
      <c r="I477" s="88"/>
      <c r="J477" s="88"/>
      <c r="K477" s="88"/>
      <c r="L477" s="88"/>
      <c r="M477" s="88"/>
      <c r="N477" s="88"/>
      <c r="O477" s="88"/>
      <c r="P477" s="88"/>
      <c r="Q477" s="88"/>
      <c r="R477" s="88"/>
      <c r="S477" s="88"/>
      <c r="T477" s="88"/>
      <c r="U477" s="88"/>
      <c r="V477" s="88"/>
      <c r="W477" s="88"/>
      <c r="X477" s="88"/>
      <c r="Y477" s="88"/>
      <c r="Z477" s="88"/>
      <c r="AA477" s="88"/>
      <c r="AB477" s="128"/>
      <c r="AC477" s="128"/>
      <c r="AD477" s="128"/>
      <c r="AE477" s="128"/>
      <c r="AF477" s="128"/>
      <c r="AG477" s="128"/>
      <c r="AH477" s="127"/>
    </row>
    <row r="478" spans="1:34" ht="13.2">
      <c r="A478" s="88"/>
      <c r="B478" s="88"/>
      <c r="C478" s="88"/>
      <c r="D478" s="88"/>
      <c r="E478" s="88"/>
      <c r="F478" s="88"/>
      <c r="G478" s="88"/>
      <c r="H478" s="88"/>
      <c r="I478" s="88"/>
      <c r="J478" s="88"/>
      <c r="K478" s="88"/>
      <c r="L478" s="88"/>
      <c r="M478" s="88"/>
      <c r="N478" s="88"/>
      <c r="O478" s="88"/>
      <c r="P478" s="88"/>
      <c r="Q478" s="88"/>
      <c r="R478" s="88"/>
      <c r="S478" s="88"/>
      <c r="T478" s="88"/>
      <c r="U478" s="88"/>
      <c r="V478" s="88"/>
      <c r="W478" s="88"/>
      <c r="X478" s="88"/>
      <c r="Y478" s="88"/>
      <c r="Z478" s="88"/>
      <c r="AA478" s="88"/>
      <c r="AB478" s="128"/>
      <c r="AC478" s="128"/>
      <c r="AD478" s="128"/>
      <c r="AE478" s="128"/>
      <c r="AF478" s="128"/>
      <c r="AG478" s="128"/>
      <c r="AH478" s="127"/>
    </row>
    <row r="479" spans="1:34" ht="13.2">
      <c r="A479" s="88"/>
      <c r="B479" s="88"/>
      <c r="C479" s="88"/>
      <c r="D479" s="88"/>
      <c r="E479" s="88"/>
      <c r="F479" s="88"/>
      <c r="G479" s="88"/>
      <c r="H479" s="88"/>
      <c r="I479" s="88"/>
      <c r="J479" s="88"/>
      <c r="K479" s="88"/>
      <c r="L479" s="88"/>
      <c r="M479" s="88"/>
      <c r="N479" s="88"/>
      <c r="O479" s="88"/>
      <c r="P479" s="88"/>
      <c r="Q479" s="88"/>
      <c r="R479" s="88"/>
      <c r="S479" s="88"/>
      <c r="T479" s="88"/>
      <c r="U479" s="88"/>
      <c r="V479" s="88"/>
      <c r="W479" s="88"/>
      <c r="X479" s="88"/>
      <c r="Y479" s="88"/>
      <c r="Z479" s="88"/>
      <c r="AA479" s="88"/>
      <c r="AB479" s="128"/>
      <c r="AC479" s="128"/>
      <c r="AD479" s="128"/>
      <c r="AE479" s="128"/>
      <c r="AF479" s="128"/>
      <c r="AG479" s="128"/>
      <c r="AH479" s="127"/>
    </row>
    <row r="480" spans="1:34" ht="13.2">
      <c r="A480" s="88"/>
      <c r="B480" s="88"/>
      <c r="C480" s="88"/>
      <c r="D480" s="88"/>
      <c r="E480" s="88"/>
      <c r="F480" s="88"/>
      <c r="G480" s="88"/>
      <c r="H480" s="88"/>
      <c r="I480" s="88"/>
      <c r="J480" s="88"/>
      <c r="K480" s="88"/>
      <c r="L480" s="88"/>
      <c r="M480" s="88"/>
      <c r="N480" s="88"/>
      <c r="O480" s="88"/>
      <c r="P480" s="88"/>
      <c r="Q480" s="88"/>
      <c r="R480" s="88"/>
      <c r="S480" s="88"/>
      <c r="T480" s="88"/>
      <c r="U480" s="88"/>
      <c r="V480" s="88"/>
      <c r="W480" s="88"/>
      <c r="X480" s="88"/>
      <c r="Y480" s="88"/>
      <c r="Z480" s="88"/>
      <c r="AA480" s="88"/>
      <c r="AB480" s="128"/>
      <c r="AC480" s="128"/>
      <c r="AD480" s="128"/>
      <c r="AE480" s="128"/>
      <c r="AF480" s="128"/>
      <c r="AG480" s="128"/>
      <c r="AH480" s="127"/>
    </row>
    <row r="481" spans="1:34" ht="13.2">
      <c r="A481" s="88"/>
      <c r="B481" s="88"/>
      <c r="C481" s="88"/>
      <c r="D481" s="88"/>
      <c r="E481" s="88"/>
      <c r="F481" s="88"/>
      <c r="G481" s="88"/>
      <c r="H481" s="88"/>
      <c r="I481" s="88"/>
      <c r="J481" s="88"/>
      <c r="K481" s="88"/>
      <c r="L481" s="88"/>
      <c r="M481" s="88"/>
      <c r="N481" s="88"/>
      <c r="O481" s="88"/>
      <c r="P481" s="88"/>
      <c r="Q481" s="88"/>
      <c r="R481" s="88"/>
      <c r="S481" s="88"/>
      <c r="T481" s="88"/>
      <c r="U481" s="88"/>
      <c r="V481" s="88"/>
      <c r="W481" s="88"/>
      <c r="X481" s="88"/>
      <c r="Y481" s="88"/>
      <c r="Z481" s="88"/>
      <c r="AA481" s="88"/>
      <c r="AB481" s="128"/>
      <c r="AC481" s="128"/>
      <c r="AD481" s="128"/>
      <c r="AE481" s="128"/>
      <c r="AF481" s="128"/>
      <c r="AG481" s="128"/>
      <c r="AH481" s="127"/>
    </row>
    <row r="482" spans="1:34" ht="13.2">
      <c r="A482" s="88"/>
      <c r="B482" s="88"/>
      <c r="C482" s="88"/>
      <c r="D482" s="88"/>
      <c r="E482" s="88"/>
      <c r="F482" s="88"/>
      <c r="G482" s="88"/>
      <c r="H482" s="88"/>
      <c r="I482" s="88"/>
      <c r="J482" s="88"/>
      <c r="K482" s="88"/>
      <c r="L482" s="88"/>
      <c r="M482" s="88"/>
      <c r="N482" s="88"/>
      <c r="O482" s="88"/>
      <c r="P482" s="88"/>
      <c r="Q482" s="88"/>
      <c r="R482" s="88"/>
      <c r="S482" s="88"/>
      <c r="T482" s="88"/>
      <c r="U482" s="88"/>
      <c r="V482" s="88"/>
      <c r="W482" s="88"/>
      <c r="X482" s="88"/>
      <c r="Y482" s="88"/>
      <c r="Z482" s="88"/>
      <c r="AA482" s="88"/>
      <c r="AB482" s="128"/>
      <c r="AC482" s="128"/>
      <c r="AD482" s="128"/>
      <c r="AE482" s="128"/>
      <c r="AF482" s="128"/>
      <c r="AG482" s="128"/>
      <c r="AH482" s="127"/>
    </row>
    <row r="483" spans="1:34" ht="13.2">
      <c r="A483" s="88"/>
      <c r="B483" s="88"/>
      <c r="C483" s="88"/>
      <c r="D483" s="88"/>
      <c r="E483" s="88"/>
      <c r="F483" s="88"/>
      <c r="G483" s="88"/>
      <c r="H483" s="88"/>
      <c r="I483" s="88"/>
      <c r="J483" s="88"/>
      <c r="K483" s="88"/>
      <c r="L483" s="88"/>
      <c r="M483" s="88"/>
      <c r="N483" s="88"/>
      <c r="O483" s="88"/>
      <c r="P483" s="88"/>
      <c r="Q483" s="88"/>
      <c r="R483" s="88"/>
      <c r="S483" s="88"/>
      <c r="T483" s="88"/>
      <c r="U483" s="88"/>
      <c r="V483" s="88"/>
      <c r="W483" s="88"/>
      <c r="X483" s="88"/>
      <c r="Y483" s="88"/>
      <c r="Z483" s="88"/>
      <c r="AA483" s="88"/>
      <c r="AB483" s="128"/>
      <c r="AC483" s="128"/>
      <c r="AD483" s="128"/>
      <c r="AE483" s="128"/>
      <c r="AF483" s="128"/>
      <c r="AG483" s="128"/>
      <c r="AH483" s="127"/>
    </row>
    <row r="484" spans="1:34" ht="13.2">
      <c r="A484" s="88"/>
      <c r="B484" s="88"/>
      <c r="C484" s="88"/>
      <c r="D484" s="88"/>
      <c r="E484" s="88"/>
      <c r="F484" s="88"/>
      <c r="G484" s="88"/>
      <c r="H484" s="88"/>
      <c r="I484" s="88"/>
      <c r="J484" s="88"/>
      <c r="K484" s="88"/>
      <c r="L484" s="88"/>
      <c r="M484" s="88"/>
      <c r="N484" s="88"/>
      <c r="O484" s="88"/>
      <c r="P484" s="88"/>
      <c r="Q484" s="88"/>
      <c r="R484" s="88"/>
      <c r="S484" s="88"/>
      <c r="T484" s="88"/>
      <c r="U484" s="88"/>
      <c r="V484" s="88"/>
      <c r="W484" s="88"/>
      <c r="X484" s="88"/>
      <c r="Y484" s="88"/>
      <c r="Z484" s="88"/>
      <c r="AA484" s="88"/>
      <c r="AB484" s="128"/>
      <c r="AC484" s="128"/>
      <c r="AD484" s="128"/>
      <c r="AE484" s="128"/>
      <c r="AF484" s="128"/>
      <c r="AG484" s="128"/>
      <c r="AH484" s="127"/>
    </row>
    <row r="485" spans="1:34" ht="13.2">
      <c r="A485" s="88"/>
      <c r="B485" s="88"/>
      <c r="C485" s="88"/>
      <c r="D485" s="88"/>
      <c r="E485" s="88"/>
      <c r="F485" s="88"/>
      <c r="G485" s="88"/>
      <c r="H485" s="88"/>
      <c r="I485" s="88"/>
      <c r="J485" s="88"/>
      <c r="K485" s="88"/>
      <c r="L485" s="88"/>
      <c r="M485" s="88"/>
      <c r="N485" s="88"/>
      <c r="O485" s="88"/>
      <c r="P485" s="88"/>
      <c r="Q485" s="88"/>
      <c r="R485" s="88"/>
      <c r="S485" s="88"/>
      <c r="T485" s="88"/>
      <c r="U485" s="88"/>
      <c r="V485" s="88"/>
      <c r="W485" s="88"/>
      <c r="X485" s="88"/>
      <c r="Y485" s="88"/>
      <c r="Z485" s="88"/>
      <c r="AA485" s="88"/>
      <c r="AB485" s="128"/>
      <c r="AC485" s="128"/>
      <c r="AD485" s="128"/>
      <c r="AE485" s="128"/>
      <c r="AF485" s="128"/>
      <c r="AG485" s="128"/>
      <c r="AH485" s="127"/>
    </row>
    <row r="486" spans="1:34" ht="13.2">
      <c r="A486" s="88"/>
      <c r="B486" s="88"/>
      <c r="C486" s="88"/>
      <c r="D486" s="88"/>
      <c r="E486" s="88"/>
      <c r="F486" s="88"/>
      <c r="G486" s="88"/>
      <c r="H486" s="88"/>
      <c r="I486" s="88"/>
      <c r="J486" s="88"/>
      <c r="K486" s="88"/>
      <c r="L486" s="88"/>
      <c r="M486" s="88"/>
      <c r="N486" s="88"/>
      <c r="O486" s="88"/>
      <c r="P486" s="88"/>
      <c r="Q486" s="88"/>
      <c r="R486" s="88"/>
      <c r="S486" s="88"/>
      <c r="T486" s="88"/>
      <c r="U486" s="88"/>
      <c r="V486" s="88"/>
      <c r="W486" s="88"/>
      <c r="X486" s="88"/>
      <c r="Y486" s="88"/>
      <c r="Z486" s="88"/>
      <c r="AA486" s="88"/>
      <c r="AB486" s="128"/>
      <c r="AC486" s="128"/>
      <c r="AD486" s="128"/>
      <c r="AE486" s="128"/>
      <c r="AF486" s="128"/>
      <c r="AG486" s="128"/>
      <c r="AH486" s="127"/>
    </row>
    <row r="487" spans="1:34" ht="13.2">
      <c r="A487" s="88"/>
      <c r="B487" s="88"/>
      <c r="C487" s="88"/>
      <c r="D487" s="88"/>
      <c r="E487" s="88"/>
      <c r="F487" s="88"/>
      <c r="G487" s="88"/>
      <c r="H487" s="88"/>
      <c r="I487" s="88"/>
      <c r="J487" s="88"/>
      <c r="K487" s="88"/>
      <c r="L487" s="88"/>
      <c r="M487" s="88"/>
      <c r="N487" s="88"/>
      <c r="O487" s="88"/>
      <c r="P487" s="88"/>
      <c r="Q487" s="88"/>
      <c r="R487" s="88"/>
      <c r="S487" s="88"/>
      <c r="T487" s="88"/>
      <c r="U487" s="88"/>
      <c r="V487" s="88"/>
      <c r="W487" s="88"/>
      <c r="X487" s="88"/>
      <c r="Y487" s="88"/>
      <c r="Z487" s="88"/>
      <c r="AA487" s="88"/>
      <c r="AB487" s="128"/>
      <c r="AC487" s="128"/>
      <c r="AD487" s="128"/>
      <c r="AE487" s="128"/>
      <c r="AF487" s="128"/>
      <c r="AG487" s="128"/>
      <c r="AH487" s="127"/>
    </row>
    <row r="488" spans="1:34" ht="13.2">
      <c r="A488" s="88"/>
      <c r="B488" s="88"/>
      <c r="C488" s="88"/>
      <c r="D488" s="88"/>
      <c r="E488" s="88"/>
      <c r="F488" s="88"/>
      <c r="G488" s="88"/>
      <c r="H488" s="88"/>
      <c r="I488" s="88"/>
      <c r="J488" s="88"/>
      <c r="K488" s="88"/>
      <c r="L488" s="88"/>
      <c r="M488" s="88"/>
      <c r="N488" s="88"/>
      <c r="O488" s="88"/>
      <c r="P488" s="88"/>
      <c r="Q488" s="88"/>
      <c r="R488" s="88"/>
      <c r="S488" s="88"/>
      <c r="T488" s="88"/>
      <c r="U488" s="88"/>
      <c r="V488" s="88"/>
      <c r="W488" s="88"/>
      <c r="X488" s="88"/>
      <c r="Y488" s="88"/>
      <c r="Z488" s="88"/>
      <c r="AA488" s="88"/>
      <c r="AB488" s="128"/>
      <c r="AC488" s="128"/>
      <c r="AD488" s="128"/>
      <c r="AE488" s="128"/>
      <c r="AF488" s="128"/>
      <c r="AG488" s="128"/>
      <c r="AH488" s="127"/>
    </row>
    <row r="489" spans="1:34" ht="13.2">
      <c r="A489" s="88"/>
      <c r="B489" s="88"/>
      <c r="C489" s="88"/>
      <c r="D489" s="88"/>
      <c r="E489" s="88"/>
      <c r="F489" s="88"/>
      <c r="G489" s="88"/>
      <c r="H489" s="88"/>
      <c r="I489" s="88"/>
      <c r="J489" s="88"/>
      <c r="K489" s="88"/>
      <c r="L489" s="88"/>
      <c r="M489" s="88"/>
      <c r="N489" s="88"/>
      <c r="O489" s="88"/>
      <c r="P489" s="88"/>
      <c r="Q489" s="88"/>
      <c r="R489" s="88"/>
      <c r="S489" s="88"/>
      <c r="T489" s="88"/>
      <c r="U489" s="88"/>
      <c r="V489" s="88"/>
      <c r="W489" s="88"/>
      <c r="X489" s="88"/>
      <c r="Y489" s="88"/>
      <c r="Z489" s="88"/>
      <c r="AA489" s="88"/>
      <c r="AB489" s="128"/>
      <c r="AC489" s="128"/>
      <c r="AD489" s="128"/>
      <c r="AE489" s="128"/>
      <c r="AF489" s="128"/>
      <c r="AG489" s="128"/>
      <c r="AH489" s="127"/>
    </row>
    <row r="490" spans="1:34" ht="13.2">
      <c r="A490" s="88"/>
      <c r="B490" s="88"/>
      <c r="C490" s="88"/>
      <c r="D490" s="88"/>
      <c r="E490" s="88"/>
      <c r="F490" s="88"/>
      <c r="G490" s="88"/>
      <c r="H490" s="88"/>
      <c r="I490" s="88"/>
      <c r="J490" s="88"/>
      <c r="K490" s="88"/>
      <c r="L490" s="88"/>
      <c r="M490" s="88"/>
      <c r="N490" s="88"/>
      <c r="O490" s="88"/>
      <c r="P490" s="88"/>
      <c r="Q490" s="88"/>
      <c r="R490" s="88"/>
      <c r="S490" s="88"/>
      <c r="T490" s="88"/>
      <c r="U490" s="88"/>
      <c r="V490" s="88"/>
      <c r="W490" s="88"/>
      <c r="X490" s="88"/>
      <c r="Y490" s="88"/>
      <c r="Z490" s="88"/>
      <c r="AA490" s="88"/>
      <c r="AB490" s="128"/>
      <c r="AC490" s="128"/>
      <c r="AD490" s="128"/>
      <c r="AE490" s="128"/>
      <c r="AF490" s="128"/>
      <c r="AG490" s="128"/>
      <c r="AH490" s="127"/>
    </row>
    <row r="491" spans="1:34" ht="13.2">
      <c r="A491" s="88"/>
      <c r="B491" s="88"/>
      <c r="C491" s="88"/>
      <c r="D491" s="88"/>
      <c r="E491" s="88"/>
      <c r="F491" s="88"/>
      <c r="G491" s="88"/>
      <c r="H491" s="88"/>
      <c r="I491" s="88"/>
      <c r="J491" s="88"/>
      <c r="K491" s="88"/>
      <c r="L491" s="88"/>
      <c r="M491" s="88"/>
      <c r="N491" s="88"/>
      <c r="O491" s="88"/>
      <c r="P491" s="88"/>
      <c r="Q491" s="88"/>
      <c r="R491" s="88"/>
      <c r="S491" s="88"/>
      <c r="T491" s="88"/>
      <c r="U491" s="88"/>
      <c r="V491" s="88"/>
      <c r="W491" s="88"/>
      <c r="X491" s="88"/>
      <c r="Y491" s="88"/>
      <c r="Z491" s="88"/>
      <c r="AA491" s="88"/>
      <c r="AB491" s="128"/>
      <c r="AC491" s="128"/>
      <c r="AD491" s="128"/>
      <c r="AE491" s="128"/>
      <c r="AF491" s="128"/>
      <c r="AG491" s="128"/>
      <c r="AH491" s="127"/>
    </row>
    <row r="492" spans="1:34" ht="13.2">
      <c r="A492" s="88"/>
      <c r="B492" s="88"/>
      <c r="C492" s="88"/>
      <c r="D492" s="88"/>
      <c r="E492" s="88"/>
      <c r="F492" s="88"/>
      <c r="G492" s="88"/>
      <c r="H492" s="88"/>
      <c r="I492" s="88"/>
      <c r="J492" s="88"/>
      <c r="K492" s="88"/>
      <c r="L492" s="88"/>
      <c r="M492" s="88"/>
      <c r="N492" s="88"/>
      <c r="O492" s="88"/>
      <c r="P492" s="88"/>
      <c r="Q492" s="88"/>
      <c r="R492" s="88"/>
      <c r="S492" s="88"/>
      <c r="T492" s="88"/>
      <c r="U492" s="88"/>
      <c r="V492" s="88"/>
      <c r="W492" s="88"/>
      <c r="X492" s="88"/>
      <c r="Y492" s="88"/>
      <c r="Z492" s="88"/>
      <c r="AA492" s="88"/>
      <c r="AB492" s="128"/>
      <c r="AC492" s="128"/>
      <c r="AD492" s="128"/>
      <c r="AE492" s="128"/>
      <c r="AF492" s="128"/>
      <c r="AG492" s="128"/>
      <c r="AH492" s="127"/>
    </row>
    <row r="493" spans="1:34" ht="13.2">
      <c r="A493" s="88"/>
      <c r="B493" s="88"/>
      <c r="C493" s="88"/>
      <c r="D493" s="88"/>
      <c r="E493" s="88"/>
      <c r="F493" s="88"/>
      <c r="G493" s="88"/>
      <c r="H493" s="88"/>
      <c r="I493" s="88"/>
      <c r="J493" s="88"/>
      <c r="K493" s="88"/>
      <c r="L493" s="88"/>
      <c r="M493" s="88"/>
      <c r="N493" s="88"/>
      <c r="O493" s="88"/>
      <c r="P493" s="88"/>
      <c r="Q493" s="88"/>
      <c r="R493" s="88"/>
      <c r="S493" s="88"/>
      <c r="T493" s="88"/>
      <c r="U493" s="88"/>
      <c r="V493" s="88"/>
      <c r="W493" s="88"/>
      <c r="X493" s="88"/>
      <c r="Y493" s="88"/>
      <c r="Z493" s="88"/>
      <c r="AA493" s="88"/>
      <c r="AB493" s="128"/>
      <c r="AC493" s="128"/>
      <c r="AD493" s="128"/>
      <c r="AE493" s="128"/>
      <c r="AF493" s="128"/>
      <c r="AG493" s="128"/>
      <c r="AH493" s="127"/>
    </row>
    <row r="494" spans="1:34" ht="13.2">
      <c r="A494" s="88"/>
      <c r="B494" s="88"/>
      <c r="C494" s="88"/>
      <c r="D494" s="88"/>
      <c r="E494" s="88"/>
      <c r="F494" s="88"/>
      <c r="G494" s="88"/>
      <c r="H494" s="88"/>
      <c r="I494" s="88"/>
      <c r="J494" s="88"/>
      <c r="K494" s="88"/>
      <c r="L494" s="88"/>
      <c r="M494" s="88"/>
      <c r="N494" s="88"/>
      <c r="O494" s="88"/>
      <c r="P494" s="88"/>
      <c r="Q494" s="88"/>
      <c r="R494" s="88"/>
      <c r="S494" s="88"/>
      <c r="T494" s="88"/>
      <c r="U494" s="88"/>
      <c r="V494" s="88"/>
      <c r="W494" s="88"/>
      <c r="X494" s="88"/>
      <c r="Y494" s="88"/>
      <c r="Z494" s="88"/>
      <c r="AA494" s="88"/>
      <c r="AB494" s="128"/>
      <c r="AC494" s="128"/>
      <c r="AD494" s="128"/>
      <c r="AE494" s="128"/>
      <c r="AF494" s="128"/>
      <c r="AG494" s="128"/>
      <c r="AH494" s="127"/>
    </row>
    <row r="495" spans="1:34" ht="13.2">
      <c r="A495" s="88"/>
      <c r="B495" s="88"/>
      <c r="C495" s="88"/>
      <c r="D495" s="88"/>
      <c r="E495" s="88"/>
      <c r="F495" s="88"/>
      <c r="G495" s="88"/>
      <c r="H495" s="88"/>
      <c r="I495" s="88"/>
      <c r="J495" s="88"/>
      <c r="K495" s="88"/>
      <c r="L495" s="88"/>
      <c r="M495" s="88"/>
      <c r="N495" s="88"/>
      <c r="O495" s="88"/>
      <c r="P495" s="88"/>
      <c r="Q495" s="88"/>
      <c r="R495" s="88"/>
      <c r="S495" s="88"/>
      <c r="T495" s="88"/>
      <c r="U495" s="88"/>
      <c r="V495" s="88"/>
      <c r="W495" s="88"/>
      <c r="X495" s="88"/>
      <c r="Y495" s="88"/>
      <c r="Z495" s="88"/>
      <c r="AA495" s="88"/>
      <c r="AB495" s="128"/>
      <c r="AC495" s="128"/>
      <c r="AD495" s="128"/>
      <c r="AE495" s="128"/>
      <c r="AF495" s="128"/>
      <c r="AG495" s="128"/>
      <c r="AH495" s="127"/>
    </row>
    <row r="496" spans="1:34" ht="13.2">
      <c r="A496" s="88"/>
      <c r="B496" s="88"/>
      <c r="C496" s="88"/>
      <c r="D496" s="88"/>
      <c r="E496" s="88"/>
      <c r="F496" s="88"/>
      <c r="G496" s="88"/>
      <c r="H496" s="88"/>
      <c r="I496" s="88"/>
      <c r="J496" s="88"/>
      <c r="K496" s="88"/>
      <c r="L496" s="88"/>
      <c r="M496" s="88"/>
      <c r="N496" s="88"/>
      <c r="O496" s="88"/>
      <c r="P496" s="88"/>
      <c r="Q496" s="88"/>
      <c r="R496" s="88"/>
      <c r="S496" s="88"/>
      <c r="T496" s="88"/>
      <c r="U496" s="88"/>
      <c r="V496" s="88"/>
      <c r="W496" s="88"/>
      <c r="X496" s="88"/>
      <c r="Y496" s="88"/>
      <c r="Z496" s="88"/>
      <c r="AA496" s="88"/>
      <c r="AB496" s="128"/>
      <c r="AC496" s="128"/>
      <c r="AD496" s="128"/>
      <c r="AE496" s="128"/>
      <c r="AF496" s="128"/>
      <c r="AG496" s="128"/>
      <c r="AH496" s="127"/>
    </row>
    <row r="497" spans="1:34" ht="13.2">
      <c r="A497" s="88"/>
      <c r="B497" s="88"/>
      <c r="C497" s="88"/>
      <c r="D497" s="88"/>
      <c r="E497" s="88"/>
      <c r="F497" s="88"/>
      <c r="G497" s="88"/>
      <c r="H497" s="88"/>
      <c r="I497" s="88"/>
      <c r="J497" s="88"/>
      <c r="K497" s="88"/>
      <c r="L497" s="88"/>
      <c r="M497" s="88"/>
      <c r="N497" s="88"/>
      <c r="O497" s="88"/>
      <c r="P497" s="88"/>
      <c r="Q497" s="88"/>
      <c r="R497" s="88"/>
      <c r="S497" s="88"/>
      <c r="T497" s="88"/>
      <c r="U497" s="88"/>
      <c r="V497" s="88"/>
      <c r="W497" s="88"/>
      <c r="X497" s="88"/>
      <c r="Y497" s="88"/>
      <c r="Z497" s="88"/>
      <c r="AA497" s="88"/>
      <c r="AB497" s="128"/>
      <c r="AC497" s="128"/>
      <c r="AD497" s="128"/>
      <c r="AE497" s="128"/>
      <c r="AF497" s="128"/>
      <c r="AG497" s="128"/>
      <c r="AH497" s="127"/>
    </row>
    <row r="498" spans="1:34" ht="13.2">
      <c r="A498" s="88"/>
      <c r="B498" s="88"/>
      <c r="C498" s="88"/>
      <c r="D498" s="88"/>
      <c r="E498" s="88"/>
      <c r="F498" s="88"/>
      <c r="G498" s="88"/>
      <c r="H498" s="88"/>
      <c r="I498" s="88"/>
      <c r="J498" s="88"/>
      <c r="K498" s="88"/>
      <c r="L498" s="88"/>
      <c r="M498" s="88"/>
      <c r="N498" s="88"/>
      <c r="O498" s="88"/>
      <c r="P498" s="88"/>
      <c r="Q498" s="88"/>
      <c r="R498" s="88"/>
      <c r="S498" s="88"/>
      <c r="T498" s="88"/>
      <c r="U498" s="88"/>
      <c r="V498" s="88"/>
      <c r="W498" s="88"/>
      <c r="X498" s="88"/>
      <c r="Y498" s="88"/>
      <c r="Z498" s="88"/>
      <c r="AA498" s="88"/>
      <c r="AB498" s="128"/>
      <c r="AC498" s="128"/>
      <c r="AD498" s="128"/>
      <c r="AE498" s="128"/>
      <c r="AF498" s="128"/>
      <c r="AG498" s="128"/>
      <c r="AH498" s="127"/>
    </row>
    <row r="499" spans="1:34" ht="13.2">
      <c r="A499" s="88"/>
      <c r="B499" s="88"/>
      <c r="C499" s="88"/>
      <c r="D499" s="88"/>
      <c r="E499" s="88"/>
      <c r="F499" s="88"/>
      <c r="G499" s="88"/>
      <c r="H499" s="88"/>
      <c r="I499" s="88"/>
      <c r="J499" s="88"/>
      <c r="K499" s="88"/>
      <c r="L499" s="88"/>
      <c r="M499" s="88"/>
      <c r="N499" s="88"/>
      <c r="O499" s="88"/>
      <c r="P499" s="88"/>
      <c r="Q499" s="88"/>
      <c r="R499" s="88"/>
      <c r="S499" s="88"/>
      <c r="T499" s="88"/>
      <c r="U499" s="88"/>
      <c r="V499" s="88"/>
      <c r="W499" s="88"/>
      <c r="X499" s="88"/>
      <c r="Y499" s="88"/>
      <c r="Z499" s="88"/>
      <c r="AA499" s="88"/>
      <c r="AB499" s="128"/>
      <c r="AC499" s="128"/>
      <c r="AD499" s="128"/>
      <c r="AE499" s="128"/>
      <c r="AF499" s="128"/>
      <c r="AG499" s="128"/>
      <c r="AH499" s="127"/>
    </row>
    <row r="500" spans="1:34" ht="13.2">
      <c r="A500" s="88"/>
      <c r="B500" s="88"/>
      <c r="C500" s="88"/>
      <c r="D500" s="88"/>
      <c r="E500" s="88"/>
      <c r="F500" s="88"/>
      <c r="G500" s="88"/>
      <c r="H500" s="88"/>
      <c r="I500" s="88"/>
      <c r="J500" s="88"/>
      <c r="K500" s="88"/>
      <c r="L500" s="88"/>
      <c r="M500" s="88"/>
      <c r="N500" s="88"/>
      <c r="O500" s="88"/>
      <c r="P500" s="88"/>
      <c r="Q500" s="88"/>
      <c r="R500" s="88"/>
      <c r="S500" s="88"/>
      <c r="T500" s="88"/>
      <c r="U500" s="88"/>
      <c r="V500" s="88"/>
      <c r="W500" s="88"/>
      <c r="X500" s="88"/>
      <c r="Y500" s="88"/>
      <c r="Z500" s="88"/>
      <c r="AA500" s="88"/>
      <c r="AB500" s="128"/>
      <c r="AC500" s="128"/>
      <c r="AD500" s="128"/>
      <c r="AE500" s="128"/>
      <c r="AF500" s="128"/>
      <c r="AG500" s="128"/>
      <c r="AH500" s="127"/>
    </row>
    <row r="501" spans="1:34" ht="13.2">
      <c r="A501" s="88"/>
      <c r="B501" s="88"/>
      <c r="C501" s="88"/>
      <c r="D501" s="88"/>
      <c r="E501" s="88"/>
      <c r="F501" s="88"/>
      <c r="G501" s="88"/>
      <c r="H501" s="88"/>
      <c r="I501" s="88"/>
      <c r="J501" s="88"/>
      <c r="K501" s="88"/>
      <c r="L501" s="88"/>
      <c r="M501" s="88"/>
      <c r="N501" s="88"/>
      <c r="O501" s="88"/>
      <c r="P501" s="88"/>
      <c r="Q501" s="88"/>
      <c r="R501" s="88"/>
      <c r="S501" s="88"/>
      <c r="T501" s="88"/>
      <c r="U501" s="88"/>
      <c r="V501" s="88"/>
      <c r="W501" s="88"/>
      <c r="X501" s="88"/>
      <c r="Y501" s="88"/>
      <c r="Z501" s="88"/>
      <c r="AA501" s="88"/>
      <c r="AB501" s="128"/>
      <c r="AC501" s="128"/>
      <c r="AD501" s="128"/>
      <c r="AE501" s="128"/>
      <c r="AF501" s="128"/>
      <c r="AG501" s="128"/>
      <c r="AH501" s="127"/>
    </row>
    <row r="502" spans="1:34" ht="13.2">
      <c r="A502" s="88"/>
      <c r="B502" s="88"/>
      <c r="C502" s="88"/>
      <c r="D502" s="88"/>
      <c r="E502" s="88"/>
      <c r="F502" s="88"/>
      <c r="G502" s="88"/>
      <c r="H502" s="88"/>
      <c r="I502" s="88"/>
      <c r="J502" s="88"/>
      <c r="K502" s="88"/>
      <c r="L502" s="88"/>
      <c r="M502" s="88"/>
      <c r="N502" s="88"/>
      <c r="O502" s="88"/>
      <c r="P502" s="88"/>
      <c r="Q502" s="88"/>
      <c r="R502" s="88"/>
      <c r="S502" s="88"/>
      <c r="T502" s="88"/>
      <c r="U502" s="88"/>
      <c r="V502" s="88"/>
      <c r="W502" s="88"/>
      <c r="X502" s="88"/>
      <c r="Y502" s="88"/>
      <c r="Z502" s="88"/>
      <c r="AA502" s="88"/>
      <c r="AB502" s="128"/>
      <c r="AC502" s="128"/>
      <c r="AD502" s="128"/>
      <c r="AE502" s="128"/>
      <c r="AF502" s="128"/>
      <c r="AG502" s="128"/>
      <c r="AH502" s="127"/>
    </row>
    <row r="503" spans="1:34" ht="13.2">
      <c r="A503" s="88"/>
      <c r="B503" s="88"/>
      <c r="C503" s="88"/>
      <c r="D503" s="88"/>
      <c r="E503" s="88"/>
      <c r="F503" s="88"/>
      <c r="G503" s="88"/>
      <c r="H503" s="88"/>
      <c r="I503" s="88"/>
      <c r="J503" s="88"/>
      <c r="K503" s="88"/>
      <c r="L503" s="88"/>
      <c r="M503" s="88"/>
      <c r="N503" s="88"/>
      <c r="O503" s="88"/>
      <c r="P503" s="88"/>
      <c r="Q503" s="88"/>
      <c r="R503" s="88"/>
      <c r="S503" s="88"/>
      <c r="T503" s="88"/>
      <c r="U503" s="88"/>
      <c r="V503" s="88"/>
      <c r="W503" s="88"/>
      <c r="X503" s="88"/>
      <c r="Y503" s="88"/>
      <c r="Z503" s="88"/>
      <c r="AA503" s="88"/>
      <c r="AB503" s="128"/>
      <c r="AC503" s="128"/>
      <c r="AD503" s="128"/>
      <c r="AE503" s="128"/>
      <c r="AF503" s="128"/>
      <c r="AG503" s="128"/>
      <c r="AH503" s="127"/>
    </row>
    <row r="504" spans="1:34" ht="13.2">
      <c r="A504" s="88"/>
      <c r="B504" s="88"/>
      <c r="C504" s="88"/>
      <c r="D504" s="88"/>
      <c r="E504" s="88"/>
      <c r="F504" s="88"/>
      <c r="G504" s="88"/>
      <c r="H504" s="88"/>
      <c r="I504" s="88"/>
      <c r="J504" s="88"/>
      <c r="K504" s="88"/>
      <c r="L504" s="88"/>
      <c r="M504" s="88"/>
      <c r="N504" s="88"/>
      <c r="O504" s="88"/>
      <c r="P504" s="88"/>
      <c r="Q504" s="88"/>
      <c r="R504" s="88"/>
      <c r="S504" s="88"/>
      <c r="T504" s="88"/>
      <c r="U504" s="88"/>
      <c r="V504" s="88"/>
      <c r="W504" s="88"/>
      <c r="X504" s="88"/>
      <c r="Y504" s="88"/>
      <c r="Z504" s="88"/>
      <c r="AA504" s="88"/>
      <c r="AB504" s="128"/>
      <c r="AC504" s="128"/>
      <c r="AD504" s="128"/>
      <c r="AE504" s="128"/>
      <c r="AF504" s="128"/>
      <c r="AG504" s="128"/>
      <c r="AH504" s="127"/>
    </row>
    <row r="505" spans="1:34" ht="13.2">
      <c r="A505" s="88"/>
      <c r="B505" s="88"/>
      <c r="C505" s="88"/>
      <c r="D505" s="88"/>
      <c r="E505" s="88"/>
      <c r="F505" s="88"/>
      <c r="G505" s="88"/>
      <c r="H505" s="88"/>
      <c r="I505" s="88"/>
      <c r="J505" s="88"/>
      <c r="K505" s="88"/>
      <c r="L505" s="88"/>
      <c r="M505" s="88"/>
      <c r="N505" s="88"/>
      <c r="O505" s="88"/>
      <c r="P505" s="88"/>
      <c r="Q505" s="88"/>
      <c r="R505" s="88"/>
      <c r="S505" s="88"/>
      <c r="T505" s="88"/>
      <c r="U505" s="88"/>
      <c r="V505" s="88"/>
      <c r="W505" s="88"/>
      <c r="X505" s="88"/>
      <c r="Y505" s="88"/>
      <c r="Z505" s="88"/>
      <c r="AA505" s="88"/>
      <c r="AB505" s="128"/>
      <c r="AC505" s="128"/>
      <c r="AD505" s="128"/>
      <c r="AE505" s="128"/>
      <c r="AF505" s="128"/>
      <c r="AG505" s="128"/>
      <c r="AH505" s="127"/>
    </row>
    <row r="506" spans="1:34" ht="13.2">
      <c r="A506" s="88"/>
      <c r="B506" s="88"/>
      <c r="C506" s="88"/>
      <c r="D506" s="88"/>
      <c r="E506" s="88"/>
      <c r="F506" s="88"/>
      <c r="G506" s="88"/>
      <c r="H506" s="88"/>
      <c r="I506" s="88"/>
      <c r="J506" s="88"/>
      <c r="K506" s="88"/>
      <c r="L506" s="88"/>
      <c r="M506" s="88"/>
      <c r="N506" s="88"/>
      <c r="O506" s="88"/>
      <c r="P506" s="88"/>
      <c r="Q506" s="88"/>
      <c r="R506" s="88"/>
      <c r="S506" s="88"/>
      <c r="T506" s="88"/>
      <c r="U506" s="88"/>
      <c r="V506" s="88"/>
      <c r="W506" s="88"/>
      <c r="X506" s="88"/>
      <c r="Y506" s="88"/>
      <c r="Z506" s="88"/>
      <c r="AA506" s="88"/>
      <c r="AB506" s="128"/>
      <c r="AC506" s="128"/>
      <c r="AD506" s="128"/>
      <c r="AE506" s="128"/>
      <c r="AF506" s="128"/>
      <c r="AG506" s="128"/>
      <c r="AH506" s="127"/>
    </row>
    <row r="507" spans="1:34" ht="13.2">
      <c r="A507" s="88"/>
      <c r="B507" s="88"/>
      <c r="C507" s="88"/>
      <c r="D507" s="88"/>
      <c r="E507" s="88"/>
      <c r="F507" s="88"/>
      <c r="G507" s="88"/>
      <c r="H507" s="88"/>
      <c r="I507" s="88"/>
      <c r="J507" s="88"/>
      <c r="K507" s="88"/>
      <c r="L507" s="88"/>
      <c r="M507" s="88"/>
      <c r="N507" s="88"/>
      <c r="O507" s="88"/>
      <c r="P507" s="88"/>
      <c r="Q507" s="88"/>
      <c r="R507" s="88"/>
      <c r="S507" s="88"/>
      <c r="T507" s="88"/>
      <c r="U507" s="88"/>
      <c r="V507" s="88"/>
      <c r="W507" s="88"/>
      <c r="X507" s="88"/>
      <c r="Y507" s="88"/>
      <c r="Z507" s="88"/>
      <c r="AA507" s="88"/>
      <c r="AB507" s="128"/>
      <c r="AC507" s="128"/>
      <c r="AD507" s="128"/>
      <c r="AE507" s="128"/>
      <c r="AF507" s="128"/>
      <c r="AG507" s="128"/>
      <c r="AH507" s="127"/>
    </row>
    <row r="508" spans="1:34" ht="13.2">
      <c r="A508" s="88"/>
      <c r="B508" s="88"/>
      <c r="C508" s="88"/>
      <c r="D508" s="88"/>
      <c r="E508" s="88"/>
      <c r="F508" s="88"/>
      <c r="G508" s="88"/>
      <c r="H508" s="88"/>
      <c r="I508" s="88"/>
      <c r="J508" s="88"/>
      <c r="K508" s="88"/>
      <c r="L508" s="88"/>
      <c r="M508" s="88"/>
      <c r="N508" s="88"/>
      <c r="O508" s="88"/>
      <c r="P508" s="88"/>
      <c r="Q508" s="88"/>
      <c r="R508" s="88"/>
      <c r="S508" s="88"/>
      <c r="T508" s="88"/>
      <c r="U508" s="88"/>
      <c r="V508" s="88"/>
      <c r="W508" s="88"/>
      <c r="X508" s="88"/>
      <c r="Y508" s="88"/>
      <c r="Z508" s="88"/>
      <c r="AA508" s="88"/>
      <c r="AB508" s="128"/>
      <c r="AC508" s="128"/>
      <c r="AD508" s="128"/>
      <c r="AE508" s="128"/>
      <c r="AF508" s="128"/>
      <c r="AG508" s="128"/>
      <c r="AH508" s="127"/>
    </row>
    <row r="509" spans="1:34" ht="13.2">
      <c r="A509" s="88"/>
      <c r="B509" s="88"/>
      <c r="C509" s="88"/>
      <c r="D509" s="88"/>
      <c r="E509" s="88"/>
      <c r="F509" s="88"/>
      <c r="G509" s="88"/>
      <c r="H509" s="88"/>
      <c r="I509" s="88"/>
      <c r="J509" s="88"/>
      <c r="K509" s="88"/>
      <c r="L509" s="88"/>
      <c r="M509" s="88"/>
      <c r="N509" s="88"/>
      <c r="O509" s="88"/>
      <c r="P509" s="88"/>
      <c r="Q509" s="88"/>
      <c r="R509" s="88"/>
      <c r="S509" s="88"/>
      <c r="T509" s="88"/>
      <c r="U509" s="88"/>
      <c r="V509" s="88"/>
      <c r="W509" s="88"/>
      <c r="X509" s="88"/>
      <c r="Y509" s="88"/>
      <c r="Z509" s="88"/>
      <c r="AA509" s="88"/>
      <c r="AB509" s="128"/>
      <c r="AC509" s="128"/>
      <c r="AD509" s="128"/>
      <c r="AE509" s="128"/>
      <c r="AF509" s="128"/>
      <c r="AG509" s="128"/>
      <c r="AH509" s="127"/>
    </row>
    <row r="510" spans="1:34" ht="13.2">
      <c r="A510" s="88"/>
      <c r="B510" s="88"/>
      <c r="C510" s="88"/>
      <c r="D510" s="88"/>
      <c r="E510" s="88"/>
      <c r="F510" s="88"/>
      <c r="G510" s="88"/>
      <c r="H510" s="88"/>
      <c r="I510" s="88"/>
      <c r="J510" s="88"/>
      <c r="K510" s="88"/>
      <c r="L510" s="88"/>
      <c r="M510" s="88"/>
      <c r="N510" s="88"/>
      <c r="O510" s="88"/>
      <c r="P510" s="88"/>
      <c r="Q510" s="88"/>
      <c r="R510" s="88"/>
      <c r="S510" s="88"/>
      <c r="T510" s="88"/>
      <c r="U510" s="88"/>
      <c r="V510" s="88"/>
      <c r="W510" s="88"/>
      <c r="X510" s="88"/>
      <c r="Y510" s="88"/>
      <c r="Z510" s="88"/>
      <c r="AA510" s="88"/>
      <c r="AB510" s="128"/>
      <c r="AC510" s="128"/>
      <c r="AD510" s="128"/>
      <c r="AE510" s="128"/>
      <c r="AF510" s="128"/>
      <c r="AG510" s="128"/>
      <c r="AH510" s="127"/>
    </row>
    <row r="511" spans="1:34" ht="13.2">
      <c r="A511" s="88"/>
      <c r="B511" s="88"/>
      <c r="C511" s="88"/>
      <c r="D511" s="88"/>
      <c r="E511" s="88"/>
      <c r="F511" s="88"/>
      <c r="G511" s="88"/>
      <c r="H511" s="88"/>
      <c r="I511" s="88"/>
      <c r="J511" s="88"/>
      <c r="K511" s="88"/>
      <c r="L511" s="88"/>
      <c r="M511" s="88"/>
      <c r="N511" s="88"/>
      <c r="O511" s="88"/>
      <c r="P511" s="88"/>
      <c r="Q511" s="88"/>
      <c r="R511" s="88"/>
      <c r="S511" s="88"/>
      <c r="T511" s="88"/>
      <c r="U511" s="88"/>
      <c r="V511" s="88"/>
      <c r="W511" s="88"/>
      <c r="X511" s="88"/>
      <c r="Y511" s="88"/>
      <c r="Z511" s="88"/>
      <c r="AA511" s="88"/>
      <c r="AB511" s="128"/>
      <c r="AC511" s="128"/>
      <c r="AD511" s="128"/>
      <c r="AE511" s="128"/>
      <c r="AF511" s="128"/>
      <c r="AG511" s="128"/>
      <c r="AH511" s="127"/>
    </row>
    <row r="512" spans="1:34" ht="13.2">
      <c r="A512" s="88"/>
      <c r="B512" s="88"/>
      <c r="C512" s="88"/>
      <c r="D512" s="88"/>
      <c r="E512" s="88"/>
      <c r="F512" s="88"/>
      <c r="G512" s="88"/>
      <c r="H512" s="88"/>
      <c r="I512" s="88"/>
      <c r="J512" s="88"/>
      <c r="K512" s="88"/>
      <c r="L512" s="88"/>
      <c r="M512" s="88"/>
      <c r="N512" s="88"/>
      <c r="O512" s="88"/>
      <c r="P512" s="88"/>
      <c r="Q512" s="88"/>
      <c r="R512" s="88"/>
      <c r="S512" s="88"/>
      <c r="T512" s="88"/>
      <c r="U512" s="88"/>
      <c r="V512" s="88"/>
      <c r="W512" s="88"/>
      <c r="X512" s="88"/>
      <c r="Y512" s="88"/>
      <c r="Z512" s="88"/>
      <c r="AA512" s="88"/>
      <c r="AB512" s="128"/>
      <c r="AC512" s="128"/>
      <c r="AD512" s="128"/>
      <c r="AE512" s="128"/>
      <c r="AF512" s="128"/>
      <c r="AG512" s="128"/>
      <c r="AH512" s="127"/>
    </row>
    <row r="513" spans="1:34" ht="13.2">
      <c r="A513" s="88"/>
      <c r="B513" s="88"/>
      <c r="C513" s="88"/>
      <c r="D513" s="88"/>
      <c r="E513" s="88"/>
      <c r="F513" s="88"/>
      <c r="G513" s="88"/>
      <c r="H513" s="88"/>
      <c r="I513" s="88"/>
      <c r="J513" s="88"/>
      <c r="K513" s="88"/>
      <c r="L513" s="88"/>
      <c r="M513" s="88"/>
      <c r="N513" s="88"/>
      <c r="O513" s="88"/>
      <c r="P513" s="88"/>
      <c r="Q513" s="88"/>
      <c r="R513" s="88"/>
      <c r="S513" s="88"/>
      <c r="T513" s="88"/>
      <c r="U513" s="88"/>
      <c r="V513" s="88"/>
      <c r="W513" s="88"/>
      <c r="X513" s="88"/>
      <c r="Y513" s="88"/>
      <c r="Z513" s="88"/>
      <c r="AA513" s="88"/>
      <c r="AB513" s="128"/>
      <c r="AC513" s="128"/>
      <c r="AD513" s="128"/>
      <c r="AE513" s="128"/>
      <c r="AF513" s="128"/>
      <c r="AG513" s="128"/>
      <c r="AH513" s="127"/>
    </row>
    <row r="514" spans="1:34" ht="13.2">
      <c r="A514" s="88"/>
      <c r="B514" s="88"/>
      <c r="C514" s="88"/>
      <c r="D514" s="88"/>
      <c r="E514" s="88"/>
      <c r="F514" s="88"/>
      <c r="G514" s="88"/>
      <c r="H514" s="88"/>
      <c r="I514" s="88"/>
      <c r="J514" s="88"/>
      <c r="K514" s="88"/>
      <c r="L514" s="88"/>
      <c r="M514" s="88"/>
      <c r="N514" s="88"/>
      <c r="O514" s="88"/>
      <c r="P514" s="88"/>
      <c r="Q514" s="88"/>
      <c r="R514" s="88"/>
      <c r="S514" s="88"/>
      <c r="T514" s="88"/>
      <c r="U514" s="88"/>
      <c r="V514" s="88"/>
      <c r="W514" s="88"/>
      <c r="X514" s="88"/>
      <c r="Y514" s="88"/>
      <c r="Z514" s="88"/>
      <c r="AA514" s="88"/>
      <c r="AB514" s="128"/>
      <c r="AC514" s="128"/>
      <c r="AD514" s="128"/>
      <c r="AE514" s="128"/>
      <c r="AF514" s="128"/>
      <c r="AG514" s="128"/>
      <c r="AH514" s="127"/>
    </row>
    <row r="515" spans="1:34" ht="13.2">
      <c r="A515" s="88"/>
      <c r="B515" s="88"/>
      <c r="C515" s="88"/>
      <c r="D515" s="88"/>
      <c r="E515" s="88"/>
      <c r="F515" s="88"/>
      <c r="G515" s="88"/>
      <c r="H515" s="88"/>
      <c r="I515" s="88"/>
      <c r="J515" s="88"/>
      <c r="K515" s="88"/>
      <c r="L515" s="88"/>
      <c r="M515" s="88"/>
      <c r="N515" s="88"/>
      <c r="O515" s="88"/>
      <c r="P515" s="88"/>
      <c r="Q515" s="88"/>
      <c r="R515" s="88"/>
      <c r="S515" s="88"/>
      <c r="T515" s="88"/>
      <c r="U515" s="88"/>
      <c r="V515" s="88"/>
      <c r="W515" s="88"/>
      <c r="X515" s="88"/>
      <c r="Y515" s="88"/>
      <c r="Z515" s="88"/>
      <c r="AA515" s="88"/>
      <c r="AB515" s="128"/>
      <c r="AC515" s="128"/>
      <c r="AD515" s="128"/>
      <c r="AE515" s="128"/>
      <c r="AF515" s="128"/>
      <c r="AG515" s="128"/>
      <c r="AH515" s="127"/>
    </row>
    <row r="516" spans="1:34" ht="13.2">
      <c r="A516" s="88"/>
      <c r="B516" s="88"/>
      <c r="C516" s="88"/>
      <c r="D516" s="88"/>
      <c r="E516" s="88"/>
      <c r="F516" s="88"/>
      <c r="G516" s="88"/>
      <c r="H516" s="88"/>
      <c r="I516" s="88"/>
      <c r="J516" s="88"/>
      <c r="K516" s="88"/>
      <c r="L516" s="88"/>
      <c r="M516" s="88"/>
      <c r="N516" s="88"/>
      <c r="O516" s="88"/>
      <c r="P516" s="88"/>
      <c r="Q516" s="88"/>
      <c r="R516" s="88"/>
      <c r="S516" s="88"/>
      <c r="T516" s="88"/>
      <c r="U516" s="88"/>
      <c r="V516" s="88"/>
      <c r="W516" s="88"/>
      <c r="X516" s="88"/>
      <c r="Y516" s="88"/>
      <c r="Z516" s="88"/>
      <c r="AA516" s="88"/>
      <c r="AB516" s="128"/>
      <c r="AC516" s="128"/>
      <c r="AD516" s="128"/>
      <c r="AE516" s="128"/>
      <c r="AF516" s="128"/>
      <c r="AG516" s="128"/>
      <c r="AH516" s="127"/>
    </row>
    <row r="517" spans="1:34" ht="13.2">
      <c r="A517" s="88"/>
      <c r="B517" s="88"/>
      <c r="C517" s="88"/>
      <c r="D517" s="88"/>
      <c r="E517" s="88"/>
      <c r="F517" s="88"/>
      <c r="G517" s="88"/>
      <c r="H517" s="88"/>
      <c r="I517" s="88"/>
      <c r="J517" s="88"/>
      <c r="K517" s="88"/>
      <c r="L517" s="88"/>
      <c r="M517" s="88"/>
      <c r="N517" s="88"/>
      <c r="O517" s="88"/>
      <c r="P517" s="88"/>
      <c r="Q517" s="88"/>
      <c r="R517" s="88"/>
      <c r="S517" s="88"/>
      <c r="T517" s="88"/>
      <c r="U517" s="88"/>
      <c r="V517" s="88"/>
      <c r="W517" s="88"/>
      <c r="X517" s="88"/>
      <c r="Y517" s="88"/>
      <c r="Z517" s="88"/>
      <c r="AA517" s="88"/>
      <c r="AB517" s="128"/>
      <c r="AC517" s="128"/>
      <c r="AD517" s="128"/>
      <c r="AE517" s="128"/>
      <c r="AF517" s="128"/>
      <c r="AG517" s="128"/>
      <c r="AH517" s="127"/>
    </row>
    <row r="518" spans="1:34" ht="13.2">
      <c r="A518" s="88"/>
      <c r="B518" s="88"/>
      <c r="C518" s="88"/>
      <c r="D518" s="88"/>
      <c r="E518" s="88"/>
      <c r="F518" s="88"/>
      <c r="G518" s="88"/>
      <c r="H518" s="88"/>
      <c r="I518" s="88"/>
      <c r="J518" s="88"/>
      <c r="K518" s="88"/>
      <c r="L518" s="88"/>
      <c r="M518" s="88"/>
      <c r="N518" s="88"/>
      <c r="O518" s="88"/>
      <c r="P518" s="88"/>
      <c r="Q518" s="88"/>
      <c r="R518" s="88"/>
      <c r="S518" s="88"/>
      <c r="T518" s="88"/>
      <c r="U518" s="88"/>
      <c r="V518" s="88"/>
      <c r="W518" s="88"/>
      <c r="X518" s="88"/>
      <c r="Y518" s="88"/>
      <c r="Z518" s="88"/>
      <c r="AA518" s="88"/>
      <c r="AB518" s="128"/>
      <c r="AC518" s="128"/>
      <c r="AD518" s="128"/>
      <c r="AE518" s="128"/>
      <c r="AF518" s="128"/>
      <c r="AG518" s="128"/>
      <c r="AH518" s="127"/>
    </row>
    <row r="519" spans="1:34" ht="13.2">
      <c r="A519" s="88"/>
      <c r="B519" s="88"/>
      <c r="C519" s="88"/>
      <c r="D519" s="88"/>
      <c r="E519" s="88"/>
      <c r="F519" s="88"/>
      <c r="G519" s="88"/>
      <c r="H519" s="88"/>
      <c r="I519" s="88"/>
      <c r="J519" s="88"/>
      <c r="K519" s="88"/>
      <c r="L519" s="88"/>
      <c r="M519" s="88"/>
      <c r="N519" s="88"/>
      <c r="O519" s="88"/>
      <c r="P519" s="88"/>
      <c r="Q519" s="88"/>
      <c r="R519" s="88"/>
      <c r="S519" s="88"/>
      <c r="T519" s="88"/>
      <c r="U519" s="88"/>
      <c r="V519" s="88"/>
      <c r="W519" s="88"/>
      <c r="X519" s="88"/>
      <c r="Y519" s="88"/>
      <c r="Z519" s="88"/>
      <c r="AA519" s="88"/>
      <c r="AB519" s="128"/>
      <c r="AC519" s="128"/>
      <c r="AD519" s="128"/>
      <c r="AE519" s="128"/>
      <c r="AF519" s="128"/>
      <c r="AG519" s="128"/>
      <c r="AH519" s="127"/>
    </row>
    <row r="520" spans="1:34" ht="13.2">
      <c r="A520" s="88"/>
      <c r="B520" s="88"/>
      <c r="C520" s="88"/>
      <c r="D520" s="88"/>
      <c r="E520" s="88"/>
      <c r="F520" s="88"/>
      <c r="G520" s="88"/>
      <c r="H520" s="88"/>
      <c r="I520" s="88"/>
      <c r="J520" s="88"/>
      <c r="K520" s="88"/>
      <c r="L520" s="88"/>
      <c r="M520" s="88"/>
      <c r="N520" s="88"/>
      <c r="O520" s="88"/>
      <c r="P520" s="88"/>
      <c r="Q520" s="88"/>
      <c r="R520" s="88"/>
      <c r="S520" s="88"/>
      <c r="T520" s="88"/>
      <c r="U520" s="88"/>
      <c r="V520" s="88"/>
      <c r="W520" s="88"/>
      <c r="X520" s="88"/>
      <c r="Y520" s="88"/>
      <c r="Z520" s="88"/>
      <c r="AA520" s="88"/>
      <c r="AB520" s="128"/>
      <c r="AC520" s="128"/>
      <c r="AD520" s="128"/>
      <c r="AE520" s="128"/>
      <c r="AF520" s="128"/>
      <c r="AG520" s="128"/>
      <c r="AH520" s="127"/>
    </row>
    <row r="521" spans="1:34" ht="13.2">
      <c r="A521" s="88"/>
      <c r="B521" s="88"/>
      <c r="C521" s="88"/>
      <c r="D521" s="88"/>
      <c r="E521" s="88"/>
      <c r="F521" s="88"/>
      <c r="G521" s="88"/>
      <c r="H521" s="88"/>
      <c r="I521" s="88"/>
      <c r="J521" s="88"/>
      <c r="K521" s="88"/>
      <c r="L521" s="88"/>
      <c r="M521" s="88"/>
      <c r="N521" s="88"/>
      <c r="O521" s="88"/>
      <c r="P521" s="88"/>
      <c r="Q521" s="88"/>
      <c r="R521" s="88"/>
      <c r="S521" s="88"/>
      <c r="T521" s="88"/>
      <c r="U521" s="88"/>
      <c r="V521" s="88"/>
      <c r="W521" s="88"/>
      <c r="X521" s="88"/>
      <c r="Y521" s="88"/>
      <c r="Z521" s="88"/>
      <c r="AA521" s="88"/>
      <c r="AB521" s="128"/>
      <c r="AC521" s="128"/>
      <c r="AD521" s="128"/>
      <c r="AE521" s="128"/>
      <c r="AF521" s="128"/>
      <c r="AG521" s="128"/>
      <c r="AH521" s="127"/>
    </row>
    <row r="522" spans="1:34" ht="13.2">
      <c r="A522" s="88"/>
      <c r="B522" s="88"/>
      <c r="C522" s="88"/>
      <c r="D522" s="88"/>
      <c r="E522" s="88"/>
      <c r="F522" s="88"/>
      <c r="G522" s="88"/>
      <c r="H522" s="88"/>
      <c r="I522" s="88"/>
      <c r="J522" s="88"/>
      <c r="K522" s="88"/>
      <c r="L522" s="88"/>
      <c r="M522" s="88"/>
      <c r="N522" s="88"/>
      <c r="O522" s="88"/>
      <c r="P522" s="88"/>
      <c r="Q522" s="88"/>
      <c r="R522" s="88"/>
      <c r="S522" s="88"/>
      <c r="T522" s="88"/>
      <c r="U522" s="88"/>
      <c r="V522" s="88"/>
      <c r="W522" s="88"/>
      <c r="X522" s="88"/>
      <c r="Y522" s="88"/>
      <c r="Z522" s="88"/>
      <c r="AA522" s="88"/>
      <c r="AB522" s="128"/>
      <c r="AC522" s="128"/>
      <c r="AD522" s="128"/>
      <c r="AE522" s="128"/>
      <c r="AF522" s="128"/>
      <c r="AG522" s="128"/>
      <c r="AH522" s="127"/>
    </row>
    <row r="523" spans="1:34" ht="13.2">
      <c r="A523" s="88"/>
      <c r="B523" s="88"/>
      <c r="C523" s="88"/>
      <c r="D523" s="88"/>
      <c r="E523" s="88"/>
      <c r="F523" s="88"/>
      <c r="G523" s="88"/>
      <c r="H523" s="88"/>
      <c r="I523" s="88"/>
      <c r="J523" s="88"/>
      <c r="K523" s="88"/>
      <c r="L523" s="88"/>
      <c r="M523" s="88"/>
      <c r="N523" s="88"/>
      <c r="O523" s="88"/>
      <c r="P523" s="88"/>
      <c r="Q523" s="88"/>
      <c r="R523" s="88"/>
      <c r="S523" s="88"/>
      <c r="T523" s="88"/>
      <c r="U523" s="88"/>
      <c r="V523" s="88"/>
      <c r="W523" s="88"/>
      <c r="X523" s="88"/>
      <c r="Y523" s="88"/>
      <c r="Z523" s="88"/>
      <c r="AA523" s="88"/>
      <c r="AB523" s="128"/>
      <c r="AC523" s="128"/>
      <c r="AD523" s="128"/>
      <c r="AE523" s="128"/>
      <c r="AF523" s="128"/>
      <c r="AG523" s="128"/>
      <c r="AH523" s="127"/>
    </row>
    <row r="524" spans="1:34" ht="13.2">
      <c r="A524" s="88"/>
      <c r="B524" s="88"/>
      <c r="C524" s="88"/>
      <c r="D524" s="88"/>
      <c r="E524" s="88"/>
      <c r="F524" s="88"/>
      <c r="G524" s="88"/>
      <c r="H524" s="88"/>
      <c r="I524" s="88"/>
      <c r="J524" s="88"/>
      <c r="K524" s="88"/>
      <c r="L524" s="88"/>
      <c r="M524" s="88"/>
      <c r="N524" s="88"/>
      <c r="O524" s="88"/>
      <c r="P524" s="88"/>
      <c r="Q524" s="88"/>
      <c r="R524" s="88"/>
      <c r="S524" s="88"/>
      <c r="T524" s="88"/>
      <c r="U524" s="88"/>
      <c r="V524" s="88"/>
      <c r="W524" s="88"/>
      <c r="X524" s="88"/>
      <c r="Y524" s="88"/>
      <c r="Z524" s="88"/>
      <c r="AA524" s="88"/>
      <c r="AB524" s="128"/>
      <c r="AC524" s="128"/>
      <c r="AD524" s="128"/>
      <c r="AE524" s="128"/>
      <c r="AF524" s="128"/>
      <c r="AG524" s="128"/>
      <c r="AH524" s="127"/>
    </row>
    <row r="525" spans="1:34" ht="13.2">
      <c r="A525" s="88"/>
      <c r="B525" s="88"/>
      <c r="C525" s="88"/>
      <c r="D525" s="88"/>
      <c r="E525" s="88"/>
      <c r="F525" s="88"/>
      <c r="G525" s="88"/>
      <c r="H525" s="88"/>
      <c r="I525" s="88"/>
      <c r="J525" s="88"/>
      <c r="K525" s="88"/>
      <c r="L525" s="88"/>
      <c r="M525" s="88"/>
      <c r="N525" s="88"/>
      <c r="O525" s="88"/>
      <c r="P525" s="88"/>
      <c r="Q525" s="88"/>
      <c r="R525" s="88"/>
      <c r="S525" s="88"/>
      <c r="T525" s="88"/>
      <c r="U525" s="88"/>
      <c r="V525" s="88"/>
      <c r="W525" s="88"/>
      <c r="X525" s="88"/>
      <c r="Y525" s="88"/>
      <c r="Z525" s="88"/>
      <c r="AA525" s="88"/>
      <c r="AB525" s="128"/>
      <c r="AC525" s="128"/>
      <c r="AD525" s="128"/>
      <c r="AE525" s="128"/>
      <c r="AF525" s="128"/>
      <c r="AG525" s="128"/>
      <c r="AH525" s="127"/>
    </row>
    <row r="526" spans="1:34" ht="13.2">
      <c r="A526" s="88"/>
      <c r="B526" s="88"/>
      <c r="C526" s="88"/>
      <c r="D526" s="88"/>
      <c r="E526" s="88"/>
      <c r="F526" s="88"/>
      <c r="G526" s="88"/>
      <c r="H526" s="88"/>
      <c r="I526" s="88"/>
      <c r="J526" s="88"/>
      <c r="K526" s="88"/>
      <c r="L526" s="88"/>
      <c r="M526" s="88"/>
      <c r="N526" s="88"/>
      <c r="O526" s="88"/>
      <c r="P526" s="88"/>
      <c r="Q526" s="88"/>
      <c r="R526" s="88"/>
      <c r="S526" s="88"/>
      <c r="T526" s="88"/>
      <c r="U526" s="88"/>
      <c r="V526" s="88"/>
      <c r="W526" s="88"/>
      <c r="X526" s="88"/>
      <c r="Y526" s="88"/>
      <c r="Z526" s="88"/>
      <c r="AA526" s="88"/>
      <c r="AB526" s="128"/>
      <c r="AC526" s="128"/>
      <c r="AD526" s="128"/>
      <c r="AE526" s="128"/>
      <c r="AF526" s="128"/>
      <c r="AG526" s="128"/>
      <c r="AH526" s="127"/>
    </row>
    <row r="527" spans="1:34" ht="13.2">
      <c r="A527" s="88"/>
      <c r="B527" s="88"/>
      <c r="C527" s="88"/>
      <c r="D527" s="88"/>
      <c r="E527" s="88"/>
      <c r="F527" s="88"/>
      <c r="G527" s="88"/>
      <c r="H527" s="88"/>
      <c r="I527" s="88"/>
      <c r="J527" s="88"/>
      <c r="K527" s="88"/>
      <c r="L527" s="88"/>
      <c r="M527" s="88"/>
      <c r="N527" s="88"/>
      <c r="O527" s="88"/>
      <c r="P527" s="88"/>
      <c r="Q527" s="88"/>
      <c r="R527" s="88"/>
      <c r="S527" s="88"/>
      <c r="T527" s="88"/>
      <c r="U527" s="88"/>
      <c r="V527" s="88"/>
      <c r="W527" s="88"/>
      <c r="X527" s="88"/>
      <c r="Y527" s="88"/>
      <c r="Z527" s="88"/>
      <c r="AA527" s="88"/>
      <c r="AB527" s="128"/>
      <c r="AC527" s="128"/>
      <c r="AD527" s="128"/>
      <c r="AE527" s="128"/>
      <c r="AF527" s="128"/>
      <c r="AG527" s="128"/>
      <c r="AH527" s="127"/>
    </row>
    <row r="528" spans="1:34" ht="13.2">
      <c r="A528" s="88"/>
      <c r="B528" s="88"/>
      <c r="C528" s="88"/>
      <c r="D528" s="88"/>
      <c r="E528" s="88"/>
      <c r="F528" s="88"/>
      <c r="G528" s="88"/>
      <c r="H528" s="88"/>
      <c r="I528" s="88"/>
      <c r="J528" s="88"/>
      <c r="K528" s="88"/>
      <c r="L528" s="88"/>
      <c r="M528" s="88"/>
      <c r="N528" s="88"/>
      <c r="O528" s="88"/>
      <c r="P528" s="88"/>
      <c r="Q528" s="88"/>
      <c r="R528" s="88"/>
      <c r="S528" s="88"/>
      <c r="T528" s="88"/>
      <c r="U528" s="88"/>
      <c r="V528" s="88"/>
      <c r="W528" s="88"/>
      <c r="X528" s="88"/>
      <c r="Y528" s="88"/>
      <c r="Z528" s="88"/>
      <c r="AA528" s="88"/>
      <c r="AB528" s="128"/>
      <c r="AC528" s="128"/>
      <c r="AD528" s="128"/>
      <c r="AE528" s="128"/>
      <c r="AF528" s="128"/>
      <c r="AG528" s="128"/>
      <c r="AH528" s="127"/>
    </row>
    <row r="529" spans="1:34" ht="13.2">
      <c r="A529" s="88"/>
      <c r="B529" s="88"/>
      <c r="C529" s="88"/>
      <c r="D529" s="88"/>
      <c r="E529" s="88"/>
      <c r="F529" s="88"/>
      <c r="G529" s="88"/>
      <c r="H529" s="88"/>
      <c r="I529" s="88"/>
      <c r="J529" s="88"/>
      <c r="K529" s="88"/>
      <c r="L529" s="88"/>
      <c r="M529" s="88"/>
      <c r="N529" s="88"/>
      <c r="O529" s="88"/>
      <c r="P529" s="88"/>
      <c r="Q529" s="88"/>
      <c r="R529" s="88"/>
      <c r="S529" s="88"/>
      <c r="T529" s="88"/>
      <c r="U529" s="88"/>
      <c r="V529" s="88"/>
      <c r="W529" s="88"/>
      <c r="X529" s="88"/>
      <c r="Y529" s="88"/>
      <c r="Z529" s="88"/>
      <c r="AA529" s="88"/>
      <c r="AB529" s="128"/>
      <c r="AC529" s="128"/>
      <c r="AD529" s="128"/>
      <c r="AE529" s="128"/>
      <c r="AF529" s="128"/>
      <c r="AG529" s="128"/>
      <c r="AH529" s="127"/>
    </row>
    <row r="530" spans="1:34" ht="13.2">
      <c r="A530" s="88"/>
      <c r="B530" s="88"/>
      <c r="C530" s="88"/>
      <c r="D530" s="88"/>
      <c r="E530" s="88"/>
      <c r="F530" s="88"/>
      <c r="G530" s="88"/>
      <c r="H530" s="88"/>
      <c r="I530" s="88"/>
      <c r="J530" s="88"/>
      <c r="K530" s="88"/>
      <c r="L530" s="88"/>
      <c r="M530" s="88"/>
      <c r="N530" s="88"/>
      <c r="O530" s="88"/>
      <c r="P530" s="88"/>
      <c r="Q530" s="88"/>
      <c r="R530" s="88"/>
      <c r="S530" s="88"/>
      <c r="T530" s="88"/>
      <c r="U530" s="88"/>
      <c r="V530" s="88"/>
      <c r="W530" s="88"/>
      <c r="X530" s="88"/>
      <c r="Y530" s="88"/>
      <c r="Z530" s="88"/>
      <c r="AA530" s="88"/>
      <c r="AB530" s="128"/>
      <c r="AC530" s="128"/>
      <c r="AD530" s="128"/>
      <c r="AE530" s="128"/>
      <c r="AF530" s="128"/>
      <c r="AG530" s="128"/>
      <c r="AH530" s="127"/>
    </row>
    <row r="531" spans="1:34" ht="13.2">
      <c r="A531" s="88"/>
      <c r="B531" s="88"/>
      <c r="C531" s="88"/>
      <c r="D531" s="88"/>
      <c r="E531" s="88"/>
      <c r="F531" s="88"/>
      <c r="G531" s="88"/>
      <c r="H531" s="88"/>
      <c r="I531" s="88"/>
      <c r="J531" s="88"/>
      <c r="K531" s="88"/>
      <c r="L531" s="88"/>
      <c r="M531" s="88"/>
      <c r="N531" s="88"/>
      <c r="O531" s="88"/>
      <c r="P531" s="88"/>
      <c r="Q531" s="88"/>
      <c r="R531" s="88"/>
      <c r="S531" s="88"/>
      <c r="T531" s="88"/>
      <c r="U531" s="88"/>
      <c r="V531" s="88"/>
      <c r="W531" s="88"/>
      <c r="X531" s="88"/>
      <c r="Y531" s="88"/>
      <c r="Z531" s="88"/>
      <c r="AA531" s="88"/>
      <c r="AB531" s="128"/>
      <c r="AC531" s="128"/>
      <c r="AD531" s="128"/>
      <c r="AE531" s="128"/>
      <c r="AF531" s="128"/>
      <c r="AG531" s="128"/>
      <c r="AH531" s="127"/>
    </row>
    <row r="532" spans="1:34" ht="13.2">
      <c r="A532" s="88"/>
      <c r="B532" s="88"/>
      <c r="C532" s="88"/>
      <c r="D532" s="88"/>
      <c r="E532" s="88"/>
      <c r="F532" s="88"/>
      <c r="G532" s="88"/>
      <c r="H532" s="88"/>
      <c r="I532" s="88"/>
      <c r="J532" s="88"/>
      <c r="K532" s="88"/>
      <c r="L532" s="88"/>
      <c r="M532" s="88"/>
      <c r="N532" s="88"/>
      <c r="O532" s="88"/>
      <c r="P532" s="88"/>
      <c r="Q532" s="88"/>
      <c r="R532" s="88"/>
      <c r="S532" s="88"/>
      <c r="T532" s="88"/>
      <c r="U532" s="88"/>
      <c r="V532" s="88"/>
      <c r="W532" s="88"/>
      <c r="X532" s="88"/>
      <c r="Y532" s="88"/>
      <c r="Z532" s="88"/>
      <c r="AA532" s="88"/>
      <c r="AB532" s="128"/>
      <c r="AC532" s="128"/>
      <c r="AD532" s="128"/>
      <c r="AE532" s="128"/>
      <c r="AF532" s="128"/>
      <c r="AG532" s="128"/>
      <c r="AH532" s="127"/>
    </row>
    <row r="533" spans="1:34" ht="13.2">
      <c r="A533" s="88"/>
      <c r="B533" s="88"/>
      <c r="C533" s="88"/>
      <c r="D533" s="88"/>
      <c r="E533" s="88"/>
      <c r="F533" s="88"/>
      <c r="G533" s="88"/>
      <c r="H533" s="88"/>
      <c r="I533" s="88"/>
      <c r="J533" s="88"/>
      <c r="K533" s="88"/>
      <c r="L533" s="88"/>
      <c r="M533" s="88"/>
      <c r="N533" s="88"/>
      <c r="O533" s="88"/>
      <c r="P533" s="88"/>
      <c r="Q533" s="88"/>
      <c r="R533" s="88"/>
      <c r="S533" s="88"/>
      <c r="T533" s="88"/>
      <c r="U533" s="88"/>
      <c r="V533" s="88"/>
      <c r="W533" s="88"/>
      <c r="X533" s="88"/>
      <c r="Y533" s="88"/>
      <c r="Z533" s="88"/>
      <c r="AA533" s="88"/>
      <c r="AB533" s="128"/>
      <c r="AC533" s="128"/>
      <c r="AD533" s="128"/>
      <c r="AE533" s="128"/>
      <c r="AF533" s="128"/>
      <c r="AG533" s="128"/>
      <c r="AH533" s="127"/>
    </row>
    <row r="534" spans="1:34" ht="13.2">
      <c r="A534" s="88"/>
      <c r="B534" s="88"/>
      <c r="C534" s="88"/>
      <c r="D534" s="88"/>
      <c r="E534" s="88"/>
      <c r="F534" s="88"/>
      <c r="G534" s="88"/>
      <c r="H534" s="88"/>
      <c r="I534" s="88"/>
      <c r="J534" s="88"/>
      <c r="K534" s="88"/>
      <c r="L534" s="88"/>
      <c r="M534" s="88"/>
      <c r="N534" s="88"/>
      <c r="O534" s="88"/>
      <c r="P534" s="88"/>
      <c r="Q534" s="88"/>
      <c r="R534" s="88"/>
      <c r="S534" s="88"/>
      <c r="T534" s="88"/>
      <c r="U534" s="88"/>
      <c r="V534" s="88"/>
      <c r="W534" s="88"/>
      <c r="X534" s="88"/>
      <c r="Y534" s="88"/>
      <c r="Z534" s="88"/>
      <c r="AA534" s="88"/>
      <c r="AB534" s="128"/>
      <c r="AC534" s="128"/>
      <c r="AD534" s="128"/>
      <c r="AE534" s="128"/>
      <c r="AF534" s="128"/>
      <c r="AG534" s="128"/>
      <c r="AH534" s="127"/>
    </row>
    <row r="535" spans="1:34" ht="13.2">
      <c r="A535" s="88"/>
      <c r="B535" s="88"/>
      <c r="C535" s="88"/>
      <c r="D535" s="88"/>
      <c r="E535" s="88"/>
      <c r="F535" s="88"/>
      <c r="G535" s="88"/>
      <c r="H535" s="88"/>
      <c r="I535" s="88"/>
      <c r="J535" s="88"/>
      <c r="K535" s="88"/>
      <c r="L535" s="88"/>
      <c r="M535" s="88"/>
      <c r="N535" s="88"/>
      <c r="O535" s="88"/>
      <c r="P535" s="88"/>
      <c r="Q535" s="88"/>
      <c r="R535" s="88"/>
      <c r="S535" s="88"/>
      <c r="T535" s="88"/>
      <c r="U535" s="88"/>
      <c r="V535" s="88"/>
      <c r="W535" s="88"/>
      <c r="X535" s="88"/>
      <c r="Y535" s="88"/>
      <c r="Z535" s="88"/>
      <c r="AA535" s="88"/>
      <c r="AB535" s="128"/>
      <c r="AC535" s="128"/>
      <c r="AD535" s="128"/>
      <c r="AE535" s="128"/>
      <c r="AF535" s="128"/>
      <c r="AG535" s="128"/>
      <c r="AH535" s="127"/>
    </row>
    <row r="536" spans="1:34" ht="13.2">
      <c r="A536" s="88"/>
      <c r="B536" s="88"/>
      <c r="C536" s="88"/>
      <c r="D536" s="88"/>
      <c r="E536" s="88"/>
      <c r="F536" s="88"/>
      <c r="G536" s="88"/>
      <c r="H536" s="88"/>
      <c r="I536" s="88"/>
      <c r="J536" s="88"/>
      <c r="K536" s="88"/>
      <c r="L536" s="88"/>
      <c r="M536" s="88"/>
      <c r="N536" s="88"/>
      <c r="O536" s="88"/>
      <c r="P536" s="88"/>
      <c r="Q536" s="88"/>
      <c r="R536" s="88"/>
      <c r="S536" s="88"/>
      <c r="T536" s="88"/>
      <c r="U536" s="88"/>
      <c r="V536" s="88"/>
      <c r="W536" s="88"/>
      <c r="X536" s="88"/>
      <c r="Y536" s="88"/>
      <c r="Z536" s="88"/>
      <c r="AA536" s="88"/>
      <c r="AB536" s="128"/>
      <c r="AC536" s="128"/>
      <c r="AD536" s="128"/>
      <c r="AE536" s="128"/>
      <c r="AF536" s="128"/>
      <c r="AG536" s="128"/>
      <c r="AH536" s="127"/>
    </row>
    <row r="537" spans="1:34" ht="13.2">
      <c r="A537" s="88"/>
      <c r="B537" s="88"/>
      <c r="C537" s="88"/>
      <c r="D537" s="88"/>
      <c r="E537" s="88"/>
      <c r="F537" s="88"/>
      <c r="G537" s="88"/>
      <c r="H537" s="88"/>
      <c r="I537" s="88"/>
      <c r="J537" s="88"/>
      <c r="K537" s="88"/>
      <c r="L537" s="88"/>
      <c r="M537" s="88"/>
      <c r="N537" s="88"/>
      <c r="O537" s="88"/>
      <c r="P537" s="88"/>
      <c r="Q537" s="88"/>
      <c r="R537" s="88"/>
      <c r="S537" s="88"/>
      <c r="T537" s="88"/>
      <c r="U537" s="88"/>
      <c r="V537" s="88"/>
      <c r="W537" s="88"/>
      <c r="X537" s="88"/>
      <c r="Y537" s="88"/>
      <c r="Z537" s="88"/>
      <c r="AA537" s="88"/>
      <c r="AB537" s="128"/>
      <c r="AC537" s="128"/>
      <c r="AD537" s="128"/>
      <c r="AE537" s="128"/>
      <c r="AF537" s="128"/>
      <c r="AG537" s="128"/>
      <c r="AH537" s="127"/>
    </row>
    <row r="538" spans="1:34" ht="13.2">
      <c r="A538" s="88"/>
      <c r="B538" s="88"/>
      <c r="C538" s="88"/>
      <c r="D538" s="88"/>
      <c r="E538" s="88"/>
      <c r="F538" s="88"/>
      <c r="G538" s="88"/>
      <c r="H538" s="88"/>
      <c r="I538" s="88"/>
      <c r="J538" s="88"/>
      <c r="K538" s="88"/>
      <c r="L538" s="88"/>
      <c r="M538" s="88"/>
      <c r="N538" s="88"/>
      <c r="O538" s="88"/>
      <c r="P538" s="88"/>
      <c r="Q538" s="88"/>
      <c r="R538" s="88"/>
      <c r="S538" s="88"/>
      <c r="T538" s="88"/>
      <c r="U538" s="88"/>
      <c r="V538" s="88"/>
      <c r="W538" s="88"/>
      <c r="X538" s="88"/>
      <c r="Y538" s="88"/>
      <c r="Z538" s="88"/>
      <c r="AA538" s="88"/>
      <c r="AB538" s="128"/>
      <c r="AC538" s="128"/>
      <c r="AD538" s="128"/>
      <c r="AE538" s="128"/>
      <c r="AF538" s="128"/>
      <c r="AG538" s="128"/>
      <c r="AH538" s="127"/>
    </row>
    <row r="539" spans="1:34" ht="13.2">
      <c r="A539" s="88"/>
      <c r="B539" s="88"/>
      <c r="C539" s="88"/>
      <c r="D539" s="88"/>
      <c r="E539" s="88"/>
      <c r="F539" s="88"/>
      <c r="G539" s="88"/>
      <c r="H539" s="88"/>
      <c r="I539" s="88"/>
      <c r="J539" s="88"/>
      <c r="K539" s="88"/>
      <c r="L539" s="88"/>
      <c r="M539" s="88"/>
      <c r="N539" s="88"/>
      <c r="O539" s="88"/>
      <c r="P539" s="88"/>
      <c r="Q539" s="88"/>
      <c r="R539" s="88"/>
      <c r="S539" s="88"/>
      <c r="T539" s="88"/>
      <c r="U539" s="88"/>
      <c r="V539" s="88"/>
      <c r="W539" s="88"/>
      <c r="X539" s="88"/>
      <c r="Y539" s="88"/>
      <c r="Z539" s="88"/>
      <c r="AA539" s="88"/>
      <c r="AB539" s="128"/>
      <c r="AC539" s="128"/>
      <c r="AD539" s="128"/>
      <c r="AE539" s="128"/>
      <c r="AF539" s="128"/>
      <c r="AG539" s="128"/>
      <c r="AH539" s="127"/>
    </row>
    <row r="540" spans="1:34" ht="13.2">
      <c r="A540" s="88"/>
      <c r="B540" s="88"/>
      <c r="C540" s="88"/>
      <c r="D540" s="88"/>
      <c r="E540" s="88"/>
      <c r="F540" s="88"/>
      <c r="G540" s="88"/>
      <c r="H540" s="88"/>
      <c r="I540" s="88"/>
      <c r="J540" s="88"/>
      <c r="K540" s="88"/>
      <c r="L540" s="88"/>
      <c r="M540" s="88"/>
      <c r="N540" s="88"/>
      <c r="O540" s="88"/>
      <c r="P540" s="88"/>
      <c r="Q540" s="88"/>
      <c r="R540" s="88"/>
      <c r="S540" s="88"/>
      <c r="T540" s="88"/>
      <c r="U540" s="88"/>
      <c r="V540" s="88"/>
      <c r="W540" s="88"/>
      <c r="X540" s="88"/>
      <c r="Y540" s="88"/>
      <c r="Z540" s="88"/>
      <c r="AA540" s="88"/>
      <c r="AB540" s="128"/>
      <c r="AC540" s="128"/>
      <c r="AD540" s="128"/>
      <c r="AE540" s="128"/>
      <c r="AF540" s="128"/>
      <c r="AG540" s="128"/>
      <c r="AH540" s="127"/>
    </row>
    <row r="541" spans="1:34" ht="13.2">
      <c r="A541" s="88"/>
      <c r="B541" s="88"/>
      <c r="C541" s="88"/>
      <c r="D541" s="88"/>
      <c r="E541" s="88"/>
      <c r="F541" s="88"/>
      <c r="G541" s="88"/>
      <c r="H541" s="88"/>
      <c r="I541" s="88"/>
      <c r="J541" s="88"/>
      <c r="K541" s="88"/>
      <c r="L541" s="88"/>
      <c r="M541" s="88"/>
      <c r="N541" s="88"/>
      <c r="O541" s="88"/>
      <c r="P541" s="88"/>
      <c r="Q541" s="88"/>
      <c r="R541" s="88"/>
      <c r="S541" s="88"/>
      <c r="T541" s="88"/>
      <c r="U541" s="88"/>
      <c r="V541" s="88"/>
      <c r="W541" s="88"/>
      <c r="X541" s="88"/>
      <c r="Y541" s="88"/>
      <c r="Z541" s="88"/>
      <c r="AA541" s="88"/>
      <c r="AB541" s="128"/>
      <c r="AC541" s="128"/>
      <c r="AD541" s="128"/>
      <c r="AE541" s="128"/>
      <c r="AF541" s="128"/>
      <c r="AG541" s="128"/>
      <c r="AH541" s="127"/>
    </row>
    <row r="542" spans="1:34" ht="13.2">
      <c r="A542" s="88"/>
      <c r="B542" s="88"/>
      <c r="C542" s="88"/>
      <c r="D542" s="88"/>
      <c r="E542" s="88"/>
      <c r="F542" s="88"/>
      <c r="G542" s="88"/>
      <c r="H542" s="88"/>
      <c r="I542" s="88"/>
      <c r="J542" s="88"/>
      <c r="K542" s="88"/>
      <c r="L542" s="88"/>
      <c r="M542" s="88"/>
      <c r="N542" s="88"/>
      <c r="O542" s="88"/>
      <c r="P542" s="88"/>
      <c r="Q542" s="88"/>
      <c r="R542" s="88"/>
      <c r="S542" s="88"/>
      <c r="T542" s="88"/>
      <c r="U542" s="88"/>
      <c r="V542" s="88"/>
      <c r="W542" s="88"/>
      <c r="X542" s="88"/>
      <c r="Y542" s="88"/>
      <c r="Z542" s="88"/>
      <c r="AA542" s="88"/>
      <c r="AB542" s="128"/>
      <c r="AC542" s="128"/>
      <c r="AD542" s="128"/>
      <c r="AE542" s="128"/>
      <c r="AF542" s="128"/>
      <c r="AG542" s="128"/>
      <c r="AH542" s="127"/>
    </row>
    <row r="543" spans="1:34" ht="13.2">
      <c r="A543" s="88"/>
      <c r="B543" s="88"/>
      <c r="C543" s="88"/>
      <c r="D543" s="88"/>
      <c r="E543" s="88"/>
      <c r="F543" s="88"/>
      <c r="G543" s="88"/>
      <c r="H543" s="88"/>
      <c r="I543" s="88"/>
      <c r="J543" s="88"/>
      <c r="K543" s="88"/>
      <c r="L543" s="88"/>
      <c r="M543" s="88"/>
      <c r="N543" s="88"/>
      <c r="O543" s="88"/>
      <c r="P543" s="88"/>
      <c r="Q543" s="88"/>
      <c r="R543" s="88"/>
      <c r="S543" s="88"/>
      <c r="T543" s="88"/>
      <c r="U543" s="88"/>
      <c r="V543" s="88"/>
      <c r="W543" s="88"/>
      <c r="X543" s="88"/>
      <c r="Y543" s="88"/>
      <c r="Z543" s="88"/>
      <c r="AA543" s="88"/>
      <c r="AB543" s="128"/>
      <c r="AC543" s="128"/>
      <c r="AD543" s="128"/>
      <c r="AE543" s="128"/>
      <c r="AF543" s="128"/>
      <c r="AG543" s="128"/>
      <c r="AH543" s="127"/>
    </row>
    <row r="544" spans="1:34" ht="13.2">
      <c r="A544" s="88"/>
      <c r="B544" s="88"/>
      <c r="C544" s="88"/>
      <c r="D544" s="88"/>
      <c r="E544" s="88"/>
      <c r="F544" s="88"/>
      <c r="G544" s="88"/>
      <c r="H544" s="88"/>
      <c r="I544" s="88"/>
      <c r="J544" s="88"/>
      <c r="K544" s="88"/>
      <c r="L544" s="88"/>
      <c r="M544" s="88"/>
      <c r="N544" s="88"/>
      <c r="O544" s="88"/>
      <c r="P544" s="88"/>
      <c r="Q544" s="88"/>
      <c r="R544" s="88"/>
      <c r="S544" s="88"/>
      <c r="T544" s="88"/>
      <c r="U544" s="88"/>
      <c r="V544" s="88"/>
      <c r="W544" s="88"/>
      <c r="X544" s="88"/>
      <c r="Y544" s="88"/>
      <c r="Z544" s="88"/>
      <c r="AA544" s="88"/>
      <c r="AB544" s="128"/>
      <c r="AC544" s="128"/>
      <c r="AD544" s="128"/>
      <c r="AE544" s="128"/>
      <c r="AF544" s="128"/>
      <c r="AG544" s="128"/>
      <c r="AH544" s="127"/>
    </row>
    <row r="545" spans="1:34" ht="13.2">
      <c r="A545" s="88"/>
      <c r="B545" s="88"/>
      <c r="C545" s="88"/>
      <c r="D545" s="88"/>
      <c r="E545" s="88"/>
      <c r="F545" s="88"/>
      <c r="G545" s="88"/>
      <c r="H545" s="88"/>
      <c r="I545" s="88"/>
      <c r="J545" s="88"/>
      <c r="K545" s="88"/>
      <c r="L545" s="88"/>
      <c r="M545" s="88"/>
      <c r="N545" s="88"/>
      <c r="O545" s="88"/>
      <c r="P545" s="88"/>
      <c r="Q545" s="88"/>
      <c r="R545" s="88"/>
      <c r="S545" s="88"/>
      <c r="T545" s="88"/>
      <c r="U545" s="88"/>
      <c r="V545" s="88"/>
      <c r="W545" s="88"/>
      <c r="X545" s="88"/>
      <c r="Y545" s="88"/>
      <c r="Z545" s="88"/>
      <c r="AA545" s="88"/>
      <c r="AB545" s="128"/>
      <c r="AC545" s="128"/>
      <c r="AD545" s="128"/>
      <c r="AE545" s="128"/>
      <c r="AF545" s="128"/>
      <c r="AG545" s="128"/>
      <c r="AH545" s="127"/>
    </row>
    <row r="546" spans="1:34" ht="13.2">
      <c r="A546" s="88"/>
      <c r="B546" s="88"/>
      <c r="C546" s="88"/>
      <c r="D546" s="88"/>
      <c r="E546" s="88"/>
      <c r="F546" s="88"/>
      <c r="G546" s="88"/>
      <c r="H546" s="88"/>
      <c r="I546" s="88"/>
      <c r="J546" s="88"/>
      <c r="K546" s="88"/>
      <c r="L546" s="88"/>
      <c r="M546" s="88"/>
      <c r="N546" s="88"/>
      <c r="O546" s="88"/>
      <c r="P546" s="88"/>
      <c r="Q546" s="88"/>
      <c r="R546" s="88"/>
      <c r="S546" s="88"/>
      <c r="T546" s="88"/>
      <c r="U546" s="88"/>
      <c r="V546" s="88"/>
      <c r="W546" s="88"/>
      <c r="X546" s="88"/>
      <c r="Y546" s="88"/>
      <c r="Z546" s="88"/>
      <c r="AA546" s="88"/>
      <c r="AB546" s="128"/>
      <c r="AC546" s="128"/>
      <c r="AD546" s="128"/>
      <c r="AE546" s="128"/>
      <c r="AF546" s="128"/>
      <c r="AG546" s="128"/>
      <c r="AH546" s="127"/>
    </row>
    <row r="547" spans="1:34" ht="13.2">
      <c r="A547" s="88"/>
      <c r="B547" s="88"/>
      <c r="C547" s="88"/>
      <c r="D547" s="88"/>
      <c r="E547" s="88"/>
      <c r="F547" s="88"/>
      <c r="G547" s="88"/>
      <c r="H547" s="88"/>
      <c r="I547" s="88"/>
      <c r="J547" s="88"/>
      <c r="K547" s="88"/>
      <c r="L547" s="88"/>
      <c r="M547" s="88"/>
      <c r="N547" s="88"/>
      <c r="O547" s="88"/>
      <c r="P547" s="88"/>
      <c r="Q547" s="88"/>
      <c r="R547" s="88"/>
      <c r="S547" s="88"/>
      <c r="T547" s="88"/>
      <c r="U547" s="88"/>
      <c r="V547" s="88"/>
      <c r="W547" s="88"/>
      <c r="X547" s="88"/>
      <c r="Y547" s="88"/>
      <c r="Z547" s="88"/>
      <c r="AA547" s="88"/>
      <c r="AB547" s="128"/>
      <c r="AC547" s="128"/>
      <c r="AD547" s="128"/>
      <c r="AE547" s="128"/>
      <c r="AF547" s="128"/>
      <c r="AG547" s="128"/>
      <c r="AH547" s="127"/>
    </row>
    <row r="548" spans="1:34" ht="13.2">
      <c r="A548" s="88"/>
      <c r="B548" s="88"/>
      <c r="C548" s="88"/>
      <c r="D548" s="88"/>
      <c r="E548" s="88"/>
      <c r="F548" s="88"/>
      <c r="G548" s="88"/>
      <c r="H548" s="88"/>
      <c r="I548" s="88"/>
      <c r="J548" s="88"/>
      <c r="K548" s="88"/>
      <c r="L548" s="88"/>
      <c r="M548" s="88"/>
      <c r="N548" s="88"/>
      <c r="O548" s="88"/>
      <c r="P548" s="88"/>
      <c r="Q548" s="88"/>
      <c r="R548" s="88"/>
      <c r="S548" s="88"/>
      <c r="T548" s="88"/>
      <c r="U548" s="88"/>
      <c r="V548" s="88"/>
      <c r="W548" s="88"/>
      <c r="X548" s="88"/>
      <c r="Y548" s="88"/>
      <c r="Z548" s="88"/>
      <c r="AA548" s="88"/>
      <c r="AB548" s="128"/>
      <c r="AC548" s="128"/>
      <c r="AD548" s="128"/>
      <c r="AE548" s="128"/>
      <c r="AF548" s="128"/>
      <c r="AG548" s="128"/>
      <c r="AH548" s="127"/>
    </row>
    <row r="549" spans="1:34" ht="13.2">
      <c r="A549" s="88"/>
      <c r="B549" s="88"/>
      <c r="C549" s="88"/>
      <c r="D549" s="88"/>
      <c r="E549" s="88"/>
      <c r="F549" s="88"/>
      <c r="G549" s="88"/>
      <c r="H549" s="88"/>
      <c r="I549" s="88"/>
      <c r="J549" s="88"/>
      <c r="K549" s="88"/>
      <c r="L549" s="88"/>
      <c r="M549" s="88"/>
      <c r="N549" s="88"/>
      <c r="O549" s="88"/>
      <c r="P549" s="88"/>
      <c r="Q549" s="88"/>
      <c r="R549" s="88"/>
      <c r="S549" s="88"/>
      <c r="T549" s="88"/>
      <c r="U549" s="88"/>
      <c r="V549" s="88"/>
      <c r="W549" s="88"/>
      <c r="X549" s="88"/>
      <c r="Y549" s="88"/>
      <c r="Z549" s="88"/>
      <c r="AA549" s="88"/>
      <c r="AB549" s="128"/>
      <c r="AC549" s="128"/>
      <c r="AD549" s="128"/>
      <c r="AE549" s="128"/>
      <c r="AF549" s="128"/>
      <c r="AG549" s="128"/>
      <c r="AH549" s="127"/>
    </row>
    <row r="550" spans="1:34" ht="13.2">
      <c r="A550" s="88"/>
      <c r="B550" s="88"/>
      <c r="C550" s="88"/>
      <c r="D550" s="88"/>
      <c r="E550" s="88"/>
      <c r="F550" s="88"/>
      <c r="G550" s="88"/>
      <c r="H550" s="88"/>
      <c r="I550" s="88"/>
      <c r="J550" s="88"/>
      <c r="K550" s="88"/>
      <c r="L550" s="88"/>
      <c r="M550" s="88"/>
      <c r="N550" s="88"/>
      <c r="O550" s="88"/>
      <c r="P550" s="88"/>
      <c r="Q550" s="88"/>
      <c r="R550" s="88"/>
      <c r="S550" s="88"/>
      <c r="T550" s="88"/>
      <c r="U550" s="88"/>
      <c r="V550" s="88"/>
      <c r="W550" s="88"/>
      <c r="X550" s="88"/>
      <c r="Y550" s="88"/>
      <c r="Z550" s="88"/>
      <c r="AA550" s="88"/>
      <c r="AB550" s="128"/>
      <c r="AC550" s="128"/>
      <c r="AD550" s="128"/>
      <c r="AE550" s="128"/>
      <c r="AF550" s="128"/>
      <c r="AG550" s="128"/>
      <c r="AH550" s="127"/>
    </row>
    <row r="551" spans="1:34" ht="13.2">
      <c r="A551" s="88"/>
      <c r="B551" s="88"/>
      <c r="C551" s="88"/>
      <c r="D551" s="88"/>
      <c r="E551" s="88"/>
      <c r="F551" s="88"/>
      <c r="G551" s="88"/>
      <c r="H551" s="88"/>
      <c r="I551" s="88"/>
      <c r="J551" s="88"/>
      <c r="K551" s="88"/>
      <c r="L551" s="88"/>
      <c r="M551" s="88"/>
      <c r="N551" s="88"/>
      <c r="O551" s="88"/>
      <c r="P551" s="88"/>
      <c r="Q551" s="88"/>
      <c r="R551" s="88"/>
      <c r="S551" s="88"/>
      <c r="T551" s="88"/>
      <c r="U551" s="88"/>
      <c r="V551" s="88"/>
      <c r="W551" s="88"/>
      <c r="X551" s="88"/>
      <c r="Y551" s="88"/>
      <c r="Z551" s="88"/>
      <c r="AA551" s="88"/>
      <c r="AB551" s="128"/>
      <c r="AC551" s="128"/>
      <c r="AD551" s="128"/>
      <c r="AE551" s="128"/>
      <c r="AF551" s="128"/>
      <c r="AG551" s="128"/>
      <c r="AH551" s="127"/>
    </row>
    <row r="552" spans="1:34" ht="13.2">
      <c r="A552" s="88"/>
      <c r="B552" s="88"/>
      <c r="C552" s="88"/>
      <c r="D552" s="88"/>
      <c r="E552" s="88"/>
      <c r="F552" s="88"/>
      <c r="G552" s="88"/>
      <c r="H552" s="88"/>
      <c r="I552" s="88"/>
      <c r="J552" s="88"/>
      <c r="K552" s="88"/>
      <c r="L552" s="88"/>
      <c r="M552" s="88"/>
      <c r="N552" s="88"/>
      <c r="O552" s="88"/>
      <c r="P552" s="88"/>
      <c r="Q552" s="88"/>
      <c r="R552" s="88"/>
      <c r="S552" s="88"/>
      <c r="T552" s="88"/>
      <c r="U552" s="88"/>
      <c r="V552" s="88"/>
      <c r="W552" s="88"/>
      <c r="X552" s="88"/>
      <c r="Y552" s="88"/>
      <c r="Z552" s="88"/>
      <c r="AA552" s="88"/>
      <c r="AB552" s="128"/>
      <c r="AC552" s="128"/>
      <c r="AD552" s="128"/>
      <c r="AE552" s="128"/>
      <c r="AF552" s="128"/>
      <c r="AG552" s="128"/>
      <c r="AH552" s="127"/>
    </row>
    <row r="553" spans="1:34" ht="13.2">
      <c r="A553" s="88"/>
      <c r="B553" s="88"/>
      <c r="C553" s="88"/>
      <c r="D553" s="88"/>
      <c r="E553" s="88"/>
      <c r="F553" s="88"/>
      <c r="G553" s="88"/>
      <c r="H553" s="88"/>
      <c r="I553" s="88"/>
      <c r="J553" s="88"/>
      <c r="K553" s="88"/>
      <c r="L553" s="88"/>
      <c r="M553" s="88"/>
      <c r="N553" s="88"/>
      <c r="O553" s="88"/>
      <c r="P553" s="88"/>
      <c r="Q553" s="88"/>
      <c r="R553" s="88"/>
      <c r="S553" s="88"/>
      <c r="T553" s="88"/>
      <c r="U553" s="88"/>
      <c r="V553" s="88"/>
      <c r="W553" s="88"/>
      <c r="X553" s="88"/>
      <c r="Y553" s="88"/>
      <c r="Z553" s="88"/>
      <c r="AA553" s="88"/>
      <c r="AB553" s="128"/>
      <c r="AC553" s="128"/>
      <c r="AD553" s="128"/>
      <c r="AE553" s="128"/>
      <c r="AF553" s="128"/>
      <c r="AG553" s="128"/>
      <c r="AH553" s="127"/>
    </row>
    <row r="554" spans="1:34" ht="13.2">
      <c r="A554" s="88"/>
      <c r="B554" s="88"/>
      <c r="C554" s="88"/>
      <c r="D554" s="88"/>
      <c r="E554" s="88"/>
      <c r="F554" s="88"/>
      <c r="G554" s="88"/>
      <c r="H554" s="88"/>
      <c r="I554" s="88"/>
      <c r="J554" s="88"/>
      <c r="K554" s="88"/>
      <c r="L554" s="88"/>
      <c r="M554" s="88"/>
      <c r="N554" s="88"/>
      <c r="O554" s="88"/>
      <c r="P554" s="88"/>
      <c r="Q554" s="88"/>
      <c r="R554" s="88"/>
      <c r="S554" s="88"/>
      <c r="T554" s="88"/>
      <c r="U554" s="88"/>
      <c r="V554" s="88"/>
      <c r="W554" s="88"/>
      <c r="X554" s="88"/>
      <c r="Y554" s="88"/>
      <c r="Z554" s="88"/>
      <c r="AA554" s="88"/>
      <c r="AB554" s="128"/>
      <c r="AC554" s="128"/>
      <c r="AD554" s="128"/>
      <c r="AE554" s="128"/>
      <c r="AF554" s="128"/>
      <c r="AG554" s="128"/>
      <c r="AH554" s="127"/>
    </row>
    <row r="555" spans="1:34" ht="13.2">
      <c r="A555" s="88"/>
      <c r="B555" s="88"/>
      <c r="C555" s="88"/>
      <c r="D555" s="88"/>
      <c r="E555" s="88"/>
      <c r="F555" s="88"/>
      <c r="G555" s="88"/>
      <c r="H555" s="88"/>
      <c r="I555" s="88"/>
      <c r="J555" s="88"/>
      <c r="K555" s="88"/>
      <c r="L555" s="88"/>
      <c r="M555" s="88"/>
      <c r="N555" s="88"/>
      <c r="O555" s="88"/>
      <c r="P555" s="88"/>
      <c r="Q555" s="88"/>
      <c r="R555" s="88"/>
      <c r="S555" s="88"/>
      <c r="T555" s="88"/>
      <c r="U555" s="88"/>
      <c r="V555" s="88"/>
      <c r="W555" s="88"/>
      <c r="X555" s="88"/>
      <c r="Y555" s="88"/>
      <c r="Z555" s="88"/>
      <c r="AA555" s="88"/>
      <c r="AB555" s="128"/>
      <c r="AC555" s="128"/>
      <c r="AD555" s="128"/>
      <c r="AE555" s="128"/>
      <c r="AF555" s="128"/>
      <c r="AG555" s="128"/>
      <c r="AH555" s="127"/>
    </row>
    <row r="556" spans="1:34" ht="13.2">
      <c r="A556" s="88"/>
      <c r="B556" s="88"/>
      <c r="C556" s="88"/>
      <c r="D556" s="88"/>
      <c r="E556" s="88"/>
      <c r="F556" s="88"/>
      <c r="G556" s="88"/>
      <c r="H556" s="88"/>
      <c r="I556" s="88"/>
      <c r="J556" s="88"/>
      <c r="K556" s="88"/>
      <c r="L556" s="88"/>
      <c r="M556" s="88"/>
      <c r="N556" s="88"/>
      <c r="O556" s="88"/>
      <c r="P556" s="88"/>
      <c r="Q556" s="88"/>
      <c r="R556" s="88"/>
      <c r="S556" s="88"/>
      <c r="T556" s="88"/>
      <c r="U556" s="88"/>
      <c r="V556" s="88"/>
      <c r="W556" s="88"/>
      <c r="X556" s="88"/>
      <c r="Y556" s="88"/>
      <c r="Z556" s="88"/>
      <c r="AA556" s="88"/>
      <c r="AB556" s="128"/>
      <c r="AC556" s="128"/>
      <c r="AD556" s="128"/>
      <c r="AE556" s="128"/>
      <c r="AF556" s="128"/>
      <c r="AG556" s="128"/>
      <c r="AH556" s="127"/>
    </row>
    <row r="557" spans="1:34" ht="13.2">
      <c r="A557" s="88"/>
      <c r="B557" s="88"/>
      <c r="C557" s="88"/>
      <c r="D557" s="88"/>
      <c r="E557" s="88"/>
      <c r="F557" s="88"/>
      <c r="G557" s="88"/>
      <c r="H557" s="88"/>
      <c r="I557" s="88"/>
      <c r="J557" s="88"/>
      <c r="K557" s="88"/>
      <c r="L557" s="88"/>
      <c r="M557" s="88"/>
      <c r="N557" s="88"/>
      <c r="O557" s="88"/>
      <c r="P557" s="88"/>
      <c r="Q557" s="88"/>
      <c r="R557" s="88"/>
      <c r="S557" s="88"/>
      <c r="T557" s="88"/>
      <c r="U557" s="88"/>
      <c r="V557" s="88"/>
      <c r="W557" s="88"/>
      <c r="X557" s="88"/>
      <c r="Y557" s="88"/>
      <c r="Z557" s="88"/>
      <c r="AA557" s="88"/>
      <c r="AB557" s="128"/>
      <c r="AC557" s="128"/>
      <c r="AD557" s="128"/>
      <c r="AE557" s="128"/>
      <c r="AF557" s="128"/>
      <c r="AG557" s="128"/>
      <c r="AH557" s="127"/>
    </row>
    <row r="558" spans="1:34" ht="13.2">
      <c r="A558" s="88"/>
      <c r="B558" s="88"/>
      <c r="C558" s="88"/>
      <c r="D558" s="88"/>
      <c r="E558" s="88"/>
      <c r="F558" s="88"/>
      <c r="G558" s="88"/>
      <c r="H558" s="88"/>
      <c r="I558" s="88"/>
      <c r="J558" s="88"/>
      <c r="K558" s="88"/>
      <c r="L558" s="88"/>
      <c r="M558" s="88"/>
      <c r="N558" s="88"/>
      <c r="O558" s="88"/>
      <c r="P558" s="88"/>
      <c r="Q558" s="88"/>
      <c r="R558" s="88"/>
      <c r="S558" s="88"/>
      <c r="T558" s="88"/>
      <c r="U558" s="88"/>
      <c r="V558" s="88"/>
      <c r="W558" s="88"/>
      <c r="X558" s="88"/>
      <c r="Y558" s="88"/>
      <c r="Z558" s="88"/>
      <c r="AA558" s="88"/>
      <c r="AB558" s="128"/>
      <c r="AC558" s="128"/>
      <c r="AD558" s="128"/>
      <c r="AE558" s="128"/>
      <c r="AF558" s="128"/>
      <c r="AG558" s="128"/>
      <c r="AH558" s="127"/>
    </row>
    <row r="559" spans="1:34" ht="13.2">
      <c r="A559" s="88"/>
      <c r="B559" s="88"/>
      <c r="C559" s="88"/>
      <c r="D559" s="88"/>
      <c r="E559" s="88"/>
      <c r="F559" s="88"/>
      <c r="G559" s="88"/>
      <c r="H559" s="88"/>
      <c r="I559" s="88"/>
      <c r="J559" s="88"/>
      <c r="K559" s="88"/>
      <c r="L559" s="88"/>
      <c r="M559" s="88"/>
      <c r="N559" s="88"/>
      <c r="O559" s="88"/>
      <c r="P559" s="88"/>
      <c r="Q559" s="88"/>
      <c r="R559" s="88"/>
      <c r="S559" s="88"/>
      <c r="T559" s="88"/>
      <c r="U559" s="88"/>
      <c r="V559" s="88"/>
      <c r="W559" s="88"/>
      <c r="X559" s="88"/>
      <c r="Y559" s="88"/>
      <c r="Z559" s="88"/>
      <c r="AA559" s="88"/>
      <c r="AB559" s="128"/>
      <c r="AC559" s="128"/>
      <c r="AD559" s="128"/>
      <c r="AE559" s="128"/>
      <c r="AF559" s="128"/>
      <c r="AG559" s="128"/>
      <c r="AH559" s="127"/>
    </row>
    <row r="560" spans="1:34" ht="13.2">
      <c r="A560" s="88"/>
      <c r="B560" s="88"/>
      <c r="C560" s="88"/>
      <c r="D560" s="88"/>
      <c r="E560" s="88"/>
      <c r="F560" s="88"/>
      <c r="G560" s="88"/>
      <c r="H560" s="88"/>
      <c r="I560" s="88"/>
      <c r="J560" s="88"/>
      <c r="K560" s="88"/>
      <c r="L560" s="88"/>
      <c r="M560" s="88"/>
      <c r="N560" s="88"/>
      <c r="O560" s="88"/>
      <c r="P560" s="88"/>
      <c r="Q560" s="88"/>
      <c r="R560" s="88"/>
      <c r="S560" s="88"/>
      <c r="T560" s="88"/>
      <c r="U560" s="88"/>
      <c r="V560" s="88"/>
      <c r="W560" s="88"/>
      <c r="X560" s="88"/>
      <c r="Y560" s="88"/>
      <c r="Z560" s="88"/>
      <c r="AA560" s="88"/>
      <c r="AB560" s="128"/>
      <c r="AC560" s="128"/>
      <c r="AD560" s="128"/>
      <c r="AE560" s="128"/>
      <c r="AF560" s="128"/>
      <c r="AG560" s="128"/>
      <c r="AH560" s="127"/>
    </row>
    <row r="561" spans="1:34" ht="13.2">
      <c r="A561" s="88"/>
      <c r="B561" s="88"/>
      <c r="C561" s="88"/>
      <c r="D561" s="88"/>
      <c r="E561" s="88"/>
      <c r="F561" s="88"/>
      <c r="G561" s="88"/>
      <c r="H561" s="88"/>
      <c r="I561" s="88"/>
      <c r="J561" s="88"/>
      <c r="K561" s="88"/>
      <c r="L561" s="88"/>
      <c r="M561" s="88"/>
      <c r="N561" s="88"/>
      <c r="O561" s="88"/>
      <c r="P561" s="88"/>
      <c r="Q561" s="88"/>
      <c r="R561" s="88"/>
      <c r="S561" s="88"/>
      <c r="T561" s="88"/>
      <c r="U561" s="88"/>
      <c r="V561" s="88"/>
      <c r="W561" s="88"/>
      <c r="X561" s="88"/>
      <c r="Y561" s="88"/>
      <c r="Z561" s="88"/>
      <c r="AA561" s="88"/>
      <c r="AB561" s="128"/>
      <c r="AC561" s="128"/>
      <c r="AD561" s="128"/>
      <c r="AE561" s="128"/>
      <c r="AF561" s="128"/>
      <c r="AG561" s="128"/>
      <c r="AH561" s="127"/>
    </row>
    <row r="562" spans="1:34" ht="13.2">
      <c r="A562" s="88"/>
      <c r="B562" s="88"/>
      <c r="C562" s="88"/>
      <c r="D562" s="88"/>
      <c r="E562" s="88"/>
      <c r="F562" s="88"/>
      <c r="G562" s="88"/>
      <c r="H562" s="88"/>
      <c r="I562" s="88"/>
      <c r="J562" s="88"/>
      <c r="K562" s="88"/>
      <c r="L562" s="88"/>
      <c r="M562" s="88"/>
      <c r="N562" s="88"/>
      <c r="O562" s="88"/>
      <c r="P562" s="88"/>
      <c r="Q562" s="88"/>
      <c r="R562" s="88"/>
      <c r="S562" s="88"/>
      <c r="T562" s="88"/>
      <c r="U562" s="88"/>
      <c r="V562" s="88"/>
      <c r="W562" s="88"/>
      <c r="X562" s="88"/>
      <c r="Y562" s="88"/>
      <c r="Z562" s="88"/>
      <c r="AA562" s="88"/>
      <c r="AB562" s="128"/>
      <c r="AC562" s="128"/>
      <c r="AD562" s="128"/>
      <c r="AE562" s="128"/>
      <c r="AF562" s="128"/>
      <c r="AG562" s="128"/>
      <c r="AH562" s="127"/>
    </row>
    <row r="563" spans="1:34" ht="13.2">
      <c r="A563" s="88"/>
      <c r="B563" s="88"/>
      <c r="C563" s="88"/>
      <c r="D563" s="88"/>
      <c r="E563" s="88"/>
      <c r="F563" s="88"/>
      <c r="G563" s="88"/>
      <c r="H563" s="88"/>
      <c r="I563" s="88"/>
      <c r="J563" s="88"/>
      <c r="K563" s="88"/>
      <c r="L563" s="88"/>
      <c r="M563" s="88"/>
      <c r="N563" s="88"/>
      <c r="O563" s="88"/>
      <c r="P563" s="88"/>
      <c r="Q563" s="88"/>
      <c r="R563" s="88"/>
      <c r="S563" s="88"/>
      <c r="T563" s="88"/>
      <c r="U563" s="88"/>
      <c r="V563" s="88"/>
      <c r="W563" s="88"/>
      <c r="X563" s="88"/>
      <c r="Y563" s="88"/>
      <c r="Z563" s="88"/>
      <c r="AA563" s="88"/>
      <c r="AB563" s="128"/>
      <c r="AC563" s="128"/>
      <c r="AD563" s="128"/>
      <c r="AE563" s="128"/>
      <c r="AF563" s="128"/>
      <c r="AG563" s="128"/>
      <c r="AH563" s="127"/>
    </row>
    <row r="564" spans="1:34" ht="13.2">
      <c r="A564" s="88"/>
      <c r="B564" s="88"/>
      <c r="C564" s="88"/>
      <c r="D564" s="88"/>
      <c r="E564" s="88"/>
      <c r="F564" s="88"/>
      <c r="G564" s="88"/>
      <c r="H564" s="88"/>
      <c r="I564" s="88"/>
      <c r="J564" s="88"/>
      <c r="K564" s="88"/>
      <c r="L564" s="88"/>
      <c r="M564" s="88"/>
      <c r="N564" s="88"/>
      <c r="O564" s="88"/>
      <c r="P564" s="88"/>
      <c r="Q564" s="88"/>
      <c r="R564" s="88"/>
      <c r="S564" s="88"/>
      <c r="T564" s="88"/>
      <c r="U564" s="88"/>
      <c r="V564" s="88"/>
      <c r="W564" s="88"/>
      <c r="X564" s="88"/>
      <c r="Y564" s="88"/>
      <c r="Z564" s="88"/>
      <c r="AA564" s="88"/>
      <c r="AB564" s="128"/>
      <c r="AC564" s="128"/>
      <c r="AD564" s="128"/>
      <c r="AE564" s="128"/>
      <c r="AF564" s="128"/>
      <c r="AG564" s="128"/>
      <c r="AH564" s="127"/>
    </row>
    <row r="565" spans="1:34" ht="13.2">
      <c r="A565" s="88"/>
      <c r="B565" s="88"/>
      <c r="C565" s="88"/>
      <c r="D565" s="88"/>
      <c r="E565" s="88"/>
      <c r="F565" s="88"/>
      <c r="G565" s="88"/>
      <c r="H565" s="88"/>
      <c r="I565" s="88"/>
      <c r="J565" s="88"/>
      <c r="K565" s="88"/>
      <c r="L565" s="88"/>
      <c r="M565" s="88"/>
      <c r="N565" s="88"/>
      <c r="O565" s="88"/>
      <c r="P565" s="88"/>
      <c r="Q565" s="88"/>
      <c r="R565" s="88"/>
      <c r="S565" s="88"/>
      <c r="T565" s="88"/>
      <c r="U565" s="88"/>
      <c r="V565" s="88"/>
      <c r="W565" s="88"/>
      <c r="X565" s="88"/>
      <c r="Y565" s="88"/>
      <c r="Z565" s="88"/>
      <c r="AA565" s="88"/>
      <c r="AB565" s="128"/>
      <c r="AC565" s="128"/>
      <c r="AD565" s="128"/>
      <c r="AE565" s="128"/>
      <c r="AF565" s="128"/>
      <c r="AG565" s="128"/>
      <c r="AH565" s="127"/>
    </row>
    <row r="566" spans="1:34" ht="13.2">
      <c r="A566" s="88"/>
      <c r="B566" s="88"/>
      <c r="C566" s="88"/>
      <c r="D566" s="88"/>
      <c r="E566" s="88"/>
      <c r="F566" s="88"/>
      <c r="G566" s="88"/>
      <c r="H566" s="88"/>
      <c r="I566" s="88"/>
      <c r="J566" s="88"/>
      <c r="K566" s="88"/>
      <c r="L566" s="88"/>
      <c r="M566" s="88"/>
      <c r="N566" s="88"/>
      <c r="O566" s="88"/>
      <c r="P566" s="88"/>
      <c r="Q566" s="88"/>
      <c r="R566" s="88"/>
      <c r="S566" s="88"/>
      <c r="T566" s="88"/>
      <c r="U566" s="88"/>
      <c r="V566" s="88"/>
      <c r="W566" s="88"/>
      <c r="X566" s="88"/>
      <c r="Y566" s="88"/>
      <c r="Z566" s="88"/>
      <c r="AA566" s="88"/>
      <c r="AB566" s="128"/>
      <c r="AC566" s="128"/>
      <c r="AD566" s="128"/>
      <c r="AE566" s="128"/>
      <c r="AF566" s="128"/>
      <c r="AG566" s="128"/>
      <c r="AH566" s="127"/>
    </row>
    <row r="567" spans="1:34" ht="13.2">
      <c r="A567" s="88"/>
      <c r="B567" s="88"/>
      <c r="C567" s="88"/>
      <c r="D567" s="88"/>
      <c r="E567" s="88"/>
      <c r="F567" s="88"/>
      <c r="G567" s="88"/>
      <c r="H567" s="88"/>
      <c r="I567" s="88"/>
      <c r="J567" s="88"/>
      <c r="K567" s="88"/>
      <c r="L567" s="88"/>
      <c r="M567" s="88"/>
      <c r="N567" s="88"/>
      <c r="O567" s="88"/>
      <c r="P567" s="88"/>
      <c r="Q567" s="88"/>
      <c r="R567" s="88"/>
      <c r="S567" s="88"/>
      <c r="T567" s="88"/>
      <c r="U567" s="88"/>
      <c r="V567" s="88"/>
      <c r="W567" s="88"/>
      <c r="X567" s="88"/>
      <c r="Y567" s="88"/>
      <c r="Z567" s="88"/>
      <c r="AA567" s="88"/>
      <c r="AB567" s="128"/>
      <c r="AC567" s="128"/>
      <c r="AD567" s="128"/>
      <c r="AE567" s="128"/>
      <c r="AF567" s="128"/>
      <c r="AG567" s="128"/>
      <c r="AH567" s="127"/>
    </row>
    <row r="568" spans="1:34" ht="13.2">
      <c r="A568" s="88"/>
      <c r="B568" s="88"/>
      <c r="C568" s="88"/>
      <c r="D568" s="88"/>
      <c r="E568" s="88"/>
      <c r="F568" s="88"/>
      <c r="G568" s="88"/>
      <c r="H568" s="88"/>
      <c r="I568" s="88"/>
      <c r="J568" s="88"/>
      <c r="K568" s="88"/>
      <c r="L568" s="88"/>
      <c r="M568" s="88"/>
      <c r="N568" s="88"/>
      <c r="O568" s="88"/>
      <c r="P568" s="88"/>
      <c r="Q568" s="88"/>
      <c r="R568" s="88"/>
      <c r="S568" s="88"/>
      <c r="T568" s="88"/>
      <c r="U568" s="88"/>
      <c r="V568" s="88"/>
      <c r="W568" s="88"/>
      <c r="X568" s="88"/>
      <c r="Y568" s="88"/>
      <c r="Z568" s="88"/>
      <c r="AA568" s="88"/>
      <c r="AB568" s="128"/>
      <c r="AC568" s="128"/>
      <c r="AD568" s="128"/>
      <c r="AE568" s="128"/>
      <c r="AF568" s="128"/>
      <c r="AG568" s="128"/>
      <c r="AH568" s="127"/>
    </row>
    <row r="569" spans="1:34" ht="13.2">
      <c r="A569" s="88"/>
      <c r="B569" s="88"/>
      <c r="C569" s="88"/>
      <c r="D569" s="88"/>
      <c r="E569" s="88"/>
      <c r="F569" s="88"/>
      <c r="G569" s="88"/>
      <c r="H569" s="88"/>
      <c r="I569" s="88"/>
      <c r="J569" s="88"/>
      <c r="K569" s="88"/>
      <c r="L569" s="88"/>
      <c r="M569" s="88"/>
      <c r="N569" s="88"/>
      <c r="O569" s="88"/>
      <c r="P569" s="88"/>
      <c r="Q569" s="88"/>
      <c r="R569" s="88"/>
      <c r="S569" s="88"/>
      <c r="T569" s="88"/>
      <c r="U569" s="88"/>
      <c r="V569" s="88"/>
      <c r="W569" s="88"/>
      <c r="X569" s="88"/>
      <c r="Y569" s="88"/>
      <c r="Z569" s="88"/>
      <c r="AA569" s="88"/>
      <c r="AB569" s="128"/>
      <c r="AC569" s="128"/>
      <c r="AD569" s="128"/>
      <c r="AE569" s="128"/>
      <c r="AF569" s="128"/>
      <c r="AG569" s="128"/>
      <c r="AH569" s="127"/>
    </row>
    <row r="570" spans="1:34" ht="13.2">
      <c r="A570" s="88"/>
      <c r="B570" s="88"/>
      <c r="C570" s="88"/>
      <c r="D570" s="88"/>
      <c r="E570" s="88"/>
      <c r="F570" s="88"/>
      <c r="G570" s="88"/>
      <c r="H570" s="88"/>
      <c r="I570" s="88"/>
      <c r="J570" s="88"/>
      <c r="K570" s="88"/>
      <c r="L570" s="88"/>
      <c r="M570" s="88"/>
      <c r="N570" s="88"/>
      <c r="O570" s="88"/>
      <c r="P570" s="88"/>
      <c r="Q570" s="88"/>
      <c r="R570" s="88"/>
      <c r="S570" s="88"/>
      <c r="T570" s="88"/>
      <c r="U570" s="88"/>
      <c r="V570" s="88"/>
      <c r="W570" s="88"/>
      <c r="X570" s="88"/>
      <c r="Y570" s="88"/>
      <c r="Z570" s="88"/>
      <c r="AA570" s="88"/>
      <c r="AB570" s="128"/>
      <c r="AC570" s="128"/>
      <c r="AD570" s="128"/>
      <c r="AE570" s="128"/>
      <c r="AF570" s="128"/>
      <c r="AG570" s="128"/>
      <c r="AH570" s="127"/>
    </row>
    <row r="571" spans="1:34" ht="13.2">
      <c r="A571" s="88"/>
      <c r="B571" s="88"/>
      <c r="C571" s="88"/>
      <c r="D571" s="88"/>
      <c r="E571" s="88"/>
      <c r="F571" s="88"/>
      <c r="G571" s="88"/>
      <c r="H571" s="88"/>
      <c r="I571" s="88"/>
      <c r="J571" s="88"/>
      <c r="K571" s="88"/>
      <c r="L571" s="88"/>
      <c r="M571" s="88"/>
      <c r="N571" s="88"/>
      <c r="O571" s="88"/>
      <c r="P571" s="88"/>
      <c r="Q571" s="88"/>
      <c r="R571" s="88"/>
      <c r="S571" s="88"/>
      <c r="T571" s="88"/>
      <c r="U571" s="88"/>
      <c r="V571" s="88"/>
      <c r="W571" s="88"/>
      <c r="X571" s="88"/>
      <c r="Y571" s="88"/>
      <c r="Z571" s="88"/>
      <c r="AA571" s="88"/>
      <c r="AB571" s="128"/>
      <c r="AC571" s="128"/>
      <c r="AD571" s="128"/>
      <c r="AE571" s="128"/>
      <c r="AF571" s="128"/>
      <c r="AG571" s="128"/>
      <c r="AH571" s="127"/>
    </row>
    <row r="572" spans="1:34" ht="13.2">
      <c r="A572" s="88"/>
      <c r="B572" s="88"/>
      <c r="C572" s="88"/>
      <c r="D572" s="88"/>
      <c r="E572" s="88"/>
      <c r="F572" s="88"/>
      <c r="G572" s="88"/>
      <c r="H572" s="88"/>
      <c r="I572" s="88"/>
      <c r="J572" s="88"/>
      <c r="K572" s="88"/>
      <c r="L572" s="88"/>
      <c r="M572" s="88"/>
      <c r="N572" s="88"/>
      <c r="O572" s="88"/>
      <c r="P572" s="88"/>
      <c r="Q572" s="88"/>
      <c r="R572" s="88"/>
      <c r="S572" s="88"/>
      <c r="T572" s="88"/>
      <c r="U572" s="88"/>
      <c r="V572" s="88"/>
      <c r="W572" s="88"/>
      <c r="X572" s="88"/>
      <c r="Y572" s="88"/>
      <c r="Z572" s="88"/>
      <c r="AA572" s="88"/>
      <c r="AB572" s="128"/>
      <c r="AC572" s="128"/>
      <c r="AD572" s="128"/>
      <c r="AE572" s="128"/>
      <c r="AF572" s="128"/>
      <c r="AG572" s="128"/>
      <c r="AH572" s="127"/>
    </row>
    <row r="573" spans="1:34" ht="13.2">
      <c r="A573" s="88"/>
      <c r="B573" s="88"/>
      <c r="C573" s="88"/>
      <c r="D573" s="88"/>
      <c r="E573" s="88"/>
      <c r="F573" s="88"/>
      <c r="G573" s="88"/>
      <c r="H573" s="88"/>
      <c r="I573" s="88"/>
      <c r="J573" s="88"/>
      <c r="K573" s="88"/>
      <c r="L573" s="88"/>
      <c r="M573" s="88"/>
      <c r="N573" s="88"/>
      <c r="O573" s="88"/>
      <c r="P573" s="88"/>
      <c r="Q573" s="88"/>
      <c r="R573" s="88"/>
      <c r="S573" s="88"/>
      <c r="T573" s="88"/>
      <c r="U573" s="88"/>
      <c r="V573" s="88"/>
      <c r="W573" s="88"/>
      <c r="X573" s="88"/>
      <c r="Y573" s="88"/>
      <c r="Z573" s="88"/>
      <c r="AA573" s="88"/>
      <c r="AB573" s="128"/>
      <c r="AC573" s="128"/>
      <c r="AD573" s="128"/>
      <c r="AE573" s="128"/>
      <c r="AF573" s="128"/>
      <c r="AG573" s="128"/>
      <c r="AH573" s="127"/>
    </row>
    <row r="574" spans="1:34" ht="13.2">
      <c r="A574" s="88"/>
      <c r="B574" s="88"/>
      <c r="C574" s="88"/>
      <c r="D574" s="88"/>
      <c r="E574" s="88"/>
      <c r="F574" s="88"/>
      <c r="G574" s="88"/>
      <c r="H574" s="88"/>
      <c r="I574" s="88"/>
      <c r="J574" s="88"/>
      <c r="K574" s="88"/>
      <c r="L574" s="88"/>
      <c r="M574" s="88"/>
      <c r="N574" s="88"/>
      <c r="O574" s="88"/>
      <c r="P574" s="88"/>
      <c r="Q574" s="88"/>
      <c r="R574" s="88"/>
      <c r="S574" s="88"/>
      <c r="T574" s="88"/>
      <c r="U574" s="88"/>
      <c r="V574" s="88"/>
      <c r="W574" s="88"/>
      <c r="X574" s="88"/>
      <c r="Y574" s="88"/>
      <c r="Z574" s="88"/>
      <c r="AA574" s="88"/>
      <c r="AB574" s="128"/>
      <c r="AC574" s="128"/>
      <c r="AD574" s="128"/>
      <c r="AE574" s="128"/>
      <c r="AF574" s="128"/>
      <c r="AG574" s="128"/>
      <c r="AH574" s="127"/>
    </row>
    <row r="575" spans="1:34" ht="13.2">
      <c r="A575" s="88"/>
      <c r="B575" s="88"/>
      <c r="C575" s="88"/>
      <c r="D575" s="88"/>
      <c r="E575" s="88"/>
      <c r="F575" s="88"/>
      <c r="G575" s="88"/>
      <c r="H575" s="88"/>
      <c r="I575" s="88"/>
      <c r="J575" s="88"/>
      <c r="K575" s="88"/>
      <c r="L575" s="88"/>
      <c r="M575" s="88"/>
      <c r="N575" s="88"/>
      <c r="O575" s="88"/>
      <c r="P575" s="88"/>
      <c r="Q575" s="88"/>
      <c r="R575" s="88"/>
      <c r="S575" s="88"/>
      <c r="T575" s="88"/>
      <c r="U575" s="88"/>
      <c r="V575" s="88"/>
      <c r="W575" s="88"/>
      <c r="X575" s="88"/>
      <c r="Y575" s="88"/>
      <c r="Z575" s="88"/>
      <c r="AA575" s="88"/>
      <c r="AB575" s="128"/>
      <c r="AC575" s="128"/>
      <c r="AD575" s="128"/>
      <c r="AE575" s="128"/>
      <c r="AF575" s="128"/>
      <c r="AG575" s="128"/>
      <c r="AH575" s="127"/>
    </row>
    <row r="576" spans="1:34" ht="13.2">
      <c r="A576" s="88"/>
      <c r="B576" s="88"/>
      <c r="C576" s="88"/>
      <c r="D576" s="88"/>
      <c r="E576" s="88"/>
      <c r="F576" s="88"/>
      <c r="G576" s="88"/>
      <c r="H576" s="88"/>
      <c r="I576" s="88"/>
      <c r="J576" s="88"/>
      <c r="K576" s="88"/>
      <c r="L576" s="88"/>
      <c r="M576" s="88"/>
      <c r="N576" s="88"/>
      <c r="O576" s="88"/>
      <c r="P576" s="88"/>
      <c r="Q576" s="88"/>
      <c r="R576" s="88"/>
      <c r="S576" s="88"/>
      <c r="T576" s="88"/>
      <c r="U576" s="88"/>
      <c r="V576" s="88"/>
      <c r="W576" s="88"/>
      <c r="X576" s="88"/>
      <c r="Y576" s="88"/>
      <c r="Z576" s="88"/>
      <c r="AA576" s="88"/>
      <c r="AB576" s="128"/>
      <c r="AC576" s="128"/>
      <c r="AD576" s="128"/>
      <c r="AE576" s="128"/>
      <c r="AF576" s="128"/>
      <c r="AG576" s="128"/>
      <c r="AH576" s="127"/>
    </row>
    <row r="577" spans="1:34" ht="13.2">
      <c r="A577" s="88"/>
      <c r="B577" s="88"/>
      <c r="C577" s="88"/>
      <c r="D577" s="88"/>
      <c r="E577" s="88"/>
      <c r="F577" s="88"/>
      <c r="G577" s="88"/>
      <c r="H577" s="88"/>
      <c r="I577" s="88"/>
      <c r="J577" s="88"/>
      <c r="K577" s="88"/>
      <c r="L577" s="88"/>
      <c r="M577" s="88"/>
      <c r="N577" s="88"/>
      <c r="O577" s="88"/>
      <c r="P577" s="88"/>
      <c r="Q577" s="88"/>
      <c r="R577" s="88"/>
      <c r="S577" s="88"/>
      <c r="T577" s="88"/>
      <c r="U577" s="88"/>
      <c r="V577" s="88"/>
      <c r="W577" s="88"/>
      <c r="X577" s="88"/>
      <c r="Y577" s="88"/>
      <c r="Z577" s="88"/>
      <c r="AA577" s="88"/>
      <c r="AB577" s="128"/>
      <c r="AC577" s="128"/>
      <c r="AD577" s="128"/>
      <c r="AE577" s="128"/>
      <c r="AF577" s="128"/>
      <c r="AG577" s="128"/>
      <c r="AH577" s="127"/>
    </row>
    <row r="578" spans="1:34" ht="13.2">
      <c r="A578" s="88"/>
      <c r="B578" s="88"/>
      <c r="C578" s="88"/>
      <c r="D578" s="88"/>
      <c r="E578" s="88"/>
      <c r="F578" s="88"/>
      <c r="G578" s="88"/>
      <c r="H578" s="88"/>
      <c r="I578" s="88"/>
      <c r="J578" s="88"/>
      <c r="K578" s="88"/>
      <c r="L578" s="88"/>
      <c r="M578" s="88"/>
      <c r="N578" s="88"/>
      <c r="O578" s="88"/>
      <c r="P578" s="88"/>
      <c r="Q578" s="88"/>
      <c r="R578" s="88"/>
      <c r="S578" s="88"/>
      <c r="T578" s="88"/>
      <c r="U578" s="88"/>
      <c r="V578" s="88"/>
      <c r="W578" s="88"/>
      <c r="X578" s="88"/>
      <c r="Y578" s="88"/>
      <c r="Z578" s="88"/>
      <c r="AA578" s="88"/>
      <c r="AB578" s="128"/>
      <c r="AC578" s="128"/>
      <c r="AD578" s="128"/>
      <c r="AE578" s="128"/>
      <c r="AF578" s="128"/>
      <c r="AG578" s="128"/>
      <c r="AH578" s="127"/>
    </row>
    <row r="579" spans="1:34" ht="13.2">
      <c r="A579" s="88"/>
      <c r="B579" s="88"/>
      <c r="C579" s="88"/>
      <c r="D579" s="88"/>
      <c r="E579" s="88"/>
      <c r="F579" s="88"/>
      <c r="G579" s="88"/>
      <c r="H579" s="88"/>
      <c r="I579" s="88"/>
      <c r="J579" s="88"/>
      <c r="K579" s="88"/>
      <c r="L579" s="88"/>
      <c r="M579" s="88"/>
      <c r="N579" s="88"/>
      <c r="O579" s="88"/>
      <c r="P579" s="88"/>
      <c r="Q579" s="88"/>
      <c r="R579" s="88"/>
      <c r="S579" s="88"/>
      <c r="T579" s="88"/>
      <c r="U579" s="88"/>
      <c r="V579" s="88"/>
      <c r="W579" s="88"/>
      <c r="X579" s="88"/>
      <c r="Y579" s="88"/>
      <c r="Z579" s="88"/>
      <c r="AA579" s="88"/>
      <c r="AB579" s="128"/>
      <c r="AC579" s="128"/>
      <c r="AD579" s="128"/>
      <c r="AE579" s="128"/>
      <c r="AF579" s="128"/>
      <c r="AG579" s="128"/>
      <c r="AH579" s="127"/>
    </row>
    <row r="580" spans="1:34" ht="13.2">
      <c r="A580" s="88"/>
      <c r="B580" s="88"/>
      <c r="C580" s="88"/>
      <c r="D580" s="88"/>
      <c r="E580" s="88"/>
      <c r="F580" s="88"/>
      <c r="G580" s="88"/>
      <c r="H580" s="88"/>
      <c r="I580" s="88"/>
      <c r="J580" s="88"/>
      <c r="K580" s="88"/>
      <c r="L580" s="88"/>
      <c r="M580" s="88"/>
      <c r="N580" s="88"/>
      <c r="O580" s="88"/>
      <c r="P580" s="88"/>
      <c r="Q580" s="88"/>
      <c r="R580" s="88"/>
      <c r="S580" s="88"/>
      <c r="T580" s="88"/>
      <c r="U580" s="88"/>
      <c r="V580" s="88"/>
      <c r="W580" s="88"/>
      <c r="X580" s="88"/>
      <c r="Y580" s="88"/>
      <c r="Z580" s="88"/>
      <c r="AA580" s="88"/>
      <c r="AB580" s="128"/>
      <c r="AC580" s="128"/>
      <c r="AD580" s="128"/>
      <c r="AE580" s="128"/>
      <c r="AF580" s="128"/>
      <c r="AG580" s="128"/>
      <c r="AH580" s="127"/>
    </row>
    <row r="581" spans="1:34" ht="13.2">
      <c r="A581" s="88"/>
      <c r="B581" s="88"/>
      <c r="C581" s="88"/>
      <c r="D581" s="88"/>
      <c r="E581" s="88"/>
      <c r="F581" s="88"/>
      <c r="G581" s="88"/>
      <c r="H581" s="88"/>
      <c r="I581" s="88"/>
      <c r="J581" s="88"/>
      <c r="K581" s="88"/>
      <c r="L581" s="88"/>
      <c r="M581" s="88"/>
      <c r="N581" s="88"/>
      <c r="O581" s="88"/>
      <c r="P581" s="88"/>
      <c r="Q581" s="88"/>
      <c r="R581" s="88"/>
      <c r="S581" s="88"/>
      <c r="T581" s="88"/>
      <c r="U581" s="88"/>
      <c r="V581" s="88"/>
      <c r="W581" s="88"/>
      <c r="X581" s="88"/>
      <c r="Y581" s="88"/>
      <c r="Z581" s="88"/>
      <c r="AA581" s="88"/>
      <c r="AB581" s="128"/>
      <c r="AC581" s="128"/>
      <c r="AD581" s="128"/>
      <c r="AE581" s="128"/>
      <c r="AF581" s="128"/>
      <c r="AG581" s="128"/>
      <c r="AH581" s="127"/>
    </row>
    <row r="582" spans="1:34" ht="13.2">
      <c r="A582" s="88"/>
      <c r="B582" s="88"/>
      <c r="C582" s="88"/>
      <c r="D582" s="88"/>
      <c r="E582" s="88"/>
      <c r="F582" s="88"/>
      <c r="G582" s="88"/>
      <c r="H582" s="88"/>
      <c r="I582" s="88"/>
      <c r="J582" s="88"/>
      <c r="K582" s="88"/>
      <c r="L582" s="88"/>
      <c r="M582" s="88"/>
      <c r="N582" s="88"/>
      <c r="O582" s="88"/>
      <c r="P582" s="88"/>
      <c r="Q582" s="88"/>
      <c r="R582" s="88"/>
      <c r="S582" s="88"/>
      <c r="T582" s="88"/>
      <c r="U582" s="88"/>
      <c r="V582" s="88"/>
      <c r="W582" s="88"/>
      <c r="X582" s="88"/>
      <c r="Y582" s="88"/>
      <c r="Z582" s="88"/>
      <c r="AA582" s="88"/>
      <c r="AB582" s="128"/>
      <c r="AC582" s="128"/>
      <c r="AD582" s="128"/>
      <c r="AE582" s="128"/>
      <c r="AF582" s="128"/>
      <c r="AG582" s="128"/>
      <c r="AH582" s="127"/>
    </row>
    <row r="583" spans="1:34" ht="13.2">
      <c r="A583" s="88"/>
      <c r="B583" s="88"/>
      <c r="C583" s="88"/>
      <c r="D583" s="88"/>
      <c r="E583" s="88"/>
      <c r="F583" s="88"/>
      <c r="G583" s="88"/>
      <c r="H583" s="88"/>
      <c r="I583" s="88"/>
      <c r="J583" s="88"/>
      <c r="K583" s="88"/>
      <c r="L583" s="88"/>
      <c r="M583" s="88"/>
      <c r="N583" s="88"/>
      <c r="O583" s="88"/>
      <c r="P583" s="88"/>
      <c r="Q583" s="88"/>
      <c r="R583" s="88"/>
      <c r="S583" s="88"/>
      <c r="T583" s="88"/>
      <c r="U583" s="88"/>
      <c r="V583" s="88"/>
      <c r="W583" s="88"/>
      <c r="X583" s="88"/>
      <c r="Y583" s="88"/>
      <c r="Z583" s="88"/>
      <c r="AA583" s="88"/>
      <c r="AB583" s="128"/>
      <c r="AC583" s="128"/>
      <c r="AD583" s="128"/>
      <c r="AE583" s="128"/>
      <c r="AF583" s="128"/>
      <c r="AG583" s="128"/>
      <c r="AH583" s="127"/>
    </row>
    <row r="584" spans="1:34" ht="13.2">
      <c r="A584" s="88"/>
      <c r="B584" s="88"/>
      <c r="C584" s="88"/>
      <c r="D584" s="88"/>
      <c r="E584" s="88"/>
      <c r="F584" s="88"/>
      <c r="G584" s="88"/>
      <c r="H584" s="88"/>
      <c r="I584" s="88"/>
      <c r="J584" s="88"/>
      <c r="K584" s="88"/>
      <c r="L584" s="88"/>
      <c r="M584" s="88"/>
      <c r="N584" s="88"/>
      <c r="O584" s="88"/>
      <c r="P584" s="88"/>
      <c r="Q584" s="88"/>
      <c r="R584" s="88"/>
      <c r="S584" s="88"/>
      <c r="T584" s="88"/>
      <c r="U584" s="88"/>
      <c r="V584" s="88"/>
      <c r="W584" s="88"/>
      <c r="X584" s="88"/>
      <c r="Y584" s="88"/>
      <c r="Z584" s="88"/>
      <c r="AA584" s="88"/>
      <c r="AB584" s="128"/>
      <c r="AC584" s="128"/>
      <c r="AD584" s="128"/>
      <c r="AE584" s="128"/>
      <c r="AF584" s="128"/>
      <c r="AG584" s="128"/>
      <c r="AH584" s="127"/>
    </row>
    <row r="585" spans="1:34" ht="13.2">
      <c r="A585" s="88"/>
      <c r="B585" s="88"/>
      <c r="C585" s="88"/>
      <c r="D585" s="88"/>
      <c r="E585" s="88"/>
      <c r="F585" s="88"/>
      <c r="G585" s="88"/>
      <c r="H585" s="88"/>
      <c r="I585" s="88"/>
      <c r="J585" s="88"/>
      <c r="K585" s="88"/>
      <c r="L585" s="88"/>
      <c r="M585" s="88"/>
      <c r="N585" s="88"/>
      <c r="O585" s="88"/>
      <c r="P585" s="88"/>
      <c r="Q585" s="88"/>
      <c r="R585" s="88"/>
      <c r="S585" s="88"/>
      <c r="T585" s="88"/>
      <c r="U585" s="88"/>
      <c r="V585" s="88"/>
      <c r="W585" s="88"/>
      <c r="X585" s="88"/>
      <c r="Y585" s="88"/>
      <c r="Z585" s="88"/>
      <c r="AA585" s="88"/>
      <c r="AB585" s="128"/>
      <c r="AC585" s="128"/>
      <c r="AD585" s="128"/>
      <c r="AE585" s="128"/>
      <c r="AF585" s="128"/>
      <c r="AG585" s="128"/>
      <c r="AH585" s="127"/>
    </row>
    <row r="586" spans="1:34" ht="13.2">
      <c r="A586" s="88"/>
      <c r="B586" s="88"/>
      <c r="C586" s="88"/>
      <c r="D586" s="88"/>
      <c r="E586" s="88"/>
      <c r="F586" s="88"/>
      <c r="G586" s="88"/>
      <c r="H586" s="88"/>
      <c r="I586" s="88"/>
      <c r="J586" s="88"/>
      <c r="K586" s="88"/>
      <c r="L586" s="88"/>
      <c r="M586" s="88"/>
      <c r="N586" s="88"/>
      <c r="O586" s="88"/>
      <c r="P586" s="88"/>
      <c r="Q586" s="88"/>
      <c r="R586" s="88"/>
      <c r="S586" s="88"/>
      <c r="T586" s="88"/>
      <c r="U586" s="88"/>
      <c r="V586" s="88"/>
      <c r="W586" s="88"/>
      <c r="X586" s="88"/>
      <c r="Y586" s="88"/>
      <c r="Z586" s="88"/>
      <c r="AA586" s="88"/>
      <c r="AB586" s="128"/>
      <c r="AC586" s="128"/>
      <c r="AD586" s="128"/>
      <c r="AE586" s="128"/>
      <c r="AF586" s="128"/>
      <c r="AG586" s="128"/>
      <c r="AH586" s="127"/>
    </row>
    <row r="587" spans="1:34" ht="13.2">
      <c r="A587" s="88"/>
      <c r="B587" s="88"/>
      <c r="C587" s="88"/>
      <c r="D587" s="88"/>
      <c r="E587" s="88"/>
      <c r="F587" s="88"/>
      <c r="G587" s="88"/>
      <c r="H587" s="88"/>
      <c r="I587" s="88"/>
      <c r="J587" s="88"/>
      <c r="K587" s="88"/>
      <c r="L587" s="88"/>
      <c r="M587" s="88"/>
      <c r="N587" s="88"/>
      <c r="O587" s="88"/>
      <c r="P587" s="88"/>
      <c r="Q587" s="88"/>
      <c r="R587" s="88"/>
      <c r="S587" s="88"/>
      <c r="T587" s="88"/>
      <c r="U587" s="88"/>
      <c r="V587" s="88"/>
      <c r="W587" s="88"/>
      <c r="X587" s="88"/>
      <c r="Y587" s="88"/>
      <c r="Z587" s="88"/>
      <c r="AA587" s="88"/>
      <c r="AB587" s="128"/>
      <c r="AC587" s="128"/>
      <c r="AD587" s="128"/>
      <c r="AE587" s="128"/>
      <c r="AF587" s="128"/>
      <c r="AG587" s="128"/>
      <c r="AH587" s="127"/>
    </row>
    <row r="588" spans="1:34" ht="13.2">
      <c r="A588" s="88"/>
      <c r="B588" s="88"/>
      <c r="C588" s="88"/>
      <c r="D588" s="88"/>
      <c r="E588" s="88"/>
      <c r="F588" s="88"/>
      <c r="G588" s="88"/>
      <c r="H588" s="88"/>
      <c r="I588" s="88"/>
      <c r="J588" s="88"/>
      <c r="K588" s="88"/>
      <c r="L588" s="88"/>
      <c r="M588" s="88"/>
      <c r="N588" s="88"/>
      <c r="O588" s="88"/>
      <c r="P588" s="88"/>
      <c r="Q588" s="88"/>
      <c r="R588" s="88"/>
      <c r="S588" s="88"/>
      <c r="T588" s="88"/>
      <c r="U588" s="88"/>
      <c r="V588" s="88"/>
      <c r="W588" s="88"/>
      <c r="X588" s="88"/>
      <c r="Y588" s="88"/>
      <c r="Z588" s="88"/>
      <c r="AA588" s="88"/>
      <c r="AB588" s="128"/>
      <c r="AC588" s="128"/>
      <c r="AD588" s="128"/>
      <c r="AE588" s="128"/>
      <c r="AF588" s="128"/>
      <c r="AG588" s="128"/>
      <c r="AH588" s="127"/>
    </row>
    <row r="589" spans="1:34" ht="13.2">
      <c r="A589" s="88"/>
      <c r="B589" s="88"/>
      <c r="C589" s="88"/>
      <c r="D589" s="88"/>
      <c r="E589" s="88"/>
      <c r="F589" s="88"/>
      <c r="G589" s="88"/>
      <c r="H589" s="88"/>
      <c r="I589" s="88"/>
      <c r="J589" s="88"/>
      <c r="K589" s="88"/>
      <c r="L589" s="88"/>
      <c r="M589" s="88"/>
      <c r="N589" s="88"/>
      <c r="O589" s="88"/>
      <c r="P589" s="88"/>
      <c r="Q589" s="88"/>
      <c r="R589" s="88"/>
      <c r="S589" s="88"/>
      <c r="T589" s="88"/>
      <c r="U589" s="88"/>
      <c r="V589" s="88"/>
      <c r="W589" s="88"/>
      <c r="X589" s="88"/>
      <c r="Y589" s="88"/>
      <c r="Z589" s="88"/>
      <c r="AA589" s="88"/>
      <c r="AB589" s="128"/>
      <c r="AC589" s="128"/>
      <c r="AD589" s="128"/>
      <c r="AE589" s="128"/>
      <c r="AF589" s="128"/>
      <c r="AG589" s="128"/>
      <c r="AH589" s="127"/>
    </row>
    <row r="590" spans="1:34" ht="13.2">
      <c r="A590" s="88"/>
      <c r="B590" s="88"/>
      <c r="C590" s="88"/>
      <c r="D590" s="88"/>
      <c r="E590" s="88"/>
      <c r="F590" s="88"/>
      <c r="G590" s="88"/>
      <c r="H590" s="88"/>
      <c r="I590" s="88"/>
      <c r="J590" s="88"/>
      <c r="K590" s="88"/>
      <c r="L590" s="88"/>
      <c r="M590" s="88"/>
      <c r="N590" s="88"/>
      <c r="O590" s="88"/>
      <c r="P590" s="88"/>
      <c r="Q590" s="88"/>
      <c r="R590" s="88"/>
      <c r="S590" s="88"/>
      <c r="T590" s="88"/>
      <c r="U590" s="88"/>
      <c r="V590" s="88"/>
      <c r="W590" s="88"/>
      <c r="X590" s="88"/>
      <c r="Y590" s="88"/>
      <c r="Z590" s="88"/>
      <c r="AA590" s="88"/>
      <c r="AB590" s="128"/>
      <c r="AC590" s="128"/>
      <c r="AD590" s="128"/>
      <c r="AE590" s="128"/>
      <c r="AF590" s="128"/>
      <c r="AG590" s="128"/>
      <c r="AH590" s="127"/>
    </row>
    <row r="591" spans="1:34" ht="13.2">
      <c r="A591" s="88"/>
      <c r="B591" s="88"/>
      <c r="C591" s="88"/>
      <c r="D591" s="88"/>
      <c r="E591" s="88"/>
      <c r="F591" s="88"/>
      <c r="G591" s="88"/>
      <c r="H591" s="88"/>
      <c r="I591" s="88"/>
      <c r="J591" s="88"/>
      <c r="K591" s="88"/>
      <c r="L591" s="88"/>
      <c r="M591" s="88"/>
      <c r="N591" s="88"/>
      <c r="O591" s="88"/>
      <c r="P591" s="88"/>
      <c r="Q591" s="88"/>
      <c r="R591" s="88"/>
      <c r="S591" s="88"/>
      <c r="T591" s="88"/>
      <c r="U591" s="88"/>
      <c r="V591" s="88"/>
      <c r="W591" s="88"/>
      <c r="X591" s="88"/>
      <c r="Y591" s="88"/>
      <c r="Z591" s="88"/>
      <c r="AA591" s="88"/>
      <c r="AB591" s="128"/>
      <c r="AC591" s="128"/>
      <c r="AD591" s="128"/>
      <c r="AE591" s="128"/>
      <c r="AF591" s="128"/>
      <c r="AG591" s="128"/>
      <c r="AH591" s="127"/>
    </row>
    <row r="592" spans="1:34" ht="13.2">
      <c r="A592" s="88"/>
      <c r="B592" s="88"/>
      <c r="C592" s="88"/>
      <c r="D592" s="88"/>
      <c r="E592" s="88"/>
      <c r="F592" s="88"/>
      <c r="G592" s="88"/>
      <c r="H592" s="88"/>
      <c r="I592" s="88"/>
      <c r="J592" s="88"/>
      <c r="K592" s="88"/>
      <c r="L592" s="88"/>
      <c r="M592" s="88"/>
      <c r="N592" s="88"/>
      <c r="O592" s="88"/>
      <c r="P592" s="88"/>
      <c r="Q592" s="88"/>
      <c r="R592" s="88"/>
      <c r="S592" s="88"/>
      <c r="T592" s="88"/>
      <c r="U592" s="88"/>
      <c r="V592" s="88"/>
      <c r="W592" s="88"/>
      <c r="X592" s="88"/>
      <c r="Y592" s="88"/>
      <c r="Z592" s="88"/>
      <c r="AA592" s="88"/>
      <c r="AB592" s="128"/>
      <c r="AC592" s="128"/>
      <c r="AD592" s="128"/>
      <c r="AE592" s="128"/>
      <c r="AF592" s="128"/>
      <c r="AG592" s="128"/>
      <c r="AH592" s="127"/>
    </row>
    <row r="593" spans="1:34" ht="13.2">
      <c r="A593" s="88"/>
      <c r="B593" s="88"/>
      <c r="C593" s="88"/>
      <c r="D593" s="88"/>
      <c r="E593" s="88"/>
      <c r="F593" s="88"/>
      <c r="G593" s="88"/>
      <c r="H593" s="88"/>
      <c r="I593" s="88"/>
      <c r="J593" s="88"/>
      <c r="K593" s="88"/>
      <c r="L593" s="88"/>
      <c r="M593" s="88"/>
      <c r="N593" s="88"/>
      <c r="O593" s="88"/>
      <c r="P593" s="88"/>
      <c r="Q593" s="88"/>
      <c r="R593" s="88"/>
      <c r="S593" s="88"/>
      <c r="T593" s="88"/>
      <c r="U593" s="88"/>
      <c r="V593" s="88"/>
      <c r="W593" s="88"/>
      <c r="X593" s="88"/>
      <c r="Y593" s="88"/>
      <c r="Z593" s="88"/>
      <c r="AA593" s="88"/>
      <c r="AB593" s="128"/>
      <c r="AC593" s="128"/>
      <c r="AD593" s="128"/>
      <c r="AE593" s="128"/>
      <c r="AF593" s="128"/>
      <c r="AG593" s="128"/>
      <c r="AH593" s="127"/>
    </row>
    <row r="594" spans="1:34" ht="13.2">
      <c r="A594" s="88"/>
      <c r="B594" s="88"/>
      <c r="C594" s="88"/>
      <c r="D594" s="88"/>
      <c r="E594" s="88"/>
      <c r="F594" s="88"/>
      <c r="G594" s="88"/>
      <c r="H594" s="88"/>
      <c r="I594" s="88"/>
      <c r="J594" s="88"/>
      <c r="K594" s="88"/>
      <c r="L594" s="88"/>
      <c r="M594" s="88"/>
      <c r="N594" s="88"/>
      <c r="O594" s="88"/>
      <c r="P594" s="88"/>
      <c r="Q594" s="88"/>
      <c r="R594" s="88"/>
      <c r="S594" s="88"/>
      <c r="T594" s="88"/>
      <c r="U594" s="88"/>
      <c r="V594" s="88"/>
      <c r="W594" s="88"/>
      <c r="X594" s="88"/>
      <c r="Y594" s="88"/>
      <c r="Z594" s="88"/>
      <c r="AA594" s="88"/>
      <c r="AB594" s="128"/>
      <c r="AC594" s="128"/>
      <c r="AD594" s="128"/>
      <c r="AE594" s="128"/>
      <c r="AF594" s="128"/>
      <c r="AG594" s="128"/>
      <c r="AH594" s="127"/>
    </row>
    <row r="595" spans="1:34" ht="13.2">
      <c r="A595" s="88"/>
      <c r="B595" s="88"/>
      <c r="C595" s="88"/>
      <c r="D595" s="88"/>
      <c r="E595" s="88"/>
      <c r="F595" s="88"/>
      <c r="G595" s="88"/>
      <c r="H595" s="88"/>
      <c r="I595" s="88"/>
      <c r="J595" s="88"/>
      <c r="K595" s="88"/>
      <c r="L595" s="88"/>
      <c r="M595" s="88"/>
      <c r="N595" s="88"/>
      <c r="O595" s="88"/>
      <c r="P595" s="88"/>
      <c r="Q595" s="88"/>
      <c r="R595" s="88"/>
      <c r="S595" s="88"/>
      <c r="T595" s="88"/>
      <c r="U595" s="88"/>
      <c r="V595" s="88"/>
      <c r="W595" s="88"/>
      <c r="X595" s="88"/>
      <c r="Y595" s="88"/>
      <c r="Z595" s="88"/>
      <c r="AA595" s="88"/>
      <c r="AB595" s="128"/>
      <c r="AC595" s="128"/>
      <c r="AD595" s="128"/>
      <c r="AE595" s="128"/>
      <c r="AF595" s="128"/>
      <c r="AG595" s="128"/>
      <c r="AH595" s="127"/>
    </row>
    <row r="596" spans="1:34" ht="13.2">
      <c r="A596" s="88"/>
      <c r="B596" s="88"/>
      <c r="C596" s="88"/>
      <c r="D596" s="88"/>
      <c r="E596" s="88"/>
      <c r="F596" s="88"/>
      <c r="G596" s="88"/>
      <c r="H596" s="88"/>
      <c r="I596" s="88"/>
      <c r="J596" s="88"/>
      <c r="K596" s="88"/>
      <c r="L596" s="88"/>
      <c r="M596" s="88"/>
      <c r="N596" s="88"/>
      <c r="O596" s="88"/>
      <c r="P596" s="88"/>
      <c r="Q596" s="88"/>
      <c r="R596" s="88"/>
      <c r="S596" s="88"/>
      <c r="T596" s="88"/>
      <c r="U596" s="88"/>
      <c r="V596" s="88"/>
      <c r="W596" s="88"/>
      <c r="X596" s="88"/>
      <c r="Y596" s="88"/>
      <c r="Z596" s="88"/>
      <c r="AA596" s="88"/>
      <c r="AB596" s="128"/>
      <c r="AC596" s="128"/>
      <c r="AD596" s="128"/>
      <c r="AE596" s="128"/>
      <c r="AF596" s="128"/>
      <c r="AG596" s="128"/>
      <c r="AH596" s="127"/>
    </row>
    <row r="597" spans="1:34" ht="13.2">
      <c r="A597" s="88"/>
      <c r="B597" s="88"/>
      <c r="C597" s="88"/>
      <c r="D597" s="88"/>
      <c r="E597" s="88"/>
      <c r="F597" s="88"/>
      <c r="G597" s="88"/>
      <c r="H597" s="88"/>
      <c r="I597" s="88"/>
      <c r="J597" s="88"/>
      <c r="K597" s="88"/>
      <c r="L597" s="88"/>
      <c r="M597" s="88"/>
      <c r="N597" s="88"/>
      <c r="O597" s="88"/>
      <c r="P597" s="88"/>
      <c r="Q597" s="88"/>
      <c r="R597" s="88"/>
      <c r="S597" s="88"/>
      <c r="T597" s="88"/>
      <c r="U597" s="88"/>
      <c r="V597" s="88"/>
      <c r="W597" s="88"/>
      <c r="X597" s="88"/>
      <c r="Y597" s="88"/>
      <c r="Z597" s="88"/>
      <c r="AA597" s="88"/>
      <c r="AB597" s="128"/>
      <c r="AC597" s="128"/>
      <c r="AD597" s="128"/>
      <c r="AE597" s="128"/>
      <c r="AF597" s="128"/>
      <c r="AG597" s="128"/>
      <c r="AH597" s="127"/>
    </row>
    <row r="598" spans="1:34" ht="13.2">
      <c r="A598" s="88"/>
      <c r="B598" s="88"/>
      <c r="C598" s="88"/>
      <c r="D598" s="88"/>
      <c r="E598" s="88"/>
      <c r="F598" s="88"/>
      <c r="G598" s="88"/>
      <c r="H598" s="88"/>
      <c r="I598" s="88"/>
      <c r="J598" s="88"/>
      <c r="K598" s="88"/>
      <c r="L598" s="88"/>
      <c r="M598" s="88"/>
      <c r="N598" s="88"/>
      <c r="O598" s="88"/>
      <c r="P598" s="88"/>
      <c r="Q598" s="88"/>
      <c r="R598" s="88"/>
      <c r="S598" s="88"/>
      <c r="T598" s="88"/>
      <c r="U598" s="88"/>
      <c r="V598" s="88"/>
      <c r="W598" s="88"/>
      <c r="X598" s="88"/>
      <c r="Y598" s="88"/>
      <c r="Z598" s="88"/>
      <c r="AA598" s="88"/>
      <c r="AB598" s="128"/>
      <c r="AC598" s="128"/>
      <c r="AD598" s="128"/>
      <c r="AE598" s="128"/>
      <c r="AF598" s="128"/>
      <c r="AG598" s="128"/>
      <c r="AH598" s="127"/>
    </row>
    <row r="599" spans="1:34" ht="13.2">
      <c r="A599" s="88"/>
      <c r="B599" s="88"/>
      <c r="C599" s="88"/>
      <c r="D599" s="88"/>
      <c r="E599" s="88"/>
      <c r="F599" s="88"/>
      <c r="G599" s="88"/>
      <c r="H599" s="88"/>
      <c r="I599" s="88"/>
      <c r="J599" s="88"/>
      <c r="K599" s="88"/>
      <c r="L599" s="88"/>
      <c r="M599" s="88"/>
      <c r="N599" s="88"/>
      <c r="O599" s="88"/>
      <c r="P599" s="88"/>
      <c r="Q599" s="88"/>
      <c r="R599" s="88"/>
      <c r="S599" s="88"/>
      <c r="T599" s="88"/>
      <c r="U599" s="88"/>
      <c r="V599" s="88"/>
      <c r="W599" s="88"/>
      <c r="X599" s="88"/>
      <c r="Y599" s="88"/>
      <c r="Z599" s="88"/>
      <c r="AA599" s="88"/>
      <c r="AB599" s="128"/>
      <c r="AC599" s="128"/>
      <c r="AD599" s="128"/>
      <c r="AE599" s="128"/>
      <c r="AF599" s="128"/>
      <c r="AG599" s="128"/>
      <c r="AH599" s="127"/>
    </row>
    <row r="600" spans="1:34" ht="13.2">
      <c r="A600" s="88"/>
      <c r="B600" s="88"/>
      <c r="C600" s="88"/>
      <c r="D600" s="88"/>
      <c r="E600" s="88"/>
      <c r="F600" s="88"/>
      <c r="G600" s="88"/>
      <c r="H600" s="88"/>
      <c r="I600" s="88"/>
      <c r="J600" s="88"/>
      <c r="K600" s="88"/>
      <c r="L600" s="88"/>
      <c r="M600" s="88"/>
      <c r="N600" s="88"/>
      <c r="O600" s="88"/>
      <c r="P600" s="88"/>
      <c r="Q600" s="88"/>
      <c r="R600" s="88"/>
      <c r="S600" s="88"/>
      <c r="T600" s="88"/>
      <c r="U600" s="88"/>
      <c r="V600" s="88"/>
      <c r="W600" s="88"/>
      <c r="X600" s="88"/>
      <c r="Y600" s="88"/>
      <c r="Z600" s="88"/>
      <c r="AA600" s="88"/>
      <c r="AB600" s="128"/>
      <c r="AC600" s="128"/>
      <c r="AD600" s="128"/>
      <c r="AE600" s="128"/>
      <c r="AF600" s="128"/>
      <c r="AG600" s="128"/>
      <c r="AH600" s="127"/>
    </row>
    <row r="601" spans="1:34" ht="13.2">
      <c r="A601" s="88"/>
      <c r="B601" s="88"/>
      <c r="C601" s="88"/>
      <c r="D601" s="88"/>
      <c r="E601" s="88"/>
      <c r="F601" s="88"/>
      <c r="G601" s="88"/>
      <c r="H601" s="88"/>
      <c r="I601" s="88"/>
      <c r="J601" s="88"/>
      <c r="K601" s="88"/>
      <c r="L601" s="88"/>
      <c r="M601" s="88"/>
      <c r="N601" s="88"/>
      <c r="O601" s="88"/>
      <c r="P601" s="88"/>
      <c r="Q601" s="88"/>
      <c r="R601" s="88"/>
      <c r="S601" s="88"/>
      <c r="T601" s="88"/>
      <c r="U601" s="88"/>
      <c r="V601" s="88"/>
      <c r="W601" s="88"/>
      <c r="X601" s="88"/>
      <c r="Y601" s="88"/>
      <c r="Z601" s="88"/>
      <c r="AA601" s="88"/>
      <c r="AB601" s="128"/>
      <c r="AC601" s="128"/>
      <c r="AD601" s="128"/>
      <c r="AE601" s="128"/>
      <c r="AF601" s="128"/>
      <c r="AG601" s="128"/>
      <c r="AH601" s="127"/>
    </row>
    <row r="602" spans="1:34" ht="13.2">
      <c r="A602" s="88"/>
      <c r="B602" s="88"/>
      <c r="C602" s="88"/>
      <c r="D602" s="88"/>
      <c r="E602" s="88"/>
      <c r="F602" s="88"/>
      <c r="G602" s="88"/>
      <c r="H602" s="88"/>
      <c r="I602" s="88"/>
      <c r="J602" s="88"/>
      <c r="K602" s="88"/>
      <c r="L602" s="88"/>
      <c r="M602" s="88"/>
      <c r="N602" s="88"/>
      <c r="O602" s="88"/>
      <c r="P602" s="88"/>
      <c r="Q602" s="88"/>
      <c r="R602" s="88"/>
      <c r="S602" s="88"/>
      <c r="T602" s="88"/>
      <c r="U602" s="88"/>
      <c r="V602" s="88"/>
      <c r="W602" s="88"/>
      <c r="X602" s="88"/>
      <c r="Y602" s="88"/>
      <c r="Z602" s="88"/>
      <c r="AA602" s="88"/>
      <c r="AB602" s="128"/>
      <c r="AC602" s="128"/>
      <c r="AD602" s="128"/>
      <c r="AE602" s="128"/>
      <c r="AF602" s="128"/>
      <c r="AG602" s="128"/>
      <c r="AH602" s="127"/>
    </row>
    <row r="603" spans="1:34" ht="13.2">
      <c r="A603" s="88"/>
      <c r="B603" s="88"/>
      <c r="C603" s="88"/>
      <c r="D603" s="88"/>
      <c r="E603" s="88"/>
      <c r="F603" s="88"/>
      <c r="G603" s="88"/>
      <c r="H603" s="88"/>
      <c r="I603" s="88"/>
      <c r="J603" s="88"/>
      <c r="K603" s="88"/>
      <c r="L603" s="88"/>
      <c r="M603" s="88"/>
      <c r="N603" s="88"/>
      <c r="O603" s="88"/>
      <c r="P603" s="88"/>
      <c r="Q603" s="88"/>
      <c r="R603" s="88"/>
      <c r="S603" s="88"/>
      <c r="T603" s="88"/>
      <c r="U603" s="88"/>
      <c r="V603" s="88"/>
      <c r="W603" s="88"/>
      <c r="X603" s="88"/>
      <c r="Y603" s="88"/>
      <c r="Z603" s="88"/>
      <c r="AA603" s="88"/>
      <c r="AB603" s="128"/>
      <c r="AC603" s="128"/>
      <c r="AD603" s="128"/>
      <c r="AE603" s="128"/>
      <c r="AF603" s="128"/>
      <c r="AG603" s="128"/>
      <c r="AH603" s="127"/>
    </row>
    <row r="604" spans="1:34" ht="13.2">
      <c r="A604" s="88"/>
      <c r="B604" s="88"/>
      <c r="C604" s="88"/>
      <c r="D604" s="88"/>
      <c r="E604" s="88"/>
      <c r="F604" s="88"/>
      <c r="G604" s="88"/>
      <c r="H604" s="88"/>
      <c r="I604" s="88"/>
      <c r="J604" s="88"/>
      <c r="K604" s="88"/>
      <c r="L604" s="88"/>
      <c r="M604" s="88"/>
      <c r="N604" s="88"/>
      <c r="O604" s="88"/>
      <c r="P604" s="88"/>
      <c r="Q604" s="88"/>
      <c r="R604" s="88"/>
      <c r="S604" s="88"/>
      <c r="T604" s="88"/>
      <c r="U604" s="88"/>
      <c r="V604" s="88"/>
      <c r="W604" s="88"/>
      <c r="X604" s="88"/>
      <c r="Y604" s="88"/>
      <c r="Z604" s="88"/>
      <c r="AA604" s="88"/>
      <c r="AB604" s="128"/>
      <c r="AC604" s="128"/>
      <c r="AD604" s="128"/>
      <c r="AE604" s="128"/>
      <c r="AF604" s="128"/>
      <c r="AG604" s="128"/>
      <c r="AH604" s="127"/>
    </row>
    <row r="605" spans="1:34" ht="13.2">
      <c r="A605" s="88"/>
      <c r="B605" s="88"/>
      <c r="C605" s="88"/>
      <c r="D605" s="88"/>
      <c r="E605" s="88"/>
      <c r="F605" s="88"/>
      <c r="G605" s="88"/>
      <c r="H605" s="88"/>
      <c r="I605" s="88"/>
      <c r="J605" s="88"/>
      <c r="K605" s="88"/>
      <c r="L605" s="88"/>
      <c r="M605" s="88"/>
      <c r="N605" s="88"/>
      <c r="O605" s="88"/>
      <c r="P605" s="88"/>
      <c r="Q605" s="88"/>
      <c r="R605" s="88"/>
      <c r="S605" s="88"/>
      <c r="T605" s="88"/>
      <c r="U605" s="88"/>
      <c r="V605" s="88"/>
      <c r="W605" s="88"/>
      <c r="X605" s="88"/>
      <c r="Y605" s="88"/>
      <c r="Z605" s="88"/>
      <c r="AA605" s="88"/>
      <c r="AB605" s="128"/>
      <c r="AC605" s="128"/>
      <c r="AD605" s="128"/>
      <c r="AE605" s="128"/>
      <c r="AF605" s="128"/>
      <c r="AG605" s="128"/>
      <c r="AH605" s="127"/>
    </row>
    <row r="606" spans="1:34" ht="13.2">
      <c r="A606" s="88"/>
      <c r="B606" s="88"/>
      <c r="C606" s="88"/>
      <c r="D606" s="88"/>
      <c r="E606" s="88"/>
      <c r="F606" s="88"/>
      <c r="G606" s="88"/>
      <c r="H606" s="88"/>
      <c r="I606" s="88"/>
      <c r="J606" s="88"/>
      <c r="K606" s="88"/>
      <c r="L606" s="88"/>
      <c r="M606" s="88"/>
      <c r="N606" s="88"/>
      <c r="O606" s="88"/>
      <c r="P606" s="88"/>
      <c r="Q606" s="88"/>
      <c r="R606" s="88"/>
      <c r="S606" s="88"/>
      <c r="T606" s="88"/>
      <c r="U606" s="88"/>
      <c r="V606" s="88"/>
      <c r="W606" s="88"/>
      <c r="X606" s="88"/>
      <c r="Y606" s="88"/>
      <c r="Z606" s="88"/>
      <c r="AA606" s="88"/>
      <c r="AB606" s="128"/>
      <c r="AC606" s="128"/>
      <c r="AD606" s="128"/>
      <c r="AE606" s="128"/>
      <c r="AF606" s="128"/>
      <c r="AG606" s="128"/>
      <c r="AH606" s="127"/>
    </row>
    <row r="607" spans="1:34" ht="13.2">
      <c r="A607" s="88"/>
      <c r="B607" s="88"/>
      <c r="C607" s="88"/>
      <c r="D607" s="88"/>
      <c r="E607" s="88"/>
      <c r="F607" s="88"/>
      <c r="G607" s="88"/>
      <c r="H607" s="88"/>
      <c r="I607" s="88"/>
      <c r="J607" s="88"/>
      <c r="K607" s="88"/>
      <c r="L607" s="88"/>
      <c r="M607" s="88"/>
      <c r="N607" s="88"/>
      <c r="O607" s="88"/>
      <c r="P607" s="88"/>
      <c r="Q607" s="88"/>
      <c r="R607" s="88"/>
      <c r="S607" s="88"/>
      <c r="T607" s="88"/>
      <c r="U607" s="88"/>
      <c r="V607" s="88"/>
      <c r="W607" s="88"/>
      <c r="X607" s="88"/>
      <c r="Y607" s="88"/>
      <c r="Z607" s="88"/>
      <c r="AA607" s="88"/>
      <c r="AB607" s="128"/>
      <c r="AC607" s="128"/>
      <c r="AD607" s="128"/>
      <c r="AE607" s="128"/>
      <c r="AF607" s="128"/>
      <c r="AG607" s="128"/>
      <c r="AH607" s="127"/>
    </row>
    <row r="608" spans="1:34" ht="13.2">
      <c r="A608" s="88"/>
      <c r="B608" s="88"/>
      <c r="C608" s="88"/>
      <c r="D608" s="88"/>
      <c r="E608" s="88"/>
      <c r="F608" s="88"/>
      <c r="G608" s="88"/>
      <c r="H608" s="88"/>
      <c r="I608" s="88"/>
      <c r="J608" s="88"/>
      <c r="K608" s="88"/>
      <c r="L608" s="88"/>
      <c r="M608" s="88"/>
      <c r="N608" s="88"/>
      <c r="O608" s="88"/>
      <c r="P608" s="88"/>
      <c r="Q608" s="88"/>
      <c r="R608" s="88"/>
      <c r="S608" s="88"/>
      <c r="T608" s="88"/>
      <c r="U608" s="88"/>
      <c r="V608" s="88"/>
      <c r="W608" s="88"/>
      <c r="X608" s="88"/>
      <c r="Y608" s="88"/>
      <c r="Z608" s="88"/>
      <c r="AA608" s="88"/>
      <c r="AB608" s="128"/>
      <c r="AC608" s="128"/>
      <c r="AD608" s="128"/>
      <c r="AE608" s="128"/>
      <c r="AF608" s="128"/>
      <c r="AG608" s="128"/>
      <c r="AH608" s="127"/>
    </row>
    <row r="609" spans="1:34" ht="13.2">
      <c r="A609" s="88"/>
      <c r="B609" s="88"/>
      <c r="C609" s="88"/>
      <c r="D609" s="88"/>
      <c r="E609" s="88"/>
      <c r="F609" s="88"/>
      <c r="G609" s="88"/>
      <c r="H609" s="88"/>
      <c r="I609" s="88"/>
      <c r="J609" s="88"/>
      <c r="K609" s="88"/>
      <c r="L609" s="88"/>
      <c r="M609" s="88"/>
      <c r="N609" s="88"/>
      <c r="O609" s="88"/>
      <c r="P609" s="88"/>
      <c r="Q609" s="88"/>
      <c r="R609" s="88"/>
      <c r="S609" s="88"/>
      <c r="T609" s="88"/>
      <c r="U609" s="88"/>
      <c r="V609" s="88"/>
      <c r="W609" s="88"/>
      <c r="X609" s="88"/>
      <c r="Y609" s="88"/>
      <c r="Z609" s="88"/>
      <c r="AA609" s="88"/>
      <c r="AB609" s="128"/>
      <c r="AC609" s="128"/>
      <c r="AD609" s="128"/>
      <c r="AE609" s="128"/>
      <c r="AF609" s="128"/>
      <c r="AG609" s="128"/>
      <c r="AH609" s="127"/>
    </row>
    <row r="610" spans="1:34" ht="13.2">
      <c r="A610" s="88"/>
      <c r="B610" s="88"/>
      <c r="C610" s="88"/>
      <c r="D610" s="88"/>
      <c r="E610" s="88"/>
      <c r="F610" s="88"/>
      <c r="G610" s="88"/>
      <c r="H610" s="88"/>
      <c r="I610" s="88"/>
      <c r="J610" s="88"/>
      <c r="K610" s="88"/>
      <c r="L610" s="88"/>
      <c r="M610" s="88"/>
      <c r="N610" s="88"/>
      <c r="O610" s="88"/>
      <c r="P610" s="88"/>
      <c r="Q610" s="88"/>
      <c r="R610" s="88"/>
      <c r="S610" s="88"/>
      <c r="T610" s="88"/>
      <c r="U610" s="88"/>
      <c r="V610" s="88"/>
      <c r="W610" s="88"/>
      <c r="X610" s="88"/>
      <c r="Y610" s="88"/>
      <c r="Z610" s="88"/>
      <c r="AA610" s="88"/>
      <c r="AB610" s="128"/>
      <c r="AC610" s="128"/>
      <c r="AD610" s="128"/>
      <c r="AE610" s="128"/>
      <c r="AF610" s="128"/>
      <c r="AG610" s="128"/>
      <c r="AH610" s="127"/>
    </row>
    <row r="611" spans="1:34" ht="13.2">
      <c r="A611" s="88"/>
      <c r="B611" s="88"/>
      <c r="C611" s="88"/>
      <c r="D611" s="88"/>
      <c r="E611" s="88"/>
      <c r="F611" s="88"/>
      <c r="G611" s="88"/>
      <c r="H611" s="88"/>
      <c r="I611" s="88"/>
      <c r="J611" s="88"/>
      <c r="K611" s="88"/>
      <c r="L611" s="88"/>
      <c r="M611" s="88"/>
      <c r="N611" s="88"/>
      <c r="O611" s="88"/>
      <c r="P611" s="88"/>
      <c r="Q611" s="88"/>
      <c r="R611" s="88"/>
      <c r="S611" s="88"/>
      <c r="T611" s="88"/>
      <c r="U611" s="88"/>
      <c r="V611" s="88"/>
      <c r="W611" s="88"/>
      <c r="X611" s="88"/>
      <c r="Y611" s="88"/>
      <c r="Z611" s="88"/>
      <c r="AA611" s="88"/>
      <c r="AB611" s="128"/>
      <c r="AC611" s="128"/>
      <c r="AD611" s="128"/>
      <c r="AE611" s="128"/>
      <c r="AF611" s="128"/>
      <c r="AG611" s="128"/>
      <c r="AH611" s="127"/>
    </row>
    <row r="612" spans="1:34" ht="13.2">
      <c r="A612" s="88"/>
      <c r="B612" s="88"/>
      <c r="C612" s="88"/>
      <c r="D612" s="88"/>
      <c r="E612" s="88"/>
      <c r="F612" s="88"/>
      <c r="G612" s="88"/>
      <c r="H612" s="88"/>
      <c r="I612" s="88"/>
      <c r="J612" s="88"/>
      <c r="K612" s="88"/>
      <c r="L612" s="88"/>
      <c r="M612" s="88"/>
      <c r="N612" s="88"/>
      <c r="O612" s="88"/>
      <c r="P612" s="88"/>
      <c r="Q612" s="88"/>
      <c r="R612" s="88"/>
      <c r="S612" s="88"/>
      <c r="T612" s="88"/>
      <c r="U612" s="88"/>
      <c r="V612" s="88"/>
      <c r="W612" s="88"/>
      <c r="X612" s="88"/>
      <c r="Y612" s="88"/>
      <c r="Z612" s="88"/>
      <c r="AA612" s="88"/>
      <c r="AB612" s="128"/>
      <c r="AC612" s="128"/>
      <c r="AD612" s="128"/>
      <c r="AE612" s="128"/>
      <c r="AF612" s="128"/>
      <c r="AG612" s="128"/>
      <c r="AH612" s="127"/>
    </row>
    <row r="613" spans="1:34" ht="13.2">
      <c r="A613" s="88"/>
      <c r="B613" s="88"/>
      <c r="C613" s="88"/>
      <c r="D613" s="88"/>
      <c r="E613" s="88"/>
      <c r="F613" s="88"/>
      <c r="G613" s="88"/>
      <c r="H613" s="88"/>
      <c r="I613" s="88"/>
      <c r="J613" s="88"/>
      <c r="K613" s="88"/>
      <c r="L613" s="88"/>
      <c r="M613" s="88"/>
      <c r="N613" s="88"/>
      <c r="O613" s="88"/>
      <c r="P613" s="88"/>
      <c r="Q613" s="88"/>
      <c r="R613" s="88"/>
      <c r="S613" s="88"/>
      <c r="T613" s="88"/>
      <c r="U613" s="88"/>
      <c r="V613" s="88"/>
      <c r="W613" s="88"/>
      <c r="X613" s="88"/>
      <c r="Y613" s="88"/>
      <c r="Z613" s="88"/>
      <c r="AA613" s="88"/>
      <c r="AB613" s="128"/>
      <c r="AC613" s="128"/>
      <c r="AD613" s="128"/>
      <c r="AE613" s="128"/>
      <c r="AF613" s="128"/>
      <c r="AG613" s="128"/>
      <c r="AH613" s="127"/>
    </row>
    <row r="614" spans="1:34" ht="13.2">
      <c r="A614" s="88"/>
      <c r="B614" s="88"/>
      <c r="C614" s="88"/>
      <c r="D614" s="88"/>
      <c r="E614" s="88"/>
      <c r="F614" s="88"/>
      <c r="G614" s="88"/>
      <c r="H614" s="88"/>
      <c r="I614" s="88"/>
      <c r="J614" s="88"/>
      <c r="K614" s="88"/>
      <c r="L614" s="88"/>
      <c r="M614" s="88"/>
      <c r="N614" s="88"/>
      <c r="O614" s="88"/>
      <c r="P614" s="88"/>
      <c r="Q614" s="88"/>
      <c r="R614" s="88"/>
      <c r="S614" s="88"/>
      <c r="T614" s="88"/>
      <c r="U614" s="88"/>
      <c r="V614" s="88"/>
      <c r="W614" s="88"/>
      <c r="X614" s="88"/>
      <c r="Y614" s="88"/>
      <c r="Z614" s="88"/>
      <c r="AA614" s="88"/>
      <c r="AB614" s="128"/>
      <c r="AC614" s="128"/>
      <c r="AD614" s="128"/>
      <c r="AE614" s="128"/>
      <c r="AF614" s="128"/>
      <c r="AG614" s="128"/>
      <c r="AH614" s="127"/>
    </row>
    <row r="615" spans="1:34" ht="13.2">
      <c r="A615" s="88"/>
      <c r="B615" s="88"/>
      <c r="C615" s="88"/>
      <c r="D615" s="88"/>
      <c r="E615" s="88"/>
      <c r="F615" s="88"/>
      <c r="G615" s="88"/>
      <c r="H615" s="88"/>
      <c r="I615" s="88"/>
      <c r="J615" s="88"/>
      <c r="K615" s="88"/>
      <c r="L615" s="88"/>
      <c r="M615" s="88"/>
      <c r="N615" s="88"/>
      <c r="O615" s="88"/>
      <c r="P615" s="88"/>
      <c r="Q615" s="88"/>
      <c r="R615" s="88"/>
      <c r="S615" s="88"/>
      <c r="T615" s="88"/>
      <c r="U615" s="88"/>
      <c r="V615" s="88"/>
      <c r="W615" s="88"/>
      <c r="X615" s="88"/>
      <c r="Y615" s="88"/>
      <c r="Z615" s="88"/>
      <c r="AA615" s="88"/>
      <c r="AB615" s="128"/>
      <c r="AC615" s="128"/>
      <c r="AD615" s="128"/>
      <c r="AE615" s="128"/>
      <c r="AF615" s="128"/>
      <c r="AG615" s="128"/>
      <c r="AH615" s="127"/>
    </row>
    <row r="616" spans="1:34" ht="13.2">
      <c r="A616" s="88"/>
      <c r="B616" s="88"/>
      <c r="C616" s="88"/>
      <c r="D616" s="88"/>
      <c r="E616" s="88"/>
      <c r="F616" s="88"/>
      <c r="G616" s="88"/>
      <c r="H616" s="88"/>
      <c r="I616" s="88"/>
      <c r="J616" s="88"/>
      <c r="K616" s="88"/>
      <c r="L616" s="88"/>
      <c r="M616" s="88"/>
      <c r="N616" s="88"/>
      <c r="O616" s="88"/>
      <c r="P616" s="88"/>
      <c r="Q616" s="88"/>
      <c r="R616" s="88"/>
      <c r="S616" s="88"/>
      <c r="T616" s="88"/>
      <c r="U616" s="88"/>
      <c r="V616" s="88"/>
      <c r="W616" s="88"/>
      <c r="X616" s="88"/>
      <c r="Y616" s="88"/>
      <c r="Z616" s="88"/>
      <c r="AA616" s="88"/>
      <c r="AB616" s="128"/>
      <c r="AC616" s="128"/>
      <c r="AD616" s="128"/>
      <c r="AE616" s="128"/>
      <c r="AF616" s="128"/>
      <c r="AG616" s="128"/>
      <c r="AH616" s="127"/>
    </row>
    <row r="617" spans="1:34" ht="13.2">
      <c r="A617" s="88"/>
      <c r="B617" s="88"/>
      <c r="C617" s="88"/>
      <c r="D617" s="88"/>
      <c r="E617" s="88"/>
      <c r="F617" s="88"/>
      <c r="G617" s="88"/>
      <c r="H617" s="88"/>
      <c r="I617" s="88"/>
      <c r="J617" s="88"/>
      <c r="K617" s="88"/>
      <c r="L617" s="88"/>
      <c r="M617" s="88"/>
      <c r="N617" s="88"/>
      <c r="O617" s="88"/>
      <c r="P617" s="88"/>
      <c r="Q617" s="88"/>
      <c r="R617" s="88"/>
      <c r="S617" s="88"/>
      <c r="T617" s="88"/>
      <c r="U617" s="88"/>
      <c r="V617" s="88"/>
      <c r="W617" s="88"/>
      <c r="X617" s="88"/>
      <c r="Y617" s="88"/>
      <c r="Z617" s="88"/>
      <c r="AA617" s="88"/>
      <c r="AB617" s="128"/>
      <c r="AC617" s="128"/>
      <c r="AD617" s="128"/>
      <c r="AE617" s="128"/>
      <c r="AF617" s="128"/>
      <c r="AG617" s="128"/>
      <c r="AH617" s="127"/>
    </row>
    <row r="618" spans="1:34" ht="13.2">
      <c r="A618" s="88"/>
      <c r="B618" s="88"/>
      <c r="C618" s="88"/>
      <c r="D618" s="88"/>
      <c r="E618" s="88"/>
      <c r="F618" s="88"/>
      <c r="G618" s="88"/>
      <c r="H618" s="88"/>
      <c r="I618" s="88"/>
      <c r="J618" s="88"/>
      <c r="K618" s="88"/>
      <c r="L618" s="88"/>
      <c r="M618" s="88"/>
      <c r="N618" s="88"/>
      <c r="O618" s="88"/>
      <c r="P618" s="88"/>
      <c r="Q618" s="88"/>
      <c r="R618" s="88"/>
      <c r="S618" s="88"/>
      <c r="T618" s="88"/>
      <c r="U618" s="88"/>
      <c r="V618" s="88"/>
      <c r="W618" s="88"/>
      <c r="X618" s="88"/>
      <c r="Y618" s="88"/>
      <c r="Z618" s="88"/>
      <c r="AA618" s="88"/>
      <c r="AB618" s="128"/>
      <c r="AC618" s="128"/>
      <c r="AD618" s="128"/>
      <c r="AE618" s="128"/>
      <c r="AF618" s="128"/>
      <c r="AG618" s="128"/>
      <c r="AH618" s="127"/>
    </row>
    <row r="619" spans="1:34" ht="13.2">
      <c r="A619" s="88"/>
      <c r="B619" s="88"/>
      <c r="C619" s="88"/>
      <c r="D619" s="88"/>
      <c r="E619" s="88"/>
      <c r="F619" s="88"/>
      <c r="G619" s="88"/>
      <c r="H619" s="88"/>
      <c r="I619" s="88"/>
      <c r="J619" s="88"/>
      <c r="K619" s="88"/>
      <c r="L619" s="88"/>
      <c r="M619" s="88"/>
      <c r="N619" s="88"/>
      <c r="O619" s="88"/>
      <c r="P619" s="88"/>
      <c r="Q619" s="88"/>
      <c r="R619" s="88"/>
      <c r="S619" s="88"/>
      <c r="T619" s="88"/>
      <c r="U619" s="88"/>
      <c r="V619" s="88"/>
      <c r="W619" s="88"/>
      <c r="X619" s="88"/>
      <c r="Y619" s="88"/>
      <c r="Z619" s="88"/>
      <c r="AA619" s="88"/>
      <c r="AB619" s="128"/>
      <c r="AC619" s="128"/>
      <c r="AD619" s="128"/>
      <c r="AE619" s="128"/>
      <c r="AF619" s="128"/>
      <c r="AG619" s="128"/>
      <c r="AH619" s="127"/>
    </row>
    <row r="620" spans="1:34" ht="13.2">
      <c r="A620" s="88"/>
      <c r="B620" s="88"/>
      <c r="C620" s="88"/>
      <c r="D620" s="88"/>
      <c r="E620" s="88"/>
      <c r="F620" s="88"/>
      <c r="G620" s="88"/>
      <c r="H620" s="88"/>
      <c r="I620" s="88"/>
      <c r="J620" s="88"/>
      <c r="K620" s="88"/>
      <c r="L620" s="88"/>
      <c r="M620" s="88"/>
      <c r="N620" s="88"/>
      <c r="O620" s="88"/>
      <c r="P620" s="88"/>
      <c r="Q620" s="88"/>
      <c r="R620" s="88"/>
      <c r="S620" s="88"/>
      <c r="T620" s="88"/>
      <c r="U620" s="88"/>
      <c r="V620" s="88"/>
      <c r="W620" s="88"/>
      <c r="X620" s="88"/>
      <c r="Y620" s="88"/>
      <c r="Z620" s="88"/>
      <c r="AA620" s="88"/>
      <c r="AB620" s="128"/>
      <c r="AC620" s="128"/>
      <c r="AD620" s="128"/>
      <c r="AE620" s="128"/>
      <c r="AF620" s="128"/>
      <c r="AG620" s="128"/>
      <c r="AH620" s="127"/>
    </row>
    <row r="621" spans="1:34" ht="13.2">
      <c r="A621" s="88"/>
      <c r="B621" s="88"/>
      <c r="C621" s="88"/>
      <c r="D621" s="88"/>
      <c r="E621" s="88"/>
      <c r="F621" s="88"/>
      <c r="G621" s="88"/>
      <c r="H621" s="88"/>
      <c r="I621" s="88"/>
      <c r="J621" s="88"/>
      <c r="K621" s="88"/>
      <c r="L621" s="88"/>
      <c r="M621" s="88"/>
      <c r="N621" s="88"/>
      <c r="O621" s="88"/>
      <c r="P621" s="88"/>
      <c r="Q621" s="88"/>
      <c r="R621" s="88"/>
      <c r="S621" s="88"/>
      <c r="T621" s="88"/>
      <c r="U621" s="88"/>
      <c r="V621" s="88"/>
      <c r="W621" s="88"/>
      <c r="X621" s="88"/>
      <c r="Y621" s="88"/>
      <c r="Z621" s="88"/>
      <c r="AA621" s="88"/>
      <c r="AB621" s="128"/>
      <c r="AC621" s="128"/>
      <c r="AD621" s="128"/>
      <c r="AE621" s="128"/>
      <c r="AF621" s="128"/>
      <c r="AG621" s="128"/>
      <c r="AH621" s="127"/>
    </row>
    <row r="622" spans="1:34" ht="13.2">
      <c r="A622" s="88"/>
      <c r="B622" s="88"/>
      <c r="C622" s="88"/>
      <c r="D622" s="88"/>
      <c r="E622" s="88"/>
      <c r="F622" s="88"/>
      <c r="G622" s="88"/>
      <c r="H622" s="88"/>
      <c r="I622" s="88"/>
      <c r="J622" s="88"/>
      <c r="K622" s="88"/>
      <c r="L622" s="88"/>
      <c r="M622" s="88"/>
      <c r="N622" s="88"/>
      <c r="O622" s="88"/>
      <c r="P622" s="88"/>
      <c r="Q622" s="88"/>
      <c r="R622" s="88"/>
      <c r="S622" s="88"/>
      <c r="T622" s="88"/>
      <c r="U622" s="88"/>
      <c r="V622" s="88"/>
      <c r="W622" s="88"/>
      <c r="X622" s="88"/>
      <c r="Y622" s="88"/>
      <c r="Z622" s="88"/>
      <c r="AA622" s="88"/>
      <c r="AB622" s="128"/>
      <c r="AC622" s="128"/>
      <c r="AD622" s="128"/>
      <c r="AE622" s="128"/>
      <c r="AF622" s="128"/>
      <c r="AG622" s="128"/>
      <c r="AH622" s="127"/>
    </row>
    <row r="623" spans="1:34" ht="13.2">
      <c r="A623" s="88"/>
      <c r="B623" s="88"/>
      <c r="C623" s="88"/>
      <c r="D623" s="88"/>
      <c r="E623" s="88"/>
      <c r="F623" s="88"/>
      <c r="G623" s="88"/>
      <c r="H623" s="88"/>
      <c r="I623" s="88"/>
      <c r="J623" s="88"/>
      <c r="K623" s="88"/>
      <c r="L623" s="88"/>
      <c r="M623" s="88"/>
      <c r="N623" s="88"/>
      <c r="O623" s="88"/>
      <c r="P623" s="88"/>
      <c r="Q623" s="88"/>
      <c r="R623" s="88"/>
      <c r="S623" s="88"/>
      <c r="T623" s="88"/>
      <c r="U623" s="88"/>
      <c r="V623" s="88"/>
      <c r="W623" s="88"/>
      <c r="X623" s="88"/>
      <c r="Y623" s="88"/>
      <c r="Z623" s="88"/>
      <c r="AA623" s="88"/>
      <c r="AB623" s="128"/>
      <c r="AC623" s="128"/>
      <c r="AD623" s="128"/>
      <c r="AE623" s="128"/>
      <c r="AF623" s="128"/>
      <c r="AG623" s="128"/>
      <c r="AH623" s="127"/>
    </row>
    <row r="624" spans="1:34" ht="13.2">
      <c r="A624" s="88"/>
      <c r="B624" s="88"/>
      <c r="C624" s="88"/>
      <c r="D624" s="88"/>
      <c r="E624" s="88"/>
      <c r="F624" s="88"/>
      <c r="G624" s="88"/>
      <c r="H624" s="88"/>
      <c r="I624" s="88"/>
      <c r="J624" s="88"/>
      <c r="K624" s="88"/>
      <c r="L624" s="88"/>
      <c r="M624" s="88"/>
      <c r="N624" s="88"/>
      <c r="O624" s="88"/>
      <c r="P624" s="88"/>
      <c r="Q624" s="88"/>
      <c r="R624" s="88"/>
      <c r="S624" s="88"/>
      <c r="T624" s="88"/>
      <c r="U624" s="88"/>
      <c r="V624" s="88"/>
      <c r="W624" s="88"/>
      <c r="X624" s="88"/>
      <c r="Y624" s="88"/>
      <c r="Z624" s="88"/>
      <c r="AA624" s="88"/>
      <c r="AB624" s="128"/>
      <c r="AC624" s="128"/>
      <c r="AD624" s="128"/>
      <c r="AE624" s="128"/>
      <c r="AF624" s="128"/>
      <c r="AG624" s="128"/>
      <c r="AH624" s="127"/>
    </row>
    <row r="625" spans="1:34" ht="13.2">
      <c r="A625" s="88"/>
      <c r="B625" s="88"/>
      <c r="C625" s="88"/>
      <c r="D625" s="88"/>
      <c r="E625" s="88"/>
      <c r="F625" s="88"/>
      <c r="G625" s="88"/>
      <c r="H625" s="88"/>
      <c r="I625" s="88"/>
      <c r="J625" s="88"/>
      <c r="K625" s="88"/>
      <c r="L625" s="88"/>
      <c r="M625" s="88"/>
      <c r="N625" s="88"/>
      <c r="O625" s="88"/>
      <c r="P625" s="88"/>
      <c r="Q625" s="88"/>
      <c r="R625" s="88"/>
      <c r="S625" s="88"/>
      <c r="T625" s="88"/>
      <c r="U625" s="88"/>
      <c r="V625" s="88"/>
      <c r="W625" s="88"/>
      <c r="X625" s="88"/>
      <c r="Y625" s="88"/>
      <c r="Z625" s="88"/>
      <c r="AA625" s="88"/>
      <c r="AB625" s="128"/>
      <c r="AC625" s="128"/>
      <c r="AD625" s="128"/>
      <c r="AE625" s="128"/>
      <c r="AF625" s="128"/>
      <c r="AG625" s="128"/>
      <c r="AH625" s="127"/>
    </row>
    <row r="626" spans="1:34" ht="13.2">
      <c r="A626" s="88"/>
      <c r="B626" s="88"/>
      <c r="C626" s="88"/>
      <c r="D626" s="88"/>
      <c r="E626" s="88"/>
      <c r="F626" s="88"/>
      <c r="G626" s="88"/>
      <c r="H626" s="88"/>
      <c r="I626" s="88"/>
      <c r="J626" s="88"/>
      <c r="K626" s="88"/>
      <c r="L626" s="88"/>
      <c r="M626" s="88"/>
      <c r="N626" s="88"/>
      <c r="O626" s="88"/>
      <c r="P626" s="88"/>
      <c r="Q626" s="88"/>
      <c r="R626" s="88"/>
      <c r="S626" s="88"/>
      <c r="T626" s="88"/>
      <c r="U626" s="88"/>
      <c r="V626" s="88"/>
      <c r="W626" s="88"/>
      <c r="X626" s="88"/>
      <c r="Y626" s="88"/>
      <c r="Z626" s="88"/>
      <c r="AA626" s="88"/>
      <c r="AB626" s="128"/>
      <c r="AC626" s="128"/>
      <c r="AD626" s="128"/>
      <c r="AE626" s="128"/>
      <c r="AF626" s="128"/>
      <c r="AG626" s="128"/>
      <c r="AH626" s="127"/>
    </row>
    <row r="627" spans="1:34" ht="13.2">
      <c r="A627" s="88"/>
      <c r="B627" s="88"/>
      <c r="C627" s="88"/>
      <c r="D627" s="88"/>
      <c r="E627" s="88"/>
      <c r="F627" s="88"/>
      <c r="G627" s="88"/>
      <c r="H627" s="88"/>
      <c r="I627" s="88"/>
      <c r="J627" s="88"/>
      <c r="K627" s="88"/>
      <c r="L627" s="88"/>
      <c r="M627" s="88"/>
      <c r="N627" s="88"/>
      <c r="O627" s="88"/>
      <c r="P627" s="88"/>
      <c r="Q627" s="88"/>
      <c r="R627" s="88"/>
      <c r="S627" s="88"/>
      <c r="T627" s="88"/>
      <c r="U627" s="88"/>
      <c r="V627" s="88"/>
      <c r="W627" s="88"/>
      <c r="X627" s="88"/>
      <c r="Y627" s="88"/>
      <c r="Z627" s="88"/>
      <c r="AA627" s="88"/>
      <c r="AB627" s="128"/>
      <c r="AC627" s="128"/>
      <c r="AD627" s="128"/>
      <c r="AE627" s="128"/>
      <c r="AF627" s="128"/>
      <c r="AG627" s="128"/>
      <c r="AH627" s="127"/>
    </row>
    <row r="628" spans="1:34" ht="13.2">
      <c r="A628" s="88"/>
      <c r="B628" s="88"/>
      <c r="C628" s="88"/>
      <c r="D628" s="88"/>
      <c r="E628" s="88"/>
      <c r="F628" s="88"/>
      <c r="G628" s="88"/>
      <c r="H628" s="88"/>
      <c r="I628" s="88"/>
      <c r="J628" s="88"/>
      <c r="K628" s="88"/>
      <c r="L628" s="88"/>
      <c r="M628" s="88"/>
      <c r="N628" s="88"/>
      <c r="O628" s="88"/>
      <c r="P628" s="88"/>
      <c r="Q628" s="88"/>
      <c r="R628" s="88"/>
      <c r="S628" s="88"/>
      <c r="T628" s="88"/>
      <c r="U628" s="88"/>
      <c r="V628" s="88"/>
      <c r="W628" s="88"/>
      <c r="X628" s="88"/>
      <c r="Y628" s="88"/>
      <c r="Z628" s="88"/>
      <c r="AA628" s="88"/>
      <c r="AB628" s="128"/>
      <c r="AC628" s="128"/>
      <c r="AD628" s="128"/>
      <c r="AE628" s="128"/>
      <c r="AF628" s="128"/>
      <c r="AG628" s="128"/>
      <c r="AH628" s="127"/>
    </row>
    <row r="629" spans="1:34" ht="13.2">
      <c r="A629" s="88"/>
      <c r="B629" s="88"/>
      <c r="C629" s="88"/>
      <c r="D629" s="88"/>
      <c r="E629" s="88"/>
      <c r="F629" s="88"/>
      <c r="G629" s="88"/>
      <c r="H629" s="88"/>
      <c r="I629" s="88"/>
      <c r="J629" s="88"/>
      <c r="K629" s="88"/>
      <c r="L629" s="88"/>
      <c r="M629" s="88"/>
      <c r="N629" s="88"/>
      <c r="O629" s="88"/>
      <c r="P629" s="88"/>
      <c r="Q629" s="88"/>
      <c r="R629" s="88"/>
      <c r="S629" s="88"/>
      <c r="T629" s="88"/>
      <c r="U629" s="88"/>
      <c r="V629" s="88"/>
      <c r="W629" s="88"/>
      <c r="X629" s="88"/>
      <c r="Y629" s="88"/>
      <c r="Z629" s="88"/>
      <c r="AA629" s="88"/>
      <c r="AB629" s="128"/>
      <c r="AC629" s="128"/>
      <c r="AD629" s="128"/>
      <c r="AE629" s="128"/>
      <c r="AF629" s="128"/>
      <c r="AG629" s="128"/>
      <c r="AH629" s="127"/>
    </row>
    <row r="630" spans="1:34" ht="13.2">
      <c r="A630" s="88"/>
      <c r="B630" s="88"/>
      <c r="C630" s="88"/>
      <c r="D630" s="88"/>
      <c r="E630" s="88"/>
      <c r="F630" s="88"/>
      <c r="G630" s="88"/>
      <c r="H630" s="88"/>
      <c r="I630" s="88"/>
      <c r="J630" s="88"/>
      <c r="K630" s="88"/>
      <c r="L630" s="88"/>
      <c r="M630" s="88"/>
      <c r="N630" s="88"/>
      <c r="O630" s="88"/>
      <c r="P630" s="88"/>
      <c r="Q630" s="88"/>
      <c r="R630" s="88"/>
      <c r="S630" s="88"/>
      <c r="T630" s="88"/>
      <c r="U630" s="88"/>
      <c r="V630" s="88"/>
      <c r="W630" s="88"/>
      <c r="X630" s="88"/>
      <c r="Y630" s="88"/>
      <c r="Z630" s="88"/>
      <c r="AA630" s="88"/>
      <c r="AB630" s="128"/>
      <c r="AC630" s="128"/>
      <c r="AD630" s="128"/>
      <c r="AE630" s="128"/>
      <c r="AF630" s="128"/>
      <c r="AG630" s="128"/>
      <c r="AH630" s="127"/>
    </row>
    <row r="631" spans="1:34" ht="13.2">
      <c r="A631" s="88"/>
      <c r="B631" s="88"/>
      <c r="C631" s="88"/>
      <c r="D631" s="88"/>
      <c r="E631" s="88"/>
      <c r="F631" s="88"/>
      <c r="G631" s="88"/>
      <c r="H631" s="88"/>
      <c r="I631" s="88"/>
      <c r="J631" s="88"/>
      <c r="K631" s="88"/>
      <c r="L631" s="88"/>
      <c r="M631" s="88"/>
      <c r="N631" s="88"/>
      <c r="O631" s="88"/>
      <c r="P631" s="88"/>
      <c r="Q631" s="88"/>
      <c r="R631" s="88"/>
      <c r="S631" s="88"/>
      <c r="T631" s="88"/>
      <c r="U631" s="88"/>
      <c r="V631" s="88"/>
      <c r="W631" s="88"/>
      <c r="X631" s="88"/>
      <c r="Y631" s="88"/>
      <c r="Z631" s="88"/>
      <c r="AA631" s="88"/>
      <c r="AB631" s="128"/>
      <c r="AC631" s="128"/>
      <c r="AD631" s="128"/>
      <c r="AE631" s="128"/>
      <c r="AF631" s="128"/>
      <c r="AG631" s="128"/>
      <c r="AH631" s="127"/>
    </row>
    <row r="632" spans="1:34" ht="13.2">
      <c r="A632" s="88"/>
      <c r="B632" s="88"/>
      <c r="C632" s="88"/>
      <c r="D632" s="88"/>
      <c r="E632" s="88"/>
      <c r="F632" s="88"/>
      <c r="G632" s="88"/>
      <c r="H632" s="88"/>
      <c r="I632" s="88"/>
      <c r="J632" s="88"/>
      <c r="K632" s="88"/>
      <c r="L632" s="88"/>
      <c r="M632" s="88"/>
      <c r="N632" s="88"/>
      <c r="O632" s="88"/>
      <c r="P632" s="88"/>
      <c r="Q632" s="88"/>
      <c r="R632" s="88"/>
      <c r="S632" s="88"/>
      <c r="T632" s="88"/>
      <c r="U632" s="88"/>
      <c r="V632" s="88"/>
      <c r="W632" s="88"/>
      <c r="X632" s="88"/>
      <c r="Y632" s="88"/>
      <c r="Z632" s="88"/>
      <c r="AA632" s="88"/>
      <c r="AB632" s="128"/>
      <c r="AC632" s="128"/>
      <c r="AD632" s="128"/>
      <c r="AE632" s="128"/>
      <c r="AF632" s="128"/>
      <c r="AG632" s="128"/>
      <c r="AH632" s="127"/>
    </row>
    <row r="633" spans="1:34" ht="13.2">
      <c r="A633" s="88"/>
      <c r="B633" s="88"/>
      <c r="C633" s="88"/>
      <c r="D633" s="88"/>
      <c r="E633" s="88"/>
      <c r="F633" s="88"/>
      <c r="G633" s="88"/>
      <c r="H633" s="88"/>
      <c r="I633" s="88"/>
      <c r="J633" s="88"/>
      <c r="K633" s="88"/>
      <c r="L633" s="88"/>
      <c r="M633" s="88"/>
      <c r="N633" s="88"/>
      <c r="O633" s="88"/>
      <c r="P633" s="88"/>
      <c r="Q633" s="88"/>
      <c r="R633" s="88"/>
      <c r="S633" s="88"/>
      <c r="T633" s="88"/>
      <c r="U633" s="88"/>
      <c r="V633" s="88"/>
      <c r="W633" s="88"/>
      <c r="X633" s="88"/>
      <c r="Y633" s="88"/>
      <c r="Z633" s="88"/>
      <c r="AA633" s="88"/>
      <c r="AB633" s="128"/>
      <c r="AC633" s="128"/>
      <c r="AD633" s="128"/>
      <c r="AE633" s="128"/>
      <c r="AF633" s="128"/>
      <c r="AG633" s="128"/>
      <c r="AH633" s="127"/>
    </row>
    <row r="634" spans="1:34" ht="13.2">
      <c r="A634" s="88"/>
      <c r="B634" s="88"/>
      <c r="C634" s="88"/>
      <c r="D634" s="88"/>
      <c r="E634" s="88"/>
      <c r="F634" s="88"/>
      <c r="G634" s="88"/>
      <c r="H634" s="88"/>
      <c r="I634" s="88"/>
      <c r="J634" s="88"/>
      <c r="K634" s="88"/>
      <c r="L634" s="88"/>
      <c r="M634" s="88"/>
      <c r="N634" s="88"/>
      <c r="O634" s="88"/>
      <c r="P634" s="88"/>
      <c r="Q634" s="88"/>
      <c r="R634" s="88"/>
      <c r="S634" s="88"/>
      <c r="T634" s="88"/>
      <c r="U634" s="88"/>
      <c r="V634" s="88"/>
      <c r="W634" s="88"/>
      <c r="X634" s="88"/>
      <c r="Y634" s="88"/>
      <c r="Z634" s="88"/>
      <c r="AA634" s="88"/>
      <c r="AB634" s="128"/>
      <c r="AC634" s="128"/>
      <c r="AD634" s="128"/>
      <c r="AE634" s="128"/>
      <c r="AF634" s="128"/>
      <c r="AG634" s="128"/>
      <c r="AH634" s="127"/>
    </row>
    <row r="635" spans="1:34" ht="13.2">
      <c r="A635" s="88"/>
      <c r="B635" s="88"/>
      <c r="C635" s="88"/>
      <c r="D635" s="88"/>
      <c r="E635" s="88"/>
      <c r="F635" s="88"/>
      <c r="G635" s="88"/>
      <c r="H635" s="88"/>
      <c r="I635" s="88"/>
      <c r="J635" s="88"/>
      <c r="K635" s="88"/>
      <c r="L635" s="88"/>
      <c r="M635" s="88"/>
      <c r="N635" s="88"/>
      <c r="O635" s="88"/>
      <c r="P635" s="88"/>
      <c r="Q635" s="88"/>
      <c r="R635" s="88"/>
      <c r="S635" s="88"/>
      <c r="T635" s="88"/>
      <c r="U635" s="88"/>
      <c r="V635" s="88"/>
      <c r="W635" s="88"/>
      <c r="X635" s="88"/>
      <c r="Y635" s="88"/>
      <c r="Z635" s="88"/>
      <c r="AA635" s="88"/>
      <c r="AB635" s="128"/>
      <c r="AC635" s="128"/>
      <c r="AD635" s="128"/>
      <c r="AE635" s="128"/>
      <c r="AF635" s="128"/>
      <c r="AG635" s="128"/>
      <c r="AH635" s="127"/>
    </row>
    <row r="636" spans="1:34" ht="13.2">
      <c r="A636" s="88"/>
      <c r="B636" s="88"/>
      <c r="C636" s="88"/>
      <c r="D636" s="88"/>
      <c r="E636" s="88"/>
      <c r="F636" s="88"/>
      <c r="G636" s="88"/>
      <c r="H636" s="88"/>
      <c r="I636" s="88"/>
      <c r="J636" s="88"/>
      <c r="K636" s="88"/>
      <c r="L636" s="88"/>
      <c r="M636" s="88"/>
      <c r="N636" s="88"/>
      <c r="O636" s="88"/>
      <c r="P636" s="88"/>
      <c r="Q636" s="88"/>
      <c r="R636" s="88"/>
      <c r="S636" s="88"/>
      <c r="T636" s="88"/>
      <c r="U636" s="88"/>
      <c r="V636" s="88"/>
      <c r="W636" s="88"/>
      <c r="X636" s="88"/>
      <c r="Y636" s="88"/>
      <c r="Z636" s="88"/>
      <c r="AA636" s="88"/>
      <c r="AB636" s="128"/>
      <c r="AC636" s="128"/>
      <c r="AD636" s="128"/>
      <c r="AE636" s="128"/>
      <c r="AF636" s="128"/>
      <c r="AG636" s="128"/>
      <c r="AH636" s="127"/>
    </row>
    <row r="637" spans="1:34" ht="13.2">
      <c r="A637" s="88"/>
      <c r="B637" s="88"/>
      <c r="C637" s="88"/>
      <c r="D637" s="88"/>
      <c r="E637" s="88"/>
      <c r="F637" s="88"/>
      <c r="G637" s="88"/>
      <c r="H637" s="88"/>
      <c r="I637" s="88"/>
      <c r="J637" s="88"/>
      <c r="K637" s="88"/>
      <c r="L637" s="88"/>
      <c r="M637" s="88"/>
      <c r="N637" s="88"/>
      <c r="O637" s="88"/>
      <c r="P637" s="88"/>
      <c r="Q637" s="88"/>
      <c r="R637" s="88"/>
      <c r="S637" s="88"/>
      <c r="T637" s="88"/>
      <c r="U637" s="88"/>
      <c r="V637" s="88"/>
      <c r="W637" s="88"/>
      <c r="X637" s="88"/>
      <c r="Y637" s="88"/>
      <c r="Z637" s="88"/>
      <c r="AA637" s="88"/>
      <c r="AB637" s="128"/>
      <c r="AC637" s="128"/>
      <c r="AD637" s="128"/>
      <c r="AE637" s="128"/>
      <c r="AF637" s="128"/>
      <c r="AG637" s="128"/>
      <c r="AH637" s="127"/>
    </row>
    <row r="638" spans="1:34" ht="13.2">
      <c r="A638" s="88"/>
      <c r="B638" s="88"/>
      <c r="C638" s="88"/>
      <c r="D638" s="88"/>
      <c r="E638" s="88"/>
      <c r="F638" s="88"/>
      <c r="G638" s="88"/>
      <c r="H638" s="88"/>
      <c r="I638" s="88"/>
      <c r="J638" s="88"/>
      <c r="K638" s="88"/>
      <c r="L638" s="88"/>
      <c r="M638" s="88"/>
      <c r="N638" s="88"/>
      <c r="O638" s="88"/>
      <c r="P638" s="88"/>
      <c r="Q638" s="88"/>
      <c r="R638" s="88"/>
      <c r="S638" s="88"/>
      <c r="T638" s="88"/>
      <c r="U638" s="88"/>
      <c r="V638" s="88"/>
      <c r="W638" s="88"/>
      <c r="X638" s="88"/>
      <c r="Y638" s="88"/>
      <c r="Z638" s="88"/>
      <c r="AA638" s="88"/>
      <c r="AB638" s="128"/>
      <c r="AC638" s="128"/>
      <c r="AD638" s="128"/>
      <c r="AE638" s="128"/>
      <c r="AF638" s="128"/>
      <c r="AG638" s="128"/>
      <c r="AH638" s="127"/>
    </row>
    <row r="639" spans="1:34" ht="13.2">
      <c r="A639" s="88"/>
      <c r="B639" s="88"/>
      <c r="C639" s="88"/>
      <c r="D639" s="88"/>
      <c r="E639" s="88"/>
      <c r="F639" s="88"/>
      <c r="G639" s="88"/>
      <c r="H639" s="88"/>
      <c r="I639" s="88"/>
      <c r="J639" s="88"/>
      <c r="K639" s="88"/>
      <c r="L639" s="88"/>
      <c r="M639" s="88"/>
      <c r="N639" s="88"/>
      <c r="O639" s="88"/>
      <c r="P639" s="88"/>
      <c r="Q639" s="88"/>
      <c r="R639" s="88"/>
      <c r="S639" s="88"/>
      <c r="T639" s="88"/>
      <c r="U639" s="88"/>
      <c r="V639" s="88"/>
      <c r="W639" s="88"/>
      <c r="X639" s="88"/>
      <c r="Y639" s="88"/>
      <c r="Z639" s="88"/>
      <c r="AA639" s="88"/>
      <c r="AB639" s="128"/>
      <c r="AC639" s="128"/>
      <c r="AD639" s="128"/>
      <c r="AE639" s="128"/>
      <c r="AF639" s="128"/>
      <c r="AG639" s="128"/>
      <c r="AH639" s="127"/>
    </row>
    <row r="640" spans="1:34" ht="13.2">
      <c r="A640" s="88"/>
      <c r="B640" s="88"/>
      <c r="C640" s="88"/>
      <c r="D640" s="88"/>
      <c r="E640" s="88"/>
      <c r="F640" s="88"/>
      <c r="G640" s="88"/>
      <c r="H640" s="88"/>
      <c r="I640" s="88"/>
      <c r="J640" s="88"/>
      <c r="K640" s="88"/>
      <c r="L640" s="88"/>
      <c r="M640" s="88"/>
      <c r="N640" s="88"/>
      <c r="O640" s="88"/>
      <c r="P640" s="88"/>
      <c r="Q640" s="88"/>
      <c r="R640" s="88"/>
      <c r="S640" s="88"/>
      <c r="T640" s="88"/>
      <c r="U640" s="88"/>
      <c r="V640" s="88"/>
      <c r="W640" s="88"/>
      <c r="X640" s="88"/>
      <c r="Y640" s="88"/>
      <c r="Z640" s="88"/>
      <c r="AA640" s="88"/>
      <c r="AB640" s="128"/>
      <c r="AC640" s="128"/>
      <c r="AD640" s="128"/>
      <c r="AE640" s="128"/>
      <c r="AF640" s="128"/>
      <c r="AG640" s="128"/>
      <c r="AH640" s="127"/>
    </row>
    <row r="641" spans="1:34" ht="13.2">
      <c r="A641" s="88"/>
      <c r="B641" s="88"/>
      <c r="C641" s="88"/>
      <c r="D641" s="88"/>
      <c r="E641" s="88"/>
      <c r="F641" s="88"/>
      <c r="G641" s="88"/>
      <c r="H641" s="88"/>
      <c r="I641" s="88"/>
      <c r="J641" s="88"/>
      <c r="K641" s="88"/>
      <c r="L641" s="88"/>
      <c r="M641" s="88"/>
      <c r="N641" s="88"/>
      <c r="O641" s="88"/>
      <c r="P641" s="88"/>
      <c r="Q641" s="88"/>
      <c r="R641" s="88"/>
      <c r="S641" s="88"/>
      <c r="T641" s="88"/>
      <c r="U641" s="88"/>
      <c r="V641" s="88"/>
      <c r="W641" s="88"/>
      <c r="X641" s="88"/>
      <c r="Y641" s="88"/>
      <c r="Z641" s="88"/>
      <c r="AA641" s="88"/>
      <c r="AB641" s="128"/>
      <c r="AC641" s="128"/>
      <c r="AD641" s="128"/>
      <c r="AE641" s="128"/>
      <c r="AF641" s="128"/>
      <c r="AG641" s="128"/>
      <c r="AH641" s="127"/>
    </row>
    <row r="642" spans="1:34" ht="13.2">
      <c r="A642" s="88"/>
      <c r="B642" s="88"/>
      <c r="C642" s="88"/>
      <c r="D642" s="88"/>
      <c r="E642" s="88"/>
      <c r="F642" s="88"/>
      <c r="G642" s="88"/>
      <c r="H642" s="88"/>
      <c r="I642" s="88"/>
      <c r="J642" s="88"/>
      <c r="K642" s="88"/>
      <c r="L642" s="88"/>
      <c r="M642" s="88"/>
      <c r="N642" s="88"/>
      <c r="O642" s="88"/>
      <c r="P642" s="88"/>
      <c r="Q642" s="88"/>
      <c r="R642" s="88"/>
      <c r="S642" s="88"/>
      <c r="T642" s="88"/>
      <c r="U642" s="88"/>
      <c r="V642" s="88"/>
      <c r="W642" s="88"/>
      <c r="X642" s="88"/>
      <c r="Y642" s="88"/>
      <c r="Z642" s="88"/>
      <c r="AA642" s="88"/>
      <c r="AB642" s="128"/>
      <c r="AC642" s="128"/>
      <c r="AD642" s="128"/>
      <c r="AE642" s="128"/>
      <c r="AF642" s="128"/>
      <c r="AG642" s="128"/>
      <c r="AH642" s="127"/>
    </row>
    <row r="643" spans="1:34" ht="13.2">
      <c r="A643" s="88"/>
      <c r="B643" s="88"/>
      <c r="C643" s="88"/>
      <c r="D643" s="88"/>
      <c r="E643" s="88"/>
      <c r="F643" s="88"/>
      <c r="G643" s="88"/>
      <c r="H643" s="88"/>
      <c r="I643" s="88"/>
      <c r="J643" s="88"/>
      <c r="K643" s="88"/>
      <c r="L643" s="88"/>
      <c r="M643" s="88"/>
      <c r="N643" s="88"/>
      <c r="O643" s="88"/>
      <c r="P643" s="88"/>
      <c r="Q643" s="88"/>
      <c r="R643" s="88"/>
      <c r="S643" s="88"/>
      <c r="T643" s="88"/>
      <c r="U643" s="88"/>
      <c r="V643" s="88"/>
      <c r="W643" s="88"/>
      <c r="X643" s="88"/>
      <c r="Y643" s="88"/>
      <c r="Z643" s="88"/>
      <c r="AA643" s="88"/>
      <c r="AB643" s="128"/>
      <c r="AC643" s="128"/>
      <c r="AD643" s="128"/>
      <c r="AE643" s="128"/>
      <c r="AF643" s="128"/>
      <c r="AG643" s="128"/>
      <c r="AH643" s="127"/>
    </row>
    <row r="644" spans="1:34" ht="13.2">
      <c r="A644" s="88"/>
      <c r="B644" s="88"/>
      <c r="C644" s="88"/>
      <c r="D644" s="88"/>
      <c r="E644" s="88"/>
      <c r="F644" s="88"/>
      <c r="G644" s="88"/>
      <c r="H644" s="88"/>
      <c r="I644" s="88"/>
      <c r="J644" s="88"/>
      <c r="K644" s="88"/>
      <c r="L644" s="88"/>
      <c r="M644" s="88"/>
      <c r="N644" s="88"/>
      <c r="O644" s="88"/>
      <c r="P644" s="88"/>
      <c r="Q644" s="88"/>
      <c r="R644" s="88"/>
      <c r="S644" s="88"/>
      <c r="T644" s="88"/>
      <c r="U644" s="88"/>
      <c r="V644" s="88"/>
      <c r="W644" s="88"/>
      <c r="X644" s="88"/>
      <c r="Y644" s="88"/>
      <c r="Z644" s="88"/>
      <c r="AA644" s="88"/>
      <c r="AB644" s="128"/>
      <c r="AC644" s="128"/>
      <c r="AD644" s="128"/>
      <c r="AE644" s="128"/>
      <c r="AF644" s="128"/>
      <c r="AG644" s="128"/>
      <c r="AH644" s="127"/>
    </row>
    <row r="645" spans="1:34" ht="13.2">
      <c r="A645" s="88"/>
      <c r="B645" s="88"/>
      <c r="C645" s="88"/>
      <c r="D645" s="88"/>
      <c r="E645" s="88"/>
      <c r="F645" s="88"/>
      <c r="G645" s="88"/>
      <c r="H645" s="88"/>
      <c r="I645" s="88"/>
      <c r="J645" s="88"/>
      <c r="K645" s="88"/>
      <c r="L645" s="88"/>
      <c r="M645" s="88"/>
      <c r="N645" s="88"/>
      <c r="O645" s="88"/>
      <c r="P645" s="88"/>
      <c r="Q645" s="88"/>
      <c r="R645" s="88"/>
      <c r="S645" s="88"/>
      <c r="T645" s="88"/>
      <c r="U645" s="88"/>
      <c r="V645" s="88"/>
      <c r="W645" s="88"/>
      <c r="X645" s="88"/>
      <c r="Y645" s="88"/>
      <c r="Z645" s="88"/>
      <c r="AA645" s="88"/>
      <c r="AB645" s="128"/>
      <c r="AC645" s="128"/>
      <c r="AD645" s="128"/>
      <c r="AE645" s="128"/>
      <c r="AF645" s="128"/>
      <c r="AG645" s="128"/>
      <c r="AH645" s="127"/>
    </row>
    <row r="646" spans="1:34" ht="13.2">
      <c r="A646" s="88"/>
      <c r="B646" s="88"/>
      <c r="C646" s="88"/>
      <c r="D646" s="88"/>
      <c r="E646" s="88"/>
      <c r="F646" s="88"/>
      <c r="G646" s="88"/>
      <c r="H646" s="88"/>
      <c r="I646" s="88"/>
      <c r="J646" s="88"/>
      <c r="K646" s="88"/>
      <c r="L646" s="88"/>
      <c r="M646" s="88"/>
      <c r="N646" s="88"/>
      <c r="O646" s="88"/>
      <c r="P646" s="88"/>
      <c r="Q646" s="88"/>
      <c r="R646" s="88"/>
      <c r="S646" s="88"/>
      <c r="T646" s="88"/>
      <c r="U646" s="88"/>
      <c r="V646" s="88"/>
      <c r="W646" s="88"/>
      <c r="X646" s="88"/>
      <c r="Y646" s="88"/>
      <c r="Z646" s="88"/>
      <c r="AA646" s="88"/>
      <c r="AB646" s="128"/>
      <c r="AC646" s="128"/>
      <c r="AD646" s="128"/>
      <c r="AE646" s="128"/>
      <c r="AF646" s="128"/>
      <c r="AG646" s="128"/>
      <c r="AH646" s="127"/>
    </row>
    <row r="647" spans="1:34" ht="13.2">
      <c r="A647" s="88"/>
      <c r="B647" s="88"/>
      <c r="C647" s="88"/>
      <c r="D647" s="88"/>
      <c r="E647" s="88"/>
      <c r="F647" s="88"/>
      <c r="G647" s="88"/>
      <c r="H647" s="88"/>
      <c r="I647" s="88"/>
      <c r="J647" s="88"/>
      <c r="K647" s="88"/>
      <c r="L647" s="88"/>
      <c r="M647" s="88"/>
      <c r="N647" s="88"/>
      <c r="O647" s="88"/>
      <c r="P647" s="88"/>
      <c r="Q647" s="88"/>
      <c r="R647" s="88"/>
      <c r="S647" s="88"/>
      <c r="T647" s="88"/>
      <c r="U647" s="88"/>
      <c r="V647" s="88"/>
      <c r="W647" s="88"/>
      <c r="X647" s="88"/>
      <c r="Y647" s="88"/>
      <c r="Z647" s="88"/>
      <c r="AA647" s="88"/>
      <c r="AB647" s="128"/>
      <c r="AC647" s="128"/>
      <c r="AD647" s="128"/>
      <c r="AE647" s="128"/>
      <c r="AF647" s="128"/>
      <c r="AG647" s="128"/>
      <c r="AH647" s="127"/>
    </row>
    <row r="648" spans="1:34" ht="13.2">
      <c r="A648" s="88"/>
      <c r="B648" s="88"/>
      <c r="C648" s="88"/>
      <c r="D648" s="88"/>
      <c r="E648" s="88"/>
      <c r="F648" s="88"/>
      <c r="G648" s="88"/>
      <c r="H648" s="88"/>
      <c r="I648" s="88"/>
      <c r="J648" s="88"/>
      <c r="K648" s="88"/>
      <c r="L648" s="88"/>
      <c r="M648" s="88"/>
      <c r="N648" s="88"/>
      <c r="O648" s="88"/>
      <c r="P648" s="88"/>
      <c r="Q648" s="88"/>
      <c r="R648" s="88"/>
      <c r="S648" s="88"/>
      <c r="T648" s="88"/>
      <c r="U648" s="88"/>
      <c r="V648" s="88"/>
      <c r="W648" s="88"/>
      <c r="X648" s="88"/>
      <c r="Y648" s="88"/>
      <c r="Z648" s="88"/>
      <c r="AA648" s="88"/>
      <c r="AB648" s="128"/>
      <c r="AC648" s="128"/>
      <c r="AD648" s="128"/>
      <c r="AE648" s="128"/>
      <c r="AF648" s="128"/>
      <c r="AG648" s="128"/>
      <c r="AH648" s="127"/>
    </row>
    <row r="649" spans="1:34" ht="13.2">
      <c r="A649" s="88"/>
      <c r="B649" s="88"/>
      <c r="C649" s="88"/>
      <c r="D649" s="88"/>
      <c r="E649" s="88"/>
      <c r="F649" s="88"/>
      <c r="G649" s="88"/>
      <c r="H649" s="88"/>
      <c r="I649" s="88"/>
      <c r="J649" s="88"/>
      <c r="K649" s="88"/>
      <c r="L649" s="88"/>
      <c r="M649" s="88"/>
      <c r="N649" s="88"/>
      <c r="O649" s="88"/>
      <c r="P649" s="88"/>
      <c r="Q649" s="88"/>
      <c r="R649" s="88"/>
      <c r="S649" s="88"/>
      <c r="T649" s="88"/>
      <c r="U649" s="88"/>
      <c r="V649" s="88"/>
      <c r="W649" s="88"/>
      <c r="X649" s="88"/>
      <c r="Y649" s="88"/>
      <c r="Z649" s="88"/>
      <c r="AA649" s="88"/>
      <c r="AB649" s="128"/>
      <c r="AC649" s="128"/>
      <c r="AD649" s="128"/>
      <c r="AE649" s="128"/>
      <c r="AF649" s="128"/>
      <c r="AG649" s="128"/>
      <c r="AH649" s="127"/>
    </row>
    <row r="650" spans="1:34" ht="13.2">
      <c r="A650" s="88"/>
      <c r="B650" s="88"/>
      <c r="C650" s="88"/>
      <c r="D650" s="88"/>
      <c r="E650" s="88"/>
      <c r="F650" s="88"/>
      <c r="G650" s="88"/>
      <c r="H650" s="88"/>
      <c r="I650" s="88"/>
      <c r="J650" s="88"/>
      <c r="K650" s="88"/>
      <c r="L650" s="88"/>
      <c r="M650" s="88"/>
      <c r="N650" s="88"/>
      <c r="O650" s="88"/>
      <c r="P650" s="88"/>
      <c r="Q650" s="88"/>
      <c r="R650" s="88"/>
      <c r="S650" s="88"/>
      <c r="T650" s="88"/>
      <c r="U650" s="88"/>
      <c r="V650" s="88"/>
      <c r="W650" s="88"/>
      <c r="X650" s="88"/>
      <c r="Y650" s="88"/>
      <c r="Z650" s="88"/>
      <c r="AA650" s="88"/>
      <c r="AB650" s="128"/>
      <c r="AC650" s="128"/>
      <c r="AD650" s="128"/>
      <c r="AE650" s="128"/>
      <c r="AF650" s="128"/>
      <c r="AG650" s="128"/>
      <c r="AH650" s="127"/>
    </row>
    <row r="651" spans="1:34" ht="13.2">
      <c r="A651" s="88"/>
      <c r="B651" s="88"/>
      <c r="C651" s="88"/>
      <c r="D651" s="88"/>
      <c r="E651" s="88"/>
      <c r="F651" s="88"/>
      <c r="G651" s="88"/>
      <c r="H651" s="88"/>
      <c r="I651" s="88"/>
      <c r="J651" s="88"/>
      <c r="K651" s="88"/>
      <c r="L651" s="88"/>
      <c r="M651" s="88"/>
      <c r="N651" s="88"/>
      <c r="O651" s="88"/>
      <c r="P651" s="88"/>
      <c r="Q651" s="88"/>
      <c r="R651" s="88"/>
      <c r="S651" s="88"/>
      <c r="T651" s="88"/>
      <c r="U651" s="88"/>
      <c r="V651" s="88"/>
      <c r="W651" s="88"/>
      <c r="X651" s="88"/>
      <c r="Y651" s="88"/>
      <c r="Z651" s="88"/>
      <c r="AA651" s="88"/>
      <c r="AB651" s="128"/>
      <c r="AC651" s="128"/>
      <c r="AD651" s="128"/>
      <c r="AE651" s="128"/>
      <c r="AF651" s="128"/>
      <c r="AG651" s="128"/>
      <c r="AH651" s="127"/>
    </row>
    <row r="652" spans="1:34" ht="13.2">
      <c r="A652" s="88"/>
      <c r="B652" s="88"/>
      <c r="C652" s="88"/>
      <c r="D652" s="88"/>
      <c r="E652" s="88"/>
      <c r="F652" s="88"/>
      <c r="G652" s="88"/>
      <c r="H652" s="88"/>
      <c r="I652" s="88"/>
      <c r="J652" s="88"/>
      <c r="K652" s="88"/>
      <c r="L652" s="88"/>
      <c r="M652" s="88"/>
      <c r="N652" s="88"/>
      <c r="O652" s="88"/>
      <c r="P652" s="88"/>
      <c r="Q652" s="88"/>
      <c r="R652" s="88"/>
      <c r="S652" s="88"/>
      <c r="T652" s="88"/>
      <c r="U652" s="88"/>
      <c r="V652" s="88"/>
      <c r="W652" s="88"/>
      <c r="X652" s="88"/>
      <c r="Y652" s="88"/>
      <c r="Z652" s="88"/>
      <c r="AA652" s="88"/>
      <c r="AB652" s="128"/>
      <c r="AC652" s="128"/>
      <c r="AD652" s="128"/>
      <c r="AE652" s="128"/>
      <c r="AF652" s="128"/>
      <c r="AG652" s="128"/>
      <c r="AH652" s="127"/>
    </row>
    <row r="653" spans="1:34" ht="13.2">
      <c r="A653" s="88"/>
      <c r="B653" s="88"/>
      <c r="C653" s="88"/>
      <c r="D653" s="88"/>
      <c r="E653" s="88"/>
      <c r="F653" s="88"/>
      <c r="G653" s="88"/>
      <c r="H653" s="88"/>
      <c r="I653" s="88"/>
      <c r="J653" s="88"/>
      <c r="K653" s="88"/>
      <c r="L653" s="88"/>
      <c r="M653" s="88"/>
      <c r="N653" s="88"/>
      <c r="O653" s="88"/>
      <c r="P653" s="88"/>
      <c r="Q653" s="88"/>
      <c r="R653" s="88"/>
      <c r="S653" s="88"/>
      <c r="T653" s="88"/>
      <c r="U653" s="88"/>
      <c r="V653" s="88"/>
      <c r="W653" s="88"/>
      <c r="X653" s="88"/>
      <c r="Y653" s="88"/>
      <c r="Z653" s="88"/>
      <c r="AA653" s="88"/>
      <c r="AB653" s="128"/>
      <c r="AC653" s="128"/>
      <c r="AD653" s="128"/>
      <c r="AE653" s="128"/>
      <c r="AF653" s="128"/>
      <c r="AG653" s="128"/>
      <c r="AH653" s="127"/>
    </row>
    <row r="654" spans="1:34" ht="13.2">
      <c r="A654" s="88"/>
      <c r="B654" s="88"/>
      <c r="C654" s="88"/>
      <c r="D654" s="88"/>
      <c r="E654" s="88"/>
      <c r="F654" s="88"/>
      <c r="G654" s="88"/>
      <c r="H654" s="88"/>
      <c r="I654" s="88"/>
      <c r="J654" s="88"/>
      <c r="K654" s="88"/>
      <c r="L654" s="88"/>
      <c r="M654" s="88"/>
      <c r="N654" s="88"/>
      <c r="O654" s="88"/>
      <c r="P654" s="88"/>
      <c r="Q654" s="88"/>
      <c r="R654" s="88"/>
      <c r="S654" s="88"/>
      <c r="T654" s="88"/>
      <c r="U654" s="88"/>
      <c r="V654" s="88"/>
      <c r="W654" s="88"/>
      <c r="X654" s="88"/>
      <c r="Y654" s="88"/>
      <c r="Z654" s="88"/>
      <c r="AA654" s="88"/>
      <c r="AB654" s="128"/>
      <c r="AC654" s="128"/>
      <c r="AD654" s="128"/>
      <c r="AE654" s="128"/>
      <c r="AF654" s="128"/>
      <c r="AG654" s="128"/>
      <c r="AH654" s="127"/>
    </row>
    <row r="655" spans="1:34" ht="13.2">
      <c r="A655" s="88"/>
      <c r="B655" s="88"/>
      <c r="C655" s="88"/>
      <c r="D655" s="88"/>
      <c r="E655" s="88"/>
      <c r="F655" s="88"/>
      <c r="G655" s="88"/>
      <c r="H655" s="88"/>
      <c r="I655" s="88"/>
      <c r="J655" s="88"/>
      <c r="K655" s="88"/>
      <c r="L655" s="88"/>
      <c r="M655" s="88"/>
      <c r="N655" s="88"/>
      <c r="O655" s="88"/>
      <c r="P655" s="88"/>
      <c r="Q655" s="88"/>
      <c r="R655" s="88"/>
      <c r="S655" s="88"/>
      <c r="T655" s="88"/>
      <c r="U655" s="88"/>
      <c r="V655" s="88"/>
      <c r="W655" s="88"/>
      <c r="X655" s="88"/>
      <c r="Y655" s="88"/>
      <c r="Z655" s="88"/>
      <c r="AA655" s="88"/>
      <c r="AB655" s="128"/>
      <c r="AC655" s="128"/>
      <c r="AD655" s="128"/>
      <c r="AE655" s="128"/>
      <c r="AF655" s="128"/>
      <c r="AG655" s="128"/>
      <c r="AH655" s="127"/>
    </row>
    <row r="656" spans="1:34" ht="13.2">
      <c r="A656" s="88"/>
      <c r="B656" s="88"/>
      <c r="C656" s="88"/>
      <c r="D656" s="88"/>
      <c r="E656" s="88"/>
      <c r="F656" s="88"/>
      <c r="G656" s="88"/>
      <c r="H656" s="88"/>
      <c r="I656" s="88"/>
      <c r="J656" s="88"/>
      <c r="K656" s="88"/>
      <c r="L656" s="88"/>
      <c r="M656" s="88"/>
      <c r="N656" s="88"/>
      <c r="O656" s="88"/>
      <c r="P656" s="88"/>
      <c r="Q656" s="88"/>
      <c r="R656" s="88"/>
      <c r="S656" s="88"/>
      <c r="T656" s="88"/>
      <c r="U656" s="88"/>
      <c r="V656" s="88"/>
      <c r="W656" s="88"/>
      <c r="X656" s="88"/>
      <c r="Y656" s="88"/>
      <c r="Z656" s="88"/>
      <c r="AA656" s="88"/>
      <c r="AB656" s="128"/>
      <c r="AC656" s="128"/>
      <c r="AD656" s="128"/>
      <c r="AE656" s="128"/>
      <c r="AF656" s="128"/>
      <c r="AG656" s="128"/>
      <c r="AH656" s="127"/>
    </row>
    <row r="657" spans="1:34" ht="13.2">
      <c r="A657" s="88"/>
      <c r="B657" s="88"/>
      <c r="C657" s="88"/>
      <c r="D657" s="88"/>
      <c r="E657" s="88"/>
      <c r="F657" s="88"/>
      <c r="G657" s="88"/>
      <c r="H657" s="88"/>
      <c r="I657" s="88"/>
      <c r="J657" s="88"/>
      <c r="K657" s="88"/>
      <c r="L657" s="88"/>
      <c r="M657" s="88"/>
      <c r="N657" s="88"/>
      <c r="O657" s="88"/>
      <c r="P657" s="88"/>
      <c r="Q657" s="88"/>
      <c r="R657" s="88"/>
      <c r="S657" s="88"/>
      <c r="T657" s="88"/>
      <c r="U657" s="88"/>
      <c r="V657" s="88"/>
      <c r="W657" s="88"/>
      <c r="X657" s="88"/>
      <c r="Y657" s="88"/>
      <c r="Z657" s="88"/>
      <c r="AA657" s="88"/>
      <c r="AB657" s="128"/>
      <c r="AC657" s="128"/>
      <c r="AD657" s="128"/>
      <c r="AE657" s="128"/>
      <c r="AF657" s="128"/>
      <c r="AG657" s="128"/>
      <c r="AH657" s="127"/>
    </row>
    <row r="658" spans="1:34" ht="13.2">
      <c r="A658" s="88"/>
      <c r="B658" s="88"/>
      <c r="C658" s="88"/>
      <c r="D658" s="88"/>
      <c r="E658" s="88"/>
      <c r="F658" s="88"/>
      <c r="G658" s="88"/>
      <c r="H658" s="88"/>
      <c r="I658" s="88"/>
      <c r="J658" s="88"/>
      <c r="K658" s="88"/>
      <c r="L658" s="88"/>
      <c r="M658" s="88"/>
      <c r="N658" s="88"/>
      <c r="O658" s="88"/>
      <c r="P658" s="88"/>
      <c r="Q658" s="88"/>
      <c r="R658" s="88"/>
      <c r="S658" s="88"/>
      <c r="T658" s="88"/>
      <c r="U658" s="88"/>
      <c r="V658" s="88"/>
      <c r="W658" s="88"/>
      <c r="X658" s="88"/>
      <c r="Y658" s="88"/>
      <c r="Z658" s="88"/>
      <c r="AA658" s="88"/>
      <c r="AB658" s="128"/>
      <c r="AC658" s="128"/>
      <c r="AD658" s="128"/>
      <c r="AE658" s="128"/>
      <c r="AF658" s="128"/>
      <c r="AG658" s="128"/>
      <c r="AH658" s="127"/>
    </row>
    <row r="659" spans="1:34" ht="13.2">
      <c r="A659" s="88"/>
      <c r="B659" s="88"/>
      <c r="C659" s="88"/>
      <c r="D659" s="88"/>
      <c r="E659" s="88"/>
      <c r="F659" s="88"/>
      <c r="G659" s="88"/>
      <c r="H659" s="88"/>
      <c r="I659" s="88"/>
      <c r="J659" s="88"/>
      <c r="K659" s="88"/>
      <c r="L659" s="88"/>
      <c r="M659" s="88"/>
      <c r="N659" s="88"/>
      <c r="O659" s="88"/>
      <c r="P659" s="88"/>
      <c r="Q659" s="88"/>
      <c r="R659" s="88"/>
      <c r="S659" s="88"/>
      <c r="T659" s="88"/>
      <c r="U659" s="88"/>
      <c r="V659" s="88"/>
      <c r="W659" s="88"/>
      <c r="X659" s="88"/>
      <c r="Y659" s="88"/>
      <c r="Z659" s="88"/>
      <c r="AA659" s="88"/>
      <c r="AB659" s="128"/>
      <c r="AC659" s="128"/>
      <c r="AD659" s="128"/>
      <c r="AE659" s="128"/>
      <c r="AF659" s="128"/>
      <c r="AG659" s="128"/>
      <c r="AH659" s="127"/>
    </row>
    <row r="660" spans="1:34" ht="13.2">
      <c r="A660" s="88"/>
      <c r="B660" s="88"/>
      <c r="C660" s="88"/>
      <c r="D660" s="88"/>
      <c r="E660" s="88"/>
      <c r="F660" s="88"/>
      <c r="G660" s="88"/>
      <c r="H660" s="88"/>
      <c r="I660" s="88"/>
      <c r="J660" s="88"/>
      <c r="K660" s="88"/>
      <c r="L660" s="88"/>
      <c r="M660" s="88"/>
      <c r="N660" s="88"/>
      <c r="O660" s="88"/>
      <c r="P660" s="88"/>
      <c r="Q660" s="88"/>
      <c r="R660" s="88"/>
      <c r="S660" s="88"/>
      <c r="T660" s="88"/>
      <c r="U660" s="88"/>
      <c r="V660" s="88"/>
      <c r="W660" s="88"/>
      <c r="X660" s="88"/>
      <c r="Y660" s="88"/>
      <c r="Z660" s="88"/>
      <c r="AA660" s="88"/>
      <c r="AB660" s="128"/>
      <c r="AC660" s="128"/>
      <c r="AD660" s="128"/>
      <c r="AE660" s="128"/>
      <c r="AF660" s="128"/>
      <c r="AG660" s="128"/>
      <c r="AH660" s="127"/>
    </row>
    <row r="661" spans="1:34" ht="13.2">
      <c r="A661" s="88"/>
      <c r="B661" s="88"/>
      <c r="C661" s="88"/>
      <c r="D661" s="88"/>
      <c r="E661" s="88"/>
      <c r="F661" s="88"/>
      <c r="G661" s="88"/>
      <c r="H661" s="88"/>
      <c r="I661" s="88"/>
      <c r="J661" s="88"/>
      <c r="K661" s="88"/>
      <c r="L661" s="88"/>
      <c r="M661" s="88"/>
      <c r="N661" s="88"/>
      <c r="O661" s="88"/>
      <c r="P661" s="88"/>
      <c r="Q661" s="88"/>
      <c r="R661" s="88"/>
      <c r="S661" s="88"/>
      <c r="T661" s="88"/>
      <c r="U661" s="88"/>
      <c r="V661" s="88"/>
      <c r="W661" s="88"/>
      <c r="X661" s="88"/>
      <c r="Y661" s="88"/>
      <c r="Z661" s="88"/>
      <c r="AA661" s="88"/>
      <c r="AB661" s="128"/>
      <c r="AC661" s="128"/>
      <c r="AD661" s="128"/>
      <c r="AE661" s="128"/>
      <c r="AF661" s="128"/>
      <c r="AG661" s="128"/>
      <c r="AH661" s="127"/>
    </row>
    <row r="662" spans="1:34" ht="13.2">
      <c r="A662" s="88"/>
      <c r="B662" s="88"/>
      <c r="C662" s="88"/>
      <c r="D662" s="88"/>
      <c r="E662" s="88"/>
      <c r="F662" s="88"/>
      <c r="G662" s="88"/>
      <c r="H662" s="88"/>
      <c r="I662" s="88"/>
      <c r="J662" s="88"/>
      <c r="K662" s="88"/>
      <c r="L662" s="88"/>
      <c r="M662" s="88"/>
      <c r="N662" s="88"/>
      <c r="O662" s="88"/>
      <c r="P662" s="88"/>
      <c r="Q662" s="88"/>
      <c r="R662" s="88"/>
      <c r="S662" s="88"/>
      <c r="T662" s="88"/>
      <c r="U662" s="88"/>
      <c r="V662" s="88"/>
      <c r="W662" s="88"/>
      <c r="X662" s="88"/>
      <c r="Y662" s="88"/>
      <c r="Z662" s="88"/>
      <c r="AA662" s="88"/>
      <c r="AB662" s="128"/>
      <c r="AC662" s="128"/>
      <c r="AD662" s="128"/>
      <c r="AE662" s="128"/>
      <c r="AF662" s="128"/>
      <c r="AG662" s="128"/>
      <c r="AH662" s="127"/>
    </row>
    <row r="663" spans="1:34" ht="13.2">
      <c r="A663" s="88"/>
      <c r="B663" s="88"/>
      <c r="C663" s="88"/>
      <c r="D663" s="88"/>
      <c r="E663" s="88"/>
      <c r="F663" s="88"/>
      <c r="G663" s="88"/>
      <c r="H663" s="88"/>
      <c r="I663" s="88"/>
      <c r="J663" s="88"/>
      <c r="K663" s="88"/>
      <c r="L663" s="88"/>
      <c r="M663" s="88"/>
      <c r="N663" s="88"/>
      <c r="O663" s="88"/>
      <c r="P663" s="88"/>
      <c r="Q663" s="88"/>
      <c r="R663" s="88"/>
      <c r="S663" s="88"/>
      <c r="T663" s="88"/>
      <c r="U663" s="88"/>
      <c r="V663" s="88"/>
      <c r="W663" s="88"/>
      <c r="X663" s="88"/>
      <c r="Y663" s="88"/>
      <c r="Z663" s="88"/>
      <c r="AA663" s="88"/>
      <c r="AB663" s="128"/>
      <c r="AC663" s="128"/>
      <c r="AD663" s="128"/>
      <c r="AE663" s="128"/>
      <c r="AF663" s="128"/>
      <c r="AG663" s="128"/>
      <c r="AH663" s="127"/>
    </row>
    <row r="664" spans="1:34" ht="13.2">
      <c r="A664" s="88"/>
      <c r="B664" s="88"/>
      <c r="C664" s="88"/>
      <c r="D664" s="88"/>
      <c r="E664" s="88"/>
      <c r="F664" s="88"/>
      <c r="G664" s="88"/>
      <c r="H664" s="88"/>
      <c r="I664" s="88"/>
      <c r="J664" s="88"/>
      <c r="K664" s="88"/>
      <c r="L664" s="88"/>
      <c r="M664" s="88"/>
      <c r="N664" s="88"/>
      <c r="O664" s="88"/>
      <c r="P664" s="88"/>
      <c r="Q664" s="88"/>
      <c r="R664" s="88"/>
      <c r="S664" s="88"/>
      <c r="T664" s="88"/>
      <c r="U664" s="88"/>
      <c r="V664" s="88"/>
      <c r="W664" s="88"/>
      <c r="X664" s="88"/>
      <c r="Y664" s="88"/>
      <c r="Z664" s="88"/>
      <c r="AA664" s="88"/>
      <c r="AB664" s="128"/>
      <c r="AC664" s="128"/>
      <c r="AD664" s="128"/>
      <c r="AE664" s="128"/>
      <c r="AF664" s="128"/>
      <c r="AG664" s="128"/>
      <c r="AH664" s="127"/>
    </row>
    <row r="665" spans="1:34" ht="13.2">
      <c r="A665" s="88"/>
      <c r="B665" s="88"/>
      <c r="C665" s="88"/>
      <c r="D665" s="88"/>
      <c r="E665" s="88"/>
      <c r="F665" s="88"/>
      <c r="G665" s="88"/>
      <c r="H665" s="88"/>
      <c r="I665" s="88"/>
      <c r="J665" s="88"/>
      <c r="K665" s="88"/>
      <c r="L665" s="88"/>
      <c r="M665" s="88"/>
      <c r="N665" s="88"/>
      <c r="O665" s="88"/>
      <c r="P665" s="88"/>
      <c r="Q665" s="88"/>
      <c r="R665" s="88"/>
      <c r="S665" s="88"/>
      <c r="T665" s="88"/>
      <c r="U665" s="88"/>
      <c r="V665" s="88"/>
      <c r="W665" s="88"/>
      <c r="X665" s="88"/>
      <c r="Y665" s="88"/>
      <c r="Z665" s="88"/>
      <c r="AA665" s="88"/>
      <c r="AB665" s="128"/>
      <c r="AC665" s="128"/>
      <c r="AD665" s="128"/>
      <c r="AE665" s="128"/>
      <c r="AF665" s="128"/>
      <c r="AG665" s="128"/>
      <c r="AH665" s="127"/>
    </row>
    <row r="666" spans="1:34" ht="13.2">
      <c r="A666" s="88"/>
      <c r="B666" s="88"/>
      <c r="C666" s="88"/>
      <c r="D666" s="88"/>
      <c r="E666" s="88"/>
      <c r="F666" s="88"/>
      <c r="G666" s="88"/>
      <c r="H666" s="88"/>
      <c r="I666" s="88"/>
      <c r="J666" s="88"/>
      <c r="K666" s="88"/>
      <c r="L666" s="88"/>
      <c r="M666" s="88"/>
      <c r="N666" s="88"/>
      <c r="O666" s="88"/>
      <c r="P666" s="88"/>
      <c r="Q666" s="88"/>
      <c r="R666" s="88"/>
      <c r="S666" s="88"/>
      <c r="T666" s="88"/>
      <c r="U666" s="88"/>
      <c r="V666" s="88"/>
      <c r="W666" s="88"/>
      <c r="X666" s="88"/>
      <c r="Y666" s="88"/>
      <c r="Z666" s="88"/>
      <c r="AA666" s="88"/>
      <c r="AB666" s="128"/>
      <c r="AC666" s="128"/>
      <c r="AD666" s="128"/>
      <c r="AE666" s="128"/>
      <c r="AF666" s="128"/>
      <c r="AG666" s="128"/>
      <c r="AH666" s="127"/>
    </row>
    <row r="667" spans="1:34" ht="13.2">
      <c r="A667" s="88"/>
      <c r="B667" s="88"/>
      <c r="C667" s="88"/>
      <c r="D667" s="88"/>
      <c r="E667" s="88"/>
      <c r="F667" s="88"/>
      <c r="G667" s="88"/>
      <c r="H667" s="88"/>
      <c r="I667" s="88"/>
      <c r="J667" s="88"/>
      <c r="K667" s="88"/>
      <c r="L667" s="88"/>
      <c r="M667" s="88"/>
      <c r="N667" s="88"/>
      <c r="O667" s="88"/>
      <c r="P667" s="88"/>
      <c r="Q667" s="88"/>
      <c r="R667" s="88"/>
      <c r="S667" s="88"/>
      <c r="T667" s="88"/>
      <c r="U667" s="88"/>
      <c r="V667" s="88"/>
      <c r="W667" s="88"/>
      <c r="X667" s="88"/>
      <c r="Y667" s="88"/>
      <c r="Z667" s="88"/>
      <c r="AA667" s="88"/>
      <c r="AB667" s="128"/>
      <c r="AC667" s="128"/>
      <c r="AD667" s="128"/>
      <c r="AE667" s="128"/>
      <c r="AF667" s="128"/>
      <c r="AG667" s="128"/>
      <c r="AH667" s="127"/>
    </row>
    <row r="668" spans="1:34" ht="13.2">
      <c r="A668" s="88"/>
      <c r="B668" s="88"/>
      <c r="C668" s="88"/>
      <c r="D668" s="88"/>
      <c r="E668" s="88"/>
      <c r="F668" s="88"/>
      <c r="G668" s="88"/>
      <c r="H668" s="88"/>
      <c r="I668" s="88"/>
      <c r="J668" s="88"/>
      <c r="K668" s="88"/>
      <c r="L668" s="88"/>
      <c r="M668" s="88"/>
      <c r="N668" s="88"/>
      <c r="O668" s="88"/>
      <c r="P668" s="88"/>
      <c r="Q668" s="88"/>
      <c r="R668" s="88"/>
      <c r="S668" s="88"/>
      <c r="T668" s="88"/>
      <c r="U668" s="88"/>
      <c r="V668" s="88"/>
      <c r="W668" s="88"/>
      <c r="X668" s="88"/>
      <c r="Y668" s="88"/>
      <c r="Z668" s="88"/>
      <c r="AA668" s="88"/>
      <c r="AB668" s="128"/>
      <c r="AC668" s="128"/>
      <c r="AD668" s="128"/>
      <c r="AE668" s="128"/>
      <c r="AF668" s="128"/>
      <c r="AG668" s="128"/>
      <c r="AH668" s="127"/>
    </row>
    <row r="669" spans="1:34" ht="13.2">
      <c r="A669" s="88"/>
      <c r="B669" s="88"/>
      <c r="C669" s="88"/>
      <c r="D669" s="88"/>
      <c r="E669" s="88"/>
      <c r="F669" s="88"/>
      <c r="G669" s="88"/>
      <c r="H669" s="88"/>
      <c r="I669" s="88"/>
      <c r="J669" s="88"/>
      <c r="K669" s="88"/>
      <c r="L669" s="88"/>
      <c r="M669" s="88"/>
      <c r="N669" s="88"/>
      <c r="O669" s="88"/>
      <c r="P669" s="88"/>
      <c r="Q669" s="88"/>
      <c r="R669" s="88"/>
      <c r="S669" s="88"/>
      <c r="T669" s="88"/>
      <c r="U669" s="88"/>
      <c r="V669" s="88"/>
      <c r="W669" s="88"/>
      <c r="X669" s="88"/>
      <c r="Y669" s="88"/>
      <c r="Z669" s="88"/>
      <c r="AA669" s="88"/>
      <c r="AB669" s="128"/>
      <c r="AC669" s="128"/>
      <c r="AD669" s="128"/>
      <c r="AE669" s="128"/>
      <c r="AF669" s="128"/>
      <c r="AG669" s="128"/>
      <c r="AH669" s="127"/>
    </row>
    <row r="670" spans="1:34" ht="13.2">
      <c r="A670" s="88"/>
      <c r="B670" s="88"/>
      <c r="C670" s="88"/>
      <c r="D670" s="88"/>
      <c r="E670" s="88"/>
      <c r="F670" s="88"/>
      <c r="G670" s="88"/>
      <c r="H670" s="88"/>
      <c r="I670" s="88"/>
      <c r="J670" s="88"/>
      <c r="K670" s="88"/>
      <c r="L670" s="88"/>
      <c r="M670" s="88"/>
      <c r="N670" s="88"/>
      <c r="O670" s="88"/>
      <c r="P670" s="88"/>
      <c r="Q670" s="88"/>
      <c r="R670" s="88"/>
      <c r="S670" s="88"/>
      <c r="T670" s="88"/>
      <c r="U670" s="88"/>
      <c r="V670" s="88"/>
      <c r="W670" s="88"/>
      <c r="X670" s="88"/>
      <c r="Y670" s="88"/>
      <c r="Z670" s="88"/>
      <c r="AA670" s="88"/>
      <c r="AB670" s="128"/>
      <c r="AC670" s="128"/>
      <c r="AD670" s="128"/>
      <c r="AE670" s="128"/>
      <c r="AF670" s="128"/>
      <c r="AG670" s="128"/>
      <c r="AH670" s="127"/>
    </row>
    <row r="671" spans="1:34" ht="13.2">
      <c r="A671" s="88"/>
      <c r="B671" s="88"/>
      <c r="C671" s="88"/>
      <c r="D671" s="88"/>
      <c r="E671" s="88"/>
      <c r="F671" s="88"/>
      <c r="G671" s="88"/>
      <c r="H671" s="88"/>
      <c r="I671" s="88"/>
      <c r="J671" s="88"/>
      <c r="K671" s="88"/>
      <c r="L671" s="88"/>
      <c r="M671" s="88"/>
      <c r="N671" s="88"/>
      <c r="O671" s="88"/>
      <c r="P671" s="88"/>
      <c r="Q671" s="88"/>
      <c r="R671" s="88"/>
      <c r="S671" s="88"/>
      <c r="T671" s="88"/>
      <c r="U671" s="88"/>
      <c r="V671" s="88"/>
      <c r="W671" s="88"/>
      <c r="X671" s="88"/>
      <c r="Y671" s="88"/>
      <c r="Z671" s="88"/>
      <c r="AA671" s="88"/>
      <c r="AB671" s="128"/>
      <c r="AC671" s="128"/>
      <c r="AD671" s="128"/>
      <c r="AE671" s="128"/>
      <c r="AF671" s="128"/>
      <c r="AG671" s="128"/>
      <c r="AH671" s="127"/>
    </row>
    <row r="672" spans="1:34" ht="13.2">
      <c r="A672" s="88"/>
      <c r="B672" s="88"/>
      <c r="C672" s="88"/>
      <c r="D672" s="88"/>
      <c r="E672" s="88"/>
      <c r="F672" s="88"/>
      <c r="G672" s="88"/>
      <c r="H672" s="88"/>
      <c r="I672" s="88"/>
      <c r="J672" s="88"/>
      <c r="K672" s="88"/>
      <c r="L672" s="88"/>
      <c r="M672" s="88"/>
      <c r="N672" s="88"/>
      <c r="O672" s="88"/>
      <c r="P672" s="88"/>
      <c r="Q672" s="88"/>
      <c r="R672" s="88"/>
      <c r="S672" s="88"/>
      <c r="T672" s="88"/>
      <c r="U672" s="88"/>
      <c r="V672" s="88"/>
      <c r="W672" s="88"/>
      <c r="X672" s="88"/>
      <c r="Y672" s="88"/>
      <c r="Z672" s="88"/>
      <c r="AA672" s="88"/>
      <c r="AB672" s="128"/>
      <c r="AC672" s="128"/>
      <c r="AD672" s="128"/>
      <c r="AE672" s="128"/>
      <c r="AF672" s="128"/>
      <c r="AG672" s="128"/>
      <c r="AH672" s="127"/>
    </row>
    <row r="673" spans="1:34" ht="13.2">
      <c r="A673" s="88"/>
      <c r="B673" s="88"/>
      <c r="C673" s="88"/>
      <c r="D673" s="88"/>
      <c r="E673" s="88"/>
      <c r="F673" s="88"/>
      <c r="G673" s="88"/>
      <c r="H673" s="88"/>
      <c r="I673" s="88"/>
      <c r="J673" s="88"/>
      <c r="K673" s="88"/>
      <c r="L673" s="88"/>
      <c r="M673" s="88"/>
      <c r="N673" s="88"/>
      <c r="O673" s="88"/>
      <c r="P673" s="88"/>
      <c r="Q673" s="88"/>
      <c r="R673" s="88"/>
      <c r="S673" s="88"/>
      <c r="T673" s="88"/>
      <c r="U673" s="88"/>
      <c r="V673" s="88"/>
      <c r="W673" s="88"/>
      <c r="X673" s="88"/>
      <c r="Y673" s="88"/>
      <c r="Z673" s="88"/>
      <c r="AA673" s="88"/>
      <c r="AB673" s="128"/>
      <c r="AC673" s="128"/>
      <c r="AD673" s="128"/>
      <c r="AE673" s="128"/>
      <c r="AF673" s="128"/>
      <c r="AG673" s="128"/>
      <c r="AH673" s="127"/>
    </row>
    <row r="674" spans="1:34" ht="13.2">
      <c r="A674" s="88"/>
      <c r="B674" s="88"/>
      <c r="C674" s="88"/>
      <c r="D674" s="88"/>
      <c r="E674" s="88"/>
      <c r="F674" s="88"/>
      <c r="G674" s="88"/>
      <c r="H674" s="88"/>
      <c r="I674" s="88"/>
      <c r="J674" s="88"/>
      <c r="K674" s="88"/>
      <c r="L674" s="88"/>
      <c r="M674" s="88"/>
      <c r="N674" s="88"/>
      <c r="O674" s="88"/>
      <c r="P674" s="88"/>
      <c r="Q674" s="88"/>
      <c r="R674" s="88"/>
      <c r="S674" s="88"/>
      <c r="T674" s="88"/>
      <c r="U674" s="88"/>
      <c r="V674" s="88"/>
      <c r="W674" s="88"/>
      <c r="X674" s="88"/>
      <c r="Y674" s="88"/>
      <c r="Z674" s="88"/>
      <c r="AA674" s="88"/>
      <c r="AB674" s="128"/>
      <c r="AC674" s="128"/>
      <c r="AD674" s="128"/>
      <c r="AE674" s="128"/>
      <c r="AF674" s="128"/>
      <c r="AG674" s="128"/>
      <c r="AH674" s="127"/>
    </row>
    <row r="675" spans="1:34" ht="13.2">
      <c r="A675" s="88"/>
      <c r="B675" s="88"/>
      <c r="C675" s="88"/>
      <c r="D675" s="88"/>
      <c r="E675" s="88"/>
      <c r="F675" s="88"/>
      <c r="G675" s="88"/>
      <c r="H675" s="88"/>
      <c r="I675" s="88"/>
      <c r="J675" s="88"/>
      <c r="K675" s="88"/>
      <c r="L675" s="88"/>
      <c r="M675" s="88"/>
      <c r="N675" s="88"/>
      <c r="O675" s="88"/>
      <c r="P675" s="88"/>
      <c r="Q675" s="88"/>
      <c r="R675" s="88"/>
      <c r="S675" s="88"/>
      <c r="T675" s="88"/>
      <c r="U675" s="88"/>
      <c r="V675" s="88"/>
      <c r="W675" s="88"/>
      <c r="X675" s="88"/>
      <c r="Y675" s="88"/>
      <c r="Z675" s="88"/>
      <c r="AA675" s="88"/>
      <c r="AB675" s="128"/>
      <c r="AC675" s="128"/>
      <c r="AD675" s="128"/>
      <c r="AE675" s="128"/>
      <c r="AF675" s="128"/>
      <c r="AG675" s="128"/>
      <c r="AH675" s="127"/>
    </row>
    <row r="676" spans="1:34" ht="13.2">
      <c r="A676" s="88"/>
      <c r="B676" s="88"/>
      <c r="C676" s="88"/>
      <c r="D676" s="88"/>
      <c r="E676" s="88"/>
      <c r="F676" s="88"/>
      <c r="G676" s="88"/>
      <c r="H676" s="88"/>
      <c r="I676" s="88"/>
      <c r="J676" s="88"/>
      <c r="K676" s="88"/>
      <c r="L676" s="88"/>
      <c r="M676" s="88"/>
      <c r="N676" s="88"/>
      <c r="O676" s="88"/>
      <c r="P676" s="88"/>
      <c r="Q676" s="88"/>
      <c r="R676" s="88"/>
      <c r="S676" s="88"/>
      <c r="T676" s="88"/>
      <c r="U676" s="88"/>
      <c r="V676" s="88"/>
      <c r="W676" s="88"/>
      <c r="X676" s="88"/>
      <c r="Y676" s="88"/>
      <c r="Z676" s="88"/>
      <c r="AA676" s="88"/>
      <c r="AB676" s="128"/>
      <c r="AC676" s="128"/>
      <c r="AD676" s="128"/>
      <c r="AE676" s="128"/>
      <c r="AF676" s="128"/>
      <c r="AG676" s="128"/>
      <c r="AH676" s="127"/>
    </row>
    <row r="677" spans="1:34" ht="13.2">
      <c r="A677" s="88"/>
      <c r="B677" s="88"/>
      <c r="C677" s="88"/>
      <c r="D677" s="88"/>
      <c r="E677" s="88"/>
      <c r="F677" s="88"/>
      <c r="G677" s="88"/>
      <c r="H677" s="88"/>
      <c r="I677" s="88"/>
      <c r="J677" s="88"/>
      <c r="K677" s="88"/>
      <c r="L677" s="88"/>
      <c r="M677" s="88"/>
      <c r="N677" s="88"/>
      <c r="O677" s="88"/>
      <c r="P677" s="88"/>
      <c r="Q677" s="88"/>
      <c r="R677" s="88"/>
      <c r="S677" s="88"/>
      <c r="T677" s="88"/>
      <c r="U677" s="88"/>
      <c r="V677" s="88"/>
      <c r="W677" s="88"/>
      <c r="X677" s="88"/>
      <c r="Y677" s="88"/>
      <c r="Z677" s="88"/>
      <c r="AA677" s="88"/>
      <c r="AB677" s="128"/>
      <c r="AC677" s="128"/>
      <c r="AD677" s="128"/>
      <c r="AE677" s="128"/>
      <c r="AF677" s="128"/>
      <c r="AG677" s="128"/>
      <c r="AH677" s="127"/>
    </row>
    <row r="678" spans="1:34" ht="13.2">
      <c r="A678" s="88"/>
      <c r="B678" s="88"/>
      <c r="C678" s="88"/>
      <c r="D678" s="88"/>
      <c r="E678" s="88"/>
      <c r="F678" s="88"/>
      <c r="G678" s="88"/>
      <c r="H678" s="88"/>
      <c r="I678" s="88"/>
      <c r="J678" s="88"/>
      <c r="K678" s="88"/>
      <c r="L678" s="88"/>
      <c r="M678" s="88"/>
      <c r="N678" s="88"/>
      <c r="O678" s="88"/>
      <c r="P678" s="88"/>
      <c r="Q678" s="88"/>
      <c r="R678" s="88"/>
      <c r="S678" s="88"/>
      <c r="T678" s="88"/>
      <c r="U678" s="88"/>
      <c r="V678" s="88"/>
      <c r="W678" s="88"/>
      <c r="X678" s="88"/>
      <c r="Y678" s="88"/>
      <c r="Z678" s="88"/>
      <c r="AA678" s="88"/>
      <c r="AB678" s="128"/>
      <c r="AC678" s="128"/>
      <c r="AD678" s="128"/>
      <c r="AE678" s="128"/>
      <c r="AF678" s="128"/>
      <c r="AG678" s="128"/>
      <c r="AH678" s="127"/>
    </row>
    <row r="679" spans="1:34" ht="13.2">
      <c r="A679" s="88"/>
      <c r="B679" s="88"/>
      <c r="C679" s="88"/>
      <c r="D679" s="88"/>
      <c r="E679" s="88"/>
      <c r="F679" s="88"/>
      <c r="G679" s="88"/>
      <c r="H679" s="88"/>
      <c r="I679" s="88"/>
      <c r="J679" s="88"/>
      <c r="K679" s="88"/>
      <c r="L679" s="88"/>
      <c r="M679" s="88"/>
      <c r="N679" s="88"/>
      <c r="O679" s="88"/>
      <c r="P679" s="88"/>
      <c r="Q679" s="88"/>
      <c r="R679" s="88"/>
      <c r="S679" s="88"/>
      <c r="T679" s="88"/>
      <c r="U679" s="88"/>
      <c r="V679" s="88"/>
      <c r="W679" s="88"/>
      <c r="X679" s="88"/>
      <c r="Y679" s="88"/>
      <c r="Z679" s="88"/>
      <c r="AA679" s="88"/>
      <c r="AB679" s="128"/>
      <c r="AC679" s="128"/>
      <c r="AD679" s="128"/>
      <c r="AE679" s="128"/>
      <c r="AF679" s="128"/>
      <c r="AG679" s="128"/>
      <c r="AH679" s="127"/>
    </row>
    <row r="680" spans="1:34" ht="13.2">
      <c r="A680" s="88"/>
      <c r="B680" s="88"/>
      <c r="C680" s="88"/>
      <c r="D680" s="88"/>
      <c r="E680" s="88"/>
      <c r="F680" s="88"/>
      <c r="G680" s="88"/>
      <c r="H680" s="88"/>
      <c r="I680" s="88"/>
      <c r="J680" s="88"/>
      <c r="K680" s="88"/>
      <c r="L680" s="88"/>
      <c r="M680" s="88"/>
      <c r="N680" s="88"/>
      <c r="O680" s="88"/>
      <c r="P680" s="88"/>
      <c r="Q680" s="88"/>
      <c r="R680" s="88"/>
      <c r="S680" s="88"/>
      <c r="T680" s="88"/>
      <c r="U680" s="88"/>
      <c r="V680" s="88"/>
      <c r="W680" s="88"/>
      <c r="X680" s="88"/>
      <c r="Y680" s="88"/>
      <c r="Z680" s="88"/>
      <c r="AA680" s="88"/>
      <c r="AB680" s="128"/>
      <c r="AC680" s="128"/>
      <c r="AD680" s="128"/>
      <c r="AE680" s="128"/>
      <c r="AF680" s="128"/>
      <c r="AG680" s="128"/>
      <c r="AH680" s="127"/>
    </row>
    <row r="681" spans="1:34" ht="13.2">
      <c r="A681" s="88"/>
      <c r="B681" s="88"/>
      <c r="C681" s="88"/>
      <c r="D681" s="88"/>
      <c r="E681" s="88"/>
      <c r="F681" s="88"/>
      <c r="G681" s="88"/>
      <c r="H681" s="88"/>
      <c r="I681" s="88"/>
      <c r="J681" s="88"/>
      <c r="K681" s="88"/>
      <c r="L681" s="88"/>
      <c r="M681" s="88"/>
      <c r="N681" s="88"/>
      <c r="O681" s="88"/>
      <c r="P681" s="88"/>
      <c r="Q681" s="88"/>
      <c r="R681" s="88"/>
      <c r="S681" s="88"/>
      <c r="T681" s="88"/>
      <c r="U681" s="88"/>
      <c r="V681" s="88"/>
      <c r="W681" s="88"/>
      <c r="X681" s="88"/>
      <c r="Y681" s="88"/>
      <c r="Z681" s="88"/>
      <c r="AA681" s="88"/>
      <c r="AB681" s="128"/>
      <c r="AC681" s="128"/>
      <c r="AD681" s="128"/>
      <c r="AE681" s="128"/>
      <c r="AF681" s="128"/>
      <c r="AG681" s="128"/>
      <c r="AH681" s="127"/>
    </row>
    <row r="682" spans="1:34" ht="13.2">
      <c r="A682" s="88"/>
      <c r="B682" s="88"/>
      <c r="C682" s="88"/>
      <c r="D682" s="88"/>
      <c r="E682" s="88"/>
      <c r="F682" s="88"/>
      <c r="G682" s="88"/>
      <c r="H682" s="88"/>
      <c r="I682" s="88"/>
      <c r="J682" s="88"/>
      <c r="K682" s="88"/>
      <c r="L682" s="88"/>
      <c r="M682" s="88"/>
      <c r="N682" s="88"/>
      <c r="O682" s="88"/>
      <c r="P682" s="88"/>
      <c r="Q682" s="88"/>
      <c r="R682" s="88"/>
      <c r="S682" s="88"/>
      <c r="T682" s="88"/>
      <c r="U682" s="88"/>
      <c r="V682" s="88"/>
      <c r="W682" s="88"/>
      <c r="X682" s="88"/>
      <c r="Y682" s="88"/>
      <c r="Z682" s="88"/>
      <c r="AA682" s="88"/>
      <c r="AB682" s="128"/>
      <c r="AC682" s="128"/>
      <c r="AD682" s="128"/>
      <c r="AE682" s="128"/>
      <c r="AF682" s="128"/>
      <c r="AG682" s="128"/>
      <c r="AH682" s="127"/>
    </row>
    <row r="683" spans="1:34" ht="13.2">
      <c r="A683" s="88"/>
      <c r="B683" s="88"/>
      <c r="C683" s="88"/>
      <c r="D683" s="88"/>
      <c r="E683" s="88"/>
      <c r="F683" s="88"/>
      <c r="G683" s="88"/>
      <c r="H683" s="88"/>
      <c r="I683" s="88"/>
      <c r="J683" s="88"/>
      <c r="K683" s="88"/>
      <c r="L683" s="88"/>
      <c r="M683" s="88"/>
      <c r="N683" s="88"/>
      <c r="O683" s="88"/>
      <c r="P683" s="88"/>
      <c r="Q683" s="88"/>
      <c r="R683" s="88"/>
      <c r="S683" s="88"/>
      <c r="T683" s="88"/>
      <c r="U683" s="88"/>
      <c r="V683" s="88"/>
      <c r="W683" s="88"/>
      <c r="X683" s="88"/>
      <c r="Y683" s="88"/>
      <c r="Z683" s="88"/>
      <c r="AA683" s="88"/>
      <c r="AB683" s="128"/>
      <c r="AC683" s="128"/>
      <c r="AD683" s="128"/>
      <c r="AE683" s="128"/>
      <c r="AF683" s="128"/>
      <c r="AG683" s="128"/>
      <c r="AH683" s="127"/>
    </row>
    <row r="684" spans="1:34" ht="13.2">
      <c r="A684" s="88"/>
      <c r="B684" s="88"/>
      <c r="C684" s="88"/>
      <c r="D684" s="88"/>
      <c r="E684" s="88"/>
      <c r="F684" s="88"/>
      <c r="G684" s="88"/>
      <c r="H684" s="88"/>
      <c r="I684" s="88"/>
      <c r="J684" s="88"/>
      <c r="K684" s="88"/>
      <c r="L684" s="88"/>
      <c r="M684" s="88"/>
      <c r="N684" s="88"/>
      <c r="O684" s="88"/>
      <c r="P684" s="88"/>
      <c r="Q684" s="88"/>
      <c r="R684" s="88"/>
      <c r="S684" s="88"/>
      <c r="T684" s="88"/>
      <c r="U684" s="88"/>
      <c r="V684" s="88"/>
      <c r="W684" s="88"/>
      <c r="X684" s="88"/>
      <c r="Y684" s="88"/>
      <c r="Z684" s="88"/>
      <c r="AA684" s="88"/>
      <c r="AB684" s="128"/>
      <c r="AC684" s="128"/>
      <c r="AD684" s="128"/>
      <c r="AE684" s="128"/>
      <c r="AF684" s="128"/>
      <c r="AG684" s="128"/>
      <c r="AH684" s="127"/>
    </row>
    <row r="685" spans="1:34" ht="13.2">
      <c r="A685" s="88"/>
      <c r="B685" s="88"/>
      <c r="C685" s="88"/>
      <c r="D685" s="88"/>
      <c r="E685" s="88"/>
      <c r="F685" s="88"/>
      <c r="G685" s="88"/>
      <c r="H685" s="88"/>
      <c r="I685" s="88"/>
      <c r="J685" s="88"/>
      <c r="K685" s="88"/>
      <c r="L685" s="88"/>
      <c r="M685" s="88"/>
      <c r="N685" s="88"/>
      <c r="O685" s="88"/>
      <c r="P685" s="88"/>
      <c r="Q685" s="88"/>
      <c r="R685" s="88"/>
      <c r="S685" s="88"/>
      <c r="T685" s="88"/>
      <c r="U685" s="88"/>
      <c r="V685" s="88"/>
      <c r="W685" s="88"/>
      <c r="X685" s="88"/>
      <c r="Y685" s="88"/>
      <c r="Z685" s="88"/>
      <c r="AA685" s="88"/>
      <c r="AB685" s="128"/>
      <c r="AC685" s="128"/>
      <c r="AD685" s="128"/>
      <c r="AE685" s="128"/>
      <c r="AF685" s="128"/>
      <c r="AG685" s="128"/>
      <c r="AH685" s="127"/>
    </row>
    <row r="686" spans="1:34" ht="13.2">
      <c r="A686" s="88"/>
      <c r="B686" s="88"/>
      <c r="C686" s="88"/>
      <c r="D686" s="88"/>
      <c r="E686" s="88"/>
      <c r="F686" s="88"/>
      <c r="G686" s="88"/>
      <c r="H686" s="88"/>
      <c r="I686" s="88"/>
      <c r="J686" s="88"/>
      <c r="K686" s="88"/>
      <c r="L686" s="88"/>
      <c r="M686" s="88"/>
      <c r="N686" s="88"/>
      <c r="O686" s="88"/>
      <c r="P686" s="88"/>
      <c r="Q686" s="88"/>
      <c r="R686" s="88"/>
      <c r="S686" s="88"/>
      <c r="T686" s="88"/>
      <c r="U686" s="88"/>
      <c r="V686" s="88"/>
      <c r="W686" s="88"/>
      <c r="X686" s="88"/>
      <c r="Y686" s="88"/>
      <c r="Z686" s="88"/>
      <c r="AA686" s="88"/>
      <c r="AB686" s="128"/>
      <c r="AC686" s="128"/>
      <c r="AD686" s="128"/>
      <c r="AE686" s="128"/>
      <c r="AF686" s="128"/>
      <c r="AG686" s="128"/>
      <c r="AH686" s="127"/>
    </row>
    <row r="687" spans="1:34" ht="13.2">
      <c r="A687" s="88"/>
      <c r="B687" s="88"/>
      <c r="C687" s="88"/>
      <c r="D687" s="88"/>
      <c r="E687" s="88"/>
      <c r="F687" s="88"/>
      <c r="G687" s="88"/>
      <c r="H687" s="88"/>
      <c r="I687" s="88"/>
      <c r="J687" s="88"/>
      <c r="K687" s="88"/>
      <c r="L687" s="88"/>
      <c r="M687" s="88"/>
      <c r="N687" s="88"/>
      <c r="O687" s="88"/>
      <c r="P687" s="88"/>
      <c r="Q687" s="88"/>
      <c r="R687" s="88"/>
      <c r="S687" s="88"/>
      <c r="T687" s="88"/>
      <c r="U687" s="88"/>
      <c r="V687" s="88"/>
      <c r="W687" s="88"/>
      <c r="X687" s="88"/>
      <c r="Y687" s="88"/>
      <c r="Z687" s="88"/>
      <c r="AA687" s="88"/>
      <c r="AB687" s="128"/>
      <c r="AC687" s="128"/>
      <c r="AD687" s="128"/>
      <c r="AE687" s="128"/>
      <c r="AF687" s="128"/>
      <c r="AG687" s="128"/>
      <c r="AH687" s="127"/>
    </row>
    <row r="688" spans="1:34" ht="13.2">
      <c r="A688" s="88"/>
      <c r="B688" s="88"/>
      <c r="C688" s="88"/>
      <c r="D688" s="88"/>
      <c r="E688" s="88"/>
      <c r="F688" s="88"/>
      <c r="G688" s="88"/>
      <c r="H688" s="88"/>
      <c r="I688" s="88"/>
      <c r="J688" s="88"/>
      <c r="K688" s="88"/>
      <c r="L688" s="88"/>
      <c r="M688" s="88"/>
      <c r="N688" s="88"/>
      <c r="O688" s="88"/>
      <c r="P688" s="88"/>
      <c r="Q688" s="88"/>
      <c r="R688" s="88"/>
      <c r="S688" s="88"/>
      <c r="T688" s="88"/>
      <c r="U688" s="88"/>
      <c r="V688" s="88"/>
      <c r="W688" s="88"/>
      <c r="X688" s="88"/>
      <c r="Y688" s="88"/>
      <c r="Z688" s="88"/>
      <c r="AA688" s="88"/>
      <c r="AB688" s="128"/>
      <c r="AC688" s="128"/>
      <c r="AD688" s="128"/>
      <c r="AE688" s="128"/>
      <c r="AF688" s="128"/>
      <c r="AG688" s="128"/>
      <c r="AH688" s="127"/>
    </row>
    <row r="689" spans="1:34" ht="13.2">
      <c r="A689" s="88"/>
      <c r="B689" s="88"/>
      <c r="C689" s="88"/>
      <c r="D689" s="88"/>
      <c r="E689" s="88"/>
      <c r="F689" s="88"/>
      <c r="G689" s="88"/>
      <c r="H689" s="88"/>
      <c r="I689" s="88"/>
      <c r="J689" s="88"/>
      <c r="K689" s="88"/>
      <c r="L689" s="88"/>
      <c r="M689" s="88"/>
      <c r="N689" s="88"/>
      <c r="O689" s="88"/>
      <c r="P689" s="88"/>
      <c r="Q689" s="88"/>
      <c r="R689" s="88"/>
      <c r="S689" s="88"/>
      <c r="T689" s="88"/>
      <c r="U689" s="88"/>
      <c r="V689" s="88"/>
      <c r="W689" s="88"/>
      <c r="X689" s="88"/>
      <c r="Y689" s="88"/>
      <c r="Z689" s="88"/>
      <c r="AA689" s="88"/>
      <c r="AB689" s="128"/>
      <c r="AC689" s="128"/>
      <c r="AD689" s="128"/>
      <c r="AE689" s="128"/>
      <c r="AF689" s="128"/>
      <c r="AG689" s="128"/>
      <c r="AH689" s="127"/>
    </row>
    <row r="690" spans="1:34" ht="13.2">
      <c r="A690" s="88"/>
      <c r="B690" s="88"/>
      <c r="C690" s="88"/>
      <c r="D690" s="88"/>
      <c r="E690" s="88"/>
      <c r="F690" s="88"/>
      <c r="G690" s="88"/>
      <c r="H690" s="88"/>
      <c r="I690" s="88"/>
      <c r="J690" s="88"/>
      <c r="K690" s="88"/>
      <c r="L690" s="88"/>
      <c r="M690" s="88"/>
      <c r="N690" s="88"/>
      <c r="O690" s="88"/>
      <c r="P690" s="88"/>
      <c r="Q690" s="88"/>
      <c r="R690" s="88"/>
      <c r="S690" s="88"/>
      <c r="T690" s="88"/>
      <c r="U690" s="88"/>
      <c r="V690" s="88"/>
      <c r="W690" s="88"/>
      <c r="X690" s="88"/>
      <c r="Y690" s="88"/>
      <c r="Z690" s="88"/>
      <c r="AA690" s="88"/>
      <c r="AB690" s="128"/>
      <c r="AC690" s="128"/>
      <c r="AD690" s="128"/>
      <c r="AE690" s="128"/>
      <c r="AF690" s="128"/>
      <c r="AG690" s="128"/>
      <c r="AH690" s="127"/>
    </row>
    <row r="691" spans="1:34" ht="13.2">
      <c r="A691" s="88"/>
      <c r="B691" s="88"/>
      <c r="C691" s="88"/>
      <c r="D691" s="88"/>
      <c r="E691" s="88"/>
      <c r="F691" s="88"/>
      <c r="G691" s="88"/>
      <c r="H691" s="88"/>
      <c r="I691" s="88"/>
      <c r="J691" s="88"/>
      <c r="K691" s="88"/>
      <c r="L691" s="88"/>
      <c r="M691" s="88"/>
      <c r="N691" s="88"/>
      <c r="O691" s="88"/>
      <c r="P691" s="88"/>
      <c r="Q691" s="88"/>
      <c r="R691" s="88"/>
      <c r="S691" s="88"/>
      <c r="T691" s="88"/>
      <c r="U691" s="88"/>
      <c r="V691" s="88"/>
      <c r="W691" s="88"/>
      <c r="X691" s="88"/>
      <c r="Y691" s="88"/>
      <c r="Z691" s="88"/>
      <c r="AA691" s="88"/>
      <c r="AB691" s="128"/>
      <c r="AC691" s="128"/>
      <c r="AD691" s="128"/>
      <c r="AE691" s="128"/>
      <c r="AF691" s="128"/>
      <c r="AG691" s="128"/>
      <c r="AH691" s="127"/>
    </row>
    <row r="692" spans="1:34" ht="13.2">
      <c r="A692" s="88"/>
      <c r="B692" s="88"/>
      <c r="C692" s="88"/>
      <c r="D692" s="88"/>
      <c r="E692" s="88"/>
      <c r="F692" s="88"/>
      <c r="G692" s="88"/>
      <c r="H692" s="88"/>
      <c r="I692" s="88"/>
      <c r="J692" s="88"/>
      <c r="K692" s="88"/>
      <c r="L692" s="88"/>
      <c r="M692" s="88"/>
      <c r="N692" s="88"/>
      <c r="O692" s="88"/>
      <c r="P692" s="88"/>
      <c r="Q692" s="88"/>
      <c r="R692" s="88"/>
      <c r="S692" s="88"/>
      <c r="T692" s="88"/>
      <c r="U692" s="88"/>
      <c r="V692" s="88"/>
      <c r="W692" s="88"/>
      <c r="X692" s="88"/>
      <c r="Y692" s="88"/>
      <c r="Z692" s="88"/>
      <c r="AA692" s="88"/>
      <c r="AB692" s="128"/>
      <c r="AC692" s="128"/>
      <c r="AD692" s="128"/>
      <c r="AE692" s="128"/>
      <c r="AF692" s="128"/>
      <c r="AG692" s="128"/>
      <c r="AH692" s="127"/>
    </row>
    <row r="693" spans="1:34" ht="13.2">
      <c r="A693" s="88"/>
      <c r="B693" s="88"/>
      <c r="C693" s="88"/>
      <c r="D693" s="88"/>
      <c r="E693" s="88"/>
      <c r="F693" s="88"/>
      <c r="G693" s="88"/>
      <c r="H693" s="88"/>
      <c r="I693" s="88"/>
      <c r="J693" s="88"/>
      <c r="K693" s="88"/>
      <c r="L693" s="88"/>
      <c r="M693" s="88"/>
      <c r="N693" s="88"/>
      <c r="O693" s="88"/>
      <c r="P693" s="88"/>
      <c r="Q693" s="88"/>
      <c r="R693" s="88"/>
      <c r="S693" s="88"/>
      <c r="T693" s="88"/>
      <c r="U693" s="88"/>
      <c r="V693" s="88"/>
      <c r="W693" s="88"/>
      <c r="X693" s="88"/>
      <c r="Y693" s="88"/>
      <c r="Z693" s="88"/>
      <c r="AA693" s="88"/>
      <c r="AB693" s="128"/>
      <c r="AC693" s="128"/>
      <c r="AD693" s="128"/>
      <c r="AE693" s="128"/>
      <c r="AF693" s="128"/>
      <c r="AG693" s="128"/>
      <c r="AH693" s="127"/>
    </row>
    <row r="694" spans="1:34" ht="13.2">
      <c r="A694" s="88"/>
      <c r="B694" s="88"/>
      <c r="C694" s="88"/>
      <c r="D694" s="88"/>
      <c r="E694" s="88"/>
      <c r="F694" s="88"/>
      <c r="G694" s="88"/>
      <c r="H694" s="88"/>
      <c r="I694" s="88"/>
      <c r="J694" s="88"/>
      <c r="K694" s="88"/>
      <c r="L694" s="88"/>
      <c r="M694" s="88"/>
      <c r="N694" s="88"/>
      <c r="O694" s="88"/>
      <c r="P694" s="88"/>
      <c r="Q694" s="88"/>
      <c r="R694" s="88"/>
      <c r="S694" s="88"/>
      <c r="T694" s="88"/>
      <c r="U694" s="88"/>
      <c r="V694" s="88"/>
      <c r="W694" s="88"/>
      <c r="X694" s="88"/>
      <c r="Y694" s="88"/>
      <c r="Z694" s="88"/>
      <c r="AA694" s="88"/>
      <c r="AB694" s="128"/>
      <c r="AC694" s="128"/>
      <c r="AD694" s="128"/>
      <c r="AE694" s="128"/>
      <c r="AF694" s="128"/>
      <c r="AG694" s="128"/>
      <c r="AH694" s="127"/>
    </row>
    <row r="695" spans="1:34" ht="13.2">
      <c r="A695" s="88"/>
      <c r="B695" s="88"/>
      <c r="C695" s="88"/>
      <c r="D695" s="88"/>
      <c r="E695" s="88"/>
      <c r="F695" s="88"/>
      <c r="G695" s="88"/>
      <c r="H695" s="88"/>
      <c r="I695" s="88"/>
      <c r="J695" s="88"/>
      <c r="K695" s="88"/>
      <c r="L695" s="88"/>
      <c r="M695" s="88"/>
      <c r="N695" s="88"/>
      <c r="O695" s="88"/>
      <c r="P695" s="88"/>
      <c r="Q695" s="88"/>
      <c r="R695" s="88"/>
      <c r="S695" s="88"/>
      <c r="T695" s="88"/>
      <c r="U695" s="88"/>
      <c r="V695" s="88"/>
      <c r="W695" s="88"/>
      <c r="X695" s="88"/>
      <c r="Y695" s="88"/>
      <c r="Z695" s="88"/>
      <c r="AA695" s="88"/>
      <c r="AB695" s="128"/>
      <c r="AC695" s="128"/>
      <c r="AD695" s="128"/>
      <c r="AE695" s="128"/>
      <c r="AF695" s="128"/>
      <c r="AG695" s="128"/>
      <c r="AH695" s="127"/>
    </row>
    <row r="696" spans="1:34" ht="13.2">
      <c r="A696" s="88"/>
      <c r="B696" s="88"/>
      <c r="C696" s="88"/>
      <c r="D696" s="88"/>
      <c r="E696" s="88"/>
      <c r="F696" s="88"/>
      <c r="G696" s="88"/>
      <c r="H696" s="88"/>
      <c r="I696" s="88"/>
      <c r="J696" s="88"/>
      <c r="K696" s="88"/>
      <c r="L696" s="88"/>
      <c r="M696" s="88"/>
      <c r="N696" s="88"/>
      <c r="O696" s="88"/>
      <c r="P696" s="88"/>
      <c r="Q696" s="88"/>
      <c r="R696" s="88"/>
      <c r="S696" s="88"/>
      <c r="T696" s="88"/>
      <c r="U696" s="88"/>
      <c r="V696" s="88"/>
      <c r="W696" s="88"/>
      <c r="X696" s="88"/>
      <c r="Y696" s="88"/>
      <c r="Z696" s="88"/>
      <c r="AA696" s="88"/>
      <c r="AB696" s="128"/>
      <c r="AC696" s="128"/>
      <c r="AD696" s="128"/>
      <c r="AE696" s="128"/>
      <c r="AF696" s="128"/>
      <c r="AG696" s="128"/>
      <c r="AH696" s="127"/>
    </row>
    <row r="697" spans="1:34" ht="13.2">
      <c r="A697" s="88"/>
      <c r="B697" s="88"/>
      <c r="C697" s="88"/>
      <c r="D697" s="88"/>
      <c r="E697" s="88"/>
      <c r="F697" s="88"/>
      <c r="G697" s="88"/>
      <c r="H697" s="88"/>
      <c r="I697" s="88"/>
      <c r="J697" s="88"/>
      <c r="K697" s="88"/>
      <c r="L697" s="88"/>
      <c r="M697" s="88"/>
      <c r="N697" s="88"/>
      <c r="O697" s="88"/>
      <c r="P697" s="88"/>
      <c r="Q697" s="88"/>
      <c r="R697" s="88"/>
      <c r="S697" s="88"/>
      <c r="T697" s="88"/>
      <c r="U697" s="88"/>
      <c r="V697" s="88"/>
      <c r="W697" s="88"/>
      <c r="X697" s="88"/>
      <c r="Y697" s="88"/>
      <c r="Z697" s="88"/>
      <c r="AA697" s="88"/>
      <c r="AB697" s="128"/>
      <c r="AC697" s="128"/>
      <c r="AD697" s="128"/>
      <c r="AE697" s="128"/>
      <c r="AF697" s="128"/>
      <c r="AG697" s="128"/>
      <c r="AH697" s="127"/>
    </row>
    <row r="698" spans="1:34" ht="13.2">
      <c r="A698" s="88"/>
      <c r="B698" s="88"/>
      <c r="C698" s="88"/>
      <c r="D698" s="88"/>
      <c r="E698" s="88"/>
      <c r="F698" s="88"/>
      <c r="G698" s="88"/>
      <c r="H698" s="88"/>
      <c r="I698" s="88"/>
      <c r="J698" s="88"/>
      <c r="K698" s="88"/>
      <c r="L698" s="88"/>
      <c r="M698" s="88"/>
      <c r="N698" s="88"/>
      <c r="O698" s="88"/>
      <c r="P698" s="88"/>
      <c r="Q698" s="88"/>
      <c r="R698" s="88"/>
      <c r="S698" s="88"/>
      <c r="T698" s="88"/>
      <c r="U698" s="88"/>
      <c r="V698" s="88"/>
      <c r="W698" s="88"/>
      <c r="X698" s="88"/>
      <c r="Y698" s="88"/>
      <c r="Z698" s="88"/>
      <c r="AA698" s="88"/>
      <c r="AB698" s="128"/>
      <c r="AC698" s="128"/>
      <c r="AD698" s="128"/>
      <c r="AE698" s="128"/>
      <c r="AF698" s="128"/>
      <c r="AG698" s="128"/>
      <c r="AH698" s="127"/>
    </row>
    <row r="699" spans="1:34" ht="13.2">
      <c r="A699" s="88"/>
      <c r="B699" s="88"/>
      <c r="C699" s="88"/>
      <c r="D699" s="88"/>
      <c r="E699" s="88"/>
      <c r="F699" s="88"/>
      <c r="G699" s="88"/>
      <c r="H699" s="88"/>
      <c r="I699" s="88"/>
      <c r="J699" s="88"/>
      <c r="K699" s="88"/>
      <c r="L699" s="88"/>
      <c r="M699" s="88"/>
      <c r="N699" s="88"/>
      <c r="O699" s="88"/>
      <c r="P699" s="88"/>
      <c r="Q699" s="88"/>
      <c r="R699" s="88"/>
      <c r="S699" s="88"/>
      <c r="T699" s="88"/>
      <c r="U699" s="88"/>
      <c r="V699" s="88"/>
      <c r="W699" s="88"/>
      <c r="X699" s="88"/>
      <c r="Y699" s="88"/>
      <c r="Z699" s="88"/>
      <c r="AA699" s="88"/>
      <c r="AB699" s="128"/>
      <c r="AC699" s="128"/>
      <c r="AD699" s="128"/>
      <c r="AE699" s="128"/>
      <c r="AF699" s="128"/>
      <c r="AG699" s="128"/>
      <c r="AH699" s="127"/>
    </row>
    <row r="700" spans="1:34" ht="13.2">
      <c r="A700" s="88"/>
      <c r="B700" s="88"/>
      <c r="C700" s="88"/>
      <c r="D700" s="88"/>
      <c r="E700" s="88"/>
      <c r="F700" s="88"/>
      <c r="G700" s="88"/>
      <c r="H700" s="88"/>
      <c r="I700" s="88"/>
      <c r="J700" s="88"/>
      <c r="K700" s="88"/>
      <c r="L700" s="88"/>
      <c r="M700" s="88"/>
      <c r="N700" s="88"/>
      <c r="O700" s="88"/>
      <c r="P700" s="88"/>
      <c r="Q700" s="88"/>
      <c r="R700" s="88"/>
      <c r="S700" s="88"/>
      <c r="T700" s="88"/>
      <c r="U700" s="88"/>
      <c r="V700" s="88"/>
      <c r="W700" s="88"/>
      <c r="X700" s="88"/>
      <c r="Y700" s="88"/>
      <c r="Z700" s="88"/>
      <c r="AA700" s="88"/>
      <c r="AB700" s="128"/>
      <c r="AC700" s="128"/>
      <c r="AD700" s="128"/>
      <c r="AE700" s="128"/>
      <c r="AF700" s="128"/>
      <c r="AG700" s="128"/>
      <c r="AH700" s="127"/>
    </row>
    <row r="701" spans="1:34" ht="13.2">
      <c r="A701" s="88"/>
      <c r="B701" s="88"/>
      <c r="C701" s="88"/>
      <c r="D701" s="88"/>
      <c r="E701" s="88"/>
      <c r="F701" s="88"/>
      <c r="G701" s="88"/>
      <c r="H701" s="88"/>
      <c r="I701" s="88"/>
      <c r="J701" s="88"/>
      <c r="K701" s="88"/>
      <c r="L701" s="88"/>
      <c r="M701" s="88"/>
      <c r="N701" s="88"/>
      <c r="O701" s="88"/>
      <c r="P701" s="88"/>
      <c r="Q701" s="88"/>
      <c r="R701" s="88"/>
      <c r="S701" s="88"/>
      <c r="T701" s="88"/>
      <c r="U701" s="88"/>
      <c r="V701" s="88"/>
      <c r="W701" s="88"/>
      <c r="X701" s="88"/>
      <c r="Y701" s="88"/>
      <c r="Z701" s="88"/>
      <c r="AA701" s="88"/>
      <c r="AB701" s="128"/>
      <c r="AC701" s="128"/>
      <c r="AD701" s="128"/>
      <c r="AE701" s="128"/>
      <c r="AF701" s="128"/>
      <c r="AG701" s="128"/>
      <c r="AH701" s="127"/>
    </row>
    <row r="702" spans="1:34" ht="13.2">
      <c r="A702" s="88"/>
      <c r="B702" s="88"/>
      <c r="C702" s="88"/>
      <c r="D702" s="88"/>
      <c r="E702" s="88"/>
      <c r="F702" s="88"/>
      <c r="G702" s="88"/>
      <c r="H702" s="88"/>
      <c r="I702" s="88"/>
      <c r="J702" s="88"/>
      <c r="K702" s="88"/>
      <c r="L702" s="88"/>
      <c r="M702" s="88"/>
      <c r="N702" s="88"/>
      <c r="O702" s="88"/>
      <c r="P702" s="88"/>
      <c r="Q702" s="88"/>
      <c r="R702" s="88"/>
      <c r="S702" s="88"/>
      <c r="T702" s="88"/>
      <c r="U702" s="88"/>
      <c r="V702" s="88"/>
      <c r="W702" s="88"/>
      <c r="X702" s="88"/>
      <c r="Y702" s="88"/>
      <c r="Z702" s="88"/>
      <c r="AA702" s="88"/>
      <c r="AB702" s="128"/>
      <c r="AC702" s="128"/>
      <c r="AD702" s="128"/>
      <c r="AE702" s="128"/>
      <c r="AF702" s="128"/>
      <c r="AG702" s="128"/>
      <c r="AH702" s="127"/>
    </row>
    <row r="703" spans="1:34" ht="13.2">
      <c r="A703" s="88"/>
      <c r="B703" s="88"/>
      <c r="C703" s="88"/>
      <c r="D703" s="88"/>
      <c r="E703" s="88"/>
      <c r="F703" s="88"/>
      <c r="G703" s="88"/>
      <c r="H703" s="88"/>
      <c r="I703" s="88"/>
      <c r="J703" s="88"/>
      <c r="K703" s="88"/>
      <c r="L703" s="88"/>
      <c r="M703" s="88"/>
      <c r="N703" s="88"/>
      <c r="O703" s="88"/>
      <c r="P703" s="88"/>
      <c r="Q703" s="88"/>
      <c r="R703" s="88"/>
      <c r="S703" s="88"/>
      <c r="T703" s="88"/>
      <c r="U703" s="88"/>
      <c r="V703" s="88"/>
      <c r="W703" s="88"/>
      <c r="X703" s="88"/>
      <c r="Y703" s="88"/>
      <c r="Z703" s="88"/>
      <c r="AA703" s="88"/>
      <c r="AB703" s="128"/>
      <c r="AC703" s="128"/>
      <c r="AD703" s="128"/>
      <c r="AE703" s="128"/>
      <c r="AF703" s="128"/>
      <c r="AG703" s="128"/>
      <c r="AH703" s="127"/>
    </row>
    <row r="704" spans="1:34" ht="13.2">
      <c r="A704" s="88"/>
      <c r="B704" s="88"/>
      <c r="C704" s="88"/>
      <c r="D704" s="88"/>
      <c r="E704" s="88"/>
      <c r="F704" s="88"/>
      <c r="G704" s="88"/>
      <c r="H704" s="88"/>
      <c r="I704" s="88"/>
      <c r="J704" s="88"/>
      <c r="K704" s="88"/>
      <c r="L704" s="88"/>
      <c r="M704" s="88"/>
      <c r="N704" s="88"/>
      <c r="O704" s="88"/>
      <c r="P704" s="88"/>
      <c r="Q704" s="88"/>
      <c r="R704" s="88"/>
      <c r="S704" s="88"/>
      <c r="T704" s="88"/>
      <c r="U704" s="88"/>
      <c r="V704" s="88"/>
      <c r="W704" s="88"/>
      <c r="X704" s="88"/>
      <c r="Y704" s="88"/>
      <c r="Z704" s="88"/>
      <c r="AA704" s="88"/>
      <c r="AB704" s="128"/>
      <c r="AC704" s="128"/>
      <c r="AD704" s="128"/>
      <c r="AE704" s="128"/>
      <c r="AF704" s="128"/>
      <c r="AG704" s="128"/>
      <c r="AH704" s="127"/>
    </row>
    <row r="705" spans="1:34" ht="13.2">
      <c r="A705" s="88"/>
      <c r="B705" s="88"/>
      <c r="C705" s="88"/>
      <c r="D705" s="88"/>
      <c r="E705" s="88"/>
      <c r="F705" s="88"/>
      <c r="G705" s="88"/>
      <c r="H705" s="88"/>
      <c r="I705" s="88"/>
      <c r="J705" s="88"/>
      <c r="K705" s="88"/>
      <c r="L705" s="88"/>
      <c r="M705" s="88"/>
      <c r="N705" s="88"/>
      <c r="O705" s="88"/>
      <c r="P705" s="88"/>
      <c r="Q705" s="88"/>
      <c r="R705" s="88"/>
      <c r="S705" s="88"/>
      <c r="T705" s="88"/>
      <c r="U705" s="88"/>
      <c r="V705" s="88"/>
      <c r="W705" s="88"/>
      <c r="X705" s="88"/>
      <c r="Y705" s="88"/>
      <c r="Z705" s="88"/>
      <c r="AA705" s="88"/>
      <c r="AB705" s="128"/>
      <c r="AC705" s="128"/>
      <c r="AD705" s="128"/>
      <c r="AE705" s="128"/>
      <c r="AF705" s="128"/>
      <c r="AG705" s="128"/>
      <c r="AH705" s="127"/>
    </row>
    <row r="706" spans="1:34" ht="13.2">
      <c r="A706" s="88"/>
      <c r="B706" s="88"/>
      <c r="C706" s="88"/>
      <c r="D706" s="88"/>
      <c r="E706" s="88"/>
      <c r="F706" s="88"/>
      <c r="G706" s="88"/>
      <c r="H706" s="88"/>
      <c r="I706" s="88"/>
      <c r="J706" s="88"/>
      <c r="K706" s="88"/>
      <c r="L706" s="88"/>
      <c r="M706" s="88"/>
      <c r="N706" s="88"/>
      <c r="O706" s="88"/>
      <c r="P706" s="88"/>
      <c r="Q706" s="88"/>
      <c r="R706" s="88"/>
      <c r="S706" s="88"/>
      <c r="T706" s="88"/>
      <c r="U706" s="88"/>
      <c r="V706" s="88"/>
      <c r="W706" s="88"/>
      <c r="X706" s="88"/>
      <c r="Y706" s="88"/>
      <c r="Z706" s="88"/>
      <c r="AA706" s="88"/>
      <c r="AB706" s="128"/>
      <c r="AC706" s="128"/>
      <c r="AD706" s="128"/>
      <c r="AE706" s="128"/>
      <c r="AF706" s="128"/>
      <c r="AG706" s="128"/>
      <c r="AH706" s="127"/>
    </row>
    <row r="707" spans="1:34" ht="13.2">
      <c r="A707" s="88"/>
      <c r="B707" s="88"/>
      <c r="C707" s="88"/>
      <c r="D707" s="88"/>
      <c r="E707" s="88"/>
      <c r="F707" s="88"/>
      <c r="G707" s="88"/>
      <c r="H707" s="88"/>
      <c r="I707" s="88"/>
      <c r="J707" s="88"/>
      <c r="K707" s="88"/>
      <c r="L707" s="88"/>
      <c r="M707" s="88"/>
      <c r="N707" s="88"/>
      <c r="O707" s="88"/>
      <c r="P707" s="88"/>
      <c r="Q707" s="88"/>
      <c r="R707" s="88"/>
      <c r="S707" s="88"/>
      <c r="T707" s="88"/>
      <c r="U707" s="88"/>
      <c r="V707" s="88"/>
      <c r="W707" s="88"/>
      <c r="X707" s="88"/>
      <c r="Y707" s="88"/>
      <c r="Z707" s="88"/>
      <c r="AA707" s="88"/>
      <c r="AB707" s="128"/>
      <c r="AC707" s="128"/>
      <c r="AD707" s="128"/>
      <c r="AE707" s="128"/>
      <c r="AF707" s="128"/>
      <c r="AG707" s="128"/>
      <c r="AH707" s="127"/>
    </row>
    <row r="708" spans="1:34" ht="13.2">
      <c r="A708" s="88"/>
      <c r="B708" s="88"/>
      <c r="C708" s="88"/>
      <c r="D708" s="88"/>
      <c r="E708" s="88"/>
      <c r="F708" s="88"/>
      <c r="G708" s="88"/>
      <c r="H708" s="88"/>
      <c r="I708" s="88"/>
      <c r="J708" s="88"/>
      <c r="K708" s="88"/>
      <c r="L708" s="88"/>
      <c r="M708" s="88"/>
      <c r="N708" s="88"/>
      <c r="O708" s="88"/>
      <c r="P708" s="88"/>
      <c r="Q708" s="88"/>
      <c r="R708" s="88"/>
      <c r="S708" s="88"/>
      <c r="T708" s="88"/>
      <c r="U708" s="88"/>
      <c r="V708" s="88"/>
      <c r="W708" s="88"/>
      <c r="X708" s="88"/>
      <c r="Y708" s="88"/>
      <c r="Z708" s="88"/>
      <c r="AA708" s="88"/>
      <c r="AB708" s="128"/>
      <c r="AC708" s="128"/>
      <c r="AD708" s="128"/>
      <c r="AE708" s="128"/>
      <c r="AF708" s="128"/>
      <c r="AG708" s="128"/>
      <c r="AH708" s="127"/>
    </row>
    <row r="709" spans="1:34" ht="13.2">
      <c r="A709" s="88"/>
      <c r="B709" s="88"/>
      <c r="C709" s="88"/>
      <c r="D709" s="88"/>
      <c r="E709" s="88"/>
      <c r="F709" s="88"/>
      <c r="G709" s="88"/>
      <c r="H709" s="88"/>
      <c r="I709" s="88"/>
      <c r="J709" s="88"/>
      <c r="K709" s="88"/>
      <c r="L709" s="88"/>
      <c r="M709" s="88"/>
      <c r="N709" s="88"/>
      <c r="O709" s="88"/>
      <c r="P709" s="88"/>
      <c r="Q709" s="88"/>
      <c r="R709" s="88"/>
      <c r="S709" s="88"/>
      <c r="T709" s="88"/>
      <c r="U709" s="88"/>
      <c r="V709" s="88"/>
      <c r="W709" s="88"/>
      <c r="X709" s="88"/>
      <c r="Y709" s="88"/>
      <c r="Z709" s="88"/>
      <c r="AA709" s="88"/>
      <c r="AB709" s="128"/>
      <c r="AC709" s="128"/>
      <c r="AD709" s="128"/>
      <c r="AE709" s="128"/>
      <c r="AF709" s="128"/>
      <c r="AG709" s="128"/>
      <c r="AH709" s="127"/>
    </row>
    <row r="710" spans="1:34" ht="13.2">
      <c r="A710" s="88"/>
      <c r="B710" s="88"/>
      <c r="C710" s="88"/>
      <c r="D710" s="88"/>
      <c r="E710" s="88"/>
      <c r="F710" s="88"/>
      <c r="G710" s="88"/>
      <c r="H710" s="88"/>
      <c r="I710" s="88"/>
      <c r="J710" s="88"/>
      <c r="K710" s="88"/>
      <c r="L710" s="88"/>
      <c r="M710" s="88"/>
      <c r="N710" s="88"/>
      <c r="O710" s="88"/>
      <c r="P710" s="88"/>
      <c r="Q710" s="88"/>
      <c r="R710" s="88"/>
      <c r="S710" s="88"/>
      <c r="T710" s="88"/>
      <c r="U710" s="88"/>
      <c r="V710" s="88"/>
      <c r="W710" s="88"/>
      <c r="X710" s="88"/>
      <c r="Y710" s="88"/>
      <c r="Z710" s="88"/>
      <c r="AA710" s="88"/>
      <c r="AB710" s="128"/>
      <c r="AC710" s="128"/>
      <c r="AD710" s="128"/>
      <c r="AE710" s="128"/>
      <c r="AF710" s="128"/>
      <c r="AG710" s="128"/>
      <c r="AH710" s="127"/>
    </row>
    <row r="711" spans="1:34" ht="13.2">
      <c r="A711" s="88"/>
      <c r="B711" s="88"/>
      <c r="C711" s="88"/>
      <c r="D711" s="88"/>
      <c r="E711" s="88"/>
      <c r="F711" s="88"/>
      <c r="G711" s="88"/>
      <c r="H711" s="88"/>
      <c r="I711" s="88"/>
      <c r="J711" s="88"/>
      <c r="K711" s="88"/>
      <c r="L711" s="88"/>
      <c r="M711" s="88"/>
      <c r="N711" s="88"/>
      <c r="O711" s="88"/>
      <c r="P711" s="88"/>
      <c r="Q711" s="88"/>
      <c r="R711" s="88"/>
      <c r="S711" s="88"/>
      <c r="T711" s="88"/>
      <c r="U711" s="88"/>
      <c r="V711" s="88"/>
      <c r="W711" s="88"/>
      <c r="X711" s="88"/>
      <c r="Y711" s="88"/>
      <c r="Z711" s="88"/>
      <c r="AA711" s="88"/>
      <c r="AB711" s="128"/>
      <c r="AC711" s="128"/>
      <c r="AD711" s="128"/>
      <c r="AE711" s="128"/>
      <c r="AF711" s="128"/>
      <c r="AG711" s="128"/>
      <c r="AH711" s="127"/>
    </row>
    <row r="712" spans="1:34" ht="13.2">
      <c r="A712" s="88"/>
      <c r="B712" s="88"/>
      <c r="C712" s="88"/>
      <c r="D712" s="88"/>
      <c r="E712" s="88"/>
      <c r="F712" s="88"/>
      <c r="G712" s="88"/>
      <c r="H712" s="88"/>
      <c r="I712" s="88"/>
      <c r="J712" s="88"/>
      <c r="K712" s="88"/>
      <c r="L712" s="88"/>
      <c r="M712" s="88"/>
      <c r="N712" s="88"/>
      <c r="O712" s="88"/>
      <c r="P712" s="88"/>
      <c r="Q712" s="88"/>
      <c r="R712" s="88"/>
      <c r="S712" s="88"/>
      <c r="T712" s="88"/>
      <c r="U712" s="88"/>
      <c r="V712" s="88"/>
      <c r="W712" s="88"/>
      <c r="X712" s="88"/>
      <c r="Y712" s="88"/>
      <c r="Z712" s="88"/>
      <c r="AA712" s="88"/>
      <c r="AB712" s="128"/>
      <c r="AC712" s="128"/>
      <c r="AD712" s="128"/>
      <c r="AE712" s="128"/>
      <c r="AF712" s="128"/>
      <c r="AG712" s="128"/>
      <c r="AH712" s="127"/>
    </row>
    <row r="713" spans="1:34" ht="13.2">
      <c r="A713" s="88"/>
      <c r="B713" s="88"/>
      <c r="C713" s="88"/>
      <c r="D713" s="88"/>
      <c r="E713" s="88"/>
      <c r="F713" s="88"/>
      <c r="G713" s="88"/>
      <c r="H713" s="88"/>
      <c r="I713" s="88"/>
      <c r="J713" s="88"/>
      <c r="K713" s="88"/>
      <c r="L713" s="88"/>
      <c r="M713" s="88"/>
      <c r="N713" s="88"/>
      <c r="O713" s="88"/>
      <c r="P713" s="88"/>
      <c r="Q713" s="88"/>
      <c r="R713" s="88"/>
      <c r="S713" s="88"/>
      <c r="T713" s="88"/>
      <c r="U713" s="88"/>
      <c r="V713" s="88"/>
      <c r="W713" s="88"/>
      <c r="X713" s="88"/>
      <c r="Y713" s="88"/>
      <c r="Z713" s="88"/>
      <c r="AA713" s="88"/>
      <c r="AB713" s="128"/>
      <c r="AC713" s="128"/>
      <c r="AD713" s="128"/>
      <c r="AE713" s="128"/>
      <c r="AF713" s="128"/>
      <c r="AG713" s="128"/>
      <c r="AH713" s="127"/>
    </row>
    <row r="714" spans="1:34" ht="13.2">
      <c r="A714" s="88"/>
      <c r="B714" s="88"/>
      <c r="C714" s="88"/>
      <c r="D714" s="88"/>
      <c r="E714" s="88"/>
      <c r="F714" s="88"/>
      <c r="G714" s="88"/>
      <c r="H714" s="88"/>
      <c r="I714" s="88"/>
      <c r="J714" s="88"/>
      <c r="K714" s="88"/>
      <c r="L714" s="88"/>
      <c r="M714" s="88"/>
      <c r="N714" s="88"/>
      <c r="O714" s="88"/>
      <c r="P714" s="88"/>
      <c r="Q714" s="88"/>
      <c r="R714" s="88"/>
      <c r="S714" s="88"/>
      <c r="T714" s="88"/>
      <c r="U714" s="88"/>
      <c r="V714" s="88"/>
      <c r="W714" s="88"/>
      <c r="X714" s="88"/>
      <c r="Y714" s="88"/>
      <c r="Z714" s="88"/>
      <c r="AA714" s="88"/>
      <c r="AB714" s="128"/>
      <c r="AC714" s="128"/>
      <c r="AD714" s="128"/>
      <c r="AE714" s="128"/>
      <c r="AF714" s="128"/>
      <c r="AG714" s="128"/>
      <c r="AH714" s="127"/>
    </row>
    <row r="715" spans="1:34" ht="13.2">
      <c r="A715" s="88"/>
      <c r="B715" s="88"/>
      <c r="C715" s="88"/>
      <c r="D715" s="88"/>
      <c r="E715" s="88"/>
      <c r="F715" s="88"/>
      <c r="G715" s="88"/>
      <c r="H715" s="88"/>
      <c r="I715" s="88"/>
      <c r="J715" s="88"/>
      <c r="K715" s="88"/>
      <c r="L715" s="88"/>
      <c r="M715" s="88"/>
      <c r="N715" s="88"/>
      <c r="O715" s="88"/>
      <c r="P715" s="88"/>
      <c r="Q715" s="88"/>
      <c r="R715" s="88"/>
      <c r="S715" s="88"/>
      <c r="T715" s="88"/>
      <c r="U715" s="88"/>
      <c r="V715" s="88"/>
      <c r="W715" s="88"/>
      <c r="X715" s="88"/>
      <c r="Y715" s="88"/>
      <c r="Z715" s="88"/>
      <c r="AA715" s="88"/>
      <c r="AB715" s="128"/>
      <c r="AC715" s="128"/>
      <c r="AD715" s="128"/>
      <c r="AE715" s="128"/>
      <c r="AF715" s="128"/>
      <c r="AG715" s="128"/>
      <c r="AH715" s="127"/>
    </row>
    <row r="716" spans="1:34" ht="13.2">
      <c r="A716" s="88"/>
      <c r="B716" s="88"/>
      <c r="C716" s="88"/>
      <c r="D716" s="88"/>
      <c r="E716" s="88"/>
      <c r="F716" s="88"/>
      <c r="G716" s="88"/>
      <c r="H716" s="88"/>
      <c r="I716" s="88"/>
      <c r="J716" s="88"/>
      <c r="K716" s="88"/>
      <c r="L716" s="88"/>
      <c r="M716" s="88"/>
      <c r="N716" s="88"/>
      <c r="O716" s="88"/>
      <c r="P716" s="88"/>
      <c r="Q716" s="88"/>
      <c r="R716" s="88"/>
      <c r="S716" s="88"/>
      <c r="T716" s="88"/>
      <c r="U716" s="88"/>
      <c r="V716" s="88"/>
      <c r="W716" s="88"/>
      <c r="X716" s="88"/>
      <c r="Y716" s="88"/>
      <c r="Z716" s="88"/>
      <c r="AA716" s="88"/>
      <c r="AB716" s="128"/>
      <c r="AC716" s="128"/>
      <c r="AD716" s="128"/>
      <c r="AE716" s="128"/>
      <c r="AF716" s="128"/>
      <c r="AG716" s="128"/>
      <c r="AH716" s="127"/>
    </row>
    <row r="717" spans="1:34" ht="13.2">
      <c r="A717" s="88"/>
      <c r="B717" s="88"/>
      <c r="C717" s="88"/>
      <c r="D717" s="88"/>
      <c r="E717" s="88"/>
      <c r="F717" s="88"/>
      <c r="G717" s="88"/>
      <c r="H717" s="88"/>
      <c r="I717" s="88"/>
      <c r="J717" s="88"/>
      <c r="K717" s="88"/>
      <c r="L717" s="88"/>
      <c r="M717" s="88"/>
      <c r="N717" s="88"/>
      <c r="O717" s="88"/>
      <c r="P717" s="88"/>
      <c r="Q717" s="88"/>
      <c r="R717" s="88"/>
      <c r="S717" s="88"/>
      <c r="T717" s="88"/>
      <c r="U717" s="88"/>
      <c r="V717" s="88"/>
      <c r="W717" s="88"/>
      <c r="X717" s="88"/>
      <c r="Y717" s="88"/>
      <c r="Z717" s="88"/>
      <c r="AA717" s="88"/>
      <c r="AB717" s="128"/>
      <c r="AC717" s="128"/>
      <c r="AD717" s="128"/>
      <c r="AE717" s="128"/>
      <c r="AF717" s="128"/>
      <c r="AG717" s="128"/>
      <c r="AH717" s="127"/>
    </row>
    <row r="718" spans="1:34" ht="13.2">
      <c r="A718" s="88"/>
      <c r="B718" s="88"/>
      <c r="C718" s="88"/>
      <c r="D718" s="88"/>
      <c r="E718" s="88"/>
      <c r="F718" s="88"/>
      <c r="G718" s="88"/>
      <c r="H718" s="88"/>
      <c r="I718" s="88"/>
      <c r="J718" s="88"/>
      <c r="K718" s="88"/>
      <c r="L718" s="88"/>
      <c r="M718" s="88"/>
      <c r="N718" s="88"/>
      <c r="O718" s="88"/>
      <c r="P718" s="88"/>
      <c r="Q718" s="88"/>
      <c r="R718" s="88"/>
      <c r="S718" s="88"/>
      <c r="T718" s="88"/>
      <c r="U718" s="88"/>
      <c r="V718" s="88"/>
      <c r="W718" s="88"/>
      <c r="X718" s="88"/>
      <c r="Y718" s="88"/>
      <c r="Z718" s="88"/>
      <c r="AA718" s="88"/>
      <c r="AB718" s="128"/>
      <c r="AC718" s="128"/>
      <c r="AD718" s="128"/>
      <c r="AE718" s="128"/>
      <c r="AF718" s="128"/>
      <c r="AG718" s="128"/>
      <c r="AH718" s="127"/>
    </row>
    <row r="719" spans="1:34" ht="13.2">
      <c r="A719" s="88"/>
      <c r="B719" s="88"/>
      <c r="C719" s="88"/>
      <c r="D719" s="88"/>
      <c r="E719" s="88"/>
      <c r="F719" s="88"/>
      <c r="G719" s="88"/>
      <c r="H719" s="88"/>
      <c r="I719" s="88"/>
      <c r="J719" s="88"/>
      <c r="K719" s="88"/>
      <c r="L719" s="88"/>
      <c r="M719" s="88"/>
      <c r="N719" s="88"/>
      <c r="O719" s="88"/>
      <c r="P719" s="88"/>
      <c r="Q719" s="88"/>
      <c r="R719" s="88"/>
      <c r="S719" s="88"/>
      <c r="T719" s="88"/>
      <c r="U719" s="88"/>
      <c r="V719" s="88"/>
      <c r="W719" s="88"/>
      <c r="X719" s="88"/>
      <c r="Y719" s="88"/>
      <c r="Z719" s="88"/>
      <c r="AA719" s="88"/>
      <c r="AB719" s="128"/>
      <c r="AC719" s="128"/>
      <c r="AD719" s="128"/>
      <c r="AE719" s="128"/>
      <c r="AF719" s="128"/>
      <c r="AG719" s="128"/>
      <c r="AH719" s="127"/>
    </row>
    <row r="720" spans="1:34" ht="13.2">
      <c r="A720" s="88"/>
      <c r="B720" s="88"/>
      <c r="C720" s="88"/>
      <c r="D720" s="88"/>
      <c r="E720" s="88"/>
      <c r="F720" s="88"/>
      <c r="G720" s="88"/>
      <c r="H720" s="88"/>
      <c r="I720" s="88"/>
      <c r="J720" s="88"/>
      <c r="K720" s="88"/>
      <c r="L720" s="88"/>
      <c r="M720" s="88"/>
      <c r="N720" s="88"/>
      <c r="O720" s="88"/>
      <c r="P720" s="88"/>
      <c r="Q720" s="88"/>
      <c r="R720" s="88"/>
      <c r="S720" s="88"/>
      <c r="T720" s="88"/>
      <c r="U720" s="88"/>
      <c r="V720" s="88"/>
      <c r="W720" s="88"/>
      <c r="X720" s="88"/>
      <c r="Y720" s="88"/>
      <c r="Z720" s="88"/>
      <c r="AA720" s="88"/>
      <c r="AB720" s="128"/>
      <c r="AC720" s="128"/>
      <c r="AD720" s="128"/>
      <c r="AE720" s="128"/>
      <c r="AF720" s="128"/>
      <c r="AG720" s="128"/>
      <c r="AH720" s="127"/>
    </row>
    <row r="721" spans="1:34" ht="13.2">
      <c r="A721" s="88"/>
      <c r="B721" s="88"/>
      <c r="C721" s="88"/>
      <c r="D721" s="88"/>
      <c r="E721" s="88"/>
      <c r="F721" s="88"/>
      <c r="G721" s="88"/>
      <c r="H721" s="88"/>
      <c r="I721" s="88"/>
      <c r="J721" s="88"/>
      <c r="K721" s="88"/>
      <c r="L721" s="88"/>
      <c r="M721" s="88"/>
      <c r="N721" s="88"/>
      <c r="O721" s="88"/>
      <c r="P721" s="88"/>
      <c r="Q721" s="88"/>
      <c r="R721" s="88"/>
      <c r="S721" s="88"/>
      <c r="T721" s="88"/>
      <c r="U721" s="88"/>
      <c r="V721" s="88"/>
      <c r="W721" s="88"/>
      <c r="X721" s="88"/>
      <c r="Y721" s="88"/>
      <c r="Z721" s="88"/>
      <c r="AA721" s="88"/>
      <c r="AB721" s="128"/>
      <c r="AC721" s="128"/>
      <c r="AD721" s="128"/>
      <c r="AE721" s="128"/>
      <c r="AF721" s="128"/>
      <c r="AG721" s="128"/>
      <c r="AH721" s="127"/>
    </row>
    <row r="722" spans="1:34" ht="13.2">
      <c r="A722" s="88"/>
      <c r="B722" s="88"/>
      <c r="C722" s="88"/>
      <c r="D722" s="88"/>
      <c r="E722" s="88"/>
      <c r="F722" s="88"/>
      <c r="G722" s="88"/>
      <c r="H722" s="88"/>
      <c r="I722" s="88"/>
      <c r="J722" s="88"/>
      <c r="K722" s="88"/>
      <c r="L722" s="88"/>
      <c r="M722" s="88"/>
      <c r="N722" s="88"/>
      <c r="O722" s="88"/>
      <c r="P722" s="88"/>
      <c r="Q722" s="88"/>
      <c r="R722" s="88"/>
      <c r="S722" s="88"/>
      <c r="T722" s="88"/>
      <c r="U722" s="88"/>
      <c r="V722" s="88"/>
      <c r="W722" s="88"/>
      <c r="X722" s="88"/>
      <c r="Y722" s="88"/>
      <c r="Z722" s="88"/>
      <c r="AA722" s="88"/>
      <c r="AB722" s="128"/>
      <c r="AC722" s="128"/>
      <c r="AD722" s="128"/>
      <c r="AE722" s="128"/>
      <c r="AF722" s="128"/>
      <c r="AG722" s="128"/>
      <c r="AH722" s="127"/>
    </row>
    <row r="723" spans="1:34" ht="13.2">
      <c r="A723" s="88"/>
      <c r="B723" s="88"/>
      <c r="C723" s="88"/>
      <c r="D723" s="88"/>
      <c r="E723" s="88"/>
      <c r="F723" s="88"/>
      <c r="G723" s="88"/>
      <c r="H723" s="88"/>
      <c r="I723" s="88"/>
      <c r="J723" s="88"/>
      <c r="K723" s="88"/>
      <c r="L723" s="88"/>
      <c r="M723" s="88"/>
      <c r="N723" s="88"/>
      <c r="O723" s="88"/>
      <c r="P723" s="88"/>
      <c r="Q723" s="88"/>
      <c r="R723" s="88"/>
      <c r="S723" s="88"/>
      <c r="T723" s="88"/>
      <c r="U723" s="88"/>
      <c r="V723" s="88"/>
      <c r="W723" s="88"/>
      <c r="X723" s="88"/>
      <c r="Y723" s="88"/>
      <c r="Z723" s="88"/>
      <c r="AA723" s="88"/>
      <c r="AB723" s="128"/>
      <c r="AC723" s="128"/>
      <c r="AD723" s="128"/>
      <c r="AE723" s="128"/>
      <c r="AF723" s="128"/>
      <c r="AG723" s="128"/>
      <c r="AH723" s="127"/>
    </row>
    <row r="724" spans="1:34" ht="13.2">
      <c r="A724" s="88"/>
      <c r="B724" s="88"/>
      <c r="C724" s="88"/>
      <c r="D724" s="88"/>
      <c r="E724" s="88"/>
      <c r="F724" s="88"/>
      <c r="G724" s="88"/>
      <c r="H724" s="88"/>
      <c r="I724" s="88"/>
      <c r="J724" s="88"/>
      <c r="K724" s="88"/>
      <c r="L724" s="88"/>
      <c r="M724" s="88"/>
      <c r="N724" s="88"/>
      <c r="O724" s="88"/>
      <c r="P724" s="88"/>
      <c r="Q724" s="88"/>
      <c r="R724" s="88"/>
      <c r="S724" s="88"/>
      <c r="T724" s="88"/>
      <c r="U724" s="88"/>
      <c r="V724" s="88"/>
      <c r="W724" s="88"/>
      <c r="X724" s="88"/>
      <c r="Y724" s="88"/>
      <c r="Z724" s="88"/>
      <c r="AA724" s="88"/>
      <c r="AB724" s="128"/>
      <c r="AC724" s="128"/>
      <c r="AD724" s="128"/>
      <c r="AE724" s="128"/>
      <c r="AF724" s="128"/>
      <c r="AG724" s="128"/>
      <c r="AH724" s="127"/>
    </row>
    <row r="725" spans="1:34" ht="13.2">
      <c r="A725" s="88"/>
      <c r="B725" s="88"/>
      <c r="C725" s="88"/>
      <c r="D725" s="88"/>
      <c r="E725" s="88"/>
      <c r="F725" s="88"/>
      <c r="G725" s="88"/>
      <c r="H725" s="88"/>
      <c r="I725" s="88"/>
      <c r="J725" s="88"/>
      <c r="K725" s="88"/>
      <c r="L725" s="88"/>
      <c r="M725" s="88"/>
      <c r="N725" s="88"/>
      <c r="O725" s="88"/>
      <c r="P725" s="88"/>
      <c r="Q725" s="88"/>
      <c r="R725" s="88"/>
      <c r="S725" s="88"/>
      <c r="T725" s="88"/>
      <c r="U725" s="88"/>
      <c r="V725" s="88"/>
      <c r="W725" s="88"/>
      <c r="X725" s="88"/>
      <c r="Y725" s="88"/>
      <c r="Z725" s="88"/>
      <c r="AA725" s="88"/>
      <c r="AB725" s="128"/>
      <c r="AC725" s="128"/>
      <c r="AD725" s="128"/>
      <c r="AE725" s="128"/>
      <c r="AF725" s="128"/>
      <c r="AG725" s="128"/>
      <c r="AH725" s="127"/>
    </row>
    <row r="726" spans="1:34" ht="13.2">
      <c r="A726" s="88"/>
      <c r="B726" s="88"/>
      <c r="C726" s="88"/>
      <c r="D726" s="88"/>
      <c r="E726" s="88"/>
      <c r="F726" s="88"/>
      <c r="G726" s="88"/>
      <c r="H726" s="88"/>
      <c r="I726" s="88"/>
      <c r="J726" s="88"/>
      <c r="K726" s="88"/>
      <c r="L726" s="88"/>
      <c r="M726" s="88"/>
      <c r="N726" s="88"/>
      <c r="O726" s="88"/>
      <c r="P726" s="88"/>
      <c r="Q726" s="88"/>
      <c r="R726" s="88"/>
      <c r="S726" s="88"/>
      <c r="T726" s="88"/>
      <c r="U726" s="88"/>
      <c r="V726" s="88"/>
      <c r="W726" s="88"/>
      <c r="X726" s="88"/>
      <c r="Y726" s="88"/>
      <c r="Z726" s="88"/>
      <c r="AA726" s="88"/>
      <c r="AB726" s="128"/>
      <c r="AC726" s="128"/>
      <c r="AD726" s="128"/>
      <c r="AE726" s="128"/>
      <c r="AF726" s="128"/>
      <c r="AG726" s="128"/>
      <c r="AH726" s="127"/>
    </row>
    <row r="727" spans="1:34" ht="13.2">
      <c r="A727" s="88"/>
      <c r="B727" s="88"/>
      <c r="C727" s="88"/>
      <c r="D727" s="88"/>
      <c r="E727" s="88"/>
      <c r="F727" s="88"/>
      <c r="G727" s="88"/>
      <c r="H727" s="88"/>
      <c r="I727" s="88"/>
      <c r="J727" s="88"/>
      <c r="K727" s="88"/>
      <c r="L727" s="88"/>
      <c r="M727" s="88"/>
      <c r="N727" s="88"/>
      <c r="O727" s="88"/>
      <c r="P727" s="88"/>
      <c r="Q727" s="88"/>
      <c r="R727" s="88"/>
      <c r="S727" s="88"/>
      <c r="T727" s="88"/>
      <c r="U727" s="88"/>
      <c r="V727" s="88"/>
      <c r="W727" s="88"/>
      <c r="X727" s="88"/>
      <c r="Y727" s="88"/>
      <c r="Z727" s="88"/>
      <c r="AA727" s="88"/>
      <c r="AB727" s="128"/>
      <c r="AC727" s="128"/>
      <c r="AD727" s="128"/>
      <c r="AE727" s="128"/>
      <c r="AF727" s="128"/>
      <c r="AG727" s="128"/>
      <c r="AH727" s="127"/>
    </row>
    <row r="728" spans="1:34" ht="13.2">
      <c r="A728" s="88"/>
      <c r="B728" s="88"/>
      <c r="C728" s="88"/>
      <c r="D728" s="88"/>
      <c r="E728" s="88"/>
      <c r="F728" s="88"/>
      <c r="G728" s="88"/>
      <c r="H728" s="88"/>
      <c r="I728" s="88"/>
      <c r="J728" s="88"/>
      <c r="K728" s="88"/>
      <c r="L728" s="88"/>
      <c r="M728" s="88"/>
      <c r="N728" s="88"/>
      <c r="O728" s="88"/>
      <c r="P728" s="88"/>
      <c r="Q728" s="88"/>
      <c r="R728" s="88"/>
      <c r="S728" s="88"/>
      <c r="T728" s="88"/>
      <c r="U728" s="88"/>
      <c r="V728" s="88"/>
      <c r="W728" s="88"/>
      <c r="X728" s="88"/>
      <c r="Y728" s="88"/>
      <c r="Z728" s="88"/>
      <c r="AA728" s="88"/>
      <c r="AB728" s="128"/>
      <c r="AC728" s="128"/>
      <c r="AD728" s="128"/>
      <c r="AE728" s="128"/>
      <c r="AF728" s="128"/>
      <c r="AG728" s="128"/>
      <c r="AH728" s="127"/>
    </row>
    <row r="729" spans="1:34" ht="13.2">
      <c r="A729" s="88"/>
      <c r="B729" s="88"/>
      <c r="C729" s="88"/>
      <c r="D729" s="88"/>
      <c r="E729" s="88"/>
      <c r="F729" s="88"/>
      <c r="G729" s="88"/>
      <c r="H729" s="88"/>
      <c r="I729" s="88"/>
      <c r="J729" s="88"/>
      <c r="K729" s="88"/>
      <c r="L729" s="88"/>
      <c r="M729" s="88"/>
      <c r="N729" s="88"/>
      <c r="O729" s="88"/>
      <c r="P729" s="88"/>
      <c r="Q729" s="88"/>
      <c r="R729" s="88"/>
      <c r="S729" s="88"/>
      <c r="T729" s="88"/>
      <c r="U729" s="88"/>
      <c r="V729" s="88"/>
      <c r="W729" s="88"/>
      <c r="X729" s="88"/>
      <c r="Y729" s="88"/>
      <c r="Z729" s="88"/>
      <c r="AA729" s="88"/>
      <c r="AB729" s="128"/>
      <c r="AC729" s="128"/>
      <c r="AD729" s="128"/>
      <c r="AE729" s="128"/>
      <c r="AF729" s="128"/>
      <c r="AG729" s="128"/>
      <c r="AH729" s="127"/>
    </row>
    <row r="730" spans="1:34" ht="13.2">
      <c r="A730" s="88"/>
      <c r="B730" s="88"/>
      <c r="C730" s="88"/>
      <c r="D730" s="88"/>
      <c r="E730" s="88"/>
      <c r="F730" s="88"/>
      <c r="G730" s="88"/>
      <c r="H730" s="88"/>
      <c r="I730" s="88"/>
      <c r="J730" s="88"/>
      <c r="K730" s="88"/>
      <c r="L730" s="88"/>
      <c r="M730" s="88"/>
      <c r="N730" s="88"/>
      <c r="O730" s="88"/>
      <c r="P730" s="88"/>
      <c r="Q730" s="88"/>
      <c r="R730" s="88"/>
      <c r="S730" s="88"/>
      <c r="T730" s="88"/>
      <c r="U730" s="88"/>
      <c r="V730" s="88"/>
      <c r="W730" s="88"/>
      <c r="X730" s="88"/>
      <c r="Y730" s="88"/>
      <c r="Z730" s="88"/>
      <c r="AA730" s="88"/>
      <c r="AB730" s="128"/>
      <c r="AC730" s="128"/>
      <c r="AD730" s="128"/>
      <c r="AE730" s="128"/>
      <c r="AF730" s="128"/>
      <c r="AG730" s="128"/>
      <c r="AH730" s="127"/>
    </row>
    <row r="731" spans="1:34" ht="13.2">
      <c r="A731" s="88"/>
      <c r="B731" s="88"/>
      <c r="C731" s="88"/>
      <c r="D731" s="88"/>
      <c r="E731" s="88"/>
      <c r="F731" s="88"/>
      <c r="G731" s="88"/>
      <c r="H731" s="88"/>
      <c r="I731" s="88"/>
      <c r="J731" s="88"/>
      <c r="K731" s="88"/>
      <c r="L731" s="88"/>
      <c r="M731" s="88"/>
      <c r="N731" s="88"/>
      <c r="O731" s="88"/>
      <c r="P731" s="88"/>
      <c r="Q731" s="88"/>
      <c r="R731" s="88"/>
      <c r="S731" s="88"/>
      <c r="T731" s="88"/>
      <c r="U731" s="88"/>
      <c r="V731" s="88"/>
      <c r="W731" s="88"/>
      <c r="X731" s="88"/>
      <c r="Y731" s="88"/>
      <c r="Z731" s="88"/>
      <c r="AA731" s="88"/>
      <c r="AB731" s="128"/>
      <c r="AC731" s="128"/>
      <c r="AD731" s="128"/>
      <c r="AE731" s="128"/>
      <c r="AF731" s="128"/>
      <c r="AG731" s="128"/>
      <c r="AH731" s="127"/>
    </row>
    <row r="732" spans="1:34" ht="13.2">
      <c r="A732" s="88"/>
      <c r="B732" s="88"/>
      <c r="C732" s="88"/>
      <c r="D732" s="88"/>
      <c r="E732" s="88"/>
      <c r="F732" s="88"/>
      <c r="G732" s="88"/>
      <c r="H732" s="88"/>
      <c r="I732" s="88"/>
      <c r="J732" s="88"/>
      <c r="K732" s="88"/>
      <c r="L732" s="88"/>
      <c r="M732" s="88"/>
      <c r="N732" s="88"/>
      <c r="O732" s="88"/>
      <c r="P732" s="88"/>
      <c r="Q732" s="88"/>
      <c r="R732" s="88"/>
      <c r="S732" s="88"/>
      <c r="T732" s="88"/>
      <c r="U732" s="88"/>
      <c r="V732" s="88"/>
      <c r="W732" s="88"/>
      <c r="X732" s="88"/>
      <c r="Y732" s="88"/>
      <c r="Z732" s="88"/>
      <c r="AA732" s="88"/>
      <c r="AB732" s="128"/>
      <c r="AC732" s="128"/>
      <c r="AD732" s="128"/>
      <c r="AE732" s="128"/>
      <c r="AF732" s="128"/>
      <c r="AG732" s="128"/>
      <c r="AH732" s="127"/>
    </row>
    <row r="733" spans="1:34" ht="13.2">
      <c r="A733" s="88"/>
      <c r="B733" s="88"/>
      <c r="C733" s="88"/>
      <c r="D733" s="88"/>
      <c r="E733" s="88"/>
      <c r="F733" s="88"/>
      <c r="G733" s="88"/>
      <c r="H733" s="88"/>
      <c r="I733" s="88"/>
      <c r="J733" s="88"/>
      <c r="K733" s="88"/>
      <c r="L733" s="88"/>
      <c r="M733" s="88"/>
      <c r="N733" s="88"/>
      <c r="O733" s="88"/>
      <c r="P733" s="88"/>
      <c r="Q733" s="88"/>
      <c r="R733" s="88"/>
      <c r="S733" s="88"/>
      <c r="T733" s="88"/>
      <c r="U733" s="88"/>
      <c r="V733" s="88"/>
      <c r="W733" s="88"/>
      <c r="X733" s="88"/>
      <c r="Y733" s="88"/>
      <c r="Z733" s="88"/>
      <c r="AA733" s="88"/>
      <c r="AB733" s="128"/>
      <c r="AC733" s="128"/>
      <c r="AD733" s="128"/>
      <c r="AE733" s="128"/>
      <c r="AF733" s="128"/>
      <c r="AG733" s="128"/>
      <c r="AH733" s="127"/>
    </row>
    <row r="734" spans="1:34" ht="13.2">
      <c r="A734" s="88"/>
      <c r="B734" s="88"/>
      <c r="C734" s="88"/>
      <c r="D734" s="88"/>
      <c r="E734" s="88"/>
      <c r="F734" s="88"/>
      <c r="G734" s="88"/>
      <c r="H734" s="88"/>
      <c r="I734" s="88"/>
      <c r="J734" s="88"/>
      <c r="K734" s="88"/>
      <c r="L734" s="88"/>
      <c r="M734" s="88"/>
      <c r="N734" s="88"/>
      <c r="O734" s="88"/>
      <c r="P734" s="88"/>
      <c r="Q734" s="88"/>
      <c r="R734" s="88"/>
      <c r="S734" s="88"/>
      <c r="T734" s="88"/>
      <c r="U734" s="88"/>
      <c r="V734" s="88"/>
      <c r="W734" s="88"/>
      <c r="X734" s="88"/>
      <c r="Y734" s="88"/>
      <c r="Z734" s="88"/>
      <c r="AA734" s="88"/>
      <c r="AB734" s="128"/>
      <c r="AC734" s="128"/>
      <c r="AD734" s="128"/>
      <c r="AE734" s="128"/>
      <c r="AF734" s="128"/>
      <c r="AG734" s="128"/>
      <c r="AH734" s="127"/>
    </row>
    <row r="735" spans="1:34" ht="13.2">
      <c r="A735" s="88"/>
      <c r="B735" s="88"/>
      <c r="C735" s="88"/>
      <c r="D735" s="88"/>
      <c r="E735" s="88"/>
      <c r="F735" s="88"/>
      <c r="G735" s="88"/>
      <c r="H735" s="88"/>
      <c r="I735" s="88"/>
      <c r="J735" s="88"/>
      <c r="K735" s="88"/>
      <c r="L735" s="88"/>
      <c r="M735" s="88"/>
      <c r="N735" s="88"/>
      <c r="O735" s="88"/>
      <c r="P735" s="88"/>
      <c r="Q735" s="88"/>
      <c r="R735" s="88"/>
      <c r="S735" s="88"/>
      <c r="T735" s="88"/>
      <c r="U735" s="88"/>
      <c r="V735" s="88"/>
      <c r="W735" s="88"/>
      <c r="X735" s="88"/>
      <c r="Y735" s="88"/>
      <c r="Z735" s="88"/>
      <c r="AA735" s="88"/>
      <c r="AB735" s="128"/>
      <c r="AC735" s="128"/>
      <c r="AD735" s="128"/>
      <c r="AE735" s="128"/>
      <c r="AF735" s="128"/>
      <c r="AG735" s="128"/>
      <c r="AH735" s="127"/>
    </row>
    <row r="736" spans="1:34" ht="13.2">
      <c r="A736" s="88"/>
      <c r="B736" s="88"/>
      <c r="C736" s="88"/>
      <c r="D736" s="88"/>
      <c r="E736" s="88"/>
      <c r="F736" s="88"/>
      <c r="G736" s="88"/>
      <c r="H736" s="88"/>
      <c r="I736" s="88"/>
      <c r="J736" s="88"/>
      <c r="K736" s="88"/>
      <c r="L736" s="88"/>
      <c r="M736" s="88"/>
      <c r="N736" s="88"/>
      <c r="O736" s="88"/>
      <c r="P736" s="88"/>
      <c r="Q736" s="88"/>
      <c r="R736" s="88"/>
      <c r="S736" s="88"/>
      <c r="T736" s="88"/>
      <c r="U736" s="88"/>
      <c r="V736" s="88"/>
      <c r="W736" s="88"/>
      <c r="X736" s="88"/>
      <c r="Y736" s="88"/>
      <c r="Z736" s="88"/>
      <c r="AA736" s="88"/>
      <c r="AB736" s="128"/>
      <c r="AC736" s="128"/>
      <c r="AD736" s="128"/>
      <c r="AE736" s="128"/>
      <c r="AF736" s="128"/>
      <c r="AG736" s="128"/>
      <c r="AH736" s="127"/>
    </row>
    <row r="737" spans="1:34" ht="13.2">
      <c r="A737" s="88"/>
      <c r="B737" s="88"/>
      <c r="C737" s="88"/>
      <c r="D737" s="88"/>
      <c r="E737" s="88"/>
      <c r="F737" s="88"/>
      <c r="G737" s="88"/>
      <c r="H737" s="88"/>
      <c r="I737" s="88"/>
      <c r="J737" s="88"/>
      <c r="K737" s="88"/>
      <c r="L737" s="88"/>
      <c r="M737" s="88"/>
      <c r="N737" s="88"/>
      <c r="O737" s="88"/>
      <c r="P737" s="88"/>
      <c r="Q737" s="88"/>
      <c r="R737" s="88"/>
      <c r="S737" s="88"/>
      <c r="T737" s="88"/>
      <c r="U737" s="88"/>
      <c r="V737" s="88"/>
      <c r="W737" s="88"/>
      <c r="X737" s="88"/>
      <c r="Y737" s="88"/>
      <c r="Z737" s="88"/>
      <c r="AA737" s="88"/>
      <c r="AB737" s="128"/>
      <c r="AC737" s="128"/>
      <c r="AD737" s="128"/>
      <c r="AE737" s="128"/>
      <c r="AF737" s="128"/>
      <c r="AG737" s="128"/>
      <c r="AH737" s="127"/>
    </row>
    <row r="738" spans="1:34" ht="13.2">
      <c r="A738" s="88"/>
      <c r="B738" s="88"/>
      <c r="C738" s="88"/>
      <c r="D738" s="88"/>
      <c r="E738" s="88"/>
      <c r="F738" s="88"/>
      <c r="G738" s="88"/>
      <c r="H738" s="88"/>
      <c r="I738" s="88"/>
      <c r="J738" s="88"/>
      <c r="K738" s="88"/>
      <c r="L738" s="88"/>
      <c r="M738" s="88"/>
      <c r="N738" s="88"/>
      <c r="O738" s="88"/>
      <c r="P738" s="88"/>
      <c r="Q738" s="88"/>
      <c r="R738" s="88"/>
      <c r="S738" s="88"/>
      <c r="T738" s="88"/>
      <c r="U738" s="88"/>
      <c r="V738" s="88"/>
      <c r="W738" s="88"/>
      <c r="X738" s="88"/>
      <c r="Y738" s="88"/>
      <c r="Z738" s="88"/>
      <c r="AA738" s="88"/>
      <c r="AB738" s="128"/>
      <c r="AC738" s="128"/>
      <c r="AD738" s="128"/>
      <c r="AE738" s="128"/>
      <c r="AF738" s="128"/>
      <c r="AG738" s="128"/>
      <c r="AH738" s="127"/>
    </row>
    <row r="739" spans="1:34" ht="13.2">
      <c r="A739" s="88"/>
      <c r="B739" s="88"/>
      <c r="C739" s="88"/>
      <c r="D739" s="88"/>
      <c r="E739" s="88"/>
      <c r="F739" s="88"/>
      <c r="G739" s="88"/>
      <c r="H739" s="88"/>
      <c r="I739" s="88"/>
      <c r="J739" s="88"/>
      <c r="K739" s="88"/>
      <c r="L739" s="88"/>
      <c r="M739" s="88"/>
      <c r="N739" s="88"/>
      <c r="O739" s="88"/>
      <c r="P739" s="88"/>
      <c r="Q739" s="88"/>
      <c r="R739" s="88"/>
      <c r="S739" s="88"/>
      <c r="T739" s="88"/>
      <c r="U739" s="88"/>
      <c r="V739" s="88"/>
      <c r="W739" s="88"/>
      <c r="X739" s="88"/>
      <c r="Y739" s="88"/>
      <c r="Z739" s="88"/>
      <c r="AA739" s="88"/>
      <c r="AB739" s="128"/>
      <c r="AC739" s="128"/>
      <c r="AD739" s="128"/>
      <c r="AE739" s="128"/>
      <c r="AF739" s="128"/>
      <c r="AG739" s="128"/>
      <c r="AH739" s="127"/>
    </row>
    <row r="740" spans="1:34" ht="13.2">
      <c r="A740" s="88"/>
      <c r="B740" s="88"/>
      <c r="C740" s="88"/>
      <c r="D740" s="88"/>
      <c r="E740" s="88"/>
      <c r="F740" s="88"/>
      <c r="G740" s="88"/>
      <c r="H740" s="88"/>
      <c r="I740" s="88"/>
      <c r="J740" s="88"/>
      <c r="K740" s="88"/>
      <c r="L740" s="88"/>
      <c r="M740" s="88"/>
      <c r="N740" s="88"/>
      <c r="O740" s="88"/>
      <c r="P740" s="88"/>
      <c r="Q740" s="88"/>
      <c r="R740" s="88"/>
      <c r="S740" s="88"/>
      <c r="T740" s="88"/>
      <c r="U740" s="88"/>
      <c r="V740" s="88"/>
      <c r="W740" s="88"/>
      <c r="X740" s="88"/>
      <c r="Y740" s="88"/>
      <c r="Z740" s="88"/>
      <c r="AA740" s="88"/>
      <c r="AB740" s="128"/>
      <c r="AC740" s="128"/>
      <c r="AD740" s="128"/>
      <c r="AE740" s="128"/>
      <c r="AF740" s="128"/>
      <c r="AG740" s="128"/>
      <c r="AH740" s="127"/>
    </row>
    <row r="741" spans="1:34" ht="13.2">
      <c r="A741" s="88"/>
      <c r="B741" s="88"/>
      <c r="C741" s="88"/>
      <c r="D741" s="88"/>
      <c r="E741" s="88"/>
      <c r="F741" s="88"/>
      <c r="G741" s="88"/>
      <c r="H741" s="88"/>
      <c r="I741" s="88"/>
      <c r="J741" s="88"/>
      <c r="K741" s="88"/>
      <c r="L741" s="88"/>
      <c r="M741" s="88"/>
      <c r="N741" s="88"/>
      <c r="O741" s="88"/>
      <c r="P741" s="88"/>
      <c r="Q741" s="88"/>
      <c r="R741" s="88"/>
      <c r="S741" s="88"/>
      <c r="T741" s="88"/>
      <c r="U741" s="88"/>
      <c r="V741" s="88"/>
      <c r="W741" s="88"/>
      <c r="X741" s="88"/>
      <c r="Y741" s="88"/>
      <c r="Z741" s="88"/>
      <c r="AA741" s="88"/>
      <c r="AB741" s="128"/>
      <c r="AC741" s="128"/>
      <c r="AD741" s="128"/>
      <c r="AE741" s="128"/>
      <c r="AF741" s="128"/>
      <c r="AG741" s="128"/>
      <c r="AH741" s="127"/>
    </row>
    <row r="742" spans="1:34" ht="13.2">
      <c r="A742" s="88"/>
      <c r="B742" s="88"/>
      <c r="C742" s="88"/>
      <c r="D742" s="88"/>
      <c r="E742" s="88"/>
      <c r="F742" s="88"/>
      <c r="G742" s="88"/>
      <c r="H742" s="88"/>
      <c r="I742" s="88"/>
      <c r="J742" s="88"/>
      <c r="K742" s="88"/>
      <c r="L742" s="88"/>
      <c r="M742" s="88"/>
      <c r="N742" s="88"/>
      <c r="O742" s="88"/>
      <c r="P742" s="88"/>
      <c r="Q742" s="88"/>
      <c r="R742" s="88"/>
      <c r="S742" s="88"/>
      <c r="T742" s="88"/>
      <c r="U742" s="88"/>
      <c r="V742" s="88"/>
      <c r="W742" s="88"/>
      <c r="X742" s="88"/>
      <c r="Y742" s="88"/>
      <c r="Z742" s="88"/>
      <c r="AA742" s="88"/>
      <c r="AB742" s="128"/>
      <c r="AC742" s="128"/>
      <c r="AD742" s="128"/>
      <c r="AE742" s="128"/>
      <c r="AF742" s="128"/>
      <c r="AG742" s="128"/>
      <c r="AH742" s="127"/>
    </row>
    <row r="743" spans="1:34" ht="13.2">
      <c r="A743" s="88"/>
      <c r="B743" s="88"/>
      <c r="C743" s="88"/>
      <c r="D743" s="88"/>
      <c r="E743" s="88"/>
      <c r="F743" s="88"/>
      <c r="G743" s="88"/>
      <c r="H743" s="88"/>
      <c r="I743" s="88"/>
      <c r="J743" s="88"/>
      <c r="K743" s="88"/>
      <c r="L743" s="88"/>
      <c r="M743" s="88"/>
      <c r="N743" s="88"/>
      <c r="O743" s="88"/>
      <c r="P743" s="88"/>
      <c r="Q743" s="88"/>
      <c r="R743" s="88"/>
      <c r="S743" s="88"/>
      <c r="T743" s="88"/>
      <c r="U743" s="88"/>
      <c r="V743" s="88"/>
      <c r="W743" s="88"/>
      <c r="X743" s="88"/>
      <c r="Y743" s="88"/>
      <c r="Z743" s="88"/>
      <c r="AA743" s="88"/>
      <c r="AB743" s="128"/>
      <c r="AC743" s="128"/>
      <c r="AD743" s="128"/>
      <c r="AE743" s="128"/>
      <c r="AF743" s="128"/>
      <c r="AG743" s="128"/>
      <c r="AH743" s="127"/>
    </row>
    <row r="744" spans="1:34" ht="13.2">
      <c r="A744" s="88"/>
      <c r="B744" s="88"/>
      <c r="C744" s="88"/>
      <c r="D744" s="88"/>
      <c r="E744" s="88"/>
      <c r="F744" s="88"/>
      <c r="G744" s="88"/>
      <c r="H744" s="88"/>
      <c r="I744" s="88"/>
      <c r="J744" s="88"/>
      <c r="K744" s="88"/>
      <c r="L744" s="88"/>
      <c r="M744" s="88"/>
      <c r="N744" s="88"/>
      <c r="O744" s="88"/>
      <c r="P744" s="88"/>
      <c r="Q744" s="88"/>
      <c r="R744" s="88"/>
      <c r="S744" s="88"/>
      <c r="T744" s="88"/>
      <c r="U744" s="88"/>
      <c r="V744" s="88"/>
      <c r="W744" s="88"/>
      <c r="X744" s="88"/>
      <c r="Y744" s="88"/>
      <c r="Z744" s="88"/>
      <c r="AA744" s="88"/>
      <c r="AB744" s="128"/>
      <c r="AC744" s="128"/>
      <c r="AD744" s="128"/>
      <c r="AE744" s="128"/>
      <c r="AF744" s="128"/>
      <c r="AG744" s="128"/>
      <c r="AH744" s="127"/>
    </row>
    <row r="745" spans="1:34" ht="13.2">
      <c r="A745" s="88"/>
      <c r="B745" s="88"/>
      <c r="C745" s="88"/>
      <c r="D745" s="88"/>
      <c r="E745" s="88"/>
      <c r="F745" s="88"/>
      <c r="G745" s="88"/>
      <c r="H745" s="88"/>
      <c r="I745" s="88"/>
      <c r="J745" s="88"/>
      <c r="K745" s="88"/>
      <c r="L745" s="88"/>
      <c r="M745" s="88"/>
      <c r="N745" s="88"/>
      <c r="O745" s="88"/>
      <c r="P745" s="88"/>
      <c r="Q745" s="88"/>
      <c r="R745" s="88"/>
      <c r="S745" s="88"/>
      <c r="T745" s="88"/>
      <c r="U745" s="88"/>
      <c r="V745" s="88"/>
      <c r="W745" s="88"/>
      <c r="X745" s="88"/>
      <c r="Y745" s="88"/>
      <c r="Z745" s="88"/>
      <c r="AA745" s="88"/>
      <c r="AB745" s="128"/>
      <c r="AC745" s="128"/>
      <c r="AD745" s="128"/>
      <c r="AE745" s="128"/>
      <c r="AF745" s="128"/>
      <c r="AG745" s="128"/>
      <c r="AH745" s="127"/>
    </row>
    <row r="746" spans="1:34" ht="13.2">
      <c r="A746" s="88"/>
      <c r="B746" s="88"/>
      <c r="C746" s="88"/>
      <c r="D746" s="88"/>
      <c r="E746" s="88"/>
      <c r="F746" s="88"/>
      <c r="G746" s="88"/>
      <c r="H746" s="88"/>
      <c r="I746" s="88"/>
      <c r="J746" s="88"/>
      <c r="K746" s="88"/>
      <c r="L746" s="88"/>
      <c r="M746" s="88"/>
      <c r="N746" s="88"/>
      <c r="O746" s="88"/>
      <c r="P746" s="88"/>
      <c r="Q746" s="88"/>
      <c r="R746" s="88"/>
      <c r="S746" s="88"/>
      <c r="T746" s="88"/>
      <c r="U746" s="88"/>
      <c r="V746" s="88"/>
      <c r="W746" s="88"/>
      <c r="X746" s="88"/>
      <c r="Y746" s="88"/>
      <c r="Z746" s="88"/>
      <c r="AA746" s="88"/>
      <c r="AB746" s="128"/>
      <c r="AC746" s="128"/>
      <c r="AD746" s="128"/>
      <c r="AE746" s="128"/>
      <c r="AF746" s="128"/>
      <c r="AG746" s="128"/>
      <c r="AH746" s="127"/>
    </row>
    <row r="747" spans="1:34" ht="13.2">
      <c r="A747" s="88"/>
      <c r="B747" s="88"/>
      <c r="C747" s="88"/>
      <c r="D747" s="88"/>
      <c r="E747" s="88"/>
      <c r="F747" s="88"/>
      <c r="G747" s="88"/>
      <c r="H747" s="88"/>
      <c r="I747" s="88"/>
      <c r="J747" s="88"/>
      <c r="K747" s="88"/>
      <c r="L747" s="88"/>
      <c r="M747" s="88"/>
      <c r="N747" s="88"/>
      <c r="O747" s="88"/>
      <c r="P747" s="88"/>
      <c r="Q747" s="88"/>
      <c r="R747" s="88"/>
      <c r="S747" s="88"/>
      <c r="T747" s="88"/>
      <c r="U747" s="88"/>
      <c r="V747" s="88"/>
      <c r="W747" s="88"/>
      <c r="X747" s="88"/>
      <c r="Y747" s="88"/>
      <c r="Z747" s="88"/>
      <c r="AA747" s="88"/>
      <c r="AB747" s="128"/>
      <c r="AC747" s="128"/>
      <c r="AD747" s="128"/>
      <c r="AE747" s="128"/>
      <c r="AF747" s="128"/>
      <c r="AG747" s="128"/>
      <c r="AH747" s="127"/>
    </row>
    <row r="748" spans="1:34" ht="13.2">
      <c r="A748" s="88"/>
      <c r="B748" s="88"/>
      <c r="C748" s="88"/>
      <c r="D748" s="88"/>
      <c r="E748" s="88"/>
      <c r="F748" s="88"/>
      <c r="G748" s="88"/>
      <c r="H748" s="88"/>
      <c r="I748" s="88"/>
      <c r="J748" s="88"/>
      <c r="K748" s="88"/>
      <c r="L748" s="88"/>
      <c r="M748" s="88"/>
      <c r="N748" s="88"/>
      <c r="O748" s="88"/>
      <c r="P748" s="88"/>
      <c r="Q748" s="88"/>
      <c r="R748" s="88"/>
      <c r="S748" s="88"/>
      <c r="T748" s="88"/>
      <c r="U748" s="88"/>
      <c r="V748" s="88"/>
      <c r="W748" s="88"/>
      <c r="X748" s="88"/>
      <c r="Y748" s="88"/>
      <c r="Z748" s="88"/>
      <c r="AA748" s="88"/>
      <c r="AB748" s="128"/>
      <c r="AC748" s="128"/>
      <c r="AD748" s="128"/>
      <c r="AE748" s="128"/>
      <c r="AF748" s="128"/>
      <c r="AG748" s="128"/>
      <c r="AH748" s="127"/>
    </row>
    <row r="749" spans="1:34" ht="13.2">
      <c r="A749" s="88"/>
      <c r="B749" s="88"/>
      <c r="C749" s="88"/>
      <c r="D749" s="88"/>
      <c r="E749" s="88"/>
      <c r="F749" s="88"/>
      <c r="G749" s="88"/>
      <c r="H749" s="88"/>
      <c r="I749" s="88"/>
      <c r="J749" s="88"/>
      <c r="K749" s="88"/>
      <c r="L749" s="88"/>
      <c r="M749" s="88"/>
      <c r="N749" s="88"/>
      <c r="O749" s="88"/>
      <c r="P749" s="88"/>
      <c r="Q749" s="88"/>
      <c r="R749" s="88"/>
      <c r="S749" s="88"/>
      <c r="T749" s="88"/>
      <c r="U749" s="88"/>
      <c r="V749" s="88"/>
      <c r="W749" s="88"/>
      <c r="X749" s="88"/>
      <c r="Y749" s="88"/>
      <c r="Z749" s="88"/>
      <c r="AA749" s="88"/>
      <c r="AB749" s="128"/>
      <c r="AC749" s="128"/>
      <c r="AD749" s="128"/>
      <c r="AE749" s="128"/>
      <c r="AF749" s="128"/>
      <c r="AG749" s="128"/>
      <c r="AH749" s="127"/>
    </row>
    <row r="750" spans="1:34" ht="13.2">
      <c r="A750" s="88"/>
      <c r="B750" s="88"/>
      <c r="C750" s="88"/>
      <c r="D750" s="88"/>
      <c r="E750" s="88"/>
      <c r="F750" s="88"/>
      <c r="G750" s="88"/>
      <c r="H750" s="88"/>
      <c r="I750" s="88"/>
      <c r="J750" s="88"/>
      <c r="K750" s="88"/>
      <c r="L750" s="88"/>
      <c r="M750" s="88"/>
      <c r="N750" s="88"/>
      <c r="O750" s="88"/>
      <c r="P750" s="88"/>
      <c r="Q750" s="88"/>
      <c r="R750" s="88"/>
      <c r="S750" s="88"/>
      <c r="T750" s="88"/>
      <c r="U750" s="88"/>
      <c r="V750" s="88"/>
      <c r="W750" s="88"/>
      <c r="X750" s="88"/>
      <c r="Y750" s="88"/>
      <c r="Z750" s="88"/>
      <c r="AA750" s="88"/>
      <c r="AB750" s="128"/>
      <c r="AC750" s="128"/>
      <c r="AD750" s="128"/>
      <c r="AE750" s="128"/>
      <c r="AF750" s="128"/>
      <c r="AG750" s="128"/>
      <c r="AH750" s="127"/>
    </row>
    <row r="751" spans="1:34" ht="13.2">
      <c r="A751" s="88"/>
      <c r="B751" s="88"/>
      <c r="C751" s="88"/>
      <c r="D751" s="88"/>
      <c r="E751" s="88"/>
      <c r="F751" s="88"/>
      <c r="G751" s="88"/>
      <c r="H751" s="88"/>
      <c r="I751" s="88"/>
      <c r="J751" s="88"/>
      <c r="K751" s="88"/>
      <c r="L751" s="88"/>
      <c r="M751" s="88"/>
      <c r="N751" s="88"/>
      <c r="O751" s="88"/>
      <c r="P751" s="88"/>
      <c r="Q751" s="88"/>
      <c r="R751" s="88"/>
      <c r="S751" s="88"/>
      <c r="T751" s="88"/>
      <c r="U751" s="88"/>
      <c r="V751" s="88"/>
      <c r="W751" s="88"/>
      <c r="X751" s="88"/>
      <c r="Y751" s="88"/>
      <c r="Z751" s="88"/>
      <c r="AA751" s="88"/>
      <c r="AB751" s="128"/>
      <c r="AC751" s="128"/>
      <c r="AD751" s="128"/>
      <c r="AE751" s="128"/>
      <c r="AF751" s="128"/>
      <c r="AG751" s="128"/>
      <c r="AH751" s="127"/>
    </row>
    <row r="752" spans="1:34" ht="13.2">
      <c r="A752" s="88"/>
      <c r="B752" s="88"/>
      <c r="C752" s="88"/>
      <c r="D752" s="88"/>
      <c r="E752" s="88"/>
      <c r="F752" s="88"/>
      <c r="G752" s="88"/>
      <c r="H752" s="88"/>
      <c r="I752" s="88"/>
      <c r="J752" s="88"/>
      <c r="K752" s="88"/>
      <c r="L752" s="88"/>
      <c r="M752" s="88"/>
      <c r="N752" s="88"/>
      <c r="O752" s="88"/>
      <c r="P752" s="88"/>
      <c r="Q752" s="88"/>
      <c r="R752" s="88"/>
      <c r="S752" s="88"/>
      <c r="T752" s="88"/>
      <c r="U752" s="88"/>
      <c r="V752" s="88"/>
      <c r="W752" s="88"/>
      <c r="X752" s="88"/>
      <c r="Y752" s="88"/>
      <c r="Z752" s="88"/>
      <c r="AA752" s="88"/>
      <c r="AB752" s="128"/>
      <c r="AC752" s="128"/>
      <c r="AD752" s="128"/>
      <c r="AE752" s="128"/>
      <c r="AF752" s="128"/>
      <c r="AG752" s="128"/>
      <c r="AH752" s="127"/>
    </row>
    <row r="753" spans="1:34" ht="13.2">
      <c r="A753" s="88"/>
      <c r="B753" s="88"/>
      <c r="C753" s="88"/>
      <c r="D753" s="88"/>
      <c r="E753" s="88"/>
      <c r="F753" s="88"/>
      <c r="G753" s="88"/>
      <c r="H753" s="88"/>
      <c r="I753" s="88"/>
      <c r="J753" s="88"/>
      <c r="K753" s="88"/>
      <c r="L753" s="88"/>
      <c r="M753" s="88"/>
      <c r="N753" s="88"/>
      <c r="O753" s="88"/>
      <c r="P753" s="88"/>
      <c r="Q753" s="88"/>
      <c r="R753" s="88"/>
      <c r="S753" s="88"/>
      <c r="T753" s="88"/>
      <c r="U753" s="88"/>
      <c r="V753" s="88"/>
      <c r="W753" s="88"/>
      <c r="X753" s="88"/>
      <c r="Y753" s="88"/>
      <c r="Z753" s="88"/>
      <c r="AA753" s="88"/>
      <c r="AB753" s="128"/>
      <c r="AC753" s="128"/>
      <c r="AD753" s="128"/>
      <c r="AE753" s="128"/>
      <c r="AF753" s="128"/>
      <c r="AG753" s="128"/>
      <c r="AH753" s="127"/>
    </row>
    <row r="754" spans="1:34" ht="13.2">
      <c r="A754" s="88"/>
      <c r="B754" s="88"/>
      <c r="C754" s="88"/>
      <c r="D754" s="88"/>
      <c r="E754" s="88"/>
      <c r="F754" s="88"/>
      <c r="G754" s="88"/>
      <c r="H754" s="88"/>
      <c r="I754" s="88"/>
      <c r="J754" s="88"/>
      <c r="K754" s="88"/>
      <c r="L754" s="88"/>
      <c r="M754" s="88"/>
      <c r="N754" s="88"/>
      <c r="O754" s="88"/>
      <c r="P754" s="88"/>
      <c r="Q754" s="88"/>
      <c r="R754" s="88"/>
      <c r="S754" s="88"/>
      <c r="T754" s="88"/>
      <c r="U754" s="88"/>
      <c r="V754" s="88"/>
      <c r="W754" s="88"/>
      <c r="X754" s="88"/>
      <c r="Y754" s="88"/>
      <c r="Z754" s="88"/>
      <c r="AA754" s="88"/>
      <c r="AB754" s="128"/>
      <c r="AC754" s="128"/>
      <c r="AD754" s="128"/>
      <c r="AE754" s="128"/>
      <c r="AF754" s="128"/>
      <c r="AG754" s="128"/>
      <c r="AH754" s="127"/>
    </row>
    <row r="755" spans="1:34" ht="13.2">
      <c r="A755" s="88"/>
      <c r="B755" s="88"/>
      <c r="C755" s="88"/>
      <c r="D755" s="88"/>
      <c r="E755" s="88"/>
      <c r="F755" s="88"/>
      <c r="G755" s="88"/>
      <c r="H755" s="88"/>
      <c r="I755" s="88"/>
      <c r="J755" s="88"/>
      <c r="K755" s="88"/>
      <c r="L755" s="88"/>
      <c r="M755" s="88"/>
      <c r="N755" s="88"/>
      <c r="O755" s="88"/>
      <c r="P755" s="88"/>
      <c r="Q755" s="88"/>
      <c r="R755" s="88"/>
      <c r="S755" s="88"/>
      <c r="T755" s="88"/>
      <c r="U755" s="88"/>
      <c r="V755" s="88"/>
      <c r="W755" s="88"/>
      <c r="X755" s="88"/>
      <c r="Y755" s="88"/>
      <c r="Z755" s="88"/>
      <c r="AA755" s="88"/>
      <c r="AB755" s="128"/>
      <c r="AC755" s="128"/>
      <c r="AD755" s="128"/>
      <c r="AE755" s="128"/>
      <c r="AF755" s="128"/>
      <c r="AG755" s="128"/>
      <c r="AH755" s="127"/>
    </row>
    <row r="756" spans="1:34" ht="13.2">
      <c r="A756" s="88"/>
      <c r="B756" s="88"/>
      <c r="C756" s="88"/>
      <c r="D756" s="88"/>
      <c r="E756" s="88"/>
      <c r="F756" s="88"/>
      <c r="G756" s="88"/>
      <c r="H756" s="88"/>
      <c r="I756" s="88"/>
      <c r="J756" s="88"/>
      <c r="K756" s="88"/>
      <c r="L756" s="88"/>
      <c r="M756" s="88"/>
      <c r="N756" s="88"/>
      <c r="O756" s="88"/>
      <c r="P756" s="88"/>
      <c r="Q756" s="88"/>
      <c r="R756" s="88"/>
      <c r="S756" s="88"/>
      <c r="T756" s="88"/>
      <c r="U756" s="88"/>
      <c r="V756" s="88"/>
      <c r="W756" s="88"/>
      <c r="X756" s="88"/>
      <c r="Y756" s="88"/>
      <c r="Z756" s="88"/>
      <c r="AA756" s="88"/>
      <c r="AB756" s="128"/>
      <c r="AC756" s="128"/>
      <c r="AD756" s="128"/>
      <c r="AE756" s="128"/>
      <c r="AF756" s="128"/>
      <c r="AG756" s="128"/>
      <c r="AH756" s="127"/>
    </row>
    <row r="757" spans="1:34" ht="13.2">
      <c r="A757" s="88"/>
      <c r="B757" s="88"/>
      <c r="C757" s="88"/>
      <c r="D757" s="88"/>
      <c r="E757" s="88"/>
      <c r="F757" s="88"/>
      <c r="G757" s="88"/>
      <c r="H757" s="88"/>
      <c r="I757" s="88"/>
      <c r="J757" s="88"/>
      <c r="K757" s="88"/>
      <c r="L757" s="88"/>
      <c r="M757" s="88"/>
      <c r="N757" s="88"/>
      <c r="O757" s="88"/>
      <c r="P757" s="88"/>
      <c r="Q757" s="88"/>
      <c r="R757" s="88"/>
      <c r="S757" s="88"/>
      <c r="T757" s="88"/>
      <c r="U757" s="88"/>
      <c r="V757" s="88"/>
      <c r="W757" s="88"/>
      <c r="X757" s="88"/>
      <c r="Y757" s="88"/>
      <c r="Z757" s="88"/>
      <c r="AA757" s="88"/>
      <c r="AB757" s="128"/>
      <c r="AC757" s="128"/>
      <c r="AD757" s="128"/>
      <c r="AE757" s="128"/>
      <c r="AF757" s="128"/>
      <c r="AG757" s="128"/>
      <c r="AH757" s="127"/>
    </row>
    <row r="758" spans="1:34" ht="13.2">
      <c r="A758" s="88"/>
      <c r="B758" s="88"/>
      <c r="C758" s="88"/>
      <c r="D758" s="88"/>
      <c r="E758" s="88"/>
      <c r="F758" s="88"/>
      <c r="G758" s="88"/>
      <c r="H758" s="88"/>
      <c r="I758" s="88"/>
      <c r="J758" s="88"/>
      <c r="K758" s="88"/>
      <c r="L758" s="88"/>
      <c r="M758" s="88"/>
      <c r="N758" s="88"/>
      <c r="O758" s="88"/>
      <c r="P758" s="88"/>
      <c r="Q758" s="88"/>
      <c r="R758" s="88"/>
      <c r="S758" s="88"/>
      <c r="T758" s="88"/>
      <c r="U758" s="88"/>
      <c r="V758" s="88"/>
      <c r="W758" s="88"/>
      <c r="X758" s="88"/>
      <c r="Y758" s="88"/>
      <c r="Z758" s="88"/>
      <c r="AA758" s="88"/>
      <c r="AB758" s="128"/>
      <c r="AC758" s="128"/>
      <c r="AD758" s="128"/>
      <c r="AE758" s="128"/>
      <c r="AF758" s="128"/>
      <c r="AG758" s="128"/>
      <c r="AH758" s="127"/>
    </row>
    <row r="759" spans="1:34" ht="13.2">
      <c r="A759" s="88"/>
      <c r="B759" s="88"/>
      <c r="C759" s="88"/>
      <c r="D759" s="88"/>
      <c r="E759" s="88"/>
      <c r="F759" s="88"/>
      <c r="G759" s="88"/>
      <c r="H759" s="88"/>
      <c r="I759" s="88"/>
      <c r="J759" s="88"/>
      <c r="K759" s="88"/>
      <c r="L759" s="88"/>
      <c r="M759" s="88"/>
      <c r="N759" s="88"/>
      <c r="O759" s="88"/>
      <c r="P759" s="88"/>
      <c r="Q759" s="88"/>
      <c r="R759" s="88"/>
      <c r="S759" s="88"/>
      <c r="T759" s="88"/>
      <c r="U759" s="88"/>
      <c r="V759" s="88"/>
      <c r="W759" s="88"/>
      <c r="X759" s="88"/>
      <c r="Y759" s="88"/>
      <c r="Z759" s="88"/>
      <c r="AA759" s="88"/>
      <c r="AB759" s="128"/>
      <c r="AC759" s="128"/>
      <c r="AD759" s="128"/>
      <c r="AE759" s="128"/>
      <c r="AF759" s="128"/>
      <c r="AG759" s="128"/>
      <c r="AH759" s="127"/>
    </row>
    <row r="760" spans="1:34" ht="13.2">
      <c r="A760" s="88"/>
      <c r="B760" s="88"/>
      <c r="C760" s="88"/>
      <c r="D760" s="88"/>
      <c r="E760" s="88"/>
      <c r="F760" s="88"/>
      <c r="G760" s="88"/>
      <c r="H760" s="88"/>
      <c r="I760" s="88"/>
      <c r="J760" s="88"/>
      <c r="K760" s="88"/>
      <c r="L760" s="88"/>
      <c r="M760" s="88"/>
      <c r="N760" s="88"/>
      <c r="O760" s="88"/>
      <c r="P760" s="88"/>
      <c r="Q760" s="88"/>
      <c r="R760" s="88"/>
      <c r="S760" s="88"/>
      <c r="T760" s="88"/>
      <c r="U760" s="88"/>
      <c r="V760" s="88"/>
      <c r="W760" s="88"/>
      <c r="X760" s="88"/>
      <c r="Y760" s="88"/>
      <c r="Z760" s="88"/>
      <c r="AA760" s="88"/>
      <c r="AB760" s="128"/>
      <c r="AC760" s="128"/>
      <c r="AD760" s="128"/>
      <c r="AE760" s="128"/>
      <c r="AF760" s="128"/>
      <c r="AG760" s="128"/>
      <c r="AH760" s="127"/>
    </row>
    <row r="761" spans="1:34" ht="13.2">
      <c r="A761" s="88"/>
      <c r="B761" s="88"/>
      <c r="C761" s="88"/>
      <c r="D761" s="88"/>
      <c r="E761" s="88"/>
      <c r="F761" s="88"/>
      <c r="G761" s="88"/>
      <c r="H761" s="88"/>
      <c r="I761" s="88"/>
      <c r="J761" s="88"/>
      <c r="K761" s="88"/>
      <c r="L761" s="88"/>
      <c r="M761" s="88"/>
      <c r="N761" s="88"/>
      <c r="O761" s="88"/>
      <c r="P761" s="88"/>
      <c r="Q761" s="88"/>
      <c r="R761" s="88"/>
      <c r="S761" s="88"/>
      <c r="T761" s="88"/>
      <c r="U761" s="88"/>
      <c r="V761" s="88"/>
      <c r="W761" s="88"/>
      <c r="X761" s="88"/>
      <c r="Y761" s="88"/>
      <c r="Z761" s="88"/>
      <c r="AA761" s="88"/>
      <c r="AB761" s="128"/>
      <c r="AC761" s="128"/>
      <c r="AD761" s="128"/>
      <c r="AE761" s="128"/>
      <c r="AF761" s="128"/>
      <c r="AG761" s="128"/>
      <c r="AH761" s="127"/>
    </row>
    <row r="762" spans="1:34" ht="13.2">
      <c r="A762" s="88"/>
      <c r="B762" s="88"/>
      <c r="C762" s="88"/>
      <c r="D762" s="88"/>
      <c r="E762" s="88"/>
      <c r="F762" s="88"/>
      <c r="G762" s="88"/>
      <c r="H762" s="88"/>
      <c r="I762" s="88"/>
      <c r="J762" s="88"/>
      <c r="K762" s="88"/>
      <c r="L762" s="88"/>
      <c r="M762" s="88"/>
      <c r="N762" s="88"/>
      <c r="O762" s="88"/>
      <c r="P762" s="88"/>
      <c r="Q762" s="88"/>
      <c r="R762" s="88"/>
      <c r="S762" s="88"/>
      <c r="T762" s="88"/>
      <c r="U762" s="88"/>
      <c r="V762" s="88"/>
      <c r="W762" s="88"/>
      <c r="X762" s="88"/>
      <c r="Y762" s="88"/>
      <c r="Z762" s="88"/>
      <c r="AA762" s="88"/>
      <c r="AB762" s="128"/>
      <c r="AC762" s="128"/>
      <c r="AD762" s="128"/>
      <c r="AE762" s="128"/>
      <c r="AF762" s="128"/>
      <c r="AG762" s="128"/>
      <c r="AH762" s="127"/>
    </row>
    <row r="763" spans="1:34" ht="13.2">
      <c r="A763" s="88"/>
      <c r="B763" s="88"/>
      <c r="C763" s="88"/>
      <c r="D763" s="88"/>
      <c r="E763" s="88"/>
      <c r="F763" s="88"/>
      <c r="G763" s="88"/>
      <c r="H763" s="88"/>
      <c r="I763" s="88"/>
      <c r="J763" s="88"/>
      <c r="K763" s="88"/>
      <c r="L763" s="88"/>
      <c r="M763" s="88"/>
      <c r="N763" s="88"/>
      <c r="O763" s="88"/>
      <c r="P763" s="88"/>
      <c r="Q763" s="88"/>
      <c r="R763" s="88"/>
      <c r="S763" s="88"/>
      <c r="T763" s="88"/>
      <c r="U763" s="88"/>
      <c r="V763" s="88"/>
      <c r="W763" s="88"/>
      <c r="X763" s="88"/>
      <c r="Y763" s="88"/>
      <c r="Z763" s="88"/>
      <c r="AA763" s="88"/>
      <c r="AB763" s="128"/>
      <c r="AC763" s="128"/>
      <c r="AD763" s="128"/>
      <c r="AE763" s="128"/>
      <c r="AF763" s="128"/>
      <c r="AG763" s="128"/>
      <c r="AH763" s="127"/>
    </row>
    <row r="764" spans="1:34" ht="13.2">
      <c r="A764" s="88"/>
      <c r="B764" s="88"/>
      <c r="C764" s="88"/>
      <c r="D764" s="88"/>
      <c r="E764" s="88"/>
      <c r="F764" s="88"/>
      <c r="G764" s="88"/>
      <c r="H764" s="88"/>
      <c r="I764" s="88"/>
      <c r="J764" s="88"/>
      <c r="K764" s="88"/>
      <c r="L764" s="88"/>
      <c r="M764" s="88"/>
      <c r="N764" s="88"/>
      <c r="O764" s="88"/>
      <c r="P764" s="88"/>
      <c r="Q764" s="88"/>
      <c r="R764" s="88"/>
      <c r="S764" s="88"/>
      <c r="T764" s="88"/>
      <c r="U764" s="88"/>
      <c r="V764" s="88"/>
      <c r="W764" s="88"/>
      <c r="X764" s="88"/>
      <c r="Y764" s="88"/>
      <c r="Z764" s="88"/>
      <c r="AA764" s="88"/>
      <c r="AB764" s="128"/>
      <c r="AC764" s="128"/>
      <c r="AD764" s="128"/>
      <c r="AE764" s="128"/>
      <c r="AF764" s="128"/>
      <c r="AG764" s="128"/>
      <c r="AH764" s="127"/>
    </row>
    <row r="765" spans="1:34" ht="13.2">
      <c r="A765" s="88"/>
      <c r="B765" s="88"/>
      <c r="C765" s="88"/>
      <c r="D765" s="88"/>
      <c r="E765" s="88"/>
      <c r="F765" s="88"/>
      <c r="G765" s="88"/>
      <c r="H765" s="88"/>
      <c r="I765" s="88"/>
      <c r="J765" s="88"/>
      <c r="K765" s="88"/>
      <c r="L765" s="88"/>
      <c r="M765" s="88"/>
      <c r="N765" s="88"/>
      <c r="O765" s="88"/>
      <c r="P765" s="88"/>
      <c r="Q765" s="88"/>
      <c r="R765" s="88"/>
      <c r="S765" s="88"/>
      <c r="T765" s="88"/>
      <c r="U765" s="88"/>
      <c r="V765" s="88"/>
      <c r="W765" s="88"/>
      <c r="X765" s="88"/>
      <c r="Y765" s="88"/>
      <c r="Z765" s="88"/>
      <c r="AA765" s="88"/>
      <c r="AB765" s="128"/>
      <c r="AC765" s="128"/>
      <c r="AD765" s="128"/>
      <c r="AE765" s="128"/>
      <c r="AF765" s="128"/>
      <c r="AG765" s="128"/>
      <c r="AH765" s="127"/>
    </row>
    <row r="766" spans="1:34" ht="13.2">
      <c r="A766" s="88"/>
      <c r="B766" s="88"/>
      <c r="C766" s="88"/>
      <c r="D766" s="88"/>
      <c r="E766" s="88"/>
      <c r="F766" s="88"/>
      <c r="G766" s="88"/>
      <c r="H766" s="88"/>
      <c r="I766" s="88"/>
      <c r="J766" s="88"/>
      <c r="K766" s="88"/>
      <c r="L766" s="88"/>
      <c r="M766" s="88"/>
      <c r="N766" s="88"/>
      <c r="O766" s="88"/>
      <c r="P766" s="88"/>
      <c r="Q766" s="88"/>
      <c r="R766" s="88"/>
      <c r="S766" s="88"/>
      <c r="T766" s="88"/>
      <c r="U766" s="88"/>
      <c r="V766" s="88"/>
      <c r="W766" s="88"/>
      <c r="X766" s="88"/>
      <c r="Y766" s="88"/>
      <c r="Z766" s="88"/>
      <c r="AA766" s="88"/>
      <c r="AB766" s="128"/>
      <c r="AC766" s="128"/>
      <c r="AD766" s="128"/>
      <c r="AE766" s="128"/>
      <c r="AF766" s="128"/>
      <c r="AG766" s="128"/>
      <c r="AH766" s="127"/>
    </row>
    <row r="767" spans="1:34" ht="13.2">
      <c r="A767" s="88"/>
      <c r="B767" s="88"/>
      <c r="C767" s="88"/>
      <c r="D767" s="88"/>
      <c r="E767" s="88"/>
      <c r="F767" s="88"/>
      <c r="G767" s="88"/>
      <c r="H767" s="88"/>
      <c r="I767" s="88"/>
      <c r="J767" s="88"/>
      <c r="K767" s="88"/>
      <c r="L767" s="88"/>
      <c r="M767" s="88"/>
      <c r="N767" s="88"/>
      <c r="O767" s="88"/>
      <c r="P767" s="88"/>
      <c r="Q767" s="88"/>
      <c r="R767" s="88"/>
      <c r="S767" s="88"/>
      <c r="T767" s="88"/>
      <c r="U767" s="88"/>
      <c r="V767" s="88"/>
      <c r="W767" s="88"/>
      <c r="X767" s="88"/>
      <c r="Y767" s="88"/>
      <c r="Z767" s="88"/>
      <c r="AA767" s="88"/>
      <c r="AB767" s="128"/>
      <c r="AC767" s="128"/>
      <c r="AD767" s="128"/>
      <c r="AE767" s="128"/>
      <c r="AF767" s="128"/>
      <c r="AG767" s="128"/>
      <c r="AH767" s="127"/>
    </row>
    <row r="768" spans="1:34" ht="13.2">
      <c r="A768" s="88"/>
      <c r="B768" s="88"/>
      <c r="C768" s="88"/>
      <c r="D768" s="88"/>
      <c r="E768" s="88"/>
      <c r="F768" s="88"/>
      <c r="G768" s="88"/>
      <c r="H768" s="88"/>
      <c r="I768" s="88"/>
      <c r="J768" s="88"/>
      <c r="K768" s="88"/>
      <c r="L768" s="88"/>
      <c r="M768" s="88"/>
      <c r="N768" s="88"/>
      <c r="O768" s="88"/>
      <c r="P768" s="88"/>
      <c r="Q768" s="88"/>
      <c r="R768" s="88"/>
      <c r="S768" s="88"/>
      <c r="T768" s="88"/>
      <c r="U768" s="88"/>
      <c r="V768" s="88"/>
      <c r="W768" s="88"/>
      <c r="X768" s="88"/>
      <c r="Y768" s="88"/>
      <c r="Z768" s="88"/>
      <c r="AA768" s="88"/>
      <c r="AB768" s="128"/>
      <c r="AC768" s="128"/>
      <c r="AD768" s="128"/>
      <c r="AE768" s="128"/>
      <c r="AF768" s="128"/>
      <c r="AG768" s="128"/>
      <c r="AH768" s="127"/>
    </row>
    <row r="769" spans="1:34" ht="13.2">
      <c r="A769" s="88"/>
      <c r="B769" s="88"/>
      <c r="C769" s="88"/>
      <c r="D769" s="88"/>
      <c r="E769" s="88"/>
      <c r="F769" s="88"/>
      <c r="G769" s="88"/>
      <c r="H769" s="88"/>
      <c r="I769" s="88"/>
      <c r="J769" s="88"/>
      <c r="K769" s="88"/>
      <c r="L769" s="88"/>
      <c r="M769" s="88"/>
      <c r="N769" s="88"/>
      <c r="O769" s="88"/>
      <c r="P769" s="88"/>
      <c r="Q769" s="88"/>
      <c r="R769" s="88"/>
      <c r="S769" s="88"/>
      <c r="T769" s="88"/>
      <c r="U769" s="88"/>
      <c r="V769" s="88"/>
      <c r="W769" s="88"/>
      <c r="X769" s="88"/>
      <c r="Y769" s="88"/>
      <c r="Z769" s="88"/>
      <c r="AA769" s="88"/>
      <c r="AB769" s="128"/>
      <c r="AC769" s="128"/>
      <c r="AD769" s="128"/>
      <c r="AE769" s="128"/>
      <c r="AF769" s="128"/>
      <c r="AG769" s="128"/>
      <c r="AH769" s="127"/>
    </row>
    <row r="770" spans="1:34" ht="13.2">
      <c r="A770" s="88"/>
      <c r="B770" s="88"/>
      <c r="C770" s="88"/>
      <c r="D770" s="88"/>
      <c r="E770" s="88"/>
      <c r="F770" s="88"/>
      <c r="G770" s="88"/>
      <c r="H770" s="88"/>
      <c r="I770" s="88"/>
      <c r="J770" s="88"/>
      <c r="K770" s="88"/>
      <c r="L770" s="88"/>
      <c r="M770" s="88"/>
      <c r="N770" s="88"/>
      <c r="O770" s="88"/>
      <c r="P770" s="88"/>
      <c r="Q770" s="88"/>
      <c r="R770" s="88"/>
      <c r="S770" s="88"/>
      <c r="T770" s="88"/>
      <c r="U770" s="88"/>
      <c r="V770" s="88"/>
      <c r="W770" s="88"/>
      <c r="X770" s="88"/>
      <c r="Y770" s="88"/>
      <c r="Z770" s="88"/>
      <c r="AA770" s="88"/>
      <c r="AB770" s="128"/>
      <c r="AC770" s="128"/>
      <c r="AD770" s="128"/>
      <c r="AE770" s="128"/>
      <c r="AF770" s="128"/>
      <c r="AG770" s="128"/>
      <c r="AH770" s="127"/>
    </row>
    <row r="771" spans="1:34" ht="13.2">
      <c r="A771" s="88"/>
      <c r="B771" s="88"/>
      <c r="C771" s="88"/>
      <c r="D771" s="88"/>
      <c r="E771" s="88"/>
      <c r="F771" s="88"/>
      <c r="G771" s="88"/>
      <c r="H771" s="88"/>
      <c r="I771" s="88"/>
      <c r="J771" s="88"/>
      <c r="K771" s="88"/>
      <c r="L771" s="88"/>
      <c r="M771" s="88"/>
      <c r="N771" s="88"/>
      <c r="O771" s="88"/>
      <c r="P771" s="88"/>
      <c r="Q771" s="88"/>
      <c r="R771" s="88"/>
      <c r="S771" s="88"/>
      <c r="T771" s="88"/>
      <c r="U771" s="88"/>
      <c r="V771" s="88"/>
      <c r="W771" s="88"/>
      <c r="X771" s="88"/>
      <c r="Y771" s="88"/>
      <c r="Z771" s="88"/>
      <c r="AA771" s="88"/>
      <c r="AB771" s="128"/>
      <c r="AC771" s="128"/>
      <c r="AD771" s="128"/>
      <c r="AE771" s="128"/>
      <c r="AF771" s="128"/>
      <c r="AG771" s="128"/>
      <c r="AH771" s="127"/>
    </row>
    <row r="772" spans="1:34" ht="13.2">
      <c r="A772" s="88"/>
      <c r="B772" s="88"/>
      <c r="C772" s="88"/>
      <c r="D772" s="88"/>
      <c r="E772" s="88"/>
      <c r="F772" s="88"/>
      <c r="G772" s="88"/>
      <c r="H772" s="88"/>
      <c r="I772" s="88"/>
      <c r="J772" s="88"/>
      <c r="K772" s="88"/>
      <c r="L772" s="88"/>
      <c r="M772" s="88"/>
      <c r="N772" s="88"/>
      <c r="O772" s="88"/>
      <c r="P772" s="88"/>
      <c r="Q772" s="88"/>
      <c r="R772" s="88"/>
      <c r="S772" s="88"/>
      <c r="T772" s="88"/>
      <c r="U772" s="88"/>
      <c r="V772" s="88"/>
      <c r="W772" s="88"/>
      <c r="X772" s="88"/>
      <c r="Y772" s="88"/>
      <c r="Z772" s="88"/>
      <c r="AA772" s="88"/>
      <c r="AB772" s="128"/>
      <c r="AC772" s="128"/>
      <c r="AD772" s="128"/>
      <c r="AE772" s="128"/>
      <c r="AF772" s="128"/>
      <c r="AG772" s="128"/>
      <c r="AH772" s="127"/>
    </row>
    <row r="773" spans="1:34" ht="13.2">
      <c r="A773" s="88"/>
      <c r="B773" s="88"/>
      <c r="C773" s="88"/>
      <c r="D773" s="88"/>
      <c r="E773" s="88"/>
      <c r="F773" s="88"/>
      <c r="G773" s="88"/>
      <c r="H773" s="88"/>
      <c r="I773" s="88"/>
      <c r="J773" s="88"/>
      <c r="K773" s="88"/>
      <c r="L773" s="88"/>
      <c r="M773" s="88"/>
      <c r="N773" s="88"/>
      <c r="O773" s="88"/>
      <c r="P773" s="88"/>
      <c r="Q773" s="88"/>
      <c r="R773" s="88"/>
      <c r="S773" s="88"/>
      <c r="T773" s="88"/>
      <c r="U773" s="88"/>
      <c r="V773" s="88"/>
      <c r="W773" s="88"/>
      <c r="X773" s="88"/>
      <c r="Y773" s="88"/>
      <c r="Z773" s="88"/>
      <c r="AA773" s="88"/>
      <c r="AB773" s="128"/>
      <c r="AC773" s="128"/>
      <c r="AD773" s="128"/>
      <c r="AE773" s="128"/>
      <c r="AF773" s="128"/>
      <c r="AG773" s="128"/>
      <c r="AH773" s="127"/>
    </row>
    <row r="774" spans="1:34" ht="13.2">
      <c r="A774" s="88"/>
      <c r="B774" s="88"/>
      <c r="C774" s="88"/>
      <c r="D774" s="88"/>
      <c r="E774" s="88"/>
      <c r="F774" s="88"/>
      <c r="G774" s="88"/>
      <c r="H774" s="88"/>
      <c r="I774" s="88"/>
      <c r="J774" s="88"/>
      <c r="K774" s="88"/>
      <c r="L774" s="88"/>
      <c r="M774" s="88"/>
      <c r="N774" s="88"/>
      <c r="O774" s="88"/>
      <c r="P774" s="88"/>
      <c r="Q774" s="88"/>
      <c r="R774" s="88"/>
      <c r="S774" s="88"/>
      <c r="T774" s="88"/>
      <c r="U774" s="88"/>
      <c r="V774" s="88"/>
      <c r="W774" s="88"/>
      <c r="X774" s="88"/>
      <c r="Y774" s="88"/>
      <c r="Z774" s="88"/>
      <c r="AA774" s="88"/>
      <c r="AB774" s="128"/>
      <c r="AC774" s="128"/>
      <c r="AD774" s="128"/>
      <c r="AE774" s="128"/>
      <c r="AF774" s="128"/>
      <c r="AG774" s="128"/>
      <c r="AH774" s="127"/>
    </row>
    <row r="775" spans="1:34" ht="13.2">
      <c r="A775" s="88"/>
      <c r="B775" s="88"/>
      <c r="C775" s="88"/>
      <c r="D775" s="88"/>
      <c r="E775" s="88"/>
      <c r="F775" s="88"/>
      <c r="G775" s="88"/>
      <c r="H775" s="88"/>
      <c r="I775" s="88"/>
      <c r="J775" s="88"/>
      <c r="K775" s="88"/>
      <c r="L775" s="88"/>
      <c r="M775" s="88"/>
      <c r="N775" s="88"/>
      <c r="O775" s="88"/>
      <c r="P775" s="88"/>
      <c r="Q775" s="88"/>
      <c r="R775" s="88"/>
      <c r="S775" s="88"/>
      <c r="T775" s="88"/>
      <c r="U775" s="88"/>
      <c r="V775" s="88"/>
      <c r="W775" s="88"/>
      <c r="X775" s="88"/>
      <c r="Y775" s="88"/>
      <c r="Z775" s="88"/>
      <c r="AA775" s="88"/>
      <c r="AB775" s="128"/>
      <c r="AC775" s="128"/>
      <c r="AD775" s="128"/>
      <c r="AE775" s="128"/>
      <c r="AF775" s="128"/>
      <c r="AG775" s="128"/>
      <c r="AH775" s="127"/>
    </row>
    <row r="776" spans="1:34" ht="13.2">
      <c r="A776" s="88"/>
      <c r="B776" s="88"/>
      <c r="C776" s="88"/>
      <c r="D776" s="88"/>
      <c r="E776" s="88"/>
      <c r="F776" s="88"/>
      <c r="G776" s="88"/>
      <c r="H776" s="88"/>
      <c r="I776" s="88"/>
      <c r="J776" s="88"/>
      <c r="K776" s="88"/>
      <c r="L776" s="88"/>
      <c r="M776" s="88"/>
      <c r="N776" s="88"/>
      <c r="O776" s="88"/>
      <c r="P776" s="88"/>
      <c r="Q776" s="88"/>
      <c r="R776" s="88"/>
      <c r="S776" s="88"/>
      <c r="T776" s="88"/>
      <c r="U776" s="88"/>
      <c r="V776" s="88"/>
      <c r="W776" s="88"/>
      <c r="X776" s="88"/>
      <c r="Y776" s="88"/>
      <c r="Z776" s="88"/>
      <c r="AA776" s="88"/>
      <c r="AB776" s="128"/>
      <c r="AC776" s="128"/>
      <c r="AD776" s="128"/>
      <c r="AE776" s="128"/>
      <c r="AF776" s="128"/>
      <c r="AG776" s="128"/>
      <c r="AH776" s="127"/>
    </row>
    <row r="777" spans="1:34" ht="13.2">
      <c r="A777" s="88"/>
      <c r="B777" s="88"/>
      <c r="C777" s="88"/>
      <c r="D777" s="88"/>
      <c r="E777" s="88"/>
      <c r="F777" s="88"/>
      <c r="G777" s="88"/>
      <c r="H777" s="88"/>
      <c r="I777" s="88"/>
      <c r="J777" s="88"/>
      <c r="K777" s="88"/>
      <c r="L777" s="88"/>
      <c r="M777" s="88"/>
      <c r="N777" s="88"/>
      <c r="O777" s="88"/>
      <c r="P777" s="88"/>
      <c r="Q777" s="88"/>
      <c r="R777" s="88"/>
      <c r="S777" s="88"/>
      <c r="T777" s="88"/>
      <c r="U777" s="88"/>
      <c r="V777" s="88"/>
      <c r="W777" s="88"/>
      <c r="X777" s="88"/>
      <c r="Y777" s="88"/>
      <c r="Z777" s="88"/>
      <c r="AA777" s="88"/>
      <c r="AB777" s="128"/>
      <c r="AC777" s="128"/>
      <c r="AD777" s="128"/>
      <c r="AE777" s="128"/>
      <c r="AF777" s="128"/>
      <c r="AG777" s="128"/>
      <c r="AH777" s="127"/>
    </row>
    <row r="778" spans="1:34" ht="13.2">
      <c r="A778" s="88"/>
      <c r="B778" s="88"/>
      <c r="C778" s="88"/>
      <c r="D778" s="88"/>
      <c r="E778" s="88"/>
      <c r="F778" s="88"/>
      <c r="G778" s="88"/>
      <c r="H778" s="88"/>
      <c r="I778" s="88"/>
      <c r="J778" s="88"/>
      <c r="K778" s="88"/>
      <c r="L778" s="88"/>
      <c r="M778" s="88"/>
      <c r="N778" s="88"/>
      <c r="O778" s="88"/>
      <c r="P778" s="88"/>
      <c r="Q778" s="88"/>
      <c r="R778" s="88"/>
      <c r="S778" s="88"/>
      <c r="T778" s="88"/>
      <c r="U778" s="88"/>
      <c r="V778" s="88"/>
      <c r="W778" s="88"/>
      <c r="X778" s="88"/>
      <c r="Y778" s="88"/>
      <c r="Z778" s="88"/>
      <c r="AA778" s="88"/>
      <c r="AB778" s="128"/>
      <c r="AC778" s="128"/>
      <c r="AD778" s="128"/>
      <c r="AE778" s="128"/>
      <c r="AF778" s="128"/>
      <c r="AG778" s="128"/>
      <c r="AH778" s="127"/>
    </row>
    <row r="779" spans="1:34" ht="13.2">
      <c r="A779" s="88"/>
      <c r="B779" s="88"/>
      <c r="C779" s="88"/>
      <c r="D779" s="88"/>
      <c r="E779" s="88"/>
      <c r="F779" s="88"/>
      <c r="G779" s="88"/>
      <c r="H779" s="88"/>
      <c r="I779" s="88"/>
      <c r="J779" s="88"/>
      <c r="K779" s="88"/>
      <c r="L779" s="88"/>
      <c r="M779" s="88"/>
      <c r="N779" s="88"/>
      <c r="O779" s="88"/>
      <c r="P779" s="88"/>
      <c r="Q779" s="88"/>
      <c r="R779" s="88"/>
      <c r="S779" s="88"/>
      <c r="T779" s="88"/>
      <c r="U779" s="88"/>
      <c r="V779" s="88"/>
      <c r="W779" s="88"/>
      <c r="X779" s="88"/>
      <c r="Y779" s="88"/>
      <c r="Z779" s="88"/>
      <c r="AA779" s="88"/>
      <c r="AB779" s="128"/>
      <c r="AC779" s="128"/>
      <c r="AD779" s="128"/>
      <c r="AE779" s="128"/>
      <c r="AF779" s="128"/>
      <c r="AG779" s="128"/>
      <c r="AH779" s="127"/>
    </row>
    <row r="780" spans="1:34" ht="13.2">
      <c r="A780" s="88"/>
      <c r="B780" s="88"/>
      <c r="C780" s="88"/>
      <c r="D780" s="88"/>
      <c r="E780" s="88"/>
      <c r="F780" s="88"/>
      <c r="G780" s="88"/>
      <c r="H780" s="88"/>
      <c r="I780" s="88"/>
      <c r="J780" s="88"/>
      <c r="K780" s="88"/>
      <c r="L780" s="88"/>
      <c r="M780" s="88"/>
      <c r="N780" s="88"/>
      <c r="O780" s="88"/>
      <c r="P780" s="88"/>
      <c r="Q780" s="88"/>
      <c r="R780" s="88"/>
      <c r="S780" s="88"/>
      <c r="T780" s="88"/>
      <c r="U780" s="88"/>
      <c r="V780" s="88"/>
      <c r="W780" s="88"/>
      <c r="X780" s="88"/>
      <c r="Y780" s="88"/>
      <c r="Z780" s="88"/>
      <c r="AA780" s="88"/>
      <c r="AB780" s="128"/>
      <c r="AC780" s="128"/>
      <c r="AD780" s="128"/>
      <c r="AE780" s="128"/>
      <c r="AF780" s="128"/>
      <c r="AG780" s="128"/>
      <c r="AH780" s="127"/>
    </row>
    <row r="781" spans="1:34" ht="13.2">
      <c r="A781" s="88"/>
      <c r="B781" s="88"/>
      <c r="C781" s="88"/>
      <c r="D781" s="88"/>
      <c r="E781" s="88"/>
      <c r="F781" s="88"/>
      <c r="G781" s="88"/>
      <c r="H781" s="88"/>
      <c r="I781" s="88"/>
      <c r="J781" s="88"/>
      <c r="K781" s="88"/>
      <c r="L781" s="88"/>
      <c r="M781" s="88"/>
      <c r="N781" s="88"/>
      <c r="O781" s="88"/>
      <c r="P781" s="88"/>
      <c r="Q781" s="88"/>
      <c r="R781" s="88"/>
      <c r="S781" s="88"/>
      <c r="T781" s="88"/>
      <c r="U781" s="88"/>
      <c r="V781" s="88"/>
      <c r="W781" s="88"/>
      <c r="X781" s="88"/>
      <c r="Y781" s="88"/>
      <c r="Z781" s="88"/>
      <c r="AA781" s="88"/>
      <c r="AB781" s="128"/>
      <c r="AC781" s="128"/>
      <c r="AD781" s="128"/>
      <c r="AE781" s="128"/>
      <c r="AF781" s="128"/>
      <c r="AG781" s="128"/>
      <c r="AH781" s="127"/>
    </row>
    <row r="782" spans="1:34" ht="13.2">
      <c r="A782" s="88"/>
      <c r="B782" s="88"/>
      <c r="C782" s="88"/>
      <c r="D782" s="88"/>
      <c r="E782" s="88"/>
      <c r="F782" s="88"/>
      <c r="G782" s="88"/>
      <c r="H782" s="88"/>
      <c r="I782" s="88"/>
      <c r="J782" s="88"/>
      <c r="K782" s="88"/>
      <c r="L782" s="88"/>
      <c r="M782" s="88"/>
      <c r="N782" s="88"/>
      <c r="O782" s="88"/>
      <c r="P782" s="88"/>
      <c r="Q782" s="88"/>
      <c r="R782" s="88"/>
      <c r="S782" s="88"/>
      <c r="T782" s="88"/>
      <c r="U782" s="88"/>
      <c r="V782" s="88"/>
      <c r="W782" s="88"/>
      <c r="X782" s="88"/>
      <c r="Y782" s="88"/>
      <c r="Z782" s="88"/>
      <c r="AA782" s="88"/>
      <c r="AB782" s="128"/>
      <c r="AC782" s="128"/>
      <c r="AD782" s="128"/>
      <c r="AE782" s="128"/>
      <c r="AF782" s="128"/>
      <c r="AG782" s="128"/>
      <c r="AH782" s="127"/>
    </row>
    <row r="783" spans="1:34" ht="13.2">
      <c r="A783" s="88"/>
      <c r="B783" s="88"/>
      <c r="C783" s="88"/>
      <c r="D783" s="88"/>
      <c r="E783" s="88"/>
      <c r="F783" s="88"/>
      <c r="G783" s="88"/>
      <c r="H783" s="88"/>
      <c r="I783" s="88"/>
      <c r="J783" s="88"/>
      <c r="K783" s="88"/>
      <c r="L783" s="88"/>
      <c r="M783" s="88"/>
      <c r="N783" s="88"/>
      <c r="O783" s="88"/>
      <c r="P783" s="88"/>
      <c r="Q783" s="88"/>
      <c r="R783" s="88"/>
      <c r="S783" s="88"/>
      <c r="T783" s="88"/>
      <c r="U783" s="88"/>
      <c r="V783" s="88"/>
      <c r="W783" s="88"/>
      <c r="X783" s="88"/>
      <c r="Y783" s="88"/>
      <c r="Z783" s="88"/>
      <c r="AA783" s="88"/>
      <c r="AB783" s="128"/>
      <c r="AC783" s="128"/>
      <c r="AD783" s="128"/>
      <c r="AE783" s="128"/>
      <c r="AF783" s="128"/>
      <c r="AG783" s="128"/>
      <c r="AH783" s="127"/>
    </row>
    <row r="784" spans="1:34" ht="13.2">
      <c r="A784" s="88"/>
      <c r="B784" s="88"/>
      <c r="C784" s="88"/>
      <c r="D784" s="88"/>
      <c r="E784" s="88"/>
      <c r="F784" s="88"/>
      <c r="G784" s="88"/>
      <c r="H784" s="88"/>
      <c r="I784" s="88"/>
      <c r="J784" s="88"/>
      <c r="K784" s="88"/>
      <c r="L784" s="88"/>
      <c r="M784" s="88"/>
      <c r="N784" s="88"/>
      <c r="O784" s="88"/>
      <c r="P784" s="88"/>
      <c r="Q784" s="88"/>
      <c r="R784" s="88"/>
      <c r="S784" s="88"/>
      <c r="T784" s="88"/>
      <c r="U784" s="88"/>
      <c r="V784" s="88"/>
      <c r="W784" s="88"/>
      <c r="X784" s="88"/>
      <c r="Y784" s="88"/>
      <c r="Z784" s="88"/>
      <c r="AA784" s="88"/>
      <c r="AB784" s="128"/>
      <c r="AC784" s="128"/>
      <c r="AD784" s="128"/>
      <c r="AE784" s="128"/>
      <c r="AF784" s="128"/>
      <c r="AG784" s="128"/>
      <c r="AH784" s="127"/>
    </row>
    <row r="785" spans="1:34" ht="13.2">
      <c r="A785" s="88"/>
      <c r="B785" s="88"/>
      <c r="C785" s="88"/>
      <c r="D785" s="88"/>
      <c r="E785" s="88"/>
      <c r="F785" s="88"/>
      <c r="G785" s="88"/>
      <c r="H785" s="88"/>
      <c r="I785" s="88"/>
      <c r="J785" s="88"/>
      <c r="K785" s="88"/>
      <c r="L785" s="88"/>
      <c r="M785" s="88"/>
      <c r="N785" s="88"/>
      <c r="O785" s="88"/>
      <c r="P785" s="88"/>
      <c r="Q785" s="88"/>
      <c r="R785" s="88"/>
      <c r="S785" s="88"/>
      <c r="T785" s="88"/>
      <c r="U785" s="88"/>
      <c r="V785" s="88"/>
      <c r="W785" s="88"/>
      <c r="X785" s="88"/>
      <c r="Y785" s="88"/>
      <c r="Z785" s="88"/>
      <c r="AA785" s="88"/>
      <c r="AB785" s="128"/>
      <c r="AC785" s="128"/>
      <c r="AD785" s="128"/>
      <c r="AE785" s="128"/>
      <c r="AF785" s="128"/>
      <c r="AG785" s="128"/>
      <c r="AH785" s="127"/>
    </row>
    <row r="786" spans="1:34" ht="13.2">
      <c r="A786" s="88"/>
      <c r="B786" s="88"/>
      <c r="C786" s="88"/>
      <c r="D786" s="88"/>
      <c r="E786" s="88"/>
      <c r="F786" s="88"/>
      <c r="G786" s="88"/>
      <c r="H786" s="88"/>
      <c r="I786" s="88"/>
      <c r="J786" s="88"/>
      <c r="K786" s="88"/>
      <c r="L786" s="88"/>
      <c r="M786" s="88"/>
      <c r="N786" s="88"/>
      <c r="O786" s="88"/>
      <c r="P786" s="88"/>
      <c r="Q786" s="88"/>
      <c r="R786" s="88"/>
      <c r="S786" s="88"/>
      <c r="T786" s="88"/>
      <c r="U786" s="88"/>
      <c r="V786" s="88"/>
      <c r="W786" s="88"/>
      <c r="X786" s="88"/>
      <c r="Y786" s="88"/>
      <c r="Z786" s="88"/>
      <c r="AA786" s="88"/>
      <c r="AB786" s="128"/>
      <c r="AC786" s="128"/>
      <c r="AD786" s="128"/>
      <c r="AE786" s="128"/>
      <c r="AF786" s="128"/>
      <c r="AG786" s="128"/>
      <c r="AH786" s="127"/>
    </row>
    <row r="787" spans="1:34" ht="13.2">
      <c r="A787" s="88"/>
      <c r="B787" s="88"/>
      <c r="C787" s="88"/>
      <c r="D787" s="88"/>
      <c r="E787" s="88"/>
      <c r="F787" s="88"/>
      <c r="G787" s="88"/>
      <c r="H787" s="88"/>
      <c r="I787" s="88"/>
      <c r="J787" s="88"/>
      <c r="K787" s="88"/>
      <c r="L787" s="88"/>
      <c r="M787" s="88"/>
      <c r="N787" s="88"/>
      <c r="O787" s="88"/>
      <c r="P787" s="88"/>
      <c r="Q787" s="88"/>
      <c r="R787" s="88"/>
      <c r="S787" s="88"/>
      <c r="T787" s="88"/>
      <c r="U787" s="88"/>
      <c r="V787" s="88"/>
      <c r="W787" s="88"/>
      <c r="X787" s="88"/>
      <c r="Y787" s="88"/>
      <c r="Z787" s="88"/>
      <c r="AA787" s="88"/>
      <c r="AB787" s="128"/>
      <c r="AC787" s="128"/>
      <c r="AD787" s="128"/>
      <c r="AE787" s="128"/>
      <c r="AF787" s="128"/>
      <c r="AG787" s="128"/>
      <c r="AH787" s="127"/>
    </row>
    <row r="788" spans="1:34" ht="13.2">
      <c r="A788" s="88"/>
      <c r="B788" s="88"/>
      <c r="C788" s="88"/>
      <c r="D788" s="88"/>
      <c r="E788" s="88"/>
      <c r="F788" s="88"/>
      <c r="G788" s="88"/>
      <c r="H788" s="88"/>
      <c r="I788" s="88"/>
      <c r="J788" s="88"/>
      <c r="K788" s="88"/>
      <c r="L788" s="88"/>
      <c r="M788" s="88"/>
      <c r="N788" s="88"/>
      <c r="O788" s="88"/>
      <c r="P788" s="88"/>
      <c r="Q788" s="88"/>
      <c r="R788" s="88"/>
      <c r="S788" s="88"/>
      <c r="T788" s="88"/>
      <c r="U788" s="88"/>
      <c r="V788" s="88"/>
      <c r="W788" s="88"/>
      <c r="X788" s="88"/>
      <c r="Y788" s="88"/>
      <c r="Z788" s="88"/>
      <c r="AA788" s="88"/>
      <c r="AB788" s="128"/>
      <c r="AC788" s="128"/>
      <c r="AD788" s="128"/>
      <c r="AE788" s="128"/>
      <c r="AF788" s="128"/>
      <c r="AG788" s="128"/>
      <c r="AH788" s="127"/>
    </row>
    <row r="789" spans="1:34" ht="13.2">
      <c r="A789" s="88"/>
      <c r="B789" s="88"/>
      <c r="C789" s="88"/>
      <c r="D789" s="88"/>
      <c r="E789" s="88"/>
      <c r="F789" s="88"/>
      <c r="G789" s="88"/>
      <c r="H789" s="88"/>
      <c r="I789" s="88"/>
      <c r="J789" s="88"/>
      <c r="K789" s="88"/>
      <c r="L789" s="88"/>
      <c r="M789" s="88"/>
      <c r="N789" s="88"/>
      <c r="O789" s="88"/>
      <c r="P789" s="88"/>
      <c r="Q789" s="88"/>
      <c r="R789" s="88"/>
      <c r="S789" s="88"/>
      <c r="T789" s="88"/>
      <c r="U789" s="88"/>
      <c r="V789" s="88"/>
      <c r="W789" s="88"/>
      <c r="X789" s="88"/>
      <c r="Y789" s="88"/>
      <c r="Z789" s="88"/>
      <c r="AA789" s="88"/>
      <c r="AB789" s="128"/>
      <c r="AC789" s="128"/>
      <c r="AD789" s="128"/>
      <c r="AE789" s="128"/>
      <c r="AF789" s="128"/>
      <c r="AG789" s="128"/>
      <c r="AH789" s="127"/>
    </row>
    <row r="790" spans="1:34" ht="13.2">
      <c r="A790" s="88"/>
      <c r="B790" s="88"/>
      <c r="C790" s="88"/>
      <c r="D790" s="88"/>
      <c r="E790" s="88"/>
      <c r="F790" s="88"/>
      <c r="G790" s="88"/>
      <c r="H790" s="88"/>
      <c r="I790" s="88"/>
      <c r="J790" s="88"/>
      <c r="K790" s="88"/>
      <c r="L790" s="88"/>
      <c r="M790" s="88"/>
      <c r="N790" s="88"/>
      <c r="O790" s="88"/>
      <c r="P790" s="88"/>
      <c r="Q790" s="88"/>
      <c r="R790" s="88"/>
      <c r="S790" s="88"/>
      <c r="T790" s="88"/>
      <c r="U790" s="88"/>
      <c r="V790" s="88"/>
      <c r="W790" s="88"/>
      <c r="X790" s="88"/>
      <c r="Y790" s="88"/>
      <c r="Z790" s="88"/>
      <c r="AA790" s="88"/>
      <c r="AB790" s="128"/>
      <c r="AC790" s="128"/>
      <c r="AD790" s="128"/>
      <c r="AE790" s="128"/>
      <c r="AF790" s="128"/>
      <c r="AG790" s="128"/>
      <c r="AH790" s="127"/>
    </row>
    <row r="791" spans="1:34" ht="13.2">
      <c r="A791" s="88"/>
      <c r="B791" s="88"/>
      <c r="C791" s="88"/>
      <c r="D791" s="88"/>
      <c r="E791" s="88"/>
      <c r="F791" s="88"/>
      <c r="G791" s="88"/>
      <c r="H791" s="88"/>
      <c r="I791" s="88"/>
      <c r="J791" s="88"/>
      <c r="K791" s="88"/>
      <c r="L791" s="88"/>
      <c r="M791" s="88"/>
      <c r="N791" s="88"/>
      <c r="O791" s="88"/>
      <c r="P791" s="88"/>
      <c r="Q791" s="88"/>
      <c r="R791" s="88"/>
      <c r="S791" s="88"/>
      <c r="T791" s="88"/>
      <c r="U791" s="88"/>
      <c r="V791" s="88"/>
      <c r="W791" s="88"/>
      <c r="X791" s="88"/>
      <c r="Y791" s="88"/>
      <c r="Z791" s="88"/>
      <c r="AA791" s="88"/>
      <c r="AB791" s="128"/>
      <c r="AC791" s="128"/>
      <c r="AD791" s="128"/>
      <c r="AE791" s="128"/>
      <c r="AF791" s="128"/>
      <c r="AG791" s="128"/>
      <c r="AH791" s="127"/>
    </row>
    <row r="792" spans="1:34" ht="13.2">
      <c r="A792" s="88"/>
      <c r="B792" s="88"/>
      <c r="C792" s="88"/>
      <c r="D792" s="88"/>
      <c r="E792" s="88"/>
      <c r="F792" s="88"/>
      <c r="G792" s="88"/>
      <c r="H792" s="88"/>
      <c r="I792" s="88"/>
      <c r="J792" s="88"/>
      <c r="K792" s="88"/>
      <c r="L792" s="88"/>
      <c r="M792" s="88"/>
      <c r="N792" s="88"/>
      <c r="O792" s="88"/>
      <c r="P792" s="88"/>
      <c r="Q792" s="88"/>
      <c r="R792" s="88"/>
      <c r="S792" s="88"/>
      <c r="T792" s="88"/>
      <c r="U792" s="88"/>
      <c r="V792" s="88"/>
      <c r="W792" s="88"/>
      <c r="X792" s="88"/>
      <c r="Y792" s="88"/>
      <c r="Z792" s="88"/>
      <c r="AA792" s="88"/>
      <c r="AB792" s="128"/>
      <c r="AC792" s="128"/>
      <c r="AD792" s="128"/>
      <c r="AE792" s="128"/>
      <c r="AF792" s="128"/>
      <c r="AG792" s="128"/>
      <c r="AH792" s="127"/>
    </row>
    <row r="793" spans="1:34" ht="13.2">
      <c r="A793" s="88"/>
      <c r="B793" s="88"/>
      <c r="C793" s="88"/>
      <c r="D793" s="88"/>
      <c r="E793" s="88"/>
      <c r="F793" s="88"/>
      <c r="G793" s="88"/>
      <c r="H793" s="88"/>
      <c r="I793" s="88"/>
      <c r="J793" s="88"/>
      <c r="K793" s="88"/>
      <c r="L793" s="88"/>
      <c r="M793" s="88"/>
      <c r="N793" s="88"/>
      <c r="O793" s="88"/>
      <c r="P793" s="88"/>
      <c r="Q793" s="88"/>
      <c r="R793" s="88"/>
      <c r="S793" s="88"/>
      <c r="T793" s="88"/>
      <c r="U793" s="88"/>
      <c r="V793" s="88"/>
      <c r="W793" s="88"/>
      <c r="X793" s="88"/>
      <c r="Y793" s="88"/>
      <c r="Z793" s="88"/>
      <c r="AA793" s="88"/>
      <c r="AB793" s="128"/>
      <c r="AC793" s="128"/>
      <c r="AD793" s="128"/>
      <c r="AE793" s="128"/>
      <c r="AF793" s="128"/>
      <c r="AG793" s="128"/>
      <c r="AH793" s="127"/>
    </row>
    <row r="794" spans="1:34" ht="13.2">
      <c r="A794" s="88"/>
      <c r="B794" s="88"/>
      <c r="C794" s="88"/>
      <c r="D794" s="88"/>
      <c r="E794" s="88"/>
      <c r="F794" s="88"/>
      <c r="G794" s="88"/>
      <c r="H794" s="88"/>
      <c r="I794" s="88"/>
      <c r="J794" s="88"/>
      <c r="K794" s="88"/>
      <c r="L794" s="88"/>
      <c r="M794" s="88"/>
      <c r="N794" s="88"/>
      <c r="O794" s="88"/>
      <c r="P794" s="88"/>
      <c r="Q794" s="88"/>
      <c r="R794" s="88"/>
      <c r="S794" s="88"/>
      <c r="T794" s="88"/>
      <c r="U794" s="88"/>
      <c r="V794" s="88"/>
      <c r="W794" s="88"/>
      <c r="X794" s="88"/>
      <c r="Y794" s="88"/>
      <c r="Z794" s="88"/>
      <c r="AA794" s="88"/>
      <c r="AB794" s="128"/>
      <c r="AC794" s="128"/>
      <c r="AD794" s="128"/>
      <c r="AE794" s="128"/>
      <c r="AF794" s="128"/>
      <c r="AG794" s="128"/>
      <c r="AH794" s="127"/>
    </row>
    <row r="795" spans="1:34" ht="13.2">
      <c r="A795" s="88"/>
      <c r="B795" s="88"/>
      <c r="C795" s="88"/>
      <c r="D795" s="88"/>
      <c r="E795" s="88"/>
      <c r="F795" s="88"/>
      <c r="G795" s="88"/>
      <c r="H795" s="88"/>
      <c r="I795" s="88"/>
      <c r="J795" s="88"/>
      <c r="K795" s="88"/>
      <c r="L795" s="88"/>
      <c r="M795" s="88"/>
      <c r="N795" s="88"/>
      <c r="O795" s="88"/>
      <c r="P795" s="88"/>
      <c r="Q795" s="88"/>
      <c r="R795" s="88"/>
      <c r="S795" s="88"/>
      <c r="T795" s="88"/>
      <c r="U795" s="88"/>
      <c r="V795" s="88"/>
      <c r="W795" s="88"/>
      <c r="X795" s="88"/>
      <c r="Y795" s="88"/>
      <c r="Z795" s="88"/>
      <c r="AA795" s="88"/>
      <c r="AB795" s="128"/>
      <c r="AC795" s="128"/>
      <c r="AD795" s="128"/>
      <c r="AE795" s="128"/>
      <c r="AF795" s="128"/>
      <c r="AG795" s="128"/>
      <c r="AH795" s="127"/>
    </row>
    <row r="796" spans="1:34" ht="13.2">
      <c r="A796" s="88"/>
      <c r="B796" s="88"/>
      <c r="C796" s="88"/>
      <c r="D796" s="88"/>
      <c r="E796" s="88"/>
      <c r="F796" s="88"/>
      <c r="G796" s="88"/>
      <c r="H796" s="88"/>
      <c r="I796" s="88"/>
      <c r="J796" s="88"/>
      <c r="K796" s="88"/>
      <c r="L796" s="88"/>
      <c r="M796" s="88"/>
      <c r="N796" s="88"/>
      <c r="O796" s="88"/>
      <c r="P796" s="88"/>
      <c r="Q796" s="88"/>
      <c r="R796" s="88"/>
      <c r="S796" s="88"/>
      <c r="T796" s="88"/>
      <c r="U796" s="88"/>
      <c r="V796" s="88"/>
      <c r="W796" s="88"/>
      <c r="X796" s="88"/>
      <c r="Y796" s="88"/>
      <c r="Z796" s="88"/>
      <c r="AA796" s="88"/>
      <c r="AB796" s="128"/>
      <c r="AC796" s="128"/>
      <c r="AD796" s="128"/>
      <c r="AE796" s="128"/>
      <c r="AF796" s="128"/>
      <c r="AG796" s="128"/>
      <c r="AH796" s="127"/>
    </row>
    <row r="797" spans="1:34" ht="13.2">
      <c r="A797" s="88"/>
      <c r="B797" s="88"/>
      <c r="C797" s="88"/>
      <c r="D797" s="88"/>
      <c r="E797" s="88"/>
      <c r="F797" s="88"/>
      <c r="G797" s="88"/>
      <c r="H797" s="88"/>
      <c r="I797" s="88"/>
      <c r="J797" s="88"/>
      <c r="K797" s="88"/>
      <c r="L797" s="88"/>
      <c r="M797" s="88"/>
      <c r="N797" s="88"/>
      <c r="O797" s="88"/>
      <c r="P797" s="88"/>
      <c r="Q797" s="88"/>
      <c r="R797" s="88"/>
      <c r="S797" s="88"/>
      <c r="T797" s="88"/>
      <c r="U797" s="88"/>
      <c r="V797" s="88"/>
      <c r="W797" s="88"/>
      <c r="X797" s="88"/>
      <c r="Y797" s="88"/>
      <c r="Z797" s="88"/>
      <c r="AA797" s="88"/>
      <c r="AB797" s="128"/>
      <c r="AC797" s="128"/>
      <c r="AD797" s="128"/>
      <c r="AE797" s="128"/>
      <c r="AF797" s="128"/>
      <c r="AG797" s="128"/>
      <c r="AH797" s="127"/>
    </row>
    <row r="798" spans="1:34" ht="13.2">
      <c r="A798" s="88"/>
      <c r="B798" s="88"/>
      <c r="C798" s="88"/>
      <c r="D798" s="88"/>
      <c r="E798" s="88"/>
      <c r="F798" s="88"/>
      <c r="G798" s="88"/>
      <c r="H798" s="88"/>
      <c r="I798" s="88"/>
      <c r="J798" s="88"/>
      <c r="K798" s="88"/>
      <c r="L798" s="88"/>
      <c r="M798" s="88"/>
      <c r="N798" s="88"/>
      <c r="O798" s="88"/>
      <c r="P798" s="88"/>
      <c r="Q798" s="88"/>
      <c r="R798" s="88"/>
      <c r="S798" s="88"/>
      <c r="T798" s="88"/>
      <c r="U798" s="88"/>
      <c r="V798" s="88"/>
      <c r="W798" s="88"/>
      <c r="X798" s="88"/>
      <c r="Y798" s="88"/>
      <c r="Z798" s="88"/>
      <c r="AA798" s="88"/>
      <c r="AB798" s="128"/>
      <c r="AC798" s="128"/>
      <c r="AD798" s="128"/>
      <c r="AE798" s="128"/>
      <c r="AF798" s="128"/>
      <c r="AG798" s="128"/>
      <c r="AH798" s="127"/>
    </row>
    <row r="799" spans="1:34" ht="13.2">
      <c r="A799" s="88"/>
      <c r="B799" s="88"/>
      <c r="C799" s="88"/>
      <c r="D799" s="88"/>
      <c r="E799" s="88"/>
      <c r="F799" s="88"/>
      <c r="G799" s="88"/>
      <c r="H799" s="88"/>
      <c r="I799" s="88"/>
      <c r="J799" s="88"/>
      <c r="K799" s="88"/>
      <c r="L799" s="88"/>
      <c r="M799" s="88"/>
      <c r="N799" s="88"/>
      <c r="O799" s="88"/>
      <c r="P799" s="88"/>
      <c r="Q799" s="88"/>
      <c r="R799" s="88"/>
      <c r="S799" s="88"/>
      <c r="T799" s="88"/>
      <c r="U799" s="88"/>
      <c r="V799" s="88"/>
      <c r="W799" s="88"/>
      <c r="X799" s="88"/>
      <c r="Y799" s="88"/>
      <c r="Z799" s="88"/>
      <c r="AA799" s="88"/>
      <c r="AB799" s="128"/>
      <c r="AC799" s="128"/>
      <c r="AD799" s="128"/>
      <c r="AE799" s="128"/>
      <c r="AF799" s="128"/>
      <c r="AG799" s="128"/>
      <c r="AH799" s="127"/>
    </row>
    <row r="800" spans="1:34" ht="13.2">
      <c r="A800" s="88"/>
      <c r="B800" s="88"/>
      <c r="C800" s="88"/>
      <c r="D800" s="88"/>
      <c r="E800" s="88"/>
      <c r="F800" s="88"/>
      <c r="G800" s="88"/>
      <c r="H800" s="88"/>
      <c r="I800" s="88"/>
      <c r="J800" s="88"/>
      <c r="K800" s="88"/>
      <c r="L800" s="88"/>
      <c r="M800" s="88"/>
      <c r="N800" s="88"/>
      <c r="O800" s="88"/>
      <c r="P800" s="88"/>
      <c r="Q800" s="88"/>
      <c r="R800" s="88"/>
      <c r="S800" s="88"/>
      <c r="T800" s="88"/>
      <c r="U800" s="88"/>
      <c r="V800" s="88"/>
      <c r="W800" s="88"/>
      <c r="X800" s="88"/>
      <c r="Y800" s="88"/>
      <c r="Z800" s="88"/>
      <c r="AA800" s="88"/>
      <c r="AB800" s="128"/>
      <c r="AC800" s="128"/>
      <c r="AD800" s="128"/>
      <c r="AE800" s="128"/>
      <c r="AF800" s="128"/>
      <c r="AG800" s="128"/>
      <c r="AH800" s="127"/>
    </row>
    <row r="801" spans="1:34" ht="13.2">
      <c r="A801" s="88"/>
      <c r="B801" s="88"/>
      <c r="C801" s="88"/>
      <c r="D801" s="88"/>
      <c r="E801" s="88"/>
      <c r="F801" s="88"/>
      <c r="G801" s="88"/>
      <c r="H801" s="88"/>
      <c r="I801" s="88"/>
      <c r="J801" s="88"/>
      <c r="K801" s="88"/>
      <c r="L801" s="88"/>
      <c r="M801" s="88"/>
      <c r="N801" s="88"/>
      <c r="O801" s="88"/>
      <c r="P801" s="88"/>
      <c r="Q801" s="88"/>
      <c r="R801" s="88"/>
      <c r="S801" s="88"/>
      <c r="T801" s="88"/>
      <c r="U801" s="88"/>
      <c r="V801" s="88"/>
      <c r="W801" s="88"/>
      <c r="X801" s="88"/>
      <c r="Y801" s="88"/>
      <c r="Z801" s="88"/>
      <c r="AA801" s="88"/>
      <c r="AB801" s="128"/>
      <c r="AC801" s="128"/>
      <c r="AD801" s="128"/>
      <c r="AE801" s="128"/>
      <c r="AF801" s="128"/>
      <c r="AG801" s="128"/>
      <c r="AH801" s="127"/>
    </row>
    <row r="802" spans="1:34" ht="13.2">
      <c r="A802" s="88"/>
      <c r="B802" s="88"/>
      <c r="C802" s="88"/>
      <c r="D802" s="88"/>
      <c r="E802" s="88"/>
      <c r="F802" s="88"/>
      <c r="G802" s="88"/>
      <c r="H802" s="88"/>
      <c r="I802" s="88"/>
      <c r="J802" s="88"/>
      <c r="K802" s="88"/>
      <c r="L802" s="88"/>
      <c r="M802" s="88"/>
      <c r="N802" s="88"/>
      <c r="O802" s="88"/>
      <c r="P802" s="88"/>
      <c r="Q802" s="88"/>
      <c r="R802" s="88"/>
      <c r="S802" s="88"/>
      <c r="T802" s="88"/>
      <c r="U802" s="88"/>
      <c r="V802" s="88"/>
      <c r="W802" s="88"/>
      <c r="X802" s="88"/>
      <c r="Y802" s="88"/>
      <c r="Z802" s="88"/>
      <c r="AA802" s="88"/>
      <c r="AB802" s="128"/>
      <c r="AC802" s="128"/>
      <c r="AD802" s="128"/>
      <c r="AE802" s="128"/>
      <c r="AF802" s="128"/>
      <c r="AG802" s="128"/>
      <c r="AH802" s="127"/>
    </row>
    <row r="803" spans="1:34" ht="13.2">
      <c r="A803" s="88"/>
      <c r="B803" s="88"/>
      <c r="C803" s="88"/>
      <c r="D803" s="88"/>
      <c r="E803" s="88"/>
      <c r="F803" s="88"/>
      <c r="G803" s="88"/>
      <c r="H803" s="88"/>
      <c r="I803" s="88"/>
      <c r="J803" s="88"/>
      <c r="K803" s="88"/>
      <c r="L803" s="88"/>
      <c r="M803" s="88"/>
      <c r="N803" s="88"/>
      <c r="O803" s="88"/>
      <c r="P803" s="88"/>
      <c r="Q803" s="88"/>
      <c r="R803" s="88"/>
      <c r="S803" s="88"/>
      <c r="T803" s="88"/>
      <c r="U803" s="88"/>
      <c r="V803" s="88"/>
      <c r="W803" s="88"/>
      <c r="X803" s="88"/>
      <c r="Y803" s="88"/>
      <c r="Z803" s="88"/>
      <c r="AA803" s="88"/>
      <c r="AB803" s="128"/>
      <c r="AC803" s="128"/>
      <c r="AD803" s="128"/>
      <c r="AE803" s="128"/>
      <c r="AF803" s="128"/>
      <c r="AG803" s="128"/>
      <c r="AH803" s="127"/>
    </row>
    <row r="804" spans="1:34" ht="13.2">
      <c r="A804" s="88"/>
      <c r="B804" s="88"/>
      <c r="C804" s="88"/>
      <c r="D804" s="88"/>
      <c r="E804" s="88"/>
      <c r="F804" s="88"/>
      <c r="G804" s="88"/>
      <c r="H804" s="88"/>
      <c r="I804" s="88"/>
      <c r="J804" s="88"/>
      <c r="K804" s="88"/>
      <c r="L804" s="88"/>
      <c r="M804" s="88"/>
      <c r="N804" s="88"/>
      <c r="O804" s="88"/>
      <c r="P804" s="88"/>
      <c r="Q804" s="88"/>
      <c r="R804" s="88"/>
      <c r="S804" s="88"/>
      <c r="T804" s="88"/>
      <c r="U804" s="88"/>
      <c r="V804" s="88"/>
      <c r="W804" s="88"/>
      <c r="X804" s="88"/>
      <c r="Y804" s="88"/>
      <c r="Z804" s="88"/>
      <c r="AA804" s="88"/>
      <c r="AB804" s="128"/>
      <c r="AC804" s="128"/>
      <c r="AD804" s="128"/>
      <c r="AE804" s="128"/>
      <c r="AF804" s="128"/>
      <c r="AG804" s="128"/>
      <c r="AH804" s="127"/>
    </row>
    <row r="805" spans="1:34" ht="13.2">
      <c r="A805" s="88"/>
      <c r="B805" s="88"/>
      <c r="C805" s="88"/>
      <c r="D805" s="88"/>
      <c r="E805" s="88"/>
      <c r="F805" s="88"/>
      <c r="G805" s="88"/>
      <c r="H805" s="88"/>
      <c r="I805" s="88"/>
      <c r="J805" s="88"/>
      <c r="K805" s="88"/>
      <c r="L805" s="88"/>
      <c r="M805" s="88"/>
      <c r="N805" s="88"/>
      <c r="O805" s="88"/>
      <c r="P805" s="88"/>
      <c r="Q805" s="88"/>
      <c r="R805" s="88"/>
      <c r="S805" s="88"/>
      <c r="T805" s="88"/>
      <c r="U805" s="88"/>
      <c r="V805" s="88"/>
      <c r="W805" s="88"/>
      <c r="X805" s="88"/>
      <c r="Y805" s="88"/>
      <c r="Z805" s="88"/>
      <c r="AA805" s="88"/>
      <c r="AB805" s="128"/>
      <c r="AC805" s="128"/>
      <c r="AD805" s="128"/>
      <c r="AE805" s="128"/>
      <c r="AF805" s="128"/>
      <c r="AG805" s="128"/>
      <c r="AH805" s="127"/>
    </row>
    <row r="806" spans="1:34" ht="13.2">
      <c r="A806" s="88"/>
      <c r="B806" s="88"/>
      <c r="C806" s="88"/>
      <c r="D806" s="88"/>
      <c r="E806" s="88"/>
      <c r="F806" s="88"/>
      <c r="G806" s="88"/>
      <c r="H806" s="88"/>
      <c r="I806" s="88"/>
      <c r="J806" s="88"/>
      <c r="K806" s="88"/>
      <c r="L806" s="88"/>
      <c r="M806" s="88"/>
      <c r="N806" s="88"/>
      <c r="O806" s="88"/>
      <c r="P806" s="88"/>
      <c r="Q806" s="88"/>
      <c r="R806" s="88"/>
      <c r="S806" s="88"/>
      <c r="T806" s="88"/>
      <c r="U806" s="88"/>
      <c r="V806" s="88"/>
      <c r="W806" s="88"/>
      <c r="X806" s="88"/>
      <c r="Y806" s="88"/>
      <c r="Z806" s="88"/>
      <c r="AA806" s="88"/>
      <c r="AB806" s="128"/>
      <c r="AC806" s="128"/>
      <c r="AD806" s="128"/>
      <c r="AE806" s="128"/>
      <c r="AF806" s="128"/>
      <c r="AG806" s="128"/>
      <c r="AH806" s="127"/>
    </row>
    <row r="807" spans="1:34" ht="13.2">
      <c r="A807" s="88"/>
      <c r="B807" s="88"/>
      <c r="C807" s="88"/>
      <c r="D807" s="88"/>
      <c r="E807" s="88"/>
      <c r="F807" s="88"/>
      <c r="G807" s="88"/>
      <c r="H807" s="88"/>
      <c r="I807" s="88"/>
      <c r="J807" s="88"/>
      <c r="K807" s="88"/>
      <c r="L807" s="88"/>
      <c r="M807" s="88"/>
      <c r="N807" s="88"/>
      <c r="O807" s="88"/>
      <c r="P807" s="88"/>
      <c r="Q807" s="88"/>
      <c r="R807" s="88"/>
      <c r="S807" s="88"/>
      <c r="T807" s="88"/>
      <c r="U807" s="88"/>
      <c r="V807" s="88"/>
      <c r="W807" s="88"/>
      <c r="X807" s="88"/>
      <c r="Y807" s="88"/>
      <c r="Z807" s="88"/>
      <c r="AA807" s="88"/>
      <c r="AB807" s="128"/>
      <c r="AC807" s="128"/>
      <c r="AD807" s="128"/>
      <c r="AE807" s="128"/>
      <c r="AF807" s="128"/>
      <c r="AG807" s="128"/>
      <c r="AH807" s="127"/>
    </row>
    <row r="808" spans="1:34" ht="13.2">
      <c r="A808" s="88"/>
      <c r="B808" s="88"/>
      <c r="C808" s="88"/>
      <c r="D808" s="88"/>
      <c r="E808" s="88"/>
      <c r="F808" s="88"/>
      <c r="G808" s="88"/>
      <c r="H808" s="88"/>
      <c r="I808" s="88"/>
      <c r="J808" s="88"/>
      <c r="K808" s="88"/>
      <c r="L808" s="88"/>
      <c r="M808" s="88"/>
      <c r="N808" s="88"/>
      <c r="O808" s="88"/>
      <c r="P808" s="88"/>
      <c r="Q808" s="88"/>
      <c r="R808" s="88"/>
      <c r="S808" s="88"/>
      <c r="T808" s="88"/>
      <c r="U808" s="88"/>
      <c r="V808" s="88"/>
      <c r="W808" s="88"/>
      <c r="X808" s="88"/>
      <c r="Y808" s="88"/>
      <c r="Z808" s="88"/>
      <c r="AA808" s="88"/>
      <c r="AB808" s="128"/>
      <c r="AC808" s="128"/>
      <c r="AD808" s="128"/>
      <c r="AE808" s="128"/>
      <c r="AF808" s="128"/>
      <c r="AG808" s="128"/>
      <c r="AH808" s="127"/>
    </row>
    <row r="809" spans="1:34" ht="13.2">
      <c r="A809" s="88"/>
      <c r="B809" s="88"/>
      <c r="C809" s="88"/>
      <c r="D809" s="88"/>
      <c r="E809" s="88"/>
      <c r="F809" s="88"/>
      <c r="G809" s="88"/>
      <c r="H809" s="88"/>
      <c r="I809" s="88"/>
      <c r="J809" s="88"/>
      <c r="K809" s="88"/>
      <c r="L809" s="88"/>
      <c r="M809" s="88"/>
      <c r="N809" s="88"/>
      <c r="O809" s="88"/>
      <c r="P809" s="88"/>
      <c r="Q809" s="88"/>
      <c r="R809" s="88"/>
      <c r="S809" s="88"/>
      <c r="T809" s="88"/>
      <c r="U809" s="88"/>
      <c r="V809" s="88"/>
      <c r="W809" s="88"/>
      <c r="X809" s="88"/>
      <c r="Y809" s="88"/>
      <c r="Z809" s="88"/>
      <c r="AA809" s="88"/>
      <c r="AB809" s="128"/>
      <c r="AC809" s="128"/>
      <c r="AD809" s="128"/>
      <c r="AE809" s="128"/>
      <c r="AF809" s="128"/>
      <c r="AG809" s="128"/>
      <c r="AH809" s="127"/>
    </row>
    <row r="810" spans="1:34" ht="13.2">
      <c r="A810" s="88"/>
      <c r="B810" s="88"/>
      <c r="C810" s="88"/>
      <c r="D810" s="88"/>
      <c r="E810" s="88"/>
      <c r="F810" s="88"/>
      <c r="G810" s="88"/>
      <c r="H810" s="88"/>
      <c r="I810" s="88"/>
      <c r="J810" s="88"/>
      <c r="K810" s="88"/>
      <c r="L810" s="88"/>
      <c r="M810" s="88"/>
      <c r="N810" s="88"/>
      <c r="O810" s="88"/>
      <c r="P810" s="88"/>
      <c r="Q810" s="88"/>
      <c r="R810" s="88"/>
      <c r="S810" s="88"/>
      <c r="T810" s="88"/>
      <c r="U810" s="88"/>
      <c r="V810" s="88"/>
      <c r="W810" s="88"/>
      <c r="X810" s="88"/>
      <c r="Y810" s="88"/>
      <c r="Z810" s="88"/>
      <c r="AA810" s="88"/>
      <c r="AB810" s="128"/>
      <c r="AC810" s="128"/>
      <c r="AD810" s="128"/>
      <c r="AE810" s="128"/>
      <c r="AF810" s="128"/>
      <c r="AG810" s="128"/>
      <c r="AH810" s="127"/>
    </row>
    <row r="811" spans="1:34" ht="13.2">
      <c r="A811" s="88"/>
      <c r="B811" s="88"/>
      <c r="C811" s="88"/>
      <c r="D811" s="88"/>
      <c r="E811" s="88"/>
      <c r="F811" s="88"/>
      <c r="G811" s="88"/>
      <c r="H811" s="88"/>
      <c r="I811" s="88"/>
      <c r="J811" s="88"/>
      <c r="K811" s="88"/>
      <c r="L811" s="88"/>
      <c r="M811" s="88"/>
      <c r="N811" s="88"/>
      <c r="O811" s="88"/>
      <c r="P811" s="88"/>
      <c r="Q811" s="88"/>
      <c r="R811" s="88"/>
      <c r="S811" s="88"/>
      <c r="T811" s="88"/>
      <c r="U811" s="88"/>
      <c r="V811" s="88"/>
      <c r="W811" s="88"/>
      <c r="X811" s="88"/>
      <c r="Y811" s="88"/>
      <c r="Z811" s="88"/>
      <c r="AA811" s="88"/>
      <c r="AB811" s="128"/>
      <c r="AC811" s="128"/>
      <c r="AD811" s="128"/>
      <c r="AE811" s="128"/>
      <c r="AF811" s="128"/>
      <c r="AG811" s="128"/>
      <c r="AH811" s="127"/>
    </row>
    <row r="812" spans="1:34" ht="13.2">
      <c r="A812" s="88"/>
      <c r="B812" s="88"/>
      <c r="C812" s="88"/>
      <c r="D812" s="88"/>
      <c r="E812" s="88"/>
      <c r="F812" s="88"/>
      <c r="G812" s="88"/>
      <c r="H812" s="88"/>
      <c r="I812" s="88"/>
      <c r="J812" s="88"/>
      <c r="K812" s="88"/>
      <c r="L812" s="88"/>
      <c r="M812" s="88"/>
      <c r="N812" s="88"/>
      <c r="O812" s="88"/>
      <c r="P812" s="88"/>
      <c r="Q812" s="88"/>
      <c r="R812" s="88"/>
      <c r="S812" s="88"/>
      <c r="T812" s="88"/>
      <c r="U812" s="88"/>
      <c r="V812" s="88"/>
      <c r="W812" s="88"/>
      <c r="X812" s="88"/>
      <c r="Y812" s="88"/>
      <c r="Z812" s="88"/>
      <c r="AA812" s="88"/>
      <c r="AB812" s="128"/>
      <c r="AC812" s="128"/>
      <c r="AD812" s="128"/>
      <c r="AE812" s="128"/>
      <c r="AF812" s="128"/>
      <c r="AG812" s="128"/>
      <c r="AH812" s="127"/>
    </row>
    <row r="813" spans="1:34" ht="13.2">
      <c r="A813" s="88"/>
      <c r="B813" s="88"/>
      <c r="C813" s="88"/>
      <c r="D813" s="88"/>
      <c r="E813" s="88"/>
      <c r="F813" s="88"/>
      <c r="G813" s="88"/>
      <c r="H813" s="88"/>
      <c r="I813" s="88"/>
      <c r="J813" s="88"/>
      <c r="K813" s="88"/>
      <c r="L813" s="88"/>
      <c r="M813" s="88"/>
      <c r="N813" s="88"/>
      <c r="O813" s="88"/>
      <c r="P813" s="88"/>
      <c r="Q813" s="88"/>
      <c r="R813" s="88"/>
      <c r="S813" s="88"/>
      <c r="T813" s="88"/>
      <c r="U813" s="88"/>
      <c r="V813" s="88"/>
      <c r="W813" s="88"/>
      <c r="X813" s="88"/>
      <c r="Y813" s="88"/>
      <c r="Z813" s="88"/>
      <c r="AA813" s="88"/>
      <c r="AB813" s="128"/>
      <c r="AC813" s="128"/>
      <c r="AD813" s="128"/>
      <c r="AE813" s="128"/>
      <c r="AF813" s="128"/>
      <c r="AG813" s="128"/>
      <c r="AH813" s="127"/>
    </row>
    <row r="814" spans="1:34" ht="13.2">
      <c r="A814" s="88"/>
      <c r="B814" s="88"/>
      <c r="C814" s="88"/>
      <c r="D814" s="88"/>
      <c r="E814" s="88"/>
      <c r="F814" s="88"/>
      <c r="G814" s="88"/>
      <c r="H814" s="88"/>
      <c r="I814" s="88"/>
      <c r="J814" s="88"/>
      <c r="K814" s="88"/>
      <c r="L814" s="88"/>
      <c r="M814" s="88"/>
      <c r="N814" s="88"/>
      <c r="O814" s="88"/>
      <c r="P814" s="88"/>
      <c r="Q814" s="88"/>
      <c r="R814" s="88"/>
      <c r="S814" s="88"/>
      <c r="T814" s="88"/>
      <c r="U814" s="88"/>
      <c r="V814" s="88"/>
      <c r="W814" s="88"/>
      <c r="X814" s="88"/>
      <c r="Y814" s="88"/>
      <c r="Z814" s="88"/>
      <c r="AA814" s="88"/>
      <c r="AB814" s="128"/>
      <c r="AC814" s="128"/>
      <c r="AD814" s="128"/>
      <c r="AE814" s="128"/>
      <c r="AF814" s="128"/>
      <c r="AG814" s="128"/>
      <c r="AH814" s="127"/>
    </row>
    <row r="815" spans="1:34" ht="13.2">
      <c r="A815" s="88"/>
      <c r="B815" s="88"/>
      <c r="C815" s="88"/>
      <c r="D815" s="88"/>
      <c r="E815" s="88"/>
      <c r="F815" s="88"/>
      <c r="G815" s="88"/>
      <c r="H815" s="88"/>
      <c r="I815" s="88"/>
      <c r="J815" s="88"/>
      <c r="K815" s="88"/>
      <c r="L815" s="88"/>
      <c r="M815" s="88"/>
      <c r="N815" s="88"/>
      <c r="O815" s="88"/>
      <c r="P815" s="88"/>
      <c r="Q815" s="88"/>
      <c r="R815" s="88"/>
      <c r="S815" s="88"/>
      <c r="T815" s="88"/>
      <c r="U815" s="88"/>
      <c r="V815" s="88"/>
      <c r="W815" s="88"/>
      <c r="X815" s="88"/>
      <c r="Y815" s="88"/>
      <c r="Z815" s="88"/>
      <c r="AA815" s="88"/>
      <c r="AB815" s="128"/>
      <c r="AC815" s="128"/>
      <c r="AD815" s="128"/>
      <c r="AE815" s="128"/>
      <c r="AF815" s="128"/>
      <c r="AG815" s="128"/>
      <c r="AH815" s="127"/>
    </row>
    <row r="816" spans="1:34" ht="13.2">
      <c r="A816" s="88"/>
      <c r="B816" s="88"/>
      <c r="C816" s="88"/>
      <c r="D816" s="88"/>
      <c r="E816" s="88"/>
      <c r="F816" s="88"/>
      <c r="G816" s="88"/>
      <c r="H816" s="88"/>
      <c r="I816" s="88"/>
      <c r="J816" s="88"/>
      <c r="K816" s="88"/>
      <c r="L816" s="88"/>
      <c r="M816" s="88"/>
      <c r="N816" s="88"/>
      <c r="O816" s="88"/>
      <c r="P816" s="88"/>
      <c r="Q816" s="88"/>
      <c r="R816" s="88"/>
      <c r="S816" s="88"/>
      <c r="T816" s="88"/>
      <c r="U816" s="88"/>
      <c r="V816" s="88"/>
      <c r="W816" s="88"/>
      <c r="X816" s="88"/>
      <c r="Y816" s="88"/>
      <c r="Z816" s="88"/>
      <c r="AA816" s="88"/>
      <c r="AB816" s="128"/>
      <c r="AC816" s="128"/>
      <c r="AD816" s="128"/>
      <c r="AE816" s="128"/>
      <c r="AF816" s="128"/>
      <c r="AG816" s="128"/>
      <c r="AH816" s="127"/>
    </row>
    <row r="817" spans="1:34" ht="13.2">
      <c r="A817" s="88"/>
      <c r="B817" s="88"/>
      <c r="C817" s="88"/>
      <c r="D817" s="88"/>
      <c r="E817" s="88"/>
      <c r="F817" s="88"/>
      <c r="G817" s="88"/>
      <c r="H817" s="88"/>
      <c r="I817" s="88"/>
      <c r="J817" s="88"/>
      <c r="K817" s="88"/>
      <c r="L817" s="88"/>
      <c r="M817" s="88"/>
      <c r="N817" s="88"/>
      <c r="O817" s="88"/>
      <c r="P817" s="88"/>
      <c r="Q817" s="88"/>
      <c r="R817" s="88"/>
      <c r="S817" s="88"/>
      <c r="T817" s="88"/>
      <c r="U817" s="88"/>
      <c r="V817" s="88"/>
      <c r="W817" s="88"/>
      <c r="X817" s="88"/>
      <c r="Y817" s="88"/>
      <c r="Z817" s="88"/>
      <c r="AA817" s="88"/>
      <c r="AB817" s="128"/>
      <c r="AC817" s="128"/>
      <c r="AD817" s="128"/>
      <c r="AE817" s="128"/>
      <c r="AF817" s="128"/>
      <c r="AG817" s="128"/>
      <c r="AH817" s="127"/>
    </row>
    <row r="818" spans="1:34" ht="13.2">
      <c r="A818" s="88"/>
      <c r="B818" s="88"/>
      <c r="C818" s="88"/>
      <c r="D818" s="88"/>
      <c r="E818" s="88"/>
      <c r="F818" s="88"/>
      <c r="G818" s="88"/>
      <c r="H818" s="88"/>
      <c r="I818" s="88"/>
      <c r="J818" s="88"/>
      <c r="K818" s="88"/>
      <c r="L818" s="88"/>
      <c r="M818" s="88"/>
      <c r="N818" s="88"/>
      <c r="O818" s="88"/>
      <c r="P818" s="88"/>
      <c r="Q818" s="88"/>
      <c r="R818" s="88"/>
      <c r="S818" s="88"/>
      <c r="T818" s="88"/>
      <c r="U818" s="88"/>
      <c r="V818" s="88"/>
      <c r="W818" s="88"/>
      <c r="X818" s="88"/>
      <c r="Y818" s="88"/>
      <c r="Z818" s="88"/>
      <c r="AA818" s="88"/>
      <c r="AB818" s="128"/>
      <c r="AC818" s="128"/>
      <c r="AD818" s="128"/>
      <c r="AE818" s="128"/>
      <c r="AF818" s="128"/>
      <c r="AG818" s="128"/>
      <c r="AH818" s="127"/>
    </row>
    <row r="819" spans="1:34" ht="13.2">
      <c r="A819" s="88"/>
      <c r="B819" s="88"/>
      <c r="C819" s="88"/>
      <c r="D819" s="88"/>
      <c r="E819" s="88"/>
      <c r="F819" s="88"/>
      <c r="G819" s="88"/>
      <c r="H819" s="88"/>
      <c r="I819" s="88"/>
      <c r="J819" s="88"/>
      <c r="K819" s="88"/>
      <c r="L819" s="88"/>
      <c r="M819" s="88"/>
      <c r="N819" s="88"/>
      <c r="O819" s="88"/>
      <c r="P819" s="88"/>
      <c r="Q819" s="88"/>
      <c r="R819" s="88"/>
      <c r="S819" s="88"/>
      <c r="T819" s="88"/>
      <c r="U819" s="88"/>
      <c r="V819" s="88"/>
      <c r="W819" s="88"/>
      <c r="X819" s="88"/>
      <c r="Y819" s="88"/>
      <c r="Z819" s="88"/>
      <c r="AA819" s="88"/>
      <c r="AB819" s="128"/>
      <c r="AC819" s="128"/>
      <c r="AD819" s="128"/>
      <c r="AE819" s="128"/>
      <c r="AF819" s="128"/>
      <c r="AG819" s="128"/>
      <c r="AH819" s="127"/>
    </row>
    <row r="820" spans="1:34" ht="13.2">
      <c r="A820" s="88"/>
      <c r="B820" s="88"/>
      <c r="C820" s="88"/>
      <c r="D820" s="88"/>
      <c r="E820" s="88"/>
      <c r="F820" s="88"/>
      <c r="G820" s="88"/>
      <c r="H820" s="88"/>
      <c r="I820" s="88"/>
      <c r="J820" s="88"/>
      <c r="K820" s="88"/>
      <c r="L820" s="88"/>
      <c r="M820" s="88"/>
      <c r="N820" s="88"/>
      <c r="O820" s="88"/>
      <c r="P820" s="88"/>
      <c r="Q820" s="88"/>
      <c r="R820" s="88"/>
      <c r="S820" s="88"/>
      <c r="T820" s="88"/>
      <c r="U820" s="88"/>
      <c r="V820" s="88"/>
      <c r="W820" s="88"/>
      <c r="X820" s="88"/>
      <c r="Y820" s="88"/>
      <c r="Z820" s="88"/>
      <c r="AA820" s="88"/>
      <c r="AB820" s="128"/>
      <c r="AC820" s="128"/>
      <c r="AD820" s="128"/>
      <c r="AE820" s="128"/>
      <c r="AF820" s="128"/>
      <c r="AG820" s="128"/>
      <c r="AH820" s="127"/>
    </row>
    <row r="821" spans="1:34" ht="13.2">
      <c r="A821" s="88"/>
      <c r="B821" s="88"/>
      <c r="C821" s="88"/>
      <c r="D821" s="88"/>
      <c r="E821" s="88"/>
      <c r="F821" s="88"/>
      <c r="G821" s="88"/>
      <c r="H821" s="88"/>
      <c r="I821" s="88"/>
      <c r="J821" s="88"/>
      <c r="K821" s="88"/>
      <c r="L821" s="88"/>
      <c r="M821" s="88"/>
      <c r="N821" s="88"/>
      <c r="O821" s="88"/>
      <c r="P821" s="88"/>
      <c r="Q821" s="88"/>
      <c r="R821" s="88"/>
      <c r="S821" s="88"/>
      <c r="T821" s="88"/>
      <c r="U821" s="88"/>
      <c r="V821" s="88"/>
      <c r="W821" s="88"/>
      <c r="X821" s="88"/>
      <c r="Y821" s="88"/>
      <c r="Z821" s="88"/>
      <c r="AA821" s="88"/>
      <c r="AB821" s="128"/>
      <c r="AC821" s="128"/>
      <c r="AD821" s="128"/>
      <c r="AE821" s="128"/>
      <c r="AF821" s="128"/>
      <c r="AG821" s="128"/>
      <c r="AH821" s="127"/>
    </row>
    <row r="822" spans="1:34" ht="13.2">
      <c r="A822" s="88"/>
      <c r="B822" s="88"/>
      <c r="C822" s="88"/>
      <c r="D822" s="88"/>
      <c r="E822" s="88"/>
      <c r="F822" s="88"/>
      <c r="G822" s="88"/>
      <c r="H822" s="88"/>
      <c r="I822" s="88"/>
      <c r="J822" s="88"/>
      <c r="K822" s="88"/>
      <c r="L822" s="88"/>
      <c r="M822" s="88"/>
      <c r="N822" s="88"/>
      <c r="O822" s="88"/>
      <c r="P822" s="88"/>
      <c r="Q822" s="88"/>
      <c r="R822" s="88"/>
      <c r="S822" s="88"/>
      <c r="T822" s="88"/>
      <c r="U822" s="88"/>
      <c r="V822" s="88"/>
      <c r="W822" s="88"/>
      <c r="X822" s="88"/>
      <c r="Y822" s="88"/>
      <c r="Z822" s="88"/>
      <c r="AA822" s="88"/>
      <c r="AB822" s="128"/>
      <c r="AC822" s="128"/>
      <c r="AD822" s="128"/>
      <c r="AE822" s="128"/>
      <c r="AF822" s="128"/>
      <c r="AG822" s="128"/>
      <c r="AH822" s="127"/>
    </row>
    <row r="823" spans="1:34" ht="13.2">
      <c r="A823" s="88"/>
      <c r="B823" s="88"/>
      <c r="C823" s="88"/>
      <c r="D823" s="88"/>
      <c r="E823" s="88"/>
      <c r="F823" s="88"/>
      <c r="G823" s="88"/>
      <c r="H823" s="88"/>
      <c r="I823" s="88"/>
      <c r="J823" s="88"/>
      <c r="K823" s="88"/>
      <c r="L823" s="88"/>
      <c r="M823" s="88"/>
      <c r="N823" s="88"/>
      <c r="O823" s="88"/>
      <c r="P823" s="88"/>
      <c r="Q823" s="88"/>
      <c r="R823" s="88"/>
      <c r="S823" s="88"/>
      <c r="T823" s="88"/>
      <c r="U823" s="88"/>
      <c r="V823" s="88"/>
      <c r="W823" s="88"/>
      <c r="X823" s="88"/>
      <c r="Y823" s="88"/>
      <c r="Z823" s="88"/>
      <c r="AA823" s="88"/>
      <c r="AB823" s="128"/>
      <c r="AC823" s="128"/>
      <c r="AD823" s="128"/>
      <c r="AE823" s="128"/>
      <c r="AF823" s="128"/>
      <c r="AG823" s="128"/>
      <c r="AH823" s="127"/>
    </row>
    <row r="824" spans="1:34" ht="13.2">
      <c r="A824" s="88"/>
      <c r="B824" s="88"/>
      <c r="C824" s="88"/>
      <c r="D824" s="88"/>
      <c r="E824" s="88"/>
      <c r="F824" s="88"/>
      <c r="G824" s="88"/>
      <c r="H824" s="88"/>
      <c r="I824" s="88"/>
      <c r="J824" s="88"/>
      <c r="K824" s="88"/>
      <c r="L824" s="88"/>
      <c r="M824" s="88"/>
      <c r="N824" s="88"/>
      <c r="O824" s="88"/>
      <c r="P824" s="88"/>
      <c r="Q824" s="88"/>
      <c r="R824" s="88"/>
      <c r="S824" s="88"/>
      <c r="T824" s="88"/>
      <c r="U824" s="88"/>
      <c r="V824" s="88"/>
      <c r="W824" s="88"/>
      <c r="X824" s="88"/>
      <c r="Y824" s="88"/>
      <c r="Z824" s="88"/>
      <c r="AA824" s="88"/>
      <c r="AB824" s="128"/>
      <c r="AC824" s="128"/>
      <c r="AD824" s="128"/>
      <c r="AE824" s="128"/>
      <c r="AF824" s="128"/>
      <c r="AG824" s="128"/>
      <c r="AH824" s="127"/>
    </row>
    <row r="825" spans="1:34" ht="13.2">
      <c r="A825" s="88"/>
      <c r="B825" s="88"/>
      <c r="C825" s="88"/>
      <c r="D825" s="88"/>
      <c r="E825" s="88"/>
      <c r="F825" s="88"/>
      <c r="G825" s="88"/>
      <c r="H825" s="88"/>
      <c r="I825" s="88"/>
      <c r="J825" s="88"/>
      <c r="K825" s="88"/>
      <c r="L825" s="88"/>
      <c r="M825" s="88"/>
      <c r="N825" s="88"/>
      <c r="O825" s="88"/>
      <c r="P825" s="88"/>
      <c r="Q825" s="88"/>
      <c r="R825" s="88"/>
      <c r="S825" s="88"/>
      <c r="T825" s="88"/>
      <c r="U825" s="88"/>
      <c r="V825" s="88"/>
      <c r="W825" s="88"/>
      <c r="X825" s="88"/>
      <c r="Y825" s="88"/>
      <c r="Z825" s="88"/>
      <c r="AA825" s="88"/>
      <c r="AB825" s="128"/>
      <c r="AC825" s="128"/>
      <c r="AD825" s="128"/>
      <c r="AE825" s="128"/>
      <c r="AF825" s="128"/>
      <c r="AG825" s="128"/>
      <c r="AH825" s="127"/>
    </row>
    <row r="826" spans="1:34" ht="13.2">
      <c r="A826" s="88"/>
      <c r="B826" s="88"/>
      <c r="C826" s="88"/>
      <c r="D826" s="88"/>
      <c r="E826" s="88"/>
      <c r="F826" s="88"/>
      <c r="G826" s="88"/>
      <c r="H826" s="88"/>
      <c r="I826" s="88"/>
      <c r="J826" s="88"/>
      <c r="K826" s="88"/>
      <c r="L826" s="88"/>
      <c r="M826" s="88"/>
      <c r="N826" s="88"/>
      <c r="O826" s="88"/>
      <c r="P826" s="88"/>
      <c r="Q826" s="88"/>
      <c r="R826" s="88"/>
      <c r="S826" s="88"/>
      <c r="T826" s="88"/>
      <c r="U826" s="88"/>
      <c r="V826" s="88"/>
      <c r="W826" s="88"/>
      <c r="X826" s="88"/>
      <c r="Y826" s="88"/>
      <c r="Z826" s="88"/>
      <c r="AA826" s="88"/>
      <c r="AB826" s="128"/>
      <c r="AC826" s="128"/>
      <c r="AD826" s="128"/>
      <c r="AE826" s="128"/>
      <c r="AF826" s="128"/>
      <c r="AG826" s="128"/>
      <c r="AH826" s="127"/>
    </row>
    <row r="827" spans="1:34" ht="13.2">
      <c r="A827" s="88"/>
      <c r="B827" s="88"/>
      <c r="C827" s="88"/>
      <c r="D827" s="88"/>
      <c r="E827" s="88"/>
      <c r="F827" s="88"/>
      <c r="G827" s="88"/>
      <c r="H827" s="88"/>
      <c r="I827" s="88"/>
      <c r="J827" s="88"/>
      <c r="K827" s="88"/>
      <c r="L827" s="88"/>
      <c r="M827" s="88"/>
      <c r="N827" s="88"/>
      <c r="O827" s="88"/>
      <c r="P827" s="88"/>
      <c r="Q827" s="88"/>
      <c r="R827" s="88"/>
      <c r="S827" s="88"/>
      <c r="T827" s="88"/>
      <c r="U827" s="88"/>
      <c r="V827" s="88"/>
      <c r="W827" s="88"/>
      <c r="X827" s="88"/>
      <c r="Y827" s="88"/>
      <c r="Z827" s="88"/>
      <c r="AA827" s="88"/>
      <c r="AB827" s="128"/>
      <c r="AC827" s="128"/>
      <c r="AD827" s="128"/>
      <c r="AE827" s="128"/>
      <c r="AF827" s="128"/>
      <c r="AG827" s="128"/>
      <c r="AH827" s="127"/>
    </row>
    <row r="828" spans="1:34" ht="13.2">
      <c r="A828" s="88"/>
      <c r="B828" s="88"/>
      <c r="C828" s="88"/>
      <c r="D828" s="88"/>
      <c r="E828" s="88"/>
      <c r="F828" s="88"/>
      <c r="G828" s="88"/>
      <c r="H828" s="88"/>
      <c r="I828" s="88"/>
      <c r="J828" s="88"/>
      <c r="K828" s="88"/>
      <c r="L828" s="88"/>
      <c r="M828" s="88"/>
      <c r="N828" s="88"/>
      <c r="O828" s="88"/>
      <c r="P828" s="88"/>
      <c r="Q828" s="88"/>
      <c r="R828" s="88"/>
      <c r="S828" s="88"/>
      <c r="T828" s="88"/>
      <c r="U828" s="88"/>
      <c r="V828" s="88"/>
      <c r="W828" s="88"/>
      <c r="X828" s="88"/>
      <c r="Y828" s="88"/>
      <c r="Z828" s="88"/>
      <c r="AA828" s="88"/>
      <c r="AB828" s="128"/>
      <c r="AC828" s="128"/>
      <c r="AD828" s="128"/>
      <c r="AE828" s="128"/>
      <c r="AF828" s="128"/>
      <c r="AG828" s="128"/>
      <c r="AH828" s="127"/>
    </row>
    <row r="829" spans="1:34" ht="13.2">
      <c r="A829" s="88"/>
      <c r="B829" s="88"/>
      <c r="C829" s="88"/>
      <c r="D829" s="88"/>
      <c r="E829" s="88"/>
      <c r="F829" s="88"/>
      <c r="G829" s="88"/>
      <c r="H829" s="88"/>
      <c r="I829" s="88"/>
      <c r="J829" s="88"/>
      <c r="K829" s="88"/>
      <c r="L829" s="88"/>
      <c r="M829" s="88"/>
      <c r="N829" s="88"/>
      <c r="O829" s="88"/>
      <c r="P829" s="88"/>
      <c r="Q829" s="88"/>
      <c r="R829" s="88"/>
      <c r="S829" s="88"/>
      <c r="T829" s="88"/>
      <c r="U829" s="88"/>
      <c r="V829" s="88"/>
      <c r="W829" s="88"/>
      <c r="X829" s="88"/>
      <c r="Y829" s="88"/>
      <c r="Z829" s="88"/>
      <c r="AA829" s="88"/>
      <c r="AB829" s="128"/>
      <c r="AC829" s="128"/>
      <c r="AD829" s="128"/>
      <c r="AE829" s="128"/>
      <c r="AF829" s="128"/>
      <c r="AG829" s="128"/>
      <c r="AH829" s="127"/>
    </row>
    <row r="830" spans="1:34" ht="13.2">
      <c r="A830" s="88"/>
      <c r="B830" s="88"/>
      <c r="C830" s="88"/>
      <c r="D830" s="88"/>
      <c r="E830" s="88"/>
      <c r="F830" s="88"/>
      <c r="G830" s="88"/>
      <c r="H830" s="88"/>
      <c r="I830" s="88"/>
      <c r="J830" s="88"/>
      <c r="K830" s="88"/>
      <c r="L830" s="88"/>
      <c r="M830" s="88"/>
      <c r="N830" s="88"/>
      <c r="O830" s="88"/>
      <c r="P830" s="88"/>
      <c r="Q830" s="88"/>
      <c r="R830" s="88"/>
      <c r="S830" s="88"/>
      <c r="T830" s="88"/>
      <c r="U830" s="88"/>
      <c r="V830" s="88"/>
      <c r="W830" s="88"/>
      <c r="X830" s="88"/>
      <c r="Y830" s="88"/>
      <c r="Z830" s="88"/>
      <c r="AA830" s="88"/>
      <c r="AB830" s="128"/>
      <c r="AC830" s="128"/>
      <c r="AD830" s="128"/>
      <c r="AE830" s="128"/>
      <c r="AF830" s="128"/>
      <c r="AG830" s="128"/>
      <c r="AH830" s="127"/>
    </row>
    <row r="831" spans="1:34" ht="13.2">
      <c r="A831" s="88"/>
      <c r="B831" s="88"/>
      <c r="C831" s="88"/>
      <c r="D831" s="88"/>
      <c r="E831" s="88"/>
      <c r="F831" s="88"/>
      <c r="G831" s="88"/>
      <c r="H831" s="88"/>
      <c r="I831" s="88"/>
      <c r="J831" s="88"/>
      <c r="K831" s="88"/>
      <c r="L831" s="88"/>
      <c r="M831" s="88"/>
      <c r="N831" s="88"/>
      <c r="O831" s="88"/>
      <c r="P831" s="88"/>
      <c r="Q831" s="88"/>
      <c r="R831" s="88"/>
      <c r="S831" s="88"/>
      <c r="T831" s="88"/>
      <c r="U831" s="88"/>
      <c r="V831" s="88"/>
      <c r="W831" s="88"/>
      <c r="X831" s="88"/>
      <c r="Y831" s="88"/>
      <c r="Z831" s="88"/>
      <c r="AA831" s="88"/>
      <c r="AB831" s="128"/>
      <c r="AC831" s="128"/>
      <c r="AD831" s="128"/>
      <c r="AE831" s="128"/>
      <c r="AF831" s="128"/>
      <c r="AG831" s="128"/>
      <c r="AH831" s="127"/>
    </row>
    <row r="832" spans="1:34" ht="13.2">
      <c r="A832" s="88"/>
      <c r="B832" s="88"/>
      <c r="C832" s="88"/>
      <c r="D832" s="88"/>
      <c r="E832" s="88"/>
      <c r="F832" s="88"/>
      <c r="G832" s="88"/>
      <c r="H832" s="88"/>
      <c r="I832" s="88"/>
      <c r="J832" s="88"/>
      <c r="K832" s="88"/>
      <c r="L832" s="88"/>
      <c r="M832" s="88"/>
      <c r="N832" s="88"/>
      <c r="O832" s="88"/>
      <c r="P832" s="88"/>
      <c r="Q832" s="88"/>
      <c r="R832" s="88"/>
      <c r="S832" s="88"/>
      <c r="T832" s="88"/>
      <c r="U832" s="88"/>
      <c r="V832" s="88"/>
      <c r="W832" s="88"/>
      <c r="X832" s="88"/>
      <c r="Y832" s="88"/>
      <c r="Z832" s="88"/>
      <c r="AA832" s="88"/>
      <c r="AB832" s="128"/>
      <c r="AC832" s="128"/>
      <c r="AD832" s="128"/>
      <c r="AE832" s="128"/>
      <c r="AF832" s="128"/>
      <c r="AG832" s="128"/>
      <c r="AH832" s="127"/>
    </row>
    <row r="833" spans="1:34" ht="13.2">
      <c r="A833" s="88"/>
      <c r="B833" s="88"/>
      <c r="C833" s="88"/>
      <c r="D833" s="88"/>
      <c r="E833" s="88"/>
      <c r="F833" s="88"/>
      <c r="G833" s="88"/>
      <c r="H833" s="88"/>
      <c r="I833" s="88"/>
      <c r="J833" s="88"/>
      <c r="K833" s="88"/>
      <c r="L833" s="88"/>
      <c r="M833" s="88"/>
      <c r="N833" s="88"/>
      <c r="O833" s="88"/>
      <c r="P833" s="88"/>
      <c r="Q833" s="88"/>
      <c r="R833" s="88"/>
      <c r="S833" s="88"/>
      <c r="T833" s="88"/>
      <c r="U833" s="88"/>
      <c r="V833" s="88"/>
      <c r="W833" s="88"/>
      <c r="X833" s="88"/>
      <c r="Y833" s="88"/>
      <c r="Z833" s="88"/>
      <c r="AA833" s="88"/>
      <c r="AB833" s="128"/>
      <c r="AC833" s="128"/>
      <c r="AD833" s="128"/>
      <c r="AE833" s="128"/>
      <c r="AF833" s="128"/>
      <c r="AG833" s="128"/>
      <c r="AH833" s="127"/>
    </row>
    <row r="834" spans="1:34" ht="13.2">
      <c r="A834" s="88"/>
      <c r="B834" s="88"/>
      <c r="C834" s="88"/>
      <c r="D834" s="88"/>
      <c r="E834" s="88"/>
      <c r="F834" s="88"/>
      <c r="G834" s="88"/>
      <c r="H834" s="88"/>
      <c r="I834" s="88"/>
      <c r="J834" s="88"/>
      <c r="K834" s="88"/>
      <c r="L834" s="88"/>
      <c r="M834" s="88"/>
      <c r="N834" s="88"/>
      <c r="O834" s="88"/>
      <c r="P834" s="88"/>
      <c r="Q834" s="88"/>
      <c r="R834" s="88"/>
      <c r="S834" s="88"/>
      <c r="T834" s="88"/>
      <c r="U834" s="88"/>
      <c r="V834" s="88"/>
      <c r="W834" s="88"/>
      <c r="X834" s="88"/>
      <c r="Y834" s="88"/>
      <c r="Z834" s="88"/>
      <c r="AA834" s="88"/>
      <c r="AB834" s="128"/>
      <c r="AC834" s="128"/>
      <c r="AD834" s="128"/>
      <c r="AE834" s="128"/>
      <c r="AF834" s="128"/>
      <c r="AG834" s="128"/>
      <c r="AH834" s="127"/>
    </row>
    <row r="835" spans="1:34" ht="13.2">
      <c r="A835" s="88"/>
      <c r="B835" s="88"/>
      <c r="C835" s="88"/>
      <c r="D835" s="88"/>
      <c r="E835" s="88"/>
      <c r="F835" s="88"/>
      <c r="G835" s="88"/>
      <c r="H835" s="88"/>
      <c r="I835" s="88"/>
      <c r="J835" s="88"/>
      <c r="K835" s="88"/>
      <c r="L835" s="88"/>
      <c r="M835" s="88"/>
      <c r="N835" s="88"/>
      <c r="O835" s="88"/>
      <c r="P835" s="88"/>
      <c r="Q835" s="88"/>
      <c r="R835" s="88"/>
      <c r="S835" s="88"/>
      <c r="T835" s="88"/>
      <c r="U835" s="88"/>
      <c r="V835" s="88"/>
      <c r="W835" s="88"/>
      <c r="X835" s="88"/>
      <c r="Y835" s="88"/>
      <c r="Z835" s="88"/>
      <c r="AA835" s="88"/>
      <c r="AB835" s="128"/>
      <c r="AC835" s="128"/>
      <c r="AD835" s="128"/>
      <c r="AE835" s="128"/>
      <c r="AF835" s="128"/>
      <c r="AG835" s="128"/>
      <c r="AH835" s="127"/>
    </row>
    <row r="836" spans="1:34" ht="13.2">
      <c r="A836" s="88"/>
      <c r="B836" s="88"/>
      <c r="C836" s="88"/>
      <c r="D836" s="88"/>
      <c r="E836" s="88"/>
      <c r="F836" s="88"/>
      <c r="G836" s="88"/>
      <c r="H836" s="88"/>
      <c r="I836" s="88"/>
      <c r="J836" s="88"/>
      <c r="K836" s="88"/>
      <c r="L836" s="88"/>
      <c r="M836" s="88"/>
      <c r="N836" s="88"/>
      <c r="O836" s="88"/>
      <c r="P836" s="88"/>
      <c r="Q836" s="88"/>
      <c r="R836" s="88"/>
      <c r="S836" s="88"/>
      <c r="T836" s="88"/>
      <c r="U836" s="88"/>
      <c r="V836" s="88"/>
      <c r="W836" s="88"/>
      <c r="X836" s="88"/>
      <c r="Y836" s="88"/>
      <c r="Z836" s="88"/>
      <c r="AA836" s="88"/>
      <c r="AB836" s="128"/>
      <c r="AC836" s="128"/>
      <c r="AD836" s="128"/>
      <c r="AE836" s="128"/>
      <c r="AF836" s="128"/>
      <c r="AG836" s="128"/>
      <c r="AH836" s="127"/>
    </row>
    <row r="837" spans="1:34" ht="13.2">
      <c r="A837" s="88"/>
      <c r="B837" s="88"/>
      <c r="C837" s="88"/>
      <c r="D837" s="88"/>
      <c r="E837" s="88"/>
      <c r="F837" s="88"/>
      <c r="G837" s="88"/>
      <c r="H837" s="88"/>
      <c r="I837" s="88"/>
      <c r="J837" s="88"/>
      <c r="K837" s="88"/>
      <c r="L837" s="88"/>
      <c r="M837" s="88"/>
      <c r="N837" s="88"/>
      <c r="O837" s="88"/>
      <c r="P837" s="88"/>
      <c r="Q837" s="88"/>
      <c r="R837" s="88"/>
      <c r="S837" s="88"/>
      <c r="T837" s="88"/>
      <c r="U837" s="88"/>
      <c r="V837" s="88"/>
      <c r="W837" s="88"/>
      <c r="X837" s="88"/>
      <c r="Y837" s="88"/>
      <c r="Z837" s="88"/>
      <c r="AA837" s="88"/>
      <c r="AB837" s="128"/>
      <c r="AC837" s="128"/>
      <c r="AD837" s="128"/>
      <c r="AE837" s="128"/>
      <c r="AF837" s="128"/>
      <c r="AG837" s="128"/>
      <c r="AH837" s="127"/>
    </row>
    <row r="838" spans="1:34" ht="13.2">
      <c r="A838" s="88"/>
      <c r="B838" s="88"/>
      <c r="C838" s="88"/>
      <c r="D838" s="88"/>
      <c r="E838" s="88"/>
      <c r="F838" s="88"/>
      <c r="G838" s="88"/>
      <c r="H838" s="88"/>
      <c r="I838" s="88"/>
      <c r="J838" s="88"/>
      <c r="K838" s="88"/>
      <c r="L838" s="88"/>
      <c r="M838" s="88"/>
      <c r="N838" s="88"/>
      <c r="O838" s="88"/>
      <c r="P838" s="88"/>
      <c r="Q838" s="88"/>
      <c r="R838" s="88"/>
      <c r="S838" s="88"/>
      <c r="T838" s="88"/>
      <c r="U838" s="88"/>
      <c r="V838" s="88"/>
      <c r="W838" s="88"/>
      <c r="X838" s="88"/>
      <c r="Y838" s="88"/>
      <c r="Z838" s="88"/>
      <c r="AA838" s="88"/>
      <c r="AB838" s="128"/>
      <c r="AC838" s="128"/>
      <c r="AD838" s="128"/>
      <c r="AE838" s="128"/>
      <c r="AF838" s="128"/>
      <c r="AG838" s="128"/>
      <c r="AH838" s="127"/>
    </row>
    <row r="839" spans="1:34" ht="13.2">
      <c r="A839" s="88"/>
      <c r="B839" s="88"/>
      <c r="C839" s="88"/>
      <c r="D839" s="88"/>
      <c r="E839" s="88"/>
      <c r="F839" s="88"/>
      <c r="G839" s="88"/>
      <c r="H839" s="88"/>
      <c r="I839" s="88"/>
      <c r="J839" s="88"/>
      <c r="K839" s="88"/>
      <c r="L839" s="88"/>
      <c r="M839" s="88"/>
      <c r="N839" s="88"/>
      <c r="O839" s="88"/>
      <c r="P839" s="88"/>
      <c r="Q839" s="88"/>
      <c r="R839" s="88"/>
      <c r="S839" s="88"/>
      <c r="T839" s="88"/>
      <c r="U839" s="88"/>
      <c r="V839" s="88"/>
      <c r="W839" s="88"/>
      <c r="X839" s="88"/>
      <c r="Y839" s="88"/>
      <c r="Z839" s="88"/>
      <c r="AA839" s="88"/>
      <c r="AB839" s="128"/>
      <c r="AC839" s="128"/>
      <c r="AD839" s="128"/>
      <c r="AE839" s="128"/>
      <c r="AF839" s="128"/>
      <c r="AG839" s="128"/>
      <c r="AH839" s="127"/>
    </row>
    <row r="840" spans="1:34" ht="13.2">
      <c r="A840" s="88"/>
      <c r="B840" s="88"/>
      <c r="C840" s="88"/>
      <c r="D840" s="88"/>
      <c r="E840" s="88"/>
      <c r="F840" s="88"/>
      <c r="G840" s="88"/>
      <c r="H840" s="88"/>
      <c r="I840" s="88"/>
      <c r="J840" s="88"/>
      <c r="K840" s="88"/>
      <c r="L840" s="88"/>
      <c r="M840" s="88"/>
      <c r="N840" s="88"/>
      <c r="O840" s="88"/>
      <c r="P840" s="88"/>
      <c r="Q840" s="88"/>
      <c r="R840" s="88"/>
      <c r="S840" s="88"/>
      <c r="T840" s="88"/>
      <c r="U840" s="88"/>
      <c r="V840" s="88"/>
      <c r="W840" s="88"/>
      <c r="X840" s="88"/>
      <c r="Y840" s="88"/>
      <c r="Z840" s="88"/>
      <c r="AA840" s="88"/>
      <c r="AB840" s="128"/>
      <c r="AC840" s="128"/>
      <c r="AD840" s="128"/>
      <c r="AE840" s="128"/>
      <c r="AF840" s="128"/>
      <c r="AG840" s="128"/>
      <c r="AH840" s="127"/>
    </row>
    <row r="841" spans="1:34" ht="13.2">
      <c r="A841" s="88"/>
      <c r="B841" s="88"/>
      <c r="C841" s="88"/>
      <c r="D841" s="88"/>
      <c r="E841" s="88"/>
      <c r="F841" s="88"/>
      <c r="G841" s="88"/>
      <c r="H841" s="88"/>
      <c r="I841" s="88"/>
      <c r="J841" s="88"/>
      <c r="K841" s="88"/>
      <c r="L841" s="88"/>
      <c r="M841" s="88"/>
      <c r="N841" s="88"/>
      <c r="O841" s="88"/>
      <c r="P841" s="88"/>
      <c r="Q841" s="88"/>
      <c r="R841" s="88"/>
      <c r="S841" s="88"/>
      <c r="T841" s="88"/>
      <c r="U841" s="88"/>
      <c r="V841" s="88"/>
      <c r="W841" s="88"/>
      <c r="X841" s="88"/>
      <c r="Y841" s="88"/>
      <c r="Z841" s="88"/>
      <c r="AA841" s="88"/>
      <c r="AB841" s="128"/>
      <c r="AC841" s="128"/>
      <c r="AD841" s="128"/>
      <c r="AE841" s="128"/>
      <c r="AF841" s="128"/>
      <c r="AG841" s="128"/>
      <c r="AH841" s="127"/>
    </row>
    <row r="842" spans="1:34" ht="13.2">
      <c r="A842" s="88"/>
      <c r="B842" s="88"/>
      <c r="C842" s="88"/>
      <c r="D842" s="88"/>
      <c r="E842" s="88"/>
      <c r="F842" s="88"/>
      <c r="G842" s="88"/>
      <c r="H842" s="88"/>
      <c r="I842" s="88"/>
      <c r="J842" s="88"/>
      <c r="K842" s="88"/>
      <c r="L842" s="88"/>
      <c r="M842" s="88"/>
      <c r="N842" s="88"/>
      <c r="O842" s="88"/>
      <c r="P842" s="88"/>
      <c r="Q842" s="88"/>
      <c r="R842" s="88"/>
      <c r="S842" s="88"/>
      <c r="T842" s="88"/>
      <c r="U842" s="88"/>
      <c r="V842" s="88"/>
      <c r="W842" s="88"/>
      <c r="X842" s="88"/>
      <c r="Y842" s="88"/>
      <c r="Z842" s="88"/>
      <c r="AA842" s="88"/>
      <c r="AB842" s="128"/>
      <c r="AC842" s="128"/>
      <c r="AD842" s="128"/>
      <c r="AE842" s="128"/>
      <c r="AF842" s="128"/>
      <c r="AG842" s="128"/>
      <c r="AH842" s="127"/>
    </row>
    <row r="843" spans="1:34" ht="13.2">
      <c r="A843" s="88"/>
      <c r="B843" s="88"/>
      <c r="C843" s="88"/>
      <c r="D843" s="88"/>
      <c r="E843" s="88"/>
      <c r="F843" s="88"/>
      <c r="G843" s="88"/>
      <c r="H843" s="88"/>
      <c r="I843" s="88"/>
      <c r="J843" s="88"/>
      <c r="K843" s="88"/>
      <c r="L843" s="88"/>
      <c r="M843" s="88"/>
      <c r="N843" s="88"/>
      <c r="O843" s="88"/>
      <c r="P843" s="88"/>
      <c r="Q843" s="88"/>
      <c r="R843" s="88"/>
      <c r="S843" s="88"/>
      <c r="T843" s="88"/>
      <c r="U843" s="88"/>
      <c r="V843" s="88"/>
      <c r="W843" s="88"/>
      <c r="X843" s="88"/>
      <c r="Y843" s="88"/>
      <c r="Z843" s="88"/>
      <c r="AA843" s="88"/>
      <c r="AB843" s="128"/>
      <c r="AC843" s="128"/>
      <c r="AD843" s="128"/>
      <c r="AE843" s="128"/>
      <c r="AF843" s="128"/>
      <c r="AG843" s="128"/>
      <c r="AH843" s="127"/>
    </row>
    <row r="844" spans="1:34" ht="13.2">
      <c r="A844" s="88"/>
      <c r="B844" s="88"/>
      <c r="C844" s="88"/>
      <c r="D844" s="88"/>
      <c r="E844" s="88"/>
      <c r="F844" s="88"/>
      <c r="G844" s="88"/>
      <c r="H844" s="88"/>
      <c r="I844" s="88"/>
      <c r="J844" s="88"/>
      <c r="K844" s="88"/>
      <c r="L844" s="88"/>
      <c r="M844" s="88"/>
      <c r="N844" s="88"/>
      <c r="O844" s="88"/>
      <c r="P844" s="88"/>
      <c r="Q844" s="88"/>
      <c r="R844" s="88"/>
      <c r="S844" s="88"/>
      <c r="T844" s="88"/>
      <c r="U844" s="88"/>
      <c r="V844" s="88"/>
      <c r="W844" s="88"/>
      <c r="X844" s="88"/>
      <c r="Y844" s="88"/>
      <c r="Z844" s="88"/>
      <c r="AA844" s="88"/>
      <c r="AB844" s="128"/>
      <c r="AC844" s="128"/>
      <c r="AD844" s="128"/>
      <c r="AE844" s="128"/>
      <c r="AF844" s="128"/>
      <c r="AG844" s="128"/>
      <c r="AH844" s="127"/>
    </row>
    <row r="845" spans="1:34" ht="13.2">
      <c r="A845" s="88"/>
      <c r="B845" s="88"/>
      <c r="C845" s="88"/>
      <c r="D845" s="88"/>
      <c r="E845" s="88"/>
      <c r="F845" s="88"/>
      <c r="G845" s="88"/>
      <c r="H845" s="88"/>
      <c r="I845" s="88"/>
      <c r="J845" s="88"/>
      <c r="K845" s="88"/>
      <c r="L845" s="88"/>
      <c r="M845" s="88"/>
      <c r="N845" s="88"/>
      <c r="O845" s="88"/>
      <c r="P845" s="88"/>
      <c r="Q845" s="88"/>
      <c r="R845" s="88"/>
      <c r="S845" s="88"/>
      <c r="T845" s="88"/>
      <c r="U845" s="88"/>
      <c r="V845" s="88"/>
      <c r="W845" s="88"/>
      <c r="X845" s="88"/>
      <c r="Y845" s="88"/>
      <c r="Z845" s="88"/>
      <c r="AA845" s="88"/>
      <c r="AB845" s="128"/>
      <c r="AC845" s="128"/>
      <c r="AD845" s="128"/>
      <c r="AE845" s="128"/>
      <c r="AF845" s="128"/>
      <c r="AG845" s="128"/>
      <c r="AH845" s="127"/>
    </row>
    <row r="846" spans="1:34" ht="13.2">
      <c r="A846" s="88"/>
      <c r="B846" s="88"/>
      <c r="C846" s="88"/>
      <c r="D846" s="88"/>
      <c r="E846" s="88"/>
      <c r="F846" s="88"/>
      <c r="G846" s="88"/>
      <c r="H846" s="88"/>
      <c r="I846" s="88"/>
      <c r="J846" s="88"/>
      <c r="K846" s="88"/>
      <c r="L846" s="88"/>
      <c r="M846" s="88"/>
      <c r="N846" s="88"/>
      <c r="O846" s="88"/>
      <c r="P846" s="88"/>
      <c r="Q846" s="88"/>
      <c r="R846" s="88"/>
      <c r="S846" s="88"/>
      <c r="T846" s="88"/>
      <c r="U846" s="88"/>
      <c r="V846" s="88"/>
      <c r="W846" s="88"/>
      <c r="X846" s="88"/>
      <c r="Y846" s="88"/>
      <c r="Z846" s="88"/>
      <c r="AA846" s="88"/>
      <c r="AB846" s="128"/>
      <c r="AC846" s="128"/>
      <c r="AD846" s="128"/>
      <c r="AE846" s="128"/>
      <c r="AF846" s="128"/>
      <c r="AG846" s="128"/>
      <c r="AH846" s="127"/>
    </row>
    <row r="847" spans="1:34" ht="13.2">
      <c r="A847" s="88"/>
      <c r="B847" s="88"/>
      <c r="C847" s="88"/>
      <c r="D847" s="88"/>
      <c r="E847" s="88"/>
      <c r="F847" s="88"/>
      <c r="G847" s="88"/>
      <c r="H847" s="88"/>
      <c r="I847" s="88"/>
      <c r="J847" s="88"/>
      <c r="K847" s="88"/>
      <c r="L847" s="88"/>
      <c r="M847" s="88"/>
      <c r="N847" s="88"/>
      <c r="O847" s="88"/>
      <c r="P847" s="88"/>
      <c r="Q847" s="88"/>
      <c r="R847" s="88"/>
      <c r="S847" s="88"/>
      <c r="T847" s="88"/>
      <c r="U847" s="88"/>
      <c r="V847" s="88"/>
      <c r="W847" s="88"/>
      <c r="X847" s="88"/>
      <c r="Y847" s="88"/>
      <c r="Z847" s="88"/>
      <c r="AA847" s="88"/>
      <c r="AB847" s="128"/>
      <c r="AC847" s="128"/>
      <c r="AD847" s="128"/>
      <c r="AE847" s="128"/>
      <c r="AF847" s="128"/>
      <c r="AG847" s="128"/>
      <c r="AH847" s="127"/>
    </row>
    <row r="848" spans="1:34" ht="13.2">
      <c r="A848" s="88"/>
      <c r="B848" s="88"/>
      <c r="C848" s="88"/>
      <c r="D848" s="88"/>
      <c r="E848" s="88"/>
      <c r="F848" s="88"/>
      <c r="G848" s="88"/>
      <c r="H848" s="88"/>
      <c r="I848" s="88"/>
      <c r="J848" s="88"/>
      <c r="K848" s="88"/>
      <c r="L848" s="88"/>
      <c r="M848" s="88"/>
      <c r="N848" s="88"/>
      <c r="O848" s="88"/>
      <c r="P848" s="88"/>
      <c r="Q848" s="88"/>
      <c r="R848" s="88"/>
      <c r="S848" s="88"/>
      <c r="T848" s="88"/>
      <c r="U848" s="88"/>
      <c r="V848" s="88"/>
      <c r="W848" s="88"/>
      <c r="X848" s="88"/>
      <c r="Y848" s="88"/>
      <c r="Z848" s="88"/>
      <c r="AA848" s="88"/>
      <c r="AB848" s="128"/>
      <c r="AC848" s="128"/>
      <c r="AD848" s="128"/>
      <c r="AE848" s="128"/>
      <c r="AF848" s="128"/>
      <c r="AG848" s="128"/>
      <c r="AH848" s="127"/>
    </row>
    <row r="849" spans="1:34" ht="13.2">
      <c r="A849" s="88"/>
      <c r="B849" s="88"/>
      <c r="C849" s="88"/>
      <c r="D849" s="88"/>
      <c r="E849" s="88"/>
      <c r="F849" s="88"/>
      <c r="G849" s="88"/>
      <c r="H849" s="88"/>
      <c r="I849" s="88"/>
      <c r="J849" s="88"/>
      <c r="K849" s="88"/>
      <c r="L849" s="88"/>
      <c r="M849" s="88"/>
      <c r="N849" s="88"/>
      <c r="O849" s="88"/>
      <c r="P849" s="88"/>
      <c r="Q849" s="88"/>
      <c r="R849" s="88"/>
      <c r="S849" s="88"/>
      <c r="T849" s="88"/>
      <c r="U849" s="88"/>
      <c r="V849" s="88"/>
      <c r="W849" s="88"/>
      <c r="X849" s="88"/>
      <c r="Y849" s="88"/>
      <c r="Z849" s="88"/>
      <c r="AA849" s="88"/>
      <c r="AB849" s="128"/>
      <c r="AC849" s="128"/>
      <c r="AD849" s="128"/>
      <c r="AE849" s="128"/>
      <c r="AF849" s="128"/>
      <c r="AG849" s="128"/>
      <c r="AH849" s="127"/>
    </row>
    <row r="850" spans="1:34" ht="13.2">
      <c r="A850" s="88"/>
      <c r="B850" s="88"/>
      <c r="C850" s="88"/>
      <c r="D850" s="88"/>
      <c r="E850" s="88"/>
      <c r="F850" s="88"/>
      <c r="G850" s="88"/>
      <c r="H850" s="88"/>
      <c r="I850" s="88"/>
      <c r="J850" s="88"/>
      <c r="K850" s="88"/>
      <c r="L850" s="88"/>
      <c r="M850" s="88"/>
      <c r="N850" s="88"/>
      <c r="O850" s="88"/>
      <c r="P850" s="88"/>
      <c r="Q850" s="88"/>
      <c r="R850" s="88"/>
      <c r="S850" s="88"/>
      <c r="T850" s="88"/>
      <c r="U850" s="88"/>
      <c r="V850" s="88"/>
      <c r="W850" s="88"/>
      <c r="X850" s="88"/>
      <c r="Y850" s="88"/>
      <c r="Z850" s="88"/>
      <c r="AA850" s="88"/>
      <c r="AB850" s="128"/>
      <c r="AC850" s="128"/>
      <c r="AD850" s="128"/>
      <c r="AE850" s="128"/>
      <c r="AF850" s="128"/>
      <c r="AG850" s="128"/>
      <c r="AH850" s="127"/>
    </row>
    <row r="851" spans="1:34" ht="13.2">
      <c r="A851" s="88"/>
      <c r="B851" s="88"/>
      <c r="C851" s="88"/>
      <c r="D851" s="88"/>
      <c r="E851" s="88"/>
      <c r="F851" s="88"/>
      <c r="G851" s="88"/>
      <c r="H851" s="88"/>
      <c r="I851" s="88"/>
      <c r="J851" s="88"/>
      <c r="K851" s="88"/>
      <c r="L851" s="88"/>
      <c r="M851" s="88"/>
      <c r="N851" s="88"/>
      <c r="O851" s="88"/>
      <c r="P851" s="88"/>
      <c r="Q851" s="88"/>
      <c r="R851" s="88"/>
      <c r="S851" s="88"/>
      <c r="T851" s="88"/>
      <c r="U851" s="88"/>
      <c r="V851" s="88"/>
      <c r="W851" s="88"/>
      <c r="X851" s="88"/>
      <c r="Y851" s="88"/>
      <c r="Z851" s="88"/>
      <c r="AA851" s="88"/>
      <c r="AB851" s="128"/>
      <c r="AC851" s="128"/>
      <c r="AD851" s="128"/>
      <c r="AE851" s="128"/>
      <c r="AF851" s="128"/>
      <c r="AG851" s="128"/>
      <c r="AH851" s="127"/>
    </row>
    <row r="852" spans="1:34" ht="13.2">
      <c r="A852" s="88"/>
      <c r="B852" s="88"/>
      <c r="C852" s="88"/>
      <c r="D852" s="88"/>
      <c r="E852" s="88"/>
      <c r="F852" s="88"/>
      <c r="G852" s="88"/>
      <c r="H852" s="88"/>
      <c r="I852" s="88"/>
      <c r="J852" s="88"/>
      <c r="K852" s="88"/>
      <c r="L852" s="88"/>
      <c r="M852" s="88"/>
      <c r="N852" s="88"/>
      <c r="O852" s="88"/>
      <c r="P852" s="88"/>
      <c r="Q852" s="88"/>
      <c r="R852" s="88"/>
      <c r="S852" s="88"/>
      <c r="T852" s="88"/>
      <c r="U852" s="88"/>
      <c r="V852" s="88"/>
      <c r="W852" s="88"/>
      <c r="X852" s="88"/>
      <c r="Y852" s="88"/>
      <c r="Z852" s="88"/>
      <c r="AA852" s="88"/>
      <c r="AB852" s="128"/>
      <c r="AC852" s="128"/>
      <c r="AD852" s="128"/>
      <c r="AE852" s="128"/>
      <c r="AF852" s="128"/>
      <c r="AG852" s="128"/>
      <c r="AH852" s="127"/>
    </row>
    <row r="853" spans="1:34" ht="13.2">
      <c r="A853" s="88"/>
      <c r="B853" s="88"/>
      <c r="C853" s="88"/>
      <c r="D853" s="88"/>
      <c r="E853" s="88"/>
      <c r="F853" s="88"/>
      <c r="G853" s="88"/>
      <c r="H853" s="88"/>
      <c r="I853" s="88"/>
      <c r="J853" s="88"/>
      <c r="K853" s="88"/>
      <c r="L853" s="88"/>
      <c r="M853" s="88"/>
      <c r="N853" s="88"/>
      <c r="O853" s="88"/>
      <c r="P853" s="88"/>
      <c r="Q853" s="88"/>
      <c r="R853" s="88"/>
      <c r="S853" s="88"/>
      <c r="T853" s="88"/>
      <c r="U853" s="88"/>
      <c r="V853" s="88"/>
      <c r="W853" s="88"/>
      <c r="X853" s="88"/>
      <c r="Y853" s="88"/>
      <c r="Z853" s="88"/>
      <c r="AA853" s="88"/>
      <c r="AB853" s="128"/>
      <c r="AC853" s="128"/>
      <c r="AD853" s="128"/>
      <c r="AE853" s="128"/>
      <c r="AF853" s="128"/>
      <c r="AG853" s="128"/>
      <c r="AH853" s="127"/>
    </row>
    <row r="854" spans="1:34" ht="13.2">
      <c r="A854" s="88"/>
      <c r="B854" s="88"/>
      <c r="C854" s="88"/>
      <c r="D854" s="88"/>
      <c r="E854" s="88"/>
      <c r="F854" s="88"/>
      <c r="G854" s="88"/>
      <c r="H854" s="88"/>
      <c r="I854" s="88"/>
      <c r="J854" s="88"/>
      <c r="K854" s="88"/>
      <c r="L854" s="88"/>
      <c r="M854" s="88"/>
      <c r="N854" s="88"/>
      <c r="O854" s="88"/>
      <c r="P854" s="88"/>
      <c r="Q854" s="88"/>
      <c r="R854" s="88"/>
      <c r="S854" s="88"/>
      <c r="T854" s="88"/>
      <c r="U854" s="88"/>
      <c r="V854" s="88"/>
      <c r="W854" s="88"/>
      <c r="X854" s="88"/>
      <c r="Y854" s="88"/>
      <c r="Z854" s="88"/>
      <c r="AA854" s="88"/>
      <c r="AB854" s="128"/>
      <c r="AC854" s="128"/>
      <c r="AD854" s="128"/>
      <c r="AE854" s="128"/>
      <c r="AF854" s="128"/>
      <c r="AG854" s="128"/>
      <c r="AH854" s="127"/>
    </row>
    <row r="855" spans="1:34" ht="13.2">
      <c r="A855" s="88"/>
      <c r="B855" s="88"/>
      <c r="C855" s="88"/>
      <c r="D855" s="88"/>
      <c r="E855" s="88"/>
      <c r="F855" s="88"/>
      <c r="G855" s="88"/>
      <c r="H855" s="88"/>
      <c r="I855" s="88"/>
      <c r="J855" s="88"/>
      <c r="K855" s="88"/>
      <c r="L855" s="88"/>
      <c r="M855" s="88"/>
      <c r="N855" s="88"/>
      <c r="O855" s="88"/>
      <c r="P855" s="88"/>
      <c r="Q855" s="88"/>
      <c r="R855" s="88"/>
      <c r="S855" s="88"/>
      <c r="T855" s="88"/>
      <c r="U855" s="88"/>
      <c r="V855" s="88"/>
      <c r="W855" s="88"/>
      <c r="X855" s="88"/>
      <c r="Y855" s="88"/>
      <c r="Z855" s="88"/>
      <c r="AA855" s="88"/>
      <c r="AB855" s="128"/>
      <c r="AC855" s="128"/>
      <c r="AD855" s="128"/>
      <c r="AE855" s="128"/>
      <c r="AF855" s="128"/>
      <c r="AG855" s="128"/>
      <c r="AH855" s="127"/>
    </row>
    <row r="856" spans="1:34" ht="13.2">
      <c r="A856" s="88"/>
      <c r="B856" s="88"/>
      <c r="C856" s="88"/>
      <c r="D856" s="88"/>
      <c r="E856" s="88"/>
      <c r="F856" s="88"/>
      <c r="G856" s="88"/>
      <c r="H856" s="88"/>
      <c r="I856" s="88"/>
      <c r="J856" s="88"/>
      <c r="K856" s="88"/>
      <c r="L856" s="88"/>
      <c r="M856" s="88"/>
      <c r="N856" s="88"/>
      <c r="O856" s="88"/>
      <c r="P856" s="88"/>
      <c r="Q856" s="88"/>
      <c r="R856" s="88"/>
      <c r="S856" s="88"/>
      <c r="T856" s="88"/>
      <c r="U856" s="88"/>
      <c r="V856" s="88"/>
      <c r="W856" s="88"/>
      <c r="X856" s="88"/>
      <c r="Y856" s="88"/>
      <c r="Z856" s="88"/>
      <c r="AA856" s="88"/>
      <c r="AB856" s="128"/>
      <c r="AC856" s="128"/>
      <c r="AD856" s="128"/>
      <c r="AE856" s="128"/>
      <c r="AF856" s="128"/>
      <c r="AG856" s="128"/>
      <c r="AH856" s="127"/>
    </row>
    <row r="857" spans="1:34" ht="13.2">
      <c r="A857" s="88"/>
      <c r="B857" s="88"/>
      <c r="C857" s="88"/>
      <c r="D857" s="88"/>
      <c r="E857" s="88"/>
      <c r="F857" s="88"/>
      <c r="G857" s="88"/>
      <c r="H857" s="88"/>
      <c r="I857" s="88"/>
      <c r="J857" s="88"/>
      <c r="K857" s="88"/>
      <c r="L857" s="88"/>
      <c r="M857" s="88"/>
      <c r="N857" s="88"/>
      <c r="O857" s="88"/>
      <c r="P857" s="88"/>
      <c r="Q857" s="88"/>
      <c r="R857" s="88"/>
      <c r="S857" s="88"/>
      <c r="T857" s="88"/>
      <c r="U857" s="88"/>
      <c r="V857" s="88"/>
      <c r="W857" s="88"/>
      <c r="X857" s="88"/>
      <c r="Y857" s="88"/>
      <c r="Z857" s="88"/>
      <c r="AA857" s="88"/>
      <c r="AB857" s="128"/>
      <c r="AC857" s="128"/>
      <c r="AD857" s="128"/>
      <c r="AE857" s="128"/>
      <c r="AF857" s="128"/>
      <c r="AG857" s="128"/>
      <c r="AH857" s="127"/>
    </row>
    <row r="858" spans="1:34" ht="13.2">
      <c r="A858" s="88"/>
      <c r="B858" s="88"/>
      <c r="C858" s="88"/>
      <c r="D858" s="88"/>
      <c r="E858" s="88"/>
      <c r="F858" s="88"/>
      <c r="G858" s="88"/>
      <c r="H858" s="88"/>
      <c r="I858" s="88"/>
      <c r="J858" s="88"/>
      <c r="K858" s="88"/>
      <c r="L858" s="88"/>
      <c r="M858" s="88"/>
      <c r="N858" s="88"/>
      <c r="O858" s="88"/>
      <c r="P858" s="88"/>
      <c r="Q858" s="88"/>
      <c r="R858" s="88"/>
      <c r="S858" s="88"/>
      <c r="T858" s="88"/>
      <c r="U858" s="88"/>
      <c r="V858" s="88"/>
      <c r="W858" s="88"/>
      <c r="X858" s="88"/>
      <c r="Y858" s="88"/>
      <c r="Z858" s="88"/>
      <c r="AA858" s="88"/>
      <c r="AB858" s="128"/>
      <c r="AC858" s="128"/>
      <c r="AD858" s="128"/>
      <c r="AE858" s="128"/>
      <c r="AF858" s="128"/>
      <c r="AG858" s="128"/>
      <c r="AH858" s="127"/>
    </row>
    <row r="859" spans="1:34" ht="13.2">
      <c r="A859" s="88"/>
      <c r="B859" s="88"/>
      <c r="C859" s="88"/>
      <c r="D859" s="88"/>
      <c r="E859" s="88"/>
      <c r="F859" s="88"/>
      <c r="G859" s="88"/>
      <c r="H859" s="88"/>
      <c r="I859" s="88"/>
      <c r="J859" s="88"/>
      <c r="K859" s="88"/>
      <c r="L859" s="88"/>
      <c r="M859" s="88"/>
      <c r="N859" s="88"/>
      <c r="O859" s="88"/>
      <c r="P859" s="88"/>
      <c r="Q859" s="88"/>
      <c r="R859" s="88"/>
      <c r="S859" s="88"/>
      <c r="T859" s="88"/>
      <c r="U859" s="88"/>
      <c r="V859" s="88"/>
      <c r="W859" s="88"/>
      <c r="X859" s="88"/>
      <c r="Y859" s="88"/>
      <c r="Z859" s="88"/>
      <c r="AA859" s="88"/>
      <c r="AB859" s="128"/>
      <c r="AC859" s="128"/>
      <c r="AD859" s="128"/>
      <c r="AE859" s="128"/>
      <c r="AF859" s="128"/>
      <c r="AG859" s="128"/>
      <c r="AH859" s="127"/>
    </row>
    <row r="860" spans="1:34" ht="13.2">
      <c r="A860" s="88"/>
      <c r="B860" s="88"/>
      <c r="C860" s="88"/>
      <c r="D860" s="88"/>
      <c r="E860" s="88"/>
      <c r="F860" s="88"/>
      <c r="G860" s="88"/>
      <c r="H860" s="88"/>
      <c r="I860" s="88"/>
      <c r="J860" s="88"/>
      <c r="K860" s="88"/>
      <c r="L860" s="88"/>
      <c r="M860" s="88"/>
      <c r="N860" s="88"/>
      <c r="O860" s="88"/>
      <c r="P860" s="88"/>
      <c r="Q860" s="88"/>
      <c r="R860" s="88"/>
      <c r="S860" s="88"/>
      <c r="T860" s="88"/>
      <c r="U860" s="88"/>
      <c r="V860" s="88"/>
      <c r="W860" s="88"/>
      <c r="X860" s="88"/>
      <c r="Y860" s="88"/>
      <c r="Z860" s="88"/>
      <c r="AA860" s="88"/>
      <c r="AB860" s="128"/>
      <c r="AC860" s="128"/>
      <c r="AD860" s="128"/>
      <c r="AE860" s="128"/>
      <c r="AF860" s="128"/>
      <c r="AG860" s="128"/>
      <c r="AH860" s="127"/>
    </row>
    <row r="861" spans="1:34" ht="13.2">
      <c r="A861" s="88"/>
      <c r="B861" s="88"/>
      <c r="C861" s="88"/>
      <c r="D861" s="88"/>
      <c r="E861" s="88"/>
      <c r="F861" s="88"/>
      <c r="G861" s="88"/>
      <c r="H861" s="88"/>
      <c r="I861" s="88"/>
      <c r="J861" s="88"/>
      <c r="K861" s="88"/>
      <c r="L861" s="88"/>
      <c r="M861" s="88"/>
      <c r="N861" s="88"/>
      <c r="O861" s="88"/>
      <c r="P861" s="88"/>
      <c r="Q861" s="88"/>
      <c r="R861" s="88"/>
      <c r="S861" s="88"/>
      <c r="T861" s="88"/>
      <c r="U861" s="88"/>
      <c r="V861" s="88"/>
      <c r="W861" s="88"/>
      <c r="X861" s="88"/>
      <c r="Y861" s="88"/>
      <c r="Z861" s="88"/>
      <c r="AA861" s="88"/>
      <c r="AB861" s="128"/>
      <c r="AC861" s="128"/>
      <c r="AD861" s="128"/>
      <c r="AE861" s="128"/>
      <c r="AF861" s="128"/>
      <c r="AG861" s="128"/>
      <c r="AH861" s="127"/>
    </row>
    <row r="862" spans="1:34" ht="13.2">
      <c r="A862" s="88"/>
      <c r="B862" s="88"/>
      <c r="C862" s="88"/>
      <c r="D862" s="88"/>
      <c r="E862" s="88"/>
      <c r="F862" s="88"/>
      <c r="G862" s="88"/>
      <c r="H862" s="88"/>
      <c r="I862" s="88"/>
      <c r="J862" s="88"/>
      <c r="K862" s="88"/>
      <c r="L862" s="88"/>
      <c r="M862" s="88"/>
      <c r="N862" s="88"/>
      <c r="O862" s="88"/>
      <c r="P862" s="88"/>
      <c r="Q862" s="88"/>
      <c r="R862" s="88"/>
      <c r="S862" s="88"/>
      <c r="T862" s="88"/>
      <c r="U862" s="88"/>
      <c r="V862" s="88"/>
      <c r="W862" s="88"/>
      <c r="X862" s="88"/>
      <c r="Y862" s="88"/>
      <c r="Z862" s="88"/>
      <c r="AA862" s="88"/>
      <c r="AB862" s="128"/>
      <c r="AC862" s="128"/>
      <c r="AD862" s="128"/>
      <c r="AE862" s="128"/>
      <c r="AF862" s="128"/>
      <c r="AG862" s="128"/>
      <c r="AH862" s="127"/>
    </row>
    <row r="863" spans="1:34" ht="13.2">
      <c r="A863" s="88"/>
      <c r="B863" s="88"/>
      <c r="C863" s="88"/>
      <c r="D863" s="88"/>
      <c r="E863" s="88"/>
      <c r="F863" s="88"/>
      <c r="G863" s="88"/>
      <c r="H863" s="88"/>
      <c r="I863" s="88"/>
      <c r="J863" s="88"/>
      <c r="K863" s="88"/>
      <c r="L863" s="88"/>
      <c r="M863" s="88"/>
      <c r="N863" s="88"/>
      <c r="O863" s="88"/>
      <c r="P863" s="88"/>
      <c r="Q863" s="88"/>
      <c r="R863" s="88"/>
      <c r="S863" s="88"/>
      <c r="T863" s="88"/>
      <c r="U863" s="88"/>
      <c r="V863" s="88"/>
      <c r="W863" s="88"/>
      <c r="X863" s="88"/>
      <c r="Y863" s="88"/>
      <c r="Z863" s="88"/>
      <c r="AA863" s="88"/>
      <c r="AB863" s="128"/>
      <c r="AC863" s="128"/>
      <c r="AD863" s="128"/>
      <c r="AE863" s="128"/>
      <c r="AF863" s="128"/>
      <c r="AG863" s="128"/>
      <c r="AH863" s="127"/>
    </row>
    <row r="864" spans="1:34" ht="13.2">
      <c r="A864" s="88"/>
      <c r="B864" s="88"/>
      <c r="C864" s="88"/>
      <c r="D864" s="88"/>
      <c r="E864" s="88"/>
      <c r="F864" s="88"/>
      <c r="G864" s="88"/>
      <c r="H864" s="88"/>
      <c r="I864" s="88"/>
      <c r="J864" s="88"/>
      <c r="K864" s="88"/>
      <c r="L864" s="88"/>
      <c r="M864" s="88"/>
      <c r="N864" s="88"/>
      <c r="O864" s="88"/>
      <c r="P864" s="88"/>
      <c r="Q864" s="88"/>
      <c r="R864" s="88"/>
      <c r="S864" s="88"/>
      <c r="T864" s="88"/>
      <c r="U864" s="88"/>
      <c r="V864" s="88"/>
      <c r="W864" s="88"/>
      <c r="X864" s="88"/>
      <c r="Y864" s="88"/>
      <c r="Z864" s="88"/>
      <c r="AA864" s="88"/>
      <c r="AB864" s="128"/>
      <c r="AC864" s="128"/>
      <c r="AD864" s="128"/>
      <c r="AE864" s="128"/>
      <c r="AF864" s="128"/>
      <c r="AG864" s="128"/>
      <c r="AH864" s="127"/>
    </row>
    <row r="865" spans="1:34" ht="13.2">
      <c r="A865" s="88"/>
      <c r="B865" s="88"/>
      <c r="C865" s="88"/>
      <c r="D865" s="88"/>
      <c r="E865" s="88"/>
      <c r="F865" s="88"/>
      <c r="G865" s="88"/>
      <c r="H865" s="88"/>
      <c r="I865" s="88"/>
      <c r="J865" s="88"/>
      <c r="K865" s="88"/>
      <c r="L865" s="88"/>
      <c r="M865" s="88"/>
      <c r="N865" s="88"/>
      <c r="O865" s="88"/>
      <c r="P865" s="88"/>
      <c r="Q865" s="88"/>
      <c r="R865" s="88"/>
      <c r="S865" s="88"/>
      <c r="T865" s="88"/>
      <c r="U865" s="88"/>
      <c r="V865" s="88"/>
      <c r="W865" s="88"/>
      <c r="X865" s="88"/>
      <c r="Y865" s="88"/>
      <c r="Z865" s="88"/>
      <c r="AA865" s="88"/>
      <c r="AB865" s="128"/>
      <c r="AC865" s="128"/>
      <c r="AD865" s="128"/>
      <c r="AE865" s="128"/>
      <c r="AF865" s="128"/>
      <c r="AG865" s="128"/>
      <c r="AH865" s="127"/>
    </row>
    <row r="866" spans="1:34" ht="13.2">
      <c r="A866" s="88"/>
      <c r="B866" s="88"/>
      <c r="C866" s="88"/>
      <c r="D866" s="88"/>
      <c r="E866" s="88"/>
      <c r="F866" s="88"/>
      <c r="G866" s="88"/>
      <c r="H866" s="88"/>
      <c r="I866" s="88"/>
      <c r="J866" s="88"/>
      <c r="K866" s="88"/>
      <c r="L866" s="88"/>
      <c r="M866" s="88"/>
      <c r="N866" s="88"/>
      <c r="O866" s="88"/>
      <c r="P866" s="88"/>
      <c r="Q866" s="88"/>
      <c r="R866" s="88"/>
      <c r="S866" s="88"/>
      <c r="T866" s="88"/>
      <c r="U866" s="88"/>
      <c r="V866" s="88"/>
      <c r="W866" s="88"/>
      <c r="X866" s="88"/>
      <c r="Y866" s="88"/>
      <c r="Z866" s="88"/>
      <c r="AA866" s="88"/>
      <c r="AB866" s="128"/>
      <c r="AC866" s="128"/>
      <c r="AD866" s="128"/>
      <c r="AE866" s="128"/>
      <c r="AF866" s="128"/>
      <c r="AG866" s="128"/>
      <c r="AH866" s="127"/>
    </row>
    <row r="867" spans="1:34" ht="13.2">
      <c r="A867" s="88"/>
      <c r="B867" s="88"/>
      <c r="C867" s="88"/>
      <c r="D867" s="88"/>
      <c r="E867" s="88"/>
      <c r="F867" s="88"/>
      <c r="G867" s="88"/>
      <c r="H867" s="88"/>
      <c r="I867" s="88"/>
      <c r="J867" s="88"/>
      <c r="K867" s="88"/>
      <c r="L867" s="88"/>
      <c r="M867" s="88"/>
      <c r="N867" s="88"/>
      <c r="O867" s="88"/>
      <c r="P867" s="88"/>
      <c r="Q867" s="88"/>
      <c r="R867" s="88"/>
      <c r="S867" s="88"/>
      <c r="T867" s="88"/>
      <c r="U867" s="88"/>
      <c r="V867" s="88"/>
      <c r="W867" s="88"/>
      <c r="X867" s="88"/>
      <c r="Y867" s="88"/>
      <c r="Z867" s="88"/>
      <c r="AA867" s="88"/>
      <c r="AB867" s="128"/>
      <c r="AC867" s="128"/>
      <c r="AD867" s="128"/>
      <c r="AE867" s="128"/>
      <c r="AF867" s="128"/>
      <c r="AG867" s="128"/>
      <c r="AH867" s="127"/>
    </row>
    <row r="868" spans="1:34" ht="13.2">
      <c r="A868" s="88"/>
      <c r="B868" s="88"/>
      <c r="C868" s="88"/>
      <c r="D868" s="88"/>
      <c r="E868" s="88"/>
      <c r="F868" s="88"/>
      <c r="G868" s="88"/>
      <c r="H868" s="88"/>
      <c r="I868" s="88"/>
      <c r="J868" s="88"/>
      <c r="K868" s="88"/>
      <c r="L868" s="88"/>
      <c r="M868" s="88"/>
      <c r="N868" s="88"/>
      <c r="O868" s="88"/>
      <c r="P868" s="88"/>
      <c r="Q868" s="88"/>
      <c r="R868" s="88"/>
      <c r="S868" s="88"/>
      <c r="T868" s="88"/>
      <c r="U868" s="88"/>
      <c r="V868" s="88"/>
      <c r="W868" s="88"/>
      <c r="X868" s="88"/>
      <c r="Y868" s="88"/>
      <c r="Z868" s="88"/>
      <c r="AA868" s="88"/>
      <c r="AB868" s="128"/>
      <c r="AC868" s="128"/>
      <c r="AD868" s="128"/>
      <c r="AE868" s="128"/>
      <c r="AF868" s="128"/>
      <c r="AG868" s="128"/>
      <c r="AH868" s="127"/>
    </row>
    <row r="869" spans="1:34" ht="13.2">
      <c r="A869" s="88"/>
      <c r="B869" s="88"/>
      <c r="C869" s="88"/>
      <c r="D869" s="88"/>
      <c r="E869" s="88"/>
      <c r="F869" s="88"/>
      <c r="G869" s="88"/>
      <c r="H869" s="88"/>
      <c r="I869" s="88"/>
      <c r="J869" s="88"/>
      <c r="K869" s="88"/>
      <c r="L869" s="88"/>
      <c r="M869" s="88"/>
      <c r="N869" s="88"/>
      <c r="O869" s="88"/>
      <c r="P869" s="88"/>
      <c r="Q869" s="88"/>
      <c r="R869" s="88"/>
      <c r="S869" s="88"/>
      <c r="T869" s="88"/>
      <c r="U869" s="88"/>
      <c r="V869" s="88"/>
      <c r="W869" s="88"/>
      <c r="X869" s="88"/>
      <c r="Y869" s="88"/>
      <c r="Z869" s="88"/>
      <c r="AA869" s="88"/>
      <c r="AB869" s="128"/>
      <c r="AC869" s="128"/>
      <c r="AD869" s="128"/>
      <c r="AE869" s="128"/>
      <c r="AF869" s="128"/>
      <c r="AG869" s="128"/>
      <c r="AH869" s="127"/>
    </row>
    <row r="870" spans="1:34" ht="13.2">
      <c r="A870" s="88"/>
      <c r="B870" s="88"/>
      <c r="C870" s="88"/>
      <c r="D870" s="88"/>
      <c r="E870" s="88"/>
      <c r="F870" s="88"/>
      <c r="G870" s="88"/>
      <c r="H870" s="88"/>
      <c r="I870" s="88"/>
      <c r="J870" s="88"/>
      <c r="K870" s="88"/>
      <c r="L870" s="88"/>
      <c r="M870" s="88"/>
      <c r="N870" s="88"/>
      <c r="O870" s="88"/>
      <c r="P870" s="88"/>
      <c r="Q870" s="88"/>
      <c r="R870" s="88"/>
      <c r="S870" s="88"/>
      <c r="T870" s="88"/>
      <c r="U870" s="88"/>
      <c r="V870" s="88"/>
      <c r="W870" s="88"/>
      <c r="X870" s="88"/>
      <c r="Y870" s="88"/>
      <c r="Z870" s="88"/>
      <c r="AA870" s="88"/>
      <c r="AB870" s="128"/>
      <c r="AC870" s="128"/>
      <c r="AD870" s="128"/>
      <c r="AE870" s="128"/>
      <c r="AF870" s="128"/>
      <c r="AG870" s="128"/>
      <c r="AH870" s="127"/>
    </row>
    <row r="871" spans="1:34" ht="13.2">
      <c r="A871" s="88"/>
      <c r="B871" s="88"/>
      <c r="C871" s="88"/>
      <c r="D871" s="88"/>
      <c r="E871" s="88"/>
      <c r="F871" s="88"/>
      <c r="G871" s="88"/>
      <c r="H871" s="88"/>
      <c r="I871" s="88"/>
      <c r="J871" s="88"/>
      <c r="K871" s="88"/>
      <c r="L871" s="88"/>
      <c r="M871" s="88"/>
      <c r="N871" s="88"/>
      <c r="O871" s="88"/>
      <c r="P871" s="88"/>
      <c r="Q871" s="88"/>
      <c r="R871" s="88"/>
      <c r="S871" s="88"/>
      <c r="T871" s="88"/>
      <c r="U871" s="88"/>
      <c r="V871" s="88"/>
      <c r="W871" s="88"/>
      <c r="X871" s="88"/>
      <c r="Y871" s="88"/>
      <c r="Z871" s="88"/>
      <c r="AA871" s="88"/>
      <c r="AB871" s="128"/>
      <c r="AC871" s="128"/>
      <c r="AD871" s="128"/>
      <c r="AE871" s="128"/>
      <c r="AF871" s="128"/>
      <c r="AG871" s="128"/>
      <c r="AH871" s="127"/>
    </row>
    <row r="872" spans="1:34" ht="13.2">
      <c r="A872" s="88"/>
      <c r="B872" s="88"/>
      <c r="C872" s="88"/>
      <c r="D872" s="88"/>
      <c r="E872" s="88"/>
      <c r="F872" s="88"/>
      <c r="G872" s="88"/>
      <c r="H872" s="88"/>
      <c r="I872" s="88"/>
      <c r="J872" s="88"/>
      <c r="K872" s="88"/>
      <c r="L872" s="88"/>
      <c r="M872" s="88"/>
      <c r="N872" s="88"/>
      <c r="O872" s="88"/>
      <c r="P872" s="88"/>
      <c r="Q872" s="88"/>
      <c r="R872" s="88"/>
      <c r="S872" s="88"/>
      <c r="T872" s="88"/>
      <c r="U872" s="88"/>
      <c r="V872" s="88"/>
      <c r="W872" s="88"/>
      <c r="X872" s="88"/>
      <c r="Y872" s="88"/>
      <c r="Z872" s="88"/>
      <c r="AA872" s="88"/>
      <c r="AB872" s="128"/>
      <c r="AC872" s="128"/>
      <c r="AD872" s="128"/>
      <c r="AE872" s="128"/>
      <c r="AF872" s="128"/>
      <c r="AG872" s="128"/>
      <c r="AH872" s="127"/>
    </row>
    <row r="873" spans="1:34" ht="13.2">
      <c r="A873" s="88"/>
      <c r="B873" s="88"/>
      <c r="C873" s="88"/>
      <c r="D873" s="88"/>
      <c r="E873" s="88"/>
      <c r="F873" s="88"/>
      <c r="G873" s="88"/>
      <c r="H873" s="88"/>
      <c r="I873" s="88"/>
      <c r="J873" s="88"/>
      <c r="K873" s="88"/>
      <c r="L873" s="88"/>
      <c r="M873" s="88"/>
      <c r="N873" s="88"/>
      <c r="O873" s="88"/>
      <c r="P873" s="88"/>
      <c r="Q873" s="88"/>
      <c r="R873" s="88"/>
      <c r="S873" s="88"/>
      <c r="T873" s="88"/>
      <c r="U873" s="88"/>
      <c r="V873" s="88"/>
      <c r="W873" s="88"/>
      <c r="X873" s="88"/>
      <c r="Y873" s="88"/>
      <c r="Z873" s="88"/>
      <c r="AA873" s="88"/>
      <c r="AB873" s="128"/>
      <c r="AC873" s="128"/>
      <c r="AD873" s="128"/>
      <c r="AE873" s="128"/>
      <c r="AF873" s="128"/>
      <c r="AG873" s="128"/>
      <c r="AH873" s="127"/>
    </row>
    <row r="874" spans="1:34" ht="13.2">
      <c r="A874" s="88"/>
      <c r="B874" s="88"/>
      <c r="C874" s="88"/>
      <c r="D874" s="88"/>
      <c r="E874" s="88"/>
      <c r="F874" s="88"/>
      <c r="G874" s="88"/>
      <c r="H874" s="88"/>
      <c r="I874" s="88"/>
      <c r="J874" s="88"/>
      <c r="K874" s="88"/>
      <c r="L874" s="88"/>
      <c r="M874" s="88"/>
      <c r="N874" s="88"/>
      <c r="O874" s="88"/>
      <c r="P874" s="88"/>
      <c r="Q874" s="88"/>
      <c r="R874" s="88"/>
      <c r="S874" s="88"/>
      <c r="T874" s="88"/>
      <c r="U874" s="88"/>
      <c r="V874" s="88"/>
      <c r="W874" s="88"/>
      <c r="X874" s="88"/>
      <c r="Y874" s="88"/>
      <c r="Z874" s="88"/>
      <c r="AA874" s="88"/>
      <c r="AB874" s="128"/>
      <c r="AC874" s="128"/>
      <c r="AD874" s="128"/>
      <c r="AE874" s="128"/>
      <c r="AF874" s="128"/>
      <c r="AG874" s="128"/>
      <c r="AH874" s="127"/>
    </row>
    <row r="875" spans="1:34" ht="13.2">
      <c r="A875" s="88"/>
      <c r="B875" s="88"/>
      <c r="C875" s="88"/>
      <c r="D875" s="88"/>
      <c r="E875" s="88"/>
      <c r="F875" s="88"/>
      <c r="G875" s="88"/>
      <c r="H875" s="88"/>
      <c r="I875" s="88"/>
      <c r="J875" s="88"/>
      <c r="K875" s="88"/>
      <c r="L875" s="88"/>
      <c r="M875" s="88"/>
      <c r="N875" s="88"/>
      <c r="O875" s="88"/>
      <c r="P875" s="88"/>
      <c r="Q875" s="88"/>
      <c r="R875" s="88"/>
      <c r="S875" s="88"/>
      <c r="T875" s="88"/>
      <c r="U875" s="88"/>
      <c r="V875" s="88"/>
      <c r="W875" s="88"/>
      <c r="X875" s="88"/>
      <c r="Y875" s="88"/>
      <c r="Z875" s="88"/>
      <c r="AA875" s="88"/>
      <c r="AB875" s="128"/>
      <c r="AC875" s="128"/>
      <c r="AD875" s="128"/>
      <c r="AE875" s="128"/>
      <c r="AF875" s="128"/>
      <c r="AG875" s="128"/>
      <c r="AH875" s="127"/>
    </row>
    <row r="876" spans="1:34" ht="13.2">
      <c r="A876" s="88"/>
      <c r="B876" s="88"/>
      <c r="C876" s="88"/>
      <c r="D876" s="88"/>
      <c r="E876" s="88"/>
      <c r="F876" s="88"/>
      <c r="G876" s="88"/>
      <c r="H876" s="88"/>
      <c r="I876" s="88"/>
      <c r="J876" s="88"/>
      <c r="K876" s="88"/>
      <c r="L876" s="88"/>
      <c r="M876" s="88"/>
      <c r="N876" s="88"/>
      <c r="O876" s="88"/>
      <c r="P876" s="88"/>
      <c r="Q876" s="88"/>
      <c r="R876" s="88"/>
      <c r="S876" s="88"/>
      <c r="T876" s="88"/>
      <c r="U876" s="88"/>
      <c r="V876" s="88"/>
      <c r="W876" s="88"/>
      <c r="X876" s="88"/>
      <c r="Y876" s="88"/>
      <c r="Z876" s="88"/>
      <c r="AA876" s="88"/>
      <c r="AB876" s="128"/>
      <c r="AC876" s="128"/>
      <c r="AD876" s="128"/>
      <c r="AE876" s="128"/>
      <c r="AF876" s="128"/>
      <c r="AG876" s="128"/>
      <c r="AH876" s="127"/>
    </row>
    <row r="877" spans="1:34" ht="13.2">
      <c r="A877" s="88"/>
      <c r="B877" s="88"/>
      <c r="C877" s="88"/>
      <c r="D877" s="88"/>
      <c r="E877" s="88"/>
      <c r="F877" s="88"/>
      <c r="G877" s="88"/>
      <c r="H877" s="88"/>
      <c r="I877" s="88"/>
      <c r="J877" s="88"/>
      <c r="K877" s="88"/>
      <c r="L877" s="88"/>
      <c r="M877" s="88"/>
      <c r="N877" s="88"/>
      <c r="O877" s="88"/>
      <c r="P877" s="88"/>
      <c r="Q877" s="88"/>
      <c r="R877" s="88"/>
      <c r="S877" s="88"/>
      <c r="T877" s="88"/>
      <c r="U877" s="88"/>
      <c r="V877" s="88"/>
      <c r="W877" s="88"/>
      <c r="X877" s="88"/>
      <c r="Y877" s="88"/>
      <c r="Z877" s="88"/>
      <c r="AA877" s="88"/>
      <c r="AB877" s="128"/>
      <c r="AC877" s="128"/>
      <c r="AD877" s="128"/>
      <c r="AE877" s="128"/>
      <c r="AF877" s="128"/>
      <c r="AG877" s="128"/>
      <c r="AH877" s="127"/>
    </row>
    <row r="878" spans="1:34" ht="13.2">
      <c r="A878" s="88"/>
      <c r="B878" s="88"/>
      <c r="C878" s="88"/>
      <c r="D878" s="88"/>
      <c r="E878" s="88"/>
      <c r="F878" s="88"/>
      <c r="G878" s="88"/>
      <c r="H878" s="88"/>
      <c r="I878" s="88"/>
      <c r="J878" s="88"/>
      <c r="K878" s="88"/>
      <c r="L878" s="88"/>
      <c r="M878" s="88"/>
      <c r="N878" s="88"/>
      <c r="O878" s="88"/>
      <c r="P878" s="88"/>
      <c r="Q878" s="88"/>
      <c r="R878" s="88"/>
      <c r="S878" s="88"/>
      <c r="T878" s="88"/>
      <c r="U878" s="88"/>
      <c r="V878" s="88"/>
      <c r="W878" s="88"/>
      <c r="X878" s="88"/>
      <c r="Y878" s="88"/>
      <c r="Z878" s="88"/>
      <c r="AA878" s="88"/>
      <c r="AB878" s="128"/>
      <c r="AC878" s="128"/>
      <c r="AD878" s="128"/>
      <c r="AE878" s="128"/>
      <c r="AF878" s="128"/>
      <c r="AG878" s="128"/>
      <c r="AH878" s="127"/>
    </row>
    <row r="879" spans="1:34" ht="13.2">
      <c r="A879" s="88"/>
      <c r="B879" s="88"/>
      <c r="C879" s="88"/>
      <c r="D879" s="88"/>
      <c r="E879" s="88"/>
      <c r="F879" s="88"/>
      <c r="G879" s="88"/>
      <c r="H879" s="88"/>
      <c r="I879" s="88"/>
      <c r="J879" s="88"/>
      <c r="K879" s="88"/>
      <c r="L879" s="88"/>
      <c r="M879" s="88"/>
      <c r="N879" s="88"/>
      <c r="O879" s="88"/>
      <c r="P879" s="88"/>
      <c r="Q879" s="88"/>
      <c r="R879" s="88"/>
      <c r="S879" s="88"/>
      <c r="T879" s="88"/>
      <c r="U879" s="88"/>
      <c r="V879" s="88"/>
      <c r="W879" s="88"/>
      <c r="X879" s="88"/>
      <c r="Y879" s="88"/>
      <c r="Z879" s="88"/>
      <c r="AA879" s="88"/>
      <c r="AB879" s="128"/>
      <c r="AC879" s="128"/>
      <c r="AD879" s="128"/>
      <c r="AE879" s="128"/>
      <c r="AF879" s="128"/>
      <c r="AG879" s="128"/>
      <c r="AH879" s="127"/>
    </row>
    <row r="880" spans="1:34" ht="13.2">
      <c r="A880" s="88"/>
      <c r="B880" s="88"/>
      <c r="C880" s="88"/>
      <c r="D880" s="88"/>
      <c r="E880" s="88"/>
      <c r="F880" s="88"/>
      <c r="G880" s="88"/>
      <c r="H880" s="88"/>
      <c r="I880" s="88"/>
      <c r="J880" s="88"/>
      <c r="K880" s="88"/>
      <c r="L880" s="88"/>
      <c r="M880" s="88"/>
      <c r="N880" s="88"/>
      <c r="O880" s="88"/>
      <c r="P880" s="88"/>
      <c r="Q880" s="88"/>
      <c r="R880" s="88"/>
      <c r="S880" s="88"/>
      <c r="T880" s="88"/>
      <c r="U880" s="88"/>
      <c r="V880" s="88"/>
      <c r="W880" s="88"/>
      <c r="X880" s="88"/>
      <c r="Y880" s="88"/>
      <c r="Z880" s="88"/>
      <c r="AA880" s="88"/>
      <c r="AB880" s="128"/>
      <c r="AC880" s="128"/>
      <c r="AD880" s="128"/>
      <c r="AE880" s="128"/>
      <c r="AF880" s="128"/>
      <c r="AG880" s="128"/>
      <c r="AH880" s="127"/>
    </row>
    <row r="881" spans="1:34" ht="13.2">
      <c r="A881" s="88"/>
      <c r="B881" s="88"/>
      <c r="C881" s="88"/>
      <c r="D881" s="88"/>
      <c r="E881" s="88"/>
      <c r="F881" s="88"/>
      <c r="G881" s="88"/>
      <c r="H881" s="88"/>
      <c r="I881" s="88"/>
      <c r="J881" s="88"/>
      <c r="K881" s="88"/>
      <c r="L881" s="88"/>
      <c r="M881" s="88"/>
      <c r="N881" s="88"/>
      <c r="O881" s="88"/>
      <c r="P881" s="88"/>
      <c r="Q881" s="88"/>
      <c r="R881" s="88"/>
      <c r="S881" s="88"/>
      <c r="T881" s="88"/>
      <c r="U881" s="88"/>
      <c r="V881" s="88"/>
      <c r="W881" s="88"/>
      <c r="X881" s="88"/>
      <c r="Y881" s="88"/>
      <c r="Z881" s="88"/>
      <c r="AA881" s="88"/>
      <c r="AB881" s="128"/>
      <c r="AC881" s="128"/>
      <c r="AD881" s="128"/>
      <c r="AE881" s="128"/>
      <c r="AF881" s="128"/>
      <c r="AG881" s="128"/>
      <c r="AH881" s="127"/>
    </row>
    <row r="882" spans="1:34" ht="13.2">
      <c r="A882" s="88"/>
      <c r="B882" s="88"/>
      <c r="C882" s="88"/>
      <c r="D882" s="88"/>
      <c r="E882" s="88"/>
      <c r="F882" s="88"/>
      <c r="G882" s="88"/>
      <c r="H882" s="88"/>
      <c r="I882" s="88"/>
      <c r="J882" s="88"/>
      <c r="K882" s="88"/>
      <c r="L882" s="88"/>
      <c r="M882" s="88"/>
      <c r="N882" s="88"/>
      <c r="O882" s="88"/>
      <c r="P882" s="88"/>
      <c r="Q882" s="88"/>
      <c r="R882" s="88"/>
      <c r="S882" s="88"/>
      <c r="T882" s="88"/>
      <c r="U882" s="88"/>
      <c r="V882" s="88"/>
      <c r="W882" s="88"/>
      <c r="X882" s="88"/>
      <c r="Y882" s="88"/>
      <c r="Z882" s="88"/>
      <c r="AA882" s="88"/>
      <c r="AB882" s="128"/>
      <c r="AC882" s="128"/>
      <c r="AD882" s="128"/>
      <c r="AE882" s="128"/>
      <c r="AF882" s="128"/>
      <c r="AG882" s="128"/>
      <c r="AH882" s="127"/>
    </row>
    <row r="883" spans="1:34" ht="13.2">
      <c r="A883" s="88"/>
      <c r="B883" s="88"/>
      <c r="C883" s="88"/>
      <c r="D883" s="88"/>
      <c r="E883" s="88"/>
      <c r="F883" s="88"/>
      <c r="G883" s="88"/>
      <c r="H883" s="88"/>
      <c r="I883" s="88"/>
      <c r="J883" s="88"/>
      <c r="K883" s="88"/>
      <c r="L883" s="88"/>
      <c r="M883" s="88"/>
      <c r="N883" s="88"/>
      <c r="O883" s="88"/>
      <c r="P883" s="88"/>
      <c r="Q883" s="88"/>
      <c r="R883" s="88"/>
      <c r="S883" s="88"/>
      <c r="T883" s="88"/>
      <c r="U883" s="88"/>
      <c r="V883" s="88"/>
      <c r="W883" s="88"/>
      <c r="X883" s="88"/>
      <c r="Y883" s="88"/>
      <c r="Z883" s="88"/>
      <c r="AA883" s="88"/>
      <c r="AB883" s="128"/>
      <c r="AC883" s="128"/>
      <c r="AD883" s="128"/>
      <c r="AE883" s="128"/>
      <c r="AF883" s="128"/>
      <c r="AG883" s="128"/>
      <c r="AH883" s="127"/>
    </row>
    <row r="884" spans="1:34" ht="13.2">
      <c r="A884" s="88"/>
      <c r="B884" s="88"/>
      <c r="C884" s="88"/>
      <c r="D884" s="88"/>
      <c r="E884" s="88"/>
      <c r="F884" s="88"/>
      <c r="G884" s="88"/>
      <c r="H884" s="88"/>
      <c r="I884" s="88"/>
      <c r="J884" s="88"/>
      <c r="K884" s="88"/>
      <c r="L884" s="88"/>
      <c r="M884" s="88"/>
      <c r="N884" s="88"/>
      <c r="O884" s="88"/>
      <c r="P884" s="88"/>
      <c r="Q884" s="88"/>
      <c r="R884" s="88"/>
      <c r="S884" s="88"/>
      <c r="T884" s="88"/>
      <c r="U884" s="88"/>
      <c r="V884" s="88"/>
      <c r="W884" s="88"/>
      <c r="X884" s="88"/>
      <c r="Y884" s="88"/>
      <c r="Z884" s="88"/>
      <c r="AA884" s="88"/>
      <c r="AB884" s="128"/>
      <c r="AC884" s="128"/>
      <c r="AD884" s="128"/>
      <c r="AE884" s="128"/>
      <c r="AF884" s="128"/>
      <c r="AG884" s="128"/>
      <c r="AH884" s="127"/>
    </row>
    <row r="885" spans="1:34" ht="13.2">
      <c r="A885" s="88"/>
      <c r="B885" s="88"/>
      <c r="C885" s="88"/>
      <c r="D885" s="88"/>
      <c r="E885" s="88"/>
      <c r="F885" s="88"/>
      <c r="G885" s="88"/>
      <c r="H885" s="88"/>
      <c r="I885" s="88"/>
      <c r="J885" s="88"/>
      <c r="K885" s="88"/>
      <c r="L885" s="88"/>
      <c r="M885" s="88"/>
      <c r="N885" s="88"/>
      <c r="O885" s="88"/>
      <c r="P885" s="88"/>
      <c r="Q885" s="88"/>
      <c r="R885" s="88"/>
      <c r="S885" s="88"/>
      <c r="T885" s="88"/>
      <c r="U885" s="88"/>
      <c r="V885" s="88"/>
      <c r="W885" s="88"/>
      <c r="X885" s="88"/>
      <c r="Y885" s="88"/>
      <c r="Z885" s="88"/>
      <c r="AA885" s="88"/>
      <c r="AB885" s="128"/>
      <c r="AC885" s="128"/>
      <c r="AD885" s="128"/>
      <c r="AE885" s="128"/>
      <c r="AF885" s="128"/>
      <c r="AG885" s="128"/>
      <c r="AH885" s="127"/>
    </row>
    <row r="886" spans="1:34" ht="13.2">
      <c r="A886" s="88"/>
      <c r="B886" s="88"/>
      <c r="C886" s="88"/>
      <c r="D886" s="88"/>
      <c r="E886" s="88"/>
      <c r="F886" s="88"/>
      <c r="G886" s="88"/>
      <c r="H886" s="88"/>
      <c r="I886" s="88"/>
      <c r="J886" s="88"/>
      <c r="K886" s="88"/>
      <c r="L886" s="88"/>
      <c r="M886" s="88"/>
      <c r="N886" s="88"/>
      <c r="O886" s="88"/>
      <c r="P886" s="88"/>
      <c r="Q886" s="88"/>
      <c r="R886" s="88"/>
      <c r="S886" s="88"/>
      <c r="T886" s="88"/>
      <c r="U886" s="88"/>
      <c r="V886" s="88"/>
      <c r="W886" s="88"/>
      <c r="X886" s="88"/>
      <c r="Y886" s="88"/>
      <c r="Z886" s="88"/>
      <c r="AA886" s="88"/>
      <c r="AB886" s="128"/>
      <c r="AC886" s="128"/>
      <c r="AD886" s="128"/>
      <c r="AE886" s="128"/>
      <c r="AF886" s="128"/>
      <c r="AG886" s="128"/>
      <c r="AH886" s="127"/>
    </row>
    <row r="887" spans="1:34" ht="13.2">
      <c r="A887" s="88"/>
      <c r="B887" s="88"/>
      <c r="C887" s="88"/>
      <c r="D887" s="88"/>
      <c r="E887" s="88"/>
      <c r="F887" s="88"/>
      <c r="G887" s="88"/>
      <c r="H887" s="88"/>
      <c r="I887" s="88"/>
      <c r="J887" s="88"/>
      <c r="K887" s="88"/>
      <c r="L887" s="88"/>
      <c r="M887" s="88"/>
      <c r="N887" s="88"/>
      <c r="O887" s="88"/>
      <c r="P887" s="88"/>
      <c r="Q887" s="88"/>
      <c r="R887" s="88"/>
      <c r="S887" s="88"/>
      <c r="T887" s="88"/>
      <c r="U887" s="88"/>
      <c r="V887" s="88"/>
      <c r="W887" s="88"/>
      <c r="X887" s="88"/>
      <c r="Y887" s="88"/>
      <c r="Z887" s="88"/>
      <c r="AA887" s="88"/>
      <c r="AB887" s="128"/>
      <c r="AC887" s="128"/>
      <c r="AD887" s="128"/>
      <c r="AE887" s="128"/>
      <c r="AF887" s="128"/>
      <c r="AG887" s="128"/>
      <c r="AH887" s="127"/>
    </row>
    <row r="888" spans="1:34" ht="13.2">
      <c r="A888" s="88"/>
      <c r="B888" s="88"/>
      <c r="C888" s="88"/>
      <c r="D888" s="88"/>
      <c r="E888" s="88"/>
      <c r="F888" s="88"/>
      <c r="G888" s="88"/>
      <c r="H888" s="88"/>
      <c r="I888" s="88"/>
      <c r="J888" s="88"/>
      <c r="K888" s="88"/>
      <c r="L888" s="88"/>
      <c r="M888" s="88"/>
      <c r="N888" s="88"/>
      <c r="O888" s="88"/>
      <c r="P888" s="88"/>
      <c r="Q888" s="88"/>
      <c r="R888" s="88"/>
      <c r="S888" s="88"/>
      <c r="T888" s="88"/>
      <c r="U888" s="88"/>
      <c r="V888" s="88"/>
      <c r="W888" s="88"/>
      <c r="X888" s="88"/>
      <c r="Y888" s="88"/>
      <c r="Z888" s="88"/>
      <c r="AA888" s="88"/>
      <c r="AB888" s="128"/>
      <c r="AC888" s="128"/>
      <c r="AD888" s="128"/>
      <c r="AE888" s="128"/>
      <c r="AF888" s="128"/>
      <c r="AG888" s="128"/>
      <c r="AH888" s="127"/>
    </row>
    <row r="889" spans="1:34" ht="13.2">
      <c r="A889" s="88"/>
      <c r="B889" s="88"/>
      <c r="C889" s="88"/>
      <c r="D889" s="88"/>
      <c r="E889" s="88"/>
      <c r="F889" s="88"/>
      <c r="G889" s="88"/>
      <c r="H889" s="88"/>
      <c r="I889" s="88"/>
      <c r="J889" s="88"/>
      <c r="K889" s="88"/>
      <c r="L889" s="88"/>
      <c r="M889" s="88"/>
      <c r="N889" s="88"/>
      <c r="O889" s="88"/>
      <c r="P889" s="88"/>
      <c r="Q889" s="88"/>
      <c r="R889" s="88"/>
      <c r="S889" s="88"/>
      <c r="T889" s="88"/>
      <c r="U889" s="88"/>
      <c r="V889" s="88"/>
      <c r="W889" s="88"/>
      <c r="X889" s="88"/>
      <c r="Y889" s="88"/>
      <c r="Z889" s="88"/>
      <c r="AA889" s="88"/>
      <c r="AB889" s="128"/>
      <c r="AC889" s="128"/>
      <c r="AD889" s="128"/>
      <c r="AE889" s="128"/>
      <c r="AF889" s="128"/>
      <c r="AG889" s="128"/>
      <c r="AH889" s="127"/>
    </row>
    <row r="890" spans="1:34" ht="13.2">
      <c r="A890" s="88"/>
      <c r="B890" s="88"/>
      <c r="C890" s="88"/>
      <c r="D890" s="88"/>
      <c r="E890" s="88"/>
      <c r="F890" s="88"/>
      <c r="G890" s="88"/>
      <c r="H890" s="88"/>
      <c r="I890" s="88"/>
      <c r="J890" s="88"/>
      <c r="K890" s="88"/>
      <c r="L890" s="88"/>
      <c r="M890" s="88"/>
      <c r="N890" s="88"/>
      <c r="O890" s="88"/>
      <c r="P890" s="88"/>
      <c r="Q890" s="88"/>
      <c r="R890" s="88"/>
      <c r="S890" s="88"/>
      <c r="T890" s="88"/>
      <c r="U890" s="88"/>
      <c r="V890" s="88"/>
      <c r="W890" s="88"/>
      <c r="X890" s="88"/>
      <c r="Y890" s="88"/>
      <c r="Z890" s="88"/>
      <c r="AA890" s="88"/>
      <c r="AB890" s="128"/>
      <c r="AC890" s="128"/>
      <c r="AD890" s="128"/>
      <c r="AE890" s="128"/>
      <c r="AF890" s="128"/>
      <c r="AG890" s="128"/>
      <c r="AH890" s="127"/>
    </row>
    <row r="891" spans="1:34" ht="13.2">
      <c r="A891" s="88"/>
      <c r="B891" s="88"/>
      <c r="C891" s="88"/>
      <c r="D891" s="88"/>
      <c r="E891" s="88"/>
      <c r="F891" s="88"/>
      <c r="G891" s="88"/>
      <c r="H891" s="88"/>
      <c r="I891" s="88"/>
      <c r="J891" s="88"/>
      <c r="K891" s="88"/>
      <c r="L891" s="88"/>
      <c r="M891" s="88"/>
      <c r="N891" s="88"/>
      <c r="O891" s="88"/>
      <c r="P891" s="88"/>
      <c r="Q891" s="88"/>
      <c r="R891" s="88"/>
      <c r="S891" s="88"/>
      <c r="T891" s="88"/>
      <c r="U891" s="88"/>
      <c r="V891" s="88"/>
      <c r="W891" s="88"/>
      <c r="X891" s="88"/>
      <c r="Y891" s="88"/>
      <c r="Z891" s="88"/>
      <c r="AA891" s="88"/>
      <c r="AB891" s="128"/>
      <c r="AC891" s="128"/>
      <c r="AD891" s="128"/>
      <c r="AE891" s="128"/>
      <c r="AF891" s="128"/>
      <c r="AG891" s="128"/>
      <c r="AH891" s="127"/>
    </row>
    <row r="892" spans="1:34" ht="13.2">
      <c r="A892" s="88"/>
      <c r="B892" s="88"/>
      <c r="C892" s="88"/>
      <c r="D892" s="88"/>
      <c r="E892" s="88"/>
      <c r="F892" s="88"/>
      <c r="G892" s="88"/>
      <c r="H892" s="88"/>
      <c r="I892" s="88"/>
      <c r="J892" s="88"/>
      <c r="K892" s="88"/>
      <c r="L892" s="88"/>
      <c r="M892" s="88"/>
      <c r="N892" s="88"/>
      <c r="O892" s="88"/>
      <c r="P892" s="88"/>
      <c r="Q892" s="88"/>
      <c r="R892" s="88"/>
      <c r="S892" s="88"/>
      <c r="T892" s="88"/>
      <c r="U892" s="88"/>
      <c r="V892" s="88"/>
      <c r="W892" s="88"/>
      <c r="X892" s="88"/>
      <c r="Y892" s="88"/>
      <c r="Z892" s="88"/>
      <c r="AA892" s="88"/>
      <c r="AB892" s="128"/>
      <c r="AC892" s="128"/>
      <c r="AD892" s="128"/>
      <c r="AE892" s="128"/>
      <c r="AF892" s="128"/>
      <c r="AG892" s="128"/>
      <c r="AH892" s="127"/>
    </row>
    <row r="893" spans="1:34" ht="13.2">
      <c r="A893" s="88"/>
      <c r="B893" s="88"/>
      <c r="C893" s="88"/>
      <c r="D893" s="88"/>
      <c r="E893" s="88"/>
      <c r="F893" s="88"/>
      <c r="G893" s="88"/>
      <c r="H893" s="88"/>
      <c r="I893" s="88"/>
      <c r="J893" s="88"/>
      <c r="K893" s="88"/>
      <c r="L893" s="88"/>
      <c r="M893" s="88"/>
      <c r="N893" s="88"/>
      <c r="O893" s="88"/>
      <c r="P893" s="88"/>
      <c r="Q893" s="88"/>
      <c r="R893" s="88"/>
      <c r="S893" s="88"/>
      <c r="T893" s="88"/>
      <c r="U893" s="88"/>
      <c r="V893" s="88"/>
      <c r="W893" s="88"/>
      <c r="X893" s="88"/>
      <c r="Y893" s="88"/>
      <c r="Z893" s="88"/>
      <c r="AA893" s="88"/>
      <c r="AB893" s="128"/>
      <c r="AC893" s="128"/>
      <c r="AD893" s="128"/>
      <c r="AE893" s="128"/>
      <c r="AF893" s="128"/>
      <c r="AG893" s="128"/>
      <c r="AH893" s="127"/>
    </row>
    <row r="894" spans="1:34" ht="13.2">
      <c r="A894" s="88"/>
      <c r="B894" s="88"/>
      <c r="C894" s="88"/>
      <c r="D894" s="88"/>
      <c r="E894" s="88"/>
      <c r="F894" s="88"/>
      <c r="G894" s="88"/>
      <c r="H894" s="88"/>
      <c r="I894" s="88"/>
      <c r="J894" s="88"/>
      <c r="K894" s="88"/>
      <c r="L894" s="88"/>
      <c r="M894" s="88"/>
      <c r="N894" s="88"/>
      <c r="O894" s="88"/>
      <c r="P894" s="88"/>
      <c r="Q894" s="88"/>
      <c r="R894" s="88"/>
      <c r="S894" s="88"/>
      <c r="T894" s="88"/>
      <c r="U894" s="88"/>
      <c r="V894" s="88"/>
      <c r="W894" s="88"/>
      <c r="X894" s="88"/>
      <c r="Y894" s="88"/>
      <c r="Z894" s="88"/>
      <c r="AA894" s="88"/>
      <c r="AB894" s="128"/>
      <c r="AC894" s="128"/>
      <c r="AD894" s="128"/>
      <c r="AE894" s="128"/>
      <c r="AF894" s="128"/>
      <c r="AG894" s="128"/>
      <c r="AH894" s="127"/>
    </row>
    <row r="895" spans="1:34" ht="13.2">
      <c r="A895" s="88"/>
      <c r="B895" s="88"/>
      <c r="C895" s="88"/>
      <c r="D895" s="88"/>
      <c r="E895" s="88"/>
      <c r="F895" s="88"/>
      <c r="G895" s="88"/>
      <c r="H895" s="88"/>
      <c r="I895" s="88"/>
      <c r="J895" s="88"/>
      <c r="K895" s="88"/>
      <c r="L895" s="88"/>
      <c r="M895" s="88"/>
      <c r="N895" s="88"/>
      <c r="O895" s="88"/>
      <c r="P895" s="88"/>
      <c r="Q895" s="88"/>
      <c r="R895" s="88"/>
      <c r="S895" s="88"/>
      <c r="T895" s="88"/>
      <c r="U895" s="88"/>
      <c r="V895" s="88"/>
      <c r="W895" s="88"/>
      <c r="X895" s="88"/>
      <c r="Y895" s="88"/>
      <c r="Z895" s="88"/>
      <c r="AA895" s="88"/>
      <c r="AB895" s="128"/>
      <c r="AC895" s="128"/>
      <c r="AD895" s="128"/>
      <c r="AE895" s="128"/>
      <c r="AF895" s="128"/>
      <c r="AG895" s="128"/>
      <c r="AH895" s="127"/>
    </row>
    <row r="896" spans="1:34" ht="13.2">
      <c r="A896" s="88"/>
      <c r="B896" s="88"/>
      <c r="C896" s="88"/>
      <c r="D896" s="88"/>
      <c r="E896" s="88"/>
      <c r="F896" s="88"/>
      <c r="G896" s="88"/>
      <c r="H896" s="88"/>
      <c r="I896" s="88"/>
      <c r="J896" s="88"/>
      <c r="K896" s="88"/>
      <c r="L896" s="88"/>
      <c r="M896" s="88"/>
      <c r="N896" s="88"/>
      <c r="O896" s="88"/>
      <c r="P896" s="88"/>
      <c r="Q896" s="88"/>
      <c r="R896" s="88"/>
      <c r="S896" s="88"/>
      <c r="T896" s="88"/>
      <c r="U896" s="88"/>
      <c r="V896" s="88"/>
      <c r="W896" s="88"/>
      <c r="X896" s="88"/>
      <c r="Y896" s="88"/>
      <c r="Z896" s="88"/>
      <c r="AA896" s="88"/>
      <c r="AB896" s="128"/>
      <c r="AC896" s="128"/>
      <c r="AD896" s="128"/>
      <c r="AE896" s="128"/>
      <c r="AF896" s="128"/>
      <c r="AG896" s="128"/>
      <c r="AH896" s="127"/>
    </row>
    <row r="897" spans="1:34" ht="13.2">
      <c r="A897" s="88"/>
      <c r="B897" s="88"/>
      <c r="C897" s="88"/>
      <c r="D897" s="88"/>
      <c r="E897" s="88"/>
      <c r="F897" s="88"/>
      <c r="G897" s="88"/>
      <c r="H897" s="88"/>
      <c r="I897" s="88"/>
      <c r="J897" s="88"/>
      <c r="K897" s="88"/>
      <c r="L897" s="88"/>
      <c r="M897" s="88"/>
      <c r="N897" s="88"/>
      <c r="O897" s="88"/>
      <c r="P897" s="88"/>
      <c r="Q897" s="88"/>
      <c r="R897" s="88"/>
      <c r="S897" s="88"/>
      <c r="T897" s="88"/>
      <c r="U897" s="88"/>
      <c r="V897" s="88"/>
      <c r="W897" s="88"/>
      <c r="X897" s="88"/>
      <c r="Y897" s="88"/>
      <c r="Z897" s="88"/>
      <c r="AA897" s="88"/>
      <c r="AB897" s="128"/>
      <c r="AC897" s="128"/>
      <c r="AD897" s="128"/>
      <c r="AE897" s="128"/>
      <c r="AF897" s="128"/>
      <c r="AG897" s="128"/>
      <c r="AH897" s="127"/>
    </row>
    <row r="898" spans="1:34" ht="13.2">
      <c r="A898" s="88"/>
      <c r="B898" s="88"/>
      <c r="C898" s="88"/>
      <c r="D898" s="88"/>
      <c r="E898" s="88"/>
      <c r="F898" s="88"/>
      <c r="G898" s="88"/>
      <c r="H898" s="88"/>
      <c r="I898" s="88"/>
      <c r="J898" s="88"/>
      <c r="K898" s="88"/>
      <c r="L898" s="88"/>
      <c r="M898" s="88"/>
      <c r="N898" s="88"/>
      <c r="O898" s="88"/>
      <c r="P898" s="88"/>
      <c r="Q898" s="88"/>
      <c r="R898" s="88"/>
      <c r="S898" s="88"/>
      <c r="T898" s="88"/>
      <c r="U898" s="88"/>
      <c r="V898" s="88"/>
      <c r="W898" s="88"/>
      <c r="X898" s="88"/>
      <c r="Y898" s="88"/>
      <c r="Z898" s="88"/>
      <c r="AA898" s="88"/>
      <c r="AB898" s="128"/>
      <c r="AC898" s="128"/>
      <c r="AD898" s="128"/>
      <c r="AE898" s="128"/>
      <c r="AF898" s="128"/>
      <c r="AG898" s="128"/>
      <c r="AH898" s="127"/>
    </row>
    <row r="899" spans="1:34" ht="13.2">
      <c r="A899" s="88"/>
      <c r="B899" s="88"/>
      <c r="C899" s="88"/>
      <c r="D899" s="88"/>
      <c r="E899" s="88"/>
      <c r="F899" s="88"/>
      <c r="G899" s="88"/>
      <c r="H899" s="88"/>
      <c r="I899" s="88"/>
      <c r="J899" s="88"/>
      <c r="K899" s="88"/>
      <c r="L899" s="88"/>
      <c r="M899" s="88"/>
      <c r="N899" s="88"/>
      <c r="O899" s="88"/>
      <c r="P899" s="88"/>
      <c r="Q899" s="88"/>
      <c r="R899" s="88"/>
      <c r="S899" s="88"/>
      <c r="T899" s="88"/>
      <c r="U899" s="88"/>
      <c r="V899" s="88"/>
      <c r="W899" s="88"/>
      <c r="X899" s="88"/>
      <c r="Y899" s="88"/>
      <c r="Z899" s="88"/>
      <c r="AA899" s="88"/>
      <c r="AB899" s="128"/>
      <c r="AC899" s="128"/>
      <c r="AD899" s="128"/>
      <c r="AE899" s="128"/>
      <c r="AF899" s="128"/>
      <c r="AG899" s="128"/>
      <c r="AH899" s="127"/>
    </row>
    <row r="900" spans="1:34" ht="13.2">
      <c r="A900" s="88"/>
      <c r="B900" s="88"/>
      <c r="C900" s="88"/>
      <c r="D900" s="88"/>
      <c r="E900" s="88"/>
      <c r="F900" s="88"/>
      <c r="G900" s="88"/>
      <c r="H900" s="88"/>
      <c r="I900" s="88"/>
      <c r="J900" s="88"/>
      <c r="K900" s="88"/>
      <c r="L900" s="88"/>
      <c r="M900" s="88"/>
      <c r="N900" s="88"/>
      <c r="O900" s="88"/>
      <c r="P900" s="88"/>
      <c r="Q900" s="88"/>
      <c r="R900" s="88"/>
      <c r="S900" s="88"/>
      <c r="T900" s="88"/>
      <c r="U900" s="88"/>
      <c r="V900" s="88"/>
      <c r="W900" s="88"/>
      <c r="X900" s="88"/>
      <c r="Y900" s="88"/>
      <c r="Z900" s="88"/>
      <c r="AA900" s="88"/>
      <c r="AB900" s="128"/>
      <c r="AC900" s="128"/>
      <c r="AD900" s="128"/>
      <c r="AE900" s="128"/>
      <c r="AF900" s="128"/>
      <c r="AG900" s="128"/>
      <c r="AH900" s="127"/>
    </row>
    <row r="901" spans="1:34" ht="13.2">
      <c r="A901" s="88"/>
      <c r="B901" s="88"/>
      <c r="C901" s="88"/>
      <c r="D901" s="88"/>
      <c r="E901" s="88"/>
      <c r="F901" s="88"/>
      <c r="G901" s="88"/>
      <c r="H901" s="88"/>
      <c r="I901" s="88"/>
      <c r="J901" s="88"/>
      <c r="K901" s="88"/>
      <c r="L901" s="88"/>
      <c r="M901" s="88"/>
      <c r="N901" s="88"/>
      <c r="O901" s="88"/>
      <c r="P901" s="88"/>
      <c r="Q901" s="88"/>
      <c r="R901" s="88"/>
      <c r="S901" s="88"/>
      <c r="T901" s="88"/>
      <c r="U901" s="88"/>
      <c r="V901" s="88"/>
      <c r="W901" s="88"/>
      <c r="X901" s="88"/>
      <c r="Y901" s="88"/>
      <c r="Z901" s="88"/>
      <c r="AA901" s="88"/>
      <c r="AB901" s="128"/>
      <c r="AC901" s="128"/>
      <c r="AD901" s="128"/>
      <c r="AE901" s="128"/>
      <c r="AF901" s="128"/>
      <c r="AG901" s="128"/>
      <c r="AH901" s="127"/>
    </row>
    <row r="902" spans="1:34" ht="13.2">
      <c r="A902" s="88"/>
      <c r="B902" s="88"/>
      <c r="C902" s="88"/>
      <c r="D902" s="88"/>
      <c r="E902" s="88"/>
      <c r="F902" s="88"/>
      <c r="G902" s="88"/>
      <c r="H902" s="88"/>
      <c r="I902" s="88"/>
      <c r="J902" s="88"/>
      <c r="K902" s="88"/>
      <c r="L902" s="88"/>
      <c r="M902" s="88"/>
      <c r="N902" s="88"/>
      <c r="O902" s="88"/>
      <c r="P902" s="88"/>
      <c r="Q902" s="88"/>
      <c r="R902" s="88"/>
      <c r="S902" s="88"/>
      <c r="T902" s="88"/>
      <c r="U902" s="88"/>
      <c r="V902" s="88"/>
      <c r="W902" s="88"/>
      <c r="X902" s="88"/>
      <c r="Y902" s="88"/>
      <c r="Z902" s="88"/>
      <c r="AA902" s="88"/>
      <c r="AB902" s="128"/>
      <c r="AC902" s="128"/>
      <c r="AD902" s="128"/>
      <c r="AE902" s="128"/>
      <c r="AF902" s="128"/>
      <c r="AG902" s="128"/>
      <c r="AH902" s="127"/>
    </row>
    <row r="903" spans="1:34" ht="13.2">
      <c r="A903" s="88"/>
      <c r="B903" s="88"/>
      <c r="C903" s="88"/>
      <c r="D903" s="88"/>
      <c r="E903" s="88"/>
      <c r="F903" s="88"/>
      <c r="G903" s="88"/>
      <c r="H903" s="88"/>
      <c r="I903" s="88"/>
      <c r="J903" s="88"/>
      <c r="K903" s="88"/>
      <c r="L903" s="88"/>
      <c r="M903" s="88"/>
      <c r="N903" s="88"/>
      <c r="O903" s="88"/>
      <c r="P903" s="88"/>
      <c r="Q903" s="88"/>
      <c r="R903" s="88"/>
      <c r="S903" s="88"/>
      <c r="T903" s="88"/>
      <c r="U903" s="88"/>
      <c r="V903" s="88"/>
      <c r="W903" s="88"/>
      <c r="X903" s="88"/>
      <c r="Y903" s="88"/>
      <c r="Z903" s="88"/>
      <c r="AA903" s="88"/>
      <c r="AB903" s="128"/>
      <c r="AC903" s="128"/>
      <c r="AD903" s="128"/>
      <c r="AE903" s="128"/>
      <c r="AF903" s="128"/>
      <c r="AG903" s="128"/>
      <c r="AH903" s="127"/>
    </row>
    <row r="904" spans="1:34" ht="13.2">
      <c r="A904" s="88"/>
      <c r="B904" s="88"/>
      <c r="C904" s="88"/>
      <c r="D904" s="88"/>
      <c r="E904" s="88"/>
      <c r="F904" s="88"/>
      <c r="G904" s="88"/>
      <c r="H904" s="88"/>
      <c r="I904" s="88"/>
      <c r="J904" s="88"/>
      <c r="K904" s="88"/>
      <c r="L904" s="88"/>
      <c r="M904" s="88"/>
      <c r="N904" s="88"/>
      <c r="O904" s="88"/>
      <c r="P904" s="88"/>
      <c r="Q904" s="88"/>
      <c r="R904" s="88"/>
      <c r="S904" s="88"/>
      <c r="T904" s="88"/>
      <c r="U904" s="88"/>
      <c r="V904" s="88"/>
      <c r="W904" s="88"/>
      <c r="X904" s="88"/>
      <c r="Y904" s="88"/>
      <c r="Z904" s="88"/>
      <c r="AA904" s="88"/>
      <c r="AB904" s="128"/>
      <c r="AC904" s="128"/>
      <c r="AD904" s="128"/>
      <c r="AE904" s="128"/>
      <c r="AF904" s="128"/>
      <c r="AG904" s="128"/>
      <c r="AH904" s="127"/>
    </row>
    <row r="905" spans="1:34" ht="13.2">
      <c r="A905" s="88"/>
      <c r="B905" s="88"/>
      <c r="C905" s="88"/>
      <c r="D905" s="88"/>
      <c r="E905" s="88"/>
      <c r="F905" s="88"/>
      <c r="G905" s="88"/>
      <c r="H905" s="88"/>
      <c r="I905" s="88"/>
      <c r="J905" s="88"/>
      <c r="K905" s="88"/>
      <c r="L905" s="88"/>
      <c r="M905" s="88"/>
      <c r="N905" s="88"/>
      <c r="O905" s="88"/>
      <c r="P905" s="88"/>
      <c r="Q905" s="88"/>
      <c r="R905" s="88"/>
      <c r="S905" s="88"/>
      <c r="T905" s="88"/>
      <c r="U905" s="88"/>
      <c r="V905" s="88"/>
      <c r="W905" s="88"/>
      <c r="X905" s="88"/>
      <c r="Y905" s="88"/>
      <c r="Z905" s="88"/>
      <c r="AA905" s="88"/>
      <c r="AB905" s="128"/>
      <c r="AC905" s="128"/>
      <c r="AD905" s="128"/>
      <c r="AE905" s="128"/>
      <c r="AF905" s="128"/>
      <c r="AG905" s="128"/>
      <c r="AH905" s="127"/>
    </row>
    <row r="906" spans="1:34" ht="13.2">
      <c r="A906" s="88"/>
      <c r="B906" s="88"/>
      <c r="C906" s="88"/>
      <c r="D906" s="88"/>
      <c r="E906" s="88"/>
      <c r="F906" s="88"/>
      <c r="G906" s="88"/>
      <c r="H906" s="88"/>
      <c r="I906" s="88"/>
      <c r="J906" s="88"/>
      <c r="K906" s="88"/>
      <c r="L906" s="88"/>
      <c r="M906" s="88"/>
      <c r="N906" s="88"/>
      <c r="O906" s="88"/>
      <c r="P906" s="88"/>
      <c r="Q906" s="88"/>
      <c r="R906" s="88"/>
      <c r="S906" s="88"/>
      <c r="T906" s="88"/>
      <c r="U906" s="88"/>
      <c r="V906" s="88"/>
      <c r="W906" s="88"/>
      <c r="X906" s="88"/>
      <c r="Y906" s="88"/>
      <c r="Z906" s="88"/>
      <c r="AA906" s="88"/>
      <c r="AB906" s="128"/>
      <c r="AC906" s="128"/>
      <c r="AD906" s="128"/>
      <c r="AE906" s="128"/>
      <c r="AF906" s="128"/>
      <c r="AG906" s="128"/>
      <c r="AH906" s="127"/>
    </row>
    <row r="907" spans="1:34" ht="13.2">
      <c r="A907" s="88"/>
      <c r="B907" s="88"/>
      <c r="C907" s="88"/>
      <c r="D907" s="88"/>
      <c r="E907" s="88"/>
      <c r="F907" s="88"/>
      <c r="G907" s="88"/>
      <c r="H907" s="88"/>
      <c r="I907" s="88"/>
      <c r="J907" s="88"/>
      <c r="K907" s="88"/>
      <c r="L907" s="88"/>
      <c r="M907" s="88"/>
      <c r="N907" s="88"/>
      <c r="O907" s="88"/>
      <c r="P907" s="88"/>
      <c r="Q907" s="88"/>
      <c r="R907" s="88"/>
      <c r="S907" s="88"/>
      <c r="T907" s="88"/>
      <c r="U907" s="88"/>
      <c r="V907" s="88"/>
      <c r="W907" s="88"/>
      <c r="X907" s="88"/>
      <c r="Y907" s="88"/>
      <c r="Z907" s="88"/>
      <c r="AA907" s="88"/>
      <c r="AB907" s="128"/>
      <c r="AC907" s="128"/>
      <c r="AD907" s="128"/>
      <c r="AE907" s="128"/>
      <c r="AF907" s="128"/>
      <c r="AG907" s="128"/>
      <c r="AH907" s="127"/>
    </row>
    <row r="908" spans="1:34" ht="13.2">
      <c r="A908" s="88"/>
      <c r="B908" s="88"/>
      <c r="C908" s="88"/>
      <c r="D908" s="88"/>
      <c r="E908" s="88"/>
      <c r="F908" s="88"/>
      <c r="G908" s="88"/>
      <c r="H908" s="88"/>
      <c r="I908" s="88"/>
      <c r="J908" s="88"/>
      <c r="K908" s="88"/>
      <c r="L908" s="88"/>
      <c r="M908" s="88"/>
      <c r="N908" s="88"/>
      <c r="O908" s="88"/>
      <c r="P908" s="88"/>
      <c r="Q908" s="88"/>
      <c r="R908" s="88"/>
      <c r="S908" s="88"/>
      <c r="T908" s="88"/>
      <c r="U908" s="88"/>
      <c r="V908" s="88"/>
      <c r="W908" s="88"/>
      <c r="X908" s="88"/>
      <c r="Y908" s="88"/>
      <c r="Z908" s="88"/>
      <c r="AA908" s="88"/>
      <c r="AB908" s="128"/>
      <c r="AC908" s="128"/>
      <c r="AD908" s="128"/>
      <c r="AE908" s="128"/>
      <c r="AF908" s="128"/>
      <c r="AG908" s="128"/>
      <c r="AH908" s="127"/>
    </row>
    <row r="909" spans="1:34" ht="13.2">
      <c r="A909" s="88"/>
      <c r="B909" s="88"/>
      <c r="C909" s="88"/>
      <c r="D909" s="88"/>
      <c r="E909" s="88"/>
      <c r="F909" s="88"/>
      <c r="G909" s="88"/>
      <c r="H909" s="88"/>
      <c r="I909" s="88"/>
      <c r="J909" s="88"/>
      <c r="K909" s="88"/>
      <c r="L909" s="88"/>
      <c r="M909" s="88"/>
      <c r="N909" s="88"/>
      <c r="O909" s="88"/>
      <c r="P909" s="88"/>
      <c r="Q909" s="88"/>
      <c r="R909" s="88"/>
      <c r="S909" s="88"/>
      <c r="T909" s="88"/>
      <c r="U909" s="88"/>
      <c r="V909" s="88"/>
      <c r="W909" s="88"/>
      <c r="X909" s="88"/>
      <c r="Y909" s="88"/>
      <c r="Z909" s="88"/>
      <c r="AA909" s="88"/>
      <c r="AB909" s="128"/>
      <c r="AC909" s="128"/>
      <c r="AD909" s="128"/>
      <c r="AE909" s="128"/>
      <c r="AF909" s="128"/>
      <c r="AG909" s="128"/>
      <c r="AH909" s="127"/>
    </row>
    <row r="910" spans="1:34" ht="13.2">
      <c r="A910" s="88"/>
      <c r="B910" s="88"/>
      <c r="C910" s="88"/>
      <c r="D910" s="88"/>
      <c r="E910" s="88"/>
      <c r="F910" s="88"/>
      <c r="G910" s="88"/>
      <c r="H910" s="88"/>
      <c r="I910" s="88"/>
      <c r="J910" s="88"/>
      <c r="K910" s="88"/>
      <c r="L910" s="88"/>
      <c r="M910" s="88"/>
      <c r="N910" s="88"/>
      <c r="O910" s="88"/>
      <c r="P910" s="88"/>
      <c r="Q910" s="88"/>
      <c r="R910" s="88"/>
      <c r="S910" s="88"/>
      <c r="T910" s="88"/>
      <c r="U910" s="88"/>
      <c r="V910" s="88"/>
      <c r="W910" s="88"/>
      <c r="X910" s="88"/>
      <c r="Y910" s="88"/>
      <c r="Z910" s="88"/>
      <c r="AA910" s="88"/>
      <c r="AB910" s="128"/>
      <c r="AC910" s="128"/>
      <c r="AD910" s="128"/>
      <c r="AE910" s="128"/>
      <c r="AF910" s="128"/>
      <c r="AG910" s="128"/>
      <c r="AH910" s="127"/>
    </row>
    <row r="911" spans="1:34" ht="13.2">
      <c r="A911" s="88"/>
      <c r="B911" s="88"/>
      <c r="C911" s="88"/>
      <c r="D911" s="88"/>
      <c r="E911" s="88"/>
      <c r="F911" s="88"/>
      <c r="G911" s="88"/>
      <c r="H911" s="88"/>
      <c r="I911" s="88"/>
      <c r="J911" s="88"/>
      <c r="K911" s="88"/>
      <c r="L911" s="88"/>
      <c r="M911" s="88"/>
      <c r="N911" s="88"/>
      <c r="O911" s="88"/>
      <c r="P911" s="88"/>
      <c r="Q911" s="88"/>
      <c r="R911" s="88"/>
      <c r="S911" s="88"/>
      <c r="T911" s="88"/>
      <c r="U911" s="88"/>
      <c r="V911" s="88"/>
      <c r="W911" s="88"/>
      <c r="X911" s="88"/>
      <c r="Y911" s="88"/>
      <c r="Z911" s="88"/>
      <c r="AA911" s="88"/>
      <c r="AB911" s="128"/>
      <c r="AC911" s="128"/>
      <c r="AD911" s="128"/>
      <c r="AE911" s="128"/>
      <c r="AF911" s="128"/>
      <c r="AG911" s="128"/>
      <c r="AH911" s="127"/>
    </row>
    <row r="912" spans="1:34" ht="13.2">
      <c r="A912" s="88"/>
      <c r="B912" s="88"/>
      <c r="C912" s="88"/>
      <c r="D912" s="88"/>
      <c r="E912" s="88"/>
      <c r="F912" s="88"/>
      <c r="G912" s="88"/>
      <c r="H912" s="88"/>
      <c r="I912" s="88"/>
      <c r="J912" s="88"/>
      <c r="K912" s="88"/>
      <c r="L912" s="88"/>
      <c r="M912" s="88"/>
      <c r="N912" s="88"/>
      <c r="O912" s="88"/>
      <c r="P912" s="88"/>
      <c r="Q912" s="88"/>
      <c r="R912" s="88"/>
      <c r="S912" s="88"/>
      <c r="T912" s="88"/>
      <c r="U912" s="88"/>
      <c r="V912" s="88"/>
      <c r="W912" s="88"/>
      <c r="X912" s="88"/>
      <c r="Y912" s="88"/>
      <c r="Z912" s="88"/>
      <c r="AA912" s="88"/>
      <c r="AB912" s="128"/>
      <c r="AC912" s="128"/>
      <c r="AD912" s="128"/>
      <c r="AE912" s="128"/>
      <c r="AF912" s="128"/>
      <c r="AG912" s="128"/>
      <c r="AH912" s="127"/>
    </row>
    <row r="913" spans="1:34" ht="13.2">
      <c r="A913" s="88"/>
      <c r="B913" s="88"/>
      <c r="C913" s="88"/>
      <c r="D913" s="88"/>
      <c r="E913" s="88"/>
      <c r="F913" s="88"/>
      <c r="G913" s="88"/>
      <c r="H913" s="88"/>
      <c r="I913" s="88"/>
      <c r="J913" s="88"/>
      <c r="K913" s="88"/>
      <c r="L913" s="88"/>
      <c r="M913" s="88"/>
      <c r="N913" s="88"/>
      <c r="O913" s="88"/>
      <c r="P913" s="88"/>
      <c r="Q913" s="88"/>
      <c r="R913" s="88"/>
      <c r="S913" s="88"/>
      <c r="T913" s="88"/>
      <c r="U913" s="88"/>
      <c r="V913" s="88"/>
      <c r="W913" s="88"/>
      <c r="X913" s="88"/>
      <c r="Y913" s="88"/>
      <c r="Z913" s="88"/>
      <c r="AA913" s="88"/>
      <c r="AB913" s="128"/>
      <c r="AC913" s="128"/>
      <c r="AD913" s="128"/>
      <c r="AE913" s="128"/>
      <c r="AF913" s="128"/>
      <c r="AG913" s="128"/>
      <c r="AH913" s="127"/>
    </row>
    <row r="914" spans="1:34" ht="13.2">
      <c r="A914" s="88"/>
      <c r="B914" s="88"/>
      <c r="C914" s="88"/>
      <c r="D914" s="88"/>
      <c r="E914" s="88"/>
      <c r="F914" s="88"/>
      <c r="G914" s="88"/>
      <c r="H914" s="88"/>
      <c r="I914" s="88"/>
      <c r="J914" s="88"/>
      <c r="K914" s="88"/>
      <c r="L914" s="88"/>
      <c r="M914" s="88"/>
      <c r="N914" s="88"/>
      <c r="O914" s="88"/>
      <c r="P914" s="88"/>
      <c r="Q914" s="88"/>
      <c r="R914" s="88"/>
      <c r="S914" s="88"/>
      <c r="T914" s="88"/>
      <c r="U914" s="88"/>
      <c r="V914" s="88"/>
      <c r="W914" s="88"/>
      <c r="X914" s="88"/>
      <c r="Y914" s="88"/>
      <c r="Z914" s="88"/>
      <c r="AA914" s="88"/>
      <c r="AB914" s="128"/>
      <c r="AC914" s="128"/>
      <c r="AD914" s="128"/>
      <c r="AE914" s="128"/>
      <c r="AF914" s="128"/>
      <c r="AG914" s="128"/>
      <c r="AH914" s="127"/>
    </row>
    <row r="915" spans="1:34" ht="13.2">
      <c r="A915" s="88"/>
      <c r="B915" s="88"/>
      <c r="C915" s="88"/>
      <c r="D915" s="88"/>
      <c r="E915" s="88"/>
      <c r="F915" s="88"/>
      <c r="G915" s="88"/>
      <c r="H915" s="88"/>
      <c r="I915" s="88"/>
      <c r="J915" s="88"/>
      <c r="K915" s="88"/>
      <c r="L915" s="88"/>
      <c r="M915" s="88"/>
      <c r="N915" s="88"/>
      <c r="O915" s="88"/>
      <c r="P915" s="88"/>
      <c r="Q915" s="88"/>
      <c r="R915" s="88"/>
      <c r="S915" s="88"/>
      <c r="T915" s="88"/>
      <c r="U915" s="88"/>
      <c r="V915" s="88"/>
      <c r="W915" s="88"/>
      <c r="X915" s="88"/>
      <c r="Y915" s="88"/>
      <c r="Z915" s="88"/>
      <c r="AA915" s="88"/>
      <c r="AB915" s="128"/>
      <c r="AC915" s="128"/>
      <c r="AD915" s="128"/>
      <c r="AE915" s="128"/>
      <c r="AF915" s="128"/>
      <c r="AG915" s="128"/>
      <c r="AH915" s="127"/>
    </row>
    <row r="916" spans="1:34" ht="13.2">
      <c r="A916" s="88"/>
      <c r="B916" s="88"/>
      <c r="C916" s="88"/>
      <c r="D916" s="88"/>
      <c r="E916" s="88"/>
      <c r="F916" s="88"/>
      <c r="G916" s="88"/>
      <c r="H916" s="88"/>
      <c r="I916" s="88"/>
      <c r="J916" s="88"/>
      <c r="K916" s="88"/>
      <c r="L916" s="88"/>
      <c r="M916" s="88"/>
      <c r="N916" s="88"/>
      <c r="O916" s="88"/>
      <c r="P916" s="88"/>
      <c r="Q916" s="88"/>
      <c r="R916" s="88"/>
      <c r="S916" s="88"/>
      <c r="T916" s="88"/>
      <c r="U916" s="88"/>
      <c r="V916" s="88"/>
      <c r="W916" s="88"/>
      <c r="X916" s="88"/>
      <c r="Y916" s="88"/>
      <c r="Z916" s="88"/>
      <c r="AA916" s="88"/>
      <c r="AB916" s="128"/>
      <c r="AC916" s="128"/>
      <c r="AD916" s="128"/>
      <c r="AE916" s="128"/>
      <c r="AF916" s="128"/>
      <c r="AG916" s="128"/>
      <c r="AH916" s="127"/>
    </row>
    <row r="917" spans="1:34" ht="13.2">
      <c r="A917" s="88"/>
      <c r="B917" s="88"/>
      <c r="C917" s="88"/>
      <c r="D917" s="88"/>
      <c r="E917" s="88"/>
      <c r="F917" s="88"/>
      <c r="G917" s="88"/>
      <c r="H917" s="88"/>
      <c r="I917" s="88"/>
      <c r="J917" s="88"/>
      <c r="K917" s="88"/>
      <c r="L917" s="88"/>
      <c r="M917" s="88"/>
      <c r="N917" s="88"/>
      <c r="O917" s="88"/>
      <c r="P917" s="88"/>
      <c r="Q917" s="88"/>
      <c r="R917" s="88"/>
      <c r="S917" s="88"/>
      <c r="T917" s="88"/>
      <c r="U917" s="88"/>
      <c r="V917" s="88"/>
      <c r="W917" s="88"/>
      <c r="X917" s="88"/>
      <c r="Y917" s="88"/>
      <c r="Z917" s="88"/>
      <c r="AA917" s="88"/>
      <c r="AB917" s="128"/>
      <c r="AC917" s="128"/>
      <c r="AD917" s="128"/>
      <c r="AE917" s="128"/>
      <c r="AF917" s="128"/>
      <c r="AG917" s="128"/>
      <c r="AH917" s="127"/>
    </row>
    <row r="918" spans="1:34" ht="13.2">
      <c r="A918" s="88"/>
      <c r="B918" s="88"/>
      <c r="C918" s="88"/>
      <c r="D918" s="88"/>
      <c r="E918" s="88"/>
      <c r="F918" s="88"/>
      <c r="G918" s="88"/>
      <c r="H918" s="88"/>
      <c r="I918" s="88"/>
      <c r="J918" s="88"/>
      <c r="K918" s="88"/>
      <c r="L918" s="88"/>
      <c r="M918" s="88"/>
      <c r="N918" s="88"/>
      <c r="O918" s="88"/>
      <c r="P918" s="88"/>
      <c r="Q918" s="88"/>
      <c r="R918" s="88"/>
      <c r="S918" s="88"/>
      <c r="T918" s="88"/>
      <c r="U918" s="88"/>
      <c r="V918" s="88"/>
      <c r="W918" s="88"/>
      <c r="X918" s="88"/>
      <c r="Y918" s="88"/>
      <c r="Z918" s="88"/>
      <c r="AA918" s="88"/>
      <c r="AB918" s="128"/>
      <c r="AC918" s="128"/>
      <c r="AD918" s="128"/>
      <c r="AE918" s="128"/>
      <c r="AF918" s="128"/>
      <c r="AG918" s="128"/>
      <c r="AH918" s="127"/>
    </row>
    <row r="919" spans="1:34" ht="13.2">
      <c r="A919" s="88"/>
      <c r="B919" s="88"/>
      <c r="C919" s="88"/>
      <c r="D919" s="88"/>
      <c r="E919" s="88"/>
      <c r="F919" s="88"/>
      <c r="G919" s="88"/>
      <c r="H919" s="88"/>
      <c r="I919" s="88"/>
      <c r="J919" s="88"/>
      <c r="K919" s="88"/>
      <c r="L919" s="88"/>
      <c r="M919" s="88"/>
      <c r="N919" s="88"/>
      <c r="O919" s="88"/>
      <c r="P919" s="88"/>
      <c r="Q919" s="88"/>
      <c r="R919" s="88"/>
      <c r="S919" s="88"/>
      <c r="T919" s="88"/>
      <c r="U919" s="88"/>
      <c r="V919" s="88"/>
      <c r="W919" s="88"/>
      <c r="X919" s="88"/>
      <c r="Y919" s="88"/>
      <c r="Z919" s="88"/>
      <c r="AA919" s="88"/>
      <c r="AB919" s="128"/>
      <c r="AC919" s="128"/>
      <c r="AD919" s="128"/>
      <c r="AE919" s="128"/>
      <c r="AF919" s="128"/>
      <c r="AG919" s="128"/>
      <c r="AH919" s="127"/>
    </row>
    <row r="920" spans="1:34" ht="13.2">
      <c r="A920" s="88"/>
      <c r="B920" s="88"/>
      <c r="C920" s="88"/>
      <c r="D920" s="88"/>
      <c r="E920" s="88"/>
      <c r="F920" s="88"/>
      <c r="G920" s="88"/>
      <c r="H920" s="88"/>
      <c r="I920" s="88"/>
      <c r="J920" s="88"/>
      <c r="K920" s="88"/>
      <c r="L920" s="88"/>
      <c r="M920" s="88"/>
      <c r="N920" s="88"/>
      <c r="O920" s="88"/>
      <c r="P920" s="88"/>
      <c r="Q920" s="88"/>
      <c r="R920" s="88"/>
      <c r="S920" s="88"/>
      <c r="T920" s="88"/>
      <c r="U920" s="88"/>
      <c r="V920" s="88"/>
      <c r="W920" s="88"/>
      <c r="X920" s="88"/>
      <c r="Y920" s="88"/>
      <c r="Z920" s="88"/>
      <c r="AA920" s="88"/>
      <c r="AB920" s="128"/>
      <c r="AC920" s="128"/>
      <c r="AD920" s="128"/>
      <c r="AE920" s="128"/>
      <c r="AF920" s="128"/>
      <c r="AG920" s="128"/>
      <c r="AH920" s="127"/>
    </row>
    <row r="921" spans="1:34" ht="13.2">
      <c r="A921" s="88"/>
      <c r="B921" s="88"/>
      <c r="C921" s="88"/>
      <c r="D921" s="88"/>
      <c r="E921" s="88"/>
      <c r="F921" s="88"/>
      <c r="G921" s="88"/>
      <c r="H921" s="88"/>
      <c r="I921" s="88"/>
      <c r="J921" s="88"/>
      <c r="K921" s="88"/>
      <c r="L921" s="88"/>
      <c r="M921" s="88"/>
      <c r="N921" s="88"/>
      <c r="O921" s="88"/>
      <c r="P921" s="88"/>
      <c r="Q921" s="88"/>
      <c r="R921" s="88"/>
      <c r="S921" s="88"/>
      <c r="T921" s="88"/>
      <c r="U921" s="88"/>
      <c r="V921" s="88"/>
      <c r="W921" s="88"/>
      <c r="X921" s="88"/>
      <c r="Y921" s="88"/>
      <c r="Z921" s="88"/>
      <c r="AA921" s="88"/>
      <c r="AB921" s="128"/>
      <c r="AC921" s="128"/>
      <c r="AD921" s="128"/>
      <c r="AE921" s="128"/>
      <c r="AF921" s="128"/>
      <c r="AG921" s="128"/>
      <c r="AH921" s="127"/>
    </row>
    <row r="922" spans="1:34" ht="13.2">
      <c r="A922" s="88"/>
      <c r="B922" s="88"/>
      <c r="C922" s="88"/>
      <c r="D922" s="88"/>
      <c r="E922" s="88"/>
      <c r="F922" s="88"/>
      <c r="G922" s="88"/>
      <c r="H922" s="88"/>
      <c r="I922" s="88"/>
      <c r="J922" s="88"/>
      <c r="K922" s="88"/>
      <c r="L922" s="88"/>
      <c r="M922" s="88"/>
      <c r="N922" s="88"/>
      <c r="O922" s="88"/>
      <c r="P922" s="88"/>
      <c r="Q922" s="88"/>
      <c r="R922" s="88"/>
      <c r="S922" s="88"/>
      <c r="T922" s="88"/>
      <c r="U922" s="88"/>
      <c r="V922" s="88"/>
      <c r="W922" s="88"/>
      <c r="X922" s="88"/>
      <c r="Y922" s="88"/>
      <c r="Z922" s="88"/>
      <c r="AA922" s="88"/>
      <c r="AB922" s="128"/>
      <c r="AC922" s="128"/>
      <c r="AD922" s="128"/>
      <c r="AE922" s="128"/>
      <c r="AF922" s="128"/>
      <c r="AG922" s="128"/>
      <c r="AH922" s="127"/>
    </row>
    <row r="923" spans="1:34" ht="13.2">
      <c r="A923" s="88"/>
      <c r="B923" s="88"/>
      <c r="C923" s="88"/>
      <c r="D923" s="88"/>
      <c r="E923" s="88"/>
      <c r="F923" s="88"/>
      <c r="G923" s="88"/>
      <c r="H923" s="88"/>
      <c r="I923" s="88"/>
      <c r="J923" s="88"/>
      <c r="K923" s="88"/>
      <c r="L923" s="88"/>
      <c r="M923" s="88"/>
      <c r="N923" s="88"/>
      <c r="O923" s="88"/>
      <c r="P923" s="88"/>
      <c r="Q923" s="88"/>
      <c r="R923" s="88"/>
      <c r="S923" s="88"/>
      <c r="T923" s="88"/>
      <c r="U923" s="88"/>
      <c r="V923" s="88"/>
      <c r="W923" s="88"/>
      <c r="X923" s="88"/>
      <c r="Y923" s="88"/>
      <c r="Z923" s="88"/>
      <c r="AA923" s="88"/>
      <c r="AB923" s="128"/>
      <c r="AC923" s="128"/>
      <c r="AD923" s="128"/>
      <c r="AE923" s="128"/>
      <c r="AF923" s="128"/>
      <c r="AG923" s="128"/>
      <c r="AH923" s="127"/>
    </row>
    <row r="924" spans="1:34" ht="13.2">
      <c r="A924" s="88"/>
      <c r="B924" s="88"/>
      <c r="C924" s="88"/>
      <c r="D924" s="88"/>
      <c r="E924" s="88"/>
      <c r="F924" s="88"/>
      <c r="G924" s="88"/>
      <c r="H924" s="88"/>
      <c r="I924" s="88"/>
      <c r="J924" s="88"/>
      <c r="K924" s="88"/>
      <c r="L924" s="88"/>
      <c r="M924" s="88"/>
      <c r="N924" s="88"/>
      <c r="O924" s="88"/>
      <c r="P924" s="88"/>
      <c r="Q924" s="88"/>
      <c r="R924" s="88"/>
      <c r="S924" s="88"/>
      <c r="T924" s="88"/>
      <c r="U924" s="88"/>
      <c r="V924" s="88"/>
      <c r="W924" s="88"/>
      <c r="X924" s="88"/>
      <c r="Y924" s="88"/>
      <c r="Z924" s="88"/>
      <c r="AA924" s="88"/>
      <c r="AB924" s="128"/>
      <c r="AC924" s="128"/>
      <c r="AD924" s="128"/>
      <c r="AE924" s="128"/>
      <c r="AF924" s="128"/>
      <c r="AG924" s="128"/>
      <c r="AH924" s="127"/>
    </row>
    <row r="925" spans="1:34" ht="13.2">
      <c r="A925" s="88"/>
      <c r="B925" s="88"/>
      <c r="C925" s="88"/>
      <c r="D925" s="88"/>
      <c r="E925" s="88"/>
      <c r="F925" s="88"/>
      <c r="G925" s="88"/>
      <c r="H925" s="88"/>
      <c r="I925" s="88"/>
      <c r="J925" s="88"/>
      <c r="K925" s="88"/>
      <c r="L925" s="88"/>
      <c r="M925" s="88"/>
      <c r="N925" s="88"/>
      <c r="O925" s="88"/>
      <c r="P925" s="88"/>
      <c r="Q925" s="88"/>
      <c r="R925" s="88"/>
      <c r="S925" s="88"/>
      <c r="T925" s="88"/>
      <c r="U925" s="88"/>
      <c r="V925" s="88"/>
      <c r="W925" s="88"/>
      <c r="X925" s="88"/>
      <c r="Y925" s="88"/>
      <c r="Z925" s="88"/>
      <c r="AA925" s="88"/>
      <c r="AB925" s="128"/>
      <c r="AC925" s="128"/>
      <c r="AD925" s="128"/>
      <c r="AE925" s="128"/>
      <c r="AF925" s="128"/>
      <c r="AG925" s="128"/>
      <c r="AH925" s="127"/>
    </row>
    <row r="926" spans="1:34" ht="13.2">
      <c r="A926" s="88"/>
      <c r="B926" s="88"/>
      <c r="C926" s="88"/>
      <c r="D926" s="88"/>
      <c r="E926" s="88"/>
      <c r="F926" s="88"/>
      <c r="G926" s="88"/>
      <c r="H926" s="88"/>
      <c r="I926" s="88"/>
      <c r="J926" s="88"/>
      <c r="K926" s="88"/>
      <c r="L926" s="88"/>
      <c r="M926" s="88"/>
      <c r="N926" s="88"/>
      <c r="O926" s="88"/>
      <c r="P926" s="88"/>
      <c r="Q926" s="88"/>
      <c r="R926" s="88"/>
      <c r="S926" s="88"/>
      <c r="T926" s="88"/>
      <c r="U926" s="88"/>
      <c r="V926" s="88"/>
      <c r="W926" s="88"/>
      <c r="X926" s="88"/>
      <c r="Y926" s="88"/>
      <c r="Z926" s="88"/>
      <c r="AA926" s="88"/>
      <c r="AB926" s="128"/>
      <c r="AC926" s="128"/>
      <c r="AD926" s="128"/>
      <c r="AE926" s="128"/>
      <c r="AF926" s="128"/>
      <c r="AG926" s="128"/>
      <c r="AH926" s="127"/>
    </row>
    <row r="927" spans="1:34" ht="13.2">
      <c r="A927" s="88"/>
      <c r="B927" s="88"/>
      <c r="C927" s="88"/>
      <c r="D927" s="88"/>
      <c r="E927" s="88"/>
      <c r="F927" s="88"/>
      <c r="G927" s="88"/>
      <c r="H927" s="88"/>
      <c r="I927" s="88"/>
      <c r="J927" s="88"/>
      <c r="K927" s="88"/>
      <c r="L927" s="88"/>
      <c r="M927" s="88"/>
      <c r="N927" s="88"/>
      <c r="O927" s="88"/>
      <c r="P927" s="88"/>
      <c r="Q927" s="88"/>
      <c r="R927" s="88"/>
      <c r="S927" s="88"/>
      <c r="T927" s="88"/>
      <c r="U927" s="88"/>
      <c r="V927" s="88"/>
      <c r="W927" s="88"/>
      <c r="X927" s="88"/>
      <c r="Y927" s="88"/>
      <c r="Z927" s="88"/>
      <c r="AA927" s="88"/>
      <c r="AB927" s="128"/>
      <c r="AC927" s="128"/>
      <c r="AD927" s="128"/>
      <c r="AE927" s="128"/>
      <c r="AF927" s="128"/>
      <c r="AG927" s="128"/>
      <c r="AH927" s="127"/>
    </row>
    <row r="928" spans="1:34" ht="13.2">
      <c r="A928" s="88"/>
      <c r="B928" s="88"/>
      <c r="C928" s="88"/>
      <c r="D928" s="88"/>
      <c r="E928" s="88"/>
      <c r="F928" s="88"/>
      <c r="G928" s="88"/>
      <c r="H928" s="88"/>
      <c r="I928" s="88"/>
      <c r="J928" s="88"/>
      <c r="K928" s="88"/>
      <c r="L928" s="88"/>
      <c r="M928" s="88"/>
      <c r="N928" s="88"/>
      <c r="O928" s="88"/>
      <c r="P928" s="88"/>
      <c r="Q928" s="88"/>
      <c r="R928" s="88"/>
      <c r="S928" s="88"/>
      <c r="T928" s="88"/>
      <c r="U928" s="88"/>
      <c r="V928" s="88"/>
      <c r="W928" s="88"/>
      <c r="X928" s="88"/>
      <c r="Y928" s="88"/>
      <c r="Z928" s="88"/>
      <c r="AA928" s="88"/>
      <c r="AB928" s="128"/>
      <c r="AC928" s="128"/>
      <c r="AD928" s="128"/>
      <c r="AE928" s="128"/>
      <c r="AF928" s="128"/>
      <c r="AG928" s="128"/>
      <c r="AH928" s="127"/>
    </row>
    <row r="929" spans="1:34" ht="13.2">
      <c r="A929" s="88"/>
      <c r="B929" s="88"/>
      <c r="C929" s="88"/>
      <c r="D929" s="88"/>
      <c r="E929" s="88"/>
      <c r="F929" s="88"/>
      <c r="G929" s="88"/>
      <c r="H929" s="88"/>
      <c r="I929" s="88"/>
      <c r="J929" s="88"/>
      <c r="K929" s="88"/>
      <c r="L929" s="88"/>
      <c r="M929" s="88"/>
      <c r="N929" s="88"/>
      <c r="O929" s="88"/>
      <c r="P929" s="88"/>
      <c r="Q929" s="88"/>
      <c r="R929" s="88"/>
      <c r="S929" s="88"/>
      <c r="T929" s="88"/>
      <c r="U929" s="88"/>
      <c r="V929" s="88"/>
      <c r="W929" s="88"/>
      <c r="X929" s="88"/>
      <c r="Y929" s="88"/>
      <c r="Z929" s="88"/>
      <c r="AA929" s="88"/>
      <c r="AB929" s="128"/>
      <c r="AC929" s="128"/>
      <c r="AD929" s="128"/>
      <c r="AE929" s="128"/>
      <c r="AF929" s="128"/>
      <c r="AG929" s="128"/>
      <c r="AH929" s="127"/>
    </row>
    <row r="930" spans="1:34" ht="13.2">
      <c r="A930" s="88"/>
      <c r="B930" s="88"/>
      <c r="C930" s="88"/>
      <c r="D930" s="88"/>
      <c r="E930" s="88"/>
      <c r="F930" s="88"/>
      <c r="G930" s="88"/>
      <c r="H930" s="88"/>
      <c r="I930" s="88"/>
      <c r="J930" s="88"/>
      <c r="K930" s="88"/>
      <c r="L930" s="88"/>
      <c r="M930" s="88"/>
      <c r="N930" s="88"/>
      <c r="O930" s="88"/>
      <c r="P930" s="88"/>
      <c r="Q930" s="88"/>
      <c r="R930" s="88"/>
      <c r="S930" s="88"/>
      <c r="T930" s="88"/>
      <c r="U930" s="88"/>
      <c r="V930" s="88"/>
      <c r="W930" s="88"/>
      <c r="X930" s="88"/>
      <c r="Y930" s="88"/>
      <c r="Z930" s="88"/>
      <c r="AA930" s="88"/>
      <c r="AB930" s="128"/>
      <c r="AC930" s="128"/>
      <c r="AD930" s="128"/>
      <c r="AE930" s="128"/>
      <c r="AF930" s="128"/>
      <c r="AG930" s="128"/>
      <c r="AH930" s="127"/>
    </row>
    <row r="931" spans="1:34" ht="13.2">
      <c r="A931" s="88"/>
      <c r="B931" s="88"/>
      <c r="C931" s="88"/>
      <c r="D931" s="88"/>
      <c r="E931" s="88"/>
      <c r="F931" s="88"/>
      <c r="G931" s="88"/>
      <c r="H931" s="88"/>
      <c r="I931" s="88"/>
      <c r="J931" s="88"/>
      <c r="K931" s="88"/>
      <c r="L931" s="88"/>
      <c r="M931" s="88"/>
      <c r="N931" s="88"/>
      <c r="O931" s="88"/>
      <c r="P931" s="88"/>
      <c r="Q931" s="88"/>
      <c r="R931" s="88"/>
      <c r="S931" s="88"/>
      <c r="T931" s="88"/>
      <c r="U931" s="88"/>
      <c r="V931" s="88"/>
      <c r="W931" s="88"/>
      <c r="X931" s="88"/>
      <c r="Y931" s="88"/>
      <c r="Z931" s="88"/>
      <c r="AA931" s="88"/>
      <c r="AB931" s="128"/>
      <c r="AC931" s="128"/>
      <c r="AD931" s="128"/>
      <c r="AE931" s="128"/>
      <c r="AF931" s="128"/>
      <c r="AG931" s="128"/>
      <c r="AH931" s="127"/>
    </row>
    <row r="932" spans="1:34" ht="13.2">
      <c r="A932" s="88"/>
      <c r="B932" s="88"/>
      <c r="C932" s="88"/>
      <c r="D932" s="88"/>
      <c r="E932" s="88"/>
      <c r="F932" s="88"/>
      <c r="G932" s="88"/>
      <c r="H932" s="88"/>
      <c r="I932" s="88"/>
      <c r="J932" s="88"/>
      <c r="K932" s="88"/>
      <c r="L932" s="88"/>
      <c r="M932" s="88"/>
      <c r="N932" s="88"/>
      <c r="O932" s="88"/>
      <c r="P932" s="88"/>
      <c r="Q932" s="88"/>
      <c r="R932" s="88"/>
      <c r="S932" s="88"/>
      <c r="T932" s="88"/>
      <c r="U932" s="88"/>
      <c r="V932" s="88"/>
      <c r="W932" s="88"/>
      <c r="X932" s="88"/>
      <c r="Y932" s="88"/>
      <c r="Z932" s="88"/>
      <c r="AA932" s="88"/>
      <c r="AB932" s="128"/>
      <c r="AC932" s="128"/>
      <c r="AD932" s="128"/>
      <c r="AE932" s="128"/>
      <c r="AF932" s="128"/>
      <c r="AG932" s="128"/>
      <c r="AH932" s="127"/>
    </row>
    <row r="933" spans="1:34" ht="13.2">
      <c r="A933" s="88"/>
      <c r="B933" s="88"/>
      <c r="C933" s="88"/>
      <c r="D933" s="88"/>
      <c r="E933" s="88"/>
      <c r="F933" s="88"/>
      <c r="G933" s="88"/>
      <c r="H933" s="88"/>
      <c r="I933" s="88"/>
      <c r="J933" s="88"/>
      <c r="K933" s="88"/>
      <c r="L933" s="88"/>
      <c r="M933" s="88"/>
      <c r="N933" s="88"/>
      <c r="O933" s="88"/>
      <c r="P933" s="88"/>
      <c r="Q933" s="88"/>
      <c r="R933" s="88"/>
      <c r="S933" s="88"/>
      <c r="T933" s="88"/>
      <c r="U933" s="88"/>
      <c r="V933" s="88"/>
      <c r="W933" s="88"/>
      <c r="X933" s="88"/>
      <c r="Y933" s="88"/>
      <c r="Z933" s="88"/>
      <c r="AA933" s="88"/>
      <c r="AB933" s="128"/>
      <c r="AC933" s="128"/>
      <c r="AD933" s="128"/>
      <c r="AE933" s="128"/>
      <c r="AF933" s="128"/>
      <c r="AG933" s="128"/>
      <c r="AH933" s="127"/>
    </row>
    <row r="934" spans="1:34" ht="13.2">
      <c r="A934" s="88"/>
      <c r="B934" s="88"/>
      <c r="C934" s="88"/>
      <c r="D934" s="88"/>
      <c r="E934" s="88"/>
      <c r="F934" s="88"/>
      <c r="G934" s="88"/>
      <c r="H934" s="88"/>
      <c r="I934" s="88"/>
      <c r="J934" s="88"/>
      <c r="K934" s="88"/>
      <c r="L934" s="88"/>
      <c r="M934" s="88"/>
      <c r="N934" s="88"/>
      <c r="O934" s="88"/>
      <c r="P934" s="88"/>
      <c r="Q934" s="88"/>
      <c r="R934" s="88"/>
      <c r="S934" s="88"/>
      <c r="T934" s="88"/>
      <c r="U934" s="88"/>
      <c r="V934" s="88"/>
      <c r="W934" s="88"/>
      <c r="X934" s="88"/>
      <c r="Y934" s="88"/>
      <c r="Z934" s="88"/>
      <c r="AA934" s="88"/>
      <c r="AB934" s="128"/>
      <c r="AC934" s="128"/>
      <c r="AD934" s="128"/>
      <c r="AE934" s="128"/>
      <c r="AF934" s="128"/>
      <c r="AG934" s="128"/>
      <c r="AH934" s="127"/>
    </row>
    <row r="935" spans="1:34" ht="13.2">
      <c r="A935" s="88"/>
      <c r="B935" s="88"/>
      <c r="C935" s="88"/>
      <c r="D935" s="88"/>
      <c r="E935" s="88"/>
      <c r="F935" s="88"/>
      <c r="G935" s="88"/>
      <c r="H935" s="88"/>
      <c r="I935" s="88"/>
      <c r="J935" s="88"/>
      <c r="K935" s="88"/>
      <c r="L935" s="88"/>
      <c r="M935" s="88"/>
      <c r="N935" s="88"/>
      <c r="O935" s="88"/>
      <c r="P935" s="88"/>
      <c r="Q935" s="88"/>
      <c r="R935" s="88"/>
      <c r="S935" s="88"/>
      <c r="T935" s="88"/>
      <c r="U935" s="88"/>
      <c r="V935" s="88"/>
      <c r="W935" s="88"/>
      <c r="X935" s="88"/>
      <c r="Y935" s="88"/>
      <c r="Z935" s="88"/>
      <c r="AA935" s="88"/>
      <c r="AB935" s="128"/>
      <c r="AC935" s="128"/>
      <c r="AD935" s="128"/>
      <c r="AE935" s="128"/>
      <c r="AF935" s="128"/>
      <c r="AG935" s="128"/>
      <c r="AH935" s="127"/>
    </row>
    <row r="936" spans="1:34" ht="13.2">
      <c r="A936" s="88"/>
      <c r="B936" s="88"/>
      <c r="C936" s="88"/>
      <c r="D936" s="88"/>
      <c r="E936" s="88"/>
      <c r="F936" s="88"/>
      <c r="G936" s="88"/>
      <c r="H936" s="88"/>
      <c r="I936" s="88"/>
      <c r="J936" s="88"/>
      <c r="K936" s="88"/>
      <c r="L936" s="88"/>
      <c r="M936" s="88"/>
      <c r="N936" s="88"/>
      <c r="O936" s="88"/>
      <c r="P936" s="88"/>
      <c r="Q936" s="88"/>
      <c r="R936" s="88"/>
      <c r="S936" s="88"/>
      <c r="T936" s="88"/>
      <c r="U936" s="88"/>
      <c r="V936" s="88"/>
      <c r="W936" s="88"/>
      <c r="X936" s="88"/>
      <c r="Y936" s="88"/>
      <c r="Z936" s="88"/>
      <c r="AA936" s="88"/>
      <c r="AB936" s="128"/>
      <c r="AC936" s="128"/>
      <c r="AD936" s="128"/>
      <c r="AE936" s="128"/>
      <c r="AF936" s="128"/>
      <c r="AG936" s="128"/>
      <c r="AH936" s="127"/>
    </row>
    <row r="937" spans="1:34" ht="13.2">
      <c r="A937" s="88"/>
      <c r="B937" s="88"/>
      <c r="C937" s="88"/>
      <c r="D937" s="88"/>
      <c r="E937" s="88"/>
      <c r="F937" s="88"/>
      <c r="G937" s="88"/>
      <c r="H937" s="88"/>
      <c r="I937" s="88"/>
      <c r="J937" s="88"/>
      <c r="K937" s="88"/>
      <c r="L937" s="88"/>
      <c r="M937" s="88"/>
      <c r="N937" s="88"/>
      <c r="O937" s="88"/>
      <c r="P937" s="88"/>
      <c r="Q937" s="88"/>
      <c r="R937" s="88"/>
      <c r="S937" s="88"/>
      <c r="T937" s="88"/>
      <c r="U937" s="88"/>
      <c r="V937" s="88"/>
      <c r="W937" s="88"/>
      <c r="X937" s="88"/>
      <c r="Y937" s="88"/>
      <c r="Z937" s="88"/>
      <c r="AA937" s="88"/>
      <c r="AB937" s="128"/>
      <c r="AC937" s="128"/>
      <c r="AD937" s="128"/>
      <c r="AE937" s="128"/>
      <c r="AF937" s="128"/>
      <c r="AG937" s="128"/>
      <c r="AH937" s="127"/>
    </row>
    <row r="938" spans="1:34" ht="13.2">
      <c r="A938" s="88"/>
      <c r="B938" s="88"/>
      <c r="C938" s="88"/>
      <c r="D938" s="88"/>
      <c r="E938" s="88"/>
      <c r="F938" s="88"/>
      <c r="G938" s="88"/>
      <c r="H938" s="88"/>
      <c r="I938" s="88"/>
      <c r="J938" s="88"/>
      <c r="K938" s="88"/>
      <c r="L938" s="88"/>
      <c r="M938" s="88"/>
      <c r="N938" s="88"/>
      <c r="O938" s="88"/>
      <c r="P938" s="88"/>
      <c r="Q938" s="88"/>
      <c r="R938" s="88"/>
      <c r="S938" s="88"/>
      <c r="T938" s="88"/>
      <c r="U938" s="88"/>
      <c r="V938" s="88"/>
      <c r="W938" s="88"/>
      <c r="X938" s="88"/>
      <c r="Y938" s="88"/>
      <c r="Z938" s="88"/>
      <c r="AA938" s="88"/>
      <c r="AB938" s="128"/>
      <c r="AC938" s="128"/>
      <c r="AD938" s="128"/>
      <c r="AE938" s="128"/>
      <c r="AF938" s="128"/>
      <c r="AG938" s="128"/>
      <c r="AH938" s="127"/>
    </row>
    <row r="939" spans="1:34" ht="13.2">
      <c r="A939" s="88"/>
      <c r="B939" s="88"/>
      <c r="C939" s="88"/>
      <c r="D939" s="88"/>
      <c r="E939" s="88"/>
      <c r="F939" s="88"/>
      <c r="G939" s="88"/>
      <c r="H939" s="88"/>
      <c r="I939" s="88"/>
      <c r="J939" s="88"/>
      <c r="K939" s="88"/>
      <c r="L939" s="88"/>
      <c r="M939" s="88"/>
      <c r="N939" s="88"/>
      <c r="O939" s="88"/>
      <c r="P939" s="88"/>
      <c r="Q939" s="88"/>
      <c r="R939" s="88"/>
      <c r="S939" s="88"/>
      <c r="T939" s="88"/>
      <c r="U939" s="88"/>
      <c r="V939" s="88"/>
      <c r="W939" s="88"/>
      <c r="X939" s="88"/>
      <c r="Y939" s="88"/>
      <c r="Z939" s="88"/>
      <c r="AA939" s="88"/>
      <c r="AB939" s="128"/>
      <c r="AC939" s="128"/>
      <c r="AD939" s="128"/>
      <c r="AE939" s="128"/>
      <c r="AF939" s="128"/>
      <c r="AG939" s="128"/>
      <c r="AH939" s="127"/>
    </row>
    <row r="940" spans="1:34" ht="13.2">
      <c r="A940" s="88"/>
      <c r="B940" s="88"/>
      <c r="C940" s="88"/>
      <c r="D940" s="88"/>
      <c r="E940" s="88"/>
      <c r="F940" s="88"/>
      <c r="G940" s="88"/>
      <c r="H940" s="88"/>
      <c r="I940" s="88"/>
      <c r="J940" s="88"/>
      <c r="K940" s="88"/>
      <c r="L940" s="88"/>
      <c r="M940" s="88"/>
      <c r="N940" s="88"/>
      <c r="O940" s="88"/>
      <c r="P940" s="88"/>
      <c r="Q940" s="88"/>
      <c r="R940" s="88"/>
      <c r="S940" s="88"/>
      <c r="T940" s="88"/>
      <c r="U940" s="88"/>
      <c r="V940" s="88"/>
      <c r="W940" s="88"/>
      <c r="X940" s="88"/>
      <c r="Y940" s="88"/>
      <c r="Z940" s="88"/>
      <c r="AA940" s="88"/>
      <c r="AB940" s="128"/>
      <c r="AC940" s="128"/>
      <c r="AD940" s="128"/>
      <c r="AE940" s="128"/>
      <c r="AF940" s="128"/>
      <c r="AG940" s="128"/>
      <c r="AH940" s="127"/>
    </row>
    <row r="941" spans="1:34" ht="13.2">
      <c r="A941" s="88"/>
      <c r="B941" s="88"/>
      <c r="C941" s="88"/>
      <c r="D941" s="88"/>
      <c r="E941" s="88"/>
      <c r="F941" s="88"/>
      <c r="G941" s="88"/>
      <c r="H941" s="88"/>
      <c r="I941" s="88"/>
      <c r="J941" s="88"/>
      <c r="K941" s="88"/>
      <c r="L941" s="88"/>
      <c r="M941" s="88"/>
      <c r="N941" s="88"/>
      <c r="O941" s="88"/>
      <c r="P941" s="88"/>
      <c r="Q941" s="88"/>
      <c r="R941" s="88"/>
      <c r="S941" s="88"/>
      <c r="T941" s="88"/>
      <c r="U941" s="88"/>
      <c r="V941" s="88"/>
      <c r="W941" s="88"/>
      <c r="X941" s="88"/>
      <c r="Y941" s="88"/>
      <c r="Z941" s="88"/>
      <c r="AA941" s="88"/>
      <c r="AB941" s="128"/>
      <c r="AC941" s="128"/>
      <c r="AD941" s="128"/>
      <c r="AE941" s="128"/>
      <c r="AF941" s="128"/>
      <c r="AG941" s="128"/>
      <c r="AH941" s="127"/>
    </row>
    <row r="942" spans="1:34" ht="13.2">
      <c r="A942" s="88"/>
      <c r="B942" s="88"/>
      <c r="C942" s="88"/>
      <c r="D942" s="88"/>
      <c r="E942" s="88"/>
      <c r="F942" s="88"/>
      <c r="G942" s="88"/>
      <c r="H942" s="88"/>
      <c r="I942" s="88"/>
      <c r="J942" s="88"/>
      <c r="K942" s="88"/>
      <c r="L942" s="88"/>
      <c r="M942" s="88"/>
      <c r="N942" s="88"/>
      <c r="O942" s="88"/>
      <c r="P942" s="88"/>
      <c r="Q942" s="88"/>
      <c r="R942" s="88"/>
      <c r="S942" s="88"/>
      <c r="T942" s="88"/>
      <c r="U942" s="88"/>
      <c r="V942" s="88"/>
      <c r="W942" s="88"/>
      <c r="X942" s="88"/>
      <c r="Y942" s="88"/>
      <c r="Z942" s="88"/>
      <c r="AA942" s="88"/>
      <c r="AB942" s="128"/>
      <c r="AC942" s="128"/>
      <c r="AD942" s="128"/>
      <c r="AE942" s="128"/>
      <c r="AF942" s="128"/>
      <c r="AG942" s="128"/>
      <c r="AH942" s="127"/>
    </row>
    <row r="943" spans="1:34" ht="13.2">
      <c r="A943" s="88"/>
      <c r="B943" s="88"/>
      <c r="C943" s="88"/>
      <c r="D943" s="88"/>
      <c r="E943" s="88"/>
      <c r="F943" s="88"/>
      <c r="G943" s="88"/>
      <c r="H943" s="88"/>
      <c r="I943" s="88"/>
      <c r="J943" s="88"/>
      <c r="K943" s="88"/>
      <c r="L943" s="88"/>
      <c r="M943" s="88"/>
      <c r="N943" s="88"/>
      <c r="O943" s="88"/>
      <c r="P943" s="88"/>
      <c r="Q943" s="88"/>
      <c r="R943" s="88"/>
      <c r="S943" s="88"/>
      <c r="T943" s="88"/>
      <c r="U943" s="88"/>
      <c r="V943" s="88"/>
      <c r="W943" s="88"/>
      <c r="X943" s="88"/>
      <c r="Y943" s="88"/>
      <c r="Z943" s="88"/>
      <c r="AA943" s="88"/>
      <c r="AB943" s="128"/>
      <c r="AC943" s="128"/>
      <c r="AD943" s="128"/>
      <c r="AE943" s="128"/>
      <c r="AF943" s="128"/>
      <c r="AG943" s="128"/>
      <c r="AH943" s="127"/>
    </row>
    <row r="944" spans="1:34" ht="13.2">
      <c r="A944" s="88"/>
      <c r="B944" s="88"/>
      <c r="C944" s="88"/>
      <c r="D944" s="88"/>
      <c r="E944" s="88"/>
      <c r="F944" s="88"/>
      <c r="G944" s="88"/>
      <c r="H944" s="88"/>
      <c r="I944" s="88"/>
      <c r="J944" s="88"/>
      <c r="K944" s="88"/>
      <c r="L944" s="88"/>
      <c r="M944" s="88"/>
      <c r="N944" s="88"/>
      <c r="O944" s="88"/>
      <c r="P944" s="88"/>
      <c r="Q944" s="88"/>
      <c r="R944" s="88"/>
      <c r="S944" s="88"/>
      <c r="T944" s="88"/>
      <c r="U944" s="88"/>
      <c r="V944" s="88"/>
      <c r="W944" s="88"/>
      <c r="X944" s="88"/>
      <c r="Y944" s="88"/>
      <c r="Z944" s="88"/>
      <c r="AA944" s="88"/>
      <c r="AB944" s="128"/>
      <c r="AC944" s="128"/>
      <c r="AD944" s="128"/>
      <c r="AE944" s="128"/>
      <c r="AF944" s="128"/>
      <c r="AG944" s="128"/>
      <c r="AH944" s="127"/>
    </row>
    <row r="945" spans="1:34" ht="13.2">
      <c r="A945" s="88"/>
      <c r="B945" s="88"/>
      <c r="C945" s="88"/>
      <c r="D945" s="88"/>
      <c r="E945" s="88"/>
      <c r="F945" s="88"/>
      <c r="G945" s="88"/>
      <c r="H945" s="88"/>
      <c r="I945" s="88"/>
      <c r="J945" s="88"/>
      <c r="K945" s="88"/>
      <c r="L945" s="88"/>
      <c r="M945" s="88"/>
      <c r="N945" s="88"/>
      <c r="O945" s="88"/>
      <c r="P945" s="88"/>
      <c r="Q945" s="88"/>
      <c r="R945" s="88"/>
      <c r="S945" s="88"/>
      <c r="T945" s="88"/>
      <c r="U945" s="88"/>
      <c r="V945" s="88"/>
      <c r="W945" s="88"/>
      <c r="X945" s="88"/>
      <c r="Y945" s="88"/>
      <c r="Z945" s="88"/>
      <c r="AA945" s="88"/>
      <c r="AB945" s="128"/>
      <c r="AC945" s="128"/>
      <c r="AD945" s="128"/>
      <c r="AE945" s="128"/>
      <c r="AF945" s="128"/>
      <c r="AG945" s="128"/>
      <c r="AH945" s="127"/>
    </row>
    <row r="946" spans="1:34" ht="13.2">
      <c r="A946" s="88"/>
      <c r="B946" s="88"/>
      <c r="C946" s="88"/>
      <c r="D946" s="88"/>
      <c r="E946" s="88"/>
      <c r="F946" s="88"/>
      <c r="G946" s="88"/>
      <c r="H946" s="88"/>
      <c r="I946" s="88"/>
      <c r="J946" s="88"/>
      <c r="K946" s="88"/>
      <c r="L946" s="88"/>
      <c r="M946" s="88"/>
      <c r="N946" s="88"/>
      <c r="O946" s="88"/>
      <c r="P946" s="88"/>
      <c r="Q946" s="88"/>
      <c r="R946" s="88"/>
      <c r="S946" s="88"/>
      <c r="T946" s="88"/>
      <c r="U946" s="88"/>
      <c r="V946" s="88"/>
      <c r="W946" s="88"/>
      <c r="X946" s="88"/>
      <c r="Y946" s="88"/>
      <c r="Z946" s="88"/>
      <c r="AA946" s="88"/>
      <c r="AB946" s="128"/>
      <c r="AC946" s="128"/>
      <c r="AD946" s="128"/>
      <c r="AE946" s="128"/>
      <c r="AF946" s="128"/>
      <c r="AG946" s="128"/>
      <c r="AH946" s="127"/>
    </row>
    <row r="947" spans="1:34" ht="13.2">
      <c r="A947" s="88"/>
      <c r="B947" s="88"/>
      <c r="C947" s="88"/>
      <c r="D947" s="88"/>
      <c r="E947" s="88"/>
      <c r="F947" s="88"/>
      <c r="G947" s="88"/>
      <c r="H947" s="88"/>
      <c r="I947" s="88"/>
      <c r="J947" s="88"/>
      <c r="K947" s="88"/>
      <c r="L947" s="88"/>
      <c r="M947" s="88"/>
      <c r="N947" s="88"/>
      <c r="O947" s="88"/>
      <c r="P947" s="88"/>
      <c r="Q947" s="88"/>
      <c r="R947" s="88"/>
      <c r="S947" s="88"/>
      <c r="T947" s="88"/>
      <c r="U947" s="88"/>
      <c r="V947" s="88"/>
      <c r="W947" s="88"/>
      <c r="X947" s="88"/>
      <c r="Y947" s="88"/>
      <c r="Z947" s="88"/>
      <c r="AA947" s="88"/>
      <c r="AB947" s="128"/>
      <c r="AC947" s="128"/>
      <c r="AD947" s="128"/>
      <c r="AE947" s="128"/>
      <c r="AF947" s="128"/>
      <c r="AG947" s="128"/>
      <c r="AH947" s="127"/>
    </row>
    <row r="948" spans="1:34" ht="13.2">
      <c r="A948" s="88"/>
      <c r="B948" s="88"/>
      <c r="C948" s="88"/>
      <c r="D948" s="88"/>
      <c r="E948" s="88"/>
      <c r="F948" s="88"/>
      <c r="G948" s="88"/>
      <c r="H948" s="88"/>
      <c r="I948" s="88"/>
      <c r="J948" s="88"/>
      <c r="K948" s="88"/>
      <c r="L948" s="88"/>
      <c r="M948" s="88"/>
      <c r="N948" s="88"/>
      <c r="O948" s="88"/>
      <c r="P948" s="88"/>
      <c r="Q948" s="88"/>
      <c r="R948" s="88"/>
      <c r="S948" s="88"/>
      <c r="T948" s="88"/>
      <c r="U948" s="88"/>
      <c r="V948" s="88"/>
      <c r="W948" s="88"/>
      <c r="X948" s="88"/>
      <c r="Y948" s="88"/>
      <c r="Z948" s="88"/>
      <c r="AA948" s="88"/>
      <c r="AB948" s="128"/>
      <c r="AC948" s="128"/>
      <c r="AD948" s="128"/>
      <c r="AE948" s="128"/>
      <c r="AF948" s="128"/>
      <c r="AG948" s="128"/>
      <c r="AH948" s="127"/>
    </row>
    <row r="949" spans="1:34" ht="13.2">
      <c r="A949" s="88"/>
      <c r="B949" s="88"/>
      <c r="C949" s="88"/>
      <c r="D949" s="88"/>
      <c r="E949" s="88"/>
      <c r="F949" s="88"/>
      <c r="G949" s="88"/>
      <c r="H949" s="88"/>
      <c r="I949" s="88"/>
      <c r="J949" s="88"/>
      <c r="K949" s="88"/>
      <c r="L949" s="88"/>
      <c r="M949" s="88"/>
      <c r="N949" s="88"/>
      <c r="O949" s="88"/>
      <c r="P949" s="88"/>
      <c r="Q949" s="88"/>
      <c r="R949" s="88"/>
      <c r="S949" s="88"/>
      <c r="T949" s="88"/>
      <c r="U949" s="88"/>
      <c r="V949" s="88"/>
      <c r="W949" s="88"/>
      <c r="X949" s="88"/>
      <c r="Y949" s="88"/>
      <c r="Z949" s="88"/>
      <c r="AA949" s="88"/>
      <c r="AB949" s="128"/>
      <c r="AC949" s="128"/>
      <c r="AD949" s="128"/>
      <c r="AE949" s="128"/>
      <c r="AF949" s="128"/>
      <c r="AG949" s="128"/>
      <c r="AH949" s="127"/>
    </row>
    <row r="950" spans="1:34" ht="13.2">
      <c r="A950" s="88"/>
      <c r="B950" s="88"/>
      <c r="C950" s="88"/>
      <c r="D950" s="88"/>
      <c r="E950" s="88"/>
      <c r="F950" s="88"/>
      <c r="G950" s="88"/>
      <c r="H950" s="88"/>
      <c r="I950" s="88"/>
      <c r="J950" s="88"/>
      <c r="K950" s="88"/>
      <c r="L950" s="88"/>
      <c r="M950" s="88"/>
      <c r="N950" s="88"/>
      <c r="O950" s="88"/>
      <c r="P950" s="88"/>
      <c r="Q950" s="88"/>
      <c r="R950" s="88"/>
      <c r="S950" s="88"/>
      <c r="T950" s="88"/>
      <c r="U950" s="88"/>
      <c r="V950" s="88"/>
      <c r="W950" s="88"/>
      <c r="X950" s="88"/>
      <c r="Y950" s="88"/>
      <c r="Z950" s="88"/>
      <c r="AA950" s="88"/>
      <c r="AB950" s="128"/>
      <c r="AC950" s="128"/>
      <c r="AD950" s="128"/>
      <c r="AE950" s="128"/>
      <c r="AF950" s="128"/>
      <c r="AG950" s="128"/>
      <c r="AH950" s="127"/>
    </row>
    <row r="951" spans="1:34" ht="13.2">
      <c r="A951" s="88"/>
      <c r="B951" s="88"/>
      <c r="C951" s="88"/>
      <c r="D951" s="88"/>
      <c r="E951" s="88"/>
      <c r="F951" s="88"/>
      <c r="G951" s="88"/>
      <c r="H951" s="88"/>
      <c r="I951" s="88"/>
      <c r="J951" s="88"/>
      <c r="K951" s="88"/>
      <c r="L951" s="88"/>
      <c r="M951" s="88"/>
      <c r="N951" s="88"/>
      <c r="O951" s="88"/>
      <c r="P951" s="88"/>
      <c r="Q951" s="88"/>
      <c r="R951" s="88"/>
      <c r="S951" s="88"/>
      <c r="T951" s="88"/>
      <c r="U951" s="88"/>
      <c r="V951" s="88"/>
      <c r="W951" s="88"/>
      <c r="X951" s="88"/>
      <c r="Y951" s="88"/>
      <c r="Z951" s="88"/>
      <c r="AA951" s="88"/>
      <c r="AB951" s="128"/>
      <c r="AC951" s="128"/>
      <c r="AD951" s="128"/>
      <c r="AE951" s="128"/>
      <c r="AF951" s="128"/>
      <c r="AG951" s="128"/>
      <c r="AH951" s="127"/>
    </row>
    <row r="952" spans="1:34" ht="13.2">
      <c r="A952" s="88"/>
      <c r="B952" s="88"/>
      <c r="C952" s="88"/>
      <c r="D952" s="88"/>
      <c r="E952" s="88"/>
      <c r="F952" s="88"/>
      <c r="G952" s="88"/>
      <c r="H952" s="88"/>
      <c r="I952" s="88"/>
      <c r="J952" s="88"/>
      <c r="K952" s="88"/>
      <c r="L952" s="88"/>
      <c r="M952" s="88"/>
      <c r="N952" s="88"/>
      <c r="O952" s="88"/>
      <c r="P952" s="88"/>
      <c r="Q952" s="88"/>
      <c r="R952" s="88"/>
      <c r="S952" s="88"/>
      <c r="T952" s="88"/>
      <c r="U952" s="88"/>
      <c r="V952" s="88"/>
      <c r="W952" s="88"/>
      <c r="X952" s="88"/>
      <c r="Y952" s="88"/>
      <c r="Z952" s="88"/>
      <c r="AA952" s="88"/>
      <c r="AB952" s="128"/>
      <c r="AC952" s="128"/>
      <c r="AD952" s="128"/>
      <c r="AE952" s="128"/>
      <c r="AF952" s="128"/>
      <c r="AG952" s="128"/>
      <c r="AH952" s="127"/>
    </row>
    <row r="953" spans="1:34" ht="13.2">
      <c r="A953" s="88"/>
      <c r="B953" s="88"/>
      <c r="C953" s="88"/>
      <c r="D953" s="88"/>
      <c r="E953" s="88"/>
      <c r="F953" s="88"/>
      <c r="G953" s="88"/>
      <c r="H953" s="88"/>
      <c r="I953" s="88"/>
      <c r="J953" s="88"/>
      <c r="K953" s="88"/>
      <c r="L953" s="88"/>
      <c r="M953" s="88"/>
      <c r="N953" s="88"/>
      <c r="O953" s="88"/>
      <c r="P953" s="88"/>
      <c r="Q953" s="88"/>
      <c r="R953" s="88"/>
      <c r="S953" s="88"/>
      <c r="T953" s="88"/>
      <c r="U953" s="88"/>
      <c r="V953" s="88"/>
      <c r="W953" s="88"/>
      <c r="X953" s="88"/>
      <c r="Y953" s="88"/>
      <c r="Z953" s="88"/>
      <c r="AA953" s="88"/>
      <c r="AB953" s="128"/>
      <c r="AC953" s="128"/>
      <c r="AD953" s="128"/>
      <c r="AE953" s="128"/>
      <c r="AF953" s="128"/>
      <c r="AG953" s="128"/>
      <c r="AH953" s="127"/>
    </row>
    <row r="954" spans="1:34" ht="13.2">
      <c r="A954" s="88"/>
      <c r="B954" s="88"/>
      <c r="C954" s="88"/>
      <c r="D954" s="88"/>
      <c r="E954" s="88"/>
      <c r="F954" s="88"/>
      <c r="G954" s="88"/>
      <c r="H954" s="88"/>
      <c r="I954" s="88"/>
      <c r="J954" s="88"/>
      <c r="K954" s="88"/>
      <c r="L954" s="88"/>
      <c r="M954" s="88"/>
      <c r="N954" s="88"/>
      <c r="O954" s="88"/>
      <c r="P954" s="88"/>
      <c r="Q954" s="88"/>
      <c r="R954" s="88"/>
      <c r="S954" s="88"/>
      <c r="T954" s="88"/>
      <c r="U954" s="88"/>
      <c r="V954" s="88"/>
      <c r="W954" s="88"/>
      <c r="X954" s="88"/>
      <c r="Y954" s="88"/>
      <c r="Z954" s="88"/>
      <c r="AA954" s="88"/>
      <c r="AB954" s="128"/>
      <c r="AC954" s="128"/>
      <c r="AD954" s="128"/>
      <c r="AE954" s="128"/>
      <c r="AF954" s="128"/>
      <c r="AG954" s="128"/>
      <c r="AH954" s="127"/>
    </row>
    <row r="955" spans="1:34" ht="13.2">
      <c r="A955" s="88"/>
      <c r="B955" s="88"/>
      <c r="C955" s="88"/>
      <c r="D955" s="88"/>
      <c r="E955" s="88"/>
      <c r="F955" s="88"/>
      <c r="G955" s="88"/>
      <c r="H955" s="88"/>
      <c r="I955" s="88"/>
      <c r="J955" s="88"/>
      <c r="K955" s="88"/>
      <c r="L955" s="88"/>
      <c r="M955" s="88"/>
      <c r="N955" s="88"/>
      <c r="O955" s="88"/>
      <c r="P955" s="88"/>
      <c r="Q955" s="88"/>
      <c r="R955" s="88"/>
      <c r="S955" s="88"/>
      <c r="T955" s="88"/>
      <c r="U955" s="88"/>
      <c r="V955" s="88"/>
      <c r="W955" s="88"/>
      <c r="X955" s="88"/>
      <c r="Y955" s="88"/>
      <c r="Z955" s="88"/>
      <c r="AA955" s="88"/>
      <c r="AB955" s="128"/>
      <c r="AC955" s="128"/>
      <c r="AD955" s="128"/>
      <c r="AE955" s="128"/>
      <c r="AF955" s="128"/>
      <c r="AG955" s="128"/>
      <c r="AH955" s="127"/>
    </row>
    <row r="956" spans="1:34" ht="13.2">
      <c r="A956" s="88"/>
      <c r="B956" s="88"/>
      <c r="C956" s="88"/>
      <c r="D956" s="88"/>
      <c r="E956" s="88"/>
      <c r="F956" s="88"/>
      <c r="G956" s="88"/>
      <c r="H956" s="88"/>
      <c r="I956" s="88"/>
      <c r="J956" s="88"/>
      <c r="K956" s="88"/>
      <c r="L956" s="88"/>
      <c r="M956" s="88"/>
      <c r="N956" s="88"/>
      <c r="O956" s="88"/>
      <c r="P956" s="88"/>
      <c r="Q956" s="88"/>
      <c r="R956" s="88"/>
      <c r="S956" s="88"/>
      <c r="T956" s="88"/>
      <c r="U956" s="88"/>
      <c r="V956" s="88"/>
      <c r="W956" s="88"/>
      <c r="X956" s="88"/>
      <c r="Y956" s="88"/>
      <c r="Z956" s="88"/>
      <c r="AA956" s="88"/>
      <c r="AB956" s="128"/>
      <c r="AC956" s="128"/>
      <c r="AD956" s="128"/>
      <c r="AE956" s="128"/>
      <c r="AF956" s="128"/>
      <c r="AG956" s="128"/>
      <c r="AH956" s="127"/>
    </row>
    <row r="957" spans="1:34" ht="13.2">
      <c r="A957" s="88"/>
      <c r="B957" s="88"/>
      <c r="C957" s="88"/>
      <c r="D957" s="88"/>
      <c r="E957" s="88"/>
      <c r="F957" s="88"/>
      <c r="G957" s="88"/>
      <c r="H957" s="88"/>
      <c r="I957" s="88"/>
      <c r="J957" s="88"/>
      <c r="K957" s="88"/>
      <c r="L957" s="88"/>
      <c r="M957" s="88"/>
      <c r="N957" s="88"/>
      <c r="O957" s="88"/>
      <c r="P957" s="88"/>
      <c r="Q957" s="88"/>
      <c r="R957" s="88"/>
      <c r="S957" s="88"/>
      <c r="T957" s="88"/>
      <c r="U957" s="88"/>
      <c r="V957" s="88"/>
      <c r="W957" s="88"/>
      <c r="X957" s="88"/>
      <c r="Y957" s="88"/>
      <c r="Z957" s="88"/>
      <c r="AA957" s="88"/>
      <c r="AB957" s="128"/>
      <c r="AC957" s="128"/>
      <c r="AD957" s="128"/>
      <c r="AE957" s="128"/>
      <c r="AF957" s="128"/>
      <c r="AG957" s="128"/>
      <c r="AH957" s="127"/>
    </row>
    <row r="958" spans="1:34" ht="13.2">
      <c r="A958" s="88"/>
      <c r="B958" s="88"/>
      <c r="C958" s="88"/>
      <c r="D958" s="88"/>
      <c r="E958" s="88"/>
      <c r="F958" s="88"/>
      <c r="G958" s="88"/>
      <c r="H958" s="88"/>
      <c r="I958" s="88"/>
      <c r="J958" s="88"/>
      <c r="K958" s="88"/>
      <c r="L958" s="88"/>
      <c r="M958" s="88"/>
      <c r="N958" s="88"/>
      <c r="O958" s="88"/>
      <c r="P958" s="88"/>
      <c r="Q958" s="88"/>
      <c r="R958" s="88"/>
      <c r="S958" s="88"/>
      <c r="T958" s="88"/>
      <c r="U958" s="88"/>
      <c r="V958" s="88"/>
      <c r="W958" s="88"/>
      <c r="X958" s="88"/>
      <c r="Y958" s="88"/>
      <c r="Z958" s="88"/>
      <c r="AA958" s="88"/>
      <c r="AB958" s="128"/>
      <c r="AC958" s="128"/>
      <c r="AD958" s="128"/>
      <c r="AE958" s="128"/>
      <c r="AF958" s="128"/>
      <c r="AG958" s="128"/>
      <c r="AH958" s="127"/>
    </row>
    <row r="959" spans="1:34" ht="13.2">
      <c r="A959" s="88"/>
      <c r="B959" s="88"/>
      <c r="C959" s="88"/>
      <c r="D959" s="88"/>
      <c r="E959" s="88"/>
      <c r="F959" s="88"/>
      <c r="G959" s="88"/>
      <c r="H959" s="88"/>
      <c r="I959" s="88"/>
      <c r="J959" s="88"/>
      <c r="K959" s="88"/>
      <c r="L959" s="88"/>
      <c r="M959" s="88"/>
      <c r="N959" s="88"/>
      <c r="O959" s="88"/>
      <c r="P959" s="88"/>
      <c r="Q959" s="88"/>
      <c r="R959" s="88"/>
      <c r="S959" s="88"/>
      <c r="T959" s="88"/>
      <c r="U959" s="88"/>
      <c r="V959" s="88"/>
      <c r="W959" s="88"/>
      <c r="X959" s="88"/>
      <c r="Y959" s="88"/>
      <c r="Z959" s="88"/>
      <c r="AA959" s="88"/>
      <c r="AB959" s="128"/>
      <c r="AC959" s="128"/>
      <c r="AD959" s="128"/>
      <c r="AE959" s="128"/>
      <c r="AF959" s="128"/>
      <c r="AG959" s="128"/>
      <c r="AH959" s="127"/>
    </row>
    <row r="960" spans="1:34" ht="13.2">
      <c r="A960" s="88"/>
      <c r="B960" s="88"/>
      <c r="C960" s="88"/>
      <c r="D960" s="88"/>
      <c r="E960" s="88"/>
      <c r="F960" s="88"/>
      <c r="G960" s="88"/>
      <c r="H960" s="88"/>
      <c r="I960" s="88"/>
      <c r="J960" s="88"/>
      <c r="K960" s="88"/>
      <c r="L960" s="88"/>
      <c r="M960" s="88"/>
      <c r="N960" s="88"/>
      <c r="O960" s="88"/>
      <c r="P960" s="88"/>
      <c r="Q960" s="88"/>
      <c r="R960" s="88"/>
      <c r="S960" s="88"/>
      <c r="T960" s="88"/>
      <c r="U960" s="88"/>
      <c r="V960" s="88"/>
      <c r="W960" s="88"/>
      <c r="X960" s="88"/>
      <c r="Y960" s="88"/>
      <c r="Z960" s="88"/>
      <c r="AA960" s="88"/>
      <c r="AB960" s="128"/>
      <c r="AC960" s="128"/>
      <c r="AD960" s="128"/>
      <c r="AE960" s="128"/>
      <c r="AF960" s="128"/>
      <c r="AG960" s="128"/>
      <c r="AH960" s="127"/>
    </row>
  </sheetData>
  <mergeCells count="7">
    <mergeCell ref="X3:Y3"/>
    <mergeCell ref="X26:Y26"/>
    <mergeCell ref="C2:F2"/>
    <mergeCell ref="G2:K2"/>
    <mergeCell ref="L2:P2"/>
    <mergeCell ref="Q2:U2"/>
    <mergeCell ref="V2:W2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EAFD5-4A59-419D-BEC5-C68D6BB30D6D}">
  <sheetPr>
    <tabColor theme="7"/>
    <outlinePr summaryBelow="0" summaryRight="0"/>
  </sheetPr>
  <dimension ref="A1:AH963"/>
  <sheetViews>
    <sheetView showGridLines="0" topLeftCell="F1" zoomScaleNormal="100" workbookViewId="0">
      <selection activeCell="M12" sqref="M12"/>
    </sheetView>
  </sheetViews>
  <sheetFormatPr defaultColWidth="12.6640625" defaultRowHeight="15.75" customHeight="1"/>
  <cols>
    <col min="1" max="1" width="4.6640625" customWidth="1"/>
    <col min="2" max="2" width="31.44140625" customWidth="1"/>
    <col min="3" max="7" width="5.33203125" customWidth="1"/>
    <col min="8" max="16" width="4.6640625" customWidth="1"/>
    <col min="17" max="22" width="5.33203125" customWidth="1"/>
    <col min="23" max="23" width="5" customWidth="1"/>
    <col min="24" max="26" width="4.6640625" customWidth="1"/>
    <col min="27" max="27" width="7.5546875" style="3" bestFit="1" customWidth="1"/>
    <col min="28" max="28" width="10.6640625" style="3" customWidth="1"/>
    <col min="29" max="29" width="53.109375" style="3" bestFit="1" customWidth="1"/>
    <col min="30" max="30" width="13.44140625" style="3" customWidth="1"/>
    <col min="31" max="31" width="12.6640625" style="3"/>
    <col min="32" max="32" width="16" style="3" bestFit="1" customWidth="1"/>
    <col min="33" max="33" width="12.6640625" style="3"/>
  </cols>
  <sheetData>
    <row r="1" spans="1:34" ht="13.8" thickBot="1">
      <c r="A1" s="88"/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128"/>
      <c r="AC1" s="128"/>
      <c r="AD1" s="128"/>
      <c r="AE1" s="128"/>
      <c r="AF1" s="128"/>
      <c r="AG1" s="128"/>
      <c r="AH1" s="127"/>
    </row>
    <row r="2" spans="1:34" ht="13.2">
      <c r="A2" s="88"/>
      <c r="B2" s="88"/>
      <c r="C2" s="281" t="s">
        <v>28</v>
      </c>
      <c r="D2" s="282"/>
      <c r="E2" s="282"/>
      <c r="F2" s="283"/>
      <c r="G2" s="281" t="s">
        <v>29</v>
      </c>
      <c r="H2" s="282"/>
      <c r="I2" s="282"/>
      <c r="J2" s="282"/>
      <c r="K2" s="283"/>
      <c r="L2" s="281" t="s">
        <v>30</v>
      </c>
      <c r="M2" s="282"/>
      <c r="N2" s="282"/>
      <c r="O2" s="282"/>
      <c r="P2" s="283"/>
      <c r="Q2" s="281" t="s">
        <v>31</v>
      </c>
      <c r="R2" s="282"/>
      <c r="S2" s="282"/>
      <c r="T2" s="282"/>
      <c r="U2" s="283"/>
      <c r="V2" s="281" t="s">
        <v>32</v>
      </c>
      <c r="W2" s="282"/>
      <c r="X2" s="88"/>
      <c r="Y2" s="88"/>
      <c r="Z2" s="90"/>
      <c r="AA2" s="91" t="s">
        <v>33</v>
      </c>
      <c r="AB2" s="91" t="s">
        <v>34</v>
      </c>
      <c r="AC2" s="91" t="s">
        <v>141</v>
      </c>
      <c r="AD2" s="91" t="s">
        <v>35</v>
      </c>
      <c r="AE2" s="91" t="s">
        <v>36</v>
      </c>
      <c r="AF2" s="91" t="s">
        <v>37</v>
      </c>
      <c r="AG2" s="91" t="s">
        <v>38</v>
      </c>
      <c r="AH2" s="91" t="s">
        <v>39</v>
      </c>
    </row>
    <row r="3" spans="1:34" ht="13.2">
      <c r="A3" s="88"/>
      <c r="B3" s="88"/>
      <c r="C3" s="83">
        <v>1</v>
      </c>
      <c r="D3" s="84">
        <v>2</v>
      </c>
      <c r="E3" s="84">
        <v>3</v>
      </c>
      <c r="F3" s="85">
        <v>5</v>
      </c>
      <c r="G3" s="83">
        <v>8</v>
      </c>
      <c r="H3" s="84">
        <v>9</v>
      </c>
      <c r="I3" s="84">
        <v>10</v>
      </c>
      <c r="J3" s="84">
        <v>11</v>
      </c>
      <c r="K3" s="85">
        <v>12</v>
      </c>
      <c r="L3" s="83">
        <v>15</v>
      </c>
      <c r="M3" s="84">
        <v>16</v>
      </c>
      <c r="N3" s="84">
        <v>17</v>
      </c>
      <c r="O3" s="84">
        <v>18</v>
      </c>
      <c r="P3" s="85">
        <v>19</v>
      </c>
      <c r="Q3" s="83">
        <v>22</v>
      </c>
      <c r="R3" s="84">
        <v>23</v>
      </c>
      <c r="S3" s="84">
        <v>24</v>
      </c>
      <c r="T3" s="84">
        <v>25</v>
      </c>
      <c r="U3" s="85">
        <v>26</v>
      </c>
      <c r="V3" s="83">
        <v>29</v>
      </c>
      <c r="W3" s="85">
        <v>30</v>
      </c>
      <c r="X3" s="278"/>
      <c r="Y3" s="279"/>
      <c r="Z3" s="88"/>
      <c r="AA3" s="87">
        <v>1</v>
      </c>
      <c r="AB3" s="129">
        <v>40650</v>
      </c>
      <c r="AC3" s="129" t="s">
        <v>192</v>
      </c>
      <c r="AD3" s="130">
        <v>46028</v>
      </c>
      <c r="AE3" s="129">
        <v>343.01</v>
      </c>
      <c r="AF3" s="130">
        <v>46126</v>
      </c>
      <c r="AG3" s="129" t="s">
        <v>10</v>
      </c>
      <c r="AH3" s="131">
        <v>48</v>
      </c>
    </row>
    <row r="4" spans="1:34" ht="13.2">
      <c r="A4" s="88"/>
      <c r="B4" s="95" t="s">
        <v>41</v>
      </c>
      <c r="C4" s="96" t="s">
        <v>42</v>
      </c>
      <c r="D4" s="97" t="s">
        <v>43</v>
      </c>
      <c r="E4" s="97" t="s">
        <v>44</v>
      </c>
      <c r="F4" s="98" t="s">
        <v>44</v>
      </c>
      <c r="G4" s="96" t="s">
        <v>42</v>
      </c>
      <c r="H4" s="97" t="s">
        <v>42</v>
      </c>
      <c r="I4" s="97" t="s">
        <v>43</v>
      </c>
      <c r="J4" s="97" t="s">
        <v>44</v>
      </c>
      <c r="K4" s="98" t="s">
        <v>44</v>
      </c>
      <c r="L4" s="96" t="s">
        <v>42</v>
      </c>
      <c r="M4" s="97" t="s">
        <v>42</v>
      </c>
      <c r="N4" s="97" t="s">
        <v>43</v>
      </c>
      <c r="O4" s="97" t="s">
        <v>44</v>
      </c>
      <c r="P4" s="98" t="s">
        <v>44</v>
      </c>
      <c r="Q4" s="96" t="s">
        <v>42</v>
      </c>
      <c r="R4" s="97" t="s">
        <v>42</v>
      </c>
      <c r="S4" s="97" t="s">
        <v>43</v>
      </c>
      <c r="T4" s="97" t="s">
        <v>44</v>
      </c>
      <c r="U4" s="98" t="s">
        <v>44</v>
      </c>
      <c r="V4" s="96" t="s">
        <v>42</v>
      </c>
      <c r="W4" s="98" t="s">
        <v>42</v>
      </c>
      <c r="X4" s="99" t="s">
        <v>11</v>
      </c>
      <c r="Y4" s="88"/>
      <c r="Z4" s="88"/>
      <c r="AA4" s="87">
        <v>2</v>
      </c>
      <c r="AB4" s="129">
        <v>43357</v>
      </c>
      <c r="AC4" s="129" t="s">
        <v>193</v>
      </c>
      <c r="AD4" s="130">
        <v>46087</v>
      </c>
      <c r="AE4" s="129">
        <v>441.99</v>
      </c>
      <c r="AF4" s="130">
        <v>46128</v>
      </c>
      <c r="AG4" s="129" t="s">
        <v>10</v>
      </c>
      <c r="AH4" s="131">
        <v>48</v>
      </c>
    </row>
    <row r="5" spans="1:34" ht="13.2">
      <c r="A5" s="88"/>
      <c r="B5" s="100" t="s">
        <v>2</v>
      </c>
      <c r="C5" s="101">
        <v>1</v>
      </c>
      <c r="D5" s="102">
        <v>1</v>
      </c>
      <c r="E5" s="102">
        <v>1</v>
      </c>
      <c r="F5" s="103">
        <v>1</v>
      </c>
      <c r="G5" s="101">
        <v>1</v>
      </c>
      <c r="H5" s="102">
        <v>1</v>
      </c>
      <c r="I5" s="102">
        <v>1</v>
      </c>
      <c r="J5" s="102">
        <v>1</v>
      </c>
      <c r="K5" s="103">
        <v>1</v>
      </c>
      <c r="L5" s="101">
        <v>1</v>
      </c>
      <c r="M5" s="102">
        <v>1</v>
      </c>
      <c r="N5" s="102">
        <v>1</v>
      </c>
      <c r="O5" s="102">
        <v>1</v>
      </c>
      <c r="P5" s="103">
        <v>1</v>
      </c>
      <c r="Q5" s="101">
        <v>1</v>
      </c>
      <c r="R5" s="102">
        <v>1</v>
      </c>
      <c r="S5" s="102">
        <v>1</v>
      </c>
      <c r="T5" s="102">
        <v>2</v>
      </c>
      <c r="U5" s="103">
        <v>2</v>
      </c>
      <c r="V5" s="51">
        <v>2</v>
      </c>
      <c r="W5" s="103">
        <v>2</v>
      </c>
      <c r="X5" s="104">
        <v>25</v>
      </c>
      <c r="Y5" s="88"/>
      <c r="Z5" s="88"/>
      <c r="AA5" s="87">
        <v>3</v>
      </c>
      <c r="AB5" s="129">
        <v>43013</v>
      </c>
      <c r="AC5" s="129" t="s">
        <v>194</v>
      </c>
      <c r="AD5" s="130">
        <v>46148</v>
      </c>
      <c r="AE5" s="129">
        <v>533.70000000000005</v>
      </c>
      <c r="AF5" s="130">
        <v>46126</v>
      </c>
      <c r="AG5" s="129" t="s">
        <v>10</v>
      </c>
      <c r="AH5" s="131">
        <v>52</v>
      </c>
    </row>
    <row r="6" spans="1:34" ht="13.8" thickBot="1">
      <c r="A6" s="88"/>
      <c r="B6" s="100" t="s">
        <v>46</v>
      </c>
      <c r="C6" s="105">
        <v>1</v>
      </c>
      <c r="D6" s="106">
        <v>0</v>
      </c>
      <c r="E6" s="106">
        <v>1</v>
      </c>
      <c r="F6" s="107">
        <v>1</v>
      </c>
      <c r="G6" s="105">
        <v>0</v>
      </c>
      <c r="H6" s="106">
        <v>3</v>
      </c>
      <c r="I6" s="106">
        <v>1</v>
      </c>
      <c r="J6" s="106">
        <v>2</v>
      </c>
      <c r="K6" s="107">
        <v>1</v>
      </c>
      <c r="L6" s="105">
        <v>1</v>
      </c>
      <c r="M6" s="106">
        <v>1</v>
      </c>
      <c r="N6" s="106">
        <v>0</v>
      </c>
      <c r="O6" s="106">
        <v>2</v>
      </c>
      <c r="P6" s="107">
        <v>2</v>
      </c>
      <c r="Q6" s="105">
        <v>0</v>
      </c>
      <c r="R6" s="106">
        <v>0</v>
      </c>
      <c r="S6" s="106">
        <v>0</v>
      </c>
      <c r="T6" s="106">
        <v>1</v>
      </c>
      <c r="U6" s="107">
        <v>1</v>
      </c>
      <c r="V6" s="105"/>
      <c r="W6" s="107">
        <v>2</v>
      </c>
      <c r="X6" s="104">
        <v>20</v>
      </c>
      <c r="Y6" s="108">
        <v>-5</v>
      </c>
      <c r="Z6" s="88"/>
      <c r="AA6" s="87">
        <v>4</v>
      </c>
      <c r="AB6" s="129">
        <v>38936</v>
      </c>
      <c r="AC6" s="129" t="s">
        <v>195</v>
      </c>
      <c r="AD6" s="130">
        <v>46271</v>
      </c>
      <c r="AE6" s="129">
        <v>179.85</v>
      </c>
      <c r="AF6" s="130">
        <v>46133</v>
      </c>
      <c r="AG6" s="129" t="s">
        <v>64</v>
      </c>
      <c r="AH6" s="131">
        <v>49</v>
      </c>
    </row>
    <row r="7" spans="1:34" ht="13.2">
      <c r="A7" s="88"/>
      <c r="B7" s="88"/>
      <c r="C7" s="88"/>
      <c r="D7" s="88"/>
      <c r="E7" s="88"/>
      <c r="F7" s="88"/>
      <c r="G7" s="88"/>
      <c r="H7" s="88"/>
      <c r="I7" s="88"/>
      <c r="J7" s="88"/>
      <c r="K7" s="88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  <c r="AA7" s="87">
        <v>5</v>
      </c>
      <c r="AB7" s="129">
        <v>7546</v>
      </c>
      <c r="AC7" s="129" t="s">
        <v>196</v>
      </c>
      <c r="AD7" s="130">
        <v>46271</v>
      </c>
      <c r="AE7" s="129">
        <v>369.95</v>
      </c>
      <c r="AF7" s="130">
        <v>46135</v>
      </c>
      <c r="AG7" s="129" t="s">
        <v>10</v>
      </c>
      <c r="AH7" s="131">
        <v>47</v>
      </c>
    </row>
    <row r="8" spans="1:34" ht="13.2">
      <c r="A8" s="88"/>
      <c r="B8" s="88"/>
      <c r="C8" s="88"/>
      <c r="D8" s="88"/>
      <c r="E8" s="88"/>
      <c r="F8" s="88"/>
      <c r="G8" s="88"/>
      <c r="H8" s="88"/>
      <c r="I8" s="88"/>
      <c r="J8" s="88"/>
      <c r="K8" s="88"/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  <c r="AA8" s="122">
        <v>6</v>
      </c>
      <c r="AB8" s="132">
        <v>34899</v>
      </c>
      <c r="AC8" s="132" t="s">
        <v>197</v>
      </c>
      <c r="AD8" s="133">
        <v>46271</v>
      </c>
      <c r="AE8" s="132">
        <v>363.95</v>
      </c>
      <c r="AF8" s="133">
        <v>46071</v>
      </c>
      <c r="AG8" s="132" t="s">
        <v>10</v>
      </c>
      <c r="AH8" s="132">
        <v>111</v>
      </c>
    </row>
    <row r="9" spans="1:34" ht="13.2">
      <c r="A9" s="88"/>
      <c r="B9" s="109" t="s">
        <v>49</v>
      </c>
      <c r="C9" s="83">
        <v>1</v>
      </c>
      <c r="D9" s="84">
        <v>2</v>
      </c>
      <c r="E9" s="84">
        <v>3</v>
      </c>
      <c r="F9" s="85">
        <v>5</v>
      </c>
      <c r="G9" s="83">
        <v>8</v>
      </c>
      <c r="H9" s="84">
        <v>9</v>
      </c>
      <c r="I9" s="84">
        <v>10</v>
      </c>
      <c r="J9" s="84">
        <v>11</v>
      </c>
      <c r="K9" s="85">
        <v>12</v>
      </c>
      <c r="L9" s="83">
        <v>15</v>
      </c>
      <c r="M9" s="84">
        <v>16</v>
      </c>
      <c r="N9" s="84">
        <v>17</v>
      </c>
      <c r="O9" s="84">
        <v>18</v>
      </c>
      <c r="P9" s="85">
        <v>19</v>
      </c>
      <c r="Q9" s="83">
        <v>22</v>
      </c>
      <c r="R9" s="84">
        <v>23</v>
      </c>
      <c r="S9" s="84">
        <v>24</v>
      </c>
      <c r="T9" s="84">
        <v>25</v>
      </c>
      <c r="U9" s="85">
        <v>26</v>
      </c>
      <c r="V9" s="83">
        <v>29</v>
      </c>
      <c r="W9" s="85">
        <v>30</v>
      </c>
      <c r="X9" s="88"/>
      <c r="Y9" s="88"/>
      <c r="Z9" s="88"/>
      <c r="AA9" s="87">
        <v>7</v>
      </c>
      <c r="AB9" s="129">
        <v>25124</v>
      </c>
      <c r="AC9" s="129" t="s">
        <v>198</v>
      </c>
      <c r="AD9" s="130">
        <v>46301</v>
      </c>
      <c r="AE9" s="129">
        <v>349.55</v>
      </c>
      <c r="AF9" s="130">
        <v>46134</v>
      </c>
      <c r="AG9" s="129" t="s">
        <v>10</v>
      </c>
      <c r="AH9" s="131">
        <v>49</v>
      </c>
    </row>
    <row r="10" spans="1:34" ht="13.2">
      <c r="A10" s="88"/>
      <c r="B10" s="97" t="s">
        <v>15</v>
      </c>
      <c r="C10" s="102">
        <v>15</v>
      </c>
      <c r="D10" s="102"/>
      <c r="E10" s="102">
        <v>8</v>
      </c>
      <c r="F10" s="2">
        <v>9</v>
      </c>
      <c r="G10" s="2">
        <v>5</v>
      </c>
      <c r="H10" s="102">
        <v>7</v>
      </c>
      <c r="I10" s="102">
        <v>7</v>
      </c>
      <c r="J10" s="102">
        <v>8</v>
      </c>
      <c r="K10" s="102"/>
      <c r="L10" s="113">
        <v>1</v>
      </c>
      <c r="M10" s="102">
        <v>13</v>
      </c>
      <c r="N10" s="102">
        <v>13</v>
      </c>
      <c r="O10" s="102"/>
      <c r="P10" s="102">
        <v>14</v>
      </c>
      <c r="Q10" s="102">
        <v>13</v>
      </c>
      <c r="R10" s="114">
        <v>5</v>
      </c>
      <c r="S10" s="81">
        <v>7</v>
      </c>
      <c r="T10" s="115">
        <v>7</v>
      </c>
      <c r="U10" s="116">
        <v>13</v>
      </c>
      <c r="V10" s="102">
        <v>6</v>
      </c>
      <c r="W10" s="102"/>
      <c r="X10" s="88"/>
      <c r="Y10" s="88"/>
      <c r="Z10" s="88"/>
      <c r="AA10" s="87">
        <v>8</v>
      </c>
      <c r="AB10" s="129">
        <v>25071</v>
      </c>
      <c r="AC10" s="129" t="s">
        <v>199</v>
      </c>
      <c r="AD10" s="130">
        <v>46332</v>
      </c>
      <c r="AE10" s="129">
        <v>211.05</v>
      </c>
      <c r="AF10" s="130">
        <v>46269</v>
      </c>
      <c r="AG10" s="129" t="s">
        <v>10</v>
      </c>
      <c r="AH10" s="131">
        <v>63</v>
      </c>
    </row>
    <row r="11" spans="1:34" ht="13.2">
      <c r="A11" s="88"/>
      <c r="B11" s="97" t="s">
        <v>16</v>
      </c>
      <c r="C11" s="102">
        <v>4</v>
      </c>
      <c r="D11" s="102"/>
      <c r="E11" s="102">
        <v>4</v>
      </c>
      <c r="F11" s="2">
        <v>2</v>
      </c>
      <c r="G11" s="2">
        <v>2</v>
      </c>
      <c r="H11" s="102">
        <v>4</v>
      </c>
      <c r="I11" s="102">
        <v>4</v>
      </c>
      <c r="J11" s="102">
        <v>4</v>
      </c>
      <c r="K11" s="102"/>
      <c r="L11" s="113">
        <v>3</v>
      </c>
      <c r="M11" s="102">
        <v>3</v>
      </c>
      <c r="N11" s="102">
        <v>3</v>
      </c>
      <c r="O11" s="102"/>
      <c r="P11" s="102">
        <v>3</v>
      </c>
      <c r="Q11" s="102">
        <v>4</v>
      </c>
      <c r="R11" s="114">
        <v>1</v>
      </c>
      <c r="S11" s="81">
        <v>2</v>
      </c>
      <c r="T11" s="115">
        <v>2</v>
      </c>
      <c r="U11" s="116">
        <v>2</v>
      </c>
      <c r="V11" s="102">
        <v>8</v>
      </c>
      <c r="W11" s="102"/>
      <c r="X11" s="88"/>
      <c r="Y11" s="88"/>
      <c r="Z11" s="88"/>
      <c r="AA11" s="122">
        <v>9</v>
      </c>
      <c r="AB11" s="132">
        <v>40561</v>
      </c>
      <c r="AC11" s="132" t="s">
        <v>200</v>
      </c>
      <c r="AD11" s="133">
        <v>46332</v>
      </c>
      <c r="AE11" s="132">
        <v>7224.1</v>
      </c>
      <c r="AF11" s="133">
        <v>46079</v>
      </c>
      <c r="AG11" s="132" t="s">
        <v>10</v>
      </c>
      <c r="AH11" s="132">
        <v>105</v>
      </c>
    </row>
    <row r="12" spans="1:34" ht="13.2">
      <c r="A12" s="88"/>
      <c r="B12" s="97" t="s">
        <v>17</v>
      </c>
      <c r="C12" s="102">
        <v>4</v>
      </c>
      <c r="D12" s="102"/>
      <c r="E12" s="102">
        <v>4</v>
      </c>
      <c r="F12" s="2">
        <v>2</v>
      </c>
      <c r="G12" s="2">
        <v>2</v>
      </c>
      <c r="H12" s="102">
        <v>3</v>
      </c>
      <c r="I12" s="102">
        <v>3</v>
      </c>
      <c r="J12" s="102">
        <v>3</v>
      </c>
      <c r="K12" s="102"/>
      <c r="L12" s="113">
        <v>2</v>
      </c>
      <c r="M12" s="102">
        <v>2</v>
      </c>
      <c r="N12" s="102">
        <v>3</v>
      </c>
      <c r="O12" s="102"/>
      <c r="P12" s="102">
        <v>2</v>
      </c>
      <c r="Q12" s="102">
        <v>3</v>
      </c>
      <c r="R12" s="114">
        <v>1</v>
      </c>
      <c r="S12" s="81">
        <v>3</v>
      </c>
      <c r="T12" s="115">
        <v>2</v>
      </c>
      <c r="U12" s="116">
        <v>2</v>
      </c>
      <c r="V12" s="102">
        <v>3</v>
      </c>
      <c r="W12" s="102"/>
      <c r="X12" s="88"/>
      <c r="Y12" s="88"/>
      <c r="Z12" s="88"/>
      <c r="AA12" s="87">
        <v>10</v>
      </c>
      <c r="AB12" s="129">
        <v>44255</v>
      </c>
      <c r="AC12" s="129" t="s">
        <v>201</v>
      </c>
      <c r="AD12" s="130">
        <v>46362</v>
      </c>
      <c r="AE12" s="129">
        <v>380.76</v>
      </c>
      <c r="AF12" s="130">
        <v>46128</v>
      </c>
      <c r="AG12" s="129" t="s">
        <v>65</v>
      </c>
      <c r="AH12" s="131">
        <v>57</v>
      </c>
    </row>
    <row r="13" spans="1:34" ht="13.2">
      <c r="A13" s="88"/>
      <c r="B13" s="97" t="s">
        <v>18</v>
      </c>
      <c r="C13" s="102">
        <v>1</v>
      </c>
      <c r="D13" s="102"/>
      <c r="E13" s="102">
        <v>1</v>
      </c>
      <c r="F13" s="2">
        <v>4</v>
      </c>
      <c r="G13" s="2">
        <v>4</v>
      </c>
      <c r="H13" s="102">
        <v>1</v>
      </c>
      <c r="I13" s="102">
        <v>1</v>
      </c>
      <c r="J13" s="102">
        <v>0</v>
      </c>
      <c r="K13" s="102"/>
      <c r="L13" s="113">
        <v>2</v>
      </c>
      <c r="M13" s="102">
        <v>2</v>
      </c>
      <c r="N13" s="102">
        <v>0</v>
      </c>
      <c r="O13" s="102"/>
      <c r="P13" s="102">
        <v>0</v>
      </c>
      <c r="Q13" s="102">
        <v>0</v>
      </c>
      <c r="R13" s="114">
        <v>0</v>
      </c>
      <c r="S13" s="81">
        <v>1</v>
      </c>
      <c r="T13" s="115">
        <v>2</v>
      </c>
      <c r="U13" s="116">
        <v>2</v>
      </c>
      <c r="V13" s="102">
        <v>1</v>
      </c>
      <c r="W13" s="102"/>
      <c r="X13" s="88"/>
      <c r="Y13" s="88"/>
      <c r="Z13" s="88"/>
      <c r="AA13" s="87">
        <v>11</v>
      </c>
      <c r="AB13" s="129">
        <v>44062</v>
      </c>
      <c r="AC13" s="129" t="s">
        <v>202</v>
      </c>
      <c r="AD13" s="130">
        <v>46188</v>
      </c>
      <c r="AE13" s="129">
        <v>275.35000000000002</v>
      </c>
      <c r="AF13" s="130">
        <v>46139</v>
      </c>
      <c r="AG13" s="129" t="s">
        <v>10</v>
      </c>
      <c r="AH13" s="131">
        <v>49</v>
      </c>
    </row>
    <row r="14" spans="1:34" ht="13.2">
      <c r="A14" s="88"/>
      <c r="B14" s="97" t="s">
        <v>51</v>
      </c>
      <c r="C14" s="102">
        <v>131</v>
      </c>
      <c r="D14" s="102"/>
      <c r="E14" s="102">
        <v>130</v>
      </c>
      <c r="F14" s="2">
        <v>130</v>
      </c>
      <c r="G14" s="2">
        <v>132</v>
      </c>
      <c r="H14" s="113">
        <v>135</v>
      </c>
      <c r="I14" s="102">
        <v>135</v>
      </c>
      <c r="J14" s="102">
        <v>135</v>
      </c>
      <c r="K14" s="102"/>
      <c r="L14" s="113">
        <v>136</v>
      </c>
      <c r="M14" s="102">
        <v>144</v>
      </c>
      <c r="N14" s="102">
        <v>142</v>
      </c>
      <c r="O14" s="102"/>
      <c r="P14" s="102">
        <v>139</v>
      </c>
      <c r="Q14" s="102">
        <v>138</v>
      </c>
      <c r="R14" s="114">
        <v>137</v>
      </c>
      <c r="S14" s="81">
        <v>145</v>
      </c>
      <c r="T14" s="115">
        <v>136</v>
      </c>
      <c r="U14" s="87">
        <v>136</v>
      </c>
      <c r="V14" s="102">
        <v>128</v>
      </c>
      <c r="W14" s="102"/>
      <c r="X14" s="88"/>
      <c r="Y14" s="88"/>
      <c r="Z14" s="88"/>
      <c r="AA14" s="87">
        <v>12</v>
      </c>
      <c r="AB14" s="129">
        <v>38812</v>
      </c>
      <c r="AC14" s="129" t="s">
        <v>203</v>
      </c>
      <c r="AD14" s="130">
        <v>46189</v>
      </c>
      <c r="AE14" s="129">
        <v>238.95</v>
      </c>
      <c r="AF14" s="130">
        <v>46057</v>
      </c>
      <c r="AG14" s="129" t="s">
        <v>10</v>
      </c>
      <c r="AH14" s="131">
        <v>75</v>
      </c>
    </row>
    <row r="15" spans="1:34" ht="13.2">
      <c r="A15" s="88"/>
      <c r="B15" s="97" t="s">
        <v>52</v>
      </c>
      <c r="C15" s="102">
        <v>49</v>
      </c>
      <c r="D15" s="102"/>
      <c r="E15" s="102">
        <v>48</v>
      </c>
      <c r="F15" s="2">
        <v>46</v>
      </c>
      <c r="G15" s="2">
        <v>47</v>
      </c>
      <c r="H15" s="102">
        <v>52</v>
      </c>
      <c r="I15" s="102">
        <v>52</v>
      </c>
      <c r="J15" s="102">
        <v>51</v>
      </c>
      <c r="K15" s="102"/>
      <c r="L15" s="113">
        <v>53</v>
      </c>
      <c r="M15" s="102">
        <v>55</v>
      </c>
      <c r="N15" s="102">
        <v>56</v>
      </c>
      <c r="O15" s="102"/>
      <c r="P15" s="102">
        <v>56</v>
      </c>
      <c r="Q15" s="102">
        <v>56</v>
      </c>
      <c r="R15" s="114">
        <v>58</v>
      </c>
      <c r="S15" s="81">
        <v>58</v>
      </c>
      <c r="T15" s="115">
        <v>61</v>
      </c>
      <c r="U15" s="117">
        <v>63</v>
      </c>
      <c r="V15" s="102">
        <v>69</v>
      </c>
      <c r="W15" s="102"/>
      <c r="X15" s="88"/>
      <c r="Y15" s="88"/>
      <c r="Z15" s="88"/>
      <c r="AA15" s="87">
        <v>13</v>
      </c>
      <c r="AB15" s="129">
        <v>39732</v>
      </c>
      <c r="AC15" s="129" t="s">
        <v>204</v>
      </c>
      <c r="AD15" s="130">
        <v>46191</v>
      </c>
      <c r="AE15" s="129">
        <v>221.45</v>
      </c>
      <c r="AF15" s="130">
        <v>46106</v>
      </c>
      <c r="AG15" s="129" t="s">
        <v>66</v>
      </c>
      <c r="AH15" s="131">
        <v>85</v>
      </c>
    </row>
    <row r="16" spans="1:34" ht="13.2">
      <c r="A16" s="88"/>
      <c r="B16" s="97" t="s">
        <v>22</v>
      </c>
      <c r="C16" s="102">
        <v>0</v>
      </c>
      <c r="D16" s="102"/>
      <c r="E16" s="102">
        <v>1</v>
      </c>
      <c r="F16" s="2">
        <v>2</v>
      </c>
      <c r="G16" s="2">
        <v>2</v>
      </c>
      <c r="H16" s="102">
        <v>3</v>
      </c>
      <c r="I16" s="102">
        <v>3</v>
      </c>
      <c r="J16" s="102">
        <v>3</v>
      </c>
      <c r="K16" s="102"/>
      <c r="L16" s="113">
        <v>3</v>
      </c>
      <c r="M16" s="102">
        <v>3</v>
      </c>
      <c r="N16" s="102">
        <v>3</v>
      </c>
      <c r="O16" s="102"/>
      <c r="P16" s="102">
        <v>3</v>
      </c>
      <c r="Q16" s="102">
        <v>3</v>
      </c>
      <c r="R16" s="114">
        <v>4</v>
      </c>
      <c r="S16" s="81">
        <v>5</v>
      </c>
      <c r="T16" s="115">
        <v>6</v>
      </c>
      <c r="U16" s="87">
        <v>7</v>
      </c>
      <c r="V16" s="102">
        <v>7</v>
      </c>
      <c r="W16" s="102"/>
      <c r="X16" s="88"/>
      <c r="Y16" s="88"/>
      <c r="Z16" s="88"/>
      <c r="AA16" s="87">
        <v>14</v>
      </c>
      <c r="AB16" s="129">
        <v>35511</v>
      </c>
      <c r="AC16" s="129" t="s">
        <v>205</v>
      </c>
      <c r="AD16" s="130">
        <v>46191</v>
      </c>
      <c r="AE16" s="129">
        <v>413.4</v>
      </c>
      <c r="AF16" s="130">
        <v>46269</v>
      </c>
      <c r="AG16" s="129" t="s">
        <v>10</v>
      </c>
      <c r="AH16" s="131">
        <v>70</v>
      </c>
    </row>
    <row r="17" spans="1:34" ht="13.2">
      <c r="A17" s="88"/>
      <c r="B17" s="97" t="s">
        <v>23</v>
      </c>
      <c r="C17" s="102">
        <v>0</v>
      </c>
      <c r="D17" s="102"/>
      <c r="E17" s="102">
        <v>6</v>
      </c>
      <c r="F17" s="2">
        <v>6</v>
      </c>
      <c r="G17" s="2">
        <v>6</v>
      </c>
      <c r="H17" s="102">
        <v>7</v>
      </c>
      <c r="I17" s="102">
        <v>7</v>
      </c>
      <c r="J17" s="102">
        <v>7</v>
      </c>
      <c r="K17" s="102"/>
      <c r="L17" s="113">
        <v>7</v>
      </c>
      <c r="M17" s="102">
        <v>8</v>
      </c>
      <c r="N17" s="102">
        <v>8</v>
      </c>
      <c r="O17" s="102"/>
      <c r="P17" s="102">
        <v>8</v>
      </c>
      <c r="Q17" s="102">
        <v>8</v>
      </c>
      <c r="R17" s="114">
        <v>8</v>
      </c>
      <c r="S17" s="81">
        <v>8</v>
      </c>
      <c r="T17" s="115">
        <v>8</v>
      </c>
      <c r="U17" s="87">
        <v>9</v>
      </c>
      <c r="V17" s="102">
        <v>10</v>
      </c>
      <c r="W17" s="102"/>
      <c r="X17" s="88"/>
      <c r="Y17" s="88"/>
      <c r="Z17" s="88"/>
      <c r="AA17" s="87">
        <v>15</v>
      </c>
      <c r="AB17" s="129">
        <v>29827</v>
      </c>
      <c r="AC17" s="129" t="s">
        <v>206</v>
      </c>
      <c r="AD17" s="130">
        <v>46192</v>
      </c>
      <c r="AE17" s="129">
        <v>265.14999999999998</v>
      </c>
      <c r="AF17" s="130">
        <v>46135</v>
      </c>
      <c r="AG17" s="129" t="s">
        <v>10</v>
      </c>
      <c r="AH17" s="131">
        <v>57</v>
      </c>
    </row>
    <row r="18" spans="1:34" ht="13.2">
      <c r="A18" s="88"/>
      <c r="B18" s="97" t="s">
        <v>24</v>
      </c>
      <c r="C18" s="102">
        <v>0</v>
      </c>
      <c r="D18" s="102"/>
      <c r="E18" s="102">
        <v>0</v>
      </c>
      <c r="F18" s="2">
        <v>1</v>
      </c>
      <c r="G18" s="2">
        <v>1</v>
      </c>
      <c r="H18" s="102">
        <v>1</v>
      </c>
      <c r="I18" s="102">
        <v>1</v>
      </c>
      <c r="J18" s="102">
        <v>1</v>
      </c>
      <c r="K18" s="102"/>
      <c r="L18" s="113">
        <v>3</v>
      </c>
      <c r="M18" s="102">
        <v>5</v>
      </c>
      <c r="N18" s="102">
        <v>6</v>
      </c>
      <c r="O18" s="102"/>
      <c r="P18" s="102">
        <v>14</v>
      </c>
      <c r="Q18" s="102">
        <v>15</v>
      </c>
      <c r="R18" s="114">
        <v>16</v>
      </c>
      <c r="S18" s="81">
        <v>19</v>
      </c>
      <c r="T18" s="115">
        <v>23</v>
      </c>
      <c r="U18" s="87">
        <v>24</v>
      </c>
      <c r="V18" s="102">
        <v>28</v>
      </c>
      <c r="W18" s="102"/>
      <c r="X18" s="88"/>
      <c r="Y18" s="88"/>
      <c r="Z18" s="88"/>
      <c r="AA18" s="87">
        <v>16</v>
      </c>
      <c r="AB18" s="129">
        <v>32789</v>
      </c>
      <c r="AC18" s="129" t="s">
        <v>207</v>
      </c>
      <c r="AD18" s="130">
        <v>46192</v>
      </c>
      <c r="AE18" s="129">
        <v>501.46</v>
      </c>
      <c r="AF18" s="130">
        <v>46107</v>
      </c>
      <c r="AG18" s="129" t="s">
        <v>10</v>
      </c>
      <c r="AH18" s="131">
        <v>85</v>
      </c>
    </row>
    <row r="19" spans="1:34" ht="13.2">
      <c r="A19" s="88"/>
      <c r="B19" s="97" t="s">
        <v>25</v>
      </c>
      <c r="C19" s="102">
        <v>0</v>
      </c>
      <c r="D19" s="102"/>
      <c r="E19" s="102">
        <v>0</v>
      </c>
      <c r="F19" s="2">
        <v>0</v>
      </c>
      <c r="G19" s="2">
        <v>1</v>
      </c>
      <c r="H19" s="102">
        <v>2</v>
      </c>
      <c r="I19" s="102">
        <v>2</v>
      </c>
      <c r="J19" s="102">
        <v>2</v>
      </c>
      <c r="K19" s="102"/>
      <c r="L19" s="113">
        <v>2</v>
      </c>
      <c r="M19" s="102">
        <v>4</v>
      </c>
      <c r="N19" s="102">
        <v>4</v>
      </c>
      <c r="O19" s="102"/>
      <c r="P19" s="102">
        <v>5</v>
      </c>
      <c r="Q19" s="102">
        <v>5</v>
      </c>
      <c r="R19" s="114">
        <v>5</v>
      </c>
      <c r="S19" s="81">
        <v>11</v>
      </c>
      <c r="T19" s="115">
        <v>10</v>
      </c>
      <c r="U19" s="87">
        <v>9</v>
      </c>
      <c r="V19" s="102">
        <v>11</v>
      </c>
      <c r="W19" s="102"/>
      <c r="X19" s="88"/>
      <c r="Y19" s="88"/>
      <c r="Z19" s="88"/>
      <c r="AA19" s="126">
        <v>17</v>
      </c>
      <c r="AB19" s="134">
        <v>43804</v>
      </c>
      <c r="AC19" s="134" t="s">
        <v>208</v>
      </c>
      <c r="AD19" s="135">
        <v>46198</v>
      </c>
      <c r="AE19" s="134">
        <v>300.68</v>
      </c>
      <c r="AF19" s="135">
        <v>46128</v>
      </c>
      <c r="AG19" s="134" t="s">
        <v>10</v>
      </c>
      <c r="AH19" s="136">
        <v>70</v>
      </c>
    </row>
    <row r="20" spans="1:34" ht="13.2">
      <c r="A20" s="88"/>
      <c r="B20" s="97" t="s">
        <v>26</v>
      </c>
      <c r="C20" s="102">
        <v>0</v>
      </c>
      <c r="D20" s="102"/>
      <c r="E20" s="102">
        <v>0</v>
      </c>
      <c r="F20" s="2">
        <v>0</v>
      </c>
      <c r="G20" s="2">
        <v>0</v>
      </c>
      <c r="H20" s="102">
        <v>0</v>
      </c>
      <c r="I20" s="102">
        <v>0</v>
      </c>
      <c r="J20" s="102">
        <v>0</v>
      </c>
      <c r="K20" s="102"/>
      <c r="L20" s="113">
        <v>0</v>
      </c>
      <c r="M20" s="102">
        <v>2</v>
      </c>
      <c r="N20" s="102">
        <v>2</v>
      </c>
      <c r="O20" s="102"/>
      <c r="P20" s="102">
        <v>3</v>
      </c>
      <c r="Q20" s="102">
        <v>3</v>
      </c>
      <c r="R20" s="114">
        <v>3</v>
      </c>
      <c r="S20" s="81">
        <v>4</v>
      </c>
      <c r="T20" s="115">
        <v>4</v>
      </c>
      <c r="U20" s="87">
        <v>5</v>
      </c>
      <c r="V20" s="102">
        <v>5</v>
      </c>
      <c r="W20" s="102"/>
      <c r="X20" s="88"/>
      <c r="Y20" s="88"/>
      <c r="Z20" s="88"/>
      <c r="AA20" s="87">
        <v>18</v>
      </c>
      <c r="AB20" s="129">
        <v>13483</v>
      </c>
      <c r="AC20" s="129" t="s">
        <v>209</v>
      </c>
      <c r="AD20" s="130">
        <v>46199</v>
      </c>
      <c r="AE20" s="129">
        <v>179.85</v>
      </c>
      <c r="AF20" s="130">
        <v>46135</v>
      </c>
      <c r="AG20" s="129" t="s">
        <v>10</v>
      </c>
      <c r="AH20" s="131">
        <v>64</v>
      </c>
    </row>
    <row r="21" spans="1:34" ht="13.2">
      <c r="A21" s="88"/>
      <c r="B21" s="109" t="s">
        <v>11</v>
      </c>
      <c r="C21" s="109">
        <v>204</v>
      </c>
      <c r="D21" s="109">
        <v>0</v>
      </c>
      <c r="E21" s="109">
        <v>202</v>
      </c>
      <c r="F21" s="109">
        <v>201</v>
      </c>
      <c r="G21" s="109">
        <v>200</v>
      </c>
      <c r="H21" s="109">
        <v>215</v>
      </c>
      <c r="I21" s="109">
        <v>215</v>
      </c>
      <c r="J21" s="109">
        <v>214</v>
      </c>
      <c r="K21" s="109">
        <v>0</v>
      </c>
      <c r="L21" s="109">
        <v>212</v>
      </c>
      <c r="M21" s="109">
        <v>241</v>
      </c>
      <c r="N21" s="109">
        <v>240</v>
      </c>
      <c r="O21" s="109">
        <v>0</v>
      </c>
      <c r="P21" s="109">
        <v>247</v>
      </c>
      <c r="Q21" s="109">
        <v>248</v>
      </c>
      <c r="R21" s="109">
        <v>238</v>
      </c>
      <c r="S21" s="109">
        <v>263</v>
      </c>
      <c r="T21" s="109">
        <v>261</v>
      </c>
      <c r="U21" s="109">
        <v>272</v>
      </c>
      <c r="V21" s="109">
        <v>276</v>
      </c>
      <c r="W21" s="109">
        <v>0</v>
      </c>
      <c r="X21" s="88"/>
      <c r="Y21" s="88"/>
      <c r="Z21" s="88"/>
      <c r="AA21" s="122">
        <v>19</v>
      </c>
      <c r="AB21" s="132">
        <v>42832</v>
      </c>
      <c r="AC21" s="132" t="s">
        <v>210</v>
      </c>
      <c r="AD21" s="133">
        <v>46203</v>
      </c>
      <c r="AE21" s="132">
        <v>253.61</v>
      </c>
      <c r="AF21" s="133">
        <v>46108</v>
      </c>
      <c r="AG21" s="132" t="s">
        <v>10</v>
      </c>
      <c r="AH21" s="132">
        <v>95</v>
      </c>
    </row>
    <row r="22" spans="1:34" ht="13.2">
      <c r="A22" s="88"/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  <c r="AA22" s="122">
        <v>20</v>
      </c>
      <c r="AB22" s="132">
        <v>39094</v>
      </c>
      <c r="AC22" s="132" t="s">
        <v>211</v>
      </c>
      <c r="AD22" s="133">
        <v>46203</v>
      </c>
      <c r="AE22" s="132">
        <v>177.74</v>
      </c>
      <c r="AF22" s="133">
        <v>46359</v>
      </c>
      <c r="AG22" s="132" t="s">
        <v>10</v>
      </c>
      <c r="AH22" s="132">
        <v>110</v>
      </c>
    </row>
    <row r="23" spans="1:34" ht="13.2">
      <c r="A23" s="88"/>
      <c r="B23" s="82" t="s">
        <v>53</v>
      </c>
      <c r="C23" s="83">
        <v>1</v>
      </c>
      <c r="D23" s="84">
        <v>2</v>
      </c>
      <c r="E23" s="84">
        <v>3</v>
      </c>
      <c r="F23" s="85">
        <v>5</v>
      </c>
      <c r="G23" s="83">
        <v>8</v>
      </c>
      <c r="H23" s="84">
        <v>9</v>
      </c>
      <c r="I23" s="84">
        <v>10</v>
      </c>
      <c r="J23" s="84">
        <v>11</v>
      </c>
      <c r="K23" s="85">
        <v>12</v>
      </c>
      <c r="L23" s="83">
        <v>15</v>
      </c>
      <c r="M23" s="84">
        <v>16</v>
      </c>
      <c r="N23" s="84">
        <v>17</v>
      </c>
      <c r="O23" s="84">
        <v>18</v>
      </c>
      <c r="P23" s="85">
        <v>19</v>
      </c>
      <c r="Q23" s="83">
        <v>22</v>
      </c>
      <c r="R23" s="84">
        <v>23</v>
      </c>
      <c r="S23" s="84">
        <v>24</v>
      </c>
      <c r="T23" s="84">
        <v>25</v>
      </c>
      <c r="U23" s="85">
        <v>26</v>
      </c>
      <c r="V23" s="83">
        <v>29</v>
      </c>
      <c r="W23" s="85">
        <v>30</v>
      </c>
      <c r="X23" s="86" t="s">
        <v>11</v>
      </c>
      <c r="Y23" s="88"/>
      <c r="Z23" s="88"/>
      <c r="AA23" s="81"/>
      <c r="AB23" s="131"/>
      <c r="AC23" s="131"/>
      <c r="AD23" s="131"/>
      <c r="AE23" s="131"/>
      <c r="AF23" s="131"/>
      <c r="AG23" s="131"/>
      <c r="AH23" s="137"/>
    </row>
    <row r="24" spans="1:34" ht="13.2">
      <c r="A24" s="88"/>
      <c r="B24" s="81" t="s">
        <v>2</v>
      </c>
      <c r="C24" s="87">
        <v>17</v>
      </c>
      <c r="D24" s="87">
        <v>17</v>
      </c>
      <c r="E24" s="87">
        <v>17</v>
      </c>
      <c r="F24" s="87">
        <v>17</v>
      </c>
      <c r="G24" s="87">
        <v>17</v>
      </c>
      <c r="H24" s="87">
        <v>17</v>
      </c>
      <c r="I24" s="87">
        <v>17</v>
      </c>
      <c r="J24" s="87">
        <v>17</v>
      </c>
      <c r="K24" s="87">
        <v>17</v>
      </c>
      <c r="L24" s="87">
        <v>17</v>
      </c>
      <c r="M24" s="87">
        <v>17</v>
      </c>
      <c r="N24" s="87">
        <v>17</v>
      </c>
      <c r="O24" s="87">
        <v>17</v>
      </c>
      <c r="P24" s="87">
        <v>17</v>
      </c>
      <c r="Q24" s="87">
        <v>17</v>
      </c>
      <c r="R24" s="87">
        <v>17</v>
      </c>
      <c r="S24" s="87">
        <v>17</v>
      </c>
      <c r="T24" s="87">
        <v>16</v>
      </c>
      <c r="U24" s="87">
        <v>15</v>
      </c>
      <c r="V24" s="87">
        <v>15</v>
      </c>
      <c r="W24" s="87">
        <v>15</v>
      </c>
      <c r="X24" s="81">
        <v>350</v>
      </c>
      <c r="Y24" s="88"/>
      <c r="Z24" s="88"/>
      <c r="AA24" s="81"/>
      <c r="AB24" s="131"/>
      <c r="AC24" s="131"/>
      <c r="AD24" s="131"/>
      <c r="AE24" s="131"/>
      <c r="AF24" s="131"/>
      <c r="AG24" s="131"/>
      <c r="AH24" s="137"/>
    </row>
    <row r="25" spans="1:34" ht="13.2">
      <c r="A25" s="88"/>
      <c r="B25" s="81" t="s">
        <v>115</v>
      </c>
      <c r="C25" s="87">
        <v>12</v>
      </c>
      <c r="D25" s="87">
        <v>8</v>
      </c>
      <c r="E25" s="87">
        <v>10</v>
      </c>
      <c r="F25" s="87">
        <v>7</v>
      </c>
      <c r="G25" s="87">
        <v>13</v>
      </c>
      <c r="H25" s="87">
        <v>2</v>
      </c>
      <c r="I25" s="87">
        <v>0</v>
      </c>
      <c r="J25" s="87">
        <v>3</v>
      </c>
      <c r="K25" s="87">
        <v>12</v>
      </c>
      <c r="L25" s="87">
        <v>15</v>
      </c>
      <c r="M25" s="87">
        <v>24</v>
      </c>
      <c r="N25" s="87">
        <v>6</v>
      </c>
      <c r="O25" s="87">
        <v>11</v>
      </c>
      <c r="P25" s="87">
        <v>12</v>
      </c>
      <c r="Q25" s="87">
        <v>18</v>
      </c>
      <c r="R25" s="87">
        <v>11</v>
      </c>
      <c r="S25" s="87">
        <v>23</v>
      </c>
      <c r="T25" s="87">
        <v>34</v>
      </c>
      <c r="U25" s="87">
        <v>34</v>
      </c>
      <c r="V25" s="87">
        <v>10</v>
      </c>
      <c r="W25" s="87">
        <v>28</v>
      </c>
      <c r="X25" s="81">
        <v>293</v>
      </c>
      <c r="Y25" s="108">
        <v>-57</v>
      </c>
      <c r="Z25" s="88"/>
      <c r="AA25" s="88"/>
      <c r="AB25" s="128"/>
      <c r="AC25" s="128"/>
      <c r="AD25" s="128"/>
      <c r="AE25" s="138">
        <v>13225.55</v>
      </c>
      <c r="AF25" s="128"/>
      <c r="AG25" s="128"/>
      <c r="AH25" s="127"/>
    </row>
    <row r="26" spans="1:34" ht="13.2">
      <c r="A26" s="88"/>
      <c r="B26" s="88"/>
      <c r="C26" s="88"/>
      <c r="D26" s="88"/>
      <c r="E26" s="88"/>
      <c r="F26" s="88"/>
      <c r="G26" s="88"/>
      <c r="H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284"/>
      <c r="Y26" s="284"/>
      <c r="Z26" s="88"/>
      <c r="AA26" s="88"/>
      <c r="AB26" s="128"/>
      <c r="AC26" s="128"/>
      <c r="AD26" s="128"/>
      <c r="AE26" s="128"/>
      <c r="AF26" s="128"/>
      <c r="AG26" s="128"/>
      <c r="AH26" s="127"/>
    </row>
    <row r="27" spans="1:34" ht="13.2">
      <c r="A27" s="88"/>
      <c r="B27" s="88"/>
      <c r="C27" s="88"/>
      <c r="D27" s="88"/>
      <c r="E27" s="88"/>
      <c r="F27" s="88"/>
      <c r="G27" s="88"/>
      <c r="H27" s="88"/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  <c r="AA27" s="88"/>
      <c r="AB27" s="128"/>
      <c r="AC27" s="128"/>
      <c r="AD27" s="128"/>
      <c r="AE27" s="128"/>
      <c r="AF27" s="128"/>
      <c r="AG27" s="128"/>
      <c r="AH27" s="127"/>
    </row>
    <row r="28" spans="1:34" ht="13.2">
      <c r="A28" s="88"/>
      <c r="B28" s="88"/>
      <c r="C28" s="88"/>
      <c r="D28" s="88"/>
      <c r="E28" s="88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  <c r="AA28" s="88"/>
      <c r="AB28" s="128"/>
      <c r="AC28" s="128"/>
      <c r="AD28" s="128"/>
      <c r="AE28" s="128"/>
      <c r="AF28" s="128"/>
      <c r="AG28" s="128"/>
      <c r="AH28" s="127"/>
    </row>
    <row r="29" spans="1:34" ht="13.2">
      <c r="A29" s="88"/>
      <c r="B29" s="88"/>
      <c r="C29" s="88"/>
      <c r="D29" s="88"/>
      <c r="E29" s="88"/>
      <c r="F29" s="88"/>
      <c r="G29" s="88"/>
      <c r="H29" s="88"/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  <c r="AA29" s="88"/>
      <c r="AB29" s="128"/>
      <c r="AC29" s="128"/>
      <c r="AD29" s="128"/>
      <c r="AE29" s="128"/>
      <c r="AF29" s="128"/>
      <c r="AG29" s="128"/>
      <c r="AH29" s="127"/>
    </row>
    <row r="30" spans="1:34" ht="13.2">
      <c r="A30" s="88"/>
      <c r="B30" s="88"/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  <c r="AA30" s="88"/>
      <c r="AB30" s="128"/>
      <c r="AC30" s="128"/>
      <c r="AD30" s="128"/>
      <c r="AE30" s="128"/>
      <c r="AF30" s="128"/>
      <c r="AG30" s="128"/>
      <c r="AH30" s="127"/>
    </row>
    <row r="31" spans="1:34" ht="13.2">
      <c r="A31" s="88"/>
      <c r="B31" s="88"/>
      <c r="C31" s="88"/>
      <c r="D31" s="88"/>
      <c r="E31" s="88"/>
      <c r="F31" s="88"/>
      <c r="G31" s="88"/>
      <c r="H31" s="88"/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  <c r="AA31" s="88"/>
      <c r="AB31" s="128"/>
      <c r="AC31" s="128"/>
      <c r="AD31" s="128"/>
      <c r="AE31" s="128"/>
      <c r="AF31" s="128"/>
      <c r="AG31" s="128"/>
      <c r="AH31" s="127"/>
    </row>
    <row r="32" spans="1:34" ht="13.2">
      <c r="A32" s="88"/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  <c r="AA32" s="88"/>
      <c r="AB32" s="128"/>
      <c r="AC32" s="128"/>
      <c r="AD32" s="128"/>
      <c r="AE32" s="128"/>
      <c r="AF32" s="128"/>
      <c r="AG32" s="128"/>
      <c r="AH32" s="127"/>
    </row>
    <row r="33" spans="1:34" ht="13.2">
      <c r="A33" s="88"/>
      <c r="B33" s="88"/>
      <c r="C33" s="88"/>
      <c r="D33" s="88"/>
      <c r="E33" s="88"/>
      <c r="F33" s="88"/>
      <c r="G33" s="88"/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  <c r="AA33" s="88"/>
      <c r="AB33" s="128"/>
      <c r="AC33" s="128"/>
      <c r="AD33" s="128"/>
      <c r="AE33" s="128"/>
      <c r="AF33" s="128"/>
      <c r="AG33" s="128"/>
      <c r="AH33" s="127"/>
    </row>
    <row r="34" spans="1:34" ht="13.2">
      <c r="A34" s="88"/>
      <c r="B34" s="88"/>
      <c r="C34" s="88"/>
      <c r="D34" s="88"/>
      <c r="E34" s="88"/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  <c r="AA34" s="88"/>
      <c r="AB34" s="128"/>
      <c r="AC34" s="128"/>
      <c r="AD34" s="128"/>
      <c r="AE34" s="128"/>
      <c r="AF34" s="128"/>
      <c r="AG34" s="128"/>
      <c r="AH34" s="127"/>
    </row>
    <row r="35" spans="1:34" ht="13.2">
      <c r="A35" s="88"/>
      <c r="B35" s="88"/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  <c r="AA35" s="88"/>
      <c r="AB35" s="128"/>
      <c r="AC35" s="128"/>
      <c r="AD35" s="128"/>
      <c r="AE35" s="128"/>
      <c r="AF35" s="128"/>
      <c r="AG35" s="128"/>
      <c r="AH35" s="127"/>
    </row>
    <row r="36" spans="1:34" ht="13.2">
      <c r="A36" s="88"/>
      <c r="B36" s="88"/>
      <c r="C36" s="88"/>
      <c r="D36" s="88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  <c r="AB36" s="128"/>
      <c r="AC36" s="128"/>
      <c r="AD36" s="128"/>
      <c r="AE36" s="128"/>
      <c r="AF36" s="128"/>
      <c r="AG36" s="128"/>
      <c r="AH36" s="127"/>
    </row>
    <row r="37" spans="1:34" ht="13.2">
      <c r="A37" s="88"/>
      <c r="B37" s="88"/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  <c r="AA37" s="88"/>
      <c r="AB37" s="128"/>
      <c r="AC37" s="128"/>
      <c r="AD37" s="128"/>
      <c r="AE37" s="128"/>
      <c r="AF37" s="128"/>
      <c r="AG37" s="128"/>
      <c r="AH37" s="127"/>
    </row>
    <row r="38" spans="1:34" ht="13.2">
      <c r="A38" s="88"/>
      <c r="B38" s="88"/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  <c r="AA38" s="88"/>
      <c r="AB38" s="128"/>
      <c r="AC38" s="128"/>
      <c r="AD38" s="128"/>
      <c r="AE38" s="128"/>
      <c r="AF38" s="128"/>
      <c r="AG38" s="128"/>
      <c r="AH38" s="127"/>
    </row>
    <row r="39" spans="1:34" ht="13.2">
      <c r="A39" s="88"/>
      <c r="B39" s="88"/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  <c r="AA39" s="88"/>
      <c r="AB39" s="128"/>
      <c r="AC39" s="128"/>
      <c r="AD39" s="128"/>
      <c r="AE39" s="128"/>
      <c r="AF39" s="128"/>
      <c r="AG39" s="128"/>
      <c r="AH39" s="127"/>
    </row>
    <row r="40" spans="1:34" ht="13.2">
      <c r="A40" s="88"/>
      <c r="B40" s="88"/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  <c r="AB40" s="128"/>
      <c r="AC40" s="128"/>
      <c r="AD40" s="128"/>
      <c r="AE40" s="128"/>
      <c r="AF40" s="128"/>
      <c r="AG40" s="128"/>
      <c r="AH40" s="127"/>
    </row>
    <row r="41" spans="1:34" ht="13.2">
      <c r="A41" s="88"/>
      <c r="B41" s="88"/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  <c r="AB41" s="128"/>
      <c r="AC41" s="128"/>
      <c r="AD41" s="128"/>
      <c r="AE41" s="128"/>
      <c r="AF41" s="128"/>
      <c r="AG41" s="128"/>
      <c r="AH41" s="127"/>
    </row>
    <row r="42" spans="1:34" ht="13.2">
      <c r="A42" s="88"/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128"/>
      <c r="AC42" s="128"/>
      <c r="AD42" s="128"/>
      <c r="AE42" s="128"/>
      <c r="AF42" s="128"/>
      <c r="AG42" s="128"/>
      <c r="AH42" s="127"/>
    </row>
    <row r="43" spans="1:34" ht="13.2">
      <c r="A43" s="88"/>
      <c r="B43" s="88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  <c r="AB43" s="128"/>
      <c r="AC43" s="128"/>
      <c r="AD43" s="128"/>
      <c r="AE43" s="128"/>
      <c r="AF43" s="128"/>
      <c r="AG43" s="128"/>
      <c r="AH43" s="127"/>
    </row>
    <row r="44" spans="1:34" ht="13.2">
      <c r="A44" s="88"/>
      <c r="B44" s="88"/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  <c r="AB44" s="128"/>
      <c r="AC44" s="128"/>
      <c r="AD44" s="128"/>
      <c r="AE44" s="128"/>
      <c r="AF44" s="128"/>
      <c r="AG44" s="128"/>
      <c r="AH44" s="127"/>
    </row>
    <row r="45" spans="1:34" ht="13.2">
      <c r="A45" s="88"/>
      <c r="B45" s="88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88"/>
      <c r="AB45" s="128"/>
      <c r="AC45" s="128"/>
      <c r="AD45" s="128"/>
      <c r="AE45" s="128"/>
      <c r="AF45" s="128"/>
      <c r="AG45" s="128"/>
      <c r="AH45" s="127"/>
    </row>
    <row r="46" spans="1:34" ht="13.2">
      <c r="A46" s="88"/>
      <c r="B46" s="88"/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  <c r="AA46" s="88"/>
      <c r="AB46" s="128"/>
      <c r="AC46" s="128"/>
      <c r="AD46" s="128"/>
      <c r="AE46" s="128"/>
      <c r="AF46" s="128"/>
      <c r="AG46" s="128"/>
      <c r="AH46" s="127"/>
    </row>
    <row r="47" spans="1:34" ht="13.2">
      <c r="A47" s="88"/>
      <c r="B47" s="88"/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  <c r="AA47" s="88"/>
      <c r="AB47" s="128"/>
      <c r="AC47" s="128"/>
      <c r="AD47" s="128"/>
      <c r="AE47" s="128"/>
      <c r="AF47" s="128"/>
      <c r="AG47" s="128"/>
      <c r="AH47" s="127"/>
    </row>
    <row r="48" spans="1:34" ht="13.2">
      <c r="A48" s="88"/>
      <c r="B48" s="88"/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  <c r="AA48" s="88"/>
      <c r="AB48" s="128"/>
      <c r="AC48" s="128"/>
      <c r="AD48" s="128"/>
      <c r="AE48" s="128"/>
      <c r="AF48" s="128"/>
      <c r="AG48" s="128"/>
      <c r="AH48" s="127"/>
    </row>
    <row r="49" spans="1:34" ht="13.2">
      <c r="A49" s="88"/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  <c r="AA49" s="88"/>
      <c r="AB49" s="128"/>
      <c r="AC49" s="128"/>
      <c r="AD49" s="128"/>
      <c r="AE49" s="128"/>
      <c r="AF49" s="128"/>
      <c r="AG49" s="128"/>
      <c r="AH49" s="127"/>
    </row>
    <row r="50" spans="1:34" ht="13.2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  <c r="AA50" s="88"/>
      <c r="AB50" s="128"/>
      <c r="AC50" s="128"/>
      <c r="AD50" s="128"/>
      <c r="AE50" s="128"/>
      <c r="AF50" s="128"/>
      <c r="AG50" s="128"/>
      <c r="AH50" s="127"/>
    </row>
    <row r="51" spans="1:34" ht="13.2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  <c r="AA51" s="88"/>
      <c r="AB51" s="128"/>
      <c r="AC51" s="128"/>
      <c r="AD51" s="128"/>
      <c r="AE51" s="128"/>
      <c r="AF51" s="128"/>
      <c r="AG51" s="128"/>
      <c r="AH51" s="127"/>
    </row>
    <row r="52" spans="1:34" ht="13.2">
      <c r="A52" s="88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  <c r="AA52" s="88"/>
      <c r="AB52" s="128"/>
      <c r="AC52" s="128"/>
      <c r="AD52" s="128"/>
      <c r="AE52" s="128"/>
      <c r="AF52" s="128"/>
      <c r="AG52" s="128"/>
      <c r="AH52" s="127"/>
    </row>
    <row r="53" spans="1:34" ht="13.2">
      <c r="A53" s="88"/>
      <c r="B53" s="88"/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  <c r="AA53" s="88"/>
      <c r="AB53" s="128"/>
      <c r="AC53" s="128"/>
      <c r="AD53" s="128"/>
      <c r="AE53" s="128"/>
      <c r="AF53" s="128"/>
      <c r="AG53" s="128"/>
      <c r="AH53" s="127"/>
    </row>
    <row r="54" spans="1:34" ht="13.2">
      <c r="A54" s="88"/>
      <c r="B54" s="88"/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  <c r="AA54" s="88"/>
      <c r="AB54" s="128"/>
      <c r="AC54" s="128"/>
      <c r="AD54" s="128"/>
      <c r="AE54" s="128"/>
      <c r="AF54" s="128"/>
      <c r="AG54" s="128"/>
      <c r="AH54" s="127"/>
    </row>
    <row r="55" spans="1:34" ht="13.2">
      <c r="A55" s="88"/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  <c r="AA55" s="88"/>
      <c r="AB55" s="128"/>
      <c r="AC55" s="128"/>
      <c r="AD55" s="128"/>
      <c r="AE55" s="128"/>
      <c r="AF55" s="128"/>
      <c r="AG55" s="128"/>
      <c r="AH55" s="127"/>
    </row>
    <row r="56" spans="1:34" ht="13.2">
      <c r="A56" s="88"/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  <c r="AA56" s="88"/>
      <c r="AB56" s="128"/>
      <c r="AC56" s="128"/>
      <c r="AD56" s="128"/>
      <c r="AE56" s="128"/>
      <c r="AF56" s="128"/>
      <c r="AG56" s="128"/>
      <c r="AH56" s="127"/>
    </row>
    <row r="57" spans="1:34" ht="13.2">
      <c r="A57" s="88"/>
      <c r="B57" s="88"/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  <c r="AA57" s="88"/>
      <c r="AB57" s="128"/>
      <c r="AC57" s="128"/>
      <c r="AD57" s="128"/>
      <c r="AE57" s="128"/>
      <c r="AF57" s="128"/>
      <c r="AG57" s="128"/>
      <c r="AH57" s="127"/>
    </row>
    <row r="58" spans="1:34" ht="13.2">
      <c r="A58" s="88"/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  <c r="AA58" s="88"/>
      <c r="AB58" s="128"/>
      <c r="AC58" s="128"/>
      <c r="AD58" s="128"/>
      <c r="AE58" s="128"/>
      <c r="AF58" s="128"/>
      <c r="AG58" s="128"/>
      <c r="AH58" s="127"/>
    </row>
    <row r="59" spans="1:34" ht="13.2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  <c r="AA59" s="88"/>
      <c r="AB59" s="128"/>
      <c r="AC59" s="128"/>
      <c r="AD59" s="128"/>
      <c r="AE59" s="128"/>
      <c r="AF59" s="128"/>
      <c r="AG59" s="128"/>
      <c r="AH59" s="127"/>
    </row>
    <row r="60" spans="1:34" ht="13.2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  <c r="AA60" s="88"/>
      <c r="AB60" s="128"/>
      <c r="AC60" s="128"/>
      <c r="AD60" s="128"/>
      <c r="AE60" s="128"/>
      <c r="AF60" s="128"/>
      <c r="AG60" s="128"/>
      <c r="AH60" s="127"/>
    </row>
    <row r="61" spans="1:34" ht="13.2">
      <c r="A61" s="88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  <c r="AA61" s="88"/>
      <c r="AB61" s="128"/>
      <c r="AC61" s="128"/>
      <c r="AD61" s="128"/>
      <c r="AE61" s="128"/>
      <c r="AF61" s="128"/>
      <c r="AG61" s="128"/>
      <c r="AH61" s="127"/>
    </row>
    <row r="62" spans="1:34" ht="13.2">
      <c r="A62" s="88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  <c r="AB62" s="128"/>
      <c r="AC62" s="128"/>
      <c r="AD62" s="128"/>
      <c r="AE62" s="128"/>
      <c r="AF62" s="128"/>
      <c r="AG62" s="128"/>
      <c r="AH62" s="127"/>
    </row>
    <row r="63" spans="1:34" ht="13.2">
      <c r="A63" s="88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  <c r="AA63" s="88"/>
      <c r="AB63" s="128"/>
      <c r="AC63" s="128"/>
      <c r="AD63" s="128"/>
      <c r="AE63" s="128"/>
      <c r="AF63" s="128"/>
      <c r="AG63" s="128"/>
      <c r="AH63" s="127"/>
    </row>
    <row r="64" spans="1:34" ht="13.2">
      <c r="A64" s="88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  <c r="AA64" s="88"/>
      <c r="AB64" s="128"/>
      <c r="AC64" s="128"/>
      <c r="AD64" s="128"/>
      <c r="AE64" s="128"/>
      <c r="AF64" s="128"/>
      <c r="AG64" s="128"/>
      <c r="AH64" s="127"/>
    </row>
    <row r="65" spans="1:34" ht="13.2">
      <c r="A65" s="88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  <c r="AA65" s="88"/>
      <c r="AB65" s="128"/>
      <c r="AC65" s="128"/>
      <c r="AD65" s="128"/>
      <c r="AE65" s="128"/>
      <c r="AF65" s="128"/>
      <c r="AG65" s="128"/>
      <c r="AH65" s="127"/>
    </row>
    <row r="66" spans="1:34" ht="13.2">
      <c r="A66" s="88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  <c r="AA66" s="88"/>
      <c r="AB66" s="128"/>
      <c r="AC66" s="128"/>
      <c r="AD66" s="128"/>
      <c r="AE66" s="128"/>
      <c r="AF66" s="128"/>
      <c r="AG66" s="128"/>
      <c r="AH66" s="127"/>
    </row>
    <row r="67" spans="1:34" ht="13.2">
      <c r="A67" s="88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  <c r="AA67" s="88"/>
      <c r="AB67" s="128"/>
      <c r="AC67" s="128"/>
      <c r="AD67" s="128"/>
      <c r="AE67" s="128"/>
      <c r="AF67" s="128"/>
      <c r="AG67" s="128"/>
      <c r="AH67" s="127"/>
    </row>
    <row r="68" spans="1:34" ht="13.2">
      <c r="A68" s="88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  <c r="AA68" s="88"/>
      <c r="AB68" s="128"/>
      <c r="AC68" s="128"/>
      <c r="AD68" s="128"/>
      <c r="AE68" s="128"/>
      <c r="AF68" s="128"/>
      <c r="AG68" s="128"/>
      <c r="AH68" s="127"/>
    </row>
    <row r="69" spans="1:34" ht="13.2">
      <c r="A69" s="88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  <c r="AA69" s="88"/>
      <c r="AB69" s="128"/>
      <c r="AC69" s="128"/>
      <c r="AD69" s="128"/>
      <c r="AE69" s="128"/>
      <c r="AF69" s="128"/>
      <c r="AG69" s="128"/>
      <c r="AH69" s="127"/>
    </row>
    <row r="70" spans="1:34" ht="13.2">
      <c r="A70" s="88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  <c r="AA70" s="88"/>
      <c r="AB70" s="128"/>
      <c r="AC70" s="128"/>
      <c r="AD70" s="128"/>
      <c r="AE70" s="128"/>
      <c r="AF70" s="128"/>
      <c r="AG70" s="128"/>
      <c r="AH70" s="127"/>
    </row>
    <row r="71" spans="1:34" ht="13.2">
      <c r="A71" s="88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  <c r="AA71" s="88"/>
      <c r="AB71" s="128"/>
      <c r="AC71" s="128"/>
      <c r="AD71" s="128"/>
      <c r="AE71" s="128"/>
      <c r="AF71" s="128"/>
      <c r="AG71" s="128"/>
      <c r="AH71" s="127"/>
    </row>
    <row r="72" spans="1:34" ht="13.2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  <c r="AA72" s="88"/>
      <c r="AB72" s="128"/>
      <c r="AC72" s="128"/>
      <c r="AD72" s="128"/>
      <c r="AE72" s="128"/>
      <c r="AF72" s="128"/>
      <c r="AG72" s="128"/>
      <c r="AH72" s="127"/>
    </row>
    <row r="73" spans="1:34" ht="13.2">
      <c r="A73" s="88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  <c r="AA73" s="88"/>
      <c r="AB73" s="128"/>
      <c r="AC73" s="128"/>
      <c r="AD73" s="128"/>
      <c r="AE73" s="128"/>
      <c r="AF73" s="128"/>
      <c r="AG73" s="128"/>
      <c r="AH73" s="127"/>
    </row>
    <row r="74" spans="1:34" ht="13.2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  <c r="AA74" s="88"/>
      <c r="AB74" s="128"/>
      <c r="AC74" s="128"/>
      <c r="AD74" s="128"/>
      <c r="AE74" s="128"/>
      <c r="AF74" s="128"/>
      <c r="AG74" s="128"/>
      <c r="AH74" s="127"/>
    </row>
    <row r="75" spans="1:34" ht="13.2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  <c r="AA75" s="88"/>
      <c r="AB75" s="128"/>
      <c r="AC75" s="128"/>
      <c r="AD75" s="128"/>
      <c r="AE75" s="128"/>
      <c r="AF75" s="128"/>
      <c r="AG75" s="128"/>
      <c r="AH75" s="127"/>
    </row>
    <row r="76" spans="1:34" ht="13.2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  <c r="AA76" s="88"/>
      <c r="AB76" s="128"/>
      <c r="AC76" s="128"/>
      <c r="AD76" s="128"/>
      <c r="AE76" s="128"/>
      <c r="AF76" s="128"/>
      <c r="AG76" s="128"/>
      <c r="AH76" s="127"/>
    </row>
    <row r="77" spans="1:34" ht="13.2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  <c r="AA77" s="88"/>
      <c r="AB77" s="128"/>
      <c r="AC77" s="128"/>
      <c r="AD77" s="128"/>
      <c r="AE77" s="128"/>
      <c r="AF77" s="128"/>
      <c r="AG77" s="128"/>
      <c r="AH77" s="127"/>
    </row>
    <row r="78" spans="1:34" ht="13.2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  <c r="AA78" s="88"/>
      <c r="AB78" s="128"/>
      <c r="AC78" s="128"/>
      <c r="AD78" s="128"/>
      <c r="AE78" s="128"/>
      <c r="AF78" s="128"/>
      <c r="AG78" s="128"/>
      <c r="AH78" s="127"/>
    </row>
    <row r="79" spans="1:34" ht="13.2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  <c r="AA79" s="88"/>
      <c r="AB79" s="128"/>
      <c r="AC79" s="128"/>
      <c r="AD79" s="128"/>
      <c r="AE79" s="128"/>
      <c r="AF79" s="128"/>
      <c r="AG79" s="128"/>
      <c r="AH79" s="127"/>
    </row>
    <row r="80" spans="1:34" ht="13.2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  <c r="AA80" s="88"/>
      <c r="AB80" s="128"/>
      <c r="AC80" s="128"/>
      <c r="AD80" s="128"/>
      <c r="AE80" s="128"/>
      <c r="AF80" s="128"/>
      <c r="AG80" s="128"/>
      <c r="AH80" s="127"/>
    </row>
    <row r="81" spans="1:34" ht="13.2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  <c r="AA81" s="88"/>
      <c r="AB81" s="128"/>
      <c r="AC81" s="128"/>
      <c r="AD81" s="128"/>
      <c r="AE81" s="128"/>
      <c r="AF81" s="128"/>
      <c r="AG81" s="128"/>
      <c r="AH81" s="127"/>
    </row>
    <row r="82" spans="1:34" ht="13.2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  <c r="AA82" s="88"/>
      <c r="AB82" s="128"/>
      <c r="AC82" s="128"/>
      <c r="AD82" s="128"/>
      <c r="AE82" s="128"/>
      <c r="AF82" s="128"/>
      <c r="AG82" s="128"/>
      <c r="AH82" s="127"/>
    </row>
    <row r="83" spans="1:34" ht="13.2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  <c r="AA83" s="88"/>
      <c r="AB83" s="128"/>
      <c r="AC83" s="128"/>
      <c r="AD83" s="128"/>
      <c r="AE83" s="128"/>
      <c r="AF83" s="128"/>
      <c r="AG83" s="128"/>
      <c r="AH83" s="127"/>
    </row>
    <row r="84" spans="1:34" ht="13.2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  <c r="AA84" s="88"/>
      <c r="AB84" s="128"/>
      <c r="AC84" s="128"/>
      <c r="AD84" s="128"/>
      <c r="AE84" s="128"/>
      <c r="AF84" s="128"/>
      <c r="AG84" s="128"/>
      <c r="AH84" s="127"/>
    </row>
    <row r="85" spans="1:34" ht="13.2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  <c r="AA85" s="88"/>
      <c r="AB85" s="128"/>
      <c r="AC85" s="128"/>
      <c r="AD85" s="128"/>
      <c r="AE85" s="128"/>
      <c r="AF85" s="128"/>
      <c r="AG85" s="128"/>
      <c r="AH85" s="127"/>
    </row>
    <row r="86" spans="1:34" ht="13.2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  <c r="AA86" s="88"/>
      <c r="AB86" s="128"/>
      <c r="AC86" s="128"/>
      <c r="AD86" s="128"/>
      <c r="AE86" s="128"/>
      <c r="AF86" s="128"/>
      <c r="AG86" s="128"/>
      <c r="AH86" s="127"/>
    </row>
    <row r="87" spans="1:34" ht="13.2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  <c r="AA87" s="88"/>
      <c r="AB87" s="128"/>
      <c r="AC87" s="128"/>
      <c r="AD87" s="128"/>
      <c r="AE87" s="128"/>
      <c r="AF87" s="128"/>
      <c r="AG87" s="128"/>
      <c r="AH87" s="127"/>
    </row>
    <row r="88" spans="1:34" ht="13.2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  <c r="AA88" s="88"/>
      <c r="AB88" s="128"/>
      <c r="AC88" s="128"/>
      <c r="AD88" s="128"/>
      <c r="AE88" s="128"/>
      <c r="AF88" s="128"/>
      <c r="AG88" s="128"/>
      <c r="AH88" s="127"/>
    </row>
    <row r="89" spans="1:34" ht="13.2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  <c r="AA89" s="88"/>
      <c r="AB89" s="128"/>
      <c r="AC89" s="128"/>
      <c r="AD89" s="128"/>
      <c r="AE89" s="128"/>
      <c r="AF89" s="128"/>
      <c r="AG89" s="128"/>
      <c r="AH89" s="127"/>
    </row>
    <row r="90" spans="1:34" ht="13.2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  <c r="AA90" s="88"/>
      <c r="AB90" s="128"/>
      <c r="AC90" s="128"/>
      <c r="AD90" s="128"/>
      <c r="AE90" s="128"/>
      <c r="AF90" s="128"/>
      <c r="AG90" s="128"/>
      <c r="AH90" s="127"/>
    </row>
    <row r="91" spans="1:34" ht="13.2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  <c r="AA91" s="88"/>
      <c r="AB91" s="128"/>
      <c r="AC91" s="128"/>
      <c r="AD91" s="128"/>
      <c r="AE91" s="128"/>
      <c r="AF91" s="128"/>
      <c r="AG91" s="128"/>
      <c r="AH91" s="127"/>
    </row>
    <row r="92" spans="1:34" ht="13.2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  <c r="AA92" s="88"/>
      <c r="AB92" s="128"/>
      <c r="AC92" s="128"/>
      <c r="AD92" s="128"/>
      <c r="AE92" s="128"/>
      <c r="AF92" s="128"/>
      <c r="AG92" s="128"/>
      <c r="AH92" s="127"/>
    </row>
    <row r="93" spans="1:34" ht="13.2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  <c r="AA93" s="88"/>
      <c r="AB93" s="128"/>
      <c r="AC93" s="128"/>
      <c r="AD93" s="128"/>
      <c r="AE93" s="128"/>
      <c r="AF93" s="128"/>
      <c r="AG93" s="128"/>
      <c r="AH93" s="127"/>
    </row>
    <row r="94" spans="1:34" ht="13.2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  <c r="AA94" s="88"/>
      <c r="AB94" s="128"/>
      <c r="AC94" s="128"/>
      <c r="AD94" s="128"/>
      <c r="AE94" s="128"/>
      <c r="AF94" s="128"/>
      <c r="AG94" s="128"/>
      <c r="AH94" s="127"/>
    </row>
    <row r="95" spans="1:34" ht="13.2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  <c r="AA95" s="88"/>
      <c r="AB95" s="128"/>
      <c r="AC95" s="128"/>
      <c r="AD95" s="128"/>
      <c r="AE95" s="128"/>
      <c r="AF95" s="128"/>
      <c r="AG95" s="128"/>
      <c r="AH95" s="127"/>
    </row>
    <row r="96" spans="1:34" ht="13.2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  <c r="AA96" s="88"/>
      <c r="AB96" s="128"/>
      <c r="AC96" s="128"/>
      <c r="AD96" s="128"/>
      <c r="AE96" s="128"/>
      <c r="AF96" s="128"/>
      <c r="AG96" s="128"/>
      <c r="AH96" s="127"/>
    </row>
    <row r="97" spans="1:34" ht="13.2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  <c r="AA97" s="88"/>
      <c r="AB97" s="128"/>
      <c r="AC97" s="128"/>
      <c r="AD97" s="128"/>
      <c r="AE97" s="128"/>
      <c r="AF97" s="128"/>
      <c r="AG97" s="128"/>
      <c r="AH97" s="127"/>
    </row>
    <row r="98" spans="1:34" ht="13.2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  <c r="AA98" s="88"/>
      <c r="AB98" s="128"/>
      <c r="AC98" s="128"/>
      <c r="AD98" s="128"/>
      <c r="AE98" s="128"/>
      <c r="AF98" s="128"/>
      <c r="AG98" s="128"/>
      <c r="AH98" s="127"/>
    </row>
    <row r="99" spans="1:34" ht="13.2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  <c r="AA99" s="88"/>
      <c r="AB99" s="128"/>
      <c r="AC99" s="128"/>
      <c r="AD99" s="128"/>
      <c r="AE99" s="128"/>
      <c r="AF99" s="128"/>
      <c r="AG99" s="128"/>
      <c r="AH99" s="127"/>
    </row>
    <row r="100" spans="1:34" ht="13.2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  <c r="AA100" s="88"/>
      <c r="AB100" s="128"/>
      <c r="AC100" s="128"/>
      <c r="AD100" s="128"/>
      <c r="AE100" s="128"/>
      <c r="AF100" s="128"/>
      <c r="AG100" s="128"/>
      <c r="AH100" s="127"/>
    </row>
    <row r="101" spans="1:34" ht="13.2">
      <c r="A101" s="88"/>
      <c r="B101" s="88"/>
      <c r="C101" s="88"/>
      <c r="D101" s="88"/>
      <c r="E101" s="88"/>
      <c r="F101" s="88"/>
      <c r="G101" s="88"/>
      <c r="H101" s="88"/>
      <c r="I101" s="88"/>
      <c r="J101" s="88"/>
      <c r="K101" s="88"/>
      <c r="L101" s="88"/>
      <c r="M101" s="88"/>
      <c r="N101" s="88"/>
      <c r="O101" s="88"/>
      <c r="P101" s="88"/>
      <c r="Q101" s="88"/>
      <c r="R101" s="88"/>
      <c r="S101" s="88"/>
      <c r="T101" s="88"/>
      <c r="U101" s="88"/>
      <c r="V101" s="88"/>
      <c r="W101" s="88"/>
      <c r="X101" s="88"/>
      <c r="Y101" s="88"/>
      <c r="Z101" s="88"/>
      <c r="AA101" s="88"/>
      <c r="AB101" s="128"/>
      <c r="AC101" s="128"/>
      <c r="AD101" s="128"/>
      <c r="AE101" s="128"/>
      <c r="AF101" s="128"/>
      <c r="AG101" s="128"/>
      <c r="AH101" s="127"/>
    </row>
    <row r="102" spans="1:34" ht="13.2">
      <c r="A102" s="88"/>
      <c r="B102" s="88"/>
      <c r="C102" s="88"/>
      <c r="D102" s="88"/>
      <c r="E102" s="88"/>
      <c r="F102" s="88"/>
      <c r="G102" s="88"/>
      <c r="H102" s="88"/>
      <c r="I102" s="88"/>
      <c r="J102" s="88"/>
      <c r="K102" s="88"/>
      <c r="L102" s="88"/>
      <c r="M102" s="88"/>
      <c r="N102" s="88"/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8"/>
      <c r="Z102" s="88"/>
      <c r="AA102" s="88"/>
      <c r="AB102" s="128"/>
      <c r="AC102" s="128"/>
      <c r="AD102" s="128"/>
      <c r="AE102" s="128"/>
      <c r="AF102" s="128"/>
      <c r="AG102" s="128"/>
      <c r="AH102" s="127"/>
    </row>
    <row r="103" spans="1:34" ht="13.2">
      <c r="A103" s="88"/>
      <c r="B103" s="88"/>
      <c r="C103" s="88"/>
      <c r="D103" s="88"/>
      <c r="E103" s="88"/>
      <c r="F103" s="88"/>
      <c r="G103" s="88"/>
      <c r="H103" s="88"/>
      <c r="I103" s="88"/>
      <c r="J103" s="88"/>
      <c r="K103" s="88"/>
      <c r="L103" s="88"/>
      <c r="M103" s="88"/>
      <c r="N103" s="88"/>
      <c r="O103" s="88"/>
      <c r="P103" s="88"/>
      <c r="Q103" s="88"/>
      <c r="R103" s="88"/>
      <c r="S103" s="88"/>
      <c r="T103" s="88"/>
      <c r="U103" s="88"/>
      <c r="V103" s="88"/>
      <c r="W103" s="88"/>
      <c r="X103" s="88"/>
      <c r="Y103" s="88"/>
      <c r="Z103" s="88"/>
      <c r="AA103" s="88"/>
      <c r="AB103" s="128"/>
      <c r="AC103" s="128"/>
      <c r="AD103" s="128"/>
      <c r="AE103" s="128"/>
      <c r="AF103" s="128"/>
      <c r="AG103" s="128"/>
      <c r="AH103" s="127"/>
    </row>
    <row r="104" spans="1:34" ht="13.2">
      <c r="A104" s="88"/>
      <c r="B104" s="88"/>
      <c r="C104" s="88"/>
      <c r="D104" s="88"/>
      <c r="E104" s="88"/>
      <c r="F104" s="88"/>
      <c r="G104" s="88"/>
      <c r="H104" s="88"/>
      <c r="I104" s="88"/>
      <c r="J104" s="88"/>
      <c r="K104" s="88"/>
      <c r="L104" s="88"/>
      <c r="M104" s="88"/>
      <c r="N104" s="88"/>
      <c r="O104" s="88"/>
      <c r="P104" s="88"/>
      <c r="Q104" s="88"/>
      <c r="R104" s="88"/>
      <c r="S104" s="88"/>
      <c r="T104" s="88"/>
      <c r="U104" s="88"/>
      <c r="V104" s="88"/>
      <c r="W104" s="88"/>
      <c r="X104" s="88"/>
      <c r="Y104" s="88"/>
      <c r="Z104" s="88"/>
      <c r="AA104" s="88"/>
      <c r="AB104" s="128"/>
      <c r="AC104" s="128"/>
      <c r="AD104" s="128"/>
      <c r="AE104" s="128"/>
      <c r="AF104" s="128"/>
      <c r="AG104" s="128"/>
      <c r="AH104" s="127"/>
    </row>
    <row r="105" spans="1:34" ht="13.2">
      <c r="A105" s="88"/>
      <c r="B105" s="88"/>
      <c r="C105" s="88"/>
      <c r="D105" s="88"/>
      <c r="E105" s="88"/>
      <c r="F105" s="88"/>
      <c r="G105" s="88"/>
      <c r="H105" s="88"/>
      <c r="I105" s="88"/>
      <c r="J105" s="88"/>
      <c r="K105" s="88"/>
      <c r="L105" s="88"/>
      <c r="M105" s="88"/>
      <c r="N105" s="88"/>
      <c r="O105" s="88"/>
      <c r="P105" s="88"/>
      <c r="Q105" s="88"/>
      <c r="R105" s="88"/>
      <c r="S105" s="88"/>
      <c r="T105" s="88"/>
      <c r="U105" s="88"/>
      <c r="V105" s="88"/>
      <c r="W105" s="88"/>
      <c r="X105" s="88"/>
      <c r="Y105" s="88"/>
      <c r="Z105" s="88"/>
      <c r="AA105" s="88"/>
      <c r="AB105" s="128"/>
      <c r="AC105" s="128"/>
      <c r="AD105" s="128"/>
      <c r="AE105" s="128"/>
      <c r="AF105" s="128"/>
      <c r="AG105" s="128"/>
      <c r="AH105" s="127"/>
    </row>
    <row r="106" spans="1:34" ht="13.2">
      <c r="A106" s="88"/>
      <c r="B106" s="88"/>
      <c r="C106" s="88"/>
      <c r="D106" s="88"/>
      <c r="E106" s="88"/>
      <c r="F106" s="88"/>
      <c r="G106" s="88"/>
      <c r="H106" s="88"/>
      <c r="I106" s="88"/>
      <c r="J106" s="88"/>
      <c r="K106" s="88"/>
      <c r="L106" s="88"/>
      <c r="M106" s="88"/>
      <c r="N106" s="88"/>
      <c r="O106" s="88"/>
      <c r="P106" s="88"/>
      <c r="Q106" s="88"/>
      <c r="R106" s="88"/>
      <c r="S106" s="88"/>
      <c r="T106" s="88"/>
      <c r="U106" s="88"/>
      <c r="V106" s="88"/>
      <c r="W106" s="88"/>
      <c r="X106" s="88"/>
      <c r="Y106" s="88"/>
      <c r="Z106" s="88"/>
      <c r="AA106" s="88"/>
      <c r="AB106" s="128"/>
      <c r="AC106" s="128"/>
      <c r="AD106" s="128"/>
      <c r="AE106" s="128"/>
      <c r="AF106" s="128"/>
      <c r="AG106" s="128"/>
      <c r="AH106" s="127"/>
    </row>
    <row r="107" spans="1:34" ht="13.2">
      <c r="A107" s="88"/>
      <c r="B107" s="88"/>
      <c r="C107" s="88"/>
      <c r="D107" s="88"/>
      <c r="E107" s="88"/>
      <c r="F107" s="88"/>
      <c r="G107" s="88"/>
      <c r="H107" s="88"/>
      <c r="I107" s="88"/>
      <c r="J107" s="88"/>
      <c r="K107" s="88"/>
      <c r="L107" s="88"/>
      <c r="M107" s="88"/>
      <c r="N107" s="88"/>
      <c r="O107" s="88"/>
      <c r="P107" s="88"/>
      <c r="Q107" s="88"/>
      <c r="R107" s="88"/>
      <c r="S107" s="88"/>
      <c r="T107" s="88"/>
      <c r="U107" s="88"/>
      <c r="V107" s="88"/>
      <c r="W107" s="88"/>
      <c r="X107" s="88"/>
      <c r="Y107" s="88"/>
      <c r="Z107" s="88"/>
      <c r="AA107" s="88"/>
      <c r="AB107" s="128"/>
      <c r="AC107" s="128"/>
      <c r="AD107" s="128"/>
      <c r="AE107" s="128"/>
      <c r="AF107" s="128"/>
      <c r="AG107" s="128"/>
      <c r="AH107" s="127"/>
    </row>
    <row r="108" spans="1:34" ht="13.2">
      <c r="A108" s="88"/>
      <c r="B108" s="88"/>
      <c r="C108" s="88"/>
      <c r="D108" s="88"/>
      <c r="E108" s="88"/>
      <c r="F108" s="88"/>
      <c r="G108" s="88"/>
      <c r="H108" s="88"/>
      <c r="I108" s="88"/>
      <c r="J108" s="88"/>
      <c r="K108" s="88"/>
      <c r="L108" s="88"/>
      <c r="M108" s="88"/>
      <c r="N108" s="88"/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8"/>
      <c r="Z108" s="88"/>
      <c r="AA108" s="88"/>
      <c r="AB108" s="128"/>
      <c r="AC108" s="128"/>
      <c r="AD108" s="128"/>
      <c r="AE108" s="128"/>
      <c r="AF108" s="128"/>
      <c r="AG108" s="128"/>
      <c r="AH108" s="127"/>
    </row>
    <row r="109" spans="1:34" ht="13.2">
      <c r="A109" s="88"/>
      <c r="B109" s="88"/>
      <c r="C109" s="88"/>
      <c r="D109" s="88"/>
      <c r="E109" s="88"/>
      <c r="F109" s="88"/>
      <c r="G109" s="88"/>
      <c r="H109" s="88"/>
      <c r="I109" s="88"/>
      <c r="J109" s="88"/>
      <c r="K109" s="88"/>
      <c r="L109" s="88"/>
      <c r="M109" s="88"/>
      <c r="N109" s="88"/>
      <c r="O109" s="88"/>
      <c r="P109" s="88"/>
      <c r="Q109" s="88"/>
      <c r="R109" s="88"/>
      <c r="S109" s="88"/>
      <c r="T109" s="88"/>
      <c r="U109" s="88"/>
      <c r="V109" s="88"/>
      <c r="W109" s="88"/>
      <c r="X109" s="88"/>
      <c r="Y109" s="88"/>
      <c r="Z109" s="88"/>
      <c r="AA109" s="88"/>
      <c r="AB109" s="128"/>
      <c r="AC109" s="128"/>
      <c r="AD109" s="128"/>
      <c r="AE109" s="128"/>
      <c r="AF109" s="128"/>
      <c r="AG109" s="128"/>
      <c r="AH109" s="127"/>
    </row>
    <row r="110" spans="1:34" ht="13.2">
      <c r="A110" s="88"/>
      <c r="B110" s="88"/>
      <c r="C110" s="88"/>
      <c r="D110" s="88"/>
      <c r="E110" s="88"/>
      <c r="F110" s="88"/>
      <c r="G110" s="88"/>
      <c r="H110" s="88"/>
      <c r="I110" s="88"/>
      <c r="J110" s="88"/>
      <c r="K110" s="88"/>
      <c r="L110" s="88"/>
      <c r="M110" s="88"/>
      <c r="N110" s="88"/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8"/>
      <c r="Z110" s="88"/>
      <c r="AA110" s="88"/>
      <c r="AB110" s="128"/>
      <c r="AC110" s="128"/>
      <c r="AD110" s="128"/>
      <c r="AE110" s="128"/>
      <c r="AF110" s="128"/>
      <c r="AG110" s="128"/>
      <c r="AH110" s="127"/>
    </row>
    <row r="111" spans="1:34" ht="13.2">
      <c r="A111" s="88"/>
      <c r="B111" s="88"/>
      <c r="C111" s="88"/>
      <c r="D111" s="88"/>
      <c r="E111" s="88"/>
      <c r="F111" s="88"/>
      <c r="G111" s="88"/>
      <c r="H111" s="88"/>
      <c r="I111" s="88"/>
      <c r="J111" s="88"/>
      <c r="K111" s="88"/>
      <c r="L111" s="88"/>
      <c r="M111" s="88"/>
      <c r="N111" s="88"/>
      <c r="O111" s="88"/>
      <c r="P111" s="88"/>
      <c r="Q111" s="88"/>
      <c r="R111" s="88"/>
      <c r="S111" s="88"/>
      <c r="T111" s="88"/>
      <c r="U111" s="88"/>
      <c r="V111" s="88"/>
      <c r="W111" s="88"/>
      <c r="X111" s="88"/>
      <c r="Y111" s="88"/>
      <c r="Z111" s="88"/>
      <c r="AA111" s="88"/>
      <c r="AB111" s="128"/>
      <c r="AC111" s="128"/>
      <c r="AD111" s="128"/>
      <c r="AE111" s="128"/>
      <c r="AF111" s="128"/>
      <c r="AG111" s="128"/>
      <c r="AH111" s="127"/>
    </row>
    <row r="112" spans="1:34" ht="13.2">
      <c r="A112" s="88"/>
      <c r="B112" s="88"/>
      <c r="C112" s="88"/>
      <c r="D112" s="88"/>
      <c r="E112" s="88"/>
      <c r="F112" s="88"/>
      <c r="G112" s="88"/>
      <c r="H112" s="88"/>
      <c r="I112" s="88"/>
      <c r="J112" s="88"/>
      <c r="K112" s="88"/>
      <c r="L112" s="88"/>
      <c r="M112" s="88"/>
      <c r="N112" s="88"/>
      <c r="O112" s="88"/>
      <c r="P112" s="88"/>
      <c r="Q112" s="88"/>
      <c r="R112" s="88"/>
      <c r="S112" s="88"/>
      <c r="T112" s="88"/>
      <c r="U112" s="88"/>
      <c r="V112" s="88"/>
      <c r="W112" s="88"/>
      <c r="X112" s="88"/>
      <c r="Y112" s="88"/>
      <c r="Z112" s="88"/>
      <c r="AA112" s="88"/>
      <c r="AB112" s="128"/>
      <c r="AC112" s="128"/>
      <c r="AD112" s="128"/>
      <c r="AE112" s="128"/>
      <c r="AF112" s="128"/>
      <c r="AG112" s="128"/>
      <c r="AH112" s="127"/>
    </row>
    <row r="113" spans="1:34" ht="13.2">
      <c r="A113" s="88"/>
      <c r="B113" s="88"/>
      <c r="C113" s="88"/>
      <c r="D113" s="88"/>
      <c r="E113" s="88"/>
      <c r="F113" s="88"/>
      <c r="G113" s="88"/>
      <c r="H113" s="88"/>
      <c r="I113" s="88"/>
      <c r="J113" s="88"/>
      <c r="K113" s="88"/>
      <c r="L113" s="88"/>
      <c r="M113" s="88"/>
      <c r="N113" s="88"/>
      <c r="O113" s="88"/>
      <c r="P113" s="88"/>
      <c r="Q113" s="88"/>
      <c r="R113" s="88"/>
      <c r="S113" s="88"/>
      <c r="T113" s="88"/>
      <c r="U113" s="88"/>
      <c r="V113" s="88"/>
      <c r="W113" s="88"/>
      <c r="X113" s="88"/>
      <c r="Y113" s="88"/>
      <c r="Z113" s="88"/>
      <c r="AA113" s="88"/>
      <c r="AB113" s="128"/>
      <c r="AC113" s="128"/>
      <c r="AD113" s="128"/>
      <c r="AE113" s="128"/>
      <c r="AF113" s="128"/>
      <c r="AG113" s="128"/>
      <c r="AH113" s="127"/>
    </row>
    <row r="114" spans="1:34" ht="13.2">
      <c r="A114" s="88"/>
      <c r="B114" s="88"/>
      <c r="C114" s="88"/>
      <c r="D114" s="88"/>
      <c r="E114" s="88"/>
      <c r="F114" s="88"/>
      <c r="G114" s="88"/>
      <c r="H114" s="88"/>
      <c r="I114" s="88"/>
      <c r="J114" s="88"/>
      <c r="K114" s="88"/>
      <c r="L114" s="88"/>
      <c r="M114" s="88"/>
      <c r="N114" s="88"/>
      <c r="O114" s="88"/>
      <c r="P114" s="88"/>
      <c r="Q114" s="88"/>
      <c r="R114" s="88"/>
      <c r="S114" s="88"/>
      <c r="T114" s="88"/>
      <c r="U114" s="88"/>
      <c r="V114" s="88"/>
      <c r="W114" s="88"/>
      <c r="X114" s="88"/>
      <c r="Y114" s="88"/>
      <c r="Z114" s="88"/>
      <c r="AA114" s="88"/>
      <c r="AB114" s="128"/>
      <c r="AC114" s="128"/>
      <c r="AD114" s="128"/>
      <c r="AE114" s="128"/>
      <c r="AF114" s="128"/>
      <c r="AG114" s="128"/>
      <c r="AH114" s="127"/>
    </row>
    <row r="115" spans="1:34" ht="13.2">
      <c r="A115" s="88"/>
      <c r="B115" s="88"/>
      <c r="C115" s="88"/>
      <c r="D115" s="88"/>
      <c r="E115" s="88"/>
      <c r="F115" s="88"/>
      <c r="G115" s="88"/>
      <c r="H115" s="88"/>
      <c r="I115" s="88"/>
      <c r="J115" s="88"/>
      <c r="K115" s="88"/>
      <c r="L115" s="88"/>
      <c r="M115" s="88"/>
      <c r="N115" s="88"/>
      <c r="O115" s="88"/>
      <c r="P115" s="88"/>
      <c r="Q115" s="88"/>
      <c r="R115" s="88"/>
      <c r="S115" s="88"/>
      <c r="T115" s="88"/>
      <c r="U115" s="88"/>
      <c r="V115" s="88"/>
      <c r="W115" s="88"/>
      <c r="X115" s="88"/>
      <c r="Y115" s="88"/>
      <c r="Z115" s="88"/>
      <c r="AA115" s="88"/>
      <c r="AB115" s="128"/>
      <c r="AC115" s="128"/>
      <c r="AD115" s="128"/>
      <c r="AE115" s="128"/>
      <c r="AF115" s="128"/>
      <c r="AG115" s="128"/>
      <c r="AH115" s="127"/>
    </row>
    <row r="116" spans="1:34" ht="13.2">
      <c r="A116" s="88"/>
      <c r="B116" s="88"/>
      <c r="C116" s="88"/>
      <c r="D116" s="88"/>
      <c r="E116" s="88"/>
      <c r="F116" s="88"/>
      <c r="G116" s="88"/>
      <c r="H116" s="88"/>
      <c r="I116" s="88"/>
      <c r="J116" s="88"/>
      <c r="K116" s="88"/>
      <c r="L116" s="88"/>
      <c r="M116" s="88"/>
      <c r="N116" s="88"/>
      <c r="O116" s="88"/>
      <c r="P116" s="88"/>
      <c r="Q116" s="88"/>
      <c r="R116" s="88"/>
      <c r="S116" s="88"/>
      <c r="T116" s="88"/>
      <c r="U116" s="88"/>
      <c r="V116" s="88"/>
      <c r="W116" s="88"/>
      <c r="X116" s="88"/>
      <c r="Y116" s="88"/>
      <c r="Z116" s="88"/>
      <c r="AA116" s="88"/>
      <c r="AB116" s="128"/>
      <c r="AC116" s="128"/>
      <c r="AD116" s="128"/>
      <c r="AE116" s="128"/>
      <c r="AF116" s="128"/>
      <c r="AG116" s="128"/>
      <c r="AH116" s="127"/>
    </row>
    <row r="117" spans="1:34" ht="13.2">
      <c r="A117" s="88"/>
      <c r="B117" s="88"/>
      <c r="C117" s="88"/>
      <c r="D117" s="88"/>
      <c r="E117" s="88"/>
      <c r="F117" s="88"/>
      <c r="G117" s="88"/>
      <c r="H117" s="88"/>
      <c r="I117" s="88"/>
      <c r="J117" s="88"/>
      <c r="K117" s="88"/>
      <c r="L117" s="88"/>
      <c r="M117" s="88"/>
      <c r="N117" s="88"/>
      <c r="O117" s="88"/>
      <c r="P117" s="88"/>
      <c r="Q117" s="88"/>
      <c r="R117" s="88"/>
      <c r="S117" s="88"/>
      <c r="T117" s="88"/>
      <c r="U117" s="88"/>
      <c r="V117" s="88"/>
      <c r="W117" s="88"/>
      <c r="X117" s="88"/>
      <c r="Y117" s="88"/>
      <c r="Z117" s="88"/>
      <c r="AA117" s="88"/>
      <c r="AB117" s="128"/>
      <c r="AC117" s="128"/>
      <c r="AD117" s="128"/>
      <c r="AE117" s="128"/>
      <c r="AF117" s="128"/>
      <c r="AG117" s="128"/>
      <c r="AH117" s="127"/>
    </row>
    <row r="118" spans="1:34" ht="13.2">
      <c r="A118" s="88"/>
      <c r="B118" s="88"/>
      <c r="C118" s="88"/>
      <c r="D118" s="88"/>
      <c r="E118" s="88"/>
      <c r="F118" s="88"/>
      <c r="G118" s="88"/>
      <c r="H118" s="88"/>
      <c r="I118" s="88"/>
      <c r="J118" s="88"/>
      <c r="K118" s="88"/>
      <c r="L118" s="88"/>
      <c r="M118" s="88"/>
      <c r="N118" s="88"/>
      <c r="O118" s="88"/>
      <c r="P118" s="88"/>
      <c r="Q118" s="88"/>
      <c r="R118" s="88"/>
      <c r="S118" s="88"/>
      <c r="T118" s="88"/>
      <c r="U118" s="88"/>
      <c r="V118" s="88"/>
      <c r="W118" s="88"/>
      <c r="X118" s="88"/>
      <c r="Y118" s="88"/>
      <c r="Z118" s="88"/>
      <c r="AA118" s="88"/>
      <c r="AB118" s="128"/>
      <c r="AC118" s="128"/>
      <c r="AD118" s="128"/>
      <c r="AE118" s="128"/>
      <c r="AF118" s="128"/>
      <c r="AG118" s="128"/>
      <c r="AH118" s="127"/>
    </row>
    <row r="119" spans="1:34" ht="13.2">
      <c r="A119" s="88"/>
      <c r="B119" s="88"/>
      <c r="C119" s="88"/>
      <c r="D119" s="88"/>
      <c r="E119" s="88"/>
      <c r="F119" s="88"/>
      <c r="G119" s="88"/>
      <c r="H119" s="88"/>
      <c r="I119" s="88"/>
      <c r="J119" s="88"/>
      <c r="K119" s="88"/>
      <c r="L119" s="88"/>
      <c r="M119" s="88"/>
      <c r="N119" s="88"/>
      <c r="O119" s="88"/>
      <c r="P119" s="88"/>
      <c r="Q119" s="88"/>
      <c r="R119" s="88"/>
      <c r="S119" s="88"/>
      <c r="T119" s="88"/>
      <c r="U119" s="88"/>
      <c r="V119" s="88"/>
      <c r="W119" s="88"/>
      <c r="X119" s="88"/>
      <c r="Y119" s="88"/>
      <c r="Z119" s="88"/>
      <c r="AA119" s="88"/>
      <c r="AB119" s="128"/>
      <c r="AC119" s="128"/>
      <c r="AD119" s="128"/>
      <c r="AE119" s="128"/>
      <c r="AF119" s="128"/>
      <c r="AG119" s="128"/>
      <c r="AH119" s="127"/>
    </row>
    <row r="120" spans="1:34" ht="13.2">
      <c r="A120" s="88"/>
      <c r="B120" s="88"/>
      <c r="C120" s="88"/>
      <c r="D120" s="88"/>
      <c r="E120" s="88"/>
      <c r="F120" s="88"/>
      <c r="G120" s="88"/>
      <c r="H120" s="88"/>
      <c r="I120" s="88"/>
      <c r="J120" s="88"/>
      <c r="K120" s="88"/>
      <c r="L120" s="88"/>
      <c r="M120" s="88"/>
      <c r="N120" s="88"/>
      <c r="O120" s="88"/>
      <c r="P120" s="88"/>
      <c r="Q120" s="88"/>
      <c r="R120" s="88"/>
      <c r="S120" s="88"/>
      <c r="T120" s="88"/>
      <c r="U120" s="88"/>
      <c r="V120" s="88"/>
      <c r="W120" s="88"/>
      <c r="X120" s="88"/>
      <c r="Y120" s="88"/>
      <c r="Z120" s="88"/>
      <c r="AA120" s="88"/>
      <c r="AB120" s="128"/>
      <c r="AC120" s="128"/>
      <c r="AD120" s="128"/>
      <c r="AE120" s="128"/>
      <c r="AF120" s="128"/>
      <c r="AG120" s="128"/>
      <c r="AH120" s="127"/>
    </row>
    <row r="121" spans="1:34" ht="13.2">
      <c r="A121" s="88"/>
      <c r="B121" s="88"/>
      <c r="C121" s="88"/>
      <c r="D121" s="88"/>
      <c r="E121" s="88"/>
      <c r="F121" s="88"/>
      <c r="G121" s="88"/>
      <c r="H121" s="88"/>
      <c r="I121" s="88"/>
      <c r="J121" s="88"/>
      <c r="K121" s="88"/>
      <c r="L121" s="88"/>
      <c r="M121" s="88"/>
      <c r="N121" s="88"/>
      <c r="O121" s="88"/>
      <c r="P121" s="88"/>
      <c r="Q121" s="88"/>
      <c r="R121" s="88"/>
      <c r="S121" s="88"/>
      <c r="T121" s="88"/>
      <c r="U121" s="88"/>
      <c r="V121" s="88"/>
      <c r="W121" s="88"/>
      <c r="X121" s="88"/>
      <c r="Y121" s="88"/>
      <c r="Z121" s="88"/>
      <c r="AA121" s="88"/>
      <c r="AB121" s="128"/>
      <c r="AC121" s="128"/>
      <c r="AD121" s="128"/>
      <c r="AE121" s="128"/>
      <c r="AF121" s="128"/>
      <c r="AG121" s="128"/>
      <c r="AH121" s="127"/>
    </row>
    <row r="122" spans="1:34" ht="13.2">
      <c r="A122" s="88"/>
      <c r="B122" s="88"/>
      <c r="C122" s="88"/>
      <c r="D122" s="88"/>
      <c r="E122" s="88"/>
      <c r="F122" s="88"/>
      <c r="G122" s="88"/>
      <c r="H122" s="88"/>
      <c r="I122" s="88"/>
      <c r="J122" s="88"/>
      <c r="K122" s="88"/>
      <c r="L122" s="88"/>
      <c r="M122" s="88"/>
      <c r="N122" s="88"/>
      <c r="O122" s="88"/>
      <c r="P122" s="88"/>
      <c r="Q122" s="88"/>
      <c r="R122" s="88"/>
      <c r="S122" s="88"/>
      <c r="T122" s="88"/>
      <c r="U122" s="88"/>
      <c r="V122" s="88"/>
      <c r="W122" s="88"/>
      <c r="X122" s="88"/>
      <c r="Y122" s="88"/>
      <c r="Z122" s="88"/>
      <c r="AA122" s="88"/>
      <c r="AB122" s="128"/>
      <c r="AC122" s="128"/>
      <c r="AD122" s="128"/>
      <c r="AE122" s="128"/>
      <c r="AF122" s="128"/>
      <c r="AG122" s="128"/>
      <c r="AH122" s="127"/>
    </row>
    <row r="123" spans="1:34" ht="13.2">
      <c r="A123" s="88"/>
      <c r="B123" s="88"/>
      <c r="C123" s="88"/>
      <c r="D123" s="88"/>
      <c r="E123" s="88"/>
      <c r="F123" s="88"/>
      <c r="G123" s="88"/>
      <c r="H123" s="88"/>
      <c r="I123" s="88"/>
      <c r="J123" s="88"/>
      <c r="K123" s="88"/>
      <c r="L123" s="88"/>
      <c r="M123" s="88"/>
      <c r="N123" s="88"/>
      <c r="O123" s="88"/>
      <c r="P123" s="88"/>
      <c r="Q123" s="88"/>
      <c r="R123" s="88"/>
      <c r="S123" s="88"/>
      <c r="T123" s="88"/>
      <c r="U123" s="88"/>
      <c r="V123" s="88"/>
      <c r="W123" s="88"/>
      <c r="X123" s="88"/>
      <c r="Y123" s="88"/>
      <c r="Z123" s="88"/>
      <c r="AA123" s="88"/>
      <c r="AB123" s="128"/>
      <c r="AC123" s="128"/>
      <c r="AD123" s="128"/>
      <c r="AE123" s="128"/>
      <c r="AF123" s="128"/>
      <c r="AG123" s="128"/>
      <c r="AH123" s="127"/>
    </row>
    <row r="124" spans="1:34" ht="13.2">
      <c r="A124" s="88"/>
      <c r="B124" s="88"/>
      <c r="C124" s="88"/>
      <c r="D124" s="88"/>
      <c r="E124" s="88"/>
      <c r="F124" s="88"/>
      <c r="G124" s="88"/>
      <c r="H124" s="88"/>
      <c r="I124" s="88"/>
      <c r="J124" s="88"/>
      <c r="K124" s="88"/>
      <c r="L124" s="88"/>
      <c r="M124" s="88"/>
      <c r="N124" s="88"/>
      <c r="O124" s="88"/>
      <c r="P124" s="88"/>
      <c r="Q124" s="88"/>
      <c r="R124" s="88"/>
      <c r="S124" s="88"/>
      <c r="T124" s="88"/>
      <c r="U124" s="88"/>
      <c r="V124" s="88"/>
      <c r="W124" s="88"/>
      <c r="X124" s="88"/>
      <c r="Y124" s="88"/>
      <c r="Z124" s="88"/>
      <c r="AA124" s="88"/>
      <c r="AB124" s="128"/>
      <c r="AC124" s="128"/>
      <c r="AD124" s="128"/>
      <c r="AE124" s="128"/>
      <c r="AF124" s="128"/>
      <c r="AG124" s="128"/>
      <c r="AH124" s="127"/>
    </row>
    <row r="125" spans="1:34" ht="13.2">
      <c r="A125" s="88"/>
      <c r="B125" s="88"/>
      <c r="C125" s="88"/>
      <c r="D125" s="88"/>
      <c r="E125" s="88"/>
      <c r="F125" s="88"/>
      <c r="G125" s="88"/>
      <c r="H125" s="88"/>
      <c r="I125" s="88"/>
      <c r="J125" s="88"/>
      <c r="K125" s="88"/>
      <c r="L125" s="88"/>
      <c r="M125" s="88"/>
      <c r="N125" s="88"/>
      <c r="O125" s="88"/>
      <c r="P125" s="88"/>
      <c r="Q125" s="88"/>
      <c r="R125" s="88"/>
      <c r="S125" s="88"/>
      <c r="T125" s="88"/>
      <c r="U125" s="88"/>
      <c r="V125" s="88"/>
      <c r="W125" s="88"/>
      <c r="X125" s="88"/>
      <c r="Y125" s="88"/>
      <c r="Z125" s="88"/>
      <c r="AA125" s="88"/>
      <c r="AB125" s="128"/>
      <c r="AC125" s="128"/>
      <c r="AD125" s="128"/>
      <c r="AE125" s="128"/>
      <c r="AF125" s="128"/>
      <c r="AG125" s="128"/>
      <c r="AH125" s="127"/>
    </row>
    <row r="126" spans="1:34" ht="13.2">
      <c r="A126" s="88"/>
      <c r="B126" s="88"/>
      <c r="C126" s="88"/>
      <c r="D126" s="88"/>
      <c r="E126" s="88"/>
      <c r="F126" s="88"/>
      <c r="G126" s="88"/>
      <c r="H126" s="88"/>
      <c r="I126" s="88"/>
      <c r="J126" s="88"/>
      <c r="K126" s="88"/>
      <c r="L126" s="88"/>
      <c r="M126" s="88"/>
      <c r="N126" s="88"/>
      <c r="O126" s="88"/>
      <c r="P126" s="88"/>
      <c r="Q126" s="88"/>
      <c r="R126" s="88"/>
      <c r="S126" s="88"/>
      <c r="T126" s="88"/>
      <c r="U126" s="88"/>
      <c r="V126" s="88"/>
      <c r="W126" s="88"/>
      <c r="X126" s="88"/>
      <c r="Y126" s="88"/>
      <c r="Z126" s="88"/>
      <c r="AA126" s="88"/>
      <c r="AB126" s="128"/>
      <c r="AC126" s="128"/>
      <c r="AD126" s="128"/>
      <c r="AE126" s="128"/>
      <c r="AF126" s="128"/>
      <c r="AG126" s="128"/>
      <c r="AH126" s="127"/>
    </row>
    <row r="127" spans="1:34" ht="13.2">
      <c r="A127" s="88"/>
      <c r="B127" s="88"/>
      <c r="C127" s="88"/>
      <c r="D127" s="88"/>
      <c r="E127" s="88"/>
      <c r="F127" s="88"/>
      <c r="G127" s="88"/>
      <c r="H127" s="88"/>
      <c r="I127" s="88"/>
      <c r="J127" s="88"/>
      <c r="K127" s="88"/>
      <c r="L127" s="88"/>
      <c r="M127" s="88"/>
      <c r="N127" s="88"/>
      <c r="O127" s="88"/>
      <c r="P127" s="88"/>
      <c r="Q127" s="88"/>
      <c r="R127" s="88"/>
      <c r="S127" s="88"/>
      <c r="T127" s="88"/>
      <c r="U127" s="88"/>
      <c r="V127" s="88"/>
      <c r="W127" s="88"/>
      <c r="X127" s="88"/>
      <c r="Y127" s="88"/>
      <c r="Z127" s="88"/>
      <c r="AA127" s="88"/>
      <c r="AB127" s="128"/>
      <c r="AC127" s="128"/>
      <c r="AD127" s="128"/>
      <c r="AE127" s="128"/>
      <c r="AF127" s="128"/>
      <c r="AG127" s="128"/>
      <c r="AH127" s="127"/>
    </row>
    <row r="128" spans="1:34" ht="13.2">
      <c r="A128" s="88"/>
      <c r="B128" s="88"/>
      <c r="C128" s="88"/>
      <c r="D128" s="88"/>
      <c r="E128" s="88"/>
      <c r="F128" s="88"/>
      <c r="G128" s="88"/>
      <c r="H128" s="88"/>
      <c r="I128" s="88"/>
      <c r="J128" s="88"/>
      <c r="K128" s="88"/>
      <c r="L128" s="88"/>
      <c r="M128" s="88"/>
      <c r="N128" s="88"/>
      <c r="O128" s="88"/>
      <c r="P128" s="88"/>
      <c r="Q128" s="88"/>
      <c r="R128" s="88"/>
      <c r="S128" s="88"/>
      <c r="T128" s="88"/>
      <c r="U128" s="88"/>
      <c r="V128" s="88"/>
      <c r="W128" s="88"/>
      <c r="X128" s="88"/>
      <c r="Y128" s="88"/>
      <c r="Z128" s="88"/>
      <c r="AA128" s="88"/>
      <c r="AB128" s="128"/>
      <c r="AC128" s="128"/>
      <c r="AD128" s="128"/>
      <c r="AE128" s="128"/>
      <c r="AF128" s="128"/>
      <c r="AG128" s="128"/>
      <c r="AH128" s="127"/>
    </row>
    <row r="129" spans="1:34" ht="13.2">
      <c r="A129" s="88"/>
      <c r="B129" s="88"/>
      <c r="C129" s="88"/>
      <c r="D129" s="88"/>
      <c r="E129" s="88"/>
      <c r="F129" s="88"/>
      <c r="G129" s="88"/>
      <c r="H129" s="88"/>
      <c r="I129" s="88"/>
      <c r="J129" s="88"/>
      <c r="K129" s="88"/>
      <c r="L129" s="88"/>
      <c r="M129" s="88"/>
      <c r="N129" s="88"/>
      <c r="O129" s="88"/>
      <c r="P129" s="88"/>
      <c r="Q129" s="88"/>
      <c r="R129" s="88"/>
      <c r="S129" s="88"/>
      <c r="T129" s="88"/>
      <c r="U129" s="88"/>
      <c r="V129" s="88"/>
      <c r="W129" s="88"/>
      <c r="X129" s="88"/>
      <c r="Y129" s="88"/>
      <c r="Z129" s="88"/>
      <c r="AA129" s="88"/>
      <c r="AB129" s="128"/>
      <c r="AC129" s="128"/>
      <c r="AD129" s="128"/>
      <c r="AE129" s="128"/>
      <c r="AF129" s="128"/>
      <c r="AG129" s="128"/>
      <c r="AH129" s="127"/>
    </row>
    <row r="130" spans="1:34" ht="13.2">
      <c r="A130" s="88"/>
      <c r="B130" s="88"/>
      <c r="C130" s="88"/>
      <c r="D130" s="88"/>
      <c r="E130" s="88"/>
      <c r="F130" s="88"/>
      <c r="G130" s="88"/>
      <c r="H130" s="88"/>
      <c r="I130" s="88"/>
      <c r="J130" s="88"/>
      <c r="K130" s="88"/>
      <c r="L130" s="88"/>
      <c r="M130" s="88"/>
      <c r="N130" s="88"/>
      <c r="O130" s="88"/>
      <c r="P130" s="88"/>
      <c r="Q130" s="88"/>
      <c r="R130" s="88"/>
      <c r="S130" s="88"/>
      <c r="T130" s="88"/>
      <c r="U130" s="88"/>
      <c r="V130" s="88"/>
      <c r="W130" s="88"/>
      <c r="X130" s="88"/>
      <c r="Y130" s="88"/>
      <c r="Z130" s="88"/>
      <c r="AA130" s="88"/>
      <c r="AB130" s="128"/>
      <c r="AC130" s="128"/>
      <c r="AD130" s="128"/>
      <c r="AE130" s="128"/>
      <c r="AF130" s="128"/>
      <c r="AG130" s="128"/>
      <c r="AH130" s="127"/>
    </row>
    <row r="131" spans="1:34" ht="13.2">
      <c r="A131" s="88"/>
      <c r="B131" s="88"/>
      <c r="C131" s="88"/>
      <c r="D131" s="88"/>
      <c r="E131" s="88"/>
      <c r="F131" s="88"/>
      <c r="G131" s="88"/>
      <c r="H131" s="88"/>
      <c r="I131" s="88"/>
      <c r="J131" s="88"/>
      <c r="K131" s="88"/>
      <c r="L131" s="88"/>
      <c r="M131" s="88"/>
      <c r="N131" s="88"/>
      <c r="O131" s="88"/>
      <c r="P131" s="88"/>
      <c r="Q131" s="88"/>
      <c r="R131" s="88"/>
      <c r="S131" s="88"/>
      <c r="T131" s="88"/>
      <c r="U131" s="88"/>
      <c r="V131" s="88"/>
      <c r="W131" s="88"/>
      <c r="X131" s="88"/>
      <c r="Y131" s="88"/>
      <c r="Z131" s="88"/>
      <c r="AA131" s="88"/>
      <c r="AB131" s="128"/>
      <c r="AC131" s="128"/>
      <c r="AD131" s="128"/>
      <c r="AE131" s="128"/>
      <c r="AF131" s="128"/>
      <c r="AG131" s="128"/>
      <c r="AH131" s="127"/>
    </row>
    <row r="132" spans="1:34" ht="13.2">
      <c r="A132" s="88"/>
      <c r="B132" s="88"/>
      <c r="C132" s="88"/>
      <c r="D132" s="88"/>
      <c r="E132" s="88"/>
      <c r="F132" s="88"/>
      <c r="G132" s="88"/>
      <c r="H132" s="88"/>
      <c r="I132" s="88"/>
      <c r="J132" s="88"/>
      <c r="K132" s="88"/>
      <c r="L132" s="88"/>
      <c r="M132" s="88"/>
      <c r="N132" s="88"/>
      <c r="O132" s="88"/>
      <c r="P132" s="88"/>
      <c r="Q132" s="88"/>
      <c r="R132" s="88"/>
      <c r="S132" s="88"/>
      <c r="T132" s="88"/>
      <c r="U132" s="88"/>
      <c r="V132" s="88"/>
      <c r="W132" s="88"/>
      <c r="X132" s="88"/>
      <c r="Y132" s="88"/>
      <c r="Z132" s="88"/>
      <c r="AA132" s="88"/>
      <c r="AB132" s="128"/>
      <c r="AC132" s="128"/>
      <c r="AD132" s="128"/>
      <c r="AE132" s="128"/>
      <c r="AF132" s="128"/>
      <c r="AG132" s="128"/>
      <c r="AH132" s="127"/>
    </row>
    <row r="133" spans="1:34" ht="13.2">
      <c r="A133" s="88"/>
      <c r="B133" s="88"/>
      <c r="C133" s="88"/>
      <c r="D133" s="88"/>
      <c r="E133" s="88"/>
      <c r="F133" s="88"/>
      <c r="G133" s="88"/>
      <c r="H133" s="88"/>
      <c r="I133" s="88"/>
      <c r="J133" s="88"/>
      <c r="K133" s="88"/>
      <c r="L133" s="88"/>
      <c r="M133" s="88"/>
      <c r="N133" s="88"/>
      <c r="O133" s="88"/>
      <c r="P133" s="88"/>
      <c r="Q133" s="88"/>
      <c r="R133" s="88"/>
      <c r="S133" s="88"/>
      <c r="T133" s="88"/>
      <c r="U133" s="88"/>
      <c r="V133" s="88"/>
      <c r="W133" s="88"/>
      <c r="X133" s="88"/>
      <c r="Y133" s="88"/>
      <c r="Z133" s="88"/>
      <c r="AA133" s="88"/>
      <c r="AB133" s="128"/>
      <c r="AC133" s="128"/>
      <c r="AD133" s="128"/>
      <c r="AE133" s="128"/>
      <c r="AF133" s="128"/>
      <c r="AG133" s="128"/>
      <c r="AH133" s="127"/>
    </row>
    <row r="134" spans="1:34" ht="13.2">
      <c r="A134" s="88"/>
      <c r="B134" s="88"/>
      <c r="C134" s="88"/>
      <c r="D134" s="88"/>
      <c r="E134" s="88"/>
      <c r="F134" s="88"/>
      <c r="G134" s="88"/>
      <c r="H134" s="88"/>
      <c r="I134" s="88"/>
      <c r="J134" s="88"/>
      <c r="K134" s="88"/>
      <c r="L134" s="88"/>
      <c r="M134" s="88"/>
      <c r="N134" s="88"/>
      <c r="O134" s="88"/>
      <c r="P134" s="88"/>
      <c r="Q134" s="88"/>
      <c r="R134" s="88"/>
      <c r="S134" s="88"/>
      <c r="T134" s="88"/>
      <c r="U134" s="88"/>
      <c r="V134" s="88"/>
      <c r="W134" s="88"/>
      <c r="X134" s="88"/>
      <c r="Y134" s="88"/>
      <c r="Z134" s="88"/>
      <c r="AA134" s="88"/>
      <c r="AB134" s="128"/>
      <c r="AC134" s="128"/>
      <c r="AD134" s="128"/>
      <c r="AE134" s="128"/>
      <c r="AF134" s="128"/>
      <c r="AG134" s="128"/>
      <c r="AH134" s="127"/>
    </row>
    <row r="135" spans="1:34" ht="13.2">
      <c r="A135" s="88"/>
      <c r="B135" s="88"/>
      <c r="C135" s="88"/>
      <c r="D135" s="88"/>
      <c r="E135" s="88"/>
      <c r="F135" s="88"/>
      <c r="G135" s="88"/>
      <c r="H135" s="88"/>
      <c r="I135" s="88"/>
      <c r="J135" s="88"/>
      <c r="K135" s="88"/>
      <c r="L135" s="88"/>
      <c r="M135" s="88"/>
      <c r="N135" s="88"/>
      <c r="O135" s="88"/>
      <c r="P135" s="88"/>
      <c r="Q135" s="88"/>
      <c r="R135" s="88"/>
      <c r="S135" s="88"/>
      <c r="T135" s="88"/>
      <c r="U135" s="88"/>
      <c r="V135" s="88"/>
      <c r="W135" s="88"/>
      <c r="X135" s="88"/>
      <c r="Y135" s="88"/>
      <c r="Z135" s="88"/>
      <c r="AA135" s="88"/>
      <c r="AB135" s="128"/>
      <c r="AC135" s="128"/>
      <c r="AD135" s="128"/>
      <c r="AE135" s="128"/>
      <c r="AF135" s="128"/>
      <c r="AG135" s="128"/>
      <c r="AH135" s="127"/>
    </row>
    <row r="136" spans="1:34" ht="13.2">
      <c r="A136" s="88"/>
      <c r="B136" s="88"/>
      <c r="C136" s="88"/>
      <c r="D136" s="88"/>
      <c r="E136" s="88"/>
      <c r="F136" s="88"/>
      <c r="G136" s="88"/>
      <c r="H136" s="88"/>
      <c r="I136" s="88"/>
      <c r="J136" s="88"/>
      <c r="K136" s="88"/>
      <c r="L136" s="88"/>
      <c r="M136" s="88"/>
      <c r="N136" s="88"/>
      <c r="O136" s="88"/>
      <c r="P136" s="88"/>
      <c r="Q136" s="88"/>
      <c r="R136" s="88"/>
      <c r="S136" s="88"/>
      <c r="T136" s="88"/>
      <c r="U136" s="88"/>
      <c r="V136" s="88"/>
      <c r="W136" s="88"/>
      <c r="X136" s="88"/>
      <c r="Y136" s="88"/>
      <c r="Z136" s="88"/>
      <c r="AA136" s="88"/>
      <c r="AB136" s="128"/>
      <c r="AC136" s="128"/>
      <c r="AD136" s="128"/>
      <c r="AE136" s="128"/>
      <c r="AF136" s="128"/>
      <c r="AG136" s="128"/>
      <c r="AH136" s="127"/>
    </row>
    <row r="137" spans="1:34" ht="13.2">
      <c r="A137" s="88"/>
      <c r="B137" s="88"/>
      <c r="C137" s="88"/>
      <c r="D137" s="88"/>
      <c r="E137" s="88"/>
      <c r="F137" s="88"/>
      <c r="G137" s="88"/>
      <c r="H137" s="88"/>
      <c r="I137" s="88"/>
      <c r="J137" s="88"/>
      <c r="K137" s="88"/>
      <c r="L137" s="88"/>
      <c r="M137" s="88"/>
      <c r="N137" s="88"/>
      <c r="O137" s="88"/>
      <c r="P137" s="88"/>
      <c r="Q137" s="88"/>
      <c r="R137" s="88"/>
      <c r="S137" s="88"/>
      <c r="T137" s="88"/>
      <c r="U137" s="88"/>
      <c r="V137" s="88"/>
      <c r="W137" s="88"/>
      <c r="X137" s="88"/>
      <c r="Y137" s="88"/>
      <c r="Z137" s="88"/>
      <c r="AA137" s="88"/>
      <c r="AB137" s="128"/>
      <c r="AC137" s="128"/>
      <c r="AD137" s="128"/>
      <c r="AE137" s="128"/>
      <c r="AF137" s="128"/>
      <c r="AG137" s="128"/>
      <c r="AH137" s="127"/>
    </row>
    <row r="138" spans="1:34" ht="13.2">
      <c r="A138" s="88"/>
      <c r="B138" s="88"/>
      <c r="C138" s="88"/>
      <c r="D138" s="88"/>
      <c r="E138" s="88"/>
      <c r="F138" s="88"/>
      <c r="G138" s="88"/>
      <c r="H138" s="88"/>
      <c r="I138" s="88"/>
      <c r="J138" s="88"/>
      <c r="K138" s="88"/>
      <c r="L138" s="88"/>
      <c r="M138" s="88"/>
      <c r="N138" s="88"/>
      <c r="O138" s="88"/>
      <c r="P138" s="88"/>
      <c r="Q138" s="88"/>
      <c r="R138" s="88"/>
      <c r="S138" s="88"/>
      <c r="T138" s="88"/>
      <c r="U138" s="88"/>
      <c r="V138" s="88"/>
      <c r="W138" s="88"/>
      <c r="X138" s="88"/>
      <c r="Y138" s="88"/>
      <c r="Z138" s="88"/>
      <c r="AA138" s="88"/>
      <c r="AB138" s="128"/>
      <c r="AC138" s="128"/>
      <c r="AD138" s="128"/>
      <c r="AE138" s="128"/>
      <c r="AF138" s="128"/>
      <c r="AG138" s="128"/>
      <c r="AH138" s="127"/>
    </row>
    <row r="139" spans="1:34" ht="13.2">
      <c r="A139" s="88"/>
      <c r="B139" s="88"/>
      <c r="C139" s="88"/>
      <c r="D139" s="88"/>
      <c r="E139" s="88"/>
      <c r="F139" s="88"/>
      <c r="G139" s="88"/>
      <c r="H139" s="88"/>
      <c r="I139" s="88"/>
      <c r="J139" s="88"/>
      <c r="K139" s="88"/>
      <c r="L139" s="88"/>
      <c r="M139" s="88"/>
      <c r="N139" s="88"/>
      <c r="O139" s="88"/>
      <c r="P139" s="88"/>
      <c r="Q139" s="88"/>
      <c r="R139" s="88"/>
      <c r="S139" s="88"/>
      <c r="T139" s="88"/>
      <c r="U139" s="88"/>
      <c r="V139" s="88"/>
      <c r="W139" s="88"/>
      <c r="X139" s="88"/>
      <c r="Y139" s="88"/>
      <c r="Z139" s="88"/>
      <c r="AA139" s="88"/>
      <c r="AB139" s="128"/>
      <c r="AC139" s="128"/>
      <c r="AD139" s="128"/>
      <c r="AE139" s="128"/>
      <c r="AF139" s="128"/>
      <c r="AG139" s="128"/>
      <c r="AH139" s="127"/>
    </row>
    <row r="140" spans="1:34" ht="13.2">
      <c r="A140" s="88"/>
      <c r="B140" s="88"/>
      <c r="C140" s="88"/>
      <c r="D140" s="88"/>
      <c r="E140" s="88"/>
      <c r="F140" s="88"/>
      <c r="G140" s="88"/>
      <c r="H140" s="88"/>
      <c r="I140" s="88"/>
      <c r="J140" s="88"/>
      <c r="K140" s="88"/>
      <c r="L140" s="88"/>
      <c r="M140" s="88"/>
      <c r="N140" s="88"/>
      <c r="O140" s="88"/>
      <c r="P140" s="88"/>
      <c r="Q140" s="88"/>
      <c r="R140" s="88"/>
      <c r="S140" s="88"/>
      <c r="T140" s="88"/>
      <c r="U140" s="88"/>
      <c r="V140" s="88"/>
      <c r="W140" s="88"/>
      <c r="X140" s="88"/>
      <c r="Y140" s="88"/>
      <c r="Z140" s="88"/>
      <c r="AA140" s="88"/>
      <c r="AB140" s="128"/>
      <c r="AC140" s="128"/>
      <c r="AD140" s="128"/>
      <c r="AE140" s="128"/>
      <c r="AF140" s="128"/>
      <c r="AG140" s="128"/>
      <c r="AH140" s="127"/>
    </row>
    <row r="141" spans="1:34" ht="13.2">
      <c r="A141" s="88"/>
      <c r="B141" s="88"/>
      <c r="C141" s="88"/>
      <c r="D141" s="88"/>
      <c r="E141" s="88"/>
      <c r="F141" s="88"/>
      <c r="G141" s="88"/>
      <c r="H141" s="88"/>
      <c r="I141" s="88"/>
      <c r="J141" s="88"/>
      <c r="K141" s="88"/>
      <c r="L141" s="88"/>
      <c r="M141" s="88"/>
      <c r="N141" s="88"/>
      <c r="O141" s="88"/>
      <c r="P141" s="88"/>
      <c r="Q141" s="88"/>
      <c r="R141" s="88"/>
      <c r="S141" s="88"/>
      <c r="T141" s="88"/>
      <c r="U141" s="88"/>
      <c r="V141" s="88"/>
      <c r="W141" s="88"/>
      <c r="X141" s="88"/>
      <c r="Y141" s="88"/>
      <c r="Z141" s="88"/>
      <c r="AA141" s="88"/>
      <c r="AB141" s="128"/>
      <c r="AC141" s="128"/>
      <c r="AD141" s="128"/>
      <c r="AE141" s="128"/>
      <c r="AF141" s="128"/>
      <c r="AG141" s="128"/>
      <c r="AH141" s="127"/>
    </row>
    <row r="142" spans="1:34" ht="13.2">
      <c r="A142" s="88"/>
      <c r="B142" s="88"/>
      <c r="C142" s="88"/>
      <c r="D142" s="88"/>
      <c r="E142" s="88"/>
      <c r="F142" s="88"/>
      <c r="G142" s="88"/>
      <c r="H142" s="88"/>
      <c r="I142" s="88"/>
      <c r="J142" s="88"/>
      <c r="K142" s="88"/>
      <c r="L142" s="88"/>
      <c r="M142" s="88"/>
      <c r="N142" s="88"/>
      <c r="O142" s="88"/>
      <c r="P142" s="88"/>
      <c r="Q142" s="88"/>
      <c r="R142" s="88"/>
      <c r="S142" s="88"/>
      <c r="T142" s="88"/>
      <c r="U142" s="88"/>
      <c r="V142" s="88"/>
      <c r="W142" s="88"/>
      <c r="X142" s="88"/>
      <c r="Y142" s="88"/>
      <c r="Z142" s="88"/>
      <c r="AA142" s="88"/>
      <c r="AB142" s="128"/>
      <c r="AC142" s="128"/>
      <c r="AD142" s="128"/>
      <c r="AE142" s="128"/>
      <c r="AF142" s="128"/>
      <c r="AG142" s="128"/>
      <c r="AH142" s="127"/>
    </row>
    <row r="143" spans="1:34" ht="13.2">
      <c r="A143" s="88"/>
      <c r="B143" s="88"/>
      <c r="C143" s="88"/>
      <c r="D143" s="88"/>
      <c r="E143" s="88"/>
      <c r="F143" s="88"/>
      <c r="G143" s="88"/>
      <c r="H143" s="88"/>
      <c r="I143" s="88"/>
      <c r="J143" s="88"/>
      <c r="K143" s="88"/>
      <c r="L143" s="88"/>
      <c r="M143" s="88"/>
      <c r="N143" s="88"/>
      <c r="O143" s="88"/>
      <c r="P143" s="88"/>
      <c r="Q143" s="88"/>
      <c r="R143" s="88"/>
      <c r="S143" s="88"/>
      <c r="T143" s="88"/>
      <c r="U143" s="88"/>
      <c r="V143" s="88"/>
      <c r="W143" s="88"/>
      <c r="X143" s="88"/>
      <c r="Y143" s="88"/>
      <c r="Z143" s="88"/>
      <c r="AA143" s="88"/>
      <c r="AB143" s="128"/>
      <c r="AC143" s="128"/>
      <c r="AD143" s="128"/>
      <c r="AE143" s="128"/>
      <c r="AF143" s="128"/>
      <c r="AG143" s="128"/>
      <c r="AH143" s="127"/>
    </row>
    <row r="144" spans="1:34" ht="13.2">
      <c r="A144" s="88"/>
      <c r="B144" s="88"/>
      <c r="C144" s="88"/>
      <c r="D144" s="88"/>
      <c r="E144" s="88"/>
      <c r="F144" s="88"/>
      <c r="G144" s="88"/>
      <c r="H144" s="88"/>
      <c r="I144" s="88"/>
      <c r="J144" s="88"/>
      <c r="K144" s="88"/>
      <c r="L144" s="88"/>
      <c r="M144" s="88"/>
      <c r="N144" s="88"/>
      <c r="O144" s="88"/>
      <c r="P144" s="88"/>
      <c r="Q144" s="88"/>
      <c r="R144" s="88"/>
      <c r="S144" s="88"/>
      <c r="T144" s="88"/>
      <c r="U144" s="88"/>
      <c r="V144" s="88"/>
      <c r="W144" s="88"/>
      <c r="X144" s="88"/>
      <c r="Y144" s="88"/>
      <c r="Z144" s="88"/>
      <c r="AA144" s="88"/>
      <c r="AB144" s="128"/>
      <c r="AC144" s="128"/>
      <c r="AD144" s="128"/>
      <c r="AE144" s="128"/>
      <c r="AF144" s="128"/>
      <c r="AG144" s="128"/>
      <c r="AH144" s="127"/>
    </row>
    <row r="145" spans="1:34" ht="13.2">
      <c r="A145" s="88"/>
      <c r="B145" s="88"/>
      <c r="C145" s="88"/>
      <c r="D145" s="88"/>
      <c r="E145" s="88"/>
      <c r="F145" s="88"/>
      <c r="G145" s="88"/>
      <c r="H145" s="88"/>
      <c r="I145" s="88"/>
      <c r="J145" s="88"/>
      <c r="K145" s="88"/>
      <c r="L145" s="88"/>
      <c r="M145" s="88"/>
      <c r="N145" s="88"/>
      <c r="O145" s="88"/>
      <c r="P145" s="88"/>
      <c r="Q145" s="88"/>
      <c r="R145" s="88"/>
      <c r="S145" s="88"/>
      <c r="T145" s="88"/>
      <c r="U145" s="88"/>
      <c r="V145" s="88"/>
      <c r="W145" s="88"/>
      <c r="X145" s="88"/>
      <c r="Y145" s="88"/>
      <c r="Z145" s="88"/>
      <c r="AA145" s="88"/>
      <c r="AB145" s="128"/>
      <c r="AC145" s="128"/>
      <c r="AD145" s="128"/>
      <c r="AE145" s="128"/>
      <c r="AF145" s="128"/>
      <c r="AG145" s="128"/>
      <c r="AH145" s="127"/>
    </row>
    <row r="146" spans="1:34" ht="13.2">
      <c r="A146" s="88"/>
      <c r="B146" s="88"/>
      <c r="C146" s="88"/>
      <c r="D146" s="88"/>
      <c r="E146" s="88"/>
      <c r="F146" s="88"/>
      <c r="G146" s="88"/>
      <c r="H146" s="88"/>
      <c r="I146" s="88"/>
      <c r="J146" s="88"/>
      <c r="K146" s="88"/>
      <c r="L146" s="88"/>
      <c r="M146" s="88"/>
      <c r="N146" s="88"/>
      <c r="O146" s="88"/>
      <c r="P146" s="88"/>
      <c r="Q146" s="88"/>
      <c r="R146" s="88"/>
      <c r="S146" s="88"/>
      <c r="T146" s="88"/>
      <c r="U146" s="88"/>
      <c r="V146" s="88"/>
      <c r="W146" s="88"/>
      <c r="X146" s="88"/>
      <c r="Y146" s="88"/>
      <c r="Z146" s="88"/>
      <c r="AA146" s="88"/>
      <c r="AB146" s="128"/>
      <c r="AC146" s="128"/>
      <c r="AD146" s="128"/>
      <c r="AE146" s="128"/>
      <c r="AF146" s="128"/>
      <c r="AG146" s="128"/>
      <c r="AH146" s="127"/>
    </row>
    <row r="147" spans="1:34" ht="13.2">
      <c r="A147" s="88"/>
      <c r="B147" s="88"/>
      <c r="C147" s="88"/>
      <c r="D147" s="88"/>
      <c r="E147" s="88"/>
      <c r="F147" s="88"/>
      <c r="G147" s="88"/>
      <c r="H147" s="88"/>
      <c r="I147" s="88"/>
      <c r="J147" s="88"/>
      <c r="K147" s="88"/>
      <c r="L147" s="88"/>
      <c r="M147" s="88"/>
      <c r="N147" s="88"/>
      <c r="O147" s="88"/>
      <c r="P147" s="88"/>
      <c r="Q147" s="88"/>
      <c r="R147" s="88"/>
      <c r="S147" s="88"/>
      <c r="T147" s="88"/>
      <c r="U147" s="88"/>
      <c r="V147" s="88"/>
      <c r="W147" s="88"/>
      <c r="X147" s="88"/>
      <c r="Y147" s="88"/>
      <c r="Z147" s="88"/>
      <c r="AA147" s="88"/>
      <c r="AB147" s="128"/>
      <c r="AC147" s="128"/>
      <c r="AD147" s="128"/>
      <c r="AE147" s="128"/>
      <c r="AF147" s="128"/>
      <c r="AG147" s="128"/>
      <c r="AH147" s="127"/>
    </row>
    <row r="148" spans="1:34" ht="13.2">
      <c r="A148" s="88"/>
      <c r="B148" s="88"/>
      <c r="C148" s="88"/>
      <c r="D148" s="88"/>
      <c r="E148" s="88"/>
      <c r="F148" s="88"/>
      <c r="G148" s="88"/>
      <c r="H148" s="88"/>
      <c r="I148" s="88"/>
      <c r="J148" s="88"/>
      <c r="K148" s="88"/>
      <c r="L148" s="88"/>
      <c r="M148" s="88"/>
      <c r="N148" s="88"/>
      <c r="O148" s="88"/>
      <c r="P148" s="88"/>
      <c r="Q148" s="88"/>
      <c r="R148" s="88"/>
      <c r="S148" s="88"/>
      <c r="T148" s="88"/>
      <c r="U148" s="88"/>
      <c r="V148" s="88"/>
      <c r="W148" s="88"/>
      <c r="X148" s="88"/>
      <c r="Y148" s="88"/>
      <c r="Z148" s="88"/>
      <c r="AA148" s="88"/>
      <c r="AB148" s="128"/>
      <c r="AC148" s="128"/>
      <c r="AD148" s="128"/>
      <c r="AE148" s="128"/>
      <c r="AF148" s="128"/>
      <c r="AG148" s="128"/>
      <c r="AH148" s="127"/>
    </row>
    <row r="149" spans="1:34" ht="13.2">
      <c r="A149" s="88"/>
      <c r="B149" s="88"/>
      <c r="C149" s="88"/>
      <c r="D149" s="88"/>
      <c r="E149" s="88"/>
      <c r="F149" s="88"/>
      <c r="G149" s="88"/>
      <c r="H149" s="88"/>
      <c r="I149" s="88"/>
      <c r="J149" s="88"/>
      <c r="K149" s="88"/>
      <c r="L149" s="88"/>
      <c r="M149" s="88"/>
      <c r="N149" s="88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8"/>
      <c r="Z149" s="88"/>
      <c r="AA149" s="88"/>
      <c r="AB149" s="128"/>
      <c r="AC149" s="128"/>
      <c r="AD149" s="128"/>
      <c r="AE149" s="128"/>
      <c r="AF149" s="128"/>
      <c r="AG149" s="128"/>
      <c r="AH149" s="127"/>
    </row>
    <row r="150" spans="1:34" ht="13.2">
      <c r="A150" s="88"/>
      <c r="B150" s="88"/>
      <c r="C150" s="88"/>
      <c r="D150" s="88"/>
      <c r="E150" s="88"/>
      <c r="F150" s="88"/>
      <c r="G150" s="88"/>
      <c r="H150" s="88"/>
      <c r="I150" s="88"/>
      <c r="J150" s="88"/>
      <c r="K150" s="88"/>
      <c r="L150" s="88"/>
      <c r="M150" s="88"/>
      <c r="N150" s="88"/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8"/>
      <c r="Z150" s="88"/>
      <c r="AA150" s="88"/>
      <c r="AB150" s="128"/>
      <c r="AC150" s="128"/>
      <c r="AD150" s="128"/>
      <c r="AE150" s="128"/>
      <c r="AF150" s="128"/>
      <c r="AG150" s="128"/>
      <c r="AH150" s="127"/>
    </row>
    <row r="151" spans="1:34" ht="13.2">
      <c r="A151" s="88"/>
      <c r="B151" s="88"/>
      <c r="C151" s="88"/>
      <c r="D151" s="88"/>
      <c r="E151" s="88"/>
      <c r="F151" s="88"/>
      <c r="G151" s="88"/>
      <c r="H151" s="88"/>
      <c r="I151" s="88"/>
      <c r="J151" s="88"/>
      <c r="K151" s="88"/>
      <c r="L151" s="88"/>
      <c r="M151" s="88"/>
      <c r="N151" s="88"/>
      <c r="O151" s="88"/>
      <c r="P151" s="88"/>
      <c r="Q151" s="88"/>
      <c r="R151" s="88"/>
      <c r="S151" s="88"/>
      <c r="T151" s="88"/>
      <c r="U151" s="88"/>
      <c r="V151" s="88"/>
      <c r="W151" s="88"/>
      <c r="X151" s="88"/>
      <c r="Y151" s="88"/>
      <c r="Z151" s="88"/>
      <c r="AA151" s="88"/>
      <c r="AB151" s="128"/>
      <c r="AC151" s="128"/>
      <c r="AD151" s="128"/>
      <c r="AE151" s="128"/>
      <c r="AF151" s="128"/>
      <c r="AG151" s="128"/>
      <c r="AH151" s="127"/>
    </row>
    <row r="152" spans="1:34" ht="13.2">
      <c r="A152" s="88"/>
      <c r="B152" s="88"/>
      <c r="C152" s="88"/>
      <c r="D152" s="88"/>
      <c r="E152" s="88"/>
      <c r="F152" s="88"/>
      <c r="G152" s="88"/>
      <c r="H152" s="88"/>
      <c r="I152" s="88"/>
      <c r="J152" s="88"/>
      <c r="K152" s="88"/>
      <c r="L152" s="88"/>
      <c r="M152" s="88"/>
      <c r="N152" s="88"/>
      <c r="O152" s="88"/>
      <c r="P152" s="88"/>
      <c r="Q152" s="88"/>
      <c r="R152" s="88"/>
      <c r="S152" s="88"/>
      <c r="T152" s="88"/>
      <c r="U152" s="88"/>
      <c r="V152" s="88"/>
      <c r="W152" s="88"/>
      <c r="X152" s="88"/>
      <c r="Y152" s="88"/>
      <c r="Z152" s="88"/>
      <c r="AA152" s="88"/>
      <c r="AB152" s="128"/>
      <c r="AC152" s="128"/>
      <c r="AD152" s="128"/>
      <c r="AE152" s="128"/>
      <c r="AF152" s="128"/>
      <c r="AG152" s="128"/>
      <c r="AH152" s="127"/>
    </row>
    <row r="153" spans="1:34" ht="13.2">
      <c r="A153" s="88"/>
      <c r="B153" s="88"/>
      <c r="C153" s="88"/>
      <c r="D153" s="88"/>
      <c r="E153" s="88"/>
      <c r="F153" s="88"/>
      <c r="G153" s="88"/>
      <c r="H153" s="88"/>
      <c r="I153" s="88"/>
      <c r="J153" s="88"/>
      <c r="K153" s="88"/>
      <c r="L153" s="88"/>
      <c r="M153" s="88"/>
      <c r="N153" s="88"/>
      <c r="O153" s="88"/>
      <c r="P153" s="88"/>
      <c r="Q153" s="88"/>
      <c r="R153" s="88"/>
      <c r="S153" s="88"/>
      <c r="T153" s="88"/>
      <c r="U153" s="88"/>
      <c r="V153" s="88"/>
      <c r="W153" s="88"/>
      <c r="X153" s="88"/>
      <c r="Y153" s="88"/>
      <c r="Z153" s="88"/>
      <c r="AA153" s="88"/>
      <c r="AB153" s="128"/>
      <c r="AC153" s="128"/>
      <c r="AD153" s="128"/>
      <c r="AE153" s="128"/>
      <c r="AF153" s="128"/>
      <c r="AG153" s="128"/>
      <c r="AH153" s="127"/>
    </row>
    <row r="154" spans="1:34" ht="13.2">
      <c r="A154" s="88"/>
      <c r="B154" s="88"/>
      <c r="C154" s="88"/>
      <c r="D154" s="88"/>
      <c r="E154" s="88"/>
      <c r="F154" s="88"/>
      <c r="G154" s="88"/>
      <c r="H154" s="88"/>
      <c r="I154" s="88"/>
      <c r="J154" s="88"/>
      <c r="K154" s="88"/>
      <c r="L154" s="88"/>
      <c r="M154" s="88"/>
      <c r="N154" s="88"/>
      <c r="O154" s="88"/>
      <c r="P154" s="88"/>
      <c r="Q154" s="88"/>
      <c r="R154" s="88"/>
      <c r="S154" s="88"/>
      <c r="T154" s="88"/>
      <c r="U154" s="88"/>
      <c r="V154" s="88"/>
      <c r="W154" s="88"/>
      <c r="X154" s="88"/>
      <c r="Y154" s="88"/>
      <c r="Z154" s="88"/>
      <c r="AA154" s="88"/>
      <c r="AB154" s="128"/>
      <c r="AC154" s="128"/>
      <c r="AD154" s="128"/>
      <c r="AE154" s="128"/>
      <c r="AF154" s="128"/>
      <c r="AG154" s="128"/>
      <c r="AH154" s="127"/>
    </row>
    <row r="155" spans="1:34" ht="13.2">
      <c r="A155" s="88"/>
      <c r="B155" s="88"/>
      <c r="C155" s="88"/>
      <c r="D155" s="88"/>
      <c r="E155" s="88"/>
      <c r="F155" s="88"/>
      <c r="G155" s="88"/>
      <c r="H155" s="88"/>
      <c r="I155" s="88"/>
      <c r="J155" s="88"/>
      <c r="K155" s="88"/>
      <c r="L155" s="88"/>
      <c r="M155" s="88"/>
      <c r="N155" s="88"/>
      <c r="O155" s="88"/>
      <c r="P155" s="88"/>
      <c r="Q155" s="88"/>
      <c r="R155" s="88"/>
      <c r="S155" s="88"/>
      <c r="T155" s="88"/>
      <c r="U155" s="88"/>
      <c r="V155" s="88"/>
      <c r="W155" s="88"/>
      <c r="X155" s="88"/>
      <c r="Y155" s="88"/>
      <c r="Z155" s="88"/>
      <c r="AA155" s="88"/>
      <c r="AB155" s="128"/>
      <c r="AC155" s="128"/>
      <c r="AD155" s="128"/>
      <c r="AE155" s="128"/>
      <c r="AF155" s="128"/>
      <c r="AG155" s="128"/>
      <c r="AH155" s="127"/>
    </row>
    <row r="156" spans="1:34" ht="13.2">
      <c r="A156" s="88"/>
      <c r="B156" s="88"/>
      <c r="C156" s="88"/>
      <c r="D156" s="88"/>
      <c r="E156" s="88"/>
      <c r="F156" s="88"/>
      <c r="G156" s="88"/>
      <c r="H156" s="88"/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  <c r="AB156" s="128"/>
      <c r="AC156" s="128"/>
      <c r="AD156" s="128"/>
      <c r="AE156" s="128"/>
      <c r="AF156" s="128"/>
      <c r="AG156" s="128"/>
      <c r="AH156" s="127"/>
    </row>
    <row r="157" spans="1:34" ht="13.2">
      <c r="A157" s="88"/>
      <c r="B157" s="88"/>
      <c r="C157" s="88"/>
      <c r="D157" s="88"/>
      <c r="E157" s="88"/>
      <c r="F157" s="88"/>
      <c r="G157" s="88"/>
      <c r="H157" s="88"/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  <c r="AB157" s="128"/>
      <c r="AC157" s="128"/>
      <c r="AD157" s="128"/>
      <c r="AE157" s="128"/>
      <c r="AF157" s="128"/>
      <c r="AG157" s="128"/>
      <c r="AH157" s="127"/>
    </row>
    <row r="158" spans="1:34" ht="13.2">
      <c r="A158" s="88"/>
      <c r="B158" s="88"/>
      <c r="C158" s="88"/>
      <c r="D158" s="88"/>
      <c r="E158" s="88"/>
      <c r="F158" s="88"/>
      <c r="G158" s="88"/>
      <c r="H158" s="88"/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  <c r="AB158" s="128"/>
      <c r="AC158" s="128"/>
      <c r="AD158" s="128"/>
      <c r="AE158" s="128"/>
      <c r="AF158" s="128"/>
      <c r="AG158" s="128"/>
      <c r="AH158" s="127"/>
    </row>
    <row r="159" spans="1:34" ht="13.2">
      <c r="A159" s="88"/>
      <c r="B159" s="88"/>
      <c r="C159" s="88"/>
      <c r="D159" s="88"/>
      <c r="E159" s="88"/>
      <c r="F159" s="88"/>
      <c r="G159" s="88"/>
      <c r="H159" s="88"/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  <c r="AB159" s="128"/>
      <c r="AC159" s="128"/>
      <c r="AD159" s="128"/>
      <c r="AE159" s="128"/>
      <c r="AF159" s="128"/>
      <c r="AG159" s="128"/>
      <c r="AH159" s="127"/>
    </row>
    <row r="160" spans="1:34" ht="13.2">
      <c r="A160" s="88"/>
      <c r="B160" s="88"/>
      <c r="C160" s="88"/>
      <c r="D160" s="88"/>
      <c r="E160" s="88"/>
      <c r="F160" s="88"/>
      <c r="G160" s="88"/>
      <c r="H160" s="88"/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  <c r="AB160" s="128"/>
      <c r="AC160" s="128"/>
      <c r="AD160" s="128"/>
      <c r="AE160" s="128"/>
      <c r="AF160" s="128"/>
      <c r="AG160" s="128"/>
      <c r="AH160" s="127"/>
    </row>
    <row r="161" spans="1:34" ht="13.2">
      <c r="A161" s="88"/>
      <c r="B161" s="88"/>
      <c r="C161" s="88"/>
      <c r="D161" s="88"/>
      <c r="E161" s="88"/>
      <c r="F161" s="88"/>
      <c r="G161" s="88"/>
      <c r="H161" s="88"/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  <c r="AB161" s="128"/>
      <c r="AC161" s="128"/>
      <c r="AD161" s="128"/>
      <c r="AE161" s="128"/>
      <c r="AF161" s="128"/>
      <c r="AG161" s="128"/>
      <c r="AH161" s="127"/>
    </row>
    <row r="162" spans="1:34" ht="13.2">
      <c r="A162" s="88"/>
      <c r="B162" s="88"/>
      <c r="C162" s="88"/>
      <c r="D162" s="88"/>
      <c r="E162" s="88"/>
      <c r="F162" s="88"/>
      <c r="G162" s="88"/>
      <c r="H162" s="88"/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  <c r="AB162" s="128"/>
      <c r="AC162" s="128"/>
      <c r="AD162" s="128"/>
      <c r="AE162" s="128"/>
      <c r="AF162" s="128"/>
      <c r="AG162" s="128"/>
      <c r="AH162" s="127"/>
    </row>
    <row r="163" spans="1:34" ht="13.2">
      <c r="A163" s="88"/>
      <c r="B163" s="88"/>
      <c r="C163" s="88"/>
      <c r="D163" s="88"/>
      <c r="E163" s="88"/>
      <c r="F163" s="88"/>
      <c r="G163" s="88"/>
      <c r="H163" s="88"/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  <c r="AB163" s="128"/>
      <c r="AC163" s="128"/>
      <c r="AD163" s="128"/>
      <c r="AE163" s="128"/>
      <c r="AF163" s="128"/>
      <c r="AG163" s="128"/>
      <c r="AH163" s="127"/>
    </row>
    <row r="164" spans="1:34" ht="13.2">
      <c r="A164" s="88"/>
      <c r="B164" s="88"/>
      <c r="C164" s="88"/>
      <c r="D164" s="88"/>
      <c r="E164" s="88"/>
      <c r="F164" s="88"/>
      <c r="G164" s="88"/>
      <c r="H164" s="88"/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  <c r="AB164" s="128"/>
      <c r="AC164" s="128"/>
      <c r="AD164" s="128"/>
      <c r="AE164" s="128"/>
      <c r="AF164" s="128"/>
      <c r="AG164" s="128"/>
      <c r="AH164" s="127"/>
    </row>
    <row r="165" spans="1:34" ht="13.2">
      <c r="A165" s="88"/>
      <c r="B165" s="88"/>
      <c r="C165" s="88"/>
      <c r="D165" s="88"/>
      <c r="E165" s="88"/>
      <c r="F165" s="88"/>
      <c r="G165" s="88"/>
      <c r="H165" s="88"/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  <c r="AB165" s="128"/>
      <c r="AC165" s="128"/>
      <c r="AD165" s="128"/>
      <c r="AE165" s="128"/>
      <c r="AF165" s="128"/>
      <c r="AG165" s="128"/>
      <c r="AH165" s="127"/>
    </row>
    <row r="166" spans="1:34" ht="13.2">
      <c r="A166" s="88"/>
      <c r="B166" s="88"/>
      <c r="C166" s="88"/>
      <c r="D166" s="88"/>
      <c r="E166" s="88"/>
      <c r="F166" s="88"/>
      <c r="G166" s="88"/>
      <c r="H166" s="88"/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128"/>
      <c r="AC166" s="128"/>
      <c r="AD166" s="128"/>
      <c r="AE166" s="128"/>
      <c r="AF166" s="128"/>
      <c r="AG166" s="128"/>
      <c r="AH166" s="127"/>
    </row>
    <row r="167" spans="1:34" ht="13.2">
      <c r="A167" s="88"/>
      <c r="B167" s="88"/>
      <c r="C167" s="88"/>
      <c r="D167" s="88"/>
      <c r="E167" s="88"/>
      <c r="F167" s="88"/>
      <c r="G167" s="88"/>
      <c r="H167" s="88"/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  <c r="AB167" s="128"/>
      <c r="AC167" s="128"/>
      <c r="AD167" s="128"/>
      <c r="AE167" s="128"/>
      <c r="AF167" s="128"/>
      <c r="AG167" s="128"/>
      <c r="AH167" s="127"/>
    </row>
    <row r="168" spans="1:34" ht="13.2">
      <c r="A168" s="88"/>
      <c r="B168" s="88"/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128"/>
      <c r="AC168" s="128"/>
      <c r="AD168" s="128"/>
      <c r="AE168" s="128"/>
      <c r="AF168" s="128"/>
      <c r="AG168" s="128"/>
      <c r="AH168" s="127"/>
    </row>
    <row r="169" spans="1:34" ht="13.2">
      <c r="A169" s="88"/>
      <c r="B169" s="88"/>
      <c r="C169" s="88"/>
      <c r="D169" s="88"/>
      <c r="E169" s="88"/>
      <c r="F169" s="88"/>
      <c r="G169" s="88"/>
      <c r="H169" s="88"/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88"/>
      <c r="AB169" s="128"/>
      <c r="AC169" s="128"/>
      <c r="AD169" s="128"/>
      <c r="AE169" s="128"/>
      <c r="AF169" s="128"/>
      <c r="AG169" s="128"/>
      <c r="AH169" s="127"/>
    </row>
    <row r="170" spans="1:34" ht="13.2">
      <c r="A170" s="88"/>
      <c r="B170" s="88"/>
      <c r="C170" s="88"/>
      <c r="D170" s="88"/>
      <c r="E170" s="88"/>
      <c r="F170" s="88"/>
      <c r="G170" s="88"/>
      <c r="H170" s="88"/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88"/>
      <c r="AB170" s="128"/>
      <c r="AC170" s="128"/>
      <c r="AD170" s="128"/>
      <c r="AE170" s="128"/>
      <c r="AF170" s="128"/>
      <c r="AG170" s="128"/>
      <c r="AH170" s="127"/>
    </row>
    <row r="171" spans="1:34" ht="13.2">
      <c r="A171" s="88"/>
      <c r="B171" s="88"/>
      <c r="C171" s="88"/>
      <c r="D171" s="88"/>
      <c r="E171" s="88"/>
      <c r="F171" s="88"/>
      <c r="G171" s="88"/>
      <c r="H171" s="88"/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  <c r="AA171" s="88"/>
      <c r="AB171" s="128"/>
      <c r="AC171" s="128"/>
      <c r="AD171" s="128"/>
      <c r="AE171" s="128"/>
      <c r="AF171" s="128"/>
      <c r="AG171" s="128"/>
      <c r="AH171" s="127"/>
    </row>
    <row r="172" spans="1:34" ht="13.2">
      <c r="A172" s="88"/>
      <c r="B172" s="88"/>
      <c r="C172" s="88"/>
      <c r="D172" s="88"/>
      <c r="E172" s="88"/>
      <c r="F172" s="88"/>
      <c r="G172" s="88"/>
      <c r="H172" s="88"/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  <c r="AA172" s="88"/>
      <c r="AB172" s="128"/>
      <c r="AC172" s="128"/>
      <c r="AD172" s="128"/>
      <c r="AE172" s="128"/>
      <c r="AF172" s="128"/>
      <c r="AG172" s="128"/>
      <c r="AH172" s="127"/>
    </row>
    <row r="173" spans="1:34" ht="13.2">
      <c r="A173" s="88"/>
      <c r="B173" s="88"/>
      <c r="C173" s="88"/>
      <c r="D173" s="88"/>
      <c r="E173" s="88"/>
      <c r="F173" s="88"/>
      <c r="G173" s="88"/>
      <c r="H173" s="88"/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  <c r="AB173" s="128"/>
      <c r="AC173" s="128"/>
      <c r="AD173" s="128"/>
      <c r="AE173" s="128"/>
      <c r="AF173" s="128"/>
      <c r="AG173" s="128"/>
      <c r="AH173" s="127"/>
    </row>
    <row r="174" spans="1:34" ht="13.2">
      <c r="A174" s="88"/>
      <c r="B174" s="88"/>
      <c r="C174" s="88"/>
      <c r="D174" s="88"/>
      <c r="E174" s="88"/>
      <c r="F174" s="88"/>
      <c r="G174" s="88"/>
      <c r="H174" s="88"/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  <c r="AB174" s="128"/>
      <c r="AC174" s="128"/>
      <c r="AD174" s="128"/>
      <c r="AE174" s="128"/>
      <c r="AF174" s="128"/>
      <c r="AG174" s="128"/>
      <c r="AH174" s="127"/>
    </row>
    <row r="175" spans="1:34" ht="13.2">
      <c r="A175" s="88"/>
      <c r="B175" s="88"/>
      <c r="C175" s="88"/>
      <c r="D175" s="88"/>
      <c r="E175" s="88"/>
      <c r="F175" s="88"/>
      <c r="G175" s="88"/>
      <c r="H175" s="88"/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/>
      <c r="AB175" s="128"/>
      <c r="AC175" s="128"/>
      <c r="AD175" s="128"/>
      <c r="AE175" s="128"/>
      <c r="AF175" s="128"/>
      <c r="AG175" s="128"/>
      <c r="AH175" s="127"/>
    </row>
    <row r="176" spans="1:34" ht="13.2">
      <c r="A176" s="88"/>
      <c r="B176" s="88"/>
      <c r="C176" s="88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  <c r="AB176" s="128"/>
      <c r="AC176" s="128"/>
      <c r="AD176" s="128"/>
      <c r="AE176" s="128"/>
      <c r="AF176" s="128"/>
      <c r="AG176" s="128"/>
      <c r="AH176" s="127"/>
    </row>
    <row r="177" spans="1:34" ht="13.2">
      <c r="A177" s="88"/>
      <c r="B177" s="88"/>
      <c r="C177" s="88"/>
      <c r="D177" s="88"/>
      <c r="E177" s="88"/>
      <c r="F177" s="88"/>
      <c r="G177" s="88"/>
      <c r="H177" s="88"/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88"/>
      <c r="AB177" s="128"/>
      <c r="AC177" s="128"/>
      <c r="AD177" s="128"/>
      <c r="AE177" s="128"/>
      <c r="AF177" s="128"/>
      <c r="AG177" s="128"/>
      <c r="AH177" s="127"/>
    </row>
    <row r="178" spans="1:34" ht="13.2">
      <c r="A178" s="88"/>
      <c r="B178" s="88"/>
      <c r="C178" s="88"/>
      <c r="D178" s="88"/>
      <c r="E178" s="88"/>
      <c r="F178" s="88"/>
      <c r="G178" s="88"/>
      <c r="H178" s="88"/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88"/>
      <c r="AB178" s="128"/>
      <c r="AC178" s="128"/>
      <c r="AD178" s="128"/>
      <c r="AE178" s="128"/>
      <c r="AF178" s="128"/>
      <c r="AG178" s="128"/>
      <c r="AH178" s="127"/>
    </row>
    <row r="179" spans="1:34" ht="13.2">
      <c r="A179" s="88"/>
      <c r="B179" s="88"/>
      <c r="C179" s="88"/>
      <c r="D179" s="88"/>
      <c r="E179" s="88"/>
      <c r="F179" s="88"/>
      <c r="G179" s="88"/>
      <c r="H179" s="88"/>
      <c r="I179" s="88"/>
      <c r="J179" s="88"/>
      <c r="K179" s="88"/>
      <c r="L179" s="88"/>
      <c r="M179" s="88"/>
      <c r="N179" s="88"/>
      <c r="O179" s="88"/>
      <c r="P179" s="88"/>
      <c r="Q179" s="88"/>
      <c r="R179" s="88"/>
      <c r="S179" s="88"/>
      <c r="T179" s="88"/>
      <c r="U179" s="88"/>
      <c r="V179" s="88"/>
      <c r="W179" s="88"/>
      <c r="X179" s="88"/>
      <c r="Y179" s="88"/>
      <c r="Z179" s="88"/>
      <c r="AA179" s="88"/>
      <c r="AB179" s="128"/>
      <c r="AC179" s="128"/>
      <c r="AD179" s="128"/>
      <c r="AE179" s="128"/>
      <c r="AF179" s="128"/>
      <c r="AG179" s="128"/>
      <c r="AH179" s="127"/>
    </row>
    <row r="180" spans="1:34" ht="13.2">
      <c r="A180" s="88"/>
      <c r="B180" s="88"/>
      <c r="C180" s="88"/>
      <c r="D180" s="88"/>
      <c r="E180" s="88"/>
      <c r="F180" s="88"/>
      <c r="G180" s="88"/>
      <c r="H180" s="88"/>
      <c r="I180" s="88"/>
      <c r="J180" s="88"/>
      <c r="K180" s="88"/>
      <c r="L180" s="88"/>
      <c r="M180" s="88"/>
      <c r="N180" s="88"/>
      <c r="O180" s="88"/>
      <c r="P180" s="88"/>
      <c r="Q180" s="88"/>
      <c r="R180" s="88"/>
      <c r="S180" s="88"/>
      <c r="T180" s="88"/>
      <c r="U180" s="88"/>
      <c r="V180" s="88"/>
      <c r="W180" s="88"/>
      <c r="X180" s="88"/>
      <c r="Y180" s="88"/>
      <c r="Z180" s="88"/>
      <c r="AA180" s="88"/>
      <c r="AB180" s="128"/>
      <c r="AC180" s="128"/>
      <c r="AD180" s="128"/>
      <c r="AE180" s="128"/>
      <c r="AF180" s="128"/>
      <c r="AG180" s="128"/>
      <c r="AH180" s="127"/>
    </row>
    <row r="181" spans="1:34" ht="13.2">
      <c r="A181" s="88"/>
      <c r="B181" s="88"/>
      <c r="C181" s="88"/>
      <c r="D181" s="88"/>
      <c r="E181" s="88"/>
      <c r="F181" s="88"/>
      <c r="G181" s="88"/>
      <c r="H181" s="88"/>
      <c r="I181" s="88"/>
      <c r="J181" s="88"/>
      <c r="K181" s="88"/>
      <c r="L181" s="88"/>
      <c r="M181" s="88"/>
      <c r="N181" s="88"/>
      <c r="O181" s="88"/>
      <c r="P181" s="88"/>
      <c r="Q181" s="88"/>
      <c r="R181" s="88"/>
      <c r="S181" s="88"/>
      <c r="T181" s="88"/>
      <c r="U181" s="88"/>
      <c r="V181" s="88"/>
      <c r="W181" s="88"/>
      <c r="X181" s="88"/>
      <c r="Y181" s="88"/>
      <c r="Z181" s="88"/>
      <c r="AA181" s="88"/>
      <c r="AB181" s="128"/>
      <c r="AC181" s="128"/>
      <c r="AD181" s="128"/>
      <c r="AE181" s="128"/>
      <c r="AF181" s="128"/>
      <c r="AG181" s="128"/>
      <c r="AH181" s="127"/>
    </row>
    <row r="182" spans="1:34" ht="13.2">
      <c r="A182" s="88"/>
      <c r="B182" s="88"/>
      <c r="C182" s="88"/>
      <c r="D182" s="88"/>
      <c r="E182" s="88"/>
      <c r="F182" s="88"/>
      <c r="G182" s="88"/>
      <c r="H182" s="88"/>
      <c r="I182" s="88"/>
      <c r="J182" s="88"/>
      <c r="K182" s="88"/>
      <c r="L182" s="88"/>
      <c r="M182" s="88"/>
      <c r="N182" s="88"/>
      <c r="O182" s="88"/>
      <c r="P182" s="88"/>
      <c r="Q182" s="88"/>
      <c r="R182" s="88"/>
      <c r="S182" s="88"/>
      <c r="T182" s="88"/>
      <c r="U182" s="88"/>
      <c r="V182" s="88"/>
      <c r="W182" s="88"/>
      <c r="X182" s="88"/>
      <c r="Y182" s="88"/>
      <c r="Z182" s="88"/>
      <c r="AA182" s="88"/>
      <c r="AB182" s="128"/>
      <c r="AC182" s="128"/>
      <c r="AD182" s="128"/>
      <c r="AE182" s="128"/>
      <c r="AF182" s="128"/>
      <c r="AG182" s="128"/>
      <c r="AH182" s="127"/>
    </row>
    <row r="183" spans="1:34" ht="13.2">
      <c r="A183" s="88"/>
      <c r="B183" s="88"/>
      <c r="C183" s="88"/>
      <c r="D183" s="88"/>
      <c r="E183" s="88"/>
      <c r="F183" s="88"/>
      <c r="G183" s="88"/>
      <c r="H183" s="88"/>
      <c r="I183" s="88"/>
      <c r="J183" s="88"/>
      <c r="K183" s="88"/>
      <c r="L183" s="88"/>
      <c r="M183" s="88"/>
      <c r="N183" s="88"/>
      <c r="O183" s="88"/>
      <c r="P183" s="88"/>
      <c r="Q183" s="88"/>
      <c r="R183" s="88"/>
      <c r="S183" s="88"/>
      <c r="T183" s="88"/>
      <c r="U183" s="88"/>
      <c r="V183" s="88"/>
      <c r="W183" s="88"/>
      <c r="X183" s="88"/>
      <c r="Y183" s="88"/>
      <c r="Z183" s="88"/>
      <c r="AA183" s="88"/>
      <c r="AB183" s="128"/>
      <c r="AC183" s="128"/>
      <c r="AD183" s="128"/>
      <c r="AE183" s="128"/>
      <c r="AF183" s="128"/>
      <c r="AG183" s="128"/>
      <c r="AH183" s="127"/>
    </row>
    <row r="184" spans="1:34" ht="13.2">
      <c r="A184" s="88"/>
      <c r="B184" s="88"/>
      <c r="C184" s="88"/>
      <c r="D184" s="88"/>
      <c r="E184" s="88"/>
      <c r="F184" s="88"/>
      <c r="G184" s="88"/>
      <c r="H184" s="88"/>
      <c r="I184" s="88"/>
      <c r="J184" s="88"/>
      <c r="K184" s="88"/>
      <c r="L184" s="88"/>
      <c r="M184" s="88"/>
      <c r="N184" s="88"/>
      <c r="O184" s="88"/>
      <c r="P184" s="88"/>
      <c r="Q184" s="88"/>
      <c r="R184" s="88"/>
      <c r="S184" s="88"/>
      <c r="T184" s="88"/>
      <c r="U184" s="88"/>
      <c r="V184" s="88"/>
      <c r="W184" s="88"/>
      <c r="X184" s="88"/>
      <c r="Y184" s="88"/>
      <c r="Z184" s="88"/>
      <c r="AA184" s="88"/>
      <c r="AB184" s="128"/>
      <c r="AC184" s="128"/>
      <c r="AD184" s="128"/>
      <c r="AE184" s="128"/>
      <c r="AF184" s="128"/>
      <c r="AG184" s="128"/>
      <c r="AH184" s="127"/>
    </row>
    <row r="185" spans="1:34" ht="13.2">
      <c r="A185" s="88"/>
      <c r="B185" s="88"/>
      <c r="C185" s="88"/>
      <c r="D185" s="88"/>
      <c r="E185" s="88"/>
      <c r="F185" s="88"/>
      <c r="G185" s="88"/>
      <c r="H185" s="88"/>
      <c r="I185" s="88"/>
      <c r="J185" s="88"/>
      <c r="K185" s="88"/>
      <c r="L185" s="88"/>
      <c r="M185" s="88"/>
      <c r="N185" s="88"/>
      <c r="O185" s="88"/>
      <c r="P185" s="88"/>
      <c r="Q185" s="88"/>
      <c r="R185" s="88"/>
      <c r="S185" s="88"/>
      <c r="T185" s="88"/>
      <c r="U185" s="88"/>
      <c r="V185" s="88"/>
      <c r="W185" s="88"/>
      <c r="X185" s="88"/>
      <c r="Y185" s="88"/>
      <c r="Z185" s="88"/>
      <c r="AA185" s="88"/>
      <c r="AB185" s="128"/>
      <c r="AC185" s="128"/>
      <c r="AD185" s="128"/>
      <c r="AE185" s="128"/>
      <c r="AF185" s="128"/>
      <c r="AG185" s="128"/>
      <c r="AH185" s="127"/>
    </row>
    <row r="186" spans="1:34" ht="13.2">
      <c r="A186" s="88"/>
      <c r="B186" s="88"/>
      <c r="C186" s="88"/>
      <c r="D186" s="88"/>
      <c r="E186" s="88"/>
      <c r="F186" s="88"/>
      <c r="G186" s="88"/>
      <c r="H186" s="88"/>
      <c r="I186" s="88"/>
      <c r="J186" s="88"/>
      <c r="K186" s="88"/>
      <c r="L186" s="88"/>
      <c r="M186" s="88"/>
      <c r="N186" s="88"/>
      <c r="O186" s="88"/>
      <c r="P186" s="88"/>
      <c r="Q186" s="88"/>
      <c r="R186" s="88"/>
      <c r="S186" s="88"/>
      <c r="T186" s="88"/>
      <c r="U186" s="88"/>
      <c r="V186" s="88"/>
      <c r="W186" s="88"/>
      <c r="X186" s="88"/>
      <c r="Y186" s="88"/>
      <c r="Z186" s="88"/>
      <c r="AA186" s="88"/>
      <c r="AB186" s="128"/>
      <c r="AC186" s="128"/>
      <c r="AD186" s="128"/>
      <c r="AE186" s="128"/>
      <c r="AF186" s="128"/>
      <c r="AG186" s="128"/>
      <c r="AH186" s="127"/>
    </row>
    <row r="187" spans="1:34" ht="13.2">
      <c r="A187" s="88"/>
      <c r="B187" s="88"/>
      <c r="C187" s="88"/>
      <c r="D187" s="88"/>
      <c r="E187" s="88"/>
      <c r="F187" s="88"/>
      <c r="G187" s="88"/>
      <c r="H187" s="88"/>
      <c r="I187" s="88"/>
      <c r="J187" s="88"/>
      <c r="K187" s="88"/>
      <c r="L187" s="88"/>
      <c r="M187" s="88"/>
      <c r="N187" s="88"/>
      <c r="O187" s="88"/>
      <c r="P187" s="88"/>
      <c r="Q187" s="88"/>
      <c r="R187" s="88"/>
      <c r="S187" s="88"/>
      <c r="T187" s="88"/>
      <c r="U187" s="88"/>
      <c r="V187" s="88"/>
      <c r="W187" s="88"/>
      <c r="X187" s="88"/>
      <c r="Y187" s="88"/>
      <c r="Z187" s="88"/>
      <c r="AA187" s="88"/>
      <c r="AB187" s="128"/>
      <c r="AC187" s="128"/>
      <c r="AD187" s="128"/>
      <c r="AE187" s="128"/>
      <c r="AF187" s="128"/>
      <c r="AG187" s="128"/>
      <c r="AH187" s="127"/>
    </row>
    <row r="188" spans="1:34" ht="13.2">
      <c r="A188" s="88"/>
      <c r="B188" s="88"/>
      <c r="C188" s="88"/>
      <c r="D188" s="88"/>
      <c r="E188" s="88"/>
      <c r="F188" s="88"/>
      <c r="G188" s="88"/>
      <c r="H188" s="88"/>
      <c r="I188" s="88"/>
      <c r="J188" s="88"/>
      <c r="K188" s="88"/>
      <c r="L188" s="88"/>
      <c r="M188" s="88"/>
      <c r="N188" s="88"/>
      <c r="O188" s="88"/>
      <c r="P188" s="88"/>
      <c r="Q188" s="88"/>
      <c r="R188" s="88"/>
      <c r="S188" s="88"/>
      <c r="T188" s="88"/>
      <c r="U188" s="88"/>
      <c r="V188" s="88"/>
      <c r="W188" s="88"/>
      <c r="X188" s="88"/>
      <c r="Y188" s="88"/>
      <c r="Z188" s="88"/>
      <c r="AA188" s="88"/>
      <c r="AB188" s="128"/>
      <c r="AC188" s="128"/>
      <c r="AD188" s="128"/>
      <c r="AE188" s="128"/>
      <c r="AF188" s="128"/>
      <c r="AG188" s="128"/>
      <c r="AH188" s="127"/>
    </row>
    <row r="189" spans="1:34" ht="13.2">
      <c r="A189" s="88"/>
      <c r="B189" s="88"/>
      <c r="C189" s="88"/>
      <c r="D189" s="88"/>
      <c r="E189" s="88"/>
      <c r="F189" s="88"/>
      <c r="G189" s="88"/>
      <c r="H189" s="88"/>
      <c r="I189" s="88"/>
      <c r="J189" s="88"/>
      <c r="K189" s="88"/>
      <c r="L189" s="88"/>
      <c r="M189" s="88"/>
      <c r="N189" s="88"/>
      <c r="O189" s="88"/>
      <c r="P189" s="88"/>
      <c r="Q189" s="88"/>
      <c r="R189" s="88"/>
      <c r="S189" s="88"/>
      <c r="T189" s="88"/>
      <c r="U189" s="88"/>
      <c r="V189" s="88"/>
      <c r="W189" s="88"/>
      <c r="X189" s="88"/>
      <c r="Y189" s="88"/>
      <c r="Z189" s="88"/>
      <c r="AA189" s="88"/>
      <c r="AB189" s="128"/>
      <c r="AC189" s="128"/>
      <c r="AD189" s="128"/>
      <c r="AE189" s="128"/>
      <c r="AF189" s="128"/>
      <c r="AG189" s="128"/>
      <c r="AH189" s="127"/>
    </row>
    <row r="190" spans="1:34" ht="13.2">
      <c r="A190" s="88"/>
      <c r="B190" s="88"/>
      <c r="C190" s="88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  <c r="O190" s="88"/>
      <c r="P190" s="88"/>
      <c r="Q190" s="88"/>
      <c r="R190" s="88"/>
      <c r="S190" s="88"/>
      <c r="T190" s="88"/>
      <c r="U190" s="88"/>
      <c r="V190" s="88"/>
      <c r="W190" s="88"/>
      <c r="X190" s="88"/>
      <c r="Y190" s="88"/>
      <c r="Z190" s="88"/>
      <c r="AA190" s="88"/>
      <c r="AB190" s="128"/>
      <c r="AC190" s="128"/>
      <c r="AD190" s="128"/>
      <c r="AE190" s="128"/>
      <c r="AF190" s="128"/>
      <c r="AG190" s="128"/>
      <c r="AH190" s="127"/>
    </row>
    <row r="191" spans="1:34" ht="13.2">
      <c r="A191" s="88"/>
      <c r="B191" s="88"/>
      <c r="C191" s="88"/>
      <c r="D191" s="88"/>
      <c r="E191" s="88"/>
      <c r="F191" s="88"/>
      <c r="G191" s="88"/>
      <c r="H191" s="88"/>
      <c r="I191" s="88"/>
      <c r="J191" s="88"/>
      <c r="K191" s="88"/>
      <c r="L191" s="88"/>
      <c r="M191" s="88"/>
      <c r="N191" s="88"/>
      <c r="O191" s="88"/>
      <c r="P191" s="88"/>
      <c r="Q191" s="88"/>
      <c r="R191" s="88"/>
      <c r="S191" s="88"/>
      <c r="T191" s="88"/>
      <c r="U191" s="88"/>
      <c r="V191" s="88"/>
      <c r="W191" s="88"/>
      <c r="X191" s="88"/>
      <c r="Y191" s="88"/>
      <c r="Z191" s="88"/>
      <c r="AA191" s="88"/>
      <c r="AB191" s="128"/>
      <c r="AC191" s="128"/>
      <c r="AD191" s="128"/>
      <c r="AE191" s="128"/>
      <c r="AF191" s="128"/>
      <c r="AG191" s="128"/>
      <c r="AH191" s="127"/>
    </row>
    <row r="192" spans="1:34" ht="13.2">
      <c r="A192" s="88"/>
      <c r="B192" s="88"/>
      <c r="C192" s="88"/>
      <c r="D192" s="88"/>
      <c r="E192" s="88"/>
      <c r="F192" s="88"/>
      <c r="G192" s="88"/>
      <c r="H192" s="88"/>
      <c r="I192" s="88"/>
      <c r="J192" s="88"/>
      <c r="K192" s="88"/>
      <c r="L192" s="88"/>
      <c r="M192" s="88"/>
      <c r="N192" s="88"/>
      <c r="O192" s="88"/>
      <c r="P192" s="88"/>
      <c r="Q192" s="88"/>
      <c r="R192" s="88"/>
      <c r="S192" s="88"/>
      <c r="T192" s="88"/>
      <c r="U192" s="88"/>
      <c r="V192" s="88"/>
      <c r="W192" s="88"/>
      <c r="X192" s="88"/>
      <c r="Y192" s="88"/>
      <c r="Z192" s="88"/>
      <c r="AA192" s="88"/>
      <c r="AB192" s="128"/>
      <c r="AC192" s="128"/>
      <c r="AD192" s="128"/>
      <c r="AE192" s="128"/>
      <c r="AF192" s="128"/>
      <c r="AG192" s="128"/>
      <c r="AH192" s="127"/>
    </row>
    <row r="193" spans="1:34" ht="13.2">
      <c r="A193" s="88"/>
      <c r="B193" s="88"/>
      <c r="C193" s="88"/>
      <c r="D193" s="88"/>
      <c r="E193" s="88"/>
      <c r="F193" s="88"/>
      <c r="G193" s="88"/>
      <c r="H193" s="88"/>
      <c r="I193" s="88"/>
      <c r="J193" s="88"/>
      <c r="K193" s="88"/>
      <c r="L193" s="88"/>
      <c r="M193" s="88"/>
      <c r="N193" s="88"/>
      <c r="O193" s="88"/>
      <c r="P193" s="88"/>
      <c r="Q193" s="88"/>
      <c r="R193" s="88"/>
      <c r="S193" s="88"/>
      <c r="T193" s="88"/>
      <c r="U193" s="88"/>
      <c r="V193" s="88"/>
      <c r="W193" s="88"/>
      <c r="X193" s="88"/>
      <c r="Y193" s="88"/>
      <c r="Z193" s="88"/>
      <c r="AA193" s="88"/>
      <c r="AB193" s="128"/>
      <c r="AC193" s="128"/>
      <c r="AD193" s="128"/>
      <c r="AE193" s="128"/>
      <c r="AF193" s="128"/>
      <c r="AG193" s="128"/>
      <c r="AH193" s="127"/>
    </row>
    <row r="194" spans="1:34" ht="13.2">
      <c r="A194" s="88"/>
      <c r="B194" s="88"/>
      <c r="C194" s="88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  <c r="O194" s="88"/>
      <c r="P194" s="88"/>
      <c r="Q194" s="88"/>
      <c r="R194" s="88"/>
      <c r="S194" s="88"/>
      <c r="T194" s="88"/>
      <c r="U194" s="88"/>
      <c r="V194" s="88"/>
      <c r="W194" s="88"/>
      <c r="X194" s="88"/>
      <c r="Y194" s="88"/>
      <c r="Z194" s="88"/>
      <c r="AA194" s="88"/>
      <c r="AB194" s="128"/>
      <c r="AC194" s="128"/>
      <c r="AD194" s="128"/>
      <c r="AE194" s="128"/>
      <c r="AF194" s="128"/>
      <c r="AG194" s="128"/>
      <c r="AH194" s="127"/>
    </row>
    <row r="195" spans="1:34" ht="13.2">
      <c r="A195" s="88"/>
      <c r="B195" s="88"/>
      <c r="C195" s="88"/>
      <c r="D195" s="88"/>
      <c r="E195" s="88"/>
      <c r="F195" s="88"/>
      <c r="G195" s="88"/>
      <c r="H195" s="88"/>
      <c r="I195" s="88"/>
      <c r="J195" s="88"/>
      <c r="K195" s="88"/>
      <c r="L195" s="88"/>
      <c r="M195" s="88"/>
      <c r="N195" s="88"/>
      <c r="O195" s="88"/>
      <c r="P195" s="88"/>
      <c r="Q195" s="88"/>
      <c r="R195" s="88"/>
      <c r="S195" s="88"/>
      <c r="T195" s="88"/>
      <c r="U195" s="88"/>
      <c r="V195" s="88"/>
      <c r="W195" s="88"/>
      <c r="X195" s="88"/>
      <c r="Y195" s="88"/>
      <c r="Z195" s="88"/>
      <c r="AA195" s="88"/>
      <c r="AB195" s="128"/>
      <c r="AC195" s="128"/>
      <c r="AD195" s="128"/>
      <c r="AE195" s="128"/>
      <c r="AF195" s="128"/>
      <c r="AG195" s="128"/>
      <c r="AH195" s="127"/>
    </row>
    <row r="196" spans="1:34" ht="13.2">
      <c r="A196" s="88"/>
      <c r="B196" s="88"/>
      <c r="C196" s="88"/>
      <c r="D196" s="88"/>
      <c r="E196" s="88"/>
      <c r="F196" s="88"/>
      <c r="G196" s="88"/>
      <c r="H196" s="88"/>
      <c r="I196" s="88"/>
      <c r="J196" s="88"/>
      <c r="K196" s="88"/>
      <c r="L196" s="88"/>
      <c r="M196" s="88"/>
      <c r="N196" s="88"/>
      <c r="O196" s="88"/>
      <c r="P196" s="88"/>
      <c r="Q196" s="88"/>
      <c r="R196" s="88"/>
      <c r="S196" s="88"/>
      <c r="T196" s="88"/>
      <c r="U196" s="88"/>
      <c r="V196" s="88"/>
      <c r="W196" s="88"/>
      <c r="X196" s="88"/>
      <c r="Y196" s="88"/>
      <c r="Z196" s="88"/>
      <c r="AA196" s="88"/>
      <c r="AB196" s="128"/>
      <c r="AC196" s="128"/>
      <c r="AD196" s="128"/>
      <c r="AE196" s="128"/>
      <c r="AF196" s="128"/>
      <c r="AG196" s="128"/>
      <c r="AH196" s="127"/>
    </row>
    <row r="197" spans="1:34" ht="13.2">
      <c r="A197" s="88"/>
      <c r="B197" s="88"/>
      <c r="C197" s="88"/>
      <c r="D197" s="88"/>
      <c r="E197" s="88"/>
      <c r="F197" s="88"/>
      <c r="G197" s="88"/>
      <c r="H197" s="88"/>
      <c r="I197" s="88"/>
      <c r="J197" s="88"/>
      <c r="K197" s="88"/>
      <c r="L197" s="88"/>
      <c r="M197" s="88"/>
      <c r="N197" s="88"/>
      <c r="O197" s="88"/>
      <c r="P197" s="88"/>
      <c r="Q197" s="88"/>
      <c r="R197" s="88"/>
      <c r="S197" s="88"/>
      <c r="T197" s="88"/>
      <c r="U197" s="88"/>
      <c r="V197" s="88"/>
      <c r="W197" s="88"/>
      <c r="X197" s="88"/>
      <c r="Y197" s="88"/>
      <c r="Z197" s="88"/>
      <c r="AA197" s="88"/>
      <c r="AB197" s="128"/>
      <c r="AC197" s="128"/>
      <c r="AD197" s="128"/>
      <c r="AE197" s="128"/>
      <c r="AF197" s="128"/>
      <c r="AG197" s="128"/>
      <c r="AH197" s="127"/>
    </row>
    <row r="198" spans="1:34" ht="13.2">
      <c r="A198" s="88"/>
      <c r="B198" s="88"/>
      <c r="C198" s="88"/>
      <c r="D198" s="88"/>
      <c r="E198" s="88"/>
      <c r="F198" s="88"/>
      <c r="G198" s="88"/>
      <c r="H198" s="88"/>
      <c r="I198" s="88"/>
      <c r="J198" s="88"/>
      <c r="K198" s="88"/>
      <c r="L198" s="88"/>
      <c r="M198" s="88"/>
      <c r="N198" s="88"/>
      <c r="O198" s="88"/>
      <c r="P198" s="88"/>
      <c r="Q198" s="88"/>
      <c r="R198" s="88"/>
      <c r="S198" s="88"/>
      <c r="T198" s="88"/>
      <c r="U198" s="88"/>
      <c r="V198" s="88"/>
      <c r="W198" s="88"/>
      <c r="X198" s="88"/>
      <c r="Y198" s="88"/>
      <c r="Z198" s="88"/>
      <c r="AA198" s="88"/>
      <c r="AB198" s="128"/>
      <c r="AC198" s="128"/>
      <c r="AD198" s="128"/>
      <c r="AE198" s="128"/>
      <c r="AF198" s="128"/>
      <c r="AG198" s="128"/>
      <c r="AH198" s="127"/>
    </row>
    <row r="199" spans="1:34" ht="13.2">
      <c r="A199" s="88"/>
      <c r="B199" s="88"/>
      <c r="C199" s="88"/>
      <c r="D199" s="88"/>
      <c r="E199" s="88"/>
      <c r="F199" s="88"/>
      <c r="G199" s="88"/>
      <c r="H199" s="88"/>
      <c r="I199" s="88"/>
      <c r="J199" s="88"/>
      <c r="K199" s="88"/>
      <c r="L199" s="88"/>
      <c r="M199" s="88"/>
      <c r="N199" s="88"/>
      <c r="O199" s="88"/>
      <c r="P199" s="88"/>
      <c r="Q199" s="88"/>
      <c r="R199" s="88"/>
      <c r="S199" s="88"/>
      <c r="T199" s="88"/>
      <c r="U199" s="88"/>
      <c r="V199" s="88"/>
      <c r="W199" s="88"/>
      <c r="X199" s="88"/>
      <c r="Y199" s="88"/>
      <c r="Z199" s="88"/>
      <c r="AA199" s="88"/>
      <c r="AB199" s="128"/>
      <c r="AC199" s="128"/>
      <c r="AD199" s="128"/>
      <c r="AE199" s="128"/>
      <c r="AF199" s="128"/>
      <c r="AG199" s="128"/>
      <c r="AH199" s="127"/>
    </row>
    <row r="200" spans="1:34" ht="13.2">
      <c r="A200" s="88"/>
      <c r="B200" s="88"/>
      <c r="C200" s="88"/>
      <c r="D200" s="88"/>
      <c r="E200" s="88"/>
      <c r="F200" s="88"/>
      <c r="G200" s="88"/>
      <c r="H200" s="88"/>
      <c r="I200" s="88"/>
      <c r="J200" s="88"/>
      <c r="K200" s="88"/>
      <c r="L200" s="88"/>
      <c r="M200" s="88"/>
      <c r="N200" s="88"/>
      <c r="O200" s="88"/>
      <c r="P200" s="88"/>
      <c r="Q200" s="88"/>
      <c r="R200" s="88"/>
      <c r="S200" s="88"/>
      <c r="T200" s="88"/>
      <c r="U200" s="88"/>
      <c r="V200" s="88"/>
      <c r="W200" s="88"/>
      <c r="X200" s="88"/>
      <c r="Y200" s="88"/>
      <c r="Z200" s="88"/>
      <c r="AA200" s="88"/>
      <c r="AB200" s="128"/>
      <c r="AC200" s="128"/>
      <c r="AD200" s="128"/>
      <c r="AE200" s="128"/>
      <c r="AF200" s="128"/>
      <c r="AG200" s="128"/>
      <c r="AH200" s="127"/>
    </row>
    <row r="201" spans="1:34" ht="13.2">
      <c r="A201" s="88"/>
      <c r="B201" s="88"/>
      <c r="C201" s="88"/>
      <c r="D201" s="88"/>
      <c r="E201" s="88"/>
      <c r="F201" s="88"/>
      <c r="G201" s="88"/>
      <c r="H201" s="88"/>
      <c r="I201" s="88"/>
      <c r="J201" s="88"/>
      <c r="K201" s="88"/>
      <c r="L201" s="88"/>
      <c r="M201" s="88"/>
      <c r="N201" s="88"/>
      <c r="O201" s="88"/>
      <c r="P201" s="88"/>
      <c r="Q201" s="88"/>
      <c r="R201" s="88"/>
      <c r="S201" s="88"/>
      <c r="T201" s="88"/>
      <c r="U201" s="88"/>
      <c r="V201" s="88"/>
      <c r="W201" s="88"/>
      <c r="X201" s="88"/>
      <c r="Y201" s="88"/>
      <c r="Z201" s="88"/>
      <c r="AA201" s="88"/>
      <c r="AB201" s="128"/>
      <c r="AC201" s="128"/>
      <c r="AD201" s="128"/>
      <c r="AE201" s="128"/>
      <c r="AF201" s="128"/>
      <c r="AG201" s="128"/>
      <c r="AH201" s="127"/>
    </row>
    <row r="202" spans="1:34" ht="13.2">
      <c r="A202" s="88"/>
      <c r="B202" s="88"/>
      <c r="C202" s="88"/>
      <c r="D202" s="88"/>
      <c r="E202" s="88"/>
      <c r="F202" s="88"/>
      <c r="G202" s="88"/>
      <c r="H202" s="88"/>
      <c r="I202" s="88"/>
      <c r="J202" s="88"/>
      <c r="K202" s="88"/>
      <c r="L202" s="88"/>
      <c r="M202" s="88"/>
      <c r="N202" s="88"/>
      <c r="O202" s="88"/>
      <c r="P202" s="88"/>
      <c r="Q202" s="88"/>
      <c r="R202" s="88"/>
      <c r="S202" s="88"/>
      <c r="T202" s="88"/>
      <c r="U202" s="88"/>
      <c r="V202" s="88"/>
      <c r="W202" s="88"/>
      <c r="X202" s="88"/>
      <c r="Y202" s="88"/>
      <c r="Z202" s="88"/>
      <c r="AA202" s="88"/>
      <c r="AB202" s="128"/>
      <c r="AC202" s="128"/>
      <c r="AD202" s="128"/>
      <c r="AE202" s="128"/>
      <c r="AF202" s="128"/>
      <c r="AG202" s="128"/>
      <c r="AH202" s="127"/>
    </row>
    <row r="203" spans="1:34" ht="13.2">
      <c r="A203" s="88"/>
      <c r="B203" s="88"/>
      <c r="C203" s="88"/>
      <c r="D203" s="88"/>
      <c r="E203" s="88"/>
      <c r="F203" s="88"/>
      <c r="G203" s="88"/>
      <c r="H203" s="88"/>
      <c r="I203" s="88"/>
      <c r="J203" s="88"/>
      <c r="K203" s="88"/>
      <c r="L203" s="88"/>
      <c r="M203" s="88"/>
      <c r="N203" s="88"/>
      <c r="O203" s="88"/>
      <c r="P203" s="88"/>
      <c r="Q203" s="88"/>
      <c r="R203" s="88"/>
      <c r="S203" s="88"/>
      <c r="T203" s="88"/>
      <c r="U203" s="88"/>
      <c r="V203" s="88"/>
      <c r="W203" s="88"/>
      <c r="X203" s="88"/>
      <c r="Y203" s="88"/>
      <c r="Z203" s="88"/>
      <c r="AA203" s="88"/>
      <c r="AB203" s="128"/>
      <c r="AC203" s="128"/>
      <c r="AD203" s="128"/>
      <c r="AE203" s="128"/>
      <c r="AF203" s="128"/>
      <c r="AG203" s="128"/>
      <c r="AH203" s="127"/>
    </row>
    <row r="204" spans="1:34" ht="13.2">
      <c r="A204" s="88"/>
      <c r="B204" s="88"/>
      <c r="C204" s="88"/>
      <c r="D204" s="88"/>
      <c r="E204" s="88"/>
      <c r="F204" s="88"/>
      <c r="G204" s="88"/>
      <c r="H204" s="88"/>
      <c r="I204" s="88"/>
      <c r="J204" s="88"/>
      <c r="K204" s="88"/>
      <c r="L204" s="88"/>
      <c r="M204" s="88"/>
      <c r="N204" s="88"/>
      <c r="O204" s="88"/>
      <c r="P204" s="88"/>
      <c r="Q204" s="88"/>
      <c r="R204" s="88"/>
      <c r="S204" s="88"/>
      <c r="T204" s="88"/>
      <c r="U204" s="88"/>
      <c r="V204" s="88"/>
      <c r="W204" s="88"/>
      <c r="X204" s="88"/>
      <c r="Y204" s="88"/>
      <c r="Z204" s="88"/>
      <c r="AA204" s="88"/>
      <c r="AB204" s="128"/>
      <c r="AC204" s="128"/>
      <c r="AD204" s="128"/>
      <c r="AE204" s="128"/>
      <c r="AF204" s="128"/>
      <c r="AG204" s="128"/>
      <c r="AH204" s="127"/>
    </row>
    <row r="205" spans="1:34" ht="13.2">
      <c r="A205" s="88"/>
      <c r="B205" s="88"/>
      <c r="C205" s="88"/>
      <c r="D205" s="88"/>
      <c r="E205" s="88"/>
      <c r="F205" s="88"/>
      <c r="G205" s="88"/>
      <c r="H205" s="88"/>
      <c r="I205" s="88"/>
      <c r="J205" s="88"/>
      <c r="K205" s="88"/>
      <c r="L205" s="88"/>
      <c r="M205" s="88"/>
      <c r="N205" s="88"/>
      <c r="O205" s="88"/>
      <c r="P205" s="88"/>
      <c r="Q205" s="88"/>
      <c r="R205" s="88"/>
      <c r="S205" s="88"/>
      <c r="T205" s="88"/>
      <c r="U205" s="88"/>
      <c r="V205" s="88"/>
      <c r="W205" s="88"/>
      <c r="X205" s="88"/>
      <c r="Y205" s="88"/>
      <c r="Z205" s="88"/>
      <c r="AA205" s="88"/>
      <c r="AB205" s="128"/>
      <c r="AC205" s="128"/>
      <c r="AD205" s="128"/>
      <c r="AE205" s="128"/>
      <c r="AF205" s="128"/>
      <c r="AG205" s="128"/>
      <c r="AH205" s="127"/>
    </row>
    <row r="206" spans="1:34" ht="13.2">
      <c r="A206" s="88"/>
      <c r="B206" s="88"/>
      <c r="C206" s="88"/>
      <c r="D206" s="88"/>
      <c r="E206" s="88"/>
      <c r="F206" s="88"/>
      <c r="G206" s="88"/>
      <c r="H206" s="88"/>
      <c r="I206" s="88"/>
      <c r="J206" s="88"/>
      <c r="K206" s="88"/>
      <c r="L206" s="88"/>
      <c r="M206" s="88"/>
      <c r="N206" s="88"/>
      <c r="O206" s="88"/>
      <c r="P206" s="88"/>
      <c r="Q206" s="88"/>
      <c r="R206" s="88"/>
      <c r="S206" s="88"/>
      <c r="T206" s="88"/>
      <c r="U206" s="88"/>
      <c r="V206" s="88"/>
      <c r="W206" s="88"/>
      <c r="X206" s="88"/>
      <c r="Y206" s="88"/>
      <c r="Z206" s="88"/>
      <c r="AA206" s="88"/>
      <c r="AB206" s="128"/>
      <c r="AC206" s="128"/>
      <c r="AD206" s="128"/>
      <c r="AE206" s="128"/>
      <c r="AF206" s="128"/>
      <c r="AG206" s="128"/>
      <c r="AH206" s="127"/>
    </row>
    <row r="207" spans="1:34" ht="13.2">
      <c r="A207" s="88"/>
      <c r="B207" s="88"/>
      <c r="C207" s="88"/>
      <c r="D207" s="88"/>
      <c r="E207" s="88"/>
      <c r="F207" s="88"/>
      <c r="G207" s="88"/>
      <c r="H207" s="88"/>
      <c r="I207" s="88"/>
      <c r="J207" s="88"/>
      <c r="K207" s="88"/>
      <c r="L207" s="88"/>
      <c r="M207" s="88"/>
      <c r="N207" s="88"/>
      <c r="O207" s="88"/>
      <c r="P207" s="88"/>
      <c r="Q207" s="88"/>
      <c r="R207" s="88"/>
      <c r="S207" s="88"/>
      <c r="T207" s="88"/>
      <c r="U207" s="88"/>
      <c r="V207" s="88"/>
      <c r="W207" s="88"/>
      <c r="X207" s="88"/>
      <c r="Y207" s="88"/>
      <c r="Z207" s="88"/>
      <c r="AA207" s="88"/>
      <c r="AB207" s="128"/>
      <c r="AC207" s="128"/>
      <c r="AD207" s="128"/>
      <c r="AE207" s="128"/>
      <c r="AF207" s="128"/>
      <c r="AG207" s="128"/>
      <c r="AH207" s="127"/>
    </row>
    <row r="208" spans="1:34" ht="13.2">
      <c r="A208" s="88"/>
      <c r="B208" s="88"/>
      <c r="C208" s="88"/>
      <c r="D208" s="88"/>
      <c r="E208" s="88"/>
      <c r="F208" s="88"/>
      <c r="G208" s="88"/>
      <c r="H208" s="88"/>
      <c r="I208" s="88"/>
      <c r="J208" s="88"/>
      <c r="K208" s="88"/>
      <c r="L208" s="88"/>
      <c r="M208" s="88"/>
      <c r="N208" s="88"/>
      <c r="O208" s="88"/>
      <c r="P208" s="88"/>
      <c r="Q208" s="88"/>
      <c r="R208" s="88"/>
      <c r="S208" s="88"/>
      <c r="T208" s="88"/>
      <c r="U208" s="88"/>
      <c r="V208" s="88"/>
      <c r="W208" s="88"/>
      <c r="X208" s="88"/>
      <c r="Y208" s="88"/>
      <c r="Z208" s="88"/>
      <c r="AA208" s="88"/>
      <c r="AB208" s="128"/>
      <c r="AC208" s="128"/>
      <c r="AD208" s="128"/>
      <c r="AE208" s="128"/>
      <c r="AF208" s="128"/>
      <c r="AG208" s="128"/>
      <c r="AH208" s="127"/>
    </row>
    <row r="209" spans="1:34" ht="13.2">
      <c r="A209" s="88"/>
      <c r="B209" s="88"/>
      <c r="C209" s="88"/>
      <c r="D209" s="88"/>
      <c r="E209" s="88"/>
      <c r="F209" s="88"/>
      <c r="G209" s="88"/>
      <c r="H209" s="88"/>
      <c r="I209" s="88"/>
      <c r="J209" s="88"/>
      <c r="K209" s="88"/>
      <c r="L209" s="88"/>
      <c r="M209" s="88"/>
      <c r="N209" s="88"/>
      <c r="O209" s="88"/>
      <c r="P209" s="88"/>
      <c r="Q209" s="88"/>
      <c r="R209" s="88"/>
      <c r="S209" s="88"/>
      <c r="T209" s="88"/>
      <c r="U209" s="88"/>
      <c r="V209" s="88"/>
      <c r="W209" s="88"/>
      <c r="X209" s="88"/>
      <c r="Y209" s="88"/>
      <c r="Z209" s="88"/>
      <c r="AA209" s="88"/>
      <c r="AB209" s="128"/>
      <c r="AC209" s="128"/>
      <c r="AD209" s="128"/>
      <c r="AE209" s="128"/>
      <c r="AF209" s="128"/>
      <c r="AG209" s="128"/>
      <c r="AH209" s="127"/>
    </row>
    <row r="210" spans="1:34" ht="13.2">
      <c r="A210" s="88"/>
      <c r="B210" s="88"/>
      <c r="C210" s="88"/>
      <c r="D210" s="88"/>
      <c r="E210" s="88"/>
      <c r="F210" s="88"/>
      <c r="G210" s="88"/>
      <c r="H210" s="88"/>
      <c r="I210" s="88"/>
      <c r="J210" s="88"/>
      <c r="K210" s="88"/>
      <c r="L210" s="88"/>
      <c r="M210" s="88"/>
      <c r="N210" s="88"/>
      <c r="O210" s="88"/>
      <c r="P210" s="88"/>
      <c r="Q210" s="88"/>
      <c r="R210" s="88"/>
      <c r="S210" s="88"/>
      <c r="T210" s="88"/>
      <c r="U210" s="88"/>
      <c r="V210" s="88"/>
      <c r="W210" s="88"/>
      <c r="X210" s="88"/>
      <c r="Y210" s="88"/>
      <c r="Z210" s="88"/>
      <c r="AA210" s="88"/>
      <c r="AB210" s="128"/>
      <c r="AC210" s="128"/>
      <c r="AD210" s="128"/>
      <c r="AE210" s="128"/>
      <c r="AF210" s="128"/>
      <c r="AG210" s="128"/>
      <c r="AH210" s="127"/>
    </row>
    <row r="211" spans="1:34" ht="13.2">
      <c r="A211" s="88"/>
      <c r="B211" s="88"/>
      <c r="C211" s="88"/>
      <c r="D211" s="88"/>
      <c r="E211" s="88"/>
      <c r="F211" s="88"/>
      <c r="G211" s="88"/>
      <c r="H211" s="88"/>
      <c r="I211" s="88"/>
      <c r="J211" s="88"/>
      <c r="K211" s="88"/>
      <c r="L211" s="88"/>
      <c r="M211" s="88"/>
      <c r="N211" s="88"/>
      <c r="O211" s="88"/>
      <c r="P211" s="88"/>
      <c r="Q211" s="88"/>
      <c r="R211" s="88"/>
      <c r="S211" s="88"/>
      <c r="T211" s="88"/>
      <c r="U211" s="88"/>
      <c r="V211" s="88"/>
      <c r="W211" s="88"/>
      <c r="X211" s="88"/>
      <c r="Y211" s="88"/>
      <c r="Z211" s="88"/>
      <c r="AA211" s="88"/>
      <c r="AB211" s="128"/>
      <c r="AC211" s="128"/>
      <c r="AD211" s="128"/>
      <c r="AE211" s="128"/>
      <c r="AF211" s="128"/>
      <c r="AG211" s="128"/>
      <c r="AH211" s="127"/>
    </row>
    <row r="212" spans="1:34" ht="13.2">
      <c r="A212" s="88"/>
      <c r="B212" s="88"/>
      <c r="C212" s="88"/>
      <c r="D212" s="88"/>
      <c r="E212" s="88"/>
      <c r="F212" s="88"/>
      <c r="G212" s="88"/>
      <c r="H212" s="88"/>
      <c r="I212" s="88"/>
      <c r="J212" s="88"/>
      <c r="K212" s="88"/>
      <c r="L212" s="88"/>
      <c r="M212" s="88"/>
      <c r="N212" s="88"/>
      <c r="O212" s="88"/>
      <c r="P212" s="88"/>
      <c r="Q212" s="88"/>
      <c r="R212" s="88"/>
      <c r="S212" s="88"/>
      <c r="T212" s="88"/>
      <c r="U212" s="88"/>
      <c r="V212" s="88"/>
      <c r="W212" s="88"/>
      <c r="X212" s="88"/>
      <c r="Y212" s="88"/>
      <c r="Z212" s="88"/>
      <c r="AA212" s="88"/>
      <c r="AB212" s="128"/>
      <c r="AC212" s="128"/>
      <c r="AD212" s="128"/>
      <c r="AE212" s="128"/>
      <c r="AF212" s="128"/>
      <c r="AG212" s="128"/>
      <c r="AH212" s="127"/>
    </row>
    <row r="213" spans="1:34" ht="13.2">
      <c r="A213" s="88"/>
      <c r="B213" s="88"/>
      <c r="C213" s="88"/>
      <c r="D213" s="88"/>
      <c r="E213" s="88"/>
      <c r="F213" s="88"/>
      <c r="G213" s="88"/>
      <c r="H213" s="88"/>
      <c r="I213" s="88"/>
      <c r="J213" s="88"/>
      <c r="K213" s="88"/>
      <c r="L213" s="88"/>
      <c r="M213" s="88"/>
      <c r="N213" s="88"/>
      <c r="O213" s="88"/>
      <c r="P213" s="88"/>
      <c r="Q213" s="88"/>
      <c r="R213" s="88"/>
      <c r="S213" s="88"/>
      <c r="T213" s="88"/>
      <c r="U213" s="88"/>
      <c r="V213" s="88"/>
      <c r="W213" s="88"/>
      <c r="X213" s="88"/>
      <c r="Y213" s="88"/>
      <c r="Z213" s="88"/>
      <c r="AA213" s="88"/>
      <c r="AB213" s="128"/>
      <c r="AC213" s="128"/>
      <c r="AD213" s="128"/>
      <c r="AE213" s="128"/>
      <c r="AF213" s="128"/>
      <c r="AG213" s="128"/>
      <c r="AH213" s="127"/>
    </row>
    <row r="214" spans="1:34" ht="13.2">
      <c r="A214" s="88"/>
      <c r="B214" s="88"/>
      <c r="C214" s="88"/>
      <c r="D214" s="88"/>
      <c r="E214" s="88"/>
      <c r="F214" s="88"/>
      <c r="G214" s="88"/>
      <c r="H214" s="88"/>
      <c r="I214" s="88"/>
      <c r="J214" s="88"/>
      <c r="K214" s="88"/>
      <c r="L214" s="88"/>
      <c r="M214" s="88"/>
      <c r="N214" s="88"/>
      <c r="O214" s="88"/>
      <c r="P214" s="88"/>
      <c r="Q214" s="88"/>
      <c r="R214" s="88"/>
      <c r="S214" s="88"/>
      <c r="T214" s="88"/>
      <c r="U214" s="88"/>
      <c r="V214" s="88"/>
      <c r="W214" s="88"/>
      <c r="X214" s="88"/>
      <c r="Y214" s="88"/>
      <c r="Z214" s="88"/>
      <c r="AA214" s="88"/>
      <c r="AB214" s="128"/>
      <c r="AC214" s="128"/>
      <c r="AD214" s="128"/>
      <c r="AE214" s="128"/>
      <c r="AF214" s="128"/>
      <c r="AG214" s="128"/>
      <c r="AH214" s="127"/>
    </row>
    <row r="215" spans="1:34" ht="13.2">
      <c r="A215" s="88"/>
      <c r="B215" s="88"/>
      <c r="C215" s="88"/>
      <c r="D215" s="88"/>
      <c r="E215" s="88"/>
      <c r="F215" s="88"/>
      <c r="G215" s="88"/>
      <c r="H215" s="88"/>
      <c r="I215" s="88"/>
      <c r="J215" s="88"/>
      <c r="K215" s="88"/>
      <c r="L215" s="88"/>
      <c r="M215" s="88"/>
      <c r="N215" s="88"/>
      <c r="O215" s="88"/>
      <c r="P215" s="88"/>
      <c r="Q215" s="88"/>
      <c r="R215" s="88"/>
      <c r="S215" s="88"/>
      <c r="T215" s="88"/>
      <c r="U215" s="88"/>
      <c r="V215" s="88"/>
      <c r="W215" s="88"/>
      <c r="X215" s="88"/>
      <c r="Y215" s="88"/>
      <c r="Z215" s="88"/>
      <c r="AA215" s="88"/>
      <c r="AB215" s="128"/>
      <c r="AC215" s="128"/>
      <c r="AD215" s="128"/>
      <c r="AE215" s="128"/>
      <c r="AF215" s="128"/>
      <c r="AG215" s="128"/>
      <c r="AH215" s="127"/>
    </row>
    <row r="216" spans="1:34" ht="13.2">
      <c r="A216" s="88"/>
      <c r="B216" s="88"/>
      <c r="C216" s="88"/>
      <c r="D216" s="88"/>
      <c r="E216" s="88"/>
      <c r="F216" s="88"/>
      <c r="G216" s="88"/>
      <c r="H216" s="88"/>
      <c r="I216" s="88"/>
      <c r="J216" s="88"/>
      <c r="K216" s="88"/>
      <c r="L216" s="88"/>
      <c r="M216" s="88"/>
      <c r="N216" s="88"/>
      <c r="O216" s="88"/>
      <c r="P216" s="88"/>
      <c r="Q216" s="88"/>
      <c r="R216" s="88"/>
      <c r="S216" s="88"/>
      <c r="T216" s="88"/>
      <c r="U216" s="88"/>
      <c r="V216" s="88"/>
      <c r="W216" s="88"/>
      <c r="X216" s="88"/>
      <c r="Y216" s="88"/>
      <c r="Z216" s="88"/>
      <c r="AA216" s="88"/>
      <c r="AB216" s="128"/>
      <c r="AC216" s="128"/>
      <c r="AD216" s="128"/>
      <c r="AE216" s="128"/>
      <c r="AF216" s="128"/>
      <c r="AG216" s="128"/>
      <c r="AH216" s="127"/>
    </row>
    <row r="217" spans="1:34" ht="13.2">
      <c r="A217" s="88"/>
      <c r="B217" s="88"/>
      <c r="C217" s="88"/>
      <c r="D217" s="88"/>
      <c r="E217" s="88"/>
      <c r="F217" s="88"/>
      <c r="G217" s="88"/>
      <c r="H217" s="88"/>
      <c r="I217" s="88"/>
      <c r="J217" s="88"/>
      <c r="K217" s="88"/>
      <c r="L217" s="88"/>
      <c r="M217" s="88"/>
      <c r="N217" s="88"/>
      <c r="O217" s="88"/>
      <c r="P217" s="88"/>
      <c r="Q217" s="88"/>
      <c r="R217" s="88"/>
      <c r="S217" s="88"/>
      <c r="T217" s="88"/>
      <c r="U217" s="88"/>
      <c r="V217" s="88"/>
      <c r="W217" s="88"/>
      <c r="X217" s="88"/>
      <c r="Y217" s="88"/>
      <c r="Z217" s="88"/>
      <c r="AA217" s="88"/>
      <c r="AB217" s="128"/>
      <c r="AC217" s="128"/>
      <c r="AD217" s="128"/>
      <c r="AE217" s="128"/>
      <c r="AF217" s="128"/>
      <c r="AG217" s="128"/>
      <c r="AH217" s="127"/>
    </row>
    <row r="218" spans="1:34" ht="13.2">
      <c r="A218" s="88"/>
      <c r="B218" s="88"/>
      <c r="C218" s="88"/>
      <c r="D218" s="88"/>
      <c r="E218" s="88"/>
      <c r="F218" s="88"/>
      <c r="G218" s="88"/>
      <c r="H218" s="88"/>
      <c r="I218" s="88"/>
      <c r="J218" s="88"/>
      <c r="K218" s="88"/>
      <c r="L218" s="88"/>
      <c r="M218" s="88"/>
      <c r="N218" s="88"/>
      <c r="O218" s="88"/>
      <c r="P218" s="88"/>
      <c r="Q218" s="88"/>
      <c r="R218" s="88"/>
      <c r="S218" s="88"/>
      <c r="T218" s="88"/>
      <c r="U218" s="88"/>
      <c r="V218" s="88"/>
      <c r="W218" s="88"/>
      <c r="X218" s="88"/>
      <c r="Y218" s="88"/>
      <c r="Z218" s="88"/>
      <c r="AA218" s="88"/>
      <c r="AB218" s="128"/>
      <c r="AC218" s="128"/>
      <c r="AD218" s="128"/>
      <c r="AE218" s="128"/>
      <c r="AF218" s="128"/>
      <c r="AG218" s="128"/>
      <c r="AH218" s="127"/>
    </row>
    <row r="219" spans="1:34" ht="13.2">
      <c r="A219" s="88"/>
      <c r="B219" s="88"/>
      <c r="C219" s="88"/>
      <c r="D219" s="88"/>
      <c r="E219" s="88"/>
      <c r="F219" s="88"/>
      <c r="G219" s="88"/>
      <c r="H219" s="88"/>
      <c r="I219" s="88"/>
      <c r="J219" s="88"/>
      <c r="K219" s="88"/>
      <c r="L219" s="88"/>
      <c r="M219" s="88"/>
      <c r="N219" s="88"/>
      <c r="O219" s="88"/>
      <c r="P219" s="88"/>
      <c r="Q219" s="88"/>
      <c r="R219" s="88"/>
      <c r="S219" s="88"/>
      <c r="T219" s="88"/>
      <c r="U219" s="88"/>
      <c r="V219" s="88"/>
      <c r="W219" s="88"/>
      <c r="X219" s="88"/>
      <c r="Y219" s="88"/>
      <c r="Z219" s="88"/>
      <c r="AA219" s="88"/>
      <c r="AB219" s="128"/>
      <c r="AC219" s="128"/>
      <c r="AD219" s="128"/>
      <c r="AE219" s="128"/>
      <c r="AF219" s="128"/>
      <c r="AG219" s="128"/>
      <c r="AH219" s="127"/>
    </row>
    <row r="220" spans="1:34" ht="13.2">
      <c r="A220" s="88"/>
      <c r="B220" s="88"/>
      <c r="C220" s="88"/>
      <c r="D220" s="88"/>
      <c r="E220" s="88"/>
      <c r="F220" s="88"/>
      <c r="G220" s="88"/>
      <c r="H220" s="88"/>
      <c r="I220" s="88"/>
      <c r="J220" s="88"/>
      <c r="K220" s="88"/>
      <c r="L220" s="88"/>
      <c r="M220" s="88"/>
      <c r="N220" s="88"/>
      <c r="O220" s="88"/>
      <c r="P220" s="88"/>
      <c r="Q220" s="88"/>
      <c r="R220" s="88"/>
      <c r="S220" s="88"/>
      <c r="T220" s="88"/>
      <c r="U220" s="88"/>
      <c r="V220" s="88"/>
      <c r="W220" s="88"/>
      <c r="X220" s="88"/>
      <c r="Y220" s="88"/>
      <c r="Z220" s="88"/>
      <c r="AA220" s="88"/>
      <c r="AB220" s="128"/>
      <c r="AC220" s="128"/>
      <c r="AD220" s="128"/>
      <c r="AE220" s="128"/>
      <c r="AF220" s="128"/>
      <c r="AG220" s="128"/>
      <c r="AH220" s="127"/>
    </row>
    <row r="221" spans="1:34" ht="13.2">
      <c r="A221" s="88"/>
      <c r="B221" s="88"/>
      <c r="C221" s="88"/>
      <c r="D221" s="88"/>
      <c r="E221" s="88"/>
      <c r="F221" s="88"/>
      <c r="G221" s="88"/>
      <c r="H221" s="88"/>
      <c r="I221" s="88"/>
      <c r="J221" s="88"/>
      <c r="K221" s="88"/>
      <c r="L221" s="88"/>
      <c r="M221" s="88"/>
      <c r="N221" s="88"/>
      <c r="O221" s="88"/>
      <c r="P221" s="88"/>
      <c r="Q221" s="88"/>
      <c r="R221" s="88"/>
      <c r="S221" s="88"/>
      <c r="T221" s="88"/>
      <c r="U221" s="88"/>
      <c r="V221" s="88"/>
      <c r="W221" s="88"/>
      <c r="X221" s="88"/>
      <c r="Y221" s="88"/>
      <c r="Z221" s="88"/>
      <c r="AA221" s="88"/>
      <c r="AB221" s="128"/>
      <c r="AC221" s="128"/>
      <c r="AD221" s="128"/>
      <c r="AE221" s="128"/>
      <c r="AF221" s="128"/>
      <c r="AG221" s="128"/>
      <c r="AH221" s="127"/>
    </row>
    <row r="222" spans="1:34" ht="13.2">
      <c r="A222" s="88"/>
      <c r="B222" s="88"/>
      <c r="C222" s="88"/>
      <c r="D222" s="88"/>
      <c r="E222" s="88"/>
      <c r="F222" s="88"/>
      <c r="G222" s="88"/>
      <c r="H222" s="88"/>
      <c r="I222" s="88"/>
      <c r="J222" s="88"/>
      <c r="K222" s="88"/>
      <c r="L222" s="88"/>
      <c r="M222" s="88"/>
      <c r="N222" s="88"/>
      <c r="O222" s="88"/>
      <c r="P222" s="88"/>
      <c r="Q222" s="88"/>
      <c r="R222" s="88"/>
      <c r="S222" s="88"/>
      <c r="T222" s="88"/>
      <c r="U222" s="88"/>
      <c r="V222" s="88"/>
      <c r="W222" s="88"/>
      <c r="X222" s="88"/>
      <c r="Y222" s="88"/>
      <c r="Z222" s="88"/>
      <c r="AA222" s="88"/>
      <c r="AB222" s="128"/>
      <c r="AC222" s="128"/>
      <c r="AD222" s="128"/>
      <c r="AE222" s="128"/>
      <c r="AF222" s="128"/>
      <c r="AG222" s="128"/>
      <c r="AH222" s="127"/>
    </row>
    <row r="223" spans="1:34" ht="13.2">
      <c r="A223" s="88"/>
      <c r="B223" s="88"/>
      <c r="C223" s="88"/>
      <c r="D223" s="88"/>
      <c r="E223" s="88"/>
      <c r="F223" s="88"/>
      <c r="G223" s="88"/>
      <c r="H223" s="88"/>
      <c r="I223" s="88"/>
      <c r="J223" s="88"/>
      <c r="K223" s="88"/>
      <c r="L223" s="88"/>
      <c r="M223" s="88"/>
      <c r="N223" s="88"/>
      <c r="O223" s="88"/>
      <c r="P223" s="88"/>
      <c r="Q223" s="88"/>
      <c r="R223" s="88"/>
      <c r="S223" s="88"/>
      <c r="T223" s="88"/>
      <c r="U223" s="88"/>
      <c r="V223" s="88"/>
      <c r="W223" s="88"/>
      <c r="X223" s="88"/>
      <c r="Y223" s="88"/>
      <c r="Z223" s="88"/>
      <c r="AA223" s="88"/>
      <c r="AB223" s="128"/>
      <c r="AC223" s="128"/>
      <c r="AD223" s="128"/>
      <c r="AE223" s="128"/>
      <c r="AF223" s="128"/>
      <c r="AG223" s="128"/>
      <c r="AH223" s="127"/>
    </row>
    <row r="224" spans="1:34" ht="13.2">
      <c r="A224" s="88"/>
      <c r="B224" s="88"/>
      <c r="C224" s="88"/>
      <c r="D224" s="88"/>
      <c r="E224" s="88"/>
      <c r="F224" s="88"/>
      <c r="G224" s="88"/>
      <c r="H224" s="88"/>
      <c r="I224" s="88"/>
      <c r="J224" s="88"/>
      <c r="K224" s="88"/>
      <c r="L224" s="88"/>
      <c r="M224" s="88"/>
      <c r="N224" s="88"/>
      <c r="O224" s="88"/>
      <c r="P224" s="88"/>
      <c r="Q224" s="88"/>
      <c r="R224" s="88"/>
      <c r="S224" s="88"/>
      <c r="T224" s="88"/>
      <c r="U224" s="88"/>
      <c r="V224" s="88"/>
      <c r="W224" s="88"/>
      <c r="X224" s="88"/>
      <c r="Y224" s="88"/>
      <c r="Z224" s="88"/>
      <c r="AA224" s="88"/>
      <c r="AB224" s="128"/>
      <c r="AC224" s="128"/>
      <c r="AD224" s="128"/>
      <c r="AE224" s="128"/>
      <c r="AF224" s="128"/>
      <c r="AG224" s="128"/>
      <c r="AH224" s="127"/>
    </row>
    <row r="225" spans="1:34" ht="13.2">
      <c r="A225" s="88"/>
      <c r="B225" s="88"/>
      <c r="C225" s="88"/>
      <c r="D225" s="88"/>
      <c r="E225" s="88"/>
      <c r="F225" s="88"/>
      <c r="G225" s="88"/>
      <c r="H225" s="88"/>
      <c r="I225" s="88"/>
      <c r="J225" s="88"/>
      <c r="K225" s="88"/>
      <c r="L225" s="88"/>
      <c r="M225" s="88"/>
      <c r="N225" s="88"/>
      <c r="O225" s="88"/>
      <c r="P225" s="88"/>
      <c r="Q225" s="88"/>
      <c r="R225" s="88"/>
      <c r="S225" s="88"/>
      <c r="T225" s="88"/>
      <c r="U225" s="88"/>
      <c r="V225" s="88"/>
      <c r="W225" s="88"/>
      <c r="X225" s="88"/>
      <c r="Y225" s="88"/>
      <c r="Z225" s="88"/>
      <c r="AA225" s="88"/>
      <c r="AB225" s="128"/>
      <c r="AC225" s="128"/>
      <c r="AD225" s="128"/>
      <c r="AE225" s="128"/>
      <c r="AF225" s="128"/>
      <c r="AG225" s="128"/>
      <c r="AH225" s="127"/>
    </row>
    <row r="226" spans="1:34" ht="13.2">
      <c r="A226" s="88"/>
      <c r="B226" s="88"/>
      <c r="C226" s="88"/>
      <c r="D226" s="88"/>
      <c r="E226" s="88"/>
      <c r="F226" s="88"/>
      <c r="G226" s="88"/>
      <c r="H226" s="88"/>
      <c r="I226" s="88"/>
      <c r="J226" s="88"/>
      <c r="K226" s="88"/>
      <c r="L226" s="88"/>
      <c r="M226" s="88"/>
      <c r="N226" s="88"/>
      <c r="O226" s="88"/>
      <c r="P226" s="88"/>
      <c r="Q226" s="88"/>
      <c r="R226" s="88"/>
      <c r="S226" s="88"/>
      <c r="T226" s="88"/>
      <c r="U226" s="88"/>
      <c r="V226" s="88"/>
      <c r="W226" s="88"/>
      <c r="X226" s="88"/>
      <c r="Y226" s="88"/>
      <c r="Z226" s="88"/>
      <c r="AA226" s="88"/>
      <c r="AB226" s="128"/>
      <c r="AC226" s="128"/>
      <c r="AD226" s="128"/>
      <c r="AE226" s="128"/>
      <c r="AF226" s="128"/>
      <c r="AG226" s="128"/>
      <c r="AH226" s="127"/>
    </row>
    <row r="227" spans="1:34" ht="13.2">
      <c r="A227" s="88"/>
      <c r="B227" s="88"/>
      <c r="C227" s="88"/>
      <c r="D227" s="88"/>
      <c r="E227" s="88"/>
      <c r="F227" s="88"/>
      <c r="G227" s="88"/>
      <c r="H227" s="88"/>
      <c r="I227" s="88"/>
      <c r="J227" s="88"/>
      <c r="K227" s="88"/>
      <c r="L227" s="88"/>
      <c r="M227" s="88"/>
      <c r="N227" s="88"/>
      <c r="O227" s="88"/>
      <c r="P227" s="88"/>
      <c r="Q227" s="88"/>
      <c r="R227" s="88"/>
      <c r="S227" s="88"/>
      <c r="T227" s="88"/>
      <c r="U227" s="88"/>
      <c r="V227" s="88"/>
      <c r="W227" s="88"/>
      <c r="X227" s="88"/>
      <c r="Y227" s="88"/>
      <c r="Z227" s="88"/>
      <c r="AA227" s="88"/>
      <c r="AB227" s="128"/>
      <c r="AC227" s="128"/>
      <c r="AD227" s="128"/>
      <c r="AE227" s="128"/>
      <c r="AF227" s="128"/>
      <c r="AG227" s="128"/>
      <c r="AH227" s="127"/>
    </row>
    <row r="228" spans="1:34" ht="13.2">
      <c r="A228" s="88"/>
      <c r="B228" s="88"/>
      <c r="C228" s="88"/>
      <c r="D228" s="88"/>
      <c r="E228" s="88"/>
      <c r="F228" s="88"/>
      <c r="G228" s="88"/>
      <c r="H228" s="88"/>
      <c r="I228" s="88"/>
      <c r="J228" s="88"/>
      <c r="K228" s="88"/>
      <c r="L228" s="88"/>
      <c r="M228" s="88"/>
      <c r="N228" s="88"/>
      <c r="O228" s="88"/>
      <c r="P228" s="88"/>
      <c r="Q228" s="88"/>
      <c r="R228" s="88"/>
      <c r="S228" s="88"/>
      <c r="T228" s="88"/>
      <c r="U228" s="88"/>
      <c r="V228" s="88"/>
      <c r="W228" s="88"/>
      <c r="X228" s="88"/>
      <c r="Y228" s="88"/>
      <c r="Z228" s="88"/>
      <c r="AA228" s="88"/>
      <c r="AB228" s="128"/>
      <c r="AC228" s="128"/>
      <c r="AD228" s="128"/>
      <c r="AE228" s="128"/>
      <c r="AF228" s="128"/>
      <c r="AG228" s="128"/>
      <c r="AH228" s="127"/>
    </row>
    <row r="229" spans="1:34" ht="13.2">
      <c r="A229" s="88"/>
      <c r="B229" s="88"/>
      <c r="C229" s="88"/>
      <c r="D229" s="88"/>
      <c r="E229" s="88"/>
      <c r="F229" s="88"/>
      <c r="G229" s="88"/>
      <c r="H229" s="88"/>
      <c r="I229" s="88"/>
      <c r="J229" s="88"/>
      <c r="K229" s="88"/>
      <c r="L229" s="88"/>
      <c r="M229" s="88"/>
      <c r="N229" s="88"/>
      <c r="O229" s="88"/>
      <c r="P229" s="88"/>
      <c r="Q229" s="88"/>
      <c r="R229" s="88"/>
      <c r="S229" s="88"/>
      <c r="T229" s="88"/>
      <c r="U229" s="88"/>
      <c r="V229" s="88"/>
      <c r="W229" s="88"/>
      <c r="X229" s="88"/>
      <c r="Y229" s="88"/>
      <c r="Z229" s="88"/>
      <c r="AA229" s="88"/>
      <c r="AB229" s="128"/>
      <c r="AC229" s="128"/>
      <c r="AD229" s="128"/>
      <c r="AE229" s="128"/>
      <c r="AF229" s="128"/>
      <c r="AG229" s="128"/>
      <c r="AH229" s="127"/>
    </row>
    <row r="230" spans="1:34" ht="13.2">
      <c r="A230" s="88"/>
      <c r="B230" s="88"/>
      <c r="C230" s="88"/>
      <c r="D230" s="88"/>
      <c r="E230" s="88"/>
      <c r="F230" s="88"/>
      <c r="G230" s="88"/>
      <c r="H230" s="88"/>
      <c r="I230" s="88"/>
      <c r="J230" s="88"/>
      <c r="K230" s="88"/>
      <c r="L230" s="88"/>
      <c r="M230" s="88"/>
      <c r="N230" s="88"/>
      <c r="O230" s="88"/>
      <c r="P230" s="88"/>
      <c r="Q230" s="88"/>
      <c r="R230" s="88"/>
      <c r="S230" s="88"/>
      <c r="T230" s="88"/>
      <c r="U230" s="88"/>
      <c r="V230" s="88"/>
      <c r="W230" s="88"/>
      <c r="X230" s="88"/>
      <c r="Y230" s="88"/>
      <c r="Z230" s="88"/>
      <c r="AA230" s="88"/>
      <c r="AB230" s="128"/>
      <c r="AC230" s="128"/>
      <c r="AD230" s="128"/>
      <c r="AE230" s="128"/>
      <c r="AF230" s="128"/>
      <c r="AG230" s="128"/>
      <c r="AH230" s="127"/>
    </row>
    <row r="231" spans="1:34" ht="13.2">
      <c r="A231" s="88"/>
      <c r="B231" s="88"/>
      <c r="C231" s="88"/>
      <c r="D231" s="88"/>
      <c r="E231" s="88"/>
      <c r="F231" s="88"/>
      <c r="G231" s="88"/>
      <c r="H231" s="88"/>
      <c r="I231" s="88"/>
      <c r="J231" s="88"/>
      <c r="K231" s="88"/>
      <c r="L231" s="88"/>
      <c r="M231" s="88"/>
      <c r="N231" s="88"/>
      <c r="O231" s="88"/>
      <c r="P231" s="88"/>
      <c r="Q231" s="88"/>
      <c r="R231" s="88"/>
      <c r="S231" s="88"/>
      <c r="T231" s="88"/>
      <c r="U231" s="88"/>
      <c r="V231" s="88"/>
      <c r="W231" s="88"/>
      <c r="X231" s="88"/>
      <c r="Y231" s="88"/>
      <c r="Z231" s="88"/>
      <c r="AA231" s="88"/>
      <c r="AB231" s="128"/>
      <c r="AC231" s="128"/>
      <c r="AD231" s="128"/>
      <c r="AE231" s="128"/>
      <c r="AF231" s="128"/>
      <c r="AG231" s="128"/>
      <c r="AH231" s="127"/>
    </row>
    <row r="232" spans="1:34" ht="13.2">
      <c r="A232" s="88"/>
      <c r="B232" s="88"/>
      <c r="C232" s="88"/>
      <c r="D232" s="88"/>
      <c r="E232" s="88"/>
      <c r="F232" s="88"/>
      <c r="G232" s="88"/>
      <c r="H232" s="88"/>
      <c r="I232" s="88"/>
      <c r="J232" s="88"/>
      <c r="K232" s="88"/>
      <c r="L232" s="88"/>
      <c r="M232" s="88"/>
      <c r="N232" s="88"/>
      <c r="O232" s="88"/>
      <c r="P232" s="88"/>
      <c r="Q232" s="88"/>
      <c r="R232" s="88"/>
      <c r="S232" s="88"/>
      <c r="T232" s="88"/>
      <c r="U232" s="88"/>
      <c r="V232" s="88"/>
      <c r="W232" s="88"/>
      <c r="X232" s="88"/>
      <c r="Y232" s="88"/>
      <c r="Z232" s="88"/>
      <c r="AA232" s="88"/>
      <c r="AB232" s="128"/>
      <c r="AC232" s="128"/>
      <c r="AD232" s="128"/>
      <c r="AE232" s="128"/>
      <c r="AF232" s="128"/>
      <c r="AG232" s="128"/>
      <c r="AH232" s="127"/>
    </row>
    <row r="233" spans="1:34" ht="13.2">
      <c r="A233" s="88"/>
      <c r="B233" s="88"/>
      <c r="C233" s="88"/>
      <c r="D233" s="88"/>
      <c r="E233" s="88"/>
      <c r="F233" s="88"/>
      <c r="G233" s="88"/>
      <c r="H233" s="88"/>
      <c r="I233" s="88"/>
      <c r="J233" s="88"/>
      <c r="K233" s="88"/>
      <c r="L233" s="88"/>
      <c r="M233" s="88"/>
      <c r="N233" s="88"/>
      <c r="O233" s="88"/>
      <c r="P233" s="88"/>
      <c r="Q233" s="88"/>
      <c r="R233" s="88"/>
      <c r="S233" s="88"/>
      <c r="T233" s="88"/>
      <c r="U233" s="88"/>
      <c r="V233" s="88"/>
      <c r="W233" s="88"/>
      <c r="X233" s="88"/>
      <c r="Y233" s="88"/>
      <c r="Z233" s="88"/>
      <c r="AA233" s="88"/>
      <c r="AB233" s="128"/>
      <c r="AC233" s="128"/>
      <c r="AD233" s="128"/>
      <c r="AE233" s="128"/>
      <c r="AF233" s="128"/>
      <c r="AG233" s="128"/>
      <c r="AH233" s="127"/>
    </row>
    <row r="234" spans="1:34" ht="13.2">
      <c r="A234" s="88"/>
      <c r="B234" s="88"/>
      <c r="C234" s="88"/>
      <c r="D234" s="88"/>
      <c r="E234" s="88"/>
      <c r="F234" s="88"/>
      <c r="G234" s="88"/>
      <c r="H234" s="88"/>
      <c r="I234" s="88"/>
      <c r="J234" s="88"/>
      <c r="K234" s="88"/>
      <c r="L234" s="88"/>
      <c r="M234" s="88"/>
      <c r="N234" s="88"/>
      <c r="O234" s="88"/>
      <c r="P234" s="88"/>
      <c r="Q234" s="88"/>
      <c r="R234" s="88"/>
      <c r="S234" s="88"/>
      <c r="T234" s="88"/>
      <c r="U234" s="88"/>
      <c r="V234" s="88"/>
      <c r="W234" s="88"/>
      <c r="X234" s="88"/>
      <c r="Y234" s="88"/>
      <c r="Z234" s="88"/>
      <c r="AA234" s="88"/>
      <c r="AB234" s="128"/>
      <c r="AC234" s="128"/>
      <c r="AD234" s="128"/>
      <c r="AE234" s="128"/>
      <c r="AF234" s="128"/>
      <c r="AG234" s="128"/>
      <c r="AH234" s="127"/>
    </row>
    <row r="235" spans="1:34" ht="13.2">
      <c r="A235" s="88"/>
      <c r="B235" s="88"/>
      <c r="C235" s="88"/>
      <c r="D235" s="88"/>
      <c r="E235" s="88"/>
      <c r="F235" s="88"/>
      <c r="G235" s="88"/>
      <c r="H235" s="88"/>
      <c r="I235" s="88"/>
      <c r="J235" s="88"/>
      <c r="K235" s="88"/>
      <c r="L235" s="88"/>
      <c r="M235" s="88"/>
      <c r="N235" s="88"/>
      <c r="O235" s="88"/>
      <c r="P235" s="88"/>
      <c r="Q235" s="88"/>
      <c r="R235" s="88"/>
      <c r="S235" s="88"/>
      <c r="T235" s="88"/>
      <c r="U235" s="88"/>
      <c r="V235" s="88"/>
      <c r="W235" s="88"/>
      <c r="X235" s="88"/>
      <c r="Y235" s="88"/>
      <c r="Z235" s="88"/>
      <c r="AA235" s="88"/>
      <c r="AB235" s="128"/>
      <c r="AC235" s="128"/>
      <c r="AD235" s="128"/>
      <c r="AE235" s="128"/>
      <c r="AF235" s="128"/>
      <c r="AG235" s="128"/>
      <c r="AH235" s="127"/>
    </row>
    <row r="236" spans="1:34" ht="13.2">
      <c r="A236" s="88"/>
      <c r="B236" s="88"/>
      <c r="C236" s="88"/>
      <c r="D236" s="88"/>
      <c r="E236" s="88"/>
      <c r="F236" s="88"/>
      <c r="G236" s="88"/>
      <c r="H236" s="88"/>
      <c r="I236" s="88"/>
      <c r="J236" s="88"/>
      <c r="K236" s="88"/>
      <c r="L236" s="88"/>
      <c r="M236" s="88"/>
      <c r="N236" s="88"/>
      <c r="O236" s="88"/>
      <c r="P236" s="88"/>
      <c r="Q236" s="88"/>
      <c r="R236" s="88"/>
      <c r="S236" s="88"/>
      <c r="T236" s="88"/>
      <c r="U236" s="88"/>
      <c r="V236" s="88"/>
      <c r="W236" s="88"/>
      <c r="X236" s="88"/>
      <c r="Y236" s="88"/>
      <c r="Z236" s="88"/>
      <c r="AA236" s="88"/>
      <c r="AB236" s="128"/>
      <c r="AC236" s="128"/>
      <c r="AD236" s="128"/>
      <c r="AE236" s="128"/>
      <c r="AF236" s="128"/>
      <c r="AG236" s="128"/>
      <c r="AH236" s="127"/>
    </row>
    <row r="237" spans="1:34" ht="13.2">
      <c r="A237" s="88"/>
      <c r="B237" s="88"/>
      <c r="C237" s="88"/>
      <c r="D237" s="88"/>
      <c r="E237" s="88"/>
      <c r="F237" s="88"/>
      <c r="G237" s="88"/>
      <c r="H237" s="88"/>
      <c r="I237" s="88"/>
      <c r="J237" s="88"/>
      <c r="K237" s="88"/>
      <c r="L237" s="88"/>
      <c r="M237" s="88"/>
      <c r="N237" s="88"/>
      <c r="O237" s="88"/>
      <c r="P237" s="88"/>
      <c r="Q237" s="88"/>
      <c r="R237" s="88"/>
      <c r="S237" s="88"/>
      <c r="T237" s="88"/>
      <c r="U237" s="88"/>
      <c r="V237" s="88"/>
      <c r="W237" s="88"/>
      <c r="X237" s="88"/>
      <c r="Y237" s="88"/>
      <c r="Z237" s="88"/>
      <c r="AA237" s="88"/>
      <c r="AB237" s="128"/>
      <c r="AC237" s="128"/>
      <c r="AD237" s="128"/>
      <c r="AE237" s="128"/>
      <c r="AF237" s="128"/>
      <c r="AG237" s="128"/>
      <c r="AH237" s="127"/>
    </row>
    <row r="238" spans="1:34" ht="13.2">
      <c r="A238" s="88"/>
      <c r="B238" s="88"/>
      <c r="C238" s="88"/>
      <c r="D238" s="88"/>
      <c r="E238" s="88"/>
      <c r="F238" s="88"/>
      <c r="G238" s="88"/>
      <c r="H238" s="88"/>
      <c r="I238" s="88"/>
      <c r="J238" s="88"/>
      <c r="K238" s="88"/>
      <c r="L238" s="88"/>
      <c r="M238" s="88"/>
      <c r="N238" s="88"/>
      <c r="O238" s="88"/>
      <c r="P238" s="88"/>
      <c r="Q238" s="88"/>
      <c r="R238" s="88"/>
      <c r="S238" s="88"/>
      <c r="T238" s="88"/>
      <c r="U238" s="88"/>
      <c r="V238" s="88"/>
      <c r="W238" s="88"/>
      <c r="X238" s="88"/>
      <c r="Y238" s="88"/>
      <c r="Z238" s="88"/>
      <c r="AA238" s="88"/>
      <c r="AB238" s="128"/>
      <c r="AC238" s="128"/>
      <c r="AD238" s="128"/>
      <c r="AE238" s="128"/>
      <c r="AF238" s="128"/>
      <c r="AG238" s="128"/>
      <c r="AH238" s="127"/>
    </row>
    <row r="239" spans="1:34" ht="13.2">
      <c r="A239" s="88"/>
      <c r="B239" s="88"/>
      <c r="C239" s="88"/>
      <c r="D239" s="88"/>
      <c r="E239" s="88"/>
      <c r="F239" s="88"/>
      <c r="G239" s="88"/>
      <c r="H239" s="88"/>
      <c r="I239" s="88"/>
      <c r="J239" s="88"/>
      <c r="K239" s="88"/>
      <c r="L239" s="88"/>
      <c r="M239" s="88"/>
      <c r="N239" s="88"/>
      <c r="O239" s="88"/>
      <c r="P239" s="88"/>
      <c r="Q239" s="88"/>
      <c r="R239" s="88"/>
      <c r="S239" s="88"/>
      <c r="T239" s="88"/>
      <c r="U239" s="88"/>
      <c r="V239" s="88"/>
      <c r="W239" s="88"/>
      <c r="X239" s="88"/>
      <c r="Y239" s="88"/>
      <c r="Z239" s="88"/>
      <c r="AA239" s="88"/>
      <c r="AB239" s="128"/>
      <c r="AC239" s="128"/>
      <c r="AD239" s="128"/>
      <c r="AE239" s="128"/>
      <c r="AF239" s="128"/>
      <c r="AG239" s="128"/>
      <c r="AH239" s="127"/>
    </row>
    <row r="240" spans="1:34" ht="13.2">
      <c r="A240" s="88"/>
      <c r="B240" s="88"/>
      <c r="C240" s="88"/>
      <c r="D240" s="88"/>
      <c r="E240" s="88"/>
      <c r="F240" s="88"/>
      <c r="G240" s="88"/>
      <c r="H240" s="88"/>
      <c r="I240" s="88"/>
      <c r="J240" s="88"/>
      <c r="K240" s="88"/>
      <c r="L240" s="88"/>
      <c r="M240" s="88"/>
      <c r="N240" s="88"/>
      <c r="O240" s="88"/>
      <c r="P240" s="88"/>
      <c r="Q240" s="88"/>
      <c r="R240" s="88"/>
      <c r="S240" s="88"/>
      <c r="T240" s="88"/>
      <c r="U240" s="88"/>
      <c r="V240" s="88"/>
      <c r="W240" s="88"/>
      <c r="X240" s="88"/>
      <c r="Y240" s="88"/>
      <c r="Z240" s="88"/>
      <c r="AA240" s="88"/>
      <c r="AB240" s="128"/>
      <c r="AC240" s="128"/>
      <c r="AD240" s="128"/>
      <c r="AE240" s="128"/>
      <c r="AF240" s="128"/>
      <c r="AG240" s="128"/>
      <c r="AH240" s="127"/>
    </row>
    <row r="241" spans="1:34" ht="13.2">
      <c r="A241" s="88"/>
      <c r="B241" s="88"/>
      <c r="C241" s="88"/>
      <c r="D241" s="88"/>
      <c r="E241" s="88"/>
      <c r="F241" s="88"/>
      <c r="G241" s="88"/>
      <c r="H241" s="88"/>
      <c r="I241" s="88"/>
      <c r="J241" s="88"/>
      <c r="K241" s="88"/>
      <c r="L241" s="88"/>
      <c r="M241" s="88"/>
      <c r="N241" s="88"/>
      <c r="O241" s="88"/>
      <c r="P241" s="88"/>
      <c r="Q241" s="88"/>
      <c r="R241" s="88"/>
      <c r="S241" s="88"/>
      <c r="T241" s="88"/>
      <c r="U241" s="88"/>
      <c r="V241" s="88"/>
      <c r="W241" s="88"/>
      <c r="X241" s="88"/>
      <c r="Y241" s="88"/>
      <c r="Z241" s="88"/>
      <c r="AA241" s="88"/>
      <c r="AB241" s="128"/>
      <c r="AC241" s="128"/>
      <c r="AD241" s="128"/>
      <c r="AE241" s="128"/>
      <c r="AF241" s="128"/>
      <c r="AG241" s="128"/>
      <c r="AH241" s="127"/>
    </row>
    <row r="242" spans="1:34" ht="13.2">
      <c r="A242" s="88"/>
      <c r="B242" s="88"/>
      <c r="C242" s="88"/>
      <c r="D242" s="88"/>
      <c r="E242" s="88"/>
      <c r="F242" s="88"/>
      <c r="G242" s="88"/>
      <c r="H242" s="88"/>
      <c r="I242" s="88"/>
      <c r="J242" s="88"/>
      <c r="K242" s="88"/>
      <c r="L242" s="88"/>
      <c r="M242" s="88"/>
      <c r="N242" s="88"/>
      <c r="O242" s="88"/>
      <c r="P242" s="88"/>
      <c r="Q242" s="88"/>
      <c r="R242" s="88"/>
      <c r="S242" s="88"/>
      <c r="T242" s="88"/>
      <c r="U242" s="88"/>
      <c r="V242" s="88"/>
      <c r="W242" s="88"/>
      <c r="X242" s="88"/>
      <c r="Y242" s="88"/>
      <c r="Z242" s="88"/>
      <c r="AA242" s="88"/>
      <c r="AB242" s="128"/>
      <c r="AC242" s="128"/>
      <c r="AD242" s="128"/>
      <c r="AE242" s="128"/>
      <c r="AF242" s="128"/>
      <c r="AG242" s="128"/>
      <c r="AH242" s="127"/>
    </row>
    <row r="243" spans="1:34" ht="13.2">
      <c r="A243" s="88"/>
      <c r="B243" s="88"/>
      <c r="C243" s="88"/>
      <c r="D243" s="88"/>
      <c r="E243" s="88"/>
      <c r="F243" s="88"/>
      <c r="G243" s="88"/>
      <c r="H243" s="88"/>
      <c r="I243" s="88"/>
      <c r="J243" s="88"/>
      <c r="K243" s="88"/>
      <c r="L243" s="88"/>
      <c r="M243" s="88"/>
      <c r="N243" s="88"/>
      <c r="O243" s="88"/>
      <c r="P243" s="88"/>
      <c r="Q243" s="88"/>
      <c r="R243" s="88"/>
      <c r="S243" s="88"/>
      <c r="T243" s="88"/>
      <c r="U243" s="88"/>
      <c r="V243" s="88"/>
      <c r="W243" s="88"/>
      <c r="X243" s="88"/>
      <c r="Y243" s="88"/>
      <c r="Z243" s="88"/>
      <c r="AA243" s="88"/>
      <c r="AB243" s="128"/>
      <c r="AC243" s="128"/>
      <c r="AD243" s="128"/>
      <c r="AE243" s="128"/>
      <c r="AF243" s="128"/>
      <c r="AG243" s="128"/>
      <c r="AH243" s="127"/>
    </row>
    <row r="244" spans="1:34" ht="13.2">
      <c r="A244" s="88"/>
      <c r="B244" s="88"/>
      <c r="C244" s="88"/>
      <c r="D244" s="88"/>
      <c r="E244" s="88"/>
      <c r="F244" s="88"/>
      <c r="G244" s="88"/>
      <c r="H244" s="88"/>
      <c r="I244" s="88"/>
      <c r="J244" s="88"/>
      <c r="K244" s="88"/>
      <c r="L244" s="88"/>
      <c r="M244" s="88"/>
      <c r="N244" s="88"/>
      <c r="O244" s="88"/>
      <c r="P244" s="88"/>
      <c r="Q244" s="88"/>
      <c r="R244" s="88"/>
      <c r="S244" s="88"/>
      <c r="T244" s="88"/>
      <c r="U244" s="88"/>
      <c r="V244" s="88"/>
      <c r="W244" s="88"/>
      <c r="X244" s="88"/>
      <c r="Y244" s="88"/>
      <c r="Z244" s="88"/>
      <c r="AA244" s="88"/>
      <c r="AB244" s="128"/>
      <c r="AC244" s="128"/>
      <c r="AD244" s="128"/>
      <c r="AE244" s="128"/>
      <c r="AF244" s="128"/>
      <c r="AG244" s="128"/>
      <c r="AH244" s="127"/>
    </row>
    <row r="245" spans="1:34" ht="13.2">
      <c r="A245" s="88"/>
      <c r="B245" s="88"/>
      <c r="C245" s="88"/>
      <c r="D245" s="88"/>
      <c r="E245" s="88"/>
      <c r="F245" s="88"/>
      <c r="G245" s="88"/>
      <c r="H245" s="88"/>
      <c r="I245" s="88"/>
      <c r="J245" s="88"/>
      <c r="K245" s="88"/>
      <c r="L245" s="88"/>
      <c r="M245" s="88"/>
      <c r="N245" s="88"/>
      <c r="O245" s="88"/>
      <c r="P245" s="88"/>
      <c r="Q245" s="88"/>
      <c r="R245" s="88"/>
      <c r="S245" s="88"/>
      <c r="T245" s="88"/>
      <c r="U245" s="88"/>
      <c r="V245" s="88"/>
      <c r="W245" s="88"/>
      <c r="X245" s="88"/>
      <c r="Y245" s="88"/>
      <c r="Z245" s="88"/>
      <c r="AA245" s="88"/>
      <c r="AB245" s="128"/>
      <c r="AC245" s="128"/>
      <c r="AD245" s="128"/>
      <c r="AE245" s="128"/>
      <c r="AF245" s="128"/>
      <c r="AG245" s="128"/>
      <c r="AH245" s="127"/>
    </row>
    <row r="246" spans="1:34" ht="13.2">
      <c r="A246" s="88"/>
      <c r="B246" s="88"/>
      <c r="C246" s="88"/>
      <c r="D246" s="88"/>
      <c r="E246" s="88"/>
      <c r="F246" s="88"/>
      <c r="G246" s="88"/>
      <c r="H246" s="88"/>
      <c r="I246" s="88"/>
      <c r="J246" s="88"/>
      <c r="K246" s="88"/>
      <c r="L246" s="88"/>
      <c r="M246" s="88"/>
      <c r="N246" s="88"/>
      <c r="O246" s="88"/>
      <c r="P246" s="88"/>
      <c r="Q246" s="88"/>
      <c r="R246" s="88"/>
      <c r="S246" s="88"/>
      <c r="T246" s="88"/>
      <c r="U246" s="88"/>
      <c r="V246" s="88"/>
      <c r="W246" s="88"/>
      <c r="X246" s="88"/>
      <c r="Y246" s="88"/>
      <c r="Z246" s="88"/>
      <c r="AA246" s="88"/>
      <c r="AB246" s="128"/>
      <c r="AC246" s="128"/>
      <c r="AD246" s="128"/>
      <c r="AE246" s="128"/>
      <c r="AF246" s="128"/>
      <c r="AG246" s="128"/>
      <c r="AH246" s="127"/>
    </row>
    <row r="247" spans="1:34" ht="13.2">
      <c r="A247" s="88"/>
      <c r="B247" s="88"/>
      <c r="C247" s="88"/>
      <c r="D247" s="88"/>
      <c r="E247" s="88"/>
      <c r="F247" s="88"/>
      <c r="G247" s="88"/>
      <c r="H247" s="88"/>
      <c r="I247" s="88"/>
      <c r="J247" s="88"/>
      <c r="K247" s="88"/>
      <c r="L247" s="88"/>
      <c r="M247" s="88"/>
      <c r="N247" s="88"/>
      <c r="O247" s="88"/>
      <c r="P247" s="88"/>
      <c r="Q247" s="88"/>
      <c r="R247" s="88"/>
      <c r="S247" s="88"/>
      <c r="T247" s="88"/>
      <c r="U247" s="88"/>
      <c r="V247" s="88"/>
      <c r="W247" s="88"/>
      <c r="X247" s="88"/>
      <c r="Y247" s="88"/>
      <c r="Z247" s="88"/>
      <c r="AA247" s="88"/>
      <c r="AB247" s="128"/>
      <c r="AC247" s="128"/>
      <c r="AD247" s="128"/>
      <c r="AE247" s="128"/>
      <c r="AF247" s="128"/>
      <c r="AG247" s="128"/>
      <c r="AH247" s="127"/>
    </row>
    <row r="248" spans="1:34" ht="13.2">
      <c r="A248" s="88"/>
      <c r="B248" s="88"/>
      <c r="C248" s="88"/>
      <c r="D248" s="88"/>
      <c r="E248" s="88"/>
      <c r="F248" s="88"/>
      <c r="G248" s="88"/>
      <c r="H248" s="88"/>
      <c r="I248" s="88"/>
      <c r="J248" s="88"/>
      <c r="K248" s="88"/>
      <c r="L248" s="88"/>
      <c r="M248" s="88"/>
      <c r="N248" s="88"/>
      <c r="O248" s="88"/>
      <c r="P248" s="88"/>
      <c r="Q248" s="88"/>
      <c r="R248" s="88"/>
      <c r="S248" s="88"/>
      <c r="T248" s="88"/>
      <c r="U248" s="88"/>
      <c r="V248" s="88"/>
      <c r="W248" s="88"/>
      <c r="X248" s="88"/>
      <c r="Y248" s="88"/>
      <c r="Z248" s="88"/>
      <c r="AA248" s="88"/>
      <c r="AB248" s="128"/>
      <c r="AC248" s="128"/>
      <c r="AD248" s="128"/>
      <c r="AE248" s="128"/>
      <c r="AF248" s="128"/>
      <c r="AG248" s="128"/>
      <c r="AH248" s="127"/>
    </row>
    <row r="249" spans="1:34" ht="13.2">
      <c r="A249" s="88"/>
      <c r="B249" s="88"/>
      <c r="C249" s="88"/>
      <c r="D249" s="88"/>
      <c r="E249" s="88"/>
      <c r="F249" s="88"/>
      <c r="G249" s="88"/>
      <c r="H249" s="88"/>
      <c r="I249" s="88"/>
      <c r="J249" s="88"/>
      <c r="K249" s="88"/>
      <c r="L249" s="88"/>
      <c r="M249" s="88"/>
      <c r="N249" s="88"/>
      <c r="O249" s="88"/>
      <c r="P249" s="88"/>
      <c r="Q249" s="88"/>
      <c r="R249" s="88"/>
      <c r="S249" s="88"/>
      <c r="T249" s="88"/>
      <c r="U249" s="88"/>
      <c r="V249" s="88"/>
      <c r="W249" s="88"/>
      <c r="X249" s="88"/>
      <c r="Y249" s="88"/>
      <c r="Z249" s="88"/>
      <c r="AA249" s="88"/>
      <c r="AB249" s="128"/>
      <c r="AC249" s="128"/>
      <c r="AD249" s="128"/>
      <c r="AE249" s="128"/>
      <c r="AF249" s="128"/>
      <c r="AG249" s="128"/>
      <c r="AH249" s="127"/>
    </row>
    <row r="250" spans="1:34" ht="13.2">
      <c r="A250" s="88"/>
      <c r="B250" s="88"/>
      <c r="C250" s="88"/>
      <c r="D250" s="88"/>
      <c r="E250" s="88"/>
      <c r="F250" s="88"/>
      <c r="G250" s="88"/>
      <c r="H250" s="88"/>
      <c r="I250" s="88"/>
      <c r="J250" s="88"/>
      <c r="K250" s="88"/>
      <c r="L250" s="88"/>
      <c r="M250" s="88"/>
      <c r="N250" s="88"/>
      <c r="O250" s="88"/>
      <c r="P250" s="88"/>
      <c r="Q250" s="88"/>
      <c r="R250" s="88"/>
      <c r="S250" s="88"/>
      <c r="T250" s="88"/>
      <c r="U250" s="88"/>
      <c r="V250" s="88"/>
      <c r="W250" s="88"/>
      <c r="X250" s="88"/>
      <c r="Y250" s="88"/>
      <c r="Z250" s="88"/>
      <c r="AA250" s="88"/>
      <c r="AB250" s="128"/>
      <c r="AC250" s="128"/>
      <c r="AD250" s="128"/>
      <c r="AE250" s="128"/>
      <c r="AF250" s="128"/>
      <c r="AG250" s="128"/>
      <c r="AH250" s="127"/>
    </row>
    <row r="251" spans="1:34" ht="13.2">
      <c r="A251" s="88"/>
      <c r="B251" s="88"/>
      <c r="C251" s="88"/>
      <c r="D251" s="88"/>
      <c r="E251" s="88"/>
      <c r="F251" s="88"/>
      <c r="G251" s="88"/>
      <c r="H251" s="88"/>
      <c r="I251" s="88"/>
      <c r="J251" s="88"/>
      <c r="K251" s="88"/>
      <c r="L251" s="88"/>
      <c r="M251" s="88"/>
      <c r="N251" s="88"/>
      <c r="O251" s="88"/>
      <c r="P251" s="88"/>
      <c r="Q251" s="88"/>
      <c r="R251" s="88"/>
      <c r="S251" s="88"/>
      <c r="T251" s="88"/>
      <c r="U251" s="88"/>
      <c r="V251" s="88"/>
      <c r="W251" s="88"/>
      <c r="X251" s="88"/>
      <c r="Y251" s="88"/>
      <c r="Z251" s="88"/>
      <c r="AA251" s="88"/>
      <c r="AB251" s="128"/>
      <c r="AC251" s="128"/>
      <c r="AD251" s="128"/>
      <c r="AE251" s="128"/>
      <c r="AF251" s="128"/>
      <c r="AG251" s="128"/>
      <c r="AH251" s="127"/>
    </row>
    <row r="252" spans="1:34" ht="13.2">
      <c r="A252" s="88"/>
      <c r="B252" s="88"/>
      <c r="C252" s="88"/>
      <c r="D252" s="88"/>
      <c r="E252" s="88"/>
      <c r="F252" s="88"/>
      <c r="G252" s="88"/>
      <c r="H252" s="88"/>
      <c r="I252" s="88"/>
      <c r="J252" s="88"/>
      <c r="K252" s="88"/>
      <c r="L252" s="88"/>
      <c r="M252" s="88"/>
      <c r="N252" s="88"/>
      <c r="O252" s="88"/>
      <c r="P252" s="88"/>
      <c r="Q252" s="88"/>
      <c r="R252" s="88"/>
      <c r="S252" s="88"/>
      <c r="T252" s="88"/>
      <c r="U252" s="88"/>
      <c r="V252" s="88"/>
      <c r="W252" s="88"/>
      <c r="X252" s="88"/>
      <c r="Y252" s="88"/>
      <c r="Z252" s="88"/>
      <c r="AA252" s="88"/>
      <c r="AB252" s="128"/>
      <c r="AC252" s="128"/>
      <c r="AD252" s="128"/>
      <c r="AE252" s="128"/>
      <c r="AF252" s="128"/>
      <c r="AG252" s="128"/>
      <c r="AH252" s="127"/>
    </row>
    <row r="253" spans="1:34" ht="13.2">
      <c r="A253" s="88"/>
      <c r="B253" s="88"/>
      <c r="C253" s="88"/>
      <c r="D253" s="88"/>
      <c r="E253" s="88"/>
      <c r="F253" s="88"/>
      <c r="G253" s="88"/>
      <c r="H253" s="88"/>
      <c r="I253" s="88"/>
      <c r="J253" s="88"/>
      <c r="K253" s="88"/>
      <c r="L253" s="88"/>
      <c r="M253" s="88"/>
      <c r="N253" s="88"/>
      <c r="O253" s="88"/>
      <c r="P253" s="88"/>
      <c r="Q253" s="88"/>
      <c r="R253" s="88"/>
      <c r="S253" s="88"/>
      <c r="T253" s="88"/>
      <c r="U253" s="88"/>
      <c r="V253" s="88"/>
      <c r="W253" s="88"/>
      <c r="X253" s="88"/>
      <c r="Y253" s="88"/>
      <c r="Z253" s="88"/>
      <c r="AA253" s="88"/>
      <c r="AB253" s="128"/>
      <c r="AC253" s="128"/>
      <c r="AD253" s="128"/>
      <c r="AE253" s="128"/>
      <c r="AF253" s="128"/>
      <c r="AG253" s="128"/>
      <c r="AH253" s="127"/>
    </row>
    <row r="254" spans="1:34" ht="13.2">
      <c r="A254" s="88"/>
      <c r="B254" s="88"/>
      <c r="C254" s="88"/>
      <c r="D254" s="88"/>
      <c r="E254" s="88"/>
      <c r="F254" s="88"/>
      <c r="G254" s="88"/>
      <c r="H254" s="88"/>
      <c r="I254" s="88"/>
      <c r="J254" s="88"/>
      <c r="K254" s="88"/>
      <c r="L254" s="88"/>
      <c r="M254" s="88"/>
      <c r="N254" s="88"/>
      <c r="O254" s="88"/>
      <c r="P254" s="88"/>
      <c r="Q254" s="88"/>
      <c r="R254" s="88"/>
      <c r="S254" s="88"/>
      <c r="T254" s="88"/>
      <c r="U254" s="88"/>
      <c r="V254" s="88"/>
      <c r="W254" s="88"/>
      <c r="X254" s="88"/>
      <c r="Y254" s="88"/>
      <c r="Z254" s="88"/>
      <c r="AA254" s="88"/>
      <c r="AB254" s="128"/>
      <c r="AC254" s="128"/>
      <c r="AD254" s="128"/>
      <c r="AE254" s="128"/>
      <c r="AF254" s="128"/>
      <c r="AG254" s="128"/>
      <c r="AH254" s="127"/>
    </row>
    <row r="255" spans="1:34" ht="13.2">
      <c r="A255" s="88"/>
      <c r="B255" s="88"/>
      <c r="C255" s="88"/>
      <c r="D255" s="88"/>
      <c r="E255" s="88"/>
      <c r="F255" s="88"/>
      <c r="G255" s="88"/>
      <c r="H255" s="88"/>
      <c r="I255" s="88"/>
      <c r="J255" s="88"/>
      <c r="K255" s="88"/>
      <c r="L255" s="88"/>
      <c r="M255" s="88"/>
      <c r="N255" s="88"/>
      <c r="O255" s="88"/>
      <c r="P255" s="88"/>
      <c r="Q255" s="88"/>
      <c r="R255" s="88"/>
      <c r="S255" s="88"/>
      <c r="T255" s="88"/>
      <c r="U255" s="88"/>
      <c r="V255" s="88"/>
      <c r="W255" s="88"/>
      <c r="X255" s="88"/>
      <c r="Y255" s="88"/>
      <c r="Z255" s="88"/>
      <c r="AA255" s="88"/>
      <c r="AB255" s="128"/>
      <c r="AC255" s="128"/>
      <c r="AD255" s="128"/>
      <c r="AE255" s="128"/>
      <c r="AF255" s="128"/>
      <c r="AG255" s="128"/>
      <c r="AH255" s="127"/>
    </row>
    <row r="256" spans="1:34" ht="13.2">
      <c r="A256" s="88"/>
      <c r="B256" s="88"/>
      <c r="C256" s="88"/>
      <c r="D256" s="88"/>
      <c r="E256" s="88"/>
      <c r="F256" s="88"/>
      <c r="G256" s="88"/>
      <c r="H256" s="88"/>
      <c r="I256" s="88"/>
      <c r="J256" s="88"/>
      <c r="K256" s="88"/>
      <c r="L256" s="88"/>
      <c r="M256" s="88"/>
      <c r="N256" s="88"/>
      <c r="O256" s="88"/>
      <c r="P256" s="88"/>
      <c r="Q256" s="88"/>
      <c r="R256" s="88"/>
      <c r="S256" s="88"/>
      <c r="T256" s="88"/>
      <c r="U256" s="88"/>
      <c r="V256" s="88"/>
      <c r="W256" s="88"/>
      <c r="X256" s="88"/>
      <c r="Y256" s="88"/>
      <c r="Z256" s="88"/>
      <c r="AA256" s="88"/>
      <c r="AB256" s="128"/>
      <c r="AC256" s="128"/>
      <c r="AD256" s="128"/>
      <c r="AE256" s="128"/>
      <c r="AF256" s="128"/>
      <c r="AG256" s="128"/>
      <c r="AH256" s="127"/>
    </row>
    <row r="257" spans="1:34" ht="13.2">
      <c r="A257" s="88"/>
      <c r="B257" s="88"/>
      <c r="C257" s="88"/>
      <c r="D257" s="88"/>
      <c r="E257" s="88"/>
      <c r="F257" s="88"/>
      <c r="G257" s="88"/>
      <c r="H257" s="88"/>
      <c r="I257" s="88"/>
      <c r="J257" s="88"/>
      <c r="K257" s="88"/>
      <c r="L257" s="88"/>
      <c r="M257" s="88"/>
      <c r="N257" s="88"/>
      <c r="O257" s="88"/>
      <c r="P257" s="88"/>
      <c r="Q257" s="88"/>
      <c r="R257" s="88"/>
      <c r="S257" s="88"/>
      <c r="T257" s="88"/>
      <c r="U257" s="88"/>
      <c r="V257" s="88"/>
      <c r="W257" s="88"/>
      <c r="X257" s="88"/>
      <c r="Y257" s="88"/>
      <c r="Z257" s="88"/>
      <c r="AA257" s="88"/>
      <c r="AB257" s="128"/>
      <c r="AC257" s="128"/>
      <c r="AD257" s="128"/>
      <c r="AE257" s="128"/>
      <c r="AF257" s="128"/>
      <c r="AG257" s="128"/>
      <c r="AH257" s="127"/>
    </row>
    <row r="258" spans="1:34" ht="13.2">
      <c r="A258" s="88"/>
      <c r="B258" s="88"/>
      <c r="C258" s="88"/>
      <c r="D258" s="88"/>
      <c r="E258" s="88"/>
      <c r="F258" s="88"/>
      <c r="G258" s="88"/>
      <c r="H258" s="88"/>
      <c r="I258" s="88"/>
      <c r="J258" s="88"/>
      <c r="K258" s="88"/>
      <c r="L258" s="88"/>
      <c r="M258" s="88"/>
      <c r="N258" s="88"/>
      <c r="O258" s="88"/>
      <c r="P258" s="88"/>
      <c r="Q258" s="88"/>
      <c r="R258" s="88"/>
      <c r="S258" s="88"/>
      <c r="T258" s="88"/>
      <c r="U258" s="88"/>
      <c r="V258" s="88"/>
      <c r="W258" s="88"/>
      <c r="X258" s="88"/>
      <c r="Y258" s="88"/>
      <c r="Z258" s="88"/>
      <c r="AA258" s="88"/>
      <c r="AB258" s="128"/>
      <c r="AC258" s="128"/>
      <c r="AD258" s="128"/>
      <c r="AE258" s="128"/>
      <c r="AF258" s="128"/>
      <c r="AG258" s="128"/>
      <c r="AH258" s="127"/>
    </row>
    <row r="259" spans="1:34" ht="13.2">
      <c r="A259" s="88"/>
      <c r="B259" s="88"/>
      <c r="C259" s="88"/>
      <c r="D259" s="88"/>
      <c r="E259" s="88"/>
      <c r="F259" s="88"/>
      <c r="G259" s="88"/>
      <c r="H259" s="88"/>
      <c r="I259" s="88"/>
      <c r="J259" s="88"/>
      <c r="K259" s="88"/>
      <c r="L259" s="88"/>
      <c r="M259" s="88"/>
      <c r="N259" s="88"/>
      <c r="O259" s="88"/>
      <c r="P259" s="88"/>
      <c r="Q259" s="88"/>
      <c r="R259" s="88"/>
      <c r="S259" s="88"/>
      <c r="T259" s="88"/>
      <c r="U259" s="88"/>
      <c r="V259" s="88"/>
      <c r="W259" s="88"/>
      <c r="X259" s="88"/>
      <c r="Y259" s="88"/>
      <c r="Z259" s="88"/>
      <c r="AA259" s="88"/>
      <c r="AB259" s="128"/>
      <c r="AC259" s="128"/>
      <c r="AD259" s="128"/>
      <c r="AE259" s="128"/>
      <c r="AF259" s="128"/>
      <c r="AG259" s="128"/>
      <c r="AH259" s="127"/>
    </row>
    <row r="260" spans="1:34" ht="13.2">
      <c r="A260" s="88"/>
      <c r="B260" s="88"/>
      <c r="C260" s="88"/>
      <c r="D260" s="88"/>
      <c r="E260" s="88"/>
      <c r="F260" s="88"/>
      <c r="G260" s="88"/>
      <c r="H260" s="88"/>
      <c r="I260" s="88"/>
      <c r="J260" s="88"/>
      <c r="K260" s="88"/>
      <c r="L260" s="88"/>
      <c r="M260" s="88"/>
      <c r="N260" s="88"/>
      <c r="O260" s="88"/>
      <c r="P260" s="88"/>
      <c r="Q260" s="88"/>
      <c r="R260" s="88"/>
      <c r="S260" s="88"/>
      <c r="T260" s="88"/>
      <c r="U260" s="88"/>
      <c r="V260" s="88"/>
      <c r="W260" s="88"/>
      <c r="X260" s="88"/>
      <c r="Y260" s="88"/>
      <c r="Z260" s="88"/>
      <c r="AA260" s="88"/>
      <c r="AB260" s="128"/>
      <c r="AC260" s="128"/>
      <c r="AD260" s="128"/>
      <c r="AE260" s="128"/>
      <c r="AF260" s="128"/>
      <c r="AG260" s="128"/>
      <c r="AH260" s="127"/>
    </row>
    <row r="261" spans="1:34" ht="13.2">
      <c r="A261" s="88"/>
      <c r="B261" s="88"/>
      <c r="C261" s="88"/>
      <c r="D261" s="88"/>
      <c r="E261" s="88"/>
      <c r="F261" s="88"/>
      <c r="G261" s="88"/>
      <c r="H261" s="88"/>
      <c r="I261" s="88"/>
      <c r="J261" s="88"/>
      <c r="K261" s="88"/>
      <c r="L261" s="88"/>
      <c r="M261" s="88"/>
      <c r="N261" s="88"/>
      <c r="O261" s="88"/>
      <c r="P261" s="88"/>
      <c r="Q261" s="88"/>
      <c r="R261" s="88"/>
      <c r="S261" s="88"/>
      <c r="T261" s="88"/>
      <c r="U261" s="88"/>
      <c r="V261" s="88"/>
      <c r="W261" s="88"/>
      <c r="X261" s="88"/>
      <c r="Y261" s="88"/>
      <c r="Z261" s="88"/>
      <c r="AA261" s="88"/>
      <c r="AB261" s="128"/>
      <c r="AC261" s="128"/>
      <c r="AD261" s="128"/>
      <c r="AE261" s="128"/>
      <c r="AF261" s="128"/>
      <c r="AG261" s="128"/>
      <c r="AH261" s="127"/>
    </row>
    <row r="262" spans="1:34" ht="13.2">
      <c r="A262" s="88"/>
      <c r="B262" s="88"/>
      <c r="C262" s="88"/>
      <c r="D262" s="88"/>
      <c r="E262" s="88"/>
      <c r="F262" s="88"/>
      <c r="G262" s="88"/>
      <c r="H262" s="88"/>
      <c r="I262" s="88"/>
      <c r="J262" s="88"/>
      <c r="K262" s="88"/>
      <c r="L262" s="88"/>
      <c r="M262" s="88"/>
      <c r="N262" s="88"/>
      <c r="O262" s="88"/>
      <c r="P262" s="88"/>
      <c r="Q262" s="88"/>
      <c r="R262" s="88"/>
      <c r="S262" s="88"/>
      <c r="T262" s="88"/>
      <c r="U262" s="88"/>
      <c r="V262" s="88"/>
      <c r="W262" s="88"/>
      <c r="X262" s="88"/>
      <c r="Y262" s="88"/>
      <c r="Z262" s="88"/>
      <c r="AA262" s="88"/>
      <c r="AB262" s="128"/>
      <c r="AC262" s="128"/>
      <c r="AD262" s="128"/>
      <c r="AE262" s="128"/>
      <c r="AF262" s="128"/>
      <c r="AG262" s="128"/>
      <c r="AH262" s="127"/>
    </row>
    <row r="263" spans="1:34" ht="13.2">
      <c r="A263" s="88"/>
      <c r="B263" s="88"/>
      <c r="C263" s="88"/>
      <c r="D263" s="88"/>
      <c r="E263" s="88"/>
      <c r="F263" s="88"/>
      <c r="G263" s="88"/>
      <c r="H263" s="88"/>
      <c r="I263" s="88"/>
      <c r="J263" s="88"/>
      <c r="K263" s="88"/>
      <c r="L263" s="88"/>
      <c r="M263" s="88"/>
      <c r="N263" s="88"/>
      <c r="O263" s="88"/>
      <c r="P263" s="88"/>
      <c r="Q263" s="88"/>
      <c r="R263" s="88"/>
      <c r="S263" s="88"/>
      <c r="T263" s="88"/>
      <c r="U263" s="88"/>
      <c r="V263" s="88"/>
      <c r="W263" s="88"/>
      <c r="X263" s="88"/>
      <c r="Y263" s="88"/>
      <c r="Z263" s="88"/>
      <c r="AA263" s="88"/>
      <c r="AB263" s="128"/>
      <c r="AC263" s="128"/>
      <c r="AD263" s="128"/>
      <c r="AE263" s="128"/>
      <c r="AF263" s="128"/>
      <c r="AG263" s="128"/>
      <c r="AH263" s="127"/>
    </row>
    <row r="264" spans="1:34" ht="13.2">
      <c r="A264" s="88"/>
      <c r="B264" s="88"/>
      <c r="C264" s="88"/>
      <c r="D264" s="88"/>
      <c r="E264" s="88"/>
      <c r="F264" s="88"/>
      <c r="G264" s="88"/>
      <c r="H264" s="88"/>
      <c r="I264" s="88"/>
      <c r="J264" s="88"/>
      <c r="K264" s="88"/>
      <c r="L264" s="88"/>
      <c r="M264" s="88"/>
      <c r="N264" s="88"/>
      <c r="O264" s="88"/>
      <c r="P264" s="88"/>
      <c r="Q264" s="88"/>
      <c r="R264" s="88"/>
      <c r="S264" s="88"/>
      <c r="T264" s="88"/>
      <c r="U264" s="88"/>
      <c r="V264" s="88"/>
      <c r="W264" s="88"/>
      <c r="X264" s="88"/>
      <c r="Y264" s="88"/>
      <c r="Z264" s="88"/>
      <c r="AA264" s="88"/>
      <c r="AB264" s="128"/>
      <c r="AC264" s="128"/>
      <c r="AD264" s="128"/>
      <c r="AE264" s="128"/>
      <c r="AF264" s="128"/>
      <c r="AG264" s="128"/>
      <c r="AH264" s="127"/>
    </row>
    <row r="265" spans="1:34" ht="13.2">
      <c r="A265" s="88"/>
      <c r="B265" s="88"/>
      <c r="C265" s="88"/>
      <c r="D265" s="88"/>
      <c r="E265" s="88"/>
      <c r="F265" s="88"/>
      <c r="G265" s="88"/>
      <c r="H265" s="88"/>
      <c r="I265" s="88"/>
      <c r="J265" s="88"/>
      <c r="K265" s="88"/>
      <c r="L265" s="88"/>
      <c r="M265" s="88"/>
      <c r="N265" s="88"/>
      <c r="O265" s="88"/>
      <c r="P265" s="88"/>
      <c r="Q265" s="88"/>
      <c r="R265" s="88"/>
      <c r="S265" s="88"/>
      <c r="T265" s="88"/>
      <c r="U265" s="88"/>
      <c r="V265" s="88"/>
      <c r="W265" s="88"/>
      <c r="X265" s="88"/>
      <c r="Y265" s="88"/>
      <c r="Z265" s="88"/>
      <c r="AA265" s="88"/>
      <c r="AB265" s="128"/>
      <c r="AC265" s="128"/>
      <c r="AD265" s="128"/>
      <c r="AE265" s="128"/>
      <c r="AF265" s="128"/>
      <c r="AG265" s="128"/>
      <c r="AH265" s="127"/>
    </row>
    <row r="266" spans="1:34" ht="13.2">
      <c r="A266" s="88"/>
      <c r="B266" s="88"/>
      <c r="C266" s="88"/>
      <c r="D266" s="88"/>
      <c r="E266" s="88"/>
      <c r="F266" s="88"/>
      <c r="G266" s="88"/>
      <c r="H266" s="88"/>
      <c r="I266" s="88"/>
      <c r="J266" s="88"/>
      <c r="K266" s="88"/>
      <c r="L266" s="88"/>
      <c r="M266" s="88"/>
      <c r="N266" s="88"/>
      <c r="O266" s="88"/>
      <c r="P266" s="88"/>
      <c r="Q266" s="88"/>
      <c r="R266" s="88"/>
      <c r="S266" s="88"/>
      <c r="T266" s="88"/>
      <c r="U266" s="88"/>
      <c r="V266" s="88"/>
      <c r="W266" s="88"/>
      <c r="X266" s="88"/>
      <c r="Y266" s="88"/>
      <c r="Z266" s="88"/>
      <c r="AA266" s="88"/>
      <c r="AB266" s="128"/>
      <c r="AC266" s="128"/>
      <c r="AD266" s="128"/>
      <c r="AE266" s="128"/>
      <c r="AF266" s="128"/>
      <c r="AG266" s="128"/>
      <c r="AH266" s="127"/>
    </row>
    <row r="267" spans="1:34" ht="13.2">
      <c r="A267" s="88"/>
      <c r="B267" s="88"/>
      <c r="C267" s="88"/>
      <c r="D267" s="88"/>
      <c r="E267" s="88"/>
      <c r="F267" s="88"/>
      <c r="G267" s="88"/>
      <c r="H267" s="88"/>
      <c r="I267" s="88"/>
      <c r="J267" s="88"/>
      <c r="K267" s="88"/>
      <c r="L267" s="88"/>
      <c r="M267" s="88"/>
      <c r="N267" s="88"/>
      <c r="O267" s="88"/>
      <c r="P267" s="88"/>
      <c r="Q267" s="88"/>
      <c r="R267" s="88"/>
      <c r="S267" s="88"/>
      <c r="T267" s="88"/>
      <c r="U267" s="88"/>
      <c r="V267" s="88"/>
      <c r="W267" s="88"/>
      <c r="X267" s="88"/>
      <c r="Y267" s="88"/>
      <c r="Z267" s="88"/>
      <c r="AA267" s="88"/>
      <c r="AB267" s="128"/>
      <c r="AC267" s="128"/>
      <c r="AD267" s="128"/>
      <c r="AE267" s="128"/>
      <c r="AF267" s="128"/>
      <c r="AG267" s="128"/>
      <c r="AH267" s="127"/>
    </row>
    <row r="268" spans="1:34" ht="13.2">
      <c r="A268" s="88"/>
      <c r="B268" s="88"/>
      <c r="C268" s="88"/>
      <c r="D268" s="88"/>
      <c r="E268" s="88"/>
      <c r="F268" s="88"/>
      <c r="G268" s="88"/>
      <c r="H268" s="88"/>
      <c r="I268" s="88"/>
      <c r="J268" s="88"/>
      <c r="K268" s="88"/>
      <c r="L268" s="88"/>
      <c r="M268" s="88"/>
      <c r="N268" s="88"/>
      <c r="O268" s="88"/>
      <c r="P268" s="88"/>
      <c r="Q268" s="88"/>
      <c r="R268" s="88"/>
      <c r="S268" s="88"/>
      <c r="T268" s="88"/>
      <c r="U268" s="88"/>
      <c r="V268" s="88"/>
      <c r="W268" s="88"/>
      <c r="X268" s="88"/>
      <c r="Y268" s="88"/>
      <c r="Z268" s="88"/>
      <c r="AA268" s="88"/>
      <c r="AB268" s="128"/>
      <c r="AC268" s="128"/>
      <c r="AD268" s="128"/>
      <c r="AE268" s="128"/>
      <c r="AF268" s="128"/>
      <c r="AG268" s="128"/>
      <c r="AH268" s="127"/>
    </row>
    <row r="269" spans="1:34" ht="13.2">
      <c r="A269" s="88"/>
      <c r="B269" s="88"/>
      <c r="C269" s="88"/>
      <c r="D269" s="88"/>
      <c r="E269" s="88"/>
      <c r="F269" s="88"/>
      <c r="G269" s="88"/>
      <c r="H269" s="88"/>
      <c r="I269" s="88"/>
      <c r="J269" s="88"/>
      <c r="K269" s="88"/>
      <c r="L269" s="88"/>
      <c r="M269" s="88"/>
      <c r="N269" s="88"/>
      <c r="O269" s="88"/>
      <c r="P269" s="88"/>
      <c r="Q269" s="88"/>
      <c r="R269" s="88"/>
      <c r="S269" s="88"/>
      <c r="T269" s="88"/>
      <c r="U269" s="88"/>
      <c r="V269" s="88"/>
      <c r="W269" s="88"/>
      <c r="X269" s="88"/>
      <c r="Y269" s="88"/>
      <c r="Z269" s="88"/>
      <c r="AA269" s="88"/>
      <c r="AB269" s="128"/>
      <c r="AC269" s="128"/>
      <c r="AD269" s="128"/>
      <c r="AE269" s="128"/>
      <c r="AF269" s="128"/>
      <c r="AG269" s="128"/>
      <c r="AH269" s="127"/>
    </row>
    <row r="270" spans="1:34" ht="13.2">
      <c r="A270" s="88"/>
      <c r="B270" s="88"/>
      <c r="C270" s="88"/>
      <c r="D270" s="88"/>
      <c r="E270" s="88"/>
      <c r="F270" s="88"/>
      <c r="G270" s="88"/>
      <c r="H270" s="88"/>
      <c r="I270" s="88"/>
      <c r="J270" s="88"/>
      <c r="K270" s="88"/>
      <c r="L270" s="88"/>
      <c r="M270" s="88"/>
      <c r="N270" s="88"/>
      <c r="O270" s="88"/>
      <c r="P270" s="88"/>
      <c r="Q270" s="88"/>
      <c r="R270" s="88"/>
      <c r="S270" s="88"/>
      <c r="T270" s="88"/>
      <c r="U270" s="88"/>
      <c r="V270" s="88"/>
      <c r="W270" s="88"/>
      <c r="X270" s="88"/>
      <c r="Y270" s="88"/>
      <c r="Z270" s="88"/>
      <c r="AA270" s="88"/>
      <c r="AB270" s="128"/>
      <c r="AC270" s="128"/>
      <c r="AD270" s="128"/>
      <c r="AE270" s="128"/>
      <c r="AF270" s="128"/>
      <c r="AG270" s="128"/>
      <c r="AH270" s="127"/>
    </row>
    <row r="271" spans="1:34" ht="13.2">
      <c r="A271" s="88"/>
      <c r="B271" s="88"/>
      <c r="C271" s="88"/>
      <c r="D271" s="88"/>
      <c r="E271" s="88"/>
      <c r="F271" s="88"/>
      <c r="G271" s="88"/>
      <c r="H271" s="88"/>
      <c r="I271" s="88"/>
      <c r="J271" s="88"/>
      <c r="K271" s="88"/>
      <c r="L271" s="88"/>
      <c r="M271" s="88"/>
      <c r="N271" s="88"/>
      <c r="O271" s="88"/>
      <c r="P271" s="88"/>
      <c r="Q271" s="88"/>
      <c r="R271" s="88"/>
      <c r="S271" s="88"/>
      <c r="T271" s="88"/>
      <c r="U271" s="88"/>
      <c r="V271" s="88"/>
      <c r="W271" s="88"/>
      <c r="X271" s="88"/>
      <c r="Y271" s="88"/>
      <c r="Z271" s="88"/>
      <c r="AA271" s="88"/>
      <c r="AB271" s="128"/>
      <c r="AC271" s="128"/>
      <c r="AD271" s="128"/>
      <c r="AE271" s="128"/>
      <c r="AF271" s="128"/>
      <c r="AG271" s="128"/>
      <c r="AH271" s="127"/>
    </row>
    <row r="272" spans="1:34" ht="13.2">
      <c r="A272" s="88"/>
      <c r="B272" s="88"/>
      <c r="C272" s="88"/>
      <c r="D272" s="88"/>
      <c r="E272" s="88"/>
      <c r="F272" s="88"/>
      <c r="G272" s="88"/>
      <c r="H272" s="88"/>
      <c r="I272" s="88"/>
      <c r="J272" s="88"/>
      <c r="K272" s="88"/>
      <c r="L272" s="88"/>
      <c r="M272" s="88"/>
      <c r="N272" s="88"/>
      <c r="O272" s="88"/>
      <c r="P272" s="88"/>
      <c r="Q272" s="88"/>
      <c r="R272" s="88"/>
      <c r="S272" s="88"/>
      <c r="T272" s="88"/>
      <c r="U272" s="88"/>
      <c r="V272" s="88"/>
      <c r="W272" s="88"/>
      <c r="X272" s="88"/>
      <c r="Y272" s="88"/>
      <c r="Z272" s="88"/>
      <c r="AA272" s="88"/>
      <c r="AB272" s="128"/>
      <c r="AC272" s="128"/>
      <c r="AD272" s="128"/>
      <c r="AE272" s="128"/>
      <c r="AF272" s="128"/>
      <c r="AG272" s="128"/>
      <c r="AH272" s="127"/>
    </row>
    <row r="273" spans="1:34" ht="13.2">
      <c r="A273" s="88"/>
      <c r="B273" s="88"/>
      <c r="C273" s="88"/>
      <c r="D273" s="88"/>
      <c r="E273" s="88"/>
      <c r="F273" s="88"/>
      <c r="G273" s="88"/>
      <c r="H273" s="88"/>
      <c r="I273" s="88"/>
      <c r="J273" s="88"/>
      <c r="K273" s="88"/>
      <c r="L273" s="88"/>
      <c r="M273" s="88"/>
      <c r="N273" s="88"/>
      <c r="O273" s="88"/>
      <c r="P273" s="88"/>
      <c r="Q273" s="88"/>
      <c r="R273" s="88"/>
      <c r="S273" s="88"/>
      <c r="T273" s="88"/>
      <c r="U273" s="88"/>
      <c r="V273" s="88"/>
      <c r="W273" s="88"/>
      <c r="X273" s="88"/>
      <c r="Y273" s="88"/>
      <c r="Z273" s="88"/>
      <c r="AA273" s="88"/>
      <c r="AB273" s="128"/>
      <c r="AC273" s="128"/>
      <c r="AD273" s="128"/>
      <c r="AE273" s="128"/>
      <c r="AF273" s="128"/>
      <c r="AG273" s="128"/>
      <c r="AH273" s="127"/>
    </row>
    <row r="274" spans="1:34" ht="13.2">
      <c r="A274" s="88"/>
      <c r="B274" s="88"/>
      <c r="C274" s="88"/>
      <c r="D274" s="88"/>
      <c r="E274" s="88"/>
      <c r="F274" s="88"/>
      <c r="G274" s="88"/>
      <c r="H274" s="88"/>
      <c r="I274" s="88"/>
      <c r="J274" s="88"/>
      <c r="K274" s="88"/>
      <c r="L274" s="88"/>
      <c r="M274" s="88"/>
      <c r="N274" s="88"/>
      <c r="O274" s="88"/>
      <c r="P274" s="88"/>
      <c r="Q274" s="88"/>
      <c r="R274" s="88"/>
      <c r="S274" s="88"/>
      <c r="T274" s="88"/>
      <c r="U274" s="88"/>
      <c r="V274" s="88"/>
      <c r="W274" s="88"/>
      <c r="X274" s="88"/>
      <c r="Y274" s="88"/>
      <c r="Z274" s="88"/>
      <c r="AA274" s="88"/>
      <c r="AB274" s="128"/>
      <c r="AC274" s="128"/>
      <c r="AD274" s="128"/>
      <c r="AE274" s="128"/>
      <c r="AF274" s="128"/>
      <c r="AG274" s="128"/>
      <c r="AH274" s="127"/>
    </row>
    <row r="275" spans="1:34" ht="13.2">
      <c r="A275" s="88"/>
      <c r="B275" s="88"/>
      <c r="C275" s="88"/>
      <c r="D275" s="88"/>
      <c r="E275" s="88"/>
      <c r="F275" s="88"/>
      <c r="G275" s="88"/>
      <c r="H275" s="88"/>
      <c r="I275" s="88"/>
      <c r="J275" s="88"/>
      <c r="K275" s="88"/>
      <c r="L275" s="88"/>
      <c r="M275" s="88"/>
      <c r="N275" s="88"/>
      <c r="O275" s="88"/>
      <c r="P275" s="88"/>
      <c r="Q275" s="88"/>
      <c r="R275" s="88"/>
      <c r="S275" s="88"/>
      <c r="T275" s="88"/>
      <c r="U275" s="88"/>
      <c r="V275" s="88"/>
      <c r="W275" s="88"/>
      <c r="X275" s="88"/>
      <c r="Y275" s="88"/>
      <c r="Z275" s="88"/>
      <c r="AA275" s="88"/>
      <c r="AB275" s="128"/>
      <c r="AC275" s="128"/>
      <c r="AD275" s="128"/>
      <c r="AE275" s="128"/>
      <c r="AF275" s="128"/>
      <c r="AG275" s="128"/>
      <c r="AH275" s="127"/>
    </row>
    <row r="276" spans="1:34" ht="13.2">
      <c r="A276" s="88"/>
      <c r="B276" s="88"/>
      <c r="C276" s="88"/>
      <c r="D276" s="88"/>
      <c r="E276" s="88"/>
      <c r="F276" s="88"/>
      <c r="G276" s="88"/>
      <c r="H276" s="88"/>
      <c r="I276" s="88"/>
      <c r="J276" s="88"/>
      <c r="K276" s="88"/>
      <c r="L276" s="88"/>
      <c r="M276" s="88"/>
      <c r="N276" s="88"/>
      <c r="O276" s="88"/>
      <c r="P276" s="88"/>
      <c r="Q276" s="88"/>
      <c r="R276" s="88"/>
      <c r="S276" s="88"/>
      <c r="T276" s="88"/>
      <c r="U276" s="88"/>
      <c r="V276" s="88"/>
      <c r="W276" s="88"/>
      <c r="X276" s="88"/>
      <c r="Y276" s="88"/>
      <c r="Z276" s="88"/>
      <c r="AA276" s="88"/>
      <c r="AB276" s="128"/>
      <c r="AC276" s="128"/>
      <c r="AD276" s="128"/>
      <c r="AE276" s="128"/>
      <c r="AF276" s="128"/>
      <c r="AG276" s="128"/>
      <c r="AH276" s="127"/>
    </row>
    <row r="277" spans="1:34" ht="13.2">
      <c r="A277" s="88"/>
      <c r="B277" s="88"/>
      <c r="C277" s="88"/>
      <c r="D277" s="88"/>
      <c r="E277" s="88"/>
      <c r="F277" s="88"/>
      <c r="G277" s="88"/>
      <c r="H277" s="88"/>
      <c r="I277" s="88"/>
      <c r="J277" s="88"/>
      <c r="K277" s="88"/>
      <c r="L277" s="88"/>
      <c r="M277" s="88"/>
      <c r="N277" s="88"/>
      <c r="O277" s="88"/>
      <c r="P277" s="88"/>
      <c r="Q277" s="88"/>
      <c r="R277" s="88"/>
      <c r="S277" s="88"/>
      <c r="T277" s="88"/>
      <c r="U277" s="88"/>
      <c r="V277" s="88"/>
      <c r="W277" s="88"/>
      <c r="X277" s="88"/>
      <c r="Y277" s="88"/>
      <c r="Z277" s="88"/>
      <c r="AA277" s="88"/>
      <c r="AB277" s="128"/>
      <c r="AC277" s="128"/>
      <c r="AD277" s="128"/>
      <c r="AE277" s="128"/>
      <c r="AF277" s="128"/>
      <c r="AG277" s="128"/>
      <c r="AH277" s="127"/>
    </row>
    <row r="278" spans="1:34" ht="13.2">
      <c r="A278" s="88"/>
      <c r="B278" s="88"/>
      <c r="C278" s="88"/>
      <c r="D278" s="88"/>
      <c r="E278" s="88"/>
      <c r="F278" s="88"/>
      <c r="G278" s="88"/>
      <c r="H278" s="88"/>
      <c r="I278" s="88"/>
      <c r="J278" s="88"/>
      <c r="K278" s="88"/>
      <c r="L278" s="88"/>
      <c r="M278" s="88"/>
      <c r="N278" s="88"/>
      <c r="O278" s="88"/>
      <c r="P278" s="88"/>
      <c r="Q278" s="88"/>
      <c r="R278" s="88"/>
      <c r="S278" s="88"/>
      <c r="T278" s="88"/>
      <c r="U278" s="88"/>
      <c r="V278" s="88"/>
      <c r="W278" s="88"/>
      <c r="X278" s="88"/>
      <c r="Y278" s="88"/>
      <c r="Z278" s="88"/>
      <c r="AA278" s="88"/>
      <c r="AB278" s="128"/>
      <c r="AC278" s="128"/>
      <c r="AD278" s="128"/>
      <c r="AE278" s="128"/>
      <c r="AF278" s="128"/>
      <c r="AG278" s="128"/>
      <c r="AH278" s="127"/>
    </row>
    <row r="279" spans="1:34" ht="13.2">
      <c r="A279" s="88"/>
      <c r="B279" s="88"/>
      <c r="C279" s="88"/>
      <c r="D279" s="88"/>
      <c r="E279" s="88"/>
      <c r="F279" s="88"/>
      <c r="G279" s="88"/>
      <c r="H279" s="88"/>
      <c r="I279" s="88"/>
      <c r="J279" s="88"/>
      <c r="K279" s="88"/>
      <c r="L279" s="88"/>
      <c r="M279" s="88"/>
      <c r="N279" s="88"/>
      <c r="O279" s="88"/>
      <c r="P279" s="88"/>
      <c r="Q279" s="88"/>
      <c r="R279" s="88"/>
      <c r="S279" s="88"/>
      <c r="T279" s="88"/>
      <c r="U279" s="88"/>
      <c r="V279" s="88"/>
      <c r="W279" s="88"/>
      <c r="X279" s="88"/>
      <c r="Y279" s="88"/>
      <c r="Z279" s="88"/>
      <c r="AA279" s="88"/>
      <c r="AB279" s="128"/>
      <c r="AC279" s="128"/>
      <c r="AD279" s="128"/>
      <c r="AE279" s="128"/>
      <c r="AF279" s="128"/>
      <c r="AG279" s="128"/>
      <c r="AH279" s="127"/>
    </row>
    <row r="280" spans="1:34" ht="13.2">
      <c r="A280" s="88"/>
      <c r="B280" s="88"/>
      <c r="C280" s="88"/>
      <c r="D280" s="88"/>
      <c r="E280" s="88"/>
      <c r="F280" s="88"/>
      <c r="G280" s="88"/>
      <c r="H280" s="88"/>
      <c r="I280" s="88"/>
      <c r="J280" s="88"/>
      <c r="K280" s="88"/>
      <c r="L280" s="88"/>
      <c r="M280" s="88"/>
      <c r="N280" s="88"/>
      <c r="O280" s="88"/>
      <c r="P280" s="88"/>
      <c r="Q280" s="88"/>
      <c r="R280" s="88"/>
      <c r="S280" s="88"/>
      <c r="T280" s="88"/>
      <c r="U280" s="88"/>
      <c r="V280" s="88"/>
      <c r="W280" s="88"/>
      <c r="X280" s="88"/>
      <c r="Y280" s="88"/>
      <c r="Z280" s="88"/>
      <c r="AA280" s="88"/>
      <c r="AB280" s="128"/>
      <c r="AC280" s="128"/>
      <c r="AD280" s="128"/>
      <c r="AE280" s="128"/>
      <c r="AF280" s="128"/>
      <c r="AG280" s="128"/>
      <c r="AH280" s="127"/>
    </row>
    <row r="281" spans="1:34" ht="13.2">
      <c r="A281" s="88"/>
      <c r="B281" s="88"/>
      <c r="C281" s="88"/>
      <c r="D281" s="88"/>
      <c r="E281" s="88"/>
      <c r="F281" s="88"/>
      <c r="G281" s="88"/>
      <c r="H281" s="88"/>
      <c r="I281" s="88"/>
      <c r="J281" s="88"/>
      <c r="K281" s="88"/>
      <c r="L281" s="88"/>
      <c r="M281" s="88"/>
      <c r="N281" s="88"/>
      <c r="O281" s="88"/>
      <c r="P281" s="88"/>
      <c r="Q281" s="88"/>
      <c r="R281" s="88"/>
      <c r="S281" s="88"/>
      <c r="T281" s="88"/>
      <c r="U281" s="88"/>
      <c r="V281" s="88"/>
      <c r="W281" s="88"/>
      <c r="X281" s="88"/>
      <c r="Y281" s="88"/>
      <c r="Z281" s="88"/>
      <c r="AA281" s="88"/>
      <c r="AB281" s="128"/>
      <c r="AC281" s="128"/>
      <c r="AD281" s="128"/>
      <c r="AE281" s="128"/>
      <c r="AF281" s="128"/>
      <c r="AG281" s="128"/>
      <c r="AH281" s="127"/>
    </row>
    <row r="282" spans="1:34" ht="13.2">
      <c r="A282" s="88"/>
      <c r="B282" s="88"/>
      <c r="C282" s="88"/>
      <c r="D282" s="88"/>
      <c r="E282" s="88"/>
      <c r="F282" s="88"/>
      <c r="G282" s="88"/>
      <c r="H282" s="88"/>
      <c r="I282" s="88"/>
      <c r="J282" s="88"/>
      <c r="K282" s="88"/>
      <c r="L282" s="88"/>
      <c r="M282" s="88"/>
      <c r="N282" s="88"/>
      <c r="O282" s="88"/>
      <c r="P282" s="88"/>
      <c r="Q282" s="88"/>
      <c r="R282" s="88"/>
      <c r="S282" s="88"/>
      <c r="T282" s="88"/>
      <c r="U282" s="88"/>
      <c r="V282" s="88"/>
      <c r="W282" s="88"/>
      <c r="X282" s="88"/>
      <c r="Y282" s="88"/>
      <c r="Z282" s="88"/>
      <c r="AA282" s="88"/>
      <c r="AB282" s="128"/>
      <c r="AC282" s="128"/>
      <c r="AD282" s="128"/>
      <c r="AE282" s="128"/>
      <c r="AF282" s="128"/>
      <c r="AG282" s="128"/>
      <c r="AH282" s="127"/>
    </row>
    <row r="283" spans="1:34" ht="13.2">
      <c r="A283" s="88"/>
      <c r="B283" s="88"/>
      <c r="C283" s="88"/>
      <c r="D283" s="88"/>
      <c r="E283" s="88"/>
      <c r="F283" s="88"/>
      <c r="G283" s="88"/>
      <c r="H283" s="88"/>
      <c r="I283" s="88"/>
      <c r="J283" s="88"/>
      <c r="K283" s="88"/>
      <c r="L283" s="88"/>
      <c r="M283" s="88"/>
      <c r="N283" s="88"/>
      <c r="O283" s="88"/>
      <c r="P283" s="88"/>
      <c r="Q283" s="88"/>
      <c r="R283" s="88"/>
      <c r="S283" s="88"/>
      <c r="T283" s="88"/>
      <c r="U283" s="88"/>
      <c r="V283" s="88"/>
      <c r="W283" s="88"/>
      <c r="X283" s="88"/>
      <c r="Y283" s="88"/>
      <c r="Z283" s="88"/>
      <c r="AA283" s="88"/>
      <c r="AB283" s="128"/>
      <c r="AC283" s="128"/>
      <c r="AD283" s="128"/>
      <c r="AE283" s="128"/>
      <c r="AF283" s="128"/>
      <c r="AG283" s="128"/>
      <c r="AH283" s="127"/>
    </row>
    <row r="284" spans="1:34" ht="13.2">
      <c r="A284" s="88"/>
      <c r="B284" s="88"/>
      <c r="C284" s="88"/>
      <c r="D284" s="88"/>
      <c r="E284" s="88"/>
      <c r="F284" s="88"/>
      <c r="G284" s="88"/>
      <c r="H284" s="88"/>
      <c r="I284" s="88"/>
      <c r="J284" s="88"/>
      <c r="K284" s="88"/>
      <c r="L284" s="88"/>
      <c r="M284" s="88"/>
      <c r="N284" s="88"/>
      <c r="O284" s="88"/>
      <c r="P284" s="88"/>
      <c r="Q284" s="88"/>
      <c r="R284" s="88"/>
      <c r="S284" s="88"/>
      <c r="T284" s="88"/>
      <c r="U284" s="88"/>
      <c r="V284" s="88"/>
      <c r="W284" s="88"/>
      <c r="X284" s="88"/>
      <c r="Y284" s="88"/>
      <c r="Z284" s="88"/>
      <c r="AA284" s="88"/>
      <c r="AB284" s="128"/>
      <c r="AC284" s="128"/>
      <c r="AD284" s="128"/>
      <c r="AE284" s="128"/>
      <c r="AF284" s="128"/>
      <c r="AG284" s="128"/>
      <c r="AH284" s="127"/>
    </row>
    <row r="285" spans="1:34" ht="13.2">
      <c r="A285" s="88"/>
      <c r="B285" s="88"/>
      <c r="C285" s="88"/>
      <c r="D285" s="88"/>
      <c r="E285" s="88"/>
      <c r="F285" s="88"/>
      <c r="G285" s="88"/>
      <c r="H285" s="88"/>
      <c r="I285" s="88"/>
      <c r="J285" s="88"/>
      <c r="K285" s="88"/>
      <c r="L285" s="88"/>
      <c r="M285" s="88"/>
      <c r="N285" s="88"/>
      <c r="O285" s="88"/>
      <c r="P285" s="88"/>
      <c r="Q285" s="88"/>
      <c r="R285" s="88"/>
      <c r="S285" s="88"/>
      <c r="T285" s="88"/>
      <c r="U285" s="88"/>
      <c r="V285" s="88"/>
      <c r="W285" s="88"/>
      <c r="X285" s="88"/>
      <c r="Y285" s="88"/>
      <c r="Z285" s="88"/>
      <c r="AA285" s="88"/>
      <c r="AB285" s="128"/>
      <c r="AC285" s="128"/>
      <c r="AD285" s="128"/>
      <c r="AE285" s="128"/>
      <c r="AF285" s="128"/>
      <c r="AG285" s="128"/>
      <c r="AH285" s="127"/>
    </row>
    <row r="286" spans="1:34" ht="13.2">
      <c r="A286" s="88"/>
      <c r="B286" s="88"/>
      <c r="C286" s="88"/>
      <c r="D286" s="88"/>
      <c r="E286" s="88"/>
      <c r="F286" s="88"/>
      <c r="G286" s="88"/>
      <c r="H286" s="88"/>
      <c r="I286" s="88"/>
      <c r="J286" s="88"/>
      <c r="K286" s="88"/>
      <c r="L286" s="88"/>
      <c r="M286" s="88"/>
      <c r="N286" s="88"/>
      <c r="O286" s="88"/>
      <c r="P286" s="88"/>
      <c r="Q286" s="88"/>
      <c r="R286" s="88"/>
      <c r="S286" s="88"/>
      <c r="T286" s="88"/>
      <c r="U286" s="88"/>
      <c r="V286" s="88"/>
      <c r="W286" s="88"/>
      <c r="X286" s="88"/>
      <c r="Y286" s="88"/>
      <c r="Z286" s="88"/>
      <c r="AA286" s="88"/>
      <c r="AB286" s="128"/>
      <c r="AC286" s="128"/>
      <c r="AD286" s="128"/>
      <c r="AE286" s="128"/>
      <c r="AF286" s="128"/>
      <c r="AG286" s="128"/>
      <c r="AH286" s="127"/>
    </row>
    <row r="287" spans="1:34" ht="13.2">
      <c r="A287" s="88"/>
      <c r="B287" s="88"/>
      <c r="C287" s="88"/>
      <c r="D287" s="88"/>
      <c r="E287" s="88"/>
      <c r="F287" s="88"/>
      <c r="G287" s="88"/>
      <c r="H287" s="88"/>
      <c r="I287" s="88"/>
      <c r="J287" s="88"/>
      <c r="K287" s="88"/>
      <c r="L287" s="88"/>
      <c r="M287" s="88"/>
      <c r="N287" s="88"/>
      <c r="O287" s="88"/>
      <c r="P287" s="88"/>
      <c r="Q287" s="88"/>
      <c r="R287" s="88"/>
      <c r="S287" s="88"/>
      <c r="T287" s="88"/>
      <c r="U287" s="88"/>
      <c r="V287" s="88"/>
      <c r="W287" s="88"/>
      <c r="X287" s="88"/>
      <c r="Y287" s="88"/>
      <c r="Z287" s="88"/>
      <c r="AA287" s="88"/>
      <c r="AB287" s="128"/>
      <c r="AC287" s="128"/>
      <c r="AD287" s="128"/>
      <c r="AE287" s="128"/>
      <c r="AF287" s="128"/>
      <c r="AG287" s="128"/>
      <c r="AH287" s="127"/>
    </row>
    <row r="288" spans="1:34" ht="13.2">
      <c r="A288" s="88"/>
      <c r="B288" s="88"/>
      <c r="C288" s="88"/>
      <c r="D288" s="88"/>
      <c r="E288" s="88"/>
      <c r="F288" s="88"/>
      <c r="G288" s="88"/>
      <c r="H288" s="88"/>
      <c r="I288" s="88"/>
      <c r="J288" s="88"/>
      <c r="K288" s="88"/>
      <c r="L288" s="88"/>
      <c r="M288" s="88"/>
      <c r="N288" s="88"/>
      <c r="O288" s="88"/>
      <c r="P288" s="88"/>
      <c r="Q288" s="88"/>
      <c r="R288" s="88"/>
      <c r="S288" s="88"/>
      <c r="T288" s="88"/>
      <c r="U288" s="88"/>
      <c r="V288" s="88"/>
      <c r="W288" s="88"/>
      <c r="X288" s="88"/>
      <c r="Y288" s="88"/>
      <c r="Z288" s="88"/>
      <c r="AA288" s="88"/>
      <c r="AB288" s="128"/>
      <c r="AC288" s="128"/>
      <c r="AD288" s="128"/>
      <c r="AE288" s="128"/>
      <c r="AF288" s="128"/>
      <c r="AG288" s="128"/>
      <c r="AH288" s="127"/>
    </row>
    <row r="289" spans="1:34" ht="13.2">
      <c r="A289" s="88"/>
      <c r="B289" s="88"/>
      <c r="C289" s="88"/>
      <c r="D289" s="88"/>
      <c r="E289" s="88"/>
      <c r="F289" s="88"/>
      <c r="G289" s="88"/>
      <c r="H289" s="88"/>
      <c r="I289" s="88"/>
      <c r="J289" s="88"/>
      <c r="K289" s="88"/>
      <c r="L289" s="88"/>
      <c r="M289" s="88"/>
      <c r="N289" s="88"/>
      <c r="O289" s="88"/>
      <c r="P289" s="88"/>
      <c r="Q289" s="88"/>
      <c r="R289" s="88"/>
      <c r="S289" s="88"/>
      <c r="T289" s="88"/>
      <c r="U289" s="88"/>
      <c r="V289" s="88"/>
      <c r="W289" s="88"/>
      <c r="X289" s="88"/>
      <c r="Y289" s="88"/>
      <c r="Z289" s="88"/>
      <c r="AA289" s="88"/>
      <c r="AB289" s="128"/>
      <c r="AC289" s="128"/>
      <c r="AD289" s="128"/>
      <c r="AE289" s="128"/>
      <c r="AF289" s="128"/>
      <c r="AG289" s="128"/>
      <c r="AH289" s="127"/>
    </row>
    <row r="290" spans="1:34" ht="13.2">
      <c r="A290" s="88"/>
      <c r="B290" s="88"/>
      <c r="C290" s="88"/>
      <c r="D290" s="88"/>
      <c r="E290" s="88"/>
      <c r="F290" s="88"/>
      <c r="G290" s="88"/>
      <c r="H290" s="88"/>
      <c r="I290" s="88"/>
      <c r="J290" s="88"/>
      <c r="K290" s="88"/>
      <c r="L290" s="88"/>
      <c r="M290" s="88"/>
      <c r="N290" s="88"/>
      <c r="O290" s="88"/>
      <c r="P290" s="88"/>
      <c r="Q290" s="88"/>
      <c r="R290" s="88"/>
      <c r="S290" s="88"/>
      <c r="T290" s="88"/>
      <c r="U290" s="88"/>
      <c r="V290" s="88"/>
      <c r="W290" s="88"/>
      <c r="X290" s="88"/>
      <c r="Y290" s="88"/>
      <c r="Z290" s="88"/>
      <c r="AA290" s="88"/>
      <c r="AB290" s="128"/>
      <c r="AC290" s="128"/>
      <c r="AD290" s="128"/>
      <c r="AE290" s="128"/>
      <c r="AF290" s="128"/>
      <c r="AG290" s="128"/>
      <c r="AH290" s="127"/>
    </row>
    <row r="291" spans="1:34" ht="13.2">
      <c r="A291" s="88"/>
      <c r="B291" s="88"/>
      <c r="C291" s="88"/>
      <c r="D291" s="88"/>
      <c r="E291" s="88"/>
      <c r="F291" s="88"/>
      <c r="G291" s="88"/>
      <c r="H291" s="88"/>
      <c r="I291" s="88"/>
      <c r="J291" s="88"/>
      <c r="K291" s="88"/>
      <c r="L291" s="88"/>
      <c r="M291" s="88"/>
      <c r="N291" s="88"/>
      <c r="O291" s="88"/>
      <c r="P291" s="88"/>
      <c r="Q291" s="88"/>
      <c r="R291" s="88"/>
      <c r="S291" s="88"/>
      <c r="T291" s="88"/>
      <c r="U291" s="88"/>
      <c r="V291" s="88"/>
      <c r="W291" s="88"/>
      <c r="X291" s="88"/>
      <c r="Y291" s="88"/>
      <c r="Z291" s="88"/>
      <c r="AA291" s="88"/>
      <c r="AB291" s="128"/>
      <c r="AC291" s="128"/>
      <c r="AD291" s="128"/>
      <c r="AE291" s="128"/>
      <c r="AF291" s="128"/>
      <c r="AG291" s="128"/>
      <c r="AH291" s="127"/>
    </row>
    <row r="292" spans="1:34" ht="13.2">
      <c r="A292" s="88"/>
      <c r="B292" s="88"/>
      <c r="C292" s="88"/>
      <c r="D292" s="88"/>
      <c r="E292" s="88"/>
      <c r="F292" s="88"/>
      <c r="G292" s="88"/>
      <c r="H292" s="88"/>
      <c r="I292" s="88"/>
      <c r="J292" s="88"/>
      <c r="K292" s="88"/>
      <c r="L292" s="88"/>
      <c r="M292" s="88"/>
      <c r="N292" s="88"/>
      <c r="O292" s="88"/>
      <c r="P292" s="88"/>
      <c r="Q292" s="88"/>
      <c r="R292" s="88"/>
      <c r="S292" s="88"/>
      <c r="T292" s="88"/>
      <c r="U292" s="88"/>
      <c r="V292" s="88"/>
      <c r="W292" s="88"/>
      <c r="X292" s="88"/>
      <c r="Y292" s="88"/>
      <c r="Z292" s="88"/>
      <c r="AA292" s="88"/>
      <c r="AB292" s="128"/>
      <c r="AC292" s="128"/>
      <c r="AD292" s="128"/>
      <c r="AE292" s="128"/>
      <c r="AF292" s="128"/>
      <c r="AG292" s="128"/>
      <c r="AH292" s="127"/>
    </row>
    <row r="293" spans="1:34" ht="13.2">
      <c r="A293" s="88"/>
      <c r="B293" s="88"/>
      <c r="C293" s="88"/>
      <c r="D293" s="88"/>
      <c r="E293" s="88"/>
      <c r="F293" s="88"/>
      <c r="G293" s="88"/>
      <c r="H293" s="88"/>
      <c r="I293" s="88"/>
      <c r="J293" s="88"/>
      <c r="K293" s="88"/>
      <c r="L293" s="88"/>
      <c r="M293" s="88"/>
      <c r="N293" s="88"/>
      <c r="O293" s="88"/>
      <c r="P293" s="88"/>
      <c r="Q293" s="88"/>
      <c r="R293" s="88"/>
      <c r="S293" s="88"/>
      <c r="T293" s="88"/>
      <c r="U293" s="88"/>
      <c r="V293" s="88"/>
      <c r="W293" s="88"/>
      <c r="X293" s="88"/>
      <c r="Y293" s="88"/>
      <c r="Z293" s="88"/>
      <c r="AA293" s="88"/>
      <c r="AB293" s="128"/>
      <c r="AC293" s="128"/>
      <c r="AD293" s="128"/>
      <c r="AE293" s="128"/>
      <c r="AF293" s="128"/>
      <c r="AG293" s="128"/>
      <c r="AH293" s="127"/>
    </row>
    <row r="294" spans="1:34" ht="13.2">
      <c r="A294" s="88"/>
      <c r="B294" s="88"/>
      <c r="C294" s="88"/>
      <c r="D294" s="88"/>
      <c r="E294" s="88"/>
      <c r="F294" s="88"/>
      <c r="G294" s="88"/>
      <c r="H294" s="88"/>
      <c r="I294" s="88"/>
      <c r="J294" s="88"/>
      <c r="K294" s="88"/>
      <c r="L294" s="88"/>
      <c r="M294" s="88"/>
      <c r="N294" s="88"/>
      <c r="O294" s="88"/>
      <c r="P294" s="88"/>
      <c r="Q294" s="88"/>
      <c r="R294" s="88"/>
      <c r="S294" s="88"/>
      <c r="T294" s="88"/>
      <c r="U294" s="88"/>
      <c r="V294" s="88"/>
      <c r="W294" s="88"/>
      <c r="X294" s="88"/>
      <c r="Y294" s="88"/>
      <c r="Z294" s="88"/>
      <c r="AA294" s="88"/>
      <c r="AB294" s="128"/>
      <c r="AC294" s="128"/>
      <c r="AD294" s="128"/>
      <c r="AE294" s="128"/>
      <c r="AF294" s="128"/>
      <c r="AG294" s="128"/>
      <c r="AH294" s="127"/>
    </row>
    <row r="295" spans="1:34" ht="13.2">
      <c r="A295" s="88"/>
      <c r="B295" s="88"/>
      <c r="C295" s="88"/>
      <c r="D295" s="88"/>
      <c r="E295" s="88"/>
      <c r="F295" s="88"/>
      <c r="G295" s="88"/>
      <c r="H295" s="88"/>
      <c r="I295" s="88"/>
      <c r="J295" s="88"/>
      <c r="K295" s="88"/>
      <c r="L295" s="88"/>
      <c r="M295" s="88"/>
      <c r="N295" s="88"/>
      <c r="O295" s="88"/>
      <c r="P295" s="88"/>
      <c r="Q295" s="88"/>
      <c r="R295" s="88"/>
      <c r="S295" s="88"/>
      <c r="T295" s="88"/>
      <c r="U295" s="88"/>
      <c r="V295" s="88"/>
      <c r="W295" s="88"/>
      <c r="X295" s="88"/>
      <c r="Y295" s="88"/>
      <c r="Z295" s="88"/>
      <c r="AA295" s="88"/>
      <c r="AB295" s="128"/>
      <c r="AC295" s="128"/>
      <c r="AD295" s="128"/>
      <c r="AE295" s="128"/>
      <c r="AF295" s="128"/>
      <c r="AG295" s="128"/>
      <c r="AH295" s="127"/>
    </row>
    <row r="296" spans="1:34" ht="13.2">
      <c r="A296" s="88"/>
      <c r="B296" s="88"/>
      <c r="C296" s="88"/>
      <c r="D296" s="88"/>
      <c r="E296" s="88"/>
      <c r="F296" s="88"/>
      <c r="G296" s="88"/>
      <c r="H296" s="88"/>
      <c r="I296" s="88"/>
      <c r="J296" s="88"/>
      <c r="K296" s="88"/>
      <c r="L296" s="88"/>
      <c r="M296" s="88"/>
      <c r="N296" s="88"/>
      <c r="O296" s="88"/>
      <c r="P296" s="88"/>
      <c r="Q296" s="88"/>
      <c r="R296" s="88"/>
      <c r="S296" s="88"/>
      <c r="T296" s="88"/>
      <c r="U296" s="88"/>
      <c r="V296" s="88"/>
      <c r="W296" s="88"/>
      <c r="X296" s="88"/>
      <c r="Y296" s="88"/>
      <c r="Z296" s="88"/>
      <c r="AA296" s="88"/>
      <c r="AB296" s="128"/>
      <c r="AC296" s="128"/>
      <c r="AD296" s="128"/>
      <c r="AE296" s="128"/>
      <c r="AF296" s="128"/>
      <c r="AG296" s="128"/>
      <c r="AH296" s="127"/>
    </row>
    <row r="297" spans="1:34" ht="13.2">
      <c r="A297" s="88"/>
      <c r="B297" s="88"/>
      <c r="C297" s="88"/>
      <c r="D297" s="88"/>
      <c r="E297" s="88"/>
      <c r="F297" s="88"/>
      <c r="G297" s="88"/>
      <c r="H297" s="88"/>
      <c r="I297" s="88"/>
      <c r="J297" s="88"/>
      <c r="K297" s="88"/>
      <c r="L297" s="88"/>
      <c r="M297" s="88"/>
      <c r="N297" s="88"/>
      <c r="O297" s="88"/>
      <c r="P297" s="88"/>
      <c r="Q297" s="88"/>
      <c r="R297" s="88"/>
      <c r="S297" s="88"/>
      <c r="T297" s="88"/>
      <c r="U297" s="88"/>
      <c r="V297" s="88"/>
      <c r="W297" s="88"/>
      <c r="X297" s="88"/>
      <c r="Y297" s="88"/>
      <c r="Z297" s="88"/>
      <c r="AA297" s="88"/>
      <c r="AB297" s="128"/>
      <c r="AC297" s="128"/>
      <c r="AD297" s="128"/>
      <c r="AE297" s="128"/>
      <c r="AF297" s="128"/>
      <c r="AG297" s="128"/>
      <c r="AH297" s="127"/>
    </row>
    <row r="298" spans="1:34" ht="13.2">
      <c r="A298" s="88"/>
      <c r="B298" s="88"/>
      <c r="C298" s="88"/>
      <c r="D298" s="88"/>
      <c r="E298" s="88"/>
      <c r="F298" s="88"/>
      <c r="G298" s="88"/>
      <c r="H298" s="88"/>
      <c r="I298" s="88"/>
      <c r="J298" s="88"/>
      <c r="K298" s="88"/>
      <c r="L298" s="88"/>
      <c r="M298" s="88"/>
      <c r="N298" s="88"/>
      <c r="O298" s="88"/>
      <c r="P298" s="88"/>
      <c r="Q298" s="88"/>
      <c r="R298" s="88"/>
      <c r="S298" s="88"/>
      <c r="T298" s="88"/>
      <c r="U298" s="88"/>
      <c r="V298" s="88"/>
      <c r="W298" s="88"/>
      <c r="X298" s="88"/>
      <c r="Y298" s="88"/>
      <c r="Z298" s="88"/>
      <c r="AA298" s="88"/>
      <c r="AB298" s="128"/>
      <c r="AC298" s="128"/>
      <c r="AD298" s="128"/>
      <c r="AE298" s="128"/>
      <c r="AF298" s="128"/>
      <c r="AG298" s="128"/>
      <c r="AH298" s="127"/>
    </row>
    <row r="299" spans="1:34" ht="13.2">
      <c r="A299" s="88"/>
      <c r="B299" s="88"/>
      <c r="C299" s="88"/>
      <c r="D299" s="88"/>
      <c r="E299" s="88"/>
      <c r="F299" s="88"/>
      <c r="G299" s="88"/>
      <c r="H299" s="88"/>
      <c r="I299" s="88"/>
      <c r="J299" s="88"/>
      <c r="K299" s="88"/>
      <c r="L299" s="88"/>
      <c r="M299" s="88"/>
      <c r="N299" s="88"/>
      <c r="O299" s="88"/>
      <c r="P299" s="88"/>
      <c r="Q299" s="88"/>
      <c r="R299" s="88"/>
      <c r="S299" s="88"/>
      <c r="T299" s="88"/>
      <c r="U299" s="88"/>
      <c r="V299" s="88"/>
      <c r="W299" s="88"/>
      <c r="X299" s="88"/>
      <c r="Y299" s="88"/>
      <c r="Z299" s="88"/>
      <c r="AA299" s="88"/>
      <c r="AB299" s="128"/>
      <c r="AC299" s="128"/>
      <c r="AD299" s="128"/>
      <c r="AE299" s="128"/>
      <c r="AF299" s="128"/>
      <c r="AG299" s="128"/>
      <c r="AH299" s="127"/>
    </row>
    <row r="300" spans="1:34" ht="13.2">
      <c r="A300" s="88"/>
      <c r="B300" s="88"/>
      <c r="C300" s="88"/>
      <c r="D300" s="88"/>
      <c r="E300" s="88"/>
      <c r="F300" s="88"/>
      <c r="G300" s="88"/>
      <c r="H300" s="88"/>
      <c r="I300" s="88"/>
      <c r="J300" s="88"/>
      <c r="K300" s="88"/>
      <c r="L300" s="88"/>
      <c r="M300" s="88"/>
      <c r="N300" s="88"/>
      <c r="O300" s="88"/>
      <c r="P300" s="88"/>
      <c r="Q300" s="88"/>
      <c r="R300" s="88"/>
      <c r="S300" s="88"/>
      <c r="T300" s="88"/>
      <c r="U300" s="88"/>
      <c r="V300" s="88"/>
      <c r="W300" s="88"/>
      <c r="X300" s="88"/>
      <c r="Y300" s="88"/>
      <c r="Z300" s="88"/>
      <c r="AA300" s="88"/>
      <c r="AB300" s="128"/>
      <c r="AC300" s="128"/>
      <c r="AD300" s="128"/>
      <c r="AE300" s="128"/>
      <c r="AF300" s="128"/>
      <c r="AG300" s="128"/>
      <c r="AH300" s="127"/>
    </row>
    <row r="301" spans="1:34" ht="13.2">
      <c r="A301" s="88"/>
      <c r="B301" s="88"/>
      <c r="C301" s="88"/>
      <c r="D301" s="88"/>
      <c r="E301" s="88"/>
      <c r="F301" s="88"/>
      <c r="G301" s="88"/>
      <c r="H301" s="88"/>
      <c r="I301" s="88"/>
      <c r="J301" s="88"/>
      <c r="K301" s="88"/>
      <c r="L301" s="88"/>
      <c r="M301" s="88"/>
      <c r="N301" s="88"/>
      <c r="O301" s="88"/>
      <c r="P301" s="88"/>
      <c r="Q301" s="88"/>
      <c r="R301" s="88"/>
      <c r="S301" s="88"/>
      <c r="T301" s="88"/>
      <c r="U301" s="88"/>
      <c r="V301" s="88"/>
      <c r="W301" s="88"/>
      <c r="X301" s="88"/>
      <c r="Y301" s="88"/>
      <c r="Z301" s="88"/>
      <c r="AA301" s="88"/>
      <c r="AB301" s="128"/>
      <c r="AC301" s="128"/>
      <c r="AD301" s="128"/>
      <c r="AE301" s="128"/>
      <c r="AF301" s="128"/>
      <c r="AG301" s="128"/>
      <c r="AH301" s="127"/>
    </row>
    <row r="302" spans="1:34" ht="13.2">
      <c r="A302" s="88"/>
      <c r="B302" s="88"/>
      <c r="C302" s="88"/>
      <c r="D302" s="88"/>
      <c r="E302" s="88"/>
      <c r="F302" s="88"/>
      <c r="G302" s="88"/>
      <c r="H302" s="88"/>
      <c r="I302" s="88"/>
      <c r="J302" s="88"/>
      <c r="K302" s="88"/>
      <c r="L302" s="88"/>
      <c r="M302" s="88"/>
      <c r="N302" s="88"/>
      <c r="O302" s="88"/>
      <c r="P302" s="88"/>
      <c r="Q302" s="88"/>
      <c r="R302" s="88"/>
      <c r="S302" s="88"/>
      <c r="T302" s="88"/>
      <c r="U302" s="88"/>
      <c r="V302" s="88"/>
      <c r="W302" s="88"/>
      <c r="X302" s="88"/>
      <c r="Y302" s="88"/>
      <c r="Z302" s="88"/>
      <c r="AA302" s="88"/>
      <c r="AB302" s="128"/>
      <c r="AC302" s="128"/>
      <c r="AD302" s="128"/>
      <c r="AE302" s="128"/>
      <c r="AF302" s="128"/>
      <c r="AG302" s="128"/>
      <c r="AH302" s="127"/>
    </row>
    <row r="303" spans="1:34" ht="13.2">
      <c r="A303" s="88"/>
      <c r="B303" s="88"/>
      <c r="C303" s="88"/>
      <c r="D303" s="88"/>
      <c r="E303" s="88"/>
      <c r="F303" s="88"/>
      <c r="G303" s="88"/>
      <c r="H303" s="88"/>
      <c r="I303" s="88"/>
      <c r="J303" s="88"/>
      <c r="K303" s="88"/>
      <c r="L303" s="88"/>
      <c r="M303" s="88"/>
      <c r="N303" s="88"/>
      <c r="O303" s="88"/>
      <c r="P303" s="88"/>
      <c r="Q303" s="88"/>
      <c r="R303" s="88"/>
      <c r="S303" s="88"/>
      <c r="T303" s="88"/>
      <c r="U303" s="88"/>
      <c r="V303" s="88"/>
      <c r="W303" s="88"/>
      <c r="X303" s="88"/>
      <c r="Y303" s="88"/>
      <c r="Z303" s="88"/>
      <c r="AA303" s="88"/>
      <c r="AB303" s="128"/>
      <c r="AC303" s="128"/>
      <c r="AD303" s="128"/>
      <c r="AE303" s="128"/>
      <c r="AF303" s="128"/>
      <c r="AG303" s="128"/>
      <c r="AH303" s="127"/>
    </row>
    <row r="304" spans="1:34" ht="13.2">
      <c r="A304" s="88"/>
      <c r="B304" s="88"/>
      <c r="C304" s="88"/>
      <c r="D304" s="88"/>
      <c r="E304" s="88"/>
      <c r="F304" s="88"/>
      <c r="G304" s="88"/>
      <c r="H304" s="88"/>
      <c r="I304" s="88"/>
      <c r="J304" s="88"/>
      <c r="K304" s="88"/>
      <c r="L304" s="88"/>
      <c r="M304" s="88"/>
      <c r="N304" s="88"/>
      <c r="O304" s="88"/>
      <c r="P304" s="88"/>
      <c r="Q304" s="88"/>
      <c r="R304" s="88"/>
      <c r="S304" s="88"/>
      <c r="T304" s="88"/>
      <c r="U304" s="88"/>
      <c r="V304" s="88"/>
      <c r="W304" s="88"/>
      <c r="X304" s="88"/>
      <c r="Y304" s="88"/>
      <c r="Z304" s="88"/>
      <c r="AA304" s="88"/>
      <c r="AB304" s="128"/>
      <c r="AC304" s="128"/>
      <c r="AD304" s="128"/>
      <c r="AE304" s="128"/>
      <c r="AF304" s="128"/>
      <c r="AG304" s="128"/>
      <c r="AH304" s="127"/>
    </row>
    <row r="305" spans="1:34" ht="13.2">
      <c r="A305" s="88"/>
      <c r="B305" s="88"/>
      <c r="C305" s="88"/>
      <c r="D305" s="88"/>
      <c r="E305" s="88"/>
      <c r="F305" s="88"/>
      <c r="G305" s="88"/>
      <c r="H305" s="88"/>
      <c r="I305" s="88"/>
      <c r="J305" s="88"/>
      <c r="K305" s="88"/>
      <c r="L305" s="88"/>
      <c r="M305" s="88"/>
      <c r="N305" s="88"/>
      <c r="O305" s="88"/>
      <c r="P305" s="88"/>
      <c r="Q305" s="88"/>
      <c r="R305" s="88"/>
      <c r="S305" s="88"/>
      <c r="T305" s="88"/>
      <c r="U305" s="88"/>
      <c r="V305" s="88"/>
      <c r="W305" s="88"/>
      <c r="X305" s="88"/>
      <c r="Y305" s="88"/>
      <c r="Z305" s="88"/>
      <c r="AA305" s="88"/>
      <c r="AB305" s="128"/>
      <c r="AC305" s="128"/>
      <c r="AD305" s="128"/>
      <c r="AE305" s="128"/>
      <c r="AF305" s="128"/>
      <c r="AG305" s="128"/>
      <c r="AH305" s="127"/>
    </row>
    <row r="306" spans="1:34" ht="13.2">
      <c r="A306" s="88"/>
      <c r="B306" s="88"/>
      <c r="C306" s="88"/>
      <c r="D306" s="88"/>
      <c r="E306" s="88"/>
      <c r="F306" s="88"/>
      <c r="G306" s="88"/>
      <c r="H306" s="88"/>
      <c r="I306" s="88"/>
      <c r="J306" s="88"/>
      <c r="K306" s="88"/>
      <c r="L306" s="88"/>
      <c r="M306" s="88"/>
      <c r="N306" s="88"/>
      <c r="O306" s="88"/>
      <c r="P306" s="88"/>
      <c r="Q306" s="88"/>
      <c r="R306" s="88"/>
      <c r="S306" s="88"/>
      <c r="T306" s="88"/>
      <c r="U306" s="88"/>
      <c r="V306" s="88"/>
      <c r="W306" s="88"/>
      <c r="X306" s="88"/>
      <c r="Y306" s="88"/>
      <c r="Z306" s="88"/>
      <c r="AA306" s="88"/>
      <c r="AB306" s="128"/>
      <c r="AC306" s="128"/>
      <c r="AD306" s="128"/>
      <c r="AE306" s="128"/>
      <c r="AF306" s="128"/>
      <c r="AG306" s="128"/>
      <c r="AH306" s="127"/>
    </row>
    <row r="307" spans="1:34" ht="13.2">
      <c r="A307" s="88"/>
      <c r="B307" s="88"/>
      <c r="C307" s="88"/>
      <c r="D307" s="88"/>
      <c r="E307" s="88"/>
      <c r="F307" s="88"/>
      <c r="G307" s="88"/>
      <c r="H307" s="88"/>
      <c r="I307" s="88"/>
      <c r="J307" s="88"/>
      <c r="K307" s="88"/>
      <c r="L307" s="88"/>
      <c r="M307" s="88"/>
      <c r="N307" s="88"/>
      <c r="O307" s="88"/>
      <c r="P307" s="88"/>
      <c r="Q307" s="88"/>
      <c r="R307" s="88"/>
      <c r="S307" s="88"/>
      <c r="T307" s="88"/>
      <c r="U307" s="88"/>
      <c r="V307" s="88"/>
      <c r="W307" s="88"/>
      <c r="X307" s="88"/>
      <c r="Y307" s="88"/>
      <c r="Z307" s="88"/>
      <c r="AA307" s="88"/>
      <c r="AB307" s="128"/>
      <c r="AC307" s="128"/>
      <c r="AD307" s="128"/>
      <c r="AE307" s="128"/>
      <c r="AF307" s="128"/>
      <c r="AG307" s="128"/>
      <c r="AH307" s="127"/>
    </row>
    <row r="308" spans="1:34" ht="13.2">
      <c r="A308" s="88"/>
      <c r="B308" s="88"/>
      <c r="C308" s="88"/>
      <c r="D308" s="88"/>
      <c r="E308" s="88"/>
      <c r="F308" s="88"/>
      <c r="G308" s="88"/>
      <c r="H308" s="88"/>
      <c r="I308" s="88"/>
      <c r="J308" s="88"/>
      <c r="K308" s="88"/>
      <c r="L308" s="88"/>
      <c r="M308" s="88"/>
      <c r="N308" s="88"/>
      <c r="O308" s="88"/>
      <c r="P308" s="88"/>
      <c r="Q308" s="88"/>
      <c r="R308" s="88"/>
      <c r="S308" s="88"/>
      <c r="T308" s="88"/>
      <c r="U308" s="88"/>
      <c r="V308" s="88"/>
      <c r="W308" s="88"/>
      <c r="X308" s="88"/>
      <c r="Y308" s="88"/>
      <c r="Z308" s="88"/>
      <c r="AA308" s="88"/>
      <c r="AB308" s="128"/>
      <c r="AC308" s="128"/>
      <c r="AD308" s="128"/>
      <c r="AE308" s="128"/>
      <c r="AF308" s="128"/>
      <c r="AG308" s="128"/>
      <c r="AH308" s="127"/>
    </row>
    <row r="309" spans="1:34" ht="13.2">
      <c r="A309" s="88"/>
      <c r="B309" s="88"/>
      <c r="C309" s="88"/>
      <c r="D309" s="88"/>
      <c r="E309" s="88"/>
      <c r="F309" s="88"/>
      <c r="G309" s="88"/>
      <c r="H309" s="88"/>
      <c r="I309" s="88"/>
      <c r="J309" s="88"/>
      <c r="K309" s="88"/>
      <c r="L309" s="88"/>
      <c r="M309" s="88"/>
      <c r="N309" s="88"/>
      <c r="O309" s="88"/>
      <c r="P309" s="88"/>
      <c r="Q309" s="88"/>
      <c r="R309" s="88"/>
      <c r="S309" s="88"/>
      <c r="T309" s="88"/>
      <c r="U309" s="88"/>
      <c r="V309" s="88"/>
      <c r="W309" s="88"/>
      <c r="X309" s="88"/>
      <c r="Y309" s="88"/>
      <c r="Z309" s="88"/>
      <c r="AA309" s="88"/>
      <c r="AB309" s="128"/>
      <c r="AC309" s="128"/>
      <c r="AD309" s="128"/>
      <c r="AE309" s="128"/>
      <c r="AF309" s="128"/>
      <c r="AG309" s="128"/>
      <c r="AH309" s="127"/>
    </row>
    <row r="310" spans="1:34" ht="13.2">
      <c r="A310" s="88"/>
      <c r="B310" s="88"/>
      <c r="C310" s="88"/>
      <c r="D310" s="88"/>
      <c r="E310" s="88"/>
      <c r="F310" s="88"/>
      <c r="G310" s="88"/>
      <c r="H310" s="88"/>
      <c r="I310" s="88"/>
      <c r="J310" s="88"/>
      <c r="K310" s="88"/>
      <c r="L310" s="88"/>
      <c r="M310" s="88"/>
      <c r="N310" s="88"/>
      <c r="O310" s="88"/>
      <c r="P310" s="88"/>
      <c r="Q310" s="88"/>
      <c r="R310" s="88"/>
      <c r="S310" s="88"/>
      <c r="T310" s="88"/>
      <c r="U310" s="88"/>
      <c r="V310" s="88"/>
      <c r="W310" s="88"/>
      <c r="X310" s="88"/>
      <c r="Y310" s="88"/>
      <c r="Z310" s="88"/>
      <c r="AA310" s="88"/>
      <c r="AB310" s="128"/>
      <c r="AC310" s="128"/>
      <c r="AD310" s="128"/>
      <c r="AE310" s="128"/>
      <c r="AF310" s="128"/>
      <c r="AG310" s="128"/>
      <c r="AH310" s="127"/>
    </row>
    <row r="311" spans="1:34" ht="13.2">
      <c r="A311" s="88"/>
      <c r="B311" s="88"/>
      <c r="C311" s="88"/>
      <c r="D311" s="88"/>
      <c r="E311" s="88"/>
      <c r="F311" s="88"/>
      <c r="G311" s="88"/>
      <c r="H311" s="88"/>
      <c r="I311" s="88"/>
      <c r="J311" s="88"/>
      <c r="K311" s="88"/>
      <c r="L311" s="88"/>
      <c r="M311" s="88"/>
      <c r="N311" s="88"/>
      <c r="O311" s="88"/>
      <c r="P311" s="88"/>
      <c r="Q311" s="88"/>
      <c r="R311" s="88"/>
      <c r="S311" s="88"/>
      <c r="T311" s="88"/>
      <c r="U311" s="88"/>
      <c r="V311" s="88"/>
      <c r="W311" s="88"/>
      <c r="X311" s="88"/>
      <c r="Y311" s="88"/>
      <c r="Z311" s="88"/>
      <c r="AA311" s="88"/>
      <c r="AB311" s="128"/>
      <c r="AC311" s="128"/>
      <c r="AD311" s="128"/>
      <c r="AE311" s="128"/>
      <c r="AF311" s="128"/>
      <c r="AG311" s="128"/>
      <c r="AH311" s="127"/>
    </row>
    <row r="312" spans="1:34" ht="13.2">
      <c r="A312" s="88"/>
      <c r="B312" s="88"/>
      <c r="C312" s="88"/>
      <c r="D312" s="88"/>
      <c r="E312" s="88"/>
      <c r="F312" s="88"/>
      <c r="G312" s="88"/>
      <c r="H312" s="88"/>
      <c r="I312" s="88"/>
      <c r="J312" s="88"/>
      <c r="K312" s="88"/>
      <c r="L312" s="88"/>
      <c r="M312" s="88"/>
      <c r="N312" s="88"/>
      <c r="O312" s="88"/>
      <c r="P312" s="88"/>
      <c r="Q312" s="88"/>
      <c r="R312" s="88"/>
      <c r="S312" s="88"/>
      <c r="T312" s="88"/>
      <c r="U312" s="88"/>
      <c r="V312" s="88"/>
      <c r="W312" s="88"/>
      <c r="X312" s="88"/>
      <c r="Y312" s="88"/>
      <c r="Z312" s="88"/>
      <c r="AA312" s="88"/>
      <c r="AB312" s="128"/>
      <c r="AC312" s="128"/>
      <c r="AD312" s="128"/>
      <c r="AE312" s="128"/>
      <c r="AF312" s="128"/>
      <c r="AG312" s="128"/>
      <c r="AH312" s="127"/>
    </row>
    <row r="313" spans="1:34" ht="13.2">
      <c r="A313" s="88"/>
      <c r="B313" s="88"/>
      <c r="C313" s="88"/>
      <c r="D313" s="88"/>
      <c r="E313" s="88"/>
      <c r="F313" s="88"/>
      <c r="G313" s="88"/>
      <c r="H313" s="88"/>
      <c r="I313" s="88"/>
      <c r="J313" s="88"/>
      <c r="K313" s="88"/>
      <c r="L313" s="88"/>
      <c r="M313" s="88"/>
      <c r="N313" s="88"/>
      <c r="O313" s="88"/>
      <c r="P313" s="88"/>
      <c r="Q313" s="88"/>
      <c r="R313" s="88"/>
      <c r="S313" s="88"/>
      <c r="T313" s="88"/>
      <c r="U313" s="88"/>
      <c r="V313" s="88"/>
      <c r="W313" s="88"/>
      <c r="X313" s="88"/>
      <c r="Y313" s="88"/>
      <c r="Z313" s="88"/>
      <c r="AA313" s="88"/>
      <c r="AB313" s="128"/>
      <c r="AC313" s="128"/>
      <c r="AD313" s="128"/>
      <c r="AE313" s="128"/>
      <c r="AF313" s="128"/>
      <c r="AG313" s="128"/>
      <c r="AH313" s="127"/>
    </row>
    <row r="314" spans="1:34" ht="13.2">
      <c r="A314" s="88"/>
      <c r="B314" s="88"/>
      <c r="C314" s="88"/>
      <c r="D314" s="88"/>
      <c r="E314" s="88"/>
      <c r="F314" s="88"/>
      <c r="G314" s="88"/>
      <c r="H314" s="88"/>
      <c r="I314" s="88"/>
      <c r="J314" s="88"/>
      <c r="K314" s="88"/>
      <c r="L314" s="88"/>
      <c r="M314" s="88"/>
      <c r="N314" s="88"/>
      <c r="O314" s="88"/>
      <c r="P314" s="88"/>
      <c r="Q314" s="88"/>
      <c r="R314" s="88"/>
      <c r="S314" s="88"/>
      <c r="T314" s="88"/>
      <c r="U314" s="88"/>
      <c r="V314" s="88"/>
      <c r="W314" s="88"/>
      <c r="X314" s="88"/>
      <c r="Y314" s="88"/>
      <c r="Z314" s="88"/>
      <c r="AA314" s="88"/>
      <c r="AB314" s="128"/>
      <c r="AC314" s="128"/>
      <c r="AD314" s="128"/>
      <c r="AE314" s="128"/>
      <c r="AF314" s="128"/>
      <c r="AG314" s="128"/>
      <c r="AH314" s="127"/>
    </row>
    <row r="315" spans="1:34" ht="13.2">
      <c r="A315" s="88"/>
      <c r="B315" s="88"/>
      <c r="C315" s="88"/>
      <c r="D315" s="88"/>
      <c r="E315" s="88"/>
      <c r="F315" s="88"/>
      <c r="G315" s="88"/>
      <c r="H315" s="88"/>
      <c r="I315" s="88"/>
      <c r="J315" s="88"/>
      <c r="K315" s="88"/>
      <c r="L315" s="88"/>
      <c r="M315" s="88"/>
      <c r="N315" s="88"/>
      <c r="O315" s="88"/>
      <c r="P315" s="88"/>
      <c r="Q315" s="88"/>
      <c r="R315" s="88"/>
      <c r="S315" s="88"/>
      <c r="T315" s="88"/>
      <c r="U315" s="88"/>
      <c r="V315" s="88"/>
      <c r="W315" s="88"/>
      <c r="X315" s="88"/>
      <c r="Y315" s="88"/>
      <c r="Z315" s="88"/>
      <c r="AA315" s="88"/>
      <c r="AB315" s="128"/>
      <c r="AC315" s="128"/>
      <c r="AD315" s="128"/>
      <c r="AE315" s="128"/>
      <c r="AF315" s="128"/>
      <c r="AG315" s="128"/>
      <c r="AH315" s="127"/>
    </row>
    <row r="316" spans="1:34" ht="13.2">
      <c r="A316" s="88"/>
      <c r="B316" s="88"/>
      <c r="C316" s="88"/>
      <c r="D316" s="88"/>
      <c r="E316" s="88"/>
      <c r="F316" s="88"/>
      <c r="G316" s="88"/>
      <c r="H316" s="88"/>
      <c r="I316" s="88"/>
      <c r="J316" s="88"/>
      <c r="K316" s="88"/>
      <c r="L316" s="88"/>
      <c r="M316" s="88"/>
      <c r="N316" s="88"/>
      <c r="O316" s="88"/>
      <c r="P316" s="88"/>
      <c r="Q316" s="88"/>
      <c r="R316" s="88"/>
      <c r="S316" s="88"/>
      <c r="T316" s="88"/>
      <c r="U316" s="88"/>
      <c r="V316" s="88"/>
      <c r="W316" s="88"/>
      <c r="X316" s="88"/>
      <c r="Y316" s="88"/>
      <c r="Z316" s="88"/>
      <c r="AA316" s="88"/>
      <c r="AB316" s="128"/>
      <c r="AC316" s="128"/>
      <c r="AD316" s="128"/>
      <c r="AE316" s="128"/>
      <c r="AF316" s="128"/>
      <c r="AG316" s="128"/>
      <c r="AH316" s="127"/>
    </row>
    <row r="317" spans="1:34" ht="13.2">
      <c r="A317" s="88"/>
      <c r="B317" s="88"/>
      <c r="C317" s="88"/>
      <c r="D317" s="88"/>
      <c r="E317" s="88"/>
      <c r="F317" s="88"/>
      <c r="G317" s="88"/>
      <c r="H317" s="88"/>
      <c r="I317" s="88"/>
      <c r="J317" s="88"/>
      <c r="K317" s="88"/>
      <c r="L317" s="88"/>
      <c r="M317" s="88"/>
      <c r="N317" s="88"/>
      <c r="O317" s="88"/>
      <c r="P317" s="88"/>
      <c r="Q317" s="88"/>
      <c r="R317" s="88"/>
      <c r="S317" s="88"/>
      <c r="T317" s="88"/>
      <c r="U317" s="88"/>
      <c r="V317" s="88"/>
      <c r="W317" s="88"/>
      <c r="X317" s="88"/>
      <c r="Y317" s="88"/>
      <c r="Z317" s="88"/>
      <c r="AA317" s="88"/>
      <c r="AB317" s="128"/>
      <c r="AC317" s="128"/>
      <c r="AD317" s="128"/>
      <c r="AE317" s="128"/>
      <c r="AF317" s="128"/>
      <c r="AG317" s="128"/>
      <c r="AH317" s="127"/>
    </row>
    <row r="318" spans="1:34" ht="13.2">
      <c r="A318" s="88"/>
      <c r="B318" s="88"/>
      <c r="C318" s="88"/>
      <c r="D318" s="88"/>
      <c r="E318" s="88"/>
      <c r="F318" s="88"/>
      <c r="G318" s="88"/>
      <c r="H318" s="88"/>
      <c r="I318" s="88"/>
      <c r="J318" s="88"/>
      <c r="K318" s="88"/>
      <c r="L318" s="88"/>
      <c r="M318" s="88"/>
      <c r="N318" s="88"/>
      <c r="O318" s="88"/>
      <c r="P318" s="88"/>
      <c r="Q318" s="88"/>
      <c r="R318" s="88"/>
      <c r="S318" s="88"/>
      <c r="T318" s="88"/>
      <c r="U318" s="88"/>
      <c r="V318" s="88"/>
      <c r="W318" s="88"/>
      <c r="X318" s="88"/>
      <c r="Y318" s="88"/>
      <c r="Z318" s="88"/>
      <c r="AA318" s="88"/>
      <c r="AB318" s="128"/>
      <c r="AC318" s="128"/>
      <c r="AD318" s="128"/>
      <c r="AE318" s="128"/>
      <c r="AF318" s="128"/>
      <c r="AG318" s="128"/>
      <c r="AH318" s="127"/>
    </row>
    <row r="319" spans="1:34" ht="13.2">
      <c r="A319" s="88"/>
      <c r="B319" s="88"/>
      <c r="C319" s="88"/>
      <c r="D319" s="88"/>
      <c r="E319" s="88"/>
      <c r="F319" s="88"/>
      <c r="G319" s="88"/>
      <c r="H319" s="88"/>
      <c r="I319" s="88"/>
      <c r="J319" s="88"/>
      <c r="K319" s="88"/>
      <c r="L319" s="88"/>
      <c r="M319" s="88"/>
      <c r="N319" s="88"/>
      <c r="O319" s="88"/>
      <c r="P319" s="88"/>
      <c r="Q319" s="88"/>
      <c r="R319" s="88"/>
      <c r="S319" s="88"/>
      <c r="T319" s="88"/>
      <c r="U319" s="88"/>
      <c r="V319" s="88"/>
      <c r="W319" s="88"/>
      <c r="X319" s="88"/>
      <c r="Y319" s="88"/>
      <c r="Z319" s="88"/>
      <c r="AA319" s="88"/>
      <c r="AB319" s="128"/>
      <c r="AC319" s="128"/>
      <c r="AD319" s="128"/>
      <c r="AE319" s="128"/>
      <c r="AF319" s="128"/>
      <c r="AG319" s="128"/>
      <c r="AH319" s="127"/>
    </row>
    <row r="320" spans="1:34" ht="13.2">
      <c r="A320" s="88"/>
      <c r="B320" s="88"/>
      <c r="C320" s="88"/>
      <c r="D320" s="88"/>
      <c r="E320" s="88"/>
      <c r="F320" s="88"/>
      <c r="G320" s="88"/>
      <c r="H320" s="88"/>
      <c r="I320" s="88"/>
      <c r="J320" s="88"/>
      <c r="K320" s="88"/>
      <c r="L320" s="88"/>
      <c r="M320" s="88"/>
      <c r="N320" s="88"/>
      <c r="O320" s="88"/>
      <c r="P320" s="88"/>
      <c r="Q320" s="88"/>
      <c r="R320" s="88"/>
      <c r="S320" s="88"/>
      <c r="T320" s="88"/>
      <c r="U320" s="88"/>
      <c r="V320" s="88"/>
      <c r="W320" s="88"/>
      <c r="X320" s="88"/>
      <c r="Y320" s="88"/>
      <c r="Z320" s="88"/>
      <c r="AA320" s="88"/>
      <c r="AB320" s="128"/>
      <c r="AC320" s="128"/>
      <c r="AD320" s="128"/>
      <c r="AE320" s="128"/>
      <c r="AF320" s="128"/>
      <c r="AG320" s="128"/>
      <c r="AH320" s="127"/>
    </row>
    <row r="321" spans="1:34" ht="13.2">
      <c r="A321" s="88"/>
      <c r="B321" s="88"/>
      <c r="C321" s="88"/>
      <c r="D321" s="88"/>
      <c r="E321" s="88"/>
      <c r="F321" s="88"/>
      <c r="G321" s="88"/>
      <c r="H321" s="88"/>
      <c r="I321" s="88"/>
      <c r="J321" s="88"/>
      <c r="K321" s="88"/>
      <c r="L321" s="88"/>
      <c r="M321" s="88"/>
      <c r="N321" s="88"/>
      <c r="O321" s="88"/>
      <c r="P321" s="88"/>
      <c r="Q321" s="88"/>
      <c r="R321" s="88"/>
      <c r="S321" s="88"/>
      <c r="T321" s="88"/>
      <c r="U321" s="88"/>
      <c r="V321" s="88"/>
      <c r="W321" s="88"/>
      <c r="X321" s="88"/>
      <c r="Y321" s="88"/>
      <c r="Z321" s="88"/>
      <c r="AA321" s="88"/>
      <c r="AB321" s="128"/>
      <c r="AC321" s="128"/>
      <c r="AD321" s="128"/>
      <c r="AE321" s="128"/>
      <c r="AF321" s="128"/>
      <c r="AG321" s="128"/>
      <c r="AH321" s="127"/>
    </row>
    <row r="322" spans="1:34" ht="13.2">
      <c r="A322" s="88"/>
      <c r="B322" s="88"/>
      <c r="C322" s="88"/>
      <c r="D322" s="88"/>
      <c r="E322" s="88"/>
      <c r="F322" s="88"/>
      <c r="G322" s="88"/>
      <c r="H322" s="88"/>
      <c r="I322" s="88"/>
      <c r="J322" s="88"/>
      <c r="K322" s="88"/>
      <c r="L322" s="88"/>
      <c r="M322" s="88"/>
      <c r="N322" s="88"/>
      <c r="O322" s="88"/>
      <c r="P322" s="88"/>
      <c r="Q322" s="88"/>
      <c r="R322" s="88"/>
      <c r="S322" s="88"/>
      <c r="T322" s="88"/>
      <c r="U322" s="88"/>
      <c r="V322" s="88"/>
      <c r="W322" s="88"/>
      <c r="X322" s="88"/>
      <c r="Y322" s="88"/>
      <c r="Z322" s="88"/>
      <c r="AA322" s="88"/>
      <c r="AB322" s="128"/>
      <c r="AC322" s="128"/>
      <c r="AD322" s="128"/>
      <c r="AE322" s="128"/>
      <c r="AF322" s="128"/>
      <c r="AG322" s="128"/>
      <c r="AH322" s="127"/>
    </row>
    <row r="323" spans="1:34" ht="13.2">
      <c r="A323" s="88"/>
      <c r="B323" s="88"/>
      <c r="C323" s="88"/>
      <c r="D323" s="88"/>
      <c r="E323" s="88"/>
      <c r="F323" s="88"/>
      <c r="G323" s="88"/>
      <c r="H323" s="88"/>
      <c r="I323" s="88"/>
      <c r="J323" s="88"/>
      <c r="K323" s="88"/>
      <c r="L323" s="88"/>
      <c r="M323" s="88"/>
      <c r="N323" s="88"/>
      <c r="O323" s="88"/>
      <c r="P323" s="88"/>
      <c r="Q323" s="88"/>
      <c r="R323" s="88"/>
      <c r="S323" s="88"/>
      <c r="T323" s="88"/>
      <c r="U323" s="88"/>
      <c r="V323" s="88"/>
      <c r="W323" s="88"/>
      <c r="X323" s="88"/>
      <c r="Y323" s="88"/>
      <c r="Z323" s="88"/>
      <c r="AA323" s="88"/>
      <c r="AB323" s="128"/>
      <c r="AC323" s="128"/>
      <c r="AD323" s="128"/>
      <c r="AE323" s="128"/>
      <c r="AF323" s="128"/>
      <c r="AG323" s="128"/>
      <c r="AH323" s="127"/>
    </row>
    <row r="324" spans="1:34" ht="13.2">
      <c r="A324" s="88"/>
      <c r="B324" s="88"/>
      <c r="C324" s="88"/>
      <c r="D324" s="88"/>
      <c r="E324" s="88"/>
      <c r="F324" s="88"/>
      <c r="G324" s="88"/>
      <c r="H324" s="88"/>
      <c r="I324" s="88"/>
      <c r="J324" s="88"/>
      <c r="K324" s="88"/>
      <c r="L324" s="88"/>
      <c r="M324" s="88"/>
      <c r="N324" s="88"/>
      <c r="O324" s="88"/>
      <c r="P324" s="88"/>
      <c r="Q324" s="88"/>
      <c r="R324" s="88"/>
      <c r="S324" s="88"/>
      <c r="T324" s="88"/>
      <c r="U324" s="88"/>
      <c r="V324" s="88"/>
      <c r="W324" s="88"/>
      <c r="X324" s="88"/>
      <c r="Y324" s="88"/>
      <c r="Z324" s="88"/>
      <c r="AA324" s="88"/>
      <c r="AB324" s="128"/>
      <c r="AC324" s="128"/>
      <c r="AD324" s="128"/>
      <c r="AE324" s="128"/>
      <c r="AF324" s="128"/>
      <c r="AG324" s="128"/>
      <c r="AH324" s="127"/>
    </row>
    <row r="325" spans="1:34" ht="13.2">
      <c r="A325" s="88"/>
      <c r="B325" s="88"/>
      <c r="C325" s="88"/>
      <c r="D325" s="88"/>
      <c r="E325" s="88"/>
      <c r="F325" s="88"/>
      <c r="G325" s="88"/>
      <c r="H325" s="88"/>
      <c r="I325" s="88"/>
      <c r="J325" s="88"/>
      <c r="K325" s="88"/>
      <c r="L325" s="88"/>
      <c r="M325" s="88"/>
      <c r="N325" s="88"/>
      <c r="O325" s="88"/>
      <c r="P325" s="88"/>
      <c r="Q325" s="88"/>
      <c r="R325" s="88"/>
      <c r="S325" s="88"/>
      <c r="T325" s="88"/>
      <c r="U325" s="88"/>
      <c r="V325" s="88"/>
      <c r="W325" s="88"/>
      <c r="X325" s="88"/>
      <c r="Y325" s="88"/>
      <c r="Z325" s="88"/>
      <c r="AA325" s="88"/>
      <c r="AB325" s="128"/>
      <c r="AC325" s="128"/>
      <c r="AD325" s="128"/>
      <c r="AE325" s="128"/>
      <c r="AF325" s="128"/>
      <c r="AG325" s="128"/>
      <c r="AH325" s="127"/>
    </row>
    <row r="326" spans="1:34" ht="13.2">
      <c r="A326" s="88"/>
      <c r="B326" s="88"/>
      <c r="C326" s="88"/>
      <c r="D326" s="88"/>
      <c r="E326" s="88"/>
      <c r="F326" s="88"/>
      <c r="G326" s="88"/>
      <c r="H326" s="88"/>
      <c r="I326" s="88"/>
      <c r="J326" s="88"/>
      <c r="K326" s="88"/>
      <c r="L326" s="88"/>
      <c r="M326" s="88"/>
      <c r="N326" s="88"/>
      <c r="O326" s="88"/>
      <c r="P326" s="88"/>
      <c r="Q326" s="88"/>
      <c r="R326" s="88"/>
      <c r="S326" s="88"/>
      <c r="T326" s="88"/>
      <c r="U326" s="88"/>
      <c r="V326" s="88"/>
      <c r="W326" s="88"/>
      <c r="X326" s="88"/>
      <c r="Y326" s="88"/>
      <c r="Z326" s="88"/>
      <c r="AA326" s="88"/>
      <c r="AB326" s="128"/>
      <c r="AC326" s="128"/>
      <c r="AD326" s="128"/>
      <c r="AE326" s="128"/>
      <c r="AF326" s="128"/>
      <c r="AG326" s="128"/>
      <c r="AH326" s="127"/>
    </row>
    <row r="327" spans="1:34" ht="13.2">
      <c r="A327" s="88"/>
      <c r="B327" s="88"/>
      <c r="C327" s="88"/>
      <c r="D327" s="88"/>
      <c r="E327" s="88"/>
      <c r="F327" s="88"/>
      <c r="G327" s="88"/>
      <c r="H327" s="88"/>
      <c r="I327" s="88"/>
      <c r="J327" s="88"/>
      <c r="K327" s="88"/>
      <c r="L327" s="88"/>
      <c r="M327" s="88"/>
      <c r="N327" s="88"/>
      <c r="O327" s="88"/>
      <c r="P327" s="88"/>
      <c r="Q327" s="88"/>
      <c r="R327" s="88"/>
      <c r="S327" s="88"/>
      <c r="T327" s="88"/>
      <c r="U327" s="88"/>
      <c r="V327" s="88"/>
      <c r="W327" s="88"/>
      <c r="X327" s="88"/>
      <c r="Y327" s="88"/>
      <c r="Z327" s="88"/>
      <c r="AA327" s="88"/>
      <c r="AB327" s="128"/>
      <c r="AC327" s="128"/>
      <c r="AD327" s="128"/>
      <c r="AE327" s="128"/>
      <c r="AF327" s="128"/>
      <c r="AG327" s="128"/>
      <c r="AH327" s="127"/>
    </row>
    <row r="328" spans="1:34" ht="13.2">
      <c r="A328" s="88"/>
      <c r="B328" s="88"/>
      <c r="C328" s="88"/>
      <c r="D328" s="88"/>
      <c r="E328" s="88"/>
      <c r="F328" s="88"/>
      <c r="G328" s="88"/>
      <c r="H328" s="88"/>
      <c r="I328" s="88"/>
      <c r="J328" s="88"/>
      <c r="K328" s="88"/>
      <c r="L328" s="88"/>
      <c r="M328" s="88"/>
      <c r="N328" s="88"/>
      <c r="O328" s="88"/>
      <c r="P328" s="88"/>
      <c r="Q328" s="88"/>
      <c r="R328" s="88"/>
      <c r="S328" s="88"/>
      <c r="T328" s="88"/>
      <c r="U328" s="88"/>
      <c r="V328" s="88"/>
      <c r="W328" s="88"/>
      <c r="X328" s="88"/>
      <c r="Y328" s="88"/>
      <c r="Z328" s="88"/>
      <c r="AA328" s="88"/>
      <c r="AB328" s="128"/>
      <c r="AC328" s="128"/>
      <c r="AD328" s="128"/>
      <c r="AE328" s="128"/>
      <c r="AF328" s="128"/>
      <c r="AG328" s="128"/>
      <c r="AH328" s="127"/>
    </row>
    <row r="329" spans="1:34" ht="13.2">
      <c r="A329" s="88"/>
      <c r="B329" s="88"/>
      <c r="C329" s="88"/>
      <c r="D329" s="88"/>
      <c r="E329" s="88"/>
      <c r="F329" s="88"/>
      <c r="G329" s="88"/>
      <c r="H329" s="88"/>
      <c r="I329" s="88"/>
      <c r="J329" s="88"/>
      <c r="K329" s="88"/>
      <c r="L329" s="88"/>
      <c r="M329" s="88"/>
      <c r="N329" s="88"/>
      <c r="O329" s="88"/>
      <c r="P329" s="88"/>
      <c r="Q329" s="88"/>
      <c r="R329" s="88"/>
      <c r="S329" s="88"/>
      <c r="T329" s="88"/>
      <c r="U329" s="88"/>
      <c r="V329" s="88"/>
      <c r="W329" s="88"/>
      <c r="X329" s="88"/>
      <c r="Y329" s="88"/>
      <c r="Z329" s="88"/>
      <c r="AA329" s="88"/>
      <c r="AB329" s="128"/>
      <c r="AC329" s="128"/>
      <c r="AD329" s="128"/>
      <c r="AE329" s="128"/>
      <c r="AF329" s="128"/>
      <c r="AG329" s="128"/>
      <c r="AH329" s="127"/>
    </row>
    <row r="330" spans="1:34" ht="13.2">
      <c r="A330" s="88"/>
      <c r="B330" s="88"/>
      <c r="C330" s="88"/>
      <c r="D330" s="88"/>
      <c r="E330" s="88"/>
      <c r="F330" s="88"/>
      <c r="G330" s="88"/>
      <c r="H330" s="88"/>
      <c r="I330" s="88"/>
      <c r="J330" s="88"/>
      <c r="K330" s="88"/>
      <c r="L330" s="88"/>
      <c r="M330" s="88"/>
      <c r="N330" s="88"/>
      <c r="O330" s="88"/>
      <c r="P330" s="88"/>
      <c r="Q330" s="88"/>
      <c r="R330" s="88"/>
      <c r="S330" s="88"/>
      <c r="T330" s="88"/>
      <c r="U330" s="88"/>
      <c r="V330" s="88"/>
      <c r="W330" s="88"/>
      <c r="X330" s="88"/>
      <c r="Y330" s="88"/>
      <c r="Z330" s="88"/>
      <c r="AA330" s="88"/>
      <c r="AB330" s="128"/>
      <c r="AC330" s="128"/>
      <c r="AD330" s="128"/>
      <c r="AE330" s="128"/>
      <c r="AF330" s="128"/>
      <c r="AG330" s="128"/>
      <c r="AH330" s="127"/>
    </row>
    <row r="331" spans="1:34" ht="13.2">
      <c r="A331" s="88"/>
      <c r="B331" s="88"/>
      <c r="C331" s="88"/>
      <c r="D331" s="88"/>
      <c r="E331" s="88"/>
      <c r="F331" s="88"/>
      <c r="G331" s="88"/>
      <c r="H331" s="88"/>
      <c r="I331" s="88"/>
      <c r="J331" s="88"/>
      <c r="K331" s="88"/>
      <c r="L331" s="88"/>
      <c r="M331" s="88"/>
      <c r="N331" s="88"/>
      <c r="O331" s="88"/>
      <c r="P331" s="88"/>
      <c r="Q331" s="88"/>
      <c r="R331" s="88"/>
      <c r="S331" s="88"/>
      <c r="T331" s="88"/>
      <c r="U331" s="88"/>
      <c r="V331" s="88"/>
      <c r="W331" s="88"/>
      <c r="X331" s="88"/>
      <c r="Y331" s="88"/>
      <c r="Z331" s="88"/>
      <c r="AA331" s="88"/>
      <c r="AB331" s="128"/>
      <c r="AC331" s="128"/>
      <c r="AD331" s="128"/>
      <c r="AE331" s="128"/>
      <c r="AF331" s="128"/>
      <c r="AG331" s="128"/>
      <c r="AH331" s="127"/>
    </row>
    <row r="332" spans="1:34" ht="13.2">
      <c r="A332" s="88"/>
      <c r="B332" s="88"/>
      <c r="C332" s="88"/>
      <c r="D332" s="88"/>
      <c r="E332" s="88"/>
      <c r="F332" s="88"/>
      <c r="G332" s="88"/>
      <c r="H332" s="88"/>
      <c r="I332" s="88"/>
      <c r="J332" s="88"/>
      <c r="K332" s="88"/>
      <c r="L332" s="88"/>
      <c r="M332" s="88"/>
      <c r="N332" s="88"/>
      <c r="O332" s="88"/>
      <c r="P332" s="88"/>
      <c r="Q332" s="88"/>
      <c r="R332" s="88"/>
      <c r="S332" s="88"/>
      <c r="T332" s="88"/>
      <c r="U332" s="88"/>
      <c r="V332" s="88"/>
      <c r="W332" s="88"/>
      <c r="X332" s="88"/>
      <c r="Y332" s="88"/>
      <c r="Z332" s="88"/>
      <c r="AA332" s="88"/>
      <c r="AB332" s="128"/>
      <c r="AC332" s="128"/>
      <c r="AD332" s="128"/>
      <c r="AE332" s="128"/>
      <c r="AF332" s="128"/>
      <c r="AG332" s="128"/>
      <c r="AH332" s="127"/>
    </row>
    <row r="333" spans="1:34" ht="13.2">
      <c r="A333" s="88"/>
      <c r="B333" s="88"/>
      <c r="C333" s="88"/>
      <c r="D333" s="88"/>
      <c r="E333" s="88"/>
      <c r="F333" s="88"/>
      <c r="G333" s="88"/>
      <c r="H333" s="88"/>
      <c r="I333" s="88"/>
      <c r="J333" s="88"/>
      <c r="K333" s="88"/>
      <c r="L333" s="88"/>
      <c r="M333" s="88"/>
      <c r="N333" s="88"/>
      <c r="O333" s="88"/>
      <c r="P333" s="88"/>
      <c r="Q333" s="88"/>
      <c r="R333" s="88"/>
      <c r="S333" s="88"/>
      <c r="T333" s="88"/>
      <c r="U333" s="88"/>
      <c r="V333" s="88"/>
      <c r="W333" s="88"/>
      <c r="X333" s="88"/>
      <c r="Y333" s="88"/>
      <c r="Z333" s="88"/>
      <c r="AA333" s="88"/>
      <c r="AB333" s="128"/>
      <c r="AC333" s="128"/>
      <c r="AD333" s="128"/>
      <c r="AE333" s="128"/>
      <c r="AF333" s="128"/>
      <c r="AG333" s="128"/>
      <c r="AH333" s="127"/>
    </row>
    <row r="334" spans="1:34" ht="13.2">
      <c r="A334" s="88"/>
      <c r="B334" s="88"/>
      <c r="C334" s="88"/>
      <c r="D334" s="88"/>
      <c r="E334" s="88"/>
      <c r="F334" s="88"/>
      <c r="G334" s="88"/>
      <c r="H334" s="88"/>
      <c r="I334" s="88"/>
      <c r="J334" s="88"/>
      <c r="K334" s="88"/>
      <c r="L334" s="88"/>
      <c r="M334" s="88"/>
      <c r="N334" s="88"/>
      <c r="O334" s="88"/>
      <c r="P334" s="88"/>
      <c r="Q334" s="88"/>
      <c r="R334" s="88"/>
      <c r="S334" s="88"/>
      <c r="T334" s="88"/>
      <c r="U334" s="88"/>
      <c r="V334" s="88"/>
      <c r="W334" s="88"/>
      <c r="X334" s="88"/>
      <c r="Y334" s="88"/>
      <c r="Z334" s="88"/>
      <c r="AA334" s="88"/>
      <c r="AB334" s="128"/>
      <c r="AC334" s="128"/>
      <c r="AD334" s="128"/>
      <c r="AE334" s="128"/>
      <c r="AF334" s="128"/>
      <c r="AG334" s="128"/>
      <c r="AH334" s="127"/>
    </row>
    <row r="335" spans="1:34" ht="13.2">
      <c r="A335" s="88"/>
      <c r="B335" s="88"/>
      <c r="C335" s="88"/>
      <c r="D335" s="88"/>
      <c r="E335" s="88"/>
      <c r="F335" s="88"/>
      <c r="G335" s="88"/>
      <c r="H335" s="88"/>
      <c r="I335" s="88"/>
      <c r="J335" s="88"/>
      <c r="K335" s="88"/>
      <c r="L335" s="88"/>
      <c r="M335" s="88"/>
      <c r="N335" s="88"/>
      <c r="O335" s="88"/>
      <c r="P335" s="88"/>
      <c r="Q335" s="88"/>
      <c r="R335" s="88"/>
      <c r="S335" s="88"/>
      <c r="T335" s="88"/>
      <c r="U335" s="88"/>
      <c r="V335" s="88"/>
      <c r="W335" s="88"/>
      <c r="X335" s="88"/>
      <c r="Y335" s="88"/>
      <c r="Z335" s="88"/>
      <c r="AA335" s="88"/>
      <c r="AB335" s="128"/>
      <c r="AC335" s="128"/>
      <c r="AD335" s="128"/>
      <c r="AE335" s="128"/>
      <c r="AF335" s="128"/>
      <c r="AG335" s="128"/>
      <c r="AH335" s="127"/>
    </row>
    <row r="336" spans="1:34" ht="13.2">
      <c r="A336" s="88"/>
      <c r="B336" s="88"/>
      <c r="C336" s="88"/>
      <c r="D336" s="88"/>
      <c r="E336" s="88"/>
      <c r="F336" s="88"/>
      <c r="G336" s="88"/>
      <c r="H336" s="88"/>
      <c r="I336" s="88"/>
      <c r="J336" s="88"/>
      <c r="K336" s="88"/>
      <c r="L336" s="88"/>
      <c r="M336" s="88"/>
      <c r="N336" s="88"/>
      <c r="O336" s="88"/>
      <c r="P336" s="88"/>
      <c r="Q336" s="88"/>
      <c r="R336" s="88"/>
      <c r="S336" s="88"/>
      <c r="T336" s="88"/>
      <c r="U336" s="88"/>
      <c r="V336" s="88"/>
      <c r="W336" s="88"/>
      <c r="X336" s="88"/>
      <c r="Y336" s="88"/>
      <c r="Z336" s="88"/>
      <c r="AA336" s="88"/>
      <c r="AB336" s="128"/>
      <c r="AC336" s="128"/>
      <c r="AD336" s="128"/>
      <c r="AE336" s="128"/>
      <c r="AF336" s="128"/>
      <c r="AG336" s="128"/>
      <c r="AH336" s="127"/>
    </row>
    <row r="337" spans="1:34" ht="13.2">
      <c r="A337" s="88"/>
      <c r="B337" s="88"/>
      <c r="C337" s="88"/>
      <c r="D337" s="88"/>
      <c r="E337" s="88"/>
      <c r="F337" s="88"/>
      <c r="G337" s="88"/>
      <c r="H337" s="88"/>
      <c r="I337" s="88"/>
      <c r="J337" s="88"/>
      <c r="K337" s="88"/>
      <c r="L337" s="88"/>
      <c r="M337" s="88"/>
      <c r="N337" s="88"/>
      <c r="O337" s="88"/>
      <c r="P337" s="88"/>
      <c r="Q337" s="88"/>
      <c r="R337" s="88"/>
      <c r="S337" s="88"/>
      <c r="T337" s="88"/>
      <c r="U337" s="88"/>
      <c r="V337" s="88"/>
      <c r="W337" s="88"/>
      <c r="X337" s="88"/>
      <c r="Y337" s="88"/>
      <c r="Z337" s="88"/>
      <c r="AA337" s="88"/>
      <c r="AB337" s="128"/>
      <c r="AC337" s="128"/>
      <c r="AD337" s="128"/>
      <c r="AE337" s="128"/>
      <c r="AF337" s="128"/>
      <c r="AG337" s="128"/>
      <c r="AH337" s="127"/>
    </row>
    <row r="338" spans="1:34" ht="13.2">
      <c r="A338" s="88"/>
      <c r="B338" s="88"/>
      <c r="C338" s="88"/>
      <c r="D338" s="88"/>
      <c r="E338" s="88"/>
      <c r="F338" s="88"/>
      <c r="G338" s="88"/>
      <c r="H338" s="88"/>
      <c r="I338" s="88"/>
      <c r="J338" s="88"/>
      <c r="K338" s="88"/>
      <c r="L338" s="88"/>
      <c r="M338" s="88"/>
      <c r="N338" s="88"/>
      <c r="O338" s="88"/>
      <c r="P338" s="88"/>
      <c r="Q338" s="88"/>
      <c r="R338" s="88"/>
      <c r="S338" s="88"/>
      <c r="T338" s="88"/>
      <c r="U338" s="88"/>
      <c r="V338" s="88"/>
      <c r="W338" s="88"/>
      <c r="X338" s="88"/>
      <c r="Y338" s="88"/>
      <c r="Z338" s="88"/>
      <c r="AA338" s="88"/>
      <c r="AB338" s="128"/>
      <c r="AC338" s="128"/>
      <c r="AD338" s="128"/>
      <c r="AE338" s="128"/>
      <c r="AF338" s="128"/>
      <c r="AG338" s="128"/>
      <c r="AH338" s="127"/>
    </row>
    <row r="339" spans="1:34" ht="13.2">
      <c r="A339" s="88"/>
      <c r="B339" s="88"/>
      <c r="C339" s="88"/>
      <c r="D339" s="88"/>
      <c r="E339" s="88"/>
      <c r="F339" s="88"/>
      <c r="G339" s="88"/>
      <c r="H339" s="88"/>
      <c r="I339" s="88"/>
      <c r="J339" s="88"/>
      <c r="K339" s="88"/>
      <c r="L339" s="88"/>
      <c r="M339" s="88"/>
      <c r="N339" s="88"/>
      <c r="O339" s="88"/>
      <c r="P339" s="88"/>
      <c r="Q339" s="88"/>
      <c r="R339" s="88"/>
      <c r="S339" s="88"/>
      <c r="T339" s="88"/>
      <c r="U339" s="88"/>
      <c r="V339" s="88"/>
      <c r="W339" s="88"/>
      <c r="X339" s="88"/>
      <c r="Y339" s="88"/>
      <c r="Z339" s="88"/>
      <c r="AA339" s="88"/>
      <c r="AB339" s="128"/>
      <c r="AC339" s="128"/>
      <c r="AD339" s="128"/>
      <c r="AE339" s="128"/>
      <c r="AF339" s="128"/>
      <c r="AG339" s="128"/>
      <c r="AH339" s="127"/>
    </row>
    <row r="340" spans="1:34" ht="13.2">
      <c r="A340" s="88"/>
      <c r="B340" s="88"/>
      <c r="C340" s="88"/>
      <c r="D340" s="88"/>
      <c r="E340" s="88"/>
      <c r="F340" s="88"/>
      <c r="G340" s="88"/>
      <c r="H340" s="88"/>
      <c r="I340" s="88"/>
      <c r="J340" s="88"/>
      <c r="K340" s="88"/>
      <c r="L340" s="88"/>
      <c r="M340" s="88"/>
      <c r="N340" s="88"/>
      <c r="O340" s="88"/>
      <c r="P340" s="88"/>
      <c r="Q340" s="88"/>
      <c r="R340" s="88"/>
      <c r="S340" s="88"/>
      <c r="T340" s="88"/>
      <c r="U340" s="88"/>
      <c r="V340" s="88"/>
      <c r="W340" s="88"/>
      <c r="X340" s="88"/>
      <c r="Y340" s="88"/>
      <c r="Z340" s="88"/>
      <c r="AA340" s="88"/>
      <c r="AB340" s="128"/>
      <c r="AC340" s="128"/>
      <c r="AD340" s="128"/>
      <c r="AE340" s="128"/>
      <c r="AF340" s="128"/>
      <c r="AG340" s="128"/>
      <c r="AH340" s="127"/>
    </row>
    <row r="341" spans="1:34" ht="13.2">
      <c r="A341" s="88"/>
      <c r="B341" s="88"/>
      <c r="C341" s="88"/>
      <c r="D341" s="88"/>
      <c r="E341" s="88"/>
      <c r="F341" s="88"/>
      <c r="G341" s="88"/>
      <c r="H341" s="88"/>
      <c r="I341" s="88"/>
      <c r="J341" s="88"/>
      <c r="K341" s="88"/>
      <c r="L341" s="88"/>
      <c r="M341" s="88"/>
      <c r="N341" s="88"/>
      <c r="O341" s="88"/>
      <c r="P341" s="88"/>
      <c r="Q341" s="88"/>
      <c r="R341" s="88"/>
      <c r="S341" s="88"/>
      <c r="T341" s="88"/>
      <c r="U341" s="88"/>
      <c r="V341" s="88"/>
      <c r="W341" s="88"/>
      <c r="X341" s="88"/>
      <c r="Y341" s="88"/>
      <c r="Z341" s="88"/>
      <c r="AA341" s="88"/>
      <c r="AB341" s="128"/>
      <c r="AC341" s="128"/>
      <c r="AD341" s="128"/>
      <c r="AE341" s="128"/>
      <c r="AF341" s="128"/>
      <c r="AG341" s="128"/>
      <c r="AH341" s="127"/>
    </row>
    <row r="342" spans="1:34" ht="13.2">
      <c r="A342" s="88"/>
      <c r="B342" s="88"/>
      <c r="C342" s="88"/>
      <c r="D342" s="88"/>
      <c r="E342" s="88"/>
      <c r="F342" s="88"/>
      <c r="G342" s="88"/>
      <c r="H342" s="88"/>
      <c r="I342" s="88"/>
      <c r="J342" s="88"/>
      <c r="K342" s="88"/>
      <c r="L342" s="88"/>
      <c r="M342" s="88"/>
      <c r="N342" s="88"/>
      <c r="O342" s="88"/>
      <c r="P342" s="88"/>
      <c r="Q342" s="88"/>
      <c r="R342" s="88"/>
      <c r="S342" s="88"/>
      <c r="T342" s="88"/>
      <c r="U342" s="88"/>
      <c r="V342" s="88"/>
      <c r="W342" s="88"/>
      <c r="X342" s="88"/>
      <c r="Y342" s="88"/>
      <c r="Z342" s="88"/>
      <c r="AA342" s="88"/>
      <c r="AB342" s="128"/>
      <c r="AC342" s="128"/>
      <c r="AD342" s="128"/>
      <c r="AE342" s="128"/>
      <c r="AF342" s="128"/>
      <c r="AG342" s="128"/>
      <c r="AH342" s="127"/>
    </row>
    <row r="343" spans="1:34" ht="13.2">
      <c r="A343" s="88"/>
      <c r="B343" s="88"/>
      <c r="C343" s="88"/>
      <c r="D343" s="88"/>
      <c r="E343" s="88"/>
      <c r="F343" s="88"/>
      <c r="G343" s="88"/>
      <c r="H343" s="88"/>
      <c r="I343" s="88"/>
      <c r="J343" s="88"/>
      <c r="K343" s="88"/>
      <c r="L343" s="88"/>
      <c r="M343" s="88"/>
      <c r="N343" s="88"/>
      <c r="O343" s="88"/>
      <c r="P343" s="88"/>
      <c r="Q343" s="88"/>
      <c r="R343" s="88"/>
      <c r="S343" s="88"/>
      <c r="T343" s="88"/>
      <c r="U343" s="88"/>
      <c r="V343" s="88"/>
      <c r="W343" s="88"/>
      <c r="X343" s="88"/>
      <c r="Y343" s="88"/>
      <c r="Z343" s="88"/>
      <c r="AA343" s="88"/>
      <c r="AB343" s="128"/>
      <c r="AC343" s="128"/>
      <c r="AD343" s="128"/>
      <c r="AE343" s="128"/>
      <c r="AF343" s="128"/>
      <c r="AG343" s="128"/>
      <c r="AH343" s="127"/>
    </row>
    <row r="344" spans="1:34" ht="13.2">
      <c r="A344" s="88"/>
      <c r="B344" s="88"/>
      <c r="C344" s="88"/>
      <c r="D344" s="88"/>
      <c r="E344" s="88"/>
      <c r="F344" s="88"/>
      <c r="G344" s="88"/>
      <c r="H344" s="88"/>
      <c r="I344" s="88"/>
      <c r="J344" s="88"/>
      <c r="K344" s="88"/>
      <c r="L344" s="88"/>
      <c r="M344" s="88"/>
      <c r="N344" s="88"/>
      <c r="O344" s="88"/>
      <c r="P344" s="88"/>
      <c r="Q344" s="88"/>
      <c r="R344" s="88"/>
      <c r="S344" s="88"/>
      <c r="T344" s="88"/>
      <c r="U344" s="88"/>
      <c r="V344" s="88"/>
      <c r="W344" s="88"/>
      <c r="X344" s="88"/>
      <c r="Y344" s="88"/>
      <c r="Z344" s="88"/>
      <c r="AA344" s="88"/>
      <c r="AB344" s="128"/>
      <c r="AC344" s="128"/>
      <c r="AD344" s="128"/>
      <c r="AE344" s="128"/>
      <c r="AF344" s="128"/>
      <c r="AG344" s="128"/>
      <c r="AH344" s="127"/>
    </row>
    <row r="345" spans="1:34" ht="13.2">
      <c r="A345" s="88"/>
      <c r="B345" s="88"/>
      <c r="C345" s="88"/>
      <c r="D345" s="88"/>
      <c r="E345" s="88"/>
      <c r="F345" s="88"/>
      <c r="G345" s="88"/>
      <c r="H345" s="88"/>
      <c r="I345" s="88"/>
      <c r="J345" s="88"/>
      <c r="K345" s="88"/>
      <c r="L345" s="88"/>
      <c r="M345" s="88"/>
      <c r="N345" s="88"/>
      <c r="O345" s="88"/>
      <c r="P345" s="88"/>
      <c r="Q345" s="88"/>
      <c r="R345" s="88"/>
      <c r="S345" s="88"/>
      <c r="T345" s="88"/>
      <c r="U345" s="88"/>
      <c r="V345" s="88"/>
      <c r="W345" s="88"/>
      <c r="X345" s="88"/>
      <c r="Y345" s="88"/>
      <c r="Z345" s="88"/>
      <c r="AA345" s="88"/>
      <c r="AB345" s="128"/>
      <c r="AC345" s="128"/>
      <c r="AD345" s="128"/>
      <c r="AE345" s="128"/>
      <c r="AF345" s="128"/>
      <c r="AG345" s="128"/>
      <c r="AH345" s="127"/>
    </row>
    <row r="346" spans="1:34" ht="13.2">
      <c r="A346" s="88"/>
      <c r="B346" s="88"/>
      <c r="C346" s="88"/>
      <c r="D346" s="88"/>
      <c r="E346" s="88"/>
      <c r="F346" s="88"/>
      <c r="G346" s="88"/>
      <c r="H346" s="88"/>
      <c r="I346" s="88"/>
      <c r="J346" s="88"/>
      <c r="K346" s="88"/>
      <c r="L346" s="88"/>
      <c r="M346" s="88"/>
      <c r="N346" s="88"/>
      <c r="O346" s="88"/>
      <c r="P346" s="88"/>
      <c r="Q346" s="88"/>
      <c r="R346" s="88"/>
      <c r="S346" s="88"/>
      <c r="T346" s="88"/>
      <c r="U346" s="88"/>
      <c r="V346" s="88"/>
      <c r="W346" s="88"/>
      <c r="X346" s="88"/>
      <c r="Y346" s="88"/>
      <c r="Z346" s="88"/>
      <c r="AA346" s="88"/>
      <c r="AB346" s="128"/>
      <c r="AC346" s="128"/>
      <c r="AD346" s="128"/>
      <c r="AE346" s="128"/>
      <c r="AF346" s="128"/>
      <c r="AG346" s="128"/>
      <c r="AH346" s="127"/>
    </row>
    <row r="347" spans="1:34" ht="13.2">
      <c r="A347" s="88"/>
      <c r="B347" s="88"/>
      <c r="C347" s="88"/>
      <c r="D347" s="88"/>
      <c r="E347" s="88"/>
      <c r="F347" s="88"/>
      <c r="G347" s="88"/>
      <c r="H347" s="88"/>
      <c r="I347" s="88"/>
      <c r="J347" s="88"/>
      <c r="K347" s="88"/>
      <c r="L347" s="88"/>
      <c r="M347" s="88"/>
      <c r="N347" s="88"/>
      <c r="O347" s="88"/>
      <c r="P347" s="88"/>
      <c r="Q347" s="88"/>
      <c r="R347" s="88"/>
      <c r="S347" s="88"/>
      <c r="T347" s="88"/>
      <c r="U347" s="88"/>
      <c r="V347" s="88"/>
      <c r="W347" s="88"/>
      <c r="X347" s="88"/>
      <c r="Y347" s="88"/>
      <c r="Z347" s="88"/>
      <c r="AA347" s="88"/>
      <c r="AB347" s="128"/>
      <c r="AC347" s="128"/>
      <c r="AD347" s="128"/>
      <c r="AE347" s="128"/>
      <c r="AF347" s="128"/>
      <c r="AG347" s="128"/>
      <c r="AH347" s="127"/>
    </row>
    <row r="348" spans="1:34" ht="13.2">
      <c r="A348" s="88"/>
      <c r="B348" s="88"/>
      <c r="C348" s="88"/>
      <c r="D348" s="88"/>
      <c r="E348" s="88"/>
      <c r="F348" s="88"/>
      <c r="G348" s="88"/>
      <c r="H348" s="88"/>
      <c r="I348" s="88"/>
      <c r="J348" s="88"/>
      <c r="K348" s="88"/>
      <c r="L348" s="88"/>
      <c r="M348" s="88"/>
      <c r="N348" s="88"/>
      <c r="O348" s="88"/>
      <c r="P348" s="88"/>
      <c r="Q348" s="88"/>
      <c r="R348" s="88"/>
      <c r="S348" s="88"/>
      <c r="T348" s="88"/>
      <c r="U348" s="88"/>
      <c r="V348" s="88"/>
      <c r="W348" s="88"/>
      <c r="X348" s="88"/>
      <c r="Y348" s="88"/>
      <c r="Z348" s="88"/>
      <c r="AA348" s="88"/>
      <c r="AB348" s="128"/>
      <c r="AC348" s="128"/>
      <c r="AD348" s="128"/>
      <c r="AE348" s="128"/>
      <c r="AF348" s="128"/>
      <c r="AG348" s="128"/>
      <c r="AH348" s="127"/>
    </row>
    <row r="349" spans="1:34" ht="13.2">
      <c r="A349" s="88"/>
      <c r="B349" s="88"/>
      <c r="C349" s="88"/>
      <c r="D349" s="88"/>
      <c r="E349" s="88"/>
      <c r="F349" s="88"/>
      <c r="G349" s="88"/>
      <c r="H349" s="88"/>
      <c r="I349" s="88"/>
      <c r="J349" s="88"/>
      <c r="K349" s="88"/>
      <c r="L349" s="88"/>
      <c r="M349" s="88"/>
      <c r="N349" s="88"/>
      <c r="O349" s="88"/>
      <c r="P349" s="88"/>
      <c r="Q349" s="88"/>
      <c r="R349" s="88"/>
      <c r="S349" s="88"/>
      <c r="T349" s="88"/>
      <c r="U349" s="88"/>
      <c r="V349" s="88"/>
      <c r="W349" s="88"/>
      <c r="X349" s="88"/>
      <c r="Y349" s="88"/>
      <c r="Z349" s="88"/>
      <c r="AA349" s="88"/>
      <c r="AB349" s="128"/>
      <c r="AC349" s="128"/>
      <c r="AD349" s="128"/>
      <c r="AE349" s="128"/>
      <c r="AF349" s="128"/>
      <c r="AG349" s="128"/>
      <c r="AH349" s="127"/>
    </row>
    <row r="350" spans="1:34" ht="13.2">
      <c r="A350" s="88"/>
      <c r="B350" s="88"/>
      <c r="C350" s="88"/>
      <c r="D350" s="88"/>
      <c r="E350" s="88"/>
      <c r="F350" s="88"/>
      <c r="G350" s="88"/>
      <c r="H350" s="88"/>
      <c r="I350" s="88"/>
      <c r="J350" s="88"/>
      <c r="K350" s="88"/>
      <c r="L350" s="88"/>
      <c r="M350" s="88"/>
      <c r="N350" s="88"/>
      <c r="O350" s="88"/>
      <c r="P350" s="88"/>
      <c r="Q350" s="88"/>
      <c r="R350" s="88"/>
      <c r="S350" s="88"/>
      <c r="T350" s="88"/>
      <c r="U350" s="88"/>
      <c r="V350" s="88"/>
      <c r="W350" s="88"/>
      <c r="X350" s="88"/>
      <c r="Y350" s="88"/>
      <c r="Z350" s="88"/>
      <c r="AA350" s="88"/>
      <c r="AB350" s="128"/>
      <c r="AC350" s="128"/>
      <c r="AD350" s="128"/>
      <c r="AE350" s="128"/>
      <c r="AF350" s="128"/>
      <c r="AG350" s="128"/>
      <c r="AH350" s="127"/>
    </row>
    <row r="351" spans="1:34" ht="13.2">
      <c r="A351" s="88"/>
      <c r="B351" s="88"/>
      <c r="C351" s="88"/>
      <c r="D351" s="88"/>
      <c r="E351" s="88"/>
      <c r="F351" s="88"/>
      <c r="G351" s="88"/>
      <c r="H351" s="88"/>
      <c r="I351" s="88"/>
      <c r="J351" s="88"/>
      <c r="K351" s="88"/>
      <c r="L351" s="88"/>
      <c r="M351" s="88"/>
      <c r="N351" s="88"/>
      <c r="O351" s="88"/>
      <c r="P351" s="88"/>
      <c r="Q351" s="88"/>
      <c r="R351" s="88"/>
      <c r="S351" s="88"/>
      <c r="T351" s="88"/>
      <c r="U351" s="88"/>
      <c r="V351" s="88"/>
      <c r="W351" s="88"/>
      <c r="X351" s="88"/>
      <c r="Y351" s="88"/>
      <c r="Z351" s="88"/>
      <c r="AA351" s="88"/>
      <c r="AB351" s="128"/>
      <c r="AC351" s="128"/>
      <c r="AD351" s="128"/>
      <c r="AE351" s="128"/>
      <c r="AF351" s="128"/>
      <c r="AG351" s="128"/>
      <c r="AH351" s="127"/>
    </row>
    <row r="352" spans="1:34" ht="13.2">
      <c r="A352" s="88"/>
      <c r="B352" s="88"/>
      <c r="C352" s="88"/>
      <c r="D352" s="88"/>
      <c r="E352" s="88"/>
      <c r="F352" s="88"/>
      <c r="G352" s="88"/>
      <c r="H352" s="88"/>
      <c r="I352" s="88"/>
      <c r="J352" s="88"/>
      <c r="K352" s="88"/>
      <c r="L352" s="88"/>
      <c r="M352" s="88"/>
      <c r="N352" s="88"/>
      <c r="O352" s="88"/>
      <c r="P352" s="88"/>
      <c r="Q352" s="88"/>
      <c r="R352" s="88"/>
      <c r="S352" s="88"/>
      <c r="T352" s="88"/>
      <c r="U352" s="88"/>
      <c r="V352" s="88"/>
      <c r="W352" s="88"/>
      <c r="X352" s="88"/>
      <c r="Y352" s="88"/>
      <c r="Z352" s="88"/>
      <c r="AA352" s="88"/>
      <c r="AB352" s="128"/>
      <c r="AC352" s="128"/>
      <c r="AD352" s="128"/>
      <c r="AE352" s="128"/>
      <c r="AF352" s="128"/>
      <c r="AG352" s="128"/>
      <c r="AH352" s="127"/>
    </row>
    <row r="353" spans="1:34" ht="13.2">
      <c r="A353" s="88"/>
      <c r="B353" s="88"/>
      <c r="C353" s="88"/>
      <c r="D353" s="88"/>
      <c r="E353" s="88"/>
      <c r="F353" s="88"/>
      <c r="G353" s="88"/>
      <c r="H353" s="88"/>
      <c r="I353" s="88"/>
      <c r="J353" s="88"/>
      <c r="K353" s="88"/>
      <c r="L353" s="88"/>
      <c r="M353" s="88"/>
      <c r="N353" s="88"/>
      <c r="O353" s="88"/>
      <c r="P353" s="88"/>
      <c r="Q353" s="88"/>
      <c r="R353" s="88"/>
      <c r="S353" s="88"/>
      <c r="T353" s="88"/>
      <c r="U353" s="88"/>
      <c r="V353" s="88"/>
      <c r="W353" s="88"/>
      <c r="X353" s="88"/>
      <c r="Y353" s="88"/>
      <c r="Z353" s="88"/>
      <c r="AA353" s="88"/>
      <c r="AB353" s="128"/>
      <c r="AC353" s="128"/>
      <c r="AD353" s="128"/>
      <c r="AE353" s="128"/>
      <c r="AF353" s="128"/>
      <c r="AG353" s="128"/>
      <c r="AH353" s="127"/>
    </row>
    <row r="354" spans="1:34" ht="13.2">
      <c r="A354" s="88"/>
      <c r="B354" s="88"/>
      <c r="C354" s="88"/>
      <c r="D354" s="88"/>
      <c r="E354" s="88"/>
      <c r="F354" s="88"/>
      <c r="G354" s="88"/>
      <c r="H354" s="88"/>
      <c r="I354" s="88"/>
      <c r="J354" s="88"/>
      <c r="K354" s="88"/>
      <c r="L354" s="88"/>
      <c r="M354" s="88"/>
      <c r="N354" s="88"/>
      <c r="O354" s="88"/>
      <c r="P354" s="88"/>
      <c r="Q354" s="88"/>
      <c r="R354" s="88"/>
      <c r="S354" s="88"/>
      <c r="T354" s="88"/>
      <c r="U354" s="88"/>
      <c r="V354" s="88"/>
      <c r="W354" s="88"/>
      <c r="X354" s="88"/>
      <c r="Y354" s="88"/>
      <c r="Z354" s="88"/>
      <c r="AA354" s="88"/>
      <c r="AB354" s="128"/>
      <c r="AC354" s="128"/>
      <c r="AD354" s="128"/>
      <c r="AE354" s="128"/>
      <c r="AF354" s="128"/>
      <c r="AG354" s="128"/>
      <c r="AH354" s="127"/>
    </row>
    <row r="355" spans="1:34" ht="13.2">
      <c r="A355" s="88"/>
      <c r="B355" s="88"/>
      <c r="C355" s="88"/>
      <c r="D355" s="88"/>
      <c r="E355" s="88"/>
      <c r="F355" s="88"/>
      <c r="G355" s="88"/>
      <c r="H355" s="88"/>
      <c r="I355" s="88"/>
      <c r="J355" s="88"/>
      <c r="K355" s="88"/>
      <c r="L355" s="88"/>
      <c r="M355" s="88"/>
      <c r="N355" s="88"/>
      <c r="O355" s="88"/>
      <c r="P355" s="88"/>
      <c r="Q355" s="88"/>
      <c r="R355" s="88"/>
      <c r="S355" s="88"/>
      <c r="T355" s="88"/>
      <c r="U355" s="88"/>
      <c r="V355" s="88"/>
      <c r="W355" s="88"/>
      <c r="X355" s="88"/>
      <c r="Y355" s="88"/>
      <c r="Z355" s="88"/>
      <c r="AA355" s="88"/>
      <c r="AB355" s="128"/>
      <c r="AC355" s="128"/>
      <c r="AD355" s="128"/>
      <c r="AE355" s="128"/>
      <c r="AF355" s="128"/>
      <c r="AG355" s="128"/>
      <c r="AH355" s="127"/>
    </row>
    <row r="356" spans="1:34" ht="13.2">
      <c r="A356" s="88"/>
      <c r="B356" s="88"/>
      <c r="C356" s="88"/>
      <c r="D356" s="88"/>
      <c r="E356" s="88"/>
      <c r="F356" s="88"/>
      <c r="G356" s="88"/>
      <c r="H356" s="88"/>
      <c r="I356" s="88"/>
      <c r="J356" s="88"/>
      <c r="K356" s="88"/>
      <c r="L356" s="88"/>
      <c r="M356" s="88"/>
      <c r="N356" s="88"/>
      <c r="O356" s="88"/>
      <c r="P356" s="88"/>
      <c r="Q356" s="88"/>
      <c r="R356" s="88"/>
      <c r="S356" s="88"/>
      <c r="T356" s="88"/>
      <c r="U356" s="88"/>
      <c r="V356" s="88"/>
      <c r="W356" s="88"/>
      <c r="X356" s="88"/>
      <c r="Y356" s="88"/>
      <c r="Z356" s="88"/>
      <c r="AA356" s="88"/>
      <c r="AB356" s="128"/>
      <c r="AC356" s="128"/>
      <c r="AD356" s="128"/>
      <c r="AE356" s="128"/>
      <c r="AF356" s="128"/>
      <c r="AG356" s="128"/>
      <c r="AH356" s="127"/>
    </row>
    <row r="357" spans="1:34" ht="13.2">
      <c r="A357" s="88"/>
      <c r="B357" s="88"/>
      <c r="C357" s="88"/>
      <c r="D357" s="88"/>
      <c r="E357" s="88"/>
      <c r="F357" s="88"/>
      <c r="G357" s="88"/>
      <c r="H357" s="88"/>
      <c r="I357" s="88"/>
      <c r="J357" s="88"/>
      <c r="K357" s="88"/>
      <c r="L357" s="88"/>
      <c r="M357" s="88"/>
      <c r="N357" s="88"/>
      <c r="O357" s="88"/>
      <c r="P357" s="88"/>
      <c r="Q357" s="88"/>
      <c r="R357" s="88"/>
      <c r="S357" s="88"/>
      <c r="T357" s="88"/>
      <c r="U357" s="88"/>
      <c r="V357" s="88"/>
      <c r="W357" s="88"/>
      <c r="X357" s="88"/>
      <c r="Y357" s="88"/>
      <c r="Z357" s="88"/>
      <c r="AA357" s="88"/>
      <c r="AB357" s="128"/>
      <c r="AC357" s="128"/>
      <c r="AD357" s="128"/>
      <c r="AE357" s="128"/>
      <c r="AF357" s="128"/>
      <c r="AG357" s="128"/>
      <c r="AH357" s="127"/>
    </row>
    <row r="358" spans="1:34" ht="13.2">
      <c r="A358" s="88"/>
      <c r="B358" s="88"/>
      <c r="C358" s="88"/>
      <c r="D358" s="88"/>
      <c r="E358" s="88"/>
      <c r="F358" s="88"/>
      <c r="G358" s="88"/>
      <c r="H358" s="88"/>
      <c r="I358" s="88"/>
      <c r="J358" s="88"/>
      <c r="K358" s="88"/>
      <c r="L358" s="88"/>
      <c r="M358" s="88"/>
      <c r="N358" s="88"/>
      <c r="O358" s="88"/>
      <c r="P358" s="88"/>
      <c r="Q358" s="88"/>
      <c r="R358" s="88"/>
      <c r="S358" s="88"/>
      <c r="T358" s="88"/>
      <c r="U358" s="88"/>
      <c r="V358" s="88"/>
      <c r="W358" s="88"/>
      <c r="X358" s="88"/>
      <c r="Y358" s="88"/>
      <c r="Z358" s="88"/>
      <c r="AA358" s="88"/>
      <c r="AB358" s="128"/>
      <c r="AC358" s="128"/>
      <c r="AD358" s="128"/>
      <c r="AE358" s="128"/>
      <c r="AF358" s="128"/>
      <c r="AG358" s="128"/>
      <c r="AH358" s="127"/>
    </row>
    <row r="359" spans="1:34" ht="13.2">
      <c r="A359" s="88"/>
      <c r="B359" s="88"/>
      <c r="C359" s="88"/>
      <c r="D359" s="88"/>
      <c r="E359" s="88"/>
      <c r="F359" s="88"/>
      <c r="G359" s="88"/>
      <c r="H359" s="88"/>
      <c r="I359" s="88"/>
      <c r="J359" s="88"/>
      <c r="K359" s="88"/>
      <c r="L359" s="88"/>
      <c r="M359" s="88"/>
      <c r="N359" s="88"/>
      <c r="O359" s="88"/>
      <c r="P359" s="88"/>
      <c r="Q359" s="88"/>
      <c r="R359" s="88"/>
      <c r="S359" s="88"/>
      <c r="T359" s="88"/>
      <c r="U359" s="88"/>
      <c r="V359" s="88"/>
      <c r="W359" s="88"/>
      <c r="X359" s="88"/>
      <c r="Y359" s="88"/>
      <c r="Z359" s="88"/>
      <c r="AA359" s="88"/>
      <c r="AB359" s="128"/>
      <c r="AC359" s="128"/>
      <c r="AD359" s="128"/>
      <c r="AE359" s="128"/>
      <c r="AF359" s="128"/>
      <c r="AG359" s="128"/>
      <c r="AH359" s="127"/>
    </row>
    <row r="360" spans="1:34" ht="13.2">
      <c r="A360" s="88"/>
      <c r="B360" s="88"/>
      <c r="C360" s="88"/>
      <c r="D360" s="88"/>
      <c r="E360" s="88"/>
      <c r="F360" s="88"/>
      <c r="G360" s="88"/>
      <c r="H360" s="88"/>
      <c r="I360" s="88"/>
      <c r="J360" s="88"/>
      <c r="K360" s="88"/>
      <c r="L360" s="88"/>
      <c r="M360" s="88"/>
      <c r="N360" s="88"/>
      <c r="O360" s="88"/>
      <c r="P360" s="88"/>
      <c r="Q360" s="88"/>
      <c r="R360" s="88"/>
      <c r="S360" s="88"/>
      <c r="T360" s="88"/>
      <c r="U360" s="88"/>
      <c r="V360" s="88"/>
      <c r="W360" s="88"/>
      <c r="X360" s="88"/>
      <c r="Y360" s="88"/>
      <c r="Z360" s="88"/>
      <c r="AA360" s="88"/>
      <c r="AB360" s="128"/>
      <c r="AC360" s="128"/>
      <c r="AD360" s="128"/>
      <c r="AE360" s="128"/>
      <c r="AF360" s="128"/>
      <c r="AG360" s="128"/>
      <c r="AH360" s="127"/>
    </row>
    <row r="361" spans="1:34" ht="13.2">
      <c r="A361" s="88"/>
      <c r="B361" s="88"/>
      <c r="C361" s="88"/>
      <c r="D361" s="88"/>
      <c r="E361" s="88"/>
      <c r="F361" s="88"/>
      <c r="G361" s="88"/>
      <c r="H361" s="88"/>
      <c r="I361" s="88"/>
      <c r="J361" s="88"/>
      <c r="K361" s="88"/>
      <c r="L361" s="88"/>
      <c r="M361" s="88"/>
      <c r="N361" s="88"/>
      <c r="O361" s="88"/>
      <c r="P361" s="88"/>
      <c r="Q361" s="88"/>
      <c r="R361" s="88"/>
      <c r="S361" s="88"/>
      <c r="T361" s="88"/>
      <c r="U361" s="88"/>
      <c r="V361" s="88"/>
      <c r="W361" s="88"/>
      <c r="X361" s="88"/>
      <c r="Y361" s="88"/>
      <c r="Z361" s="88"/>
      <c r="AA361" s="88"/>
      <c r="AB361" s="128"/>
      <c r="AC361" s="128"/>
      <c r="AD361" s="128"/>
      <c r="AE361" s="128"/>
      <c r="AF361" s="128"/>
      <c r="AG361" s="128"/>
      <c r="AH361" s="127"/>
    </row>
    <row r="362" spans="1:34" ht="13.2">
      <c r="A362" s="88"/>
      <c r="B362" s="88"/>
      <c r="C362" s="88"/>
      <c r="D362" s="88"/>
      <c r="E362" s="88"/>
      <c r="F362" s="88"/>
      <c r="G362" s="88"/>
      <c r="H362" s="88"/>
      <c r="I362" s="88"/>
      <c r="J362" s="88"/>
      <c r="K362" s="88"/>
      <c r="L362" s="88"/>
      <c r="M362" s="88"/>
      <c r="N362" s="88"/>
      <c r="O362" s="88"/>
      <c r="P362" s="88"/>
      <c r="Q362" s="88"/>
      <c r="R362" s="88"/>
      <c r="S362" s="88"/>
      <c r="T362" s="88"/>
      <c r="U362" s="88"/>
      <c r="V362" s="88"/>
      <c r="W362" s="88"/>
      <c r="X362" s="88"/>
      <c r="Y362" s="88"/>
      <c r="Z362" s="88"/>
      <c r="AA362" s="88"/>
      <c r="AB362" s="128"/>
      <c r="AC362" s="128"/>
      <c r="AD362" s="128"/>
      <c r="AE362" s="128"/>
      <c r="AF362" s="128"/>
      <c r="AG362" s="128"/>
      <c r="AH362" s="127"/>
    </row>
    <row r="363" spans="1:34" ht="13.2">
      <c r="A363" s="88"/>
      <c r="B363" s="88"/>
      <c r="C363" s="88"/>
      <c r="D363" s="88"/>
      <c r="E363" s="88"/>
      <c r="F363" s="88"/>
      <c r="G363" s="88"/>
      <c r="H363" s="88"/>
      <c r="I363" s="88"/>
      <c r="J363" s="88"/>
      <c r="K363" s="88"/>
      <c r="L363" s="88"/>
      <c r="M363" s="88"/>
      <c r="N363" s="88"/>
      <c r="O363" s="88"/>
      <c r="P363" s="88"/>
      <c r="Q363" s="88"/>
      <c r="R363" s="88"/>
      <c r="S363" s="88"/>
      <c r="T363" s="88"/>
      <c r="U363" s="88"/>
      <c r="V363" s="88"/>
      <c r="W363" s="88"/>
      <c r="X363" s="88"/>
      <c r="Y363" s="88"/>
      <c r="Z363" s="88"/>
      <c r="AA363" s="88"/>
      <c r="AB363" s="128"/>
      <c r="AC363" s="128"/>
      <c r="AD363" s="128"/>
      <c r="AE363" s="128"/>
      <c r="AF363" s="128"/>
      <c r="AG363" s="128"/>
      <c r="AH363" s="127"/>
    </row>
    <row r="364" spans="1:34" ht="13.2">
      <c r="A364" s="88"/>
      <c r="B364" s="88"/>
      <c r="C364" s="88"/>
      <c r="D364" s="88"/>
      <c r="E364" s="88"/>
      <c r="F364" s="88"/>
      <c r="G364" s="88"/>
      <c r="H364" s="88"/>
      <c r="I364" s="88"/>
      <c r="J364" s="88"/>
      <c r="K364" s="88"/>
      <c r="L364" s="88"/>
      <c r="M364" s="88"/>
      <c r="N364" s="88"/>
      <c r="O364" s="88"/>
      <c r="P364" s="88"/>
      <c r="Q364" s="88"/>
      <c r="R364" s="88"/>
      <c r="S364" s="88"/>
      <c r="T364" s="88"/>
      <c r="U364" s="88"/>
      <c r="V364" s="88"/>
      <c r="W364" s="88"/>
      <c r="X364" s="88"/>
      <c r="Y364" s="88"/>
      <c r="Z364" s="88"/>
      <c r="AA364" s="88"/>
      <c r="AB364" s="128"/>
      <c r="AC364" s="128"/>
      <c r="AD364" s="128"/>
      <c r="AE364" s="128"/>
      <c r="AF364" s="128"/>
      <c r="AG364" s="128"/>
      <c r="AH364" s="127"/>
    </row>
    <row r="365" spans="1:34" ht="13.2">
      <c r="A365" s="88"/>
      <c r="B365" s="88"/>
      <c r="C365" s="88"/>
      <c r="D365" s="88"/>
      <c r="E365" s="88"/>
      <c r="F365" s="88"/>
      <c r="G365" s="88"/>
      <c r="H365" s="88"/>
      <c r="I365" s="88"/>
      <c r="J365" s="88"/>
      <c r="K365" s="88"/>
      <c r="L365" s="88"/>
      <c r="M365" s="88"/>
      <c r="N365" s="88"/>
      <c r="O365" s="88"/>
      <c r="P365" s="88"/>
      <c r="Q365" s="88"/>
      <c r="R365" s="88"/>
      <c r="S365" s="88"/>
      <c r="T365" s="88"/>
      <c r="U365" s="88"/>
      <c r="V365" s="88"/>
      <c r="W365" s="88"/>
      <c r="X365" s="88"/>
      <c r="Y365" s="88"/>
      <c r="Z365" s="88"/>
      <c r="AA365" s="88"/>
      <c r="AB365" s="128"/>
      <c r="AC365" s="128"/>
      <c r="AD365" s="128"/>
      <c r="AE365" s="128"/>
      <c r="AF365" s="128"/>
      <c r="AG365" s="128"/>
      <c r="AH365" s="127"/>
    </row>
    <row r="366" spans="1:34" ht="13.2">
      <c r="A366" s="88"/>
      <c r="B366" s="88"/>
      <c r="C366" s="88"/>
      <c r="D366" s="88"/>
      <c r="E366" s="88"/>
      <c r="F366" s="88"/>
      <c r="G366" s="88"/>
      <c r="H366" s="88"/>
      <c r="I366" s="88"/>
      <c r="J366" s="88"/>
      <c r="K366" s="88"/>
      <c r="L366" s="88"/>
      <c r="M366" s="88"/>
      <c r="N366" s="88"/>
      <c r="O366" s="88"/>
      <c r="P366" s="88"/>
      <c r="Q366" s="88"/>
      <c r="R366" s="88"/>
      <c r="S366" s="88"/>
      <c r="T366" s="88"/>
      <c r="U366" s="88"/>
      <c r="V366" s="88"/>
      <c r="W366" s="88"/>
      <c r="X366" s="88"/>
      <c r="Y366" s="88"/>
      <c r="Z366" s="88"/>
      <c r="AA366" s="88"/>
      <c r="AB366" s="128"/>
      <c r="AC366" s="128"/>
      <c r="AD366" s="128"/>
      <c r="AE366" s="128"/>
      <c r="AF366" s="128"/>
      <c r="AG366" s="128"/>
      <c r="AH366" s="127"/>
    </row>
    <row r="367" spans="1:34" ht="13.2">
      <c r="A367" s="88"/>
      <c r="B367" s="88"/>
      <c r="C367" s="88"/>
      <c r="D367" s="88"/>
      <c r="E367" s="88"/>
      <c r="F367" s="88"/>
      <c r="G367" s="88"/>
      <c r="H367" s="88"/>
      <c r="I367" s="88"/>
      <c r="J367" s="88"/>
      <c r="K367" s="88"/>
      <c r="L367" s="88"/>
      <c r="M367" s="88"/>
      <c r="N367" s="88"/>
      <c r="O367" s="88"/>
      <c r="P367" s="88"/>
      <c r="Q367" s="88"/>
      <c r="R367" s="88"/>
      <c r="S367" s="88"/>
      <c r="T367" s="88"/>
      <c r="U367" s="88"/>
      <c r="V367" s="88"/>
      <c r="W367" s="88"/>
      <c r="X367" s="88"/>
      <c r="Y367" s="88"/>
      <c r="Z367" s="88"/>
      <c r="AA367" s="88"/>
      <c r="AB367" s="128"/>
      <c r="AC367" s="128"/>
      <c r="AD367" s="128"/>
      <c r="AE367" s="128"/>
      <c r="AF367" s="128"/>
      <c r="AG367" s="128"/>
      <c r="AH367" s="127"/>
    </row>
    <row r="368" spans="1:34" ht="13.2">
      <c r="A368" s="88"/>
      <c r="B368" s="88"/>
      <c r="C368" s="88"/>
      <c r="D368" s="88"/>
      <c r="E368" s="88"/>
      <c r="F368" s="88"/>
      <c r="G368" s="88"/>
      <c r="H368" s="88"/>
      <c r="I368" s="88"/>
      <c r="J368" s="88"/>
      <c r="K368" s="88"/>
      <c r="L368" s="88"/>
      <c r="M368" s="88"/>
      <c r="N368" s="88"/>
      <c r="O368" s="88"/>
      <c r="P368" s="88"/>
      <c r="Q368" s="88"/>
      <c r="R368" s="88"/>
      <c r="S368" s="88"/>
      <c r="T368" s="88"/>
      <c r="U368" s="88"/>
      <c r="V368" s="88"/>
      <c r="W368" s="88"/>
      <c r="X368" s="88"/>
      <c r="Y368" s="88"/>
      <c r="Z368" s="88"/>
      <c r="AA368" s="88"/>
      <c r="AB368" s="128"/>
      <c r="AC368" s="128"/>
      <c r="AD368" s="128"/>
      <c r="AE368" s="128"/>
      <c r="AF368" s="128"/>
      <c r="AG368" s="128"/>
      <c r="AH368" s="127"/>
    </row>
    <row r="369" spans="1:34" ht="13.2">
      <c r="A369" s="88"/>
      <c r="B369" s="88"/>
      <c r="C369" s="88"/>
      <c r="D369" s="88"/>
      <c r="E369" s="88"/>
      <c r="F369" s="88"/>
      <c r="G369" s="88"/>
      <c r="H369" s="88"/>
      <c r="I369" s="88"/>
      <c r="J369" s="88"/>
      <c r="K369" s="88"/>
      <c r="L369" s="88"/>
      <c r="M369" s="88"/>
      <c r="N369" s="88"/>
      <c r="O369" s="88"/>
      <c r="P369" s="88"/>
      <c r="Q369" s="88"/>
      <c r="R369" s="88"/>
      <c r="S369" s="88"/>
      <c r="T369" s="88"/>
      <c r="U369" s="88"/>
      <c r="V369" s="88"/>
      <c r="W369" s="88"/>
      <c r="X369" s="88"/>
      <c r="Y369" s="88"/>
      <c r="Z369" s="88"/>
      <c r="AA369" s="88"/>
      <c r="AB369" s="128"/>
      <c r="AC369" s="128"/>
      <c r="AD369" s="128"/>
      <c r="AE369" s="128"/>
      <c r="AF369" s="128"/>
      <c r="AG369" s="128"/>
      <c r="AH369" s="127"/>
    </row>
    <row r="370" spans="1:34" ht="13.2">
      <c r="A370" s="88"/>
      <c r="B370" s="88"/>
      <c r="C370" s="88"/>
      <c r="D370" s="88"/>
      <c r="E370" s="88"/>
      <c r="F370" s="88"/>
      <c r="G370" s="88"/>
      <c r="H370" s="88"/>
      <c r="I370" s="88"/>
      <c r="J370" s="88"/>
      <c r="K370" s="88"/>
      <c r="L370" s="88"/>
      <c r="M370" s="88"/>
      <c r="N370" s="88"/>
      <c r="O370" s="88"/>
      <c r="P370" s="88"/>
      <c r="Q370" s="88"/>
      <c r="R370" s="88"/>
      <c r="S370" s="88"/>
      <c r="T370" s="88"/>
      <c r="U370" s="88"/>
      <c r="V370" s="88"/>
      <c r="W370" s="88"/>
      <c r="X370" s="88"/>
      <c r="Y370" s="88"/>
      <c r="Z370" s="88"/>
      <c r="AA370" s="88"/>
      <c r="AB370" s="128"/>
      <c r="AC370" s="128"/>
      <c r="AD370" s="128"/>
      <c r="AE370" s="128"/>
      <c r="AF370" s="128"/>
      <c r="AG370" s="128"/>
      <c r="AH370" s="127"/>
    </row>
    <row r="371" spans="1:34" ht="13.2">
      <c r="A371" s="88"/>
      <c r="B371" s="88"/>
      <c r="C371" s="88"/>
      <c r="D371" s="88"/>
      <c r="E371" s="88"/>
      <c r="F371" s="88"/>
      <c r="G371" s="88"/>
      <c r="H371" s="88"/>
      <c r="I371" s="88"/>
      <c r="J371" s="88"/>
      <c r="K371" s="88"/>
      <c r="L371" s="88"/>
      <c r="M371" s="88"/>
      <c r="N371" s="88"/>
      <c r="O371" s="88"/>
      <c r="P371" s="88"/>
      <c r="Q371" s="88"/>
      <c r="R371" s="88"/>
      <c r="S371" s="88"/>
      <c r="T371" s="88"/>
      <c r="U371" s="88"/>
      <c r="V371" s="88"/>
      <c r="W371" s="88"/>
      <c r="X371" s="88"/>
      <c r="Y371" s="88"/>
      <c r="Z371" s="88"/>
      <c r="AA371" s="88"/>
      <c r="AB371" s="128"/>
      <c r="AC371" s="128"/>
      <c r="AD371" s="128"/>
      <c r="AE371" s="128"/>
      <c r="AF371" s="128"/>
      <c r="AG371" s="128"/>
      <c r="AH371" s="127"/>
    </row>
    <row r="372" spans="1:34" ht="13.2">
      <c r="A372" s="88"/>
      <c r="B372" s="88"/>
      <c r="C372" s="88"/>
      <c r="D372" s="88"/>
      <c r="E372" s="88"/>
      <c r="F372" s="88"/>
      <c r="G372" s="88"/>
      <c r="H372" s="88"/>
      <c r="I372" s="88"/>
      <c r="J372" s="88"/>
      <c r="K372" s="88"/>
      <c r="L372" s="88"/>
      <c r="M372" s="88"/>
      <c r="N372" s="88"/>
      <c r="O372" s="88"/>
      <c r="P372" s="88"/>
      <c r="Q372" s="88"/>
      <c r="R372" s="88"/>
      <c r="S372" s="88"/>
      <c r="T372" s="88"/>
      <c r="U372" s="88"/>
      <c r="V372" s="88"/>
      <c r="W372" s="88"/>
      <c r="X372" s="88"/>
      <c r="Y372" s="88"/>
      <c r="Z372" s="88"/>
      <c r="AA372" s="88"/>
      <c r="AB372" s="128"/>
      <c r="AC372" s="128"/>
      <c r="AD372" s="128"/>
      <c r="AE372" s="128"/>
      <c r="AF372" s="128"/>
      <c r="AG372" s="128"/>
      <c r="AH372" s="127"/>
    </row>
    <row r="373" spans="1:34" ht="13.2">
      <c r="A373" s="88"/>
      <c r="B373" s="88"/>
      <c r="C373" s="88"/>
      <c r="D373" s="88"/>
      <c r="E373" s="88"/>
      <c r="F373" s="88"/>
      <c r="G373" s="88"/>
      <c r="H373" s="88"/>
      <c r="I373" s="88"/>
      <c r="J373" s="88"/>
      <c r="K373" s="88"/>
      <c r="L373" s="88"/>
      <c r="M373" s="88"/>
      <c r="N373" s="88"/>
      <c r="O373" s="88"/>
      <c r="P373" s="88"/>
      <c r="Q373" s="88"/>
      <c r="R373" s="88"/>
      <c r="S373" s="88"/>
      <c r="T373" s="88"/>
      <c r="U373" s="88"/>
      <c r="V373" s="88"/>
      <c r="W373" s="88"/>
      <c r="X373" s="88"/>
      <c r="Y373" s="88"/>
      <c r="Z373" s="88"/>
      <c r="AA373" s="88"/>
      <c r="AB373" s="128"/>
      <c r="AC373" s="128"/>
      <c r="AD373" s="128"/>
      <c r="AE373" s="128"/>
      <c r="AF373" s="128"/>
      <c r="AG373" s="128"/>
      <c r="AH373" s="127"/>
    </row>
    <row r="374" spans="1:34" ht="13.2">
      <c r="A374" s="88"/>
      <c r="B374" s="88"/>
      <c r="C374" s="88"/>
      <c r="D374" s="88"/>
      <c r="E374" s="88"/>
      <c r="F374" s="88"/>
      <c r="G374" s="88"/>
      <c r="H374" s="88"/>
      <c r="I374" s="88"/>
      <c r="J374" s="88"/>
      <c r="K374" s="88"/>
      <c r="L374" s="88"/>
      <c r="M374" s="88"/>
      <c r="N374" s="88"/>
      <c r="O374" s="88"/>
      <c r="P374" s="88"/>
      <c r="Q374" s="88"/>
      <c r="R374" s="88"/>
      <c r="S374" s="88"/>
      <c r="T374" s="88"/>
      <c r="U374" s="88"/>
      <c r="V374" s="88"/>
      <c r="W374" s="88"/>
      <c r="X374" s="88"/>
      <c r="Y374" s="88"/>
      <c r="Z374" s="88"/>
      <c r="AA374" s="88"/>
      <c r="AB374" s="128"/>
      <c r="AC374" s="128"/>
      <c r="AD374" s="128"/>
      <c r="AE374" s="128"/>
      <c r="AF374" s="128"/>
      <c r="AG374" s="128"/>
      <c r="AH374" s="127"/>
    </row>
    <row r="375" spans="1:34" ht="13.2">
      <c r="A375" s="88"/>
      <c r="B375" s="88"/>
      <c r="C375" s="88"/>
      <c r="D375" s="88"/>
      <c r="E375" s="88"/>
      <c r="F375" s="88"/>
      <c r="G375" s="88"/>
      <c r="H375" s="88"/>
      <c r="I375" s="88"/>
      <c r="J375" s="88"/>
      <c r="K375" s="88"/>
      <c r="L375" s="88"/>
      <c r="M375" s="88"/>
      <c r="N375" s="88"/>
      <c r="O375" s="88"/>
      <c r="P375" s="88"/>
      <c r="Q375" s="88"/>
      <c r="R375" s="88"/>
      <c r="S375" s="88"/>
      <c r="T375" s="88"/>
      <c r="U375" s="88"/>
      <c r="V375" s="88"/>
      <c r="W375" s="88"/>
      <c r="X375" s="88"/>
      <c r="Y375" s="88"/>
      <c r="Z375" s="88"/>
      <c r="AA375" s="88"/>
      <c r="AB375" s="128"/>
      <c r="AC375" s="128"/>
      <c r="AD375" s="128"/>
      <c r="AE375" s="128"/>
      <c r="AF375" s="128"/>
      <c r="AG375" s="128"/>
      <c r="AH375" s="127"/>
    </row>
    <row r="376" spans="1:34" ht="13.2">
      <c r="A376" s="88"/>
      <c r="B376" s="88"/>
      <c r="C376" s="88"/>
      <c r="D376" s="88"/>
      <c r="E376" s="88"/>
      <c r="F376" s="88"/>
      <c r="G376" s="88"/>
      <c r="H376" s="88"/>
      <c r="I376" s="88"/>
      <c r="J376" s="88"/>
      <c r="K376" s="88"/>
      <c r="L376" s="88"/>
      <c r="M376" s="88"/>
      <c r="N376" s="88"/>
      <c r="O376" s="88"/>
      <c r="P376" s="88"/>
      <c r="Q376" s="88"/>
      <c r="R376" s="88"/>
      <c r="S376" s="88"/>
      <c r="T376" s="88"/>
      <c r="U376" s="88"/>
      <c r="V376" s="88"/>
      <c r="W376" s="88"/>
      <c r="X376" s="88"/>
      <c r="Y376" s="88"/>
      <c r="Z376" s="88"/>
      <c r="AA376" s="88"/>
      <c r="AB376" s="128"/>
      <c r="AC376" s="128"/>
      <c r="AD376" s="128"/>
      <c r="AE376" s="128"/>
      <c r="AF376" s="128"/>
      <c r="AG376" s="128"/>
      <c r="AH376" s="127"/>
    </row>
    <row r="377" spans="1:34" ht="13.2">
      <c r="A377" s="88"/>
      <c r="B377" s="88"/>
      <c r="C377" s="88"/>
      <c r="D377" s="88"/>
      <c r="E377" s="88"/>
      <c r="F377" s="88"/>
      <c r="G377" s="88"/>
      <c r="H377" s="88"/>
      <c r="I377" s="88"/>
      <c r="J377" s="88"/>
      <c r="K377" s="88"/>
      <c r="L377" s="88"/>
      <c r="M377" s="88"/>
      <c r="N377" s="88"/>
      <c r="O377" s="88"/>
      <c r="P377" s="88"/>
      <c r="Q377" s="88"/>
      <c r="R377" s="88"/>
      <c r="S377" s="88"/>
      <c r="T377" s="88"/>
      <c r="U377" s="88"/>
      <c r="V377" s="88"/>
      <c r="W377" s="88"/>
      <c r="X377" s="88"/>
      <c r="Y377" s="88"/>
      <c r="Z377" s="88"/>
      <c r="AA377" s="88"/>
      <c r="AB377" s="128"/>
      <c r="AC377" s="128"/>
      <c r="AD377" s="128"/>
      <c r="AE377" s="128"/>
      <c r="AF377" s="128"/>
      <c r="AG377" s="128"/>
      <c r="AH377" s="127"/>
    </row>
    <row r="378" spans="1:34" ht="13.2">
      <c r="A378" s="88"/>
      <c r="B378" s="88"/>
      <c r="C378" s="88"/>
      <c r="D378" s="88"/>
      <c r="E378" s="88"/>
      <c r="F378" s="88"/>
      <c r="G378" s="88"/>
      <c r="H378" s="88"/>
      <c r="I378" s="88"/>
      <c r="J378" s="88"/>
      <c r="K378" s="88"/>
      <c r="L378" s="88"/>
      <c r="M378" s="88"/>
      <c r="N378" s="88"/>
      <c r="O378" s="88"/>
      <c r="P378" s="88"/>
      <c r="Q378" s="88"/>
      <c r="R378" s="88"/>
      <c r="S378" s="88"/>
      <c r="T378" s="88"/>
      <c r="U378" s="88"/>
      <c r="V378" s="88"/>
      <c r="W378" s="88"/>
      <c r="X378" s="88"/>
      <c r="Y378" s="88"/>
      <c r="Z378" s="88"/>
      <c r="AA378" s="88"/>
      <c r="AB378" s="128"/>
      <c r="AC378" s="128"/>
      <c r="AD378" s="128"/>
      <c r="AE378" s="128"/>
      <c r="AF378" s="128"/>
      <c r="AG378" s="128"/>
      <c r="AH378" s="127"/>
    </row>
    <row r="379" spans="1:34" ht="13.2">
      <c r="A379" s="88"/>
      <c r="B379" s="88"/>
      <c r="C379" s="88"/>
      <c r="D379" s="88"/>
      <c r="E379" s="88"/>
      <c r="F379" s="88"/>
      <c r="G379" s="88"/>
      <c r="H379" s="88"/>
      <c r="I379" s="88"/>
      <c r="J379" s="88"/>
      <c r="K379" s="88"/>
      <c r="L379" s="88"/>
      <c r="M379" s="88"/>
      <c r="N379" s="88"/>
      <c r="O379" s="88"/>
      <c r="P379" s="88"/>
      <c r="Q379" s="88"/>
      <c r="R379" s="88"/>
      <c r="S379" s="88"/>
      <c r="T379" s="88"/>
      <c r="U379" s="88"/>
      <c r="V379" s="88"/>
      <c r="W379" s="88"/>
      <c r="X379" s="88"/>
      <c r="Y379" s="88"/>
      <c r="Z379" s="88"/>
      <c r="AA379" s="88"/>
      <c r="AB379" s="128"/>
      <c r="AC379" s="128"/>
      <c r="AD379" s="128"/>
      <c r="AE379" s="128"/>
      <c r="AF379" s="128"/>
      <c r="AG379" s="128"/>
      <c r="AH379" s="127"/>
    </row>
    <row r="380" spans="1:34" ht="13.2">
      <c r="A380" s="88"/>
      <c r="B380" s="88"/>
      <c r="C380" s="88"/>
      <c r="D380" s="88"/>
      <c r="E380" s="88"/>
      <c r="F380" s="88"/>
      <c r="G380" s="88"/>
      <c r="H380" s="88"/>
      <c r="I380" s="88"/>
      <c r="J380" s="88"/>
      <c r="K380" s="88"/>
      <c r="L380" s="88"/>
      <c r="M380" s="88"/>
      <c r="N380" s="88"/>
      <c r="O380" s="88"/>
      <c r="P380" s="88"/>
      <c r="Q380" s="88"/>
      <c r="R380" s="88"/>
      <c r="S380" s="88"/>
      <c r="T380" s="88"/>
      <c r="U380" s="88"/>
      <c r="V380" s="88"/>
      <c r="W380" s="88"/>
      <c r="X380" s="88"/>
      <c r="Y380" s="88"/>
      <c r="Z380" s="88"/>
      <c r="AA380" s="88"/>
      <c r="AB380" s="128"/>
      <c r="AC380" s="128"/>
      <c r="AD380" s="128"/>
      <c r="AE380" s="128"/>
      <c r="AF380" s="128"/>
      <c r="AG380" s="128"/>
      <c r="AH380" s="127"/>
    </row>
    <row r="381" spans="1:34" ht="13.2">
      <c r="A381" s="88"/>
      <c r="B381" s="88"/>
      <c r="C381" s="88"/>
      <c r="D381" s="88"/>
      <c r="E381" s="88"/>
      <c r="F381" s="88"/>
      <c r="G381" s="88"/>
      <c r="H381" s="88"/>
      <c r="I381" s="88"/>
      <c r="J381" s="88"/>
      <c r="K381" s="88"/>
      <c r="L381" s="88"/>
      <c r="M381" s="88"/>
      <c r="N381" s="88"/>
      <c r="O381" s="88"/>
      <c r="P381" s="88"/>
      <c r="Q381" s="88"/>
      <c r="R381" s="88"/>
      <c r="S381" s="88"/>
      <c r="T381" s="88"/>
      <c r="U381" s="88"/>
      <c r="V381" s="88"/>
      <c r="W381" s="88"/>
      <c r="X381" s="88"/>
      <c r="Y381" s="88"/>
      <c r="Z381" s="88"/>
      <c r="AA381" s="88"/>
      <c r="AB381" s="128"/>
      <c r="AC381" s="128"/>
      <c r="AD381" s="128"/>
      <c r="AE381" s="128"/>
      <c r="AF381" s="128"/>
      <c r="AG381" s="128"/>
      <c r="AH381" s="127"/>
    </row>
    <row r="382" spans="1:34" ht="13.2">
      <c r="A382" s="88"/>
      <c r="B382" s="88"/>
      <c r="C382" s="88"/>
      <c r="D382" s="88"/>
      <c r="E382" s="88"/>
      <c r="F382" s="88"/>
      <c r="G382" s="88"/>
      <c r="H382" s="88"/>
      <c r="I382" s="88"/>
      <c r="J382" s="88"/>
      <c r="K382" s="88"/>
      <c r="L382" s="88"/>
      <c r="M382" s="88"/>
      <c r="N382" s="88"/>
      <c r="O382" s="88"/>
      <c r="P382" s="88"/>
      <c r="Q382" s="88"/>
      <c r="R382" s="88"/>
      <c r="S382" s="88"/>
      <c r="T382" s="88"/>
      <c r="U382" s="88"/>
      <c r="V382" s="88"/>
      <c r="W382" s="88"/>
      <c r="X382" s="88"/>
      <c r="Y382" s="88"/>
      <c r="Z382" s="88"/>
      <c r="AA382" s="88"/>
      <c r="AB382" s="128"/>
      <c r="AC382" s="128"/>
      <c r="AD382" s="128"/>
      <c r="AE382" s="128"/>
      <c r="AF382" s="128"/>
      <c r="AG382" s="128"/>
      <c r="AH382" s="127"/>
    </row>
    <row r="383" spans="1:34" ht="13.2">
      <c r="A383" s="88"/>
      <c r="B383" s="88"/>
      <c r="C383" s="88"/>
      <c r="D383" s="88"/>
      <c r="E383" s="88"/>
      <c r="F383" s="88"/>
      <c r="G383" s="88"/>
      <c r="H383" s="88"/>
      <c r="I383" s="88"/>
      <c r="J383" s="88"/>
      <c r="K383" s="88"/>
      <c r="L383" s="88"/>
      <c r="M383" s="88"/>
      <c r="N383" s="88"/>
      <c r="O383" s="88"/>
      <c r="P383" s="88"/>
      <c r="Q383" s="88"/>
      <c r="R383" s="88"/>
      <c r="S383" s="88"/>
      <c r="T383" s="88"/>
      <c r="U383" s="88"/>
      <c r="V383" s="88"/>
      <c r="W383" s="88"/>
      <c r="X383" s="88"/>
      <c r="Y383" s="88"/>
      <c r="Z383" s="88"/>
      <c r="AA383" s="88"/>
      <c r="AB383" s="128"/>
      <c r="AC383" s="128"/>
      <c r="AD383" s="128"/>
      <c r="AE383" s="128"/>
      <c r="AF383" s="128"/>
      <c r="AG383" s="128"/>
      <c r="AH383" s="127"/>
    </row>
    <row r="384" spans="1:34" ht="13.2">
      <c r="A384" s="88"/>
      <c r="B384" s="88"/>
      <c r="C384" s="88"/>
      <c r="D384" s="88"/>
      <c r="E384" s="88"/>
      <c r="F384" s="88"/>
      <c r="G384" s="88"/>
      <c r="H384" s="88"/>
      <c r="I384" s="88"/>
      <c r="J384" s="88"/>
      <c r="K384" s="88"/>
      <c r="L384" s="88"/>
      <c r="M384" s="88"/>
      <c r="N384" s="88"/>
      <c r="O384" s="88"/>
      <c r="P384" s="88"/>
      <c r="Q384" s="88"/>
      <c r="R384" s="88"/>
      <c r="S384" s="88"/>
      <c r="T384" s="88"/>
      <c r="U384" s="88"/>
      <c r="V384" s="88"/>
      <c r="W384" s="88"/>
      <c r="X384" s="88"/>
      <c r="Y384" s="88"/>
      <c r="Z384" s="88"/>
      <c r="AA384" s="88"/>
      <c r="AB384" s="128"/>
      <c r="AC384" s="128"/>
      <c r="AD384" s="128"/>
      <c r="AE384" s="128"/>
      <c r="AF384" s="128"/>
      <c r="AG384" s="128"/>
      <c r="AH384" s="127"/>
    </row>
    <row r="385" spans="1:34" ht="13.2">
      <c r="A385" s="88"/>
      <c r="B385" s="88"/>
      <c r="C385" s="88"/>
      <c r="D385" s="88"/>
      <c r="E385" s="88"/>
      <c r="F385" s="88"/>
      <c r="G385" s="88"/>
      <c r="H385" s="88"/>
      <c r="I385" s="88"/>
      <c r="J385" s="88"/>
      <c r="K385" s="88"/>
      <c r="L385" s="88"/>
      <c r="M385" s="88"/>
      <c r="N385" s="88"/>
      <c r="O385" s="88"/>
      <c r="P385" s="88"/>
      <c r="Q385" s="88"/>
      <c r="R385" s="88"/>
      <c r="S385" s="88"/>
      <c r="T385" s="88"/>
      <c r="U385" s="88"/>
      <c r="V385" s="88"/>
      <c r="W385" s="88"/>
      <c r="X385" s="88"/>
      <c r="Y385" s="88"/>
      <c r="Z385" s="88"/>
      <c r="AA385" s="88"/>
      <c r="AB385" s="128"/>
      <c r="AC385" s="128"/>
      <c r="AD385" s="128"/>
      <c r="AE385" s="128"/>
      <c r="AF385" s="128"/>
      <c r="AG385" s="128"/>
      <c r="AH385" s="127"/>
    </row>
    <row r="386" spans="1:34" ht="13.2">
      <c r="A386" s="88"/>
      <c r="B386" s="88"/>
      <c r="C386" s="88"/>
      <c r="D386" s="88"/>
      <c r="E386" s="88"/>
      <c r="F386" s="88"/>
      <c r="G386" s="88"/>
      <c r="H386" s="88"/>
      <c r="I386" s="88"/>
      <c r="J386" s="88"/>
      <c r="K386" s="88"/>
      <c r="L386" s="88"/>
      <c r="M386" s="88"/>
      <c r="N386" s="88"/>
      <c r="O386" s="88"/>
      <c r="P386" s="88"/>
      <c r="Q386" s="88"/>
      <c r="R386" s="88"/>
      <c r="S386" s="88"/>
      <c r="T386" s="88"/>
      <c r="U386" s="88"/>
      <c r="V386" s="88"/>
      <c r="W386" s="88"/>
      <c r="X386" s="88"/>
      <c r="Y386" s="88"/>
      <c r="Z386" s="88"/>
      <c r="AA386" s="88"/>
      <c r="AB386" s="128"/>
      <c r="AC386" s="128"/>
      <c r="AD386" s="128"/>
      <c r="AE386" s="128"/>
      <c r="AF386" s="128"/>
      <c r="AG386" s="128"/>
      <c r="AH386" s="127"/>
    </row>
    <row r="387" spans="1:34" ht="13.2">
      <c r="A387" s="88"/>
      <c r="B387" s="88"/>
      <c r="C387" s="88"/>
      <c r="D387" s="88"/>
      <c r="E387" s="88"/>
      <c r="F387" s="88"/>
      <c r="G387" s="88"/>
      <c r="H387" s="88"/>
      <c r="I387" s="88"/>
      <c r="J387" s="88"/>
      <c r="K387" s="88"/>
      <c r="L387" s="88"/>
      <c r="M387" s="88"/>
      <c r="N387" s="88"/>
      <c r="O387" s="88"/>
      <c r="P387" s="88"/>
      <c r="Q387" s="88"/>
      <c r="R387" s="88"/>
      <c r="S387" s="88"/>
      <c r="T387" s="88"/>
      <c r="U387" s="88"/>
      <c r="V387" s="88"/>
      <c r="W387" s="88"/>
      <c r="X387" s="88"/>
      <c r="Y387" s="88"/>
      <c r="Z387" s="88"/>
      <c r="AA387" s="88"/>
      <c r="AB387" s="128"/>
      <c r="AC387" s="128"/>
      <c r="AD387" s="128"/>
      <c r="AE387" s="128"/>
      <c r="AF387" s="128"/>
      <c r="AG387" s="128"/>
      <c r="AH387" s="127"/>
    </row>
    <row r="388" spans="1:34" ht="13.2">
      <c r="A388" s="88"/>
      <c r="B388" s="88"/>
      <c r="C388" s="88"/>
      <c r="D388" s="88"/>
      <c r="E388" s="88"/>
      <c r="F388" s="88"/>
      <c r="G388" s="88"/>
      <c r="H388" s="88"/>
      <c r="I388" s="88"/>
      <c r="J388" s="88"/>
      <c r="K388" s="88"/>
      <c r="L388" s="88"/>
      <c r="M388" s="88"/>
      <c r="N388" s="88"/>
      <c r="O388" s="88"/>
      <c r="P388" s="88"/>
      <c r="Q388" s="88"/>
      <c r="R388" s="88"/>
      <c r="S388" s="88"/>
      <c r="T388" s="88"/>
      <c r="U388" s="88"/>
      <c r="V388" s="88"/>
      <c r="W388" s="88"/>
      <c r="X388" s="88"/>
      <c r="Y388" s="88"/>
      <c r="Z388" s="88"/>
      <c r="AA388" s="88"/>
      <c r="AB388" s="128"/>
      <c r="AC388" s="128"/>
      <c r="AD388" s="128"/>
      <c r="AE388" s="128"/>
      <c r="AF388" s="128"/>
      <c r="AG388" s="128"/>
      <c r="AH388" s="127"/>
    </row>
    <row r="389" spans="1:34" ht="13.2">
      <c r="A389" s="88"/>
      <c r="B389" s="88"/>
      <c r="C389" s="88"/>
      <c r="D389" s="88"/>
      <c r="E389" s="88"/>
      <c r="F389" s="88"/>
      <c r="G389" s="88"/>
      <c r="H389" s="88"/>
      <c r="I389" s="88"/>
      <c r="J389" s="88"/>
      <c r="K389" s="88"/>
      <c r="L389" s="88"/>
      <c r="M389" s="88"/>
      <c r="N389" s="88"/>
      <c r="O389" s="88"/>
      <c r="P389" s="88"/>
      <c r="Q389" s="88"/>
      <c r="R389" s="88"/>
      <c r="S389" s="88"/>
      <c r="T389" s="88"/>
      <c r="U389" s="88"/>
      <c r="V389" s="88"/>
      <c r="W389" s="88"/>
      <c r="X389" s="88"/>
      <c r="Y389" s="88"/>
      <c r="Z389" s="88"/>
      <c r="AA389" s="88"/>
      <c r="AB389" s="128"/>
      <c r="AC389" s="128"/>
      <c r="AD389" s="128"/>
      <c r="AE389" s="128"/>
      <c r="AF389" s="128"/>
      <c r="AG389" s="128"/>
      <c r="AH389" s="127"/>
    </row>
    <row r="390" spans="1:34" ht="13.2">
      <c r="A390" s="88"/>
      <c r="B390" s="88"/>
      <c r="C390" s="88"/>
      <c r="D390" s="88"/>
      <c r="E390" s="88"/>
      <c r="F390" s="88"/>
      <c r="G390" s="88"/>
      <c r="H390" s="88"/>
      <c r="I390" s="88"/>
      <c r="J390" s="88"/>
      <c r="K390" s="88"/>
      <c r="L390" s="88"/>
      <c r="M390" s="88"/>
      <c r="N390" s="88"/>
      <c r="O390" s="88"/>
      <c r="P390" s="88"/>
      <c r="Q390" s="88"/>
      <c r="R390" s="88"/>
      <c r="S390" s="88"/>
      <c r="T390" s="88"/>
      <c r="U390" s="88"/>
      <c r="V390" s="88"/>
      <c r="W390" s="88"/>
      <c r="X390" s="88"/>
      <c r="Y390" s="88"/>
      <c r="Z390" s="88"/>
      <c r="AA390" s="88"/>
      <c r="AB390" s="128"/>
      <c r="AC390" s="128"/>
      <c r="AD390" s="128"/>
      <c r="AE390" s="128"/>
      <c r="AF390" s="128"/>
      <c r="AG390" s="128"/>
      <c r="AH390" s="127"/>
    </row>
    <row r="391" spans="1:34" ht="13.2">
      <c r="A391" s="88"/>
      <c r="B391" s="88"/>
      <c r="C391" s="88"/>
      <c r="D391" s="88"/>
      <c r="E391" s="88"/>
      <c r="F391" s="88"/>
      <c r="G391" s="88"/>
      <c r="H391" s="88"/>
      <c r="I391" s="88"/>
      <c r="J391" s="88"/>
      <c r="K391" s="88"/>
      <c r="L391" s="88"/>
      <c r="M391" s="88"/>
      <c r="N391" s="88"/>
      <c r="O391" s="88"/>
      <c r="P391" s="88"/>
      <c r="Q391" s="88"/>
      <c r="R391" s="88"/>
      <c r="S391" s="88"/>
      <c r="T391" s="88"/>
      <c r="U391" s="88"/>
      <c r="V391" s="88"/>
      <c r="W391" s="88"/>
      <c r="X391" s="88"/>
      <c r="Y391" s="88"/>
      <c r="Z391" s="88"/>
      <c r="AA391" s="88"/>
      <c r="AB391" s="128"/>
      <c r="AC391" s="128"/>
      <c r="AD391" s="128"/>
      <c r="AE391" s="128"/>
      <c r="AF391" s="128"/>
      <c r="AG391" s="128"/>
      <c r="AH391" s="127"/>
    </row>
    <row r="392" spans="1:34" ht="13.2">
      <c r="A392" s="88"/>
      <c r="B392" s="88"/>
      <c r="C392" s="88"/>
      <c r="D392" s="88"/>
      <c r="E392" s="88"/>
      <c r="F392" s="88"/>
      <c r="G392" s="88"/>
      <c r="H392" s="88"/>
      <c r="I392" s="88"/>
      <c r="J392" s="88"/>
      <c r="K392" s="88"/>
      <c r="L392" s="88"/>
      <c r="M392" s="88"/>
      <c r="N392" s="88"/>
      <c r="O392" s="88"/>
      <c r="P392" s="88"/>
      <c r="Q392" s="88"/>
      <c r="R392" s="88"/>
      <c r="S392" s="88"/>
      <c r="T392" s="88"/>
      <c r="U392" s="88"/>
      <c r="V392" s="88"/>
      <c r="W392" s="88"/>
      <c r="X392" s="88"/>
      <c r="Y392" s="88"/>
      <c r="Z392" s="88"/>
      <c r="AA392" s="88"/>
      <c r="AB392" s="128"/>
      <c r="AC392" s="128"/>
      <c r="AD392" s="128"/>
      <c r="AE392" s="128"/>
      <c r="AF392" s="128"/>
      <c r="AG392" s="128"/>
      <c r="AH392" s="127"/>
    </row>
    <row r="393" spans="1:34" ht="13.2">
      <c r="A393" s="88"/>
      <c r="B393" s="88"/>
      <c r="C393" s="88"/>
      <c r="D393" s="88"/>
      <c r="E393" s="88"/>
      <c r="F393" s="88"/>
      <c r="G393" s="88"/>
      <c r="H393" s="88"/>
      <c r="I393" s="88"/>
      <c r="J393" s="88"/>
      <c r="K393" s="88"/>
      <c r="L393" s="88"/>
      <c r="M393" s="88"/>
      <c r="N393" s="88"/>
      <c r="O393" s="88"/>
      <c r="P393" s="88"/>
      <c r="Q393" s="88"/>
      <c r="R393" s="88"/>
      <c r="S393" s="88"/>
      <c r="T393" s="88"/>
      <c r="U393" s="88"/>
      <c r="V393" s="88"/>
      <c r="W393" s="88"/>
      <c r="X393" s="88"/>
      <c r="Y393" s="88"/>
      <c r="Z393" s="88"/>
      <c r="AA393" s="88"/>
      <c r="AB393" s="128"/>
      <c r="AC393" s="128"/>
      <c r="AD393" s="128"/>
      <c r="AE393" s="128"/>
      <c r="AF393" s="128"/>
      <c r="AG393" s="128"/>
      <c r="AH393" s="127"/>
    </row>
    <row r="394" spans="1:34" ht="13.2">
      <c r="A394" s="88"/>
      <c r="B394" s="88"/>
      <c r="C394" s="88"/>
      <c r="D394" s="88"/>
      <c r="E394" s="88"/>
      <c r="F394" s="88"/>
      <c r="G394" s="88"/>
      <c r="H394" s="88"/>
      <c r="I394" s="88"/>
      <c r="J394" s="88"/>
      <c r="K394" s="88"/>
      <c r="L394" s="88"/>
      <c r="M394" s="88"/>
      <c r="N394" s="88"/>
      <c r="O394" s="88"/>
      <c r="P394" s="88"/>
      <c r="Q394" s="88"/>
      <c r="R394" s="88"/>
      <c r="S394" s="88"/>
      <c r="T394" s="88"/>
      <c r="U394" s="88"/>
      <c r="V394" s="88"/>
      <c r="W394" s="88"/>
      <c r="X394" s="88"/>
      <c r="Y394" s="88"/>
      <c r="Z394" s="88"/>
      <c r="AA394" s="88"/>
      <c r="AB394" s="128"/>
      <c r="AC394" s="128"/>
      <c r="AD394" s="128"/>
      <c r="AE394" s="128"/>
      <c r="AF394" s="128"/>
      <c r="AG394" s="128"/>
      <c r="AH394" s="127"/>
    </row>
    <row r="395" spans="1:34" ht="13.2">
      <c r="A395" s="88"/>
      <c r="B395" s="88"/>
      <c r="C395" s="88"/>
      <c r="D395" s="88"/>
      <c r="E395" s="88"/>
      <c r="F395" s="88"/>
      <c r="G395" s="88"/>
      <c r="H395" s="88"/>
      <c r="I395" s="88"/>
      <c r="J395" s="88"/>
      <c r="K395" s="88"/>
      <c r="L395" s="88"/>
      <c r="M395" s="88"/>
      <c r="N395" s="88"/>
      <c r="O395" s="88"/>
      <c r="P395" s="88"/>
      <c r="Q395" s="88"/>
      <c r="R395" s="88"/>
      <c r="S395" s="88"/>
      <c r="T395" s="88"/>
      <c r="U395" s="88"/>
      <c r="V395" s="88"/>
      <c r="W395" s="88"/>
      <c r="X395" s="88"/>
      <c r="Y395" s="88"/>
      <c r="Z395" s="88"/>
      <c r="AA395" s="88"/>
      <c r="AB395" s="128"/>
      <c r="AC395" s="128"/>
      <c r="AD395" s="128"/>
      <c r="AE395" s="128"/>
      <c r="AF395" s="128"/>
      <c r="AG395" s="128"/>
      <c r="AH395" s="127"/>
    </row>
    <row r="396" spans="1:34" ht="13.2">
      <c r="A396" s="88"/>
      <c r="B396" s="88"/>
      <c r="C396" s="88"/>
      <c r="D396" s="88"/>
      <c r="E396" s="88"/>
      <c r="F396" s="88"/>
      <c r="G396" s="88"/>
      <c r="H396" s="88"/>
      <c r="I396" s="88"/>
      <c r="J396" s="88"/>
      <c r="K396" s="88"/>
      <c r="L396" s="88"/>
      <c r="M396" s="88"/>
      <c r="N396" s="88"/>
      <c r="O396" s="88"/>
      <c r="P396" s="88"/>
      <c r="Q396" s="88"/>
      <c r="R396" s="88"/>
      <c r="S396" s="88"/>
      <c r="T396" s="88"/>
      <c r="U396" s="88"/>
      <c r="V396" s="88"/>
      <c r="W396" s="88"/>
      <c r="X396" s="88"/>
      <c r="Y396" s="88"/>
      <c r="Z396" s="88"/>
      <c r="AA396" s="88"/>
      <c r="AB396" s="128"/>
      <c r="AC396" s="128"/>
      <c r="AD396" s="128"/>
      <c r="AE396" s="128"/>
      <c r="AF396" s="128"/>
      <c r="AG396" s="128"/>
      <c r="AH396" s="127"/>
    </row>
    <row r="397" spans="1:34" ht="13.2">
      <c r="A397" s="88"/>
      <c r="B397" s="88"/>
      <c r="C397" s="88"/>
      <c r="D397" s="88"/>
      <c r="E397" s="88"/>
      <c r="F397" s="88"/>
      <c r="G397" s="88"/>
      <c r="H397" s="88"/>
      <c r="I397" s="88"/>
      <c r="J397" s="88"/>
      <c r="K397" s="88"/>
      <c r="L397" s="88"/>
      <c r="M397" s="88"/>
      <c r="N397" s="88"/>
      <c r="O397" s="88"/>
      <c r="P397" s="88"/>
      <c r="Q397" s="88"/>
      <c r="R397" s="88"/>
      <c r="S397" s="88"/>
      <c r="T397" s="88"/>
      <c r="U397" s="88"/>
      <c r="V397" s="88"/>
      <c r="W397" s="88"/>
      <c r="X397" s="88"/>
      <c r="Y397" s="88"/>
      <c r="Z397" s="88"/>
      <c r="AA397" s="88"/>
      <c r="AB397" s="128"/>
      <c r="AC397" s="128"/>
      <c r="AD397" s="128"/>
      <c r="AE397" s="128"/>
      <c r="AF397" s="128"/>
      <c r="AG397" s="128"/>
      <c r="AH397" s="127"/>
    </row>
    <row r="398" spans="1:34" ht="13.2">
      <c r="A398" s="88"/>
      <c r="B398" s="88"/>
      <c r="C398" s="88"/>
      <c r="D398" s="88"/>
      <c r="E398" s="88"/>
      <c r="F398" s="88"/>
      <c r="G398" s="88"/>
      <c r="H398" s="88"/>
      <c r="I398" s="88"/>
      <c r="J398" s="88"/>
      <c r="K398" s="88"/>
      <c r="L398" s="88"/>
      <c r="M398" s="88"/>
      <c r="N398" s="88"/>
      <c r="O398" s="88"/>
      <c r="P398" s="88"/>
      <c r="Q398" s="88"/>
      <c r="R398" s="88"/>
      <c r="S398" s="88"/>
      <c r="T398" s="88"/>
      <c r="U398" s="88"/>
      <c r="V398" s="88"/>
      <c r="W398" s="88"/>
      <c r="X398" s="88"/>
      <c r="Y398" s="88"/>
      <c r="Z398" s="88"/>
      <c r="AA398" s="88"/>
      <c r="AB398" s="128"/>
      <c r="AC398" s="128"/>
      <c r="AD398" s="128"/>
      <c r="AE398" s="128"/>
      <c r="AF398" s="128"/>
      <c r="AG398" s="128"/>
      <c r="AH398" s="127"/>
    </row>
    <row r="399" spans="1:34" ht="13.2">
      <c r="A399" s="88"/>
      <c r="B399" s="88"/>
      <c r="C399" s="88"/>
      <c r="D399" s="88"/>
      <c r="E399" s="88"/>
      <c r="F399" s="88"/>
      <c r="G399" s="88"/>
      <c r="H399" s="88"/>
      <c r="I399" s="88"/>
      <c r="J399" s="88"/>
      <c r="K399" s="88"/>
      <c r="L399" s="88"/>
      <c r="M399" s="88"/>
      <c r="N399" s="88"/>
      <c r="O399" s="88"/>
      <c r="P399" s="88"/>
      <c r="Q399" s="88"/>
      <c r="R399" s="88"/>
      <c r="S399" s="88"/>
      <c r="T399" s="88"/>
      <c r="U399" s="88"/>
      <c r="V399" s="88"/>
      <c r="W399" s="88"/>
      <c r="X399" s="88"/>
      <c r="Y399" s="88"/>
      <c r="Z399" s="88"/>
      <c r="AA399" s="88"/>
      <c r="AB399" s="128"/>
      <c r="AC399" s="128"/>
      <c r="AD399" s="128"/>
      <c r="AE399" s="128"/>
      <c r="AF399" s="128"/>
      <c r="AG399" s="128"/>
      <c r="AH399" s="127"/>
    </row>
    <row r="400" spans="1:34" ht="13.2">
      <c r="A400" s="88"/>
      <c r="B400" s="88"/>
      <c r="C400" s="88"/>
      <c r="D400" s="88"/>
      <c r="E400" s="88"/>
      <c r="F400" s="88"/>
      <c r="G400" s="88"/>
      <c r="H400" s="88"/>
      <c r="I400" s="88"/>
      <c r="J400" s="88"/>
      <c r="K400" s="88"/>
      <c r="L400" s="88"/>
      <c r="M400" s="88"/>
      <c r="N400" s="88"/>
      <c r="O400" s="88"/>
      <c r="P400" s="88"/>
      <c r="Q400" s="88"/>
      <c r="R400" s="88"/>
      <c r="S400" s="88"/>
      <c r="T400" s="88"/>
      <c r="U400" s="88"/>
      <c r="V400" s="88"/>
      <c r="W400" s="88"/>
      <c r="X400" s="88"/>
      <c r="Y400" s="88"/>
      <c r="Z400" s="88"/>
      <c r="AA400" s="88"/>
      <c r="AB400" s="128"/>
      <c r="AC400" s="128"/>
      <c r="AD400" s="128"/>
      <c r="AE400" s="128"/>
      <c r="AF400" s="128"/>
      <c r="AG400" s="128"/>
      <c r="AH400" s="127"/>
    </row>
    <row r="401" spans="1:34" ht="13.2">
      <c r="A401" s="88"/>
      <c r="B401" s="88"/>
      <c r="C401" s="88"/>
      <c r="D401" s="88"/>
      <c r="E401" s="88"/>
      <c r="F401" s="88"/>
      <c r="G401" s="88"/>
      <c r="H401" s="88"/>
      <c r="I401" s="88"/>
      <c r="J401" s="88"/>
      <c r="K401" s="88"/>
      <c r="L401" s="88"/>
      <c r="M401" s="88"/>
      <c r="N401" s="88"/>
      <c r="O401" s="88"/>
      <c r="P401" s="88"/>
      <c r="Q401" s="88"/>
      <c r="R401" s="88"/>
      <c r="S401" s="88"/>
      <c r="T401" s="88"/>
      <c r="U401" s="88"/>
      <c r="V401" s="88"/>
      <c r="W401" s="88"/>
      <c r="X401" s="88"/>
      <c r="Y401" s="88"/>
      <c r="Z401" s="88"/>
      <c r="AA401" s="88"/>
      <c r="AB401" s="128"/>
      <c r="AC401" s="128"/>
      <c r="AD401" s="128"/>
      <c r="AE401" s="128"/>
      <c r="AF401" s="128"/>
      <c r="AG401" s="128"/>
      <c r="AH401" s="127"/>
    </row>
    <row r="402" spans="1:34" ht="13.2">
      <c r="A402" s="88"/>
      <c r="B402" s="88"/>
      <c r="C402" s="88"/>
      <c r="D402" s="88"/>
      <c r="E402" s="88"/>
      <c r="F402" s="88"/>
      <c r="G402" s="88"/>
      <c r="H402" s="88"/>
      <c r="I402" s="88"/>
      <c r="J402" s="88"/>
      <c r="K402" s="88"/>
      <c r="L402" s="88"/>
      <c r="M402" s="88"/>
      <c r="N402" s="88"/>
      <c r="O402" s="88"/>
      <c r="P402" s="88"/>
      <c r="Q402" s="88"/>
      <c r="R402" s="88"/>
      <c r="S402" s="88"/>
      <c r="T402" s="88"/>
      <c r="U402" s="88"/>
      <c r="V402" s="88"/>
      <c r="W402" s="88"/>
      <c r="X402" s="88"/>
      <c r="Y402" s="88"/>
      <c r="Z402" s="88"/>
      <c r="AA402" s="88"/>
      <c r="AB402" s="128"/>
      <c r="AC402" s="128"/>
      <c r="AD402" s="128"/>
      <c r="AE402" s="128"/>
      <c r="AF402" s="128"/>
      <c r="AG402" s="128"/>
      <c r="AH402" s="127"/>
    </row>
    <row r="403" spans="1:34" ht="13.2">
      <c r="A403" s="88"/>
      <c r="B403" s="88"/>
      <c r="C403" s="88"/>
      <c r="D403" s="88"/>
      <c r="E403" s="88"/>
      <c r="F403" s="88"/>
      <c r="G403" s="88"/>
      <c r="H403" s="88"/>
      <c r="I403" s="88"/>
      <c r="J403" s="88"/>
      <c r="K403" s="88"/>
      <c r="L403" s="88"/>
      <c r="M403" s="88"/>
      <c r="N403" s="88"/>
      <c r="O403" s="88"/>
      <c r="P403" s="88"/>
      <c r="Q403" s="88"/>
      <c r="R403" s="88"/>
      <c r="S403" s="88"/>
      <c r="T403" s="88"/>
      <c r="U403" s="88"/>
      <c r="V403" s="88"/>
      <c r="W403" s="88"/>
      <c r="X403" s="88"/>
      <c r="Y403" s="88"/>
      <c r="Z403" s="88"/>
      <c r="AA403" s="88"/>
      <c r="AB403" s="128"/>
      <c r="AC403" s="128"/>
      <c r="AD403" s="128"/>
      <c r="AE403" s="128"/>
      <c r="AF403" s="128"/>
      <c r="AG403" s="128"/>
      <c r="AH403" s="127"/>
    </row>
    <row r="404" spans="1:34" ht="13.2">
      <c r="A404" s="88"/>
      <c r="B404" s="88"/>
      <c r="C404" s="88"/>
      <c r="D404" s="88"/>
      <c r="E404" s="88"/>
      <c r="F404" s="88"/>
      <c r="G404" s="88"/>
      <c r="H404" s="88"/>
      <c r="I404" s="88"/>
      <c r="J404" s="88"/>
      <c r="K404" s="88"/>
      <c r="L404" s="88"/>
      <c r="M404" s="88"/>
      <c r="N404" s="88"/>
      <c r="O404" s="88"/>
      <c r="P404" s="88"/>
      <c r="Q404" s="88"/>
      <c r="R404" s="88"/>
      <c r="S404" s="88"/>
      <c r="T404" s="88"/>
      <c r="U404" s="88"/>
      <c r="V404" s="88"/>
      <c r="W404" s="88"/>
      <c r="X404" s="88"/>
      <c r="Y404" s="88"/>
      <c r="Z404" s="88"/>
      <c r="AA404" s="88"/>
      <c r="AB404" s="128"/>
      <c r="AC404" s="128"/>
      <c r="AD404" s="128"/>
      <c r="AE404" s="128"/>
      <c r="AF404" s="128"/>
      <c r="AG404" s="128"/>
      <c r="AH404" s="127"/>
    </row>
    <row r="405" spans="1:34" ht="13.2">
      <c r="A405" s="88"/>
      <c r="B405" s="88"/>
      <c r="C405" s="88"/>
      <c r="D405" s="88"/>
      <c r="E405" s="88"/>
      <c r="F405" s="88"/>
      <c r="G405" s="88"/>
      <c r="H405" s="88"/>
      <c r="I405" s="88"/>
      <c r="J405" s="88"/>
      <c r="K405" s="88"/>
      <c r="L405" s="88"/>
      <c r="M405" s="88"/>
      <c r="N405" s="88"/>
      <c r="O405" s="88"/>
      <c r="P405" s="88"/>
      <c r="Q405" s="88"/>
      <c r="R405" s="88"/>
      <c r="S405" s="88"/>
      <c r="T405" s="88"/>
      <c r="U405" s="88"/>
      <c r="V405" s="88"/>
      <c r="W405" s="88"/>
      <c r="X405" s="88"/>
      <c r="Y405" s="88"/>
      <c r="Z405" s="88"/>
      <c r="AA405" s="88"/>
      <c r="AB405" s="128"/>
      <c r="AC405" s="128"/>
      <c r="AD405" s="128"/>
      <c r="AE405" s="128"/>
      <c r="AF405" s="128"/>
      <c r="AG405" s="128"/>
      <c r="AH405" s="127"/>
    </row>
    <row r="406" spans="1:34" ht="13.2">
      <c r="A406" s="88"/>
      <c r="B406" s="88"/>
      <c r="C406" s="88"/>
      <c r="D406" s="88"/>
      <c r="E406" s="88"/>
      <c r="F406" s="88"/>
      <c r="G406" s="88"/>
      <c r="H406" s="88"/>
      <c r="I406" s="88"/>
      <c r="J406" s="88"/>
      <c r="K406" s="88"/>
      <c r="L406" s="88"/>
      <c r="M406" s="88"/>
      <c r="N406" s="88"/>
      <c r="O406" s="88"/>
      <c r="P406" s="88"/>
      <c r="Q406" s="88"/>
      <c r="R406" s="88"/>
      <c r="S406" s="88"/>
      <c r="T406" s="88"/>
      <c r="U406" s="88"/>
      <c r="V406" s="88"/>
      <c r="W406" s="88"/>
      <c r="X406" s="88"/>
      <c r="Y406" s="88"/>
      <c r="Z406" s="88"/>
      <c r="AA406" s="88"/>
      <c r="AB406" s="128"/>
      <c r="AC406" s="128"/>
      <c r="AD406" s="128"/>
      <c r="AE406" s="128"/>
      <c r="AF406" s="128"/>
      <c r="AG406" s="128"/>
      <c r="AH406" s="127"/>
    </row>
    <row r="407" spans="1:34" ht="13.2">
      <c r="A407" s="88"/>
      <c r="B407" s="88"/>
      <c r="C407" s="88"/>
      <c r="D407" s="88"/>
      <c r="E407" s="88"/>
      <c r="F407" s="88"/>
      <c r="G407" s="88"/>
      <c r="H407" s="88"/>
      <c r="I407" s="88"/>
      <c r="J407" s="88"/>
      <c r="K407" s="88"/>
      <c r="L407" s="88"/>
      <c r="M407" s="88"/>
      <c r="N407" s="88"/>
      <c r="O407" s="88"/>
      <c r="P407" s="88"/>
      <c r="Q407" s="88"/>
      <c r="R407" s="88"/>
      <c r="S407" s="88"/>
      <c r="T407" s="88"/>
      <c r="U407" s="88"/>
      <c r="V407" s="88"/>
      <c r="W407" s="88"/>
      <c r="X407" s="88"/>
      <c r="Y407" s="88"/>
      <c r="Z407" s="88"/>
      <c r="AA407" s="88"/>
      <c r="AB407" s="128"/>
      <c r="AC407" s="128"/>
      <c r="AD407" s="128"/>
      <c r="AE407" s="128"/>
      <c r="AF407" s="128"/>
      <c r="AG407" s="128"/>
      <c r="AH407" s="127"/>
    </row>
    <row r="408" spans="1:34" ht="13.2">
      <c r="A408" s="88"/>
      <c r="B408" s="88"/>
      <c r="C408" s="88"/>
      <c r="D408" s="88"/>
      <c r="E408" s="88"/>
      <c r="F408" s="88"/>
      <c r="G408" s="88"/>
      <c r="H408" s="88"/>
      <c r="I408" s="88"/>
      <c r="J408" s="88"/>
      <c r="K408" s="88"/>
      <c r="L408" s="88"/>
      <c r="M408" s="88"/>
      <c r="N408" s="88"/>
      <c r="O408" s="88"/>
      <c r="P408" s="88"/>
      <c r="Q408" s="88"/>
      <c r="R408" s="88"/>
      <c r="S408" s="88"/>
      <c r="T408" s="88"/>
      <c r="U408" s="88"/>
      <c r="V408" s="88"/>
      <c r="W408" s="88"/>
      <c r="X408" s="88"/>
      <c r="Y408" s="88"/>
      <c r="Z408" s="88"/>
      <c r="AA408" s="88"/>
      <c r="AB408" s="128"/>
      <c r="AC408" s="128"/>
      <c r="AD408" s="128"/>
      <c r="AE408" s="128"/>
      <c r="AF408" s="128"/>
      <c r="AG408" s="128"/>
      <c r="AH408" s="127"/>
    </row>
    <row r="409" spans="1:34" ht="13.2">
      <c r="A409" s="88"/>
      <c r="B409" s="88"/>
      <c r="C409" s="88"/>
      <c r="D409" s="88"/>
      <c r="E409" s="88"/>
      <c r="F409" s="88"/>
      <c r="G409" s="88"/>
      <c r="H409" s="88"/>
      <c r="I409" s="88"/>
      <c r="J409" s="88"/>
      <c r="K409" s="88"/>
      <c r="L409" s="88"/>
      <c r="M409" s="88"/>
      <c r="N409" s="88"/>
      <c r="O409" s="88"/>
      <c r="P409" s="88"/>
      <c r="Q409" s="88"/>
      <c r="R409" s="88"/>
      <c r="S409" s="88"/>
      <c r="T409" s="88"/>
      <c r="U409" s="88"/>
      <c r="V409" s="88"/>
      <c r="W409" s="88"/>
      <c r="X409" s="88"/>
      <c r="Y409" s="88"/>
      <c r="Z409" s="88"/>
      <c r="AA409" s="88"/>
      <c r="AB409" s="128"/>
      <c r="AC409" s="128"/>
      <c r="AD409" s="128"/>
      <c r="AE409" s="128"/>
      <c r="AF409" s="128"/>
      <c r="AG409" s="128"/>
      <c r="AH409" s="127"/>
    </row>
    <row r="410" spans="1:34" ht="13.2">
      <c r="A410" s="88"/>
      <c r="B410" s="88"/>
      <c r="C410" s="88"/>
      <c r="D410" s="88"/>
      <c r="E410" s="88"/>
      <c r="F410" s="88"/>
      <c r="G410" s="88"/>
      <c r="H410" s="88"/>
      <c r="I410" s="88"/>
      <c r="J410" s="88"/>
      <c r="K410" s="88"/>
      <c r="L410" s="88"/>
      <c r="M410" s="88"/>
      <c r="N410" s="88"/>
      <c r="O410" s="88"/>
      <c r="P410" s="88"/>
      <c r="Q410" s="88"/>
      <c r="R410" s="88"/>
      <c r="S410" s="88"/>
      <c r="T410" s="88"/>
      <c r="U410" s="88"/>
      <c r="V410" s="88"/>
      <c r="W410" s="88"/>
      <c r="X410" s="88"/>
      <c r="Y410" s="88"/>
      <c r="Z410" s="88"/>
      <c r="AA410" s="88"/>
      <c r="AB410" s="128"/>
      <c r="AC410" s="128"/>
      <c r="AD410" s="128"/>
      <c r="AE410" s="128"/>
      <c r="AF410" s="128"/>
      <c r="AG410" s="128"/>
      <c r="AH410" s="127"/>
    </row>
    <row r="411" spans="1:34" ht="13.2">
      <c r="A411" s="88"/>
      <c r="B411" s="88"/>
      <c r="C411" s="88"/>
      <c r="D411" s="88"/>
      <c r="E411" s="88"/>
      <c r="F411" s="88"/>
      <c r="G411" s="88"/>
      <c r="H411" s="88"/>
      <c r="I411" s="88"/>
      <c r="J411" s="88"/>
      <c r="K411" s="88"/>
      <c r="L411" s="88"/>
      <c r="M411" s="88"/>
      <c r="N411" s="88"/>
      <c r="O411" s="88"/>
      <c r="P411" s="88"/>
      <c r="Q411" s="88"/>
      <c r="R411" s="88"/>
      <c r="S411" s="88"/>
      <c r="T411" s="88"/>
      <c r="U411" s="88"/>
      <c r="V411" s="88"/>
      <c r="W411" s="88"/>
      <c r="X411" s="88"/>
      <c r="Y411" s="88"/>
      <c r="Z411" s="88"/>
      <c r="AA411" s="88"/>
      <c r="AB411" s="128"/>
      <c r="AC411" s="128"/>
      <c r="AD411" s="128"/>
      <c r="AE411" s="128"/>
      <c r="AF411" s="128"/>
      <c r="AG411" s="128"/>
      <c r="AH411" s="127"/>
    </row>
    <row r="412" spans="1:34" ht="13.2">
      <c r="A412" s="88"/>
      <c r="B412" s="88"/>
      <c r="C412" s="88"/>
      <c r="D412" s="88"/>
      <c r="E412" s="88"/>
      <c r="F412" s="88"/>
      <c r="G412" s="88"/>
      <c r="H412" s="88"/>
      <c r="I412" s="88"/>
      <c r="J412" s="88"/>
      <c r="K412" s="88"/>
      <c r="L412" s="88"/>
      <c r="M412" s="88"/>
      <c r="N412" s="88"/>
      <c r="O412" s="88"/>
      <c r="P412" s="88"/>
      <c r="Q412" s="88"/>
      <c r="R412" s="88"/>
      <c r="S412" s="88"/>
      <c r="T412" s="88"/>
      <c r="U412" s="88"/>
      <c r="V412" s="88"/>
      <c r="W412" s="88"/>
      <c r="X412" s="88"/>
      <c r="Y412" s="88"/>
      <c r="Z412" s="88"/>
      <c r="AA412" s="88"/>
      <c r="AB412" s="128"/>
      <c r="AC412" s="128"/>
      <c r="AD412" s="128"/>
      <c r="AE412" s="128"/>
      <c r="AF412" s="128"/>
      <c r="AG412" s="128"/>
      <c r="AH412" s="127"/>
    </row>
    <row r="413" spans="1:34" ht="13.2">
      <c r="A413" s="88"/>
      <c r="B413" s="88"/>
      <c r="C413" s="88"/>
      <c r="D413" s="88"/>
      <c r="E413" s="88"/>
      <c r="F413" s="88"/>
      <c r="G413" s="88"/>
      <c r="H413" s="88"/>
      <c r="I413" s="88"/>
      <c r="J413" s="88"/>
      <c r="K413" s="88"/>
      <c r="L413" s="88"/>
      <c r="M413" s="88"/>
      <c r="N413" s="88"/>
      <c r="O413" s="88"/>
      <c r="P413" s="88"/>
      <c r="Q413" s="88"/>
      <c r="R413" s="88"/>
      <c r="S413" s="88"/>
      <c r="T413" s="88"/>
      <c r="U413" s="88"/>
      <c r="V413" s="88"/>
      <c r="W413" s="88"/>
      <c r="X413" s="88"/>
      <c r="Y413" s="88"/>
      <c r="Z413" s="88"/>
      <c r="AA413" s="88"/>
      <c r="AB413" s="128"/>
      <c r="AC413" s="128"/>
      <c r="AD413" s="128"/>
      <c r="AE413" s="128"/>
      <c r="AF413" s="128"/>
      <c r="AG413" s="128"/>
      <c r="AH413" s="127"/>
    </row>
    <row r="414" spans="1:34" ht="13.2">
      <c r="A414" s="88"/>
      <c r="B414" s="88"/>
      <c r="C414" s="88"/>
      <c r="D414" s="88"/>
      <c r="E414" s="88"/>
      <c r="F414" s="88"/>
      <c r="G414" s="88"/>
      <c r="H414" s="88"/>
      <c r="I414" s="88"/>
      <c r="J414" s="88"/>
      <c r="K414" s="88"/>
      <c r="L414" s="88"/>
      <c r="M414" s="88"/>
      <c r="N414" s="88"/>
      <c r="O414" s="88"/>
      <c r="P414" s="88"/>
      <c r="Q414" s="88"/>
      <c r="R414" s="88"/>
      <c r="S414" s="88"/>
      <c r="T414" s="88"/>
      <c r="U414" s="88"/>
      <c r="V414" s="88"/>
      <c r="W414" s="88"/>
      <c r="X414" s="88"/>
      <c r="Y414" s="88"/>
      <c r="Z414" s="88"/>
      <c r="AA414" s="88"/>
      <c r="AB414" s="128"/>
      <c r="AC414" s="128"/>
      <c r="AD414" s="128"/>
      <c r="AE414" s="128"/>
      <c r="AF414" s="128"/>
      <c r="AG414" s="128"/>
      <c r="AH414" s="127"/>
    </row>
    <row r="415" spans="1:34" ht="13.2">
      <c r="A415" s="88"/>
      <c r="B415" s="88"/>
      <c r="C415" s="88"/>
      <c r="D415" s="88"/>
      <c r="E415" s="88"/>
      <c r="F415" s="88"/>
      <c r="G415" s="88"/>
      <c r="H415" s="88"/>
      <c r="I415" s="88"/>
      <c r="J415" s="88"/>
      <c r="K415" s="88"/>
      <c r="L415" s="88"/>
      <c r="M415" s="88"/>
      <c r="N415" s="88"/>
      <c r="O415" s="88"/>
      <c r="P415" s="88"/>
      <c r="Q415" s="88"/>
      <c r="R415" s="88"/>
      <c r="S415" s="88"/>
      <c r="T415" s="88"/>
      <c r="U415" s="88"/>
      <c r="V415" s="88"/>
      <c r="W415" s="88"/>
      <c r="X415" s="88"/>
      <c r="Y415" s="88"/>
      <c r="Z415" s="88"/>
      <c r="AA415" s="88"/>
      <c r="AB415" s="128"/>
      <c r="AC415" s="128"/>
      <c r="AD415" s="128"/>
      <c r="AE415" s="128"/>
      <c r="AF415" s="128"/>
      <c r="AG415" s="128"/>
      <c r="AH415" s="127"/>
    </row>
    <row r="416" spans="1:34" ht="13.2">
      <c r="A416" s="88"/>
      <c r="B416" s="88"/>
      <c r="C416" s="88"/>
      <c r="D416" s="88"/>
      <c r="E416" s="88"/>
      <c r="F416" s="88"/>
      <c r="G416" s="88"/>
      <c r="H416" s="88"/>
      <c r="I416" s="88"/>
      <c r="J416" s="88"/>
      <c r="K416" s="88"/>
      <c r="L416" s="88"/>
      <c r="M416" s="88"/>
      <c r="N416" s="88"/>
      <c r="O416" s="88"/>
      <c r="P416" s="88"/>
      <c r="Q416" s="88"/>
      <c r="R416" s="88"/>
      <c r="S416" s="88"/>
      <c r="T416" s="88"/>
      <c r="U416" s="88"/>
      <c r="V416" s="88"/>
      <c r="W416" s="88"/>
      <c r="X416" s="88"/>
      <c r="Y416" s="88"/>
      <c r="Z416" s="88"/>
      <c r="AA416" s="88"/>
      <c r="AB416" s="128"/>
      <c r="AC416" s="128"/>
      <c r="AD416" s="128"/>
      <c r="AE416" s="128"/>
      <c r="AF416" s="128"/>
      <c r="AG416" s="128"/>
      <c r="AH416" s="127"/>
    </row>
    <row r="417" spans="1:34" ht="13.2">
      <c r="A417" s="88"/>
      <c r="B417" s="88"/>
      <c r="C417" s="88"/>
      <c r="D417" s="88"/>
      <c r="E417" s="88"/>
      <c r="F417" s="88"/>
      <c r="G417" s="88"/>
      <c r="H417" s="88"/>
      <c r="I417" s="88"/>
      <c r="J417" s="88"/>
      <c r="K417" s="88"/>
      <c r="L417" s="88"/>
      <c r="M417" s="88"/>
      <c r="N417" s="88"/>
      <c r="O417" s="88"/>
      <c r="P417" s="88"/>
      <c r="Q417" s="88"/>
      <c r="R417" s="88"/>
      <c r="S417" s="88"/>
      <c r="T417" s="88"/>
      <c r="U417" s="88"/>
      <c r="V417" s="88"/>
      <c r="W417" s="88"/>
      <c r="X417" s="88"/>
      <c r="Y417" s="88"/>
      <c r="Z417" s="88"/>
      <c r="AA417" s="88"/>
      <c r="AB417" s="128"/>
      <c r="AC417" s="128"/>
      <c r="AD417" s="128"/>
      <c r="AE417" s="128"/>
      <c r="AF417" s="128"/>
      <c r="AG417" s="128"/>
      <c r="AH417" s="127"/>
    </row>
    <row r="418" spans="1:34" ht="13.2">
      <c r="A418" s="88"/>
      <c r="B418" s="88"/>
      <c r="C418" s="88"/>
      <c r="D418" s="88"/>
      <c r="E418" s="88"/>
      <c r="F418" s="88"/>
      <c r="G418" s="88"/>
      <c r="H418" s="88"/>
      <c r="I418" s="88"/>
      <c r="J418" s="88"/>
      <c r="K418" s="88"/>
      <c r="L418" s="88"/>
      <c r="M418" s="88"/>
      <c r="N418" s="88"/>
      <c r="O418" s="88"/>
      <c r="P418" s="88"/>
      <c r="Q418" s="88"/>
      <c r="R418" s="88"/>
      <c r="S418" s="88"/>
      <c r="T418" s="88"/>
      <c r="U418" s="88"/>
      <c r="V418" s="88"/>
      <c r="W418" s="88"/>
      <c r="X418" s="88"/>
      <c r="Y418" s="88"/>
      <c r="Z418" s="88"/>
      <c r="AA418" s="88"/>
      <c r="AB418" s="128"/>
      <c r="AC418" s="128"/>
      <c r="AD418" s="128"/>
      <c r="AE418" s="128"/>
      <c r="AF418" s="128"/>
      <c r="AG418" s="128"/>
      <c r="AH418" s="127"/>
    </row>
    <row r="419" spans="1:34" ht="13.2">
      <c r="A419" s="88"/>
      <c r="B419" s="88"/>
      <c r="C419" s="88"/>
      <c r="D419" s="88"/>
      <c r="E419" s="88"/>
      <c r="F419" s="88"/>
      <c r="G419" s="88"/>
      <c r="H419" s="88"/>
      <c r="I419" s="88"/>
      <c r="J419" s="88"/>
      <c r="K419" s="88"/>
      <c r="L419" s="88"/>
      <c r="M419" s="88"/>
      <c r="N419" s="88"/>
      <c r="O419" s="88"/>
      <c r="P419" s="88"/>
      <c r="Q419" s="88"/>
      <c r="R419" s="88"/>
      <c r="S419" s="88"/>
      <c r="T419" s="88"/>
      <c r="U419" s="88"/>
      <c r="V419" s="88"/>
      <c r="W419" s="88"/>
      <c r="X419" s="88"/>
      <c r="Y419" s="88"/>
      <c r="Z419" s="88"/>
      <c r="AA419" s="88"/>
      <c r="AB419" s="128"/>
      <c r="AC419" s="128"/>
      <c r="AD419" s="128"/>
      <c r="AE419" s="128"/>
      <c r="AF419" s="128"/>
      <c r="AG419" s="128"/>
      <c r="AH419" s="127"/>
    </row>
    <row r="420" spans="1:34" ht="13.2">
      <c r="A420" s="88"/>
      <c r="B420" s="88"/>
      <c r="C420" s="88"/>
      <c r="D420" s="88"/>
      <c r="E420" s="88"/>
      <c r="F420" s="88"/>
      <c r="G420" s="88"/>
      <c r="H420" s="88"/>
      <c r="I420" s="88"/>
      <c r="J420" s="88"/>
      <c r="K420" s="88"/>
      <c r="L420" s="88"/>
      <c r="M420" s="88"/>
      <c r="N420" s="88"/>
      <c r="O420" s="88"/>
      <c r="P420" s="88"/>
      <c r="Q420" s="88"/>
      <c r="R420" s="88"/>
      <c r="S420" s="88"/>
      <c r="T420" s="88"/>
      <c r="U420" s="88"/>
      <c r="V420" s="88"/>
      <c r="W420" s="88"/>
      <c r="X420" s="88"/>
      <c r="Y420" s="88"/>
      <c r="Z420" s="88"/>
      <c r="AA420" s="88"/>
      <c r="AB420" s="128"/>
      <c r="AC420" s="128"/>
      <c r="AD420" s="128"/>
      <c r="AE420" s="128"/>
      <c r="AF420" s="128"/>
      <c r="AG420" s="128"/>
      <c r="AH420" s="127"/>
    </row>
    <row r="421" spans="1:34" ht="13.2">
      <c r="A421" s="88"/>
      <c r="B421" s="88"/>
      <c r="C421" s="88"/>
      <c r="D421" s="88"/>
      <c r="E421" s="88"/>
      <c r="F421" s="88"/>
      <c r="G421" s="88"/>
      <c r="H421" s="88"/>
      <c r="I421" s="88"/>
      <c r="J421" s="88"/>
      <c r="K421" s="88"/>
      <c r="L421" s="88"/>
      <c r="M421" s="88"/>
      <c r="N421" s="88"/>
      <c r="O421" s="88"/>
      <c r="P421" s="88"/>
      <c r="Q421" s="88"/>
      <c r="R421" s="88"/>
      <c r="S421" s="88"/>
      <c r="T421" s="88"/>
      <c r="U421" s="88"/>
      <c r="V421" s="88"/>
      <c r="W421" s="88"/>
      <c r="X421" s="88"/>
      <c r="Y421" s="88"/>
      <c r="Z421" s="88"/>
      <c r="AA421" s="88"/>
      <c r="AB421" s="128"/>
      <c r="AC421" s="128"/>
      <c r="AD421" s="128"/>
      <c r="AE421" s="128"/>
      <c r="AF421" s="128"/>
      <c r="AG421" s="128"/>
      <c r="AH421" s="127"/>
    </row>
    <row r="422" spans="1:34" ht="13.2">
      <c r="A422" s="88"/>
      <c r="B422" s="88"/>
      <c r="C422" s="88"/>
      <c r="D422" s="88"/>
      <c r="E422" s="88"/>
      <c r="F422" s="88"/>
      <c r="G422" s="88"/>
      <c r="H422" s="88"/>
      <c r="I422" s="88"/>
      <c r="J422" s="88"/>
      <c r="K422" s="88"/>
      <c r="L422" s="88"/>
      <c r="M422" s="88"/>
      <c r="N422" s="88"/>
      <c r="O422" s="88"/>
      <c r="P422" s="88"/>
      <c r="Q422" s="88"/>
      <c r="R422" s="88"/>
      <c r="S422" s="88"/>
      <c r="T422" s="88"/>
      <c r="U422" s="88"/>
      <c r="V422" s="88"/>
      <c r="W422" s="88"/>
      <c r="X422" s="88"/>
      <c r="Y422" s="88"/>
      <c r="Z422" s="88"/>
      <c r="AA422" s="88"/>
      <c r="AB422" s="128"/>
      <c r="AC422" s="128"/>
      <c r="AD422" s="128"/>
      <c r="AE422" s="128"/>
      <c r="AF422" s="128"/>
      <c r="AG422" s="128"/>
      <c r="AH422" s="127"/>
    </row>
    <row r="423" spans="1:34" ht="13.2">
      <c r="A423" s="88"/>
      <c r="B423" s="88"/>
      <c r="C423" s="88"/>
      <c r="D423" s="88"/>
      <c r="E423" s="88"/>
      <c r="F423" s="88"/>
      <c r="G423" s="88"/>
      <c r="H423" s="88"/>
      <c r="I423" s="88"/>
      <c r="J423" s="88"/>
      <c r="K423" s="88"/>
      <c r="L423" s="88"/>
      <c r="M423" s="88"/>
      <c r="N423" s="88"/>
      <c r="O423" s="88"/>
      <c r="P423" s="88"/>
      <c r="Q423" s="88"/>
      <c r="R423" s="88"/>
      <c r="S423" s="88"/>
      <c r="T423" s="88"/>
      <c r="U423" s="88"/>
      <c r="V423" s="88"/>
      <c r="W423" s="88"/>
      <c r="X423" s="88"/>
      <c r="Y423" s="88"/>
      <c r="Z423" s="88"/>
      <c r="AA423" s="88"/>
      <c r="AB423" s="128"/>
      <c r="AC423" s="128"/>
      <c r="AD423" s="128"/>
      <c r="AE423" s="128"/>
      <c r="AF423" s="128"/>
      <c r="AG423" s="128"/>
      <c r="AH423" s="127"/>
    </row>
    <row r="424" spans="1:34" ht="13.2">
      <c r="A424" s="88"/>
      <c r="B424" s="88"/>
      <c r="C424" s="88"/>
      <c r="D424" s="88"/>
      <c r="E424" s="88"/>
      <c r="F424" s="88"/>
      <c r="G424" s="88"/>
      <c r="H424" s="88"/>
      <c r="I424" s="88"/>
      <c r="J424" s="88"/>
      <c r="K424" s="88"/>
      <c r="L424" s="88"/>
      <c r="M424" s="88"/>
      <c r="N424" s="88"/>
      <c r="O424" s="88"/>
      <c r="P424" s="88"/>
      <c r="Q424" s="88"/>
      <c r="R424" s="88"/>
      <c r="S424" s="88"/>
      <c r="T424" s="88"/>
      <c r="U424" s="88"/>
      <c r="V424" s="88"/>
      <c r="W424" s="88"/>
      <c r="X424" s="88"/>
      <c r="Y424" s="88"/>
      <c r="Z424" s="88"/>
      <c r="AA424" s="88"/>
      <c r="AB424" s="128"/>
      <c r="AC424" s="128"/>
      <c r="AD424" s="128"/>
      <c r="AE424" s="128"/>
      <c r="AF424" s="128"/>
      <c r="AG424" s="128"/>
      <c r="AH424" s="127"/>
    </row>
    <row r="425" spans="1:34" ht="13.2">
      <c r="A425" s="88"/>
      <c r="B425" s="88"/>
      <c r="C425" s="88"/>
      <c r="D425" s="88"/>
      <c r="E425" s="88"/>
      <c r="F425" s="88"/>
      <c r="G425" s="88"/>
      <c r="H425" s="88"/>
      <c r="I425" s="88"/>
      <c r="J425" s="88"/>
      <c r="K425" s="88"/>
      <c r="L425" s="88"/>
      <c r="M425" s="88"/>
      <c r="N425" s="88"/>
      <c r="O425" s="88"/>
      <c r="P425" s="88"/>
      <c r="Q425" s="88"/>
      <c r="R425" s="88"/>
      <c r="S425" s="88"/>
      <c r="T425" s="88"/>
      <c r="U425" s="88"/>
      <c r="V425" s="88"/>
      <c r="W425" s="88"/>
      <c r="X425" s="88"/>
      <c r="Y425" s="88"/>
      <c r="Z425" s="88"/>
      <c r="AA425" s="88"/>
      <c r="AB425" s="128"/>
      <c r="AC425" s="128"/>
      <c r="AD425" s="128"/>
      <c r="AE425" s="128"/>
      <c r="AF425" s="128"/>
      <c r="AG425" s="128"/>
      <c r="AH425" s="127"/>
    </row>
    <row r="426" spans="1:34" ht="13.2">
      <c r="A426" s="88"/>
      <c r="B426" s="88"/>
      <c r="C426" s="88"/>
      <c r="D426" s="88"/>
      <c r="E426" s="88"/>
      <c r="F426" s="88"/>
      <c r="G426" s="88"/>
      <c r="H426" s="88"/>
      <c r="I426" s="88"/>
      <c r="J426" s="88"/>
      <c r="K426" s="88"/>
      <c r="L426" s="88"/>
      <c r="M426" s="88"/>
      <c r="N426" s="88"/>
      <c r="O426" s="88"/>
      <c r="P426" s="88"/>
      <c r="Q426" s="88"/>
      <c r="R426" s="88"/>
      <c r="S426" s="88"/>
      <c r="T426" s="88"/>
      <c r="U426" s="88"/>
      <c r="V426" s="88"/>
      <c r="W426" s="88"/>
      <c r="X426" s="88"/>
      <c r="Y426" s="88"/>
      <c r="Z426" s="88"/>
      <c r="AA426" s="88"/>
      <c r="AB426" s="128"/>
      <c r="AC426" s="128"/>
      <c r="AD426" s="128"/>
      <c r="AE426" s="128"/>
      <c r="AF426" s="128"/>
      <c r="AG426" s="128"/>
      <c r="AH426" s="127"/>
    </row>
    <row r="427" spans="1:34" ht="13.2">
      <c r="A427" s="88"/>
      <c r="B427" s="88"/>
      <c r="C427" s="88"/>
      <c r="D427" s="88"/>
      <c r="E427" s="88"/>
      <c r="F427" s="88"/>
      <c r="G427" s="88"/>
      <c r="H427" s="88"/>
      <c r="I427" s="88"/>
      <c r="J427" s="88"/>
      <c r="K427" s="88"/>
      <c r="L427" s="88"/>
      <c r="M427" s="88"/>
      <c r="N427" s="88"/>
      <c r="O427" s="88"/>
      <c r="P427" s="88"/>
      <c r="Q427" s="88"/>
      <c r="R427" s="88"/>
      <c r="S427" s="88"/>
      <c r="T427" s="88"/>
      <c r="U427" s="88"/>
      <c r="V427" s="88"/>
      <c r="W427" s="88"/>
      <c r="X427" s="88"/>
      <c r="Y427" s="88"/>
      <c r="Z427" s="88"/>
      <c r="AA427" s="88"/>
      <c r="AB427" s="128"/>
      <c r="AC427" s="128"/>
      <c r="AD427" s="128"/>
      <c r="AE427" s="128"/>
      <c r="AF427" s="128"/>
      <c r="AG427" s="128"/>
      <c r="AH427" s="127"/>
    </row>
    <row r="428" spans="1:34" ht="13.2">
      <c r="A428" s="88"/>
      <c r="B428" s="88"/>
      <c r="C428" s="88"/>
      <c r="D428" s="88"/>
      <c r="E428" s="88"/>
      <c r="F428" s="88"/>
      <c r="G428" s="88"/>
      <c r="H428" s="88"/>
      <c r="I428" s="88"/>
      <c r="J428" s="88"/>
      <c r="K428" s="88"/>
      <c r="L428" s="88"/>
      <c r="M428" s="88"/>
      <c r="N428" s="88"/>
      <c r="O428" s="88"/>
      <c r="P428" s="88"/>
      <c r="Q428" s="88"/>
      <c r="R428" s="88"/>
      <c r="S428" s="88"/>
      <c r="T428" s="88"/>
      <c r="U428" s="88"/>
      <c r="V428" s="88"/>
      <c r="W428" s="88"/>
      <c r="X428" s="88"/>
      <c r="Y428" s="88"/>
      <c r="Z428" s="88"/>
      <c r="AA428" s="88"/>
      <c r="AB428" s="128"/>
      <c r="AC428" s="128"/>
      <c r="AD428" s="128"/>
      <c r="AE428" s="128"/>
      <c r="AF428" s="128"/>
      <c r="AG428" s="128"/>
      <c r="AH428" s="127"/>
    </row>
    <row r="429" spans="1:34" ht="13.2">
      <c r="A429" s="88"/>
      <c r="B429" s="88"/>
      <c r="C429" s="88"/>
      <c r="D429" s="88"/>
      <c r="E429" s="88"/>
      <c r="F429" s="88"/>
      <c r="G429" s="88"/>
      <c r="H429" s="88"/>
      <c r="I429" s="88"/>
      <c r="J429" s="88"/>
      <c r="K429" s="88"/>
      <c r="L429" s="88"/>
      <c r="M429" s="88"/>
      <c r="N429" s="88"/>
      <c r="O429" s="88"/>
      <c r="P429" s="88"/>
      <c r="Q429" s="88"/>
      <c r="R429" s="88"/>
      <c r="S429" s="88"/>
      <c r="T429" s="88"/>
      <c r="U429" s="88"/>
      <c r="V429" s="88"/>
      <c r="W429" s="88"/>
      <c r="X429" s="88"/>
      <c r="Y429" s="88"/>
      <c r="Z429" s="88"/>
      <c r="AA429" s="88"/>
      <c r="AB429" s="128"/>
      <c r="AC429" s="128"/>
      <c r="AD429" s="128"/>
      <c r="AE429" s="128"/>
      <c r="AF429" s="128"/>
      <c r="AG429" s="128"/>
      <c r="AH429" s="127"/>
    </row>
    <row r="430" spans="1:34" ht="13.2">
      <c r="A430" s="88"/>
      <c r="B430" s="88"/>
      <c r="C430" s="88"/>
      <c r="D430" s="88"/>
      <c r="E430" s="88"/>
      <c r="F430" s="88"/>
      <c r="G430" s="88"/>
      <c r="H430" s="88"/>
      <c r="I430" s="88"/>
      <c r="J430" s="88"/>
      <c r="K430" s="88"/>
      <c r="L430" s="88"/>
      <c r="M430" s="88"/>
      <c r="N430" s="88"/>
      <c r="O430" s="88"/>
      <c r="P430" s="88"/>
      <c r="Q430" s="88"/>
      <c r="R430" s="88"/>
      <c r="S430" s="88"/>
      <c r="T430" s="88"/>
      <c r="U430" s="88"/>
      <c r="V430" s="88"/>
      <c r="W430" s="88"/>
      <c r="X430" s="88"/>
      <c r="Y430" s="88"/>
      <c r="Z430" s="88"/>
      <c r="AA430" s="88"/>
      <c r="AB430" s="128"/>
      <c r="AC430" s="128"/>
      <c r="AD430" s="128"/>
      <c r="AE430" s="128"/>
      <c r="AF430" s="128"/>
      <c r="AG430" s="128"/>
      <c r="AH430" s="127"/>
    </row>
    <row r="431" spans="1:34" ht="13.2">
      <c r="A431" s="88"/>
      <c r="B431" s="88"/>
      <c r="C431" s="88"/>
      <c r="D431" s="88"/>
      <c r="E431" s="88"/>
      <c r="F431" s="88"/>
      <c r="G431" s="88"/>
      <c r="H431" s="88"/>
      <c r="I431" s="88"/>
      <c r="J431" s="88"/>
      <c r="K431" s="88"/>
      <c r="L431" s="88"/>
      <c r="M431" s="88"/>
      <c r="N431" s="88"/>
      <c r="O431" s="88"/>
      <c r="P431" s="88"/>
      <c r="Q431" s="88"/>
      <c r="R431" s="88"/>
      <c r="S431" s="88"/>
      <c r="T431" s="88"/>
      <c r="U431" s="88"/>
      <c r="V431" s="88"/>
      <c r="W431" s="88"/>
      <c r="X431" s="88"/>
      <c r="Y431" s="88"/>
      <c r="Z431" s="88"/>
      <c r="AA431" s="88"/>
      <c r="AB431" s="128"/>
      <c r="AC431" s="128"/>
      <c r="AD431" s="128"/>
      <c r="AE431" s="128"/>
      <c r="AF431" s="128"/>
      <c r="AG431" s="128"/>
      <c r="AH431" s="127"/>
    </row>
    <row r="432" spans="1:34" ht="13.2">
      <c r="A432" s="88"/>
      <c r="B432" s="88"/>
      <c r="C432" s="88"/>
      <c r="D432" s="88"/>
      <c r="E432" s="88"/>
      <c r="F432" s="88"/>
      <c r="G432" s="88"/>
      <c r="H432" s="88"/>
      <c r="I432" s="88"/>
      <c r="J432" s="88"/>
      <c r="K432" s="88"/>
      <c r="L432" s="88"/>
      <c r="M432" s="88"/>
      <c r="N432" s="88"/>
      <c r="O432" s="88"/>
      <c r="P432" s="88"/>
      <c r="Q432" s="88"/>
      <c r="R432" s="88"/>
      <c r="S432" s="88"/>
      <c r="T432" s="88"/>
      <c r="U432" s="88"/>
      <c r="V432" s="88"/>
      <c r="W432" s="88"/>
      <c r="X432" s="88"/>
      <c r="Y432" s="88"/>
      <c r="Z432" s="88"/>
      <c r="AA432" s="88"/>
      <c r="AB432" s="128"/>
      <c r="AC432" s="128"/>
      <c r="AD432" s="128"/>
      <c r="AE432" s="128"/>
      <c r="AF432" s="128"/>
      <c r="AG432" s="128"/>
      <c r="AH432" s="127"/>
    </row>
    <row r="433" spans="1:34" ht="13.2">
      <c r="A433" s="88"/>
      <c r="B433" s="88"/>
      <c r="C433" s="88"/>
      <c r="D433" s="88"/>
      <c r="E433" s="88"/>
      <c r="F433" s="88"/>
      <c r="G433" s="88"/>
      <c r="H433" s="88"/>
      <c r="I433" s="88"/>
      <c r="J433" s="88"/>
      <c r="K433" s="88"/>
      <c r="L433" s="88"/>
      <c r="M433" s="88"/>
      <c r="N433" s="88"/>
      <c r="O433" s="88"/>
      <c r="P433" s="88"/>
      <c r="Q433" s="88"/>
      <c r="R433" s="88"/>
      <c r="S433" s="88"/>
      <c r="T433" s="88"/>
      <c r="U433" s="88"/>
      <c r="V433" s="88"/>
      <c r="W433" s="88"/>
      <c r="X433" s="88"/>
      <c r="Y433" s="88"/>
      <c r="Z433" s="88"/>
      <c r="AA433" s="88"/>
      <c r="AB433" s="128"/>
      <c r="AC433" s="128"/>
      <c r="AD433" s="128"/>
      <c r="AE433" s="128"/>
      <c r="AF433" s="128"/>
      <c r="AG433" s="128"/>
      <c r="AH433" s="127"/>
    </row>
    <row r="434" spans="1:34" ht="13.2">
      <c r="A434" s="88"/>
      <c r="B434" s="88"/>
      <c r="C434" s="88"/>
      <c r="D434" s="88"/>
      <c r="E434" s="88"/>
      <c r="F434" s="88"/>
      <c r="G434" s="88"/>
      <c r="H434" s="88"/>
      <c r="I434" s="88"/>
      <c r="J434" s="88"/>
      <c r="K434" s="88"/>
      <c r="L434" s="88"/>
      <c r="M434" s="88"/>
      <c r="N434" s="88"/>
      <c r="O434" s="88"/>
      <c r="P434" s="88"/>
      <c r="Q434" s="88"/>
      <c r="R434" s="88"/>
      <c r="S434" s="88"/>
      <c r="T434" s="88"/>
      <c r="U434" s="88"/>
      <c r="V434" s="88"/>
      <c r="W434" s="88"/>
      <c r="X434" s="88"/>
      <c r="Y434" s="88"/>
      <c r="Z434" s="88"/>
      <c r="AA434" s="88"/>
      <c r="AB434" s="128"/>
      <c r="AC434" s="128"/>
      <c r="AD434" s="128"/>
      <c r="AE434" s="128"/>
      <c r="AF434" s="128"/>
      <c r="AG434" s="128"/>
      <c r="AH434" s="127"/>
    </row>
    <row r="435" spans="1:34" ht="13.2">
      <c r="A435" s="88"/>
      <c r="B435" s="88"/>
      <c r="C435" s="88"/>
      <c r="D435" s="88"/>
      <c r="E435" s="88"/>
      <c r="F435" s="88"/>
      <c r="G435" s="88"/>
      <c r="H435" s="88"/>
      <c r="I435" s="88"/>
      <c r="J435" s="88"/>
      <c r="K435" s="88"/>
      <c r="L435" s="88"/>
      <c r="M435" s="88"/>
      <c r="N435" s="88"/>
      <c r="O435" s="88"/>
      <c r="P435" s="88"/>
      <c r="Q435" s="88"/>
      <c r="R435" s="88"/>
      <c r="S435" s="88"/>
      <c r="T435" s="88"/>
      <c r="U435" s="88"/>
      <c r="V435" s="88"/>
      <c r="W435" s="88"/>
      <c r="X435" s="88"/>
      <c r="Y435" s="88"/>
      <c r="Z435" s="88"/>
      <c r="AA435" s="88"/>
      <c r="AB435" s="128"/>
      <c r="AC435" s="128"/>
      <c r="AD435" s="128"/>
      <c r="AE435" s="128"/>
      <c r="AF435" s="128"/>
      <c r="AG435" s="128"/>
      <c r="AH435" s="127"/>
    </row>
    <row r="436" spans="1:34" ht="13.2">
      <c r="A436" s="88"/>
      <c r="B436" s="88"/>
      <c r="C436" s="88"/>
      <c r="D436" s="88"/>
      <c r="E436" s="88"/>
      <c r="F436" s="88"/>
      <c r="G436" s="88"/>
      <c r="H436" s="88"/>
      <c r="I436" s="88"/>
      <c r="J436" s="88"/>
      <c r="K436" s="88"/>
      <c r="L436" s="88"/>
      <c r="M436" s="88"/>
      <c r="N436" s="88"/>
      <c r="O436" s="88"/>
      <c r="P436" s="88"/>
      <c r="Q436" s="88"/>
      <c r="R436" s="88"/>
      <c r="S436" s="88"/>
      <c r="T436" s="88"/>
      <c r="U436" s="88"/>
      <c r="V436" s="88"/>
      <c r="W436" s="88"/>
      <c r="X436" s="88"/>
      <c r="Y436" s="88"/>
      <c r="Z436" s="88"/>
      <c r="AA436" s="88"/>
      <c r="AB436" s="128"/>
      <c r="AC436" s="128"/>
      <c r="AD436" s="128"/>
      <c r="AE436" s="128"/>
      <c r="AF436" s="128"/>
      <c r="AG436" s="128"/>
      <c r="AH436" s="127"/>
    </row>
    <row r="437" spans="1:34" ht="13.2">
      <c r="A437" s="88"/>
      <c r="B437" s="88"/>
      <c r="C437" s="88"/>
      <c r="D437" s="88"/>
      <c r="E437" s="88"/>
      <c r="F437" s="88"/>
      <c r="G437" s="88"/>
      <c r="H437" s="88"/>
      <c r="I437" s="88"/>
      <c r="J437" s="88"/>
      <c r="K437" s="88"/>
      <c r="L437" s="88"/>
      <c r="M437" s="88"/>
      <c r="N437" s="88"/>
      <c r="O437" s="88"/>
      <c r="P437" s="88"/>
      <c r="Q437" s="88"/>
      <c r="R437" s="88"/>
      <c r="S437" s="88"/>
      <c r="T437" s="88"/>
      <c r="U437" s="88"/>
      <c r="V437" s="88"/>
      <c r="W437" s="88"/>
      <c r="X437" s="88"/>
      <c r="Y437" s="88"/>
      <c r="Z437" s="88"/>
      <c r="AA437" s="88"/>
      <c r="AB437" s="128"/>
      <c r="AC437" s="128"/>
      <c r="AD437" s="128"/>
      <c r="AE437" s="128"/>
      <c r="AF437" s="128"/>
      <c r="AG437" s="128"/>
      <c r="AH437" s="127"/>
    </row>
    <row r="438" spans="1:34" ht="13.2">
      <c r="A438" s="88"/>
      <c r="B438" s="88"/>
      <c r="C438" s="88"/>
      <c r="D438" s="88"/>
      <c r="E438" s="88"/>
      <c r="F438" s="88"/>
      <c r="G438" s="88"/>
      <c r="H438" s="88"/>
      <c r="I438" s="88"/>
      <c r="J438" s="88"/>
      <c r="K438" s="88"/>
      <c r="L438" s="88"/>
      <c r="M438" s="88"/>
      <c r="N438" s="88"/>
      <c r="O438" s="88"/>
      <c r="P438" s="88"/>
      <c r="Q438" s="88"/>
      <c r="R438" s="88"/>
      <c r="S438" s="88"/>
      <c r="T438" s="88"/>
      <c r="U438" s="88"/>
      <c r="V438" s="88"/>
      <c r="W438" s="88"/>
      <c r="X438" s="88"/>
      <c r="Y438" s="88"/>
      <c r="Z438" s="88"/>
      <c r="AA438" s="88"/>
      <c r="AB438" s="128"/>
      <c r="AC438" s="128"/>
      <c r="AD438" s="128"/>
      <c r="AE438" s="128"/>
      <c r="AF438" s="128"/>
      <c r="AG438" s="128"/>
      <c r="AH438" s="127"/>
    </row>
    <row r="439" spans="1:34" ht="13.2">
      <c r="A439" s="88"/>
      <c r="B439" s="88"/>
      <c r="C439" s="88"/>
      <c r="D439" s="88"/>
      <c r="E439" s="88"/>
      <c r="F439" s="88"/>
      <c r="G439" s="88"/>
      <c r="H439" s="88"/>
      <c r="I439" s="88"/>
      <c r="J439" s="88"/>
      <c r="K439" s="88"/>
      <c r="L439" s="88"/>
      <c r="M439" s="88"/>
      <c r="N439" s="88"/>
      <c r="O439" s="88"/>
      <c r="P439" s="88"/>
      <c r="Q439" s="88"/>
      <c r="R439" s="88"/>
      <c r="S439" s="88"/>
      <c r="T439" s="88"/>
      <c r="U439" s="88"/>
      <c r="V439" s="88"/>
      <c r="W439" s="88"/>
      <c r="X439" s="88"/>
      <c r="Y439" s="88"/>
      <c r="Z439" s="88"/>
      <c r="AA439" s="88"/>
      <c r="AB439" s="128"/>
      <c r="AC439" s="128"/>
      <c r="AD439" s="128"/>
      <c r="AE439" s="128"/>
      <c r="AF439" s="128"/>
      <c r="AG439" s="128"/>
      <c r="AH439" s="127"/>
    </row>
    <row r="440" spans="1:34" ht="13.2">
      <c r="A440" s="88"/>
      <c r="B440" s="88"/>
      <c r="C440" s="88"/>
      <c r="D440" s="88"/>
      <c r="E440" s="88"/>
      <c r="F440" s="88"/>
      <c r="G440" s="88"/>
      <c r="H440" s="88"/>
      <c r="I440" s="88"/>
      <c r="J440" s="88"/>
      <c r="K440" s="88"/>
      <c r="L440" s="88"/>
      <c r="M440" s="88"/>
      <c r="N440" s="88"/>
      <c r="O440" s="88"/>
      <c r="P440" s="88"/>
      <c r="Q440" s="88"/>
      <c r="R440" s="88"/>
      <c r="S440" s="88"/>
      <c r="T440" s="88"/>
      <c r="U440" s="88"/>
      <c r="V440" s="88"/>
      <c r="W440" s="88"/>
      <c r="X440" s="88"/>
      <c r="Y440" s="88"/>
      <c r="Z440" s="88"/>
      <c r="AA440" s="88"/>
      <c r="AB440" s="128"/>
      <c r="AC440" s="128"/>
      <c r="AD440" s="128"/>
      <c r="AE440" s="128"/>
      <c r="AF440" s="128"/>
      <c r="AG440" s="128"/>
      <c r="AH440" s="127"/>
    </row>
    <row r="441" spans="1:34" ht="13.2">
      <c r="A441" s="88"/>
      <c r="B441" s="88"/>
      <c r="C441" s="88"/>
      <c r="D441" s="88"/>
      <c r="E441" s="88"/>
      <c r="F441" s="88"/>
      <c r="G441" s="88"/>
      <c r="H441" s="88"/>
      <c r="I441" s="88"/>
      <c r="J441" s="88"/>
      <c r="K441" s="88"/>
      <c r="L441" s="88"/>
      <c r="M441" s="88"/>
      <c r="N441" s="88"/>
      <c r="O441" s="88"/>
      <c r="P441" s="88"/>
      <c r="Q441" s="88"/>
      <c r="R441" s="88"/>
      <c r="S441" s="88"/>
      <c r="T441" s="88"/>
      <c r="U441" s="88"/>
      <c r="V441" s="88"/>
      <c r="W441" s="88"/>
      <c r="X441" s="88"/>
      <c r="Y441" s="88"/>
      <c r="Z441" s="88"/>
      <c r="AA441" s="88"/>
      <c r="AB441" s="128"/>
      <c r="AC441" s="128"/>
      <c r="AD441" s="128"/>
      <c r="AE441" s="128"/>
      <c r="AF441" s="128"/>
      <c r="AG441" s="128"/>
      <c r="AH441" s="127"/>
    </row>
    <row r="442" spans="1:34" ht="13.2">
      <c r="A442" s="88"/>
      <c r="B442" s="88"/>
      <c r="C442" s="88"/>
      <c r="D442" s="88"/>
      <c r="E442" s="88"/>
      <c r="F442" s="88"/>
      <c r="G442" s="88"/>
      <c r="H442" s="88"/>
      <c r="I442" s="88"/>
      <c r="J442" s="88"/>
      <c r="K442" s="88"/>
      <c r="L442" s="88"/>
      <c r="M442" s="88"/>
      <c r="N442" s="88"/>
      <c r="O442" s="88"/>
      <c r="P442" s="88"/>
      <c r="Q442" s="88"/>
      <c r="R442" s="88"/>
      <c r="S442" s="88"/>
      <c r="T442" s="88"/>
      <c r="U442" s="88"/>
      <c r="V442" s="88"/>
      <c r="W442" s="88"/>
      <c r="X442" s="88"/>
      <c r="Y442" s="88"/>
      <c r="Z442" s="88"/>
      <c r="AA442" s="88"/>
      <c r="AB442" s="128"/>
      <c r="AC442" s="128"/>
      <c r="AD442" s="128"/>
      <c r="AE442" s="128"/>
      <c r="AF442" s="128"/>
      <c r="AG442" s="128"/>
      <c r="AH442" s="127"/>
    </row>
    <row r="443" spans="1:34" ht="13.2">
      <c r="A443" s="88"/>
      <c r="B443" s="88"/>
      <c r="C443" s="88"/>
      <c r="D443" s="88"/>
      <c r="E443" s="88"/>
      <c r="F443" s="88"/>
      <c r="G443" s="88"/>
      <c r="H443" s="88"/>
      <c r="I443" s="88"/>
      <c r="J443" s="88"/>
      <c r="K443" s="88"/>
      <c r="L443" s="88"/>
      <c r="M443" s="88"/>
      <c r="N443" s="88"/>
      <c r="O443" s="88"/>
      <c r="P443" s="88"/>
      <c r="Q443" s="88"/>
      <c r="R443" s="88"/>
      <c r="S443" s="88"/>
      <c r="T443" s="88"/>
      <c r="U443" s="88"/>
      <c r="V443" s="88"/>
      <c r="W443" s="88"/>
      <c r="X443" s="88"/>
      <c r="Y443" s="88"/>
      <c r="Z443" s="88"/>
      <c r="AA443" s="88"/>
      <c r="AB443" s="128"/>
      <c r="AC443" s="128"/>
      <c r="AD443" s="128"/>
      <c r="AE443" s="128"/>
      <c r="AF443" s="128"/>
      <c r="AG443" s="128"/>
      <c r="AH443" s="127"/>
    </row>
    <row r="444" spans="1:34" ht="13.2">
      <c r="A444" s="88"/>
      <c r="B444" s="88"/>
      <c r="C444" s="88"/>
      <c r="D444" s="88"/>
      <c r="E444" s="88"/>
      <c r="F444" s="88"/>
      <c r="G444" s="88"/>
      <c r="H444" s="88"/>
      <c r="I444" s="88"/>
      <c r="J444" s="88"/>
      <c r="K444" s="88"/>
      <c r="L444" s="88"/>
      <c r="M444" s="88"/>
      <c r="N444" s="88"/>
      <c r="O444" s="88"/>
      <c r="P444" s="88"/>
      <c r="Q444" s="88"/>
      <c r="R444" s="88"/>
      <c r="S444" s="88"/>
      <c r="T444" s="88"/>
      <c r="U444" s="88"/>
      <c r="V444" s="88"/>
      <c r="W444" s="88"/>
      <c r="X444" s="88"/>
      <c r="Y444" s="88"/>
      <c r="Z444" s="88"/>
      <c r="AA444" s="88"/>
      <c r="AB444" s="128"/>
      <c r="AC444" s="128"/>
      <c r="AD444" s="128"/>
      <c r="AE444" s="128"/>
      <c r="AF444" s="128"/>
      <c r="AG444" s="128"/>
      <c r="AH444" s="127"/>
    </row>
    <row r="445" spans="1:34" ht="13.2">
      <c r="A445" s="88"/>
      <c r="B445" s="88"/>
      <c r="C445" s="88"/>
      <c r="D445" s="88"/>
      <c r="E445" s="88"/>
      <c r="F445" s="88"/>
      <c r="G445" s="88"/>
      <c r="H445" s="88"/>
      <c r="I445" s="88"/>
      <c r="J445" s="88"/>
      <c r="K445" s="88"/>
      <c r="L445" s="88"/>
      <c r="M445" s="88"/>
      <c r="N445" s="88"/>
      <c r="O445" s="88"/>
      <c r="P445" s="88"/>
      <c r="Q445" s="88"/>
      <c r="R445" s="88"/>
      <c r="S445" s="88"/>
      <c r="T445" s="88"/>
      <c r="U445" s="88"/>
      <c r="V445" s="88"/>
      <c r="W445" s="88"/>
      <c r="X445" s="88"/>
      <c r="Y445" s="88"/>
      <c r="Z445" s="88"/>
      <c r="AA445" s="88"/>
      <c r="AB445" s="128"/>
      <c r="AC445" s="128"/>
      <c r="AD445" s="128"/>
      <c r="AE445" s="128"/>
      <c r="AF445" s="128"/>
      <c r="AG445" s="128"/>
      <c r="AH445" s="127"/>
    </row>
    <row r="446" spans="1:34" ht="13.2">
      <c r="A446" s="88"/>
      <c r="B446" s="88"/>
      <c r="C446" s="88"/>
      <c r="D446" s="88"/>
      <c r="E446" s="88"/>
      <c r="F446" s="88"/>
      <c r="G446" s="88"/>
      <c r="H446" s="88"/>
      <c r="I446" s="88"/>
      <c r="J446" s="88"/>
      <c r="K446" s="88"/>
      <c r="L446" s="88"/>
      <c r="M446" s="88"/>
      <c r="N446" s="88"/>
      <c r="O446" s="88"/>
      <c r="P446" s="88"/>
      <c r="Q446" s="88"/>
      <c r="R446" s="88"/>
      <c r="S446" s="88"/>
      <c r="T446" s="88"/>
      <c r="U446" s="88"/>
      <c r="V446" s="88"/>
      <c r="W446" s="88"/>
      <c r="X446" s="88"/>
      <c r="Y446" s="88"/>
      <c r="Z446" s="88"/>
      <c r="AA446" s="88"/>
      <c r="AB446" s="128"/>
      <c r="AC446" s="128"/>
      <c r="AD446" s="128"/>
      <c r="AE446" s="128"/>
      <c r="AF446" s="128"/>
      <c r="AG446" s="128"/>
      <c r="AH446" s="127"/>
    </row>
    <row r="447" spans="1:34" ht="13.2">
      <c r="A447" s="88"/>
      <c r="B447" s="88"/>
      <c r="C447" s="88"/>
      <c r="D447" s="88"/>
      <c r="E447" s="88"/>
      <c r="F447" s="88"/>
      <c r="G447" s="88"/>
      <c r="H447" s="88"/>
      <c r="I447" s="88"/>
      <c r="J447" s="88"/>
      <c r="K447" s="88"/>
      <c r="L447" s="88"/>
      <c r="M447" s="88"/>
      <c r="N447" s="88"/>
      <c r="O447" s="88"/>
      <c r="P447" s="88"/>
      <c r="Q447" s="88"/>
      <c r="R447" s="88"/>
      <c r="S447" s="88"/>
      <c r="T447" s="88"/>
      <c r="U447" s="88"/>
      <c r="V447" s="88"/>
      <c r="W447" s="88"/>
      <c r="X447" s="88"/>
      <c r="Y447" s="88"/>
      <c r="Z447" s="88"/>
      <c r="AA447" s="88"/>
      <c r="AB447" s="128"/>
      <c r="AC447" s="128"/>
      <c r="AD447" s="128"/>
      <c r="AE447" s="128"/>
      <c r="AF447" s="128"/>
      <c r="AG447" s="128"/>
      <c r="AH447" s="127"/>
    </row>
    <row r="448" spans="1:34" ht="13.2">
      <c r="A448" s="88"/>
      <c r="B448" s="88"/>
      <c r="C448" s="88"/>
      <c r="D448" s="88"/>
      <c r="E448" s="88"/>
      <c r="F448" s="88"/>
      <c r="G448" s="88"/>
      <c r="H448" s="88"/>
      <c r="I448" s="88"/>
      <c r="J448" s="88"/>
      <c r="K448" s="88"/>
      <c r="L448" s="88"/>
      <c r="M448" s="88"/>
      <c r="N448" s="88"/>
      <c r="O448" s="88"/>
      <c r="P448" s="88"/>
      <c r="Q448" s="88"/>
      <c r="R448" s="88"/>
      <c r="S448" s="88"/>
      <c r="T448" s="88"/>
      <c r="U448" s="88"/>
      <c r="V448" s="88"/>
      <c r="W448" s="88"/>
      <c r="X448" s="88"/>
      <c r="Y448" s="88"/>
      <c r="Z448" s="88"/>
      <c r="AA448" s="88"/>
      <c r="AB448" s="128"/>
      <c r="AC448" s="128"/>
      <c r="AD448" s="128"/>
      <c r="AE448" s="128"/>
      <c r="AF448" s="128"/>
      <c r="AG448" s="128"/>
      <c r="AH448" s="127"/>
    </row>
    <row r="449" spans="1:34" ht="13.2">
      <c r="A449" s="88"/>
      <c r="B449" s="88"/>
      <c r="C449" s="88"/>
      <c r="D449" s="88"/>
      <c r="E449" s="88"/>
      <c r="F449" s="88"/>
      <c r="G449" s="88"/>
      <c r="H449" s="88"/>
      <c r="I449" s="88"/>
      <c r="J449" s="88"/>
      <c r="K449" s="88"/>
      <c r="L449" s="88"/>
      <c r="M449" s="88"/>
      <c r="N449" s="88"/>
      <c r="O449" s="88"/>
      <c r="P449" s="88"/>
      <c r="Q449" s="88"/>
      <c r="R449" s="88"/>
      <c r="S449" s="88"/>
      <c r="T449" s="88"/>
      <c r="U449" s="88"/>
      <c r="V449" s="88"/>
      <c r="W449" s="88"/>
      <c r="X449" s="88"/>
      <c r="Y449" s="88"/>
      <c r="Z449" s="88"/>
      <c r="AA449" s="88"/>
      <c r="AB449" s="128"/>
      <c r="AC449" s="128"/>
      <c r="AD449" s="128"/>
      <c r="AE449" s="128"/>
      <c r="AF449" s="128"/>
      <c r="AG449" s="128"/>
      <c r="AH449" s="127"/>
    </row>
    <row r="450" spans="1:34" ht="13.2">
      <c r="A450" s="88"/>
      <c r="B450" s="88"/>
      <c r="C450" s="88"/>
      <c r="D450" s="88"/>
      <c r="E450" s="88"/>
      <c r="F450" s="88"/>
      <c r="G450" s="88"/>
      <c r="H450" s="88"/>
      <c r="I450" s="88"/>
      <c r="J450" s="88"/>
      <c r="K450" s="88"/>
      <c r="L450" s="88"/>
      <c r="M450" s="88"/>
      <c r="N450" s="88"/>
      <c r="O450" s="88"/>
      <c r="P450" s="88"/>
      <c r="Q450" s="88"/>
      <c r="R450" s="88"/>
      <c r="S450" s="88"/>
      <c r="T450" s="88"/>
      <c r="U450" s="88"/>
      <c r="V450" s="88"/>
      <c r="W450" s="88"/>
      <c r="X450" s="88"/>
      <c r="Y450" s="88"/>
      <c r="Z450" s="88"/>
      <c r="AA450" s="88"/>
      <c r="AB450" s="128"/>
      <c r="AC450" s="128"/>
      <c r="AD450" s="128"/>
      <c r="AE450" s="128"/>
      <c r="AF450" s="128"/>
      <c r="AG450" s="128"/>
      <c r="AH450" s="127"/>
    </row>
    <row r="451" spans="1:34" ht="13.2">
      <c r="A451" s="88"/>
      <c r="B451" s="88"/>
      <c r="C451" s="88"/>
      <c r="D451" s="88"/>
      <c r="E451" s="88"/>
      <c r="F451" s="88"/>
      <c r="G451" s="88"/>
      <c r="H451" s="88"/>
      <c r="I451" s="88"/>
      <c r="J451" s="88"/>
      <c r="K451" s="88"/>
      <c r="L451" s="88"/>
      <c r="M451" s="88"/>
      <c r="N451" s="88"/>
      <c r="O451" s="88"/>
      <c r="P451" s="88"/>
      <c r="Q451" s="88"/>
      <c r="R451" s="88"/>
      <c r="S451" s="88"/>
      <c r="T451" s="88"/>
      <c r="U451" s="88"/>
      <c r="V451" s="88"/>
      <c r="W451" s="88"/>
      <c r="X451" s="88"/>
      <c r="Y451" s="88"/>
      <c r="Z451" s="88"/>
      <c r="AA451" s="88"/>
      <c r="AB451" s="128"/>
      <c r="AC451" s="128"/>
      <c r="AD451" s="128"/>
      <c r="AE451" s="128"/>
      <c r="AF451" s="128"/>
      <c r="AG451" s="128"/>
      <c r="AH451" s="127"/>
    </row>
    <row r="452" spans="1:34" ht="13.2">
      <c r="A452" s="88"/>
      <c r="B452" s="88"/>
      <c r="C452" s="88"/>
      <c r="D452" s="88"/>
      <c r="E452" s="88"/>
      <c r="F452" s="88"/>
      <c r="G452" s="88"/>
      <c r="H452" s="88"/>
      <c r="I452" s="88"/>
      <c r="J452" s="88"/>
      <c r="K452" s="88"/>
      <c r="L452" s="88"/>
      <c r="M452" s="88"/>
      <c r="N452" s="88"/>
      <c r="O452" s="88"/>
      <c r="P452" s="88"/>
      <c r="Q452" s="88"/>
      <c r="R452" s="88"/>
      <c r="S452" s="88"/>
      <c r="T452" s="88"/>
      <c r="U452" s="88"/>
      <c r="V452" s="88"/>
      <c r="W452" s="88"/>
      <c r="X452" s="88"/>
      <c r="Y452" s="88"/>
      <c r="Z452" s="88"/>
      <c r="AA452" s="88"/>
      <c r="AB452" s="128"/>
      <c r="AC452" s="128"/>
      <c r="AD452" s="128"/>
      <c r="AE452" s="128"/>
      <c r="AF452" s="128"/>
      <c r="AG452" s="128"/>
      <c r="AH452" s="127"/>
    </row>
    <row r="453" spans="1:34" ht="13.2">
      <c r="A453" s="88"/>
      <c r="B453" s="88"/>
      <c r="C453" s="88"/>
      <c r="D453" s="88"/>
      <c r="E453" s="88"/>
      <c r="F453" s="88"/>
      <c r="G453" s="88"/>
      <c r="H453" s="88"/>
      <c r="I453" s="88"/>
      <c r="J453" s="88"/>
      <c r="K453" s="88"/>
      <c r="L453" s="88"/>
      <c r="M453" s="88"/>
      <c r="N453" s="88"/>
      <c r="O453" s="88"/>
      <c r="P453" s="88"/>
      <c r="Q453" s="88"/>
      <c r="R453" s="88"/>
      <c r="S453" s="88"/>
      <c r="T453" s="88"/>
      <c r="U453" s="88"/>
      <c r="V453" s="88"/>
      <c r="W453" s="88"/>
      <c r="X453" s="88"/>
      <c r="Y453" s="88"/>
      <c r="Z453" s="88"/>
      <c r="AA453" s="88"/>
      <c r="AB453" s="128"/>
      <c r="AC453" s="128"/>
      <c r="AD453" s="128"/>
      <c r="AE453" s="128"/>
      <c r="AF453" s="128"/>
      <c r="AG453" s="128"/>
      <c r="AH453" s="127"/>
    </row>
    <row r="454" spans="1:34" ht="13.2">
      <c r="A454" s="88"/>
      <c r="B454" s="88"/>
      <c r="C454" s="88"/>
      <c r="D454" s="88"/>
      <c r="E454" s="88"/>
      <c r="F454" s="88"/>
      <c r="G454" s="88"/>
      <c r="H454" s="88"/>
      <c r="I454" s="88"/>
      <c r="J454" s="88"/>
      <c r="K454" s="88"/>
      <c r="L454" s="88"/>
      <c r="M454" s="88"/>
      <c r="N454" s="88"/>
      <c r="O454" s="88"/>
      <c r="P454" s="88"/>
      <c r="Q454" s="88"/>
      <c r="R454" s="88"/>
      <c r="S454" s="88"/>
      <c r="T454" s="88"/>
      <c r="U454" s="88"/>
      <c r="V454" s="88"/>
      <c r="W454" s="88"/>
      <c r="X454" s="88"/>
      <c r="Y454" s="88"/>
      <c r="Z454" s="88"/>
      <c r="AA454" s="88"/>
      <c r="AB454" s="128"/>
      <c r="AC454" s="128"/>
      <c r="AD454" s="128"/>
      <c r="AE454" s="128"/>
      <c r="AF454" s="128"/>
      <c r="AG454" s="128"/>
      <c r="AH454" s="127"/>
    </row>
    <row r="455" spans="1:34" ht="13.2">
      <c r="A455" s="88"/>
      <c r="B455" s="88"/>
      <c r="C455" s="88"/>
      <c r="D455" s="88"/>
      <c r="E455" s="88"/>
      <c r="F455" s="88"/>
      <c r="G455" s="88"/>
      <c r="H455" s="88"/>
      <c r="I455" s="88"/>
      <c r="J455" s="88"/>
      <c r="K455" s="88"/>
      <c r="L455" s="88"/>
      <c r="M455" s="88"/>
      <c r="N455" s="88"/>
      <c r="O455" s="88"/>
      <c r="P455" s="88"/>
      <c r="Q455" s="88"/>
      <c r="R455" s="88"/>
      <c r="S455" s="88"/>
      <c r="T455" s="88"/>
      <c r="U455" s="88"/>
      <c r="V455" s="88"/>
      <c r="W455" s="88"/>
      <c r="X455" s="88"/>
      <c r="Y455" s="88"/>
      <c r="Z455" s="88"/>
      <c r="AA455" s="88"/>
      <c r="AB455" s="128"/>
      <c r="AC455" s="128"/>
      <c r="AD455" s="128"/>
      <c r="AE455" s="128"/>
      <c r="AF455" s="128"/>
      <c r="AG455" s="128"/>
      <c r="AH455" s="127"/>
    </row>
    <row r="456" spans="1:34" ht="13.2">
      <c r="A456" s="88"/>
      <c r="B456" s="88"/>
      <c r="C456" s="88"/>
      <c r="D456" s="88"/>
      <c r="E456" s="88"/>
      <c r="F456" s="88"/>
      <c r="G456" s="88"/>
      <c r="H456" s="88"/>
      <c r="I456" s="88"/>
      <c r="J456" s="88"/>
      <c r="K456" s="88"/>
      <c r="L456" s="88"/>
      <c r="M456" s="88"/>
      <c r="N456" s="88"/>
      <c r="O456" s="88"/>
      <c r="P456" s="88"/>
      <c r="Q456" s="88"/>
      <c r="R456" s="88"/>
      <c r="S456" s="88"/>
      <c r="T456" s="88"/>
      <c r="U456" s="88"/>
      <c r="V456" s="88"/>
      <c r="W456" s="88"/>
      <c r="X456" s="88"/>
      <c r="Y456" s="88"/>
      <c r="Z456" s="88"/>
      <c r="AA456" s="88"/>
      <c r="AB456" s="128"/>
      <c r="AC456" s="128"/>
      <c r="AD456" s="128"/>
      <c r="AE456" s="128"/>
      <c r="AF456" s="128"/>
      <c r="AG456" s="128"/>
      <c r="AH456" s="127"/>
    </row>
    <row r="457" spans="1:34" ht="13.2">
      <c r="A457" s="88"/>
      <c r="B457" s="88"/>
      <c r="C457" s="88"/>
      <c r="D457" s="88"/>
      <c r="E457" s="88"/>
      <c r="F457" s="88"/>
      <c r="G457" s="88"/>
      <c r="H457" s="88"/>
      <c r="I457" s="88"/>
      <c r="J457" s="88"/>
      <c r="K457" s="88"/>
      <c r="L457" s="88"/>
      <c r="M457" s="88"/>
      <c r="N457" s="88"/>
      <c r="O457" s="88"/>
      <c r="P457" s="88"/>
      <c r="Q457" s="88"/>
      <c r="R457" s="88"/>
      <c r="S457" s="88"/>
      <c r="T457" s="88"/>
      <c r="U457" s="88"/>
      <c r="V457" s="88"/>
      <c r="W457" s="88"/>
      <c r="X457" s="88"/>
      <c r="Y457" s="88"/>
      <c r="Z457" s="88"/>
      <c r="AA457" s="88"/>
      <c r="AB457" s="128"/>
      <c r="AC457" s="128"/>
      <c r="AD457" s="128"/>
      <c r="AE457" s="128"/>
      <c r="AF457" s="128"/>
      <c r="AG457" s="128"/>
      <c r="AH457" s="127"/>
    </row>
    <row r="458" spans="1:34" ht="13.2">
      <c r="A458" s="88"/>
      <c r="B458" s="88"/>
      <c r="C458" s="88"/>
      <c r="D458" s="88"/>
      <c r="E458" s="88"/>
      <c r="F458" s="88"/>
      <c r="G458" s="88"/>
      <c r="H458" s="88"/>
      <c r="I458" s="88"/>
      <c r="J458" s="88"/>
      <c r="K458" s="88"/>
      <c r="L458" s="88"/>
      <c r="M458" s="88"/>
      <c r="N458" s="88"/>
      <c r="O458" s="88"/>
      <c r="P458" s="88"/>
      <c r="Q458" s="88"/>
      <c r="R458" s="88"/>
      <c r="S458" s="88"/>
      <c r="T458" s="88"/>
      <c r="U458" s="88"/>
      <c r="V458" s="88"/>
      <c r="W458" s="88"/>
      <c r="X458" s="88"/>
      <c r="Y458" s="88"/>
      <c r="Z458" s="88"/>
      <c r="AA458" s="88"/>
      <c r="AB458" s="128"/>
      <c r="AC458" s="128"/>
      <c r="AD458" s="128"/>
      <c r="AE458" s="128"/>
      <c r="AF458" s="128"/>
      <c r="AG458" s="128"/>
      <c r="AH458" s="127"/>
    </row>
    <row r="459" spans="1:34" ht="13.2">
      <c r="A459" s="88"/>
      <c r="B459" s="88"/>
      <c r="C459" s="88"/>
      <c r="D459" s="88"/>
      <c r="E459" s="88"/>
      <c r="F459" s="88"/>
      <c r="G459" s="88"/>
      <c r="H459" s="88"/>
      <c r="I459" s="88"/>
      <c r="J459" s="88"/>
      <c r="K459" s="88"/>
      <c r="L459" s="88"/>
      <c r="M459" s="88"/>
      <c r="N459" s="88"/>
      <c r="O459" s="88"/>
      <c r="P459" s="88"/>
      <c r="Q459" s="88"/>
      <c r="R459" s="88"/>
      <c r="S459" s="88"/>
      <c r="T459" s="88"/>
      <c r="U459" s="88"/>
      <c r="V459" s="88"/>
      <c r="W459" s="88"/>
      <c r="X459" s="88"/>
      <c r="Y459" s="88"/>
      <c r="Z459" s="88"/>
      <c r="AA459" s="88"/>
      <c r="AB459" s="128"/>
      <c r="AC459" s="128"/>
      <c r="AD459" s="128"/>
      <c r="AE459" s="128"/>
      <c r="AF459" s="128"/>
      <c r="AG459" s="128"/>
      <c r="AH459" s="127"/>
    </row>
    <row r="460" spans="1:34" ht="13.2">
      <c r="A460" s="88"/>
      <c r="B460" s="88"/>
      <c r="C460" s="88"/>
      <c r="D460" s="88"/>
      <c r="E460" s="88"/>
      <c r="F460" s="88"/>
      <c r="G460" s="88"/>
      <c r="H460" s="88"/>
      <c r="I460" s="88"/>
      <c r="J460" s="88"/>
      <c r="K460" s="88"/>
      <c r="L460" s="88"/>
      <c r="M460" s="88"/>
      <c r="N460" s="88"/>
      <c r="O460" s="88"/>
      <c r="P460" s="88"/>
      <c r="Q460" s="88"/>
      <c r="R460" s="88"/>
      <c r="S460" s="88"/>
      <c r="T460" s="88"/>
      <c r="U460" s="88"/>
      <c r="V460" s="88"/>
      <c r="W460" s="88"/>
      <c r="X460" s="88"/>
      <c r="Y460" s="88"/>
      <c r="Z460" s="88"/>
      <c r="AA460" s="88"/>
      <c r="AB460" s="128"/>
      <c r="AC460" s="128"/>
      <c r="AD460" s="128"/>
      <c r="AE460" s="128"/>
      <c r="AF460" s="128"/>
      <c r="AG460" s="128"/>
      <c r="AH460" s="127"/>
    </row>
    <row r="461" spans="1:34" ht="13.2">
      <c r="A461" s="88"/>
      <c r="B461" s="88"/>
      <c r="C461" s="88"/>
      <c r="D461" s="88"/>
      <c r="E461" s="88"/>
      <c r="F461" s="88"/>
      <c r="G461" s="88"/>
      <c r="H461" s="88"/>
      <c r="I461" s="88"/>
      <c r="J461" s="88"/>
      <c r="K461" s="88"/>
      <c r="L461" s="88"/>
      <c r="M461" s="88"/>
      <c r="N461" s="88"/>
      <c r="O461" s="88"/>
      <c r="P461" s="88"/>
      <c r="Q461" s="88"/>
      <c r="R461" s="88"/>
      <c r="S461" s="88"/>
      <c r="T461" s="88"/>
      <c r="U461" s="88"/>
      <c r="V461" s="88"/>
      <c r="W461" s="88"/>
      <c r="X461" s="88"/>
      <c r="Y461" s="88"/>
      <c r="Z461" s="88"/>
      <c r="AA461" s="88"/>
      <c r="AB461" s="128"/>
      <c r="AC461" s="128"/>
      <c r="AD461" s="128"/>
      <c r="AE461" s="128"/>
      <c r="AF461" s="128"/>
      <c r="AG461" s="128"/>
      <c r="AH461" s="127"/>
    </row>
    <row r="462" spans="1:34" ht="13.2">
      <c r="A462" s="88"/>
      <c r="B462" s="88"/>
      <c r="C462" s="88"/>
      <c r="D462" s="88"/>
      <c r="E462" s="88"/>
      <c r="F462" s="88"/>
      <c r="G462" s="88"/>
      <c r="H462" s="88"/>
      <c r="I462" s="88"/>
      <c r="J462" s="88"/>
      <c r="K462" s="88"/>
      <c r="L462" s="88"/>
      <c r="M462" s="88"/>
      <c r="N462" s="88"/>
      <c r="O462" s="88"/>
      <c r="P462" s="88"/>
      <c r="Q462" s="88"/>
      <c r="R462" s="88"/>
      <c r="S462" s="88"/>
      <c r="T462" s="88"/>
      <c r="U462" s="88"/>
      <c r="V462" s="88"/>
      <c r="W462" s="88"/>
      <c r="X462" s="88"/>
      <c r="Y462" s="88"/>
      <c r="Z462" s="88"/>
      <c r="AA462" s="88"/>
      <c r="AB462" s="128"/>
      <c r="AC462" s="128"/>
      <c r="AD462" s="128"/>
      <c r="AE462" s="128"/>
      <c r="AF462" s="128"/>
      <c r="AG462" s="128"/>
      <c r="AH462" s="127"/>
    </row>
    <row r="463" spans="1:34" ht="13.2">
      <c r="A463" s="88"/>
      <c r="B463" s="88"/>
      <c r="C463" s="88"/>
      <c r="D463" s="88"/>
      <c r="E463" s="88"/>
      <c r="F463" s="88"/>
      <c r="G463" s="88"/>
      <c r="H463" s="88"/>
      <c r="I463" s="88"/>
      <c r="J463" s="88"/>
      <c r="K463" s="88"/>
      <c r="L463" s="88"/>
      <c r="M463" s="88"/>
      <c r="N463" s="88"/>
      <c r="O463" s="88"/>
      <c r="P463" s="88"/>
      <c r="Q463" s="88"/>
      <c r="R463" s="88"/>
      <c r="S463" s="88"/>
      <c r="T463" s="88"/>
      <c r="U463" s="88"/>
      <c r="V463" s="88"/>
      <c r="W463" s="88"/>
      <c r="X463" s="88"/>
      <c r="Y463" s="88"/>
      <c r="Z463" s="88"/>
      <c r="AA463" s="88"/>
      <c r="AB463" s="128"/>
      <c r="AC463" s="128"/>
      <c r="AD463" s="128"/>
      <c r="AE463" s="128"/>
      <c r="AF463" s="128"/>
      <c r="AG463" s="128"/>
      <c r="AH463" s="127"/>
    </row>
    <row r="464" spans="1:34" ht="13.2">
      <c r="A464" s="88"/>
      <c r="B464" s="88"/>
      <c r="C464" s="88"/>
      <c r="D464" s="88"/>
      <c r="E464" s="88"/>
      <c r="F464" s="88"/>
      <c r="G464" s="88"/>
      <c r="H464" s="88"/>
      <c r="I464" s="88"/>
      <c r="J464" s="88"/>
      <c r="K464" s="88"/>
      <c r="L464" s="88"/>
      <c r="M464" s="88"/>
      <c r="N464" s="88"/>
      <c r="O464" s="88"/>
      <c r="P464" s="88"/>
      <c r="Q464" s="88"/>
      <c r="R464" s="88"/>
      <c r="S464" s="88"/>
      <c r="T464" s="88"/>
      <c r="U464" s="88"/>
      <c r="V464" s="88"/>
      <c r="W464" s="88"/>
      <c r="X464" s="88"/>
      <c r="Y464" s="88"/>
      <c r="Z464" s="88"/>
      <c r="AA464" s="88"/>
      <c r="AB464" s="128"/>
      <c r="AC464" s="128"/>
      <c r="AD464" s="128"/>
      <c r="AE464" s="128"/>
      <c r="AF464" s="128"/>
      <c r="AG464" s="128"/>
      <c r="AH464" s="127"/>
    </row>
    <row r="465" spans="1:34" ht="13.2">
      <c r="A465" s="88"/>
      <c r="B465" s="88"/>
      <c r="C465" s="88"/>
      <c r="D465" s="88"/>
      <c r="E465" s="88"/>
      <c r="F465" s="88"/>
      <c r="G465" s="88"/>
      <c r="H465" s="88"/>
      <c r="I465" s="88"/>
      <c r="J465" s="88"/>
      <c r="K465" s="88"/>
      <c r="L465" s="88"/>
      <c r="M465" s="88"/>
      <c r="N465" s="88"/>
      <c r="O465" s="88"/>
      <c r="P465" s="88"/>
      <c r="Q465" s="88"/>
      <c r="R465" s="88"/>
      <c r="S465" s="88"/>
      <c r="T465" s="88"/>
      <c r="U465" s="88"/>
      <c r="V465" s="88"/>
      <c r="W465" s="88"/>
      <c r="X465" s="88"/>
      <c r="Y465" s="88"/>
      <c r="Z465" s="88"/>
      <c r="AA465" s="88"/>
      <c r="AB465" s="128"/>
      <c r="AC465" s="128"/>
      <c r="AD465" s="128"/>
      <c r="AE465" s="128"/>
      <c r="AF465" s="128"/>
      <c r="AG465" s="128"/>
      <c r="AH465" s="127"/>
    </row>
    <row r="466" spans="1:34" ht="13.2">
      <c r="A466" s="88"/>
      <c r="B466" s="88"/>
      <c r="C466" s="88"/>
      <c r="D466" s="88"/>
      <c r="E466" s="88"/>
      <c r="F466" s="88"/>
      <c r="G466" s="88"/>
      <c r="H466" s="88"/>
      <c r="I466" s="88"/>
      <c r="J466" s="88"/>
      <c r="K466" s="88"/>
      <c r="L466" s="88"/>
      <c r="M466" s="88"/>
      <c r="N466" s="88"/>
      <c r="O466" s="88"/>
      <c r="P466" s="88"/>
      <c r="Q466" s="88"/>
      <c r="R466" s="88"/>
      <c r="S466" s="88"/>
      <c r="T466" s="88"/>
      <c r="U466" s="88"/>
      <c r="V466" s="88"/>
      <c r="W466" s="88"/>
      <c r="X466" s="88"/>
      <c r="Y466" s="88"/>
      <c r="Z466" s="88"/>
      <c r="AA466" s="88"/>
      <c r="AB466" s="128"/>
      <c r="AC466" s="128"/>
      <c r="AD466" s="128"/>
      <c r="AE466" s="128"/>
      <c r="AF466" s="128"/>
      <c r="AG466" s="128"/>
      <c r="AH466" s="127"/>
    </row>
    <row r="467" spans="1:34" ht="13.2">
      <c r="A467" s="88"/>
      <c r="B467" s="88"/>
      <c r="C467" s="88"/>
      <c r="D467" s="88"/>
      <c r="E467" s="88"/>
      <c r="F467" s="88"/>
      <c r="G467" s="88"/>
      <c r="H467" s="88"/>
      <c r="I467" s="88"/>
      <c r="J467" s="88"/>
      <c r="K467" s="88"/>
      <c r="L467" s="88"/>
      <c r="M467" s="88"/>
      <c r="N467" s="88"/>
      <c r="O467" s="88"/>
      <c r="P467" s="88"/>
      <c r="Q467" s="88"/>
      <c r="R467" s="88"/>
      <c r="S467" s="88"/>
      <c r="T467" s="88"/>
      <c r="U467" s="88"/>
      <c r="V467" s="88"/>
      <c r="W467" s="88"/>
      <c r="X467" s="88"/>
      <c r="Y467" s="88"/>
      <c r="Z467" s="88"/>
      <c r="AA467" s="88"/>
      <c r="AB467" s="128"/>
      <c r="AC467" s="128"/>
      <c r="AD467" s="128"/>
      <c r="AE467" s="128"/>
      <c r="AF467" s="128"/>
      <c r="AG467" s="128"/>
      <c r="AH467" s="127"/>
    </row>
    <row r="468" spans="1:34" ht="13.2">
      <c r="A468" s="88"/>
      <c r="B468" s="88"/>
      <c r="C468" s="88"/>
      <c r="D468" s="88"/>
      <c r="E468" s="88"/>
      <c r="F468" s="88"/>
      <c r="G468" s="88"/>
      <c r="H468" s="88"/>
      <c r="I468" s="88"/>
      <c r="J468" s="88"/>
      <c r="K468" s="88"/>
      <c r="L468" s="88"/>
      <c r="M468" s="88"/>
      <c r="N468" s="88"/>
      <c r="O468" s="88"/>
      <c r="P468" s="88"/>
      <c r="Q468" s="88"/>
      <c r="R468" s="88"/>
      <c r="S468" s="88"/>
      <c r="T468" s="88"/>
      <c r="U468" s="88"/>
      <c r="V468" s="88"/>
      <c r="W468" s="88"/>
      <c r="X468" s="88"/>
      <c r="Y468" s="88"/>
      <c r="Z468" s="88"/>
      <c r="AA468" s="88"/>
      <c r="AB468" s="128"/>
      <c r="AC468" s="128"/>
      <c r="AD468" s="128"/>
      <c r="AE468" s="128"/>
      <c r="AF468" s="128"/>
      <c r="AG468" s="128"/>
      <c r="AH468" s="127"/>
    </row>
    <row r="469" spans="1:34" ht="13.2">
      <c r="A469" s="88"/>
      <c r="B469" s="88"/>
      <c r="C469" s="88"/>
      <c r="D469" s="88"/>
      <c r="E469" s="88"/>
      <c r="F469" s="88"/>
      <c r="G469" s="88"/>
      <c r="H469" s="88"/>
      <c r="I469" s="88"/>
      <c r="J469" s="88"/>
      <c r="K469" s="88"/>
      <c r="L469" s="88"/>
      <c r="M469" s="88"/>
      <c r="N469" s="88"/>
      <c r="O469" s="88"/>
      <c r="P469" s="88"/>
      <c r="Q469" s="88"/>
      <c r="R469" s="88"/>
      <c r="S469" s="88"/>
      <c r="T469" s="88"/>
      <c r="U469" s="88"/>
      <c r="V469" s="88"/>
      <c r="W469" s="88"/>
      <c r="X469" s="88"/>
      <c r="Y469" s="88"/>
      <c r="Z469" s="88"/>
      <c r="AA469" s="88"/>
      <c r="AB469" s="128"/>
      <c r="AC469" s="128"/>
      <c r="AD469" s="128"/>
      <c r="AE469" s="128"/>
      <c r="AF469" s="128"/>
      <c r="AG469" s="128"/>
      <c r="AH469" s="127"/>
    </row>
    <row r="470" spans="1:34" ht="13.2">
      <c r="A470" s="88"/>
      <c r="B470" s="88"/>
      <c r="C470" s="88"/>
      <c r="D470" s="88"/>
      <c r="E470" s="88"/>
      <c r="F470" s="88"/>
      <c r="G470" s="88"/>
      <c r="H470" s="88"/>
      <c r="I470" s="88"/>
      <c r="J470" s="88"/>
      <c r="K470" s="88"/>
      <c r="L470" s="88"/>
      <c r="M470" s="88"/>
      <c r="N470" s="88"/>
      <c r="O470" s="88"/>
      <c r="P470" s="88"/>
      <c r="Q470" s="88"/>
      <c r="R470" s="88"/>
      <c r="S470" s="88"/>
      <c r="T470" s="88"/>
      <c r="U470" s="88"/>
      <c r="V470" s="88"/>
      <c r="W470" s="88"/>
      <c r="X470" s="88"/>
      <c r="Y470" s="88"/>
      <c r="Z470" s="88"/>
      <c r="AA470" s="88"/>
      <c r="AB470" s="128"/>
      <c r="AC470" s="128"/>
      <c r="AD470" s="128"/>
      <c r="AE470" s="128"/>
      <c r="AF470" s="128"/>
      <c r="AG470" s="128"/>
      <c r="AH470" s="127"/>
    </row>
    <row r="471" spans="1:34" ht="13.2">
      <c r="A471" s="88"/>
      <c r="B471" s="88"/>
      <c r="C471" s="88"/>
      <c r="D471" s="88"/>
      <c r="E471" s="88"/>
      <c r="F471" s="88"/>
      <c r="G471" s="88"/>
      <c r="H471" s="88"/>
      <c r="I471" s="88"/>
      <c r="J471" s="88"/>
      <c r="K471" s="88"/>
      <c r="L471" s="88"/>
      <c r="M471" s="88"/>
      <c r="N471" s="88"/>
      <c r="O471" s="88"/>
      <c r="P471" s="88"/>
      <c r="Q471" s="88"/>
      <c r="R471" s="88"/>
      <c r="S471" s="88"/>
      <c r="T471" s="88"/>
      <c r="U471" s="88"/>
      <c r="V471" s="88"/>
      <c r="W471" s="88"/>
      <c r="X471" s="88"/>
      <c r="Y471" s="88"/>
      <c r="Z471" s="88"/>
      <c r="AA471" s="88"/>
      <c r="AB471" s="128"/>
      <c r="AC471" s="128"/>
      <c r="AD471" s="128"/>
      <c r="AE471" s="128"/>
      <c r="AF471" s="128"/>
      <c r="AG471" s="128"/>
      <c r="AH471" s="127"/>
    </row>
    <row r="472" spans="1:34" ht="13.2">
      <c r="A472" s="88"/>
      <c r="B472" s="88"/>
      <c r="C472" s="88"/>
      <c r="D472" s="88"/>
      <c r="E472" s="88"/>
      <c r="F472" s="88"/>
      <c r="G472" s="88"/>
      <c r="H472" s="88"/>
      <c r="I472" s="88"/>
      <c r="J472" s="88"/>
      <c r="K472" s="88"/>
      <c r="L472" s="88"/>
      <c r="M472" s="88"/>
      <c r="N472" s="88"/>
      <c r="O472" s="88"/>
      <c r="P472" s="88"/>
      <c r="Q472" s="88"/>
      <c r="R472" s="88"/>
      <c r="S472" s="88"/>
      <c r="T472" s="88"/>
      <c r="U472" s="88"/>
      <c r="V472" s="88"/>
      <c r="W472" s="88"/>
      <c r="X472" s="88"/>
      <c r="Y472" s="88"/>
      <c r="Z472" s="88"/>
      <c r="AA472" s="88"/>
      <c r="AB472" s="128"/>
      <c r="AC472" s="128"/>
      <c r="AD472" s="128"/>
      <c r="AE472" s="128"/>
      <c r="AF472" s="128"/>
      <c r="AG472" s="128"/>
      <c r="AH472" s="127"/>
    </row>
    <row r="473" spans="1:34" ht="13.2">
      <c r="A473" s="88"/>
      <c r="B473" s="88"/>
      <c r="C473" s="88"/>
      <c r="D473" s="88"/>
      <c r="E473" s="88"/>
      <c r="F473" s="88"/>
      <c r="G473" s="88"/>
      <c r="H473" s="88"/>
      <c r="I473" s="88"/>
      <c r="J473" s="88"/>
      <c r="K473" s="88"/>
      <c r="L473" s="88"/>
      <c r="M473" s="88"/>
      <c r="N473" s="88"/>
      <c r="O473" s="88"/>
      <c r="P473" s="88"/>
      <c r="Q473" s="88"/>
      <c r="R473" s="88"/>
      <c r="S473" s="88"/>
      <c r="T473" s="88"/>
      <c r="U473" s="88"/>
      <c r="V473" s="88"/>
      <c r="W473" s="88"/>
      <c r="X473" s="88"/>
      <c r="Y473" s="88"/>
      <c r="Z473" s="88"/>
      <c r="AA473" s="88"/>
      <c r="AB473" s="128"/>
      <c r="AC473" s="128"/>
      <c r="AD473" s="128"/>
      <c r="AE473" s="128"/>
      <c r="AF473" s="128"/>
      <c r="AG473" s="128"/>
      <c r="AH473" s="127"/>
    </row>
    <row r="474" spans="1:34" ht="13.2">
      <c r="A474" s="88"/>
      <c r="B474" s="88"/>
      <c r="C474" s="88"/>
      <c r="D474" s="88"/>
      <c r="E474" s="88"/>
      <c r="F474" s="88"/>
      <c r="G474" s="88"/>
      <c r="H474" s="88"/>
      <c r="I474" s="88"/>
      <c r="J474" s="88"/>
      <c r="K474" s="88"/>
      <c r="L474" s="88"/>
      <c r="M474" s="88"/>
      <c r="N474" s="88"/>
      <c r="O474" s="88"/>
      <c r="P474" s="88"/>
      <c r="Q474" s="88"/>
      <c r="R474" s="88"/>
      <c r="S474" s="88"/>
      <c r="T474" s="88"/>
      <c r="U474" s="88"/>
      <c r="V474" s="88"/>
      <c r="W474" s="88"/>
      <c r="X474" s="88"/>
      <c r="Y474" s="88"/>
      <c r="Z474" s="88"/>
      <c r="AA474" s="88"/>
      <c r="AB474" s="128"/>
      <c r="AC474" s="128"/>
      <c r="AD474" s="128"/>
      <c r="AE474" s="128"/>
      <c r="AF474" s="128"/>
      <c r="AG474" s="128"/>
      <c r="AH474" s="127"/>
    </row>
    <row r="475" spans="1:34" ht="13.2">
      <c r="A475" s="88"/>
      <c r="B475" s="88"/>
      <c r="C475" s="88"/>
      <c r="D475" s="88"/>
      <c r="E475" s="88"/>
      <c r="F475" s="88"/>
      <c r="G475" s="88"/>
      <c r="H475" s="88"/>
      <c r="I475" s="88"/>
      <c r="J475" s="88"/>
      <c r="K475" s="88"/>
      <c r="L475" s="88"/>
      <c r="M475" s="88"/>
      <c r="N475" s="88"/>
      <c r="O475" s="88"/>
      <c r="P475" s="88"/>
      <c r="Q475" s="88"/>
      <c r="R475" s="88"/>
      <c r="S475" s="88"/>
      <c r="T475" s="88"/>
      <c r="U475" s="88"/>
      <c r="V475" s="88"/>
      <c r="W475" s="88"/>
      <c r="X475" s="88"/>
      <c r="Y475" s="88"/>
      <c r="Z475" s="88"/>
      <c r="AA475" s="88"/>
      <c r="AB475" s="128"/>
      <c r="AC475" s="128"/>
      <c r="AD475" s="128"/>
      <c r="AE475" s="128"/>
      <c r="AF475" s="128"/>
      <c r="AG475" s="128"/>
      <c r="AH475" s="127"/>
    </row>
    <row r="476" spans="1:34" ht="13.2">
      <c r="A476" s="88"/>
      <c r="B476" s="88"/>
      <c r="C476" s="88"/>
      <c r="D476" s="88"/>
      <c r="E476" s="88"/>
      <c r="F476" s="88"/>
      <c r="G476" s="88"/>
      <c r="H476" s="88"/>
      <c r="I476" s="88"/>
      <c r="J476" s="88"/>
      <c r="K476" s="88"/>
      <c r="L476" s="88"/>
      <c r="M476" s="88"/>
      <c r="N476" s="88"/>
      <c r="O476" s="88"/>
      <c r="P476" s="88"/>
      <c r="Q476" s="88"/>
      <c r="R476" s="88"/>
      <c r="S476" s="88"/>
      <c r="T476" s="88"/>
      <c r="U476" s="88"/>
      <c r="V476" s="88"/>
      <c r="W476" s="88"/>
      <c r="X476" s="88"/>
      <c r="Y476" s="88"/>
      <c r="Z476" s="88"/>
      <c r="AA476" s="88"/>
      <c r="AB476" s="128"/>
      <c r="AC476" s="128"/>
      <c r="AD476" s="128"/>
      <c r="AE476" s="128"/>
      <c r="AF476" s="128"/>
      <c r="AG476" s="128"/>
      <c r="AH476" s="127"/>
    </row>
    <row r="477" spans="1:34" ht="13.2">
      <c r="A477" s="88"/>
      <c r="B477" s="88"/>
      <c r="C477" s="88"/>
      <c r="D477" s="88"/>
      <c r="E477" s="88"/>
      <c r="F477" s="88"/>
      <c r="G477" s="88"/>
      <c r="H477" s="88"/>
      <c r="I477" s="88"/>
      <c r="J477" s="88"/>
      <c r="K477" s="88"/>
      <c r="L477" s="88"/>
      <c r="M477" s="88"/>
      <c r="N477" s="88"/>
      <c r="O477" s="88"/>
      <c r="P477" s="88"/>
      <c r="Q477" s="88"/>
      <c r="R477" s="88"/>
      <c r="S477" s="88"/>
      <c r="T477" s="88"/>
      <c r="U477" s="88"/>
      <c r="V477" s="88"/>
      <c r="W477" s="88"/>
      <c r="X477" s="88"/>
      <c r="Y477" s="88"/>
      <c r="Z477" s="88"/>
      <c r="AA477" s="88"/>
      <c r="AB477" s="128"/>
      <c r="AC477" s="128"/>
      <c r="AD477" s="128"/>
      <c r="AE477" s="128"/>
      <c r="AF477" s="128"/>
      <c r="AG477" s="128"/>
      <c r="AH477" s="127"/>
    </row>
    <row r="478" spans="1:34" ht="13.2">
      <c r="A478" s="88"/>
      <c r="B478" s="88"/>
      <c r="C478" s="88"/>
      <c r="D478" s="88"/>
      <c r="E478" s="88"/>
      <c r="F478" s="88"/>
      <c r="G478" s="88"/>
      <c r="H478" s="88"/>
      <c r="I478" s="88"/>
      <c r="J478" s="88"/>
      <c r="K478" s="88"/>
      <c r="L478" s="88"/>
      <c r="M478" s="88"/>
      <c r="N478" s="88"/>
      <c r="O478" s="88"/>
      <c r="P478" s="88"/>
      <c r="Q478" s="88"/>
      <c r="R478" s="88"/>
      <c r="S478" s="88"/>
      <c r="T478" s="88"/>
      <c r="U478" s="88"/>
      <c r="V478" s="88"/>
      <c r="W478" s="88"/>
      <c r="X478" s="88"/>
      <c r="Y478" s="88"/>
      <c r="Z478" s="88"/>
      <c r="AA478" s="88"/>
      <c r="AB478" s="128"/>
      <c r="AC478" s="128"/>
      <c r="AD478" s="128"/>
      <c r="AE478" s="128"/>
      <c r="AF478" s="128"/>
      <c r="AG478" s="128"/>
      <c r="AH478" s="127"/>
    </row>
    <row r="479" spans="1:34" ht="13.2">
      <c r="A479" s="88"/>
      <c r="B479" s="88"/>
      <c r="C479" s="88"/>
      <c r="D479" s="88"/>
      <c r="E479" s="88"/>
      <c r="F479" s="88"/>
      <c r="G479" s="88"/>
      <c r="H479" s="88"/>
      <c r="I479" s="88"/>
      <c r="J479" s="88"/>
      <c r="K479" s="88"/>
      <c r="L479" s="88"/>
      <c r="M479" s="88"/>
      <c r="N479" s="88"/>
      <c r="O479" s="88"/>
      <c r="P479" s="88"/>
      <c r="Q479" s="88"/>
      <c r="R479" s="88"/>
      <c r="S479" s="88"/>
      <c r="T479" s="88"/>
      <c r="U479" s="88"/>
      <c r="V479" s="88"/>
      <c r="W479" s="88"/>
      <c r="X479" s="88"/>
      <c r="Y479" s="88"/>
      <c r="Z479" s="88"/>
      <c r="AA479" s="88"/>
      <c r="AB479" s="128"/>
      <c r="AC479" s="128"/>
      <c r="AD479" s="128"/>
      <c r="AE479" s="128"/>
      <c r="AF479" s="128"/>
      <c r="AG479" s="128"/>
      <c r="AH479" s="127"/>
    </row>
    <row r="480" spans="1:34" ht="13.2">
      <c r="A480" s="88"/>
      <c r="B480" s="88"/>
      <c r="C480" s="88"/>
      <c r="D480" s="88"/>
      <c r="E480" s="88"/>
      <c r="F480" s="88"/>
      <c r="G480" s="88"/>
      <c r="H480" s="88"/>
      <c r="I480" s="88"/>
      <c r="J480" s="88"/>
      <c r="K480" s="88"/>
      <c r="L480" s="88"/>
      <c r="M480" s="88"/>
      <c r="N480" s="88"/>
      <c r="O480" s="88"/>
      <c r="P480" s="88"/>
      <c r="Q480" s="88"/>
      <c r="R480" s="88"/>
      <c r="S480" s="88"/>
      <c r="T480" s="88"/>
      <c r="U480" s="88"/>
      <c r="V480" s="88"/>
      <c r="W480" s="88"/>
      <c r="X480" s="88"/>
      <c r="Y480" s="88"/>
      <c r="Z480" s="88"/>
      <c r="AA480" s="88"/>
      <c r="AB480" s="128"/>
      <c r="AC480" s="128"/>
      <c r="AD480" s="128"/>
      <c r="AE480" s="128"/>
      <c r="AF480" s="128"/>
      <c r="AG480" s="128"/>
      <c r="AH480" s="127"/>
    </row>
    <row r="481" spans="1:34" ht="13.2">
      <c r="A481" s="88"/>
      <c r="B481" s="88"/>
      <c r="C481" s="88"/>
      <c r="D481" s="88"/>
      <c r="E481" s="88"/>
      <c r="F481" s="88"/>
      <c r="G481" s="88"/>
      <c r="H481" s="88"/>
      <c r="I481" s="88"/>
      <c r="J481" s="88"/>
      <c r="K481" s="88"/>
      <c r="L481" s="88"/>
      <c r="M481" s="88"/>
      <c r="N481" s="88"/>
      <c r="O481" s="88"/>
      <c r="P481" s="88"/>
      <c r="Q481" s="88"/>
      <c r="R481" s="88"/>
      <c r="S481" s="88"/>
      <c r="T481" s="88"/>
      <c r="U481" s="88"/>
      <c r="V481" s="88"/>
      <c r="W481" s="88"/>
      <c r="X481" s="88"/>
      <c r="Y481" s="88"/>
      <c r="Z481" s="88"/>
      <c r="AA481" s="88"/>
      <c r="AB481" s="128"/>
      <c r="AC481" s="128"/>
      <c r="AD481" s="128"/>
      <c r="AE481" s="128"/>
      <c r="AF481" s="128"/>
      <c r="AG481" s="128"/>
      <c r="AH481" s="127"/>
    </row>
    <row r="482" spans="1:34" ht="13.2">
      <c r="A482" s="88"/>
      <c r="B482" s="88"/>
      <c r="C482" s="88"/>
      <c r="D482" s="88"/>
      <c r="E482" s="88"/>
      <c r="F482" s="88"/>
      <c r="G482" s="88"/>
      <c r="H482" s="88"/>
      <c r="I482" s="88"/>
      <c r="J482" s="88"/>
      <c r="K482" s="88"/>
      <c r="L482" s="88"/>
      <c r="M482" s="88"/>
      <c r="N482" s="88"/>
      <c r="O482" s="88"/>
      <c r="P482" s="88"/>
      <c r="Q482" s="88"/>
      <c r="R482" s="88"/>
      <c r="S482" s="88"/>
      <c r="T482" s="88"/>
      <c r="U482" s="88"/>
      <c r="V482" s="88"/>
      <c r="W482" s="88"/>
      <c r="X482" s="88"/>
      <c r="Y482" s="88"/>
      <c r="Z482" s="88"/>
      <c r="AA482" s="88"/>
      <c r="AB482" s="128"/>
      <c r="AC482" s="128"/>
      <c r="AD482" s="128"/>
      <c r="AE482" s="128"/>
      <c r="AF482" s="128"/>
      <c r="AG482" s="128"/>
      <c r="AH482" s="127"/>
    </row>
    <row r="483" spans="1:34" ht="13.2">
      <c r="A483" s="88"/>
      <c r="B483" s="88"/>
      <c r="C483" s="88"/>
      <c r="D483" s="88"/>
      <c r="E483" s="88"/>
      <c r="F483" s="88"/>
      <c r="G483" s="88"/>
      <c r="H483" s="88"/>
      <c r="I483" s="88"/>
      <c r="J483" s="88"/>
      <c r="K483" s="88"/>
      <c r="L483" s="88"/>
      <c r="M483" s="88"/>
      <c r="N483" s="88"/>
      <c r="O483" s="88"/>
      <c r="P483" s="88"/>
      <c r="Q483" s="88"/>
      <c r="R483" s="88"/>
      <c r="S483" s="88"/>
      <c r="T483" s="88"/>
      <c r="U483" s="88"/>
      <c r="V483" s="88"/>
      <c r="W483" s="88"/>
      <c r="X483" s="88"/>
      <c r="Y483" s="88"/>
      <c r="Z483" s="88"/>
      <c r="AA483" s="88"/>
      <c r="AB483" s="128"/>
      <c r="AC483" s="128"/>
      <c r="AD483" s="128"/>
      <c r="AE483" s="128"/>
      <c r="AF483" s="128"/>
      <c r="AG483" s="128"/>
      <c r="AH483" s="127"/>
    </row>
    <row r="484" spans="1:34" ht="13.2">
      <c r="A484" s="88"/>
      <c r="B484" s="88"/>
      <c r="C484" s="88"/>
      <c r="D484" s="88"/>
      <c r="E484" s="88"/>
      <c r="F484" s="88"/>
      <c r="G484" s="88"/>
      <c r="H484" s="88"/>
      <c r="I484" s="88"/>
      <c r="J484" s="88"/>
      <c r="K484" s="88"/>
      <c r="L484" s="88"/>
      <c r="M484" s="88"/>
      <c r="N484" s="88"/>
      <c r="O484" s="88"/>
      <c r="P484" s="88"/>
      <c r="Q484" s="88"/>
      <c r="R484" s="88"/>
      <c r="S484" s="88"/>
      <c r="T484" s="88"/>
      <c r="U484" s="88"/>
      <c r="V484" s="88"/>
      <c r="W484" s="88"/>
      <c r="X484" s="88"/>
      <c r="Y484" s="88"/>
      <c r="Z484" s="88"/>
      <c r="AA484" s="88"/>
      <c r="AB484" s="128"/>
      <c r="AC484" s="128"/>
      <c r="AD484" s="128"/>
      <c r="AE484" s="128"/>
      <c r="AF484" s="128"/>
      <c r="AG484" s="128"/>
      <c r="AH484" s="127"/>
    </row>
    <row r="485" spans="1:34" ht="13.2">
      <c r="A485" s="88"/>
      <c r="B485" s="88"/>
      <c r="C485" s="88"/>
      <c r="D485" s="88"/>
      <c r="E485" s="88"/>
      <c r="F485" s="88"/>
      <c r="G485" s="88"/>
      <c r="H485" s="88"/>
      <c r="I485" s="88"/>
      <c r="J485" s="88"/>
      <c r="K485" s="88"/>
      <c r="L485" s="88"/>
      <c r="M485" s="88"/>
      <c r="N485" s="88"/>
      <c r="O485" s="88"/>
      <c r="P485" s="88"/>
      <c r="Q485" s="88"/>
      <c r="R485" s="88"/>
      <c r="S485" s="88"/>
      <c r="T485" s="88"/>
      <c r="U485" s="88"/>
      <c r="V485" s="88"/>
      <c r="W485" s="88"/>
      <c r="X485" s="88"/>
      <c r="Y485" s="88"/>
      <c r="Z485" s="88"/>
      <c r="AA485" s="88"/>
      <c r="AB485" s="128"/>
      <c r="AC485" s="128"/>
      <c r="AD485" s="128"/>
      <c r="AE485" s="128"/>
      <c r="AF485" s="128"/>
      <c r="AG485" s="128"/>
      <c r="AH485" s="127"/>
    </row>
    <row r="486" spans="1:34" ht="13.2">
      <c r="A486" s="88"/>
      <c r="B486" s="88"/>
      <c r="C486" s="88"/>
      <c r="D486" s="88"/>
      <c r="E486" s="88"/>
      <c r="F486" s="88"/>
      <c r="G486" s="88"/>
      <c r="H486" s="88"/>
      <c r="I486" s="88"/>
      <c r="J486" s="88"/>
      <c r="K486" s="88"/>
      <c r="L486" s="88"/>
      <c r="M486" s="88"/>
      <c r="N486" s="88"/>
      <c r="O486" s="88"/>
      <c r="P486" s="88"/>
      <c r="Q486" s="88"/>
      <c r="R486" s="88"/>
      <c r="S486" s="88"/>
      <c r="T486" s="88"/>
      <c r="U486" s="88"/>
      <c r="V486" s="88"/>
      <c r="W486" s="88"/>
      <c r="X486" s="88"/>
      <c r="Y486" s="88"/>
      <c r="Z486" s="88"/>
      <c r="AA486" s="88"/>
      <c r="AB486" s="128"/>
      <c r="AC486" s="128"/>
      <c r="AD486" s="128"/>
      <c r="AE486" s="128"/>
      <c r="AF486" s="128"/>
      <c r="AG486" s="128"/>
      <c r="AH486" s="127"/>
    </row>
    <row r="487" spans="1:34" ht="13.2">
      <c r="A487" s="88"/>
      <c r="B487" s="88"/>
      <c r="C487" s="88"/>
      <c r="D487" s="88"/>
      <c r="E487" s="88"/>
      <c r="F487" s="88"/>
      <c r="G487" s="88"/>
      <c r="H487" s="88"/>
      <c r="I487" s="88"/>
      <c r="J487" s="88"/>
      <c r="K487" s="88"/>
      <c r="L487" s="88"/>
      <c r="M487" s="88"/>
      <c r="N487" s="88"/>
      <c r="O487" s="88"/>
      <c r="P487" s="88"/>
      <c r="Q487" s="88"/>
      <c r="R487" s="88"/>
      <c r="S487" s="88"/>
      <c r="T487" s="88"/>
      <c r="U487" s="88"/>
      <c r="V487" s="88"/>
      <c r="W487" s="88"/>
      <c r="X487" s="88"/>
      <c r="Y487" s="88"/>
      <c r="Z487" s="88"/>
      <c r="AA487" s="88"/>
      <c r="AB487" s="128"/>
      <c r="AC487" s="128"/>
      <c r="AD487" s="128"/>
      <c r="AE487" s="128"/>
      <c r="AF487" s="128"/>
      <c r="AG487" s="128"/>
      <c r="AH487" s="127"/>
    </row>
    <row r="488" spans="1:34" ht="13.2">
      <c r="A488" s="88"/>
      <c r="B488" s="88"/>
      <c r="C488" s="88"/>
      <c r="D488" s="88"/>
      <c r="E488" s="88"/>
      <c r="F488" s="88"/>
      <c r="G488" s="88"/>
      <c r="H488" s="88"/>
      <c r="I488" s="88"/>
      <c r="J488" s="88"/>
      <c r="K488" s="88"/>
      <c r="L488" s="88"/>
      <c r="M488" s="88"/>
      <c r="N488" s="88"/>
      <c r="O488" s="88"/>
      <c r="P488" s="88"/>
      <c r="Q488" s="88"/>
      <c r="R488" s="88"/>
      <c r="S488" s="88"/>
      <c r="T488" s="88"/>
      <c r="U488" s="88"/>
      <c r="V488" s="88"/>
      <c r="W488" s="88"/>
      <c r="X488" s="88"/>
      <c r="Y488" s="88"/>
      <c r="Z488" s="88"/>
      <c r="AA488" s="88"/>
      <c r="AB488" s="128"/>
      <c r="AC488" s="128"/>
      <c r="AD488" s="128"/>
      <c r="AE488" s="128"/>
      <c r="AF488" s="128"/>
      <c r="AG488" s="128"/>
      <c r="AH488" s="127"/>
    </row>
    <row r="489" spans="1:34" ht="13.2">
      <c r="A489" s="88"/>
      <c r="B489" s="88"/>
      <c r="C489" s="88"/>
      <c r="D489" s="88"/>
      <c r="E489" s="88"/>
      <c r="F489" s="88"/>
      <c r="G489" s="88"/>
      <c r="H489" s="88"/>
      <c r="I489" s="88"/>
      <c r="J489" s="88"/>
      <c r="K489" s="88"/>
      <c r="L489" s="88"/>
      <c r="M489" s="88"/>
      <c r="N489" s="88"/>
      <c r="O489" s="88"/>
      <c r="P489" s="88"/>
      <c r="Q489" s="88"/>
      <c r="R489" s="88"/>
      <c r="S489" s="88"/>
      <c r="T489" s="88"/>
      <c r="U489" s="88"/>
      <c r="V489" s="88"/>
      <c r="W489" s="88"/>
      <c r="X489" s="88"/>
      <c r="Y489" s="88"/>
      <c r="Z489" s="88"/>
      <c r="AA489" s="88"/>
      <c r="AB489" s="128"/>
      <c r="AC489" s="128"/>
      <c r="AD489" s="128"/>
      <c r="AE489" s="128"/>
      <c r="AF489" s="128"/>
      <c r="AG489" s="128"/>
      <c r="AH489" s="127"/>
    </row>
    <row r="490" spans="1:34" ht="13.2">
      <c r="A490" s="88"/>
      <c r="B490" s="88"/>
      <c r="C490" s="88"/>
      <c r="D490" s="88"/>
      <c r="E490" s="88"/>
      <c r="F490" s="88"/>
      <c r="G490" s="88"/>
      <c r="H490" s="88"/>
      <c r="I490" s="88"/>
      <c r="J490" s="88"/>
      <c r="K490" s="88"/>
      <c r="L490" s="88"/>
      <c r="M490" s="88"/>
      <c r="N490" s="88"/>
      <c r="O490" s="88"/>
      <c r="P490" s="88"/>
      <c r="Q490" s="88"/>
      <c r="R490" s="88"/>
      <c r="S490" s="88"/>
      <c r="T490" s="88"/>
      <c r="U490" s="88"/>
      <c r="V490" s="88"/>
      <c r="W490" s="88"/>
      <c r="X490" s="88"/>
      <c r="Y490" s="88"/>
      <c r="Z490" s="88"/>
      <c r="AA490" s="88"/>
      <c r="AB490" s="128"/>
      <c r="AC490" s="128"/>
      <c r="AD490" s="128"/>
      <c r="AE490" s="128"/>
      <c r="AF490" s="128"/>
      <c r="AG490" s="128"/>
      <c r="AH490" s="127"/>
    </row>
    <row r="491" spans="1:34" ht="13.2">
      <c r="A491" s="88"/>
      <c r="B491" s="88"/>
      <c r="C491" s="88"/>
      <c r="D491" s="88"/>
      <c r="E491" s="88"/>
      <c r="F491" s="88"/>
      <c r="G491" s="88"/>
      <c r="H491" s="88"/>
      <c r="I491" s="88"/>
      <c r="J491" s="88"/>
      <c r="K491" s="88"/>
      <c r="L491" s="88"/>
      <c r="M491" s="88"/>
      <c r="N491" s="88"/>
      <c r="O491" s="88"/>
      <c r="P491" s="88"/>
      <c r="Q491" s="88"/>
      <c r="R491" s="88"/>
      <c r="S491" s="88"/>
      <c r="T491" s="88"/>
      <c r="U491" s="88"/>
      <c r="V491" s="88"/>
      <c r="W491" s="88"/>
      <c r="X491" s="88"/>
      <c r="Y491" s="88"/>
      <c r="Z491" s="88"/>
      <c r="AA491" s="88"/>
      <c r="AB491" s="128"/>
      <c r="AC491" s="128"/>
      <c r="AD491" s="128"/>
      <c r="AE491" s="128"/>
      <c r="AF491" s="128"/>
      <c r="AG491" s="128"/>
      <c r="AH491" s="127"/>
    </row>
    <row r="492" spans="1:34" ht="13.2">
      <c r="A492" s="88"/>
      <c r="B492" s="88"/>
      <c r="C492" s="88"/>
      <c r="D492" s="88"/>
      <c r="E492" s="88"/>
      <c r="F492" s="88"/>
      <c r="G492" s="88"/>
      <c r="H492" s="88"/>
      <c r="I492" s="88"/>
      <c r="J492" s="88"/>
      <c r="K492" s="88"/>
      <c r="L492" s="88"/>
      <c r="M492" s="88"/>
      <c r="N492" s="88"/>
      <c r="O492" s="88"/>
      <c r="P492" s="88"/>
      <c r="Q492" s="88"/>
      <c r="R492" s="88"/>
      <c r="S492" s="88"/>
      <c r="T492" s="88"/>
      <c r="U492" s="88"/>
      <c r="V492" s="88"/>
      <c r="W492" s="88"/>
      <c r="X492" s="88"/>
      <c r="Y492" s="88"/>
      <c r="Z492" s="88"/>
      <c r="AA492" s="88"/>
      <c r="AB492" s="128"/>
      <c r="AC492" s="128"/>
      <c r="AD492" s="128"/>
      <c r="AE492" s="128"/>
      <c r="AF492" s="128"/>
      <c r="AG492" s="128"/>
      <c r="AH492" s="127"/>
    </row>
    <row r="493" spans="1:34" ht="13.2">
      <c r="A493" s="88"/>
      <c r="B493" s="88"/>
      <c r="C493" s="88"/>
      <c r="D493" s="88"/>
      <c r="E493" s="88"/>
      <c r="F493" s="88"/>
      <c r="G493" s="88"/>
      <c r="H493" s="88"/>
      <c r="I493" s="88"/>
      <c r="J493" s="88"/>
      <c r="K493" s="88"/>
      <c r="L493" s="88"/>
      <c r="M493" s="88"/>
      <c r="N493" s="88"/>
      <c r="O493" s="88"/>
      <c r="P493" s="88"/>
      <c r="Q493" s="88"/>
      <c r="R493" s="88"/>
      <c r="S493" s="88"/>
      <c r="T493" s="88"/>
      <c r="U493" s="88"/>
      <c r="V493" s="88"/>
      <c r="W493" s="88"/>
      <c r="X493" s="88"/>
      <c r="Y493" s="88"/>
      <c r="Z493" s="88"/>
      <c r="AA493" s="88"/>
      <c r="AB493" s="128"/>
      <c r="AC493" s="128"/>
      <c r="AD493" s="128"/>
      <c r="AE493" s="128"/>
      <c r="AF493" s="128"/>
      <c r="AG493" s="128"/>
      <c r="AH493" s="127"/>
    </row>
    <row r="494" spans="1:34" ht="13.2">
      <c r="A494" s="88"/>
      <c r="B494" s="88"/>
      <c r="C494" s="88"/>
      <c r="D494" s="88"/>
      <c r="E494" s="88"/>
      <c r="F494" s="88"/>
      <c r="G494" s="88"/>
      <c r="H494" s="88"/>
      <c r="I494" s="88"/>
      <c r="J494" s="88"/>
      <c r="K494" s="88"/>
      <c r="L494" s="88"/>
      <c r="M494" s="88"/>
      <c r="N494" s="88"/>
      <c r="O494" s="88"/>
      <c r="P494" s="88"/>
      <c r="Q494" s="88"/>
      <c r="R494" s="88"/>
      <c r="S494" s="88"/>
      <c r="T494" s="88"/>
      <c r="U494" s="88"/>
      <c r="V494" s="88"/>
      <c r="W494" s="88"/>
      <c r="X494" s="88"/>
      <c r="Y494" s="88"/>
      <c r="Z494" s="88"/>
      <c r="AA494" s="88"/>
      <c r="AB494" s="128"/>
      <c r="AC494" s="128"/>
      <c r="AD494" s="128"/>
      <c r="AE494" s="128"/>
      <c r="AF494" s="128"/>
      <c r="AG494" s="128"/>
      <c r="AH494" s="127"/>
    </row>
    <row r="495" spans="1:34" ht="13.2">
      <c r="A495" s="88"/>
      <c r="B495" s="88"/>
      <c r="C495" s="88"/>
      <c r="D495" s="88"/>
      <c r="E495" s="88"/>
      <c r="F495" s="88"/>
      <c r="G495" s="88"/>
      <c r="H495" s="88"/>
      <c r="I495" s="88"/>
      <c r="J495" s="88"/>
      <c r="K495" s="88"/>
      <c r="L495" s="88"/>
      <c r="M495" s="88"/>
      <c r="N495" s="88"/>
      <c r="O495" s="88"/>
      <c r="P495" s="88"/>
      <c r="Q495" s="88"/>
      <c r="R495" s="88"/>
      <c r="S495" s="88"/>
      <c r="T495" s="88"/>
      <c r="U495" s="88"/>
      <c r="V495" s="88"/>
      <c r="W495" s="88"/>
      <c r="X495" s="88"/>
      <c r="Y495" s="88"/>
      <c r="Z495" s="88"/>
      <c r="AA495" s="88"/>
      <c r="AB495" s="128"/>
      <c r="AC495" s="128"/>
      <c r="AD495" s="128"/>
      <c r="AE495" s="128"/>
      <c r="AF495" s="128"/>
      <c r="AG495" s="128"/>
      <c r="AH495" s="127"/>
    </row>
    <row r="496" spans="1:34" ht="13.2">
      <c r="A496" s="88"/>
      <c r="B496" s="88"/>
      <c r="C496" s="88"/>
      <c r="D496" s="88"/>
      <c r="E496" s="88"/>
      <c r="F496" s="88"/>
      <c r="G496" s="88"/>
      <c r="H496" s="88"/>
      <c r="I496" s="88"/>
      <c r="J496" s="88"/>
      <c r="K496" s="88"/>
      <c r="L496" s="88"/>
      <c r="M496" s="88"/>
      <c r="N496" s="88"/>
      <c r="O496" s="88"/>
      <c r="P496" s="88"/>
      <c r="Q496" s="88"/>
      <c r="R496" s="88"/>
      <c r="S496" s="88"/>
      <c r="T496" s="88"/>
      <c r="U496" s="88"/>
      <c r="V496" s="88"/>
      <c r="W496" s="88"/>
      <c r="X496" s="88"/>
      <c r="Y496" s="88"/>
      <c r="Z496" s="88"/>
      <c r="AA496" s="88"/>
      <c r="AB496" s="128"/>
      <c r="AC496" s="128"/>
      <c r="AD496" s="128"/>
      <c r="AE496" s="128"/>
      <c r="AF496" s="128"/>
      <c r="AG496" s="128"/>
      <c r="AH496" s="127"/>
    </row>
    <row r="497" spans="1:34" ht="13.2">
      <c r="A497" s="88"/>
      <c r="B497" s="88"/>
      <c r="C497" s="88"/>
      <c r="D497" s="88"/>
      <c r="E497" s="88"/>
      <c r="F497" s="88"/>
      <c r="G497" s="88"/>
      <c r="H497" s="88"/>
      <c r="I497" s="88"/>
      <c r="J497" s="88"/>
      <c r="K497" s="88"/>
      <c r="L497" s="88"/>
      <c r="M497" s="88"/>
      <c r="N497" s="88"/>
      <c r="O497" s="88"/>
      <c r="P497" s="88"/>
      <c r="Q497" s="88"/>
      <c r="R497" s="88"/>
      <c r="S497" s="88"/>
      <c r="T497" s="88"/>
      <c r="U497" s="88"/>
      <c r="V497" s="88"/>
      <c r="W497" s="88"/>
      <c r="X497" s="88"/>
      <c r="Y497" s="88"/>
      <c r="Z497" s="88"/>
      <c r="AA497" s="88"/>
      <c r="AB497" s="128"/>
      <c r="AC497" s="128"/>
      <c r="AD497" s="128"/>
      <c r="AE497" s="128"/>
      <c r="AF497" s="128"/>
      <c r="AG497" s="128"/>
      <c r="AH497" s="127"/>
    </row>
    <row r="498" spans="1:34" ht="13.2">
      <c r="A498" s="88"/>
      <c r="B498" s="88"/>
      <c r="C498" s="88"/>
      <c r="D498" s="88"/>
      <c r="E498" s="88"/>
      <c r="F498" s="88"/>
      <c r="G498" s="88"/>
      <c r="H498" s="88"/>
      <c r="I498" s="88"/>
      <c r="J498" s="88"/>
      <c r="K498" s="88"/>
      <c r="L498" s="88"/>
      <c r="M498" s="88"/>
      <c r="N498" s="88"/>
      <c r="O498" s="88"/>
      <c r="P498" s="88"/>
      <c r="Q498" s="88"/>
      <c r="R498" s="88"/>
      <c r="S498" s="88"/>
      <c r="T498" s="88"/>
      <c r="U498" s="88"/>
      <c r="V498" s="88"/>
      <c r="W498" s="88"/>
      <c r="X498" s="88"/>
      <c r="Y498" s="88"/>
      <c r="Z498" s="88"/>
      <c r="AA498" s="88"/>
      <c r="AB498" s="128"/>
      <c r="AC498" s="128"/>
      <c r="AD498" s="128"/>
      <c r="AE498" s="128"/>
      <c r="AF498" s="128"/>
      <c r="AG498" s="128"/>
      <c r="AH498" s="127"/>
    </row>
    <row r="499" spans="1:34" ht="13.2">
      <c r="A499" s="88"/>
      <c r="B499" s="88"/>
      <c r="C499" s="88"/>
      <c r="D499" s="88"/>
      <c r="E499" s="88"/>
      <c r="F499" s="88"/>
      <c r="G499" s="88"/>
      <c r="H499" s="88"/>
      <c r="I499" s="88"/>
      <c r="J499" s="88"/>
      <c r="K499" s="88"/>
      <c r="L499" s="88"/>
      <c r="M499" s="88"/>
      <c r="N499" s="88"/>
      <c r="O499" s="88"/>
      <c r="P499" s="88"/>
      <c r="Q499" s="88"/>
      <c r="R499" s="88"/>
      <c r="S499" s="88"/>
      <c r="T499" s="88"/>
      <c r="U499" s="88"/>
      <c r="V499" s="88"/>
      <c r="W499" s="88"/>
      <c r="X499" s="88"/>
      <c r="Y499" s="88"/>
      <c r="Z499" s="88"/>
      <c r="AA499" s="88"/>
      <c r="AB499" s="128"/>
      <c r="AC499" s="128"/>
      <c r="AD499" s="128"/>
      <c r="AE499" s="128"/>
      <c r="AF499" s="128"/>
      <c r="AG499" s="128"/>
      <c r="AH499" s="127"/>
    </row>
    <row r="500" spans="1:34" ht="13.2">
      <c r="A500" s="88"/>
      <c r="B500" s="88"/>
      <c r="C500" s="88"/>
      <c r="D500" s="88"/>
      <c r="E500" s="88"/>
      <c r="F500" s="88"/>
      <c r="G500" s="88"/>
      <c r="H500" s="88"/>
      <c r="I500" s="88"/>
      <c r="J500" s="88"/>
      <c r="K500" s="88"/>
      <c r="L500" s="88"/>
      <c r="M500" s="88"/>
      <c r="N500" s="88"/>
      <c r="O500" s="88"/>
      <c r="P500" s="88"/>
      <c r="Q500" s="88"/>
      <c r="R500" s="88"/>
      <c r="S500" s="88"/>
      <c r="T500" s="88"/>
      <c r="U500" s="88"/>
      <c r="V500" s="88"/>
      <c r="W500" s="88"/>
      <c r="X500" s="88"/>
      <c r="Y500" s="88"/>
      <c r="Z500" s="88"/>
      <c r="AA500" s="88"/>
      <c r="AB500" s="128"/>
      <c r="AC500" s="128"/>
      <c r="AD500" s="128"/>
      <c r="AE500" s="128"/>
      <c r="AF500" s="128"/>
      <c r="AG500" s="128"/>
      <c r="AH500" s="127"/>
    </row>
    <row r="501" spans="1:34" ht="13.2">
      <c r="A501" s="88"/>
      <c r="B501" s="88"/>
      <c r="C501" s="88"/>
      <c r="D501" s="88"/>
      <c r="E501" s="88"/>
      <c r="F501" s="88"/>
      <c r="G501" s="88"/>
      <c r="H501" s="88"/>
      <c r="I501" s="88"/>
      <c r="J501" s="88"/>
      <c r="K501" s="88"/>
      <c r="L501" s="88"/>
      <c r="M501" s="88"/>
      <c r="N501" s="88"/>
      <c r="O501" s="88"/>
      <c r="P501" s="88"/>
      <c r="Q501" s="88"/>
      <c r="R501" s="88"/>
      <c r="S501" s="88"/>
      <c r="T501" s="88"/>
      <c r="U501" s="88"/>
      <c r="V501" s="88"/>
      <c r="W501" s="88"/>
      <c r="X501" s="88"/>
      <c r="Y501" s="88"/>
      <c r="Z501" s="88"/>
      <c r="AA501" s="88"/>
      <c r="AB501" s="128"/>
      <c r="AC501" s="128"/>
      <c r="AD501" s="128"/>
      <c r="AE501" s="128"/>
      <c r="AF501" s="128"/>
      <c r="AG501" s="128"/>
      <c r="AH501" s="127"/>
    </row>
    <row r="502" spans="1:34" ht="13.2">
      <c r="A502" s="88"/>
      <c r="B502" s="88"/>
      <c r="C502" s="88"/>
      <c r="D502" s="88"/>
      <c r="E502" s="88"/>
      <c r="F502" s="88"/>
      <c r="G502" s="88"/>
      <c r="H502" s="88"/>
      <c r="I502" s="88"/>
      <c r="J502" s="88"/>
      <c r="K502" s="88"/>
      <c r="L502" s="88"/>
      <c r="M502" s="88"/>
      <c r="N502" s="88"/>
      <c r="O502" s="88"/>
      <c r="P502" s="88"/>
      <c r="Q502" s="88"/>
      <c r="R502" s="88"/>
      <c r="S502" s="88"/>
      <c r="T502" s="88"/>
      <c r="U502" s="88"/>
      <c r="V502" s="88"/>
      <c r="W502" s="88"/>
      <c r="X502" s="88"/>
      <c r="Y502" s="88"/>
      <c r="Z502" s="88"/>
      <c r="AA502" s="88"/>
      <c r="AB502" s="128"/>
      <c r="AC502" s="128"/>
      <c r="AD502" s="128"/>
      <c r="AE502" s="128"/>
      <c r="AF502" s="128"/>
      <c r="AG502" s="128"/>
      <c r="AH502" s="127"/>
    </row>
    <row r="503" spans="1:34" ht="13.2">
      <c r="A503" s="88"/>
      <c r="B503" s="88"/>
      <c r="C503" s="88"/>
      <c r="D503" s="88"/>
      <c r="E503" s="88"/>
      <c r="F503" s="88"/>
      <c r="G503" s="88"/>
      <c r="H503" s="88"/>
      <c r="I503" s="88"/>
      <c r="J503" s="88"/>
      <c r="K503" s="88"/>
      <c r="L503" s="88"/>
      <c r="M503" s="88"/>
      <c r="N503" s="88"/>
      <c r="O503" s="88"/>
      <c r="P503" s="88"/>
      <c r="Q503" s="88"/>
      <c r="R503" s="88"/>
      <c r="S503" s="88"/>
      <c r="T503" s="88"/>
      <c r="U503" s="88"/>
      <c r="V503" s="88"/>
      <c r="W503" s="88"/>
      <c r="X503" s="88"/>
      <c r="Y503" s="88"/>
      <c r="Z503" s="88"/>
      <c r="AA503" s="88"/>
      <c r="AB503" s="128"/>
      <c r="AC503" s="128"/>
      <c r="AD503" s="128"/>
      <c r="AE503" s="128"/>
      <c r="AF503" s="128"/>
      <c r="AG503" s="128"/>
      <c r="AH503" s="127"/>
    </row>
    <row r="504" spans="1:34" ht="13.2">
      <c r="A504" s="88"/>
      <c r="B504" s="88"/>
      <c r="C504" s="88"/>
      <c r="D504" s="88"/>
      <c r="E504" s="88"/>
      <c r="F504" s="88"/>
      <c r="G504" s="88"/>
      <c r="H504" s="88"/>
      <c r="I504" s="88"/>
      <c r="J504" s="88"/>
      <c r="K504" s="88"/>
      <c r="L504" s="88"/>
      <c r="M504" s="88"/>
      <c r="N504" s="88"/>
      <c r="O504" s="88"/>
      <c r="P504" s="88"/>
      <c r="Q504" s="88"/>
      <c r="R504" s="88"/>
      <c r="S504" s="88"/>
      <c r="T504" s="88"/>
      <c r="U504" s="88"/>
      <c r="V504" s="88"/>
      <c r="W504" s="88"/>
      <c r="X504" s="88"/>
      <c r="Y504" s="88"/>
      <c r="Z504" s="88"/>
      <c r="AA504" s="88"/>
      <c r="AB504" s="128"/>
      <c r="AC504" s="128"/>
      <c r="AD504" s="128"/>
      <c r="AE504" s="128"/>
      <c r="AF504" s="128"/>
      <c r="AG504" s="128"/>
      <c r="AH504" s="127"/>
    </row>
    <row r="505" spans="1:34" ht="13.2">
      <c r="A505" s="88"/>
      <c r="B505" s="88"/>
      <c r="C505" s="88"/>
      <c r="D505" s="88"/>
      <c r="E505" s="88"/>
      <c r="F505" s="88"/>
      <c r="G505" s="88"/>
      <c r="H505" s="88"/>
      <c r="I505" s="88"/>
      <c r="J505" s="88"/>
      <c r="K505" s="88"/>
      <c r="L505" s="88"/>
      <c r="M505" s="88"/>
      <c r="N505" s="88"/>
      <c r="O505" s="88"/>
      <c r="P505" s="88"/>
      <c r="Q505" s="88"/>
      <c r="R505" s="88"/>
      <c r="S505" s="88"/>
      <c r="T505" s="88"/>
      <c r="U505" s="88"/>
      <c r="V505" s="88"/>
      <c r="W505" s="88"/>
      <c r="X505" s="88"/>
      <c r="Y505" s="88"/>
      <c r="Z505" s="88"/>
      <c r="AA505" s="88"/>
      <c r="AB505" s="128"/>
      <c r="AC505" s="128"/>
      <c r="AD505" s="128"/>
      <c r="AE505" s="128"/>
      <c r="AF505" s="128"/>
      <c r="AG505" s="128"/>
      <c r="AH505" s="127"/>
    </row>
    <row r="506" spans="1:34" ht="13.2">
      <c r="A506" s="88"/>
      <c r="B506" s="88"/>
      <c r="C506" s="88"/>
      <c r="D506" s="88"/>
      <c r="E506" s="88"/>
      <c r="F506" s="88"/>
      <c r="G506" s="88"/>
      <c r="H506" s="88"/>
      <c r="I506" s="88"/>
      <c r="J506" s="88"/>
      <c r="K506" s="88"/>
      <c r="L506" s="88"/>
      <c r="M506" s="88"/>
      <c r="N506" s="88"/>
      <c r="O506" s="88"/>
      <c r="P506" s="88"/>
      <c r="Q506" s="88"/>
      <c r="R506" s="88"/>
      <c r="S506" s="88"/>
      <c r="T506" s="88"/>
      <c r="U506" s="88"/>
      <c r="V506" s="88"/>
      <c r="W506" s="88"/>
      <c r="X506" s="88"/>
      <c r="Y506" s="88"/>
      <c r="Z506" s="88"/>
      <c r="AA506" s="88"/>
      <c r="AB506" s="128"/>
      <c r="AC506" s="128"/>
      <c r="AD506" s="128"/>
      <c r="AE506" s="128"/>
      <c r="AF506" s="128"/>
      <c r="AG506" s="128"/>
      <c r="AH506" s="127"/>
    </row>
    <row r="507" spans="1:34" ht="13.2">
      <c r="A507" s="88"/>
      <c r="B507" s="88"/>
      <c r="C507" s="88"/>
      <c r="D507" s="88"/>
      <c r="E507" s="88"/>
      <c r="F507" s="88"/>
      <c r="G507" s="88"/>
      <c r="H507" s="88"/>
      <c r="I507" s="88"/>
      <c r="J507" s="88"/>
      <c r="K507" s="88"/>
      <c r="L507" s="88"/>
      <c r="M507" s="88"/>
      <c r="N507" s="88"/>
      <c r="O507" s="88"/>
      <c r="P507" s="88"/>
      <c r="Q507" s="88"/>
      <c r="R507" s="88"/>
      <c r="S507" s="88"/>
      <c r="T507" s="88"/>
      <c r="U507" s="88"/>
      <c r="V507" s="88"/>
      <c r="W507" s="88"/>
      <c r="X507" s="88"/>
      <c r="Y507" s="88"/>
      <c r="Z507" s="88"/>
      <c r="AA507" s="88"/>
      <c r="AB507" s="128"/>
      <c r="AC507" s="128"/>
      <c r="AD507" s="128"/>
      <c r="AE507" s="128"/>
      <c r="AF507" s="128"/>
      <c r="AG507" s="128"/>
      <c r="AH507" s="127"/>
    </row>
    <row r="508" spans="1:34" ht="13.2">
      <c r="A508" s="88"/>
      <c r="B508" s="88"/>
      <c r="C508" s="88"/>
      <c r="D508" s="88"/>
      <c r="E508" s="88"/>
      <c r="F508" s="88"/>
      <c r="G508" s="88"/>
      <c r="H508" s="88"/>
      <c r="I508" s="88"/>
      <c r="J508" s="88"/>
      <c r="K508" s="88"/>
      <c r="L508" s="88"/>
      <c r="M508" s="88"/>
      <c r="N508" s="88"/>
      <c r="O508" s="88"/>
      <c r="P508" s="88"/>
      <c r="Q508" s="88"/>
      <c r="R508" s="88"/>
      <c r="S508" s="88"/>
      <c r="T508" s="88"/>
      <c r="U508" s="88"/>
      <c r="V508" s="88"/>
      <c r="W508" s="88"/>
      <c r="X508" s="88"/>
      <c r="Y508" s="88"/>
      <c r="Z508" s="88"/>
      <c r="AA508" s="88"/>
      <c r="AB508" s="128"/>
      <c r="AC508" s="128"/>
      <c r="AD508" s="128"/>
      <c r="AE508" s="128"/>
      <c r="AF508" s="128"/>
      <c r="AG508" s="128"/>
      <c r="AH508" s="127"/>
    </row>
    <row r="509" spans="1:34" ht="13.2">
      <c r="A509" s="88"/>
      <c r="B509" s="88"/>
      <c r="C509" s="88"/>
      <c r="D509" s="88"/>
      <c r="E509" s="88"/>
      <c r="F509" s="88"/>
      <c r="G509" s="88"/>
      <c r="H509" s="88"/>
      <c r="I509" s="88"/>
      <c r="J509" s="88"/>
      <c r="K509" s="88"/>
      <c r="L509" s="88"/>
      <c r="M509" s="88"/>
      <c r="N509" s="88"/>
      <c r="O509" s="88"/>
      <c r="P509" s="88"/>
      <c r="Q509" s="88"/>
      <c r="R509" s="88"/>
      <c r="S509" s="88"/>
      <c r="T509" s="88"/>
      <c r="U509" s="88"/>
      <c r="V509" s="88"/>
      <c r="W509" s="88"/>
      <c r="X509" s="88"/>
      <c r="Y509" s="88"/>
      <c r="Z509" s="88"/>
      <c r="AA509" s="88"/>
      <c r="AB509" s="128"/>
      <c r="AC509" s="128"/>
      <c r="AD509" s="128"/>
      <c r="AE509" s="128"/>
      <c r="AF509" s="128"/>
      <c r="AG509" s="128"/>
      <c r="AH509" s="127"/>
    </row>
    <row r="510" spans="1:34" ht="13.2">
      <c r="A510" s="88"/>
      <c r="B510" s="88"/>
      <c r="C510" s="88"/>
      <c r="D510" s="88"/>
      <c r="E510" s="88"/>
      <c r="F510" s="88"/>
      <c r="G510" s="88"/>
      <c r="H510" s="88"/>
      <c r="I510" s="88"/>
      <c r="J510" s="88"/>
      <c r="K510" s="88"/>
      <c r="L510" s="88"/>
      <c r="M510" s="88"/>
      <c r="N510" s="88"/>
      <c r="O510" s="88"/>
      <c r="P510" s="88"/>
      <c r="Q510" s="88"/>
      <c r="R510" s="88"/>
      <c r="S510" s="88"/>
      <c r="T510" s="88"/>
      <c r="U510" s="88"/>
      <c r="V510" s="88"/>
      <c r="W510" s="88"/>
      <c r="X510" s="88"/>
      <c r="Y510" s="88"/>
      <c r="Z510" s="88"/>
      <c r="AA510" s="88"/>
      <c r="AB510" s="128"/>
      <c r="AC510" s="128"/>
      <c r="AD510" s="128"/>
      <c r="AE510" s="128"/>
      <c r="AF510" s="128"/>
      <c r="AG510" s="128"/>
      <c r="AH510" s="127"/>
    </row>
    <row r="511" spans="1:34" ht="13.2">
      <c r="A511" s="88"/>
      <c r="B511" s="88"/>
      <c r="C511" s="88"/>
      <c r="D511" s="88"/>
      <c r="E511" s="88"/>
      <c r="F511" s="88"/>
      <c r="G511" s="88"/>
      <c r="H511" s="88"/>
      <c r="I511" s="88"/>
      <c r="J511" s="88"/>
      <c r="K511" s="88"/>
      <c r="L511" s="88"/>
      <c r="M511" s="88"/>
      <c r="N511" s="88"/>
      <c r="O511" s="88"/>
      <c r="P511" s="88"/>
      <c r="Q511" s="88"/>
      <c r="R511" s="88"/>
      <c r="S511" s="88"/>
      <c r="T511" s="88"/>
      <c r="U511" s="88"/>
      <c r="V511" s="88"/>
      <c r="W511" s="88"/>
      <c r="X511" s="88"/>
      <c r="Y511" s="88"/>
      <c r="Z511" s="88"/>
      <c r="AA511" s="88"/>
      <c r="AB511" s="128"/>
      <c r="AC511" s="128"/>
      <c r="AD511" s="128"/>
      <c r="AE511" s="128"/>
      <c r="AF511" s="128"/>
      <c r="AG511" s="128"/>
      <c r="AH511" s="127"/>
    </row>
    <row r="512" spans="1:34" ht="13.2">
      <c r="A512" s="88"/>
      <c r="B512" s="88"/>
      <c r="C512" s="88"/>
      <c r="D512" s="88"/>
      <c r="E512" s="88"/>
      <c r="F512" s="88"/>
      <c r="G512" s="88"/>
      <c r="H512" s="88"/>
      <c r="I512" s="88"/>
      <c r="J512" s="88"/>
      <c r="K512" s="88"/>
      <c r="L512" s="88"/>
      <c r="M512" s="88"/>
      <c r="N512" s="88"/>
      <c r="O512" s="88"/>
      <c r="P512" s="88"/>
      <c r="Q512" s="88"/>
      <c r="R512" s="88"/>
      <c r="S512" s="88"/>
      <c r="T512" s="88"/>
      <c r="U512" s="88"/>
      <c r="V512" s="88"/>
      <c r="W512" s="88"/>
      <c r="X512" s="88"/>
      <c r="Y512" s="88"/>
      <c r="Z512" s="88"/>
      <c r="AA512" s="88"/>
      <c r="AB512" s="128"/>
      <c r="AC512" s="128"/>
      <c r="AD512" s="128"/>
      <c r="AE512" s="128"/>
      <c r="AF512" s="128"/>
      <c r="AG512" s="128"/>
      <c r="AH512" s="127"/>
    </row>
    <row r="513" spans="1:34" ht="13.2">
      <c r="A513" s="88"/>
      <c r="B513" s="88"/>
      <c r="C513" s="88"/>
      <c r="D513" s="88"/>
      <c r="E513" s="88"/>
      <c r="F513" s="88"/>
      <c r="G513" s="88"/>
      <c r="H513" s="88"/>
      <c r="I513" s="88"/>
      <c r="J513" s="88"/>
      <c r="K513" s="88"/>
      <c r="L513" s="88"/>
      <c r="M513" s="88"/>
      <c r="N513" s="88"/>
      <c r="O513" s="88"/>
      <c r="P513" s="88"/>
      <c r="Q513" s="88"/>
      <c r="R513" s="88"/>
      <c r="S513" s="88"/>
      <c r="T513" s="88"/>
      <c r="U513" s="88"/>
      <c r="V513" s="88"/>
      <c r="W513" s="88"/>
      <c r="X513" s="88"/>
      <c r="Y513" s="88"/>
      <c r="Z513" s="88"/>
      <c r="AA513" s="88"/>
      <c r="AB513" s="128"/>
      <c r="AC513" s="128"/>
      <c r="AD513" s="128"/>
      <c r="AE513" s="128"/>
      <c r="AF513" s="128"/>
      <c r="AG513" s="128"/>
      <c r="AH513" s="127"/>
    </row>
    <row r="514" spans="1:34" ht="13.2">
      <c r="A514" s="88"/>
      <c r="B514" s="88"/>
      <c r="C514" s="88"/>
      <c r="D514" s="88"/>
      <c r="E514" s="88"/>
      <c r="F514" s="88"/>
      <c r="G514" s="88"/>
      <c r="H514" s="88"/>
      <c r="I514" s="88"/>
      <c r="J514" s="88"/>
      <c r="K514" s="88"/>
      <c r="L514" s="88"/>
      <c r="M514" s="88"/>
      <c r="N514" s="88"/>
      <c r="O514" s="88"/>
      <c r="P514" s="88"/>
      <c r="Q514" s="88"/>
      <c r="R514" s="88"/>
      <c r="S514" s="88"/>
      <c r="T514" s="88"/>
      <c r="U514" s="88"/>
      <c r="V514" s="88"/>
      <c r="W514" s="88"/>
      <c r="X514" s="88"/>
      <c r="Y514" s="88"/>
      <c r="Z514" s="88"/>
      <c r="AA514" s="88"/>
      <c r="AB514" s="128"/>
      <c r="AC514" s="128"/>
      <c r="AD514" s="128"/>
      <c r="AE514" s="128"/>
      <c r="AF514" s="128"/>
      <c r="AG514" s="128"/>
      <c r="AH514" s="127"/>
    </row>
    <row r="515" spans="1:34" ht="13.2">
      <c r="A515" s="88"/>
      <c r="B515" s="88"/>
      <c r="C515" s="88"/>
      <c r="D515" s="88"/>
      <c r="E515" s="88"/>
      <c r="F515" s="88"/>
      <c r="G515" s="88"/>
      <c r="H515" s="88"/>
      <c r="I515" s="88"/>
      <c r="J515" s="88"/>
      <c r="K515" s="88"/>
      <c r="L515" s="88"/>
      <c r="M515" s="88"/>
      <c r="N515" s="88"/>
      <c r="O515" s="88"/>
      <c r="P515" s="88"/>
      <c r="Q515" s="88"/>
      <c r="R515" s="88"/>
      <c r="S515" s="88"/>
      <c r="T515" s="88"/>
      <c r="U515" s="88"/>
      <c r="V515" s="88"/>
      <c r="W515" s="88"/>
      <c r="X515" s="88"/>
      <c r="Y515" s="88"/>
      <c r="Z515" s="88"/>
      <c r="AA515" s="88"/>
      <c r="AB515" s="128"/>
      <c r="AC515" s="128"/>
      <c r="AD515" s="128"/>
      <c r="AE515" s="128"/>
      <c r="AF515" s="128"/>
      <c r="AG515" s="128"/>
      <c r="AH515" s="127"/>
    </row>
    <row r="516" spans="1:34" ht="13.2">
      <c r="A516" s="88"/>
      <c r="B516" s="88"/>
      <c r="C516" s="88"/>
      <c r="D516" s="88"/>
      <c r="E516" s="88"/>
      <c r="F516" s="88"/>
      <c r="G516" s="88"/>
      <c r="H516" s="88"/>
      <c r="I516" s="88"/>
      <c r="J516" s="88"/>
      <c r="K516" s="88"/>
      <c r="L516" s="88"/>
      <c r="M516" s="88"/>
      <c r="N516" s="88"/>
      <c r="O516" s="88"/>
      <c r="P516" s="88"/>
      <c r="Q516" s="88"/>
      <c r="R516" s="88"/>
      <c r="S516" s="88"/>
      <c r="T516" s="88"/>
      <c r="U516" s="88"/>
      <c r="V516" s="88"/>
      <c r="W516" s="88"/>
      <c r="X516" s="88"/>
      <c r="Y516" s="88"/>
      <c r="Z516" s="88"/>
      <c r="AA516" s="88"/>
      <c r="AB516" s="128"/>
      <c r="AC516" s="128"/>
      <c r="AD516" s="128"/>
      <c r="AE516" s="128"/>
      <c r="AF516" s="128"/>
      <c r="AG516" s="128"/>
      <c r="AH516" s="127"/>
    </row>
    <row r="517" spans="1:34" ht="13.2">
      <c r="A517" s="88"/>
      <c r="B517" s="88"/>
      <c r="C517" s="88"/>
      <c r="D517" s="88"/>
      <c r="E517" s="88"/>
      <c r="F517" s="88"/>
      <c r="G517" s="88"/>
      <c r="H517" s="88"/>
      <c r="I517" s="88"/>
      <c r="J517" s="88"/>
      <c r="K517" s="88"/>
      <c r="L517" s="88"/>
      <c r="M517" s="88"/>
      <c r="N517" s="88"/>
      <c r="O517" s="88"/>
      <c r="P517" s="88"/>
      <c r="Q517" s="88"/>
      <c r="R517" s="88"/>
      <c r="S517" s="88"/>
      <c r="T517" s="88"/>
      <c r="U517" s="88"/>
      <c r="V517" s="88"/>
      <c r="W517" s="88"/>
      <c r="X517" s="88"/>
      <c r="Y517" s="88"/>
      <c r="Z517" s="88"/>
      <c r="AA517" s="88"/>
      <c r="AB517" s="128"/>
      <c r="AC517" s="128"/>
      <c r="AD517" s="128"/>
      <c r="AE517" s="128"/>
      <c r="AF517" s="128"/>
      <c r="AG517" s="128"/>
      <c r="AH517" s="127"/>
    </row>
    <row r="518" spans="1:34" ht="13.2">
      <c r="A518" s="88"/>
      <c r="B518" s="88"/>
      <c r="C518" s="88"/>
      <c r="D518" s="88"/>
      <c r="E518" s="88"/>
      <c r="F518" s="88"/>
      <c r="G518" s="88"/>
      <c r="H518" s="88"/>
      <c r="I518" s="88"/>
      <c r="J518" s="88"/>
      <c r="K518" s="88"/>
      <c r="L518" s="88"/>
      <c r="M518" s="88"/>
      <c r="N518" s="88"/>
      <c r="O518" s="88"/>
      <c r="P518" s="88"/>
      <c r="Q518" s="88"/>
      <c r="R518" s="88"/>
      <c r="S518" s="88"/>
      <c r="T518" s="88"/>
      <c r="U518" s="88"/>
      <c r="V518" s="88"/>
      <c r="W518" s="88"/>
      <c r="X518" s="88"/>
      <c r="Y518" s="88"/>
      <c r="Z518" s="88"/>
      <c r="AA518" s="88"/>
      <c r="AB518" s="128"/>
      <c r="AC518" s="128"/>
      <c r="AD518" s="128"/>
      <c r="AE518" s="128"/>
      <c r="AF518" s="128"/>
      <c r="AG518" s="128"/>
      <c r="AH518" s="127"/>
    </row>
    <row r="519" spans="1:34" ht="13.2">
      <c r="A519" s="88"/>
      <c r="B519" s="88"/>
      <c r="C519" s="88"/>
      <c r="D519" s="88"/>
      <c r="E519" s="88"/>
      <c r="F519" s="88"/>
      <c r="G519" s="88"/>
      <c r="H519" s="88"/>
      <c r="I519" s="88"/>
      <c r="J519" s="88"/>
      <c r="K519" s="88"/>
      <c r="L519" s="88"/>
      <c r="M519" s="88"/>
      <c r="N519" s="88"/>
      <c r="O519" s="88"/>
      <c r="P519" s="88"/>
      <c r="Q519" s="88"/>
      <c r="R519" s="88"/>
      <c r="S519" s="88"/>
      <c r="T519" s="88"/>
      <c r="U519" s="88"/>
      <c r="V519" s="88"/>
      <c r="W519" s="88"/>
      <c r="X519" s="88"/>
      <c r="Y519" s="88"/>
      <c r="Z519" s="88"/>
      <c r="AA519" s="88"/>
      <c r="AB519" s="128"/>
      <c r="AC519" s="128"/>
      <c r="AD519" s="128"/>
      <c r="AE519" s="128"/>
      <c r="AF519" s="128"/>
      <c r="AG519" s="128"/>
      <c r="AH519" s="127"/>
    </row>
    <row r="520" spans="1:34" ht="13.2">
      <c r="A520" s="88"/>
      <c r="B520" s="88"/>
      <c r="C520" s="88"/>
      <c r="D520" s="88"/>
      <c r="E520" s="88"/>
      <c r="F520" s="88"/>
      <c r="G520" s="88"/>
      <c r="H520" s="88"/>
      <c r="I520" s="88"/>
      <c r="J520" s="88"/>
      <c r="K520" s="88"/>
      <c r="L520" s="88"/>
      <c r="M520" s="88"/>
      <c r="N520" s="88"/>
      <c r="O520" s="88"/>
      <c r="P520" s="88"/>
      <c r="Q520" s="88"/>
      <c r="R520" s="88"/>
      <c r="S520" s="88"/>
      <c r="T520" s="88"/>
      <c r="U520" s="88"/>
      <c r="V520" s="88"/>
      <c r="W520" s="88"/>
      <c r="X520" s="88"/>
      <c r="Y520" s="88"/>
      <c r="Z520" s="88"/>
      <c r="AA520" s="88"/>
      <c r="AB520" s="128"/>
      <c r="AC520" s="128"/>
      <c r="AD520" s="128"/>
      <c r="AE520" s="128"/>
      <c r="AF520" s="128"/>
      <c r="AG520" s="128"/>
      <c r="AH520" s="127"/>
    </row>
    <row r="521" spans="1:34" ht="13.2">
      <c r="A521" s="88"/>
      <c r="B521" s="88"/>
      <c r="C521" s="88"/>
      <c r="D521" s="88"/>
      <c r="E521" s="88"/>
      <c r="F521" s="88"/>
      <c r="G521" s="88"/>
      <c r="H521" s="88"/>
      <c r="I521" s="88"/>
      <c r="J521" s="88"/>
      <c r="K521" s="88"/>
      <c r="L521" s="88"/>
      <c r="M521" s="88"/>
      <c r="N521" s="88"/>
      <c r="O521" s="88"/>
      <c r="P521" s="88"/>
      <c r="Q521" s="88"/>
      <c r="R521" s="88"/>
      <c r="S521" s="88"/>
      <c r="T521" s="88"/>
      <c r="U521" s="88"/>
      <c r="V521" s="88"/>
      <c r="W521" s="88"/>
      <c r="X521" s="88"/>
      <c r="Y521" s="88"/>
      <c r="Z521" s="88"/>
      <c r="AA521" s="88"/>
      <c r="AB521" s="128"/>
      <c r="AC521" s="128"/>
      <c r="AD521" s="128"/>
      <c r="AE521" s="128"/>
      <c r="AF521" s="128"/>
      <c r="AG521" s="128"/>
      <c r="AH521" s="127"/>
    </row>
    <row r="522" spans="1:34" ht="13.2">
      <c r="A522" s="88"/>
      <c r="B522" s="88"/>
      <c r="C522" s="88"/>
      <c r="D522" s="88"/>
      <c r="E522" s="88"/>
      <c r="F522" s="88"/>
      <c r="G522" s="88"/>
      <c r="H522" s="88"/>
      <c r="I522" s="88"/>
      <c r="J522" s="88"/>
      <c r="K522" s="88"/>
      <c r="L522" s="88"/>
      <c r="M522" s="88"/>
      <c r="N522" s="88"/>
      <c r="O522" s="88"/>
      <c r="P522" s="88"/>
      <c r="Q522" s="88"/>
      <c r="R522" s="88"/>
      <c r="S522" s="88"/>
      <c r="T522" s="88"/>
      <c r="U522" s="88"/>
      <c r="V522" s="88"/>
      <c r="W522" s="88"/>
      <c r="X522" s="88"/>
      <c r="Y522" s="88"/>
      <c r="Z522" s="88"/>
      <c r="AA522" s="88"/>
      <c r="AB522" s="128"/>
      <c r="AC522" s="128"/>
      <c r="AD522" s="128"/>
      <c r="AE522" s="128"/>
      <c r="AF522" s="128"/>
      <c r="AG522" s="128"/>
      <c r="AH522" s="127"/>
    </row>
    <row r="523" spans="1:34" ht="13.2">
      <c r="A523" s="88"/>
      <c r="B523" s="88"/>
      <c r="C523" s="88"/>
      <c r="D523" s="88"/>
      <c r="E523" s="88"/>
      <c r="F523" s="88"/>
      <c r="G523" s="88"/>
      <c r="H523" s="88"/>
      <c r="I523" s="88"/>
      <c r="J523" s="88"/>
      <c r="K523" s="88"/>
      <c r="L523" s="88"/>
      <c r="M523" s="88"/>
      <c r="N523" s="88"/>
      <c r="O523" s="88"/>
      <c r="P523" s="88"/>
      <c r="Q523" s="88"/>
      <c r="R523" s="88"/>
      <c r="S523" s="88"/>
      <c r="T523" s="88"/>
      <c r="U523" s="88"/>
      <c r="V523" s="88"/>
      <c r="W523" s="88"/>
      <c r="X523" s="88"/>
      <c r="Y523" s="88"/>
      <c r="Z523" s="88"/>
      <c r="AA523" s="88"/>
      <c r="AB523" s="128"/>
      <c r="AC523" s="128"/>
      <c r="AD523" s="128"/>
      <c r="AE523" s="128"/>
      <c r="AF523" s="128"/>
      <c r="AG523" s="128"/>
      <c r="AH523" s="127"/>
    </row>
    <row r="524" spans="1:34" ht="13.2">
      <c r="A524" s="88"/>
      <c r="B524" s="88"/>
      <c r="C524" s="88"/>
      <c r="D524" s="88"/>
      <c r="E524" s="88"/>
      <c r="F524" s="88"/>
      <c r="G524" s="88"/>
      <c r="H524" s="88"/>
      <c r="I524" s="88"/>
      <c r="J524" s="88"/>
      <c r="K524" s="88"/>
      <c r="L524" s="88"/>
      <c r="M524" s="88"/>
      <c r="N524" s="88"/>
      <c r="O524" s="88"/>
      <c r="P524" s="88"/>
      <c r="Q524" s="88"/>
      <c r="R524" s="88"/>
      <c r="S524" s="88"/>
      <c r="T524" s="88"/>
      <c r="U524" s="88"/>
      <c r="V524" s="88"/>
      <c r="W524" s="88"/>
      <c r="X524" s="88"/>
      <c r="Y524" s="88"/>
      <c r="Z524" s="88"/>
      <c r="AA524" s="88"/>
      <c r="AB524" s="128"/>
      <c r="AC524" s="128"/>
      <c r="AD524" s="128"/>
      <c r="AE524" s="128"/>
      <c r="AF524" s="128"/>
      <c r="AG524" s="128"/>
      <c r="AH524" s="127"/>
    </row>
    <row r="525" spans="1:34" ht="13.2">
      <c r="A525" s="88"/>
      <c r="B525" s="88"/>
      <c r="C525" s="88"/>
      <c r="D525" s="88"/>
      <c r="E525" s="88"/>
      <c r="F525" s="88"/>
      <c r="G525" s="88"/>
      <c r="H525" s="88"/>
      <c r="I525" s="88"/>
      <c r="J525" s="88"/>
      <c r="K525" s="88"/>
      <c r="L525" s="88"/>
      <c r="M525" s="88"/>
      <c r="N525" s="88"/>
      <c r="O525" s="88"/>
      <c r="P525" s="88"/>
      <c r="Q525" s="88"/>
      <c r="R525" s="88"/>
      <c r="S525" s="88"/>
      <c r="T525" s="88"/>
      <c r="U525" s="88"/>
      <c r="V525" s="88"/>
      <c r="W525" s="88"/>
      <c r="X525" s="88"/>
      <c r="Y525" s="88"/>
      <c r="Z525" s="88"/>
      <c r="AA525" s="88"/>
      <c r="AB525" s="128"/>
      <c r="AC525" s="128"/>
      <c r="AD525" s="128"/>
      <c r="AE525" s="128"/>
      <c r="AF525" s="128"/>
      <c r="AG525" s="128"/>
      <c r="AH525" s="127"/>
    </row>
    <row r="526" spans="1:34" ht="13.2">
      <c r="A526" s="88"/>
      <c r="B526" s="88"/>
      <c r="C526" s="88"/>
      <c r="D526" s="88"/>
      <c r="E526" s="88"/>
      <c r="F526" s="88"/>
      <c r="G526" s="88"/>
      <c r="H526" s="88"/>
      <c r="I526" s="88"/>
      <c r="J526" s="88"/>
      <c r="K526" s="88"/>
      <c r="L526" s="88"/>
      <c r="M526" s="88"/>
      <c r="N526" s="88"/>
      <c r="O526" s="88"/>
      <c r="P526" s="88"/>
      <c r="Q526" s="88"/>
      <c r="R526" s="88"/>
      <c r="S526" s="88"/>
      <c r="T526" s="88"/>
      <c r="U526" s="88"/>
      <c r="V526" s="88"/>
      <c r="W526" s="88"/>
      <c r="X526" s="88"/>
      <c r="Y526" s="88"/>
      <c r="Z526" s="88"/>
      <c r="AA526" s="88"/>
      <c r="AB526" s="128"/>
      <c r="AC526" s="128"/>
      <c r="AD526" s="128"/>
      <c r="AE526" s="128"/>
      <c r="AF526" s="128"/>
      <c r="AG526" s="128"/>
      <c r="AH526" s="127"/>
    </row>
    <row r="527" spans="1:34" ht="13.2">
      <c r="A527" s="88"/>
      <c r="B527" s="88"/>
      <c r="C527" s="88"/>
      <c r="D527" s="88"/>
      <c r="E527" s="88"/>
      <c r="F527" s="88"/>
      <c r="G527" s="88"/>
      <c r="H527" s="88"/>
      <c r="I527" s="88"/>
      <c r="J527" s="88"/>
      <c r="K527" s="88"/>
      <c r="L527" s="88"/>
      <c r="M527" s="88"/>
      <c r="N527" s="88"/>
      <c r="O527" s="88"/>
      <c r="P527" s="88"/>
      <c r="Q527" s="88"/>
      <c r="R527" s="88"/>
      <c r="S527" s="88"/>
      <c r="T527" s="88"/>
      <c r="U527" s="88"/>
      <c r="V527" s="88"/>
      <c r="W527" s="88"/>
      <c r="X527" s="88"/>
      <c r="Y527" s="88"/>
      <c r="Z527" s="88"/>
      <c r="AA527" s="88"/>
      <c r="AB527" s="128"/>
      <c r="AC527" s="128"/>
      <c r="AD527" s="128"/>
      <c r="AE527" s="128"/>
      <c r="AF527" s="128"/>
      <c r="AG527" s="128"/>
      <c r="AH527" s="127"/>
    </row>
    <row r="528" spans="1:34" ht="13.2">
      <c r="A528" s="88"/>
      <c r="B528" s="88"/>
      <c r="C528" s="88"/>
      <c r="D528" s="88"/>
      <c r="E528" s="88"/>
      <c r="F528" s="88"/>
      <c r="G528" s="88"/>
      <c r="H528" s="88"/>
      <c r="I528" s="88"/>
      <c r="J528" s="88"/>
      <c r="K528" s="88"/>
      <c r="L528" s="88"/>
      <c r="M528" s="88"/>
      <c r="N528" s="88"/>
      <c r="O528" s="88"/>
      <c r="P528" s="88"/>
      <c r="Q528" s="88"/>
      <c r="R528" s="88"/>
      <c r="S528" s="88"/>
      <c r="T528" s="88"/>
      <c r="U528" s="88"/>
      <c r="V528" s="88"/>
      <c r="W528" s="88"/>
      <c r="X528" s="88"/>
      <c r="Y528" s="88"/>
      <c r="Z528" s="88"/>
      <c r="AA528" s="88"/>
      <c r="AB528" s="128"/>
      <c r="AC528" s="128"/>
      <c r="AD528" s="128"/>
      <c r="AE528" s="128"/>
      <c r="AF528" s="128"/>
      <c r="AG528" s="128"/>
      <c r="AH528" s="127"/>
    </row>
    <row r="529" spans="1:34" ht="13.2">
      <c r="A529" s="88"/>
      <c r="B529" s="88"/>
      <c r="C529" s="88"/>
      <c r="D529" s="88"/>
      <c r="E529" s="88"/>
      <c r="F529" s="88"/>
      <c r="G529" s="88"/>
      <c r="H529" s="88"/>
      <c r="I529" s="88"/>
      <c r="J529" s="88"/>
      <c r="K529" s="88"/>
      <c r="L529" s="88"/>
      <c r="M529" s="88"/>
      <c r="N529" s="88"/>
      <c r="O529" s="88"/>
      <c r="P529" s="88"/>
      <c r="Q529" s="88"/>
      <c r="R529" s="88"/>
      <c r="S529" s="88"/>
      <c r="T529" s="88"/>
      <c r="U529" s="88"/>
      <c r="V529" s="88"/>
      <c r="W529" s="88"/>
      <c r="X529" s="88"/>
      <c r="Y529" s="88"/>
      <c r="Z529" s="88"/>
      <c r="AA529" s="88"/>
      <c r="AB529" s="128"/>
      <c r="AC529" s="128"/>
      <c r="AD529" s="128"/>
      <c r="AE529" s="128"/>
      <c r="AF529" s="128"/>
      <c r="AG529" s="128"/>
      <c r="AH529" s="127"/>
    </row>
    <row r="530" spans="1:34" ht="13.2">
      <c r="A530" s="88"/>
      <c r="B530" s="88"/>
      <c r="C530" s="88"/>
      <c r="D530" s="88"/>
      <c r="E530" s="88"/>
      <c r="F530" s="88"/>
      <c r="G530" s="88"/>
      <c r="H530" s="88"/>
      <c r="I530" s="88"/>
      <c r="J530" s="88"/>
      <c r="K530" s="88"/>
      <c r="L530" s="88"/>
      <c r="M530" s="88"/>
      <c r="N530" s="88"/>
      <c r="O530" s="88"/>
      <c r="P530" s="88"/>
      <c r="Q530" s="88"/>
      <c r="R530" s="88"/>
      <c r="S530" s="88"/>
      <c r="T530" s="88"/>
      <c r="U530" s="88"/>
      <c r="V530" s="88"/>
      <c r="W530" s="88"/>
      <c r="X530" s="88"/>
      <c r="Y530" s="88"/>
      <c r="Z530" s="88"/>
      <c r="AA530" s="88"/>
      <c r="AB530" s="128"/>
      <c r="AC530" s="128"/>
      <c r="AD530" s="128"/>
      <c r="AE530" s="128"/>
      <c r="AF530" s="128"/>
      <c r="AG530" s="128"/>
      <c r="AH530" s="127"/>
    </row>
    <row r="531" spans="1:34" ht="13.2">
      <c r="A531" s="88"/>
      <c r="B531" s="88"/>
      <c r="C531" s="88"/>
      <c r="D531" s="88"/>
      <c r="E531" s="88"/>
      <c r="F531" s="88"/>
      <c r="G531" s="88"/>
      <c r="H531" s="88"/>
      <c r="I531" s="88"/>
      <c r="J531" s="88"/>
      <c r="K531" s="88"/>
      <c r="L531" s="88"/>
      <c r="M531" s="88"/>
      <c r="N531" s="88"/>
      <c r="O531" s="88"/>
      <c r="P531" s="88"/>
      <c r="Q531" s="88"/>
      <c r="R531" s="88"/>
      <c r="S531" s="88"/>
      <c r="T531" s="88"/>
      <c r="U531" s="88"/>
      <c r="V531" s="88"/>
      <c r="W531" s="88"/>
      <c r="X531" s="88"/>
      <c r="Y531" s="88"/>
      <c r="Z531" s="88"/>
      <c r="AA531" s="88"/>
      <c r="AB531" s="128"/>
      <c r="AC531" s="128"/>
      <c r="AD531" s="128"/>
      <c r="AE531" s="128"/>
      <c r="AF531" s="128"/>
      <c r="AG531" s="128"/>
      <c r="AH531" s="127"/>
    </row>
    <row r="532" spans="1:34" ht="13.2">
      <c r="A532" s="88"/>
      <c r="B532" s="88"/>
      <c r="C532" s="88"/>
      <c r="D532" s="88"/>
      <c r="E532" s="88"/>
      <c r="F532" s="88"/>
      <c r="G532" s="88"/>
      <c r="H532" s="88"/>
      <c r="I532" s="88"/>
      <c r="J532" s="88"/>
      <c r="K532" s="88"/>
      <c r="L532" s="88"/>
      <c r="M532" s="88"/>
      <c r="N532" s="88"/>
      <c r="O532" s="88"/>
      <c r="P532" s="88"/>
      <c r="Q532" s="88"/>
      <c r="R532" s="88"/>
      <c r="S532" s="88"/>
      <c r="T532" s="88"/>
      <c r="U532" s="88"/>
      <c r="V532" s="88"/>
      <c r="W532" s="88"/>
      <c r="X532" s="88"/>
      <c r="Y532" s="88"/>
      <c r="Z532" s="88"/>
      <c r="AA532" s="88"/>
      <c r="AB532" s="128"/>
      <c r="AC532" s="128"/>
      <c r="AD532" s="128"/>
      <c r="AE532" s="128"/>
      <c r="AF532" s="128"/>
      <c r="AG532" s="128"/>
      <c r="AH532" s="127"/>
    </row>
    <row r="533" spans="1:34" ht="13.2">
      <c r="A533" s="88"/>
      <c r="B533" s="88"/>
      <c r="C533" s="88"/>
      <c r="D533" s="88"/>
      <c r="E533" s="88"/>
      <c r="F533" s="88"/>
      <c r="G533" s="88"/>
      <c r="H533" s="88"/>
      <c r="I533" s="88"/>
      <c r="J533" s="88"/>
      <c r="K533" s="88"/>
      <c r="L533" s="88"/>
      <c r="M533" s="88"/>
      <c r="N533" s="88"/>
      <c r="O533" s="88"/>
      <c r="P533" s="88"/>
      <c r="Q533" s="88"/>
      <c r="R533" s="88"/>
      <c r="S533" s="88"/>
      <c r="T533" s="88"/>
      <c r="U533" s="88"/>
      <c r="V533" s="88"/>
      <c r="W533" s="88"/>
      <c r="X533" s="88"/>
      <c r="Y533" s="88"/>
      <c r="Z533" s="88"/>
      <c r="AA533" s="88"/>
      <c r="AB533" s="128"/>
      <c r="AC533" s="128"/>
      <c r="AD533" s="128"/>
      <c r="AE533" s="128"/>
      <c r="AF533" s="128"/>
      <c r="AG533" s="128"/>
      <c r="AH533" s="127"/>
    </row>
    <row r="534" spans="1:34" ht="13.2">
      <c r="A534" s="88"/>
      <c r="B534" s="88"/>
      <c r="C534" s="88"/>
      <c r="D534" s="88"/>
      <c r="E534" s="88"/>
      <c r="F534" s="88"/>
      <c r="G534" s="88"/>
      <c r="H534" s="88"/>
      <c r="I534" s="88"/>
      <c r="J534" s="88"/>
      <c r="K534" s="88"/>
      <c r="L534" s="88"/>
      <c r="M534" s="88"/>
      <c r="N534" s="88"/>
      <c r="O534" s="88"/>
      <c r="P534" s="88"/>
      <c r="Q534" s="88"/>
      <c r="R534" s="88"/>
      <c r="S534" s="88"/>
      <c r="T534" s="88"/>
      <c r="U534" s="88"/>
      <c r="V534" s="88"/>
      <c r="W534" s="88"/>
      <c r="X534" s="88"/>
      <c r="Y534" s="88"/>
      <c r="Z534" s="88"/>
      <c r="AA534" s="88"/>
      <c r="AB534" s="128"/>
      <c r="AC534" s="128"/>
      <c r="AD534" s="128"/>
      <c r="AE534" s="128"/>
      <c r="AF534" s="128"/>
      <c r="AG534" s="128"/>
      <c r="AH534" s="127"/>
    </row>
    <row r="535" spans="1:34" ht="13.2">
      <c r="A535" s="88"/>
      <c r="B535" s="88"/>
      <c r="C535" s="88"/>
      <c r="D535" s="88"/>
      <c r="E535" s="88"/>
      <c r="F535" s="88"/>
      <c r="G535" s="88"/>
      <c r="H535" s="88"/>
      <c r="I535" s="88"/>
      <c r="J535" s="88"/>
      <c r="K535" s="88"/>
      <c r="L535" s="88"/>
      <c r="M535" s="88"/>
      <c r="N535" s="88"/>
      <c r="O535" s="88"/>
      <c r="P535" s="88"/>
      <c r="Q535" s="88"/>
      <c r="R535" s="88"/>
      <c r="S535" s="88"/>
      <c r="T535" s="88"/>
      <c r="U535" s="88"/>
      <c r="V535" s="88"/>
      <c r="W535" s="88"/>
      <c r="X535" s="88"/>
      <c r="Y535" s="88"/>
      <c r="Z535" s="88"/>
      <c r="AA535" s="88"/>
      <c r="AB535" s="128"/>
      <c r="AC535" s="128"/>
      <c r="AD535" s="128"/>
      <c r="AE535" s="128"/>
      <c r="AF535" s="128"/>
      <c r="AG535" s="128"/>
      <c r="AH535" s="127"/>
    </row>
    <row r="536" spans="1:34" ht="13.2">
      <c r="A536" s="88"/>
      <c r="B536" s="88"/>
      <c r="C536" s="88"/>
      <c r="D536" s="88"/>
      <c r="E536" s="88"/>
      <c r="F536" s="88"/>
      <c r="G536" s="88"/>
      <c r="H536" s="88"/>
      <c r="I536" s="88"/>
      <c r="J536" s="88"/>
      <c r="K536" s="88"/>
      <c r="L536" s="88"/>
      <c r="M536" s="88"/>
      <c r="N536" s="88"/>
      <c r="O536" s="88"/>
      <c r="P536" s="88"/>
      <c r="Q536" s="88"/>
      <c r="R536" s="88"/>
      <c r="S536" s="88"/>
      <c r="T536" s="88"/>
      <c r="U536" s="88"/>
      <c r="V536" s="88"/>
      <c r="W536" s="88"/>
      <c r="X536" s="88"/>
      <c r="Y536" s="88"/>
      <c r="Z536" s="88"/>
      <c r="AA536" s="88"/>
      <c r="AB536" s="128"/>
      <c r="AC536" s="128"/>
      <c r="AD536" s="128"/>
      <c r="AE536" s="128"/>
      <c r="AF536" s="128"/>
      <c r="AG536" s="128"/>
      <c r="AH536" s="127"/>
    </row>
    <row r="537" spans="1:34" ht="13.2">
      <c r="A537" s="88"/>
      <c r="B537" s="88"/>
      <c r="C537" s="88"/>
      <c r="D537" s="88"/>
      <c r="E537" s="88"/>
      <c r="F537" s="88"/>
      <c r="G537" s="88"/>
      <c r="H537" s="88"/>
      <c r="I537" s="88"/>
      <c r="J537" s="88"/>
      <c r="K537" s="88"/>
      <c r="L537" s="88"/>
      <c r="M537" s="88"/>
      <c r="N537" s="88"/>
      <c r="O537" s="88"/>
      <c r="P537" s="88"/>
      <c r="Q537" s="88"/>
      <c r="R537" s="88"/>
      <c r="S537" s="88"/>
      <c r="T537" s="88"/>
      <c r="U537" s="88"/>
      <c r="V537" s="88"/>
      <c r="W537" s="88"/>
      <c r="X537" s="88"/>
      <c r="Y537" s="88"/>
      <c r="Z537" s="88"/>
      <c r="AA537" s="88"/>
      <c r="AB537" s="128"/>
      <c r="AC537" s="128"/>
      <c r="AD537" s="128"/>
      <c r="AE537" s="128"/>
      <c r="AF537" s="128"/>
      <c r="AG537" s="128"/>
      <c r="AH537" s="127"/>
    </row>
    <row r="538" spans="1:34" ht="13.2">
      <c r="A538" s="88"/>
      <c r="B538" s="88"/>
      <c r="C538" s="88"/>
      <c r="D538" s="88"/>
      <c r="E538" s="88"/>
      <c r="F538" s="88"/>
      <c r="G538" s="88"/>
      <c r="H538" s="88"/>
      <c r="I538" s="88"/>
      <c r="J538" s="88"/>
      <c r="K538" s="88"/>
      <c r="L538" s="88"/>
      <c r="M538" s="88"/>
      <c r="N538" s="88"/>
      <c r="O538" s="88"/>
      <c r="P538" s="88"/>
      <c r="Q538" s="88"/>
      <c r="R538" s="88"/>
      <c r="S538" s="88"/>
      <c r="T538" s="88"/>
      <c r="U538" s="88"/>
      <c r="V538" s="88"/>
      <c r="W538" s="88"/>
      <c r="X538" s="88"/>
      <c r="Y538" s="88"/>
      <c r="Z538" s="88"/>
      <c r="AA538" s="88"/>
      <c r="AB538" s="128"/>
      <c r="AC538" s="128"/>
      <c r="AD538" s="128"/>
      <c r="AE538" s="128"/>
      <c r="AF538" s="128"/>
      <c r="AG538" s="128"/>
      <c r="AH538" s="127"/>
    </row>
    <row r="539" spans="1:34" ht="13.2">
      <c r="A539" s="88"/>
      <c r="B539" s="88"/>
      <c r="C539" s="88"/>
      <c r="D539" s="88"/>
      <c r="E539" s="88"/>
      <c r="F539" s="88"/>
      <c r="G539" s="88"/>
      <c r="H539" s="88"/>
      <c r="I539" s="88"/>
      <c r="J539" s="88"/>
      <c r="K539" s="88"/>
      <c r="L539" s="88"/>
      <c r="M539" s="88"/>
      <c r="N539" s="88"/>
      <c r="O539" s="88"/>
      <c r="P539" s="88"/>
      <c r="Q539" s="88"/>
      <c r="R539" s="88"/>
      <c r="S539" s="88"/>
      <c r="T539" s="88"/>
      <c r="U539" s="88"/>
      <c r="V539" s="88"/>
      <c r="W539" s="88"/>
      <c r="X539" s="88"/>
      <c r="Y539" s="88"/>
      <c r="Z539" s="88"/>
      <c r="AA539" s="88"/>
      <c r="AB539" s="128"/>
      <c r="AC539" s="128"/>
      <c r="AD539" s="128"/>
      <c r="AE539" s="128"/>
      <c r="AF539" s="128"/>
      <c r="AG539" s="128"/>
      <c r="AH539" s="127"/>
    </row>
    <row r="540" spans="1:34" ht="13.2">
      <c r="A540" s="88"/>
      <c r="B540" s="88"/>
      <c r="C540" s="88"/>
      <c r="D540" s="88"/>
      <c r="E540" s="88"/>
      <c r="F540" s="88"/>
      <c r="G540" s="88"/>
      <c r="H540" s="88"/>
      <c r="I540" s="88"/>
      <c r="J540" s="88"/>
      <c r="K540" s="88"/>
      <c r="L540" s="88"/>
      <c r="M540" s="88"/>
      <c r="N540" s="88"/>
      <c r="O540" s="88"/>
      <c r="P540" s="88"/>
      <c r="Q540" s="88"/>
      <c r="R540" s="88"/>
      <c r="S540" s="88"/>
      <c r="T540" s="88"/>
      <c r="U540" s="88"/>
      <c r="V540" s="88"/>
      <c r="W540" s="88"/>
      <c r="X540" s="88"/>
      <c r="Y540" s="88"/>
      <c r="Z540" s="88"/>
      <c r="AA540" s="88"/>
      <c r="AB540" s="128"/>
      <c r="AC540" s="128"/>
      <c r="AD540" s="128"/>
      <c r="AE540" s="128"/>
      <c r="AF540" s="128"/>
      <c r="AG540" s="128"/>
      <c r="AH540" s="127"/>
    </row>
    <row r="541" spans="1:34" ht="13.2">
      <c r="A541" s="88"/>
      <c r="B541" s="88"/>
      <c r="C541" s="88"/>
      <c r="D541" s="88"/>
      <c r="E541" s="88"/>
      <c r="F541" s="88"/>
      <c r="G541" s="88"/>
      <c r="H541" s="88"/>
      <c r="I541" s="88"/>
      <c r="J541" s="88"/>
      <c r="K541" s="88"/>
      <c r="L541" s="88"/>
      <c r="M541" s="88"/>
      <c r="N541" s="88"/>
      <c r="O541" s="88"/>
      <c r="P541" s="88"/>
      <c r="Q541" s="88"/>
      <c r="R541" s="88"/>
      <c r="S541" s="88"/>
      <c r="T541" s="88"/>
      <c r="U541" s="88"/>
      <c r="V541" s="88"/>
      <c r="W541" s="88"/>
      <c r="X541" s="88"/>
      <c r="Y541" s="88"/>
      <c r="Z541" s="88"/>
      <c r="AA541" s="88"/>
      <c r="AB541" s="128"/>
      <c r="AC541" s="128"/>
      <c r="AD541" s="128"/>
      <c r="AE541" s="128"/>
      <c r="AF541" s="128"/>
      <c r="AG541" s="128"/>
      <c r="AH541" s="127"/>
    </row>
    <row r="542" spans="1:34" ht="13.2">
      <c r="A542" s="88"/>
      <c r="B542" s="88"/>
      <c r="C542" s="88"/>
      <c r="D542" s="88"/>
      <c r="E542" s="88"/>
      <c r="F542" s="88"/>
      <c r="G542" s="88"/>
      <c r="H542" s="88"/>
      <c r="I542" s="88"/>
      <c r="J542" s="88"/>
      <c r="K542" s="88"/>
      <c r="L542" s="88"/>
      <c r="M542" s="88"/>
      <c r="N542" s="88"/>
      <c r="O542" s="88"/>
      <c r="P542" s="88"/>
      <c r="Q542" s="88"/>
      <c r="R542" s="88"/>
      <c r="S542" s="88"/>
      <c r="T542" s="88"/>
      <c r="U542" s="88"/>
      <c r="V542" s="88"/>
      <c r="W542" s="88"/>
      <c r="X542" s="88"/>
      <c r="Y542" s="88"/>
      <c r="Z542" s="88"/>
      <c r="AA542" s="88"/>
      <c r="AB542" s="128"/>
      <c r="AC542" s="128"/>
      <c r="AD542" s="128"/>
      <c r="AE542" s="128"/>
      <c r="AF542" s="128"/>
      <c r="AG542" s="128"/>
      <c r="AH542" s="127"/>
    </row>
    <row r="543" spans="1:34" ht="13.2">
      <c r="A543" s="88"/>
      <c r="B543" s="88"/>
      <c r="C543" s="88"/>
      <c r="D543" s="88"/>
      <c r="E543" s="88"/>
      <c r="F543" s="88"/>
      <c r="G543" s="88"/>
      <c r="H543" s="88"/>
      <c r="I543" s="88"/>
      <c r="J543" s="88"/>
      <c r="K543" s="88"/>
      <c r="L543" s="88"/>
      <c r="M543" s="88"/>
      <c r="N543" s="88"/>
      <c r="O543" s="88"/>
      <c r="P543" s="88"/>
      <c r="Q543" s="88"/>
      <c r="R543" s="88"/>
      <c r="S543" s="88"/>
      <c r="T543" s="88"/>
      <c r="U543" s="88"/>
      <c r="V543" s="88"/>
      <c r="W543" s="88"/>
      <c r="X543" s="88"/>
      <c r="Y543" s="88"/>
      <c r="Z543" s="88"/>
      <c r="AA543" s="88"/>
      <c r="AB543" s="128"/>
      <c r="AC543" s="128"/>
      <c r="AD543" s="128"/>
      <c r="AE543" s="128"/>
      <c r="AF543" s="128"/>
      <c r="AG543" s="128"/>
      <c r="AH543" s="127"/>
    </row>
    <row r="544" spans="1:34" ht="13.2">
      <c r="A544" s="88"/>
      <c r="B544" s="88"/>
      <c r="C544" s="88"/>
      <c r="D544" s="88"/>
      <c r="E544" s="88"/>
      <c r="F544" s="88"/>
      <c r="G544" s="88"/>
      <c r="H544" s="88"/>
      <c r="I544" s="88"/>
      <c r="J544" s="88"/>
      <c r="K544" s="88"/>
      <c r="L544" s="88"/>
      <c r="M544" s="88"/>
      <c r="N544" s="88"/>
      <c r="O544" s="88"/>
      <c r="P544" s="88"/>
      <c r="Q544" s="88"/>
      <c r="R544" s="88"/>
      <c r="S544" s="88"/>
      <c r="T544" s="88"/>
      <c r="U544" s="88"/>
      <c r="V544" s="88"/>
      <c r="W544" s="88"/>
      <c r="X544" s="88"/>
      <c r="Y544" s="88"/>
      <c r="Z544" s="88"/>
      <c r="AA544" s="88"/>
      <c r="AB544" s="128"/>
      <c r="AC544" s="128"/>
      <c r="AD544" s="128"/>
      <c r="AE544" s="128"/>
      <c r="AF544" s="128"/>
      <c r="AG544" s="128"/>
      <c r="AH544" s="127"/>
    </row>
    <row r="545" spans="1:34" ht="13.2">
      <c r="A545" s="88"/>
      <c r="B545" s="88"/>
      <c r="C545" s="88"/>
      <c r="D545" s="88"/>
      <c r="E545" s="88"/>
      <c r="F545" s="88"/>
      <c r="G545" s="88"/>
      <c r="H545" s="88"/>
      <c r="I545" s="88"/>
      <c r="J545" s="88"/>
      <c r="K545" s="88"/>
      <c r="L545" s="88"/>
      <c r="M545" s="88"/>
      <c r="N545" s="88"/>
      <c r="O545" s="88"/>
      <c r="P545" s="88"/>
      <c r="Q545" s="88"/>
      <c r="R545" s="88"/>
      <c r="S545" s="88"/>
      <c r="T545" s="88"/>
      <c r="U545" s="88"/>
      <c r="V545" s="88"/>
      <c r="W545" s="88"/>
      <c r="X545" s="88"/>
      <c r="Y545" s="88"/>
      <c r="Z545" s="88"/>
      <c r="AA545" s="88"/>
      <c r="AB545" s="128"/>
      <c r="AC545" s="128"/>
      <c r="AD545" s="128"/>
      <c r="AE545" s="128"/>
      <c r="AF545" s="128"/>
      <c r="AG545" s="128"/>
      <c r="AH545" s="127"/>
    </row>
    <row r="546" spans="1:34" ht="13.2">
      <c r="A546" s="88"/>
      <c r="B546" s="88"/>
      <c r="C546" s="88"/>
      <c r="D546" s="88"/>
      <c r="E546" s="88"/>
      <c r="F546" s="88"/>
      <c r="G546" s="88"/>
      <c r="H546" s="88"/>
      <c r="I546" s="88"/>
      <c r="J546" s="88"/>
      <c r="K546" s="88"/>
      <c r="L546" s="88"/>
      <c r="M546" s="88"/>
      <c r="N546" s="88"/>
      <c r="O546" s="88"/>
      <c r="P546" s="88"/>
      <c r="Q546" s="88"/>
      <c r="R546" s="88"/>
      <c r="S546" s="88"/>
      <c r="T546" s="88"/>
      <c r="U546" s="88"/>
      <c r="V546" s="88"/>
      <c r="W546" s="88"/>
      <c r="X546" s="88"/>
      <c r="Y546" s="88"/>
      <c r="Z546" s="88"/>
      <c r="AA546" s="88"/>
      <c r="AB546" s="128"/>
      <c r="AC546" s="128"/>
      <c r="AD546" s="128"/>
      <c r="AE546" s="128"/>
      <c r="AF546" s="128"/>
      <c r="AG546" s="128"/>
      <c r="AH546" s="127"/>
    </row>
    <row r="547" spans="1:34" ht="13.2">
      <c r="A547" s="88"/>
      <c r="B547" s="88"/>
      <c r="C547" s="88"/>
      <c r="D547" s="88"/>
      <c r="E547" s="88"/>
      <c r="F547" s="88"/>
      <c r="G547" s="88"/>
      <c r="H547" s="88"/>
      <c r="I547" s="88"/>
      <c r="J547" s="88"/>
      <c r="K547" s="88"/>
      <c r="L547" s="88"/>
      <c r="M547" s="88"/>
      <c r="N547" s="88"/>
      <c r="O547" s="88"/>
      <c r="P547" s="88"/>
      <c r="Q547" s="88"/>
      <c r="R547" s="88"/>
      <c r="S547" s="88"/>
      <c r="T547" s="88"/>
      <c r="U547" s="88"/>
      <c r="V547" s="88"/>
      <c r="W547" s="88"/>
      <c r="X547" s="88"/>
      <c r="Y547" s="88"/>
      <c r="Z547" s="88"/>
      <c r="AA547" s="88"/>
      <c r="AB547" s="128"/>
      <c r="AC547" s="128"/>
      <c r="AD547" s="128"/>
      <c r="AE547" s="128"/>
      <c r="AF547" s="128"/>
      <c r="AG547" s="128"/>
      <c r="AH547" s="127"/>
    </row>
    <row r="548" spans="1:34" ht="13.2">
      <c r="A548" s="88"/>
      <c r="B548" s="88"/>
      <c r="C548" s="88"/>
      <c r="D548" s="88"/>
      <c r="E548" s="88"/>
      <c r="F548" s="88"/>
      <c r="G548" s="88"/>
      <c r="H548" s="88"/>
      <c r="I548" s="88"/>
      <c r="J548" s="88"/>
      <c r="K548" s="88"/>
      <c r="L548" s="88"/>
      <c r="M548" s="88"/>
      <c r="N548" s="88"/>
      <c r="O548" s="88"/>
      <c r="P548" s="88"/>
      <c r="Q548" s="88"/>
      <c r="R548" s="88"/>
      <c r="S548" s="88"/>
      <c r="T548" s="88"/>
      <c r="U548" s="88"/>
      <c r="V548" s="88"/>
      <c r="W548" s="88"/>
      <c r="X548" s="88"/>
      <c r="Y548" s="88"/>
      <c r="Z548" s="88"/>
      <c r="AA548" s="88"/>
      <c r="AB548" s="128"/>
      <c r="AC548" s="128"/>
      <c r="AD548" s="128"/>
      <c r="AE548" s="128"/>
      <c r="AF548" s="128"/>
      <c r="AG548" s="128"/>
      <c r="AH548" s="127"/>
    </row>
    <row r="549" spans="1:34" ht="13.2">
      <c r="A549" s="88"/>
      <c r="B549" s="88"/>
      <c r="C549" s="88"/>
      <c r="D549" s="88"/>
      <c r="E549" s="88"/>
      <c r="F549" s="88"/>
      <c r="G549" s="88"/>
      <c r="H549" s="88"/>
      <c r="I549" s="88"/>
      <c r="J549" s="88"/>
      <c r="K549" s="88"/>
      <c r="L549" s="88"/>
      <c r="M549" s="88"/>
      <c r="N549" s="88"/>
      <c r="O549" s="88"/>
      <c r="P549" s="88"/>
      <c r="Q549" s="88"/>
      <c r="R549" s="88"/>
      <c r="S549" s="88"/>
      <c r="T549" s="88"/>
      <c r="U549" s="88"/>
      <c r="V549" s="88"/>
      <c r="W549" s="88"/>
      <c r="X549" s="88"/>
      <c r="Y549" s="88"/>
      <c r="Z549" s="88"/>
      <c r="AA549" s="88"/>
      <c r="AB549" s="128"/>
      <c r="AC549" s="128"/>
      <c r="AD549" s="128"/>
      <c r="AE549" s="128"/>
      <c r="AF549" s="128"/>
      <c r="AG549" s="128"/>
      <c r="AH549" s="127"/>
    </row>
    <row r="550" spans="1:34" ht="13.2">
      <c r="A550" s="88"/>
      <c r="B550" s="88"/>
      <c r="C550" s="88"/>
      <c r="D550" s="88"/>
      <c r="E550" s="88"/>
      <c r="F550" s="88"/>
      <c r="G550" s="88"/>
      <c r="H550" s="88"/>
      <c r="I550" s="88"/>
      <c r="J550" s="88"/>
      <c r="K550" s="88"/>
      <c r="L550" s="88"/>
      <c r="M550" s="88"/>
      <c r="N550" s="88"/>
      <c r="O550" s="88"/>
      <c r="P550" s="88"/>
      <c r="Q550" s="88"/>
      <c r="R550" s="88"/>
      <c r="S550" s="88"/>
      <c r="T550" s="88"/>
      <c r="U550" s="88"/>
      <c r="V550" s="88"/>
      <c r="W550" s="88"/>
      <c r="X550" s="88"/>
      <c r="Y550" s="88"/>
      <c r="Z550" s="88"/>
      <c r="AA550" s="88"/>
      <c r="AB550" s="128"/>
      <c r="AC550" s="128"/>
      <c r="AD550" s="128"/>
      <c r="AE550" s="128"/>
      <c r="AF550" s="128"/>
      <c r="AG550" s="128"/>
      <c r="AH550" s="127"/>
    </row>
    <row r="551" spans="1:34" ht="13.2">
      <c r="A551" s="88"/>
      <c r="B551" s="88"/>
      <c r="C551" s="88"/>
      <c r="D551" s="88"/>
      <c r="E551" s="88"/>
      <c r="F551" s="88"/>
      <c r="G551" s="88"/>
      <c r="H551" s="88"/>
      <c r="I551" s="88"/>
      <c r="J551" s="88"/>
      <c r="K551" s="88"/>
      <c r="L551" s="88"/>
      <c r="M551" s="88"/>
      <c r="N551" s="88"/>
      <c r="O551" s="88"/>
      <c r="P551" s="88"/>
      <c r="Q551" s="88"/>
      <c r="R551" s="88"/>
      <c r="S551" s="88"/>
      <c r="T551" s="88"/>
      <c r="U551" s="88"/>
      <c r="V551" s="88"/>
      <c r="W551" s="88"/>
      <c r="X551" s="88"/>
      <c r="Y551" s="88"/>
      <c r="Z551" s="88"/>
      <c r="AA551" s="88"/>
      <c r="AB551" s="128"/>
      <c r="AC551" s="128"/>
      <c r="AD551" s="128"/>
      <c r="AE551" s="128"/>
      <c r="AF551" s="128"/>
      <c r="AG551" s="128"/>
      <c r="AH551" s="127"/>
    </row>
    <row r="552" spans="1:34" ht="13.2">
      <c r="A552" s="88"/>
      <c r="B552" s="88"/>
      <c r="C552" s="88"/>
      <c r="D552" s="88"/>
      <c r="E552" s="88"/>
      <c r="F552" s="88"/>
      <c r="G552" s="88"/>
      <c r="H552" s="88"/>
      <c r="I552" s="88"/>
      <c r="J552" s="88"/>
      <c r="K552" s="88"/>
      <c r="L552" s="88"/>
      <c r="M552" s="88"/>
      <c r="N552" s="88"/>
      <c r="O552" s="88"/>
      <c r="P552" s="88"/>
      <c r="Q552" s="88"/>
      <c r="R552" s="88"/>
      <c r="S552" s="88"/>
      <c r="T552" s="88"/>
      <c r="U552" s="88"/>
      <c r="V552" s="88"/>
      <c r="W552" s="88"/>
      <c r="X552" s="88"/>
      <c r="Y552" s="88"/>
      <c r="Z552" s="88"/>
      <c r="AA552" s="88"/>
      <c r="AB552" s="128"/>
      <c r="AC552" s="128"/>
      <c r="AD552" s="128"/>
      <c r="AE552" s="128"/>
      <c r="AF552" s="128"/>
      <c r="AG552" s="128"/>
      <c r="AH552" s="127"/>
    </row>
    <row r="553" spans="1:34" ht="13.2">
      <c r="A553" s="88"/>
      <c r="B553" s="88"/>
      <c r="C553" s="88"/>
      <c r="D553" s="88"/>
      <c r="E553" s="88"/>
      <c r="F553" s="88"/>
      <c r="G553" s="88"/>
      <c r="H553" s="88"/>
      <c r="I553" s="88"/>
      <c r="J553" s="88"/>
      <c r="K553" s="88"/>
      <c r="L553" s="88"/>
      <c r="M553" s="88"/>
      <c r="N553" s="88"/>
      <c r="O553" s="88"/>
      <c r="P553" s="88"/>
      <c r="Q553" s="88"/>
      <c r="R553" s="88"/>
      <c r="S553" s="88"/>
      <c r="T553" s="88"/>
      <c r="U553" s="88"/>
      <c r="V553" s="88"/>
      <c r="W553" s="88"/>
      <c r="X553" s="88"/>
      <c r="Y553" s="88"/>
      <c r="Z553" s="88"/>
      <c r="AA553" s="88"/>
      <c r="AB553" s="128"/>
      <c r="AC553" s="128"/>
      <c r="AD553" s="128"/>
      <c r="AE553" s="128"/>
      <c r="AF553" s="128"/>
      <c r="AG553" s="128"/>
      <c r="AH553" s="127"/>
    </row>
    <row r="554" spans="1:34" ht="13.2">
      <c r="A554" s="88"/>
      <c r="B554" s="88"/>
      <c r="C554" s="88"/>
      <c r="D554" s="88"/>
      <c r="E554" s="88"/>
      <c r="F554" s="88"/>
      <c r="G554" s="88"/>
      <c r="H554" s="88"/>
      <c r="I554" s="88"/>
      <c r="J554" s="88"/>
      <c r="K554" s="88"/>
      <c r="L554" s="88"/>
      <c r="M554" s="88"/>
      <c r="N554" s="88"/>
      <c r="O554" s="88"/>
      <c r="P554" s="88"/>
      <c r="Q554" s="88"/>
      <c r="R554" s="88"/>
      <c r="S554" s="88"/>
      <c r="T554" s="88"/>
      <c r="U554" s="88"/>
      <c r="V554" s="88"/>
      <c r="W554" s="88"/>
      <c r="X554" s="88"/>
      <c r="Y554" s="88"/>
      <c r="Z554" s="88"/>
      <c r="AA554" s="88"/>
      <c r="AB554" s="128"/>
      <c r="AC554" s="128"/>
      <c r="AD554" s="128"/>
      <c r="AE554" s="128"/>
      <c r="AF554" s="128"/>
      <c r="AG554" s="128"/>
      <c r="AH554" s="127"/>
    </row>
    <row r="555" spans="1:34" ht="13.2">
      <c r="A555" s="88"/>
      <c r="B555" s="88"/>
      <c r="C555" s="88"/>
      <c r="D555" s="88"/>
      <c r="E555" s="88"/>
      <c r="F555" s="88"/>
      <c r="G555" s="88"/>
      <c r="H555" s="88"/>
      <c r="I555" s="88"/>
      <c r="J555" s="88"/>
      <c r="K555" s="88"/>
      <c r="L555" s="88"/>
      <c r="M555" s="88"/>
      <c r="N555" s="88"/>
      <c r="O555" s="88"/>
      <c r="P555" s="88"/>
      <c r="Q555" s="88"/>
      <c r="R555" s="88"/>
      <c r="S555" s="88"/>
      <c r="T555" s="88"/>
      <c r="U555" s="88"/>
      <c r="V555" s="88"/>
      <c r="W555" s="88"/>
      <c r="X555" s="88"/>
      <c r="Y555" s="88"/>
      <c r="Z555" s="88"/>
      <c r="AA555" s="88"/>
      <c r="AB555" s="128"/>
      <c r="AC555" s="128"/>
      <c r="AD555" s="128"/>
      <c r="AE555" s="128"/>
      <c r="AF555" s="128"/>
      <c r="AG555" s="128"/>
      <c r="AH555" s="127"/>
    </row>
    <row r="556" spans="1:34" ht="13.2">
      <c r="A556" s="88"/>
      <c r="B556" s="88"/>
      <c r="C556" s="88"/>
      <c r="D556" s="88"/>
      <c r="E556" s="88"/>
      <c r="F556" s="88"/>
      <c r="G556" s="88"/>
      <c r="H556" s="88"/>
      <c r="I556" s="88"/>
      <c r="J556" s="88"/>
      <c r="K556" s="88"/>
      <c r="L556" s="88"/>
      <c r="M556" s="88"/>
      <c r="N556" s="88"/>
      <c r="O556" s="88"/>
      <c r="P556" s="88"/>
      <c r="Q556" s="88"/>
      <c r="R556" s="88"/>
      <c r="S556" s="88"/>
      <c r="T556" s="88"/>
      <c r="U556" s="88"/>
      <c r="V556" s="88"/>
      <c r="W556" s="88"/>
      <c r="X556" s="88"/>
      <c r="Y556" s="88"/>
      <c r="Z556" s="88"/>
      <c r="AA556" s="88"/>
      <c r="AB556" s="128"/>
      <c r="AC556" s="128"/>
      <c r="AD556" s="128"/>
      <c r="AE556" s="128"/>
      <c r="AF556" s="128"/>
      <c r="AG556" s="128"/>
      <c r="AH556" s="127"/>
    </row>
    <row r="557" spans="1:34" ht="13.2">
      <c r="A557" s="88"/>
      <c r="B557" s="88"/>
      <c r="C557" s="88"/>
      <c r="D557" s="88"/>
      <c r="E557" s="88"/>
      <c r="F557" s="88"/>
      <c r="G557" s="88"/>
      <c r="H557" s="88"/>
      <c r="I557" s="88"/>
      <c r="J557" s="88"/>
      <c r="K557" s="88"/>
      <c r="L557" s="88"/>
      <c r="M557" s="88"/>
      <c r="N557" s="88"/>
      <c r="O557" s="88"/>
      <c r="P557" s="88"/>
      <c r="Q557" s="88"/>
      <c r="R557" s="88"/>
      <c r="S557" s="88"/>
      <c r="T557" s="88"/>
      <c r="U557" s="88"/>
      <c r="V557" s="88"/>
      <c r="W557" s="88"/>
      <c r="X557" s="88"/>
      <c r="Y557" s="88"/>
      <c r="Z557" s="88"/>
      <c r="AA557" s="88"/>
      <c r="AB557" s="128"/>
      <c r="AC557" s="128"/>
      <c r="AD557" s="128"/>
      <c r="AE557" s="128"/>
      <c r="AF557" s="128"/>
      <c r="AG557" s="128"/>
      <c r="AH557" s="127"/>
    </row>
    <row r="558" spans="1:34" ht="13.2">
      <c r="A558" s="88"/>
      <c r="B558" s="88"/>
      <c r="C558" s="88"/>
      <c r="D558" s="88"/>
      <c r="E558" s="88"/>
      <c r="F558" s="88"/>
      <c r="G558" s="88"/>
      <c r="H558" s="88"/>
      <c r="I558" s="88"/>
      <c r="J558" s="88"/>
      <c r="K558" s="88"/>
      <c r="L558" s="88"/>
      <c r="M558" s="88"/>
      <c r="N558" s="88"/>
      <c r="O558" s="88"/>
      <c r="P558" s="88"/>
      <c r="Q558" s="88"/>
      <c r="R558" s="88"/>
      <c r="S558" s="88"/>
      <c r="T558" s="88"/>
      <c r="U558" s="88"/>
      <c r="V558" s="88"/>
      <c r="W558" s="88"/>
      <c r="X558" s="88"/>
      <c r="Y558" s="88"/>
      <c r="Z558" s="88"/>
      <c r="AA558" s="88"/>
      <c r="AB558" s="128"/>
      <c r="AC558" s="128"/>
      <c r="AD558" s="128"/>
      <c r="AE558" s="128"/>
      <c r="AF558" s="128"/>
      <c r="AG558" s="128"/>
      <c r="AH558" s="127"/>
    </row>
    <row r="559" spans="1:34" ht="13.2">
      <c r="A559" s="88"/>
      <c r="B559" s="88"/>
      <c r="C559" s="88"/>
      <c r="D559" s="88"/>
      <c r="E559" s="88"/>
      <c r="F559" s="88"/>
      <c r="G559" s="88"/>
      <c r="H559" s="88"/>
      <c r="I559" s="88"/>
      <c r="J559" s="88"/>
      <c r="K559" s="88"/>
      <c r="L559" s="88"/>
      <c r="M559" s="88"/>
      <c r="N559" s="88"/>
      <c r="O559" s="88"/>
      <c r="P559" s="88"/>
      <c r="Q559" s="88"/>
      <c r="R559" s="88"/>
      <c r="S559" s="88"/>
      <c r="T559" s="88"/>
      <c r="U559" s="88"/>
      <c r="V559" s="88"/>
      <c r="W559" s="88"/>
      <c r="X559" s="88"/>
      <c r="Y559" s="88"/>
      <c r="Z559" s="88"/>
      <c r="AA559" s="88"/>
      <c r="AB559" s="128"/>
      <c r="AC559" s="128"/>
      <c r="AD559" s="128"/>
      <c r="AE559" s="128"/>
      <c r="AF559" s="128"/>
      <c r="AG559" s="128"/>
      <c r="AH559" s="127"/>
    </row>
    <row r="560" spans="1:34" ht="13.2">
      <c r="A560" s="88"/>
      <c r="B560" s="88"/>
      <c r="C560" s="88"/>
      <c r="D560" s="88"/>
      <c r="E560" s="88"/>
      <c r="F560" s="88"/>
      <c r="G560" s="88"/>
      <c r="H560" s="88"/>
      <c r="I560" s="88"/>
      <c r="J560" s="88"/>
      <c r="K560" s="88"/>
      <c r="L560" s="88"/>
      <c r="M560" s="88"/>
      <c r="N560" s="88"/>
      <c r="O560" s="88"/>
      <c r="P560" s="88"/>
      <c r="Q560" s="88"/>
      <c r="R560" s="88"/>
      <c r="S560" s="88"/>
      <c r="T560" s="88"/>
      <c r="U560" s="88"/>
      <c r="V560" s="88"/>
      <c r="W560" s="88"/>
      <c r="X560" s="88"/>
      <c r="Y560" s="88"/>
      <c r="Z560" s="88"/>
      <c r="AA560" s="88"/>
      <c r="AB560" s="128"/>
      <c r="AC560" s="128"/>
      <c r="AD560" s="128"/>
      <c r="AE560" s="128"/>
      <c r="AF560" s="128"/>
      <c r="AG560" s="128"/>
      <c r="AH560" s="127"/>
    </row>
    <row r="561" spans="1:34" ht="13.2">
      <c r="A561" s="88"/>
      <c r="B561" s="88"/>
      <c r="C561" s="88"/>
      <c r="D561" s="88"/>
      <c r="E561" s="88"/>
      <c r="F561" s="88"/>
      <c r="G561" s="88"/>
      <c r="H561" s="88"/>
      <c r="I561" s="88"/>
      <c r="J561" s="88"/>
      <c r="K561" s="88"/>
      <c r="L561" s="88"/>
      <c r="M561" s="88"/>
      <c r="N561" s="88"/>
      <c r="O561" s="88"/>
      <c r="P561" s="88"/>
      <c r="Q561" s="88"/>
      <c r="R561" s="88"/>
      <c r="S561" s="88"/>
      <c r="T561" s="88"/>
      <c r="U561" s="88"/>
      <c r="V561" s="88"/>
      <c r="W561" s="88"/>
      <c r="X561" s="88"/>
      <c r="Y561" s="88"/>
      <c r="Z561" s="88"/>
      <c r="AA561" s="88"/>
      <c r="AB561" s="128"/>
      <c r="AC561" s="128"/>
      <c r="AD561" s="128"/>
      <c r="AE561" s="128"/>
      <c r="AF561" s="128"/>
      <c r="AG561" s="128"/>
      <c r="AH561" s="127"/>
    </row>
    <row r="562" spans="1:34" ht="13.2">
      <c r="A562" s="88"/>
      <c r="B562" s="88"/>
      <c r="C562" s="88"/>
      <c r="D562" s="88"/>
      <c r="E562" s="88"/>
      <c r="F562" s="88"/>
      <c r="G562" s="88"/>
      <c r="H562" s="88"/>
      <c r="I562" s="88"/>
      <c r="J562" s="88"/>
      <c r="K562" s="88"/>
      <c r="L562" s="88"/>
      <c r="M562" s="88"/>
      <c r="N562" s="88"/>
      <c r="O562" s="88"/>
      <c r="P562" s="88"/>
      <c r="Q562" s="88"/>
      <c r="R562" s="88"/>
      <c r="S562" s="88"/>
      <c r="T562" s="88"/>
      <c r="U562" s="88"/>
      <c r="V562" s="88"/>
      <c r="W562" s="88"/>
      <c r="X562" s="88"/>
      <c r="Y562" s="88"/>
      <c r="Z562" s="88"/>
      <c r="AA562" s="88"/>
      <c r="AB562" s="128"/>
      <c r="AC562" s="128"/>
      <c r="AD562" s="128"/>
      <c r="AE562" s="128"/>
      <c r="AF562" s="128"/>
      <c r="AG562" s="128"/>
      <c r="AH562" s="127"/>
    </row>
    <row r="563" spans="1:34" ht="13.2">
      <c r="A563" s="88"/>
      <c r="B563" s="88"/>
      <c r="C563" s="88"/>
      <c r="D563" s="88"/>
      <c r="E563" s="88"/>
      <c r="F563" s="88"/>
      <c r="G563" s="88"/>
      <c r="H563" s="88"/>
      <c r="I563" s="88"/>
      <c r="J563" s="88"/>
      <c r="K563" s="88"/>
      <c r="L563" s="88"/>
      <c r="M563" s="88"/>
      <c r="N563" s="88"/>
      <c r="O563" s="88"/>
      <c r="P563" s="88"/>
      <c r="Q563" s="88"/>
      <c r="R563" s="88"/>
      <c r="S563" s="88"/>
      <c r="T563" s="88"/>
      <c r="U563" s="88"/>
      <c r="V563" s="88"/>
      <c r="W563" s="88"/>
      <c r="X563" s="88"/>
      <c r="Y563" s="88"/>
      <c r="Z563" s="88"/>
      <c r="AA563" s="88"/>
      <c r="AB563" s="128"/>
      <c r="AC563" s="128"/>
      <c r="AD563" s="128"/>
      <c r="AE563" s="128"/>
      <c r="AF563" s="128"/>
      <c r="AG563" s="128"/>
      <c r="AH563" s="127"/>
    </row>
    <row r="564" spans="1:34" ht="13.2">
      <c r="A564" s="88"/>
      <c r="B564" s="88"/>
      <c r="C564" s="88"/>
      <c r="D564" s="88"/>
      <c r="E564" s="88"/>
      <c r="F564" s="88"/>
      <c r="G564" s="88"/>
      <c r="H564" s="88"/>
      <c r="I564" s="88"/>
      <c r="J564" s="88"/>
      <c r="K564" s="88"/>
      <c r="L564" s="88"/>
      <c r="M564" s="88"/>
      <c r="N564" s="88"/>
      <c r="O564" s="88"/>
      <c r="P564" s="88"/>
      <c r="Q564" s="88"/>
      <c r="R564" s="88"/>
      <c r="S564" s="88"/>
      <c r="T564" s="88"/>
      <c r="U564" s="88"/>
      <c r="V564" s="88"/>
      <c r="W564" s="88"/>
      <c r="X564" s="88"/>
      <c r="Y564" s="88"/>
      <c r="Z564" s="88"/>
      <c r="AA564" s="88"/>
      <c r="AB564" s="128"/>
      <c r="AC564" s="128"/>
      <c r="AD564" s="128"/>
      <c r="AE564" s="128"/>
      <c r="AF564" s="128"/>
      <c r="AG564" s="128"/>
      <c r="AH564" s="127"/>
    </row>
    <row r="565" spans="1:34" ht="13.2">
      <c r="A565" s="88"/>
      <c r="B565" s="88"/>
      <c r="C565" s="88"/>
      <c r="D565" s="88"/>
      <c r="E565" s="88"/>
      <c r="F565" s="88"/>
      <c r="G565" s="88"/>
      <c r="H565" s="88"/>
      <c r="I565" s="88"/>
      <c r="J565" s="88"/>
      <c r="K565" s="88"/>
      <c r="L565" s="88"/>
      <c r="M565" s="88"/>
      <c r="N565" s="88"/>
      <c r="O565" s="88"/>
      <c r="P565" s="88"/>
      <c r="Q565" s="88"/>
      <c r="R565" s="88"/>
      <c r="S565" s="88"/>
      <c r="T565" s="88"/>
      <c r="U565" s="88"/>
      <c r="V565" s="88"/>
      <c r="W565" s="88"/>
      <c r="X565" s="88"/>
      <c r="Y565" s="88"/>
      <c r="Z565" s="88"/>
      <c r="AA565" s="88"/>
      <c r="AB565" s="128"/>
      <c r="AC565" s="128"/>
      <c r="AD565" s="128"/>
      <c r="AE565" s="128"/>
      <c r="AF565" s="128"/>
      <c r="AG565" s="128"/>
      <c r="AH565" s="127"/>
    </row>
    <row r="566" spans="1:34" ht="13.2">
      <c r="A566" s="88"/>
      <c r="B566" s="88"/>
      <c r="C566" s="88"/>
      <c r="D566" s="88"/>
      <c r="E566" s="88"/>
      <c r="F566" s="88"/>
      <c r="G566" s="88"/>
      <c r="H566" s="88"/>
      <c r="I566" s="88"/>
      <c r="J566" s="88"/>
      <c r="K566" s="88"/>
      <c r="L566" s="88"/>
      <c r="M566" s="88"/>
      <c r="N566" s="88"/>
      <c r="O566" s="88"/>
      <c r="P566" s="88"/>
      <c r="Q566" s="88"/>
      <c r="R566" s="88"/>
      <c r="S566" s="88"/>
      <c r="T566" s="88"/>
      <c r="U566" s="88"/>
      <c r="V566" s="88"/>
      <c r="W566" s="88"/>
      <c r="X566" s="88"/>
      <c r="Y566" s="88"/>
      <c r="Z566" s="88"/>
      <c r="AA566" s="88"/>
      <c r="AB566" s="128"/>
      <c r="AC566" s="128"/>
      <c r="AD566" s="128"/>
      <c r="AE566" s="128"/>
      <c r="AF566" s="128"/>
      <c r="AG566" s="128"/>
      <c r="AH566" s="127"/>
    </row>
    <row r="567" spans="1:34" ht="13.2">
      <c r="A567" s="88"/>
      <c r="B567" s="88"/>
      <c r="C567" s="88"/>
      <c r="D567" s="88"/>
      <c r="E567" s="88"/>
      <c r="F567" s="88"/>
      <c r="G567" s="88"/>
      <c r="H567" s="88"/>
      <c r="I567" s="88"/>
      <c r="J567" s="88"/>
      <c r="K567" s="88"/>
      <c r="L567" s="88"/>
      <c r="M567" s="88"/>
      <c r="N567" s="88"/>
      <c r="O567" s="88"/>
      <c r="P567" s="88"/>
      <c r="Q567" s="88"/>
      <c r="R567" s="88"/>
      <c r="S567" s="88"/>
      <c r="T567" s="88"/>
      <c r="U567" s="88"/>
      <c r="V567" s="88"/>
      <c r="W567" s="88"/>
      <c r="X567" s="88"/>
      <c r="Y567" s="88"/>
      <c r="Z567" s="88"/>
      <c r="AA567" s="88"/>
      <c r="AB567" s="128"/>
      <c r="AC567" s="128"/>
      <c r="AD567" s="128"/>
      <c r="AE567" s="128"/>
      <c r="AF567" s="128"/>
      <c r="AG567" s="128"/>
      <c r="AH567" s="127"/>
    </row>
    <row r="568" spans="1:34" ht="13.2">
      <c r="A568" s="88"/>
      <c r="B568" s="88"/>
      <c r="C568" s="88"/>
      <c r="D568" s="88"/>
      <c r="E568" s="88"/>
      <c r="F568" s="88"/>
      <c r="G568" s="88"/>
      <c r="H568" s="88"/>
      <c r="I568" s="88"/>
      <c r="J568" s="88"/>
      <c r="K568" s="88"/>
      <c r="L568" s="88"/>
      <c r="M568" s="88"/>
      <c r="N568" s="88"/>
      <c r="O568" s="88"/>
      <c r="P568" s="88"/>
      <c r="Q568" s="88"/>
      <c r="R568" s="88"/>
      <c r="S568" s="88"/>
      <c r="T568" s="88"/>
      <c r="U568" s="88"/>
      <c r="V568" s="88"/>
      <c r="W568" s="88"/>
      <c r="X568" s="88"/>
      <c r="Y568" s="88"/>
      <c r="Z568" s="88"/>
      <c r="AA568" s="88"/>
      <c r="AB568" s="128"/>
      <c r="AC568" s="128"/>
      <c r="AD568" s="128"/>
      <c r="AE568" s="128"/>
      <c r="AF568" s="128"/>
      <c r="AG568" s="128"/>
      <c r="AH568" s="127"/>
    </row>
    <row r="569" spans="1:34" ht="13.2">
      <c r="A569" s="88"/>
      <c r="B569" s="88"/>
      <c r="C569" s="88"/>
      <c r="D569" s="88"/>
      <c r="E569" s="88"/>
      <c r="F569" s="88"/>
      <c r="G569" s="88"/>
      <c r="H569" s="88"/>
      <c r="I569" s="88"/>
      <c r="J569" s="88"/>
      <c r="K569" s="88"/>
      <c r="L569" s="88"/>
      <c r="M569" s="88"/>
      <c r="N569" s="88"/>
      <c r="O569" s="88"/>
      <c r="P569" s="88"/>
      <c r="Q569" s="88"/>
      <c r="R569" s="88"/>
      <c r="S569" s="88"/>
      <c r="T569" s="88"/>
      <c r="U569" s="88"/>
      <c r="V569" s="88"/>
      <c r="W569" s="88"/>
      <c r="X569" s="88"/>
      <c r="Y569" s="88"/>
      <c r="Z569" s="88"/>
      <c r="AA569" s="88"/>
      <c r="AB569" s="128"/>
      <c r="AC569" s="128"/>
      <c r="AD569" s="128"/>
      <c r="AE569" s="128"/>
      <c r="AF569" s="128"/>
      <c r="AG569" s="128"/>
      <c r="AH569" s="127"/>
    </row>
    <row r="570" spans="1:34" ht="13.2">
      <c r="A570" s="88"/>
      <c r="B570" s="88"/>
      <c r="C570" s="88"/>
      <c r="D570" s="88"/>
      <c r="E570" s="88"/>
      <c r="F570" s="88"/>
      <c r="G570" s="88"/>
      <c r="H570" s="88"/>
      <c r="I570" s="88"/>
      <c r="J570" s="88"/>
      <c r="K570" s="88"/>
      <c r="L570" s="88"/>
      <c r="M570" s="88"/>
      <c r="N570" s="88"/>
      <c r="O570" s="88"/>
      <c r="P570" s="88"/>
      <c r="Q570" s="88"/>
      <c r="R570" s="88"/>
      <c r="S570" s="88"/>
      <c r="T570" s="88"/>
      <c r="U570" s="88"/>
      <c r="V570" s="88"/>
      <c r="W570" s="88"/>
      <c r="X570" s="88"/>
      <c r="Y570" s="88"/>
      <c r="Z570" s="88"/>
      <c r="AA570" s="88"/>
      <c r="AB570" s="128"/>
      <c r="AC570" s="128"/>
      <c r="AD570" s="128"/>
      <c r="AE570" s="128"/>
      <c r="AF570" s="128"/>
      <c r="AG570" s="128"/>
      <c r="AH570" s="127"/>
    </row>
    <row r="571" spans="1:34" ht="13.2">
      <c r="A571" s="88"/>
      <c r="B571" s="88"/>
      <c r="C571" s="88"/>
      <c r="D571" s="88"/>
      <c r="E571" s="88"/>
      <c r="F571" s="88"/>
      <c r="G571" s="88"/>
      <c r="H571" s="88"/>
      <c r="I571" s="88"/>
      <c r="J571" s="88"/>
      <c r="K571" s="88"/>
      <c r="L571" s="88"/>
      <c r="M571" s="88"/>
      <c r="N571" s="88"/>
      <c r="O571" s="88"/>
      <c r="P571" s="88"/>
      <c r="Q571" s="88"/>
      <c r="R571" s="88"/>
      <c r="S571" s="88"/>
      <c r="T571" s="88"/>
      <c r="U571" s="88"/>
      <c r="V571" s="88"/>
      <c r="W571" s="88"/>
      <c r="X571" s="88"/>
      <c r="Y571" s="88"/>
      <c r="Z571" s="88"/>
      <c r="AA571" s="88"/>
      <c r="AB571" s="128"/>
      <c r="AC571" s="128"/>
      <c r="AD571" s="128"/>
      <c r="AE571" s="128"/>
      <c r="AF571" s="128"/>
      <c r="AG571" s="128"/>
      <c r="AH571" s="127"/>
    </row>
    <row r="572" spans="1:34" ht="13.2">
      <c r="A572" s="88"/>
      <c r="B572" s="88"/>
      <c r="C572" s="88"/>
      <c r="D572" s="88"/>
      <c r="E572" s="88"/>
      <c r="F572" s="88"/>
      <c r="G572" s="88"/>
      <c r="H572" s="88"/>
      <c r="I572" s="88"/>
      <c r="J572" s="88"/>
      <c r="K572" s="88"/>
      <c r="L572" s="88"/>
      <c r="M572" s="88"/>
      <c r="N572" s="88"/>
      <c r="O572" s="88"/>
      <c r="P572" s="88"/>
      <c r="Q572" s="88"/>
      <c r="R572" s="88"/>
      <c r="S572" s="88"/>
      <c r="T572" s="88"/>
      <c r="U572" s="88"/>
      <c r="V572" s="88"/>
      <c r="W572" s="88"/>
      <c r="X572" s="88"/>
      <c r="Y572" s="88"/>
      <c r="Z572" s="88"/>
      <c r="AA572" s="88"/>
      <c r="AB572" s="128"/>
      <c r="AC572" s="128"/>
      <c r="AD572" s="128"/>
      <c r="AE572" s="128"/>
      <c r="AF572" s="128"/>
      <c r="AG572" s="128"/>
      <c r="AH572" s="127"/>
    </row>
    <row r="573" spans="1:34" ht="13.2">
      <c r="A573" s="88"/>
      <c r="B573" s="88"/>
      <c r="C573" s="88"/>
      <c r="D573" s="88"/>
      <c r="E573" s="88"/>
      <c r="F573" s="88"/>
      <c r="G573" s="88"/>
      <c r="H573" s="88"/>
      <c r="I573" s="88"/>
      <c r="J573" s="88"/>
      <c r="K573" s="88"/>
      <c r="L573" s="88"/>
      <c r="M573" s="88"/>
      <c r="N573" s="88"/>
      <c r="O573" s="88"/>
      <c r="P573" s="88"/>
      <c r="Q573" s="88"/>
      <c r="R573" s="88"/>
      <c r="S573" s="88"/>
      <c r="T573" s="88"/>
      <c r="U573" s="88"/>
      <c r="V573" s="88"/>
      <c r="W573" s="88"/>
      <c r="X573" s="88"/>
      <c r="Y573" s="88"/>
      <c r="Z573" s="88"/>
      <c r="AA573" s="88"/>
      <c r="AB573" s="128"/>
      <c r="AC573" s="128"/>
      <c r="AD573" s="128"/>
      <c r="AE573" s="128"/>
      <c r="AF573" s="128"/>
      <c r="AG573" s="128"/>
      <c r="AH573" s="127"/>
    </row>
    <row r="574" spans="1:34" ht="13.2">
      <c r="A574" s="88"/>
      <c r="B574" s="88"/>
      <c r="C574" s="88"/>
      <c r="D574" s="88"/>
      <c r="E574" s="88"/>
      <c r="F574" s="88"/>
      <c r="G574" s="88"/>
      <c r="H574" s="88"/>
      <c r="I574" s="88"/>
      <c r="J574" s="88"/>
      <c r="K574" s="88"/>
      <c r="L574" s="88"/>
      <c r="M574" s="88"/>
      <c r="N574" s="88"/>
      <c r="O574" s="88"/>
      <c r="P574" s="88"/>
      <c r="Q574" s="88"/>
      <c r="R574" s="88"/>
      <c r="S574" s="88"/>
      <c r="T574" s="88"/>
      <c r="U574" s="88"/>
      <c r="V574" s="88"/>
      <c r="W574" s="88"/>
      <c r="X574" s="88"/>
      <c r="Y574" s="88"/>
      <c r="Z574" s="88"/>
      <c r="AA574" s="88"/>
      <c r="AB574" s="128"/>
      <c r="AC574" s="128"/>
      <c r="AD574" s="128"/>
      <c r="AE574" s="128"/>
      <c r="AF574" s="128"/>
      <c r="AG574" s="128"/>
      <c r="AH574" s="127"/>
    </row>
    <row r="575" spans="1:34" ht="13.2">
      <c r="A575" s="88"/>
      <c r="B575" s="88"/>
      <c r="C575" s="88"/>
      <c r="D575" s="88"/>
      <c r="E575" s="88"/>
      <c r="F575" s="88"/>
      <c r="G575" s="88"/>
      <c r="H575" s="88"/>
      <c r="I575" s="88"/>
      <c r="J575" s="88"/>
      <c r="K575" s="88"/>
      <c r="L575" s="88"/>
      <c r="M575" s="88"/>
      <c r="N575" s="88"/>
      <c r="O575" s="88"/>
      <c r="P575" s="88"/>
      <c r="Q575" s="88"/>
      <c r="R575" s="88"/>
      <c r="S575" s="88"/>
      <c r="T575" s="88"/>
      <c r="U575" s="88"/>
      <c r="V575" s="88"/>
      <c r="W575" s="88"/>
      <c r="X575" s="88"/>
      <c r="Y575" s="88"/>
      <c r="Z575" s="88"/>
      <c r="AA575" s="88"/>
      <c r="AB575" s="128"/>
      <c r="AC575" s="128"/>
      <c r="AD575" s="128"/>
      <c r="AE575" s="128"/>
      <c r="AF575" s="128"/>
      <c r="AG575" s="128"/>
      <c r="AH575" s="127"/>
    </row>
    <row r="576" spans="1:34" ht="13.2">
      <c r="A576" s="88"/>
      <c r="B576" s="88"/>
      <c r="C576" s="88"/>
      <c r="D576" s="88"/>
      <c r="E576" s="88"/>
      <c r="F576" s="88"/>
      <c r="G576" s="88"/>
      <c r="H576" s="88"/>
      <c r="I576" s="88"/>
      <c r="J576" s="88"/>
      <c r="K576" s="88"/>
      <c r="L576" s="88"/>
      <c r="M576" s="88"/>
      <c r="N576" s="88"/>
      <c r="O576" s="88"/>
      <c r="P576" s="88"/>
      <c r="Q576" s="88"/>
      <c r="R576" s="88"/>
      <c r="S576" s="88"/>
      <c r="T576" s="88"/>
      <c r="U576" s="88"/>
      <c r="V576" s="88"/>
      <c r="W576" s="88"/>
      <c r="X576" s="88"/>
      <c r="Y576" s="88"/>
      <c r="Z576" s="88"/>
      <c r="AA576" s="88"/>
      <c r="AB576" s="128"/>
      <c r="AC576" s="128"/>
      <c r="AD576" s="128"/>
      <c r="AE576" s="128"/>
      <c r="AF576" s="128"/>
      <c r="AG576" s="128"/>
      <c r="AH576" s="127"/>
    </row>
    <row r="577" spans="1:34" ht="13.2">
      <c r="A577" s="88"/>
      <c r="B577" s="88"/>
      <c r="C577" s="88"/>
      <c r="D577" s="88"/>
      <c r="E577" s="88"/>
      <c r="F577" s="88"/>
      <c r="G577" s="88"/>
      <c r="H577" s="88"/>
      <c r="I577" s="88"/>
      <c r="J577" s="88"/>
      <c r="K577" s="88"/>
      <c r="L577" s="88"/>
      <c r="M577" s="88"/>
      <c r="N577" s="88"/>
      <c r="O577" s="88"/>
      <c r="P577" s="88"/>
      <c r="Q577" s="88"/>
      <c r="R577" s="88"/>
      <c r="S577" s="88"/>
      <c r="T577" s="88"/>
      <c r="U577" s="88"/>
      <c r="V577" s="88"/>
      <c r="W577" s="88"/>
      <c r="X577" s="88"/>
      <c r="Y577" s="88"/>
      <c r="Z577" s="88"/>
      <c r="AA577" s="88"/>
      <c r="AB577" s="128"/>
      <c r="AC577" s="128"/>
      <c r="AD577" s="128"/>
      <c r="AE577" s="128"/>
      <c r="AF577" s="128"/>
      <c r="AG577" s="128"/>
      <c r="AH577" s="127"/>
    </row>
    <row r="578" spans="1:34" ht="13.2">
      <c r="A578" s="88"/>
      <c r="B578" s="88"/>
      <c r="C578" s="88"/>
      <c r="D578" s="88"/>
      <c r="E578" s="88"/>
      <c r="F578" s="88"/>
      <c r="G578" s="88"/>
      <c r="H578" s="88"/>
      <c r="I578" s="88"/>
      <c r="J578" s="88"/>
      <c r="K578" s="88"/>
      <c r="L578" s="88"/>
      <c r="M578" s="88"/>
      <c r="N578" s="88"/>
      <c r="O578" s="88"/>
      <c r="P578" s="88"/>
      <c r="Q578" s="88"/>
      <c r="R578" s="88"/>
      <c r="S578" s="88"/>
      <c r="T578" s="88"/>
      <c r="U578" s="88"/>
      <c r="V578" s="88"/>
      <c r="W578" s="88"/>
      <c r="X578" s="88"/>
      <c r="Y578" s="88"/>
      <c r="Z578" s="88"/>
      <c r="AA578" s="88"/>
      <c r="AB578" s="128"/>
      <c r="AC578" s="128"/>
      <c r="AD578" s="128"/>
      <c r="AE578" s="128"/>
      <c r="AF578" s="128"/>
      <c r="AG578" s="128"/>
      <c r="AH578" s="127"/>
    </row>
    <row r="579" spans="1:34" ht="13.2">
      <c r="A579" s="88"/>
      <c r="B579" s="88"/>
      <c r="C579" s="88"/>
      <c r="D579" s="88"/>
      <c r="E579" s="88"/>
      <c r="F579" s="88"/>
      <c r="G579" s="88"/>
      <c r="H579" s="88"/>
      <c r="I579" s="88"/>
      <c r="J579" s="88"/>
      <c r="K579" s="88"/>
      <c r="L579" s="88"/>
      <c r="M579" s="88"/>
      <c r="N579" s="88"/>
      <c r="O579" s="88"/>
      <c r="P579" s="88"/>
      <c r="Q579" s="88"/>
      <c r="R579" s="88"/>
      <c r="S579" s="88"/>
      <c r="T579" s="88"/>
      <c r="U579" s="88"/>
      <c r="V579" s="88"/>
      <c r="W579" s="88"/>
      <c r="X579" s="88"/>
      <c r="Y579" s="88"/>
      <c r="Z579" s="88"/>
      <c r="AA579" s="88"/>
      <c r="AB579" s="128"/>
      <c r="AC579" s="128"/>
      <c r="AD579" s="128"/>
      <c r="AE579" s="128"/>
      <c r="AF579" s="128"/>
      <c r="AG579" s="128"/>
      <c r="AH579" s="127"/>
    </row>
    <row r="580" spans="1:34" ht="13.2">
      <c r="A580" s="88"/>
      <c r="B580" s="88"/>
      <c r="C580" s="88"/>
      <c r="D580" s="88"/>
      <c r="E580" s="88"/>
      <c r="F580" s="88"/>
      <c r="G580" s="88"/>
      <c r="H580" s="88"/>
      <c r="I580" s="88"/>
      <c r="J580" s="88"/>
      <c r="K580" s="88"/>
      <c r="L580" s="88"/>
      <c r="M580" s="88"/>
      <c r="N580" s="88"/>
      <c r="O580" s="88"/>
      <c r="P580" s="88"/>
      <c r="Q580" s="88"/>
      <c r="R580" s="88"/>
      <c r="S580" s="88"/>
      <c r="T580" s="88"/>
      <c r="U580" s="88"/>
      <c r="V580" s="88"/>
      <c r="W580" s="88"/>
      <c r="X580" s="88"/>
      <c r="Y580" s="88"/>
      <c r="Z580" s="88"/>
      <c r="AA580" s="88"/>
      <c r="AB580" s="128"/>
      <c r="AC580" s="128"/>
      <c r="AD580" s="128"/>
      <c r="AE580" s="128"/>
      <c r="AF580" s="128"/>
      <c r="AG580" s="128"/>
      <c r="AH580" s="127"/>
    </row>
    <row r="581" spans="1:34" ht="13.2">
      <c r="A581" s="88"/>
      <c r="B581" s="88"/>
      <c r="C581" s="88"/>
      <c r="D581" s="88"/>
      <c r="E581" s="88"/>
      <c r="F581" s="88"/>
      <c r="G581" s="88"/>
      <c r="H581" s="88"/>
      <c r="I581" s="88"/>
      <c r="J581" s="88"/>
      <c r="K581" s="88"/>
      <c r="L581" s="88"/>
      <c r="M581" s="88"/>
      <c r="N581" s="88"/>
      <c r="O581" s="88"/>
      <c r="P581" s="88"/>
      <c r="Q581" s="88"/>
      <c r="R581" s="88"/>
      <c r="S581" s="88"/>
      <c r="T581" s="88"/>
      <c r="U581" s="88"/>
      <c r="V581" s="88"/>
      <c r="W581" s="88"/>
      <c r="X581" s="88"/>
      <c r="Y581" s="88"/>
      <c r="Z581" s="88"/>
      <c r="AA581" s="88"/>
      <c r="AB581" s="128"/>
      <c r="AC581" s="128"/>
      <c r="AD581" s="128"/>
      <c r="AE581" s="128"/>
      <c r="AF581" s="128"/>
      <c r="AG581" s="128"/>
      <c r="AH581" s="127"/>
    </row>
    <row r="582" spans="1:34" ht="13.2">
      <c r="A582" s="88"/>
      <c r="B582" s="88"/>
      <c r="C582" s="88"/>
      <c r="D582" s="88"/>
      <c r="E582" s="88"/>
      <c r="F582" s="88"/>
      <c r="G582" s="88"/>
      <c r="H582" s="88"/>
      <c r="I582" s="88"/>
      <c r="J582" s="88"/>
      <c r="K582" s="88"/>
      <c r="L582" s="88"/>
      <c r="M582" s="88"/>
      <c r="N582" s="88"/>
      <c r="O582" s="88"/>
      <c r="P582" s="88"/>
      <c r="Q582" s="88"/>
      <c r="R582" s="88"/>
      <c r="S582" s="88"/>
      <c r="T582" s="88"/>
      <c r="U582" s="88"/>
      <c r="V582" s="88"/>
      <c r="W582" s="88"/>
      <c r="X582" s="88"/>
      <c r="Y582" s="88"/>
      <c r="Z582" s="88"/>
      <c r="AA582" s="88"/>
      <c r="AB582" s="128"/>
      <c r="AC582" s="128"/>
      <c r="AD582" s="128"/>
      <c r="AE582" s="128"/>
      <c r="AF582" s="128"/>
      <c r="AG582" s="128"/>
      <c r="AH582" s="127"/>
    </row>
    <row r="583" spans="1:34" ht="13.2">
      <c r="A583" s="88"/>
      <c r="B583" s="88"/>
      <c r="C583" s="88"/>
      <c r="D583" s="88"/>
      <c r="E583" s="88"/>
      <c r="F583" s="88"/>
      <c r="G583" s="88"/>
      <c r="H583" s="88"/>
      <c r="I583" s="88"/>
      <c r="J583" s="88"/>
      <c r="K583" s="88"/>
      <c r="L583" s="88"/>
      <c r="M583" s="88"/>
      <c r="N583" s="88"/>
      <c r="O583" s="88"/>
      <c r="P583" s="88"/>
      <c r="Q583" s="88"/>
      <c r="R583" s="88"/>
      <c r="S583" s="88"/>
      <c r="T583" s="88"/>
      <c r="U583" s="88"/>
      <c r="V583" s="88"/>
      <c r="W583" s="88"/>
      <c r="X583" s="88"/>
      <c r="Y583" s="88"/>
      <c r="Z583" s="88"/>
      <c r="AA583" s="88"/>
      <c r="AB583" s="128"/>
      <c r="AC583" s="128"/>
      <c r="AD583" s="128"/>
      <c r="AE583" s="128"/>
      <c r="AF583" s="128"/>
      <c r="AG583" s="128"/>
      <c r="AH583" s="127"/>
    </row>
    <row r="584" spans="1:34" ht="13.2">
      <c r="A584" s="88"/>
      <c r="B584" s="88"/>
      <c r="C584" s="88"/>
      <c r="D584" s="88"/>
      <c r="E584" s="88"/>
      <c r="F584" s="88"/>
      <c r="G584" s="88"/>
      <c r="H584" s="88"/>
      <c r="I584" s="88"/>
      <c r="J584" s="88"/>
      <c r="K584" s="88"/>
      <c r="L584" s="88"/>
      <c r="M584" s="88"/>
      <c r="N584" s="88"/>
      <c r="O584" s="88"/>
      <c r="P584" s="88"/>
      <c r="Q584" s="88"/>
      <c r="R584" s="88"/>
      <c r="S584" s="88"/>
      <c r="T584" s="88"/>
      <c r="U584" s="88"/>
      <c r="V584" s="88"/>
      <c r="W584" s="88"/>
      <c r="X584" s="88"/>
      <c r="Y584" s="88"/>
      <c r="Z584" s="88"/>
      <c r="AA584" s="88"/>
      <c r="AB584" s="128"/>
      <c r="AC584" s="128"/>
      <c r="AD584" s="128"/>
      <c r="AE584" s="128"/>
      <c r="AF584" s="128"/>
      <c r="AG584" s="128"/>
      <c r="AH584" s="127"/>
    </row>
    <row r="585" spans="1:34" ht="13.2">
      <c r="A585" s="88"/>
      <c r="B585" s="88"/>
      <c r="C585" s="88"/>
      <c r="D585" s="88"/>
      <c r="E585" s="88"/>
      <c r="F585" s="88"/>
      <c r="G585" s="88"/>
      <c r="H585" s="88"/>
      <c r="I585" s="88"/>
      <c r="J585" s="88"/>
      <c r="K585" s="88"/>
      <c r="L585" s="88"/>
      <c r="M585" s="88"/>
      <c r="N585" s="88"/>
      <c r="O585" s="88"/>
      <c r="P585" s="88"/>
      <c r="Q585" s="88"/>
      <c r="R585" s="88"/>
      <c r="S585" s="88"/>
      <c r="T585" s="88"/>
      <c r="U585" s="88"/>
      <c r="V585" s="88"/>
      <c r="W585" s="88"/>
      <c r="X585" s="88"/>
      <c r="Y585" s="88"/>
      <c r="Z585" s="88"/>
      <c r="AA585" s="88"/>
      <c r="AB585" s="128"/>
      <c r="AC585" s="128"/>
      <c r="AD585" s="128"/>
      <c r="AE585" s="128"/>
      <c r="AF585" s="128"/>
      <c r="AG585" s="128"/>
      <c r="AH585" s="127"/>
    </row>
    <row r="586" spans="1:34" ht="13.2">
      <c r="A586" s="88"/>
      <c r="B586" s="88"/>
      <c r="C586" s="88"/>
      <c r="D586" s="88"/>
      <c r="E586" s="88"/>
      <c r="F586" s="88"/>
      <c r="G586" s="88"/>
      <c r="H586" s="88"/>
      <c r="I586" s="88"/>
      <c r="J586" s="88"/>
      <c r="K586" s="88"/>
      <c r="L586" s="88"/>
      <c r="M586" s="88"/>
      <c r="N586" s="88"/>
      <c r="O586" s="88"/>
      <c r="P586" s="88"/>
      <c r="Q586" s="88"/>
      <c r="R586" s="88"/>
      <c r="S586" s="88"/>
      <c r="T586" s="88"/>
      <c r="U586" s="88"/>
      <c r="V586" s="88"/>
      <c r="W586" s="88"/>
      <c r="X586" s="88"/>
      <c r="Y586" s="88"/>
      <c r="Z586" s="88"/>
      <c r="AA586" s="88"/>
      <c r="AB586" s="128"/>
      <c r="AC586" s="128"/>
      <c r="AD586" s="128"/>
      <c r="AE586" s="128"/>
      <c r="AF586" s="128"/>
      <c r="AG586" s="128"/>
      <c r="AH586" s="127"/>
    </row>
    <row r="587" spans="1:34" ht="13.2">
      <c r="A587" s="88"/>
      <c r="B587" s="88"/>
      <c r="C587" s="88"/>
      <c r="D587" s="88"/>
      <c r="E587" s="88"/>
      <c r="F587" s="88"/>
      <c r="G587" s="88"/>
      <c r="H587" s="88"/>
      <c r="I587" s="88"/>
      <c r="J587" s="88"/>
      <c r="K587" s="88"/>
      <c r="L587" s="88"/>
      <c r="M587" s="88"/>
      <c r="N587" s="88"/>
      <c r="O587" s="88"/>
      <c r="P587" s="88"/>
      <c r="Q587" s="88"/>
      <c r="R587" s="88"/>
      <c r="S587" s="88"/>
      <c r="T587" s="88"/>
      <c r="U587" s="88"/>
      <c r="V587" s="88"/>
      <c r="W587" s="88"/>
      <c r="X587" s="88"/>
      <c r="Y587" s="88"/>
      <c r="Z587" s="88"/>
      <c r="AA587" s="88"/>
      <c r="AB587" s="128"/>
      <c r="AC587" s="128"/>
      <c r="AD587" s="128"/>
      <c r="AE587" s="128"/>
      <c r="AF587" s="128"/>
      <c r="AG587" s="128"/>
      <c r="AH587" s="127"/>
    </row>
    <row r="588" spans="1:34" ht="13.2">
      <c r="A588" s="88"/>
      <c r="B588" s="88"/>
      <c r="C588" s="88"/>
      <c r="D588" s="88"/>
      <c r="E588" s="88"/>
      <c r="F588" s="88"/>
      <c r="G588" s="88"/>
      <c r="H588" s="88"/>
      <c r="I588" s="88"/>
      <c r="J588" s="88"/>
      <c r="K588" s="88"/>
      <c r="L588" s="88"/>
      <c r="M588" s="88"/>
      <c r="N588" s="88"/>
      <c r="O588" s="88"/>
      <c r="P588" s="88"/>
      <c r="Q588" s="88"/>
      <c r="R588" s="88"/>
      <c r="S588" s="88"/>
      <c r="T588" s="88"/>
      <c r="U588" s="88"/>
      <c r="V588" s="88"/>
      <c r="W588" s="88"/>
      <c r="X588" s="88"/>
      <c r="Y588" s="88"/>
      <c r="Z588" s="88"/>
      <c r="AA588" s="88"/>
      <c r="AB588" s="128"/>
      <c r="AC588" s="128"/>
      <c r="AD588" s="128"/>
      <c r="AE588" s="128"/>
      <c r="AF588" s="128"/>
      <c r="AG588" s="128"/>
      <c r="AH588" s="127"/>
    </row>
    <row r="589" spans="1:34" ht="13.2">
      <c r="A589" s="88"/>
      <c r="B589" s="88"/>
      <c r="C589" s="88"/>
      <c r="D589" s="88"/>
      <c r="E589" s="88"/>
      <c r="F589" s="88"/>
      <c r="G589" s="88"/>
      <c r="H589" s="88"/>
      <c r="I589" s="88"/>
      <c r="J589" s="88"/>
      <c r="K589" s="88"/>
      <c r="L589" s="88"/>
      <c r="M589" s="88"/>
      <c r="N589" s="88"/>
      <c r="O589" s="88"/>
      <c r="P589" s="88"/>
      <c r="Q589" s="88"/>
      <c r="R589" s="88"/>
      <c r="S589" s="88"/>
      <c r="T589" s="88"/>
      <c r="U589" s="88"/>
      <c r="V589" s="88"/>
      <c r="W589" s="88"/>
      <c r="X589" s="88"/>
      <c r="Y589" s="88"/>
      <c r="Z589" s="88"/>
      <c r="AA589" s="88"/>
      <c r="AB589" s="128"/>
      <c r="AC589" s="128"/>
      <c r="AD589" s="128"/>
      <c r="AE589" s="128"/>
      <c r="AF589" s="128"/>
      <c r="AG589" s="128"/>
      <c r="AH589" s="127"/>
    </row>
    <row r="590" spans="1:34" ht="13.2">
      <c r="A590" s="88"/>
      <c r="B590" s="88"/>
      <c r="C590" s="88"/>
      <c r="D590" s="88"/>
      <c r="E590" s="88"/>
      <c r="F590" s="88"/>
      <c r="G590" s="88"/>
      <c r="H590" s="88"/>
      <c r="I590" s="88"/>
      <c r="J590" s="88"/>
      <c r="K590" s="88"/>
      <c r="L590" s="88"/>
      <c r="M590" s="88"/>
      <c r="N590" s="88"/>
      <c r="O590" s="88"/>
      <c r="P590" s="88"/>
      <c r="Q590" s="88"/>
      <c r="R590" s="88"/>
      <c r="S590" s="88"/>
      <c r="T590" s="88"/>
      <c r="U590" s="88"/>
      <c r="V590" s="88"/>
      <c r="W590" s="88"/>
      <c r="X590" s="88"/>
      <c r="Y590" s="88"/>
      <c r="Z590" s="88"/>
      <c r="AA590" s="88"/>
      <c r="AB590" s="128"/>
      <c r="AC590" s="128"/>
      <c r="AD590" s="128"/>
      <c r="AE590" s="128"/>
      <c r="AF590" s="128"/>
      <c r="AG590" s="128"/>
      <c r="AH590" s="127"/>
    </row>
    <row r="591" spans="1:34" ht="13.2">
      <c r="A591" s="88"/>
      <c r="B591" s="88"/>
      <c r="C591" s="88"/>
      <c r="D591" s="88"/>
      <c r="E591" s="88"/>
      <c r="F591" s="88"/>
      <c r="G591" s="88"/>
      <c r="H591" s="88"/>
      <c r="I591" s="88"/>
      <c r="J591" s="88"/>
      <c r="K591" s="88"/>
      <c r="L591" s="88"/>
      <c r="M591" s="88"/>
      <c r="N591" s="88"/>
      <c r="O591" s="88"/>
      <c r="P591" s="88"/>
      <c r="Q591" s="88"/>
      <c r="R591" s="88"/>
      <c r="S591" s="88"/>
      <c r="T591" s="88"/>
      <c r="U591" s="88"/>
      <c r="V591" s="88"/>
      <c r="W591" s="88"/>
      <c r="X591" s="88"/>
      <c r="Y591" s="88"/>
      <c r="Z591" s="88"/>
      <c r="AA591" s="88"/>
      <c r="AB591" s="128"/>
      <c r="AC591" s="128"/>
      <c r="AD591" s="128"/>
      <c r="AE591" s="128"/>
      <c r="AF591" s="128"/>
      <c r="AG591" s="128"/>
      <c r="AH591" s="127"/>
    </row>
    <row r="592" spans="1:34" ht="13.2">
      <c r="A592" s="88"/>
      <c r="B592" s="88"/>
      <c r="C592" s="88"/>
      <c r="D592" s="88"/>
      <c r="E592" s="88"/>
      <c r="F592" s="88"/>
      <c r="G592" s="88"/>
      <c r="H592" s="88"/>
      <c r="I592" s="88"/>
      <c r="J592" s="88"/>
      <c r="K592" s="88"/>
      <c r="L592" s="88"/>
      <c r="M592" s="88"/>
      <c r="N592" s="88"/>
      <c r="O592" s="88"/>
      <c r="P592" s="88"/>
      <c r="Q592" s="88"/>
      <c r="R592" s="88"/>
      <c r="S592" s="88"/>
      <c r="T592" s="88"/>
      <c r="U592" s="88"/>
      <c r="V592" s="88"/>
      <c r="W592" s="88"/>
      <c r="X592" s="88"/>
      <c r="Y592" s="88"/>
      <c r="Z592" s="88"/>
      <c r="AA592" s="88"/>
      <c r="AB592" s="128"/>
      <c r="AC592" s="128"/>
      <c r="AD592" s="128"/>
      <c r="AE592" s="128"/>
      <c r="AF592" s="128"/>
      <c r="AG592" s="128"/>
      <c r="AH592" s="127"/>
    </row>
    <row r="593" spans="1:34" ht="13.2">
      <c r="A593" s="88"/>
      <c r="B593" s="88"/>
      <c r="C593" s="88"/>
      <c r="D593" s="88"/>
      <c r="E593" s="88"/>
      <c r="F593" s="88"/>
      <c r="G593" s="88"/>
      <c r="H593" s="88"/>
      <c r="I593" s="88"/>
      <c r="J593" s="88"/>
      <c r="K593" s="88"/>
      <c r="L593" s="88"/>
      <c r="M593" s="88"/>
      <c r="N593" s="88"/>
      <c r="O593" s="88"/>
      <c r="P593" s="88"/>
      <c r="Q593" s="88"/>
      <c r="R593" s="88"/>
      <c r="S593" s="88"/>
      <c r="T593" s="88"/>
      <c r="U593" s="88"/>
      <c r="V593" s="88"/>
      <c r="W593" s="88"/>
      <c r="X593" s="88"/>
      <c r="Y593" s="88"/>
      <c r="Z593" s="88"/>
      <c r="AA593" s="88"/>
      <c r="AB593" s="128"/>
      <c r="AC593" s="128"/>
      <c r="AD593" s="128"/>
      <c r="AE593" s="128"/>
      <c r="AF593" s="128"/>
      <c r="AG593" s="128"/>
      <c r="AH593" s="127"/>
    </row>
    <row r="594" spans="1:34" ht="13.2">
      <c r="A594" s="88"/>
      <c r="B594" s="88"/>
      <c r="C594" s="88"/>
      <c r="D594" s="88"/>
      <c r="E594" s="88"/>
      <c r="F594" s="88"/>
      <c r="G594" s="88"/>
      <c r="H594" s="88"/>
      <c r="I594" s="88"/>
      <c r="J594" s="88"/>
      <c r="K594" s="88"/>
      <c r="L594" s="88"/>
      <c r="M594" s="88"/>
      <c r="N594" s="88"/>
      <c r="O594" s="88"/>
      <c r="P594" s="88"/>
      <c r="Q594" s="88"/>
      <c r="R594" s="88"/>
      <c r="S594" s="88"/>
      <c r="T594" s="88"/>
      <c r="U594" s="88"/>
      <c r="V594" s="88"/>
      <c r="W594" s="88"/>
      <c r="X594" s="88"/>
      <c r="Y594" s="88"/>
      <c r="Z594" s="88"/>
      <c r="AA594" s="88"/>
      <c r="AB594" s="128"/>
      <c r="AC594" s="128"/>
      <c r="AD594" s="128"/>
      <c r="AE594" s="128"/>
      <c r="AF594" s="128"/>
      <c r="AG594" s="128"/>
      <c r="AH594" s="127"/>
    </row>
    <row r="595" spans="1:34" ht="13.2">
      <c r="A595" s="88"/>
      <c r="B595" s="88"/>
      <c r="C595" s="88"/>
      <c r="D595" s="88"/>
      <c r="E595" s="88"/>
      <c r="F595" s="88"/>
      <c r="G595" s="88"/>
      <c r="H595" s="88"/>
      <c r="I595" s="88"/>
      <c r="J595" s="88"/>
      <c r="K595" s="88"/>
      <c r="L595" s="88"/>
      <c r="M595" s="88"/>
      <c r="N595" s="88"/>
      <c r="O595" s="88"/>
      <c r="P595" s="88"/>
      <c r="Q595" s="88"/>
      <c r="R595" s="88"/>
      <c r="S595" s="88"/>
      <c r="T595" s="88"/>
      <c r="U595" s="88"/>
      <c r="V595" s="88"/>
      <c r="W595" s="88"/>
      <c r="X595" s="88"/>
      <c r="Y595" s="88"/>
      <c r="Z595" s="88"/>
      <c r="AA595" s="88"/>
      <c r="AB595" s="128"/>
      <c r="AC595" s="128"/>
      <c r="AD595" s="128"/>
      <c r="AE595" s="128"/>
      <c r="AF595" s="128"/>
      <c r="AG595" s="128"/>
      <c r="AH595" s="127"/>
    </row>
    <row r="596" spans="1:34" ht="13.2">
      <c r="A596" s="88"/>
      <c r="B596" s="88"/>
      <c r="C596" s="88"/>
      <c r="D596" s="88"/>
      <c r="E596" s="88"/>
      <c r="F596" s="88"/>
      <c r="G596" s="88"/>
      <c r="H596" s="88"/>
      <c r="I596" s="88"/>
      <c r="J596" s="88"/>
      <c r="K596" s="88"/>
      <c r="L596" s="88"/>
      <c r="M596" s="88"/>
      <c r="N596" s="88"/>
      <c r="O596" s="88"/>
      <c r="P596" s="88"/>
      <c r="Q596" s="88"/>
      <c r="R596" s="88"/>
      <c r="S596" s="88"/>
      <c r="T596" s="88"/>
      <c r="U596" s="88"/>
      <c r="V596" s="88"/>
      <c r="W596" s="88"/>
      <c r="X596" s="88"/>
      <c r="Y596" s="88"/>
      <c r="Z596" s="88"/>
      <c r="AA596" s="88"/>
      <c r="AB596" s="128"/>
      <c r="AC596" s="128"/>
      <c r="AD596" s="128"/>
      <c r="AE596" s="128"/>
      <c r="AF596" s="128"/>
      <c r="AG596" s="128"/>
      <c r="AH596" s="127"/>
    </row>
    <row r="597" spans="1:34" ht="13.2">
      <c r="A597" s="88"/>
      <c r="B597" s="88"/>
      <c r="C597" s="88"/>
      <c r="D597" s="88"/>
      <c r="E597" s="88"/>
      <c r="F597" s="88"/>
      <c r="G597" s="88"/>
      <c r="H597" s="88"/>
      <c r="I597" s="88"/>
      <c r="J597" s="88"/>
      <c r="K597" s="88"/>
      <c r="L597" s="88"/>
      <c r="M597" s="88"/>
      <c r="N597" s="88"/>
      <c r="O597" s="88"/>
      <c r="P597" s="88"/>
      <c r="Q597" s="88"/>
      <c r="R597" s="88"/>
      <c r="S597" s="88"/>
      <c r="T597" s="88"/>
      <c r="U597" s="88"/>
      <c r="V597" s="88"/>
      <c r="W597" s="88"/>
      <c r="X597" s="88"/>
      <c r="Y597" s="88"/>
      <c r="Z597" s="88"/>
      <c r="AA597" s="88"/>
      <c r="AB597" s="128"/>
      <c r="AC597" s="128"/>
      <c r="AD597" s="128"/>
      <c r="AE597" s="128"/>
      <c r="AF597" s="128"/>
      <c r="AG597" s="128"/>
      <c r="AH597" s="127"/>
    </row>
    <row r="598" spans="1:34" ht="13.2">
      <c r="A598" s="88"/>
      <c r="B598" s="88"/>
      <c r="C598" s="88"/>
      <c r="D598" s="88"/>
      <c r="E598" s="88"/>
      <c r="F598" s="88"/>
      <c r="G598" s="88"/>
      <c r="H598" s="88"/>
      <c r="I598" s="88"/>
      <c r="J598" s="88"/>
      <c r="K598" s="88"/>
      <c r="L598" s="88"/>
      <c r="M598" s="88"/>
      <c r="N598" s="88"/>
      <c r="O598" s="88"/>
      <c r="P598" s="88"/>
      <c r="Q598" s="88"/>
      <c r="R598" s="88"/>
      <c r="S598" s="88"/>
      <c r="T598" s="88"/>
      <c r="U598" s="88"/>
      <c r="V598" s="88"/>
      <c r="W598" s="88"/>
      <c r="X598" s="88"/>
      <c r="Y598" s="88"/>
      <c r="Z598" s="88"/>
      <c r="AA598" s="88"/>
      <c r="AB598" s="128"/>
      <c r="AC598" s="128"/>
      <c r="AD598" s="128"/>
      <c r="AE598" s="128"/>
      <c r="AF598" s="128"/>
      <c r="AG598" s="128"/>
      <c r="AH598" s="127"/>
    </row>
    <row r="599" spans="1:34" ht="13.2">
      <c r="A599" s="88"/>
      <c r="B599" s="88"/>
      <c r="C599" s="88"/>
      <c r="D599" s="88"/>
      <c r="E599" s="88"/>
      <c r="F599" s="88"/>
      <c r="G599" s="88"/>
      <c r="H599" s="88"/>
      <c r="I599" s="88"/>
      <c r="J599" s="88"/>
      <c r="K599" s="88"/>
      <c r="L599" s="88"/>
      <c r="M599" s="88"/>
      <c r="N599" s="88"/>
      <c r="O599" s="88"/>
      <c r="P599" s="88"/>
      <c r="Q599" s="88"/>
      <c r="R599" s="88"/>
      <c r="S599" s="88"/>
      <c r="T599" s="88"/>
      <c r="U599" s="88"/>
      <c r="V599" s="88"/>
      <c r="W599" s="88"/>
      <c r="X599" s="88"/>
      <c r="Y599" s="88"/>
      <c r="Z599" s="88"/>
      <c r="AA599" s="88"/>
      <c r="AB599" s="128"/>
      <c r="AC599" s="128"/>
      <c r="AD599" s="128"/>
      <c r="AE599" s="128"/>
      <c r="AF599" s="128"/>
      <c r="AG599" s="128"/>
      <c r="AH599" s="127"/>
    </row>
    <row r="600" spans="1:34" ht="13.2">
      <c r="A600" s="88"/>
      <c r="B600" s="88"/>
      <c r="C600" s="88"/>
      <c r="D600" s="88"/>
      <c r="E600" s="88"/>
      <c r="F600" s="88"/>
      <c r="G600" s="88"/>
      <c r="H600" s="88"/>
      <c r="I600" s="88"/>
      <c r="J600" s="88"/>
      <c r="K600" s="88"/>
      <c r="L600" s="88"/>
      <c r="M600" s="88"/>
      <c r="N600" s="88"/>
      <c r="O600" s="88"/>
      <c r="P600" s="88"/>
      <c r="Q600" s="88"/>
      <c r="R600" s="88"/>
      <c r="S600" s="88"/>
      <c r="T600" s="88"/>
      <c r="U600" s="88"/>
      <c r="V600" s="88"/>
      <c r="W600" s="88"/>
      <c r="X600" s="88"/>
      <c r="Y600" s="88"/>
      <c r="Z600" s="88"/>
      <c r="AA600" s="88"/>
      <c r="AB600" s="128"/>
      <c r="AC600" s="128"/>
      <c r="AD600" s="128"/>
      <c r="AE600" s="128"/>
      <c r="AF600" s="128"/>
      <c r="AG600" s="128"/>
      <c r="AH600" s="127"/>
    </row>
    <row r="601" spans="1:34" ht="13.2">
      <c r="A601" s="88"/>
      <c r="B601" s="88"/>
      <c r="C601" s="88"/>
      <c r="D601" s="88"/>
      <c r="E601" s="88"/>
      <c r="F601" s="88"/>
      <c r="G601" s="88"/>
      <c r="H601" s="88"/>
      <c r="I601" s="88"/>
      <c r="J601" s="88"/>
      <c r="K601" s="88"/>
      <c r="L601" s="88"/>
      <c r="M601" s="88"/>
      <c r="N601" s="88"/>
      <c r="O601" s="88"/>
      <c r="P601" s="88"/>
      <c r="Q601" s="88"/>
      <c r="R601" s="88"/>
      <c r="S601" s="88"/>
      <c r="T601" s="88"/>
      <c r="U601" s="88"/>
      <c r="V601" s="88"/>
      <c r="W601" s="88"/>
      <c r="X601" s="88"/>
      <c r="Y601" s="88"/>
      <c r="Z601" s="88"/>
      <c r="AA601" s="88"/>
      <c r="AB601" s="128"/>
      <c r="AC601" s="128"/>
      <c r="AD601" s="128"/>
      <c r="AE601" s="128"/>
      <c r="AF601" s="128"/>
      <c r="AG601" s="128"/>
      <c r="AH601" s="127"/>
    </row>
    <row r="602" spans="1:34" ht="13.2">
      <c r="A602" s="88"/>
      <c r="B602" s="88"/>
      <c r="C602" s="88"/>
      <c r="D602" s="88"/>
      <c r="E602" s="88"/>
      <c r="F602" s="88"/>
      <c r="G602" s="88"/>
      <c r="H602" s="88"/>
      <c r="I602" s="88"/>
      <c r="J602" s="88"/>
      <c r="K602" s="88"/>
      <c r="L602" s="88"/>
      <c r="M602" s="88"/>
      <c r="N602" s="88"/>
      <c r="O602" s="88"/>
      <c r="P602" s="88"/>
      <c r="Q602" s="88"/>
      <c r="R602" s="88"/>
      <c r="S602" s="88"/>
      <c r="T602" s="88"/>
      <c r="U602" s="88"/>
      <c r="V602" s="88"/>
      <c r="W602" s="88"/>
      <c r="X602" s="88"/>
      <c r="Y602" s="88"/>
      <c r="Z602" s="88"/>
      <c r="AA602" s="88"/>
      <c r="AB602" s="128"/>
      <c r="AC602" s="128"/>
      <c r="AD602" s="128"/>
      <c r="AE602" s="128"/>
      <c r="AF602" s="128"/>
      <c r="AG602" s="128"/>
      <c r="AH602" s="127"/>
    </row>
    <row r="603" spans="1:34" ht="13.2">
      <c r="A603" s="88"/>
      <c r="B603" s="88"/>
      <c r="C603" s="88"/>
      <c r="D603" s="88"/>
      <c r="E603" s="88"/>
      <c r="F603" s="88"/>
      <c r="G603" s="88"/>
      <c r="H603" s="88"/>
      <c r="I603" s="88"/>
      <c r="J603" s="88"/>
      <c r="K603" s="88"/>
      <c r="L603" s="88"/>
      <c r="M603" s="88"/>
      <c r="N603" s="88"/>
      <c r="O603" s="88"/>
      <c r="P603" s="88"/>
      <c r="Q603" s="88"/>
      <c r="R603" s="88"/>
      <c r="S603" s="88"/>
      <c r="T603" s="88"/>
      <c r="U603" s="88"/>
      <c r="V603" s="88"/>
      <c r="W603" s="88"/>
      <c r="X603" s="88"/>
      <c r="Y603" s="88"/>
      <c r="Z603" s="88"/>
      <c r="AA603" s="88"/>
      <c r="AB603" s="128"/>
      <c r="AC603" s="128"/>
      <c r="AD603" s="128"/>
      <c r="AE603" s="128"/>
      <c r="AF603" s="128"/>
      <c r="AG603" s="128"/>
      <c r="AH603" s="127"/>
    </row>
    <row r="604" spans="1:34" ht="13.2">
      <c r="A604" s="88"/>
      <c r="B604" s="88"/>
      <c r="C604" s="88"/>
      <c r="D604" s="88"/>
      <c r="E604" s="88"/>
      <c r="F604" s="88"/>
      <c r="G604" s="88"/>
      <c r="H604" s="88"/>
      <c r="I604" s="88"/>
      <c r="J604" s="88"/>
      <c r="K604" s="88"/>
      <c r="L604" s="88"/>
      <c r="M604" s="88"/>
      <c r="N604" s="88"/>
      <c r="O604" s="88"/>
      <c r="P604" s="88"/>
      <c r="Q604" s="88"/>
      <c r="R604" s="88"/>
      <c r="S604" s="88"/>
      <c r="T604" s="88"/>
      <c r="U604" s="88"/>
      <c r="V604" s="88"/>
      <c r="W604" s="88"/>
      <c r="X604" s="88"/>
      <c r="Y604" s="88"/>
      <c r="Z604" s="88"/>
      <c r="AA604" s="88"/>
      <c r="AB604" s="128"/>
      <c r="AC604" s="128"/>
      <c r="AD604" s="128"/>
      <c r="AE604" s="128"/>
      <c r="AF604" s="128"/>
      <c r="AG604" s="128"/>
      <c r="AH604" s="127"/>
    </row>
    <row r="605" spans="1:34" ht="13.2">
      <c r="A605" s="88"/>
      <c r="B605" s="88"/>
      <c r="C605" s="88"/>
      <c r="D605" s="88"/>
      <c r="E605" s="88"/>
      <c r="F605" s="88"/>
      <c r="G605" s="88"/>
      <c r="H605" s="88"/>
      <c r="I605" s="88"/>
      <c r="J605" s="88"/>
      <c r="K605" s="88"/>
      <c r="L605" s="88"/>
      <c r="M605" s="88"/>
      <c r="N605" s="88"/>
      <c r="O605" s="88"/>
      <c r="P605" s="88"/>
      <c r="Q605" s="88"/>
      <c r="R605" s="88"/>
      <c r="S605" s="88"/>
      <c r="T605" s="88"/>
      <c r="U605" s="88"/>
      <c r="V605" s="88"/>
      <c r="W605" s="88"/>
      <c r="X605" s="88"/>
      <c r="Y605" s="88"/>
      <c r="Z605" s="88"/>
      <c r="AA605" s="88"/>
      <c r="AB605" s="128"/>
      <c r="AC605" s="128"/>
      <c r="AD605" s="128"/>
      <c r="AE605" s="128"/>
      <c r="AF605" s="128"/>
      <c r="AG605" s="128"/>
      <c r="AH605" s="127"/>
    </row>
    <row r="606" spans="1:34" ht="13.2">
      <c r="A606" s="88"/>
      <c r="B606" s="88"/>
      <c r="C606" s="88"/>
      <c r="D606" s="88"/>
      <c r="E606" s="88"/>
      <c r="F606" s="88"/>
      <c r="G606" s="88"/>
      <c r="H606" s="88"/>
      <c r="I606" s="88"/>
      <c r="J606" s="88"/>
      <c r="K606" s="88"/>
      <c r="L606" s="88"/>
      <c r="M606" s="88"/>
      <c r="N606" s="88"/>
      <c r="O606" s="88"/>
      <c r="P606" s="88"/>
      <c r="Q606" s="88"/>
      <c r="R606" s="88"/>
      <c r="S606" s="88"/>
      <c r="T606" s="88"/>
      <c r="U606" s="88"/>
      <c r="V606" s="88"/>
      <c r="W606" s="88"/>
      <c r="X606" s="88"/>
      <c r="Y606" s="88"/>
      <c r="Z606" s="88"/>
      <c r="AA606" s="88"/>
      <c r="AB606" s="128"/>
      <c r="AC606" s="128"/>
      <c r="AD606" s="128"/>
      <c r="AE606" s="128"/>
      <c r="AF606" s="128"/>
      <c r="AG606" s="128"/>
      <c r="AH606" s="127"/>
    </row>
    <row r="607" spans="1:34" ht="13.2">
      <c r="A607" s="88"/>
      <c r="B607" s="88"/>
      <c r="C607" s="88"/>
      <c r="D607" s="88"/>
      <c r="E607" s="88"/>
      <c r="F607" s="88"/>
      <c r="G607" s="88"/>
      <c r="H607" s="88"/>
      <c r="I607" s="88"/>
      <c r="J607" s="88"/>
      <c r="K607" s="88"/>
      <c r="L607" s="88"/>
      <c r="M607" s="88"/>
      <c r="N607" s="88"/>
      <c r="O607" s="88"/>
      <c r="P607" s="88"/>
      <c r="Q607" s="88"/>
      <c r="R607" s="88"/>
      <c r="S607" s="88"/>
      <c r="T607" s="88"/>
      <c r="U607" s="88"/>
      <c r="V607" s="88"/>
      <c r="W607" s="88"/>
      <c r="X607" s="88"/>
      <c r="Y607" s="88"/>
      <c r="Z607" s="88"/>
      <c r="AA607" s="88"/>
      <c r="AB607" s="128"/>
      <c r="AC607" s="128"/>
      <c r="AD607" s="128"/>
      <c r="AE607" s="128"/>
      <c r="AF607" s="128"/>
      <c r="AG607" s="128"/>
      <c r="AH607" s="127"/>
    </row>
    <row r="608" spans="1:34" ht="13.2">
      <c r="A608" s="88"/>
      <c r="B608" s="88"/>
      <c r="C608" s="88"/>
      <c r="D608" s="88"/>
      <c r="E608" s="88"/>
      <c r="F608" s="88"/>
      <c r="G608" s="88"/>
      <c r="H608" s="88"/>
      <c r="I608" s="88"/>
      <c r="J608" s="88"/>
      <c r="K608" s="88"/>
      <c r="L608" s="88"/>
      <c r="M608" s="88"/>
      <c r="N608" s="88"/>
      <c r="O608" s="88"/>
      <c r="P608" s="88"/>
      <c r="Q608" s="88"/>
      <c r="R608" s="88"/>
      <c r="S608" s="88"/>
      <c r="T608" s="88"/>
      <c r="U608" s="88"/>
      <c r="V608" s="88"/>
      <c r="W608" s="88"/>
      <c r="X608" s="88"/>
      <c r="Y608" s="88"/>
      <c r="Z608" s="88"/>
      <c r="AA608" s="88"/>
      <c r="AB608" s="128"/>
      <c r="AC608" s="128"/>
      <c r="AD608" s="128"/>
      <c r="AE608" s="128"/>
      <c r="AF608" s="128"/>
      <c r="AG608" s="128"/>
      <c r="AH608" s="127"/>
    </row>
    <row r="609" spans="1:34" ht="13.2">
      <c r="A609" s="88"/>
      <c r="B609" s="88"/>
      <c r="C609" s="88"/>
      <c r="D609" s="88"/>
      <c r="E609" s="88"/>
      <c r="F609" s="88"/>
      <c r="G609" s="88"/>
      <c r="H609" s="88"/>
      <c r="I609" s="88"/>
      <c r="J609" s="88"/>
      <c r="K609" s="88"/>
      <c r="L609" s="88"/>
      <c r="M609" s="88"/>
      <c r="N609" s="88"/>
      <c r="O609" s="88"/>
      <c r="P609" s="88"/>
      <c r="Q609" s="88"/>
      <c r="R609" s="88"/>
      <c r="S609" s="88"/>
      <c r="T609" s="88"/>
      <c r="U609" s="88"/>
      <c r="V609" s="88"/>
      <c r="W609" s="88"/>
      <c r="X609" s="88"/>
      <c r="Y609" s="88"/>
      <c r="Z609" s="88"/>
      <c r="AA609" s="88"/>
      <c r="AB609" s="128"/>
      <c r="AC609" s="128"/>
      <c r="AD609" s="128"/>
      <c r="AE609" s="128"/>
      <c r="AF609" s="128"/>
      <c r="AG609" s="128"/>
      <c r="AH609" s="127"/>
    </row>
    <row r="610" spans="1:34" ht="13.2">
      <c r="A610" s="88"/>
      <c r="B610" s="88"/>
      <c r="C610" s="88"/>
      <c r="D610" s="88"/>
      <c r="E610" s="88"/>
      <c r="F610" s="88"/>
      <c r="G610" s="88"/>
      <c r="H610" s="88"/>
      <c r="I610" s="88"/>
      <c r="J610" s="88"/>
      <c r="K610" s="88"/>
      <c r="L610" s="88"/>
      <c r="M610" s="88"/>
      <c r="N610" s="88"/>
      <c r="O610" s="88"/>
      <c r="P610" s="88"/>
      <c r="Q610" s="88"/>
      <c r="R610" s="88"/>
      <c r="S610" s="88"/>
      <c r="T610" s="88"/>
      <c r="U610" s="88"/>
      <c r="V610" s="88"/>
      <c r="W610" s="88"/>
      <c r="X610" s="88"/>
      <c r="Y610" s="88"/>
      <c r="Z610" s="88"/>
      <c r="AA610" s="88"/>
      <c r="AB610" s="128"/>
      <c r="AC610" s="128"/>
      <c r="AD610" s="128"/>
      <c r="AE610" s="128"/>
      <c r="AF610" s="128"/>
      <c r="AG610" s="128"/>
      <c r="AH610" s="127"/>
    </row>
    <row r="611" spans="1:34" ht="13.2">
      <c r="A611" s="88"/>
      <c r="B611" s="88"/>
      <c r="C611" s="88"/>
      <c r="D611" s="88"/>
      <c r="E611" s="88"/>
      <c r="F611" s="88"/>
      <c r="G611" s="88"/>
      <c r="H611" s="88"/>
      <c r="I611" s="88"/>
      <c r="J611" s="88"/>
      <c r="K611" s="88"/>
      <c r="L611" s="88"/>
      <c r="M611" s="88"/>
      <c r="N611" s="88"/>
      <c r="O611" s="88"/>
      <c r="P611" s="88"/>
      <c r="Q611" s="88"/>
      <c r="R611" s="88"/>
      <c r="S611" s="88"/>
      <c r="T611" s="88"/>
      <c r="U611" s="88"/>
      <c r="V611" s="88"/>
      <c r="W611" s="88"/>
      <c r="X611" s="88"/>
      <c r="Y611" s="88"/>
      <c r="Z611" s="88"/>
      <c r="AA611" s="88"/>
      <c r="AB611" s="128"/>
      <c r="AC611" s="128"/>
      <c r="AD611" s="128"/>
      <c r="AE611" s="128"/>
      <c r="AF611" s="128"/>
      <c r="AG611" s="128"/>
      <c r="AH611" s="127"/>
    </row>
    <row r="612" spans="1:34" ht="13.2">
      <c r="A612" s="88"/>
      <c r="B612" s="88"/>
      <c r="C612" s="88"/>
      <c r="D612" s="88"/>
      <c r="E612" s="88"/>
      <c r="F612" s="88"/>
      <c r="G612" s="88"/>
      <c r="H612" s="88"/>
      <c r="I612" s="88"/>
      <c r="J612" s="88"/>
      <c r="K612" s="88"/>
      <c r="L612" s="88"/>
      <c r="M612" s="88"/>
      <c r="N612" s="88"/>
      <c r="O612" s="88"/>
      <c r="P612" s="88"/>
      <c r="Q612" s="88"/>
      <c r="R612" s="88"/>
      <c r="S612" s="88"/>
      <c r="T612" s="88"/>
      <c r="U612" s="88"/>
      <c r="V612" s="88"/>
      <c r="W612" s="88"/>
      <c r="X612" s="88"/>
      <c r="Y612" s="88"/>
      <c r="Z612" s="88"/>
      <c r="AA612" s="88"/>
      <c r="AB612" s="128"/>
      <c r="AC612" s="128"/>
      <c r="AD612" s="128"/>
      <c r="AE612" s="128"/>
      <c r="AF612" s="128"/>
      <c r="AG612" s="128"/>
      <c r="AH612" s="127"/>
    </row>
    <row r="613" spans="1:34" ht="13.2">
      <c r="A613" s="88"/>
      <c r="B613" s="88"/>
      <c r="C613" s="88"/>
      <c r="D613" s="88"/>
      <c r="E613" s="88"/>
      <c r="F613" s="88"/>
      <c r="G613" s="88"/>
      <c r="H613" s="88"/>
      <c r="I613" s="88"/>
      <c r="J613" s="88"/>
      <c r="K613" s="88"/>
      <c r="L613" s="88"/>
      <c r="M613" s="88"/>
      <c r="N613" s="88"/>
      <c r="O613" s="88"/>
      <c r="P613" s="88"/>
      <c r="Q613" s="88"/>
      <c r="R613" s="88"/>
      <c r="S613" s="88"/>
      <c r="T613" s="88"/>
      <c r="U613" s="88"/>
      <c r="V613" s="88"/>
      <c r="W613" s="88"/>
      <c r="X613" s="88"/>
      <c r="Y613" s="88"/>
      <c r="Z613" s="88"/>
      <c r="AA613" s="88"/>
      <c r="AB613" s="128"/>
      <c r="AC613" s="128"/>
      <c r="AD613" s="128"/>
      <c r="AE613" s="128"/>
      <c r="AF613" s="128"/>
      <c r="AG613" s="128"/>
      <c r="AH613" s="127"/>
    </row>
    <row r="614" spans="1:34" ht="13.2">
      <c r="A614" s="88"/>
      <c r="B614" s="88"/>
      <c r="C614" s="88"/>
      <c r="D614" s="88"/>
      <c r="E614" s="88"/>
      <c r="F614" s="88"/>
      <c r="G614" s="88"/>
      <c r="H614" s="88"/>
      <c r="I614" s="88"/>
      <c r="J614" s="88"/>
      <c r="K614" s="88"/>
      <c r="L614" s="88"/>
      <c r="M614" s="88"/>
      <c r="N614" s="88"/>
      <c r="O614" s="88"/>
      <c r="P614" s="88"/>
      <c r="Q614" s="88"/>
      <c r="R614" s="88"/>
      <c r="S614" s="88"/>
      <c r="T614" s="88"/>
      <c r="U614" s="88"/>
      <c r="V614" s="88"/>
      <c r="W614" s="88"/>
      <c r="X614" s="88"/>
      <c r="Y614" s="88"/>
      <c r="Z614" s="88"/>
      <c r="AA614" s="88"/>
      <c r="AB614" s="128"/>
      <c r="AC614" s="128"/>
      <c r="AD614" s="128"/>
      <c r="AE614" s="128"/>
      <c r="AF614" s="128"/>
      <c r="AG614" s="128"/>
      <c r="AH614" s="127"/>
    </row>
    <row r="615" spans="1:34" ht="13.2">
      <c r="A615" s="88"/>
      <c r="B615" s="88"/>
      <c r="C615" s="88"/>
      <c r="D615" s="88"/>
      <c r="E615" s="88"/>
      <c r="F615" s="88"/>
      <c r="G615" s="88"/>
      <c r="H615" s="88"/>
      <c r="I615" s="88"/>
      <c r="J615" s="88"/>
      <c r="K615" s="88"/>
      <c r="L615" s="88"/>
      <c r="M615" s="88"/>
      <c r="N615" s="88"/>
      <c r="O615" s="88"/>
      <c r="P615" s="88"/>
      <c r="Q615" s="88"/>
      <c r="R615" s="88"/>
      <c r="S615" s="88"/>
      <c r="T615" s="88"/>
      <c r="U615" s="88"/>
      <c r="V615" s="88"/>
      <c r="W615" s="88"/>
      <c r="X615" s="88"/>
      <c r="Y615" s="88"/>
      <c r="Z615" s="88"/>
      <c r="AA615" s="88"/>
      <c r="AB615" s="128"/>
      <c r="AC615" s="128"/>
      <c r="AD615" s="128"/>
      <c r="AE615" s="128"/>
      <c r="AF615" s="128"/>
      <c r="AG615" s="128"/>
      <c r="AH615" s="127"/>
    </row>
    <row r="616" spans="1:34" ht="13.2">
      <c r="A616" s="88"/>
      <c r="B616" s="88"/>
      <c r="C616" s="88"/>
      <c r="D616" s="88"/>
      <c r="E616" s="88"/>
      <c r="F616" s="88"/>
      <c r="G616" s="88"/>
      <c r="H616" s="88"/>
      <c r="I616" s="88"/>
      <c r="J616" s="88"/>
      <c r="K616" s="88"/>
      <c r="L616" s="88"/>
      <c r="M616" s="88"/>
      <c r="N616" s="88"/>
      <c r="O616" s="88"/>
      <c r="P616" s="88"/>
      <c r="Q616" s="88"/>
      <c r="R616" s="88"/>
      <c r="S616" s="88"/>
      <c r="T616" s="88"/>
      <c r="U616" s="88"/>
      <c r="V616" s="88"/>
      <c r="W616" s="88"/>
      <c r="X616" s="88"/>
      <c r="Y616" s="88"/>
      <c r="Z616" s="88"/>
      <c r="AA616" s="88"/>
      <c r="AB616" s="128"/>
      <c r="AC616" s="128"/>
      <c r="AD616" s="128"/>
      <c r="AE616" s="128"/>
      <c r="AF616" s="128"/>
      <c r="AG616" s="128"/>
      <c r="AH616" s="127"/>
    </row>
    <row r="617" spans="1:34" ht="13.2">
      <c r="A617" s="88"/>
      <c r="B617" s="88"/>
      <c r="C617" s="88"/>
      <c r="D617" s="88"/>
      <c r="E617" s="88"/>
      <c r="F617" s="88"/>
      <c r="G617" s="88"/>
      <c r="H617" s="88"/>
      <c r="I617" s="88"/>
      <c r="J617" s="88"/>
      <c r="K617" s="88"/>
      <c r="L617" s="88"/>
      <c r="M617" s="88"/>
      <c r="N617" s="88"/>
      <c r="O617" s="88"/>
      <c r="P617" s="88"/>
      <c r="Q617" s="88"/>
      <c r="R617" s="88"/>
      <c r="S617" s="88"/>
      <c r="T617" s="88"/>
      <c r="U617" s="88"/>
      <c r="V617" s="88"/>
      <c r="W617" s="88"/>
      <c r="X617" s="88"/>
      <c r="Y617" s="88"/>
      <c r="Z617" s="88"/>
      <c r="AA617" s="88"/>
      <c r="AB617" s="128"/>
      <c r="AC617" s="128"/>
      <c r="AD617" s="128"/>
      <c r="AE617" s="128"/>
      <c r="AF617" s="128"/>
      <c r="AG617" s="128"/>
      <c r="AH617" s="127"/>
    </row>
    <row r="618" spans="1:34" ht="13.2">
      <c r="A618" s="88"/>
      <c r="B618" s="88"/>
      <c r="C618" s="88"/>
      <c r="D618" s="88"/>
      <c r="E618" s="88"/>
      <c r="F618" s="88"/>
      <c r="G618" s="88"/>
      <c r="H618" s="88"/>
      <c r="I618" s="88"/>
      <c r="J618" s="88"/>
      <c r="K618" s="88"/>
      <c r="L618" s="88"/>
      <c r="M618" s="88"/>
      <c r="N618" s="88"/>
      <c r="O618" s="88"/>
      <c r="P618" s="88"/>
      <c r="Q618" s="88"/>
      <c r="R618" s="88"/>
      <c r="S618" s="88"/>
      <c r="T618" s="88"/>
      <c r="U618" s="88"/>
      <c r="V618" s="88"/>
      <c r="W618" s="88"/>
      <c r="X618" s="88"/>
      <c r="Y618" s="88"/>
      <c r="Z618" s="88"/>
      <c r="AA618" s="88"/>
      <c r="AB618" s="128"/>
      <c r="AC618" s="128"/>
      <c r="AD618" s="128"/>
      <c r="AE618" s="128"/>
      <c r="AF618" s="128"/>
      <c r="AG618" s="128"/>
      <c r="AH618" s="127"/>
    </row>
    <row r="619" spans="1:34" ht="13.2">
      <c r="A619" s="88"/>
      <c r="B619" s="88"/>
      <c r="C619" s="88"/>
      <c r="D619" s="88"/>
      <c r="E619" s="88"/>
      <c r="F619" s="88"/>
      <c r="G619" s="88"/>
      <c r="H619" s="88"/>
      <c r="I619" s="88"/>
      <c r="J619" s="88"/>
      <c r="K619" s="88"/>
      <c r="L619" s="88"/>
      <c r="M619" s="88"/>
      <c r="N619" s="88"/>
      <c r="O619" s="88"/>
      <c r="P619" s="88"/>
      <c r="Q619" s="88"/>
      <c r="R619" s="88"/>
      <c r="S619" s="88"/>
      <c r="T619" s="88"/>
      <c r="U619" s="88"/>
      <c r="V619" s="88"/>
      <c r="W619" s="88"/>
      <c r="X619" s="88"/>
      <c r="Y619" s="88"/>
      <c r="Z619" s="88"/>
      <c r="AA619" s="88"/>
      <c r="AB619" s="128"/>
      <c r="AC619" s="128"/>
      <c r="AD619" s="128"/>
      <c r="AE619" s="128"/>
      <c r="AF619" s="128"/>
      <c r="AG619" s="128"/>
      <c r="AH619" s="127"/>
    </row>
    <row r="620" spans="1:34" ht="13.2">
      <c r="A620" s="88"/>
      <c r="B620" s="88"/>
      <c r="C620" s="88"/>
      <c r="D620" s="88"/>
      <c r="E620" s="88"/>
      <c r="F620" s="88"/>
      <c r="G620" s="88"/>
      <c r="H620" s="88"/>
      <c r="I620" s="88"/>
      <c r="J620" s="88"/>
      <c r="K620" s="88"/>
      <c r="L620" s="88"/>
      <c r="M620" s="88"/>
      <c r="N620" s="88"/>
      <c r="O620" s="88"/>
      <c r="P620" s="88"/>
      <c r="Q620" s="88"/>
      <c r="R620" s="88"/>
      <c r="S620" s="88"/>
      <c r="T620" s="88"/>
      <c r="U620" s="88"/>
      <c r="V620" s="88"/>
      <c r="W620" s="88"/>
      <c r="X620" s="88"/>
      <c r="Y620" s="88"/>
      <c r="Z620" s="88"/>
      <c r="AA620" s="88"/>
      <c r="AB620" s="128"/>
      <c r="AC620" s="128"/>
      <c r="AD620" s="128"/>
      <c r="AE620" s="128"/>
      <c r="AF620" s="128"/>
      <c r="AG620" s="128"/>
      <c r="AH620" s="127"/>
    </row>
    <row r="621" spans="1:34" ht="13.2">
      <c r="A621" s="88"/>
      <c r="B621" s="88"/>
      <c r="C621" s="88"/>
      <c r="D621" s="88"/>
      <c r="E621" s="88"/>
      <c r="F621" s="88"/>
      <c r="G621" s="88"/>
      <c r="H621" s="88"/>
      <c r="I621" s="88"/>
      <c r="J621" s="88"/>
      <c r="K621" s="88"/>
      <c r="L621" s="88"/>
      <c r="M621" s="88"/>
      <c r="N621" s="88"/>
      <c r="O621" s="88"/>
      <c r="P621" s="88"/>
      <c r="Q621" s="88"/>
      <c r="R621" s="88"/>
      <c r="S621" s="88"/>
      <c r="T621" s="88"/>
      <c r="U621" s="88"/>
      <c r="V621" s="88"/>
      <c r="W621" s="88"/>
      <c r="X621" s="88"/>
      <c r="Y621" s="88"/>
      <c r="Z621" s="88"/>
      <c r="AA621" s="88"/>
      <c r="AB621" s="128"/>
      <c r="AC621" s="128"/>
      <c r="AD621" s="128"/>
      <c r="AE621" s="128"/>
      <c r="AF621" s="128"/>
      <c r="AG621" s="128"/>
      <c r="AH621" s="127"/>
    </row>
    <row r="622" spans="1:34" ht="13.2">
      <c r="A622" s="88"/>
      <c r="B622" s="88"/>
      <c r="C622" s="88"/>
      <c r="D622" s="88"/>
      <c r="E622" s="88"/>
      <c r="F622" s="88"/>
      <c r="G622" s="88"/>
      <c r="H622" s="88"/>
      <c r="I622" s="88"/>
      <c r="J622" s="88"/>
      <c r="K622" s="88"/>
      <c r="L622" s="88"/>
      <c r="M622" s="88"/>
      <c r="N622" s="88"/>
      <c r="O622" s="88"/>
      <c r="P622" s="88"/>
      <c r="Q622" s="88"/>
      <c r="R622" s="88"/>
      <c r="S622" s="88"/>
      <c r="T622" s="88"/>
      <c r="U622" s="88"/>
      <c r="V622" s="88"/>
      <c r="W622" s="88"/>
      <c r="X622" s="88"/>
      <c r="Y622" s="88"/>
      <c r="Z622" s="88"/>
      <c r="AA622" s="88"/>
      <c r="AB622" s="128"/>
      <c r="AC622" s="128"/>
      <c r="AD622" s="128"/>
      <c r="AE622" s="128"/>
      <c r="AF622" s="128"/>
      <c r="AG622" s="128"/>
      <c r="AH622" s="127"/>
    </row>
    <row r="623" spans="1:34" ht="13.2">
      <c r="A623" s="88"/>
      <c r="B623" s="88"/>
      <c r="C623" s="88"/>
      <c r="D623" s="88"/>
      <c r="E623" s="88"/>
      <c r="F623" s="88"/>
      <c r="G623" s="88"/>
      <c r="H623" s="88"/>
      <c r="I623" s="88"/>
      <c r="J623" s="88"/>
      <c r="K623" s="88"/>
      <c r="L623" s="88"/>
      <c r="M623" s="88"/>
      <c r="N623" s="88"/>
      <c r="O623" s="88"/>
      <c r="P623" s="88"/>
      <c r="Q623" s="88"/>
      <c r="R623" s="88"/>
      <c r="S623" s="88"/>
      <c r="T623" s="88"/>
      <c r="U623" s="88"/>
      <c r="V623" s="88"/>
      <c r="W623" s="88"/>
      <c r="X623" s="88"/>
      <c r="Y623" s="88"/>
      <c r="Z623" s="88"/>
      <c r="AA623" s="88"/>
      <c r="AB623" s="128"/>
      <c r="AC623" s="128"/>
      <c r="AD623" s="128"/>
      <c r="AE623" s="128"/>
      <c r="AF623" s="128"/>
      <c r="AG623" s="128"/>
      <c r="AH623" s="127"/>
    </row>
    <row r="624" spans="1:34" ht="13.2">
      <c r="A624" s="88"/>
      <c r="B624" s="88"/>
      <c r="C624" s="88"/>
      <c r="D624" s="88"/>
      <c r="E624" s="88"/>
      <c r="F624" s="88"/>
      <c r="G624" s="88"/>
      <c r="H624" s="88"/>
      <c r="I624" s="88"/>
      <c r="J624" s="88"/>
      <c r="K624" s="88"/>
      <c r="L624" s="88"/>
      <c r="M624" s="88"/>
      <c r="N624" s="88"/>
      <c r="O624" s="88"/>
      <c r="P624" s="88"/>
      <c r="Q624" s="88"/>
      <c r="R624" s="88"/>
      <c r="S624" s="88"/>
      <c r="T624" s="88"/>
      <c r="U624" s="88"/>
      <c r="V624" s="88"/>
      <c r="W624" s="88"/>
      <c r="X624" s="88"/>
      <c r="Y624" s="88"/>
      <c r="Z624" s="88"/>
      <c r="AA624" s="88"/>
      <c r="AB624" s="128"/>
      <c r="AC624" s="128"/>
      <c r="AD624" s="128"/>
      <c r="AE624" s="128"/>
      <c r="AF624" s="128"/>
      <c r="AG624" s="128"/>
      <c r="AH624" s="127"/>
    </row>
    <row r="625" spans="1:34" ht="13.2">
      <c r="A625" s="88"/>
      <c r="B625" s="88"/>
      <c r="C625" s="88"/>
      <c r="D625" s="88"/>
      <c r="E625" s="88"/>
      <c r="F625" s="88"/>
      <c r="G625" s="88"/>
      <c r="H625" s="88"/>
      <c r="I625" s="88"/>
      <c r="J625" s="88"/>
      <c r="K625" s="88"/>
      <c r="L625" s="88"/>
      <c r="M625" s="88"/>
      <c r="N625" s="88"/>
      <c r="O625" s="88"/>
      <c r="P625" s="88"/>
      <c r="Q625" s="88"/>
      <c r="R625" s="88"/>
      <c r="S625" s="88"/>
      <c r="T625" s="88"/>
      <c r="U625" s="88"/>
      <c r="V625" s="88"/>
      <c r="W625" s="88"/>
      <c r="X625" s="88"/>
      <c r="Y625" s="88"/>
      <c r="Z625" s="88"/>
      <c r="AA625" s="88"/>
      <c r="AB625" s="128"/>
      <c r="AC625" s="128"/>
      <c r="AD625" s="128"/>
      <c r="AE625" s="128"/>
      <c r="AF625" s="128"/>
      <c r="AG625" s="128"/>
      <c r="AH625" s="127"/>
    </row>
    <row r="626" spans="1:34" ht="13.2">
      <c r="A626" s="88"/>
      <c r="B626" s="88"/>
      <c r="C626" s="88"/>
      <c r="D626" s="88"/>
      <c r="E626" s="88"/>
      <c r="F626" s="88"/>
      <c r="G626" s="88"/>
      <c r="H626" s="88"/>
      <c r="I626" s="88"/>
      <c r="J626" s="88"/>
      <c r="K626" s="88"/>
      <c r="L626" s="88"/>
      <c r="M626" s="88"/>
      <c r="N626" s="88"/>
      <c r="O626" s="88"/>
      <c r="P626" s="88"/>
      <c r="Q626" s="88"/>
      <c r="R626" s="88"/>
      <c r="S626" s="88"/>
      <c r="T626" s="88"/>
      <c r="U626" s="88"/>
      <c r="V626" s="88"/>
      <c r="W626" s="88"/>
      <c r="X626" s="88"/>
      <c r="Y626" s="88"/>
      <c r="Z626" s="88"/>
      <c r="AA626" s="88"/>
      <c r="AB626" s="128"/>
      <c r="AC626" s="128"/>
      <c r="AD626" s="128"/>
      <c r="AE626" s="128"/>
      <c r="AF626" s="128"/>
      <c r="AG626" s="128"/>
      <c r="AH626" s="127"/>
    </row>
    <row r="627" spans="1:34" ht="13.2">
      <c r="A627" s="88"/>
      <c r="B627" s="88"/>
      <c r="C627" s="88"/>
      <c r="D627" s="88"/>
      <c r="E627" s="88"/>
      <c r="F627" s="88"/>
      <c r="G627" s="88"/>
      <c r="H627" s="88"/>
      <c r="I627" s="88"/>
      <c r="J627" s="88"/>
      <c r="K627" s="88"/>
      <c r="L627" s="88"/>
      <c r="M627" s="88"/>
      <c r="N627" s="88"/>
      <c r="O627" s="88"/>
      <c r="P627" s="88"/>
      <c r="Q627" s="88"/>
      <c r="R627" s="88"/>
      <c r="S627" s="88"/>
      <c r="T627" s="88"/>
      <c r="U627" s="88"/>
      <c r="V627" s="88"/>
      <c r="W627" s="88"/>
      <c r="X627" s="88"/>
      <c r="Y627" s="88"/>
      <c r="Z627" s="88"/>
      <c r="AA627" s="88"/>
      <c r="AB627" s="128"/>
      <c r="AC627" s="128"/>
      <c r="AD627" s="128"/>
      <c r="AE627" s="128"/>
      <c r="AF627" s="128"/>
      <c r="AG627" s="128"/>
      <c r="AH627" s="127"/>
    </row>
    <row r="628" spans="1:34" ht="13.2">
      <c r="A628" s="88"/>
      <c r="B628" s="88"/>
      <c r="C628" s="88"/>
      <c r="D628" s="88"/>
      <c r="E628" s="88"/>
      <c r="F628" s="88"/>
      <c r="G628" s="88"/>
      <c r="H628" s="88"/>
      <c r="I628" s="88"/>
      <c r="J628" s="88"/>
      <c r="K628" s="88"/>
      <c r="L628" s="88"/>
      <c r="M628" s="88"/>
      <c r="N628" s="88"/>
      <c r="O628" s="88"/>
      <c r="P628" s="88"/>
      <c r="Q628" s="88"/>
      <c r="R628" s="88"/>
      <c r="S628" s="88"/>
      <c r="T628" s="88"/>
      <c r="U628" s="88"/>
      <c r="V628" s="88"/>
      <c r="W628" s="88"/>
      <c r="X628" s="88"/>
      <c r="Y628" s="88"/>
      <c r="Z628" s="88"/>
      <c r="AA628" s="88"/>
      <c r="AB628" s="128"/>
      <c r="AC628" s="128"/>
      <c r="AD628" s="128"/>
      <c r="AE628" s="128"/>
      <c r="AF628" s="128"/>
      <c r="AG628" s="128"/>
      <c r="AH628" s="127"/>
    </row>
    <row r="629" spans="1:34" ht="13.2">
      <c r="A629" s="88"/>
      <c r="B629" s="88"/>
      <c r="C629" s="88"/>
      <c r="D629" s="88"/>
      <c r="E629" s="88"/>
      <c r="F629" s="88"/>
      <c r="G629" s="88"/>
      <c r="H629" s="88"/>
      <c r="I629" s="88"/>
      <c r="J629" s="88"/>
      <c r="K629" s="88"/>
      <c r="L629" s="88"/>
      <c r="M629" s="88"/>
      <c r="N629" s="88"/>
      <c r="O629" s="88"/>
      <c r="P629" s="88"/>
      <c r="Q629" s="88"/>
      <c r="R629" s="88"/>
      <c r="S629" s="88"/>
      <c r="T629" s="88"/>
      <c r="U629" s="88"/>
      <c r="V629" s="88"/>
      <c r="W629" s="88"/>
      <c r="X629" s="88"/>
      <c r="Y629" s="88"/>
      <c r="Z629" s="88"/>
      <c r="AA629" s="88"/>
      <c r="AB629" s="128"/>
      <c r="AC629" s="128"/>
      <c r="AD629" s="128"/>
      <c r="AE629" s="128"/>
      <c r="AF629" s="128"/>
      <c r="AG629" s="128"/>
      <c r="AH629" s="127"/>
    </row>
    <row r="630" spans="1:34" ht="13.2">
      <c r="A630" s="88"/>
      <c r="B630" s="88"/>
      <c r="C630" s="88"/>
      <c r="D630" s="88"/>
      <c r="E630" s="88"/>
      <c r="F630" s="88"/>
      <c r="G630" s="88"/>
      <c r="H630" s="88"/>
      <c r="I630" s="88"/>
      <c r="J630" s="88"/>
      <c r="K630" s="88"/>
      <c r="L630" s="88"/>
      <c r="M630" s="88"/>
      <c r="N630" s="88"/>
      <c r="O630" s="88"/>
      <c r="P630" s="88"/>
      <c r="Q630" s="88"/>
      <c r="R630" s="88"/>
      <c r="S630" s="88"/>
      <c r="T630" s="88"/>
      <c r="U630" s="88"/>
      <c r="V630" s="88"/>
      <c r="W630" s="88"/>
      <c r="X630" s="88"/>
      <c r="Y630" s="88"/>
      <c r="Z630" s="88"/>
      <c r="AA630" s="88"/>
      <c r="AB630" s="128"/>
      <c r="AC630" s="128"/>
      <c r="AD630" s="128"/>
      <c r="AE630" s="128"/>
      <c r="AF630" s="128"/>
      <c r="AG630" s="128"/>
      <c r="AH630" s="127"/>
    </row>
    <row r="631" spans="1:34" ht="13.2">
      <c r="A631" s="88"/>
      <c r="B631" s="88"/>
      <c r="C631" s="88"/>
      <c r="D631" s="88"/>
      <c r="E631" s="88"/>
      <c r="F631" s="88"/>
      <c r="G631" s="88"/>
      <c r="H631" s="88"/>
      <c r="I631" s="88"/>
      <c r="J631" s="88"/>
      <c r="K631" s="88"/>
      <c r="L631" s="88"/>
      <c r="M631" s="88"/>
      <c r="N631" s="88"/>
      <c r="O631" s="88"/>
      <c r="P631" s="88"/>
      <c r="Q631" s="88"/>
      <c r="R631" s="88"/>
      <c r="S631" s="88"/>
      <c r="T631" s="88"/>
      <c r="U631" s="88"/>
      <c r="V631" s="88"/>
      <c r="W631" s="88"/>
      <c r="X631" s="88"/>
      <c r="Y631" s="88"/>
      <c r="Z631" s="88"/>
      <c r="AA631" s="88"/>
      <c r="AB631" s="128"/>
      <c r="AC631" s="128"/>
      <c r="AD631" s="128"/>
      <c r="AE631" s="128"/>
      <c r="AF631" s="128"/>
      <c r="AG631" s="128"/>
      <c r="AH631" s="127"/>
    </row>
    <row r="632" spans="1:34" ht="13.2">
      <c r="A632" s="88"/>
      <c r="B632" s="88"/>
      <c r="C632" s="88"/>
      <c r="D632" s="88"/>
      <c r="E632" s="88"/>
      <c r="F632" s="88"/>
      <c r="G632" s="88"/>
      <c r="H632" s="88"/>
      <c r="I632" s="88"/>
      <c r="J632" s="88"/>
      <c r="K632" s="88"/>
      <c r="L632" s="88"/>
      <c r="M632" s="88"/>
      <c r="N632" s="88"/>
      <c r="O632" s="88"/>
      <c r="P632" s="88"/>
      <c r="Q632" s="88"/>
      <c r="R632" s="88"/>
      <c r="S632" s="88"/>
      <c r="T632" s="88"/>
      <c r="U632" s="88"/>
      <c r="V632" s="88"/>
      <c r="W632" s="88"/>
      <c r="X632" s="88"/>
      <c r="Y632" s="88"/>
      <c r="Z632" s="88"/>
      <c r="AA632" s="88"/>
      <c r="AB632" s="128"/>
      <c r="AC632" s="128"/>
      <c r="AD632" s="128"/>
      <c r="AE632" s="128"/>
      <c r="AF632" s="128"/>
      <c r="AG632" s="128"/>
      <c r="AH632" s="127"/>
    </row>
    <row r="633" spans="1:34" ht="13.2">
      <c r="A633" s="88"/>
      <c r="B633" s="88"/>
      <c r="C633" s="88"/>
      <c r="D633" s="88"/>
      <c r="E633" s="88"/>
      <c r="F633" s="88"/>
      <c r="G633" s="88"/>
      <c r="H633" s="88"/>
      <c r="I633" s="88"/>
      <c r="J633" s="88"/>
      <c r="K633" s="88"/>
      <c r="L633" s="88"/>
      <c r="M633" s="88"/>
      <c r="N633" s="88"/>
      <c r="O633" s="88"/>
      <c r="P633" s="88"/>
      <c r="Q633" s="88"/>
      <c r="R633" s="88"/>
      <c r="S633" s="88"/>
      <c r="T633" s="88"/>
      <c r="U633" s="88"/>
      <c r="V633" s="88"/>
      <c r="W633" s="88"/>
      <c r="X633" s="88"/>
      <c r="Y633" s="88"/>
      <c r="Z633" s="88"/>
      <c r="AA633" s="88"/>
      <c r="AB633" s="128"/>
      <c r="AC633" s="128"/>
      <c r="AD633" s="128"/>
      <c r="AE633" s="128"/>
      <c r="AF633" s="128"/>
      <c r="AG633" s="128"/>
      <c r="AH633" s="127"/>
    </row>
    <row r="634" spans="1:34" ht="13.2">
      <c r="A634" s="88"/>
      <c r="B634" s="88"/>
      <c r="C634" s="88"/>
      <c r="D634" s="88"/>
      <c r="E634" s="88"/>
      <c r="F634" s="88"/>
      <c r="G634" s="88"/>
      <c r="H634" s="88"/>
      <c r="I634" s="88"/>
      <c r="J634" s="88"/>
      <c r="K634" s="88"/>
      <c r="L634" s="88"/>
      <c r="M634" s="88"/>
      <c r="N634" s="88"/>
      <c r="O634" s="88"/>
      <c r="P634" s="88"/>
      <c r="Q634" s="88"/>
      <c r="R634" s="88"/>
      <c r="S634" s="88"/>
      <c r="T634" s="88"/>
      <c r="U634" s="88"/>
      <c r="V634" s="88"/>
      <c r="W634" s="88"/>
      <c r="X634" s="88"/>
      <c r="Y634" s="88"/>
      <c r="Z634" s="88"/>
      <c r="AA634" s="88"/>
      <c r="AB634" s="128"/>
      <c r="AC634" s="128"/>
      <c r="AD634" s="128"/>
      <c r="AE634" s="128"/>
      <c r="AF634" s="128"/>
      <c r="AG634" s="128"/>
      <c r="AH634" s="127"/>
    </row>
    <row r="635" spans="1:34" ht="13.2">
      <c r="A635" s="88"/>
      <c r="B635" s="88"/>
      <c r="C635" s="88"/>
      <c r="D635" s="88"/>
      <c r="E635" s="88"/>
      <c r="F635" s="88"/>
      <c r="G635" s="88"/>
      <c r="H635" s="88"/>
      <c r="I635" s="88"/>
      <c r="J635" s="88"/>
      <c r="K635" s="88"/>
      <c r="L635" s="88"/>
      <c r="M635" s="88"/>
      <c r="N635" s="88"/>
      <c r="O635" s="88"/>
      <c r="P635" s="88"/>
      <c r="Q635" s="88"/>
      <c r="R635" s="88"/>
      <c r="S635" s="88"/>
      <c r="T635" s="88"/>
      <c r="U635" s="88"/>
      <c r="V635" s="88"/>
      <c r="W635" s="88"/>
      <c r="X635" s="88"/>
      <c r="Y635" s="88"/>
      <c r="Z635" s="88"/>
      <c r="AA635" s="88"/>
      <c r="AB635" s="128"/>
      <c r="AC635" s="128"/>
      <c r="AD635" s="128"/>
      <c r="AE635" s="128"/>
      <c r="AF635" s="128"/>
      <c r="AG635" s="128"/>
      <c r="AH635" s="127"/>
    </row>
    <row r="636" spans="1:34" ht="13.2">
      <c r="A636" s="88"/>
      <c r="B636" s="88"/>
      <c r="C636" s="88"/>
      <c r="D636" s="88"/>
      <c r="E636" s="88"/>
      <c r="F636" s="88"/>
      <c r="G636" s="88"/>
      <c r="H636" s="88"/>
      <c r="I636" s="88"/>
      <c r="J636" s="88"/>
      <c r="K636" s="88"/>
      <c r="L636" s="88"/>
      <c r="M636" s="88"/>
      <c r="N636" s="88"/>
      <c r="O636" s="88"/>
      <c r="P636" s="88"/>
      <c r="Q636" s="88"/>
      <c r="R636" s="88"/>
      <c r="S636" s="88"/>
      <c r="T636" s="88"/>
      <c r="U636" s="88"/>
      <c r="V636" s="88"/>
      <c r="W636" s="88"/>
      <c r="X636" s="88"/>
      <c r="Y636" s="88"/>
      <c r="Z636" s="88"/>
      <c r="AA636" s="88"/>
      <c r="AB636" s="128"/>
      <c r="AC636" s="128"/>
      <c r="AD636" s="128"/>
      <c r="AE636" s="128"/>
      <c r="AF636" s="128"/>
      <c r="AG636" s="128"/>
      <c r="AH636" s="127"/>
    </row>
    <row r="637" spans="1:34" ht="13.2">
      <c r="A637" s="88"/>
      <c r="B637" s="88"/>
      <c r="C637" s="88"/>
      <c r="D637" s="88"/>
      <c r="E637" s="88"/>
      <c r="F637" s="88"/>
      <c r="G637" s="88"/>
      <c r="H637" s="88"/>
      <c r="I637" s="88"/>
      <c r="J637" s="88"/>
      <c r="K637" s="88"/>
      <c r="L637" s="88"/>
      <c r="M637" s="88"/>
      <c r="N637" s="88"/>
      <c r="O637" s="88"/>
      <c r="P637" s="88"/>
      <c r="Q637" s="88"/>
      <c r="R637" s="88"/>
      <c r="S637" s="88"/>
      <c r="T637" s="88"/>
      <c r="U637" s="88"/>
      <c r="V637" s="88"/>
      <c r="W637" s="88"/>
      <c r="X637" s="88"/>
      <c r="Y637" s="88"/>
      <c r="Z637" s="88"/>
      <c r="AA637" s="88"/>
      <c r="AB637" s="128"/>
      <c r="AC637" s="128"/>
      <c r="AD637" s="128"/>
      <c r="AE637" s="128"/>
      <c r="AF637" s="128"/>
      <c r="AG637" s="128"/>
      <c r="AH637" s="127"/>
    </row>
    <row r="638" spans="1:34" ht="13.2">
      <c r="A638" s="88"/>
      <c r="B638" s="88"/>
      <c r="C638" s="88"/>
      <c r="D638" s="88"/>
      <c r="E638" s="88"/>
      <c r="F638" s="88"/>
      <c r="G638" s="88"/>
      <c r="H638" s="88"/>
      <c r="I638" s="88"/>
      <c r="J638" s="88"/>
      <c r="K638" s="88"/>
      <c r="L638" s="88"/>
      <c r="M638" s="88"/>
      <c r="N638" s="88"/>
      <c r="O638" s="88"/>
      <c r="P638" s="88"/>
      <c r="Q638" s="88"/>
      <c r="R638" s="88"/>
      <c r="S638" s="88"/>
      <c r="T638" s="88"/>
      <c r="U638" s="88"/>
      <c r="V638" s="88"/>
      <c r="W638" s="88"/>
      <c r="X638" s="88"/>
      <c r="Y638" s="88"/>
      <c r="Z638" s="88"/>
      <c r="AA638" s="88"/>
      <c r="AB638" s="128"/>
      <c r="AC638" s="128"/>
      <c r="AD638" s="128"/>
      <c r="AE638" s="128"/>
      <c r="AF638" s="128"/>
      <c r="AG638" s="128"/>
      <c r="AH638" s="127"/>
    </row>
    <row r="639" spans="1:34" ht="13.2">
      <c r="A639" s="88"/>
      <c r="B639" s="88"/>
      <c r="C639" s="88"/>
      <c r="D639" s="88"/>
      <c r="E639" s="88"/>
      <c r="F639" s="88"/>
      <c r="G639" s="88"/>
      <c r="H639" s="88"/>
      <c r="I639" s="88"/>
      <c r="J639" s="88"/>
      <c r="K639" s="88"/>
      <c r="L639" s="88"/>
      <c r="M639" s="88"/>
      <c r="N639" s="88"/>
      <c r="O639" s="88"/>
      <c r="P639" s="88"/>
      <c r="Q639" s="88"/>
      <c r="R639" s="88"/>
      <c r="S639" s="88"/>
      <c r="T639" s="88"/>
      <c r="U639" s="88"/>
      <c r="V639" s="88"/>
      <c r="W639" s="88"/>
      <c r="X639" s="88"/>
      <c r="Y639" s="88"/>
      <c r="Z639" s="88"/>
      <c r="AA639" s="88"/>
      <c r="AB639" s="128"/>
      <c r="AC639" s="128"/>
      <c r="AD639" s="128"/>
      <c r="AE639" s="128"/>
      <c r="AF639" s="128"/>
      <c r="AG639" s="128"/>
      <c r="AH639" s="127"/>
    </row>
    <row r="640" spans="1:34" ht="13.2">
      <c r="A640" s="88"/>
      <c r="B640" s="88"/>
      <c r="C640" s="88"/>
      <c r="D640" s="88"/>
      <c r="E640" s="88"/>
      <c r="F640" s="88"/>
      <c r="G640" s="88"/>
      <c r="H640" s="88"/>
      <c r="I640" s="88"/>
      <c r="J640" s="88"/>
      <c r="K640" s="88"/>
      <c r="L640" s="88"/>
      <c r="M640" s="88"/>
      <c r="N640" s="88"/>
      <c r="O640" s="88"/>
      <c r="P640" s="88"/>
      <c r="Q640" s="88"/>
      <c r="R640" s="88"/>
      <c r="S640" s="88"/>
      <c r="T640" s="88"/>
      <c r="U640" s="88"/>
      <c r="V640" s="88"/>
      <c r="W640" s="88"/>
      <c r="X640" s="88"/>
      <c r="Y640" s="88"/>
      <c r="Z640" s="88"/>
      <c r="AA640" s="88"/>
      <c r="AB640" s="128"/>
      <c r="AC640" s="128"/>
      <c r="AD640" s="128"/>
      <c r="AE640" s="128"/>
      <c r="AF640" s="128"/>
      <c r="AG640" s="128"/>
      <c r="AH640" s="127"/>
    </row>
    <row r="641" spans="1:34" ht="13.2">
      <c r="A641" s="88"/>
      <c r="B641" s="88"/>
      <c r="C641" s="88"/>
      <c r="D641" s="88"/>
      <c r="E641" s="88"/>
      <c r="F641" s="88"/>
      <c r="G641" s="88"/>
      <c r="H641" s="88"/>
      <c r="I641" s="88"/>
      <c r="J641" s="88"/>
      <c r="K641" s="88"/>
      <c r="L641" s="88"/>
      <c r="M641" s="88"/>
      <c r="N641" s="88"/>
      <c r="O641" s="88"/>
      <c r="P641" s="88"/>
      <c r="Q641" s="88"/>
      <c r="R641" s="88"/>
      <c r="S641" s="88"/>
      <c r="T641" s="88"/>
      <c r="U641" s="88"/>
      <c r="V641" s="88"/>
      <c r="W641" s="88"/>
      <c r="X641" s="88"/>
      <c r="Y641" s="88"/>
      <c r="Z641" s="88"/>
      <c r="AA641" s="88"/>
      <c r="AB641" s="128"/>
      <c r="AC641" s="128"/>
      <c r="AD641" s="128"/>
      <c r="AE641" s="128"/>
      <c r="AF641" s="128"/>
      <c r="AG641" s="128"/>
      <c r="AH641" s="127"/>
    </row>
    <row r="642" spans="1:34" ht="13.2">
      <c r="A642" s="88"/>
      <c r="B642" s="88"/>
      <c r="C642" s="88"/>
      <c r="D642" s="88"/>
      <c r="E642" s="88"/>
      <c r="F642" s="88"/>
      <c r="G642" s="88"/>
      <c r="H642" s="88"/>
      <c r="I642" s="88"/>
      <c r="J642" s="88"/>
      <c r="K642" s="88"/>
      <c r="L642" s="88"/>
      <c r="M642" s="88"/>
      <c r="N642" s="88"/>
      <c r="O642" s="88"/>
      <c r="P642" s="88"/>
      <c r="Q642" s="88"/>
      <c r="R642" s="88"/>
      <c r="S642" s="88"/>
      <c r="T642" s="88"/>
      <c r="U642" s="88"/>
      <c r="V642" s="88"/>
      <c r="W642" s="88"/>
      <c r="X642" s="88"/>
      <c r="Y642" s="88"/>
      <c r="Z642" s="88"/>
      <c r="AA642" s="88"/>
      <c r="AB642" s="128"/>
      <c r="AC642" s="128"/>
      <c r="AD642" s="128"/>
      <c r="AE642" s="128"/>
      <c r="AF642" s="128"/>
      <c r="AG642" s="128"/>
      <c r="AH642" s="127"/>
    </row>
    <row r="643" spans="1:34" ht="13.2">
      <c r="A643" s="88"/>
      <c r="B643" s="88"/>
      <c r="C643" s="88"/>
      <c r="D643" s="88"/>
      <c r="E643" s="88"/>
      <c r="F643" s="88"/>
      <c r="G643" s="88"/>
      <c r="H643" s="88"/>
      <c r="I643" s="88"/>
      <c r="J643" s="88"/>
      <c r="K643" s="88"/>
      <c r="L643" s="88"/>
      <c r="M643" s="88"/>
      <c r="N643" s="88"/>
      <c r="O643" s="88"/>
      <c r="P643" s="88"/>
      <c r="Q643" s="88"/>
      <c r="R643" s="88"/>
      <c r="S643" s="88"/>
      <c r="T643" s="88"/>
      <c r="U643" s="88"/>
      <c r="V643" s="88"/>
      <c r="W643" s="88"/>
      <c r="X643" s="88"/>
      <c r="Y643" s="88"/>
      <c r="Z643" s="88"/>
      <c r="AA643" s="88"/>
      <c r="AB643" s="128"/>
      <c r="AC643" s="128"/>
      <c r="AD643" s="128"/>
      <c r="AE643" s="128"/>
      <c r="AF643" s="128"/>
      <c r="AG643" s="128"/>
      <c r="AH643" s="127"/>
    </row>
    <row r="644" spans="1:34" ht="13.2">
      <c r="A644" s="88"/>
      <c r="B644" s="88"/>
      <c r="C644" s="88"/>
      <c r="D644" s="88"/>
      <c r="E644" s="88"/>
      <c r="F644" s="88"/>
      <c r="G644" s="88"/>
      <c r="H644" s="88"/>
      <c r="I644" s="88"/>
      <c r="J644" s="88"/>
      <c r="K644" s="88"/>
      <c r="L644" s="88"/>
      <c r="M644" s="88"/>
      <c r="N644" s="88"/>
      <c r="O644" s="88"/>
      <c r="P644" s="88"/>
      <c r="Q644" s="88"/>
      <c r="R644" s="88"/>
      <c r="S644" s="88"/>
      <c r="T644" s="88"/>
      <c r="U644" s="88"/>
      <c r="V644" s="88"/>
      <c r="W644" s="88"/>
      <c r="X644" s="88"/>
      <c r="Y644" s="88"/>
      <c r="Z644" s="88"/>
      <c r="AA644" s="88"/>
      <c r="AB644" s="128"/>
      <c r="AC644" s="128"/>
      <c r="AD644" s="128"/>
      <c r="AE644" s="128"/>
      <c r="AF644" s="128"/>
      <c r="AG644" s="128"/>
      <c r="AH644" s="127"/>
    </row>
    <row r="645" spans="1:34" ht="13.2">
      <c r="A645" s="88"/>
      <c r="B645" s="88"/>
      <c r="C645" s="88"/>
      <c r="D645" s="88"/>
      <c r="E645" s="88"/>
      <c r="F645" s="88"/>
      <c r="G645" s="88"/>
      <c r="H645" s="88"/>
      <c r="I645" s="88"/>
      <c r="J645" s="88"/>
      <c r="K645" s="88"/>
      <c r="L645" s="88"/>
      <c r="M645" s="88"/>
      <c r="N645" s="88"/>
      <c r="O645" s="88"/>
      <c r="P645" s="88"/>
      <c r="Q645" s="88"/>
      <c r="R645" s="88"/>
      <c r="S645" s="88"/>
      <c r="T645" s="88"/>
      <c r="U645" s="88"/>
      <c r="V645" s="88"/>
      <c r="W645" s="88"/>
      <c r="X645" s="88"/>
      <c r="Y645" s="88"/>
      <c r="Z645" s="88"/>
      <c r="AA645" s="88"/>
      <c r="AB645" s="128"/>
      <c r="AC645" s="128"/>
      <c r="AD645" s="128"/>
      <c r="AE645" s="128"/>
      <c r="AF645" s="128"/>
      <c r="AG645" s="128"/>
      <c r="AH645" s="127"/>
    </row>
    <row r="646" spans="1:34" ht="13.2">
      <c r="A646" s="88"/>
      <c r="B646" s="88"/>
      <c r="C646" s="88"/>
      <c r="D646" s="88"/>
      <c r="E646" s="88"/>
      <c r="F646" s="88"/>
      <c r="G646" s="88"/>
      <c r="H646" s="88"/>
      <c r="I646" s="88"/>
      <c r="J646" s="88"/>
      <c r="K646" s="88"/>
      <c r="L646" s="88"/>
      <c r="M646" s="88"/>
      <c r="N646" s="88"/>
      <c r="O646" s="88"/>
      <c r="P646" s="88"/>
      <c r="Q646" s="88"/>
      <c r="R646" s="88"/>
      <c r="S646" s="88"/>
      <c r="T646" s="88"/>
      <c r="U646" s="88"/>
      <c r="V646" s="88"/>
      <c r="W646" s="88"/>
      <c r="X646" s="88"/>
      <c r="Y646" s="88"/>
      <c r="Z646" s="88"/>
      <c r="AA646" s="88"/>
      <c r="AB646" s="128"/>
      <c r="AC646" s="128"/>
      <c r="AD646" s="128"/>
      <c r="AE646" s="128"/>
      <c r="AF646" s="128"/>
      <c r="AG646" s="128"/>
      <c r="AH646" s="127"/>
    </row>
    <row r="647" spans="1:34" ht="13.2">
      <c r="A647" s="88"/>
      <c r="B647" s="88"/>
      <c r="C647" s="88"/>
      <c r="D647" s="88"/>
      <c r="E647" s="88"/>
      <c r="F647" s="88"/>
      <c r="G647" s="88"/>
      <c r="H647" s="88"/>
      <c r="I647" s="88"/>
      <c r="J647" s="88"/>
      <c r="K647" s="88"/>
      <c r="L647" s="88"/>
      <c r="M647" s="88"/>
      <c r="N647" s="88"/>
      <c r="O647" s="88"/>
      <c r="P647" s="88"/>
      <c r="Q647" s="88"/>
      <c r="R647" s="88"/>
      <c r="S647" s="88"/>
      <c r="T647" s="88"/>
      <c r="U647" s="88"/>
      <c r="V647" s="88"/>
      <c r="W647" s="88"/>
      <c r="X647" s="88"/>
      <c r="Y647" s="88"/>
      <c r="Z647" s="88"/>
      <c r="AA647" s="88"/>
      <c r="AB647" s="128"/>
      <c r="AC647" s="128"/>
      <c r="AD647" s="128"/>
      <c r="AE647" s="128"/>
      <c r="AF647" s="128"/>
      <c r="AG647" s="128"/>
      <c r="AH647" s="127"/>
    </row>
    <row r="648" spans="1:34" ht="13.2">
      <c r="A648" s="88"/>
      <c r="B648" s="88"/>
      <c r="C648" s="88"/>
      <c r="D648" s="88"/>
      <c r="E648" s="88"/>
      <c r="F648" s="88"/>
      <c r="G648" s="88"/>
      <c r="H648" s="88"/>
      <c r="I648" s="88"/>
      <c r="J648" s="88"/>
      <c r="K648" s="88"/>
      <c r="L648" s="88"/>
      <c r="M648" s="88"/>
      <c r="N648" s="88"/>
      <c r="O648" s="88"/>
      <c r="P648" s="88"/>
      <c r="Q648" s="88"/>
      <c r="R648" s="88"/>
      <c r="S648" s="88"/>
      <c r="T648" s="88"/>
      <c r="U648" s="88"/>
      <c r="V648" s="88"/>
      <c r="W648" s="88"/>
      <c r="X648" s="88"/>
      <c r="Y648" s="88"/>
      <c r="Z648" s="88"/>
      <c r="AA648" s="88"/>
      <c r="AB648" s="128"/>
      <c r="AC648" s="128"/>
      <c r="AD648" s="128"/>
      <c r="AE648" s="128"/>
      <c r="AF648" s="128"/>
      <c r="AG648" s="128"/>
      <c r="AH648" s="127"/>
    </row>
    <row r="649" spans="1:34" ht="13.2">
      <c r="A649" s="88"/>
      <c r="B649" s="88"/>
      <c r="C649" s="88"/>
      <c r="D649" s="88"/>
      <c r="E649" s="88"/>
      <c r="F649" s="88"/>
      <c r="G649" s="88"/>
      <c r="H649" s="88"/>
      <c r="I649" s="88"/>
      <c r="J649" s="88"/>
      <c r="K649" s="88"/>
      <c r="L649" s="88"/>
      <c r="M649" s="88"/>
      <c r="N649" s="88"/>
      <c r="O649" s="88"/>
      <c r="P649" s="88"/>
      <c r="Q649" s="88"/>
      <c r="R649" s="88"/>
      <c r="S649" s="88"/>
      <c r="T649" s="88"/>
      <c r="U649" s="88"/>
      <c r="V649" s="88"/>
      <c r="W649" s="88"/>
      <c r="X649" s="88"/>
      <c r="Y649" s="88"/>
      <c r="Z649" s="88"/>
      <c r="AA649" s="88"/>
      <c r="AB649" s="128"/>
      <c r="AC649" s="128"/>
      <c r="AD649" s="128"/>
      <c r="AE649" s="128"/>
      <c r="AF649" s="128"/>
      <c r="AG649" s="128"/>
      <c r="AH649" s="127"/>
    </row>
    <row r="650" spans="1:34" ht="13.2">
      <c r="A650" s="88"/>
      <c r="B650" s="88"/>
      <c r="C650" s="88"/>
      <c r="D650" s="88"/>
      <c r="E650" s="88"/>
      <c r="F650" s="88"/>
      <c r="G650" s="88"/>
      <c r="H650" s="88"/>
      <c r="I650" s="88"/>
      <c r="J650" s="88"/>
      <c r="K650" s="88"/>
      <c r="L650" s="88"/>
      <c r="M650" s="88"/>
      <c r="N650" s="88"/>
      <c r="O650" s="88"/>
      <c r="P650" s="88"/>
      <c r="Q650" s="88"/>
      <c r="R650" s="88"/>
      <c r="S650" s="88"/>
      <c r="T650" s="88"/>
      <c r="U650" s="88"/>
      <c r="V650" s="88"/>
      <c r="W650" s="88"/>
      <c r="X650" s="88"/>
      <c r="Y650" s="88"/>
      <c r="Z650" s="88"/>
      <c r="AA650" s="88"/>
      <c r="AB650" s="128"/>
      <c r="AC650" s="128"/>
      <c r="AD650" s="128"/>
      <c r="AE650" s="128"/>
      <c r="AF650" s="128"/>
      <c r="AG650" s="128"/>
      <c r="AH650" s="127"/>
    </row>
    <row r="651" spans="1:34" ht="13.2">
      <c r="A651" s="88"/>
      <c r="B651" s="88"/>
      <c r="C651" s="88"/>
      <c r="D651" s="88"/>
      <c r="E651" s="88"/>
      <c r="F651" s="88"/>
      <c r="G651" s="88"/>
      <c r="H651" s="88"/>
      <c r="I651" s="88"/>
      <c r="J651" s="88"/>
      <c r="K651" s="88"/>
      <c r="L651" s="88"/>
      <c r="M651" s="88"/>
      <c r="N651" s="88"/>
      <c r="O651" s="88"/>
      <c r="P651" s="88"/>
      <c r="Q651" s="88"/>
      <c r="R651" s="88"/>
      <c r="S651" s="88"/>
      <c r="T651" s="88"/>
      <c r="U651" s="88"/>
      <c r="V651" s="88"/>
      <c r="W651" s="88"/>
      <c r="X651" s="88"/>
      <c r="Y651" s="88"/>
      <c r="Z651" s="88"/>
      <c r="AA651" s="88"/>
      <c r="AB651" s="128"/>
      <c r="AC651" s="128"/>
      <c r="AD651" s="128"/>
      <c r="AE651" s="128"/>
      <c r="AF651" s="128"/>
      <c r="AG651" s="128"/>
      <c r="AH651" s="127"/>
    </row>
    <row r="652" spans="1:34" ht="13.2">
      <c r="A652" s="88"/>
      <c r="B652" s="88"/>
      <c r="C652" s="88"/>
      <c r="D652" s="88"/>
      <c r="E652" s="88"/>
      <c r="F652" s="88"/>
      <c r="G652" s="88"/>
      <c r="H652" s="88"/>
      <c r="I652" s="88"/>
      <c r="J652" s="88"/>
      <c r="K652" s="88"/>
      <c r="L652" s="88"/>
      <c r="M652" s="88"/>
      <c r="N652" s="88"/>
      <c r="O652" s="88"/>
      <c r="P652" s="88"/>
      <c r="Q652" s="88"/>
      <c r="R652" s="88"/>
      <c r="S652" s="88"/>
      <c r="T652" s="88"/>
      <c r="U652" s="88"/>
      <c r="V652" s="88"/>
      <c r="W652" s="88"/>
      <c r="X652" s="88"/>
      <c r="Y652" s="88"/>
      <c r="Z652" s="88"/>
      <c r="AA652" s="88"/>
      <c r="AB652" s="128"/>
      <c r="AC652" s="128"/>
      <c r="AD652" s="128"/>
      <c r="AE652" s="128"/>
      <c r="AF652" s="128"/>
      <c r="AG652" s="128"/>
      <c r="AH652" s="127"/>
    </row>
    <row r="653" spans="1:34" ht="13.2">
      <c r="A653" s="88"/>
      <c r="B653" s="88"/>
      <c r="C653" s="88"/>
      <c r="D653" s="88"/>
      <c r="E653" s="88"/>
      <c r="F653" s="88"/>
      <c r="G653" s="88"/>
      <c r="H653" s="88"/>
      <c r="I653" s="88"/>
      <c r="J653" s="88"/>
      <c r="K653" s="88"/>
      <c r="L653" s="88"/>
      <c r="M653" s="88"/>
      <c r="N653" s="88"/>
      <c r="O653" s="88"/>
      <c r="P653" s="88"/>
      <c r="Q653" s="88"/>
      <c r="R653" s="88"/>
      <c r="S653" s="88"/>
      <c r="T653" s="88"/>
      <c r="U653" s="88"/>
      <c r="V653" s="88"/>
      <c r="W653" s="88"/>
      <c r="X653" s="88"/>
      <c r="Y653" s="88"/>
      <c r="Z653" s="88"/>
      <c r="AA653" s="88"/>
      <c r="AB653" s="128"/>
      <c r="AC653" s="128"/>
      <c r="AD653" s="128"/>
      <c r="AE653" s="128"/>
      <c r="AF653" s="128"/>
      <c r="AG653" s="128"/>
      <c r="AH653" s="127"/>
    </row>
    <row r="654" spans="1:34" ht="13.2">
      <c r="A654" s="88"/>
      <c r="B654" s="88"/>
      <c r="C654" s="88"/>
      <c r="D654" s="88"/>
      <c r="E654" s="88"/>
      <c r="F654" s="88"/>
      <c r="G654" s="88"/>
      <c r="H654" s="88"/>
      <c r="I654" s="88"/>
      <c r="J654" s="88"/>
      <c r="K654" s="88"/>
      <c r="L654" s="88"/>
      <c r="M654" s="88"/>
      <c r="N654" s="88"/>
      <c r="O654" s="88"/>
      <c r="P654" s="88"/>
      <c r="Q654" s="88"/>
      <c r="R654" s="88"/>
      <c r="S654" s="88"/>
      <c r="T654" s="88"/>
      <c r="U654" s="88"/>
      <c r="V654" s="88"/>
      <c r="W654" s="88"/>
      <c r="X654" s="88"/>
      <c r="Y654" s="88"/>
      <c r="Z654" s="88"/>
      <c r="AA654" s="88"/>
      <c r="AB654" s="128"/>
      <c r="AC654" s="128"/>
      <c r="AD654" s="128"/>
      <c r="AE654" s="128"/>
      <c r="AF654" s="128"/>
      <c r="AG654" s="128"/>
      <c r="AH654" s="127"/>
    </row>
    <row r="655" spans="1:34" ht="13.2">
      <c r="A655" s="88"/>
      <c r="B655" s="88"/>
      <c r="C655" s="88"/>
      <c r="D655" s="88"/>
      <c r="E655" s="88"/>
      <c r="F655" s="88"/>
      <c r="G655" s="88"/>
      <c r="H655" s="88"/>
      <c r="I655" s="88"/>
      <c r="J655" s="88"/>
      <c r="K655" s="88"/>
      <c r="L655" s="88"/>
      <c r="M655" s="88"/>
      <c r="N655" s="88"/>
      <c r="O655" s="88"/>
      <c r="P655" s="88"/>
      <c r="Q655" s="88"/>
      <c r="R655" s="88"/>
      <c r="S655" s="88"/>
      <c r="T655" s="88"/>
      <c r="U655" s="88"/>
      <c r="V655" s="88"/>
      <c r="W655" s="88"/>
      <c r="X655" s="88"/>
      <c r="Y655" s="88"/>
      <c r="Z655" s="88"/>
      <c r="AA655" s="88"/>
      <c r="AB655" s="128"/>
      <c r="AC655" s="128"/>
      <c r="AD655" s="128"/>
      <c r="AE655" s="128"/>
      <c r="AF655" s="128"/>
      <c r="AG655" s="128"/>
      <c r="AH655" s="127"/>
    </row>
    <row r="656" spans="1:34" ht="13.2">
      <c r="A656" s="88"/>
      <c r="B656" s="88"/>
      <c r="C656" s="88"/>
      <c r="D656" s="88"/>
      <c r="E656" s="88"/>
      <c r="F656" s="88"/>
      <c r="G656" s="88"/>
      <c r="H656" s="88"/>
      <c r="I656" s="88"/>
      <c r="J656" s="88"/>
      <c r="K656" s="88"/>
      <c r="L656" s="88"/>
      <c r="M656" s="88"/>
      <c r="N656" s="88"/>
      <c r="O656" s="88"/>
      <c r="P656" s="88"/>
      <c r="Q656" s="88"/>
      <c r="R656" s="88"/>
      <c r="S656" s="88"/>
      <c r="T656" s="88"/>
      <c r="U656" s="88"/>
      <c r="V656" s="88"/>
      <c r="W656" s="88"/>
      <c r="X656" s="88"/>
      <c r="Y656" s="88"/>
      <c r="Z656" s="88"/>
      <c r="AA656" s="88"/>
      <c r="AB656" s="128"/>
      <c r="AC656" s="128"/>
      <c r="AD656" s="128"/>
      <c r="AE656" s="128"/>
      <c r="AF656" s="128"/>
      <c r="AG656" s="128"/>
      <c r="AH656" s="127"/>
    </row>
    <row r="657" spans="1:34" ht="13.2">
      <c r="A657" s="88"/>
      <c r="B657" s="88"/>
      <c r="C657" s="88"/>
      <c r="D657" s="88"/>
      <c r="E657" s="88"/>
      <c r="F657" s="88"/>
      <c r="G657" s="88"/>
      <c r="H657" s="88"/>
      <c r="I657" s="88"/>
      <c r="J657" s="88"/>
      <c r="K657" s="88"/>
      <c r="L657" s="88"/>
      <c r="M657" s="88"/>
      <c r="N657" s="88"/>
      <c r="O657" s="88"/>
      <c r="P657" s="88"/>
      <c r="Q657" s="88"/>
      <c r="R657" s="88"/>
      <c r="S657" s="88"/>
      <c r="T657" s="88"/>
      <c r="U657" s="88"/>
      <c r="V657" s="88"/>
      <c r="W657" s="88"/>
      <c r="X657" s="88"/>
      <c r="Y657" s="88"/>
      <c r="Z657" s="88"/>
      <c r="AA657" s="88"/>
      <c r="AB657" s="128"/>
      <c r="AC657" s="128"/>
      <c r="AD657" s="128"/>
      <c r="AE657" s="128"/>
      <c r="AF657" s="128"/>
      <c r="AG657" s="128"/>
      <c r="AH657" s="127"/>
    </row>
    <row r="658" spans="1:34" ht="13.2">
      <c r="A658" s="88"/>
      <c r="B658" s="88"/>
      <c r="C658" s="88"/>
      <c r="D658" s="88"/>
      <c r="E658" s="88"/>
      <c r="F658" s="88"/>
      <c r="G658" s="88"/>
      <c r="H658" s="88"/>
      <c r="I658" s="88"/>
      <c r="J658" s="88"/>
      <c r="K658" s="88"/>
      <c r="L658" s="88"/>
      <c r="M658" s="88"/>
      <c r="N658" s="88"/>
      <c r="O658" s="88"/>
      <c r="P658" s="88"/>
      <c r="Q658" s="88"/>
      <c r="R658" s="88"/>
      <c r="S658" s="88"/>
      <c r="T658" s="88"/>
      <c r="U658" s="88"/>
      <c r="V658" s="88"/>
      <c r="W658" s="88"/>
      <c r="X658" s="88"/>
      <c r="Y658" s="88"/>
      <c r="Z658" s="88"/>
      <c r="AA658" s="88"/>
      <c r="AB658" s="128"/>
      <c r="AC658" s="128"/>
      <c r="AD658" s="128"/>
      <c r="AE658" s="128"/>
      <c r="AF658" s="128"/>
      <c r="AG658" s="128"/>
      <c r="AH658" s="127"/>
    </row>
    <row r="659" spans="1:34" ht="13.2">
      <c r="A659" s="88"/>
      <c r="B659" s="88"/>
      <c r="C659" s="88"/>
      <c r="D659" s="88"/>
      <c r="E659" s="88"/>
      <c r="F659" s="88"/>
      <c r="G659" s="88"/>
      <c r="H659" s="88"/>
      <c r="I659" s="88"/>
      <c r="J659" s="88"/>
      <c r="K659" s="88"/>
      <c r="L659" s="88"/>
      <c r="M659" s="88"/>
      <c r="N659" s="88"/>
      <c r="O659" s="88"/>
      <c r="P659" s="88"/>
      <c r="Q659" s="88"/>
      <c r="R659" s="88"/>
      <c r="S659" s="88"/>
      <c r="T659" s="88"/>
      <c r="U659" s="88"/>
      <c r="V659" s="88"/>
      <c r="W659" s="88"/>
      <c r="X659" s="88"/>
      <c r="Y659" s="88"/>
      <c r="Z659" s="88"/>
      <c r="AA659" s="88"/>
      <c r="AB659" s="128"/>
      <c r="AC659" s="128"/>
      <c r="AD659" s="128"/>
      <c r="AE659" s="128"/>
      <c r="AF659" s="128"/>
      <c r="AG659" s="128"/>
      <c r="AH659" s="127"/>
    </row>
    <row r="660" spans="1:34" ht="13.2">
      <c r="A660" s="88"/>
      <c r="B660" s="88"/>
      <c r="C660" s="88"/>
      <c r="D660" s="88"/>
      <c r="E660" s="88"/>
      <c r="F660" s="88"/>
      <c r="G660" s="88"/>
      <c r="H660" s="88"/>
      <c r="I660" s="88"/>
      <c r="J660" s="88"/>
      <c r="K660" s="88"/>
      <c r="L660" s="88"/>
      <c r="M660" s="88"/>
      <c r="N660" s="88"/>
      <c r="O660" s="88"/>
      <c r="P660" s="88"/>
      <c r="Q660" s="88"/>
      <c r="R660" s="88"/>
      <c r="S660" s="88"/>
      <c r="T660" s="88"/>
      <c r="U660" s="88"/>
      <c r="V660" s="88"/>
      <c r="W660" s="88"/>
      <c r="X660" s="88"/>
      <c r="Y660" s="88"/>
      <c r="Z660" s="88"/>
      <c r="AA660" s="88"/>
      <c r="AB660" s="128"/>
      <c r="AC660" s="128"/>
      <c r="AD660" s="128"/>
      <c r="AE660" s="128"/>
      <c r="AF660" s="128"/>
      <c r="AG660" s="128"/>
      <c r="AH660" s="127"/>
    </row>
    <row r="661" spans="1:34" ht="13.2">
      <c r="A661" s="88"/>
      <c r="B661" s="88"/>
      <c r="C661" s="88"/>
      <c r="D661" s="88"/>
      <c r="E661" s="88"/>
      <c r="F661" s="88"/>
      <c r="G661" s="88"/>
      <c r="H661" s="88"/>
      <c r="I661" s="88"/>
      <c r="J661" s="88"/>
      <c r="K661" s="88"/>
      <c r="L661" s="88"/>
      <c r="M661" s="88"/>
      <c r="N661" s="88"/>
      <c r="O661" s="88"/>
      <c r="P661" s="88"/>
      <c r="Q661" s="88"/>
      <c r="R661" s="88"/>
      <c r="S661" s="88"/>
      <c r="T661" s="88"/>
      <c r="U661" s="88"/>
      <c r="V661" s="88"/>
      <c r="W661" s="88"/>
      <c r="X661" s="88"/>
      <c r="Y661" s="88"/>
      <c r="Z661" s="88"/>
      <c r="AA661" s="88"/>
      <c r="AB661" s="128"/>
      <c r="AC661" s="128"/>
      <c r="AD661" s="128"/>
      <c r="AE661" s="128"/>
      <c r="AF661" s="128"/>
      <c r="AG661" s="128"/>
      <c r="AH661" s="127"/>
    </row>
    <row r="662" spans="1:34" ht="13.2">
      <c r="A662" s="88"/>
      <c r="B662" s="88"/>
      <c r="C662" s="88"/>
      <c r="D662" s="88"/>
      <c r="E662" s="88"/>
      <c r="F662" s="88"/>
      <c r="G662" s="88"/>
      <c r="H662" s="88"/>
      <c r="I662" s="88"/>
      <c r="J662" s="88"/>
      <c r="K662" s="88"/>
      <c r="L662" s="88"/>
      <c r="M662" s="88"/>
      <c r="N662" s="88"/>
      <c r="O662" s="88"/>
      <c r="P662" s="88"/>
      <c r="Q662" s="88"/>
      <c r="R662" s="88"/>
      <c r="S662" s="88"/>
      <c r="T662" s="88"/>
      <c r="U662" s="88"/>
      <c r="V662" s="88"/>
      <c r="W662" s="88"/>
      <c r="X662" s="88"/>
      <c r="Y662" s="88"/>
      <c r="Z662" s="88"/>
      <c r="AA662" s="88"/>
      <c r="AB662" s="128"/>
      <c r="AC662" s="128"/>
      <c r="AD662" s="128"/>
      <c r="AE662" s="128"/>
      <c r="AF662" s="128"/>
      <c r="AG662" s="128"/>
      <c r="AH662" s="127"/>
    </row>
    <row r="663" spans="1:34" ht="13.2">
      <c r="A663" s="88"/>
      <c r="B663" s="88"/>
      <c r="C663" s="88"/>
      <c r="D663" s="88"/>
      <c r="E663" s="88"/>
      <c r="F663" s="88"/>
      <c r="G663" s="88"/>
      <c r="H663" s="88"/>
      <c r="I663" s="88"/>
      <c r="J663" s="88"/>
      <c r="K663" s="88"/>
      <c r="L663" s="88"/>
      <c r="M663" s="88"/>
      <c r="N663" s="88"/>
      <c r="O663" s="88"/>
      <c r="P663" s="88"/>
      <c r="Q663" s="88"/>
      <c r="R663" s="88"/>
      <c r="S663" s="88"/>
      <c r="T663" s="88"/>
      <c r="U663" s="88"/>
      <c r="V663" s="88"/>
      <c r="W663" s="88"/>
      <c r="X663" s="88"/>
      <c r="Y663" s="88"/>
      <c r="Z663" s="88"/>
      <c r="AA663" s="88"/>
      <c r="AB663" s="128"/>
      <c r="AC663" s="128"/>
      <c r="AD663" s="128"/>
      <c r="AE663" s="128"/>
      <c r="AF663" s="128"/>
      <c r="AG663" s="128"/>
      <c r="AH663" s="127"/>
    </row>
    <row r="664" spans="1:34" ht="13.2">
      <c r="A664" s="88"/>
      <c r="B664" s="88"/>
      <c r="C664" s="88"/>
      <c r="D664" s="88"/>
      <c r="E664" s="88"/>
      <c r="F664" s="88"/>
      <c r="G664" s="88"/>
      <c r="H664" s="88"/>
      <c r="I664" s="88"/>
      <c r="J664" s="88"/>
      <c r="K664" s="88"/>
      <c r="L664" s="88"/>
      <c r="M664" s="88"/>
      <c r="N664" s="88"/>
      <c r="O664" s="88"/>
      <c r="P664" s="88"/>
      <c r="Q664" s="88"/>
      <c r="R664" s="88"/>
      <c r="S664" s="88"/>
      <c r="T664" s="88"/>
      <c r="U664" s="88"/>
      <c r="V664" s="88"/>
      <c r="W664" s="88"/>
      <c r="X664" s="88"/>
      <c r="Y664" s="88"/>
      <c r="Z664" s="88"/>
      <c r="AA664" s="88"/>
      <c r="AB664" s="128"/>
      <c r="AC664" s="128"/>
      <c r="AD664" s="128"/>
      <c r="AE664" s="128"/>
      <c r="AF664" s="128"/>
      <c r="AG664" s="128"/>
      <c r="AH664" s="127"/>
    </row>
    <row r="665" spans="1:34" ht="13.2">
      <c r="A665" s="88"/>
      <c r="B665" s="88"/>
      <c r="C665" s="88"/>
      <c r="D665" s="88"/>
      <c r="E665" s="88"/>
      <c r="F665" s="88"/>
      <c r="G665" s="88"/>
      <c r="H665" s="88"/>
      <c r="I665" s="88"/>
      <c r="J665" s="88"/>
      <c r="K665" s="88"/>
      <c r="L665" s="88"/>
      <c r="M665" s="88"/>
      <c r="N665" s="88"/>
      <c r="O665" s="88"/>
      <c r="P665" s="88"/>
      <c r="Q665" s="88"/>
      <c r="R665" s="88"/>
      <c r="S665" s="88"/>
      <c r="T665" s="88"/>
      <c r="U665" s="88"/>
      <c r="V665" s="88"/>
      <c r="W665" s="88"/>
      <c r="X665" s="88"/>
      <c r="Y665" s="88"/>
      <c r="Z665" s="88"/>
      <c r="AA665" s="88"/>
      <c r="AB665" s="128"/>
      <c r="AC665" s="128"/>
      <c r="AD665" s="128"/>
      <c r="AE665" s="128"/>
      <c r="AF665" s="128"/>
      <c r="AG665" s="128"/>
      <c r="AH665" s="127"/>
    </row>
    <row r="666" spans="1:34" ht="13.2">
      <c r="A666" s="88"/>
      <c r="B666" s="88"/>
      <c r="C666" s="88"/>
      <c r="D666" s="88"/>
      <c r="E666" s="88"/>
      <c r="F666" s="88"/>
      <c r="G666" s="88"/>
      <c r="H666" s="88"/>
      <c r="I666" s="88"/>
      <c r="J666" s="88"/>
      <c r="K666" s="88"/>
      <c r="L666" s="88"/>
      <c r="M666" s="88"/>
      <c r="N666" s="88"/>
      <c r="O666" s="88"/>
      <c r="P666" s="88"/>
      <c r="Q666" s="88"/>
      <c r="R666" s="88"/>
      <c r="S666" s="88"/>
      <c r="T666" s="88"/>
      <c r="U666" s="88"/>
      <c r="V666" s="88"/>
      <c r="W666" s="88"/>
      <c r="X666" s="88"/>
      <c r="Y666" s="88"/>
      <c r="Z666" s="88"/>
      <c r="AA666" s="88"/>
      <c r="AB666" s="128"/>
      <c r="AC666" s="128"/>
      <c r="AD666" s="128"/>
      <c r="AE666" s="128"/>
      <c r="AF666" s="128"/>
      <c r="AG666" s="128"/>
      <c r="AH666" s="127"/>
    </row>
    <row r="667" spans="1:34" ht="13.2">
      <c r="A667" s="88"/>
      <c r="B667" s="88"/>
      <c r="C667" s="88"/>
      <c r="D667" s="88"/>
      <c r="E667" s="88"/>
      <c r="F667" s="88"/>
      <c r="G667" s="88"/>
      <c r="H667" s="88"/>
      <c r="I667" s="88"/>
      <c r="J667" s="88"/>
      <c r="K667" s="88"/>
      <c r="L667" s="88"/>
      <c r="M667" s="88"/>
      <c r="N667" s="88"/>
      <c r="O667" s="88"/>
      <c r="P667" s="88"/>
      <c r="Q667" s="88"/>
      <c r="R667" s="88"/>
      <c r="S667" s="88"/>
      <c r="T667" s="88"/>
      <c r="U667" s="88"/>
      <c r="V667" s="88"/>
      <c r="W667" s="88"/>
      <c r="X667" s="88"/>
      <c r="Y667" s="88"/>
      <c r="Z667" s="88"/>
      <c r="AA667" s="88"/>
      <c r="AB667" s="128"/>
      <c r="AC667" s="128"/>
      <c r="AD667" s="128"/>
      <c r="AE667" s="128"/>
      <c r="AF667" s="128"/>
      <c r="AG667" s="128"/>
      <c r="AH667" s="127"/>
    </row>
    <row r="668" spans="1:34" ht="13.2">
      <c r="A668" s="88"/>
      <c r="B668" s="88"/>
      <c r="C668" s="88"/>
      <c r="D668" s="88"/>
      <c r="E668" s="88"/>
      <c r="F668" s="88"/>
      <c r="G668" s="88"/>
      <c r="H668" s="88"/>
      <c r="I668" s="88"/>
      <c r="J668" s="88"/>
      <c r="K668" s="88"/>
      <c r="L668" s="88"/>
      <c r="M668" s="88"/>
      <c r="N668" s="88"/>
      <c r="O668" s="88"/>
      <c r="P668" s="88"/>
      <c r="Q668" s="88"/>
      <c r="R668" s="88"/>
      <c r="S668" s="88"/>
      <c r="T668" s="88"/>
      <c r="U668" s="88"/>
      <c r="V668" s="88"/>
      <c r="W668" s="88"/>
      <c r="X668" s="88"/>
      <c r="Y668" s="88"/>
      <c r="Z668" s="88"/>
      <c r="AA668" s="88"/>
      <c r="AB668" s="128"/>
      <c r="AC668" s="128"/>
      <c r="AD668" s="128"/>
      <c r="AE668" s="128"/>
      <c r="AF668" s="128"/>
      <c r="AG668" s="128"/>
      <c r="AH668" s="127"/>
    </row>
    <row r="669" spans="1:34" ht="13.2">
      <c r="A669" s="88"/>
      <c r="B669" s="88"/>
      <c r="C669" s="88"/>
      <c r="D669" s="88"/>
      <c r="E669" s="88"/>
      <c r="F669" s="88"/>
      <c r="G669" s="88"/>
      <c r="H669" s="88"/>
      <c r="I669" s="88"/>
      <c r="J669" s="88"/>
      <c r="K669" s="88"/>
      <c r="L669" s="88"/>
      <c r="M669" s="88"/>
      <c r="N669" s="88"/>
      <c r="O669" s="88"/>
      <c r="P669" s="88"/>
      <c r="Q669" s="88"/>
      <c r="R669" s="88"/>
      <c r="S669" s="88"/>
      <c r="T669" s="88"/>
      <c r="U669" s="88"/>
      <c r="V669" s="88"/>
      <c r="W669" s="88"/>
      <c r="X669" s="88"/>
      <c r="Y669" s="88"/>
      <c r="Z669" s="88"/>
      <c r="AA669" s="88"/>
      <c r="AB669" s="128"/>
      <c r="AC669" s="128"/>
      <c r="AD669" s="128"/>
      <c r="AE669" s="128"/>
      <c r="AF669" s="128"/>
      <c r="AG669" s="128"/>
      <c r="AH669" s="127"/>
    </row>
    <row r="670" spans="1:34" ht="13.2">
      <c r="A670" s="88"/>
      <c r="B670" s="88"/>
      <c r="C670" s="88"/>
      <c r="D670" s="88"/>
      <c r="E670" s="88"/>
      <c r="F670" s="88"/>
      <c r="G670" s="88"/>
      <c r="H670" s="88"/>
      <c r="I670" s="88"/>
      <c r="J670" s="88"/>
      <c r="K670" s="88"/>
      <c r="L670" s="88"/>
      <c r="M670" s="88"/>
      <c r="N670" s="88"/>
      <c r="O670" s="88"/>
      <c r="P670" s="88"/>
      <c r="Q670" s="88"/>
      <c r="R670" s="88"/>
      <c r="S670" s="88"/>
      <c r="T670" s="88"/>
      <c r="U670" s="88"/>
      <c r="V670" s="88"/>
      <c r="W670" s="88"/>
      <c r="X670" s="88"/>
      <c r="Y670" s="88"/>
      <c r="Z670" s="88"/>
      <c r="AA670" s="88"/>
      <c r="AB670" s="128"/>
      <c r="AC670" s="128"/>
      <c r="AD670" s="128"/>
      <c r="AE670" s="128"/>
      <c r="AF670" s="128"/>
      <c r="AG670" s="128"/>
      <c r="AH670" s="127"/>
    </row>
    <row r="671" spans="1:34" ht="13.2">
      <c r="A671" s="88"/>
      <c r="B671" s="88"/>
      <c r="C671" s="88"/>
      <c r="D671" s="88"/>
      <c r="E671" s="88"/>
      <c r="F671" s="88"/>
      <c r="G671" s="88"/>
      <c r="H671" s="88"/>
      <c r="I671" s="88"/>
      <c r="J671" s="88"/>
      <c r="K671" s="88"/>
      <c r="L671" s="88"/>
      <c r="M671" s="88"/>
      <c r="N671" s="88"/>
      <c r="O671" s="88"/>
      <c r="P671" s="88"/>
      <c r="Q671" s="88"/>
      <c r="R671" s="88"/>
      <c r="S671" s="88"/>
      <c r="T671" s="88"/>
      <c r="U671" s="88"/>
      <c r="V671" s="88"/>
      <c r="W671" s="88"/>
      <c r="X671" s="88"/>
      <c r="Y671" s="88"/>
      <c r="Z671" s="88"/>
      <c r="AA671" s="88"/>
      <c r="AB671" s="128"/>
      <c r="AC671" s="128"/>
      <c r="AD671" s="128"/>
      <c r="AE671" s="128"/>
      <c r="AF671" s="128"/>
      <c r="AG671" s="128"/>
      <c r="AH671" s="127"/>
    </row>
    <row r="672" spans="1:34" ht="13.2">
      <c r="A672" s="88"/>
      <c r="B672" s="88"/>
      <c r="C672" s="88"/>
      <c r="D672" s="88"/>
      <c r="E672" s="88"/>
      <c r="F672" s="88"/>
      <c r="G672" s="88"/>
      <c r="H672" s="88"/>
      <c r="I672" s="88"/>
      <c r="J672" s="88"/>
      <c r="K672" s="88"/>
      <c r="L672" s="88"/>
      <c r="M672" s="88"/>
      <c r="N672" s="88"/>
      <c r="O672" s="88"/>
      <c r="P672" s="88"/>
      <c r="Q672" s="88"/>
      <c r="R672" s="88"/>
      <c r="S672" s="88"/>
      <c r="T672" s="88"/>
      <c r="U672" s="88"/>
      <c r="V672" s="88"/>
      <c r="W672" s="88"/>
      <c r="X672" s="88"/>
      <c r="Y672" s="88"/>
      <c r="Z672" s="88"/>
      <c r="AA672" s="88"/>
      <c r="AB672" s="128"/>
      <c r="AC672" s="128"/>
      <c r="AD672" s="128"/>
      <c r="AE672" s="128"/>
      <c r="AF672" s="128"/>
      <c r="AG672" s="128"/>
      <c r="AH672" s="127"/>
    </row>
    <row r="673" spans="1:34" ht="13.2">
      <c r="A673" s="88"/>
      <c r="B673" s="88"/>
      <c r="C673" s="88"/>
      <c r="D673" s="88"/>
      <c r="E673" s="88"/>
      <c r="F673" s="88"/>
      <c r="G673" s="88"/>
      <c r="H673" s="88"/>
      <c r="I673" s="88"/>
      <c r="J673" s="88"/>
      <c r="K673" s="88"/>
      <c r="L673" s="88"/>
      <c r="M673" s="88"/>
      <c r="N673" s="88"/>
      <c r="O673" s="88"/>
      <c r="P673" s="88"/>
      <c r="Q673" s="88"/>
      <c r="R673" s="88"/>
      <c r="S673" s="88"/>
      <c r="T673" s="88"/>
      <c r="U673" s="88"/>
      <c r="V673" s="88"/>
      <c r="W673" s="88"/>
      <c r="X673" s="88"/>
      <c r="Y673" s="88"/>
      <c r="Z673" s="88"/>
      <c r="AA673" s="88"/>
      <c r="AB673" s="128"/>
      <c r="AC673" s="128"/>
      <c r="AD673" s="128"/>
      <c r="AE673" s="128"/>
      <c r="AF673" s="128"/>
      <c r="AG673" s="128"/>
      <c r="AH673" s="127"/>
    </row>
    <row r="674" spans="1:34" ht="13.2">
      <c r="A674" s="88"/>
      <c r="B674" s="88"/>
      <c r="C674" s="88"/>
      <c r="D674" s="88"/>
      <c r="E674" s="88"/>
      <c r="F674" s="88"/>
      <c r="G674" s="88"/>
      <c r="H674" s="88"/>
      <c r="I674" s="88"/>
      <c r="J674" s="88"/>
      <c r="K674" s="88"/>
      <c r="L674" s="88"/>
      <c r="M674" s="88"/>
      <c r="N674" s="88"/>
      <c r="O674" s="88"/>
      <c r="P674" s="88"/>
      <c r="Q674" s="88"/>
      <c r="R674" s="88"/>
      <c r="S674" s="88"/>
      <c r="T674" s="88"/>
      <c r="U674" s="88"/>
      <c r="V674" s="88"/>
      <c r="W674" s="88"/>
      <c r="X674" s="88"/>
      <c r="Y674" s="88"/>
      <c r="Z674" s="88"/>
      <c r="AA674" s="88"/>
      <c r="AB674" s="128"/>
      <c r="AC674" s="128"/>
      <c r="AD674" s="128"/>
      <c r="AE674" s="128"/>
      <c r="AF674" s="128"/>
      <c r="AG674" s="128"/>
      <c r="AH674" s="127"/>
    </row>
    <row r="675" spans="1:34" ht="13.2">
      <c r="A675" s="88"/>
      <c r="B675" s="88"/>
      <c r="C675" s="88"/>
      <c r="D675" s="88"/>
      <c r="E675" s="88"/>
      <c r="F675" s="88"/>
      <c r="G675" s="88"/>
      <c r="H675" s="88"/>
      <c r="I675" s="88"/>
      <c r="J675" s="88"/>
      <c r="K675" s="88"/>
      <c r="L675" s="88"/>
      <c r="M675" s="88"/>
      <c r="N675" s="88"/>
      <c r="O675" s="88"/>
      <c r="P675" s="88"/>
      <c r="Q675" s="88"/>
      <c r="R675" s="88"/>
      <c r="S675" s="88"/>
      <c r="T675" s="88"/>
      <c r="U675" s="88"/>
      <c r="V675" s="88"/>
      <c r="W675" s="88"/>
      <c r="X675" s="88"/>
      <c r="Y675" s="88"/>
      <c r="Z675" s="88"/>
      <c r="AA675" s="88"/>
      <c r="AB675" s="128"/>
      <c r="AC675" s="128"/>
      <c r="AD675" s="128"/>
      <c r="AE675" s="128"/>
      <c r="AF675" s="128"/>
      <c r="AG675" s="128"/>
      <c r="AH675" s="127"/>
    </row>
    <row r="676" spans="1:34" ht="13.2">
      <c r="A676" s="88"/>
      <c r="B676" s="88"/>
      <c r="C676" s="88"/>
      <c r="D676" s="88"/>
      <c r="E676" s="88"/>
      <c r="F676" s="88"/>
      <c r="G676" s="88"/>
      <c r="H676" s="88"/>
      <c r="I676" s="88"/>
      <c r="J676" s="88"/>
      <c r="K676" s="88"/>
      <c r="L676" s="88"/>
      <c r="M676" s="88"/>
      <c r="N676" s="88"/>
      <c r="O676" s="88"/>
      <c r="P676" s="88"/>
      <c r="Q676" s="88"/>
      <c r="R676" s="88"/>
      <c r="S676" s="88"/>
      <c r="T676" s="88"/>
      <c r="U676" s="88"/>
      <c r="V676" s="88"/>
      <c r="W676" s="88"/>
      <c r="X676" s="88"/>
      <c r="Y676" s="88"/>
      <c r="Z676" s="88"/>
      <c r="AA676" s="88"/>
      <c r="AB676" s="128"/>
      <c r="AC676" s="128"/>
      <c r="AD676" s="128"/>
      <c r="AE676" s="128"/>
      <c r="AF676" s="128"/>
      <c r="AG676" s="128"/>
      <c r="AH676" s="127"/>
    </row>
    <row r="677" spans="1:34" ht="13.2">
      <c r="A677" s="88"/>
      <c r="B677" s="88"/>
      <c r="C677" s="88"/>
      <c r="D677" s="88"/>
      <c r="E677" s="88"/>
      <c r="F677" s="88"/>
      <c r="G677" s="88"/>
      <c r="H677" s="88"/>
      <c r="I677" s="88"/>
      <c r="J677" s="88"/>
      <c r="K677" s="88"/>
      <c r="L677" s="88"/>
      <c r="M677" s="88"/>
      <c r="N677" s="88"/>
      <c r="O677" s="88"/>
      <c r="P677" s="88"/>
      <c r="Q677" s="88"/>
      <c r="R677" s="88"/>
      <c r="S677" s="88"/>
      <c r="T677" s="88"/>
      <c r="U677" s="88"/>
      <c r="V677" s="88"/>
      <c r="W677" s="88"/>
      <c r="X677" s="88"/>
      <c r="Y677" s="88"/>
      <c r="Z677" s="88"/>
      <c r="AA677" s="88"/>
      <c r="AB677" s="128"/>
      <c r="AC677" s="128"/>
      <c r="AD677" s="128"/>
      <c r="AE677" s="128"/>
      <c r="AF677" s="128"/>
      <c r="AG677" s="128"/>
      <c r="AH677" s="127"/>
    </row>
    <row r="678" spans="1:34" ht="13.2">
      <c r="A678" s="88"/>
      <c r="B678" s="88"/>
      <c r="C678" s="88"/>
      <c r="D678" s="88"/>
      <c r="E678" s="88"/>
      <c r="F678" s="88"/>
      <c r="G678" s="88"/>
      <c r="H678" s="88"/>
      <c r="I678" s="88"/>
      <c r="J678" s="88"/>
      <c r="K678" s="88"/>
      <c r="L678" s="88"/>
      <c r="M678" s="88"/>
      <c r="N678" s="88"/>
      <c r="O678" s="88"/>
      <c r="P678" s="88"/>
      <c r="Q678" s="88"/>
      <c r="R678" s="88"/>
      <c r="S678" s="88"/>
      <c r="T678" s="88"/>
      <c r="U678" s="88"/>
      <c r="V678" s="88"/>
      <c r="W678" s="88"/>
      <c r="X678" s="88"/>
      <c r="Y678" s="88"/>
      <c r="Z678" s="88"/>
      <c r="AA678" s="88"/>
      <c r="AB678" s="128"/>
      <c r="AC678" s="128"/>
      <c r="AD678" s="128"/>
      <c r="AE678" s="128"/>
      <c r="AF678" s="128"/>
      <c r="AG678" s="128"/>
      <c r="AH678" s="127"/>
    </row>
    <row r="679" spans="1:34" ht="13.2">
      <c r="A679" s="88"/>
      <c r="B679" s="88"/>
      <c r="C679" s="88"/>
      <c r="D679" s="88"/>
      <c r="E679" s="88"/>
      <c r="F679" s="88"/>
      <c r="G679" s="88"/>
      <c r="H679" s="88"/>
      <c r="I679" s="88"/>
      <c r="J679" s="88"/>
      <c r="K679" s="88"/>
      <c r="L679" s="88"/>
      <c r="M679" s="88"/>
      <c r="N679" s="88"/>
      <c r="O679" s="88"/>
      <c r="P679" s="88"/>
      <c r="Q679" s="88"/>
      <c r="R679" s="88"/>
      <c r="S679" s="88"/>
      <c r="T679" s="88"/>
      <c r="U679" s="88"/>
      <c r="V679" s="88"/>
      <c r="W679" s="88"/>
      <c r="X679" s="88"/>
      <c r="Y679" s="88"/>
      <c r="Z679" s="88"/>
      <c r="AA679" s="88"/>
      <c r="AB679" s="128"/>
      <c r="AC679" s="128"/>
      <c r="AD679" s="128"/>
      <c r="AE679" s="128"/>
      <c r="AF679" s="128"/>
      <c r="AG679" s="128"/>
      <c r="AH679" s="127"/>
    </row>
    <row r="680" spans="1:34" ht="13.2">
      <c r="A680" s="88"/>
      <c r="B680" s="88"/>
      <c r="C680" s="88"/>
      <c r="D680" s="88"/>
      <c r="E680" s="88"/>
      <c r="F680" s="88"/>
      <c r="G680" s="88"/>
      <c r="H680" s="88"/>
      <c r="I680" s="88"/>
      <c r="J680" s="88"/>
      <c r="K680" s="88"/>
      <c r="L680" s="88"/>
      <c r="M680" s="88"/>
      <c r="N680" s="88"/>
      <c r="O680" s="88"/>
      <c r="P680" s="88"/>
      <c r="Q680" s="88"/>
      <c r="R680" s="88"/>
      <c r="S680" s="88"/>
      <c r="T680" s="88"/>
      <c r="U680" s="88"/>
      <c r="V680" s="88"/>
      <c r="W680" s="88"/>
      <c r="X680" s="88"/>
      <c r="Y680" s="88"/>
      <c r="Z680" s="88"/>
      <c r="AA680" s="88"/>
      <c r="AB680" s="128"/>
      <c r="AC680" s="128"/>
      <c r="AD680" s="128"/>
      <c r="AE680" s="128"/>
      <c r="AF680" s="128"/>
      <c r="AG680" s="128"/>
      <c r="AH680" s="127"/>
    </row>
    <row r="681" spans="1:34" ht="13.2">
      <c r="A681" s="88"/>
      <c r="B681" s="88"/>
      <c r="C681" s="88"/>
      <c r="D681" s="88"/>
      <c r="E681" s="88"/>
      <c r="F681" s="88"/>
      <c r="G681" s="88"/>
      <c r="H681" s="88"/>
      <c r="I681" s="88"/>
      <c r="J681" s="88"/>
      <c r="K681" s="88"/>
      <c r="L681" s="88"/>
      <c r="M681" s="88"/>
      <c r="N681" s="88"/>
      <c r="O681" s="88"/>
      <c r="P681" s="88"/>
      <c r="Q681" s="88"/>
      <c r="R681" s="88"/>
      <c r="S681" s="88"/>
      <c r="T681" s="88"/>
      <c r="U681" s="88"/>
      <c r="V681" s="88"/>
      <c r="W681" s="88"/>
      <c r="X681" s="88"/>
      <c r="Y681" s="88"/>
      <c r="Z681" s="88"/>
      <c r="AA681" s="88"/>
      <c r="AB681" s="128"/>
      <c r="AC681" s="128"/>
      <c r="AD681" s="128"/>
      <c r="AE681" s="128"/>
      <c r="AF681" s="128"/>
      <c r="AG681" s="128"/>
      <c r="AH681" s="127"/>
    </row>
    <row r="682" spans="1:34" ht="13.2">
      <c r="A682" s="88"/>
      <c r="B682" s="88"/>
      <c r="C682" s="88"/>
      <c r="D682" s="88"/>
      <c r="E682" s="88"/>
      <c r="F682" s="88"/>
      <c r="G682" s="88"/>
      <c r="H682" s="88"/>
      <c r="I682" s="88"/>
      <c r="J682" s="88"/>
      <c r="K682" s="88"/>
      <c r="L682" s="88"/>
      <c r="M682" s="88"/>
      <c r="N682" s="88"/>
      <c r="O682" s="88"/>
      <c r="P682" s="88"/>
      <c r="Q682" s="88"/>
      <c r="R682" s="88"/>
      <c r="S682" s="88"/>
      <c r="T682" s="88"/>
      <c r="U682" s="88"/>
      <c r="V682" s="88"/>
      <c r="W682" s="88"/>
      <c r="X682" s="88"/>
      <c r="Y682" s="88"/>
      <c r="Z682" s="88"/>
      <c r="AA682" s="88"/>
      <c r="AB682" s="128"/>
      <c r="AC682" s="128"/>
      <c r="AD682" s="128"/>
      <c r="AE682" s="128"/>
      <c r="AF682" s="128"/>
      <c r="AG682" s="128"/>
      <c r="AH682" s="127"/>
    </row>
    <row r="683" spans="1:34" ht="13.2">
      <c r="A683" s="88"/>
      <c r="B683" s="88"/>
      <c r="C683" s="88"/>
      <c r="D683" s="88"/>
      <c r="E683" s="88"/>
      <c r="F683" s="88"/>
      <c r="G683" s="88"/>
      <c r="H683" s="88"/>
      <c r="I683" s="88"/>
      <c r="J683" s="88"/>
      <c r="K683" s="88"/>
      <c r="L683" s="88"/>
      <c r="M683" s="88"/>
      <c r="N683" s="88"/>
      <c r="O683" s="88"/>
      <c r="P683" s="88"/>
      <c r="Q683" s="88"/>
      <c r="R683" s="88"/>
      <c r="S683" s="88"/>
      <c r="T683" s="88"/>
      <c r="U683" s="88"/>
      <c r="V683" s="88"/>
      <c r="W683" s="88"/>
      <c r="X683" s="88"/>
      <c r="Y683" s="88"/>
      <c r="Z683" s="88"/>
      <c r="AA683" s="88"/>
      <c r="AB683" s="128"/>
      <c r="AC683" s="128"/>
      <c r="AD683" s="128"/>
      <c r="AE683" s="128"/>
      <c r="AF683" s="128"/>
      <c r="AG683" s="128"/>
      <c r="AH683" s="127"/>
    </row>
    <row r="684" spans="1:34" ht="13.2">
      <c r="A684" s="88"/>
      <c r="B684" s="88"/>
      <c r="C684" s="88"/>
      <c r="D684" s="88"/>
      <c r="E684" s="88"/>
      <c r="F684" s="88"/>
      <c r="G684" s="88"/>
      <c r="H684" s="88"/>
      <c r="I684" s="88"/>
      <c r="J684" s="88"/>
      <c r="K684" s="88"/>
      <c r="L684" s="88"/>
      <c r="M684" s="88"/>
      <c r="N684" s="88"/>
      <c r="O684" s="88"/>
      <c r="P684" s="88"/>
      <c r="Q684" s="88"/>
      <c r="R684" s="88"/>
      <c r="S684" s="88"/>
      <c r="T684" s="88"/>
      <c r="U684" s="88"/>
      <c r="V684" s="88"/>
      <c r="W684" s="88"/>
      <c r="X684" s="88"/>
      <c r="Y684" s="88"/>
      <c r="Z684" s="88"/>
      <c r="AA684" s="88"/>
      <c r="AB684" s="128"/>
      <c r="AC684" s="128"/>
      <c r="AD684" s="128"/>
      <c r="AE684" s="128"/>
      <c r="AF684" s="128"/>
      <c r="AG684" s="128"/>
      <c r="AH684" s="127"/>
    </row>
    <row r="685" spans="1:34" ht="13.2">
      <c r="A685" s="88"/>
      <c r="B685" s="88"/>
      <c r="C685" s="88"/>
      <c r="D685" s="88"/>
      <c r="E685" s="88"/>
      <c r="F685" s="88"/>
      <c r="G685" s="88"/>
      <c r="H685" s="88"/>
      <c r="I685" s="88"/>
      <c r="J685" s="88"/>
      <c r="K685" s="88"/>
      <c r="L685" s="88"/>
      <c r="M685" s="88"/>
      <c r="N685" s="88"/>
      <c r="O685" s="88"/>
      <c r="P685" s="88"/>
      <c r="Q685" s="88"/>
      <c r="R685" s="88"/>
      <c r="S685" s="88"/>
      <c r="T685" s="88"/>
      <c r="U685" s="88"/>
      <c r="V685" s="88"/>
      <c r="W685" s="88"/>
      <c r="X685" s="88"/>
      <c r="Y685" s="88"/>
      <c r="Z685" s="88"/>
      <c r="AA685" s="88"/>
      <c r="AB685" s="128"/>
      <c r="AC685" s="128"/>
      <c r="AD685" s="128"/>
      <c r="AE685" s="128"/>
      <c r="AF685" s="128"/>
      <c r="AG685" s="128"/>
      <c r="AH685" s="127"/>
    </row>
    <row r="686" spans="1:34" ht="13.2">
      <c r="A686" s="88"/>
      <c r="B686" s="88"/>
      <c r="C686" s="88"/>
      <c r="D686" s="88"/>
      <c r="E686" s="88"/>
      <c r="F686" s="88"/>
      <c r="G686" s="88"/>
      <c r="H686" s="88"/>
      <c r="I686" s="88"/>
      <c r="J686" s="88"/>
      <c r="K686" s="88"/>
      <c r="L686" s="88"/>
      <c r="M686" s="88"/>
      <c r="N686" s="88"/>
      <c r="O686" s="88"/>
      <c r="P686" s="88"/>
      <c r="Q686" s="88"/>
      <c r="R686" s="88"/>
      <c r="S686" s="88"/>
      <c r="T686" s="88"/>
      <c r="U686" s="88"/>
      <c r="V686" s="88"/>
      <c r="W686" s="88"/>
      <c r="X686" s="88"/>
      <c r="Y686" s="88"/>
      <c r="Z686" s="88"/>
      <c r="AA686" s="88"/>
      <c r="AB686" s="128"/>
      <c r="AC686" s="128"/>
      <c r="AD686" s="128"/>
      <c r="AE686" s="128"/>
      <c r="AF686" s="128"/>
      <c r="AG686" s="128"/>
      <c r="AH686" s="127"/>
    </row>
    <row r="687" spans="1:34" ht="13.2">
      <c r="A687" s="88"/>
      <c r="B687" s="88"/>
      <c r="C687" s="88"/>
      <c r="D687" s="88"/>
      <c r="E687" s="88"/>
      <c r="F687" s="88"/>
      <c r="G687" s="88"/>
      <c r="H687" s="88"/>
      <c r="I687" s="88"/>
      <c r="J687" s="88"/>
      <c r="K687" s="88"/>
      <c r="L687" s="88"/>
      <c r="M687" s="88"/>
      <c r="N687" s="88"/>
      <c r="O687" s="88"/>
      <c r="P687" s="88"/>
      <c r="Q687" s="88"/>
      <c r="R687" s="88"/>
      <c r="S687" s="88"/>
      <c r="T687" s="88"/>
      <c r="U687" s="88"/>
      <c r="V687" s="88"/>
      <c r="W687" s="88"/>
      <c r="X687" s="88"/>
      <c r="Y687" s="88"/>
      <c r="Z687" s="88"/>
      <c r="AA687" s="88"/>
      <c r="AB687" s="128"/>
      <c r="AC687" s="128"/>
      <c r="AD687" s="128"/>
      <c r="AE687" s="128"/>
      <c r="AF687" s="128"/>
      <c r="AG687" s="128"/>
      <c r="AH687" s="127"/>
    </row>
    <row r="688" spans="1:34" ht="13.2">
      <c r="A688" s="88"/>
      <c r="B688" s="88"/>
      <c r="C688" s="88"/>
      <c r="D688" s="88"/>
      <c r="E688" s="88"/>
      <c r="F688" s="88"/>
      <c r="G688" s="88"/>
      <c r="H688" s="88"/>
      <c r="I688" s="88"/>
      <c r="J688" s="88"/>
      <c r="K688" s="88"/>
      <c r="L688" s="88"/>
      <c r="M688" s="88"/>
      <c r="N688" s="88"/>
      <c r="O688" s="88"/>
      <c r="P688" s="88"/>
      <c r="Q688" s="88"/>
      <c r="R688" s="88"/>
      <c r="S688" s="88"/>
      <c r="T688" s="88"/>
      <c r="U688" s="88"/>
      <c r="V688" s="88"/>
      <c r="W688" s="88"/>
      <c r="X688" s="88"/>
      <c r="Y688" s="88"/>
      <c r="Z688" s="88"/>
      <c r="AA688" s="88"/>
      <c r="AB688" s="128"/>
      <c r="AC688" s="128"/>
      <c r="AD688" s="128"/>
      <c r="AE688" s="128"/>
      <c r="AF688" s="128"/>
      <c r="AG688" s="128"/>
      <c r="AH688" s="127"/>
    </row>
    <row r="689" spans="1:34" ht="13.2">
      <c r="A689" s="88"/>
      <c r="B689" s="88"/>
      <c r="C689" s="88"/>
      <c r="D689" s="88"/>
      <c r="E689" s="88"/>
      <c r="F689" s="88"/>
      <c r="G689" s="88"/>
      <c r="H689" s="88"/>
      <c r="I689" s="88"/>
      <c r="J689" s="88"/>
      <c r="K689" s="88"/>
      <c r="L689" s="88"/>
      <c r="M689" s="88"/>
      <c r="N689" s="88"/>
      <c r="O689" s="88"/>
      <c r="P689" s="88"/>
      <c r="Q689" s="88"/>
      <c r="R689" s="88"/>
      <c r="S689" s="88"/>
      <c r="T689" s="88"/>
      <c r="U689" s="88"/>
      <c r="V689" s="88"/>
      <c r="W689" s="88"/>
      <c r="X689" s="88"/>
      <c r="Y689" s="88"/>
      <c r="Z689" s="88"/>
      <c r="AA689" s="88"/>
      <c r="AB689" s="128"/>
      <c r="AC689" s="128"/>
      <c r="AD689" s="128"/>
      <c r="AE689" s="128"/>
      <c r="AF689" s="128"/>
      <c r="AG689" s="128"/>
      <c r="AH689" s="127"/>
    </row>
    <row r="690" spans="1:34" ht="13.2">
      <c r="A690" s="88"/>
      <c r="B690" s="88"/>
      <c r="C690" s="88"/>
      <c r="D690" s="88"/>
      <c r="E690" s="88"/>
      <c r="F690" s="88"/>
      <c r="G690" s="88"/>
      <c r="H690" s="88"/>
      <c r="I690" s="88"/>
      <c r="J690" s="88"/>
      <c r="K690" s="88"/>
      <c r="L690" s="88"/>
      <c r="M690" s="88"/>
      <c r="N690" s="88"/>
      <c r="O690" s="88"/>
      <c r="P690" s="88"/>
      <c r="Q690" s="88"/>
      <c r="R690" s="88"/>
      <c r="S690" s="88"/>
      <c r="T690" s="88"/>
      <c r="U690" s="88"/>
      <c r="V690" s="88"/>
      <c r="W690" s="88"/>
      <c r="X690" s="88"/>
      <c r="Y690" s="88"/>
      <c r="Z690" s="88"/>
      <c r="AA690" s="88"/>
      <c r="AB690" s="128"/>
      <c r="AC690" s="128"/>
      <c r="AD690" s="128"/>
      <c r="AE690" s="128"/>
      <c r="AF690" s="128"/>
      <c r="AG690" s="128"/>
      <c r="AH690" s="127"/>
    </row>
    <row r="691" spans="1:34" ht="13.2">
      <c r="A691" s="88"/>
      <c r="B691" s="88"/>
      <c r="C691" s="88"/>
      <c r="D691" s="88"/>
      <c r="E691" s="88"/>
      <c r="F691" s="88"/>
      <c r="G691" s="88"/>
      <c r="H691" s="88"/>
      <c r="I691" s="88"/>
      <c r="J691" s="88"/>
      <c r="K691" s="88"/>
      <c r="L691" s="88"/>
      <c r="M691" s="88"/>
      <c r="N691" s="88"/>
      <c r="O691" s="88"/>
      <c r="P691" s="88"/>
      <c r="Q691" s="88"/>
      <c r="R691" s="88"/>
      <c r="S691" s="88"/>
      <c r="T691" s="88"/>
      <c r="U691" s="88"/>
      <c r="V691" s="88"/>
      <c r="W691" s="88"/>
      <c r="X691" s="88"/>
      <c r="Y691" s="88"/>
      <c r="Z691" s="88"/>
      <c r="AA691" s="88"/>
      <c r="AB691" s="128"/>
      <c r="AC691" s="128"/>
      <c r="AD691" s="128"/>
      <c r="AE691" s="128"/>
      <c r="AF691" s="128"/>
      <c r="AG691" s="128"/>
      <c r="AH691" s="127"/>
    </row>
    <row r="692" spans="1:34" ht="13.2">
      <c r="A692" s="88"/>
      <c r="B692" s="88"/>
      <c r="C692" s="88"/>
      <c r="D692" s="88"/>
      <c r="E692" s="88"/>
      <c r="F692" s="88"/>
      <c r="G692" s="88"/>
      <c r="H692" s="88"/>
      <c r="I692" s="88"/>
      <c r="J692" s="88"/>
      <c r="K692" s="88"/>
      <c r="L692" s="88"/>
      <c r="M692" s="88"/>
      <c r="N692" s="88"/>
      <c r="O692" s="88"/>
      <c r="P692" s="88"/>
      <c r="Q692" s="88"/>
      <c r="R692" s="88"/>
      <c r="S692" s="88"/>
      <c r="T692" s="88"/>
      <c r="U692" s="88"/>
      <c r="V692" s="88"/>
      <c r="W692" s="88"/>
      <c r="X692" s="88"/>
      <c r="Y692" s="88"/>
      <c r="Z692" s="88"/>
      <c r="AA692" s="88"/>
      <c r="AB692" s="128"/>
      <c r="AC692" s="128"/>
      <c r="AD692" s="128"/>
      <c r="AE692" s="128"/>
      <c r="AF692" s="128"/>
      <c r="AG692" s="128"/>
      <c r="AH692" s="127"/>
    </row>
    <row r="693" spans="1:34" ht="13.2">
      <c r="A693" s="88"/>
      <c r="B693" s="88"/>
      <c r="C693" s="88"/>
      <c r="D693" s="88"/>
      <c r="E693" s="88"/>
      <c r="F693" s="88"/>
      <c r="G693" s="88"/>
      <c r="H693" s="88"/>
      <c r="I693" s="88"/>
      <c r="J693" s="88"/>
      <c r="K693" s="88"/>
      <c r="L693" s="88"/>
      <c r="M693" s="88"/>
      <c r="N693" s="88"/>
      <c r="O693" s="88"/>
      <c r="P693" s="88"/>
      <c r="Q693" s="88"/>
      <c r="R693" s="88"/>
      <c r="S693" s="88"/>
      <c r="T693" s="88"/>
      <c r="U693" s="88"/>
      <c r="V693" s="88"/>
      <c r="W693" s="88"/>
      <c r="X693" s="88"/>
      <c r="Y693" s="88"/>
      <c r="Z693" s="88"/>
      <c r="AA693" s="88"/>
      <c r="AB693" s="128"/>
      <c r="AC693" s="128"/>
      <c r="AD693" s="128"/>
      <c r="AE693" s="128"/>
      <c r="AF693" s="128"/>
      <c r="AG693" s="128"/>
      <c r="AH693" s="127"/>
    </row>
    <row r="694" spans="1:34" ht="13.2">
      <c r="A694" s="88"/>
      <c r="B694" s="88"/>
      <c r="C694" s="88"/>
      <c r="D694" s="88"/>
      <c r="E694" s="88"/>
      <c r="F694" s="88"/>
      <c r="G694" s="88"/>
      <c r="H694" s="88"/>
      <c r="I694" s="88"/>
      <c r="J694" s="88"/>
      <c r="K694" s="88"/>
      <c r="L694" s="88"/>
      <c r="M694" s="88"/>
      <c r="N694" s="88"/>
      <c r="O694" s="88"/>
      <c r="P694" s="88"/>
      <c r="Q694" s="88"/>
      <c r="R694" s="88"/>
      <c r="S694" s="88"/>
      <c r="T694" s="88"/>
      <c r="U694" s="88"/>
      <c r="V694" s="88"/>
      <c r="W694" s="88"/>
      <c r="X694" s="88"/>
      <c r="Y694" s="88"/>
      <c r="Z694" s="88"/>
      <c r="AA694" s="88"/>
      <c r="AB694" s="128"/>
      <c r="AC694" s="128"/>
      <c r="AD694" s="128"/>
      <c r="AE694" s="128"/>
      <c r="AF694" s="128"/>
      <c r="AG694" s="128"/>
      <c r="AH694" s="127"/>
    </row>
    <row r="695" spans="1:34" ht="13.2">
      <c r="A695" s="88"/>
      <c r="B695" s="88"/>
      <c r="C695" s="88"/>
      <c r="D695" s="88"/>
      <c r="E695" s="88"/>
      <c r="F695" s="88"/>
      <c r="G695" s="88"/>
      <c r="H695" s="88"/>
      <c r="I695" s="88"/>
      <c r="J695" s="88"/>
      <c r="K695" s="88"/>
      <c r="L695" s="88"/>
      <c r="M695" s="88"/>
      <c r="N695" s="88"/>
      <c r="O695" s="88"/>
      <c r="P695" s="88"/>
      <c r="Q695" s="88"/>
      <c r="R695" s="88"/>
      <c r="S695" s="88"/>
      <c r="T695" s="88"/>
      <c r="U695" s="88"/>
      <c r="V695" s="88"/>
      <c r="W695" s="88"/>
      <c r="X695" s="88"/>
      <c r="Y695" s="88"/>
      <c r="Z695" s="88"/>
      <c r="AA695" s="88"/>
      <c r="AB695" s="128"/>
      <c r="AC695" s="128"/>
      <c r="AD695" s="128"/>
      <c r="AE695" s="128"/>
      <c r="AF695" s="128"/>
      <c r="AG695" s="128"/>
      <c r="AH695" s="127"/>
    </row>
    <row r="696" spans="1:34" ht="13.2">
      <c r="A696" s="88"/>
      <c r="B696" s="88"/>
      <c r="C696" s="88"/>
      <c r="D696" s="88"/>
      <c r="E696" s="88"/>
      <c r="F696" s="88"/>
      <c r="G696" s="88"/>
      <c r="H696" s="88"/>
      <c r="I696" s="88"/>
      <c r="J696" s="88"/>
      <c r="K696" s="88"/>
      <c r="L696" s="88"/>
      <c r="M696" s="88"/>
      <c r="N696" s="88"/>
      <c r="O696" s="88"/>
      <c r="P696" s="88"/>
      <c r="Q696" s="88"/>
      <c r="R696" s="88"/>
      <c r="S696" s="88"/>
      <c r="T696" s="88"/>
      <c r="U696" s="88"/>
      <c r="V696" s="88"/>
      <c r="W696" s="88"/>
      <c r="X696" s="88"/>
      <c r="Y696" s="88"/>
      <c r="Z696" s="88"/>
      <c r="AA696" s="88"/>
      <c r="AB696" s="128"/>
      <c r="AC696" s="128"/>
      <c r="AD696" s="128"/>
      <c r="AE696" s="128"/>
      <c r="AF696" s="128"/>
      <c r="AG696" s="128"/>
      <c r="AH696" s="127"/>
    </row>
    <row r="697" spans="1:34" ht="13.2">
      <c r="A697" s="88"/>
      <c r="B697" s="88"/>
      <c r="C697" s="88"/>
      <c r="D697" s="88"/>
      <c r="E697" s="88"/>
      <c r="F697" s="88"/>
      <c r="G697" s="88"/>
      <c r="H697" s="88"/>
      <c r="I697" s="88"/>
      <c r="J697" s="88"/>
      <c r="K697" s="88"/>
      <c r="L697" s="88"/>
      <c r="M697" s="88"/>
      <c r="N697" s="88"/>
      <c r="O697" s="88"/>
      <c r="P697" s="88"/>
      <c r="Q697" s="88"/>
      <c r="R697" s="88"/>
      <c r="S697" s="88"/>
      <c r="T697" s="88"/>
      <c r="U697" s="88"/>
      <c r="V697" s="88"/>
      <c r="W697" s="88"/>
      <c r="X697" s="88"/>
      <c r="Y697" s="88"/>
      <c r="Z697" s="88"/>
      <c r="AA697" s="88"/>
      <c r="AB697" s="128"/>
      <c r="AC697" s="128"/>
      <c r="AD697" s="128"/>
      <c r="AE697" s="128"/>
      <c r="AF697" s="128"/>
      <c r="AG697" s="128"/>
      <c r="AH697" s="127"/>
    </row>
    <row r="698" spans="1:34" ht="13.2">
      <c r="A698" s="88"/>
      <c r="B698" s="88"/>
      <c r="C698" s="88"/>
      <c r="D698" s="88"/>
      <c r="E698" s="88"/>
      <c r="F698" s="88"/>
      <c r="G698" s="88"/>
      <c r="H698" s="88"/>
      <c r="I698" s="88"/>
      <c r="J698" s="88"/>
      <c r="K698" s="88"/>
      <c r="L698" s="88"/>
      <c r="M698" s="88"/>
      <c r="N698" s="88"/>
      <c r="O698" s="88"/>
      <c r="P698" s="88"/>
      <c r="Q698" s="88"/>
      <c r="R698" s="88"/>
      <c r="S698" s="88"/>
      <c r="T698" s="88"/>
      <c r="U698" s="88"/>
      <c r="V698" s="88"/>
      <c r="W698" s="88"/>
      <c r="X698" s="88"/>
      <c r="Y698" s="88"/>
      <c r="Z698" s="88"/>
      <c r="AA698" s="88"/>
      <c r="AB698" s="128"/>
      <c r="AC698" s="128"/>
      <c r="AD698" s="128"/>
      <c r="AE698" s="128"/>
      <c r="AF698" s="128"/>
      <c r="AG698" s="128"/>
      <c r="AH698" s="127"/>
    </row>
    <row r="699" spans="1:34" ht="13.2">
      <c r="A699" s="88"/>
      <c r="B699" s="88"/>
      <c r="C699" s="88"/>
      <c r="D699" s="88"/>
      <c r="E699" s="88"/>
      <c r="F699" s="88"/>
      <c r="G699" s="88"/>
      <c r="H699" s="88"/>
      <c r="I699" s="88"/>
      <c r="J699" s="88"/>
      <c r="K699" s="88"/>
      <c r="L699" s="88"/>
      <c r="M699" s="88"/>
      <c r="N699" s="88"/>
      <c r="O699" s="88"/>
      <c r="P699" s="88"/>
      <c r="Q699" s="88"/>
      <c r="R699" s="88"/>
      <c r="S699" s="88"/>
      <c r="T699" s="88"/>
      <c r="U699" s="88"/>
      <c r="V699" s="88"/>
      <c r="W699" s="88"/>
      <c r="X699" s="88"/>
      <c r="Y699" s="88"/>
      <c r="Z699" s="88"/>
      <c r="AA699" s="88"/>
      <c r="AB699" s="128"/>
      <c r="AC699" s="128"/>
      <c r="AD699" s="128"/>
      <c r="AE699" s="128"/>
      <c r="AF699" s="128"/>
      <c r="AG699" s="128"/>
      <c r="AH699" s="127"/>
    </row>
    <row r="700" spans="1:34" ht="13.2">
      <c r="A700" s="88"/>
      <c r="B700" s="88"/>
      <c r="C700" s="88"/>
      <c r="D700" s="88"/>
      <c r="E700" s="88"/>
      <c r="F700" s="88"/>
      <c r="G700" s="88"/>
      <c r="H700" s="88"/>
      <c r="I700" s="88"/>
      <c r="J700" s="88"/>
      <c r="K700" s="88"/>
      <c r="L700" s="88"/>
      <c r="M700" s="88"/>
      <c r="N700" s="88"/>
      <c r="O700" s="88"/>
      <c r="P700" s="88"/>
      <c r="Q700" s="88"/>
      <c r="R700" s="88"/>
      <c r="S700" s="88"/>
      <c r="T700" s="88"/>
      <c r="U700" s="88"/>
      <c r="V700" s="88"/>
      <c r="W700" s="88"/>
      <c r="X700" s="88"/>
      <c r="Y700" s="88"/>
      <c r="Z700" s="88"/>
      <c r="AA700" s="88"/>
      <c r="AB700" s="128"/>
      <c r="AC700" s="128"/>
      <c r="AD700" s="128"/>
      <c r="AE700" s="128"/>
      <c r="AF700" s="128"/>
      <c r="AG700" s="128"/>
      <c r="AH700" s="127"/>
    </row>
    <row r="701" spans="1:34" ht="13.2">
      <c r="A701" s="88"/>
      <c r="B701" s="88"/>
      <c r="C701" s="88"/>
      <c r="D701" s="88"/>
      <c r="E701" s="88"/>
      <c r="F701" s="88"/>
      <c r="G701" s="88"/>
      <c r="H701" s="88"/>
      <c r="I701" s="88"/>
      <c r="J701" s="88"/>
      <c r="K701" s="88"/>
      <c r="L701" s="88"/>
      <c r="M701" s="88"/>
      <c r="N701" s="88"/>
      <c r="O701" s="88"/>
      <c r="P701" s="88"/>
      <c r="Q701" s="88"/>
      <c r="R701" s="88"/>
      <c r="S701" s="88"/>
      <c r="T701" s="88"/>
      <c r="U701" s="88"/>
      <c r="V701" s="88"/>
      <c r="W701" s="88"/>
      <c r="X701" s="88"/>
      <c r="Y701" s="88"/>
      <c r="Z701" s="88"/>
      <c r="AA701" s="88"/>
      <c r="AB701" s="128"/>
      <c r="AC701" s="128"/>
      <c r="AD701" s="128"/>
      <c r="AE701" s="128"/>
      <c r="AF701" s="128"/>
      <c r="AG701" s="128"/>
      <c r="AH701" s="127"/>
    </row>
    <row r="702" spans="1:34" ht="13.2">
      <c r="A702" s="88"/>
      <c r="B702" s="88"/>
      <c r="C702" s="88"/>
      <c r="D702" s="88"/>
      <c r="E702" s="88"/>
      <c r="F702" s="88"/>
      <c r="G702" s="88"/>
      <c r="H702" s="88"/>
      <c r="I702" s="88"/>
      <c r="J702" s="88"/>
      <c r="K702" s="88"/>
      <c r="L702" s="88"/>
      <c r="M702" s="88"/>
      <c r="N702" s="88"/>
      <c r="O702" s="88"/>
      <c r="P702" s="88"/>
      <c r="Q702" s="88"/>
      <c r="R702" s="88"/>
      <c r="S702" s="88"/>
      <c r="T702" s="88"/>
      <c r="U702" s="88"/>
      <c r="V702" s="88"/>
      <c r="W702" s="88"/>
      <c r="X702" s="88"/>
      <c r="Y702" s="88"/>
      <c r="Z702" s="88"/>
      <c r="AA702" s="88"/>
      <c r="AB702" s="128"/>
      <c r="AC702" s="128"/>
      <c r="AD702" s="128"/>
      <c r="AE702" s="128"/>
      <c r="AF702" s="128"/>
      <c r="AG702" s="128"/>
      <c r="AH702" s="127"/>
    </row>
    <row r="703" spans="1:34" ht="13.2">
      <c r="A703" s="88"/>
      <c r="B703" s="88"/>
      <c r="C703" s="88"/>
      <c r="D703" s="88"/>
      <c r="E703" s="88"/>
      <c r="F703" s="88"/>
      <c r="G703" s="88"/>
      <c r="H703" s="88"/>
      <c r="I703" s="88"/>
      <c r="J703" s="88"/>
      <c r="K703" s="88"/>
      <c r="L703" s="88"/>
      <c r="M703" s="88"/>
      <c r="N703" s="88"/>
      <c r="O703" s="88"/>
      <c r="P703" s="88"/>
      <c r="Q703" s="88"/>
      <c r="R703" s="88"/>
      <c r="S703" s="88"/>
      <c r="T703" s="88"/>
      <c r="U703" s="88"/>
      <c r="V703" s="88"/>
      <c r="W703" s="88"/>
      <c r="X703" s="88"/>
      <c r="Y703" s="88"/>
      <c r="Z703" s="88"/>
      <c r="AA703" s="88"/>
      <c r="AB703" s="128"/>
      <c r="AC703" s="128"/>
      <c r="AD703" s="128"/>
      <c r="AE703" s="128"/>
      <c r="AF703" s="128"/>
      <c r="AG703" s="128"/>
      <c r="AH703" s="127"/>
    </row>
    <row r="704" spans="1:34" ht="13.2">
      <c r="A704" s="88"/>
      <c r="B704" s="88"/>
      <c r="C704" s="88"/>
      <c r="D704" s="88"/>
      <c r="E704" s="88"/>
      <c r="F704" s="88"/>
      <c r="G704" s="88"/>
      <c r="H704" s="88"/>
      <c r="I704" s="88"/>
      <c r="J704" s="88"/>
      <c r="K704" s="88"/>
      <c r="L704" s="88"/>
      <c r="M704" s="88"/>
      <c r="N704" s="88"/>
      <c r="O704" s="88"/>
      <c r="P704" s="88"/>
      <c r="Q704" s="88"/>
      <c r="R704" s="88"/>
      <c r="S704" s="88"/>
      <c r="T704" s="88"/>
      <c r="U704" s="88"/>
      <c r="V704" s="88"/>
      <c r="W704" s="88"/>
      <c r="X704" s="88"/>
      <c r="Y704" s="88"/>
      <c r="Z704" s="88"/>
      <c r="AA704" s="88"/>
      <c r="AB704" s="128"/>
      <c r="AC704" s="128"/>
      <c r="AD704" s="128"/>
      <c r="AE704" s="128"/>
      <c r="AF704" s="128"/>
      <c r="AG704" s="128"/>
      <c r="AH704" s="127"/>
    </row>
    <row r="705" spans="1:34" ht="13.2">
      <c r="A705" s="88"/>
      <c r="B705" s="88"/>
      <c r="C705" s="88"/>
      <c r="D705" s="88"/>
      <c r="E705" s="88"/>
      <c r="F705" s="88"/>
      <c r="G705" s="88"/>
      <c r="H705" s="88"/>
      <c r="I705" s="88"/>
      <c r="J705" s="88"/>
      <c r="K705" s="88"/>
      <c r="L705" s="88"/>
      <c r="M705" s="88"/>
      <c r="N705" s="88"/>
      <c r="O705" s="88"/>
      <c r="P705" s="88"/>
      <c r="Q705" s="88"/>
      <c r="R705" s="88"/>
      <c r="S705" s="88"/>
      <c r="T705" s="88"/>
      <c r="U705" s="88"/>
      <c r="V705" s="88"/>
      <c r="W705" s="88"/>
      <c r="X705" s="88"/>
      <c r="Y705" s="88"/>
      <c r="Z705" s="88"/>
      <c r="AA705" s="88"/>
      <c r="AB705" s="128"/>
      <c r="AC705" s="128"/>
      <c r="AD705" s="128"/>
      <c r="AE705" s="128"/>
      <c r="AF705" s="128"/>
      <c r="AG705" s="128"/>
      <c r="AH705" s="127"/>
    </row>
    <row r="706" spans="1:34" ht="13.2">
      <c r="A706" s="88"/>
      <c r="B706" s="88"/>
      <c r="C706" s="88"/>
      <c r="D706" s="88"/>
      <c r="E706" s="88"/>
      <c r="F706" s="88"/>
      <c r="G706" s="88"/>
      <c r="H706" s="88"/>
      <c r="I706" s="88"/>
      <c r="J706" s="88"/>
      <c r="K706" s="88"/>
      <c r="L706" s="88"/>
      <c r="M706" s="88"/>
      <c r="N706" s="88"/>
      <c r="O706" s="88"/>
      <c r="P706" s="88"/>
      <c r="Q706" s="88"/>
      <c r="R706" s="88"/>
      <c r="S706" s="88"/>
      <c r="T706" s="88"/>
      <c r="U706" s="88"/>
      <c r="V706" s="88"/>
      <c r="W706" s="88"/>
      <c r="X706" s="88"/>
      <c r="Y706" s="88"/>
      <c r="Z706" s="88"/>
      <c r="AA706" s="88"/>
      <c r="AB706" s="128"/>
      <c r="AC706" s="128"/>
      <c r="AD706" s="128"/>
      <c r="AE706" s="128"/>
      <c r="AF706" s="128"/>
      <c r="AG706" s="128"/>
      <c r="AH706" s="127"/>
    </row>
    <row r="707" spans="1:34" ht="13.2">
      <c r="A707" s="88"/>
      <c r="B707" s="88"/>
      <c r="C707" s="88"/>
      <c r="D707" s="88"/>
      <c r="E707" s="88"/>
      <c r="F707" s="88"/>
      <c r="G707" s="88"/>
      <c r="H707" s="88"/>
      <c r="I707" s="88"/>
      <c r="J707" s="88"/>
      <c r="K707" s="88"/>
      <c r="L707" s="88"/>
      <c r="M707" s="88"/>
      <c r="N707" s="88"/>
      <c r="O707" s="88"/>
      <c r="P707" s="88"/>
      <c r="Q707" s="88"/>
      <c r="R707" s="88"/>
      <c r="S707" s="88"/>
      <c r="T707" s="88"/>
      <c r="U707" s="88"/>
      <c r="V707" s="88"/>
      <c r="W707" s="88"/>
      <c r="X707" s="88"/>
      <c r="Y707" s="88"/>
      <c r="Z707" s="88"/>
      <c r="AA707" s="88"/>
      <c r="AB707" s="128"/>
      <c r="AC707" s="128"/>
      <c r="AD707" s="128"/>
      <c r="AE707" s="128"/>
      <c r="AF707" s="128"/>
      <c r="AG707" s="128"/>
      <c r="AH707" s="127"/>
    </row>
    <row r="708" spans="1:34" ht="13.2">
      <c r="A708" s="88"/>
      <c r="B708" s="88"/>
      <c r="C708" s="88"/>
      <c r="D708" s="88"/>
      <c r="E708" s="88"/>
      <c r="F708" s="88"/>
      <c r="G708" s="88"/>
      <c r="H708" s="88"/>
      <c r="I708" s="88"/>
      <c r="J708" s="88"/>
      <c r="K708" s="88"/>
      <c r="L708" s="88"/>
      <c r="M708" s="88"/>
      <c r="N708" s="88"/>
      <c r="O708" s="88"/>
      <c r="P708" s="88"/>
      <c r="Q708" s="88"/>
      <c r="R708" s="88"/>
      <c r="S708" s="88"/>
      <c r="T708" s="88"/>
      <c r="U708" s="88"/>
      <c r="V708" s="88"/>
      <c r="W708" s="88"/>
      <c r="X708" s="88"/>
      <c r="Y708" s="88"/>
      <c r="Z708" s="88"/>
      <c r="AA708" s="88"/>
      <c r="AB708" s="128"/>
      <c r="AC708" s="128"/>
      <c r="AD708" s="128"/>
      <c r="AE708" s="128"/>
      <c r="AF708" s="128"/>
      <c r="AG708" s="128"/>
      <c r="AH708" s="127"/>
    </row>
    <row r="709" spans="1:34" ht="13.2">
      <c r="A709" s="88"/>
      <c r="B709" s="88"/>
      <c r="C709" s="88"/>
      <c r="D709" s="88"/>
      <c r="E709" s="88"/>
      <c r="F709" s="88"/>
      <c r="G709" s="88"/>
      <c r="H709" s="88"/>
      <c r="I709" s="88"/>
      <c r="J709" s="88"/>
      <c r="K709" s="88"/>
      <c r="L709" s="88"/>
      <c r="M709" s="88"/>
      <c r="N709" s="88"/>
      <c r="O709" s="88"/>
      <c r="P709" s="88"/>
      <c r="Q709" s="88"/>
      <c r="R709" s="88"/>
      <c r="S709" s="88"/>
      <c r="T709" s="88"/>
      <c r="U709" s="88"/>
      <c r="V709" s="88"/>
      <c r="W709" s="88"/>
      <c r="X709" s="88"/>
      <c r="Y709" s="88"/>
      <c r="Z709" s="88"/>
      <c r="AA709" s="88"/>
      <c r="AB709" s="128"/>
      <c r="AC709" s="128"/>
      <c r="AD709" s="128"/>
      <c r="AE709" s="128"/>
      <c r="AF709" s="128"/>
      <c r="AG709" s="128"/>
      <c r="AH709" s="127"/>
    </row>
    <row r="710" spans="1:34" ht="13.2">
      <c r="A710" s="88"/>
      <c r="B710" s="88"/>
      <c r="C710" s="88"/>
      <c r="D710" s="88"/>
      <c r="E710" s="88"/>
      <c r="F710" s="88"/>
      <c r="G710" s="88"/>
      <c r="H710" s="88"/>
      <c r="I710" s="88"/>
      <c r="J710" s="88"/>
      <c r="K710" s="88"/>
      <c r="L710" s="88"/>
      <c r="M710" s="88"/>
      <c r="N710" s="88"/>
      <c r="O710" s="88"/>
      <c r="P710" s="88"/>
      <c r="Q710" s="88"/>
      <c r="R710" s="88"/>
      <c r="S710" s="88"/>
      <c r="T710" s="88"/>
      <c r="U710" s="88"/>
      <c r="V710" s="88"/>
      <c r="W710" s="88"/>
      <c r="X710" s="88"/>
      <c r="Y710" s="88"/>
      <c r="Z710" s="88"/>
      <c r="AA710" s="88"/>
      <c r="AB710" s="128"/>
      <c r="AC710" s="128"/>
      <c r="AD710" s="128"/>
      <c r="AE710" s="128"/>
      <c r="AF710" s="128"/>
      <c r="AG710" s="128"/>
      <c r="AH710" s="127"/>
    </row>
    <row r="711" spans="1:34" ht="13.2">
      <c r="A711" s="88"/>
      <c r="B711" s="88"/>
      <c r="C711" s="88"/>
      <c r="D711" s="88"/>
      <c r="E711" s="88"/>
      <c r="F711" s="88"/>
      <c r="G711" s="88"/>
      <c r="H711" s="88"/>
      <c r="I711" s="88"/>
      <c r="J711" s="88"/>
      <c r="K711" s="88"/>
      <c r="L711" s="88"/>
      <c r="M711" s="88"/>
      <c r="N711" s="88"/>
      <c r="O711" s="88"/>
      <c r="P711" s="88"/>
      <c r="Q711" s="88"/>
      <c r="R711" s="88"/>
      <c r="S711" s="88"/>
      <c r="T711" s="88"/>
      <c r="U711" s="88"/>
      <c r="V711" s="88"/>
      <c r="W711" s="88"/>
      <c r="X711" s="88"/>
      <c r="Y711" s="88"/>
      <c r="Z711" s="88"/>
      <c r="AA711" s="88"/>
      <c r="AB711" s="128"/>
      <c r="AC711" s="128"/>
      <c r="AD711" s="128"/>
      <c r="AE711" s="128"/>
      <c r="AF711" s="128"/>
      <c r="AG711" s="128"/>
      <c r="AH711" s="127"/>
    </row>
    <row r="712" spans="1:34" ht="13.2">
      <c r="A712" s="88"/>
      <c r="B712" s="88"/>
      <c r="C712" s="88"/>
      <c r="D712" s="88"/>
      <c r="E712" s="88"/>
      <c r="F712" s="88"/>
      <c r="G712" s="88"/>
      <c r="H712" s="88"/>
      <c r="I712" s="88"/>
      <c r="J712" s="88"/>
      <c r="K712" s="88"/>
      <c r="L712" s="88"/>
      <c r="M712" s="88"/>
      <c r="N712" s="88"/>
      <c r="O712" s="88"/>
      <c r="P712" s="88"/>
      <c r="Q712" s="88"/>
      <c r="R712" s="88"/>
      <c r="S712" s="88"/>
      <c r="T712" s="88"/>
      <c r="U712" s="88"/>
      <c r="V712" s="88"/>
      <c r="W712" s="88"/>
      <c r="X712" s="88"/>
      <c r="Y712" s="88"/>
      <c r="Z712" s="88"/>
      <c r="AA712" s="88"/>
      <c r="AB712" s="128"/>
      <c r="AC712" s="128"/>
      <c r="AD712" s="128"/>
      <c r="AE712" s="128"/>
      <c r="AF712" s="128"/>
      <c r="AG712" s="128"/>
      <c r="AH712" s="127"/>
    </row>
    <row r="713" spans="1:34" ht="13.2">
      <c r="A713" s="88"/>
      <c r="B713" s="88"/>
      <c r="C713" s="88"/>
      <c r="D713" s="88"/>
      <c r="E713" s="88"/>
      <c r="F713" s="88"/>
      <c r="G713" s="88"/>
      <c r="H713" s="88"/>
      <c r="I713" s="88"/>
      <c r="J713" s="88"/>
      <c r="K713" s="88"/>
      <c r="L713" s="88"/>
      <c r="M713" s="88"/>
      <c r="N713" s="88"/>
      <c r="O713" s="88"/>
      <c r="P713" s="88"/>
      <c r="Q713" s="88"/>
      <c r="R713" s="88"/>
      <c r="S713" s="88"/>
      <c r="T713" s="88"/>
      <c r="U713" s="88"/>
      <c r="V713" s="88"/>
      <c r="W713" s="88"/>
      <c r="X713" s="88"/>
      <c r="Y713" s="88"/>
      <c r="Z713" s="88"/>
      <c r="AA713" s="88"/>
      <c r="AB713" s="128"/>
      <c r="AC713" s="128"/>
      <c r="AD713" s="128"/>
      <c r="AE713" s="128"/>
      <c r="AF713" s="128"/>
      <c r="AG713" s="128"/>
      <c r="AH713" s="127"/>
    </row>
    <row r="714" spans="1:34" ht="13.2">
      <c r="A714" s="88"/>
      <c r="B714" s="88"/>
      <c r="C714" s="88"/>
      <c r="D714" s="88"/>
      <c r="E714" s="88"/>
      <c r="F714" s="88"/>
      <c r="G714" s="88"/>
      <c r="H714" s="88"/>
      <c r="I714" s="88"/>
      <c r="J714" s="88"/>
      <c r="K714" s="88"/>
      <c r="L714" s="88"/>
      <c r="M714" s="88"/>
      <c r="N714" s="88"/>
      <c r="O714" s="88"/>
      <c r="P714" s="88"/>
      <c r="Q714" s="88"/>
      <c r="R714" s="88"/>
      <c r="S714" s="88"/>
      <c r="T714" s="88"/>
      <c r="U714" s="88"/>
      <c r="V714" s="88"/>
      <c r="W714" s="88"/>
      <c r="X714" s="88"/>
      <c r="Y714" s="88"/>
      <c r="Z714" s="88"/>
      <c r="AA714" s="88"/>
      <c r="AB714" s="128"/>
      <c r="AC714" s="128"/>
      <c r="AD714" s="128"/>
      <c r="AE714" s="128"/>
      <c r="AF714" s="128"/>
      <c r="AG714" s="128"/>
      <c r="AH714" s="127"/>
    </row>
    <row r="715" spans="1:34" ht="13.2">
      <c r="A715" s="88"/>
      <c r="B715" s="88"/>
      <c r="C715" s="88"/>
      <c r="D715" s="88"/>
      <c r="E715" s="88"/>
      <c r="F715" s="88"/>
      <c r="G715" s="88"/>
      <c r="H715" s="88"/>
      <c r="I715" s="88"/>
      <c r="J715" s="88"/>
      <c r="K715" s="88"/>
      <c r="L715" s="88"/>
      <c r="M715" s="88"/>
      <c r="N715" s="88"/>
      <c r="O715" s="88"/>
      <c r="P715" s="88"/>
      <c r="Q715" s="88"/>
      <c r="R715" s="88"/>
      <c r="S715" s="88"/>
      <c r="T715" s="88"/>
      <c r="U715" s="88"/>
      <c r="V715" s="88"/>
      <c r="W715" s="88"/>
      <c r="X715" s="88"/>
      <c r="Y715" s="88"/>
      <c r="Z715" s="88"/>
      <c r="AA715" s="88"/>
      <c r="AB715" s="128"/>
      <c r="AC715" s="128"/>
      <c r="AD715" s="128"/>
      <c r="AE715" s="128"/>
      <c r="AF715" s="128"/>
      <c r="AG715" s="128"/>
      <c r="AH715" s="127"/>
    </row>
    <row r="716" spans="1:34" ht="13.2">
      <c r="A716" s="88"/>
      <c r="B716" s="88"/>
      <c r="C716" s="88"/>
      <c r="D716" s="88"/>
      <c r="E716" s="88"/>
      <c r="F716" s="88"/>
      <c r="G716" s="88"/>
      <c r="H716" s="88"/>
      <c r="I716" s="88"/>
      <c r="J716" s="88"/>
      <c r="K716" s="88"/>
      <c r="L716" s="88"/>
      <c r="M716" s="88"/>
      <c r="N716" s="88"/>
      <c r="O716" s="88"/>
      <c r="P716" s="88"/>
      <c r="Q716" s="88"/>
      <c r="R716" s="88"/>
      <c r="S716" s="88"/>
      <c r="T716" s="88"/>
      <c r="U716" s="88"/>
      <c r="V716" s="88"/>
      <c r="W716" s="88"/>
      <c r="X716" s="88"/>
      <c r="Y716" s="88"/>
      <c r="Z716" s="88"/>
      <c r="AA716" s="88"/>
      <c r="AB716" s="128"/>
      <c r="AC716" s="128"/>
      <c r="AD716" s="128"/>
      <c r="AE716" s="128"/>
      <c r="AF716" s="128"/>
      <c r="AG716" s="128"/>
      <c r="AH716" s="127"/>
    </row>
    <row r="717" spans="1:34" ht="13.2">
      <c r="A717" s="88"/>
      <c r="B717" s="88"/>
      <c r="C717" s="88"/>
      <c r="D717" s="88"/>
      <c r="E717" s="88"/>
      <c r="F717" s="88"/>
      <c r="G717" s="88"/>
      <c r="H717" s="88"/>
      <c r="I717" s="88"/>
      <c r="J717" s="88"/>
      <c r="K717" s="88"/>
      <c r="L717" s="88"/>
      <c r="M717" s="88"/>
      <c r="N717" s="88"/>
      <c r="O717" s="88"/>
      <c r="P717" s="88"/>
      <c r="Q717" s="88"/>
      <c r="R717" s="88"/>
      <c r="S717" s="88"/>
      <c r="T717" s="88"/>
      <c r="U717" s="88"/>
      <c r="V717" s="88"/>
      <c r="W717" s="88"/>
      <c r="X717" s="88"/>
      <c r="Y717" s="88"/>
      <c r="Z717" s="88"/>
      <c r="AA717" s="88"/>
      <c r="AB717" s="128"/>
      <c r="AC717" s="128"/>
      <c r="AD717" s="128"/>
      <c r="AE717" s="128"/>
      <c r="AF717" s="128"/>
      <c r="AG717" s="128"/>
      <c r="AH717" s="127"/>
    </row>
    <row r="718" spans="1:34" ht="13.2">
      <c r="A718" s="88"/>
      <c r="B718" s="88"/>
      <c r="C718" s="88"/>
      <c r="D718" s="88"/>
      <c r="E718" s="88"/>
      <c r="F718" s="88"/>
      <c r="G718" s="88"/>
      <c r="H718" s="88"/>
      <c r="I718" s="88"/>
      <c r="J718" s="88"/>
      <c r="K718" s="88"/>
      <c r="L718" s="88"/>
      <c r="M718" s="88"/>
      <c r="N718" s="88"/>
      <c r="O718" s="88"/>
      <c r="P718" s="88"/>
      <c r="Q718" s="88"/>
      <c r="R718" s="88"/>
      <c r="S718" s="88"/>
      <c r="T718" s="88"/>
      <c r="U718" s="88"/>
      <c r="V718" s="88"/>
      <c r="W718" s="88"/>
      <c r="X718" s="88"/>
      <c r="Y718" s="88"/>
      <c r="Z718" s="88"/>
      <c r="AA718" s="88"/>
      <c r="AB718" s="128"/>
      <c r="AC718" s="128"/>
      <c r="AD718" s="128"/>
      <c r="AE718" s="128"/>
      <c r="AF718" s="128"/>
      <c r="AG718" s="128"/>
      <c r="AH718" s="127"/>
    </row>
    <row r="719" spans="1:34" ht="13.2">
      <c r="A719" s="88"/>
      <c r="B719" s="88"/>
      <c r="C719" s="88"/>
      <c r="D719" s="88"/>
      <c r="E719" s="88"/>
      <c r="F719" s="88"/>
      <c r="G719" s="88"/>
      <c r="H719" s="88"/>
      <c r="I719" s="88"/>
      <c r="J719" s="88"/>
      <c r="K719" s="88"/>
      <c r="L719" s="88"/>
      <c r="M719" s="88"/>
      <c r="N719" s="88"/>
      <c r="O719" s="88"/>
      <c r="P719" s="88"/>
      <c r="Q719" s="88"/>
      <c r="R719" s="88"/>
      <c r="S719" s="88"/>
      <c r="T719" s="88"/>
      <c r="U719" s="88"/>
      <c r="V719" s="88"/>
      <c r="W719" s="88"/>
      <c r="X719" s="88"/>
      <c r="Y719" s="88"/>
      <c r="Z719" s="88"/>
      <c r="AA719" s="88"/>
      <c r="AB719" s="128"/>
      <c r="AC719" s="128"/>
      <c r="AD719" s="128"/>
      <c r="AE719" s="128"/>
      <c r="AF719" s="128"/>
      <c r="AG719" s="128"/>
      <c r="AH719" s="127"/>
    </row>
    <row r="720" spans="1:34" ht="13.2">
      <c r="A720" s="88"/>
      <c r="B720" s="88"/>
      <c r="C720" s="88"/>
      <c r="D720" s="88"/>
      <c r="E720" s="88"/>
      <c r="F720" s="88"/>
      <c r="G720" s="88"/>
      <c r="H720" s="88"/>
      <c r="I720" s="88"/>
      <c r="J720" s="88"/>
      <c r="K720" s="88"/>
      <c r="L720" s="88"/>
      <c r="M720" s="88"/>
      <c r="N720" s="88"/>
      <c r="O720" s="88"/>
      <c r="P720" s="88"/>
      <c r="Q720" s="88"/>
      <c r="R720" s="88"/>
      <c r="S720" s="88"/>
      <c r="T720" s="88"/>
      <c r="U720" s="88"/>
      <c r="V720" s="88"/>
      <c r="W720" s="88"/>
      <c r="X720" s="88"/>
      <c r="Y720" s="88"/>
      <c r="Z720" s="88"/>
      <c r="AA720" s="88"/>
      <c r="AB720" s="128"/>
      <c r="AC720" s="128"/>
      <c r="AD720" s="128"/>
      <c r="AE720" s="128"/>
      <c r="AF720" s="128"/>
      <c r="AG720" s="128"/>
      <c r="AH720" s="127"/>
    </row>
    <row r="721" spans="1:34" ht="13.2">
      <c r="A721" s="88"/>
      <c r="B721" s="88"/>
      <c r="C721" s="88"/>
      <c r="D721" s="88"/>
      <c r="E721" s="88"/>
      <c r="F721" s="88"/>
      <c r="G721" s="88"/>
      <c r="H721" s="88"/>
      <c r="I721" s="88"/>
      <c r="J721" s="88"/>
      <c r="K721" s="88"/>
      <c r="L721" s="88"/>
      <c r="M721" s="88"/>
      <c r="N721" s="88"/>
      <c r="O721" s="88"/>
      <c r="P721" s="88"/>
      <c r="Q721" s="88"/>
      <c r="R721" s="88"/>
      <c r="S721" s="88"/>
      <c r="T721" s="88"/>
      <c r="U721" s="88"/>
      <c r="V721" s="88"/>
      <c r="W721" s="88"/>
      <c r="X721" s="88"/>
      <c r="Y721" s="88"/>
      <c r="Z721" s="88"/>
      <c r="AA721" s="88"/>
      <c r="AB721" s="128"/>
      <c r="AC721" s="128"/>
      <c r="AD721" s="128"/>
      <c r="AE721" s="128"/>
      <c r="AF721" s="128"/>
      <c r="AG721" s="128"/>
      <c r="AH721" s="127"/>
    </row>
    <row r="722" spans="1:34" ht="13.2">
      <c r="A722" s="88"/>
      <c r="B722" s="88"/>
      <c r="C722" s="88"/>
      <c r="D722" s="88"/>
      <c r="E722" s="88"/>
      <c r="F722" s="88"/>
      <c r="G722" s="88"/>
      <c r="H722" s="88"/>
      <c r="I722" s="88"/>
      <c r="J722" s="88"/>
      <c r="K722" s="88"/>
      <c r="L722" s="88"/>
      <c r="M722" s="88"/>
      <c r="N722" s="88"/>
      <c r="O722" s="88"/>
      <c r="P722" s="88"/>
      <c r="Q722" s="88"/>
      <c r="R722" s="88"/>
      <c r="S722" s="88"/>
      <c r="T722" s="88"/>
      <c r="U722" s="88"/>
      <c r="V722" s="88"/>
      <c r="W722" s="88"/>
      <c r="X722" s="88"/>
      <c r="Y722" s="88"/>
      <c r="Z722" s="88"/>
      <c r="AA722" s="88"/>
      <c r="AB722" s="128"/>
      <c r="AC722" s="128"/>
      <c r="AD722" s="128"/>
      <c r="AE722" s="128"/>
      <c r="AF722" s="128"/>
      <c r="AG722" s="128"/>
      <c r="AH722" s="127"/>
    </row>
    <row r="723" spans="1:34" ht="13.2">
      <c r="A723" s="88"/>
      <c r="B723" s="88"/>
      <c r="C723" s="88"/>
      <c r="D723" s="88"/>
      <c r="E723" s="88"/>
      <c r="F723" s="88"/>
      <c r="G723" s="88"/>
      <c r="H723" s="88"/>
      <c r="I723" s="88"/>
      <c r="J723" s="88"/>
      <c r="K723" s="88"/>
      <c r="L723" s="88"/>
      <c r="M723" s="88"/>
      <c r="N723" s="88"/>
      <c r="O723" s="88"/>
      <c r="P723" s="88"/>
      <c r="Q723" s="88"/>
      <c r="R723" s="88"/>
      <c r="S723" s="88"/>
      <c r="T723" s="88"/>
      <c r="U723" s="88"/>
      <c r="V723" s="88"/>
      <c r="W723" s="88"/>
      <c r="X723" s="88"/>
      <c r="Y723" s="88"/>
      <c r="Z723" s="88"/>
      <c r="AA723" s="88"/>
      <c r="AB723" s="128"/>
      <c r="AC723" s="128"/>
      <c r="AD723" s="128"/>
      <c r="AE723" s="128"/>
      <c r="AF723" s="128"/>
      <c r="AG723" s="128"/>
      <c r="AH723" s="127"/>
    </row>
    <row r="724" spans="1:34" ht="13.2">
      <c r="A724" s="88"/>
      <c r="B724" s="88"/>
      <c r="C724" s="88"/>
      <c r="D724" s="88"/>
      <c r="E724" s="88"/>
      <c r="F724" s="88"/>
      <c r="G724" s="88"/>
      <c r="H724" s="88"/>
      <c r="I724" s="88"/>
      <c r="J724" s="88"/>
      <c r="K724" s="88"/>
      <c r="L724" s="88"/>
      <c r="M724" s="88"/>
      <c r="N724" s="88"/>
      <c r="O724" s="88"/>
      <c r="P724" s="88"/>
      <c r="Q724" s="88"/>
      <c r="R724" s="88"/>
      <c r="S724" s="88"/>
      <c r="T724" s="88"/>
      <c r="U724" s="88"/>
      <c r="V724" s="88"/>
      <c r="W724" s="88"/>
      <c r="X724" s="88"/>
      <c r="Y724" s="88"/>
      <c r="Z724" s="88"/>
      <c r="AA724" s="88"/>
      <c r="AB724" s="128"/>
      <c r="AC724" s="128"/>
      <c r="AD724" s="128"/>
      <c r="AE724" s="128"/>
      <c r="AF724" s="128"/>
      <c r="AG724" s="128"/>
      <c r="AH724" s="127"/>
    </row>
    <row r="725" spans="1:34" ht="13.2">
      <c r="A725" s="88"/>
      <c r="B725" s="88"/>
      <c r="C725" s="88"/>
      <c r="D725" s="88"/>
      <c r="E725" s="88"/>
      <c r="F725" s="88"/>
      <c r="G725" s="88"/>
      <c r="H725" s="88"/>
      <c r="I725" s="88"/>
      <c r="J725" s="88"/>
      <c r="K725" s="88"/>
      <c r="L725" s="88"/>
      <c r="M725" s="88"/>
      <c r="N725" s="88"/>
      <c r="O725" s="88"/>
      <c r="P725" s="88"/>
      <c r="Q725" s="88"/>
      <c r="R725" s="88"/>
      <c r="S725" s="88"/>
      <c r="T725" s="88"/>
      <c r="U725" s="88"/>
      <c r="V725" s="88"/>
      <c r="W725" s="88"/>
      <c r="X725" s="88"/>
      <c r="Y725" s="88"/>
      <c r="Z725" s="88"/>
      <c r="AA725" s="88"/>
      <c r="AB725" s="128"/>
      <c r="AC725" s="128"/>
      <c r="AD725" s="128"/>
      <c r="AE725" s="128"/>
      <c r="AF725" s="128"/>
      <c r="AG725" s="128"/>
      <c r="AH725" s="127"/>
    </row>
    <row r="726" spans="1:34" ht="13.2">
      <c r="A726" s="88"/>
      <c r="B726" s="88"/>
      <c r="C726" s="88"/>
      <c r="D726" s="88"/>
      <c r="E726" s="88"/>
      <c r="F726" s="88"/>
      <c r="G726" s="88"/>
      <c r="H726" s="88"/>
      <c r="I726" s="88"/>
      <c r="J726" s="88"/>
      <c r="K726" s="88"/>
      <c r="L726" s="88"/>
      <c r="M726" s="88"/>
      <c r="N726" s="88"/>
      <c r="O726" s="88"/>
      <c r="P726" s="88"/>
      <c r="Q726" s="88"/>
      <c r="R726" s="88"/>
      <c r="S726" s="88"/>
      <c r="T726" s="88"/>
      <c r="U726" s="88"/>
      <c r="V726" s="88"/>
      <c r="W726" s="88"/>
      <c r="X726" s="88"/>
      <c r="Y726" s="88"/>
      <c r="Z726" s="88"/>
      <c r="AA726" s="88"/>
      <c r="AB726" s="128"/>
      <c r="AC726" s="128"/>
      <c r="AD726" s="128"/>
      <c r="AE726" s="128"/>
      <c r="AF726" s="128"/>
      <c r="AG726" s="128"/>
      <c r="AH726" s="127"/>
    </row>
    <row r="727" spans="1:34" ht="13.2">
      <c r="A727" s="88"/>
      <c r="B727" s="88"/>
      <c r="C727" s="88"/>
      <c r="D727" s="88"/>
      <c r="E727" s="88"/>
      <c r="F727" s="88"/>
      <c r="G727" s="88"/>
      <c r="H727" s="88"/>
      <c r="I727" s="88"/>
      <c r="J727" s="88"/>
      <c r="K727" s="88"/>
      <c r="L727" s="88"/>
      <c r="M727" s="88"/>
      <c r="N727" s="88"/>
      <c r="O727" s="88"/>
      <c r="P727" s="88"/>
      <c r="Q727" s="88"/>
      <c r="R727" s="88"/>
      <c r="S727" s="88"/>
      <c r="T727" s="88"/>
      <c r="U727" s="88"/>
      <c r="V727" s="88"/>
      <c r="W727" s="88"/>
      <c r="X727" s="88"/>
      <c r="Y727" s="88"/>
      <c r="Z727" s="88"/>
      <c r="AA727" s="88"/>
      <c r="AB727" s="128"/>
      <c r="AC727" s="128"/>
      <c r="AD727" s="128"/>
      <c r="AE727" s="128"/>
      <c r="AF727" s="128"/>
      <c r="AG727" s="128"/>
      <c r="AH727" s="127"/>
    </row>
    <row r="728" spans="1:34" ht="13.2">
      <c r="A728" s="88"/>
      <c r="B728" s="88"/>
      <c r="C728" s="88"/>
      <c r="D728" s="88"/>
      <c r="E728" s="88"/>
      <c r="F728" s="88"/>
      <c r="G728" s="88"/>
      <c r="H728" s="88"/>
      <c r="I728" s="88"/>
      <c r="J728" s="88"/>
      <c r="K728" s="88"/>
      <c r="L728" s="88"/>
      <c r="M728" s="88"/>
      <c r="N728" s="88"/>
      <c r="O728" s="88"/>
      <c r="P728" s="88"/>
      <c r="Q728" s="88"/>
      <c r="R728" s="88"/>
      <c r="S728" s="88"/>
      <c r="T728" s="88"/>
      <c r="U728" s="88"/>
      <c r="V728" s="88"/>
      <c r="W728" s="88"/>
      <c r="X728" s="88"/>
      <c r="Y728" s="88"/>
      <c r="Z728" s="88"/>
      <c r="AA728" s="88"/>
      <c r="AB728" s="128"/>
      <c r="AC728" s="128"/>
      <c r="AD728" s="128"/>
      <c r="AE728" s="128"/>
      <c r="AF728" s="128"/>
      <c r="AG728" s="128"/>
      <c r="AH728" s="127"/>
    </row>
    <row r="729" spans="1:34" ht="13.2">
      <c r="A729" s="88"/>
      <c r="B729" s="88"/>
      <c r="C729" s="88"/>
      <c r="D729" s="88"/>
      <c r="E729" s="88"/>
      <c r="F729" s="88"/>
      <c r="G729" s="88"/>
      <c r="H729" s="88"/>
      <c r="I729" s="88"/>
      <c r="J729" s="88"/>
      <c r="K729" s="88"/>
      <c r="L729" s="88"/>
      <c r="M729" s="88"/>
      <c r="N729" s="88"/>
      <c r="O729" s="88"/>
      <c r="P729" s="88"/>
      <c r="Q729" s="88"/>
      <c r="R729" s="88"/>
      <c r="S729" s="88"/>
      <c r="T729" s="88"/>
      <c r="U729" s="88"/>
      <c r="V729" s="88"/>
      <c r="W729" s="88"/>
      <c r="X729" s="88"/>
      <c r="Y729" s="88"/>
      <c r="Z729" s="88"/>
      <c r="AA729" s="88"/>
      <c r="AB729" s="128"/>
      <c r="AC729" s="128"/>
      <c r="AD729" s="128"/>
      <c r="AE729" s="128"/>
      <c r="AF729" s="128"/>
      <c r="AG729" s="128"/>
      <c r="AH729" s="127"/>
    </row>
    <row r="730" spans="1:34" ht="13.2">
      <c r="A730" s="88"/>
      <c r="B730" s="88"/>
      <c r="C730" s="88"/>
      <c r="D730" s="88"/>
      <c r="E730" s="88"/>
      <c r="F730" s="88"/>
      <c r="G730" s="88"/>
      <c r="H730" s="88"/>
      <c r="I730" s="88"/>
      <c r="J730" s="88"/>
      <c r="K730" s="88"/>
      <c r="L730" s="88"/>
      <c r="M730" s="88"/>
      <c r="N730" s="88"/>
      <c r="O730" s="88"/>
      <c r="P730" s="88"/>
      <c r="Q730" s="88"/>
      <c r="R730" s="88"/>
      <c r="S730" s="88"/>
      <c r="T730" s="88"/>
      <c r="U730" s="88"/>
      <c r="V730" s="88"/>
      <c r="W730" s="88"/>
      <c r="X730" s="88"/>
      <c r="Y730" s="88"/>
      <c r="Z730" s="88"/>
      <c r="AA730" s="88"/>
      <c r="AB730" s="128"/>
      <c r="AC730" s="128"/>
      <c r="AD730" s="128"/>
      <c r="AE730" s="128"/>
      <c r="AF730" s="128"/>
      <c r="AG730" s="128"/>
      <c r="AH730" s="127"/>
    </row>
    <row r="731" spans="1:34" ht="13.2">
      <c r="A731" s="88"/>
      <c r="B731" s="88"/>
      <c r="C731" s="88"/>
      <c r="D731" s="88"/>
      <c r="E731" s="88"/>
      <c r="F731" s="88"/>
      <c r="G731" s="88"/>
      <c r="H731" s="88"/>
      <c r="I731" s="88"/>
      <c r="J731" s="88"/>
      <c r="K731" s="88"/>
      <c r="L731" s="88"/>
      <c r="M731" s="88"/>
      <c r="N731" s="88"/>
      <c r="O731" s="88"/>
      <c r="P731" s="88"/>
      <c r="Q731" s="88"/>
      <c r="R731" s="88"/>
      <c r="S731" s="88"/>
      <c r="T731" s="88"/>
      <c r="U731" s="88"/>
      <c r="V731" s="88"/>
      <c r="W731" s="88"/>
      <c r="X731" s="88"/>
      <c r="Y731" s="88"/>
      <c r="Z731" s="88"/>
      <c r="AA731" s="88"/>
      <c r="AB731" s="128"/>
      <c r="AC731" s="128"/>
      <c r="AD731" s="128"/>
      <c r="AE731" s="128"/>
      <c r="AF731" s="128"/>
      <c r="AG731" s="128"/>
      <c r="AH731" s="127"/>
    </row>
    <row r="732" spans="1:34" ht="13.2">
      <c r="A732" s="88"/>
      <c r="B732" s="88"/>
      <c r="C732" s="88"/>
      <c r="D732" s="88"/>
      <c r="E732" s="88"/>
      <c r="F732" s="88"/>
      <c r="G732" s="88"/>
      <c r="H732" s="88"/>
      <c r="I732" s="88"/>
      <c r="J732" s="88"/>
      <c r="K732" s="88"/>
      <c r="L732" s="88"/>
      <c r="M732" s="88"/>
      <c r="N732" s="88"/>
      <c r="O732" s="88"/>
      <c r="P732" s="88"/>
      <c r="Q732" s="88"/>
      <c r="R732" s="88"/>
      <c r="S732" s="88"/>
      <c r="T732" s="88"/>
      <c r="U732" s="88"/>
      <c r="V732" s="88"/>
      <c r="W732" s="88"/>
      <c r="X732" s="88"/>
      <c r="Y732" s="88"/>
      <c r="Z732" s="88"/>
      <c r="AA732" s="88"/>
      <c r="AB732" s="128"/>
      <c r="AC732" s="128"/>
      <c r="AD732" s="128"/>
      <c r="AE732" s="128"/>
      <c r="AF732" s="128"/>
      <c r="AG732" s="128"/>
      <c r="AH732" s="127"/>
    </row>
    <row r="733" spans="1:34" ht="13.2">
      <c r="A733" s="88"/>
      <c r="B733" s="88"/>
      <c r="C733" s="88"/>
      <c r="D733" s="88"/>
      <c r="E733" s="88"/>
      <c r="F733" s="88"/>
      <c r="G733" s="88"/>
      <c r="H733" s="88"/>
      <c r="I733" s="88"/>
      <c r="J733" s="88"/>
      <c r="K733" s="88"/>
      <c r="L733" s="88"/>
      <c r="M733" s="88"/>
      <c r="N733" s="88"/>
      <c r="O733" s="88"/>
      <c r="P733" s="88"/>
      <c r="Q733" s="88"/>
      <c r="R733" s="88"/>
      <c r="S733" s="88"/>
      <c r="T733" s="88"/>
      <c r="U733" s="88"/>
      <c r="V733" s="88"/>
      <c r="W733" s="88"/>
      <c r="X733" s="88"/>
      <c r="Y733" s="88"/>
      <c r="Z733" s="88"/>
      <c r="AA733" s="88"/>
      <c r="AB733" s="128"/>
      <c r="AC733" s="128"/>
      <c r="AD733" s="128"/>
      <c r="AE733" s="128"/>
      <c r="AF733" s="128"/>
      <c r="AG733" s="128"/>
      <c r="AH733" s="127"/>
    </row>
    <row r="734" spans="1:34" ht="13.2">
      <c r="A734" s="88"/>
      <c r="B734" s="88"/>
      <c r="C734" s="88"/>
      <c r="D734" s="88"/>
      <c r="E734" s="88"/>
      <c r="F734" s="88"/>
      <c r="G734" s="88"/>
      <c r="H734" s="88"/>
      <c r="I734" s="88"/>
      <c r="J734" s="88"/>
      <c r="K734" s="88"/>
      <c r="L734" s="88"/>
      <c r="M734" s="88"/>
      <c r="N734" s="88"/>
      <c r="O734" s="88"/>
      <c r="P734" s="88"/>
      <c r="Q734" s="88"/>
      <c r="R734" s="88"/>
      <c r="S734" s="88"/>
      <c r="T734" s="88"/>
      <c r="U734" s="88"/>
      <c r="V734" s="88"/>
      <c r="W734" s="88"/>
      <c r="X734" s="88"/>
      <c r="Y734" s="88"/>
      <c r="Z734" s="88"/>
      <c r="AA734" s="88"/>
      <c r="AB734" s="128"/>
      <c r="AC734" s="128"/>
      <c r="AD734" s="128"/>
      <c r="AE734" s="128"/>
      <c r="AF734" s="128"/>
      <c r="AG734" s="128"/>
      <c r="AH734" s="127"/>
    </row>
    <row r="735" spans="1:34" ht="13.2">
      <c r="A735" s="88"/>
      <c r="B735" s="88"/>
      <c r="C735" s="88"/>
      <c r="D735" s="88"/>
      <c r="E735" s="88"/>
      <c r="F735" s="88"/>
      <c r="G735" s="88"/>
      <c r="H735" s="88"/>
      <c r="I735" s="88"/>
      <c r="J735" s="88"/>
      <c r="K735" s="88"/>
      <c r="L735" s="88"/>
      <c r="M735" s="88"/>
      <c r="N735" s="88"/>
      <c r="O735" s="88"/>
      <c r="P735" s="88"/>
      <c r="Q735" s="88"/>
      <c r="R735" s="88"/>
      <c r="S735" s="88"/>
      <c r="T735" s="88"/>
      <c r="U735" s="88"/>
      <c r="V735" s="88"/>
      <c r="W735" s="88"/>
      <c r="X735" s="88"/>
      <c r="Y735" s="88"/>
      <c r="Z735" s="88"/>
      <c r="AA735" s="88"/>
      <c r="AB735" s="128"/>
      <c r="AC735" s="128"/>
      <c r="AD735" s="128"/>
      <c r="AE735" s="128"/>
      <c r="AF735" s="128"/>
      <c r="AG735" s="128"/>
      <c r="AH735" s="127"/>
    </row>
    <row r="736" spans="1:34" ht="13.2">
      <c r="A736" s="88"/>
      <c r="B736" s="88"/>
      <c r="C736" s="88"/>
      <c r="D736" s="88"/>
      <c r="E736" s="88"/>
      <c r="F736" s="88"/>
      <c r="G736" s="88"/>
      <c r="H736" s="88"/>
      <c r="I736" s="88"/>
      <c r="J736" s="88"/>
      <c r="K736" s="88"/>
      <c r="L736" s="88"/>
      <c r="M736" s="88"/>
      <c r="N736" s="88"/>
      <c r="O736" s="88"/>
      <c r="P736" s="88"/>
      <c r="Q736" s="88"/>
      <c r="R736" s="88"/>
      <c r="S736" s="88"/>
      <c r="T736" s="88"/>
      <c r="U736" s="88"/>
      <c r="V736" s="88"/>
      <c r="W736" s="88"/>
      <c r="X736" s="88"/>
      <c r="Y736" s="88"/>
      <c r="Z736" s="88"/>
      <c r="AA736" s="88"/>
      <c r="AB736" s="128"/>
      <c r="AC736" s="128"/>
      <c r="AD736" s="128"/>
      <c r="AE736" s="128"/>
      <c r="AF736" s="128"/>
      <c r="AG736" s="128"/>
      <c r="AH736" s="127"/>
    </row>
    <row r="737" spans="1:34" ht="13.2">
      <c r="A737" s="88"/>
      <c r="B737" s="88"/>
      <c r="C737" s="88"/>
      <c r="D737" s="88"/>
      <c r="E737" s="88"/>
      <c r="F737" s="88"/>
      <c r="G737" s="88"/>
      <c r="H737" s="88"/>
      <c r="I737" s="88"/>
      <c r="J737" s="88"/>
      <c r="K737" s="88"/>
      <c r="L737" s="88"/>
      <c r="M737" s="88"/>
      <c r="N737" s="88"/>
      <c r="O737" s="88"/>
      <c r="P737" s="88"/>
      <c r="Q737" s="88"/>
      <c r="R737" s="88"/>
      <c r="S737" s="88"/>
      <c r="T737" s="88"/>
      <c r="U737" s="88"/>
      <c r="V737" s="88"/>
      <c r="W737" s="88"/>
      <c r="X737" s="88"/>
      <c r="Y737" s="88"/>
      <c r="Z737" s="88"/>
      <c r="AA737" s="88"/>
      <c r="AB737" s="128"/>
      <c r="AC737" s="128"/>
      <c r="AD737" s="128"/>
      <c r="AE737" s="128"/>
      <c r="AF737" s="128"/>
      <c r="AG737" s="128"/>
      <c r="AH737" s="127"/>
    </row>
    <row r="738" spans="1:34" ht="13.2">
      <c r="A738" s="88"/>
      <c r="B738" s="88"/>
      <c r="C738" s="88"/>
      <c r="D738" s="88"/>
      <c r="E738" s="88"/>
      <c r="F738" s="88"/>
      <c r="G738" s="88"/>
      <c r="H738" s="88"/>
      <c r="I738" s="88"/>
      <c r="J738" s="88"/>
      <c r="K738" s="88"/>
      <c r="L738" s="88"/>
      <c r="M738" s="88"/>
      <c r="N738" s="88"/>
      <c r="O738" s="88"/>
      <c r="P738" s="88"/>
      <c r="Q738" s="88"/>
      <c r="R738" s="88"/>
      <c r="S738" s="88"/>
      <c r="T738" s="88"/>
      <c r="U738" s="88"/>
      <c r="V738" s="88"/>
      <c r="W738" s="88"/>
      <c r="X738" s="88"/>
      <c r="Y738" s="88"/>
      <c r="Z738" s="88"/>
      <c r="AA738" s="88"/>
      <c r="AB738" s="128"/>
      <c r="AC738" s="128"/>
      <c r="AD738" s="128"/>
      <c r="AE738" s="128"/>
      <c r="AF738" s="128"/>
      <c r="AG738" s="128"/>
      <c r="AH738" s="127"/>
    </row>
    <row r="739" spans="1:34" ht="13.2">
      <c r="A739" s="88"/>
      <c r="B739" s="88"/>
      <c r="C739" s="88"/>
      <c r="D739" s="88"/>
      <c r="E739" s="88"/>
      <c r="F739" s="88"/>
      <c r="G739" s="88"/>
      <c r="H739" s="88"/>
      <c r="I739" s="88"/>
      <c r="J739" s="88"/>
      <c r="K739" s="88"/>
      <c r="L739" s="88"/>
      <c r="M739" s="88"/>
      <c r="N739" s="88"/>
      <c r="O739" s="88"/>
      <c r="P739" s="88"/>
      <c r="Q739" s="88"/>
      <c r="R739" s="88"/>
      <c r="S739" s="88"/>
      <c r="T739" s="88"/>
      <c r="U739" s="88"/>
      <c r="V739" s="88"/>
      <c r="W739" s="88"/>
      <c r="X739" s="88"/>
      <c r="Y739" s="88"/>
      <c r="Z739" s="88"/>
      <c r="AA739" s="88"/>
      <c r="AB739" s="128"/>
      <c r="AC739" s="128"/>
      <c r="AD739" s="128"/>
      <c r="AE739" s="128"/>
      <c r="AF739" s="128"/>
      <c r="AG739" s="128"/>
      <c r="AH739" s="127"/>
    </row>
    <row r="740" spans="1:34" ht="13.2">
      <c r="A740" s="88"/>
      <c r="B740" s="88"/>
      <c r="C740" s="88"/>
      <c r="D740" s="88"/>
      <c r="E740" s="88"/>
      <c r="F740" s="88"/>
      <c r="G740" s="88"/>
      <c r="H740" s="88"/>
      <c r="I740" s="88"/>
      <c r="J740" s="88"/>
      <c r="K740" s="88"/>
      <c r="L740" s="88"/>
      <c r="M740" s="88"/>
      <c r="N740" s="88"/>
      <c r="O740" s="88"/>
      <c r="P740" s="88"/>
      <c r="Q740" s="88"/>
      <c r="R740" s="88"/>
      <c r="S740" s="88"/>
      <c r="T740" s="88"/>
      <c r="U740" s="88"/>
      <c r="V740" s="88"/>
      <c r="W740" s="88"/>
      <c r="X740" s="88"/>
      <c r="Y740" s="88"/>
      <c r="Z740" s="88"/>
      <c r="AA740" s="88"/>
      <c r="AB740" s="128"/>
      <c r="AC740" s="128"/>
      <c r="AD740" s="128"/>
      <c r="AE740" s="128"/>
      <c r="AF740" s="128"/>
      <c r="AG740" s="128"/>
      <c r="AH740" s="127"/>
    </row>
    <row r="741" spans="1:34" ht="13.2">
      <c r="A741" s="88"/>
      <c r="B741" s="88"/>
      <c r="C741" s="88"/>
      <c r="D741" s="88"/>
      <c r="E741" s="88"/>
      <c r="F741" s="88"/>
      <c r="G741" s="88"/>
      <c r="H741" s="88"/>
      <c r="I741" s="88"/>
      <c r="J741" s="88"/>
      <c r="K741" s="88"/>
      <c r="L741" s="88"/>
      <c r="M741" s="88"/>
      <c r="N741" s="88"/>
      <c r="O741" s="88"/>
      <c r="P741" s="88"/>
      <c r="Q741" s="88"/>
      <c r="R741" s="88"/>
      <c r="S741" s="88"/>
      <c r="T741" s="88"/>
      <c r="U741" s="88"/>
      <c r="V741" s="88"/>
      <c r="W741" s="88"/>
      <c r="X741" s="88"/>
      <c r="Y741" s="88"/>
      <c r="Z741" s="88"/>
      <c r="AA741" s="88"/>
      <c r="AB741" s="128"/>
      <c r="AC741" s="128"/>
      <c r="AD741" s="128"/>
      <c r="AE741" s="128"/>
      <c r="AF741" s="128"/>
      <c r="AG741" s="128"/>
      <c r="AH741" s="127"/>
    </row>
    <row r="742" spans="1:34" ht="13.2">
      <c r="A742" s="88"/>
      <c r="B742" s="88"/>
      <c r="C742" s="88"/>
      <c r="D742" s="88"/>
      <c r="E742" s="88"/>
      <c r="F742" s="88"/>
      <c r="G742" s="88"/>
      <c r="H742" s="88"/>
      <c r="I742" s="88"/>
      <c r="J742" s="88"/>
      <c r="K742" s="88"/>
      <c r="L742" s="88"/>
      <c r="M742" s="88"/>
      <c r="N742" s="88"/>
      <c r="O742" s="88"/>
      <c r="P742" s="88"/>
      <c r="Q742" s="88"/>
      <c r="R742" s="88"/>
      <c r="S742" s="88"/>
      <c r="T742" s="88"/>
      <c r="U742" s="88"/>
      <c r="V742" s="88"/>
      <c r="W742" s="88"/>
      <c r="X742" s="88"/>
      <c r="Y742" s="88"/>
      <c r="Z742" s="88"/>
      <c r="AA742" s="88"/>
      <c r="AB742" s="128"/>
      <c r="AC742" s="128"/>
      <c r="AD742" s="128"/>
      <c r="AE742" s="128"/>
      <c r="AF742" s="128"/>
      <c r="AG742" s="128"/>
      <c r="AH742" s="127"/>
    </row>
    <row r="743" spans="1:34" ht="13.2">
      <c r="A743" s="88"/>
      <c r="B743" s="88"/>
      <c r="C743" s="88"/>
      <c r="D743" s="88"/>
      <c r="E743" s="88"/>
      <c r="F743" s="88"/>
      <c r="G743" s="88"/>
      <c r="H743" s="88"/>
      <c r="I743" s="88"/>
      <c r="J743" s="88"/>
      <c r="K743" s="88"/>
      <c r="L743" s="88"/>
      <c r="M743" s="88"/>
      <c r="N743" s="88"/>
      <c r="O743" s="88"/>
      <c r="P743" s="88"/>
      <c r="Q743" s="88"/>
      <c r="R743" s="88"/>
      <c r="S743" s="88"/>
      <c r="T743" s="88"/>
      <c r="U743" s="88"/>
      <c r="V743" s="88"/>
      <c r="W743" s="88"/>
      <c r="X743" s="88"/>
      <c r="Y743" s="88"/>
      <c r="Z743" s="88"/>
      <c r="AA743" s="88"/>
      <c r="AB743" s="128"/>
      <c r="AC743" s="128"/>
      <c r="AD743" s="128"/>
      <c r="AE743" s="128"/>
      <c r="AF743" s="128"/>
      <c r="AG743" s="128"/>
      <c r="AH743" s="127"/>
    </row>
    <row r="744" spans="1:34" ht="13.2">
      <c r="A744" s="88"/>
      <c r="B744" s="88"/>
      <c r="C744" s="88"/>
      <c r="D744" s="88"/>
      <c r="E744" s="88"/>
      <c r="F744" s="88"/>
      <c r="G744" s="88"/>
      <c r="H744" s="88"/>
      <c r="I744" s="88"/>
      <c r="J744" s="88"/>
      <c r="K744" s="88"/>
      <c r="L744" s="88"/>
      <c r="M744" s="88"/>
      <c r="N744" s="88"/>
      <c r="O744" s="88"/>
      <c r="P744" s="88"/>
      <c r="Q744" s="88"/>
      <c r="R744" s="88"/>
      <c r="S744" s="88"/>
      <c r="T744" s="88"/>
      <c r="U744" s="88"/>
      <c r="V744" s="88"/>
      <c r="W744" s="88"/>
      <c r="X744" s="88"/>
      <c r="Y744" s="88"/>
      <c r="Z744" s="88"/>
      <c r="AA744" s="88"/>
      <c r="AB744" s="128"/>
      <c r="AC744" s="128"/>
      <c r="AD744" s="128"/>
      <c r="AE744" s="128"/>
      <c r="AF744" s="128"/>
      <c r="AG744" s="128"/>
      <c r="AH744" s="127"/>
    </row>
    <row r="745" spans="1:34" ht="13.2">
      <c r="A745" s="88"/>
      <c r="B745" s="88"/>
      <c r="C745" s="88"/>
      <c r="D745" s="88"/>
      <c r="E745" s="88"/>
      <c r="F745" s="88"/>
      <c r="G745" s="88"/>
      <c r="H745" s="88"/>
      <c r="I745" s="88"/>
      <c r="J745" s="88"/>
      <c r="K745" s="88"/>
      <c r="L745" s="88"/>
      <c r="M745" s="88"/>
      <c r="N745" s="88"/>
      <c r="O745" s="88"/>
      <c r="P745" s="88"/>
      <c r="Q745" s="88"/>
      <c r="R745" s="88"/>
      <c r="S745" s="88"/>
      <c r="T745" s="88"/>
      <c r="U745" s="88"/>
      <c r="V745" s="88"/>
      <c r="W745" s="88"/>
      <c r="X745" s="88"/>
      <c r="Y745" s="88"/>
      <c r="Z745" s="88"/>
      <c r="AA745" s="88"/>
      <c r="AB745" s="128"/>
      <c r="AC745" s="128"/>
      <c r="AD745" s="128"/>
      <c r="AE745" s="128"/>
      <c r="AF745" s="128"/>
      <c r="AG745" s="128"/>
      <c r="AH745" s="127"/>
    </row>
    <row r="746" spans="1:34" ht="13.2">
      <c r="A746" s="88"/>
      <c r="B746" s="88"/>
      <c r="C746" s="88"/>
      <c r="D746" s="88"/>
      <c r="E746" s="88"/>
      <c r="F746" s="88"/>
      <c r="G746" s="88"/>
      <c r="H746" s="88"/>
      <c r="I746" s="88"/>
      <c r="J746" s="88"/>
      <c r="K746" s="88"/>
      <c r="L746" s="88"/>
      <c r="M746" s="88"/>
      <c r="N746" s="88"/>
      <c r="O746" s="88"/>
      <c r="P746" s="88"/>
      <c r="Q746" s="88"/>
      <c r="R746" s="88"/>
      <c r="S746" s="88"/>
      <c r="T746" s="88"/>
      <c r="U746" s="88"/>
      <c r="V746" s="88"/>
      <c r="W746" s="88"/>
      <c r="X746" s="88"/>
      <c r="Y746" s="88"/>
      <c r="Z746" s="88"/>
      <c r="AA746" s="88"/>
      <c r="AB746" s="128"/>
      <c r="AC746" s="128"/>
      <c r="AD746" s="128"/>
      <c r="AE746" s="128"/>
      <c r="AF746" s="128"/>
      <c r="AG746" s="128"/>
      <c r="AH746" s="127"/>
    </row>
    <row r="747" spans="1:34" ht="13.2">
      <c r="A747" s="88"/>
      <c r="B747" s="88"/>
      <c r="C747" s="88"/>
      <c r="D747" s="88"/>
      <c r="E747" s="88"/>
      <c r="F747" s="88"/>
      <c r="G747" s="88"/>
      <c r="H747" s="88"/>
      <c r="I747" s="88"/>
      <c r="J747" s="88"/>
      <c r="K747" s="88"/>
      <c r="L747" s="88"/>
      <c r="M747" s="88"/>
      <c r="N747" s="88"/>
      <c r="O747" s="88"/>
      <c r="P747" s="88"/>
      <c r="Q747" s="88"/>
      <c r="R747" s="88"/>
      <c r="S747" s="88"/>
      <c r="T747" s="88"/>
      <c r="U747" s="88"/>
      <c r="V747" s="88"/>
      <c r="W747" s="88"/>
      <c r="X747" s="88"/>
      <c r="Y747" s="88"/>
      <c r="Z747" s="88"/>
      <c r="AA747" s="88"/>
      <c r="AB747" s="128"/>
      <c r="AC747" s="128"/>
      <c r="AD747" s="128"/>
      <c r="AE747" s="128"/>
      <c r="AF747" s="128"/>
      <c r="AG747" s="128"/>
      <c r="AH747" s="127"/>
    </row>
    <row r="748" spans="1:34" ht="13.2">
      <c r="A748" s="88"/>
      <c r="B748" s="88"/>
      <c r="C748" s="88"/>
      <c r="D748" s="88"/>
      <c r="E748" s="88"/>
      <c r="F748" s="88"/>
      <c r="G748" s="88"/>
      <c r="H748" s="88"/>
      <c r="I748" s="88"/>
      <c r="J748" s="88"/>
      <c r="K748" s="88"/>
      <c r="L748" s="88"/>
      <c r="M748" s="88"/>
      <c r="N748" s="88"/>
      <c r="O748" s="88"/>
      <c r="P748" s="88"/>
      <c r="Q748" s="88"/>
      <c r="R748" s="88"/>
      <c r="S748" s="88"/>
      <c r="T748" s="88"/>
      <c r="U748" s="88"/>
      <c r="V748" s="88"/>
      <c r="W748" s="88"/>
      <c r="X748" s="88"/>
      <c r="Y748" s="88"/>
      <c r="Z748" s="88"/>
      <c r="AA748" s="88"/>
      <c r="AB748" s="128"/>
      <c r="AC748" s="128"/>
      <c r="AD748" s="128"/>
      <c r="AE748" s="128"/>
      <c r="AF748" s="128"/>
      <c r="AG748" s="128"/>
      <c r="AH748" s="127"/>
    </row>
    <row r="749" spans="1:34" ht="13.2">
      <c r="A749" s="88"/>
      <c r="B749" s="88"/>
      <c r="C749" s="88"/>
      <c r="D749" s="88"/>
      <c r="E749" s="88"/>
      <c r="F749" s="88"/>
      <c r="G749" s="88"/>
      <c r="H749" s="88"/>
      <c r="I749" s="88"/>
      <c r="J749" s="88"/>
      <c r="K749" s="88"/>
      <c r="L749" s="88"/>
      <c r="M749" s="88"/>
      <c r="N749" s="88"/>
      <c r="O749" s="88"/>
      <c r="P749" s="88"/>
      <c r="Q749" s="88"/>
      <c r="R749" s="88"/>
      <c r="S749" s="88"/>
      <c r="T749" s="88"/>
      <c r="U749" s="88"/>
      <c r="V749" s="88"/>
      <c r="W749" s="88"/>
      <c r="X749" s="88"/>
      <c r="Y749" s="88"/>
      <c r="Z749" s="88"/>
      <c r="AA749" s="88"/>
      <c r="AB749" s="128"/>
      <c r="AC749" s="128"/>
      <c r="AD749" s="128"/>
      <c r="AE749" s="128"/>
      <c r="AF749" s="128"/>
      <c r="AG749" s="128"/>
      <c r="AH749" s="127"/>
    </row>
    <row r="750" spans="1:34" ht="13.2">
      <c r="A750" s="88"/>
      <c r="B750" s="88"/>
      <c r="C750" s="88"/>
      <c r="D750" s="88"/>
      <c r="E750" s="88"/>
      <c r="F750" s="88"/>
      <c r="G750" s="88"/>
      <c r="H750" s="88"/>
      <c r="I750" s="88"/>
      <c r="J750" s="88"/>
      <c r="K750" s="88"/>
      <c r="L750" s="88"/>
      <c r="M750" s="88"/>
      <c r="N750" s="88"/>
      <c r="O750" s="88"/>
      <c r="P750" s="88"/>
      <c r="Q750" s="88"/>
      <c r="R750" s="88"/>
      <c r="S750" s="88"/>
      <c r="T750" s="88"/>
      <c r="U750" s="88"/>
      <c r="V750" s="88"/>
      <c r="W750" s="88"/>
      <c r="X750" s="88"/>
      <c r="Y750" s="88"/>
      <c r="Z750" s="88"/>
      <c r="AA750" s="88"/>
      <c r="AB750" s="128"/>
      <c r="AC750" s="128"/>
      <c r="AD750" s="128"/>
      <c r="AE750" s="128"/>
      <c r="AF750" s="128"/>
      <c r="AG750" s="128"/>
      <c r="AH750" s="127"/>
    </row>
    <row r="751" spans="1:34" ht="13.2">
      <c r="A751" s="88"/>
      <c r="B751" s="88"/>
      <c r="C751" s="88"/>
      <c r="D751" s="88"/>
      <c r="E751" s="88"/>
      <c r="F751" s="88"/>
      <c r="G751" s="88"/>
      <c r="H751" s="88"/>
      <c r="I751" s="88"/>
      <c r="J751" s="88"/>
      <c r="K751" s="88"/>
      <c r="L751" s="88"/>
      <c r="M751" s="88"/>
      <c r="N751" s="88"/>
      <c r="O751" s="88"/>
      <c r="P751" s="88"/>
      <c r="Q751" s="88"/>
      <c r="R751" s="88"/>
      <c r="S751" s="88"/>
      <c r="T751" s="88"/>
      <c r="U751" s="88"/>
      <c r="V751" s="88"/>
      <c r="W751" s="88"/>
      <c r="X751" s="88"/>
      <c r="Y751" s="88"/>
      <c r="Z751" s="88"/>
      <c r="AA751" s="88"/>
      <c r="AB751" s="128"/>
      <c r="AC751" s="128"/>
      <c r="AD751" s="128"/>
      <c r="AE751" s="128"/>
      <c r="AF751" s="128"/>
      <c r="AG751" s="128"/>
      <c r="AH751" s="127"/>
    </row>
    <row r="752" spans="1:34" ht="13.2">
      <c r="A752" s="88"/>
      <c r="B752" s="88"/>
      <c r="C752" s="88"/>
      <c r="D752" s="88"/>
      <c r="E752" s="88"/>
      <c r="F752" s="88"/>
      <c r="G752" s="88"/>
      <c r="H752" s="88"/>
      <c r="I752" s="88"/>
      <c r="J752" s="88"/>
      <c r="K752" s="88"/>
      <c r="L752" s="88"/>
      <c r="M752" s="88"/>
      <c r="N752" s="88"/>
      <c r="O752" s="88"/>
      <c r="P752" s="88"/>
      <c r="Q752" s="88"/>
      <c r="R752" s="88"/>
      <c r="S752" s="88"/>
      <c r="T752" s="88"/>
      <c r="U752" s="88"/>
      <c r="V752" s="88"/>
      <c r="W752" s="88"/>
      <c r="X752" s="88"/>
      <c r="Y752" s="88"/>
      <c r="Z752" s="88"/>
      <c r="AA752" s="88"/>
      <c r="AB752" s="128"/>
      <c r="AC752" s="128"/>
      <c r="AD752" s="128"/>
      <c r="AE752" s="128"/>
      <c r="AF752" s="128"/>
      <c r="AG752" s="128"/>
      <c r="AH752" s="127"/>
    </row>
    <row r="753" spans="1:34" ht="13.2">
      <c r="A753" s="88"/>
      <c r="B753" s="88"/>
      <c r="C753" s="88"/>
      <c r="D753" s="88"/>
      <c r="E753" s="88"/>
      <c r="F753" s="88"/>
      <c r="G753" s="88"/>
      <c r="H753" s="88"/>
      <c r="I753" s="88"/>
      <c r="J753" s="88"/>
      <c r="K753" s="88"/>
      <c r="L753" s="88"/>
      <c r="M753" s="88"/>
      <c r="N753" s="88"/>
      <c r="O753" s="88"/>
      <c r="P753" s="88"/>
      <c r="Q753" s="88"/>
      <c r="R753" s="88"/>
      <c r="S753" s="88"/>
      <c r="T753" s="88"/>
      <c r="U753" s="88"/>
      <c r="V753" s="88"/>
      <c r="W753" s="88"/>
      <c r="X753" s="88"/>
      <c r="Y753" s="88"/>
      <c r="Z753" s="88"/>
      <c r="AA753" s="88"/>
      <c r="AB753" s="128"/>
      <c r="AC753" s="128"/>
      <c r="AD753" s="128"/>
      <c r="AE753" s="128"/>
      <c r="AF753" s="128"/>
      <c r="AG753" s="128"/>
      <c r="AH753" s="127"/>
    </row>
    <row r="754" spans="1:34" ht="13.2">
      <c r="A754" s="88"/>
      <c r="B754" s="88"/>
      <c r="C754" s="88"/>
      <c r="D754" s="88"/>
      <c r="E754" s="88"/>
      <c r="F754" s="88"/>
      <c r="G754" s="88"/>
      <c r="H754" s="88"/>
      <c r="I754" s="88"/>
      <c r="J754" s="88"/>
      <c r="K754" s="88"/>
      <c r="L754" s="88"/>
      <c r="M754" s="88"/>
      <c r="N754" s="88"/>
      <c r="O754" s="88"/>
      <c r="P754" s="88"/>
      <c r="Q754" s="88"/>
      <c r="R754" s="88"/>
      <c r="S754" s="88"/>
      <c r="T754" s="88"/>
      <c r="U754" s="88"/>
      <c r="V754" s="88"/>
      <c r="W754" s="88"/>
      <c r="X754" s="88"/>
      <c r="Y754" s="88"/>
      <c r="Z754" s="88"/>
      <c r="AA754" s="88"/>
      <c r="AB754" s="128"/>
      <c r="AC754" s="128"/>
      <c r="AD754" s="128"/>
      <c r="AE754" s="128"/>
      <c r="AF754" s="128"/>
      <c r="AG754" s="128"/>
      <c r="AH754" s="127"/>
    </row>
    <row r="755" spans="1:34" ht="13.2">
      <c r="A755" s="88"/>
      <c r="B755" s="88"/>
      <c r="C755" s="88"/>
      <c r="D755" s="88"/>
      <c r="E755" s="88"/>
      <c r="F755" s="88"/>
      <c r="G755" s="88"/>
      <c r="H755" s="88"/>
      <c r="I755" s="88"/>
      <c r="J755" s="88"/>
      <c r="K755" s="88"/>
      <c r="L755" s="88"/>
      <c r="M755" s="88"/>
      <c r="N755" s="88"/>
      <c r="O755" s="88"/>
      <c r="P755" s="88"/>
      <c r="Q755" s="88"/>
      <c r="R755" s="88"/>
      <c r="S755" s="88"/>
      <c r="T755" s="88"/>
      <c r="U755" s="88"/>
      <c r="V755" s="88"/>
      <c r="W755" s="88"/>
      <c r="X755" s="88"/>
      <c r="Y755" s="88"/>
      <c r="Z755" s="88"/>
      <c r="AA755" s="88"/>
      <c r="AB755" s="128"/>
      <c r="AC755" s="128"/>
      <c r="AD755" s="128"/>
      <c r="AE755" s="128"/>
      <c r="AF755" s="128"/>
      <c r="AG755" s="128"/>
      <c r="AH755" s="127"/>
    </row>
    <row r="756" spans="1:34" ht="13.2">
      <c r="A756" s="88"/>
      <c r="B756" s="88"/>
      <c r="C756" s="88"/>
      <c r="D756" s="88"/>
      <c r="E756" s="88"/>
      <c r="F756" s="88"/>
      <c r="G756" s="88"/>
      <c r="H756" s="88"/>
      <c r="I756" s="88"/>
      <c r="J756" s="88"/>
      <c r="K756" s="88"/>
      <c r="L756" s="88"/>
      <c r="M756" s="88"/>
      <c r="N756" s="88"/>
      <c r="O756" s="88"/>
      <c r="P756" s="88"/>
      <c r="Q756" s="88"/>
      <c r="R756" s="88"/>
      <c r="S756" s="88"/>
      <c r="T756" s="88"/>
      <c r="U756" s="88"/>
      <c r="V756" s="88"/>
      <c r="W756" s="88"/>
      <c r="X756" s="88"/>
      <c r="Y756" s="88"/>
      <c r="Z756" s="88"/>
      <c r="AA756" s="88"/>
      <c r="AB756" s="128"/>
      <c r="AC756" s="128"/>
      <c r="AD756" s="128"/>
      <c r="AE756" s="128"/>
      <c r="AF756" s="128"/>
      <c r="AG756" s="128"/>
      <c r="AH756" s="127"/>
    </row>
    <row r="757" spans="1:34" ht="13.2">
      <c r="A757" s="88"/>
      <c r="B757" s="88"/>
      <c r="C757" s="88"/>
      <c r="D757" s="88"/>
      <c r="E757" s="88"/>
      <c r="F757" s="88"/>
      <c r="G757" s="88"/>
      <c r="H757" s="88"/>
      <c r="I757" s="88"/>
      <c r="J757" s="88"/>
      <c r="K757" s="88"/>
      <c r="L757" s="88"/>
      <c r="M757" s="88"/>
      <c r="N757" s="88"/>
      <c r="O757" s="88"/>
      <c r="P757" s="88"/>
      <c r="Q757" s="88"/>
      <c r="R757" s="88"/>
      <c r="S757" s="88"/>
      <c r="T757" s="88"/>
      <c r="U757" s="88"/>
      <c r="V757" s="88"/>
      <c r="W757" s="88"/>
      <c r="X757" s="88"/>
      <c r="Y757" s="88"/>
      <c r="Z757" s="88"/>
      <c r="AA757" s="88"/>
      <c r="AB757" s="128"/>
      <c r="AC757" s="128"/>
      <c r="AD757" s="128"/>
      <c r="AE757" s="128"/>
      <c r="AF757" s="128"/>
      <c r="AG757" s="128"/>
      <c r="AH757" s="127"/>
    </row>
    <row r="758" spans="1:34" ht="13.2">
      <c r="A758" s="88"/>
      <c r="B758" s="88"/>
      <c r="C758" s="88"/>
      <c r="D758" s="88"/>
      <c r="E758" s="88"/>
      <c r="F758" s="88"/>
      <c r="G758" s="88"/>
      <c r="H758" s="88"/>
      <c r="I758" s="88"/>
      <c r="J758" s="88"/>
      <c r="K758" s="88"/>
      <c r="L758" s="88"/>
      <c r="M758" s="88"/>
      <c r="N758" s="88"/>
      <c r="O758" s="88"/>
      <c r="P758" s="88"/>
      <c r="Q758" s="88"/>
      <c r="R758" s="88"/>
      <c r="S758" s="88"/>
      <c r="T758" s="88"/>
      <c r="U758" s="88"/>
      <c r="V758" s="88"/>
      <c r="W758" s="88"/>
      <c r="X758" s="88"/>
      <c r="Y758" s="88"/>
      <c r="Z758" s="88"/>
      <c r="AA758" s="88"/>
      <c r="AB758" s="128"/>
      <c r="AC758" s="128"/>
      <c r="AD758" s="128"/>
      <c r="AE758" s="128"/>
      <c r="AF758" s="128"/>
      <c r="AG758" s="128"/>
      <c r="AH758" s="127"/>
    </row>
    <row r="759" spans="1:34" ht="13.2">
      <c r="A759" s="88"/>
      <c r="B759" s="88"/>
      <c r="C759" s="88"/>
      <c r="D759" s="88"/>
      <c r="E759" s="88"/>
      <c r="F759" s="88"/>
      <c r="G759" s="88"/>
      <c r="H759" s="88"/>
      <c r="I759" s="88"/>
      <c r="J759" s="88"/>
      <c r="K759" s="88"/>
      <c r="L759" s="88"/>
      <c r="M759" s="88"/>
      <c r="N759" s="88"/>
      <c r="O759" s="88"/>
      <c r="P759" s="88"/>
      <c r="Q759" s="88"/>
      <c r="R759" s="88"/>
      <c r="S759" s="88"/>
      <c r="T759" s="88"/>
      <c r="U759" s="88"/>
      <c r="V759" s="88"/>
      <c r="W759" s="88"/>
      <c r="X759" s="88"/>
      <c r="Y759" s="88"/>
      <c r="Z759" s="88"/>
      <c r="AA759" s="88"/>
      <c r="AB759" s="128"/>
      <c r="AC759" s="128"/>
      <c r="AD759" s="128"/>
      <c r="AE759" s="128"/>
      <c r="AF759" s="128"/>
      <c r="AG759" s="128"/>
      <c r="AH759" s="127"/>
    </row>
    <row r="760" spans="1:34" ht="13.2">
      <c r="A760" s="88"/>
      <c r="B760" s="88"/>
      <c r="C760" s="88"/>
      <c r="D760" s="88"/>
      <c r="E760" s="88"/>
      <c r="F760" s="88"/>
      <c r="G760" s="88"/>
      <c r="H760" s="88"/>
      <c r="I760" s="88"/>
      <c r="J760" s="88"/>
      <c r="K760" s="88"/>
      <c r="L760" s="88"/>
      <c r="M760" s="88"/>
      <c r="N760" s="88"/>
      <c r="O760" s="88"/>
      <c r="P760" s="88"/>
      <c r="Q760" s="88"/>
      <c r="R760" s="88"/>
      <c r="S760" s="88"/>
      <c r="T760" s="88"/>
      <c r="U760" s="88"/>
      <c r="V760" s="88"/>
      <c r="W760" s="88"/>
      <c r="X760" s="88"/>
      <c r="Y760" s="88"/>
      <c r="Z760" s="88"/>
      <c r="AA760" s="88"/>
      <c r="AB760" s="128"/>
      <c r="AC760" s="128"/>
      <c r="AD760" s="128"/>
      <c r="AE760" s="128"/>
      <c r="AF760" s="128"/>
      <c r="AG760" s="128"/>
      <c r="AH760" s="127"/>
    </row>
    <row r="761" spans="1:34" ht="13.2">
      <c r="A761" s="88"/>
      <c r="B761" s="88"/>
      <c r="C761" s="88"/>
      <c r="D761" s="88"/>
      <c r="E761" s="88"/>
      <c r="F761" s="88"/>
      <c r="G761" s="88"/>
      <c r="H761" s="88"/>
      <c r="I761" s="88"/>
      <c r="J761" s="88"/>
      <c r="K761" s="88"/>
      <c r="L761" s="88"/>
      <c r="M761" s="88"/>
      <c r="N761" s="88"/>
      <c r="O761" s="88"/>
      <c r="P761" s="88"/>
      <c r="Q761" s="88"/>
      <c r="R761" s="88"/>
      <c r="S761" s="88"/>
      <c r="T761" s="88"/>
      <c r="U761" s="88"/>
      <c r="V761" s="88"/>
      <c r="W761" s="88"/>
      <c r="X761" s="88"/>
      <c r="Y761" s="88"/>
      <c r="Z761" s="88"/>
      <c r="AA761" s="88"/>
      <c r="AB761" s="128"/>
      <c r="AC761" s="128"/>
      <c r="AD761" s="128"/>
      <c r="AE761" s="128"/>
      <c r="AF761" s="128"/>
      <c r="AG761" s="128"/>
      <c r="AH761" s="127"/>
    </row>
    <row r="762" spans="1:34" ht="13.2">
      <c r="A762" s="88"/>
      <c r="B762" s="88"/>
      <c r="C762" s="88"/>
      <c r="D762" s="88"/>
      <c r="E762" s="88"/>
      <c r="F762" s="88"/>
      <c r="G762" s="88"/>
      <c r="H762" s="88"/>
      <c r="I762" s="88"/>
      <c r="J762" s="88"/>
      <c r="K762" s="88"/>
      <c r="L762" s="88"/>
      <c r="M762" s="88"/>
      <c r="N762" s="88"/>
      <c r="O762" s="88"/>
      <c r="P762" s="88"/>
      <c r="Q762" s="88"/>
      <c r="R762" s="88"/>
      <c r="S762" s="88"/>
      <c r="T762" s="88"/>
      <c r="U762" s="88"/>
      <c r="V762" s="88"/>
      <c r="W762" s="88"/>
      <c r="X762" s="88"/>
      <c r="Y762" s="88"/>
      <c r="Z762" s="88"/>
      <c r="AA762" s="88"/>
      <c r="AB762" s="128"/>
      <c r="AC762" s="128"/>
      <c r="AD762" s="128"/>
      <c r="AE762" s="128"/>
      <c r="AF762" s="128"/>
      <c r="AG762" s="128"/>
      <c r="AH762" s="127"/>
    </row>
    <row r="763" spans="1:34" ht="13.2">
      <c r="A763" s="88"/>
      <c r="B763" s="88"/>
      <c r="C763" s="88"/>
      <c r="D763" s="88"/>
      <c r="E763" s="88"/>
      <c r="F763" s="88"/>
      <c r="G763" s="88"/>
      <c r="H763" s="88"/>
      <c r="I763" s="88"/>
      <c r="J763" s="88"/>
      <c r="K763" s="88"/>
      <c r="L763" s="88"/>
      <c r="M763" s="88"/>
      <c r="N763" s="88"/>
      <c r="O763" s="88"/>
      <c r="P763" s="88"/>
      <c r="Q763" s="88"/>
      <c r="R763" s="88"/>
      <c r="S763" s="88"/>
      <c r="T763" s="88"/>
      <c r="U763" s="88"/>
      <c r="V763" s="88"/>
      <c r="W763" s="88"/>
      <c r="X763" s="88"/>
      <c r="Y763" s="88"/>
      <c r="Z763" s="88"/>
      <c r="AA763" s="88"/>
      <c r="AB763" s="128"/>
      <c r="AC763" s="128"/>
      <c r="AD763" s="128"/>
      <c r="AE763" s="128"/>
      <c r="AF763" s="128"/>
      <c r="AG763" s="128"/>
      <c r="AH763" s="127"/>
    </row>
    <row r="764" spans="1:34" ht="13.2">
      <c r="A764" s="88"/>
      <c r="B764" s="88"/>
      <c r="C764" s="88"/>
      <c r="D764" s="88"/>
      <c r="E764" s="88"/>
      <c r="F764" s="88"/>
      <c r="G764" s="88"/>
      <c r="H764" s="88"/>
      <c r="I764" s="88"/>
      <c r="J764" s="88"/>
      <c r="K764" s="88"/>
      <c r="L764" s="88"/>
      <c r="M764" s="88"/>
      <c r="N764" s="88"/>
      <c r="O764" s="88"/>
      <c r="P764" s="88"/>
      <c r="Q764" s="88"/>
      <c r="R764" s="88"/>
      <c r="S764" s="88"/>
      <c r="T764" s="88"/>
      <c r="U764" s="88"/>
      <c r="V764" s="88"/>
      <c r="W764" s="88"/>
      <c r="X764" s="88"/>
      <c r="Y764" s="88"/>
      <c r="Z764" s="88"/>
      <c r="AA764" s="88"/>
      <c r="AB764" s="128"/>
      <c r="AC764" s="128"/>
      <c r="AD764" s="128"/>
      <c r="AE764" s="128"/>
      <c r="AF764" s="128"/>
      <c r="AG764" s="128"/>
      <c r="AH764" s="127"/>
    </row>
    <row r="765" spans="1:34" ht="13.2">
      <c r="A765" s="88"/>
      <c r="B765" s="88"/>
      <c r="C765" s="88"/>
      <c r="D765" s="88"/>
      <c r="E765" s="88"/>
      <c r="F765" s="88"/>
      <c r="G765" s="88"/>
      <c r="H765" s="88"/>
      <c r="I765" s="88"/>
      <c r="J765" s="88"/>
      <c r="K765" s="88"/>
      <c r="L765" s="88"/>
      <c r="M765" s="88"/>
      <c r="N765" s="88"/>
      <c r="O765" s="88"/>
      <c r="P765" s="88"/>
      <c r="Q765" s="88"/>
      <c r="R765" s="88"/>
      <c r="S765" s="88"/>
      <c r="T765" s="88"/>
      <c r="U765" s="88"/>
      <c r="V765" s="88"/>
      <c r="W765" s="88"/>
      <c r="X765" s="88"/>
      <c r="Y765" s="88"/>
      <c r="Z765" s="88"/>
      <c r="AA765" s="88"/>
      <c r="AB765" s="128"/>
      <c r="AC765" s="128"/>
      <c r="AD765" s="128"/>
      <c r="AE765" s="128"/>
      <c r="AF765" s="128"/>
      <c r="AG765" s="128"/>
      <c r="AH765" s="127"/>
    </row>
    <row r="766" spans="1:34" ht="13.2">
      <c r="A766" s="88"/>
      <c r="B766" s="88"/>
      <c r="C766" s="88"/>
      <c r="D766" s="88"/>
      <c r="E766" s="88"/>
      <c r="F766" s="88"/>
      <c r="G766" s="88"/>
      <c r="H766" s="88"/>
      <c r="I766" s="88"/>
      <c r="J766" s="88"/>
      <c r="K766" s="88"/>
      <c r="L766" s="88"/>
      <c r="M766" s="88"/>
      <c r="N766" s="88"/>
      <c r="O766" s="88"/>
      <c r="P766" s="88"/>
      <c r="Q766" s="88"/>
      <c r="R766" s="88"/>
      <c r="S766" s="88"/>
      <c r="T766" s="88"/>
      <c r="U766" s="88"/>
      <c r="V766" s="88"/>
      <c r="W766" s="88"/>
      <c r="X766" s="88"/>
      <c r="Y766" s="88"/>
      <c r="Z766" s="88"/>
      <c r="AA766" s="88"/>
      <c r="AB766" s="128"/>
      <c r="AC766" s="128"/>
      <c r="AD766" s="128"/>
      <c r="AE766" s="128"/>
      <c r="AF766" s="128"/>
      <c r="AG766" s="128"/>
      <c r="AH766" s="127"/>
    </row>
    <row r="767" spans="1:34" ht="13.2">
      <c r="A767" s="88"/>
      <c r="B767" s="88"/>
      <c r="C767" s="88"/>
      <c r="D767" s="88"/>
      <c r="E767" s="88"/>
      <c r="F767" s="88"/>
      <c r="G767" s="88"/>
      <c r="H767" s="88"/>
      <c r="I767" s="88"/>
      <c r="J767" s="88"/>
      <c r="K767" s="88"/>
      <c r="L767" s="88"/>
      <c r="M767" s="88"/>
      <c r="N767" s="88"/>
      <c r="O767" s="88"/>
      <c r="P767" s="88"/>
      <c r="Q767" s="88"/>
      <c r="R767" s="88"/>
      <c r="S767" s="88"/>
      <c r="T767" s="88"/>
      <c r="U767" s="88"/>
      <c r="V767" s="88"/>
      <c r="W767" s="88"/>
      <c r="X767" s="88"/>
      <c r="Y767" s="88"/>
      <c r="Z767" s="88"/>
      <c r="AA767" s="88"/>
      <c r="AB767" s="128"/>
      <c r="AC767" s="128"/>
      <c r="AD767" s="128"/>
      <c r="AE767" s="128"/>
      <c r="AF767" s="128"/>
      <c r="AG767" s="128"/>
      <c r="AH767" s="127"/>
    </row>
    <row r="768" spans="1:34" ht="13.2">
      <c r="A768" s="88"/>
      <c r="B768" s="88"/>
      <c r="C768" s="88"/>
      <c r="D768" s="88"/>
      <c r="E768" s="88"/>
      <c r="F768" s="88"/>
      <c r="G768" s="88"/>
      <c r="H768" s="88"/>
      <c r="I768" s="88"/>
      <c r="J768" s="88"/>
      <c r="K768" s="88"/>
      <c r="L768" s="88"/>
      <c r="M768" s="88"/>
      <c r="N768" s="88"/>
      <c r="O768" s="88"/>
      <c r="P768" s="88"/>
      <c r="Q768" s="88"/>
      <c r="R768" s="88"/>
      <c r="S768" s="88"/>
      <c r="T768" s="88"/>
      <c r="U768" s="88"/>
      <c r="V768" s="88"/>
      <c r="W768" s="88"/>
      <c r="X768" s="88"/>
      <c r="Y768" s="88"/>
      <c r="Z768" s="88"/>
      <c r="AA768" s="88"/>
      <c r="AB768" s="128"/>
      <c r="AC768" s="128"/>
      <c r="AD768" s="128"/>
      <c r="AE768" s="128"/>
      <c r="AF768" s="128"/>
      <c r="AG768" s="128"/>
      <c r="AH768" s="127"/>
    </row>
    <row r="769" spans="1:34" ht="13.2">
      <c r="A769" s="88"/>
      <c r="B769" s="88"/>
      <c r="C769" s="88"/>
      <c r="D769" s="88"/>
      <c r="E769" s="88"/>
      <c r="F769" s="88"/>
      <c r="G769" s="88"/>
      <c r="H769" s="88"/>
      <c r="I769" s="88"/>
      <c r="J769" s="88"/>
      <c r="K769" s="88"/>
      <c r="L769" s="88"/>
      <c r="M769" s="88"/>
      <c r="N769" s="88"/>
      <c r="O769" s="88"/>
      <c r="P769" s="88"/>
      <c r="Q769" s="88"/>
      <c r="R769" s="88"/>
      <c r="S769" s="88"/>
      <c r="T769" s="88"/>
      <c r="U769" s="88"/>
      <c r="V769" s="88"/>
      <c r="W769" s="88"/>
      <c r="X769" s="88"/>
      <c r="Y769" s="88"/>
      <c r="Z769" s="88"/>
      <c r="AA769" s="88"/>
      <c r="AB769" s="128"/>
      <c r="AC769" s="128"/>
      <c r="AD769" s="128"/>
      <c r="AE769" s="128"/>
      <c r="AF769" s="128"/>
      <c r="AG769" s="128"/>
      <c r="AH769" s="127"/>
    </row>
    <row r="770" spans="1:34" ht="13.2">
      <c r="A770" s="88"/>
      <c r="B770" s="88"/>
      <c r="C770" s="88"/>
      <c r="D770" s="88"/>
      <c r="E770" s="88"/>
      <c r="F770" s="88"/>
      <c r="G770" s="88"/>
      <c r="H770" s="88"/>
      <c r="I770" s="88"/>
      <c r="J770" s="88"/>
      <c r="K770" s="88"/>
      <c r="L770" s="88"/>
      <c r="M770" s="88"/>
      <c r="N770" s="88"/>
      <c r="O770" s="88"/>
      <c r="P770" s="88"/>
      <c r="Q770" s="88"/>
      <c r="R770" s="88"/>
      <c r="S770" s="88"/>
      <c r="T770" s="88"/>
      <c r="U770" s="88"/>
      <c r="V770" s="88"/>
      <c r="W770" s="88"/>
      <c r="X770" s="88"/>
      <c r="Y770" s="88"/>
      <c r="Z770" s="88"/>
      <c r="AA770" s="88"/>
      <c r="AB770" s="128"/>
      <c r="AC770" s="128"/>
      <c r="AD770" s="128"/>
      <c r="AE770" s="128"/>
      <c r="AF770" s="128"/>
      <c r="AG770" s="128"/>
      <c r="AH770" s="127"/>
    </row>
    <row r="771" spans="1:34" ht="13.2">
      <c r="A771" s="88"/>
      <c r="B771" s="88"/>
      <c r="C771" s="88"/>
      <c r="D771" s="88"/>
      <c r="E771" s="88"/>
      <c r="F771" s="88"/>
      <c r="G771" s="88"/>
      <c r="H771" s="88"/>
      <c r="I771" s="88"/>
      <c r="J771" s="88"/>
      <c r="K771" s="88"/>
      <c r="L771" s="88"/>
      <c r="M771" s="88"/>
      <c r="N771" s="88"/>
      <c r="O771" s="88"/>
      <c r="P771" s="88"/>
      <c r="Q771" s="88"/>
      <c r="R771" s="88"/>
      <c r="S771" s="88"/>
      <c r="T771" s="88"/>
      <c r="U771" s="88"/>
      <c r="V771" s="88"/>
      <c r="W771" s="88"/>
      <c r="X771" s="88"/>
      <c r="Y771" s="88"/>
      <c r="Z771" s="88"/>
      <c r="AA771" s="88"/>
      <c r="AB771" s="128"/>
      <c r="AC771" s="128"/>
      <c r="AD771" s="128"/>
      <c r="AE771" s="128"/>
      <c r="AF771" s="128"/>
      <c r="AG771" s="128"/>
      <c r="AH771" s="127"/>
    </row>
    <row r="772" spans="1:34" ht="13.2">
      <c r="A772" s="88"/>
      <c r="B772" s="88"/>
      <c r="C772" s="88"/>
      <c r="D772" s="88"/>
      <c r="E772" s="88"/>
      <c r="F772" s="88"/>
      <c r="G772" s="88"/>
      <c r="H772" s="88"/>
      <c r="I772" s="88"/>
      <c r="J772" s="88"/>
      <c r="K772" s="88"/>
      <c r="L772" s="88"/>
      <c r="M772" s="88"/>
      <c r="N772" s="88"/>
      <c r="O772" s="88"/>
      <c r="P772" s="88"/>
      <c r="Q772" s="88"/>
      <c r="R772" s="88"/>
      <c r="S772" s="88"/>
      <c r="T772" s="88"/>
      <c r="U772" s="88"/>
      <c r="V772" s="88"/>
      <c r="W772" s="88"/>
      <c r="X772" s="88"/>
      <c r="Y772" s="88"/>
      <c r="Z772" s="88"/>
      <c r="AA772" s="88"/>
      <c r="AB772" s="128"/>
      <c r="AC772" s="128"/>
      <c r="AD772" s="128"/>
      <c r="AE772" s="128"/>
      <c r="AF772" s="128"/>
      <c r="AG772" s="128"/>
      <c r="AH772" s="127"/>
    </row>
    <row r="773" spans="1:34" ht="13.2">
      <c r="A773" s="88"/>
      <c r="B773" s="88"/>
      <c r="C773" s="88"/>
      <c r="D773" s="88"/>
      <c r="E773" s="88"/>
      <c r="F773" s="88"/>
      <c r="G773" s="88"/>
      <c r="H773" s="88"/>
      <c r="I773" s="88"/>
      <c r="J773" s="88"/>
      <c r="K773" s="88"/>
      <c r="L773" s="88"/>
      <c r="M773" s="88"/>
      <c r="N773" s="88"/>
      <c r="O773" s="88"/>
      <c r="P773" s="88"/>
      <c r="Q773" s="88"/>
      <c r="R773" s="88"/>
      <c r="S773" s="88"/>
      <c r="T773" s="88"/>
      <c r="U773" s="88"/>
      <c r="V773" s="88"/>
      <c r="W773" s="88"/>
      <c r="X773" s="88"/>
      <c r="Y773" s="88"/>
      <c r="Z773" s="88"/>
      <c r="AA773" s="88"/>
      <c r="AB773" s="128"/>
      <c r="AC773" s="128"/>
      <c r="AD773" s="128"/>
      <c r="AE773" s="128"/>
      <c r="AF773" s="128"/>
      <c r="AG773" s="128"/>
      <c r="AH773" s="127"/>
    </row>
    <row r="774" spans="1:34" ht="13.2">
      <c r="A774" s="88"/>
      <c r="B774" s="88"/>
      <c r="C774" s="88"/>
      <c r="D774" s="88"/>
      <c r="E774" s="88"/>
      <c r="F774" s="88"/>
      <c r="G774" s="88"/>
      <c r="H774" s="88"/>
      <c r="I774" s="88"/>
      <c r="J774" s="88"/>
      <c r="K774" s="88"/>
      <c r="L774" s="88"/>
      <c r="M774" s="88"/>
      <c r="N774" s="88"/>
      <c r="O774" s="88"/>
      <c r="P774" s="88"/>
      <c r="Q774" s="88"/>
      <c r="R774" s="88"/>
      <c r="S774" s="88"/>
      <c r="T774" s="88"/>
      <c r="U774" s="88"/>
      <c r="V774" s="88"/>
      <c r="W774" s="88"/>
      <c r="X774" s="88"/>
      <c r="Y774" s="88"/>
      <c r="Z774" s="88"/>
      <c r="AA774" s="88"/>
      <c r="AB774" s="128"/>
      <c r="AC774" s="128"/>
      <c r="AD774" s="128"/>
      <c r="AE774" s="128"/>
      <c r="AF774" s="128"/>
      <c r="AG774" s="128"/>
      <c r="AH774" s="127"/>
    </row>
    <row r="775" spans="1:34" ht="13.2">
      <c r="A775" s="88"/>
      <c r="B775" s="88"/>
      <c r="C775" s="88"/>
      <c r="D775" s="88"/>
      <c r="E775" s="88"/>
      <c r="F775" s="88"/>
      <c r="G775" s="88"/>
      <c r="H775" s="88"/>
      <c r="I775" s="88"/>
      <c r="J775" s="88"/>
      <c r="K775" s="88"/>
      <c r="L775" s="88"/>
      <c r="M775" s="88"/>
      <c r="N775" s="88"/>
      <c r="O775" s="88"/>
      <c r="P775" s="88"/>
      <c r="Q775" s="88"/>
      <c r="R775" s="88"/>
      <c r="S775" s="88"/>
      <c r="T775" s="88"/>
      <c r="U775" s="88"/>
      <c r="V775" s="88"/>
      <c r="W775" s="88"/>
      <c r="X775" s="88"/>
      <c r="Y775" s="88"/>
      <c r="Z775" s="88"/>
      <c r="AA775" s="88"/>
      <c r="AB775" s="128"/>
      <c r="AC775" s="128"/>
      <c r="AD775" s="128"/>
      <c r="AE775" s="128"/>
      <c r="AF775" s="128"/>
      <c r="AG775" s="128"/>
      <c r="AH775" s="127"/>
    </row>
    <row r="776" spans="1:34" ht="13.2">
      <c r="A776" s="88"/>
      <c r="B776" s="88"/>
      <c r="C776" s="88"/>
      <c r="D776" s="88"/>
      <c r="E776" s="88"/>
      <c r="F776" s="88"/>
      <c r="G776" s="88"/>
      <c r="H776" s="88"/>
      <c r="I776" s="88"/>
      <c r="J776" s="88"/>
      <c r="K776" s="88"/>
      <c r="L776" s="88"/>
      <c r="M776" s="88"/>
      <c r="N776" s="88"/>
      <c r="O776" s="88"/>
      <c r="P776" s="88"/>
      <c r="Q776" s="88"/>
      <c r="R776" s="88"/>
      <c r="S776" s="88"/>
      <c r="T776" s="88"/>
      <c r="U776" s="88"/>
      <c r="V776" s="88"/>
      <c r="W776" s="88"/>
      <c r="X776" s="88"/>
      <c r="Y776" s="88"/>
      <c r="Z776" s="88"/>
      <c r="AA776" s="88"/>
      <c r="AB776" s="128"/>
      <c r="AC776" s="128"/>
      <c r="AD776" s="128"/>
      <c r="AE776" s="128"/>
      <c r="AF776" s="128"/>
      <c r="AG776" s="128"/>
      <c r="AH776" s="127"/>
    </row>
    <row r="777" spans="1:34" ht="13.2">
      <c r="A777" s="88"/>
      <c r="B777" s="88"/>
      <c r="C777" s="88"/>
      <c r="D777" s="88"/>
      <c r="E777" s="88"/>
      <c r="F777" s="88"/>
      <c r="G777" s="88"/>
      <c r="H777" s="88"/>
      <c r="I777" s="88"/>
      <c r="J777" s="88"/>
      <c r="K777" s="88"/>
      <c r="L777" s="88"/>
      <c r="M777" s="88"/>
      <c r="N777" s="88"/>
      <c r="O777" s="88"/>
      <c r="P777" s="88"/>
      <c r="Q777" s="88"/>
      <c r="R777" s="88"/>
      <c r="S777" s="88"/>
      <c r="T777" s="88"/>
      <c r="U777" s="88"/>
      <c r="V777" s="88"/>
      <c r="W777" s="88"/>
      <c r="X777" s="88"/>
      <c r="Y777" s="88"/>
      <c r="Z777" s="88"/>
      <c r="AA777" s="88"/>
      <c r="AB777" s="128"/>
      <c r="AC777" s="128"/>
      <c r="AD777" s="128"/>
      <c r="AE777" s="128"/>
      <c r="AF777" s="128"/>
      <c r="AG777" s="128"/>
      <c r="AH777" s="127"/>
    </row>
    <row r="778" spans="1:34" ht="13.2">
      <c r="A778" s="88"/>
      <c r="B778" s="88"/>
      <c r="C778" s="88"/>
      <c r="D778" s="88"/>
      <c r="E778" s="88"/>
      <c r="F778" s="88"/>
      <c r="G778" s="88"/>
      <c r="H778" s="88"/>
      <c r="I778" s="88"/>
      <c r="J778" s="88"/>
      <c r="K778" s="88"/>
      <c r="L778" s="88"/>
      <c r="M778" s="88"/>
      <c r="N778" s="88"/>
      <c r="O778" s="88"/>
      <c r="P778" s="88"/>
      <c r="Q778" s="88"/>
      <c r="R778" s="88"/>
      <c r="S778" s="88"/>
      <c r="T778" s="88"/>
      <c r="U778" s="88"/>
      <c r="V778" s="88"/>
      <c r="W778" s="88"/>
      <c r="X778" s="88"/>
      <c r="Y778" s="88"/>
      <c r="Z778" s="88"/>
      <c r="AA778" s="88"/>
      <c r="AB778" s="128"/>
      <c r="AC778" s="128"/>
      <c r="AD778" s="128"/>
      <c r="AE778" s="128"/>
      <c r="AF778" s="128"/>
      <c r="AG778" s="128"/>
      <c r="AH778" s="127"/>
    </row>
    <row r="779" spans="1:34" ht="13.2">
      <c r="A779" s="88"/>
      <c r="B779" s="88"/>
      <c r="C779" s="88"/>
      <c r="D779" s="88"/>
      <c r="E779" s="88"/>
      <c r="F779" s="88"/>
      <c r="G779" s="88"/>
      <c r="H779" s="88"/>
      <c r="I779" s="88"/>
      <c r="J779" s="88"/>
      <c r="K779" s="88"/>
      <c r="L779" s="88"/>
      <c r="M779" s="88"/>
      <c r="N779" s="88"/>
      <c r="O779" s="88"/>
      <c r="P779" s="88"/>
      <c r="Q779" s="88"/>
      <c r="R779" s="88"/>
      <c r="S779" s="88"/>
      <c r="T779" s="88"/>
      <c r="U779" s="88"/>
      <c r="V779" s="88"/>
      <c r="W779" s="88"/>
      <c r="X779" s="88"/>
      <c r="Y779" s="88"/>
      <c r="Z779" s="88"/>
      <c r="AA779" s="88"/>
      <c r="AB779" s="128"/>
      <c r="AC779" s="128"/>
      <c r="AD779" s="128"/>
      <c r="AE779" s="128"/>
      <c r="AF779" s="128"/>
      <c r="AG779" s="128"/>
      <c r="AH779" s="127"/>
    </row>
    <row r="780" spans="1:34" ht="13.2">
      <c r="A780" s="88"/>
      <c r="B780" s="88"/>
      <c r="C780" s="88"/>
      <c r="D780" s="88"/>
      <c r="E780" s="88"/>
      <c r="F780" s="88"/>
      <c r="G780" s="88"/>
      <c r="H780" s="88"/>
      <c r="I780" s="88"/>
      <c r="J780" s="88"/>
      <c r="K780" s="88"/>
      <c r="L780" s="88"/>
      <c r="M780" s="88"/>
      <c r="N780" s="88"/>
      <c r="O780" s="88"/>
      <c r="P780" s="88"/>
      <c r="Q780" s="88"/>
      <c r="R780" s="88"/>
      <c r="S780" s="88"/>
      <c r="T780" s="88"/>
      <c r="U780" s="88"/>
      <c r="V780" s="88"/>
      <c r="W780" s="88"/>
      <c r="X780" s="88"/>
      <c r="Y780" s="88"/>
      <c r="Z780" s="88"/>
      <c r="AA780" s="88"/>
      <c r="AB780" s="128"/>
      <c r="AC780" s="128"/>
      <c r="AD780" s="128"/>
      <c r="AE780" s="128"/>
      <c r="AF780" s="128"/>
      <c r="AG780" s="128"/>
      <c r="AH780" s="127"/>
    </row>
    <row r="781" spans="1:34" ht="13.2">
      <c r="A781" s="88"/>
      <c r="B781" s="88"/>
      <c r="C781" s="88"/>
      <c r="D781" s="88"/>
      <c r="E781" s="88"/>
      <c r="F781" s="88"/>
      <c r="G781" s="88"/>
      <c r="H781" s="88"/>
      <c r="I781" s="88"/>
      <c r="J781" s="88"/>
      <c r="K781" s="88"/>
      <c r="L781" s="88"/>
      <c r="M781" s="88"/>
      <c r="N781" s="88"/>
      <c r="O781" s="88"/>
      <c r="P781" s="88"/>
      <c r="Q781" s="88"/>
      <c r="R781" s="88"/>
      <c r="S781" s="88"/>
      <c r="T781" s="88"/>
      <c r="U781" s="88"/>
      <c r="V781" s="88"/>
      <c r="W781" s="88"/>
      <c r="X781" s="88"/>
      <c r="Y781" s="88"/>
      <c r="Z781" s="88"/>
      <c r="AA781" s="88"/>
      <c r="AB781" s="128"/>
      <c r="AC781" s="128"/>
      <c r="AD781" s="128"/>
      <c r="AE781" s="128"/>
      <c r="AF781" s="128"/>
      <c r="AG781" s="128"/>
      <c r="AH781" s="127"/>
    </row>
    <row r="782" spans="1:34" ht="13.2">
      <c r="A782" s="88"/>
      <c r="B782" s="88"/>
      <c r="C782" s="88"/>
      <c r="D782" s="88"/>
      <c r="E782" s="88"/>
      <c r="F782" s="88"/>
      <c r="G782" s="88"/>
      <c r="H782" s="88"/>
      <c r="I782" s="88"/>
      <c r="J782" s="88"/>
      <c r="K782" s="88"/>
      <c r="L782" s="88"/>
      <c r="M782" s="88"/>
      <c r="N782" s="88"/>
      <c r="O782" s="88"/>
      <c r="P782" s="88"/>
      <c r="Q782" s="88"/>
      <c r="R782" s="88"/>
      <c r="S782" s="88"/>
      <c r="T782" s="88"/>
      <c r="U782" s="88"/>
      <c r="V782" s="88"/>
      <c r="W782" s="88"/>
      <c r="X782" s="88"/>
      <c r="Y782" s="88"/>
      <c r="Z782" s="88"/>
      <c r="AA782" s="88"/>
      <c r="AB782" s="128"/>
      <c r="AC782" s="128"/>
      <c r="AD782" s="128"/>
      <c r="AE782" s="128"/>
      <c r="AF782" s="128"/>
      <c r="AG782" s="128"/>
      <c r="AH782" s="127"/>
    </row>
    <row r="783" spans="1:34" ht="13.2">
      <c r="A783" s="88"/>
      <c r="B783" s="88"/>
      <c r="C783" s="88"/>
      <c r="D783" s="88"/>
      <c r="E783" s="88"/>
      <c r="F783" s="88"/>
      <c r="G783" s="88"/>
      <c r="H783" s="88"/>
      <c r="I783" s="88"/>
      <c r="J783" s="88"/>
      <c r="K783" s="88"/>
      <c r="L783" s="88"/>
      <c r="M783" s="88"/>
      <c r="N783" s="88"/>
      <c r="O783" s="88"/>
      <c r="P783" s="88"/>
      <c r="Q783" s="88"/>
      <c r="R783" s="88"/>
      <c r="S783" s="88"/>
      <c r="T783" s="88"/>
      <c r="U783" s="88"/>
      <c r="V783" s="88"/>
      <c r="W783" s="88"/>
      <c r="X783" s="88"/>
      <c r="Y783" s="88"/>
      <c r="Z783" s="88"/>
      <c r="AA783" s="88"/>
      <c r="AB783" s="128"/>
      <c r="AC783" s="128"/>
      <c r="AD783" s="128"/>
      <c r="AE783" s="128"/>
      <c r="AF783" s="128"/>
      <c r="AG783" s="128"/>
      <c r="AH783" s="127"/>
    </row>
    <row r="784" spans="1:34" ht="13.2">
      <c r="A784" s="88"/>
      <c r="B784" s="88"/>
      <c r="C784" s="88"/>
      <c r="D784" s="88"/>
      <c r="E784" s="88"/>
      <c r="F784" s="88"/>
      <c r="G784" s="88"/>
      <c r="H784" s="88"/>
      <c r="I784" s="88"/>
      <c r="J784" s="88"/>
      <c r="K784" s="88"/>
      <c r="L784" s="88"/>
      <c r="M784" s="88"/>
      <c r="N784" s="88"/>
      <c r="O784" s="88"/>
      <c r="P784" s="88"/>
      <c r="Q784" s="88"/>
      <c r="R784" s="88"/>
      <c r="S784" s="88"/>
      <c r="T784" s="88"/>
      <c r="U784" s="88"/>
      <c r="V784" s="88"/>
      <c r="W784" s="88"/>
      <c r="X784" s="88"/>
      <c r="Y784" s="88"/>
      <c r="Z784" s="88"/>
      <c r="AA784" s="88"/>
      <c r="AB784" s="128"/>
      <c r="AC784" s="128"/>
      <c r="AD784" s="128"/>
      <c r="AE784" s="128"/>
      <c r="AF784" s="128"/>
      <c r="AG784" s="128"/>
      <c r="AH784" s="127"/>
    </row>
    <row r="785" spans="1:34" ht="13.2">
      <c r="A785" s="88"/>
      <c r="B785" s="88"/>
      <c r="C785" s="88"/>
      <c r="D785" s="88"/>
      <c r="E785" s="88"/>
      <c r="F785" s="88"/>
      <c r="G785" s="88"/>
      <c r="H785" s="88"/>
      <c r="I785" s="88"/>
      <c r="J785" s="88"/>
      <c r="K785" s="88"/>
      <c r="L785" s="88"/>
      <c r="M785" s="88"/>
      <c r="N785" s="88"/>
      <c r="O785" s="88"/>
      <c r="P785" s="88"/>
      <c r="Q785" s="88"/>
      <c r="R785" s="88"/>
      <c r="S785" s="88"/>
      <c r="T785" s="88"/>
      <c r="U785" s="88"/>
      <c r="V785" s="88"/>
      <c r="W785" s="88"/>
      <c r="X785" s="88"/>
      <c r="Y785" s="88"/>
      <c r="Z785" s="88"/>
      <c r="AA785" s="88"/>
      <c r="AB785" s="128"/>
      <c r="AC785" s="128"/>
      <c r="AD785" s="128"/>
      <c r="AE785" s="128"/>
      <c r="AF785" s="128"/>
      <c r="AG785" s="128"/>
      <c r="AH785" s="127"/>
    </row>
    <row r="786" spans="1:34" ht="13.2">
      <c r="A786" s="88"/>
      <c r="B786" s="88"/>
      <c r="C786" s="88"/>
      <c r="D786" s="88"/>
      <c r="E786" s="88"/>
      <c r="F786" s="88"/>
      <c r="G786" s="88"/>
      <c r="H786" s="88"/>
      <c r="I786" s="88"/>
      <c r="J786" s="88"/>
      <c r="K786" s="88"/>
      <c r="L786" s="88"/>
      <c r="M786" s="88"/>
      <c r="N786" s="88"/>
      <c r="O786" s="88"/>
      <c r="P786" s="88"/>
      <c r="Q786" s="88"/>
      <c r="R786" s="88"/>
      <c r="S786" s="88"/>
      <c r="T786" s="88"/>
      <c r="U786" s="88"/>
      <c r="V786" s="88"/>
      <c r="W786" s="88"/>
      <c r="X786" s="88"/>
      <c r="Y786" s="88"/>
      <c r="Z786" s="88"/>
      <c r="AA786" s="88"/>
      <c r="AB786" s="128"/>
      <c r="AC786" s="128"/>
      <c r="AD786" s="128"/>
      <c r="AE786" s="128"/>
      <c r="AF786" s="128"/>
      <c r="AG786" s="128"/>
      <c r="AH786" s="127"/>
    </row>
    <row r="787" spans="1:34" ht="13.2">
      <c r="A787" s="88"/>
      <c r="B787" s="88"/>
      <c r="C787" s="88"/>
      <c r="D787" s="88"/>
      <c r="E787" s="88"/>
      <c r="F787" s="88"/>
      <c r="G787" s="88"/>
      <c r="H787" s="88"/>
      <c r="I787" s="88"/>
      <c r="J787" s="88"/>
      <c r="K787" s="88"/>
      <c r="L787" s="88"/>
      <c r="M787" s="88"/>
      <c r="N787" s="88"/>
      <c r="O787" s="88"/>
      <c r="P787" s="88"/>
      <c r="Q787" s="88"/>
      <c r="R787" s="88"/>
      <c r="S787" s="88"/>
      <c r="T787" s="88"/>
      <c r="U787" s="88"/>
      <c r="V787" s="88"/>
      <c r="W787" s="88"/>
      <c r="X787" s="88"/>
      <c r="Y787" s="88"/>
      <c r="Z787" s="88"/>
      <c r="AA787" s="88"/>
      <c r="AB787" s="128"/>
      <c r="AC787" s="128"/>
      <c r="AD787" s="128"/>
      <c r="AE787" s="128"/>
      <c r="AF787" s="128"/>
      <c r="AG787" s="128"/>
      <c r="AH787" s="127"/>
    </row>
    <row r="788" spans="1:34" ht="13.2">
      <c r="A788" s="88"/>
      <c r="B788" s="88"/>
      <c r="C788" s="88"/>
      <c r="D788" s="88"/>
      <c r="E788" s="88"/>
      <c r="F788" s="88"/>
      <c r="G788" s="88"/>
      <c r="H788" s="88"/>
      <c r="I788" s="88"/>
      <c r="J788" s="88"/>
      <c r="K788" s="88"/>
      <c r="L788" s="88"/>
      <c r="M788" s="88"/>
      <c r="N788" s="88"/>
      <c r="O788" s="88"/>
      <c r="P788" s="88"/>
      <c r="Q788" s="88"/>
      <c r="R788" s="88"/>
      <c r="S788" s="88"/>
      <c r="T788" s="88"/>
      <c r="U788" s="88"/>
      <c r="V788" s="88"/>
      <c r="W788" s="88"/>
      <c r="X788" s="88"/>
      <c r="Y788" s="88"/>
      <c r="Z788" s="88"/>
      <c r="AA788" s="88"/>
      <c r="AB788" s="128"/>
      <c r="AC788" s="128"/>
      <c r="AD788" s="128"/>
      <c r="AE788" s="128"/>
      <c r="AF788" s="128"/>
      <c r="AG788" s="128"/>
      <c r="AH788" s="127"/>
    </row>
    <row r="789" spans="1:34" ht="13.2">
      <c r="A789" s="88"/>
      <c r="B789" s="88"/>
      <c r="C789" s="88"/>
      <c r="D789" s="88"/>
      <c r="E789" s="88"/>
      <c r="F789" s="88"/>
      <c r="G789" s="88"/>
      <c r="H789" s="88"/>
      <c r="I789" s="88"/>
      <c r="J789" s="88"/>
      <c r="K789" s="88"/>
      <c r="L789" s="88"/>
      <c r="M789" s="88"/>
      <c r="N789" s="88"/>
      <c r="O789" s="88"/>
      <c r="P789" s="88"/>
      <c r="Q789" s="88"/>
      <c r="R789" s="88"/>
      <c r="S789" s="88"/>
      <c r="T789" s="88"/>
      <c r="U789" s="88"/>
      <c r="V789" s="88"/>
      <c r="W789" s="88"/>
      <c r="X789" s="88"/>
      <c r="Y789" s="88"/>
      <c r="Z789" s="88"/>
      <c r="AA789" s="88"/>
      <c r="AB789" s="128"/>
      <c r="AC789" s="128"/>
      <c r="AD789" s="128"/>
      <c r="AE789" s="128"/>
      <c r="AF789" s="128"/>
      <c r="AG789" s="128"/>
      <c r="AH789" s="127"/>
    </row>
    <row r="790" spans="1:34" ht="13.2">
      <c r="A790" s="88"/>
      <c r="B790" s="88"/>
      <c r="C790" s="88"/>
      <c r="D790" s="88"/>
      <c r="E790" s="88"/>
      <c r="F790" s="88"/>
      <c r="G790" s="88"/>
      <c r="H790" s="88"/>
      <c r="I790" s="88"/>
      <c r="J790" s="88"/>
      <c r="K790" s="88"/>
      <c r="L790" s="88"/>
      <c r="M790" s="88"/>
      <c r="N790" s="88"/>
      <c r="O790" s="88"/>
      <c r="P790" s="88"/>
      <c r="Q790" s="88"/>
      <c r="R790" s="88"/>
      <c r="S790" s="88"/>
      <c r="T790" s="88"/>
      <c r="U790" s="88"/>
      <c r="V790" s="88"/>
      <c r="W790" s="88"/>
      <c r="X790" s="88"/>
      <c r="Y790" s="88"/>
      <c r="Z790" s="88"/>
      <c r="AA790" s="88"/>
      <c r="AB790" s="128"/>
      <c r="AC790" s="128"/>
      <c r="AD790" s="128"/>
      <c r="AE790" s="128"/>
      <c r="AF790" s="128"/>
      <c r="AG790" s="128"/>
      <c r="AH790" s="127"/>
    </row>
    <row r="791" spans="1:34" ht="13.2">
      <c r="A791" s="88"/>
      <c r="B791" s="88"/>
      <c r="C791" s="88"/>
      <c r="D791" s="88"/>
      <c r="E791" s="88"/>
      <c r="F791" s="88"/>
      <c r="G791" s="88"/>
      <c r="H791" s="88"/>
      <c r="I791" s="88"/>
      <c r="J791" s="88"/>
      <c r="K791" s="88"/>
      <c r="L791" s="88"/>
      <c r="M791" s="88"/>
      <c r="N791" s="88"/>
      <c r="O791" s="88"/>
      <c r="P791" s="88"/>
      <c r="Q791" s="88"/>
      <c r="R791" s="88"/>
      <c r="S791" s="88"/>
      <c r="T791" s="88"/>
      <c r="U791" s="88"/>
      <c r="V791" s="88"/>
      <c r="W791" s="88"/>
      <c r="X791" s="88"/>
      <c r="Y791" s="88"/>
      <c r="Z791" s="88"/>
      <c r="AA791" s="88"/>
      <c r="AB791" s="128"/>
      <c r="AC791" s="128"/>
      <c r="AD791" s="128"/>
      <c r="AE791" s="128"/>
      <c r="AF791" s="128"/>
      <c r="AG791" s="128"/>
      <c r="AH791" s="127"/>
    </row>
    <row r="792" spans="1:34" ht="13.2">
      <c r="A792" s="88"/>
      <c r="B792" s="88"/>
      <c r="C792" s="88"/>
      <c r="D792" s="88"/>
      <c r="E792" s="88"/>
      <c r="F792" s="88"/>
      <c r="G792" s="88"/>
      <c r="H792" s="88"/>
      <c r="I792" s="88"/>
      <c r="J792" s="88"/>
      <c r="K792" s="88"/>
      <c r="L792" s="88"/>
      <c r="M792" s="88"/>
      <c r="N792" s="88"/>
      <c r="O792" s="88"/>
      <c r="P792" s="88"/>
      <c r="Q792" s="88"/>
      <c r="R792" s="88"/>
      <c r="S792" s="88"/>
      <c r="T792" s="88"/>
      <c r="U792" s="88"/>
      <c r="V792" s="88"/>
      <c r="W792" s="88"/>
      <c r="X792" s="88"/>
      <c r="Y792" s="88"/>
      <c r="Z792" s="88"/>
      <c r="AA792" s="88"/>
      <c r="AB792" s="128"/>
      <c r="AC792" s="128"/>
      <c r="AD792" s="128"/>
      <c r="AE792" s="128"/>
      <c r="AF792" s="128"/>
      <c r="AG792" s="128"/>
      <c r="AH792" s="127"/>
    </row>
    <row r="793" spans="1:34" ht="13.2">
      <c r="A793" s="88"/>
      <c r="B793" s="88"/>
      <c r="C793" s="88"/>
      <c r="D793" s="88"/>
      <c r="E793" s="88"/>
      <c r="F793" s="88"/>
      <c r="G793" s="88"/>
      <c r="H793" s="88"/>
      <c r="I793" s="88"/>
      <c r="J793" s="88"/>
      <c r="K793" s="88"/>
      <c r="L793" s="88"/>
      <c r="M793" s="88"/>
      <c r="N793" s="88"/>
      <c r="O793" s="88"/>
      <c r="P793" s="88"/>
      <c r="Q793" s="88"/>
      <c r="R793" s="88"/>
      <c r="S793" s="88"/>
      <c r="T793" s="88"/>
      <c r="U793" s="88"/>
      <c r="V793" s="88"/>
      <c r="W793" s="88"/>
      <c r="X793" s="88"/>
      <c r="Y793" s="88"/>
      <c r="Z793" s="88"/>
      <c r="AA793" s="88"/>
      <c r="AB793" s="128"/>
      <c r="AC793" s="128"/>
      <c r="AD793" s="128"/>
      <c r="AE793" s="128"/>
      <c r="AF793" s="128"/>
      <c r="AG793" s="128"/>
      <c r="AH793" s="127"/>
    </row>
    <row r="794" spans="1:34" ht="13.2">
      <c r="A794" s="88"/>
      <c r="B794" s="88"/>
      <c r="C794" s="88"/>
      <c r="D794" s="88"/>
      <c r="E794" s="88"/>
      <c r="F794" s="88"/>
      <c r="G794" s="88"/>
      <c r="H794" s="88"/>
      <c r="I794" s="88"/>
      <c r="J794" s="88"/>
      <c r="K794" s="88"/>
      <c r="L794" s="88"/>
      <c r="M794" s="88"/>
      <c r="N794" s="88"/>
      <c r="O794" s="88"/>
      <c r="P794" s="88"/>
      <c r="Q794" s="88"/>
      <c r="R794" s="88"/>
      <c r="S794" s="88"/>
      <c r="T794" s="88"/>
      <c r="U794" s="88"/>
      <c r="V794" s="88"/>
      <c r="W794" s="88"/>
      <c r="X794" s="88"/>
      <c r="Y794" s="88"/>
      <c r="Z794" s="88"/>
      <c r="AA794" s="88"/>
      <c r="AB794" s="128"/>
      <c r="AC794" s="128"/>
      <c r="AD794" s="128"/>
      <c r="AE794" s="128"/>
      <c r="AF794" s="128"/>
      <c r="AG794" s="128"/>
      <c r="AH794" s="127"/>
    </row>
    <row r="795" spans="1:34" ht="13.2">
      <c r="A795" s="88"/>
      <c r="B795" s="88"/>
      <c r="C795" s="88"/>
      <c r="D795" s="88"/>
      <c r="E795" s="88"/>
      <c r="F795" s="88"/>
      <c r="G795" s="88"/>
      <c r="H795" s="88"/>
      <c r="I795" s="88"/>
      <c r="J795" s="88"/>
      <c r="K795" s="88"/>
      <c r="L795" s="88"/>
      <c r="M795" s="88"/>
      <c r="N795" s="88"/>
      <c r="O795" s="88"/>
      <c r="P795" s="88"/>
      <c r="Q795" s="88"/>
      <c r="R795" s="88"/>
      <c r="S795" s="88"/>
      <c r="T795" s="88"/>
      <c r="U795" s="88"/>
      <c r="V795" s="88"/>
      <c r="W795" s="88"/>
      <c r="X795" s="88"/>
      <c r="Y795" s="88"/>
      <c r="Z795" s="88"/>
      <c r="AA795" s="88"/>
      <c r="AB795" s="128"/>
      <c r="AC795" s="128"/>
      <c r="AD795" s="128"/>
      <c r="AE795" s="128"/>
      <c r="AF795" s="128"/>
      <c r="AG795" s="128"/>
      <c r="AH795" s="127"/>
    </row>
    <row r="796" spans="1:34" ht="13.2">
      <c r="A796" s="88"/>
      <c r="B796" s="88"/>
      <c r="C796" s="88"/>
      <c r="D796" s="88"/>
      <c r="E796" s="88"/>
      <c r="F796" s="88"/>
      <c r="G796" s="88"/>
      <c r="H796" s="88"/>
      <c r="I796" s="88"/>
      <c r="J796" s="88"/>
      <c r="K796" s="88"/>
      <c r="L796" s="88"/>
      <c r="M796" s="88"/>
      <c r="N796" s="88"/>
      <c r="O796" s="88"/>
      <c r="P796" s="88"/>
      <c r="Q796" s="88"/>
      <c r="R796" s="88"/>
      <c r="S796" s="88"/>
      <c r="T796" s="88"/>
      <c r="U796" s="88"/>
      <c r="V796" s="88"/>
      <c r="W796" s="88"/>
      <c r="X796" s="88"/>
      <c r="Y796" s="88"/>
      <c r="Z796" s="88"/>
      <c r="AA796" s="88"/>
      <c r="AB796" s="128"/>
      <c r="AC796" s="128"/>
      <c r="AD796" s="128"/>
      <c r="AE796" s="128"/>
      <c r="AF796" s="128"/>
      <c r="AG796" s="128"/>
      <c r="AH796" s="127"/>
    </row>
    <row r="797" spans="1:34" ht="13.2">
      <c r="A797" s="88"/>
      <c r="B797" s="88"/>
      <c r="C797" s="88"/>
      <c r="D797" s="88"/>
      <c r="E797" s="88"/>
      <c r="F797" s="88"/>
      <c r="G797" s="88"/>
      <c r="H797" s="88"/>
      <c r="I797" s="88"/>
      <c r="J797" s="88"/>
      <c r="K797" s="88"/>
      <c r="L797" s="88"/>
      <c r="M797" s="88"/>
      <c r="N797" s="88"/>
      <c r="O797" s="88"/>
      <c r="P797" s="88"/>
      <c r="Q797" s="88"/>
      <c r="R797" s="88"/>
      <c r="S797" s="88"/>
      <c r="T797" s="88"/>
      <c r="U797" s="88"/>
      <c r="V797" s="88"/>
      <c r="W797" s="88"/>
      <c r="X797" s="88"/>
      <c r="Y797" s="88"/>
      <c r="Z797" s="88"/>
      <c r="AA797" s="88"/>
      <c r="AB797" s="128"/>
      <c r="AC797" s="128"/>
      <c r="AD797" s="128"/>
      <c r="AE797" s="128"/>
      <c r="AF797" s="128"/>
      <c r="AG797" s="128"/>
      <c r="AH797" s="127"/>
    </row>
    <row r="798" spans="1:34" ht="13.2">
      <c r="A798" s="88"/>
      <c r="B798" s="88"/>
      <c r="C798" s="88"/>
      <c r="D798" s="88"/>
      <c r="E798" s="88"/>
      <c r="F798" s="88"/>
      <c r="G798" s="88"/>
      <c r="H798" s="88"/>
      <c r="I798" s="88"/>
      <c r="J798" s="88"/>
      <c r="K798" s="88"/>
      <c r="L798" s="88"/>
      <c r="M798" s="88"/>
      <c r="N798" s="88"/>
      <c r="O798" s="88"/>
      <c r="P798" s="88"/>
      <c r="Q798" s="88"/>
      <c r="R798" s="88"/>
      <c r="S798" s="88"/>
      <c r="T798" s="88"/>
      <c r="U798" s="88"/>
      <c r="V798" s="88"/>
      <c r="W798" s="88"/>
      <c r="X798" s="88"/>
      <c r="Y798" s="88"/>
      <c r="Z798" s="88"/>
      <c r="AA798" s="88"/>
      <c r="AB798" s="128"/>
      <c r="AC798" s="128"/>
      <c r="AD798" s="128"/>
      <c r="AE798" s="128"/>
      <c r="AF798" s="128"/>
      <c r="AG798" s="128"/>
      <c r="AH798" s="127"/>
    </row>
    <row r="799" spans="1:34" ht="13.2">
      <c r="A799" s="88"/>
      <c r="B799" s="88"/>
      <c r="C799" s="88"/>
      <c r="D799" s="88"/>
      <c r="E799" s="88"/>
      <c r="F799" s="88"/>
      <c r="G799" s="88"/>
      <c r="H799" s="88"/>
      <c r="I799" s="88"/>
      <c r="J799" s="88"/>
      <c r="K799" s="88"/>
      <c r="L799" s="88"/>
      <c r="M799" s="88"/>
      <c r="N799" s="88"/>
      <c r="O799" s="88"/>
      <c r="P799" s="88"/>
      <c r="Q799" s="88"/>
      <c r="R799" s="88"/>
      <c r="S799" s="88"/>
      <c r="T799" s="88"/>
      <c r="U799" s="88"/>
      <c r="V799" s="88"/>
      <c r="W799" s="88"/>
      <c r="X799" s="88"/>
      <c r="Y799" s="88"/>
      <c r="Z799" s="88"/>
      <c r="AA799" s="88"/>
      <c r="AB799" s="128"/>
      <c r="AC799" s="128"/>
      <c r="AD799" s="128"/>
      <c r="AE799" s="128"/>
      <c r="AF799" s="128"/>
      <c r="AG799" s="128"/>
      <c r="AH799" s="127"/>
    </row>
    <row r="800" spans="1:34" ht="13.2">
      <c r="A800" s="88"/>
      <c r="B800" s="88"/>
      <c r="C800" s="88"/>
      <c r="D800" s="88"/>
      <c r="E800" s="88"/>
      <c r="F800" s="88"/>
      <c r="G800" s="88"/>
      <c r="H800" s="88"/>
      <c r="I800" s="88"/>
      <c r="J800" s="88"/>
      <c r="K800" s="88"/>
      <c r="L800" s="88"/>
      <c r="M800" s="88"/>
      <c r="N800" s="88"/>
      <c r="O800" s="88"/>
      <c r="P800" s="88"/>
      <c r="Q800" s="88"/>
      <c r="R800" s="88"/>
      <c r="S800" s="88"/>
      <c r="T800" s="88"/>
      <c r="U800" s="88"/>
      <c r="V800" s="88"/>
      <c r="W800" s="88"/>
      <c r="X800" s="88"/>
      <c r="Y800" s="88"/>
      <c r="Z800" s="88"/>
      <c r="AA800" s="88"/>
      <c r="AB800" s="128"/>
      <c r="AC800" s="128"/>
      <c r="AD800" s="128"/>
      <c r="AE800" s="128"/>
      <c r="AF800" s="128"/>
      <c r="AG800" s="128"/>
      <c r="AH800" s="127"/>
    </row>
    <row r="801" spans="1:34" ht="13.2">
      <c r="A801" s="88"/>
      <c r="B801" s="88"/>
      <c r="C801" s="88"/>
      <c r="D801" s="88"/>
      <c r="E801" s="88"/>
      <c r="F801" s="88"/>
      <c r="G801" s="88"/>
      <c r="H801" s="88"/>
      <c r="I801" s="88"/>
      <c r="J801" s="88"/>
      <c r="K801" s="88"/>
      <c r="L801" s="88"/>
      <c r="M801" s="88"/>
      <c r="N801" s="88"/>
      <c r="O801" s="88"/>
      <c r="P801" s="88"/>
      <c r="Q801" s="88"/>
      <c r="R801" s="88"/>
      <c r="S801" s="88"/>
      <c r="T801" s="88"/>
      <c r="U801" s="88"/>
      <c r="V801" s="88"/>
      <c r="W801" s="88"/>
      <c r="X801" s="88"/>
      <c r="Y801" s="88"/>
      <c r="Z801" s="88"/>
      <c r="AA801" s="88"/>
      <c r="AB801" s="128"/>
      <c r="AC801" s="128"/>
      <c r="AD801" s="128"/>
      <c r="AE801" s="128"/>
      <c r="AF801" s="128"/>
      <c r="AG801" s="128"/>
      <c r="AH801" s="127"/>
    </row>
    <row r="802" spans="1:34" ht="13.2">
      <c r="A802" s="88"/>
      <c r="B802" s="88"/>
      <c r="C802" s="88"/>
      <c r="D802" s="88"/>
      <c r="E802" s="88"/>
      <c r="F802" s="88"/>
      <c r="G802" s="88"/>
      <c r="H802" s="88"/>
      <c r="I802" s="88"/>
      <c r="J802" s="88"/>
      <c r="K802" s="88"/>
      <c r="L802" s="88"/>
      <c r="M802" s="88"/>
      <c r="N802" s="88"/>
      <c r="O802" s="88"/>
      <c r="P802" s="88"/>
      <c r="Q802" s="88"/>
      <c r="R802" s="88"/>
      <c r="S802" s="88"/>
      <c r="T802" s="88"/>
      <c r="U802" s="88"/>
      <c r="V802" s="88"/>
      <c r="W802" s="88"/>
      <c r="X802" s="88"/>
      <c r="Y802" s="88"/>
      <c r="Z802" s="88"/>
      <c r="AA802" s="88"/>
      <c r="AB802" s="128"/>
      <c r="AC802" s="128"/>
      <c r="AD802" s="128"/>
      <c r="AE802" s="128"/>
      <c r="AF802" s="128"/>
      <c r="AG802" s="128"/>
      <c r="AH802" s="127"/>
    </row>
    <row r="803" spans="1:34" ht="13.2">
      <c r="A803" s="88"/>
      <c r="B803" s="88"/>
      <c r="C803" s="88"/>
      <c r="D803" s="88"/>
      <c r="E803" s="88"/>
      <c r="F803" s="88"/>
      <c r="G803" s="88"/>
      <c r="H803" s="88"/>
      <c r="I803" s="88"/>
      <c r="J803" s="88"/>
      <c r="K803" s="88"/>
      <c r="L803" s="88"/>
      <c r="M803" s="88"/>
      <c r="N803" s="88"/>
      <c r="O803" s="88"/>
      <c r="P803" s="88"/>
      <c r="Q803" s="88"/>
      <c r="R803" s="88"/>
      <c r="S803" s="88"/>
      <c r="T803" s="88"/>
      <c r="U803" s="88"/>
      <c r="V803" s="88"/>
      <c r="W803" s="88"/>
      <c r="X803" s="88"/>
      <c r="Y803" s="88"/>
      <c r="Z803" s="88"/>
      <c r="AA803" s="88"/>
      <c r="AB803" s="128"/>
      <c r="AC803" s="128"/>
      <c r="AD803" s="128"/>
      <c r="AE803" s="128"/>
      <c r="AF803" s="128"/>
      <c r="AG803" s="128"/>
      <c r="AH803" s="127"/>
    </row>
    <row r="804" spans="1:34" ht="13.2">
      <c r="A804" s="88"/>
      <c r="B804" s="88"/>
      <c r="C804" s="88"/>
      <c r="D804" s="88"/>
      <c r="E804" s="88"/>
      <c r="F804" s="88"/>
      <c r="G804" s="88"/>
      <c r="H804" s="88"/>
      <c r="I804" s="88"/>
      <c r="J804" s="88"/>
      <c r="K804" s="88"/>
      <c r="L804" s="88"/>
      <c r="M804" s="88"/>
      <c r="N804" s="88"/>
      <c r="O804" s="88"/>
      <c r="P804" s="88"/>
      <c r="Q804" s="88"/>
      <c r="R804" s="88"/>
      <c r="S804" s="88"/>
      <c r="T804" s="88"/>
      <c r="U804" s="88"/>
      <c r="V804" s="88"/>
      <c r="W804" s="88"/>
      <c r="X804" s="88"/>
      <c r="Y804" s="88"/>
      <c r="Z804" s="88"/>
      <c r="AA804" s="88"/>
      <c r="AB804" s="128"/>
      <c r="AC804" s="128"/>
      <c r="AD804" s="128"/>
      <c r="AE804" s="128"/>
      <c r="AF804" s="128"/>
      <c r="AG804" s="128"/>
      <c r="AH804" s="127"/>
    </row>
    <row r="805" spans="1:34" ht="13.2">
      <c r="A805" s="88"/>
      <c r="B805" s="88"/>
      <c r="C805" s="88"/>
      <c r="D805" s="88"/>
      <c r="E805" s="88"/>
      <c r="F805" s="88"/>
      <c r="G805" s="88"/>
      <c r="H805" s="88"/>
      <c r="I805" s="88"/>
      <c r="J805" s="88"/>
      <c r="K805" s="88"/>
      <c r="L805" s="88"/>
      <c r="M805" s="88"/>
      <c r="N805" s="88"/>
      <c r="O805" s="88"/>
      <c r="P805" s="88"/>
      <c r="Q805" s="88"/>
      <c r="R805" s="88"/>
      <c r="S805" s="88"/>
      <c r="T805" s="88"/>
      <c r="U805" s="88"/>
      <c r="V805" s="88"/>
      <c r="W805" s="88"/>
      <c r="X805" s="88"/>
      <c r="Y805" s="88"/>
      <c r="Z805" s="88"/>
      <c r="AA805" s="88"/>
      <c r="AB805" s="128"/>
      <c r="AC805" s="128"/>
      <c r="AD805" s="128"/>
      <c r="AE805" s="128"/>
      <c r="AF805" s="128"/>
      <c r="AG805" s="128"/>
      <c r="AH805" s="127"/>
    </row>
    <row r="806" spans="1:34" ht="13.2">
      <c r="A806" s="88"/>
      <c r="B806" s="88"/>
      <c r="C806" s="88"/>
      <c r="D806" s="88"/>
      <c r="E806" s="88"/>
      <c r="F806" s="88"/>
      <c r="G806" s="88"/>
      <c r="H806" s="88"/>
      <c r="I806" s="88"/>
      <c r="J806" s="88"/>
      <c r="K806" s="88"/>
      <c r="L806" s="88"/>
      <c r="M806" s="88"/>
      <c r="N806" s="88"/>
      <c r="O806" s="88"/>
      <c r="P806" s="88"/>
      <c r="Q806" s="88"/>
      <c r="R806" s="88"/>
      <c r="S806" s="88"/>
      <c r="T806" s="88"/>
      <c r="U806" s="88"/>
      <c r="V806" s="88"/>
      <c r="W806" s="88"/>
      <c r="X806" s="88"/>
      <c r="Y806" s="88"/>
      <c r="Z806" s="88"/>
      <c r="AA806" s="88"/>
      <c r="AB806" s="128"/>
      <c r="AC806" s="128"/>
      <c r="AD806" s="128"/>
      <c r="AE806" s="128"/>
      <c r="AF806" s="128"/>
      <c r="AG806" s="128"/>
      <c r="AH806" s="127"/>
    </row>
    <row r="807" spans="1:34" ht="13.2">
      <c r="A807" s="88"/>
      <c r="B807" s="88"/>
      <c r="C807" s="88"/>
      <c r="D807" s="88"/>
      <c r="E807" s="88"/>
      <c r="F807" s="88"/>
      <c r="G807" s="88"/>
      <c r="H807" s="88"/>
      <c r="I807" s="88"/>
      <c r="J807" s="88"/>
      <c r="K807" s="88"/>
      <c r="L807" s="88"/>
      <c r="M807" s="88"/>
      <c r="N807" s="88"/>
      <c r="O807" s="88"/>
      <c r="P807" s="88"/>
      <c r="Q807" s="88"/>
      <c r="R807" s="88"/>
      <c r="S807" s="88"/>
      <c r="T807" s="88"/>
      <c r="U807" s="88"/>
      <c r="V807" s="88"/>
      <c r="W807" s="88"/>
      <c r="X807" s="88"/>
      <c r="Y807" s="88"/>
      <c r="Z807" s="88"/>
      <c r="AA807" s="88"/>
      <c r="AB807" s="128"/>
      <c r="AC807" s="128"/>
      <c r="AD807" s="128"/>
      <c r="AE807" s="128"/>
      <c r="AF807" s="128"/>
      <c r="AG807" s="128"/>
      <c r="AH807" s="127"/>
    </row>
    <row r="808" spans="1:34" ht="13.2">
      <c r="A808" s="88"/>
      <c r="B808" s="88"/>
      <c r="C808" s="88"/>
      <c r="D808" s="88"/>
      <c r="E808" s="88"/>
      <c r="F808" s="88"/>
      <c r="G808" s="88"/>
      <c r="H808" s="88"/>
      <c r="I808" s="88"/>
      <c r="J808" s="88"/>
      <c r="K808" s="88"/>
      <c r="L808" s="88"/>
      <c r="M808" s="88"/>
      <c r="N808" s="88"/>
      <c r="O808" s="88"/>
      <c r="P808" s="88"/>
      <c r="Q808" s="88"/>
      <c r="R808" s="88"/>
      <c r="S808" s="88"/>
      <c r="T808" s="88"/>
      <c r="U808" s="88"/>
      <c r="V808" s="88"/>
      <c r="W808" s="88"/>
      <c r="X808" s="88"/>
      <c r="Y808" s="88"/>
      <c r="Z808" s="88"/>
      <c r="AA808" s="88"/>
      <c r="AB808" s="128"/>
      <c r="AC808" s="128"/>
      <c r="AD808" s="128"/>
      <c r="AE808" s="128"/>
      <c r="AF808" s="128"/>
      <c r="AG808" s="128"/>
      <c r="AH808" s="127"/>
    </row>
    <row r="809" spans="1:34" ht="13.2">
      <c r="A809" s="88"/>
      <c r="B809" s="88"/>
      <c r="C809" s="88"/>
      <c r="D809" s="88"/>
      <c r="E809" s="88"/>
      <c r="F809" s="88"/>
      <c r="G809" s="88"/>
      <c r="H809" s="88"/>
      <c r="I809" s="88"/>
      <c r="J809" s="88"/>
      <c r="K809" s="88"/>
      <c r="L809" s="88"/>
      <c r="M809" s="88"/>
      <c r="N809" s="88"/>
      <c r="O809" s="88"/>
      <c r="P809" s="88"/>
      <c r="Q809" s="88"/>
      <c r="R809" s="88"/>
      <c r="S809" s="88"/>
      <c r="T809" s="88"/>
      <c r="U809" s="88"/>
      <c r="V809" s="88"/>
      <c r="W809" s="88"/>
      <c r="X809" s="88"/>
      <c r="Y809" s="88"/>
      <c r="Z809" s="88"/>
      <c r="AA809" s="88"/>
      <c r="AB809" s="128"/>
      <c r="AC809" s="128"/>
      <c r="AD809" s="128"/>
      <c r="AE809" s="128"/>
      <c r="AF809" s="128"/>
      <c r="AG809" s="128"/>
      <c r="AH809" s="127"/>
    </row>
    <row r="810" spans="1:34" ht="13.2">
      <c r="A810" s="88"/>
      <c r="B810" s="88"/>
      <c r="C810" s="88"/>
      <c r="D810" s="88"/>
      <c r="E810" s="88"/>
      <c r="F810" s="88"/>
      <c r="G810" s="88"/>
      <c r="H810" s="88"/>
      <c r="I810" s="88"/>
      <c r="J810" s="88"/>
      <c r="K810" s="88"/>
      <c r="L810" s="88"/>
      <c r="M810" s="88"/>
      <c r="N810" s="88"/>
      <c r="O810" s="88"/>
      <c r="P810" s="88"/>
      <c r="Q810" s="88"/>
      <c r="R810" s="88"/>
      <c r="S810" s="88"/>
      <c r="T810" s="88"/>
      <c r="U810" s="88"/>
      <c r="V810" s="88"/>
      <c r="W810" s="88"/>
      <c r="X810" s="88"/>
      <c r="Y810" s="88"/>
      <c r="Z810" s="88"/>
      <c r="AA810" s="88"/>
      <c r="AB810" s="128"/>
      <c r="AC810" s="128"/>
      <c r="AD810" s="128"/>
      <c r="AE810" s="128"/>
      <c r="AF810" s="128"/>
      <c r="AG810" s="128"/>
      <c r="AH810" s="127"/>
    </row>
    <row r="811" spans="1:34" ht="13.2">
      <c r="A811" s="88"/>
      <c r="B811" s="88"/>
      <c r="C811" s="88"/>
      <c r="D811" s="88"/>
      <c r="E811" s="88"/>
      <c r="F811" s="88"/>
      <c r="G811" s="88"/>
      <c r="H811" s="88"/>
      <c r="I811" s="88"/>
      <c r="J811" s="88"/>
      <c r="K811" s="88"/>
      <c r="L811" s="88"/>
      <c r="M811" s="88"/>
      <c r="N811" s="88"/>
      <c r="O811" s="88"/>
      <c r="P811" s="88"/>
      <c r="Q811" s="88"/>
      <c r="R811" s="88"/>
      <c r="S811" s="88"/>
      <c r="T811" s="88"/>
      <c r="U811" s="88"/>
      <c r="V811" s="88"/>
      <c r="W811" s="88"/>
      <c r="X811" s="88"/>
      <c r="Y811" s="88"/>
      <c r="Z811" s="88"/>
      <c r="AA811" s="88"/>
      <c r="AB811" s="128"/>
      <c r="AC811" s="128"/>
      <c r="AD811" s="128"/>
      <c r="AE811" s="128"/>
      <c r="AF811" s="128"/>
      <c r="AG811" s="128"/>
      <c r="AH811" s="127"/>
    </row>
    <row r="812" spans="1:34" ht="13.2">
      <c r="A812" s="88"/>
      <c r="B812" s="88"/>
      <c r="C812" s="88"/>
      <c r="D812" s="88"/>
      <c r="E812" s="88"/>
      <c r="F812" s="88"/>
      <c r="G812" s="88"/>
      <c r="H812" s="88"/>
      <c r="I812" s="88"/>
      <c r="J812" s="88"/>
      <c r="K812" s="88"/>
      <c r="L812" s="88"/>
      <c r="M812" s="88"/>
      <c r="N812" s="88"/>
      <c r="O812" s="88"/>
      <c r="P812" s="88"/>
      <c r="Q812" s="88"/>
      <c r="R812" s="88"/>
      <c r="S812" s="88"/>
      <c r="T812" s="88"/>
      <c r="U812" s="88"/>
      <c r="V812" s="88"/>
      <c r="W812" s="88"/>
      <c r="X812" s="88"/>
      <c r="Y812" s="88"/>
      <c r="Z812" s="88"/>
      <c r="AA812" s="88"/>
      <c r="AB812" s="128"/>
      <c r="AC812" s="128"/>
      <c r="AD812" s="128"/>
      <c r="AE812" s="128"/>
      <c r="AF812" s="128"/>
      <c r="AG812" s="128"/>
      <c r="AH812" s="127"/>
    </row>
    <row r="813" spans="1:34" ht="13.2">
      <c r="A813" s="88"/>
      <c r="B813" s="88"/>
      <c r="C813" s="88"/>
      <c r="D813" s="88"/>
      <c r="E813" s="88"/>
      <c r="F813" s="88"/>
      <c r="G813" s="88"/>
      <c r="H813" s="88"/>
      <c r="I813" s="88"/>
      <c r="J813" s="88"/>
      <c r="K813" s="88"/>
      <c r="L813" s="88"/>
      <c r="M813" s="88"/>
      <c r="N813" s="88"/>
      <c r="O813" s="88"/>
      <c r="P813" s="88"/>
      <c r="Q813" s="88"/>
      <c r="R813" s="88"/>
      <c r="S813" s="88"/>
      <c r="T813" s="88"/>
      <c r="U813" s="88"/>
      <c r="V813" s="88"/>
      <c r="W813" s="88"/>
      <c r="X813" s="88"/>
      <c r="Y813" s="88"/>
      <c r="Z813" s="88"/>
      <c r="AA813" s="88"/>
      <c r="AB813" s="128"/>
      <c r="AC813" s="128"/>
      <c r="AD813" s="128"/>
      <c r="AE813" s="128"/>
      <c r="AF813" s="128"/>
      <c r="AG813" s="128"/>
      <c r="AH813" s="127"/>
    </row>
    <row r="814" spans="1:34" ht="13.2">
      <c r="A814" s="88"/>
      <c r="B814" s="88"/>
      <c r="C814" s="88"/>
      <c r="D814" s="88"/>
      <c r="E814" s="88"/>
      <c r="F814" s="88"/>
      <c r="G814" s="88"/>
      <c r="H814" s="88"/>
      <c r="I814" s="88"/>
      <c r="J814" s="88"/>
      <c r="K814" s="88"/>
      <c r="L814" s="88"/>
      <c r="M814" s="88"/>
      <c r="N814" s="88"/>
      <c r="O814" s="88"/>
      <c r="P814" s="88"/>
      <c r="Q814" s="88"/>
      <c r="R814" s="88"/>
      <c r="S814" s="88"/>
      <c r="T814" s="88"/>
      <c r="U814" s="88"/>
      <c r="V814" s="88"/>
      <c r="W814" s="88"/>
      <c r="X814" s="88"/>
      <c r="Y814" s="88"/>
      <c r="Z814" s="88"/>
      <c r="AA814" s="88"/>
      <c r="AB814" s="128"/>
      <c r="AC814" s="128"/>
      <c r="AD814" s="128"/>
      <c r="AE814" s="128"/>
      <c r="AF814" s="128"/>
      <c r="AG814" s="128"/>
      <c r="AH814" s="127"/>
    </row>
    <row r="815" spans="1:34" ht="13.2">
      <c r="A815" s="88"/>
      <c r="B815" s="88"/>
      <c r="C815" s="88"/>
      <c r="D815" s="88"/>
      <c r="E815" s="88"/>
      <c r="F815" s="88"/>
      <c r="G815" s="88"/>
      <c r="H815" s="88"/>
      <c r="I815" s="88"/>
      <c r="J815" s="88"/>
      <c r="K815" s="88"/>
      <c r="L815" s="88"/>
      <c r="M815" s="88"/>
      <c r="N815" s="88"/>
      <c r="O815" s="88"/>
      <c r="P815" s="88"/>
      <c r="Q815" s="88"/>
      <c r="R815" s="88"/>
      <c r="S815" s="88"/>
      <c r="T815" s="88"/>
      <c r="U815" s="88"/>
      <c r="V815" s="88"/>
      <c r="W815" s="88"/>
      <c r="X815" s="88"/>
      <c r="Y815" s="88"/>
      <c r="Z815" s="88"/>
      <c r="AA815" s="88"/>
      <c r="AB815" s="128"/>
      <c r="AC815" s="128"/>
      <c r="AD815" s="128"/>
      <c r="AE815" s="128"/>
      <c r="AF815" s="128"/>
      <c r="AG815" s="128"/>
      <c r="AH815" s="127"/>
    </row>
    <row r="816" spans="1:34" ht="13.2">
      <c r="A816" s="88"/>
      <c r="B816" s="88"/>
      <c r="C816" s="88"/>
      <c r="D816" s="88"/>
      <c r="E816" s="88"/>
      <c r="F816" s="88"/>
      <c r="G816" s="88"/>
      <c r="H816" s="88"/>
      <c r="I816" s="88"/>
      <c r="J816" s="88"/>
      <c r="K816" s="88"/>
      <c r="L816" s="88"/>
      <c r="M816" s="88"/>
      <c r="N816" s="88"/>
      <c r="O816" s="88"/>
      <c r="P816" s="88"/>
      <c r="Q816" s="88"/>
      <c r="R816" s="88"/>
      <c r="S816" s="88"/>
      <c r="T816" s="88"/>
      <c r="U816" s="88"/>
      <c r="V816" s="88"/>
      <c r="W816" s="88"/>
      <c r="X816" s="88"/>
      <c r="Y816" s="88"/>
      <c r="Z816" s="88"/>
      <c r="AA816" s="88"/>
      <c r="AB816" s="128"/>
      <c r="AC816" s="128"/>
      <c r="AD816" s="128"/>
      <c r="AE816" s="128"/>
      <c r="AF816" s="128"/>
      <c r="AG816" s="128"/>
      <c r="AH816" s="127"/>
    </row>
    <row r="817" spans="1:34" ht="13.2">
      <c r="A817" s="88"/>
      <c r="B817" s="88"/>
      <c r="C817" s="88"/>
      <c r="D817" s="88"/>
      <c r="E817" s="88"/>
      <c r="F817" s="88"/>
      <c r="G817" s="88"/>
      <c r="H817" s="88"/>
      <c r="I817" s="88"/>
      <c r="J817" s="88"/>
      <c r="K817" s="88"/>
      <c r="L817" s="88"/>
      <c r="M817" s="88"/>
      <c r="N817" s="88"/>
      <c r="O817" s="88"/>
      <c r="P817" s="88"/>
      <c r="Q817" s="88"/>
      <c r="R817" s="88"/>
      <c r="S817" s="88"/>
      <c r="T817" s="88"/>
      <c r="U817" s="88"/>
      <c r="V817" s="88"/>
      <c r="W817" s="88"/>
      <c r="X817" s="88"/>
      <c r="Y817" s="88"/>
      <c r="Z817" s="88"/>
      <c r="AA817" s="88"/>
      <c r="AB817" s="128"/>
      <c r="AC817" s="128"/>
      <c r="AD817" s="128"/>
      <c r="AE817" s="128"/>
      <c r="AF817" s="128"/>
      <c r="AG817" s="128"/>
      <c r="AH817" s="127"/>
    </row>
    <row r="818" spans="1:34" ht="13.2">
      <c r="A818" s="88"/>
      <c r="B818" s="88"/>
      <c r="C818" s="88"/>
      <c r="D818" s="88"/>
      <c r="E818" s="88"/>
      <c r="F818" s="88"/>
      <c r="G818" s="88"/>
      <c r="H818" s="88"/>
      <c r="I818" s="88"/>
      <c r="J818" s="88"/>
      <c r="K818" s="88"/>
      <c r="L818" s="88"/>
      <c r="M818" s="88"/>
      <c r="N818" s="88"/>
      <c r="O818" s="88"/>
      <c r="P818" s="88"/>
      <c r="Q818" s="88"/>
      <c r="R818" s="88"/>
      <c r="S818" s="88"/>
      <c r="T818" s="88"/>
      <c r="U818" s="88"/>
      <c r="V818" s="88"/>
      <c r="W818" s="88"/>
      <c r="X818" s="88"/>
      <c r="Y818" s="88"/>
      <c r="Z818" s="88"/>
      <c r="AA818" s="88"/>
      <c r="AB818" s="128"/>
      <c r="AC818" s="128"/>
      <c r="AD818" s="128"/>
      <c r="AE818" s="128"/>
      <c r="AF818" s="128"/>
      <c r="AG818" s="128"/>
      <c r="AH818" s="127"/>
    </row>
    <row r="819" spans="1:34" ht="13.2">
      <c r="A819" s="88"/>
      <c r="B819" s="88"/>
      <c r="C819" s="88"/>
      <c r="D819" s="88"/>
      <c r="E819" s="88"/>
      <c r="F819" s="88"/>
      <c r="G819" s="88"/>
      <c r="H819" s="88"/>
      <c r="I819" s="88"/>
      <c r="J819" s="88"/>
      <c r="K819" s="88"/>
      <c r="L819" s="88"/>
      <c r="M819" s="88"/>
      <c r="N819" s="88"/>
      <c r="O819" s="88"/>
      <c r="P819" s="88"/>
      <c r="Q819" s="88"/>
      <c r="R819" s="88"/>
      <c r="S819" s="88"/>
      <c r="T819" s="88"/>
      <c r="U819" s="88"/>
      <c r="V819" s="88"/>
      <c r="W819" s="88"/>
      <c r="X819" s="88"/>
      <c r="Y819" s="88"/>
      <c r="Z819" s="88"/>
      <c r="AA819" s="88"/>
      <c r="AB819" s="128"/>
      <c r="AC819" s="128"/>
      <c r="AD819" s="128"/>
      <c r="AE819" s="128"/>
      <c r="AF819" s="128"/>
      <c r="AG819" s="128"/>
      <c r="AH819" s="127"/>
    </row>
    <row r="820" spans="1:34" ht="13.2">
      <c r="A820" s="88"/>
      <c r="B820" s="88"/>
      <c r="C820" s="88"/>
      <c r="D820" s="88"/>
      <c r="E820" s="88"/>
      <c r="F820" s="88"/>
      <c r="G820" s="88"/>
      <c r="H820" s="88"/>
      <c r="I820" s="88"/>
      <c r="J820" s="88"/>
      <c r="K820" s="88"/>
      <c r="L820" s="88"/>
      <c r="M820" s="88"/>
      <c r="N820" s="88"/>
      <c r="O820" s="88"/>
      <c r="P820" s="88"/>
      <c r="Q820" s="88"/>
      <c r="R820" s="88"/>
      <c r="S820" s="88"/>
      <c r="T820" s="88"/>
      <c r="U820" s="88"/>
      <c r="V820" s="88"/>
      <c r="W820" s="88"/>
      <c r="X820" s="88"/>
      <c r="Y820" s="88"/>
      <c r="Z820" s="88"/>
      <c r="AA820" s="88"/>
      <c r="AB820" s="128"/>
      <c r="AC820" s="128"/>
      <c r="AD820" s="128"/>
      <c r="AE820" s="128"/>
      <c r="AF820" s="128"/>
      <c r="AG820" s="128"/>
      <c r="AH820" s="127"/>
    </row>
    <row r="821" spans="1:34" ht="13.2">
      <c r="A821" s="88"/>
      <c r="B821" s="88"/>
      <c r="C821" s="88"/>
      <c r="D821" s="88"/>
      <c r="E821" s="88"/>
      <c r="F821" s="88"/>
      <c r="G821" s="88"/>
      <c r="H821" s="88"/>
      <c r="I821" s="88"/>
      <c r="J821" s="88"/>
      <c r="K821" s="88"/>
      <c r="L821" s="88"/>
      <c r="M821" s="88"/>
      <c r="N821" s="88"/>
      <c r="O821" s="88"/>
      <c r="P821" s="88"/>
      <c r="Q821" s="88"/>
      <c r="R821" s="88"/>
      <c r="S821" s="88"/>
      <c r="T821" s="88"/>
      <c r="U821" s="88"/>
      <c r="V821" s="88"/>
      <c r="W821" s="88"/>
      <c r="X821" s="88"/>
      <c r="Y821" s="88"/>
      <c r="Z821" s="88"/>
      <c r="AA821" s="88"/>
      <c r="AB821" s="128"/>
      <c r="AC821" s="128"/>
      <c r="AD821" s="128"/>
      <c r="AE821" s="128"/>
      <c r="AF821" s="128"/>
      <c r="AG821" s="128"/>
      <c r="AH821" s="127"/>
    </row>
    <row r="822" spans="1:34" ht="13.2">
      <c r="A822" s="88"/>
      <c r="B822" s="88"/>
      <c r="C822" s="88"/>
      <c r="D822" s="88"/>
      <c r="E822" s="88"/>
      <c r="F822" s="88"/>
      <c r="G822" s="88"/>
      <c r="H822" s="88"/>
      <c r="I822" s="88"/>
      <c r="J822" s="88"/>
      <c r="K822" s="88"/>
      <c r="L822" s="88"/>
      <c r="M822" s="88"/>
      <c r="N822" s="88"/>
      <c r="O822" s="88"/>
      <c r="P822" s="88"/>
      <c r="Q822" s="88"/>
      <c r="R822" s="88"/>
      <c r="S822" s="88"/>
      <c r="T822" s="88"/>
      <c r="U822" s="88"/>
      <c r="V822" s="88"/>
      <c r="W822" s="88"/>
      <c r="X822" s="88"/>
      <c r="Y822" s="88"/>
      <c r="Z822" s="88"/>
      <c r="AA822" s="88"/>
      <c r="AB822" s="128"/>
      <c r="AC822" s="128"/>
      <c r="AD822" s="128"/>
      <c r="AE822" s="128"/>
      <c r="AF822" s="128"/>
      <c r="AG822" s="128"/>
      <c r="AH822" s="127"/>
    </row>
    <row r="823" spans="1:34" ht="13.2">
      <c r="A823" s="88"/>
      <c r="B823" s="88"/>
      <c r="C823" s="88"/>
      <c r="D823" s="88"/>
      <c r="E823" s="88"/>
      <c r="F823" s="88"/>
      <c r="G823" s="88"/>
      <c r="H823" s="88"/>
      <c r="I823" s="88"/>
      <c r="J823" s="88"/>
      <c r="K823" s="88"/>
      <c r="L823" s="88"/>
      <c r="M823" s="88"/>
      <c r="N823" s="88"/>
      <c r="O823" s="88"/>
      <c r="P823" s="88"/>
      <c r="Q823" s="88"/>
      <c r="R823" s="88"/>
      <c r="S823" s="88"/>
      <c r="T823" s="88"/>
      <c r="U823" s="88"/>
      <c r="V823" s="88"/>
      <c r="W823" s="88"/>
      <c r="X823" s="88"/>
      <c r="Y823" s="88"/>
      <c r="Z823" s="88"/>
      <c r="AA823" s="88"/>
      <c r="AB823" s="128"/>
      <c r="AC823" s="128"/>
      <c r="AD823" s="128"/>
      <c r="AE823" s="128"/>
      <c r="AF823" s="128"/>
      <c r="AG823" s="128"/>
      <c r="AH823" s="127"/>
    </row>
    <row r="824" spans="1:34" ht="13.2">
      <c r="A824" s="88"/>
      <c r="B824" s="88"/>
      <c r="C824" s="88"/>
      <c r="D824" s="88"/>
      <c r="E824" s="88"/>
      <c r="F824" s="88"/>
      <c r="G824" s="88"/>
      <c r="H824" s="88"/>
      <c r="I824" s="88"/>
      <c r="J824" s="88"/>
      <c r="K824" s="88"/>
      <c r="L824" s="88"/>
      <c r="M824" s="88"/>
      <c r="N824" s="88"/>
      <c r="O824" s="88"/>
      <c r="P824" s="88"/>
      <c r="Q824" s="88"/>
      <c r="R824" s="88"/>
      <c r="S824" s="88"/>
      <c r="T824" s="88"/>
      <c r="U824" s="88"/>
      <c r="V824" s="88"/>
      <c r="W824" s="88"/>
      <c r="X824" s="88"/>
      <c r="Y824" s="88"/>
      <c r="Z824" s="88"/>
      <c r="AA824" s="88"/>
      <c r="AB824" s="128"/>
      <c r="AC824" s="128"/>
      <c r="AD824" s="128"/>
      <c r="AE824" s="128"/>
      <c r="AF824" s="128"/>
      <c r="AG824" s="128"/>
      <c r="AH824" s="127"/>
    </row>
    <row r="825" spans="1:34" ht="13.2">
      <c r="A825" s="88"/>
      <c r="B825" s="88"/>
      <c r="C825" s="88"/>
      <c r="D825" s="88"/>
      <c r="E825" s="88"/>
      <c r="F825" s="88"/>
      <c r="G825" s="88"/>
      <c r="H825" s="88"/>
      <c r="I825" s="88"/>
      <c r="J825" s="88"/>
      <c r="K825" s="88"/>
      <c r="L825" s="88"/>
      <c r="M825" s="88"/>
      <c r="N825" s="88"/>
      <c r="O825" s="88"/>
      <c r="P825" s="88"/>
      <c r="Q825" s="88"/>
      <c r="R825" s="88"/>
      <c r="S825" s="88"/>
      <c r="T825" s="88"/>
      <c r="U825" s="88"/>
      <c r="V825" s="88"/>
      <c r="W825" s="88"/>
      <c r="X825" s="88"/>
      <c r="Y825" s="88"/>
      <c r="Z825" s="88"/>
      <c r="AA825" s="88"/>
      <c r="AB825" s="128"/>
      <c r="AC825" s="128"/>
      <c r="AD825" s="128"/>
      <c r="AE825" s="128"/>
      <c r="AF825" s="128"/>
      <c r="AG825" s="128"/>
      <c r="AH825" s="127"/>
    </row>
    <row r="826" spans="1:34" ht="13.2">
      <c r="A826" s="88"/>
      <c r="B826" s="88"/>
      <c r="C826" s="88"/>
      <c r="D826" s="88"/>
      <c r="E826" s="88"/>
      <c r="F826" s="88"/>
      <c r="G826" s="88"/>
      <c r="H826" s="88"/>
      <c r="I826" s="88"/>
      <c r="J826" s="88"/>
      <c r="K826" s="88"/>
      <c r="L826" s="88"/>
      <c r="M826" s="88"/>
      <c r="N826" s="88"/>
      <c r="O826" s="88"/>
      <c r="P826" s="88"/>
      <c r="Q826" s="88"/>
      <c r="R826" s="88"/>
      <c r="S826" s="88"/>
      <c r="T826" s="88"/>
      <c r="U826" s="88"/>
      <c r="V826" s="88"/>
      <c r="W826" s="88"/>
      <c r="X826" s="88"/>
      <c r="Y826" s="88"/>
      <c r="Z826" s="88"/>
      <c r="AA826" s="88"/>
      <c r="AB826" s="128"/>
      <c r="AC826" s="128"/>
      <c r="AD826" s="128"/>
      <c r="AE826" s="128"/>
      <c r="AF826" s="128"/>
      <c r="AG826" s="128"/>
      <c r="AH826" s="127"/>
    </row>
    <row r="827" spans="1:34" ht="13.2">
      <c r="A827" s="88"/>
      <c r="B827" s="88"/>
      <c r="C827" s="88"/>
      <c r="D827" s="88"/>
      <c r="E827" s="88"/>
      <c r="F827" s="88"/>
      <c r="G827" s="88"/>
      <c r="H827" s="88"/>
      <c r="I827" s="88"/>
      <c r="J827" s="88"/>
      <c r="K827" s="88"/>
      <c r="L827" s="88"/>
      <c r="M827" s="88"/>
      <c r="N827" s="88"/>
      <c r="O827" s="88"/>
      <c r="P827" s="88"/>
      <c r="Q827" s="88"/>
      <c r="R827" s="88"/>
      <c r="S827" s="88"/>
      <c r="T827" s="88"/>
      <c r="U827" s="88"/>
      <c r="V827" s="88"/>
      <c r="W827" s="88"/>
      <c r="X827" s="88"/>
      <c r="Y827" s="88"/>
      <c r="Z827" s="88"/>
      <c r="AA827" s="88"/>
      <c r="AB827" s="128"/>
      <c r="AC827" s="128"/>
      <c r="AD827" s="128"/>
      <c r="AE827" s="128"/>
      <c r="AF827" s="128"/>
      <c r="AG827" s="128"/>
      <c r="AH827" s="127"/>
    </row>
    <row r="828" spans="1:34" ht="13.2">
      <c r="A828" s="88"/>
      <c r="B828" s="88"/>
      <c r="C828" s="88"/>
      <c r="D828" s="88"/>
      <c r="E828" s="88"/>
      <c r="F828" s="88"/>
      <c r="G828" s="88"/>
      <c r="H828" s="88"/>
      <c r="I828" s="88"/>
      <c r="J828" s="88"/>
      <c r="K828" s="88"/>
      <c r="L828" s="88"/>
      <c r="M828" s="88"/>
      <c r="N828" s="88"/>
      <c r="O828" s="88"/>
      <c r="P828" s="88"/>
      <c r="Q828" s="88"/>
      <c r="R828" s="88"/>
      <c r="S828" s="88"/>
      <c r="T828" s="88"/>
      <c r="U828" s="88"/>
      <c r="V828" s="88"/>
      <c r="W828" s="88"/>
      <c r="X828" s="88"/>
      <c r="Y828" s="88"/>
      <c r="Z828" s="88"/>
      <c r="AA828" s="88"/>
      <c r="AB828" s="128"/>
      <c r="AC828" s="128"/>
      <c r="AD828" s="128"/>
      <c r="AE828" s="128"/>
      <c r="AF828" s="128"/>
      <c r="AG828" s="128"/>
      <c r="AH828" s="127"/>
    </row>
    <row r="829" spans="1:34" ht="13.2">
      <c r="A829" s="88"/>
      <c r="B829" s="88"/>
      <c r="C829" s="88"/>
      <c r="D829" s="88"/>
      <c r="E829" s="88"/>
      <c r="F829" s="88"/>
      <c r="G829" s="88"/>
      <c r="H829" s="88"/>
      <c r="I829" s="88"/>
      <c r="J829" s="88"/>
      <c r="K829" s="88"/>
      <c r="L829" s="88"/>
      <c r="M829" s="88"/>
      <c r="N829" s="88"/>
      <c r="O829" s="88"/>
      <c r="P829" s="88"/>
      <c r="Q829" s="88"/>
      <c r="R829" s="88"/>
      <c r="S829" s="88"/>
      <c r="T829" s="88"/>
      <c r="U829" s="88"/>
      <c r="V829" s="88"/>
      <c r="W829" s="88"/>
      <c r="X829" s="88"/>
      <c r="Y829" s="88"/>
      <c r="Z829" s="88"/>
      <c r="AA829" s="88"/>
      <c r="AB829" s="128"/>
      <c r="AC829" s="128"/>
      <c r="AD829" s="128"/>
      <c r="AE829" s="128"/>
      <c r="AF829" s="128"/>
      <c r="AG829" s="128"/>
      <c r="AH829" s="127"/>
    </row>
    <row r="830" spans="1:34" ht="13.2">
      <c r="A830" s="88"/>
      <c r="B830" s="88"/>
      <c r="C830" s="88"/>
      <c r="D830" s="88"/>
      <c r="E830" s="88"/>
      <c r="F830" s="88"/>
      <c r="G830" s="88"/>
      <c r="H830" s="88"/>
      <c r="I830" s="88"/>
      <c r="J830" s="88"/>
      <c r="K830" s="88"/>
      <c r="L830" s="88"/>
      <c r="M830" s="88"/>
      <c r="N830" s="88"/>
      <c r="O830" s="88"/>
      <c r="P830" s="88"/>
      <c r="Q830" s="88"/>
      <c r="R830" s="88"/>
      <c r="S830" s="88"/>
      <c r="T830" s="88"/>
      <c r="U830" s="88"/>
      <c r="V830" s="88"/>
      <c r="W830" s="88"/>
      <c r="X830" s="88"/>
      <c r="Y830" s="88"/>
      <c r="Z830" s="88"/>
      <c r="AA830" s="88"/>
      <c r="AB830" s="128"/>
      <c r="AC830" s="128"/>
      <c r="AD830" s="128"/>
      <c r="AE830" s="128"/>
      <c r="AF830" s="128"/>
      <c r="AG830" s="128"/>
      <c r="AH830" s="127"/>
    </row>
    <row r="831" spans="1:34" ht="13.2">
      <c r="A831" s="88"/>
      <c r="B831" s="88"/>
      <c r="C831" s="88"/>
      <c r="D831" s="88"/>
      <c r="E831" s="88"/>
      <c r="F831" s="88"/>
      <c r="G831" s="88"/>
      <c r="H831" s="88"/>
      <c r="I831" s="88"/>
      <c r="J831" s="88"/>
      <c r="K831" s="88"/>
      <c r="L831" s="88"/>
      <c r="M831" s="88"/>
      <c r="N831" s="88"/>
      <c r="O831" s="88"/>
      <c r="P831" s="88"/>
      <c r="Q831" s="88"/>
      <c r="R831" s="88"/>
      <c r="S831" s="88"/>
      <c r="T831" s="88"/>
      <c r="U831" s="88"/>
      <c r="V831" s="88"/>
      <c r="W831" s="88"/>
      <c r="X831" s="88"/>
      <c r="Y831" s="88"/>
      <c r="Z831" s="88"/>
      <c r="AA831" s="88"/>
      <c r="AB831" s="128"/>
      <c r="AC831" s="128"/>
      <c r="AD831" s="128"/>
      <c r="AE831" s="128"/>
      <c r="AF831" s="128"/>
      <c r="AG831" s="128"/>
      <c r="AH831" s="127"/>
    </row>
    <row r="832" spans="1:34" ht="13.2">
      <c r="A832" s="88"/>
      <c r="B832" s="88"/>
      <c r="C832" s="88"/>
      <c r="D832" s="88"/>
      <c r="E832" s="88"/>
      <c r="F832" s="88"/>
      <c r="G832" s="88"/>
      <c r="H832" s="88"/>
      <c r="I832" s="88"/>
      <c r="J832" s="88"/>
      <c r="K832" s="88"/>
      <c r="L832" s="88"/>
      <c r="M832" s="88"/>
      <c r="N832" s="88"/>
      <c r="O832" s="88"/>
      <c r="P832" s="88"/>
      <c r="Q832" s="88"/>
      <c r="R832" s="88"/>
      <c r="S832" s="88"/>
      <c r="T832" s="88"/>
      <c r="U832" s="88"/>
      <c r="V832" s="88"/>
      <c r="W832" s="88"/>
      <c r="X832" s="88"/>
      <c r="Y832" s="88"/>
      <c r="Z832" s="88"/>
      <c r="AA832" s="88"/>
      <c r="AB832" s="128"/>
      <c r="AC832" s="128"/>
      <c r="AD832" s="128"/>
      <c r="AE832" s="128"/>
      <c r="AF832" s="128"/>
      <c r="AG832" s="128"/>
      <c r="AH832" s="127"/>
    </row>
    <row r="833" spans="1:34" ht="13.2">
      <c r="A833" s="88"/>
      <c r="B833" s="88"/>
      <c r="C833" s="88"/>
      <c r="D833" s="88"/>
      <c r="E833" s="88"/>
      <c r="F833" s="88"/>
      <c r="G833" s="88"/>
      <c r="H833" s="88"/>
      <c r="I833" s="88"/>
      <c r="J833" s="88"/>
      <c r="K833" s="88"/>
      <c r="L833" s="88"/>
      <c r="M833" s="88"/>
      <c r="N833" s="88"/>
      <c r="O833" s="88"/>
      <c r="P833" s="88"/>
      <c r="Q833" s="88"/>
      <c r="R833" s="88"/>
      <c r="S833" s="88"/>
      <c r="T833" s="88"/>
      <c r="U833" s="88"/>
      <c r="V833" s="88"/>
      <c r="W833" s="88"/>
      <c r="X833" s="88"/>
      <c r="Y833" s="88"/>
      <c r="Z833" s="88"/>
      <c r="AA833" s="88"/>
      <c r="AB833" s="128"/>
      <c r="AC833" s="128"/>
      <c r="AD833" s="128"/>
      <c r="AE833" s="128"/>
      <c r="AF833" s="128"/>
      <c r="AG833" s="128"/>
      <c r="AH833" s="127"/>
    </row>
    <row r="834" spans="1:34" ht="13.2">
      <c r="A834" s="88"/>
      <c r="B834" s="88"/>
      <c r="C834" s="88"/>
      <c r="D834" s="88"/>
      <c r="E834" s="88"/>
      <c r="F834" s="88"/>
      <c r="G834" s="88"/>
      <c r="H834" s="88"/>
      <c r="I834" s="88"/>
      <c r="J834" s="88"/>
      <c r="K834" s="88"/>
      <c r="L834" s="88"/>
      <c r="M834" s="88"/>
      <c r="N834" s="88"/>
      <c r="O834" s="88"/>
      <c r="P834" s="88"/>
      <c r="Q834" s="88"/>
      <c r="R834" s="88"/>
      <c r="S834" s="88"/>
      <c r="T834" s="88"/>
      <c r="U834" s="88"/>
      <c r="V834" s="88"/>
      <c r="W834" s="88"/>
      <c r="X834" s="88"/>
      <c r="Y834" s="88"/>
      <c r="Z834" s="88"/>
      <c r="AA834" s="88"/>
      <c r="AB834" s="128"/>
      <c r="AC834" s="128"/>
      <c r="AD834" s="128"/>
      <c r="AE834" s="128"/>
      <c r="AF834" s="128"/>
      <c r="AG834" s="128"/>
      <c r="AH834" s="127"/>
    </row>
    <row r="835" spans="1:34" ht="13.2">
      <c r="A835" s="88"/>
      <c r="B835" s="88"/>
      <c r="C835" s="88"/>
      <c r="D835" s="88"/>
      <c r="E835" s="88"/>
      <c r="F835" s="88"/>
      <c r="G835" s="88"/>
      <c r="H835" s="88"/>
      <c r="I835" s="88"/>
      <c r="J835" s="88"/>
      <c r="K835" s="88"/>
      <c r="L835" s="88"/>
      <c r="M835" s="88"/>
      <c r="N835" s="88"/>
      <c r="O835" s="88"/>
      <c r="P835" s="88"/>
      <c r="Q835" s="88"/>
      <c r="R835" s="88"/>
      <c r="S835" s="88"/>
      <c r="T835" s="88"/>
      <c r="U835" s="88"/>
      <c r="V835" s="88"/>
      <c r="W835" s="88"/>
      <c r="X835" s="88"/>
      <c r="Y835" s="88"/>
      <c r="Z835" s="88"/>
      <c r="AA835" s="88"/>
      <c r="AB835" s="128"/>
      <c r="AC835" s="128"/>
      <c r="AD835" s="128"/>
      <c r="AE835" s="128"/>
      <c r="AF835" s="128"/>
      <c r="AG835" s="128"/>
      <c r="AH835" s="127"/>
    </row>
    <row r="836" spans="1:34" ht="13.2">
      <c r="A836" s="88"/>
      <c r="B836" s="88"/>
      <c r="C836" s="88"/>
      <c r="D836" s="88"/>
      <c r="E836" s="88"/>
      <c r="F836" s="88"/>
      <c r="G836" s="88"/>
      <c r="H836" s="88"/>
      <c r="I836" s="88"/>
      <c r="J836" s="88"/>
      <c r="K836" s="88"/>
      <c r="L836" s="88"/>
      <c r="M836" s="88"/>
      <c r="N836" s="88"/>
      <c r="O836" s="88"/>
      <c r="P836" s="88"/>
      <c r="Q836" s="88"/>
      <c r="R836" s="88"/>
      <c r="S836" s="88"/>
      <c r="T836" s="88"/>
      <c r="U836" s="88"/>
      <c r="V836" s="88"/>
      <c r="W836" s="88"/>
      <c r="X836" s="88"/>
      <c r="Y836" s="88"/>
      <c r="Z836" s="88"/>
      <c r="AA836" s="88"/>
      <c r="AB836" s="128"/>
      <c r="AC836" s="128"/>
      <c r="AD836" s="128"/>
      <c r="AE836" s="128"/>
      <c r="AF836" s="128"/>
      <c r="AG836" s="128"/>
      <c r="AH836" s="127"/>
    </row>
    <row r="837" spans="1:34" ht="13.2">
      <c r="A837" s="88"/>
      <c r="B837" s="88"/>
      <c r="C837" s="88"/>
      <c r="D837" s="88"/>
      <c r="E837" s="88"/>
      <c r="F837" s="88"/>
      <c r="G837" s="88"/>
      <c r="H837" s="88"/>
      <c r="I837" s="88"/>
      <c r="J837" s="88"/>
      <c r="K837" s="88"/>
      <c r="L837" s="88"/>
      <c r="M837" s="88"/>
      <c r="N837" s="88"/>
      <c r="O837" s="88"/>
      <c r="P837" s="88"/>
      <c r="Q837" s="88"/>
      <c r="R837" s="88"/>
      <c r="S837" s="88"/>
      <c r="T837" s="88"/>
      <c r="U837" s="88"/>
      <c r="V837" s="88"/>
      <c r="W837" s="88"/>
      <c r="X837" s="88"/>
      <c r="Y837" s="88"/>
      <c r="Z837" s="88"/>
      <c r="AA837" s="88"/>
      <c r="AB837" s="128"/>
      <c r="AC837" s="128"/>
      <c r="AD837" s="128"/>
      <c r="AE837" s="128"/>
      <c r="AF837" s="128"/>
      <c r="AG837" s="128"/>
      <c r="AH837" s="127"/>
    </row>
    <row r="838" spans="1:34" ht="13.2">
      <c r="A838" s="88"/>
      <c r="B838" s="88"/>
      <c r="C838" s="88"/>
      <c r="D838" s="88"/>
      <c r="E838" s="88"/>
      <c r="F838" s="88"/>
      <c r="G838" s="88"/>
      <c r="H838" s="88"/>
      <c r="I838" s="88"/>
      <c r="J838" s="88"/>
      <c r="K838" s="88"/>
      <c r="L838" s="88"/>
      <c r="M838" s="88"/>
      <c r="N838" s="88"/>
      <c r="O838" s="88"/>
      <c r="P838" s="88"/>
      <c r="Q838" s="88"/>
      <c r="R838" s="88"/>
      <c r="S838" s="88"/>
      <c r="T838" s="88"/>
      <c r="U838" s="88"/>
      <c r="V838" s="88"/>
      <c r="W838" s="88"/>
      <c r="X838" s="88"/>
      <c r="Y838" s="88"/>
      <c r="Z838" s="88"/>
      <c r="AA838" s="88"/>
      <c r="AB838" s="128"/>
      <c r="AC838" s="128"/>
      <c r="AD838" s="128"/>
      <c r="AE838" s="128"/>
      <c r="AF838" s="128"/>
      <c r="AG838" s="128"/>
      <c r="AH838" s="127"/>
    </row>
    <row r="839" spans="1:34" ht="13.2">
      <c r="A839" s="88"/>
      <c r="B839" s="88"/>
      <c r="C839" s="88"/>
      <c r="D839" s="88"/>
      <c r="E839" s="88"/>
      <c r="F839" s="88"/>
      <c r="G839" s="88"/>
      <c r="H839" s="88"/>
      <c r="I839" s="88"/>
      <c r="J839" s="88"/>
      <c r="K839" s="88"/>
      <c r="L839" s="88"/>
      <c r="M839" s="88"/>
      <c r="N839" s="88"/>
      <c r="O839" s="88"/>
      <c r="P839" s="88"/>
      <c r="Q839" s="88"/>
      <c r="R839" s="88"/>
      <c r="S839" s="88"/>
      <c r="T839" s="88"/>
      <c r="U839" s="88"/>
      <c r="V839" s="88"/>
      <c r="W839" s="88"/>
      <c r="X839" s="88"/>
      <c r="Y839" s="88"/>
      <c r="Z839" s="88"/>
      <c r="AA839" s="88"/>
      <c r="AB839" s="128"/>
      <c r="AC839" s="128"/>
      <c r="AD839" s="128"/>
      <c r="AE839" s="128"/>
      <c r="AF839" s="128"/>
      <c r="AG839" s="128"/>
      <c r="AH839" s="127"/>
    </row>
    <row r="840" spans="1:34" ht="13.2">
      <c r="A840" s="88"/>
      <c r="B840" s="88"/>
      <c r="C840" s="88"/>
      <c r="D840" s="88"/>
      <c r="E840" s="88"/>
      <c r="F840" s="88"/>
      <c r="G840" s="88"/>
      <c r="H840" s="88"/>
      <c r="I840" s="88"/>
      <c r="J840" s="88"/>
      <c r="K840" s="88"/>
      <c r="L840" s="88"/>
      <c r="M840" s="88"/>
      <c r="N840" s="88"/>
      <c r="O840" s="88"/>
      <c r="P840" s="88"/>
      <c r="Q840" s="88"/>
      <c r="R840" s="88"/>
      <c r="S840" s="88"/>
      <c r="T840" s="88"/>
      <c r="U840" s="88"/>
      <c r="V840" s="88"/>
      <c r="W840" s="88"/>
      <c r="X840" s="88"/>
      <c r="Y840" s="88"/>
      <c r="Z840" s="88"/>
      <c r="AA840" s="88"/>
      <c r="AB840" s="128"/>
      <c r="AC840" s="128"/>
      <c r="AD840" s="128"/>
      <c r="AE840" s="128"/>
      <c r="AF840" s="128"/>
      <c r="AG840" s="128"/>
      <c r="AH840" s="127"/>
    </row>
    <row r="841" spans="1:34" ht="13.2">
      <c r="A841" s="88"/>
      <c r="B841" s="88"/>
      <c r="C841" s="88"/>
      <c r="D841" s="88"/>
      <c r="E841" s="88"/>
      <c r="F841" s="88"/>
      <c r="G841" s="88"/>
      <c r="H841" s="88"/>
      <c r="I841" s="88"/>
      <c r="J841" s="88"/>
      <c r="K841" s="88"/>
      <c r="L841" s="88"/>
      <c r="M841" s="88"/>
      <c r="N841" s="88"/>
      <c r="O841" s="88"/>
      <c r="P841" s="88"/>
      <c r="Q841" s="88"/>
      <c r="R841" s="88"/>
      <c r="S841" s="88"/>
      <c r="T841" s="88"/>
      <c r="U841" s="88"/>
      <c r="V841" s="88"/>
      <c r="W841" s="88"/>
      <c r="X841" s="88"/>
      <c r="Y841" s="88"/>
      <c r="Z841" s="88"/>
      <c r="AA841" s="88"/>
      <c r="AB841" s="128"/>
      <c r="AC841" s="128"/>
      <c r="AD841" s="128"/>
      <c r="AE841" s="128"/>
      <c r="AF841" s="128"/>
      <c r="AG841" s="128"/>
      <c r="AH841" s="127"/>
    </row>
    <row r="842" spans="1:34" ht="13.2">
      <c r="A842" s="88"/>
      <c r="B842" s="88"/>
      <c r="C842" s="88"/>
      <c r="D842" s="88"/>
      <c r="E842" s="88"/>
      <c r="F842" s="88"/>
      <c r="G842" s="88"/>
      <c r="H842" s="88"/>
      <c r="I842" s="88"/>
      <c r="J842" s="88"/>
      <c r="K842" s="88"/>
      <c r="L842" s="88"/>
      <c r="M842" s="88"/>
      <c r="N842" s="88"/>
      <c r="O842" s="88"/>
      <c r="P842" s="88"/>
      <c r="Q842" s="88"/>
      <c r="R842" s="88"/>
      <c r="S842" s="88"/>
      <c r="T842" s="88"/>
      <c r="U842" s="88"/>
      <c r="V842" s="88"/>
      <c r="W842" s="88"/>
      <c r="X842" s="88"/>
      <c r="Y842" s="88"/>
      <c r="Z842" s="88"/>
      <c r="AA842" s="88"/>
      <c r="AB842" s="128"/>
      <c r="AC842" s="128"/>
      <c r="AD842" s="128"/>
      <c r="AE842" s="128"/>
      <c r="AF842" s="128"/>
      <c r="AG842" s="128"/>
      <c r="AH842" s="127"/>
    </row>
    <row r="843" spans="1:34" ht="13.2">
      <c r="A843" s="88"/>
      <c r="B843" s="88"/>
      <c r="C843" s="88"/>
      <c r="D843" s="88"/>
      <c r="E843" s="88"/>
      <c r="F843" s="88"/>
      <c r="G843" s="88"/>
      <c r="H843" s="88"/>
      <c r="I843" s="88"/>
      <c r="J843" s="88"/>
      <c r="K843" s="88"/>
      <c r="L843" s="88"/>
      <c r="M843" s="88"/>
      <c r="N843" s="88"/>
      <c r="O843" s="88"/>
      <c r="P843" s="88"/>
      <c r="Q843" s="88"/>
      <c r="R843" s="88"/>
      <c r="S843" s="88"/>
      <c r="T843" s="88"/>
      <c r="U843" s="88"/>
      <c r="V843" s="88"/>
      <c r="W843" s="88"/>
      <c r="X843" s="88"/>
      <c r="Y843" s="88"/>
      <c r="Z843" s="88"/>
      <c r="AA843" s="88"/>
      <c r="AB843" s="128"/>
      <c r="AC843" s="128"/>
      <c r="AD843" s="128"/>
      <c r="AE843" s="128"/>
      <c r="AF843" s="128"/>
      <c r="AG843" s="128"/>
      <c r="AH843" s="127"/>
    </row>
    <row r="844" spans="1:34" ht="13.2">
      <c r="A844" s="88"/>
      <c r="B844" s="88"/>
      <c r="C844" s="88"/>
      <c r="D844" s="88"/>
      <c r="E844" s="88"/>
      <c r="F844" s="88"/>
      <c r="G844" s="88"/>
      <c r="H844" s="88"/>
      <c r="I844" s="88"/>
      <c r="J844" s="88"/>
      <c r="K844" s="88"/>
      <c r="L844" s="88"/>
      <c r="M844" s="88"/>
      <c r="N844" s="88"/>
      <c r="O844" s="88"/>
      <c r="P844" s="88"/>
      <c r="Q844" s="88"/>
      <c r="R844" s="88"/>
      <c r="S844" s="88"/>
      <c r="T844" s="88"/>
      <c r="U844" s="88"/>
      <c r="V844" s="88"/>
      <c r="W844" s="88"/>
      <c r="X844" s="88"/>
      <c r="Y844" s="88"/>
      <c r="Z844" s="88"/>
      <c r="AA844" s="88"/>
      <c r="AB844" s="128"/>
      <c r="AC844" s="128"/>
      <c r="AD844" s="128"/>
      <c r="AE844" s="128"/>
      <c r="AF844" s="128"/>
      <c r="AG844" s="128"/>
      <c r="AH844" s="127"/>
    </row>
    <row r="845" spans="1:34" ht="13.2">
      <c r="A845" s="88"/>
      <c r="B845" s="88"/>
      <c r="C845" s="88"/>
      <c r="D845" s="88"/>
      <c r="E845" s="88"/>
      <c r="F845" s="88"/>
      <c r="G845" s="88"/>
      <c r="H845" s="88"/>
      <c r="I845" s="88"/>
      <c r="J845" s="88"/>
      <c r="K845" s="88"/>
      <c r="L845" s="88"/>
      <c r="M845" s="88"/>
      <c r="N845" s="88"/>
      <c r="O845" s="88"/>
      <c r="P845" s="88"/>
      <c r="Q845" s="88"/>
      <c r="R845" s="88"/>
      <c r="S845" s="88"/>
      <c r="T845" s="88"/>
      <c r="U845" s="88"/>
      <c r="V845" s="88"/>
      <c r="W845" s="88"/>
      <c r="X845" s="88"/>
      <c r="Y845" s="88"/>
      <c r="Z845" s="88"/>
      <c r="AA845" s="88"/>
      <c r="AB845" s="128"/>
      <c r="AC845" s="128"/>
      <c r="AD845" s="128"/>
      <c r="AE845" s="128"/>
      <c r="AF845" s="128"/>
      <c r="AG845" s="128"/>
      <c r="AH845" s="127"/>
    </row>
    <row r="846" spans="1:34" ht="13.2">
      <c r="A846" s="88"/>
      <c r="B846" s="88"/>
      <c r="C846" s="88"/>
      <c r="D846" s="88"/>
      <c r="E846" s="88"/>
      <c r="F846" s="88"/>
      <c r="G846" s="88"/>
      <c r="H846" s="88"/>
      <c r="I846" s="88"/>
      <c r="J846" s="88"/>
      <c r="K846" s="88"/>
      <c r="L846" s="88"/>
      <c r="M846" s="88"/>
      <c r="N846" s="88"/>
      <c r="O846" s="88"/>
      <c r="P846" s="88"/>
      <c r="Q846" s="88"/>
      <c r="R846" s="88"/>
      <c r="S846" s="88"/>
      <c r="T846" s="88"/>
      <c r="U846" s="88"/>
      <c r="V846" s="88"/>
      <c r="W846" s="88"/>
      <c r="X846" s="88"/>
      <c r="Y846" s="88"/>
      <c r="Z846" s="88"/>
      <c r="AA846" s="88"/>
      <c r="AB846" s="128"/>
      <c r="AC846" s="128"/>
      <c r="AD846" s="128"/>
      <c r="AE846" s="128"/>
      <c r="AF846" s="128"/>
      <c r="AG846" s="128"/>
      <c r="AH846" s="127"/>
    </row>
    <row r="847" spans="1:34" ht="13.2">
      <c r="A847" s="88"/>
      <c r="B847" s="88"/>
      <c r="C847" s="88"/>
      <c r="D847" s="88"/>
      <c r="E847" s="88"/>
      <c r="F847" s="88"/>
      <c r="G847" s="88"/>
      <c r="H847" s="88"/>
      <c r="I847" s="88"/>
      <c r="J847" s="88"/>
      <c r="K847" s="88"/>
      <c r="L847" s="88"/>
      <c r="M847" s="88"/>
      <c r="N847" s="88"/>
      <c r="O847" s="88"/>
      <c r="P847" s="88"/>
      <c r="Q847" s="88"/>
      <c r="R847" s="88"/>
      <c r="S847" s="88"/>
      <c r="T847" s="88"/>
      <c r="U847" s="88"/>
      <c r="V847" s="88"/>
      <c r="W847" s="88"/>
      <c r="X847" s="88"/>
      <c r="Y847" s="88"/>
      <c r="Z847" s="88"/>
      <c r="AA847" s="88"/>
      <c r="AB847" s="128"/>
      <c r="AC847" s="128"/>
      <c r="AD847" s="128"/>
      <c r="AE847" s="128"/>
      <c r="AF847" s="128"/>
      <c r="AG847" s="128"/>
      <c r="AH847" s="127"/>
    </row>
    <row r="848" spans="1:34" ht="13.2">
      <c r="A848" s="88"/>
      <c r="B848" s="88"/>
      <c r="C848" s="88"/>
      <c r="D848" s="88"/>
      <c r="E848" s="88"/>
      <c r="F848" s="88"/>
      <c r="G848" s="88"/>
      <c r="H848" s="88"/>
      <c r="I848" s="88"/>
      <c r="J848" s="88"/>
      <c r="K848" s="88"/>
      <c r="L848" s="88"/>
      <c r="M848" s="88"/>
      <c r="N848" s="88"/>
      <c r="O848" s="88"/>
      <c r="P848" s="88"/>
      <c r="Q848" s="88"/>
      <c r="R848" s="88"/>
      <c r="S848" s="88"/>
      <c r="T848" s="88"/>
      <c r="U848" s="88"/>
      <c r="V848" s="88"/>
      <c r="W848" s="88"/>
      <c r="X848" s="88"/>
      <c r="Y848" s="88"/>
      <c r="Z848" s="88"/>
      <c r="AA848" s="88"/>
      <c r="AB848" s="128"/>
      <c r="AC848" s="128"/>
      <c r="AD848" s="128"/>
      <c r="AE848" s="128"/>
      <c r="AF848" s="128"/>
      <c r="AG848" s="128"/>
      <c r="AH848" s="127"/>
    </row>
    <row r="849" spans="1:34" ht="13.2">
      <c r="A849" s="88"/>
      <c r="B849" s="88"/>
      <c r="C849" s="88"/>
      <c r="D849" s="88"/>
      <c r="E849" s="88"/>
      <c r="F849" s="88"/>
      <c r="G849" s="88"/>
      <c r="H849" s="88"/>
      <c r="I849" s="88"/>
      <c r="J849" s="88"/>
      <c r="K849" s="88"/>
      <c r="L849" s="88"/>
      <c r="M849" s="88"/>
      <c r="N849" s="88"/>
      <c r="O849" s="88"/>
      <c r="P849" s="88"/>
      <c r="Q849" s="88"/>
      <c r="R849" s="88"/>
      <c r="S849" s="88"/>
      <c r="T849" s="88"/>
      <c r="U849" s="88"/>
      <c r="V849" s="88"/>
      <c r="W849" s="88"/>
      <c r="X849" s="88"/>
      <c r="Y849" s="88"/>
      <c r="Z849" s="88"/>
      <c r="AA849" s="88"/>
      <c r="AB849" s="128"/>
      <c r="AC849" s="128"/>
      <c r="AD849" s="128"/>
      <c r="AE849" s="128"/>
      <c r="AF849" s="128"/>
      <c r="AG849" s="128"/>
      <c r="AH849" s="127"/>
    </row>
    <row r="850" spans="1:34" ht="13.2">
      <c r="A850" s="88"/>
      <c r="B850" s="88"/>
      <c r="C850" s="88"/>
      <c r="D850" s="88"/>
      <c r="E850" s="88"/>
      <c r="F850" s="88"/>
      <c r="G850" s="88"/>
      <c r="H850" s="88"/>
      <c r="I850" s="88"/>
      <c r="J850" s="88"/>
      <c r="K850" s="88"/>
      <c r="L850" s="88"/>
      <c r="M850" s="88"/>
      <c r="N850" s="88"/>
      <c r="O850" s="88"/>
      <c r="P850" s="88"/>
      <c r="Q850" s="88"/>
      <c r="R850" s="88"/>
      <c r="S850" s="88"/>
      <c r="T850" s="88"/>
      <c r="U850" s="88"/>
      <c r="V850" s="88"/>
      <c r="W850" s="88"/>
      <c r="X850" s="88"/>
      <c r="Y850" s="88"/>
      <c r="Z850" s="88"/>
      <c r="AA850" s="88"/>
      <c r="AB850" s="128"/>
      <c r="AC850" s="128"/>
      <c r="AD850" s="128"/>
      <c r="AE850" s="128"/>
      <c r="AF850" s="128"/>
      <c r="AG850" s="128"/>
      <c r="AH850" s="127"/>
    </row>
    <row r="851" spans="1:34" ht="13.2">
      <c r="A851" s="88"/>
      <c r="B851" s="88"/>
      <c r="C851" s="88"/>
      <c r="D851" s="88"/>
      <c r="E851" s="88"/>
      <c r="F851" s="88"/>
      <c r="G851" s="88"/>
      <c r="H851" s="88"/>
      <c r="I851" s="88"/>
      <c r="J851" s="88"/>
      <c r="K851" s="88"/>
      <c r="L851" s="88"/>
      <c r="M851" s="88"/>
      <c r="N851" s="88"/>
      <c r="O851" s="88"/>
      <c r="P851" s="88"/>
      <c r="Q851" s="88"/>
      <c r="R851" s="88"/>
      <c r="S851" s="88"/>
      <c r="T851" s="88"/>
      <c r="U851" s="88"/>
      <c r="V851" s="88"/>
      <c r="W851" s="88"/>
      <c r="X851" s="88"/>
      <c r="Y851" s="88"/>
      <c r="Z851" s="88"/>
      <c r="AA851" s="88"/>
      <c r="AB851" s="128"/>
      <c r="AC851" s="128"/>
      <c r="AD851" s="128"/>
      <c r="AE851" s="128"/>
      <c r="AF851" s="128"/>
      <c r="AG851" s="128"/>
      <c r="AH851" s="127"/>
    </row>
    <row r="852" spans="1:34" ht="13.2">
      <c r="A852" s="88"/>
      <c r="B852" s="88"/>
      <c r="C852" s="88"/>
      <c r="D852" s="88"/>
      <c r="E852" s="88"/>
      <c r="F852" s="88"/>
      <c r="G852" s="88"/>
      <c r="H852" s="88"/>
      <c r="I852" s="88"/>
      <c r="J852" s="88"/>
      <c r="K852" s="88"/>
      <c r="L852" s="88"/>
      <c r="M852" s="88"/>
      <c r="N852" s="88"/>
      <c r="O852" s="88"/>
      <c r="P852" s="88"/>
      <c r="Q852" s="88"/>
      <c r="R852" s="88"/>
      <c r="S852" s="88"/>
      <c r="T852" s="88"/>
      <c r="U852" s="88"/>
      <c r="V852" s="88"/>
      <c r="W852" s="88"/>
      <c r="X852" s="88"/>
      <c r="Y852" s="88"/>
      <c r="Z852" s="88"/>
      <c r="AA852" s="88"/>
      <c r="AB852" s="128"/>
      <c r="AC852" s="128"/>
      <c r="AD852" s="128"/>
      <c r="AE852" s="128"/>
      <c r="AF852" s="128"/>
      <c r="AG852" s="128"/>
      <c r="AH852" s="127"/>
    </row>
    <row r="853" spans="1:34" ht="13.2">
      <c r="A853" s="88"/>
      <c r="B853" s="88"/>
      <c r="C853" s="88"/>
      <c r="D853" s="88"/>
      <c r="E853" s="88"/>
      <c r="F853" s="88"/>
      <c r="G853" s="88"/>
      <c r="H853" s="88"/>
      <c r="I853" s="88"/>
      <c r="J853" s="88"/>
      <c r="K853" s="88"/>
      <c r="L853" s="88"/>
      <c r="M853" s="88"/>
      <c r="N853" s="88"/>
      <c r="O853" s="88"/>
      <c r="P853" s="88"/>
      <c r="Q853" s="88"/>
      <c r="R853" s="88"/>
      <c r="S853" s="88"/>
      <c r="T853" s="88"/>
      <c r="U853" s="88"/>
      <c r="V853" s="88"/>
      <c r="W853" s="88"/>
      <c r="X853" s="88"/>
      <c r="Y853" s="88"/>
      <c r="Z853" s="88"/>
      <c r="AA853" s="88"/>
      <c r="AB853" s="128"/>
      <c r="AC853" s="128"/>
      <c r="AD853" s="128"/>
      <c r="AE853" s="128"/>
      <c r="AF853" s="128"/>
      <c r="AG853" s="128"/>
      <c r="AH853" s="127"/>
    </row>
    <row r="854" spans="1:34" ht="13.2">
      <c r="A854" s="88"/>
      <c r="B854" s="88"/>
      <c r="C854" s="88"/>
      <c r="D854" s="88"/>
      <c r="E854" s="88"/>
      <c r="F854" s="88"/>
      <c r="G854" s="88"/>
      <c r="H854" s="88"/>
      <c r="I854" s="88"/>
      <c r="J854" s="88"/>
      <c r="K854" s="88"/>
      <c r="L854" s="88"/>
      <c r="M854" s="88"/>
      <c r="N854" s="88"/>
      <c r="O854" s="88"/>
      <c r="P854" s="88"/>
      <c r="Q854" s="88"/>
      <c r="R854" s="88"/>
      <c r="S854" s="88"/>
      <c r="T854" s="88"/>
      <c r="U854" s="88"/>
      <c r="V854" s="88"/>
      <c r="W854" s="88"/>
      <c r="X854" s="88"/>
      <c r="Y854" s="88"/>
      <c r="Z854" s="88"/>
      <c r="AA854" s="88"/>
      <c r="AB854" s="128"/>
      <c r="AC854" s="128"/>
      <c r="AD854" s="128"/>
      <c r="AE854" s="128"/>
      <c r="AF854" s="128"/>
      <c r="AG854" s="128"/>
      <c r="AH854" s="127"/>
    </row>
    <row r="855" spans="1:34" ht="13.2">
      <c r="A855" s="88"/>
      <c r="B855" s="88"/>
      <c r="C855" s="88"/>
      <c r="D855" s="88"/>
      <c r="E855" s="88"/>
      <c r="F855" s="88"/>
      <c r="G855" s="88"/>
      <c r="H855" s="88"/>
      <c r="I855" s="88"/>
      <c r="J855" s="88"/>
      <c r="K855" s="88"/>
      <c r="L855" s="88"/>
      <c r="M855" s="88"/>
      <c r="N855" s="88"/>
      <c r="O855" s="88"/>
      <c r="P855" s="88"/>
      <c r="Q855" s="88"/>
      <c r="R855" s="88"/>
      <c r="S855" s="88"/>
      <c r="T855" s="88"/>
      <c r="U855" s="88"/>
      <c r="V855" s="88"/>
      <c r="W855" s="88"/>
      <c r="X855" s="88"/>
      <c r="Y855" s="88"/>
      <c r="Z855" s="88"/>
      <c r="AA855" s="88"/>
      <c r="AB855" s="128"/>
      <c r="AC855" s="128"/>
      <c r="AD855" s="128"/>
      <c r="AE855" s="128"/>
      <c r="AF855" s="128"/>
      <c r="AG855" s="128"/>
      <c r="AH855" s="127"/>
    </row>
    <row r="856" spans="1:34" ht="13.2">
      <c r="A856" s="88"/>
      <c r="B856" s="88"/>
      <c r="C856" s="88"/>
      <c r="D856" s="88"/>
      <c r="E856" s="88"/>
      <c r="F856" s="88"/>
      <c r="G856" s="88"/>
      <c r="H856" s="88"/>
      <c r="I856" s="88"/>
      <c r="J856" s="88"/>
      <c r="K856" s="88"/>
      <c r="L856" s="88"/>
      <c r="M856" s="88"/>
      <c r="N856" s="88"/>
      <c r="O856" s="88"/>
      <c r="P856" s="88"/>
      <c r="Q856" s="88"/>
      <c r="R856" s="88"/>
      <c r="S856" s="88"/>
      <c r="T856" s="88"/>
      <c r="U856" s="88"/>
      <c r="V856" s="88"/>
      <c r="W856" s="88"/>
      <c r="X856" s="88"/>
      <c r="Y856" s="88"/>
      <c r="Z856" s="88"/>
      <c r="AA856" s="88"/>
      <c r="AB856" s="128"/>
      <c r="AC856" s="128"/>
      <c r="AD856" s="128"/>
      <c r="AE856" s="128"/>
      <c r="AF856" s="128"/>
      <c r="AG856" s="128"/>
      <c r="AH856" s="127"/>
    </row>
    <row r="857" spans="1:34" ht="13.2">
      <c r="A857" s="88"/>
      <c r="B857" s="88"/>
      <c r="C857" s="88"/>
      <c r="D857" s="88"/>
      <c r="E857" s="88"/>
      <c r="F857" s="88"/>
      <c r="G857" s="88"/>
      <c r="H857" s="88"/>
      <c r="I857" s="88"/>
      <c r="J857" s="88"/>
      <c r="K857" s="88"/>
      <c r="L857" s="88"/>
      <c r="M857" s="88"/>
      <c r="N857" s="88"/>
      <c r="O857" s="88"/>
      <c r="P857" s="88"/>
      <c r="Q857" s="88"/>
      <c r="R857" s="88"/>
      <c r="S857" s="88"/>
      <c r="T857" s="88"/>
      <c r="U857" s="88"/>
      <c r="V857" s="88"/>
      <c r="W857" s="88"/>
      <c r="X857" s="88"/>
      <c r="Y857" s="88"/>
      <c r="Z857" s="88"/>
      <c r="AA857" s="88"/>
      <c r="AB857" s="128"/>
      <c r="AC857" s="128"/>
      <c r="AD857" s="128"/>
      <c r="AE857" s="128"/>
      <c r="AF857" s="128"/>
      <c r="AG857" s="128"/>
      <c r="AH857" s="127"/>
    </row>
    <row r="858" spans="1:34" ht="13.2">
      <c r="A858" s="88"/>
      <c r="B858" s="88"/>
      <c r="C858" s="88"/>
      <c r="D858" s="88"/>
      <c r="E858" s="88"/>
      <c r="F858" s="88"/>
      <c r="G858" s="88"/>
      <c r="H858" s="88"/>
      <c r="I858" s="88"/>
      <c r="J858" s="88"/>
      <c r="K858" s="88"/>
      <c r="L858" s="88"/>
      <c r="M858" s="88"/>
      <c r="N858" s="88"/>
      <c r="O858" s="88"/>
      <c r="P858" s="88"/>
      <c r="Q858" s="88"/>
      <c r="R858" s="88"/>
      <c r="S858" s="88"/>
      <c r="T858" s="88"/>
      <c r="U858" s="88"/>
      <c r="V858" s="88"/>
      <c r="W858" s="88"/>
      <c r="X858" s="88"/>
      <c r="Y858" s="88"/>
      <c r="Z858" s="88"/>
      <c r="AA858" s="88"/>
      <c r="AB858" s="128"/>
      <c r="AC858" s="128"/>
      <c r="AD858" s="128"/>
      <c r="AE858" s="128"/>
      <c r="AF858" s="128"/>
      <c r="AG858" s="128"/>
      <c r="AH858" s="127"/>
    </row>
    <row r="859" spans="1:34" ht="13.2">
      <c r="A859" s="88"/>
      <c r="B859" s="88"/>
      <c r="C859" s="88"/>
      <c r="D859" s="88"/>
      <c r="E859" s="88"/>
      <c r="F859" s="88"/>
      <c r="G859" s="88"/>
      <c r="H859" s="88"/>
      <c r="I859" s="88"/>
      <c r="J859" s="88"/>
      <c r="K859" s="88"/>
      <c r="L859" s="88"/>
      <c r="M859" s="88"/>
      <c r="N859" s="88"/>
      <c r="O859" s="88"/>
      <c r="P859" s="88"/>
      <c r="Q859" s="88"/>
      <c r="R859" s="88"/>
      <c r="S859" s="88"/>
      <c r="T859" s="88"/>
      <c r="U859" s="88"/>
      <c r="V859" s="88"/>
      <c r="W859" s="88"/>
      <c r="X859" s="88"/>
      <c r="Y859" s="88"/>
      <c r="Z859" s="88"/>
      <c r="AA859" s="88"/>
      <c r="AB859" s="128"/>
      <c r="AC859" s="128"/>
      <c r="AD859" s="128"/>
      <c r="AE859" s="128"/>
      <c r="AF859" s="128"/>
      <c r="AG859" s="128"/>
      <c r="AH859" s="127"/>
    </row>
    <row r="860" spans="1:34" ht="13.2">
      <c r="A860" s="88"/>
      <c r="B860" s="88"/>
      <c r="C860" s="88"/>
      <c r="D860" s="88"/>
      <c r="E860" s="88"/>
      <c r="F860" s="88"/>
      <c r="G860" s="88"/>
      <c r="H860" s="88"/>
      <c r="I860" s="88"/>
      <c r="J860" s="88"/>
      <c r="K860" s="88"/>
      <c r="L860" s="88"/>
      <c r="M860" s="88"/>
      <c r="N860" s="88"/>
      <c r="O860" s="88"/>
      <c r="P860" s="88"/>
      <c r="Q860" s="88"/>
      <c r="R860" s="88"/>
      <c r="S860" s="88"/>
      <c r="T860" s="88"/>
      <c r="U860" s="88"/>
      <c r="V860" s="88"/>
      <c r="W860" s="88"/>
      <c r="X860" s="88"/>
      <c r="Y860" s="88"/>
      <c r="Z860" s="88"/>
      <c r="AA860" s="88"/>
      <c r="AB860" s="128"/>
      <c r="AC860" s="128"/>
      <c r="AD860" s="128"/>
      <c r="AE860" s="128"/>
      <c r="AF860" s="128"/>
      <c r="AG860" s="128"/>
      <c r="AH860" s="127"/>
    </row>
    <row r="861" spans="1:34" ht="13.2">
      <c r="A861" s="88"/>
      <c r="B861" s="88"/>
      <c r="C861" s="88"/>
      <c r="D861" s="88"/>
      <c r="E861" s="88"/>
      <c r="F861" s="88"/>
      <c r="G861" s="88"/>
      <c r="H861" s="88"/>
      <c r="I861" s="88"/>
      <c r="J861" s="88"/>
      <c r="K861" s="88"/>
      <c r="L861" s="88"/>
      <c r="M861" s="88"/>
      <c r="N861" s="88"/>
      <c r="O861" s="88"/>
      <c r="P861" s="88"/>
      <c r="Q861" s="88"/>
      <c r="R861" s="88"/>
      <c r="S861" s="88"/>
      <c r="T861" s="88"/>
      <c r="U861" s="88"/>
      <c r="V861" s="88"/>
      <c r="W861" s="88"/>
      <c r="X861" s="88"/>
      <c r="Y861" s="88"/>
      <c r="Z861" s="88"/>
      <c r="AA861" s="88"/>
      <c r="AB861" s="128"/>
      <c r="AC861" s="128"/>
      <c r="AD861" s="128"/>
      <c r="AE861" s="128"/>
      <c r="AF861" s="128"/>
      <c r="AG861" s="128"/>
      <c r="AH861" s="127"/>
    </row>
    <row r="862" spans="1:34" ht="13.2">
      <c r="A862" s="88"/>
      <c r="B862" s="88"/>
      <c r="C862" s="88"/>
      <c r="D862" s="88"/>
      <c r="E862" s="88"/>
      <c r="F862" s="88"/>
      <c r="G862" s="88"/>
      <c r="H862" s="88"/>
      <c r="I862" s="88"/>
      <c r="J862" s="88"/>
      <c r="K862" s="88"/>
      <c r="L862" s="88"/>
      <c r="M862" s="88"/>
      <c r="N862" s="88"/>
      <c r="O862" s="88"/>
      <c r="P862" s="88"/>
      <c r="Q862" s="88"/>
      <c r="R862" s="88"/>
      <c r="S862" s="88"/>
      <c r="T862" s="88"/>
      <c r="U862" s="88"/>
      <c r="V862" s="88"/>
      <c r="W862" s="88"/>
      <c r="X862" s="88"/>
      <c r="Y862" s="88"/>
      <c r="Z862" s="88"/>
      <c r="AA862" s="88"/>
      <c r="AB862" s="128"/>
      <c r="AC862" s="128"/>
      <c r="AD862" s="128"/>
      <c r="AE862" s="128"/>
      <c r="AF862" s="128"/>
      <c r="AG862" s="128"/>
      <c r="AH862" s="127"/>
    </row>
    <row r="863" spans="1:34" ht="13.2">
      <c r="A863" s="88"/>
      <c r="B863" s="88"/>
      <c r="C863" s="88"/>
      <c r="D863" s="88"/>
      <c r="E863" s="88"/>
      <c r="F863" s="88"/>
      <c r="G863" s="88"/>
      <c r="H863" s="88"/>
      <c r="I863" s="88"/>
      <c r="J863" s="88"/>
      <c r="K863" s="88"/>
      <c r="L863" s="88"/>
      <c r="M863" s="88"/>
      <c r="N863" s="88"/>
      <c r="O863" s="88"/>
      <c r="P863" s="88"/>
      <c r="Q863" s="88"/>
      <c r="R863" s="88"/>
      <c r="S863" s="88"/>
      <c r="T863" s="88"/>
      <c r="U863" s="88"/>
      <c r="V863" s="88"/>
      <c r="W863" s="88"/>
      <c r="X863" s="88"/>
      <c r="Y863" s="88"/>
      <c r="Z863" s="88"/>
      <c r="AA863" s="88"/>
      <c r="AB863" s="128"/>
      <c r="AC863" s="128"/>
      <c r="AD863" s="128"/>
      <c r="AE863" s="128"/>
      <c r="AF863" s="128"/>
      <c r="AG863" s="128"/>
      <c r="AH863" s="127"/>
    </row>
    <row r="864" spans="1:34" ht="13.2">
      <c r="A864" s="88"/>
      <c r="B864" s="88"/>
      <c r="C864" s="88"/>
      <c r="D864" s="88"/>
      <c r="E864" s="88"/>
      <c r="F864" s="88"/>
      <c r="G864" s="88"/>
      <c r="H864" s="88"/>
      <c r="I864" s="88"/>
      <c r="J864" s="88"/>
      <c r="K864" s="88"/>
      <c r="L864" s="88"/>
      <c r="M864" s="88"/>
      <c r="N864" s="88"/>
      <c r="O864" s="88"/>
      <c r="P864" s="88"/>
      <c r="Q864" s="88"/>
      <c r="R864" s="88"/>
      <c r="S864" s="88"/>
      <c r="T864" s="88"/>
      <c r="U864" s="88"/>
      <c r="V864" s="88"/>
      <c r="W864" s="88"/>
      <c r="X864" s="88"/>
      <c r="Y864" s="88"/>
      <c r="Z864" s="88"/>
      <c r="AA864" s="88"/>
      <c r="AB864" s="128"/>
      <c r="AC864" s="128"/>
      <c r="AD864" s="128"/>
      <c r="AE864" s="128"/>
      <c r="AF864" s="128"/>
      <c r="AG864" s="128"/>
      <c r="AH864" s="127"/>
    </row>
    <row r="865" spans="1:34" ht="13.2">
      <c r="A865" s="88"/>
      <c r="B865" s="88"/>
      <c r="C865" s="88"/>
      <c r="D865" s="88"/>
      <c r="E865" s="88"/>
      <c r="F865" s="88"/>
      <c r="G865" s="88"/>
      <c r="H865" s="88"/>
      <c r="I865" s="88"/>
      <c r="J865" s="88"/>
      <c r="K865" s="88"/>
      <c r="L865" s="88"/>
      <c r="M865" s="88"/>
      <c r="N865" s="88"/>
      <c r="O865" s="88"/>
      <c r="P865" s="88"/>
      <c r="Q865" s="88"/>
      <c r="R865" s="88"/>
      <c r="S865" s="88"/>
      <c r="T865" s="88"/>
      <c r="U865" s="88"/>
      <c r="V865" s="88"/>
      <c r="W865" s="88"/>
      <c r="X865" s="88"/>
      <c r="Y865" s="88"/>
      <c r="Z865" s="88"/>
      <c r="AA865" s="88"/>
      <c r="AB865" s="128"/>
      <c r="AC865" s="128"/>
      <c r="AD865" s="128"/>
      <c r="AE865" s="128"/>
      <c r="AF865" s="128"/>
      <c r="AG865" s="128"/>
      <c r="AH865" s="127"/>
    </row>
    <row r="866" spans="1:34" ht="13.2">
      <c r="A866" s="88"/>
      <c r="B866" s="88"/>
      <c r="C866" s="88"/>
      <c r="D866" s="88"/>
      <c r="E866" s="88"/>
      <c r="F866" s="88"/>
      <c r="G866" s="88"/>
      <c r="H866" s="88"/>
      <c r="I866" s="88"/>
      <c r="J866" s="88"/>
      <c r="K866" s="88"/>
      <c r="L866" s="88"/>
      <c r="M866" s="88"/>
      <c r="N866" s="88"/>
      <c r="O866" s="88"/>
      <c r="P866" s="88"/>
      <c r="Q866" s="88"/>
      <c r="R866" s="88"/>
      <c r="S866" s="88"/>
      <c r="T866" s="88"/>
      <c r="U866" s="88"/>
      <c r="V866" s="88"/>
      <c r="W866" s="88"/>
      <c r="X866" s="88"/>
      <c r="Y866" s="88"/>
      <c r="Z866" s="88"/>
      <c r="AA866" s="88"/>
      <c r="AB866" s="128"/>
      <c r="AC866" s="128"/>
      <c r="AD866" s="128"/>
      <c r="AE866" s="128"/>
      <c r="AF866" s="128"/>
      <c r="AG866" s="128"/>
      <c r="AH866" s="127"/>
    </row>
    <row r="867" spans="1:34" ht="13.2">
      <c r="A867" s="88"/>
      <c r="B867" s="88"/>
      <c r="C867" s="88"/>
      <c r="D867" s="88"/>
      <c r="E867" s="88"/>
      <c r="F867" s="88"/>
      <c r="G867" s="88"/>
      <c r="H867" s="88"/>
      <c r="I867" s="88"/>
      <c r="J867" s="88"/>
      <c r="K867" s="88"/>
      <c r="L867" s="88"/>
      <c r="M867" s="88"/>
      <c r="N867" s="88"/>
      <c r="O867" s="88"/>
      <c r="P867" s="88"/>
      <c r="Q867" s="88"/>
      <c r="R867" s="88"/>
      <c r="S867" s="88"/>
      <c r="T867" s="88"/>
      <c r="U867" s="88"/>
      <c r="V867" s="88"/>
      <c r="W867" s="88"/>
      <c r="X867" s="88"/>
      <c r="Y867" s="88"/>
      <c r="Z867" s="88"/>
      <c r="AA867" s="88"/>
      <c r="AB867" s="128"/>
      <c r="AC867" s="128"/>
      <c r="AD867" s="128"/>
      <c r="AE867" s="128"/>
      <c r="AF867" s="128"/>
      <c r="AG867" s="128"/>
      <c r="AH867" s="127"/>
    </row>
    <row r="868" spans="1:34" ht="13.2">
      <c r="A868" s="88"/>
      <c r="B868" s="88"/>
      <c r="C868" s="88"/>
      <c r="D868" s="88"/>
      <c r="E868" s="88"/>
      <c r="F868" s="88"/>
      <c r="G868" s="88"/>
      <c r="H868" s="88"/>
      <c r="I868" s="88"/>
      <c r="J868" s="88"/>
      <c r="K868" s="88"/>
      <c r="L868" s="88"/>
      <c r="M868" s="88"/>
      <c r="N868" s="88"/>
      <c r="O868" s="88"/>
      <c r="P868" s="88"/>
      <c r="Q868" s="88"/>
      <c r="R868" s="88"/>
      <c r="S868" s="88"/>
      <c r="T868" s="88"/>
      <c r="U868" s="88"/>
      <c r="V868" s="88"/>
      <c r="W868" s="88"/>
      <c r="X868" s="88"/>
      <c r="Y868" s="88"/>
      <c r="Z868" s="88"/>
      <c r="AA868" s="88"/>
      <c r="AB868" s="128"/>
      <c r="AC868" s="128"/>
      <c r="AD868" s="128"/>
      <c r="AE868" s="128"/>
      <c r="AF868" s="128"/>
      <c r="AG868" s="128"/>
      <c r="AH868" s="127"/>
    </row>
    <row r="869" spans="1:34" ht="13.2">
      <c r="A869" s="88"/>
      <c r="B869" s="88"/>
      <c r="C869" s="88"/>
      <c r="D869" s="88"/>
      <c r="E869" s="88"/>
      <c r="F869" s="88"/>
      <c r="G869" s="88"/>
      <c r="H869" s="88"/>
      <c r="I869" s="88"/>
      <c r="J869" s="88"/>
      <c r="K869" s="88"/>
      <c r="L869" s="88"/>
      <c r="M869" s="88"/>
      <c r="N869" s="88"/>
      <c r="O869" s="88"/>
      <c r="P869" s="88"/>
      <c r="Q869" s="88"/>
      <c r="R869" s="88"/>
      <c r="S869" s="88"/>
      <c r="T869" s="88"/>
      <c r="U869" s="88"/>
      <c r="V869" s="88"/>
      <c r="W869" s="88"/>
      <c r="X869" s="88"/>
      <c r="Y869" s="88"/>
      <c r="Z869" s="88"/>
      <c r="AA869" s="88"/>
      <c r="AB869" s="128"/>
      <c r="AC869" s="128"/>
      <c r="AD869" s="128"/>
      <c r="AE869" s="128"/>
      <c r="AF869" s="128"/>
      <c r="AG869" s="128"/>
      <c r="AH869" s="127"/>
    </row>
    <row r="870" spans="1:34" ht="13.2">
      <c r="A870" s="88"/>
      <c r="B870" s="88"/>
      <c r="C870" s="88"/>
      <c r="D870" s="88"/>
      <c r="E870" s="88"/>
      <c r="F870" s="88"/>
      <c r="G870" s="88"/>
      <c r="H870" s="88"/>
      <c r="I870" s="88"/>
      <c r="J870" s="88"/>
      <c r="K870" s="88"/>
      <c r="L870" s="88"/>
      <c r="M870" s="88"/>
      <c r="N870" s="88"/>
      <c r="O870" s="88"/>
      <c r="P870" s="88"/>
      <c r="Q870" s="88"/>
      <c r="R870" s="88"/>
      <c r="S870" s="88"/>
      <c r="T870" s="88"/>
      <c r="U870" s="88"/>
      <c r="V870" s="88"/>
      <c r="W870" s="88"/>
      <c r="X870" s="88"/>
      <c r="Y870" s="88"/>
      <c r="Z870" s="88"/>
      <c r="AA870" s="88"/>
      <c r="AB870" s="128"/>
      <c r="AC870" s="128"/>
      <c r="AD870" s="128"/>
      <c r="AE870" s="128"/>
      <c r="AF870" s="128"/>
      <c r="AG870" s="128"/>
      <c r="AH870" s="127"/>
    </row>
    <row r="871" spans="1:34" ht="13.2">
      <c r="A871" s="88"/>
      <c r="B871" s="88"/>
      <c r="C871" s="88"/>
      <c r="D871" s="88"/>
      <c r="E871" s="88"/>
      <c r="F871" s="88"/>
      <c r="G871" s="88"/>
      <c r="H871" s="88"/>
      <c r="I871" s="88"/>
      <c r="J871" s="88"/>
      <c r="K871" s="88"/>
      <c r="L871" s="88"/>
      <c r="M871" s="88"/>
      <c r="N871" s="88"/>
      <c r="O871" s="88"/>
      <c r="P871" s="88"/>
      <c r="Q871" s="88"/>
      <c r="R871" s="88"/>
      <c r="S871" s="88"/>
      <c r="T871" s="88"/>
      <c r="U871" s="88"/>
      <c r="V871" s="88"/>
      <c r="W871" s="88"/>
      <c r="X871" s="88"/>
      <c r="Y871" s="88"/>
      <c r="Z871" s="88"/>
      <c r="AA871" s="88"/>
      <c r="AB871" s="128"/>
      <c r="AC871" s="128"/>
      <c r="AD871" s="128"/>
      <c r="AE871" s="128"/>
      <c r="AF871" s="128"/>
      <c r="AG871" s="128"/>
      <c r="AH871" s="127"/>
    </row>
    <row r="872" spans="1:34" ht="13.2">
      <c r="A872" s="88"/>
      <c r="B872" s="88"/>
      <c r="C872" s="88"/>
      <c r="D872" s="88"/>
      <c r="E872" s="88"/>
      <c r="F872" s="88"/>
      <c r="G872" s="88"/>
      <c r="H872" s="88"/>
      <c r="I872" s="88"/>
      <c r="J872" s="88"/>
      <c r="K872" s="88"/>
      <c r="L872" s="88"/>
      <c r="M872" s="88"/>
      <c r="N872" s="88"/>
      <c r="O872" s="88"/>
      <c r="P872" s="88"/>
      <c r="Q872" s="88"/>
      <c r="R872" s="88"/>
      <c r="S872" s="88"/>
      <c r="T872" s="88"/>
      <c r="U872" s="88"/>
      <c r="V872" s="88"/>
      <c r="W872" s="88"/>
      <c r="X872" s="88"/>
      <c r="Y872" s="88"/>
      <c r="Z872" s="88"/>
      <c r="AA872" s="88"/>
      <c r="AB872" s="128"/>
      <c r="AC872" s="128"/>
      <c r="AD872" s="128"/>
      <c r="AE872" s="128"/>
      <c r="AF872" s="128"/>
      <c r="AG872" s="128"/>
      <c r="AH872" s="127"/>
    </row>
    <row r="873" spans="1:34" ht="13.2">
      <c r="A873" s="88"/>
      <c r="B873" s="88"/>
      <c r="C873" s="88"/>
      <c r="D873" s="88"/>
      <c r="E873" s="88"/>
      <c r="F873" s="88"/>
      <c r="G873" s="88"/>
      <c r="H873" s="88"/>
      <c r="I873" s="88"/>
      <c r="J873" s="88"/>
      <c r="K873" s="88"/>
      <c r="L873" s="88"/>
      <c r="M873" s="88"/>
      <c r="N873" s="88"/>
      <c r="O873" s="88"/>
      <c r="P873" s="88"/>
      <c r="Q873" s="88"/>
      <c r="R873" s="88"/>
      <c r="S873" s="88"/>
      <c r="T873" s="88"/>
      <c r="U873" s="88"/>
      <c r="V873" s="88"/>
      <c r="W873" s="88"/>
      <c r="X873" s="88"/>
      <c r="Y873" s="88"/>
      <c r="Z873" s="88"/>
      <c r="AA873" s="88"/>
      <c r="AB873" s="128"/>
      <c r="AC873" s="128"/>
      <c r="AD873" s="128"/>
      <c r="AE873" s="128"/>
      <c r="AF873" s="128"/>
      <c r="AG873" s="128"/>
      <c r="AH873" s="127"/>
    </row>
    <row r="874" spans="1:34" ht="13.2">
      <c r="A874" s="88"/>
      <c r="B874" s="88"/>
      <c r="C874" s="88"/>
      <c r="D874" s="88"/>
      <c r="E874" s="88"/>
      <c r="F874" s="88"/>
      <c r="G874" s="88"/>
      <c r="H874" s="88"/>
      <c r="I874" s="88"/>
      <c r="J874" s="88"/>
      <c r="K874" s="88"/>
      <c r="L874" s="88"/>
      <c r="M874" s="88"/>
      <c r="N874" s="88"/>
      <c r="O874" s="88"/>
      <c r="P874" s="88"/>
      <c r="Q874" s="88"/>
      <c r="R874" s="88"/>
      <c r="S874" s="88"/>
      <c r="T874" s="88"/>
      <c r="U874" s="88"/>
      <c r="V874" s="88"/>
      <c r="W874" s="88"/>
      <c r="X874" s="88"/>
      <c r="Y874" s="88"/>
      <c r="Z874" s="88"/>
      <c r="AA874" s="88"/>
      <c r="AB874" s="128"/>
      <c r="AC874" s="128"/>
      <c r="AD874" s="128"/>
      <c r="AE874" s="128"/>
      <c r="AF874" s="128"/>
      <c r="AG874" s="128"/>
      <c r="AH874" s="127"/>
    </row>
    <row r="875" spans="1:34" ht="13.2">
      <c r="A875" s="88"/>
      <c r="B875" s="88"/>
      <c r="C875" s="88"/>
      <c r="D875" s="88"/>
      <c r="E875" s="88"/>
      <c r="F875" s="88"/>
      <c r="G875" s="88"/>
      <c r="H875" s="88"/>
      <c r="I875" s="88"/>
      <c r="J875" s="88"/>
      <c r="K875" s="88"/>
      <c r="L875" s="88"/>
      <c r="M875" s="88"/>
      <c r="N875" s="88"/>
      <c r="O875" s="88"/>
      <c r="P875" s="88"/>
      <c r="Q875" s="88"/>
      <c r="R875" s="88"/>
      <c r="S875" s="88"/>
      <c r="T875" s="88"/>
      <c r="U875" s="88"/>
      <c r="V875" s="88"/>
      <c r="W875" s="88"/>
      <c r="X875" s="88"/>
      <c r="Y875" s="88"/>
      <c r="Z875" s="88"/>
      <c r="AA875" s="88"/>
      <c r="AB875" s="128"/>
      <c r="AC875" s="128"/>
      <c r="AD875" s="128"/>
      <c r="AE875" s="128"/>
      <c r="AF875" s="128"/>
      <c r="AG875" s="128"/>
      <c r="AH875" s="127"/>
    </row>
    <row r="876" spans="1:34" ht="13.2">
      <c r="A876" s="88"/>
      <c r="B876" s="88"/>
      <c r="C876" s="88"/>
      <c r="D876" s="88"/>
      <c r="E876" s="88"/>
      <c r="F876" s="88"/>
      <c r="G876" s="88"/>
      <c r="H876" s="88"/>
      <c r="I876" s="88"/>
      <c r="J876" s="88"/>
      <c r="K876" s="88"/>
      <c r="L876" s="88"/>
      <c r="M876" s="88"/>
      <c r="N876" s="88"/>
      <c r="O876" s="88"/>
      <c r="P876" s="88"/>
      <c r="Q876" s="88"/>
      <c r="R876" s="88"/>
      <c r="S876" s="88"/>
      <c r="T876" s="88"/>
      <c r="U876" s="88"/>
      <c r="V876" s="88"/>
      <c r="W876" s="88"/>
      <c r="X876" s="88"/>
      <c r="Y876" s="88"/>
      <c r="Z876" s="88"/>
      <c r="AA876" s="88"/>
      <c r="AB876" s="128"/>
      <c r="AC876" s="128"/>
      <c r="AD876" s="128"/>
      <c r="AE876" s="128"/>
      <c r="AF876" s="128"/>
      <c r="AG876" s="128"/>
      <c r="AH876" s="127"/>
    </row>
    <row r="877" spans="1:34" ht="13.2">
      <c r="A877" s="88"/>
      <c r="B877" s="88"/>
      <c r="C877" s="88"/>
      <c r="D877" s="88"/>
      <c r="E877" s="88"/>
      <c r="F877" s="88"/>
      <c r="G877" s="88"/>
      <c r="H877" s="88"/>
      <c r="I877" s="88"/>
      <c r="J877" s="88"/>
      <c r="K877" s="88"/>
      <c r="L877" s="88"/>
      <c r="M877" s="88"/>
      <c r="N877" s="88"/>
      <c r="O877" s="88"/>
      <c r="P877" s="88"/>
      <c r="Q877" s="88"/>
      <c r="R877" s="88"/>
      <c r="S877" s="88"/>
      <c r="T877" s="88"/>
      <c r="U877" s="88"/>
      <c r="V877" s="88"/>
      <c r="W877" s="88"/>
      <c r="X877" s="88"/>
      <c r="Y877" s="88"/>
      <c r="Z877" s="88"/>
      <c r="AA877" s="88"/>
      <c r="AB877" s="128"/>
      <c r="AC877" s="128"/>
      <c r="AD877" s="128"/>
      <c r="AE877" s="128"/>
      <c r="AF877" s="128"/>
      <c r="AG877" s="128"/>
      <c r="AH877" s="127"/>
    </row>
    <row r="878" spans="1:34" ht="13.2">
      <c r="A878" s="88"/>
      <c r="B878" s="88"/>
      <c r="C878" s="88"/>
      <c r="D878" s="88"/>
      <c r="E878" s="88"/>
      <c r="F878" s="88"/>
      <c r="G878" s="88"/>
      <c r="H878" s="88"/>
      <c r="I878" s="88"/>
      <c r="J878" s="88"/>
      <c r="K878" s="88"/>
      <c r="L878" s="88"/>
      <c r="M878" s="88"/>
      <c r="N878" s="88"/>
      <c r="O878" s="88"/>
      <c r="P878" s="88"/>
      <c r="Q878" s="88"/>
      <c r="R878" s="88"/>
      <c r="S878" s="88"/>
      <c r="T878" s="88"/>
      <c r="U878" s="88"/>
      <c r="V878" s="88"/>
      <c r="W878" s="88"/>
      <c r="X878" s="88"/>
      <c r="Y878" s="88"/>
      <c r="Z878" s="88"/>
      <c r="AA878" s="88"/>
      <c r="AB878" s="128"/>
      <c r="AC878" s="128"/>
      <c r="AD878" s="128"/>
      <c r="AE878" s="128"/>
      <c r="AF878" s="128"/>
      <c r="AG878" s="128"/>
      <c r="AH878" s="127"/>
    </row>
    <row r="879" spans="1:34" ht="13.2">
      <c r="A879" s="88"/>
      <c r="B879" s="88"/>
      <c r="C879" s="88"/>
      <c r="D879" s="88"/>
      <c r="E879" s="88"/>
      <c r="F879" s="88"/>
      <c r="G879" s="88"/>
      <c r="H879" s="88"/>
      <c r="I879" s="88"/>
      <c r="J879" s="88"/>
      <c r="K879" s="88"/>
      <c r="L879" s="88"/>
      <c r="M879" s="88"/>
      <c r="N879" s="88"/>
      <c r="O879" s="88"/>
      <c r="P879" s="88"/>
      <c r="Q879" s="88"/>
      <c r="R879" s="88"/>
      <c r="S879" s="88"/>
      <c r="T879" s="88"/>
      <c r="U879" s="88"/>
      <c r="V879" s="88"/>
      <c r="W879" s="88"/>
      <c r="X879" s="88"/>
      <c r="Y879" s="88"/>
      <c r="Z879" s="88"/>
      <c r="AA879" s="88"/>
      <c r="AB879" s="128"/>
      <c r="AC879" s="128"/>
      <c r="AD879" s="128"/>
      <c r="AE879" s="128"/>
      <c r="AF879" s="128"/>
      <c r="AG879" s="128"/>
      <c r="AH879" s="127"/>
    </row>
    <row r="880" spans="1:34" ht="13.2">
      <c r="A880" s="88"/>
      <c r="B880" s="88"/>
      <c r="C880" s="88"/>
      <c r="D880" s="88"/>
      <c r="E880" s="88"/>
      <c r="F880" s="88"/>
      <c r="G880" s="88"/>
      <c r="H880" s="88"/>
      <c r="I880" s="88"/>
      <c r="J880" s="88"/>
      <c r="K880" s="88"/>
      <c r="L880" s="88"/>
      <c r="M880" s="88"/>
      <c r="N880" s="88"/>
      <c r="O880" s="88"/>
      <c r="P880" s="88"/>
      <c r="Q880" s="88"/>
      <c r="R880" s="88"/>
      <c r="S880" s="88"/>
      <c r="T880" s="88"/>
      <c r="U880" s="88"/>
      <c r="V880" s="88"/>
      <c r="W880" s="88"/>
      <c r="X880" s="88"/>
      <c r="Y880" s="88"/>
      <c r="Z880" s="88"/>
      <c r="AA880" s="88"/>
      <c r="AB880" s="128"/>
      <c r="AC880" s="128"/>
      <c r="AD880" s="128"/>
      <c r="AE880" s="128"/>
      <c r="AF880" s="128"/>
      <c r="AG880" s="128"/>
      <c r="AH880" s="127"/>
    </row>
    <row r="881" spans="1:34" ht="13.2">
      <c r="A881" s="88"/>
      <c r="B881" s="88"/>
      <c r="C881" s="88"/>
      <c r="D881" s="88"/>
      <c r="E881" s="88"/>
      <c r="F881" s="88"/>
      <c r="G881" s="88"/>
      <c r="H881" s="88"/>
      <c r="I881" s="88"/>
      <c r="J881" s="88"/>
      <c r="K881" s="88"/>
      <c r="L881" s="88"/>
      <c r="M881" s="88"/>
      <c r="N881" s="88"/>
      <c r="O881" s="88"/>
      <c r="P881" s="88"/>
      <c r="Q881" s="88"/>
      <c r="R881" s="88"/>
      <c r="S881" s="88"/>
      <c r="T881" s="88"/>
      <c r="U881" s="88"/>
      <c r="V881" s="88"/>
      <c r="W881" s="88"/>
      <c r="X881" s="88"/>
      <c r="Y881" s="88"/>
      <c r="Z881" s="88"/>
      <c r="AA881" s="88"/>
      <c r="AB881" s="128"/>
      <c r="AC881" s="128"/>
      <c r="AD881" s="128"/>
      <c r="AE881" s="128"/>
      <c r="AF881" s="128"/>
      <c r="AG881" s="128"/>
      <c r="AH881" s="127"/>
    </row>
    <row r="882" spans="1:34" ht="13.2">
      <c r="A882" s="88"/>
      <c r="B882" s="88"/>
      <c r="C882" s="88"/>
      <c r="D882" s="88"/>
      <c r="E882" s="88"/>
      <c r="F882" s="88"/>
      <c r="G882" s="88"/>
      <c r="H882" s="88"/>
      <c r="I882" s="88"/>
      <c r="J882" s="88"/>
      <c r="K882" s="88"/>
      <c r="L882" s="88"/>
      <c r="M882" s="88"/>
      <c r="N882" s="88"/>
      <c r="O882" s="88"/>
      <c r="P882" s="88"/>
      <c r="Q882" s="88"/>
      <c r="R882" s="88"/>
      <c r="S882" s="88"/>
      <c r="T882" s="88"/>
      <c r="U882" s="88"/>
      <c r="V882" s="88"/>
      <c r="W882" s="88"/>
      <c r="X882" s="88"/>
      <c r="Y882" s="88"/>
      <c r="Z882" s="88"/>
      <c r="AA882" s="88"/>
      <c r="AB882" s="128"/>
      <c r="AC882" s="128"/>
      <c r="AD882" s="128"/>
      <c r="AE882" s="128"/>
      <c r="AF882" s="128"/>
      <c r="AG882" s="128"/>
      <c r="AH882" s="127"/>
    </row>
    <row r="883" spans="1:34" ht="13.2">
      <c r="A883" s="88"/>
      <c r="B883" s="88"/>
      <c r="C883" s="88"/>
      <c r="D883" s="88"/>
      <c r="E883" s="88"/>
      <c r="F883" s="88"/>
      <c r="G883" s="88"/>
      <c r="H883" s="88"/>
      <c r="I883" s="88"/>
      <c r="J883" s="88"/>
      <c r="K883" s="88"/>
      <c r="L883" s="88"/>
      <c r="M883" s="88"/>
      <c r="N883" s="88"/>
      <c r="O883" s="88"/>
      <c r="P883" s="88"/>
      <c r="Q883" s="88"/>
      <c r="R883" s="88"/>
      <c r="S883" s="88"/>
      <c r="T883" s="88"/>
      <c r="U883" s="88"/>
      <c r="V883" s="88"/>
      <c r="W883" s="88"/>
      <c r="X883" s="88"/>
      <c r="Y883" s="88"/>
      <c r="Z883" s="88"/>
      <c r="AA883" s="88"/>
      <c r="AB883" s="128"/>
      <c r="AC883" s="128"/>
      <c r="AD883" s="128"/>
      <c r="AE883" s="128"/>
      <c r="AF883" s="128"/>
      <c r="AG883" s="128"/>
      <c r="AH883" s="127"/>
    </row>
    <row r="884" spans="1:34" ht="13.2">
      <c r="A884" s="88"/>
      <c r="B884" s="88"/>
      <c r="C884" s="88"/>
      <c r="D884" s="88"/>
      <c r="E884" s="88"/>
      <c r="F884" s="88"/>
      <c r="G884" s="88"/>
      <c r="H884" s="88"/>
      <c r="I884" s="88"/>
      <c r="J884" s="88"/>
      <c r="K884" s="88"/>
      <c r="L884" s="88"/>
      <c r="M884" s="88"/>
      <c r="N884" s="88"/>
      <c r="O884" s="88"/>
      <c r="P884" s="88"/>
      <c r="Q884" s="88"/>
      <c r="R884" s="88"/>
      <c r="S884" s="88"/>
      <c r="T884" s="88"/>
      <c r="U884" s="88"/>
      <c r="V884" s="88"/>
      <c r="W884" s="88"/>
      <c r="X884" s="88"/>
      <c r="Y884" s="88"/>
      <c r="Z884" s="88"/>
      <c r="AA884" s="88"/>
      <c r="AB884" s="128"/>
      <c r="AC884" s="128"/>
      <c r="AD884" s="128"/>
      <c r="AE884" s="128"/>
      <c r="AF884" s="128"/>
      <c r="AG884" s="128"/>
      <c r="AH884" s="127"/>
    </row>
    <row r="885" spans="1:34" ht="13.2">
      <c r="A885" s="88"/>
      <c r="B885" s="88"/>
      <c r="C885" s="88"/>
      <c r="D885" s="88"/>
      <c r="E885" s="88"/>
      <c r="F885" s="88"/>
      <c r="G885" s="88"/>
      <c r="H885" s="88"/>
      <c r="I885" s="88"/>
      <c r="J885" s="88"/>
      <c r="K885" s="88"/>
      <c r="L885" s="88"/>
      <c r="M885" s="88"/>
      <c r="N885" s="88"/>
      <c r="O885" s="88"/>
      <c r="P885" s="88"/>
      <c r="Q885" s="88"/>
      <c r="R885" s="88"/>
      <c r="S885" s="88"/>
      <c r="T885" s="88"/>
      <c r="U885" s="88"/>
      <c r="V885" s="88"/>
      <c r="W885" s="88"/>
      <c r="X885" s="88"/>
      <c r="Y885" s="88"/>
      <c r="Z885" s="88"/>
      <c r="AA885" s="88"/>
      <c r="AB885" s="128"/>
      <c r="AC885" s="128"/>
      <c r="AD885" s="128"/>
      <c r="AE885" s="128"/>
      <c r="AF885" s="128"/>
      <c r="AG885" s="128"/>
      <c r="AH885" s="127"/>
    </row>
    <row r="886" spans="1:34" ht="13.2">
      <c r="A886" s="88"/>
      <c r="B886" s="88"/>
      <c r="C886" s="88"/>
      <c r="D886" s="88"/>
      <c r="E886" s="88"/>
      <c r="F886" s="88"/>
      <c r="G886" s="88"/>
      <c r="H886" s="88"/>
      <c r="I886" s="88"/>
      <c r="J886" s="88"/>
      <c r="K886" s="88"/>
      <c r="L886" s="88"/>
      <c r="M886" s="88"/>
      <c r="N886" s="88"/>
      <c r="O886" s="88"/>
      <c r="P886" s="88"/>
      <c r="Q886" s="88"/>
      <c r="R886" s="88"/>
      <c r="S886" s="88"/>
      <c r="T886" s="88"/>
      <c r="U886" s="88"/>
      <c r="V886" s="88"/>
      <c r="W886" s="88"/>
      <c r="X886" s="88"/>
      <c r="Y886" s="88"/>
      <c r="Z886" s="88"/>
      <c r="AA886" s="88"/>
      <c r="AB886" s="128"/>
      <c r="AC886" s="128"/>
      <c r="AD886" s="128"/>
      <c r="AE886" s="128"/>
      <c r="AF886" s="128"/>
      <c r="AG886" s="128"/>
      <c r="AH886" s="127"/>
    </row>
    <row r="887" spans="1:34" ht="13.2">
      <c r="A887" s="88"/>
      <c r="B887" s="88"/>
      <c r="C887" s="88"/>
      <c r="D887" s="88"/>
      <c r="E887" s="88"/>
      <c r="F887" s="88"/>
      <c r="G887" s="88"/>
      <c r="H887" s="88"/>
      <c r="I887" s="88"/>
      <c r="J887" s="88"/>
      <c r="K887" s="88"/>
      <c r="L887" s="88"/>
      <c r="M887" s="88"/>
      <c r="N887" s="88"/>
      <c r="O887" s="88"/>
      <c r="P887" s="88"/>
      <c r="Q887" s="88"/>
      <c r="R887" s="88"/>
      <c r="S887" s="88"/>
      <c r="T887" s="88"/>
      <c r="U887" s="88"/>
      <c r="V887" s="88"/>
      <c r="W887" s="88"/>
      <c r="X887" s="88"/>
      <c r="Y887" s="88"/>
      <c r="Z887" s="88"/>
      <c r="AA887" s="88"/>
      <c r="AB887" s="128"/>
      <c r="AC887" s="128"/>
      <c r="AD887" s="128"/>
      <c r="AE887" s="128"/>
      <c r="AF887" s="128"/>
      <c r="AG887" s="128"/>
      <c r="AH887" s="127"/>
    </row>
    <row r="888" spans="1:34" ht="13.2">
      <c r="A888" s="88"/>
      <c r="B888" s="88"/>
      <c r="C888" s="88"/>
      <c r="D888" s="88"/>
      <c r="E888" s="88"/>
      <c r="F888" s="88"/>
      <c r="G888" s="88"/>
      <c r="H888" s="88"/>
      <c r="I888" s="88"/>
      <c r="J888" s="88"/>
      <c r="K888" s="88"/>
      <c r="L888" s="88"/>
      <c r="M888" s="88"/>
      <c r="N888" s="88"/>
      <c r="O888" s="88"/>
      <c r="P888" s="88"/>
      <c r="Q888" s="88"/>
      <c r="R888" s="88"/>
      <c r="S888" s="88"/>
      <c r="T888" s="88"/>
      <c r="U888" s="88"/>
      <c r="V888" s="88"/>
      <c r="W888" s="88"/>
      <c r="X888" s="88"/>
      <c r="Y888" s="88"/>
      <c r="Z888" s="88"/>
      <c r="AA888" s="88"/>
      <c r="AB888" s="128"/>
      <c r="AC888" s="128"/>
      <c r="AD888" s="128"/>
      <c r="AE888" s="128"/>
      <c r="AF888" s="128"/>
      <c r="AG888" s="128"/>
      <c r="AH888" s="127"/>
    </row>
    <row r="889" spans="1:34" ht="13.2">
      <c r="A889" s="88"/>
      <c r="B889" s="88"/>
      <c r="C889" s="88"/>
      <c r="D889" s="88"/>
      <c r="E889" s="88"/>
      <c r="F889" s="88"/>
      <c r="G889" s="88"/>
      <c r="H889" s="88"/>
      <c r="I889" s="88"/>
      <c r="J889" s="88"/>
      <c r="K889" s="88"/>
      <c r="L889" s="88"/>
      <c r="M889" s="88"/>
      <c r="N889" s="88"/>
      <c r="O889" s="88"/>
      <c r="P889" s="88"/>
      <c r="Q889" s="88"/>
      <c r="R889" s="88"/>
      <c r="S889" s="88"/>
      <c r="T889" s="88"/>
      <c r="U889" s="88"/>
      <c r="V889" s="88"/>
      <c r="W889" s="88"/>
      <c r="X889" s="88"/>
      <c r="Y889" s="88"/>
      <c r="Z889" s="88"/>
      <c r="AA889" s="88"/>
      <c r="AB889" s="128"/>
      <c r="AC889" s="128"/>
      <c r="AD889" s="128"/>
      <c r="AE889" s="128"/>
      <c r="AF889" s="128"/>
      <c r="AG889" s="128"/>
      <c r="AH889" s="127"/>
    </row>
    <row r="890" spans="1:34" ht="13.2">
      <c r="A890" s="88"/>
      <c r="B890" s="88"/>
      <c r="C890" s="88"/>
      <c r="D890" s="88"/>
      <c r="E890" s="88"/>
      <c r="F890" s="88"/>
      <c r="G890" s="88"/>
      <c r="H890" s="88"/>
      <c r="I890" s="88"/>
      <c r="J890" s="88"/>
      <c r="K890" s="88"/>
      <c r="L890" s="88"/>
      <c r="M890" s="88"/>
      <c r="N890" s="88"/>
      <c r="O890" s="88"/>
      <c r="P890" s="88"/>
      <c r="Q890" s="88"/>
      <c r="R890" s="88"/>
      <c r="S890" s="88"/>
      <c r="T890" s="88"/>
      <c r="U890" s="88"/>
      <c r="V890" s="88"/>
      <c r="W890" s="88"/>
      <c r="X890" s="88"/>
      <c r="Y890" s="88"/>
      <c r="Z890" s="88"/>
      <c r="AA890" s="88"/>
      <c r="AB890" s="128"/>
      <c r="AC890" s="128"/>
      <c r="AD890" s="128"/>
      <c r="AE890" s="128"/>
      <c r="AF890" s="128"/>
      <c r="AG890" s="128"/>
      <c r="AH890" s="127"/>
    </row>
    <row r="891" spans="1:34" ht="13.2">
      <c r="A891" s="88"/>
      <c r="B891" s="88"/>
      <c r="C891" s="88"/>
      <c r="D891" s="88"/>
      <c r="E891" s="88"/>
      <c r="F891" s="88"/>
      <c r="G891" s="88"/>
      <c r="H891" s="88"/>
      <c r="I891" s="88"/>
      <c r="J891" s="88"/>
      <c r="K891" s="88"/>
      <c r="L891" s="88"/>
      <c r="M891" s="88"/>
      <c r="N891" s="88"/>
      <c r="O891" s="88"/>
      <c r="P891" s="88"/>
      <c r="Q891" s="88"/>
      <c r="R891" s="88"/>
      <c r="S891" s="88"/>
      <c r="T891" s="88"/>
      <c r="U891" s="88"/>
      <c r="V891" s="88"/>
      <c r="W891" s="88"/>
      <c r="X891" s="88"/>
      <c r="Y891" s="88"/>
      <c r="Z891" s="88"/>
      <c r="AA891" s="88"/>
      <c r="AB891" s="128"/>
      <c r="AC891" s="128"/>
      <c r="AD891" s="128"/>
      <c r="AE891" s="128"/>
      <c r="AF891" s="128"/>
      <c r="AG891" s="128"/>
      <c r="AH891" s="127"/>
    </row>
    <row r="892" spans="1:34" ht="13.2">
      <c r="A892" s="88"/>
      <c r="B892" s="88"/>
      <c r="C892" s="88"/>
      <c r="D892" s="88"/>
      <c r="E892" s="88"/>
      <c r="F892" s="88"/>
      <c r="G892" s="88"/>
      <c r="H892" s="88"/>
      <c r="I892" s="88"/>
      <c r="J892" s="88"/>
      <c r="K892" s="88"/>
      <c r="L892" s="88"/>
      <c r="M892" s="88"/>
      <c r="N892" s="88"/>
      <c r="O892" s="88"/>
      <c r="P892" s="88"/>
      <c r="Q892" s="88"/>
      <c r="R892" s="88"/>
      <c r="S892" s="88"/>
      <c r="T892" s="88"/>
      <c r="U892" s="88"/>
      <c r="V892" s="88"/>
      <c r="W892" s="88"/>
      <c r="X892" s="88"/>
      <c r="Y892" s="88"/>
      <c r="Z892" s="88"/>
      <c r="AA892" s="88"/>
      <c r="AB892" s="128"/>
      <c r="AC892" s="128"/>
      <c r="AD892" s="128"/>
      <c r="AE892" s="128"/>
      <c r="AF892" s="128"/>
      <c r="AG892" s="128"/>
      <c r="AH892" s="127"/>
    </row>
    <row r="893" spans="1:34" ht="13.2">
      <c r="A893" s="88"/>
      <c r="B893" s="88"/>
      <c r="C893" s="88"/>
      <c r="D893" s="88"/>
      <c r="E893" s="88"/>
      <c r="F893" s="88"/>
      <c r="G893" s="88"/>
      <c r="H893" s="88"/>
      <c r="I893" s="88"/>
      <c r="J893" s="88"/>
      <c r="K893" s="88"/>
      <c r="L893" s="88"/>
      <c r="M893" s="88"/>
      <c r="N893" s="88"/>
      <c r="O893" s="88"/>
      <c r="P893" s="88"/>
      <c r="Q893" s="88"/>
      <c r="R893" s="88"/>
      <c r="S893" s="88"/>
      <c r="T893" s="88"/>
      <c r="U893" s="88"/>
      <c r="V893" s="88"/>
      <c r="W893" s="88"/>
      <c r="X893" s="88"/>
      <c r="Y893" s="88"/>
      <c r="Z893" s="88"/>
      <c r="AA893" s="88"/>
      <c r="AB893" s="128"/>
      <c r="AC893" s="128"/>
      <c r="AD893" s="128"/>
      <c r="AE893" s="128"/>
      <c r="AF893" s="128"/>
      <c r="AG893" s="128"/>
      <c r="AH893" s="127"/>
    </row>
    <row r="894" spans="1:34" ht="13.2">
      <c r="A894" s="88"/>
      <c r="B894" s="88"/>
      <c r="C894" s="88"/>
      <c r="D894" s="88"/>
      <c r="E894" s="88"/>
      <c r="F894" s="88"/>
      <c r="G894" s="88"/>
      <c r="H894" s="88"/>
      <c r="I894" s="88"/>
      <c r="J894" s="88"/>
      <c r="K894" s="88"/>
      <c r="L894" s="88"/>
      <c r="M894" s="88"/>
      <c r="N894" s="88"/>
      <c r="O894" s="88"/>
      <c r="P894" s="88"/>
      <c r="Q894" s="88"/>
      <c r="R894" s="88"/>
      <c r="S894" s="88"/>
      <c r="T894" s="88"/>
      <c r="U894" s="88"/>
      <c r="V894" s="88"/>
      <c r="W894" s="88"/>
      <c r="X894" s="88"/>
      <c r="Y894" s="88"/>
      <c r="Z894" s="88"/>
      <c r="AA894" s="88"/>
      <c r="AB894" s="128"/>
      <c r="AC894" s="128"/>
      <c r="AD894" s="128"/>
      <c r="AE894" s="128"/>
      <c r="AF894" s="128"/>
      <c r="AG894" s="128"/>
      <c r="AH894" s="127"/>
    </row>
    <row r="895" spans="1:34" ht="13.2">
      <c r="A895" s="88"/>
      <c r="B895" s="88"/>
      <c r="C895" s="88"/>
      <c r="D895" s="88"/>
      <c r="E895" s="88"/>
      <c r="F895" s="88"/>
      <c r="G895" s="88"/>
      <c r="H895" s="88"/>
      <c r="I895" s="88"/>
      <c r="J895" s="88"/>
      <c r="K895" s="88"/>
      <c r="L895" s="88"/>
      <c r="M895" s="88"/>
      <c r="N895" s="88"/>
      <c r="O895" s="88"/>
      <c r="P895" s="88"/>
      <c r="Q895" s="88"/>
      <c r="R895" s="88"/>
      <c r="S895" s="88"/>
      <c r="T895" s="88"/>
      <c r="U895" s="88"/>
      <c r="V895" s="88"/>
      <c r="W895" s="88"/>
      <c r="X895" s="88"/>
      <c r="Y895" s="88"/>
      <c r="Z895" s="88"/>
      <c r="AA895" s="88"/>
      <c r="AB895" s="128"/>
      <c r="AC895" s="128"/>
      <c r="AD895" s="128"/>
      <c r="AE895" s="128"/>
      <c r="AF895" s="128"/>
      <c r="AG895" s="128"/>
      <c r="AH895" s="127"/>
    </row>
    <row r="896" spans="1:34" ht="13.2">
      <c r="A896" s="88"/>
      <c r="B896" s="88"/>
      <c r="C896" s="88"/>
      <c r="D896" s="88"/>
      <c r="E896" s="88"/>
      <c r="F896" s="88"/>
      <c r="G896" s="88"/>
      <c r="H896" s="88"/>
      <c r="I896" s="88"/>
      <c r="J896" s="88"/>
      <c r="K896" s="88"/>
      <c r="L896" s="88"/>
      <c r="M896" s="88"/>
      <c r="N896" s="88"/>
      <c r="O896" s="88"/>
      <c r="P896" s="88"/>
      <c r="Q896" s="88"/>
      <c r="R896" s="88"/>
      <c r="S896" s="88"/>
      <c r="T896" s="88"/>
      <c r="U896" s="88"/>
      <c r="V896" s="88"/>
      <c r="W896" s="88"/>
      <c r="X896" s="88"/>
      <c r="Y896" s="88"/>
      <c r="Z896" s="88"/>
      <c r="AA896" s="88"/>
      <c r="AB896" s="128"/>
      <c r="AC896" s="128"/>
      <c r="AD896" s="128"/>
      <c r="AE896" s="128"/>
      <c r="AF896" s="128"/>
      <c r="AG896" s="128"/>
      <c r="AH896" s="127"/>
    </row>
    <row r="897" spans="1:34" ht="13.2">
      <c r="A897" s="88"/>
      <c r="B897" s="88"/>
      <c r="C897" s="88"/>
      <c r="D897" s="88"/>
      <c r="E897" s="88"/>
      <c r="F897" s="88"/>
      <c r="G897" s="88"/>
      <c r="H897" s="88"/>
      <c r="I897" s="88"/>
      <c r="J897" s="88"/>
      <c r="K897" s="88"/>
      <c r="L897" s="88"/>
      <c r="M897" s="88"/>
      <c r="N897" s="88"/>
      <c r="O897" s="88"/>
      <c r="P897" s="88"/>
      <c r="Q897" s="88"/>
      <c r="R897" s="88"/>
      <c r="S897" s="88"/>
      <c r="T897" s="88"/>
      <c r="U897" s="88"/>
      <c r="V897" s="88"/>
      <c r="W897" s="88"/>
      <c r="X897" s="88"/>
      <c r="Y897" s="88"/>
      <c r="Z897" s="88"/>
      <c r="AA897" s="88"/>
      <c r="AB897" s="128"/>
      <c r="AC897" s="128"/>
      <c r="AD897" s="128"/>
      <c r="AE897" s="128"/>
      <c r="AF897" s="128"/>
      <c r="AG897" s="128"/>
      <c r="AH897" s="127"/>
    </row>
    <row r="898" spans="1:34" ht="13.2">
      <c r="A898" s="88"/>
      <c r="B898" s="88"/>
      <c r="C898" s="88"/>
      <c r="D898" s="88"/>
      <c r="E898" s="88"/>
      <c r="F898" s="88"/>
      <c r="G898" s="88"/>
      <c r="H898" s="88"/>
      <c r="I898" s="88"/>
      <c r="J898" s="88"/>
      <c r="K898" s="88"/>
      <c r="L898" s="88"/>
      <c r="M898" s="88"/>
      <c r="N898" s="88"/>
      <c r="O898" s="88"/>
      <c r="P898" s="88"/>
      <c r="Q898" s="88"/>
      <c r="R898" s="88"/>
      <c r="S898" s="88"/>
      <c r="T898" s="88"/>
      <c r="U898" s="88"/>
      <c r="V898" s="88"/>
      <c r="W898" s="88"/>
      <c r="X898" s="88"/>
      <c r="Y898" s="88"/>
      <c r="Z898" s="88"/>
      <c r="AA898" s="88"/>
      <c r="AB898" s="128"/>
      <c r="AC898" s="128"/>
      <c r="AD898" s="128"/>
      <c r="AE898" s="128"/>
      <c r="AF898" s="128"/>
      <c r="AG898" s="128"/>
      <c r="AH898" s="127"/>
    </row>
    <row r="899" spans="1:34" ht="13.2">
      <c r="A899" s="88"/>
      <c r="B899" s="88"/>
      <c r="C899" s="88"/>
      <c r="D899" s="88"/>
      <c r="E899" s="88"/>
      <c r="F899" s="88"/>
      <c r="G899" s="88"/>
      <c r="H899" s="88"/>
      <c r="I899" s="88"/>
      <c r="J899" s="88"/>
      <c r="K899" s="88"/>
      <c r="L899" s="88"/>
      <c r="M899" s="88"/>
      <c r="N899" s="88"/>
      <c r="O899" s="88"/>
      <c r="P899" s="88"/>
      <c r="Q899" s="88"/>
      <c r="R899" s="88"/>
      <c r="S899" s="88"/>
      <c r="T899" s="88"/>
      <c r="U899" s="88"/>
      <c r="V899" s="88"/>
      <c r="W899" s="88"/>
      <c r="X899" s="88"/>
      <c r="Y899" s="88"/>
      <c r="Z899" s="88"/>
      <c r="AA899" s="88"/>
      <c r="AB899" s="128"/>
      <c r="AC899" s="128"/>
      <c r="AD899" s="128"/>
      <c r="AE899" s="128"/>
      <c r="AF899" s="128"/>
      <c r="AG899" s="128"/>
      <c r="AH899" s="127"/>
    </row>
    <row r="900" spans="1:34" ht="13.2">
      <c r="A900" s="88"/>
      <c r="B900" s="88"/>
      <c r="C900" s="88"/>
      <c r="D900" s="88"/>
      <c r="E900" s="88"/>
      <c r="F900" s="88"/>
      <c r="G900" s="88"/>
      <c r="H900" s="88"/>
      <c r="I900" s="88"/>
      <c r="J900" s="88"/>
      <c r="K900" s="88"/>
      <c r="L900" s="88"/>
      <c r="M900" s="88"/>
      <c r="N900" s="88"/>
      <c r="O900" s="88"/>
      <c r="P900" s="88"/>
      <c r="Q900" s="88"/>
      <c r="R900" s="88"/>
      <c r="S900" s="88"/>
      <c r="T900" s="88"/>
      <c r="U900" s="88"/>
      <c r="V900" s="88"/>
      <c r="W900" s="88"/>
      <c r="X900" s="88"/>
      <c r="Y900" s="88"/>
      <c r="Z900" s="88"/>
      <c r="AA900" s="88"/>
      <c r="AB900" s="128"/>
      <c r="AC900" s="128"/>
      <c r="AD900" s="128"/>
      <c r="AE900" s="128"/>
      <c r="AF900" s="128"/>
      <c r="AG900" s="128"/>
      <c r="AH900" s="127"/>
    </row>
    <row r="901" spans="1:34" ht="13.2">
      <c r="A901" s="88"/>
      <c r="B901" s="88"/>
      <c r="C901" s="88"/>
      <c r="D901" s="88"/>
      <c r="E901" s="88"/>
      <c r="F901" s="88"/>
      <c r="G901" s="88"/>
      <c r="H901" s="88"/>
      <c r="I901" s="88"/>
      <c r="J901" s="88"/>
      <c r="K901" s="88"/>
      <c r="L901" s="88"/>
      <c r="M901" s="88"/>
      <c r="N901" s="88"/>
      <c r="O901" s="88"/>
      <c r="P901" s="88"/>
      <c r="Q901" s="88"/>
      <c r="R901" s="88"/>
      <c r="S901" s="88"/>
      <c r="T901" s="88"/>
      <c r="U901" s="88"/>
      <c r="V901" s="88"/>
      <c r="W901" s="88"/>
      <c r="X901" s="88"/>
      <c r="Y901" s="88"/>
      <c r="Z901" s="88"/>
      <c r="AA901" s="88"/>
      <c r="AB901" s="128"/>
      <c r="AC901" s="128"/>
      <c r="AD901" s="128"/>
      <c r="AE901" s="128"/>
      <c r="AF901" s="128"/>
      <c r="AG901" s="128"/>
      <c r="AH901" s="127"/>
    </row>
    <row r="902" spans="1:34" ht="13.2">
      <c r="A902" s="88"/>
      <c r="B902" s="88"/>
      <c r="C902" s="88"/>
      <c r="D902" s="88"/>
      <c r="E902" s="88"/>
      <c r="F902" s="88"/>
      <c r="G902" s="88"/>
      <c r="H902" s="88"/>
      <c r="I902" s="88"/>
      <c r="J902" s="88"/>
      <c r="K902" s="88"/>
      <c r="L902" s="88"/>
      <c r="M902" s="88"/>
      <c r="N902" s="88"/>
      <c r="O902" s="88"/>
      <c r="P902" s="88"/>
      <c r="Q902" s="88"/>
      <c r="R902" s="88"/>
      <c r="S902" s="88"/>
      <c r="T902" s="88"/>
      <c r="U902" s="88"/>
      <c r="V902" s="88"/>
      <c r="W902" s="88"/>
      <c r="X902" s="88"/>
      <c r="Y902" s="88"/>
      <c r="Z902" s="88"/>
      <c r="AA902" s="88"/>
      <c r="AB902" s="128"/>
      <c r="AC902" s="128"/>
      <c r="AD902" s="128"/>
      <c r="AE902" s="128"/>
      <c r="AF902" s="128"/>
      <c r="AG902" s="128"/>
      <c r="AH902" s="127"/>
    </row>
    <row r="903" spans="1:34" ht="13.2">
      <c r="A903" s="88"/>
      <c r="B903" s="88"/>
      <c r="C903" s="88"/>
      <c r="D903" s="88"/>
      <c r="E903" s="88"/>
      <c r="F903" s="88"/>
      <c r="G903" s="88"/>
      <c r="H903" s="88"/>
      <c r="I903" s="88"/>
      <c r="J903" s="88"/>
      <c r="K903" s="88"/>
      <c r="L903" s="88"/>
      <c r="M903" s="88"/>
      <c r="N903" s="88"/>
      <c r="O903" s="88"/>
      <c r="P903" s="88"/>
      <c r="Q903" s="88"/>
      <c r="R903" s="88"/>
      <c r="S903" s="88"/>
      <c r="T903" s="88"/>
      <c r="U903" s="88"/>
      <c r="V903" s="88"/>
      <c r="W903" s="88"/>
      <c r="X903" s="88"/>
      <c r="Y903" s="88"/>
      <c r="Z903" s="88"/>
      <c r="AA903" s="88"/>
      <c r="AB903" s="128"/>
      <c r="AC903" s="128"/>
      <c r="AD903" s="128"/>
      <c r="AE903" s="128"/>
      <c r="AF903" s="128"/>
      <c r="AG903" s="128"/>
      <c r="AH903" s="127"/>
    </row>
    <row r="904" spans="1:34" ht="13.2">
      <c r="A904" s="88"/>
      <c r="B904" s="88"/>
      <c r="C904" s="88"/>
      <c r="D904" s="88"/>
      <c r="E904" s="88"/>
      <c r="F904" s="88"/>
      <c r="G904" s="88"/>
      <c r="H904" s="88"/>
      <c r="I904" s="88"/>
      <c r="J904" s="88"/>
      <c r="K904" s="88"/>
      <c r="L904" s="88"/>
      <c r="M904" s="88"/>
      <c r="N904" s="88"/>
      <c r="O904" s="88"/>
      <c r="P904" s="88"/>
      <c r="Q904" s="88"/>
      <c r="R904" s="88"/>
      <c r="S904" s="88"/>
      <c r="T904" s="88"/>
      <c r="U904" s="88"/>
      <c r="V904" s="88"/>
      <c r="W904" s="88"/>
      <c r="X904" s="88"/>
      <c r="Y904" s="88"/>
      <c r="Z904" s="88"/>
      <c r="AA904" s="88"/>
      <c r="AB904" s="128"/>
      <c r="AC904" s="128"/>
      <c r="AD904" s="128"/>
      <c r="AE904" s="128"/>
      <c r="AF904" s="128"/>
      <c r="AG904" s="128"/>
      <c r="AH904" s="127"/>
    </row>
    <row r="905" spans="1:34" ht="13.2">
      <c r="A905" s="88"/>
      <c r="B905" s="88"/>
      <c r="C905" s="88"/>
      <c r="D905" s="88"/>
      <c r="E905" s="88"/>
      <c r="F905" s="88"/>
      <c r="G905" s="88"/>
      <c r="H905" s="88"/>
      <c r="I905" s="88"/>
      <c r="J905" s="88"/>
      <c r="K905" s="88"/>
      <c r="L905" s="88"/>
      <c r="M905" s="88"/>
      <c r="N905" s="88"/>
      <c r="O905" s="88"/>
      <c r="P905" s="88"/>
      <c r="Q905" s="88"/>
      <c r="R905" s="88"/>
      <c r="S905" s="88"/>
      <c r="T905" s="88"/>
      <c r="U905" s="88"/>
      <c r="V905" s="88"/>
      <c r="W905" s="88"/>
      <c r="X905" s="88"/>
      <c r="Y905" s="88"/>
      <c r="Z905" s="88"/>
      <c r="AA905" s="88"/>
      <c r="AB905" s="128"/>
      <c r="AC905" s="128"/>
      <c r="AD905" s="128"/>
      <c r="AE905" s="128"/>
      <c r="AF905" s="128"/>
      <c r="AG905" s="128"/>
      <c r="AH905" s="127"/>
    </row>
    <row r="906" spans="1:34" ht="13.2">
      <c r="A906" s="88"/>
      <c r="B906" s="88"/>
      <c r="C906" s="88"/>
      <c r="D906" s="88"/>
      <c r="E906" s="88"/>
      <c r="F906" s="88"/>
      <c r="G906" s="88"/>
      <c r="H906" s="88"/>
      <c r="I906" s="88"/>
      <c r="J906" s="88"/>
      <c r="K906" s="88"/>
      <c r="L906" s="88"/>
      <c r="M906" s="88"/>
      <c r="N906" s="88"/>
      <c r="O906" s="88"/>
      <c r="P906" s="88"/>
      <c r="Q906" s="88"/>
      <c r="R906" s="88"/>
      <c r="S906" s="88"/>
      <c r="T906" s="88"/>
      <c r="U906" s="88"/>
      <c r="V906" s="88"/>
      <c r="W906" s="88"/>
      <c r="X906" s="88"/>
      <c r="Y906" s="88"/>
      <c r="Z906" s="88"/>
      <c r="AA906" s="88"/>
      <c r="AB906" s="128"/>
      <c r="AC906" s="128"/>
      <c r="AD906" s="128"/>
      <c r="AE906" s="128"/>
      <c r="AF906" s="128"/>
      <c r="AG906" s="128"/>
      <c r="AH906" s="127"/>
    </row>
    <row r="907" spans="1:34" ht="13.2">
      <c r="A907" s="88"/>
      <c r="B907" s="88"/>
      <c r="C907" s="88"/>
      <c r="D907" s="88"/>
      <c r="E907" s="88"/>
      <c r="F907" s="88"/>
      <c r="G907" s="88"/>
      <c r="H907" s="88"/>
      <c r="I907" s="88"/>
      <c r="J907" s="88"/>
      <c r="K907" s="88"/>
      <c r="L907" s="88"/>
      <c r="M907" s="88"/>
      <c r="N907" s="88"/>
      <c r="O907" s="88"/>
      <c r="P907" s="88"/>
      <c r="Q907" s="88"/>
      <c r="R907" s="88"/>
      <c r="S907" s="88"/>
      <c r="T907" s="88"/>
      <c r="U907" s="88"/>
      <c r="V907" s="88"/>
      <c r="W907" s="88"/>
      <c r="X907" s="88"/>
      <c r="Y907" s="88"/>
      <c r="Z907" s="88"/>
      <c r="AA907" s="88"/>
      <c r="AB907" s="128"/>
      <c r="AC907" s="128"/>
      <c r="AD907" s="128"/>
      <c r="AE907" s="128"/>
      <c r="AF907" s="128"/>
      <c r="AG907" s="128"/>
      <c r="AH907" s="127"/>
    </row>
    <row r="908" spans="1:34" ht="13.2">
      <c r="A908" s="88"/>
      <c r="B908" s="88"/>
      <c r="C908" s="88"/>
      <c r="D908" s="88"/>
      <c r="E908" s="88"/>
      <c r="F908" s="88"/>
      <c r="G908" s="88"/>
      <c r="H908" s="88"/>
      <c r="I908" s="88"/>
      <c r="J908" s="88"/>
      <c r="K908" s="88"/>
      <c r="L908" s="88"/>
      <c r="M908" s="88"/>
      <c r="N908" s="88"/>
      <c r="O908" s="88"/>
      <c r="P908" s="88"/>
      <c r="Q908" s="88"/>
      <c r="R908" s="88"/>
      <c r="S908" s="88"/>
      <c r="T908" s="88"/>
      <c r="U908" s="88"/>
      <c r="V908" s="88"/>
      <c r="W908" s="88"/>
      <c r="X908" s="88"/>
      <c r="Y908" s="88"/>
      <c r="Z908" s="88"/>
      <c r="AA908" s="88"/>
      <c r="AB908" s="128"/>
      <c r="AC908" s="128"/>
      <c r="AD908" s="128"/>
      <c r="AE908" s="128"/>
      <c r="AF908" s="128"/>
      <c r="AG908" s="128"/>
      <c r="AH908" s="127"/>
    </row>
    <row r="909" spans="1:34" ht="13.2">
      <c r="A909" s="88"/>
      <c r="B909" s="88"/>
      <c r="C909" s="88"/>
      <c r="D909" s="88"/>
      <c r="E909" s="88"/>
      <c r="F909" s="88"/>
      <c r="G909" s="88"/>
      <c r="H909" s="88"/>
      <c r="I909" s="88"/>
      <c r="J909" s="88"/>
      <c r="K909" s="88"/>
      <c r="L909" s="88"/>
      <c r="M909" s="88"/>
      <c r="N909" s="88"/>
      <c r="O909" s="88"/>
      <c r="P909" s="88"/>
      <c r="Q909" s="88"/>
      <c r="R909" s="88"/>
      <c r="S909" s="88"/>
      <c r="T909" s="88"/>
      <c r="U909" s="88"/>
      <c r="V909" s="88"/>
      <c r="W909" s="88"/>
      <c r="X909" s="88"/>
      <c r="Y909" s="88"/>
      <c r="Z909" s="88"/>
      <c r="AA909" s="88"/>
      <c r="AB909" s="128"/>
      <c r="AC909" s="128"/>
      <c r="AD909" s="128"/>
      <c r="AE909" s="128"/>
      <c r="AF909" s="128"/>
      <c r="AG909" s="128"/>
      <c r="AH909" s="127"/>
    </row>
    <row r="910" spans="1:34" ht="13.2">
      <c r="A910" s="88"/>
      <c r="B910" s="88"/>
      <c r="C910" s="88"/>
      <c r="D910" s="88"/>
      <c r="E910" s="88"/>
      <c r="F910" s="88"/>
      <c r="G910" s="88"/>
      <c r="H910" s="88"/>
      <c r="I910" s="88"/>
      <c r="J910" s="88"/>
      <c r="K910" s="88"/>
      <c r="L910" s="88"/>
      <c r="M910" s="88"/>
      <c r="N910" s="88"/>
      <c r="O910" s="88"/>
      <c r="P910" s="88"/>
      <c r="Q910" s="88"/>
      <c r="R910" s="88"/>
      <c r="S910" s="88"/>
      <c r="T910" s="88"/>
      <c r="U910" s="88"/>
      <c r="V910" s="88"/>
      <c r="W910" s="88"/>
      <c r="X910" s="88"/>
      <c r="Y910" s="88"/>
      <c r="Z910" s="88"/>
      <c r="AA910" s="88"/>
      <c r="AB910" s="128"/>
      <c r="AC910" s="128"/>
      <c r="AD910" s="128"/>
      <c r="AE910" s="128"/>
      <c r="AF910" s="128"/>
      <c r="AG910" s="128"/>
      <c r="AH910" s="127"/>
    </row>
    <row r="911" spans="1:34" ht="13.2">
      <c r="A911" s="88"/>
      <c r="B911" s="88"/>
      <c r="C911" s="88"/>
      <c r="D911" s="88"/>
      <c r="E911" s="88"/>
      <c r="F911" s="88"/>
      <c r="G911" s="88"/>
      <c r="H911" s="88"/>
      <c r="I911" s="88"/>
      <c r="J911" s="88"/>
      <c r="K911" s="88"/>
      <c r="L911" s="88"/>
      <c r="M911" s="88"/>
      <c r="N911" s="88"/>
      <c r="O911" s="88"/>
      <c r="P911" s="88"/>
      <c r="Q911" s="88"/>
      <c r="R911" s="88"/>
      <c r="S911" s="88"/>
      <c r="T911" s="88"/>
      <c r="U911" s="88"/>
      <c r="V911" s="88"/>
      <c r="W911" s="88"/>
      <c r="X911" s="88"/>
      <c r="Y911" s="88"/>
      <c r="Z911" s="88"/>
      <c r="AA911" s="88"/>
      <c r="AB911" s="128"/>
      <c r="AC911" s="128"/>
      <c r="AD911" s="128"/>
      <c r="AE911" s="128"/>
      <c r="AF911" s="128"/>
      <c r="AG911" s="128"/>
      <c r="AH911" s="127"/>
    </row>
    <row r="912" spans="1:34" ht="13.2">
      <c r="A912" s="88"/>
      <c r="B912" s="88"/>
      <c r="C912" s="88"/>
      <c r="D912" s="88"/>
      <c r="E912" s="88"/>
      <c r="F912" s="88"/>
      <c r="G912" s="88"/>
      <c r="H912" s="88"/>
      <c r="I912" s="88"/>
      <c r="J912" s="88"/>
      <c r="K912" s="88"/>
      <c r="L912" s="88"/>
      <c r="M912" s="88"/>
      <c r="N912" s="88"/>
      <c r="O912" s="88"/>
      <c r="P912" s="88"/>
      <c r="Q912" s="88"/>
      <c r="R912" s="88"/>
      <c r="S912" s="88"/>
      <c r="T912" s="88"/>
      <c r="U912" s="88"/>
      <c r="V912" s="88"/>
      <c r="W912" s="88"/>
      <c r="X912" s="88"/>
      <c r="Y912" s="88"/>
      <c r="Z912" s="88"/>
      <c r="AA912" s="88"/>
      <c r="AB912" s="128"/>
      <c r="AC912" s="128"/>
      <c r="AD912" s="128"/>
      <c r="AE912" s="128"/>
      <c r="AF912" s="128"/>
      <c r="AG912" s="128"/>
      <c r="AH912" s="127"/>
    </row>
    <row r="913" spans="1:34" ht="13.2">
      <c r="A913" s="88"/>
      <c r="B913" s="88"/>
      <c r="C913" s="88"/>
      <c r="D913" s="88"/>
      <c r="E913" s="88"/>
      <c r="F913" s="88"/>
      <c r="G913" s="88"/>
      <c r="H913" s="88"/>
      <c r="I913" s="88"/>
      <c r="J913" s="88"/>
      <c r="K913" s="88"/>
      <c r="L913" s="88"/>
      <c r="M913" s="88"/>
      <c r="N913" s="88"/>
      <c r="O913" s="88"/>
      <c r="P913" s="88"/>
      <c r="Q913" s="88"/>
      <c r="R913" s="88"/>
      <c r="S913" s="88"/>
      <c r="T913" s="88"/>
      <c r="U913" s="88"/>
      <c r="V913" s="88"/>
      <c r="W913" s="88"/>
      <c r="X913" s="88"/>
      <c r="Y913" s="88"/>
      <c r="Z913" s="88"/>
      <c r="AA913" s="88"/>
      <c r="AB913" s="128"/>
      <c r="AC913" s="128"/>
      <c r="AD913" s="128"/>
      <c r="AE913" s="128"/>
      <c r="AF913" s="128"/>
      <c r="AG913" s="128"/>
      <c r="AH913" s="127"/>
    </row>
    <row r="914" spans="1:34" ht="13.2">
      <c r="A914" s="88"/>
      <c r="B914" s="88"/>
      <c r="C914" s="88"/>
      <c r="D914" s="88"/>
      <c r="E914" s="88"/>
      <c r="F914" s="88"/>
      <c r="G914" s="88"/>
      <c r="H914" s="88"/>
      <c r="I914" s="88"/>
      <c r="J914" s="88"/>
      <c r="K914" s="88"/>
      <c r="L914" s="88"/>
      <c r="M914" s="88"/>
      <c r="N914" s="88"/>
      <c r="O914" s="88"/>
      <c r="P914" s="88"/>
      <c r="Q914" s="88"/>
      <c r="R914" s="88"/>
      <c r="S914" s="88"/>
      <c r="T914" s="88"/>
      <c r="U914" s="88"/>
      <c r="V914" s="88"/>
      <c r="W914" s="88"/>
      <c r="X914" s="88"/>
      <c r="Y914" s="88"/>
      <c r="Z914" s="88"/>
      <c r="AA914" s="88"/>
      <c r="AB914" s="128"/>
      <c r="AC914" s="128"/>
      <c r="AD914" s="128"/>
      <c r="AE914" s="128"/>
      <c r="AF914" s="128"/>
      <c r="AG914" s="128"/>
      <c r="AH914" s="127"/>
    </row>
    <row r="915" spans="1:34" ht="13.2">
      <c r="A915" s="88"/>
      <c r="B915" s="88"/>
      <c r="C915" s="88"/>
      <c r="D915" s="88"/>
      <c r="E915" s="88"/>
      <c r="F915" s="88"/>
      <c r="G915" s="88"/>
      <c r="H915" s="88"/>
      <c r="I915" s="88"/>
      <c r="J915" s="88"/>
      <c r="K915" s="88"/>
      <c r="L915" s="88"/>
      <c r="M915" s="88"/>
      <c r="N915" s="88"/>
      <c r="O915" s="88"/>
      <c r="P915" s="88"/>
      <c r="Q915" s="88"/>
      <c r="R915" s="88"/>
      <c r="S915" s="88"/>
      <c r="T915" s="88"/>
      <c r="U915" s="88"/>
      <c r="V915" s="88"/>
      <c r="W915" s="88"/>
      <c r="X915" s="88"/>
      <c r="Y915" s="88"/>
      <c r="Z915" s="88"/>
      <c r="AA915" s="88"/>
      <c r="AB915" s="128"/>
      <c r="AC915" s="128"/>
      <c r="AD915" s="128"/>
      <c r="AE915" s="128"/>
      <c r="AF915" s="128"/>
      <c r="AG915" s="128"/>
      <c r="AH915" s="127"/>
    </row>
    <row r="916" spans="1:34" ht="13.2">
      <c r="A916" s="88"/>
      <c r="B916" s="88"/>
      <c r="C916" s="88"/>
      <c r="D916" s="88"/>
      <c r="E916" s="88"/>
      <c r="F916" s="88"/>
      <c r="G916" s="88"/>
      <c r="H916" s="88"/>
      <c r="I916" s="88"/>
      <c r="J916" s="88"/>
      <c r="K916" s="88"/>
      <c r="L916" s="88"/>
      <c r="M916" s="88"/>
      <c r="N916" s="88"/>
      <c r="O916" s="88"/>
      <c r="P916" s="88"/>
      <c r="Q916" s="88"/>
      <c r="R916" s="88"/>
      <c r="S916" s="88"/>
      <c r="T916" s="88"/>
      <c r="U916" s="88"/>
      <c r="V916" s="88"/>
      <c r="W916" s="88"/>
      <c r="X916" s="88"/>
      <c r="Y916" s="88"/>
      <c r="Z916" s="88"/>
      <c r="AA916" s="88"/>
      <c r="AB916" s="128"/>
      <c r="AC916" s="128"/>
      <c r="AD916" s="128"/>
      <c r="AE916" s="128"/>
      <c r="AF916" s="128"/>
      <c r="AG916" s="128"/>
      <c r="AH916" s="127"/>
    </row>
    <row r="917" spans="1:34" ht="13.2">
      <c r="A917" s="88"/>
      <c r="B917" s="88"/>
      <c r="C917" s="88"/>
      <c r="D917" s="88"/>
      <c r="E917" s="88"/>
      <c r="F917" s="88"/>
      <c r="G917" s="88"/>
      <c r="H917" s="88"/>
      <c r="I917" s="88"/>
      <c r="J917" s="88"/>
      <c r="K917" s="88"/>
      <c r="L917" s="88"/>
      <c r="M917" s="88"/>
      <c r="N917" s="88"/>
      <c r="O917" s="88"/>
      <c r="P917" s="88"/>
      <c r="Q917" s="88"/>
      <c r="R917" s="88"/>
      <c r="S917" s="88"/>
      <c r="T917" s="88"/>
      <c r="U917" s="88"/>
      <c r="V917" s="88"/>
      <c r="W917" s="88"/>
      <c r="X917" s="88"/>
      <c r="Y917" s="88"/>
      <c r="Z917" s="88"/>
      <c r="AA917" s="88"/>
      <c r="AB917" s="128"/>
      <c r="AC917" s="128"/>
      <c r="AD917" s="128"/>
      <c r="AE917" s="128"/>
      <c r="AF917" s="128"/>
      <c r="AG917" s="128"/>
      <c r="AH917" s="127"/>
    </row>
    <row r="918" spans="1:34" ht="13.2">
      <c r="A918" s="88"/>
      <c r="B918" s="88"/>
      <c r="C918" s="88"/>
      <c r="D918" s="88"/>
      <c r="E918" s="88"/>
      <c r="F918" s="88"/>
      <c r="G918" s="88"/>
      <c r="H918" s="88"/>
      <c r="I918" s="88"/>
      <c r="J918" s="88"/>
      <c r="K918" s="88"/>
      <c r="L918" s="88"/>
      <c r="M918" s="88"/>
      <c r="N918" s="88"/>
      <c r="O918" s="88"/>
      <c r="P918" s="88"/>
      <c r="Q918" s="88"/>
      <c r="R918" s="88"/>
      <c r="S918" s="88"/>
      <c r="T918" s="88"/>
      <c r="U918" s="88"/>
      <c r="V918" s="88"/>
      <c r="W918" s="88"/>
      <c r="X918" s="88"/>
      <c r="Y918" s="88"/>
      <c r="Z918" s="88"/>
      <c r="AA918" s="88"/>
      <c r="AB918" s="128"/>
      <c r="AC918" s="128"/>
      <c r="AD918" s="128"/>
      <c r="AE918" s="128"/>
      <c r="AF918" s="128"/>
      <c r="AG918" s="128"/>
      <c r="AH918" s="127"/>
    </row>
    <row r="919" spans="1:34" ht="13.2">
      <c r="A919" s="88"/>
      <c r="B919" s="88"/>
      <c r="C919" s="88"/>
      <c r="D919" s="88"/>
      <c r="E919" s="88"/>
      <c r="F919" s="88"/>
      <c r="G919" s="88"/>
      <c r="H919" s="88"/>
      <c r="I919" s="88"/>
      <c r="J919" s="88"/>
      <c r="K919" s="88"/>
      <c r="L919" s="88"/>
      <c r="M919" s="88"/>
      <c r="N919" s="88"/>
      <c r="O919" s="88"/>
      <c r="P919" s="88"/>
      <c r="Q919" s="88"/>
      <c r="R919" s="88"/>
      <c r="S919" s="88"/>
      <c r="T919" s="88"/>
      <c r="U919" s="88"/>
      <c r="V919" s="88"/>
      <c r="W919" s="88"/>
      <c r="X919" s="88"/>
      <c r="Y919" s="88"/>
      <c r="Z919" s="88"/>
      <c r="AA919" s="88"/>
      <c r="AB919" s="128"/>
      <c r="AC919" s="128"/>
      <c r="AD919" s="128"/>
      <c r="AE919" s="128"/>
      <c r="AF919" s="128"/>
      <c r="AG919" s="128"/>
      <c r="AH919" s="127"/>
    </row>
    <row r="920" spans="1:34" ht="13.2">
      <c r="A920" s="88"/>
      <c r="B920" s="88"/>
      <c r="C920" s="88"/>
      <c r="D920" s="88"/>
      <c r="E920" s="88"/>
      <c r="F920" s="88"/>
      <c r="G920" s="88"/>
      <c r="H920" s="88"/>
      <c r="I920" s="88"/>
      <c r="J920" s="88"/>
      <c r="K920" s="88"/>
      <c r="L920" s="88"/>
      <c r="M920" s="88"/>
      <c r="N920" s="88"/>
      <c r="O920" s="88"/>
      <c r="P920" s="88"/>
      <c r="Q920" s="88"/>
      <c r="R920" s="88"/>
      <c r="S920" s="88"/>
      <c r="T920" s="88"/>
      <c r="U920" s="88"/>
      <c r="V920" s="88"/>
      <c r="W920" s="88"/>
      <c r="X920" s="88"/>
      <c r="Y920" s="88"/>
      <c r="Z920" s="88"/>
      <c r="AA920" s="88"/>
      <c r="AB920" s="128"/>
      <c r="AC920" s="128"/>
      <c r="AD920" s="128"/>
      <c r="AE920" s="128"/>
      <c r="AF920" s="128"/>
      <c r="AG920" s="128"/>
      <c r="AH920" s="127"/>
    </row>
    <row r="921" spans="1:34" ht="13.2">
      <c r="A921" s="88"/>
      <c r="B921" s="88"/>
      <c r="C921" s="88"/>
      <c r="D921" s="88"/>
      <c r="E921" s="88"/>
      <c r="F921" s="88"/>
      <c r="G921" s="88"/>
      <c r="H921" s="88"/>
      <c r="I921" s="88"/>
      <c r="J921" s="88"/>
      <c r="K921" s="88"/>
      <c r="L921" s="88"/>
      <c r="M921" s="88"/>
      <c r="N921" s="88"/>
      <c r="O921" s="88"/>
      <c r="P921" s="88"/>
      <c r="Q921" s="88"/>
      <c r="R921" s="88"/>
      <c r="S921" s="88"/>
      <c r="T921" s="88"/>
      <c r="U921" s="88"/>
      <c r="V921" s="88"/>
      <c r="W921" s="88"/>
      <c r="X921" s="88"/>
      <c r="Y921" s="88"/>
      <c r="Z921" s="88"/>
      <c r="AA921" s="88"/>
      <c r="AB921" s="128"/>
      <c r="AC921" s="128"/>
      <c r="AD921" s="128"/>
      <c r="AE921" s="128"/>
      <c r="AF921" s="128"/>
      <c r="AG921" s="128"/>
      <c r="AH921" s="127"/>
    </row>
    <row r="922" spans="1:34" ht="13.2">
      <c r="A922" s="88"/>
      <c r="B922" s="88"/>
      <c r="C922" s="88"/>
      <c r="D922" s="88"/>
      <c r="E922" s="88"/>
      <c r="F922" s="88"/>
      <c r="G922" s="88"/>
      <c r="H922" s="88"/>
      <c r="I922" s="88"/>
      <c r="J922" s="88"/>
      <c r="K922" s="88"/>
      <c r="L922" s="88"/>
      <c r="M922" s="88"/>
      <c r="N922" s="88"/>
      <c r="O922" s="88"/>
      <c r="P922" s="88"/>
      <c r="Q922" s="88"/>
      <c r="R922" s="88"/>
      <c r="S922" s="88"/>
      <c r="T922" s="88"/>
      <c r="U922" s="88"/>
      <c r="V922" s="88"/>
      <c r="W922" s="88"/>
      <c r="X922" s="88"/>
      <c r="Y922" s="88"/>
      <c r="Z922" s="88"/>
      <c r="AA922" s="88"/>
      <c r="AB922" s="128"/>
      <c r="AC922" s="128"/>
      <c r="AD922" s="128"/>
      <c r="AE922" s="128"/>
      <c r="AF922" s="128"/>
      <c r="AG922" s="128"/>
      <c r="AH922" s="127"/>
    </row>
    <row r="923" spans="1:34" ht="13.2">
      <c r="A923" s="88"/>
      <c r="B923" s="88"/>
      <c r="C923" s="88"/>
      <c r="D923" s="88"/>
      <c r="E923" s="88"/>
      <c r="F923" s="88"/>
      <c r="G923" s="88"/>
      <c r="H923" s="88"/>
      <c r="I923" s="88"/>
      <c r="J923" s="88"/>
      <c r="K923" s="88"/>
      <c r="L923" s="88"/>
      <c r="M923" s="88"/>
      <c r="N923" s="88"/>
      <c r="O923" s="88"/>
      <c r="P923" s="88"/>
      <c r="Q923" s="88"/>
      <c r="R923" s="88"/>
      <c r="S923" s="88"/>
      <c r="T923" s="88"/>
      <c r="U923" s="88"/>
      <c r="V923" s="88"/>
      <c r="W923" s="88"/>
      <c r="X923" s="88"/>
      <c r="Y923" s="88"/>
      <c r="Z923" s="88"/>
      <c r="AA923" s="88"/>
      <c r="AB923" s="128"/>
      <c r="AC923" s="128"/>
      <c r="AD923" s="128"/>
      <c r="AE923" s="128"/>
      <c r="AF923" s="128"/>
      <c r="AG923" s="128"/>
      <c r="AH923" s="127"/>
    </row>
    <row r="924" spans="1:34" ht="13.2">
      <c r="A924" s="88"/>
      <c r="B924" s="88"/>
      <c r="C924" s="88"/>
      <c r="D924" s="88"/>
      <c r="E924" s="88"/>
      <c r="F924" s="88"/>
      <c r="G924" s="88"/>
      <c r="H924" s="88"/>
      <c r="I924" s="88"/>
      <c r="J924" s="88"/>
      <c r="K924" s="88"/>
      <c r="L924" s="88"/>
      <c r="M924" s="88"/>
      <c r="N924" s="88"/>
      <c r="O924" s="88"/>
      <c r="P924" s="88"/>
      <c r="Q924" s="88"/>
      <c r="R924" s="88"/>
      <c r="S924" s="88"/>
      <c r="T924" s="88"/>
      <c r="U924" s="88"/>
      <c r="V924" s="88"/>
      <c r="W924" s="88"/>
      <c r="X924" s="88"/>
      <c r="Y924" s="88"/>
      <c r="Z924" s="88"/>
      <c r="AA924" s="88"/>
      <c r="AB924" s="128"/>
      <c r="AC924" s="128"/>
      <c r="AD924" s="128"/>
      <c r="AE924" s="128"/>
      <c r="AF924" s="128"/>
      <c r="AG924" s="128"/>
      <c r="AH924" s="127"/>
    </row>
    <row r="925" spans="1:34" ht="13.2">
      <c r="A925" s="88"/>
      <c r="B925" s="88"/>
      <c r="C925" s="88"/>
      <c r="D925" s="88"/>
      <c r="E925" s="88"/>
      <c r="F925" s="88"/>
      <c r="G925" s="88"/>
      <c r="H925" s="88"/>
      <c r="I925" s="88"/>
      <c r="J925" s="88"/>
      <c r="K925" s="88"/>
      <c r="L925" s="88"/>
      <c r="M925" s="88"/>
      <c r="N925" s="88"/>
      <c r="O925" s="88"/>
      <c r="P925" s="88"/>
      <c r="Q925" s="88"/>
      <c r="R925" s="88"/>
      <c r="S925" s="88"/>
      <c r="T925" s="88"/>
      <c r="U925" s="88"/>
      <c r="V925" s="88"/>
      <c r="W925" s="88"/>
      <c r="X925" s="88"/>
      <c r="Y925" s="88"/>
      <c r="Z925" s="88"/>
      <c r="AA925" s="88"/>
      <c r="AB925" s="128"/>
      <c r="AC925" s="128"/>
      <c r="AD925" s="128"/>
      <c r="AE925" s="128"/>
      <c r="AF925" s="128"/>
      <c r="AG925" s="128"/>
      <c r="AH925" s="127"/>
    </row>
    <row r="926" spans="1:34" ht="13.2">
      <c r="A926" s="88"/>
      <c r="B926" s="88"/>
      <c r="C926" s="88"/>
      <c r="D926" s="88"/>
      <c r="E926" s="88"/>
      <c r="F926" s="88"/>
      <c r="G926" s="88"/>
      <c r="H926" s="88"/>
      <c r="I926" s="88"/>
      <c r="J926" s="88"/>
      <c r="K926" s="88"/>
      <c r="L926" s="88"/>
      <c r="M926" s="88"/>
      <c r="N926" s="88"/>
      <c r="O926" s="88"/>
      <c r="P926" s="88"/>
      <c r="Q926" s="88"/>
      <c r="R926" s="88"/>
      <c r="S926" s="88"/>
      <c r="T926" s="88"/>
      <c r="U926" s="88"/>
      <c r="V926" s="88"/>
      <c r="W926" s="88"/>
      <c r="X926" s="88"/>
      <c r="Y926" s="88"/>
      <c r="Z926" s="88"/>
      <c r="AA926" s="88"/>
      <c r="AB926" s="128"/>
      <c r="AC926" s="128"/>
      <c r="AD926" s="128"/>
      <c r="AE926" s="128"/>
      <c r="AF926" s="128"/>
      <c r="AG926" s="128"/>
      <c r="AH926" s="127"/>
    </row>
    <row r="927" spans="1:34" ht="13.2">
      <c r="A927" s="88"/>
      <c r="B927" s="88"/>
      <c r="C927" s="88"/>
      <c r="D927" s="88"/>
      <c r="E927" s="88"/>
      <c r="F927" s="88"/>
      <c r="G927" s="88"/>
      <c r="H927" s="88"/>
      <c r="I927" s="88"/>
      <c r="J927" s="88"/>
      <c r="K927" s="88"/>
      <c r="L927" s="88"/>
      <c r="M927" s="88"/>
      <c r="N927" s="88"/>
      <c r="O927" s="88"/>
      <c r="P927" s="88"/>
      <c r="Q927" s="88"/>
      <c r="R927" s="88"/>
      <c r="S927" s="88"/>
      <c r="T927" s="88"/>
      <c r="U927" s="88"/>
      <c r="V927" s="88"/>
      <c r="W927" s="88"/>
      <c r="X927" s="88"/>
      <c r="Y927" s="88"/>
      <c r="Z927" s="88"/>
      <c r="AA927" s="88"/>
      <c r="AB927" s="128"/>
      <c r="AC927" s="128"/>
      <c r="AD927" s="128"/>
      <c r="AE927" s="128"/>
      <c r="AF927" s="128"/>
      <c r="AG927" s="128"/>
      <c r="AH927" s="127"/>
    </row>
    <row r="928" spans="1:34" ht="13.2">
      <c r="A928" s="88"/>
      <c r="B928" s="88"/>
      <c r="C928" s="88"/>
      <c r="D928" s="88"/>
      <c r="E928" s="88"/>
      <c r="F928" s="88"/>
      <c r="G928" s="88"/>
      <c r="H928" s="88"/>
      <c r="I928" s="88"/>
      <c r="J928" s="88"/>
      <c r="K928" s="88"/>
      <c r="L928" s="88"/>
      <c r="M928" s="88"/>
      <c r="N928" s="88"/>
      <c r="O928" s="88"/>
      <c r="P928" s="88"/>
      <c r="Q928" s="88"/>
      <c r="R928" s="88"/>
      <c r="S928" s="88"/>
      <c r="T928" s="88"/>
      <c r="U928" s="88"/>
      <c r="V928" s="88"/>
      <c r="W928" s="88"/>
      <c r="X928" s="88"/>
      <c r="Y928" s="88"/>
      <c r="Z928" s="88"/>
      <c r="AA928" s="88"/>
      <c r="AB928" s="128"/>
      <c r="AC928" s="128"/>
      <c r="AD928" s="128"/>
      <c r="AE928" s="128"/>
      <c r="AF928" s="128"/>
      <c r="AG928" s="128"/>
      <c r="AH928" s="127"/>
    </row>
    <row r="929" spans="1:34" ht="13.2">
      <c r="A929" s="88"/>
      <c r="B929" s="88"/>
      <c r="C929" s="88"/>
      <c r="D929" s="88"/>
      <c r="E929" s="88"/>
      <c r="F929" s="88"/>
      <c r="G929" s="88"/>
      <c r="H929" s="88"/>
      <c r="I929" s="88"/>
      <c r="J929" s="88"/>
      <c r="K929" s="88"/>
      <c r="L929" s="88"/>
      <c r="M929" s="88"/>
      <c r="N929" s="88"/>
      <c r="O929" s="88"/>
      <c r="P929" s="88"/>
      <c r="Q929" s="88"/>
      <c r="R929" s="88"/>
      <c r="S929" s="88"/>
      <c r="T929" s="88"/>
      <c r="U929" s="88"/>
      <c r="V929" s="88"/>
      <c r="W929" s="88"/>
      <c r="X929" s="88"/>
      <c r="Y929" s="88"/>
      <c r="Z929" s="88"/>
      <c r="AA929" s="88"/>
      <c r="AB929" s="128"/>
      <c r="AC929" s="128"/>
      <c r="AD929" s="128"/>
      <c r="AE929" s="128"/>
      <c r="AF929" s="128"/>
      <c r="AG929" s="128"/>
      <c r="AH929" s="127"/>
    </row>
    <row r="930" spans="1:34" ht="13.2">
      <c r="A930" s="88"/>
      <c r="B930" s="88"/>
      <c r="C930" s="88"/>
      <c r="D930" s="88"/>
      <c r="E930" s="88"/>
      <c r="F930" s="88"/>
      <c r="G930" s="88"/>
      <c r="H930" s="88"/>
      <c r="I930" s="88"/>
      <c r="J930" s="88"/>
      <c r="K930" s="88"/>
      <c r="L930" s="88"/>
      <c r="M930" s="88"/>
      <c r="N930" s="88"/>
      <c r="O930" s="88"/>
      <c r="P930" s="88"/>
      <c r="Q930" s="88"/>
      <c r="R930" s="88"/>
      <c r="S930" s="88"/>
      <c r="T930" s="88"/>
      <c r="U930" s="88"/>
      <c r="V930" s="88"/>
      <c r="W930" s="88"/>
      <c r="X930" s="88"/>
      <c r="Y930" s="88"/>
      <c r="Z930" s="88"/>
      <c r="AA930" s="88"/>
      <c r="AB930" s="128"/>
      <c r="AC930" s="128"/>
      <c r="AD930" s="128"/>
      <c r="AE930" s="128"/>
      <c r="AF930" s="128"/>
      <c r="AG930" s="128"/>
      <c r="AH930" s="127"/>
    </row>
    <row r="931" spans="1:34" ht="13.2">
      <c r="A931" s="88"/>
      <c r="B931" s="88"/>
      <c r="C931" s="88"/>
      <c r="D931" s="88"/>
      <c r="E931" s="88"/>
      <c r="F931" s="88"/>
      <c r="G931" s="88"/>
      <c r="H931" s="88"/>
      <c r="I931" s="88"/>
      <c r="J931" s="88"/>
      <c r="K931" s="88"/>
      <c r="L931" s="88"/>
      <c r="M931" s="88"/>
      <c r="N931" s="88"/>
      <c r="O931" s="88"/>
      <c r="P931" s="88"/>
      <c r="Q931" s="88"/>
      <c r="R931" s="88"/>
      <c r="S931" s="88"/>
      <c r="T931" s="88"/>
      <c r="U931" s="88"/>
      <c r="V931" s="88"/>
      <c r="W931" s="88"/>
      <c r="X931" s="88"/>
      <c r="Y931" s="88"/>
      <c r="Z931" s="88"/>
      <c r="AA931" s="88"/>
      <c r="AB931" s="128"/>
      <c r="AC931" s="128"/>
      <c r="AD931" s="128"/>
      <c r="AE931" s="128"/>
      <c r="AF931" s="128"/>
      <c r="AG931" s="128"/>
      <c r="AH931" s="127"/>
    </row>
    <row r="932" spans="1:34" ht="13.2">
      <c r="A932" s="88"/>
      <c r="B932" s="88"/>
      <c r="C932" s="88"/>
      <c r="D932" s="88"/>
      <c r="E932" s="88"/>
      <c r="F932" s="88"/>
      <c r="G932" s="88"/>
      <c r="H932" s="88"/>
      <c r="I932" s="88"/>
      <c r="J932" s="88"/>
      <c r="K932" s="88"/>
      <c r="L932" s="88"/>
      <c r="M932" s="88"/>
      <c r="N932" s="88"/>
      <c r="O932" s="88"/>
      <c r="P932" s="88"/>
      <c r="Q932" s="88"/>
      <c r="R932" s="88"/>
      <c r="S932" s="88"/>
      <c r="T932" s="88"/>
      <c r="U932" s="88"/>
      <c r="V932" s="88"/>
      <c r="W932" s="88"/>
      <c r="X932" s="88"/>
      <c r="Y932" s="88"/>
      <c r="Z932" s="88"/>
      <c r="AA932" s="88"/>
      <c r="AB932" s="128"/>
      <c r="AC932" s="128"/>
      <c r="AD932" s="128"/>
      <c r="AE932" s="128"/>
      <c r="AF932" s="128"/>
      <c r="AG932" s="128"/>
      <c r="AH932" s="127"/>
    </row>
    <row r="933" spans="1:34" ht="13.2">
      <c r="A933" s="88"/>
      <c r="B933" s="88"/>
      <c r="C933" s="88"/>
      <c r="D933" s="88"/>
      <c r="E933" s="88"/>
      <c r="F933" s="88"/>
      <c r="G933" s="88"/>
      <c r="H933" s="88"/>
      <c r="I933" s="88"/>
      <c r="J933" s="88"/>
      <c r="K933" s="88"/>
      <c r="L933" s="88"/>
      <c r="M933" s="88"/>
      <c r="N933" s="88"/>
      <c r="O933" s="88"/>
      <c r="P933" s="88"/>
      <c r="Q933" s="88"/>
      <c r="R933" s="88"/>
      <c r="S933" s="88"/>
      <c r="T933" s="88"/>
      <c r="U933" s="88"/>
      <c r="V933" s="88"/>
      <c r="W933" s="88"/>
      <c r="X933" s="88"/>
      <c r="Y933" s="88"/>
      <c r="Z933" s="88"/>
      <c r="AA933" s="88"/>
      <c r="AB933" s="128"/>
      <c r="AC933" s="128"/>
      <c r="AD933" s="128"/>
      <c r="AE933" s="128"/>
      <c r="AF933" s="128"/>
      <c r="AG933" s="128"/>
      <c r="AH933" s="127"/>
    </row>
    <row r="934" spans="1:34" ht="13.2">
      <c r="A934" s="88"/>
      <c r="B934" s="88"/>
      <c r="C934" s="88"/>
      <c r="D934" s="88"/>
      <c r="E934" s="88"/>
      <c r="F934" s="88"/>
      <c r="G934" s="88"/>
      <c r="H934" s="88"/>
      <c r="I934" s="88"/>
      <c r="J934" s="88"/>
      <c r="K934" s="88"/>
      <c r="L934" s="88"/>
      <c r="M934" s="88"/>
      <c r="N934" s="88"/>
      <c r="O934" s="88"/>
      <c r="P934" s="88"/>
      <c r="Q934" s="88"/>
      <c r="R934" s="88"/>
      <c r="S934" s="88"/>
      <c r="T934" s="88"/>
      <c r="U934" s="88"/>
      <c r="V934" s="88"/>
      <c r="W934" s="88"/>
      <c r="X934" s="88"/>
      <c r="Y934" s="88"/>
      <c r="Z934" s="88"/>
      <c r="AA934" s="88"/>
      <c r="AB934" s="128"/>
      <c r="AC934" s="128"/>
      <c r="AD934" s="128"/>
      <c r="AE934" s="128"/>
      <c r="AF934" s="128"/>
      <c r="AG934" s="128"/>
      <c r="AH934" s="127"/>
    </row>
    <row r="935" spans="1:34" ht="13.2">
      <c r="A935" s="88"/>
      <c r="B935" s="88"/>
      <c r="C935" s="88"/>
      <c r="D935" s="88"/>
      <c r="E935" s="88"/>
      <c r="F935" s="88"/>
      <c r="G935" s="88"/>
      <c r="H935" s="88"/>
      <c r="I935" s="88"/>
      <c r="J935" s="88"/>
      <c r="K935" s="88"/>
      <c r="L935" s="88"/>
      <c r="M935" s="88"/>
      <c r="N935" s="88"/>
      <c r="O935" s="88"/>
      <c r="P935" s="88"/>
      <c r="Q935" s="88"/>
      <c r="R935" s="88"/>
      <c r="S935" s="88"/>
      <c r="T935" s="88"/>
      <c r="U935" s="88"/>
      <c r="V935" s="88"/>
      <c r="W935" s="88"/>
      <c r="X935" s="88"/>
      <c r="Y935" s="88"/>
      <c r="Z935" s="88"/>
      <c r="AA935" s="88"/>
      <c r="AB935" s="128"/>
      <c r="AC935" s="128"/>
      <c r="AD935" s="128"/>
      <c r="AE935" s="128"/>
      <c r="AF935" s="128"/>
      <c r="AG935" s="128"/>
      <c r="AH935" s="127"/>
    </row>
    <row r="936" spans="1:34" ht="13.2">
      <c r="A936" s="88"/>
      <c r="B936" s="88"/>
      <c r="C936" s="88"/>
      <c r="D936" s="88"/>
      <c r="E936" s="88"/>
      <c r="F936" s="88"/>
      <c r="G936" s="88"/>
      <c r="H936" s="88"/>
      <c r="I936" s="88"/>
      <c r="J936" s="88"/>
      <c r="K936" s="88"/>
      <c r="L936" s="88"/>
      <c r="M936" s="88"/>
      <c r="N936" s="88"/>
      <c r="O936" s="88"/>
      <c r="P936" s="88"/>
      <c r="Q936" s="88"/>
      <c r="R936" s="88"/>
      <c r="S936" s="88"/>
      <c r="T936" s="88"/>
      <c r="U936" s="88"/>
      <c r="V936" s="88"/>
      <c r="W936" s="88"/>
      <c r="X936" s="88"/>
      <c r="Y936" s="88"/>
      <c r="Z936" s="88"/>
      <c r="AA936" s="88"/>
      <c r="AB936" s="128"/>
      <c r="AC936" s="128"/>
      <c r="AD936" s="128"/>
      <c r="AE936" s="128"/>
      <c r="AF936" s="128"/>
      <c r="AG936" s="128"/>
      <c r="AH936" s="127"/>
    </row>
    <row r="937" spans="1:34" ht="13.2">
      <c r="A937" s="88"/>
      <c r="B937" s="88"/>
      <c r="C937" s="88"/>
      <c r="D937" s="88"/>
      <c r="E937" s="88"/>
      <c r="F937" s="88"/>
      <c r="G937" s="88"/>
      <c r="H937" s="88"/>
      <c r="I937" s="88"/>
      <c r="J937" s="88"/>
      <c r="K937" s="88"/>
      <c r="L937" s="88"/>
      <c r="M937" s="88"/>
      <c r="N937" s="88"/>
      <c r="O937" s="88"/>
      <c r="P937" s="88"/>
      <c r="Q937" s="88"/>
      <c r="R937" s="88"/>
      <c r="S937" s="88"/>
      <c r="T937" s="88"/>
      <c r="U937" s="88"/>
      <c r="V937" s="88"/>
      <c r="W937" s="88"/>
      <c r="X937" s="88"/>
      <c r="Y937" s="88"/>
      <c r="Z937" s="88"/>
      <c r="AA937" s="88"/>
      <c r="AB937" s="128"/>
      <c r="AC937" s="128"/>
      <c r="AD937" s="128"/>
      <c r="AE937" s="128"/>
      <c r="AF937" s="128"/>
      <c r="AG937" s="128"/>
      <c r="AH937" s="127"/>
    </row>
    <row r="938" spans="1:34" ht="13.2">
      <c r="A938" s="88"/>
      <c r="B938" s="88"/>
      <c r="C938" s="88"/>
      <c r="D938" s="88"/>
      <c r="E938" s="88"/>
      <c r="F938" s="88"/>
      <c r="G938" s="88"/>
      <c r="H938" s="88"/>
      <c r="I938" s="88"/>
      <c r="J938" s="88"/>
      <c r="K938" s="88"/>
      <c r="L938" s="88"/>
      <c r="M938" s="88"/>
      <c r="N938" s="88"/>
      <c r="O938" s="88"/>
      <c r="P938" s="88"/>
      <c r="Q938" s="88"/>
      <c r="R938" s="88"/>
      <c r="S938" s="88"/>
      <c r="T938" s="88"/>
      <c r="U938" s="88"/>
      <c r="V938" s="88"/>
      <c r="W938" s="88"/>
      <c r="X938" s="88"/>
      <c r="Y938" s="88"/>
      <c r="Z938" s="88"/>
      <c r="AA938" s="88"/>
      <c r="AB938" s="128"/>
      <c r="AC938" s="128"/>
      <c r="AD938" s="128"/>
      <c r="AE938" s="128"/>
      <c r="AF938" s="128"/>
      <c r="AG938" s="128"/>
      <c r="AH938" s="127"/>
    </row>
    <row r="939" spans="1:34" ht="13.2">
      <c r="A939" s="88"/>
      <c r="B939" s="88"/>
      <c r="C939" s="88"/>
      <c r="D939" s="88"/>
      <c r="E939" s="88"/>
      <c r="F939" s="88"/>
      <c r="G939" s="88"/>
      <c r="H939" s="88"/>
      <c r="I939" s="88"/>
      <c r="J939" s="88"/>
      <c r="K939" s="88"/>
      <c r="L939" s="88"/>
      <c r="M939" s="88"/>
      <c r="N939" s="88"/>
      <c r="O939" s="88"/>
      <c r="P939" s="88"/>
      <c r="Q939" s="88"/>
      <c r="R939" s="88"/>
      <c r="S939" s="88"/>
      <c r="T939" s="88"/>
      <c r="U939" s="88"/>
      <c r="V939" s="88"/>
      <c r="W939" s="88"/>
      <c r="X939" s="88"/>
      <c r="Y939" s="88"/>
      <c r="Z939" s="88"/>
      <c r="AA939" s="88"/>
      <c r="AB939" s="128"/>
      <c r="AC939" s="128"/>
      <c r="AD939" s="128"/>
      <c r="AE939" s="128"/>
      <c r="AF939" s="128"/>
      <c r="AG939" s="128"/>
      <c r="AH939" s="127"/>
    </row>
    <row r="940" spans="1:34" ht="13.2">
      <c r="A940" s="88"/>
      <c r="B940" s="88"/>
      <c r="C940" s="88"/>
      <c r="D940" s="88"/>
      <c r="E940" s="88"/>
      <c r="F940" s="88"/>
      <c r="G940" s="88"/>
      <c r="H940" s="88"/>
      <c r="I940" s="88"/>
      <c r="J940" s="88"/>
      <c r="K940" s="88"/>
      <c r="L940" s="88"/>
      <c r="M940" s="88"/>
      <c r="N940" s="88"/>
      <c r="O940" s="88"/>
      <c r="P940" s="88"/>
      <c r="Q940" s="88"/>
      <c r="R940" s="88"/>
      <c r="S940" s="88"/>
      <c r="T940" s="88"/>
      <c r="U940" s="88"/>
      <c r="V940" s="88"/>
      <c r="W940" s="88"/>
      <c r="X940" s="88"/>
      <c r="Y940" s="88"/>
      <c r="Z940" s="88"/>
      <c r="AA940" s="88"/>
      <c r="AB940" s="128"/>
      <c r="AC940" s="128"/>
      <c r="AD940" s="128"/>
      <c r="AE940" s="128"/>
      <c r="AF940" s="128"/>
      <c r="AG940" s="128"/>
      <c r="AH940" s="127"/>
    </row>
    <row r="941" spans="1:34" ht="13.2">
      <c r="A941" s="88"/>
      <c r="B941" s="88"/>
      <c r="C941" s="88"/>
      <c r="D941" s="88"/>
      <c r="E941" s="88"/>
      <c r="F941" s="88"/>
      <c r="G941" s="88"/>
      <c r="H941" s="88"/>
      <c r="I941" s="88"/>
      <c r="J941" s="88"/>
      <c r="K941" s="88"/>
      <c r="L941" s="88"/>
      <c r="M941" s="88"/>
      <c r="N941" s="88"/>
      <c r="O941" s="88"/>
      <c r="P941" s="88"/>
      <c r="Q941" s="88"/>
      <c r="R941" s="88"/>
      <c r="S941" s="88"/>
      <c r="T941" s="88"/>
      <c r="U941" s="88"/>
      <c r="V941" s="88"/>
      <c r="W941" s="88"/>
      <c r="X941" s="88"/>
      <c r="Y941" s="88"/>
      <c r="Z941" s="88"/>
      <c r="AA941" s="88"/>
      <c r="AB941" s="128"/>
      <c r="AC941" s="128"/>
      <c r="AD941" s="128"/>
      <c r="AE941" s="128"/>
      <c r="AF941" s="128"/>
      <c r="AG941" s="128"/>
      <c r="AH941" s="127"/>
    </row>
    <row r="942" spans="1:34" ht="13.2">
      <c r="A942" s="88"/>
      <c r="B942" s="88"/>
      <c r="C942" s="88"/>
      <c r="D942" s="88"/>
      <c r="E942" s="88"/>
      <c r="F942" s="88"/>
      <c r="G942" s="88"/>
      <c r="H942" s="88"/>
      <c r="I942" s="88"/>
      <c r="J942" s="88"/>
      <c r="K942" s="88"/>
      <c r="L942" s="88"/>
      <c r="M942" s="88"/>
      <c r="N942" s="88"/>
      <c r="O942" s="88"/>
      <c r="P942" s="88"/>
      <c r="Q942" s="88"/>
      <c r="R942" s="88"/>
      <c r="S942" s="88"/>
      <c r="T942" s="88"/>
      <c r="U942" s="88"/>
      <c r="V942" s="88"/>
      <c r="W942" s="88"/>
      <c r="X942" s="88"/>
      <c r="Y942" s="88"/>
      <c r="Z942" s="88"/>
      <c r="AA942" s="88"/>
      <c r="AB942" s="128"/>
      <c r="AC942" s="128"/>
      <c r="AD942" s="128"/>
      <c r="AE942" s="128"/>
      <c r="AF942" s="128"/>
      <c r="AG942" s="128"/>
      <c r="AH942" s="127"/>
    </row>
    <row r="943" spans="1:34" ht="13.2">
      <c r="A943" s="88"/>
      <c r="B943" s="88"/>
      <c r="C943" s="88"/>
      <c r="D943" s="88"/>
      <c r="E943" s="88"/>
      <c r="F943" s="88"/>
      <c r="G943" s="88"/>
      <c r="H943" s="88"/>
      <c r="I943" s="88"/>
      <c r="J943" s="88"/>
      <c r="K943" s="88"/>
      <c r="L943" s="88"/>
      <c r="M943" s="88"/>
      <c r="N943" s="88"/>
      <c r="O943" s="88"/>
      <c r="P943" s="88"/>
      <c r="Q943" s="88"/>
      <c r="R943" s="88"/>
      <c r="S943" s="88"/>
      <c r="T943" s="88"/>
      <c r="U943" s="88"/>
      <c r="V943" s="88"/>
      <c r="W943" s="88"/>
      <c r="X943" s="88"/>
      <c r="Y943" s="88"/>
      <c r="Z943" s="88"/>
      <c r="AA943" s="88"/>
      <c r="AB943" s="128"/>
      <c r="AC943" s="128"/>
      <c r="AD943" s="128"/>
      <c r="AE943" s="128"/>
      <c r="AF943" s="128"/>
      <c r="AG943" s="128"/>
      <c r="AH943" s="127"/>
    </row>
    <row r="944" spans="1:34" ht="13.2">
      <c r="A944" s="88"/>
      <c r="B944" s="88"/>
      <c r="C944" s="88"/>
      <c r="D944" s="88"/>
      <c r="E944" s="88"/>
      <c r="F944" s="88"/>
      <c r="G944" s="88"/>
      <c r="H944" s="88"/>
      <c r="I944" s="88"/>
      <c r="J944" s="88"/>
      <c r="K944" s="88"/>
      <c r="L944" s="88"/>
      <c r="M944" s="88"/>
      <c r="N944" s="88"/>
      <c r="O944" s="88"/>
      <c r="P944" s="88"/>
      <c r="Q944" s="88"/>
      <c r="R944" s="88"/>
      <c r="S944" s="88"/>
      <c r="T944" s="88"/>
      <c r="U944" s="88"/>
      <c r="V944" s="88"/>
      <c r="W944" s="88"/>
      <c r="X944" s="88"/>
      <c r="Y944" s="88"/>
      <c r="Z944" s="88"/>
      <c r="AA944" s="88"/>
      <c r="AB944" s="128"/>
      <c r="AC944" s="128"/>
      <c r="AD944" s="128"/>
      <c r="AE944" s="128"/>
      <c r="AF944" s="128"/>
      <c r="AG944" s="128"/>
      <c r="AH944" s="127"/>
    </row>
    <row r="945" spans="1:34" ht="13.2">
      <c r="A945" s="88"/>
      <c r="B945" s="88"/>
      <c r="C945" s="88"/>
      <c r="D945" s="88"/>
      <c r="E945" s="88"/>
      <c r="F945" s="88"/>
      <c r="G945" s="88"/>
      <c r="H945" s="88"/>
      <c r="I945" s="88"/>
      <c r="J945" s="88"/>
      <c r="K945" s="88"/>
      <c r="L945" s="88"/>
      <c r="M945" s="88"/>
      <c r="N945" s="88"/>
      <c r="O945" s="88"/>
      <c r="P945" s="88"/>
      <c r="Q945" s="88"/>
      <c r="R945" s="88"/>
      <c r="S945" s="88"/>
      <c r="T945" s="88"/>
      <c r="U945" s="88"/>
      <c r="V945" s="88"/>
      <c r="W945" s="88"/>
      <c r="X945" s="88"/>
      <c r="Y945" s="88"/>
      <c r="Z945" s="88"/>
      <c r="AA945" s="88"/>
      <c r="AB945" s="128"/>
      <c r="AC945" s="128"/>
      <c r="AD945" s="128"/>
      <c r="AE945" s="128"/>
      <c r="AF945" s="128"/>
      <c r="AG945" s="128"/>
      <c r="AH945" s="127"/>
    </row>
    <row r="946" spans="1:34" ht="13.2">
      <c r="A946" s="88"/>
      <c r="B946" s="88"/>
      <c r="C946" s="88"/>
      <c r="D946" s="88"/>
      <c r="E946" s="88"/>
      <c r="F946" s="88"/>
      <c r="G946" s="88"/>
      <c r="H946" s="88"/>
      <c r="I946" s="88"/>
      <c r="J946" s="88"/>
      <c r="K946" s="88"/>
      <c r="L946" s="88"/>
      <c r="M946" s="88"/>
      <c r="N946" s="88"/>
      <c r="O946" s="88"/>
      <c r="P946" s="88"/>
      <c r="Q946" s="88"/>
      <c r="R946" s="88"/>
      <c r="S946" s="88"/>
      <c r="T946" s="88"/>
      <c r="U946" s="88"/>
      <c r="V946" s="88"/>
      <c r="W946" s="88"/>
      <c r="X946" s="88"/>
      <c r="Y946" s="88"/>
      <c r="Z946" s="88"/>
      <c r="AA946" s="88"/>
      <c r="AB946" s="128"/>
      <c r="AC946" s="128"/>
      <c r="AD946" s="128"/>
      <c r="AE946" s="128"/>
      <c r="AF946" s="128"/>
      <c r="AG946" s="128"/>
      <c r="AH946" s="127"/>
    </row>
    <row r="947" spans="1:34" ht="13.2">
      <c r="A947" s="88"/>
      <c r="B947" s="88"/>
      <c r="C947" s="88"/>
      <c r="D947" s="88"/>
      <c r="E947" s="88"/>
      <c r="F947" s="88"/>
      <c r="G947" s="88"/>
      <c r="H947" s="88"/>
      <c r="I947" s="88"/>
      <c r="J947" s="88"/>
      <c r="K947" s="88"/>
      <c r="L947" s="88"/>
      <c r="M947" s="88"/>
      <c r="N947" s="88"/>
      <c r="O947" s="88"/>
      <c r="P947" s="88"/>
      <c r="Q947" s="88"/>
      <c r="R947" s="88"/>
      <c r="S947" s="88"/>
      <c r="T947" s="88"/>
      <c r="U947" s="88"/>
      <c r="V947" s="88"/>
      <c r="W947" s="88"/>
      <c r="X947" s="88"/>
      <c r="Y947" s="88"/>
      <c r="Z947" s="88"/>
      <c r="AA947" s="88"/>
      <c r="AB947" s="128"/>
      <c r="AC947" s="128"/>
      <c r="AD947" s="128"/>
      <c r="AE947" s="128"/>
      <c r="AF947" s="128"/>
      <c r="AG947" s="128"/>
      <c r="AH947" s="127"/>
    </row>
    <row r="948" spans="1:34" ht="13.2">
      <c r="A948" s="88"/>
      <c r="B948" s="88"/>
      <c r="C948" s="88"/>
      <c r="D948" s="88"/>
      <c r="E948" s="88"/>
      <c r="F948" s="88"/>
      <c r="G948" s="88"/>
      <c r="H948" s="88"/>
      <c r="I948" s="88"/>
      <c r="J948" s="88"/>
      <c r="K948" s="88"/>
      <c r="L948" s="88"/>
      <c r="M948" s="88"/>
      <c r="N948" s="88"/>
      <c r="O948" s="88"/>
      <c r="P948" s="88"/>
      <c r="Q948" s="88"/>
      <c r="R948" s="88"/>
      <c r="S948" s="88"/>
      <c r="T948" s="88"/>
      <c r="U948" s="88"/>
      <c r="V948" s="88"/>
      <c r="W948" s="88"/>
      <c r="X948" s="88"/>
      <c r="Y948" s="88"/>
      <c r="Z948" s="88"/>
      <c r="AA948" s="88"/>
      <c r="AB948" s="128"/>
      <c r="AC948" s="128"/>
      <c r="AD948" s="128"/>
      <c r="AE948" s="128"/>
      <c r="AF948" s="128"/>
      <c r="AG948" s="128"/>
      <c r="AH948" s="127"/>
    </row>
    <row r="949" spans="1:34" ht="13.2">
      <c r="A949" s="88"/>
      <c r="B949" s="88"/>
      <c r="C949" s="88"/>
      <c r="D949" s="88"/>
      <c r="E949" s="88"/>
      <c r="F949" s="88"/>
      <c r="G949" s="88"/>
      <c r="H949" s="88"/>
      <c r="I949" s="88"/>
      <c r="J949" s="88"/>
      <c r="K949" s="88"/>
      <c r="L949" s="88"/>
      <c r="M949" s="88"/>
      <c r="N949" s="88"/>
      <c r="O949" s="88"/>
      <c r="P949" s="88"/>
      <c r="Q949" s="88"/>
      <c r="R949" s="88"/>
      <c r="S949" s="88"/>
      <c r="T949" s="88"/>
      <c r="U949" s="88"/>
      <c r="V949" s="88"/>
      <c r="W949" s="88"/>
      <c r="X949" s="88"/>
      <c r="Y949" s="88"/>
      <c r="Z949" s="88"/>
      <c r="AA949" s="88"/>
      <c r="AB949" s="128"/>
      <c r="AC949" s="128"/>
      <c r="AD949" s="128"/>
      <c r="AE949" s="128"/>
      <c r="AF949" s="128"/>
      <c r="AG949" s="128"/>
      <c r="AH949" s="127"/>
    </row>
    <row r="950" spans="1:34" ht="13.2">
      <c r="A950" s="88"/>
      <c r="B950" s="88"/>
      <c r="C950" s="88"/>
      <c r="D950" s="88"/>
      <c r="E950" s="88"/>
      <c r="F950" s="88"/>
      <c r="G950" s="88"/>
      <c r="H950" s="88"/>
      <c r="I950" s="88"/>
      <c r="J950" s="88"/>
      <c r="K950" s="88"/>
      <c r="L950" s="88"/>
      <c r="M950" s="88"/>
      <c r="N950" s="88"/>
      <c r="O950" s="88"/>
      <c r="P950" s="88"/>
      <c r="Q950" s="88"/>
      <c r="R950" s="88"/>
      <c r="S950" s="88"/>
      <c r="T950" s="88"/>
      <c r="U950" s="88"/>
      <c r="V950" s="88"/>
      <c r="W950" s="88"/>
      <c r="X950" s="88"/>
      <c r="Y950" s="88"/>
      <c r="Z950" s="88"/>
      <c r="AA950" s="88"/>
      <c r="AB950" s="128"/>
      <c r="AC950" s="128"/>
      <c r="AD950" s="128"/>
      <c r="AE950" s="128"/>
      <c r="AF950" s="128"/>
      <c r="AG950" s="128"/>
      <c r="AH950" s="127"/>
    </row>
    <row r="951" spans="1:34" ht="13.2">
      <c r="A951" s="88"/>
      <c r="B951" s="88"/>
      <c r="C951" s="88"/>
      <c r="D951" s="88"/>
      <c r="E951" s="88"/>
      <c r="F951" s="88"/>
      <c r="G951" s="88"/>
      <c r="H951" s="88"/>
      <c r="I951" s="88"/>
      <c r="J951" s="88"/>
      <c r="K951" s="88"/>
      <c r="L951" s="88"/>
      <c r="M951" s="88"/>
      <c r="N951" s="88"/>
      <c r="O951" s="88"/>
      <c r="P951" s="88"/>
      <c r="Q951" s="88"/>
      <c r="R951" s="88"/>
      <c r="S951" s="88"/>
      <c r="T951" s="88"/>
      <c r="U951" s="88"/>
      <c r="V951" s="88"/>
      <c r="W951" s="88"/>
      <c r="X951" s="88"/>
      <c r="Y951" s="88"/>
      <c r="Z951" s="88"/>
      <c r="AA951" s="88"/>
      <c r="AB951" s="128"/>
      <c r="AC951" s="128"/>
      <c r="AD951" s="128"/>
      <c r="AE951" s="128"/>
      <c r="AF951" s="128"/>
      <c r="AG951" s="128"/>
      <c r="AH951" s="127"/>
    </row>
    <row r="952" spans="1:34" ht="13.2">
      <c r="A952" s="88"/>
      <c r="B952" s="88"/>
      <c r="C952" s="88"/>
      <c r="D952" s="88"/>
      <c r="E952" s="88"/>
      <c r="F952" s="88"/>
      <c r="G952" s="88"/>
      <c r="H952" s="88"/>
      <c r="I952" s="88"/>
      <c r="J952" s="88"/>
      <c r="K952" s="88"/>
      <c r="L952" s="88"/>
      <c r="M952" s="88"/>
      <c r="N952" s="88"/>
      <c r="O952" s="88"/>
      <c r="P952" s="88"/>
      <c r="Q952" s="88"/>
      <c r="R952" s="88"/>
      <c r="S952" s="88"/>
      <c r="T952" s="88"/>
      <c r="U952" s="88"/>
      <c r="V952" s="88"/>
      <c r="W952" s="88"/>
      <c r="X952" s="88"/>
      <c r="Y952" s="88"/>
      <c r="Z952" s="88"/>
      <c r="AA952" s="88"/>
      <c r="AB952" s="128"/>
      <c r="AC952" s="128"/>
      <c r="AD952" s="128"/>
      <c r="AE952" s="128"/>
      <c r="AF952" s="128"/>
      <c r="AG952" s="128"/>
      <c r="AH952" s="127"/>
    </row>
    <row r="953" spans="1:34" ht="13.2">
      <c r="A953" s="88"/>
      <c r="B953" s="88"/>
      <c r="C953" s="88"/>
      <c r="D953" s="88"/>
      <c r="E953" s="88"/>
      <c r="F953" s="88"/>
      <c r="G953" s="88"/>
      <c r="H953" s="88"/>
      <c r="I953" s="88"/>
      <c r="J953" s="88"/>
      <c r="K953" s="88"/>
      <c r="L953" s="88"/>
      <c r="M953" s="88"/>
      <c r="N953" s="88"/>
      <c r="O953" s="88"/>
      <c r="P953" s="88"/>
      <c r="Q953" s="88"/>
      <c r="R953" s="88"/>
      <c r="S953" s="88"/>
      <c r="T953" s="88"/>
      <c r="U953" s="88"/>
      <c r="V953" s="88"/>
      <c r="W953" s="88"/>
      <c r="X953" s="88"/>
      <c r="Y953" s="88"/>
      <c r="Z953" s="88"/>
      <c r="AA953" s="88"/>
      <c r="AB953" s="128"/>
      <c r="AC953" s="128"/>
      <c r="AD953" s="128"/>
      <c r="AE953" s="128"/>
      <c r="AF953" s="128"/>
      <c r="AG953" s="128"/>
      <c r="AH953" s="127"/>
    </row>
    <row r="954" spans="1:34" ht="13.2">
      <c r="A954" s="88"/>
      <c r="B954" s="88"/>
      <c r="C954" s="88"/>
      <c r="D954" s="88"/>
      <c r="E954" s="88"/>
      <c r="F954" s="88"/>
      <c r="G954" s="88"/>
      <c r="H954" s="88"/>
      <c r="I954" s="88"/>
      <c r="J954" s="88"/>
      <c r="K954" s="88"/>
      <c r="L954" s="88"/>
      <c r="M954" s="88"/>
      <c r="N954" s="88"/>
      <c r="O954" s="88"/>
      <c r="P954" s="88"/>
      <c r="Q954" s="88"/>
      <c r="R954" s="88"/>
      <c r="S954" s="88"/>
      <c r="T954" s="88"/>
      <c r="U954" s="88"/>
      <c r="V954" s="88"/>
      <c r="W954" s="88"/>
      <c r="X954" s="88"/>
      <c r="Y954" s="88"/>
      <c r="Z954" s="88"/>
      <c r="AA954" s="88"/>
      <c r="AB954" s="128"/>
      <c r="AC954" s="128"/>
      <c r="AD954" s="128"/>
      <c r="AE954" s="128"/>
      <c r="AF954" s="128"/>
      <c r="AG954" s="128"/>
      <c r="AH954" s="127"/>
    </row>
    <row r="955" spans="1:34" ht="13.2">
      <c r="A955" s="88"/>
      <c r="B955" s="88"/>
      <c r="C955" s="88"/>
      <c r="D955" s="88"/>
      <c r="E955" s="88"/>
      <c r="F955" s="88"/>
      <c r="G955" s="88"/>
      <c r="H955" s="88"/>
      <c r="I955" s="88"/>
      <c r="J955" s="88"/>
      <c r="K955" s="88"/>
      <c r="L955" s="88"/>
      <c r="M955" s="88"/>
      <c r="N955" s="88"/>
      <c r="O955" s="88"/>
      <c r="P955" s="88"/>
      <c r="Q955" s="88"/>
      <c r="R955" s="88"/>
      <c r="S955" s="88"/>
      <c r="T955" s="88"/>
      <c r="U955" s="88"/>
      <c r="V955" s="88"/>
      <c r="W955" s="88"/>
      <c r="X955" s="88"/>
      <c r="Y955" s="88"/>
      <c r="Z955" s="88"/>
      <c r="AA955" s="88"/>
      <c r="AB955" s="128"/>
      <c r="AC955" s="128"/>
      <c r="AD955" s="128"/>
      <c r="AE955" s="128"/>
      <c r="AF955" s="128"/>
      <c r="AG955" s="128"/>
      <c r="AH955" s="127"/>
    </row>
    <row r="956" spans="1:34" ht="13.2">
      <c r="A956" s="88"/>
      <c r="B956" s="88"/>
      <c r="C956" s="88"/>
      <c r="D956" s="88"/>
      <c r="E956" s="88"/>
      <c r="F956" s="88"/>
      <c r="G956" s="88"/>
      <c r="H956" s="88"/>
      <c r="I956" s="88"/>
      <c r="J956" s="88"/>
      <c r="K956" s="88"/>
      <c r="L956" s="88"/>
      <c r="M956" s="88"/>
      <c r="N956" s="88"/>
      <c r="O956" s="88"/>
      <c r="P956" s="88"/>
      <c r="Q956" s="88"/>
      <c r="R956" s="88"/>
      <c r="S956" s="88"/>
      <c r="T956" s="88"/>
      <c r="U956" s="88"/>
      <c r="V956" s="88"/>
      <c r="W956" s="88"/>
      <c r="X956" s="88"/>
      <c r="Y956" s="88"/>
      <c r="Z956" s="88"/>
      <c r="AA956" s="88"/>
      <c r="AB956" s="128"/>
      <c r="AC956" s="128"/>
      <c r="AD956" s="128"/>
      <c r="AE956" s="128"/>
      <c r="AF956" s="128"/>
      <c r="AG956" s="128"/>
      <c r="AH956" s="127"/>
    </row>
    <row r="957" spans="1:34" ht="13.2">
      <c r="A957" s="88"/>
      <c r="B957" s="88"/>
      <c r="C957" s="88"/>
      <c r="D957" s="88"/>
      <c r="E957" s="88"/>
      <c r="F957" s="88"/>
      <c r="G957" s="88"/>
      <c r="H957" s="88"/>
      <c r="I957" s="88"/>
      <c r="J957" s="88"/>
      <c r="K957" s="88"/>
      <c r="L957" s="88"/>
      <c r="M957" s="88"/>
      <c r="N957" s="88"/>
      <c r="O957" s="88"/>
      <c r="P957" s="88"/>
      <c r="Q957" s="88"/>
      <c r="R957" s="88"/>
      <c r="S957" s="88"/>
      <c r="T957" s="88"/>
      <c r="U957" s="88"/>
      <c r="V957" s="88"/>
      <c r="W957" s="88"/>
      <c r="X957" s="88"/>
      <c r="Y957" s="88"/>
      <c r="Z957" s="88"/>
      <c r="AA957" s="88"/>
      <c r="AB957" s="128"/>
      <c r="AC957" s="128"/>
      <c r="AD957" s="128"/>
      <c r="AE957" s="128"/>
      <c r="AF957" s="128"/>
      <c r="AG957" s="128"/>
      <c r="AH957" s="127"/>
    </row>
    <row r="958" spans="1:34" ht="13.2">
      <c r="A958" s="88"/>
      <c r="B958" s="88"/>
      <c r="C958" s="88"/>
      <c r="D958" s="88"/>
      <c r="E958" s="88"/>
      <c r="F958" s="88"/>
      <c r="G958" s="88"/>
      <c r="H958" s="88"/>
      <c r="I958" s="88"/>
      <c r="J958" s="88"/>
      <c r="K958" s="88"/>
      <c r="L958" s="88"/>
      <c r="M958" s="88"/>
      <c r="N958" s="88"/>
      <c r="O958" s="88"/>
      <c r="P958" s="88"/>
      <c r="Q958" s="88"/>
      <c r="R958" s="88"/>
      <c r="S958" s="88"/>
      <c r="T958" s="88"/>
      <c r="U958" s="88"/>
      <c r="V958" s="88"/>
      <c r="W958" s="88"/>
      <c r="X958" s="88"/>
      <c r="Y958" s="88"/>
      <c r="Z958" s="88"/>
      <c r="AA958" s="88"/>
      <c r="AB958" s="128"/>
      <c r="AC958" s="128"/>
      <c r="AD958" s="128"/>
      <c r="AE958" s="128"/>
      <c r="AF958" s="128"/>
      <c r="AG958" s="128"/>
      <c r="AH958" s="127"/>
    </row>
    <row r="959" spans="1:34" ht="13.2">
      <c r="A959" s="88"/>
      <c r="B959" s="88"/>
      <c r="C959" s="88"/>
      <c r="D959" s="88"/>
      <c r="E959" s="88"/>
      <c r="F959" s="88"/>
      <c r="G959" s="88"/>
      <c r="H959" s="88"/>
      <c r="I959" s="88"/>
      <c r="J959" s="88"/>
      <c r="K959" s="88"/>
      <c r="L959" s="88"/>
      <c r="M959" s="88"/>
      <c r="N959" s="88"/>
      <c r="O959" s="88"/>
      <c r="P959" s="88"/>
      <c r="Q959" s="88"/>
      <c r="R959" s="88"/>
      <c r="S959" s="88"/>
      <c r="T959" s="88"/>
      <c r="U959" s="88"/>
      <c r="V959" s="88"/>
      <c r="W959" s="88"/>
      <c r="X959" s="88"/>
      <c r="Y959" s="88"/>
      <c r="Z959" s="88"/>
      <c r="AA959" s="88"/>
      <c r="AB959" s="128"/>
      <c r="AC959" s="128"/>
      <c r="AD959" s="128"/>
      <c r="AE959" s="128"/>
      <c r="AF959" s="128"/>
      <c r="AG959" s="128"/>
      <c r="AH959" s="127"/>
    </row>
    <row r="960" spans="1:34" ht="13.2">
      <c r="A960" s="88"/>
      <c r="B960" s="88"/>
      <c r="C960" s="88"/>
      <c r="D960" s="88"/>
      <c r="E960" s="88"/>
      <c r="F960" s="88"/>
      <c r="G960" s="88"/>
      <c r="H960" s="88"/>
      <c r="I960" s="88"/>
      <c r="J960" s="88"/>
      <c r="K960" s="88"/>
      <c r="L960" s="88"/>
      <c r="M960" s="88"/>
      <c r="N960" s="88"/>
      <c r="O960" s="88"/>
      <c r="P960" s="88"/>
      <c r="Q960" s="88"/>
      <c r="R960" s="88"/>
      <c r="S960" s="88"/>
      <c r="T960" s="88"/>
      <c r="U960" s="88"/>
      <c r="V960" s="88"/>
      <c r="W960" s="88"/>
      <c r="X960" s="88"/>
      <c r="Y960" s="88"/>
      <c r="Z960" s="88"/>
      <c r="AA960" s="88"/>
      <c r="AB960" s="128"/>
      <c r="AC960" s="128"/>
      <c r="AD960" s="128"/>
      <c r="AE960" s="128"/>
      <c r="AF960" s="128"/>
      <c r="AG960" s="128"/>
      <c r="AH960" s="127"/>
    </row>
    <row r="961" spans="1:34" ht="13.2">
      <c r="A961" s="88"/>
      <c r="B961" s="88"/>
      <c r="C961" s="88"/>
      <c r="D961" s="88"/>
      <c r="E961" s="88"/>
      <c r="F961" s="88"/>
      <c r="G961" s="88"/>
      <c r="H961" s="88"/>
      <c r="I961" s="88"/>
      <c r="J961" s="88"/>
      <c r="K961" s="88"/>
      <c r="L961" s="88"/>
      <c r="M961" s="88"/>
      <c r="N961" s="88"/>
      <c r="O961" s="88"/>
      <c r="P961" s="88"/>
      <c r="Q961" s="88"/>
      <c r="R961" s="88"/>
      <c r="S961" s="88"/>
      <c r="T961" s="88"/>
      <c r="U961" s="88"/>
      <c r="V961" s="88"/>
      <c r="W961" s="88"/>
      <c r="X961" s="88"/>
      <c r="Y961" s="88"/>
      <c r="Z961" s="88"/>
      <c r="AA961" s="88"/>
      <c r="AB961" s="128"/>
      <c r="AC961" s="128"/>
      <c r="AD961" s="128"/>
      <c r="AE961" s="128"/>
      <c r="AF961" s="128"/>
      <c r="AG961" s="128"/>
      <c r="AH961" s="127"/>
    </row>
    <row r="962" spans="1:34" ht="13.2">
      <c r="A962" s="88"/>
      <c r="B962" s="88"/>
      <c r="C962" s="88"/>
      <c r="D962" s="88"/>
      <c r="E962" s="88"/>
      <c r="F962" s="88"/>
      <c r="G962" s="88"/>
      <c r="H962" s="88"/>
      <c r="I962" s="88"/>
      <c r="J962" s="88"/>
      <c r="K962" s="88"/>
      <c r="L962" s="88"/>
      <c r="M962" s="88"/>
      <c r="N962" s="88"/>
      <c r="O962" s="88"/>
      <c r="P962" s="88"/>
      <c r="Q962" s="88"/>
      <c r="R962" s="88"/>
      <c r="S962" s="88"/>
      <c r="T962" s="88"/>
      <c r="U962" s="88"/>
      <c r="V962" s="88"/>
      <c r="W962" s="88"/>
      <c r="X962" s="88"/>
      <c r="Y962" s="88"/>
      <c r="Z962" s="88"/>
      <c r="AA962" s="88"/>
      <c r="AB962" s="128"/>
      <c r="AC962" s="128"/>
      <c r="AD962" s="128"/>
      <c r="AE962" s="128"/>
      <c r="AF962" s="128"/>
      <c r="AG962" s="128"/>
      <c r="AH962" s="127"/>
    </row>
    <row r="963" spans="1:34" ht="13.2">
      <c r="A963" s="88"/>
      <c r="B963" s="88"/>
      <c r="C963" s="88"/>
      <c r="D963" s="88"/>
      <c r="E963" s="88"/>
      <c r="F963" s="88"/>
      <c r="G963" s="88"/>
      <c r="H963" s="88"/>
      <c r="I963" s="88"/>
      <c r="J963" s="88"/>
      <c r="K963" s="88"/>
      <c r="L963" s="88"/>
      <c r="M963" s="88"/>
      <c r="N963" s="88"/>
      <c r="O963" s="88"/>
      <c r="P963" s="88"/>
      <c r="Q963" s="88"/>
      <c r="R963" s="88"/>
      <c r="S963" s="88"/>
      <c r="T963" s="88"/>
      <c r="U963" s="88"/>
      <c r="V963" s="88"/>
      <c r="W963" s="88"/>
      <c r="X963" s="88"/>
      <c r="Y963" s="88"/>
      <c r="Z963" s="88"/>
      <c r="AA963" s="88"/>
      <c r="AB963" s="128"/>
      <c r="AC963" s="128"/>
      <c r="AD963" s="128"/>
      <c r="AE963" s="128"/>
      <c r="AF963" s="128"/>
      <c r="AG963" s="128"/>
      <c r="AH963" s="127"/>
    </row>
  </sheetData>
  <mergeCells count="7">
    <mergeCell ref="X3:Y3"/>
    <mergeCell ref="X26:Y26"/>
    <mergeCell ref="C2:F2"/>
    <mergeCell ref="G2:K2"/>
    <mergeCell ref="L2:P2"/>
    <mergeCell ref="Q2:U2"/>
    <mergeCell ref="V2:W2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87CC1-DCA0-4745-851E-B67F8CA3B2F2}">
  <sheetPr>
    <tabColor rgb="FFC00000"/>
  </sheetPr>
  <dimension ref="A1:F221"/>
  <sheetViews>
    <sheetView workbookViewId="0">
      <selection activeCell="C18" sqref="C18"/>
    </sheetView>
  </sheetViews>
  <sheetFormatPr defaultRowHeight="13.2"/>
  <cols>
    <col min="1" max="1" width="15.44140625" style="173" bestFit="1" customWidth="1"/>
    <col min="2" max="2" width="10.109375" style="173" bestFit="1" customWidth="1"/>
    <col min="3" max="3" width="45.5546875" style="173" bestFit="1" customWidth="1"/>
    <col min="4" max="4" width="14.33203125" style="182" bestFit="1" customWidth="1"/>
    <col min="5" max="5" width="13.6640625" style="173" customWidth="1"/>
    <col min="6" max="16384" width="8.88671875" style="173"/>
  </cols>
  <sheetData>
    <row r="1" spans="1:6" ht="14.4">
      <c r="A1" s="177" t="s">
        <v>332</v>
      </c>
      <c r="B1" s="177" t="s">
        <v>331</v>
      </c>
      <c r="C1" s="177" t="s">
        <v>212</v>
      </c>
      <c r="D1" s="178" t="s">
        <v>329</v>
      </c>
      <c r="E1" s="177" t="s">
        <v>330</v>
      </c>
      <c r="F1" s="175"/>
    </row>
    <row r="2" spans="1:6" ht="14.4">
      <c r="A2" s="174" t="s">
        <v>6</v>
      </c>
      <c r="B2" s="168">
        <v>29748</v>
      </c>
      <c r="C2" s="168" t="s">
        <v>146</v>
      </c>
      <c r="D2" s="179">
        <v>1092.0500000000002</v>
      </c>
      <c r="E2" s="174" t="s">
        <v>79</v>
      </c>
      <c r="F2" s="175"/>
    </row>
    <row r="3" spans="1:6" ht="14.4">
      <c r="A3" s="174" t="s">
        <v>55</v>
      </c>
      <c r="B3" s="170">
        <v>44200</v>
      </c>
      <c r="C3" s="170" t="s">
        <v>126</v>
      </c>
      <c r="D3" s="180">
        <v>211.97</v>
      </c>
      <c r="E3" s="174" t="s">
        <v>79</v>
      </c>
      <c r="F3" s="175"/>
    </row>
    <row r="4" spans="1:6" ht="14.4">
      <c r="A4" s="174" t="s">
        <v>7</v>
      </c>
      <c r="B4" s="168">
        <v>27148</v>
      </c>
      <c r="C4" s="168" t="s">
        <v>163</v>
      </c>
      <c r="D4" s="179">
        <v>199.77</v>
      </c>
      <c r="E4" s="174" t="s">
        <v>79</v>
      </c>
      <c r="F4" s="175"/>
    </row>
    <row r="5" spans="1:6" ht="14.4">
      <c r="A5" s="174" t="s">
        <v>56</v>
      </c>
      <c r="B5" s="170">
        <v>601</v>
      </c>
      <c r="C5" s="170" t="s">
        <v>172</v>
      </c>
      <c r="D5" s="180">
        <v>713.69</v>
      </c>
      <c r="E5" s="174" t="s">
        <v>79</v>
      </c>
      <c r="F5" s="175"/>
    </row>
    <row r="6" spans="1:6" ht="14.4">
      <c r="A6" s="174" t="s">
        <v>56</v>
      </c>
      <c r="B6" s="170">
        <v>38903</v>
      </c>
      <c r="C6" s="170" t="s">
        <v>179</v>
      </c>
      <c r="D6" s="180">
        <v>1398</v>
      </c>
      <c r="E6" s="174" t="s">
        <v>79</v>
      </c>
      <c r="F6" s="175"/>
    </row>
    <row r="7" spans="1:6" ht="14.4">
      <c r="A7" s="174" t="s">
        <v>56</v>
      </c>
      <c r="B7" s="170">
        <v>41617</v>
      </c>
      <c r="C7" s="170" t="s">
        <v>186</v>
      </c>
      <c r="D7" s="180">
        <v>2608.5200000000004</v>
      </c>
      <c r="E7" s="174" t="s">
        <v>79</v>
      </c>
      <c r="F7" s="175"/>
    </row>
    <row r="8" spans="1:6" ht="14.4">
      <c r="A8" s="174" t="s">
        <v>56</v>
      </c>
      <c r="B8" s="170">
        <v>41105</v>
      </c>
      <c r="C8" s="170" t="s">
        <v>189</v>
      </c>
      <c r="D8" s="180">
        <v>869</v>
      </c>
      <c r="E8" s="174" t="s">
        <v>79</v>
      </c>
      <c r="F8" s="175"/>
    </row>
    <row r="9" spans="1:6" ht="14.4">
      <c r="A9" s="174" t="s">
        <v>10</v>
      </c>
      <c r="B9" s="172">
        <v>40650</v>
      </c>
      <c r="C9" s="172" t="s">
        <v>192</v>
      </c>
      <c r="D9" s="179">
        <v>694.83999999999992</v>
      </c>
      <c r="E9" s="174" t="s">
        <v>79</v>
      </c>
      <c r="F9" s="175"/>
    </row>
    <row r="10" spans="1:6" ht="14.4">
      <c r="A10" s="174" t="s">
        <v>10</v>
      </c>
      <c r="B10" s="172">
        <v>43357</v>
      </c>
      <c r="C10" s="172" t="s">
        <v>193</v>
      </c>
      <c r="D10" s="179">
        <v>843.18000000000006</v>
      </c>
      <c r="E10" s="174" t="s">
        <v>79</v>
      </c>
      <c r="F10" s="175"/>
    </row>
    <row r="11" spans="1:6" ht="14.4">
      <c r="A11" s="174" t="s">
        <v>10</v>
      </c>
      <c r="B11" s="172">
        <v>13483</v>
      </c>
      <c r="C11" s="172" t="s">
        <v>209</v>
      </c>
      <c r="D11" s="179">
        <v>177.9</v>
      </c>
      <c r="E11" s="174" t="s">
        <v>79</v>
      </c>
      <c r="F11" s="175"/>
    </row>
    <row r="12" spans="1:6" ht="14.4">
      <c r="A12" s="174" t="s">
        <v>10</v>
      </c>
      <c r="B12" s="172">
        <v>44062</v>
      </c>
      <c r="C12" s="172" t="s">
        <v>202</v>
      </c>
      <c r="D12" s="179">
        <v>325.31</v>
      </c>
      <c r="E12" s="174" t="s">
        <v>79</v>
      </c>
      <c r="F12" s="175"/>
    </row>
    <row r="13" spans="1:6" ht="14.4">
      <c r="A13" s="174" t="s">
        <v>6</v>
      </c>
      <c r="B13" s="168">
        <v>18928</v>
      </c>
      <c r="C13" s="168" t="s">
        <v>213</v>
      </c>
      <c r="D13" s="179">
        <v>1453.3500000000001</v>
      </c>
      <c r="E13" s="174" t="s">
        <v>79</v>
      </c>
      <c r="F13" s="175"/>
    </row>
    <row r="14" spans="1:6" ht="14.4">
      <c r="A14" s="174" t="s">
        <v>6</v>
      </c>
      <c r="B14" s="168">
        <v>38768</v>
      </c>
      <c r="C14" s="168" t="s">
        <v>217</v>
      </c>
      <c r="D14" s="179">
        <v>639.08000000000004</v>
      </c>
      <c r="E14" s="174" t="s">
        <v>79</v>
      </c>
      <c r="F14" s="175"/>
    </row>
    <row r="15" spans="1:6" ht="14.4">
      <c r="A15" s="174" t="s">
        <v>6</v>
      </c>
      <c r="B15" s="168">
        <v>14601</v>
      </c>
      <c r="C15" s="168" t="s">
        <v>227</v>
      </c>
      <c r="D15" s="179">
        <v>1710.3200000000002</v>
      </c>
      <c r="E15" s="174" t="s">
        <v>79</v>
      </c>
      <c r="F15" s="175"/>
    </row>
    <row r="16" spans="1:6" ht="14.4">
      <c r="A16" s="174" t="s">
        <v>6</v>
      </c>
      <c r="B16" s="168">
        <v>16103</v>
      </c>
      <c r="C16" s="168" t="s">
        <v>232</v>
      </c>
      <c r="D16" s="179">
        <v>4199.7300000000005</v>
      </c>
      <c r="E16" s="174" t="s">
        <v>79</v>
      </c>
      <c r="F16" s="175"/>
    </row>
    <row r="17" spans="1:6" ht="14.4">
      <c r="A17" s="174" t="s">
        <v>6</v>
      </c>
      <c r="B17" s="168">
        <v>31596</v>
      </c>
      <c r="C17" s="168" t="s">
        <v>237</v>
      </c>
      <c r="D17" s="179">
        <v>2485</v>
      </c>
      <c r="E17" s="174" t="s">
        <v>79</v>
      </c>
      <c r="F17" s="175"/>
    </row>
    <row r="18" spans="1:6" ht="14.4">
      <c r="A18" s="174" t="s">
        <v>6</v>
      </c>
      <c r="B18" s="168">
        <v>20275</v>
      </c>
      <c r="C18" s="168" t="s">
        <v>241</v>
      </c>
      <c r="D18" s="179">
        <v>405.45000000000005</v>
      </c>
      <c r="E18" s="174" t="s">
        <v>79</v>
      </c>
      <c r="F18" s="175"/>
    </row>
    <row r="19" spans="1:6" ht="14.4">
      <c r="A19" s="174" t="s">
        <v>6</v>
      </c>
      <c r="B19" s="168">
        <v>39891</v>
      </c>
      <c r="C19" s="168" t="s">
        <v>246</v>
      </c>
      <c r="D19" s="179">
        <v>892.33</v>
      </c>
      <c r="E19" s="174" t="s">
        <v>79</v>
      </c>
      <c r="F19" s="175"/>
    </row>
    <row r="20" spans="1:6" ht="14.4">
      <c r="A20" s="174" t="s">
        <v>6</v>
      </c>
      <c r="B20" s="169">
        <v>40172</v>
      </c>
      <c r="C20" s="168" t="s">
        <v>251</v>
      </c>
      <c r="D20" s="179">
        <v>424.29999999999995</v>
      </c>
      <c r="E20" s="174" t="s">
        <v>79</v>
      </c>
      <c r="F20" s="175"/>
    </row>
    <row r="21" spans="1:6" ht="14.4">
      <c r="A21" s="174" t="s">
        <v>6</v>
      </c>
      <c r="B21" s="169">
        <v>39761</v>
      </c>
      <c r="C21" s="168" t="s">
        <v>255</v>
      </c>
      <c r="D21" s="179">
        <v>309.95</v>
      </c>
      <c r="E21" s="174" t="s">
        <v>79</v>
      </c>
      <c r="F21" s="175"/>
    </row>
    <row r="22" spans="1:6" ht="14.4">
      <c r="A22" s="174" t="s">
        <v>6</v>
      </c>
      <c r="B22" s="169">
        <v>2738</v>
      </c>
      <c r="C22" s="168" t="s">
        <v>260</v>
      </c>
      <c r="D22" s="179">
        <v>756.71</v>
      </c>
      <c r="E22" s="174" t="s">
        <v>79</v>
      </c>
      <c r="F22" s="175"/>
    </row>
    <row r="23" spans="1:6" ht="14.4">
      <c r="A23" s="174" t="s">
        <v>55</v>
      </c>
      <c r="B23" s="170">
        <v>36533</v>
      </c>
      <c r="C23" s="170" t="s">
        <v>214</v>
      </c>
      <c r="D23" s="180">
        <v>556.29999999999995</v>
      </c>
      <c r="E23" s="174" t="s">
        <v>79</v>
      </c>
      <c r="F23" s="175"/>
    </row>
    <row r="24" spans="1:6" ht="14.4">
      <c r="A24" s="174" t="s">
        <v>55</v>
      </c>
      <c r="B24" s="170">
        <v>28847</v>
      </c>
      <c r="C24" s="170" t="s">
        <v>218</v>
      </c>
      <c r="D24" s="180">
        <v>283.45999999999998</v>
      </c>
      <c r="E24" s="174" t="s">
        <v>79</v>
      </c>
      <c r="F24" s="175"/>
    </row>
    <row r="25" spans="1:6" ht="14.4">
      <c r="A25" s="174" t="s">
        <v>55</v>
      </c>
      <c r="B25" s="170">
        <v>42096</v>
      </c>
      <c r="C25" s="170" t="s">
        <v>223</v>
      </c>
      <c r="D25" s="180">
        <v>274.86</v>
      </c>
      <c r="E25" s="174" t="s">
        <v>79</v>
      </c>
      <c r="F25" s="175"/>
    </row>
    <row r="26" spans="1:6" ht="14.4">
      <c r="A26" s="174" t="s">
        <v>55</v>
      </c>
      <c r="B26" s="170">
        <v>40022</v>
      </c>
      <c r="C26" s="170" t="s">
        <v>228</v>
      </c>
      <c r="D26" s="180">
        <v>472.57</v>
      </c>
      <c r="E26" s="174" t="s">
        <v>79</v>
      </c>
      <c r="F26" s="175"/>
    </row>
    <row r="27" spans="1:6" ht="14.4">
      <c r="A27" s="174" t="s">
        <v>55</v>
      </c>
      <c r="B27" s="170">
        <v>44147</v>
      </c>
      <c r="C27" s="170" t="s">
        <v>233</v>
      </c>
      <c r="D27" s="180">
        <v>792.59999999999991</v>
      </c>
      <c r="E27" s="174" t="s">
        <v>79</v>
      </c>
      <c r="F27" s="175"/>
    </row>
    <row r="28" spans="1:6" ht="14.4">
      <c r="A28" s="174" t="s">
        <v>55</v>
      </c>
      <c r="B28" s="170">
        <v>39060</v>
      </c>
      <c r="C28" s="170" t="s">
        <v>238</v>
      </c>
      <c r="D28" s="180">
        <v>419.28</v>
      </c>
      <c r="E28" s="174" t="s">
        <v>79</v>
      </c>
      <c r="F28" s="175"/>
    </row>
    <row r="29" spans="1:6" ht="14.4">
      <c r="A29" s="174" t="s">
        <v>55</v>
      </c>
      <c r="B29" s="170">
        <v>28765</v>
      </c>
      <c r="C29" s="170" t="s">
        <v>242</v>
      </c>
      <c r="D29" s="180">
        <v>175.84219999999999</v>
      </c>
      <c r="E29" s="174" t="s">
        <v>79</v>
      </c>
      <c r="F29" s="175"/>
    </row>
    <row r="30" spans="1:6" ht="14.4">
      <c r="A30" s="174" t="s">
        <v>55</v>
      </c>
      <c r="B30" s="170">
        <v>40926</v>
      </c>
      <c r="C30" s="170" t="s">
        <v>247</v>
      </c>
      <c r="D30" s="180">
        <v>885.55</v>
      </c>
      <c r="E30" s="174" t="s">
        <v>79</v>
      </c>
      <c r="F30" s="175"/>
    </row>
    <row r="31" spans="1:6" ht="14.4">
      <c r="A31" s="174" t="s">
        <v>55</v>
      </c>
      <c r="B31" s="170">
        <v>42963</v>
      </c>
      <c r="C31" s="170" t="s">
        <v>252</v>
      </c>
      <c r="D31" s="180">
        <v>231.22</v>
      </c>
      <c r="E31" s="174" t="s">
        <v>79</v>
      </c>
      <c r="F31" s="175"/>
    </row>
    <row r="32" spans="1:6" ht="14.4">
      <c r="A32" s="174" t="s">
        <v>55</v>
      </c>
      <c r="B32" s="170">
        <v>37910</v>
      </c>
      <c r="C32" s="170" t="s">
        <v>256</v>
      </c>
      <c r="D32" s="180">
        <v>170.38</v>
      </c>
      <c r="E32" s="174" t="s">
        <v>79</v>
      </c>
      <c r="F32" s="175"/>
    </row>
    <row r="33" spans="1:6" ht="14.4">
      <c r="A33" s="174" t="s">
        <v>55</v>
      </c>
      <c r="B33" s="170">
        <v>34545</v>
      </c>
      <c r="C33" s="170" t="s">
        <v>261</v>
      </c>
      <c r="D33" s="180">
        <v>247.60999999999999</v>
      </c>
      <c r="E33" s="174" t="s">
        <v>79</v>
      </c>
      <c r="F33" s="175"/>
    </row>
    <row r="34" spans="1:6" ht="14.4">
      <c r="A34" s="174" t="s">
        <v>55</v>
      </c>
      <c r="B34" s="170">
        <v>44138</v>
      </c>
      <c r="C34" s="170" t="s">
        <v>265</v>
      </c>
      <c r="D34" s="180">
        <v>158.69</v>
      </c>
      <c r="E34" s="174" t="s">
        <v>79</v>
      </c>
      <c r="F34" s="175"/>
    </row>
    <row r="35" spans="1:6" ht="14.4">
      <c r="A35" s="174" t="s">
        <v>55</v>
      </c>
      <c r="B35" s="170">
        <v>28819</v>
      </c>
      <c r="C35" s="170" t="s">
        <v>270</v>
      </c>
      <c r="D35" s="180">
        <v>748.83</v>
      </c>
      <c r="E35" s="174" t="s">
        <v>79</v>
      </c>
      <c r="F35" s="175"/>
    </row>
    <row r="36" spans="1:6" ht="14.4">
      <c r="A36" s="174" t="s">
        <v>55</v>
      </c>
      <c r="B36" s="170">
        <v>44049</v>
      </c>
      <c r="C36" s="170" t="s">
        <v>274</v>
      </c>
      <c r="D36" s="180">
        <v>317.54529500000001</v>
      </c>
      <c r="E36" s="174" t="s">
        <v>79</v>
      </c>
      <c r="F36" s="175"/>
    </row>
    <row r="37" spans="1:6" ht="14.4">
      <c r="A37" s="174" t="s">
        <v>55</v>
      </c>
      <c r="B37" s="170">
        <v>37577</v>
      </c>
      <c r="C37" s="170" t="s">
        <v>279</v>
      </c>
      <c r="D37" s="180">
        <v>537.43999599999995</v>
      </c>
      <c r="E37" s="174" t="s">
        <v>79</v>
      </c>
      <c r="F37" s="175"/>
    </row>
    <row r="38" spans="1:6" ht="14.4">
      <c r="A38" s="174" t="s">
        <v>55</v>
      </c>
      <c r="B38" s="170">
        <v>42647</v>
      </c>
      <c r="C38" s="170" t="s">
        <v>288</v>
      </c>
      <c r="D38" s="180">
        <v>1372.1899999999998</v>
      </c>
      <c r="E38" s="174" t="s">
        <v>79</v>
      </c>
      <c r="F38" s="175"/>
    </row>
    <row r="39" spans="1:6" ht="14.4">
      <c r="A39" s="174" t="s">
        <v>55</v>
      </c>
      <c r="B39" s="170">
        <v>39622</v>
      </c>
      <c r="C39" s="170" t="s">
        <v>292</v>
      </c>
      <c r="D39" s="180">
        <v>537.65</v>
      </c>
      <c r="E39" s="174" t="s">
        <v>79</v>
      </c>
      <c r="F39" s="175"/>
    </row>
    <row r="40" spans="1:6" ht="14.4">
      <c r="A40" s="174" t="s">
        <v>55</v>
      </c>
      <c r="B40" s="170">
        <v>42629</v>
      </c>
      <c r="C40" s="170" t="s">
        <v>296</v>
      </c>
      <c r="D40" s="180">
        <v>259.58</v>
      </c>
      <c r="E40" s="174" t="s">
        <v>79</v>
      </c>
      <c r="F40" s="175"/>
    </row>
    <row r="41" spans="1:6" ht="14.4">
      <c r="A41" s="174" t="s">
        <v>55</v>
      </c>
      <c r="B41" s="170">
        <v>38600</v>
      </c>
      <c r="C41" s="170" t="s">
        <v>300</v>
      </c>
      <c r="D41" s="180">
        <v>228.36</v>
      </c>
      <c r="E41" s="174" t="s">
        <v>79</v>
      </c>
      <c r="F41" s="175"/>
    </row>
    <row r="42" spans="1:6" ht="14.4">
      <c r="A42" s="174" t="s">
        <v>7</v>
      </c>
      <c r="B42" s="168">
        <v>43494</v>
      </c>
      <c r="C42" s="168" t="s">
        <v>219</v>
      </c>
      <c r="D42" s="179">
        <v>167.45999999999998</v>
      </c>
      <c r="E42" s="174" t="s">
        <v>79</v>
      </c>
      <c r="F42" s="175"/>
    </row>
    <row r="43" spans="1:6" ht="14.4">
      <c r="A43" s="174" t="s">
        <v>7</v>
      </c>
      <c r="B43" s="168">
        <v>12978</v>
      </c>
      <c r="C43" s="168" t="s">
        <v>224</v>
      </c>
      <c r="D43" s="179">
        <v>977.3900000000001</v>
      </c>
      <c r="E43" s="174" t="s">
        <v>79</v>
      </c>
      <c r="F43" s="175"/>
    </row>
    <row r="44" spans="1:6" ht="14.4">
      <c r="A44" s="174" t="s">
        <v>56</v>
      </c>
      <c r="B44" s="170">
        <v>40237</v>
      </c>
      <c r="C44" s="170" t="s">
        <v>220</v>
      </c>
      <c r="D44" s="180">
        <v>784.45</v>
      </c>
      <c r="E44" s="174" t="s">
        <v>79</v>
      </c>
      <c r="F44" s="175"/>
    </row>
    <row r="45" spans="1:6" ht="14.4">
      <c r="A45" s="174" t="s">
        <v>56</v>
      </c>
      <c r="B45" s="170">
        <v>43855</v>
      </c>
      <c r="C45" s="170" t="s">
        <v>230</v>
      </c>
      <c r="D45" s="180">
        <v>908.8</v>
      </c>
      <c r="E45" s="174" t="s">
        <v>79</v>
      </c>
      <c r="F45" s="175"/>
    </row>
    <row r="46" spans="1:6" ht="14.4">
      <c r="A46" s="174" t="s">
        <v>56</v>
      </c>
      <c r="B46" s="170">
        <v>41142</v>
      </c>
      <c r="C46" s="170" t="s">
        <v>235</v>
      </c>
      <c r="D46" s="180">
        <v>291.34999999999997</v>
      </c>
      <c r="E46" s="174" t="s">
        <v>79</v>
      </c>
      <c r="F46" s="175"/>
    </row>
    <row r="47" spans="1:6" ht="14.4">
      <c r="A47" s="174" t="s">
        <v>56</v>
      </c>
      <c r="B47" s="170">
        <v>43286</v>
      </c>
      <c r="C47" s="170" t="s">
        <v>239</v>
      </c>
      <c r="D47" s="180">
        <v>1737.96</v>
      </c>
      <c r="E47" s="174" t="s">
        <v>79</v>
      </c>
      <c r="F47" s="175"/>
    </row>
    <row r="48" spans="1:6" ht="14.4">
      <c r="A48" s="174" t="s">
        <v>56</v>
      </c>
      <c r="B48" s="170">
        <v>35902</v>
      </c>
      <c r="C48" s="170" t="s">
        <v>244</v>
      </c>
      <c r="D48" s="180">
        <v>509.02</v>
      </c>
      <c r="E48" s="174" t="s">
        <v>79</v>
      </c>
      <c r="F48" s="175"/>
    </row>
    <row r="49" spans="1:6" ht="14.4">
      <c r="A49" s="174" t="s">
        <v>56</v>
      </c>
      <c r="B49" s="170">
        <v>41418</v>
      </c>
      <c r="C49" s="170" t="s">
        <v>249</v>
      </c>
      <c r="D49" s="180">
        <v>1130.1999999999998</v>
      </c>
      <c r="E49" s="174" t="s">
        <v>79</v>
      </c>
      <c r="F49" s="175"/>
    </row>
    <row r="50" spans="1:6" ht="14.4">
      <c r="A50" s="174" t="s">
        <v>56</v>
      </c>
      <c r="B50" s="170">
        <v>18415</v>
      </c>
      <c r="C50" s="170" t="s">
        <v>258</v>
      </c>
      <c r="D50" s="180">
        <v>183.75</v>
      </c>
      <c r="E50" s="174" t="s">
        <v>79</v>
      </c>
      <c r="F50" s="175"/>
    </row>
    <row r="51" spans="1:6" ht="14.4">
      <c r="A51" s="174" t="s">
        <v>56</v>
      </c>
      <c r="B51" s="170">
        <v>44270</v>
      </c>
      <c r="C51" s="170" t="s">
        <v>263</v>
      </c>
      <c r="D51" s="180">
        <v>857.62999999999988</v>
      </c>
      <c r="E51" s="174" t="s">
        <v>79</v>
      </c>
      <c r="F51" s="175"/>
    </row>
    <row r="52" spans="1:6" ht="14.4">
      <c r="A52" s="174" t="s">
        <v>56</v>
      </c>
      <c r="B52" s="170">
        <v>44093</v>
      </c>
      <c r="C52" s="170" t="s">
        <v>267</v>
      </c>
      <c r="D52" s="180">
        <v>17371.710000000003</v>
      </c>
      <c r="E52" s="174" t="s">
        <v>79</v>
      </c>
      <c r="F52" s="175"/>
    </row>
    <row r="53" spans="1:6" ht="14.4">
      <c r="A53" s="174" t="s">
        <v>56</v>
      </c>
      <c r="B53" s="170">
        <v>44345</v>
      </c>
      <c r="C53" s="170" t="s">
        <v>272</v>
      </c>
      <c r="D53" s="180">
        <v>910.91</v>
      </c>
      <c r="E53" s="174" t="s">
        <v>79</v>
      </c>
      <c r="F53" s="175"/>
    </row>
    <row r="54" spans="1:6" ht="14.4">
      <c r="A54" s="174" t="s">
        <v>56</v>
      </c>
      <c r="B54" s="170">
        <v>32009</v>
      </c>
      <c r="C54" s="170" t="s">
        <v>276</v>
      </c>
      <c r="D54" s="180">
        <v>1039.3599999999999</v>
      </c>
      <c r="E54" s="174" t="s">
        <v>79</v>
      </c>
      <c r="F54" s="175"/>
    </row>
    <row r="55" spans="1:6" ht="14.4">
      <c r="A55" s="174" t="s">
        <v>56</v>
      </c>
      <c r="B55" s="170">
        <v>41058</v>
      </c>
      <c r="C55" s="170" t="s">
        <v>281</v>
      </c>
      <c r="D55" s="180">
        <v>195.95</v>
      </c>
      <c r="E55" s="174" t="s">
        <v>79</v>
      </c>
      <c r="F55" s="175"/>
    </row>
    <row r="56" spans="1:6" ht="14.4">
      <c r="A56" s="174" t="s">
        <v>56</v>
      </c>
      <c r="B56" s="170">
        <v>40984</v>
      </c>
      <c r="C56" s="170" t="s">
        <v>285</v>
      </c>
      <c r="D56" s="180">
        <v>270.64999999999998</v>
      </c>
      <c r="E56" s="174" t="s">
        <v>79</v>
      </c>
      <c r="F56" s="175"/>
    </row>
    <row r="57" spans="1:6" ht="14.4">
      <c r="A57" s="174" t="s">
        <v>10</v>
      </c>
      <c r="B57" s="172">
        <v>19384</v>
      </c>
      <c r="C57" s="172" t="s">
        <v>215</v>
      </c>
      <c r="D57" s="179">
        <v>505.89</v>
      </c>
      <c r="E57" s="174" t="s">
        <v>79</v>
      </c>
      <c r="F57" s="175"/>
    </row>
    <row r="58" spans="1:6" ht="14.4">
      <c r="A58" s="174" t="s">
        <v>10</v>
      </c>
      <c r="B58" s="172">
        <v>20828</v>
      </c>
      <c r="C58" s="172" t="s">
        <v>221</v>
      </c>
      <c r="D58" s="179">
        <v>3904.49</v>
      </c>
      <c r="E58" s="174" t="s">
        <v>79</v>
      </c>
      <c r="F58" s="175"/>
    </row>
    <row r="59" spans="1:6" ht="14.4">
      <c r="A59" s="174" t="s">
        <v>10</v>
      </c>
      <c r="B59" s="172">
        <v>22815</v>
      </c>
      <c r="C59" s="172" t="s">
        <v>225</v>
      </c>
      <c r="D59" s="179">
        <v>334</v>
      </c>
      <c r="E59" s="174" t="s">
        <v>79</v>
      </c>
      <c r="F59" s="175"/>
    </row>
    <row r="60" spans="1:6" ht="14.4">
      <c r="A60" s="174" t="s">
        <v>10</v>
      </c>
      <c r="B60" s="172">
        <v>31798</v>
      </c>
      <c r="C60" s="172" t="s">
        <v>231</v>
      </c>
      <c r="D60" s="179">
        <v>1628.3500000000001</v>
      </c>
      <c r="E60" s="174" t="s">
        <v>79</v>
      </c>
      <c r="F60" s="175"/>
    </row>
    <row r="61" spans="1:6" ht="14.4">
      <c r="A61" s="174" t="s">
        <v>10</v>
      </c>
      <c r="B61" s="172">
        <v>31563</v>
      </c>
      <c r="C61" s="172" t="s">
        <v>236</v>
      </c>
      <c r="D61" s="179">
        <v>471.28</v>
      </c>
      <c r="E61" s="174" t="s">
        <v>79</v>
      </c>
      <c r="F61" s="175"/>
    </row>
    <row r="62" spans="1:6" ht="14.4">
      <c r="A62" s="174" t="s">
        <v>10</v>
      </c>
      <c r="B62" s="172">
        <v>42602</v>
      </c>
      <c r="C62" s="172" t="s">
        <v>240</v>
      </c>
      <c r="D62" s="179">
        <v>267.45</v>
      </c>
      <c r="E62" s="174" t="s">
        <v>79</v>
      </c>
      <c r="F62" s="175"/>
    </row>
    <row r="63" spans="1:6" ht="14.4">
      <c r="A63" s="174" t="s">
        <v>10</v>
      </c>
      <c r="B63" s="172">
        <v>39205</v>
      </c>
      <c r="C63" s="172" t="s">
        <v>245</v>
      </c>
      <c r="D63" s="179">
        <v>748.49</v>
      </c>
      <c r="E63" s="174" t="s">
        <v>79</v>
      </c>
      <c r="F63" s="175"/>
    </row>
    <row r="64" spans="1:6" ht="14.4">
      <c r="A64" s="174" t="s">
        <v>10</v>
      </c>
      <c r="B64" s="172">
        <v>29964</v>
      </c>
      <c r="C64" s="172" t="s">
        <v>250</v>
      </c>
      <c r="D64" s="179">
        <v>622.4</v>
      </c>
      <c r="E64" s="174" t="s">
        <v>79</v>
      </c>
      <c r="F64" s="175"/>
    </row>
    <row r="65" spans="1:6" ht="14.4">
      <c r="A65" s="174" t="s">
        <v>10</v>
      </c>
      <c r="B65" s="172">
        <v>35076</v>
      </c>
      <c r="C65" s="172" t="s">
        <v>254</v>
      </c>
      <c r="D65" s="179">
        <v>402.1</v>
      </c>
      <c r="E65" s="174" t="s">
        <v>79</v>
      </c>
      <c r="F65" s="175"/>
    </row>
    <row r="66" spans="1:6" ht="14.4">
      <c r="A66" s="174" t="s">
        <v>10</v>
      </c>
      <c r="B66" s="172">
        <v>36972</v>
      </c>
      <c r="C66" s="172" t="s">
        <v>259</v>
      </c>
      <c r="D66" s="179">
        <v>2113.44</v>
      </c>
      <c r="E66" s="174" t="s">
        <v>79</v>
      </c>
      <c r="F66" s="175"/>
    </row>
    <row r="67" spans="1:6" ht="14.4">
      <c r="A67" s="174" t="s">
        <v>10</v>
      </c>
      <c r="B67" s="172">
        <v>41852</v>
      </c>
      <c r="C67" s="172" t="s">
        <v>268</v>
      </c>
      <c r="D67" s="179">
        <v>542.57000000000005</v>
      </c>
      <c r="E67" s="174" t="s">
        <v>79</v>
      </c>
      <c r="F67" s="175"/>
    </row>
    <row r="68" spans="1:6" ht="14.4">
      <c r="A68" s="174" t="s">
        <v>10</v>
      </c>
      <c r="B68" s="172">
        <v>41862</v>
      </c>
      <c r="C68" s="172" t="s">
        <v>277</v>
      </c>
      <c r="D68" s="179">
        <v>385.39</v>
      </c>
      <c r="E68" s="174" t="s">
        <v>79</v>
      </c>
      <c r="F68" s="175"/>
    </row>
    <row r="69" spans="1:6" ht="14.4">
      <c r="A69" s="174" t="s">
        <v>10</v>
      </c>
      <c r="B69" s="172">
        <v>41235</v>
      </c>
      <c r="C69" s="172" t="s">
        <v>282</v>
      </c>
      <c r="D69" s="179">
        <v>1582.7800000000002</v>
      </c>
      <c r="E69" s="174" t="s">
        <v>79</v>
      </c>
      <c r="F69" s="175"/>
    </row>
    <row r="70" spans="1:6" ht="14.4">
      <c r="A70" s="174" t="s">
        <v>10</v>
      </c>
      <c r="B70" s="168">
        <v>27813</v>
      </c>
      <c r="C70" s="172" t="s">
        <v>286</v>
      </c>
      <c r="D70" s="179">
        <v>20887.939999999999</v>
      </c>
      <c r="E70" s="174" t="s">
        <v>79</v>
      </c>
      <c r="F70" s="175"/>
    </row>
    <row r="71" spans="1:6" ht="14.4">
      <c r="A71" s="174" t="s">
        <v>10</v>
      </c>
      <c r="B71" s="172">
        <v>10095</v>
      </c>
      <c r="C71" s="172" t="s">
        <v>290</v>
      </c>
      <c r="D71" s="179">
        <v>789</v>
      </c>
      <c r="E71" s="174" t="s">
        <v>79</v>
      </c>
      <c r="F71" s="175"/>
    </row>
    <row r="72" spans="1:6" ht="14.4">
      <c r="A72" s="174" t="s">
        <v>10</v>
      </c>
      <c r="B72" s="172">
        <v>32981</v>
      </c>
      <c r="C72" s="172" t="s">
        <v>303</v>
      </c>
      <c r="D72" s="179">
        <v>1346.9</v>
      </c>
      <c r="E72" s="174" t="s">
        <v>79</v>
      </c>
      <c r="F72" s="175"/>
    </row>
    <row r="73" spans="1:6" ht="14.4">
      <c r="A73" s="174" t="s">
        <v>10</v>
      </c>
      <c r="B73" s="172">
        <v>28492</v>
      </c>
      <c r="C73" s="172" t="s">
        <v>307</v>
      </c>
      <c r="D73" s="179">
        <v>1225.19</v>
      </c>
      <c r="E73" s="174" t="s">
        <v>79</v>
      </c>
      <c r="F73" s="175"/>
    </row>
    <row r="74" spans="1:6" ht="14.4">
      <c r="A74" s="174" t="s">
        <v>10</v>
      </c>
      <c r="B74" s="172">
        <v>30067</v>
      </c>
      <c r="C74" s="172" t="s">
        <v>309</v>
      </c>
      <c r="D74" s="179">
        <v>473.58000000000004</v>
      </c>
      <c r="E74" s="174" t="s">
        <v>79</v>
      </c>
      <c r="F74" s="175"/>
    </row>
    <row r="75" spans="1:6" ht="14.4">
      <c r="A75" s="174" t="s">
        <v>6</v>
      </c>
      <c r="B75" s="168">
        <v>29748</v>
      </c>
      <c r="C75" s="168" t="s">
        <v>146</v>
      </c>
      <c r="D75" s="179">
        <v>662.71</v>
      </c>
      <c r="E75" s="174" t="s">
        <v>81</v>
      </c>
      <c r="F75" s="175"/>
    </row>
    <row r="76" spans="1:6" ht="14.4">
      <c r="A76" s="174" t="s">
        <v>7</v>
      </c>
      <c r="B76" s="169">
        <v>44200</v>
      </c>
      <c r="C76" s="168" t="s">
        <v>126</v>
      </c>
      <c r="D76" s="179">
        <v>0</v>
      </c>
      <c r="E76" s="174" t="s">
        <v>81</v>
      </c>
      <c r="F76" s="175"/>
    </row>
    <row r="77" spans="1:6" ht="14.4">
      <c r="A77" s="174" t="s">
        <v>7</v>
      </c>
      <c r="B77" s="169">
        <v>25853</v>
      </c>
      <c r="C77" s="168" t="s">
        <v>140</v>
      </c>
      <c r="D77" s="179">
        <v>0</v>
      </c>
      <c r="E77" s="174" t="s">
        <v>81</v>
      </c>
      <c r="F77" s="175"/>
    </row>
    <row r="78" spans="1:6" ht="14.4">
      <c r="A78" s="174" t="s">
        <v>56</v>
      </c>
      <c r="B78" s="170">
        <v>601</v>
      </c>
      <c r="C78" s="170" t="s">
        <v>172</v>
      </c>
      <c r="D78" s="180">
        <v>0</v>
      </c>
      <c r="E78" s="174" t="s">
        <v>81</v>
      </c>
      <c r="F78" s="175"/>
    </row>
    <row r="79" spans="1:6" ht="14.4">
      <c r="A79" s="174" t="s">
        <v>56</v>
      </c>
      <c r="B79" s="170">
        <v>38903</v>
      </c>
      <c r="C79" s="170" t="s">
        <v>179</v>
      </c>
      <c r="D79" s="180">
        <v>0</v>
      </c>
      <c r="E79" s="174" t="s">
        <v>81</v>
      </c>
      <c r="F79" s="175"/>
    </row>
    <row r="80" spans="1:6" ht="14.4">
      <c r="A80" s="174" t="s">
        <v>56</v>
      </c>
      <c r="B80" s="170">
        <v>41617</v>
      </c>
      <c r="C80" s="170" t="s">
        <v>186</v>
      </c>
      <c r="D80" s="180">
        <v>0</v>
      </c>
      <c r="E80" s="174" t="s">
        <v>81</v>
      </c>
      <c r="F80" s="175"/>
    </row>
    <row r="81" spans="1:6" ht="14.4">
      <c r="A81" s="174" t="s">
        <v>56</v>
      </c>
      <c r="B81" s="170">
        <v>41105</v>
      </c>
      <c r="C81" s="170" t="s">
        <v>189</v>
      </c>
      <c r="D81" s="180">
        <v>0</v>
      </c>
      <c r="E81" s="174" t="s">
        <v>81</v>
      </c>
      <c r="F81" s="175"/>
    </row>
    <row r="82" spans="1:6" ht="14.4">
      <c r="A82" s="174" t="s">
        <v>10</v>
      </c>
      <c r="B82" s="168">
        <v>40650</v>
      </c>
      <c r="C82" s="172" t="s">
        <v>192</v>
      </c>
      <c r="D82" s="179">
        <v>343.01</v>
      </c>
      <c r="E82" s="174" t="s">
        <v>81</v>
      </c>
      <c r="F82" s="175"/>
    </row>
    <row r="83" spans="1:6" ht="14.4">
      <c r="A83" s="174" t="s">
        <v>10</v>
      </c>
      <c r="B83" s="168">
        <v>43357</v>
      </c>
      <c r="C83" s="172" t="s">
        <v>193</v>
      </c>
      <c r="D83" s="179">
        <v>441.99</v>
      </c>
      <c r="E83" s="174" t="s">
        <v>81</v>
      </c>
      <c r="F83" s="175"/>
    </row>
    <row r="84" spans="1:6" ht="14.4">
      <c r="A84" s="174" t="s">
        <v>10</v>
      </c>
      <c r="B84" s="168">
        <v>44062</v>
      </c>
      <c r="C84" s="172" t="s">
        <v>202</v>
      </c>
      <c r="D84" s="179">
        <v>0</v>
      </c>
      <c r="E84" s="174" t="s">
        <v>81</v>
      </c>
      <c r="F84" s="175"/>
    </row>
    <row r="85" spans="1:6" ht="14.4">
      <c r="A85" s="174" t="s">
        <v>10</v>
      </c>
      <c r="B85" s="168">
        <v>13483</v>
      </c>
      <c r="C85" s="172" t="s">
        <v>209</v>
      </c>
      <c r="D85" s="179">
        <v>0</v>
      </c>
      <c r="E85" s="174" t="s">
        <v>81</v>
      </c>
      <c r="F85" s="175"/>
    </row>
    <row r="86" spans="1:6" ht="14.4">
      <c r="A86" s="174" t="s">
        <v>8</v>
      </c>
      <c r="B86" s="170">
        <v>27148</v>
      </c>
      <c r="C86" s="170" t="s">
        <v>163</v>
      </c>
      <c r="D86" s="180">
        <v>0</v>
      </c>
      <c r="E86" s="174" t="s">
        <v>81</v>
      </c>
      <c r="F86" s="175"/>
    </row>
    <row r="87" spans="1:6" ht="14.4">
      <c r="A87" s="174" t="s">
        <v>6</v>
      </c>
      <c r="B87" s="168">
        <v>39905</v>
      </c>
      <c r="C87" s="168" t="s">
        <v>142</v>
      </c>
      <c r="D87" s="179">
        <v>395.94</v>
      </c>
      <c r="E87" s="174" t="s">
        <v>81</v>
      </c>
      <c r="F87" s="175"/>
    </row>
    <row r="88" spans="1:6" ht="14.4">
      <c r="A88" s="174" t="s">
        <v>6</v>
      </c>
      <c r="B88" s="168">
        <v>35214</v>
      </c>
      <c r="C88" s="168" t="s">
        <v>143</v>
      </c>
      <c r="D88" s="179">
        <v>536.37</v>
      </c>
      <c r="E88" s="174" t="s">
        <v>81</v>
      </c>
      <c r="F88" s="175"/>
    </row>
    <row r="89" spans="1:6" ht="14.4">
      <c r="A89" s="174" t="s">
        <v>6</v>
      </c>
      <c r="B89" s="168">
        <v>26900</v>
      </c>
      <c r="C89" s="168" t="s">
        <v>144</v>
      </c>
      <c r="D89" s="179">
        <v>450.41999999999996</v>
      </c>
      <c r="E89" s="174" t="s">
        <v>81</v>
      </c>
      <c r="F89" s="175"/>
    </row>
    <row r="90" spans="1:6" ht="14.4">
      <c r="A90" s="174" t="s">
        <v>6</v>
      </c>
      <c r="B90" s="168">
        <v>25286</v>
      </c>
      <c r="C90" s="168" t="s">
        <v>145</v>
      </c>
      <c r="D90" s="179">
        <v>437.5</v>
      </c>
      <c r="E90" s="174" t="s">
        <v>81</v>
      </c>
      <c r="F90" s="175"/>
    </row>
    <row r="91" spans="1:6" ht="14.4">
      <c r="A91" s="174" t="s">
        <v>6</v>
      </c>
      <c r="B91" s="168">
        <v>41967</v>
      </c>
      <c r="C91" s="168" t="s">
        <v>147</v>
      </c>
      <c r="D91" s="179">
        <v>177.86</v>
      </c>
      <c r="E91" s="174" t="s">
        <v>81</v>
      </c>
      <c r="F91" s="175"/>
    </row>
    <row r="92" spans="1:6" ht="14.4">
      <c r="A92" s="174" t="s">
        <v>6</v>
      </c>
      <c r="B92" s="168">
        <v>40914</v>
      </c>
      <c r="C92" s="168" t="s">
        <v>148</v>
      </c>
      <c r="D92" s="179">
        <v>0</v>
      </c>
      <c r="E92" s="174" t="s">
        <v>81</v>
      </c>
      <c r="F92" s="175"/>
    </row>
    <row r="93" spans="1:6" ht="14.4">
      <c r="A93" s="174" t="s">
        <v>6</v>
      </c>
      <c r="B93" s="168">
        <v>44581</v>
      </c>
      <c r="C93" s="168" t="s">
        <v>149</v>
      </c>
      <c r="D93" s="179">
        <v>0</v>
      </c>
      <c r="E93" s="174" t="s">
        <v>81</v>
      </c>
      <c r="F93" s="175"/>
    </row>
    <row r="94" spans="1:6" ht="14.4">
      <c r="A94" s="174" t="s">
        <v>6</v>
      </c>
      <c r="B94" s="168">
        <v>43131</v>
      </c>
      <c r="C94" s="168" t="s">
        <v>150</v>
      </c>
      <c r="D94" s="179">
        <v>0</v>
      </c>
      <c r="E94" s="174" t="s">
        <v>81</v>
      </c>
      <c r="F94" s="175"/>
    </row>
    <row r="95" spans="1:6" ht="14.4">
      <c r="A95" s="174" t="s">
        <v>6</v>
      </c>
      <c r="B95" s="168">
        <v>27411</v>
      </c>
      <c r="C95" s="168" t="s">
        <v>151</v>
      </c>
      <c r="D95" s="179">
        <v>0</v>
      </c>
      <c r="E95" s="174" t="s">
        <v>81</v>
      </c>
      <c r="F95" s="175"/>
    </row>
    <row r="96" spans="1:6" ht="14.4">
      <c r="A96" s="174" t="s">
        <v>6</v>
      </c>
      <c r="B96" s="168">
        <v>36248</v>
      </c>
      <c r="C96" s="168" t="s">
        <v>152</v>
      </c>
      <c r="D96" s="179">
        <v>0</v>
      </c>
      <c r="E96" s="174" t="s">
        <v>81</v>
      </c>
      <c r="F96" s="175"/>
    </row>
    <row r="97" spans="1:6" ht="14.4">
      <c r="A97" s="174" t="s">
        <v>6</v>
      </c>
      <c r="B97" s="168">
        <v>2425</v>
      </c>
      <c r="C97" s="168" t="s">
        <v>153</v>
      </c>
      <c r="D97" s="179">
        <v>0</v>
      </c>
      <c r="E97" s="174" t="s">
        <v>81</v>
      </c>
      <c r="F97" s="175"/>
    </row>
    <row r="98" spans="1:6" ht="14.4">
      <c r="A98" s="174" t="s">
        <v>6</v>
      </c>
      <c r="B98" s="169">
        <v>24254</v>
      </c>
      <c r="C98" s="168" t="s">
        <v>154</v>
      </c>
      <c r="D98" s="179">
        <v>0</v>
      </c>
      <c r="E98" s="174" t="s">
        <v>81</v>
      </c>
      <c r="F98" s="175"/>
    </row>
    <row r="99" spans="1:6" ht="14.4">
      <c r="A99" s="174" t="s">
        <v>6</v>
      </c>
      <c r="B99" s="168">
        <v>42652</v>
      </c>
      <c r="C99" s="168" t="s">
        <v>155</v>
      </c>
      <c r="D99" s="179">
        <v>0</v>
      </c>
      <c r="E99" s="174" t="s">
        <v>81</v>
      </c>
      <c r="F99" s="175"/>
    </row>
    <row r="100" spans="1:6" ht="14.4">
      <c r="A100" s="174" t="s">
        <v>6</v>
      </c>
      <c r="B100" s="168">
        <v>30292</v>
      </c>
      <c r="C100" s="168" t="s">
        <v>156</v>
      </c>
      <c r="D100" s="179">
        <v>0</v>
      </c>
      <c r="E100" s="174" t="s">
        <v>81</v>
      </c>
      <c r="F100" s="175"/>
    </row>
    <row r="101" spans="1:6" ht="14.4">
      <c r="A101" s="174" t="s">
        <v>6</v>
      </c>
      <c r="B101" s="168">
        <v>39127</v>
      </c>
      <c r="C101" s="168" t="s">
        <v>157</v>
      </c>
      <c r="D101" s="179">
        <v>0</v>
      </c>
      <c r="E101" s="174" t="s">
        <v>81</v>
      </c>
      <c r="F101" s="175"/>
    </row>
    <row r="102" spans="1:6" ht="14.4">
      <c r="A102" s="174" t="s">
        <v>7</v>
      </c>
      <c r="B102" s="168">
        <v>23621</v>
      </c>
      <c r="C102" s="168" t="s">
        <v>119</v>
      </c>
      <c r="D102" s="179">
        <v>273.19</v>
      </c>
      <c r="E102" s="174" t="s">
        <v>81</v>
      </c>
      <c r="F102" s="175"/>
    </row>
    <row r="103" spans="1:6" ht="14.4">
      <c r="A103" s="174" t="s">
        <v>7</v>
      </c>
      <c r="B103" s="168">
        <v>44106</v>
      </c>
      <c r="C103" s="168" t="s">
        <v>120</v>
      </c>
      <c r="D103" s="179">
        <v>588.66000000000008</v>
      </c>
      <c r="E103" s="174" t="s">
        <v>81</v>
      </c>
      <c r="F103" s="175"/>
    </row>
    <row r="104" spans="1:6" ht="14.4">
      <c r="A104" s="174" t="s">
        <v>7</v>
      </c>
      <c r="B104" s="168">
        <v>44364</v>
      </c>
      <c r="C104" s="168" t="s">
        <v>121</v>
      </c>
      <c r="D104" s="179">
        <v>670.49</v>
      </c>
      <c r="E104" s="174" t="s">
        <v>81</v>
      </c>
      <c r="F104" s="175"/>
    </row>
    <row r="105" spans="1:6" ht="14.4">
      <c r="A105" s="174" t="s">
        <v>7</v>
      </c>
      <c r="B105" s="169">
        <v>29622</v>
      </c>
      <c r="C105" s="168" t="s">
        <v>122</v>
      </c>
      <c r="D105" s="179">
        <v>415.4</v>
      </c>
      <c r="E105" s="174" t="s">
        <v>81</v>
      </c>
      <c r="F105" s="175"/>
    </row>
    <row r="106" spans="1:6" ht="14.4">
      <c r="A106" s="174" t="s">
        <v>7</v>
      </c>
      <c r="B106" s="169">
        <v>40214</v>
      </c>
      <c r="C106" s="168" t="s">
        <v>123</v>
      </c>
      <c r="D106" s="179">
        <v>0</v>
      </c>
      <c r="E106" s="174" t="s">
        <v>81</v>
      </c>
      <c r="F106" s="175"/>
    </row>
    <row r="107" spans="1:6" ht="14.4">
      <c r="A107" s="174" t="s">
        <v>7</v>
      </c>
      <c r="B107" s="168">
        <v>16902</v>
      </c>
      <c r="C107" s="168" t="s">
        <v>124</v>
      </c>
      <c r="D107" s="179">
        <v>0</v>
      </c>
      <c r="E107" s="174" t="s">
        <v>81</v>
      </c>
      <c r="F107" s="175"/>
    </row>
    <row r="108" spans="1:6" ht="14.4">
      <c r="A108" s="174" t="s">
        <v>7</v>
      </c>
      <c r="B108" s="168">
        <v>43912</v>
      </c>
      <c r="C108" s="168" t="s">
        <v>125</v>
      </c>
      <c r="D108" s="179">
        <v>0</v>
      </c>
      <c r="E108" s="174" t="s">
        <v>81</v>
      </c>
      <c r="F108" s="175"/>
    </row>
    <row r="109" spans="1:6" ht="14.4">
      <c r="A109" s="174" t="s">
        <v>7</v>
      </c>
      <c r="B109" s="169">
        <v>36451</v>
      </c>
      <c r="C109" s="168" t="s">
        <v>127</v>
      </c>
      <c r="D109" s="179">
        <v>0</v>
      </c>
      <c r="E109" s="174" t="s">
        <v>81</v>
      </c>
      <c r="F109" s="175"/>
    </row>
    <row r="110" spans="1:6" ht="14.4">
      <c r="A110" s="174" t="s">
        <v>7</v>
      </c>
      <c r="B110" s="168">
        <v>42285</v>
      </c>
      <c r="C110" s="168" t="s">
        <v>128</v>
      </c>
      <c r="D110" s="179">
        <v>0</v>
      </c>
      <c r="E110" s="174" t="s">
        <v>81</v>
      </c>
      <c r="F110" s="175"/>
    </row>
    <row r="111" spans="1:6" ht="14.4">
      <c r="A111" s="174" t="s">
        <v>7</v>
      </c>
      <c r="B111" s="168">
        <v>38884</v>
      </c>
      <c r="C111" s="168" t="s">
        <v>129</v>
      </c>
      <c r="D111" s="179">
        <v>0</v>
      </c>
      <c r="E111" s="174" t="s">
        <v>81</v>
      </c>
      <c r="F111" s="175"/>
    </row>
    <row r="112" spans="1:6" ht="14.4">
      <c r="A112" s="174" t="s">
        <v>7</v>
      </c>
      <c r="B112" s="169">
        <v>45080</v>
      </c>
      <c r="C112" s="168" t="s">
        <v>130</v>
      </c>
      <c r="D112" s="179">
        <v>0</v>
      </c>
      <c r="E112" s="174" t="s">
        <v>81</v>
      </c>
      <c r="F112" s="175"/>
    </row>
    <row r="113" spans="1:6" ht="14.4">
      <c r="A113" s="174" t="s">
        <v>7</v>
      </c>
      <c r="B113" s="169">
        <v>31636</v>
      </c>
      <c r="C113" s="168" t="s">
        <v>131</v>
      </c>
      <c r="D113" s="179">
        <v>0</v>
      </c>
      <c r="E113" s="174" t="s">
        <v>81</v>
      </c>
      <c r="F113" s="175"/>
    </row>
    <row r="114" spans="1:6" ht="14.4">
      <c r="A114" s="174" t="s">
        <v>7</v>
      </c>
      <c r="B114" s="168">
        <v>42559</v>
      </c>
      <c r="C114" s="168" t="s">
        <v>132</v>
      </c>
      <c r="D114" s="179">
        <v>0</v>
      </c>
      <c r="E114" s="174" t="s">
        <v>81</v>
      </c>
      <c r="F114" s="175"/>
    </row>
    <row r="115" spans="1:6" ht="14.4">
      <c r="A115" s="174" t="s">
        <v>7</v>
      </c>
      <c r="B115" s="169">
        <v>29084</v>
      </c>
      <c r="C115" s="168" t="s">
        <v>133</v>
      </c>
      <c r="D115" s="179">
        <v>0</v>
      </c>
      <c r="E115" s="174" t="s">
        <v>81</v>
      </c>
      <c r="F115" s="175"/>
    </row>
    <row r="116" spans="1:6" ht="14.4">
      <c r="A116" s="174" t="s">
        <v>7</v>
      </c>
      <c r="B116" s="169">
        <v>41123</v>
      </c>
      <c r="C116" s="168" t="s">
        <v>134</v>
      </c>
      <c r="D116" s="179">
        <v>0</v>
      </c>
      <c r="E116" s="174" t="s">
        <v>81</v>
      </c>
      <c r="F116" s="175"/>
    </row>
    <row r="117" spans="1:6" ht="14.4">
      <c r="A117" s="174" t="s">
        <v>7</v>
      </c>
      <c r="B117" s="169">
        <v>38358</v>
      </c>
      <c r="C117" s="168" t="s">
        <v>135</v>
      </c>
      <c r="D117" s="179">
        <v>0</v>
      </c>
      <c r="E117" s="174" t="s">
        <v>81</v>
      </c>
      <c r="F117" s="175"/>
    </row>
    <row r="118" spans="1:6" ht="14.4">
      <c r="A118" s="174" t="s">
        <v>7</v>
      </c>
      <c r="B118" s="169">
        <v>30929</v>
      </c>
      <c r="C118" s="168" t="s">
        <v>136</v>
      </c>
      <c r="D118" s="179">
        <v>0</v>
      </c>
      <c r="E118" s="174" t="s">
        <v>81</v>
      </c>
      <c r="F118" s="175"/>
    </row>
    <row r="119" spans="1:6" ht="14.4">
      <c r="A119" s="174" t="s">
        <v>7</v>
      </c>
      <c r="B119" s="169">
        <v>28933</v>
      </c>
      <c r="C119" s="168" t="s">
        <v>137</v>
      </c>
      <c r="D119" s="179">
        <v>0</v>
      </c>
      <c r="E119" s="174" t="s">
        <v>81</v>
      </c>
      <c r="F119" s="175"/>
    </row>
    <row r="120" spans="1:6" ht="14.4">
      <c r="A120" s="174" t="s">
        <v>7</v>
      </c>
      <c r="B120" s="169">
        <v>38139</v>
      </c>
      <c r="C120" s="168" t="s">
        <v>138</v>
      </c>
      <c r="D120" s="179">
        <v>0</v>
      </c>
      <c r="E120" s="174" t="s">
        <v>81</v>
      </c>
      <c r="F120" s="175"/>
    </row>
    <row r="121" spans="1:6" ht="14.4">
      <c r="A121" s="174" t="s">
        <v>7</v>
      </c>
      <c r="B121" s="169">
        <v>34343</v>
      </c>
      <c r="C121" s="168" t="s">
        <v>139</v>
      </c>
      <c r="D121" s="179">
        <v>0</v>
      </c>
      <c r="E121" s="174" t="s">
        <v>81</v>
      </c>
      <c r="F121" s="175"/>
    </row>
    <row r="122" spans="1:6" ht="14.4">
      <c r="A122" s="174" t="s">
        <v>56</v>
      </c>
      <c r="B122" s="170">
        <v>33463</v>
      </c>
      <c r="C122" s="170" t="s">
        <v>165</v>
      </c>
      <c r="D122" s="180">
        <v>745.8</v>
      </c>
      <c r="E122" s="174" t="s">
        <v>81</v>
      </c>
      <c r="F122" s="175"/>
    </row>
    <row r="123" spans="1:6" ht="14.4">
      <c r="A123" s="174" t="s">
        <v>56</v>
      </c>
      <c r="B123" s="170">
        <v>42936</v>
      </c>
      <c r="C123" s="170" t="s">
        <v>166</v>
      </c>
      <c r="D123" s="180">
        <v>183.75</v>
      </c>
      <c r="E123" s="174" t="s">
        <v>81</v>
      </c>
      <c r="F123" s="175"/>
    </row>
    <row r="124" spans="1:6" ht="14.4">
      <c r="A124" s="174" t="s">
        <v>56</v>
      </c>
      <c r="B124" s="170">
        <v>30921</v>
      </c>
      <c r="C124" s="170" t="s">
        <v>167</v>
      </c>
      <c r="D124" s="180">
        <v>210.64999999999998</v>
      </c>
      <c r="E124" s="174" t="s">
        <v>81</v>
      </c>
      <c r="F124" s="175"/>
    </row>
    <row r="125" spans="1:6" ht="14.4">
      <c r="A125" s="174" t="s">
        <v>56</v>
      </c>
      <c r="B125" s="170">
        <v>12165</v>
      </c>
      <c r="C125" s="170" t="s">
        <v>168</v>
      </c>
      <c r="D125" s="180">
        <v>420.18</v>
      </c>
      <c r="E125" s="174" t="s">
        <v>81</v>
      </c>
      <c r="F125" s="175"/>
    </row>
    <row r="126" spans="1:6" ht="14.4">
      <c r="A126" s="174" t="s">
        <v>56</v>
      </c>
      <c r="B126" s="170">
        <v>28192</v>
      </c>
      <c r="C126" s="170" t="s">
        <v>169</v>
      </c>
      <c r="D126" s="180">
        <v>0</v>
      </c>
      <c r="E126" s="174" t="s">
        <v>81</v>
      </c>
      <c r="F126" s="175"/>
    </row>
    <row r="127" spans="1:6" ht="14.4">
      <c r="A127" s="174" t="s">
        <v>56</v>
      </c>
      <c r="B127" s="170">
        <v>37151</v>
      </c>
      <c r="C127" s="170" t="s">
        <v>170</v>
      </c>
      <c r="D127" s="180">
        <v>0</v>
      </c>
      <c r="E127" s="174" t="s">
        <v>81</v>
      </c>
      <c r="F127" s="175"/>
    </row>
    <row r="128" spans="1:6" ht="14.4">
      <c r="A128" s="174" t="s">
        <v>56</v>
      </c>
      <c r="B128" s="170">
        <v>44572</v>
      </c>
      <c r="C128" s="170" t="s">
        <v>171</v>
      </c>
      <c r="D128" s="180">
        <v>0</v>
      </c>
      <c r="E128" s="174" t="s">
        <v>81</v>
      </c>
      <c r="F128" s="175"/>
    </row>
    <row r="129" spans="1:6" ht="14.4">
      <c r="A129" s="174" t="s">
        <v>56</v>
      </c>
      <c r="B129" s="170">
        <v>32604</v>
      </c>
      <c r="C129" s="170" t="s">
        <v>173</v>
      </c>
      <c r="D129" s="180">
        <v>0</v>
      </c>
      <c r="E129" s="174" t="s">
        <v>81</v>
      </c>
      <c r="F129" s="175"/>
    </row>
    <row r="130" spans="1:6" ht="14.4">
      <c r="A130" s="174" t="s">
        <v>56</v>
      </c>
      <c r="B130" s="170">
        <v>30889</v>
      </c>
      <c r="C130" s="170" t="s">
        <v>174</v>
      </c>
      <c r="D130" s="180">
        <v>0</v>
      </c>
      <c r="E130" s="174" t="s">
        <v>81</v>
      </c>
      <c r="F130" s="175"/>
    </row>
    <row r="131" spans="1:6" ht="14.4">
      <c r="A131" s="174" t="s">
        <v>56</v>
      </c>
      <c r="B131" s="170">
        <v>20583</v>
      </c>
      <c r="C131" s="170" t="s">
        <v>175</v>
      </c>
      <c r="D131" s="180">
        <v>0</v>
      </c>
      <c r="E131" s="174" t="s">
        <v>81</v>
      </c>
      <c r="F131" s="175"/>
    </row>
    <row r="132" spans="1:6" ht="14.4">
      <c r="A132" s="174" t="s">
        <v>56</v>
      </c>
      <c r="B132" s="170">
        <v>21387</v>
      </c>
      <c r="C132" s="170" t="s">
        <v>176</v>
      </c>
      <c r="D132" s="180">
        <v>0</v>
      </c>
      <c r="E132" s="174" t="s">
        <v>81</v>
      </c>
      <c r="F132" s="175"/>
    </row>
    <row r="133" spans="1:6" ht="14.4">
      <c r="A133" s="174" t="s">
        <v>56</v>
      </c>
      <c r="B133" s="170">
        <v>35547</v>
      </c>
      <c r="C133" s="170" t="s">
        <v>177</v>
      </c>
      <c r="D133" s="180">
        <v>0</v>
      </c>
      <c r="E133" s="174" t="s">
        <v>81</v>
      </c>
      <c r="F133" s="175"/>
    </row>
    <row r="134" spans="1:6" ht="14.4">
      <c r="A134" s="174" t="s">
        <v>56</v>
      </c>
      <c r="B134" s="170">
        <v>42774</v>
      </c>
      <c r="C134" s="170" t="s">
        <v>178</v>
      </c>
      <c r="D134" s="180">
        <v>0</v>
      </c>
      <c r="E134" s="174" t="s">
        <v>81</v>
      </c>
      <c r="F134" s="175"/>
    </row>
    <row r="135" spans="1:6" ht="14.4">
      <c r="A135" s="174" t="s">
        <v>56</v>
      </c>
      <c r="B135" s="170">
        <v>10376</v>
      </c>
      <c r="C135" s="170" t="s">
        <v>180</v>
      </c>
      <c r="D135" s="180">
        <v>0</v>
      </c>
      <c r="E135" s="174" t="s">
        <v>81</v>
      </c>
      <c r="F135" s="175"/>
    </row>
    <row r="136" spans="1:6" ht="14.4">
      <c r="A136" s="174" t="s">
        <v>56</v>
      </c>
      <c r="B136" s="170">
        <v>41363</v>
      </c>
      <c r="C136" s="170" t="s">
        <v>181</v>
      </c>
      <c r="D136" s="180">
        <v>0</v>
      </c>
      <c r="E136" s="174" t="s">
        <v>81</v>
      </c>
      <c r="F136" s="175"/>
    </row>
    <row r="137" spans="1:6" ht="14.4">
      <c r="A137" s="174" t="s">
        <v>56</v>
      </c>
      <c r="B137" s="170">
        <v>40966</v>
      </c>
      <c r="C137" s="170" t="s">
        <v>182</v>
      </c>
      <c r="D137" s="180">
        <v>0</v>
      </c>
      <c r="E137" s="174" t="s">
        <v>81</v>
      </c>
      <c r="F137" s="175"/>
    </row>
    <row r="138" spans="1:6" ht="14.4">
      <c r="A138" s="174" t="s">
        <v>56</v>
      </c>
      <c r="B138" s="170">
        <v>33732</v>
      </c>
      <c r="C138" s="170" t="s">
        <v>183</v>
      </c>
      <c r="D138" s="180">
        <v>0</v>
      </c>
      <c r="E138" s="174" t="s">
        <v>81</v>
      </c>
      <c r="F138" s="175"/>
    </row>
    <row r="139" spans="1:6" ht="14.4">
      <c r="A139" s="174" t="s">
        <v>56</v>
      </c>
      <c r="B139" s="170">
        <v>43985</v>
      </c>
      <c r="C139" s="170" t="s">
        <v>184</v>
      </c>
      <c r="D139" s="180">
        <v>0</v>
      </c>
      <c r="E139" s="174" t="s">
        <v>81</v>
      </c>
      <c r="F139" s="175"/>
    </row>
    <row r="140" spans="1:6" ht="14.4">
      <c r="A140" s="174" t="s">
        <v>56</v>
      </c>
      <c r="B140" s="170">
        <v>26794</v>
      </c>
      <c r="C140" s="170" t="s">
        <v>333</v>
      </c>
      <c r="D140" s="180">
        <v>0</v>
      </c>
      <c r="E140" s="174" t="s">
        <v>81</v>
      </c>
      <c r="F140" s="175"/>
    </row>
    <row r="141" spans="1:6" ht="14.4">
      <c r="A141" s="174" t="s">
        <v>56</v>
      </c>
      <c r="B141" s="170">
        <v>20012</v>
      </c>
      <c r="C141" s="170" t="s">
        <v>187</v>
      </c>
      <c r="D141" s="180">
        <v>0</v>
      </c>
      <c r="E141" s="174" t="s">
        <v>81</v>
      </c>
      <c r="F141" s="175"/>
    </row>
    <row r="142" spans="1:6" ht="14.4">
      <c r="A142" s="174" t="s">
        <v>56</v>
      </c>
      <c r="B142" s="170">
        <v>31923</v>
      </c>
      <c r="C142" s="170" t="s">
        <v>188</v>
      </c>
      <c r="D142" s="180">
        <v>0</v>
      </c>
      <c r="E142" s="174" t="s">
        <v>81</v>
      </c>
      <c r="F142" s="175"/>
    </row>
    <row r="143" spans="1:6" ht="14.4">
      <c r="A143" s="174" t="s">
        <v>56</v>
      </c>
      <c r="B143" s="170">
        <v>37503</v>
      </c>
      <c r="C143" s="170" t="s">
        <v>190</v>
      </c>
      <c r="D143" s="180">
        <v>0</v>
      </c>
      <c r="E143" s="174" t="s">
        <v>81</v>
      </c>
      <c r="F143" s="175"/>
    </row>
    <row r="144" spans="1:6" ht="14.4">
      <c r="A144" s="174" t="s">
        <v>56</v>
      </c>
      <c r="B144" s="171">
        <v>39901</v>
      </c>
      <c r="C144" s="170" t="s">
        <v>328</v>
      </c>
      <c r="D144" s="180">
        <v>0</v>
      </c>
      <c r="E144" s="174" t="s">
        <v>81</v>
      </c>
      <c r="F144" s="175"/>
    </row>
    <row r="145" spans="1:6" ht="14.4">
      <c r="A145" s="174" t="s">
        <v>10</v>
      </c>
      <c r="B145" s="168">
        <v>43013</v>
      </c>
      <c r="C145" s="172" t="s">
        <v>194</v>
      </c>
      <c r="D145" s="179">
        <v>533.70000000000005</v>
      </c>
      <c r="E145" s="174" t="s">
        <v>81</v>
      </c>
      <c r="F145" s="175"/>
    </row>
    <row r="146" spans="1:6" ht="14.4">
      <c r="A146" s="174" t="s">
        <v>10</v>
      </c>
      <c r="B146" s="168">
        <v>38936</v>
      </c>
      <c r="C146" s="172" t="s">
        <v>195</v>
      </c>
      <c r="D146" s="179">
        <v>179.85</v>
      </c>
      <c r="E146" s="174" t="s">
        <v>81</v>
      </c>
      <c r="F146" s="175"/>
    </row>
    <row r="147" spans="1:6" ht="14.4">
      <c r="A147" s="174" t="s">
        <v>10</v>
      </c>
      <c r="B147" s="168">
        <v>7546</v>
      </c>
      <c r="C147" s="172" t="s">
        <v>196</v>
      </c>
      <c r="D147" s="179">
        <v>369.95</v>
      </c>
      <c r="E147" s="174" t="s">
        <v>81</v>
      </c>
      <c r="F147" s="175"/>
    </row>
    <row r="148" spans="1:6" ht="14.4">
      <c r="A148" s="174" t="s">
        <v>10</v>
      </c>
      <c r="B148" s="168">
        <v>34899</v>
      </c>
      <c r="C148" s="172" t="s">
        <v>197</v>
      </c>
      <c r="D148" s="179">
        <v>363.95</v>
      </c>
      <c r="E148" s="174" t="s">
        <v>81</v>
      </c>
      <c r="F148" s="175"/>
    </row>
    <row r="149" spans="1:6" ht="14.4">
      <c r="A149" s="174" t="s">
        <v>10</v>
      </c>
      <c r="B149" s="168">
        <v>25124</v>
      </c>
      <c r="C149" s="172" t="s">
        <v>198</v>
      </c>
      <c r="D149" s="179">
        <v>0</v>
      </c>
      <c r="E149" s="174" t="s">
        <v>81</v>
      </c>
      <c r="F149" s="175"/>
    </row>
    <row r="150" spans="1:6" ht="14.4">
      <c r="A150" s="174" t="s">
        <v>10</v>
      </c>
      <c r="B150" s="168">
        <v>25071</v>
      </c>
      <c r="C150" s="172" t="s">
        <v>199</v>
      </c>
      <c r="D150" s="179">
        <v>0</v>
      </c>
      <c r="E150" s="174" t="s">
        <v>81</v>
      </c>
      <c r="F150" s="175"/>
    </row>
    <row r="151" spans="1:6" ht="14.4">
      <c r="A151" s="174" t="s">
        <v>10</v>
      </c>
      <c r="B151" s="168">
        <v>40561</v>
      </c>
      <c r="C151" s="172" t="s">
        <v>200</v>
      </c>
      <c r="D151" s="179">
        <v>0</v>
      </c>
      <c r="E151" s="174" t="s">
        <v>81</v>
      </c>
      <c r="F151" s="175"/>
    </row>
    <row r="152" spans="1:6" ht="14.4">
      <c r="A152" s="174" t="s">
        <v>10</v>
      </c>
      <c r="B152" s="168">
        <v>44255</v>
      </c>
      <c r="C152" s="172" t="s">
        <v>201</v>
      </c>
      <c r="D152" s="179">
        <v>0</v>
      </c>
      <c r="E152" s="174" t="s">
        <v>81</v>
      </c>
      <c r="F152" s="175"/>
    </row>
    <row r="153" spans="1:6" ht="14.4">
      <c r="A153" s="174" t="s">
        <v>10</v>
      </c>
      <c r="B153" s="168">
        <v>38812</v>
      </c>
      <c r="C153" s="172" t="s">
        <v>203</v>
      </c>
      <c r="D153" s="179">
        <v>0</v>
      </c>
      <c r="E153" s="174" t="s">
        <v>81</v>
      </c>
      <c r="F153" s="175"/>
    </row>
    <row r="154" spans="1:6" ht="14.4">
      <c r="A154" s="174" t="s">
        <v>10</v>
      </c>
      <c r="B154" s="168">
        <v>39732</v>
      </c>
      <c r="C154" s="172" t="s">
        <v>204</v>
      </c>
      <c r="D154" s="179">
        <v>0</v>
      </c>
      <c r="E154" s="174" t="s">
        <v>81</v>
      </c>
      <c r="F154" s="175"/>
    </row>
    <row r="155" spans="1:6" ht="14.4">
      <c r="A155" s="174" t="s">
        <v>10</v>
      </c>
      <c r="B155" s="168">
        <v>35511</v>
      </c>
      <c r="C155" s="172" t="s">
        <v>205</v>
      </c>
      <c r="D155" s="179">
        <v>0</v>
      </c>
      <c r="E155" s="174" t="s">
        <v>81</v>
      </c>
      <c r="F155" s="175"/>
    </row>
    <row r="156" spans="1:6" ht="14.4">
      <c r="A156" s="174" t="s">
        <v>10</v>
      </c>
      <c r="B156" s="168">
        <v>29827</v>
      </c>
      <c r="C156" s="172" t="s">
        <v>206</v>
      </c>
      <c r="D156" s="179">
        <v>0</v>
      </c>
      <c r="E156" s="174" t="s">
        <v>81</v>
      </c>
      <c r="F156" s="175"/>
    </row>
    <row r="157" spans="1:6" ht="14.4">
      <c r="A157" s="174" t="s">
        <v>10</v>
      </c>
      <c r="B157" s="168">
        <v>32789</v>
      </c>
      <c r="C157" s="172" t="s">
        <v>207</v>
      </c>
      <c r="D157" s="179">
        <v>0</v>
      </c>
      <c r="E157" s="174" t="s">
        <v>81</v>
      </c>
      <c r="F157" s="175"/>
    </row>
    <row r="158" spans="1:6" ht="14.4">
      <c r="A158" s="174" t="s">
        <v>10</v>
      </c>
      <c r="B158" s="168">
        <v>43804</v>
      </c>
      <c r="C158" s="172" t="s">
        <v>208</v>
      </c>
      <c r="D158" s="179">
        <v>0</v>
      </c>
      <c r="E158" s="174" t="s">
        <v>81</v>
      </c>
      <c r="F158" s="175"/>
    </row>
    <row r="159" spans="1:6" ht="14.4">
      <c r="A159" s="174" t="s">
        <v>10</v>
      </c>
      <c r="B159" s="168">
        <v>42832</v>
      </c>
      <c r="C159" s="172" t="s">
        <v>210</v>
      </c>
      <c r="D159" s="179">
        <v>0</v>
      </c>
      <c r="E159" s="174" t="s">
        <v>81</v>
      </c>
      <c r="F159" s="175"/>
    </row>
    <row r="160" spans="1:6" ht="14.4">
      <c r="A160" s="174" t="s">
        <v>10</v>
      </c>
      <c r="B160" s="168">
        <v>39094</v>
      </c>
      <c r="C160" s="172" t="s">
        <v>211</v>
      </c>
      <c r="D160" s="179">
        <v>0</v>
      </c>
      <c r="E160" s="174" t="s">
        <v>81</v>
      </c>
      <c r="F160" s="175"/>
    </row>
    <row r="161" spans="1:6" ht="14.4">
      <c r="A161" s="174" t="s">
        <v>8</v>
      </c>
      <c r="B161" s="170">
        <v>26746</v>
      </c>
      <c r="C161" s="170" t="s">
        <v>158</v>
      </c>
      <c r="D161" s="180">
        <v>309.64999999999998</v>
      </c>
      <c r="E161" s="174" t="s">
        <v>81</v>
      </c>
      <c r="F161" s="175"/>
    </row>
    <row r="162" spans="1:6" ht="14.4">
      <c r="A162" s="174" t="s">
        <v>8</v>
      </c>
      <c r="B162" s="170">
        <v>42957</v>
      </c>
      <c r="C162" s="170" t="s">
        <v>159</v>
      </c>
      <c r="D162" s="180">
        <v>0</v>
      </c>
      <c r="E162" s="174" t="s">
        <v>81</v>
      </c>
      <c r="F162" s="175"/>
    </row>
    <row r="163" spans="1:6" ht="14.4">
      <c r="A163" s="174" t="s">
        <v>8</v>
      </c>
      <c r="B163" s="170">
        <v>29236</v>
      </c>
      <c r="C163" s="170" t="s">
        <v>160</v>
      </c>
      <c r="D163" s="180">
        <v>0</v>
      </c>
      <c r="E163" s="174" t="s">
        <v>81</v>
      </c>
      <c r="F163" s="175"/>
    </row>
    <row r="164" spans="1:6" ht="14.4">
      <c r="A164" s="174" t="s">
        <v>8</v>
      </c>
      <c r="B164" s="170">
        <v>44928</v>
      </c>
      <c r="C164" s="170" t="s">
        <v>161</v>
      </c>
      <c r="D164" s="180">
        <v>0</v>
      </c>
      <c r="E164" s="174" t="s">
        <v>81</v>
      </c>
      <c r="F164" s="175"/>
    </row>
    <row r="165" spans="1:6" ht="14.4">
      <c r="A165" s="174" t="s">
        <v>8</v>
      </c>
      <c r="B165" s="170">
        <v>38149</v>
      </c>
      <c r="C165" s="170" t="s">
        <v>162</v>
      </c>
      <c r="D165" s="180">
        <v>0</v>
      </c>
      <c r="E165" s="174" t="s">
        <v>81</v>
      </c>
      <c r="F165" s="175"/>
    </row>
    <row r="166" spans="1:6" ht="14.4">
      <c r="A166" s="174" t="s">
        <v>8</v>
      </c>
      <c r="B166" s="170">
        <v>34645</v>
      </c>
      <c r="C166" s="170" t="s">
        <v>164</v>
      </c>
      <c r="D166" s="180">
        <v>0</v>
      </c>
      <c r="E166" s="174" t="s">
        <v>81</v>
      </c>
      <c r="F166" s="175"/>
    </row>
    <row r="167" spans="1:6" ht="14.4">
      <c r="A167" s="174" t="s">
        <v>7</v>
      </c>
      <c r="B167" s="168">
        <v>25853</v>
      </c>
      <c r="C167" s="168" t="s">
        <v>140</v>
      </c>
      <c r="D167" s="179">
        <v>437.4</v>
      </c>
      <c r="E167" s="174" t="s">
        <v>80</v>
      </c>
      <c r="F167" s="175"/>
    </row>
    <row r="168" spans="1:6" ht="14.4">
      <c r="A168" s="174" t="s">
        <v>6</v>
      </c>
      <c r="B168" s="168">
        <v>2010</v>
      </c>
      <c r="C168" s="168" t="s">
        <v>264</v>
      </c>
      <c r="D168" s="179">
        <v>248.95</v>
      </c>
      <c r="E168" s="174" t="s">
        <v>80</v>
      </c>
      <c r="F168" s="175"/>
    </row>
    <row r="169" spans="1:6" ht="14.4">
      <c r="A169" s="174" t="s">
        <v>6</v>
      </c>
      <c r="B169" s="168">
        <v>34261</v>
      </c>
      <c r="C169" s="168" t="s">
        <v>269</v>
      </c>
      <c r="D169" s="179">
        <v>344.45</v>
      </c>
      <c r="E169" s="174" t="s">
        <v>80</v>
      </c>
      <c r="F169" s="175"/>
    </row>
    <row r="170" spans="1:6" ht="14.4">
      <c r="A170" s="174" t="s">
        <v>6</v>
      </c>
      <c r="B170" s="168">
        <v>32987</v>
      </c>
      <c r="C170" s="168" t="s">
        <v>273</v>
      </c>
      <c r="D170" s="179">
        <v>685.40000000000009</v>
      </c>
      <c r="E170" s="174" t="s">
        <v>80</v>
      </c>
      <c r="F170" s="175"/>
    </row>
    <row r="171" spans="1:6" ht="14.4">
      <c r="A171" s="174" t="s">
        <v>6</v>
      </c>
      <c r="B171" s="168">
        <v>18344</v>
      </c>
      <c r="C171" s="168" t="s">
        <v>278</v>
      </c>
      <c r="D171" s="179">
        <v>1968</v>
      </c>
      <c r="E171" s="174" t="s">
        <v>80</v>
      </c>
      <c r="F171" s="175"/>
    </row>
    <row r="172" spans="1:6" ht="14.4">
      <c r="A172" s="174" t="s">
        <v>6</v>
      </c>
      <c r="B172" s="168">
        <v>7029</v>
      </c>
      <c r="C172" s="168" t="s">
        <v>283</v>
      </c>
      <c r="D172" s="179">
        <v>775.97</v>
      </c>
      <c r="E172" s="174" t="s">
        <v>80</v>
      </c>
      <c r="F172" s="175"/>
    </row>
    <row r="173" spans="1:6" ht="14.4">
      <c r="A173" s="174" t="s">
        <v>6</v>
      </c>
      <c r="B173" s="168">
        <v>1346</v>
      </c>
      <c r="C173" s="168" t="s">
        <v>287</v>
      </c>
      <c r="D173" s="179">
        <v>441.59000000000003</v>
      </c>
      <c r="E173" s="174" t="s">
        <v>80</v>
      </c>
      <c r="F173" s="175"/>
    </row>
    <row r="174" spans="1:6" ht="14.4">
      <c r="A174" s="174" t="s">
        <v>6</v>
      </c>
      <c r="B174" s="168">
        <v>33080</v>
      </c>
      <c r="C174" s="168" t="s">
        <v>291</v>
      </c>
      <c r="D174" s="179">
        <v>208.26000000000002</v>
      </c>
      <c r="E174" s="174" t="s">
        <v>80</v>
      </c>
      <c r="F174" s="175"/>
    </row>
    <row r="175" spans="1:6" ht="14.4">
      <c r="A175" s="174" t="s">
        <v>6</v>
      </c>
      <c r="B175" s="168">
        <v>42836</v>
      </c>
      <c r="C175" s="168" t="s">
        <v>295</v>
      </c>
      <c r="D175" s="179">
        <v>179.75</v>
      </c>
      <c r="E175" s="174" t="s">
        <v>80</v>
      </c>
      <c r="F175" s="175"/>
    </row>
    <row r="176" spans="1:6" ht="14.4">
      <c r="A176" s="174" t="s">
        <v>6</v>
      </c>
      <c r="B176" s="169">
        <v>40921</v>
      </c>
      <c r="C176" s="168" t="s">
        <v>299</v>
      </c>
      <c r="D176" s="179">
        <v>251.40000199999997</v>
      </c>
      <c r="E176" s="174" t="s">
        <v>80</v>
      </c>
      <c r="F176" s="175"/>
    </row>
    <row r="177" spans="1:6" ht="14.4">
      <c r="A177" s="174" t="s">
        <v>6</v>
      </c>
      <c r="B177" s="169">
        <v>43346</v>
      </c>
      <c r="C177" s="168" t="s">
        <v>304</v>
      </c>
      <c r="D177" s="179">
        <v>219.29000000000002</v>
      </c>
      <c r="E177" s="174" t="s">
        <v>80</v>
      </c>
      <c r="F177" s="175"/>
    </row>
    <row r="178" spans="1:6" ht="14.4">
      <c r="A178" s="174" t="s">
        <v>7</v>
      </c>
      <c r="B178" s="168">
        <v>41737</v>
      </c>
      <c r="C178" s="168" t="s">
        <v>229</v>
      </c>
      <c r="D178" s="179">
        <v>307.36</v>
      </c>
      <c r="E178" s="174" t="s">
        <v>80</v>
      </c>
      <c r="F178" s="175"/>
    </row>
    <row r="179" spans="1:6" ht="14.4">
      <c r="A179" s="174" t="s">
        <v>7</v>
      </c>
      <c r="B179" s="169">
        <v>43104</v>
      </c>
      <c r="C179" s="168" t="s">
        <v>234</v>
      </c>
      <c r="D179" s="179">
        <v>212.34</v>
      </c>
      <c r="E179" s="174" t="s">
        <v>80</v>
      </c>
      <c r="F179" s="175"/>
    </row>
    <row r="180" spans="1:6" ht="14.4">
      <c r="A180" s="174" t="s">
        <v>7</v>
      </c>
      <c r="B180" s="169">
        <v>41723</v>
      </c>
      <c r="C180" s="168" t="s">
        <v>243</v>
      </c>
      <c r="D180" s="179">
        <v>201.58</v>
      </c>
      <c r="E180" s="174" t="s">
        <v>80</v>
      </c>
      <c r="F180" s="175"/>
    </row>
    <row r="181" spans="1:6" ht="14.4">
      <c r="A181" s="174" t="s">
        <v>7</v>
      </c>
      <c r="B181" s="169">
        <v>41854</v>
      </c>
      <c r="C181" s="168" t="s">
        <v>248</v>
      </c>
      <c r="D181" s="179">
        <v>156.91</v>
      </c>
      <c r="E181" s="174" t="s">
        <v>80</v>
      </c>
      <c r="F181" s="175"/>
    </row>
    <row r="182" spans="1:6" ht="14.4">
      <c r="A182" s="174" t="s">
        <v>7</v>
      </c>
      <c r="B182" s="168">
        <v>41885</v>
      </c>
      <c r="C182" s="168" t="s">
        <v>253</v>
      </c>
      <c r="D182" s="179">
        <v>1165.8800000000001</v>
      </c>
      <c r="E182" s="174" t="s">
        <v>80</v>
      </c>
      <c r="F182" s="175"/>
    </row>
    <row r="183" spans="1:6" ht="14.4">
      <c r="A183" s="174" t="s">
        <v>7</v>
      </c>
      <c r="B183" s="168">
        <v>38862</v>
      </c>
      <c r="C183" s="168" t="s">
        <v>257</v>
      </c>
      <c r="D183" s="179">
        <v>2598.8749999999995</v>
      </c>
      <c r="E183" s="174" t="s">
        <v>80</v>
      </c>
      <c r="F183" s="175"/>
    </row>
    <row r="184" spans="1:6" ht="14.4">
      <c r="A184" s="174" t="s">
        <v>7</v>
      </c>
      <c r="B184" s="169">
        <v>42939</v>
      </c>
      <c r="C184" s="168" t="s">
        <v>262</v>
      </c>
      <c r="D184" s="179">
        <v>237.75000000000003</v>
      </c>
      <c r="E184" s="174" t="s">
        <v>80</v>
      </c>
      <c r="F184" s="175"/>
    </row>
    <row r="185" spans="1:6" ht="14.4">
      <c r="A185" s="174" t="s">
        <v>7</v>
      </c>
      <c r="B185" s="168">
        <v>40109</v>
      </c>
      <c r="C185" s="168" t="s">
        <v>266</v>
      </c>
      <c r="D185" s="179">
        <v>682.44</v>
      </c>
      <c r="E185" s="174" t="s">
        <v>80</v>
      </c>
      <c r="F185" s="175"/>
    </row>
    <row r="186" spans="1:6" ht="14.4">
      <c r="A186" s="174" t="s">
        <v>7</v>
      </c>
      <c r="B186" s="168">
        <v>38623</v>
      </c>
      <c r="C186" s="168" t="s">
        <v>271</v>
      </c>
      <c r="D186" s="179">
        <v>674.28</v>
      </c>
      <c r="E186" s="174" t="s">
        <v>80</v>
      </c>
      <c r="F186" s="175"/>
    </row>
    <row r="187" spans="1:6" ht="14.4">
      <c r="A187" s="174" t="s">
        <v>7</v>
      </c>
      <c r="B187" s="168">
        <v>26858</v>
      </c>
      <c r="C187" s="168" t="s">
        <v>275</v>
      </c>
      <c r="D187" s="179">
        <v>937.91000000000008</v>
      </c>
      <c r="E187" s="174" t="s">
        <v>80</v>
      </c>
      <c r="F187" s="175"/>
    </row>
    <row r="188" spans="1:6" ht="14.4">
      <c r="A188" s="174" t="s">
        <v>7</v>
      </c>
      <c r="B188" s="168">
        <v>41808</v>
      </c>
      <c r="C188" s="168" t="s">
        <v>280</v>
      </c>
      <c r="D188" s="179">
        <v>1194.4199999999998</v>
      </c>
      <c r="E188" s="174" t="s">
        <v>80</v>
      </c>
      <c r="F188" s="175"/>
    </row>
    <row r="189" spans="1:6" ht="14.4">
      <c r="A189" s="174" t="s">
        <v>7</v>
      </c>
      <c r="B189" s="168">
        <v>41370</v>
      </c>
      <c r="C189" s="168" t="s">
        <v>284</v>
      </c>
      <c r="D189" s="179">
        <v>426.37</v>
      </c>
      <c r="E189" s="174" t="s">
        <v>80</v>
      </c>
      <c r="F189" s="175"/>
    </row>
    <row r="190" spans="1:6" ht="14.4">
      <c r="A190" s="174" t="s">
        <v>7</v>
      </c>
      <c r="B190" s="168">
        <v>34303</v>
      </c>
      <c r="C190" s="168" t="s">
        <v>289</v>
      </c>
      <c r="D190" s="179">
        <v>264.64999999999998</v>
      </c>
      <c r="E190" s="174" t="s">
        <v>80</v>
      </c>
      <c r="F190" s="175"/>
    </row>
    <row r="191" spans="1:6" ht="14.4">
      <c r="A191" s="174" t="s">
        <v>7</v>
      </c>
      <c r="B191" s="168">
        <v>34219</v>
      </c>
      <c r="C191" s="168" t="s">
        <v>293</v>
      </c>
      <c r="D191" s="179">
        <v>249.12</v>
      </c>
      <c r="E191" s="174" t="s">
        <v>80</v>
      </c>
      <c r="F191" s="175"/>
    </row>
    <row r="192" spans="1:6" ht="14.4">
      <c r="A192" s="174" t="s">
        <v>7</v>
      </c>
      <c r="B192" s="168">
        <v>43992</v>
      </c>
      <c r="C192" s="168" t="s">
        <v>297</v>
      </c>
      <c r="D192" s="179">
        <v>172.55</v>
      </c>
      <c r="E192" s="174" t="s">
        <v>80</v>
      </c>
      <c r="F192" s="175"/>
    </row>
    <row r="193" spans="1:6" ht="14.4">
      <c r="A193" s="174" t="s">
        <v>7</v>
      </c>
      <c r="B193" s="168">
        <v>34349</v>
      </c>
      <c r="C193" s="168" t="s">
        <v>301</v>
      </c>
      <c r="D193" s="179">
        <v>404.5</v>
      </c>
      <c r="E193" s="174" t="s">
        <v>80</v>
      </c>
      <c r="F193" s="175"/>
    </row>
    <row r="194" spans="1:6" ht="14.4">
      <c r="A194" s="174" t="s">
        <v>7</v>
      </c>
      <c r="B194" s="168">
        <v>30281</v>
      </c>
      <c r="C194" s="168" t="s">
        <v>305</v>
      </c>
      <c r="D194" s="179">
        <v>498.82</v>
      </c>
      <c r="E194" s="174" t="s">
        <v>80</v>
      </c>
      <c r="F194" s="175"/>
    </row>
    <row r="195" spans="1:6" ht="14.4">
      <c r="A195" s="174" t="s">
        <v>56</v>
      </c>
      <c r="B195" s="170">
        <v>41276</v>
      </c>
      <c r="C195" s="170" t="s">
        <v>294</v>
      </c>
      <c r="D195" s="180">
        <v>322.64999999999998</v>
      </c>
      <c r="E195" s="174" t="s">
        <v>80</v>
      </c>
      <c r="F195" s="175"/>
    </row>
    <row r="196" spans="1:6" ht="14.4">
      <c r="A196" s="174" t="s">
        <v>56</v>
      </c>
      <c r="B196" s="170">
        <v>28233</v>
      </c>
      <c r="C196" s="170" t="s">
        <v>298</v>
      </c>
      <c r="D196" s="180">
        <v>297.58999999999997</v>
      </c>
      <c r="E196" s="174" t="s">
        <v>80</v>
      </c>
      <c r="F196" s="175"/>
    </row>
    <row r="197" spans="1:6" ht="14.4">
      <c r="A197" s="174" t="s">
        <v>56</v>
      </c>
      <c r="B197" s="170">
        <v>29080</v>
      </c>
      <c r="C197" s="170" t="s">
        <v>302</v>
      </c>
      <c r="D197" s="180">
        <v>729.87</v>
      </c>
      <c r="E197" s="174" t="s">
        <v>80</v>
      </c>
      <c r="F197" s="175"/>
    </row>
    <row r="198" spans="1:6" ht="14.4">
      <c r="A198" s="174" t="s">
        <v>56</v>
      </c>
      <c r="B198" s="170">
        <v>31627</v>
      </c>
      <c r="C198" s="170" t="s">
        <v>306</v>
      </c>
      <c r="D198" s="180">
        <v>338.95000000000005</v>
      </c>
      <c r="E198" s="174" t="s">
        <v>80</v>
      </c>
      <c r="F198" s="175"/>
    </row>
    <row r="199" spans="1:6" ht="14.4">
      <c r="A199" s="174" t="s">
        <v>56</v>
      </c>
      <c r="B199" s="170">
        <v>37802</v>
      </c>
      <c r="C199" s="170" t="s">
        <v>308</v>
      </c>
      <c r="D199" s="180">
        <v>414.5</v>
      </c>
      <c r="E199" s="174" t="s">
        <v>80</v>
      </c>
      <c r="F199" s="175"/>
    </row>
    <row r="200" spans="1:6" ht="14.4">
      <c r="A200" s="174" t="s">
        <v>56</v>
      </c>
      <c r="B200" s="170">
        <v>35203</v>
      </c>
      <c r="C200" s="170" t="s">
        <v>310</v>
      </c>
      <c r="D200" s="180">
        <v>458.59</v>
      </c>
      <c r="E200" s="174" t="s">
        <v>80</v>
      </c>
      <c r="F200" s="175"/>
    </row>
    <row r="201" spans="1:6" ht="14.4">
      <c r="A201" s="174" t="s">
        <v>56</v>
      </c>
      <c r="B201" s="170">
        <v>33755</v>
      </c>
      <c r="C201" s="170" t="s">
        <v>312</v>
      </c>
      <c r="D201" s="180">
        <v>226.86</v>
      </c>
      <c r="E201" s="174" t="s">
        <v>80</v>
      </c>
      <c r="F201" s="175"/>
    </row>
    <row r="202" spans="1:6" ht="14.4">
      <c r="A202" s="174" t="s">
        <v>56</v>
      </c>
      <c r="B202" s="170">
        <v>41377</v>
      </c>
      <c r="C202" s="170" t="s">
        <v>314</v>
      </c>
      <c r="D202" s="180">
        <v>1173.5</v>
      </c>
      <c r="E202" s="174" t="s">
        <v>80</v>
      </c>
      <c r="F202" s="175"/>
    </row>
    <row r="203" spans="1:6" ht="14.4">
      <c r="A203" s="174" t="s">
        <v>56</v>
      </c>
      <c r="B203" s="170">
        <v>41645</v>
      </c>
      <c r="C203" s="170" t="s">
        <v>316</v>
      </c>
      <c r="D203" s="180">
        <v>2007</v>
      </c>
      <c r="E203" s="174" t="s">
        <v>80</v>
      </c>
      <c r="F203" s="175"/>
    </row>
    <row r="204" spans="1:6" ht="14.4">
      <c r="A204" s="174" t="s">
        <v>10</v>
      </c>
      <c r="B204" s="168">
        <v>42952</v>
      </c>
      <c r="C204" s="172" t="s">
        <v>311</v>
      </c>
      <c r="D204" s="179">
        <v>295.14</v>
      </c>
      <c r="E204" s="174" t="s">
        <v>80</v>
      </c>
      <c r="F204" s="175"/>
    </row>
    <row r="205" spans="1:6" ht="14.4">
      <c r="A205" s="174" t="s">
        <v>10</v>
      </c>
      <c r="B205" s="168">
        <v>28593</v>
      </c>
      <c r="C205" s="172" t="s">
        <v>313</v>
      </c>
      <c r="D205" s="179">
        <v>433.5</v>
      </c>
      <c r="E205" s="174" t="s">
        <v>80</v>
      </c>
      <c r="F205" s="175"/>
    </row>
    <row r="206" spans="1:6" ht="14.4">
      <c r="A206" s="174" t="s">
        <v>10</v>
      </c>
      <c r="B206" s="168">
        <v>6805</v>
      </c>
      <c r="C206" s="172" t="s">
        <v>315</v>
      </c>
      <c r="D206" s="179">
        <v>533.70000000000005</v>
      </c>
      <c r="E206" s="174" t="s">
        <v>80</v>
      </c>
      <c r="F206" s="175"/>
    </row>
    <row r="207" spans="1:6" ht="14.4">
      <c r="A207" s="174" t="s">
        <v>10</v>
      </c>
      <c r="B207" s="168">
        <v>40979</v>
      </c>
      <c r="C207" s="172" t="s">
        <v>317</v>
      </c>
      <c r="D207" s="179">
        <v>1520.96</v>
      </c>
      <c r="E207" s="174" t="s">
        <v>80</v>
      </c>
      <c r="F207" s="175"/>
    </row>
    <row r="208" spans="1:6" ht="14.4">
      <c r="A208" s="174" t="s">
        <v>10</v>
      </c>
      <c r="B208" s="168">
        <v>44665</v>
      </c>
      <c r="C208" s="172" t="s">
        <v>318</v>
      </c>
      <c r="D208" s="179">
        <v>241.86999999999998</v>
      </c>
      <c r="E208" s="174" t="s">
        <v>80</v>
      </c>
      <c r="F208" s="175"/>
    </row>
    <row r="209" spans="1:6" ht="14.4">
      <c r="A209" s="174" t="s">
        <v>10</v>
      </c>
      <c r="B209" s="168">
        <v>27076</v>
      </c>
      <c r="C209" s="172" t="s">
        <v>319</v>
      </c>
      <c r="D209" s="179">
        <v>198.95</v>
      </c>
      <c r="E209" s="174" t="s">
        <v>80</v>
      </c>
      <c r="F209" s="175"/>
    </row>
    <row r="210" spans="1:6" ht="14.4">
      <c r="A210" s="174" t="s">
        <v>10</v>
      </c>
      <c r="B210" s="169">
        <v>37882</v>
      </c>
      <c r="C210" s="172" t="s">
        <v>320</v>
      </c>
      <c r="D210" s="179">
        <v>778.79999800000007</v>
      </c>
      <c r="E210" s="174" t="s">
        <v>80</v>
      </c>
      <c r="F210" s="175"/>
    </row>
    <row r="211" spans="1:6" ht="14.4">
      <c r="A211" s="174" t="s">
        <v>10</v>
      </c>
      <c r="B211" s="168">
        <v>27660</v>
      </c>
      <c r="C211" s="172" t="s">
        <v>321</v>
      </c>
      <c r="D211" s="179">
        <v>249.45</v>
      </c>
      <c r="E211" s="174" t="s">
        <v>80</v>
      </c>
      <c r="F211" s="175"/>
    </row>
    <row r="212" spans="1:6" ht="14.4">
      <c r="A212" s="174" t="s">
        <v>10</v>
      </c>
      <c r="B212" s="168">
        <v>15850</v>
      </c>
      <c r="C212" s="172" t="s">
        <v>322</v>
      </c>
      <c r="D212" s="179">
        <v>1172.02</v>
      </c>
      <c r="E212" s="174" t="s">
        <v>80</v>
      </c>
      <c r="F212" s="175"/>
    </row>
    <row r="213" spans="1:6" ht="14.4">
      <c r="A213" s="174" t="s">
        <v>10</v>
      </c>
      <c r="B213" s="169">
        <v>24421</v>
      </c>
      <c r="C213" s="172" t="s">
        <v>323</v>
      </c>
      <c r="D213" s="179">
        <v>266.85000000000002</v>
      </c>
      <c r="E213" s="174" t="s">
        <v>80</v>
      </c>
      <c r="F213" s="175"/>
    </row>
    <row r="214" spans="1:6" ht="14.4">
      <c r="A214" s="174" t="s">
        <v>10</v>
      </c>
      <c r="B214" s="169">
        <v>43917</v>
      </c>
      <c r="C214" s="172" t="s">
        <v>324</v>
      </c>
      <c r="D214" s="179">
        <v>402.5</v>
      </c>
      <c r="E214" s="174" t="s">
        <v>80</v>
      </c>
      <c r="F214" s="175"/>
    </row>
    <row r="215" spans="1:6" ht="14.4">
      <c r="A215" s="174" t="s">
        <v>10</v>
      </c>
      <c r="B215" s="169">
        <v>37969</v>
      </c>
      <c r="C215" s="172" t="s">
        <v>325</v>
      </c>
      <c r="D215" s="179">
        <v>320.25</v>
      </c>
      <c r="E215" s="174" t="s">
        <v>80</v>
      </c>
      <c r="F215" s="175"/>
    </row>
    <row r="216" spans="1:6" ht="14.4">
      <c r="A216" s="174" t="s">
        <v>10</v>
      </c>
      <c r="B216" s="169">
        <v>31917</v>
      </c>
      <c r="C216" s="172" t="s">
        <v>326</v>
      </c>
      <c r="D216" s="179">
        <v>278</v>
      </c>
      <c r="E216" s="174" t="s">
        <v>80</v>
      </c>
      <c r="F216" s="175"/>
    </row>
    <row r="217" spans="1:6" ht="14.4">
      <c r="A217" s="174" t="s">
        <v>10</v>
      </c>
      <c r="B217" s="169">
        <v>28556</v>
      </c>
      <c r="C217" s="172" t="s">
        <v>327</v>
      </c>
      <c r="D217" s="179">
        <v>504.72</v>
      </c>
      <c r="E217" s="174" t="s">
        <v>80</v>
      </c>
      <c r="F217" s="175"/>
    </row>
    <row r="218" spans="1:6" ht="14.4">
      <c r="A218" s="174" t="s">
        <v>8</v>
      </c>
      <c r="B218" s="170">
        <v>40184</v>
      </c>
      <c r="C218" s="170" t="s">
        <v>216</v>
      </c>
      <c r="D218" s="180">
        <v>294</v>
      </c>
      <c r="E218" s="174" t="s">
        <v>80</v>
      </c>
      <c r="F218" s="175"/>
    </row>
    <row r="219" spans="1:6" ht="14.4">
      <c r="A219" s="174" t="s">
        <v>8</v>
      </c>
      <c r="B219" s="170">
        <v>43333</v>
      </c>
      <c r="C219" s="170" t="s">
        <v>222</v>
      </c>
      <c r="D219" s="180">
        <v>231.55</v>
      </c>
      <c r="E219" s="174" t="s">
        <v>80</v>
      </c>
      <c r="F219" s="175"/>
    </row>
    <row r="220" spans="1:6" ht="14.4">
      <c r="A220" s="174" t="s">
        <v>8</v>
      </c>
      <c r="B220" s="170">
        <v>41630</v>
      </c>
      <c r="C220" s="170" t="s">
        <v>226</v>
      </c>
      <c r="D220" s="180">
        <v>845</v>
      </c>
      <c r="E220" s="174" t="s">
        <v>80</v>
      </c>
      <c r="F220" s="175"/>
    </row>
    <row r="221" spans="1:6">
      <c r="A221" s="176"/>
      <c r="B221" s="176"/>
      <c r="C221" s="176"/>
      <c r="D221" s="181"/>
      <c r="E221" s="176"/>
    </row>
  </sheetData>
  <autoFilter ref="A1:E220" xr:uid="{70F87CC1-DCA0-4745-851E-B67F8CA3B2F2}">
    <sortState xmlns:xlrd2="http://schemas.microsoft.com/office/spreadsheetml/2017/richdata2" ref="A2:E220">
      <sortCondition ref="E1:E220"/>
    </sortState>
  </autoFilter>
  <phoneticPr fontId="55" type="noConversion"/>
  <conditionalFormatting sqref="B1:B1048576">
    <cfRule type="duplicateValues" dxfId="0" priority="4"/>
  </conditionalFormatting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B8288-4445-457C-80C2-A9DB2D26F43A}">
  <dimension ref="A1:M32"/>
  <sheetViews>
    <sheetView showGridLines="0" topLeftCell="A12" workbookViewId="0">
      <selection activeCell="A7" sqref="A7:A10"/>
    </sheetView>
  </sheetViews>
  <sheetFormatPr defaultRowHeight="13.2"/>
  <cols>
    <col min="1" max="1" width="20" customWidth="1"/>
    <col min="2" max="2" width="28.109375" customWidth="1"/>
    <col min="9" max="9" width="9.109375" style="28"/>
    <col min="13" max="13" width="22" customWidth="1"/>
  </cols>
  <sheetData>
    <row r="1" spans="1:13">
      <c r="B1" s="11" t="s">
        <v>67</v>
      </c>
    </row>
    <row r="5" spans="1:13">
      <c r="A5" s="292" t="s">
        <v>68</v>
      </c>
      <c r="C5" t="s">
        <v>55</v>
      </c>
      <c r="D5" t="s">
        <v>6</v>
      </c>
      <c r="E5" t="s">
        <v>7</v>
      </c>
      <c r="F5" t="s">
        <v>56</v>
      </c>
      <c r="G5" t="s">
        <v>10</v>
      </c>
    </row>
    <row r="6" spans="1:13">
      <c r="A6" s="293"/>
      <c r="B6" s="16" t="s">
        <v>49</v>
      </c>
      <c r="C6" s="17">
        <v>8</v>
      </c>
      <c r="D6" s="17">
        <v>8</v>
      </c>
      <c r="E6" s="17">
        <v>8</v>
      </c>
      <c r="F6" s="17">
        <v>8</v>
      </c>
      <c r="G6" s="17">
        <v>8</v>
      </c>
      <c r="H6" s="17" t="s">
        <v>11</v>
      </c>
    </row>
    <row r="7" spans="1:13">
      <c r="A7" s="285" t="s">
        <v>69</v>
      </c>
      <c r="B7" s="44" t="s">
        <v>15</v>
      </c>
      <c r="C7" s="14">
        <v>146</v>
      </c>
      <c r="D7" s="14">
        <v>85</v>
      </c>
      <c r="E7" s="14">
        <v>79</v>
      </c>
      <c r="F7" s="14">
        <v>67</v>
      </c>
      <c r="G7" s="14">
        <v>41</v>
      </c>
      <c r="H7" s="24">
        <f>SUM(C7:G7)</f>
        <v>418</v>
      </c>
      <c r="I7" s="291">
        <f>SUM(H7:H10)</f>
        <v>944</v>
      </c>
    </row>
    <row r="8" spans="1:13">
      <c r="A8" s="286"/>
      <c r="B8" s="45" t="s">
        <v>16</v>
      </c>
      <c r="C8" s="12">
        <v>100</v>
      </c>
      <c r="D8" s="12">
        <v>47</v>
      </c>
      <c r="E8" s="12">
        <v>53</v>
      </c>
      <c r="F8" s="12">
        <v>59</v>
      </c>
      <c r="G8" s="12">
        <v>43</v>
      </c>
      <c r="H8" s="25">
        <f t="shared" ref="H8:H15" si="0">SUM(C8:G8)</f>
        <v>302</v>
      </c>
      <c r="I8" s="289"/>
    </row>
    <row r="9" spans="1:13">
      <c r="A9" s="286"/>
      <c r="B9" s="45" t="s">
        <v>17</v>
      </c>
      <c r="C9" s="12">
        <v>53</v>
      </c>
      <c r="D9" s="12">
        <v>47</v>
      </c>
      <c r="E9" s="12">
        <v>38</v>
      </c>
      <c r="F9" s="12">
        <v>41</v>
      </c>
      <c r="G9" s="12">
        <v>24</v>
      </c>
      <c r="H9" s="25">
        <f t="shared" si="0"/>
        <v>203</v>
      </c>
      <c r="I9" s="289"/>
    </row>
    <row r="10" spans="1:13">
      <c r="A10" s="294"/>
      <c r="B10" s="46" t="s">
        <v>18</v>
      </c>
      <c r="C10" s="19">
        <v>0</v>
      </c>
      <c r="D10" s="19">
        <v>0</v>
      </c>
      <c r="E10" s="19">
        <v>21</v>
      </c>
      <c r="F10" s="19">
        <v>0</v>
      </c>
      <c r="G10" s="19">
        <v>0</v>
      </c>
      <c r="H10" s="27">
        <f t="shared" si="0"/>
        <v>21</v>
      </c>
      <c r="I10" s="290"/>
      <c r="L10" s="288" t="s">
        <v>70</v>
      </c>
      <c r="M10" s="288"/>
    </row>
    <row r="11" spans="1:13">
      <c r="A11" s="285" t="s">
        <v>71</v>
      </c>
      <c r="B11" s="44" t="s">
        <v>51</v>
      </c>
      <c r="C11" s="18">
        <v>4</v>
      </c>
      <c r="D11" s="18">
        <v>10</v>
      </c>
      <c r="E11" s="18">
        <v>20</v>
      </c>
      <c r="F11" s="18">
        <v>15</v>
      </c>
      <c r="G11" s="18">
        <v>2</v>
      </c>
      <c r="H11" s="24">
        <f t="shared" si="0"/>
        <v>51</v>
      </c>
      <c r="I11" s="289">
        <f>SUM(H11:H15)</f>
        <v>129</v>
      </c>
      <c r="L11" s="4" t="s">
        <v>1</v>
      </c>
      <c r="M11" s="4" t="s">
        <v>3</v>
      </c>
    </row>
    <row r="12" spans="1:13">
      <c r="A12" s="286"/>
      <c r="B12" s="45" t="s">
        <v>52</v>
      </c>
      <c r="C12" s="13">
        <v>27</v>
      </c>
      <c r="D12" s="12">
        <v>8</v>
      </c>
      <c r="E12" s="12">
        <v>5</v>
      </c>
      <c r="F12" s="12">
        <v>7</v>
      </c>
      <c r="G12" s="12">
        <v>6</v>
      </c>
      <c r="H12" s="25">
        <f t="shared" si="0"/>
        <v>53</v>
      </c>
      <c r="I12" s="289"/>
      <c r="L12" s="45" t="s">
        <v>55</v>
      </c>
      <c r="M12" s="2">
        <v>8</v>
      </c>
    </row>
    <row r="13" spans="1:13">
      <c r="A13" s="286"/>
      <c r="B13" s="45" t="s">
        <v>72</v>
      </c>
      <c r="C13" s="13">
        <v>7</v>
      </c>
      <c r="D13" s="12">
        <v>2</v>
      </c>
      <c r="E13" s="12">
        <v>0</v>
      </c>
      <c r="F13" s="12">
        <v>3</v>
      </c>
      <c r="G13" s="12">
        <v>8</v>
      </c>
      <c r="H13" s="25">
        <f t="shared" si="0"/>
        <v>20</v>
      </c>
      <c r="I13" s="289"/>
      <c r="L13" s="45" t="s">
        <v>6</v>
      </c>
      <c r="M13" s="2">
        <v>5</v>
      </c>
    </row>
    <row r="14" spans="1:13">
      <c r="A14" s="286"/>
      <c r="B14" s="45" t="s">
        <v>73</v>
      </c>
      <c r="C14" s="13">
        <v>3</v>
      </c>
      <c r="D14" s="12">
        <v>0</v>
      </c>
      <c r="E14" s="12">
        <v>0</v>
      </c>
      <c r="F14" s="12">
        <v>0</v>
      </c>
      <c r="G14" s="12">
        <v>0</v>
      </c>
      <c r="H14" s="25">
        <f t="shared" si="0"/>
        <v>3</v>
      </c>
      <c r="I14" s="289"/>
      <c r="L14" s="45" t="s">
        <v>7</v>
      </c>
      <c r="M14" s="2">
        <v>2</v>
      </c>
    </row>
    <row r="15" spans="1:13">
      <c r="A15" s="287"/>
      <c r="B15" s="47" t="s">
        <v>23</v>
      </c>
      <c r="C15" s="15">
        <v>0</v>
      </c>
      <c r="D15" s="15">
        <v>0</v>
      </c>
      <c r="E15" s="15">
        <v>2</v>
      </c>
      <c r="F15" s="15">
        <v>0</v>
      </c>
      <c r="G15" s="15">
        <v>0</v>
      </c>
      <c r="H15" s="26">
        <f t="shared" si="0"/>
        <v>2</v>
      </c>
      <c r="I15" s="290"/>
      <c r="L15" s="45" t="s">
        <v>9</v>
      </c>
      <c r="M15" s="2">
        <v>9</v>
      </c>
    </row>
    <row r="16" spans="1:13">
      <c r="C16" s="10">
        <f>SUM(C7:C15)</f>
        <v>340</v>
      </c>
      <c r="D16" s="10">
        <f>SUM(D7:D15)</f>
        <v>199</v>
      </c>
      <c r="E16" s="10">
        <f>SUM(E7:E15)</f>
        <v>218</v>
      </c>
      <c r="F16" s="10">
        <f>SUM(F7:F15)</f>
        <v>192</v>
      </c>
      <c r="G16" s="10">
        <f>SUM(G7:G15)</f>
        <v>124</v>
      </c>
      <c r="H16">
        <f>SUM(C16:G16)</f>
        <v>1073</v>
      </c>
      <c r="L16" s="45" t="s">
        <v>10</v>
      </c>
      <c r="M16" s="2">
        <v>15</v>
      </c>
    </row>
    <row r="17" spans="1:13">
      <c r="L17" s="5" t="s">
        <v>11</v>
      </c>
      <c r="M17" s="1">
        <v>39</v>
      </c>
    </row>
    <row r="19" spans="1:13">
      <c r="A19" s="292" t="s">
        <v>74</v>
      </c>
      <c r="C19" t="s">
        <v>55</v>
      </c>
      <c r="D19" t="s">
        <v>6</v>
      </c>
      <c r="E19" t="s">
        <v>7</v>
      </c>
      <c r="F19" t="s">
        <v>56</v>
      </c>
      <c r="G19" t="s">
        <v>10</v>
      </c>
    </row>
    <row r="20" spans="1:13">
      <c r="A20" s="293"/>
      <c r="B20" s="8" t="s">
        <v>49</v>
      </c>
      <c r="C20" s="9">
        <v>17</v>
      </c>
      <c r="D20" s="9">
        <v>17</v>
      </c>
      <c r="E20" s="9">
        <v>17</v>
      </c>
      <c r="F20" s="9">
        <v>17</v>
      </c>
      <c r="G20" s="9">
        <v>17</v>
      </c>
      <c r="H20" s="17" t="s">
        <v>11</v>
      </c>
      <c r="L20" s="288" t="s">
        <v>75</v>
      </c>
      <c r="M20" s="288"/>
    </row>
    <row r="21" spans="1:13">
      <c r="A21" s="285" t="s">
        <v>76</v>
      </c>
      <c r="B21" s="44" t="s">
        <v>15</v>
      </c>
      <c r="C21" s="20">
        <v>156</v>
      </c>
      <c r="D21" s="20">
        <v>96</v>
      </c>
      <c r="E21" s="20">
        <v>83</v>
      </c>
      <c r="F21" s="20">
        <v>83</v>
      </c>
      <c r="G21" s="20">
        <v>54</v>
      </c>
      <c r="H21" s="24">
        <f>SUM(C21:G21)</f>
        <v>472</v>
      </c>
      <c r="I21" s="291">
        <f>SUM(H21:H24)</f>
        <v>808</v>
      </c>
      <c r="L21" s="29" t="s">
        <v>1</v>
      </c>
      <c r="M21" s="29" t="s">
        <v>2</v>
      </c>
    </row>
    <row r="22" spans="1:13">
      <c r="A22" s="286"/>
      <c r="B22" s="45" t="s">
        <v>16</v>
      </c>
      <c r="C22" s="7">
        <v>48</v>
      </c>
      <c r="D22" s="7">
        <v>59</v>
      </c>
      <c r="E22" s="7">
        <v>4</v>
      </c>
      <c r="F22" s="7">
        <v>15</v>
      </c>
      <c r="G22" s="7">
        <v>13</v>
      </c>
      <c r="H22" s="25">
        <f t="shared" ref="H22:H29" si="1">SUM(C22:G22)</f>
        <v>139</v>
      </c>
      <c r="I22" s="289"/>
      <c r="L22" s="45" t="s">
        <v>55</v>
      </c>
      <c r="M22" s="12">
        <v>360</v>
      </c>
    </row>
    <row r="23" spans="1:13">
      <c r="A23" s="286"/>
      <c r="B23" s="45" t="s">
        <v>17</v>
      </c>
      <c r="C23" s="7">
        <v>95</v>
      </c>
      <c r="D23" s="7">
        <v>11</v>
      </c>
      <c r="E23" s="7">
        <v>24</v>
      </c>
      <c r="F23" s="7">
        <v>31</v>
      </c>
      <c r="G23" s="7">
        <v>24</v>
      </c>
      <c r="H23" s="25">
        <f t="shared" si="1"/>
        <v>185</v>
      </c>
      <c r="I23" s="289"/>
      <c r="L23" s="45" t="s">
        <v>6</v>
      </c>
      <c r="M23" s="12">
        <v>197</v>
      </c>
    </row>
    <row r="24" spans="1:13">
      <c r="A24" s="294"/>
      <c r="B24" s="46" t="s">
        <v>18</v>
      </c>
      <c r="C24" s="23">
        <v>1</v>
      </c>
      <c r="D24" s="23">
        <v>0</v>
      </c>
      <c r="E24" s="23">
        <v>8</v>
      </c>
      <c r="F24" s="23">
        <v>0</v>
      </c>
      <c r="G24" s="23">
        <v>3</v>
      </c>
      <c r="H24" s="27">
        <f t="shared" si="1"/>
        <v>12</v>
      </c>
      <c r="I24" s="290"/>
      <c r="L24" s="45" t="s">
        <v>7</v>
      </c>
      <c r="M24" s="12">
        <v>218</v>
      </c>
    </row>
    <row r="25" spans="1:13">
      <c r="A25" s="285" t="s">
        <v>71</v>
      </c>
      <c r="B25" s="44" t="s">
        <v>51</v>
      </c>
      <c r="C25" s="22">
        <v>65</v>
      </c>
      <c r="D25" s="22">
        <v>47</v>
      </c>
      <c r="E25" s="22">
        <v>120</v>
      </c>
      <c r="F25" s="20">
        <v>56</v>
      </c>
      <c r="G25" s="20">
        <v>28</v>
      </c>
      <c r="H25" s="24">
        <f t="shared" si="1"/>
        <v>316</v>
      </c>
      <c r="I25" s="289">
        <f>SUM(H25:H29)</f>
        <v>546</v>
      </c>
      <c r="L25" s="45" t="s">
        <v>9</v>
      </c>
      <c r="M25" s="12">
        <v>187</v>
      </c>
    </row>
    <row r="26" spans="1:13">
      <c r="A26" s="286"/>
      <c r="B26" s="45" t="s">
        <v>52</v>
      </c>
      <c r="C26" s="7">
        <v>37</v>
      </c>
      <c r="D26" s="7">
        <v>17</v>
      </c>
      <c r="E26" s="7">
        <v>9</v>
      </c>
      <c r="F26" s="7">
        <v>15</v>
      </c>
      <c r="G26" s="7">
        <v>19</v>
      </c>
      <c r="H26" s="25">
        <f t="shared" si="1"/>
        <v>97</v>
      </c>
      <c r="I26" s="289"/>
      <c r="L26" s="45" t="s">
        <v>10</v>
      </c>
      <c r="M26" s="12">
        <v>112</v>
      </c>
    </row>
    <row r="27" spans="1:13">
      <c r="A27" s="286"/>
      <c r="B27" s="45" t="s">
        <v>72</v>
      </c>
      <c r="C27" s="7">
        <v>45</v>
      </c>
      <c r="D27" s="7">
        <v>13</v>
      </c>
      <c r="E27" s="7">
        <v>16</v>
      </c>
      <c r="F27" s="7">
        <v>19</v>
      </c>
      <c r="G27" s="7">
        <v>15</v>
      </c>
      <c r="H27" s="25">
        <f t="shared" si="1"/>
        <v>108</v>
      </c>
      <c r="I27" s="289"/>
      <c r="L27" s="6" t="s">
        <v>11</v>
      </c>
      <c r="M27" s="6">
        <f>SUM(M22:M26)</f>
        <v>1074</v>
      </c>
    </row>
    <row r="28" spans="1:13">
      <c r="A28" s="286"/>
      <c r="B28" s="45" t="s">
        <v>73</v>
      </c>
      <c r="C28" s="7">
        <v>4</v>
      </c>
      <c r="D28" s="7">
        <v>0</v>
      </c>
      <c r="E28" s="7">
        <v>1</v>
      </c>
      <c r="F28" s="7">
        <v>1</v>
      </c>
      <c r="G28" s="7">
        <v>1</v>
      </c>
      <c r="H28" s="25">
        <f t="shared" si="1"/>
        <v>7</v>
      </c>
      <c r="I28" s="289"/>
    </row>
    <row r="29" spans="1:13">
      <c r="A29" s="287"/>
      <c r="B29" s="47" t="s">
        <v>23</v>
      </c>
      <c r="C29" s="21">
        <v>5</v>
      </c>
      <c r="D29" s="21">
        <v>1</v>
      </c>
      <c r="E29" s="21">
        <v>10</v>
      </c>
      <c r="F29" s="21">
        <v>2</v>
      </c>
      <c r="G29" s="21">
        <v>0</v>
      </c>
      <c r="H29" s="26">
        <f t="shared" si="1"/>
        <v>18</v>
      </c>
      <c r="I29" s="290"/>
    </row>
    <row r="30" spans="1:13">
      <c r="C30" s="10">
        <f>SUM(C21:C29)</f>
        <v>456</v>
      </c>
      <c r="D30" s="10">
        <f>SUM(D21:D29)</f>
        <v>244</v>
      </c>
      <c r="E30" s="10">
        <f>SUM(E21:E29)</f>
        <v>275</v>
      </c>
      <c r="F30" s="10">
        <f>SUM(F21:F29)</f>
        <v>222</v>
      </c>
      <c r="G30" s="10">
        <f>SUM(G21:G29)</f>
        <v>157</v>
      </c>
      <c r="H30">
        <f>SUM(C30:G30)</f>
        <v>1354</v>
      </c>
    </row>
    <row r="32" spans="1:13">
      <c r="G32" s="11" t="s">
        <v>77</v>
      </c>
      <c r="H32" s="11">
        <f>H30-H16</f>
        <v>281</v>
      </c>
    </row>
  </sheetData>
  <mergeCells count="12">
    <mergeCell ref="A5:A6"/>
    <mergeCell ref="A19:A20"/>
    <mergeCell ref="A7:A10"/>
    <mergeCell ref="A11:A15"/>
    <mergeCell ref="A21:A24"/>
    <mergeCell ref="A25:A29"/>
    <mergeCell ref="L10:M10"/>
    <mergeCell ref="I11:I15"/>
    <mergeCell ref="I25:I29"/>
    <mergeCell ref="I7:I10"/>
    <mergeCell ref="I21:I24"/>
    <mergeCell ref="L20:M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Painel Geral - Abril</vt:lpstr>
      <vt:lpstr>Painel Geral - Maio </vt:lpstr>
      <vt:lpstr>Painel Geral - Junho</vt:lpstr>
      <vt:lpstr>EVOLUCAO DOS MESES</vt:lpstr>
      <vt:lpstr>Ariane</vt:lpstr>
      <vt:lpstr>Camila</vt:lpstr>
      <vt:lpstr>Cristielen</vt:lpstr>
      <vt:lpstr>Natalia</vt:lpstr>
      <vt:lpstr>Tatiana</vt:lpstr>
      <vt:lpstr>FATURAMENTO RECUPERACAO</vt:lpstr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</dc:creator>
  <cp:keywords/>
  <dc:description/>
  <cp:lastModifiedBy>Matheus de Freitas Echevarria</cp:lastModifiedBy>
  <cp:revision/>
  <dcterms:created xsi:type="dcterms:W3CDTF">2026-04-08T19:12:46Z</dcterms:created>
  <dcterms:modified xsi:type="dcterms:W3CDTF">2026-07-07T19:02:29Z</dcterms:modified>
  <cp:category/>
  <cp:contentStatus/>
</cp:coreProperties>
</file>
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43" documentId="8_{8E0FE364-25CB-463E-85D6-47CE8031AF55}" xr6:coauthVersionLast="47" xr6:coauthVersionMax="47" xr10:uidLastSave="{30F6EF57-1D6C-4D1E-8CD2-1760CEBA39A8}"/>
  <bookViews>
    <workbookView xWindow="-108" yWindow="-108" windowWidth="23256" windowHeight="12456" firstSheet="1" activeTab="9" xr2:uid="{00000000-000D-0000-FFFF-FFFF00000000}"/>
  </bookViews>
  <sheets>
    <sheet name="Painel Geral - Abril" sheetId="22" r:id="rId1"/>
    <sheet name="Painel Geral - Maio " sheetId="23" r:id="rId2"/>
    <sheet name="Painel Geral - Junho" sheetId="10" r:id="rId3"/>
    <sheet name="EVOLUCAO DOS MESES" sheetId="20" r:id="rId4"/>
    <sheet name="Ariane" sheetId="14" state="hidden" r:id="rId5"/>
    <sheet name="Camila" sheetId="16" state="hidden" r:id="rId6"/>
    <sheet name="Cristielen" sheetId="17" state="hidden" r:id="rId7"/>
    <sheet name="Natalia" sheetId="18" state="hidden" r:id="rId8"/>
    <sheet name="Tatiana" sheetId="19" state="hidden" r:id="rId9"/>
    <sheet name="FATURAMENTO RECUPERACAO" sheetId="21" r:id="rId10"/>
    <sheet name="Planilha1" sheetId="11" state="hidden" r:id="rId11"/>
  </sheets>
  <definedNames>
    <definedName name="_xlnm._FilterDatabase" localSheetId="4" hidden="1">Ariane!$AA$2:$AH$2</definedName>
    <definedName name="_xlnm._FilterDatabase" localSheetId="5" hidden="1">Camila!$AA$2:$AH$2</definedName>
    <definedName name="_xlnm._FilterDatabase" localSheetId="6" hidden="1">Cristielen!$AA$2:$AH$2</definedName>
    <definedName name="_xlnm._FilterDatabase" localSheetId="9" hidden="1">'FATURAMENTO RECUPERACAO'!$A$1:$E$220</definedName>
    <definedName name="_xlnm._FilterDatabase" localSheetId="7" hidden="1">Natalia!$AA$2:$AH$2</definedName>
    <definedName name="_xlnm._FilterDatabase" localSheetId="2" hidden="1">'Painel Geral - Junho'!#REF!</definedName>
    <definedName name="_xlnm._FilterDatabase" localSheetId="8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0" l="1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C37" i="23"/>
  <c r="D37" i="23" s="1"/>
  <c r="B37" i="23"/>
  <c r="C36" i="23"/>
  <c r="D36" i="23" s="1"/>
  <c r="B36" i="23"/>
  <c r="C35" i="23"/>
  <c r="D35" i="23" s="1"/>
  <c r="B35" i="23"/>
  <c r="C34" i="23"/>
  <c r="D34" i="23" s="1"/>
  <c r="B34" i="23"/>
  <c r="AB33" i="23"/>
  <c r="AB38" i="23" s="1"/>
  <c r="B33" i="23"/>
  <c r="B38" i="23" s="1"/>
  <c r="F28" i="23"/>
  <c r="E28" i="23"/>
  <c r="D28" i="23"/>
  <c r="C28" i="23"/>
  <c r="B28" i="23"/>
  <c r="G27" i="23"/>
  <c r="G26" i="23"/>
  <c r="G25" i="23"/>
  <c r="G24" i="23"/>
  <c r="G23" i="23"/>
  <c r="G22" i="23"/>
  <c r="G21" i="23"/>
  <c r="G19" i="23"/>
  <c r="G18" i="23"/>
  <c r="G17" i="23"/>
  <c r="G16" i="23"/>
  <c r="AR10" i="23"/>
  <c r="AQ10" i="23"/>
  <c r="AP10" i="23"/>
  <c r="AO10" i="23"/>
  <c r="AN10" i="23"/>
  <c r="AM10" i="23"/>
  <c r="AL10" i="23"/>
  <c r="AK10" i="23"/>
  <c r="AJ10" i="23"/>
  <c r="AI10" i="23"/>
  <c r="AH10" i="23"/>
  <c r="AG10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C9" i="23"/>
  <c r="D9" i="23" s="1"/>
  <c r="B9" i="23"/>
  <c r="C8" i="23"/>
  <c r="B8" i="23"/>
  <c r="D8" i="23" s="1"/>
  <c r="C7" i="23"/>
  <c r="D7" i="23" s="1"/>
  <c r="B7" i="23"/>
  <c r="C6" i="23"/>
  <c r="D6" i="23" s="1"/>
  <c r="B6" i="23"/>
  <c r="B10" i="23" s="1"/>
  <c r="C5" i="23"/>
  <c r="C10" i="23" s="1"/>
  <c r="B5" i="23"/>
  <c r="D10" i="23" l="1"/>
  <c r="B11" i="23"/>
  <c r="B12" i="23"/>
  <c r="D5" i="23"/>
  <c r="C33" i="23"/>
  <c r="D33" i="23" l="1"/>
  <c r="C38" i="23"/>
  <c r="D38" i="23" s="1"/>
  <c r="Z40" i="22" l="1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B40" i="22"/>
  <c r="C39" i="22"/>
  <c r="D39" i="22" s="1"/>
  <c r="C38" i="22"/>
  <c r="D38" i="22" s="1"/>
  <c r="C37" i="22"/>
  <c r="D37" i="22" s="1"/>
  <c r="C36" i="22"/>
  <c r="D36" i="22" s="1"/>
  <c r="C35" i="22"/>
  <c r="D35" i="22" s="1"/>
  <c r="F30" i="22"/>
  <c r="E30" i="22"/>
  <c r="D30" i="22"/>
  <c r="C30" i="22"/>
  <c r="B30" i="22"/>
  <c r="G29" i="22"/>
  <c r="G28" i="22"/>
  <c r="G27" i="22"/>
  <c r="G26" i="22"/>
  <c r="G25" i="22"/>
  <c r="G24" i="22"/>
  <c r="G23" i="22"/>
  <c r="G22" i="22"/>
  <c r="G21" i="22"/>
  <c r="G20" i="22"/>
  <c r="G18" i="22"/>
  <c r="G17" i="22"/>
  <c r="G16" i="22"/>
  <c r="G15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B9" i="22"/>
  <c r="C8" i="22"/>
  <c r="D8" i="22" s="1"/>
  <c r="C7" i="22"/>
  <c r="D7" i="22" s="1"/>
  <c r="C6" i="22"/>
  <c r="D6" i="22" s="1"/>
  <c r="C5" i="22"/>
  <c r="D5" i="22" s="1"/>
  <c r="C4" i="22"/>
  <c r="C9" i="22" l="1"/>
  <c r="B10" i="22"/>
  <c r="B11" i="22" s="1"/>
  <c r="D9" i="22"/>
  <c r="C40" i="22"/>
  <c r="D40" i="22" s="1"/>
  <c r="D4" i="22"/>
  <c r="E29" i="20" l="1"/>
  <c r="B45" i="10" s="1"/>
  <c r="E30" i="20"/>
  <c r="B46" i="10" s="1"/>
  <c r="E31" i="20"/>
  <c r="B47" i="10" s="1"/>
  <c r="E32" i="20"/>
  <c r="B48" i="10" s="1"/>
  <c r="E33" i="20"/>
  <c r="B49" i="10" s="1"/>
  <c r="E28" i="20"/>
  <c r="B44" i="10" s="1"/>
  <c r="D29" i="20"/>
  <c r="B45" i="23" s="1"/>
  <c r="D30" i="20"/>
  <c r="B46" i="23" s="1"/>
  <c r="D31" i="20"/>
  <c r="B47" i="23" s="1"/>
  <c r="D32" i="20"/>
  <c r="B48" i="23" s="1"/>
  <c r="D33" i="20"/>
  <c r="B49" i="23" s="1"/>
  <c r="D28" i="20"/>
  <c r="B44" i="23" s="1"/>
  <c r="C28" i="20"/>
  <c r="B44" i="22" s="1"/>
  <c r="C30" i="20"/>
  <c r="B46" i="22" s="1"/>
  <c r="C31" i="20"/>
  <c r="B47" i="22" s="1"/>
  <c r="C32" i="20"/>
  <c r="C33" i="20"/>
  <c r="B49" i="22" s="1"/>
  <c r="C29" i="20"/>
  <c r="B45" i="22" s="1"/>
  <c r="C63" i="20"/>
  <c r="E12" i="20"/>
  <c r="B2" i="10" s="1"/>
  <c r="D12" i="20"/>
  <c r="B2" i="23" s="1"/>
  <c r="C12" i="20"/>
  <c r="C64" i="20"/>
  <c r="C62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F32" i="20" l="1"/>
  <c r="D48" i="20" s="1"/>
  <c r="B48" i="22"/>
  <c r="B50" i="10"/>
  <c r="B50" i="23"/>
  <c r="B50" i="22"/>
  <c r="F33" i="20"/>
  <c r="D47" i="20" s="1"/>
  <c r="F28" i="20"/>
  <c r="D51" i="20" s="1"/>
  <c r="F31" i="20"/>
  <c r="D52" i="20" s="1"/>
  <c r="C57" i="20"/>
  <c r="C58" i="20"/>
  <c r="C56" i="20"/>
  <c r="F29" i="20"/>
  <c r="D49" i="20" s="1"/>
  <c r="F30" i="20"/>
  <c r="D50" i="20" s="1"/>
  <c r="H32" i="1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 shapeId="0" xr:uid="{46BBF290-91AC-4A16-9CFB-E2AA280B97B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R35" authorId="1" shapeId="0" xr:uid="{5DE4189D-88C1-44EA-92FF-3E565367D328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P36" authorId="2" shapeId="0" xr:uid="{75E3887D-9584-4F4F-86AF-7F4139A39E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  </r>
      </text>
    </comment>
    <comment ref="L38" authorId="3" shapeId="0" xr:uid="{4DBB6E04-12C5-438D-9D08-51CE0C16D3AD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4" authorId="0" shapeId="0" xr:uid="{B3C231E9-9D3C-4C7F-B603-23C47E53E8E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  </r>
      </text>
    </comment>
    <comment ref="AB36" authorId="1" shapeId="0" xr:uid="{0D576315-861A-4171-B7C5-A2226A2AF5E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D36" authorId="2" shapeId="0" xr:uid="{A5AB28C5-E76B-462B-B81F-531DDF5B6403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F36" authorId="3" shapeId="0" xr:uid="{53AECE93-147B-4B3C-A7F7-E69120F3BCFF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H36" authorId="4" shapeId="0" xr:uid="{2E205A84-B166-44D7-8FD0-96C9E61DCC1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<sst xmlns="http://schemas.openxmlformats.org/spreadsheetml/2006/main" count="1699" uniqueCount="344">
  <si>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</si>
  <si>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</si>
  <si>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</si>
  <si>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</si>
  <si>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</si>
  <si>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</si>
  <si>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</si>
  <si>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</si>
  <si>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</si>
  <si>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</si>
  <si>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</si>
  <si>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</si>
  <si>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</si>
  <si>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</si>
  <si>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</si>
  <si>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</si>
  <si>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</si>
  <si>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</si>
  <si>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</si>
  <si>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</si>
  <si>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</si>
  <si>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</si>
  <si>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</si>
  <si>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</si>
  <si>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</si>
  <si>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</si>
  <si>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</si>
  <si>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</si>
  <si>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</si>
  <si>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</si>
  <si>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</si>
  <si>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</si>
  <si>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</si>
  <si>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</si>
  <si>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</si>
  <si>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</si>
  <si>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</si>
  <si>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</si>
  <si>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</si>
  <si>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</si>
  <si>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</si>
  <si>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</si>
  <si>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</si>
  <si>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</si>
  <si>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</si>
  <si>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</si>
  <si>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</si>
  <si>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</si>
  <si>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</si>
  <si>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</si>
  <si>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</si>
  <si>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</si>
  <si>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</si>
  <si>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</si>
  <si>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</si>
  <si>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</si>
  <si>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</si>
  <si>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</si>
  <si>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</si>
  <si>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</si>
  <si>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</si>
  <si>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</si>
  <si>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</si>
  <si>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</si>
  <si>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</si>
  <si>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</si>
  <si>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</si>
  <si>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</si>
  <si>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</si>
  <si>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</si>
  <si>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</si>
  <si>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</si>
  <si>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</si>
  <si>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</si>
  <si>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</si>
  <si>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</si>
  <si>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</si>
  <si>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</si>
  <si>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</si>
  <si>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</si>
  <si>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</si>
  <si>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</si>
  <si>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</si>
  <si>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</si>
  <si>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</si>
  <si>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</si>
  <si>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</si>
  <si>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</si>
  <si>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</si>
  <si>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</si>
  <si>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</si>
  <si>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</si>
  <si>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</si>
  <si>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</si>
  <si>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</si>
  <si>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</si>
  <si>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</si>
  <si>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</si>
  <si>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</si>
  <si>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</si>
  <si>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</si>
  <si>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</si>
  <si>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</si>
  <si>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</si>
  <si>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</si>
  <si>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</si>
  <si>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</si>
  <si>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</si>
  <si>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</si>
  <si>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</si>
  <si>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</si>
  <si>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</si>
  <si>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</si>
  <si>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</si>
  <si>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</si>
  <si>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</si>
  <si>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</si>
  <si>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r>
      <t xml:space="preserve">DADOS DO DIA 29/06/2025 - </t>
    </r>
    <r>
      <rPr>
        <b/>
        <i/>
        <sz val="11"/>
        <color rgb="FF000000"/>
        <rFont val="Calibri"/>
        <family val="2"/>
      </rPr>
      <t>PAINEL CONSOLIDADO</t>
    </r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</si>
  <si>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</si>
  <si>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</si>
  <si>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</si>
  <si>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</si>
  <si>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</si>
  <si>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</si>
  <si>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</si>
  <si>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</si>
  <si>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</si>
  <si>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</si>
  <si>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</si>
  <si>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</si>
  <si>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</si>
  <si>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</si>
  <si>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</si>
  <si>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</si>
  <si>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</si>
  <si>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</si>
  <si>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</si>
  <si>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</si>
  <si>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</si>
  <si>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</si>
  <si>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</si>
  <si>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</si>
  <si>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</si>
  <si>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</si>
  <si>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</si>
  <si>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</si>
  <si>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</si>
  <si>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</si>
  <si>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</si>
  <si>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</si>
  <si>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</si>
  <si>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</si>
  <si>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</si>
  <si>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</si>
  <si>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</si>
  <si>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</si>
  <si>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</si>
  <si>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</si>
  <si>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</si>
  <si>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</si>
  <si>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</si>
  <si>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</si>
  <si>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</si>
  <si>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</si>
  <si>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</si>
  <si>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</si>
  <si>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</si>
  <si>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</si>
  <si>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</si>
  <si>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</si>
  <si>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</si>
  <si>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</si>
  <si>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</si>
  <si>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</si>
  <si>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</si>
  <si>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</si>
  <si>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</si>
  <si>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</si>
  <si>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</si>
  <si>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</si>
  <si>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</si>
  <si>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</si>
  <si>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</si>
  <si>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</si>
  <si>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</si>
  <si>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</si>
  <si>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</si>
  <si>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</si>
  <si>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</si>
  <si>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</si>
  <si>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</si>
  <si>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</si>
  <si>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</si>
  <si>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</si>
  <si>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</si>
  <si>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</si>
  <si>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</si>
  <si>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</si>
  <si>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</si>
  <si>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</si>
  <si>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</si>
  <si>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</si>
  <si>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</si>
  <si>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</si>
  <si>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</si>
  <si>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</si>
  <si>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</si>
  <si>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</si>
  <si>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</si>
  <si>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</si>
  <si>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</si>
  <si>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</si>
  <si>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</si>
  <si>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</si>
  <si>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</si>
  <si>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</si>
  <si>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</si>
  <si>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</si>
  <si>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</si>
  <si>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</si>
  <si>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</si>
  <si>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</si>
  <si>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</si>
  <si>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</si>
  <si>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</si>
  <si>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</si>
  <si>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</si>
  <si>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</si>
  <si>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</si>
  <si>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</si>
  <si>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</si>
  <si>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</si>
  <si>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</si>
  <si>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</si>
  <si>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</si>
  <si>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</si>
  <si>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</si>
  <si>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</si>
  <si>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</si>
  <si>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</si>
  <si>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</si>
  <si>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</si>
  <si>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</si>
  <si>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</si>
  <si>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</si>
  <si>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</si>
  <si>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</si>
  <si>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</si>
  <si>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</si>
  <si>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</si>
  <si>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</si>
  <si>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</si>
  <si>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</si>
  <si>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</si>
  <si>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</si>
  <si>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</si>
  <si>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</si>
  <si>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</si>
  <si>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</si>
  <si>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</si>
  <si>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</si>
  <si>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</si>
  <si>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</si>
  <si>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</si>
  <si>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</si>
  <si>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</si>
  <si>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</si>
  <si>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</si>
  <si>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</si>
  <si>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</si>
  <si>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</si>
  <si>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</si>
  <si>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</si>
  <si>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</si>
  <si>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</si>
  <si>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</si>
  <si>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</si>
  <si>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</si>
  <si>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</si>
  <si>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</si>
  <si>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</si>
  <si>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</si>
  <si>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</si>
  <si>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</si>
  <si>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</si>
  <si>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</si>
  <si>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</si>
  <si>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</si>
  <si>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</si>
  <si>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</si>
  <si>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</si>
  <si>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</si>
  <si>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</si>
  <si>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</si>
  <si>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</si>
  <si>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</si>
  <si>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</si>
  <si>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</si>
  <si>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</si>
  <si>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</si>
  <si>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</si>
  <si>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</si>
  <si>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</si>
  <si>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</si>
  <si>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</si>
  <si>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</si>
  <si>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</si>
  <si>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</si>
  <si>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</si>
  <si>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</si>
  <si>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</si>
  <si>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</si>
  <si>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</si>
  <si>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</si>
  <si>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</si>
  <si>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</si>
  <si>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</si>
  <si>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</si>
  <si>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</si>
  <si>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</si>
  <si>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</si>
  <si>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</si>
  <si>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</si>
  <si>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</si>
  <si>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</si>
  <si>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</si>
  <si>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</si>
  <si>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</si>
  <si>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</si>
  <si>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</si>
  <si>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</si>
  <si>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</si>
  <si>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</si>
  <si>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</si>
  <si>
    <t>JULIANE DA SILVA CORRÊA</t>
  </si>
  <si>
    <t>Conversão / Televendas</t>
  </si>
  <si>
    <t>Contatos Realizados (Não conta pra meta)</t>
  </si>
  <si>
    <t>META CONTATOS - DETERMINADA DE 15 À 30/04</t>
  </si>
  <si>
    <t>META POSITIVAÇÃO</t>
  </si>
  <si>
    <t>conversão total (Televendas + RCA)</t>
  </si>
  <si>
    <t>GAP</t>
  </si>
  <si>
    <t>META CONTATOS - DETERMINADA DE 04/05 À 29/05</t>
  </si>
  <si>
    <r>
      <t xml:space="preserve">DADOS DO DIA - </t>
    </r>
    <r>
      <rPr>
        <b/>
        <i/>
        <sz val="11"/>
        <color rgb="FF000000"/>
        <rFont val="Calibri"/>
      </rPr>
      <t>PAINEL CONSOLIDADO</t>
    </r>
  </si>
  <si>
    <t>TOTAL DO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</si>
</sst>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7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rgb="FFFFFFFF"/>
      <name val="Calibri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0"/>
      <color rgb="FF000000"/>
      <name val="Arial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0"/>
      <color rgb="FF000000"/>
      <name val="Arial Unicode MS"/>
    </font>
    <font>
      <sz val="11"/>
      <name val="Calibri"/>
      <charset val="1"/>
    </font>
    <font>
      <sz val="10"/>
      <color rgb="FF000000"/>
      <name val="Arial"/>
    </font>
    <font>
      <sz val="8"/>
      <name val="Arial"/>
      <scheme val="minor"/>
    </font>
    <font>
      <b/>
      <sz val="11"/>
      <name val="Calibri"/>
      <family val="2"/>
    </font>
    <font>
      <sz val="9"/>
      <color theme="0"/>
      <name val="Calibri"/>
    </font>
    <font>
      <b/>
      <sz val="9"/>
      <color theme="0"/>
      <name val="Calibri"/>
    </font>
    <font>
      <sz val="9"/>
      <color theme="1"/>
      <name val="Calibri"/>
    </font>
    <font>
      <sz val="8"/>
      <color rgb="FF000000"/>
      <name val="Calibri"/>
    </font>
    <font>
      <b/>
      <sz val="9"/>
      <color rgb="FF000000"/>
      <name val="Calibri"/>
    </font>
    <font>
      <sz val="8"/>
      <color theme="1"/>
      <name val="Arial"/>
      <scheme val="minor"/>
    </font>
    <font>
      <b/>
      <sz val="9"/>
      <color rgb="FFFF0000"/>
      <name val="Calibri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</borders>
  <cellStyleXfs count="3650">
    <xf numFmtId="0" fontId="0" fillId="0" borderId="0"/>
    <xf numFmtId="44" fontId="3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51" applyNumberFormat="0" applyFill="0" applyAlignment="0" applyProtection="0"/>
    <xf numFmtId="0" fontId="39" fillId="0" borderId="52" applyNumberFormat="0" applyFill="0" applyAlignment="0" applyProtection="0"/>
    <xf numFmtId="0" fontId="40" fillId="0" borderId="53" applyNumberFormat="0" applyFill="0" applyAlignment="0" applyProtection="0"/>
    <xf numFmtId="0" fontId="40" fillId="0" borderId="0" applyNumberFormat="0" applyFill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0" applyNumberFormat="0" applyBorder="0" applyAlignment="0" applyProtection="0"/>
    <xf numFmtId="0" fontId="44" fillId="22" borderId="54" applyNumberFormat="0" applyAlignment="0" applyProtection="0"/>
    <xf numFmtId="0" fontId="45" fillId="23" borderId="55" applyNumberFormat="0" applyAlignment="0" applyProtection="0"/>
    <xf numFmtId="0" fontId="46" fillId="23" borderId="54" applyNumberFormat="0" applyAlignment="0" applyProtection="0"/>
    <xf numFmtId="0" fontId="47" fillId="0" borderId="56" applyNumberFormat="0" applyFill="0" applyAlignment="0" applyProtection="0"/>
    <xf numFmtId="0" fontId="48" fillId="24" borderId="57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9" applyNumberFormat="0" applyFill="0" applyAlignment="0" applyProtection="0"/>
    <xf numFmtId="0" fontId="52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52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52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52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52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52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3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3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5" fillId="0" borderId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5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6" fillId="0" borderId="0"/>
    <xf numFmtId="44" fontId="36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53" fillId="0" borderId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5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6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5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  <xf numFmtId="44" fontId="55" fillId="0" borderId="0" applyFont="0" applyFill="0" applyBorder="0" applyAlignment="0" applyProtection="0"/>
    <xf numFmtId="0" fontId="55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5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6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5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3" fillId="0" borderId="0" applyFont="0" applyFill="0" applyBorder="0" applyAlignment="0" applyProtection="0"/>
  </cellStyleXfs>
  <cellXfs count="297">
    <xf numFmtId="0" fontId="0" fillId="0" borderId="0" xfId="0"/>
    <xf numFmtId="0" fontId="8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0" fillId="6" borderId="0" xfId="0" applyFill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8" fillId="3" borderId="31" xfId="0" applyFont="1" applyFill="1" applyBorder="1" applyAlignment="1">
      <alignment horizontal="center"/>
    </xf>
    <xf numFmtId="0" fontId="12" fillId="0" borderId="0" xfId="0" applyFont="1"/>
    <xf numFmtId="0" fontId="13" fillId="0" borderId="1" xfId="0" applyFont="1" applyBorder="1" applyAlignment="1">
      <alignment horizontal="center"/>
    </xf>
    <xf numFmtId="9" fontId="13" fillId="0" borderId="5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9" fontId="13" fillId="0" borderId="2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5" fillId="2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/>
    <xf numFmtId="0" fontId="12" fillId="0" borderId="41" xfId="0" applyFont="1" applyBorder="1" applyAlignment="1">
      <alignment vertical="center"/>
    </xf>
    <xf numFmtId="0" fontId="6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9" fontId="21" fillId="0" borderId="48" xfId="0" applyNumberFormat="1" applyFon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9" fontId="0" fillId="0" borderId="48" xfId="0" applyNumberFormat="1" applyBorder="1"/>
    <xf numFmtId="0" fontId="10" fillId="7" borderId="0" xfId="0" applyFont="1" applyFill="1"/>
    <xf numFmtId="0" fontId="22" fillId="0" borderId="48" xfId="0" applyFont="1" applyBorder="1" applyAlignment="1">
      <alignment vertical="center" wrapText="1"/>
    </xf>
    <xf numFmtId="0" fontId="22" fillId="0" borderId="48" xfId="0" applyFont="1" applyBorder="1"/>
    <xf numFmtId="0" fontId="23" fillId="2" borderId="48" xfId="0" applyFont="1" applyFill="1" applyBorder="1" applyAlignment="1">
      <alignment horizontal="center"/>
    </xf>
    <xf numFmtId="0" fontId="24" fillId="0" borderId="48" xfId="0" applyFont="1" applyBorder="1" applyAlignment="1">
      <alignment horizontal="center"/>
    </xf>
    <xf numFmtId="9" fontId="24" fillId="0" borderId="48" xfId="0" applyNumberFormat="1" applyFont="1" applyBorder="1" applyAlignment="1">
      <alignment horizontal="center"/>
    </xf>
    <xf numFmtId="0" fontId="12" fillId="2" borderId="48" xfId="0" applyFont="1" applyFill="1" applyBorder="1" applyAlignment="1">
      <alignment horizontal="center"/>
    </xf>
    <xf numFmtId="0" fontId="25" fillId="8" borderId="48" xfId="0" applyFont="1" applyFill="1" applyBorder="1" applyAlignment="1">
      <alignment horizontal="center"/>
    </xf>
    <xf numFmtId="9" fontId="25" fillId="8" borderId="48" xfId="0" applyNumberFormat="1" applyFont="1" applyFill="1" applyBorder="1" applyAlignment="1">
      <alignment horizontal="center"/>
    </xf>
    <xf numFmtId="0" fontId="27" fillId="8" borderId="48" xfId="0" applyFont="1" applyFill="1" applyBorder="1" applyAlignment="1">
      <alignment horizontal="center"/>
    </xf>
    <xf numFmtId="9" fontId="27" fillId="8" borderId="48" xfId="0" applyNumberFormat="1" applyFont="1" applyFill="1" applyBorder="1" applyAlignment="1">
      <alignment horizontal="center"/>
    </xf>
    <xf numFmtId="0" fontId="13" fillId="7" borderId="48" xfId="0" applyFont="1" applyFill="1" applyBorder="1" applyAlignment="1">
      <alignment horizontal="center"/>
    </xf>
    <xf numFmtId="9" fontId="13" fillId="7" borderId="48" xfId="0" applyNumberFormat="1" applyFont="1" applyFill="1" applyBorder="1" applyAlignment="1">
      <alignment horizontal="center"/>
    </xf>
    <xf numFmtId="0" fontId="0" fillId="7" borderId="48" xfId="0" applyFill="1" applyBorder="1"/>
    <xf numFmtId="0" fontId="26" fillId="7" borderId="48" xfId="0" applyFont="1" applyFill="1" applyBorder="1"/>
    <xf numFmtId="0" fontId="10" fillId="7" borderId="49" xfId="0" applyFont="1" applyFill="1" applyBorder="1"/>
    <xf numFmtId="0" fontId="26" fillId="7" borderId="49" xfId="0" applyFont="1" applyFill="1" applyBorder="1"/>
    <xf numFmtId="0" fontId="9" fillId="0" borderId="2" xfId="0" applyFont="1" applyBorder="1" applyAlignment="1">
      <alignment horizontal="center"/>
    </xf>
    <xf numFmtId="0" fontId="28" fillId="9" borderId="2" xfId="0" applyFont="1" applyFill="1" applyBorder="1" applyAlignment="1">
      <alignment horizontal="center"/>
    </xf>
    <xf numFmtId="0" fontId="29" fillId="10" borderId="35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36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10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9" fillId="2" borderId="35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32" fillId="13" borderId="0" xfId="0" applyFont="1" applyFill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11" borderId="33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9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9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9" fillId="11" borderId="16" xfId="0" applyFont="1" applyFill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11" borderId="2" xfId="0" applyFont="1" applyFill="1" applyBorder="1" applyAlignment="1">
      <alignment horizontal="center"/>
    </xf>
    <xf numFmtId="14" fontId="22" fillId="11" borderId="2" xfId="0" applyNumberFormat="1" applyFont="1" applyFill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14" fontId="22" fillId="15" borderId="2" xfId="0" applyNumberFormat="1" applyFont="1" applyFill="1" applyBorder="1" applyAlignment="1">
      <alignment horizontal="center"/>
    </xf>
    <xf numFmtId="0" fontId="22" fillId="11" borderId="16" xfId="0" applyFont="1" applyFill="1" applyBorder="1" applyAlignment="1">
      <alignment horizontal="center"/>
    </xf>
    <xf numFmtId="14" fontId="22" fillId="11" borderId="16" xfId="0" applyNumberFormat="1" applyFont="1" applyFill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" xfId="0" applyFont="1" applyBorder="1"/>
    <xf numFmtId="0" fontId="22" fillId="11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43" xfId="0" applyFont="1" applyFill="1" applyBorder="1" applyAlignment="1">
      <alignment horizontal="center"/>
    </xf>
    <xf numFmtId="0" fontId="27" fillId="8" borderId="44" xfId="0" applyFont="1" applyFill="1" applyBorder="1" applyAlignment="1">
      <alignment horizontal="center"/>
    </xf>
    <xf numFmtId="0" fontId="27" fillId="16" borderId="2" xfId="0" applyFont="1" applyFill="1" applyBorder="1" applyAlignment="1">
      <alignment horizontal="center"/>
    </xf>
    <xf numFmtId="0" fontId="27" fillId="17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1" xfId="0" applyFont="1" applyFill="1" applyBorder="1" applyAlignment="1">
      <alignment horizontal="center"/>
    </xf>
    <xf numFmtId="9" fontId="27" fillId="8" borderId="5" xfId="0" applyNumberFormat="1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 wrapText="1"/>
    </xf>
    <xf numFmtId="0" fontId="33" fillId="8" borderId="14" xfId="0" applyFont="1" applyFill="1" applyBorder="1" applyAlignment="1">
      <alignment horizontal="center" vertical="center"/>
    </xf>
    <xf numFmtId="0" fontId="27" fillId="8" borderId="31" xfId="0" applyFont="1" applyFill="1" applyBorder="1" applyAlignment="1">
      <alignment horizontal="center"/>
    </xf>
    <xf numFmtId="0" fontId="27" fillId="8" borderId="32" xfId="0" applyFont="1" applyFill="1" applyBorder="1" applyAlignment="1">
      <alignment horizontal="center"/>
    </xf>
    <xf numFmtId="9" fontId="27" fillId="8" borderId="2" xfId="0" applyNumberFormat="1" applyFont="1" applyFill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14" fontId="22" fillId="14" borderId="2" xfId="0" applyNumberFormat="1" applyFont="1" applyFill="1" applyBorder="1" applyAlignment="1">
      <alignment horizontal="center"/>
    </xf>
    <xf numFmtId="0" fontId="22" fillId="11" borderId="2" xfId="0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0" fontId="0" fillId="13" borderId="2" xfId="0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10" fontId="22" fillId="0" borderId="48" xfId="0" applyNumberFormat="1" applyFont="1" applyBorder="1"/>
    <xf numFmtId="10" fontId="54" fillId="0" borderId="48" xfId="0" applyNumberFormat="1" applyFont="1" applyBorder="1" applyAlignment="1">
      <alignment vertical="center"/>
    </xf>
    <xf numFmtId="0" fontId="56" fillId="50" borderId="48" xfId="306" applyFont="1" applyFill="1" applyBorder="1" applyAlignment="1">
      <alignment horizontal="center"/>
    </xf>
    <xf numFmtId="0" fontId="56" fillId="50" borderId="48" xfId="306" applyFont="1" applyFill="1" applyBorder="1" applyAlignment="1">
      <alignment horizontal="center" wrapText="1"/>
    </xf>
    <xf numFmtId="0" fontId="56" fillId="52" borderId="48" xfId="306" applyFont="1" applyFill="1" applyBorder="1" applyAlignment="1">
      <alignment horizontal="center"/>
    </xf>
    <xf numFmtId="0" fontId="56" fillId="51" borderId="48" xfId="306" applyFont="1" applyFill="1" applyBorder="1" applyAlignment="1">
      <alignment horizontal="center"/>
    </xf>
    <xf numFmtId="0" fontId="56" fillId="7" borderId="48" xfId="306" applyFon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55" fillId="0" borderId="48" xfId="306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58" fillId="53" borderId="48" xfId="306" applyFont="1" applyFill="1" applyBorder="1" applyAlignment="1">
      <alignment horizontal="center"/>
    </xf>
    <xf numFmtId="44" fontId="58" fillId="53" borderId="48" xfId="1" applyFont="1" applyFill="1" applyBorder="1" applyAlignment="1">
      <alignment horizontal="center"/>
    </xf>
    <xf numFmtId="44" fontId="55" fillId="7" borderId="48" xfId="1" applyFont="1" applyFill="1" applyBorder="1" applyAlignment="1">
      <alignment horizontal="center"/>
    </xf>
    <xf numFmtId="44" fontId="55" fillId="51" borderId="48" xfId="1" applyFont="1" applyFill="1" applyBorder="1" applyAlignment="1">
      <alignment horizontal="center"/>
    </xf>
    <xf numFmtId="44" fontId="0" fillId="5" borderId="62" xfId="1" applyFont="1" applyFill="1" applyBorder="1" applyAlignment="1">
      <alignment horizontal="center"/>
    </xf>
    <xf numFmtId="44" fontId="0" fillId="5" borderId="60" xfId="1" applyFont="1" applyFill="1" applyBorder="1" applyAlignment="1">
      <alignment horizontal="center"/>
    </xf>
    <xf numFmtId="44" fontId="0" fillId="0" borderId="48" xfId="1" applyFont="1" applyBorder="1"/>
    <xf numFmtId="0" fontId="23" fillId="5" borderId="0" xfId="0" applyFont="1" applyFill="1"/>
    <xf numFmtId="0" fontId="59" fillId="3" borderId="2" xfId="0" applyFont="1" applyFill="1" applyBorder="1" applyAlignment="1">
      <alignment horizontal="center"/>
    </xf>
    <xf numFmtId="0" fontId="23" fillId="0" borderId="0" xfId="0" applyFont="1"/>
    <xf numFmtId="0" fontId="59" fillId="3" borderId="4" xfId="0" applyFont="1" applyFill="1" applyBorder="1" applyAlignment="1">
      <alignment horizontal="center"/>
    </xf>
    <xf numFmtId="0" fontId="59" fillId="3" borderId="63" xfId="0" applyFont="1" applyFill="1" applyBorder="1" applyAlignment="1">
      <alignment horizontal="center"/>
    </xf>
    <xf numFmtId="0" fontId="59" fillId="51" borderId="2" xfId="0" applyFont="1" applyFill="1" applyBorder="1" applyAlignment="1">
      <alignment horizontal="center"/>
    </xf>
    <xf numFmtId="0" fontId="59" fillId="54" borderId="2" xfId="0" applyFont="1" applyFill="1" applyBorder="1" applyAlignment="1">
      <alignment horizontal="center"/>
    </xf>
    <xf numFmtId="0" fontId="61" fillId="2" borderId="2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9" fontId="24" fillId="0" borderId="5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5" borderId="2" xfId="0" applyFont="1" applyFill="1" applyBorder="1" applyAlignment="1">
      <alignment horizontal="center"/>
    </xf>
    <xf numFmtId="0" fontId="59" fillId="3" borderId="3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9" fontId="59" fillId="3" borderId="5" xfId="0" applyNumberFormat="1" applyFont="1" applyFill="1" applyBorder="1" applyAlignment="1">
      <alignment horizontal="center"/>
    </xf>
    <xf numFmtId="0" fontId="59" fillId="5" borderId="0" xfId="0" applyFont="1" applyFill="1" applyAlignment="1">
      <alignment horizontal="center"/>
    </xf>
    <xf numFmtId="9" fontId="59" fillId="5" borderId="0" xfId="0" applyNumberFormat="1" applyFont="1" applyFill="1" applyAlignment="1">
      <alignment horizontal="center"/>
    </xf>
    <xf numFmtId="0" fontId="62" fillId="0" borderId="0" xfId="0" applyFont="1" applyAlignment="1">
      <alignment horizontal="center"/>
    </xf>
    <xf numFmtId="0" fontId="60" fillId="3" borderId="16" xfId="0" applyFont="1" applyFill="1" applyBorder="1" applyAlignment="1">
      <alignment horizontal="center" vertical="center"/>
    </xf>
    <xf numFmtId="0" fontId="60" fillId="3" borderId="15" xfId="0" applyFont="1" applyFill="1" applyBorder="1" applyAlignment="1">
      <alignment horizontal="center" vertical="center" wrapText="1"/>
    </xf>
    <xf numFmtId="0" fontId="60" fillId="3" borderId="15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5" borderId="2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center"/>
    </xf>
    <xf numFmtId="0" fontId="23" fillId="55" borderId="2" xfId="0" applyFont="1" applyFill="1" applyBorder="1" applyAlignment="1">
      <alignment horizontal="center"/>
    </xf>
    <xf numFmtId="0" fontId="65" fillId="0" borderId="0" xfId="0" applyFont="1"/>
    <xf numFmtId="0" fontId="64" fillId="0" borderId="0" xfId="0" applyFont="1" applyAlignment="1">
      <alignment horizontal="center"/>
    </xf>
    <xf numFmtId="0" fontId="64" fillId="0" borderId="5" xfId="0" applyFont="1" applyBorder="1" applyAlignment="1">
      <alignment horizontal="center"/>
    </xf>
    <xf numFmtId="0" fontId="65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61" fillId="0" borderId="2" xfId="0" applyFont="1" applyBorder="1" applyAlignment="1">
      <alignment horizontal="center"/>
    </xf>
    <xf numFmtId="0" fontId="61" fillId="0" borderId="17" xfId="0" applyFont="1" applyBorder="1" applyAlignment="1">
      <alignment horizontal="center"/>
    </xf>
    <xf numFmtId="0" fontId="64" fillId="5" borderId="2" xfId="0" applyFont="1" applyFill="1" applyBorder="1" applyAlignment="1">
      <alignment horizontal="center"/>
    </xf>
    <xf numFmtId="0" fontId="64" fillId="0" borderId="2" xfId="0" applyFont="1" applyBorder="1" applyAlignment="1">
      <alignment horizontal="center"/>
    </xf>
    <xf numFmtId="0" fontId="64" fillId="0" borderId="17" xfId="0" applyFont="1" applyBorder="1" applyAlignment="1">
      <alignment horizontal="center"/>
    </xf>
    <xf numFmtId="0" fontId="60" fillId="3" borderId="14" xfId="0" applyFont="1" applyFill="1" applyBorder="1" applyAlignment="1">
      <alignment horizontal="center" vertical="center"/>
    </xf>
    <xf numFmtId="0" fontId="59" fillId="3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9" fillId="3" borderId="32" xfId="0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  <xf numFmtId="9" fontId="24" fillId="0" borderId="2" xfId="0" applyNumberFormat="1" applyFont="1" applyBorder="1" applyAlignment="1">
      <alignment horizontal="center"/>
    </xf>
    <xf numFmtId="9" fontId="59" fillId="3" borderId="2" xfId="0" applyNumberFormat="1" applyFont="1" applyFill="1" applyBorder="1" applyAlignment="1">
      <alignment horizontal="center"/>
    </xf>
    <xf numFmtId="0" fontId="66" fillId="3" borderId="2" xfId="0" applyFont="1" applyFill="1" applyBorder="1" applyAlignment="1">
      <alignment horizontal="center"/>
    </xf>
    <xf numFmtId="0" fontId="66" fillId="3" borderId="43" xfId="0" applyFont="1" applyFill="1" applyBorder="1" applyAlignment="1">
      <alignment horizontal="center"/>
    </xf>
    <xf numFmtId="0" fontId="66" fillId="3" borderId="44" xfId="0" applyFont="1" applyFill="1" applyBorder="1" applyAlignment="1">
      <alignment horizontal="center"/>
    </xf>
    <xf numFmtId="0" fontId="66" fillId="51" borderId="2" xfId="0" applyFont="1" applyFill="1" applyBorder="1" applyAlignment="1">
      <alignment horizontal="center"/>
    </xf>
    <xf numFmtId="0" fontId="66" fillId="54" borderId="2" xfId="0" applyFont="1" applyFill="1" applyBorder="1" applyAlignment="1">
      <alignment horizontal="center"/>
    </xf>
    <xf numFmtId="0" fontId="68" fillId="2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66" fillId="3" borderId="3" xfId="0" applyFont="1" applyFill="1" applyBorder="1" applyAlignment="1">
      <alignment horizontal="center"/>
    </xf>
    <xf numFmtId="0" fontId="66" fillId="3" borderId="1" xfId="0" applyFont="1" applyFill="1" applyBorder="1" applyAlignment="1">
      <alignment horizontal="center"/>
    </xf>
    <xf numFmtId="9" fontId="66" fillId="3" borderId="5" xfId="0" applyNumberFormat="1" applyFont="1" applyFill="1" applyBorder="1" applyAlignment="1">
      <alignment horizontal="center"/>
    </xf>
    <xf numFmtId="0" fontId="69" fillId="0" borderId="0" xfId="0" applyFont="1" applyAlignment="1">
      <alignment horizontal="center"/>
    </xf>
    <xf numFmtId="0" fontId="67" fillId="3" borderId="15" xfId="0" applyFont="1" applyFill="1" applyBorder="1" applyAlignment="1">
      <alignment horizontal="center" vertical="center"/>
    </xf>
    <xf numFmtId="0" fontId="12" fillId="55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2" fillId="55" borderId="2" xfId="0" applyFont="1" applyFill="1" applyBorder="1" applyAlignment="1">
      <alignment horizontal="center"/>
    </xf>
    <xf numFmtId="2" fontId="72" fillId="0" borderId="0" xfId="0" applyNumberFormat="1" applyFont="1"/>
    <xf numFmtId="0" fontId="67" fillId="3" borderId="15" xfId="0" applyFont="1" applyFill="1" applyBorder="1" applyAlignment="1">
      <alignment horizontal="center" vertical="center" wrapText="1"/>
    </xf>
    <xf numFmtId="0" fontId="67" fillId="3" borderId="14" xfId="0" applyFont="1" applyFill="1" applyBorder="1" applyAlignment="1">
      <alignment horizontal="center" vertical="center"/>
    </xf>
    <xf numFmtId="0" fontId="66" fillId="3" borderId="0" xfId="0" applyFont="1" applyFill="1" applyAlignment="1">
      <alignment horizontal="center"/>
    </xf>
    <xf numFmtId="0" fontId="66" fillId="3" borderId="31" xfId="0" applyFont="1" applyFill="1" applyBorder="1" applyAlignment="1">
      <alignment horizontal="center"/>
    </xf>
    <xf numFmtId="0" fontId="66" fillId="3" borderId="32" xfId="0" applyFont="1" applyFill="1" applyBorder="1" applyAlignment="1">
      <alignment horizontal="center"/>
    </xf>
    <xf numFmtId="9" fontId="66" fillId="3" borderId="2" xfId="0" applyNumberFormat="1" applyFont="1" applyFill="1" applyBorder="1" applyAlignment="1">
      <alignment horizontal="center"/>
    </xf>
    <xf numFmtId="8" fontId="12" fillId="0" borderId="0" xfId="0" applyNumberFormat="1" applyFont="1" applyAlignment="1">
      <alignment horizontal="center"/>
    </xf>
    <xf numFmtId="8" fontId="12" fillId="0" borderId="0" xfId="0" applyNumberFormat="1" applyFont="1"/>
    <xf numFmtId="44" fontId="12" fillId="0" borderId="0" xfId="0" applyNumberFormat="1" applyFont="1"/>
    <xf numFmtId="44" fontId="22" fillId="0" borderId="48" xfId="1" applyFont="1" applyBorder="1"/>
    <xf numFmtId="0" fontId="14" fillId="6" borderId="11" xfId="0" applyFont="1" applyFill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/>
    </xf>
    <xf numFmtId="0" fontId="70" fillId="6" borderId="11" xfId="0" applyFont="1" applyFill="1" applyBorder="1" applyAlignment="1">
      <alignment horizontal="center"/>
    </xf>
    <xf numFmtId="0" fontId="70" fillId="6" borderId="12" xfId="0" applyFont="1" applyFill="1" applyBorder="1" applyAlignment="1">
      <alignment horizontal="center"/>
    </xf>
    <xf numFmtId="0" fontId="70" fillId="6" borderId="13" xfId="0" applyFont="1" applyFill="1" applyBorder="1" applyAlignment="1">
      <alignment horizontal="center"/>
    </xf>
    <xf numFmtId="0" fontId="60" fillId="3" borderId="2" xfId="0" applyFont="1" applyFill="1" applyBorder="1" applyAlignment="1">
      <alignment horizontal="center"/>
    </xf>
    <xf numFmtId="0" fontId="63" fillId="6" borderId="11" xfId="0" applyFont="1" applyFill="1" applyBorder="1" applyAlignment="1">
      <alignment horizontal="center"/>
    </xf>
    <xf numFmtId="0" fontId="63" fillId="6" borderId="12" xfId="0" applyFont="1" applyFill="1" applyBorder="1" applyAlignment="1">
      <alignment horizontal="center"/>
    </xf>
    <xf numFmtId="0" fontId="63" fillId="6" borderId="13" xfId="0" applyFont="1" applyFill="1" applyBorder="1" applyAlignment="1">
      <alignment horizontal="center"/>
    </xf>
    <xf numFmtId="0" fontId="59" fillId="3" borderId="2" xfId="0" applyFont="1" applyFill="1" applyBorder="1" applyAlignment="1">
      <alignment horizontal="center"/>
    </xf>
    <xf numFmtId="0" fontId="67" fillId="3" borderId="2" xfId="0" applyFont="1" applyFill="1" applyBorder="1" applyAlignment="1">
      <alignment horizontal="center"/>
    </xf>
    <xf numFmtId="0" fontId="66" fillId="3" borderId="2" xfId="0" applyFont="1" applyFill="1" applyBorder="1" applyAlignment="1">
      <alignment horizontal="center"/>
    </xf>
    <xf numFmtId="0" fontId="66" fillId="3" borderId="40" xfId="0" applyFont="1" applyFill="1" applyBorder="1" applyAlignment="1">
      <alignment horizontal="center"/>
    </xf>
    <xf numFmtId="0" fontId="66" fillId="3" borderId="34" xfId="0" applyFont="1" applyFill="1" applyBorder="1" applyAlignment="1">
      <alignment horizontal="center"/>
    </xf>
    <xf numFmtId="0" fontId="66" fillId="3" borderId="42" xfId="0" applyFont="1" applyFill="1" applyBorder="1" applyAlignment="1">
      <alignment horizontal="center"/>
    </xf>
    <xf numFmtId="0" fontId="34" fillId="12" borderId="11" xfId="0" applyFont="1" applyFill="1" applyBorder="1" applyAlignment="1">
      <alignment horizontal="center"/>
    </xf>
    <xf numFmtId="0" fontId="34" fillId="12" borderId="12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14" fillId="12" borderId="12" xfId="0" applyFont="1" applyFill="1" applyBorder="1" applyAlignment="1">
      <alignment horizontal="center"/>
    </xf>
    <xf numFmtId="0" fontId="33" fillId="8" borderId="17" xfId="0" applyFont="1" applyFill="1" applyBorder="1" applyAlignment="1">
      <alignment horizontal="center"/>
    </xf>
    <xf numFmtId="0" fontId="33" fillId="8" borderId="34" xfId="0" applyFont="1" applyFill="1" applyBorder="1" applyAlignment="1">
      <alignment horizontal="center"/>
    </xf>
    <xf numFmtId="0" fontId="27" fillId="8" borderId="17" xfId="0" applyFont="1" applyFill="1" applyBorder="1" applyAlignment="1">
      <alignment horizontal="center"/>
    </xf>
    <xf numFmtId="0" fontId="27" fillId="8" borderId="34" xfId="0" applyFont="1" applyFill="1" applyBorder="1" applyAlignment="1">
      <alignment horizontal="center"/>
    </xf>
    <xf numFmtId="0" fontId="27" fillId="8" borderId="42" xfId="0" applyFont="1" applyFill="1" applyBorder="1" applyAlignment="1">
      <alignment horizontal="center"/>
    </xf>
    <xf numFmtId="0" fontId="14" fillId="12" borderId="13" xfId="0" applyFont="1" applyFill="1" applyBorder="1" applyAlignment="1">
      <alignment horizontal="center"/>
    </xf>
    <xf numFmtId="0" fontId="27" fillId="8" borderId="40" xfId="0" applyFont="1" applyFill="1" applyBorder="1" applyAlignment="1">
      <alignment horizontal="center"/>
    </xf>
    <xf numFmtId="0" fontId="9" fillId="0" borderId="50" xfId="0" applyFont="1" applyBorder="1"/>
    <xf numFmtId="0" fontId="9" fillId="0" borderId="0" xfId="0" applyFont="1"/>
    <xf numFmtId="0" fontId="0" fillId="0" borderId="0" xfId="0"/>
    <xf numFmtId="0" fontId="31" fillId="12" borderId="45" xfId="0" applyFont="1" applyFill="1" applyBorder="1" applyAlignment="1">
      <alignment horizontal="center"/>
    </xf>
    <xf numFmtId="0" fontId="31" fillId="12" borderId="46" xfId="0" applyFont="1" applyFill="1" applyBorder="1" applyAlignment="1">
      <alignment horizontal="center"/>
    </xf>
    <xf numFmtId="0" fontId="31" fillId="12" borderId="47" xfId="0" applyFont="1" applyFill="1" applyBorder="1" applyAlignment="1">
      <alignment horizontal="center"/>
    </xf>
    <xf numFmtId="0" fontId="22" fillId="0" borderId="0" xfId="0" applyFont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24" xfId="0" applyBorder="1" applyAlignment="1">
      <alignment horizontal="center"/>
    </xf>
  </cellXfs>
  <cellStyles count="3650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3" xfId="2342" xr:uid="{48A46E64-D245-4705-9033-E88BD37D5BE8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3" xfId="2478" xr:uid="{45C1D1BA-09D1-45A3-A069-B5C8D238763F}"/>
    <cellStyle name="20% - Ênfase1 10 4" xfId="1095" xr:uid="{16717D80-AA5F-46B3-A8F0-7C3B7A35E92E}"/>
    <cellStyle name="20% - Ênfase1 10 4 2" xfId="2947" xr:uid="{C12BD4B6-C957-445C-8542-14620FCCA5FA}"/>
    <cellStyle name="20% - Ênfase1 10 5" xfId="2020" xr:uid="{29CC4243-54BB-45F6-B7F9-C8A9E8F81542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3" xfId="2362" xr:uid="{98F15237-5747-4161-8649-C77D4C4F68B2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3" xfId="2748" xr:uid="{AB989906-A0C4-4682-9CA6-547B5BA3FF71}"/>
    <cellStyle name="20% - Ênfase1 11 4" xfId="1115" xr:uid="{1A4F5B85-421A-4658-8359-E4E8A142F5C9}"/>
    <cellStyle name="20% - Ênfase1 11 4 2" xfId="2967" xr:uid="{84FA4234-6643-442E-85A2-91A827290EB6}"/>
    <cellStyle name="20% - Ênfase1 11 5" xfId="2040" xr:uid="{95FE37D6-79F9-4E86-969E-B7B108F6B148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3" xfId="2382" xr:uid="{33EDE8C8-D51C-410F-84FC-850AFEBE7BFF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3" xfId="2447" xr:uid="{CE5AB464-DDA2-4F9D-884D-B7DAB60C61DB}"/>
    <cellStyle name="20% - Ênfase1 12 4" xfId="1135" xr:uid="{C8197006-D599-4DD2-A105-587F233D49E4}"/>
    <cellStyle name="20% - Ênfase1 12 4 2" xfId="2987" xr:uid="{6159BD9D-72AC-4F3D-9862-F701A10C9AAB}"/>
    <cellStyle name="20% - Ênfase1 12 5" xfId="2060" xr:uid="{36AF58DF-1C3E-4E93-BBC1-7C7B3A2C5CD5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3" xfId="2402" xr:uid="{ED3F5CF4-D0C7-4BDC-97BD-1109B8B8D4D3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3" xfId="2752" xr:uid="{AC266DDA-E7F8-4BBC-9FB3-040E925A908A}"/>
    <cellStyle name="20% - Ênfase1 13 4" xfId="1155" xr:uid="{5AF761A3-EB62-4377-9BD3-F45140F16AFE}"/>
    <cellStyle name="20% - Ênfase1 13 4 2" xfId="3007" xr:uid="{1485EB70-8E07-4D1E-8E1A-8BFE4F44CE0E}"/>
    <cellStyle name="20% - Ênfase1 13 5" xfId="2080" xr:uid="{4CB15E8B-3B86-4FE3-909E-D30646208B0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3" xfId="2422" xr:uid="{69952AE3-7983-4BD0-8AA1-8F4A8F595F97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3" xfId="2732" xr:uid="{95B9C122-4F83-4FE4-ADE6-04442562A17E}"/>
    <cellStyle name="20% - Ênfase1 14 4" xfId="1175" xr:uid="{E7198352-B7B7-4577-AB94-B3F0F62C8E5D}"/>
    <cellStyle name="20% - Ênfase1 14 4 2" xfId="3027" xr:uid="{77AB31AE-CE01-49A0-9F69-76633B99BFF6}"/>
    <cellStyle name="20% - Ênfase1 14 5" xfId="2100" xr:uid="{F8C535C9-118F-4DCB-8C76-D375BC3DD127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3" xfId="1195" xr:uid="{0E684CD6-49FA-4665-826C-3F862CF72156}"/>
    <cellStyle name="20% - Ênfase1 15 3 2" xfId="3047" xr:uid="{F22585C4-EA47-4AFA-8198-EA03B7A11595}"/>
    <cellStyle name="20% - Ênfase1 15 4" xfId="2120" xr:uid="{9C447012-BCBC-4A1B-BDBC-9814AF196281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3" xfId="1215" xr:uid="{012AD039-0514-4A25-BEB4-C4BA960F7977}"/>
    <cellStyle name="20% - Ênfase1 16 3 2" xfId="3067" xr:uid="{36A8C98E-EA2C-4B49-A86B-2C9DC1816A81}"/>
    <cellStyle name="20% - Ênfase1 16 4" xfId="2140" xr:uid="{237410EC-9B1F-4E8B-8E42-8674A198C819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3" xfId="2159" xr:uid="{A662C668-CDA9-4004-BA5A-A40366B854DC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3" xfId="2495" xr:uid="{90FD0C01-28B3-4840-A3CE-E90B2D893EB0}"/>
    <cellStyle name="20% - Ênfase1 19" xfId="912" xr:uid="{F72AEC7E-225E-4C98-98A7-B212FD9D2A43}"/>
    <cellStyle name="20% - Ênfase1 19 2" xfId="2764" xr:uid="{29F7FCC3-2FD6-4358-9F8A-804D03D10980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3" xfId="2181" xr:uid="{B37B59D5-77A3-48F2-A3C7-2D9A640328A8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3" xfId="2617" xr:uid="{77CE99D5-D2B3-46DD-B0C9-2238A29415FE}"/>
    <cellStyle name="20% - Ênfase1 2 4" xfId="934" xr:uid="{BD799812-2A36-4357-A750-DE1E6ADDC014}"/>
    <cellStyle name="20% - Ênfase1 2 4 2" xfId="2786" xr:uid="{265B1287-3E0E-4B4E-9CFD-CC50C9829A5C}"/>
    <cellStyle name="20% - Ênfase1 2 5" xfId="1859" xr:uid="{1E18D5A8-D861-4C3D-B3C8-BF2AFDFBF9D2}"/>
    <cellStyle name="20% - Ênfase1 20" xfId="1837" xr:uid="{5EE3349C-FF42-4BFE-AF03-96D88775F2CE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3" xfId="2199" xr:uid="{12A190D4-A79D-4082-B70F-33D4758D1905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3" xfId="2754" xr:uid="{3C372EF0-8260-49E7-A460-91B0AB683BB3}"/>
    <cellStyle name="20% - Ênfase1 3 4" xfId="952" xr:uid="{135FE03D-8758-4034-8174-8F723A765E9C}"/>
    <cellStyle name="20% - Ênfase1 3 4 2" xfId="2804" xr:uid="{6C9BCB10-E6C0-4C3A-BFD0-0FE6F006916A}"/>
    <cellStyle name="20% - Ênfase1 3 5" xfId="1877" xr:uid="{CB78E80C-F43C-4189-975D-23636A28BD95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3" xfId="2221" xr:uid="{8B1DB475-235D-44A3-8DC1-34E79AB586C1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3" xfId="2715" xr:uid="{BB33B709-A182-4179-8865-35B790E75F0D}"/>
    <cellStyle name="20% - Ênfase1 4 4" xfId="974" xr:uid="{05DA0B45-04A2-4400-B615-ECD0A6BC99A1}"/>
    <cellStyle name="20% - Ênfase1 4 4 2" xfId="2826" xr:uid="{7E33F2FB-AD45-4351-85DB-DE3E0DC589BC}"/>
    <cellStyle name="20% - Ênfase1 4 5" xfId="1899" xr:uid="{C18E7A05-7B34-4A41-A8F7-DC4AB6E15B15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3" xfId="2241" xr:uid="{C2837627-BA2B-43DF-A51C-81666E38F0D7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3" xfId="2560" xr:uid="{4EBB888F-B023-4EBB-A9EE-D1112E6FF18E}"/>
    <cellStyle name="20% - Ênfase1 5 4" xfId="994" xr:uid="{CA2613A7-E60C-4A63-83F9-545D6F83B290}"/>
    <cellStyle name="20% - Ênfase1 5 4 2" xfId="2846" xr:uid="{B2208CB7-6D0C-4953-9C4D-EB1353CC1628}"/>
    <cellStyle name="20% - Ênfase1 5 5" xfId="1919" xr:uid="{9BDC47B6-FDD9-47C0-98A2-79F5212663D7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3" xfId="2261" xr:uid="{C48C759F-4563-4620-A1FA-716EF0FE1DE1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3" xfId="2731" xr:uid="{B360BBB3-EE21-46DD-B717-22E519388D67}"/>
    <cellStyle name="20% - Ênfase1 6 4" xfId="1014" xr:uid="{017D52B0-6A70-462B-BBD0-82EE04DC1894}"/>
    <cellStyle name="20% - Ênfase1 6 4 2" xfId="2866" xr:uid="{B04554F0-B26B-4137-8013-DF193CE9D12A}"/>
    <cellStyle name="20% - Ênfase1 6 5" xfId="1939" xr:uid="{35B6F60E-1C27-4C05-827F-4824E3D5FC1D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3" xfId="2281" xr:uid="{ECDFFFF0-8E97-4CCB-AD40-335550846F32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3" xfId="2739" xr:uid="{2B94AA7B-A262-4349-B01D-0D00A36877BB}"/>
    <cellStyle name="20% - Ênfase1 7 4" xfId="1034" xr:uid="{E21D5DCE-E2FD-4463-B81C-68332F943738}"/>
    <cellStyle name="20% - Ênfase1 7 4 2" xfId="2886" xr:uid="{B22B3D01-3BB1-444D-B4EC-D26536538C30}"/>
    <cellStyle name="20% - Ênfase1 7 5" xfId="1959" xr:uid="{DBF39433-FCA7-4929-AE0D-3A75685762A8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3" xfId="2301" xr:uid="{13D71DED-E6B1-4361-A680-ADE6F30CBE5B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3" xfId="2694" xr:uid="{6A6F5B38-FCC2-45C5-9011-C14C3118BF5C}"/>
    <cellStyle name="20% - Ênfase1 8 4" xfId="1054" xr:uid="{D1AEDDB6-A4A8-4D54-8CD6-52E32794E15D}"/>
    <cellStyle name="20% - Ênfase1 8 4 2" xfId="2906" xr:uid="{FFDFAA78-E0EC-40CA-94A2-2F6A64762293}"/>
    <cellStyle name="20% - Ênfase1 8 5" xfId="1979" xr:uid="{562CCDAD-63AA-405B-B6D3-7A84D050391F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3" xfId="2321" xr:uid="{CE707952-046D-4197-868F-C7883C5A37D9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3" xfId="2531" xr:uid="{4E49A616-7766-4D99-8556-9727C251512D}"/>
    <cellStyle name="20% - Ênfase1 9 4" xfId="1074" xr:uid="{4EC110AF-C230-4D36-B89A-16E8BBF4F19A}"/>
    <cellStyle name="20% - Ênfase1 9 4 2" xfId="2926" xr:uid="{28ED0B4F-6362-407F-BF87-7F72F4FBAF95}"/>
    <cellStyle name="20% - Ênfase1 9 5" xfId="1999" xr:uid="{D3949164-1AE2-4CE4-88A8-8FB98541BE13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3" xfId="2345" xr:uid="{F764E6BC-177A-4D67-88EF-7D594C351357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3" xfId="2680" xr:uid="{94B95052-B6F1-41A0-BBCC-79D6813C6724}"/>
    <cellStyle name="20% - Ênfase2 10 4" xfId="1098" xr:uid="{23B7F8BD-95A6-484C-861B-D662F8E524FF}"/>
    <cellStyle name="20% - Ênfase2 10 4 2" xfId="2950" xr:uid="{682FF402-C412-4369-B112-CED0E6B44AAC}"/>
    <cellStyle name="20% - Ênfase2 10 5" xfId="2023" xr:uid="{FC62C89D-9AC4-48AC-BC0B-0664F90891F0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3" xfId="2365" xr:uid="{3593FB7B-D3EA-4B6A-B820-504D4F321901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3" xfId="2665" xr:uid="{B6C09872-7D7A-4431-A7ED-89EB58FF5288}"/>
    <cellStyle name="20% - Ênfase2 11 4" xfId="1118" xr:uid="{A1109F1A-F95B-410D-A0AA-6DBB5B572392}"/>
    <cellStyle name="20% - Ênfase2 11 4 2" xfId="2970" xr:uid="{E6955CE3-A14C-4285-A0A3-BF3CE5EFD048}"/>
    <cellStyle name="20% - Ênfase2 11 5" xfId="2043" xr:uid="{C28716F1-2F20-45D2-9475-FF7AAB2AA76E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3" xfId="2385" xr:uid="{6BB00196-A9B8-414C-BA35-8868A8D5925C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3" xfId="2487" xr:uid="{DE03AA70-D91F-4826-AAC7-D4225E374069}"/>
    <cellStyle name="20% - Ênfase2 12 4" xfId="1138" xr:uid="{DDD0FB9F-BA3B-43EE-BD7E-76D16BD08852}"/>
    <cellStyle name="20% - Ênfase2 12 4 2" xfId="2990" xr:uid="{B2108026-549D-49A7-925A-2F6E16E96A17}"/>
    <cellStyle name="20% - Ênfase2 12 5" xfId="2063" xr:uid="{FD27F0FB-ED8C-4D66-8EC7-A8EBE5681812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3" xfId="2405" xr:uid="{079C5370-2697-4375-8DA4-437E73ECE74A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3" xfId="2727" xr:uid="{0AFA847D-836A-49D7-B31D-F71074B31ECD}"/>
    <cellStyle name="20% - Ênfase2 13 4" xfId="1158" xr:uid="{5A9FDD29-BFC6-40FC-8038-8A0FB5913BAD}"/>
    <cellStyle name="20% - Ênfase2 13 4 2" xfId="3010" xr:uid="{7F3DE363-172B-493A-91C3-F4CD727C310D}"/>
    <cellStyle name="20% - Ênfase2 13 5" xfId="2083" xr:uid="{F224A3B6-8850-4791-AB94-98407E70B1D4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3" xfId="2425" xr:uid="{97ED949F-011D-4466-8AA9-C57585E115BD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3" xfId="2445" xr:uid="{2608D903-00BD-4940-8F50-BF3BFA056B3E}"/>
    <cellStyle name="20% - Ênfase2 14 4" xfId="1178" xr:uid="{643729F6-E5EE-406D-978B-8B56D1A1088C}"/>
    <cellStyle name="20% - Ênfase2 14 4 2" xfId="3030" xr:uid="{C8D9448F-F39A-46E5-9FF1-6CA64353AF2E}"/>
    <cellStyle name="20% - Ênfase2 14 5" xfId="2103" xr:uid="{E32B27D3-1A38-4B52-B0BE-CD18B7353571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3" xfId="1198" xr:uid="{829E49F0-E63E-4851-8609-B60E251B4635}"/>
    <cellStyle name="20% - Ênfase2 15 3 2" xfId="3050" xr:uid="{9B1BA0DF-A445-4441-9A7A-66CFE142CF82}"/>
    <cellStyle name="20% - Ênfase2 15 4" xfId="2123" xr:uid="{E87FCE3D-224F-42FA-90D1-1A5DC4A0C115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3" xfId="1218" xr:uid="{FF97C699-BCA7-4C99-A319-B59DB34A9B50}"/>
    <cellStyle name="20% - Ênfase2 16 3 2" xfId="3070" xr:uid="{B9BAF459-C6FB-4A5B-9593-CE737B9B79ED}"/>
    <cellStyle name="20% - Ênfase2 16 4" xfId="2143" xr:uid="{63707C5F-5FEE-4F7A-B644-0FC47116127C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3" xfId="2162" xr:uid="{32533072-AF85-4866-A32A-927B5D34EB3E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3" xfId="2678" xr:uid="{259A2A29-D94A-4AB0-B180-E4A9CB2D0EB8}"/>
    <cellStyle name="20% - Ênfase2 19" xfId="915" xr:uid="{95A7A71D-446E-40BF-8B65-EB21B324A488}"/>
    <cellStyle name="20% - Ênfase2 19 2" xfId="2767" xr:uid="{BEBB0E74-2FB3-4086-BE85-BA8BAA8AECA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3" xfId="2184" xr:uid="{DB967659-3905-4478-8E50-281C52EC6FCD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3" xfId="2507" xr:uid="{CFE5E4AC-83CF-4208-88B1-8C2EDACF0151}"/>
    <cellStyle name="20% - Ênfase2 2 4" xfId="937" xr:uid="{16A1B849-1910-49F1-90E8-FC2EB56A6037}"/>
    <cellStyle name="20% - Ênfase2 2 4 2" xfId="2789" xr:uid="{059508BE-7CB8-450F-AC96-372FA3FC1C03}"/>
    <cellStyle name="20% - Ênfase2 2 5" xfId="1862" xr:uid="{D889CB6D-72E6-42C4-8E06-ACE241B93AA1}"/>
    <cellStyle name="20% - Ênfase2 20" xfId="1840" xr:uid="{FDC9587C-9986-4184-B264-A7944AC76F50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3" xfId="2202" xr:uid="{D2F41DF2-5D9C-4B16-9AC5-33BF3783D284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3" xfId="2494" xr:uid="{2BA54356-C7B5-41D8-A79B-435CCFA0D1A2}"/>
    <cellStyle name="20% - Ênfase2 3 4" xfId="955" xr:uid="{702A51A6-132A-4319-84DA-45001EAFCE33}"/>
    <cellStyle name="20% - Ênfase2 3 4 2" xfId="2807" xr:uid="{D3AB25B8-D354-43CB-B5B9-B7485D192ECA}"/>
    <cellStyle name="20% - Ênfase2 3 5" xfId="1880" xr:uid="{810C77C7-D615-4D14-943F-D7C9A63F1A8F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3" xfId="2224" xr:uid="{C317ABFD-EF66-47CE-A125-E6911B120413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3" xfId="2679" xr:uid="{9A585AA1-47A1-4BBC-99FC-687F1ED29073}"/>
    <cellStyle name="20% - Ênfase2 4 4" xfId="977" xr:uid="{01131E99-40E8-4F51-B3BB-E5153E541F35}"/>
    <cellStyle name="20% - Ênfase2 4 4 2" xfId="2829" xr:uid="{4BFAE506-46DC-48A9-BE0E-7D476699AD42}"/>
    <cellStyle name="20% - Ênfase2 4 5" xfId="1902" xr:uid="{CF961A7D-4554-481F-AF9D-95A92E10CFF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3" xfId="2244" xr:uid="{4AAF4BCE-DF19-4D34-8C46-6C3CE6B09FAC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3" xfId="2672" xr:uid="{230EB1AD-62F6-4333-BF35-E1F757A46FF0}"/>
    <cellStyle name="20% - Ênfase2 5 4" xfId="997" xr:uid="{CF2DA218-0816-4025-869B-982ED5486807}"/>
    <cellStyle name="20% - Ênfase2 5 4 2" xfId="2849" xr:uid="{56CBDEE1-D47A-499F-A108-30FE4F4E3479}"/>
    <cellStyle name="20% - Ênfase2 5 5" xfId="1922" xr:uid="{B60120A1-9189-41A9-B48D-F09166E8499D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3" xfId="2264" xr:uid="{CD149177-B144-4A83-A7FE-07E2DB15BD17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3" xfId="2726" xr:uid="{DC4FEFDC-9A27-425D-81D0-68FB2DF99DF4}"/>
    <cellStyle name="20% - Ênfase2 6 4" xfId="1017" xr:uid="{ED48DCDA-8463-4580-B581-D81C95A12563}"/>
    <cellStyle name="20% - Ênfase2 6 4 2" xfId="2869" xr:uid="{E83D32FD-85C3-4FAE-B17E-3A5B5D2A9107}"/>
    <cellStyle name="20% - Ênfase2 6 5" xfId="1942" xr:uid="{0A5B0A27-4D5B-4204-BF65-AD2544A909E1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3" xfId="2284" xr:uid="{13953236-A500-4B97-935F-5B61879D3722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3" xfId="2745" xr:uid="{39F66A79-AEFA-414F-B67C-C49505E76841}"/>
    <cellStyle name="20% - Ênfase2 7 4" xfId="1037" xr:uid="{01E6EBC7-91D7-4BC6-A954-9ECA82E606A4}"/>
    <cellStyle name="20% - Ênfase2 7 4 2" xfId="2889" xr:uid="{8ABAC480-2E8F-482E-B183-6F69EB3AAB89}"/>
    <cellStyle name="20% - Ênfase2 7 5" xfId="1962" xr:uid="{3260250F-9D7E-4535-B446-E01068F849A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3" xfId="2304" xr:uid="{A50C3661-A2FA-4C9A-A13B-70BDA55D5A88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3" xfId="2497" xr:uid="{24FDC10B-0109-4E53-BABE-0B19176D1962}"/>
    <cellStyle name="20% - Ênfase2 8 4" xfId="1057" xr:uid="{050BA80A-482A-4367-B51D-54AE01D26503}"/>
    <cellStyle name="20% - Ênfase2 8 4 2" xfId="2909" xr:uid="{8D58A026-89CE-4AFF-B251-669F89B1DFD1}"/>
    <cellStyle name="20% - Ênfase2 8 5" xfId="1982" xr:uid="{C1426429-059F-47BC-83C5-76B134D33E01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3" xfId="2324" xr:uid="{24516F18-A276-493C-9797-9B65737B9F1E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3" xfId="2671" xr:uid="{C5529E16-3DF8-41CD-B649-12BDA7918F55}"/>
    <cellStyle name="20% - Ênfase2 9 4" xfId="1077" xr:uid="{B91C5CB1-4639-4B1B-B14F-99E5A7418EDD}"/>
    <cellStyle name="20% - Ênfase2 9 4 2" xfId="2929" xr:uid="{C55B95BA-0D52-47B6-BBD9-FE0898716726}"/>
    <cellStyle name="20% - Ênfase2 9 5" xfId="2002" xr:uid="{310B1523-C1F5-4A66-9075-D8D77479D1CC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3" xfId="2348" xr:uid="{6DFD5BDC-6096-4FCF-AFDF-E8E97FF03BEC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3" xfId="2442" xr:uid="{693DC628-1673-429F-9C0F-B40A54FE86BA}"/>
    <cellStyle name="20% - Ênfase3 10 4" xfId="1101" xr:uid="{08143710-5049-406A-A06D-932420BD49C3}"/>
    <cellStyle name="20% - Ênfase3 10 4 2" xfId="2953" xr:uid="{3CB15EE3-096F-4BD2-9B6B-FE75925314E2}"/>
    <cellStyle name="20% - Ênfase3 10 5" xfId="2026" xr:uid="{4A567D57-4117-4FC7-BEAC-D1F2436957ED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3" xfId="2368" xr:uid="{ACAF6DFA-F6EF-4964-A5B3-7E52BD5F6D62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3" xfId="2441" xr:uid="{C7288440-A6CB-4ED3-9FEB-AC5967E0554E}"/>
    <cellStyle name="20% - Ênfase3 11 4" xfId="1121" xr:uid="{BAE94379-7C85-4A69-B32E-E9BD66B9E73E}"/>
    <cellStyle name="20% - Ênfase3 11 4 2" xfId="2973" xr:uid="{7B28CA4F-8D24-4387-A798-9CD4FBC69A5C}"/>
    <cellStyle name="20% - Ênfase3 11 5" xfId="2046" xr:uid="{ECB2A48B-6A20-4056-B352-3D8C55751AFD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3" xfId="2388" xr:uid="{5A822285-2C63-44E7-9883-CC01C693788C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3" xfId="2721" xr:uid="{4925BF85-D99D-4C5D-99BB-7BC14CC243C5}"/>
    <cellStyle name="20% - Ênfase3 12 4" xfId="1141" xr:uid="{D8D57321-BCE0-4B61-BD46-7FC671014EA2}"/>
    <cellStyle name="20% - Ênfase3 12 4 2" xfId="2993" xr:uid="{BBE438A5-D88D-4B4C-91AF-115A2DF3958C}"/>
    <cellStyle name="20% - Ênfase3 12 5" xfId="2066" xr:uid="{6E8B0D40-215C-4523-8229-E1E7B5267317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3" xfId="2408" xr:uid="{C490EE14-BABC-42A2-8ECF-457DEC57D555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3" xfId="2476" xr:uid="{8354858D-FFD4-4664-AD16-49D08BBB24BB}"/>
    <cellStyle name="20% - Ênfase3 13 4" xfId="1161" xr:uid="{8F6F716A-B8A0-429C-915F-C9E16B0F7F24}"/>
    <cellStyle name="20% - Ênfase3 13 4 2" xfId="3013" xr:uid="{9543F5CB-14B5-4A88-9463-806B3E97B7E3}"/>
    <cellStyle name="20% - Ênfase3 13 5" xfId="2086" xr:uid="{18C02636-228B-418E-AE53-D76378F70B59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3" xfId="2428" xr:uid="{790F4FCF-6CA4-4C8A-8C37-1ECD88AEB0BD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3" xfId="2464" xr:uid="{3778756E-AA33-4C83-9154-2ADEAD3903DC}"/>
    <cellStyle name="20% - Ênfase3 14 4" xfId="1181" xr:uid="{9519642E-87D4-4F5E-939E-F9C87FB8440D}"/>
    <cellStyle name="20% - Ênfase3 14 4 2" xfId="3033" xr:uid="{B41F2B70-1ED1-48CA-A2A1-DEDAC8613302}"/>
    <cellStyle name="20% - Ênfase3 14 5" xfId="2106" xr:uid="{9D8E1782-0A20-4964-817E-7B4824B46CE6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3" xfId="1201" xr:uid="{B72DF659-4434-44FC-A48C-11856AF89BA6}"/>
    <cellStyle name="20% - Ênfase3 15 3 2" xfId="3053" xr:uid="{BD216EAE-FFDB-499F-AFCA-402D160044AF}"/>
    <cellStyle name="20% - Ênfase3 15 4" xfId="2126" xr:uid="{A7904D56-CD8D-4970-9CEF-BFB5CD57B611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3" xfId="1221" xr:uid="{4CE33BCE-0493-4937-9FB1-E87AFB9E0C37}"/>
    <cellStyle name="20% - Ênfase3 16 3 2" xfId="3073" xr:uid="{CCB31C52-97EF-4BD8-B2A0-03557F9828A3}"/>
    <cellStyle name="20% - Ênfase3 16 4" xfId="2146" xr:uid="{8F5B9DB5-A27F-43F4-A5B2-1F04E436154A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3" xfId="2165" xr:uid="{A342172C-19DB-46DE-A973-96549A185715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3" xfId="2519" xr:uid="{8DD61C58-92A9-434B-9FF8-DBE9458460C9}"/>
    <cellStyle name="20% - Ênfase3 19" xfId="918" xr:uid="{E9C86268-B568-499D-AB00-C63D570AB124}"/>
    <cellStyle name="20% - Ênfase3 19 2" xfId="2770" xr:uid="{9B295645-FBEC-4991-93FB-6A09D77FA70A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3" xfId="2187" xr:uid="{68587CCA-53D6-4AAC-B1CE-5913BF0CDE2D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3" xfId="2479" xr:uid="{506A13DC-8F31-42C0-812E-AA7D8CE1836B}"/>
    <cellStyle name="20% - Ênfase3 2 4" xfId="940" xr:uid="{3E3EC23D-14DB-4EEB-80FF-C13A2CE90A04}"/>
    <cellStyle name="20% - Ênfase3 2 4 2" xfId="2792" xr:uid="{8FF23457-75EC-4400-8747-BEBE067290F3}"/>
    <cellStyle name="20% - Ênfase3 2 5" xfId="1865" xr:uid="{8E8619AA-A5EB-4417-9EDC-8E6804677856}"/>
    <cellStyle name="20% - Ênfase3 20" xfId="1843" xr:uid="{870DC1DA-D070-4692-822B-3F156B0A204A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3" xfId="2205" xr:uid="{77376C71-9831-4961-94E8-041626700465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3" xfId="2458" xr:uid="{B4F6C7B0-1027-4104-BECC-9F0364CD3ADC}"/>
    <cellStyle name="20% - Ênfase3 3 4" xfId="958" xr:uid="{F38F9205-BB62-4C51-90DB-4D33E8BC7ED6}"/>
    <cellStyle name="20% - Ênfase3 3 4 2" xfId="2810" xr:uid="{04EAB957-B595-4A01-BB7C-455C8317AACA}"/>
    <cellStyle name="20% - Ênfase3 3 5" xfId="1883" xr:uid="{1DD7A278-515F-4815-8C75-BF5AB07469F1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3" xfId="2227" xr:uid="{5EEDC3C7-5987-4FC1-B3DE-A5B225501D87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3" xfId="2707" xr:uid="{727CF85D-4F02-41D3-8A6E-7061E78AB83C}"/>
    <cellStyle name="20% - Ênfase3 4 4" xfId="980" xr:uid="{03D7F228-DEAA-4BF0-8664-6B7F26F06AF1}"/>
    <cellStyle name="20% - Ênfase3 4 4 2" xfId="2832" xr:uid="{480DF61E-D4EC-4193-91FB-C47F83B2133C}"/>
    <cellStyle name="20% - Ênfase3 4 5" xfId="1905" xr:uid="{0D0797EE-5B5A-43D4-9333-8FDB75FD5FC8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3" xfId="2247" xr:uid="{F567FFA4-3E7B-41A1-A2AF-BEE54F4F3CC3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3" xfId="2725" xr:uid="{4D2B6284-8A4D-4E13-915D-BC0425FADDD4}"/>
    <cellStyle name="20% - Ênfase3 5 4" xfId="1000" xr:uid="{9C80D2D0-F331-4BED-BAE5-CDB6D58F5A16}"/>
    <cellStyle name="20% - Ênfase3 5 4 2" xfId="2852" xr:uid="{E1946A94-A580-4CA2-BC5C-3F98134BF563}"/>
    <cellStyle name="20% - Ênfase3 5 5" xfId="1925" xr:uid="{F0832882-9BD1-430D-A3E4-CE7E2405558E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3" xfId="2267" xr:uid="{7A1F097A-3D3D-4130-92DE-CC148E21B7F0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3" xfId="2685" xr:uid="{199ABF78-5D1D-4A27-8E1F-4FF700C1533F}"/>
    <cellStyle name="20% - Ênfase3 6 4" xfId="1020" xr:uid="{FC098512-BE57-4236-8B2E-0F9778A912A1}"/>
    <cellStyle name="20% - Ênfase3 6 4 2" xfId="2872" xr:uid="{5C720E69-FB8E-4C0E-BEAB-F2A774F08D4D}"/>
    <cellStyle name="20% - Ênfase3 6 5" xfId="1945" xr:uid="{D4C1DAE6-BE4C-41D8-BFB4-C907835EF4FB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3" xfId="2287" xr:uid="{7570E34D-D267-486D-B0B9-1EDF621AAC98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3" xfId="2743" xr:uid="{6E4B249E-3FDF-4DBD-831F-69B6E610029E}"/>
    <cellStyle name="20% - Ênfase3 7 4" xfId="1040" xr:uid="{0B9EC411-1E99-4C08-B3CE-4C4219FE7F6C}"/>
    <cellStyle name="20% - Ênfase3 7 4 2" xfId="2892" xr:uid="{B85DA41C-B6CB-40C2-9562-EF2BD995CF60}"/>
    <cellStyle name="20% - Ênfase3 7 5" xfId="1965" xr:uid="{F2E9827A-6979-4EC4-969C-485C27BEFB64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3" xfId="2307" xr:uid="{2CEE6654-F59B-4C2C-B988-D7072F74E886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3" xfId="2562" xr:uid="{CB2CD246-3292-4F76-A789-EBC924D5A6E9}"/>
    <cellStyle name="20% - Ênfase3 8 4" xfId="1060" xr:uid="{96BE6D6B-977A-4DB5-8756-864F73BF32D3}"/>
    <cellStyle name="20% - Ênfase3 8 4 2" xfId="2912" xr:uid="{916DA1E1-A00D-45D7-9B8A-CB10D7BD1850}"/>
    <cellStyle name="20% - Ênfase3 8 5" xfId="1985" xr:uid="{45BC5998-E2B1-4738-AA9A-9C5C1848236C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3" xfId="2327" xr:uid="{FDC993C6-4B83-443F-BF6C-A3794F08B778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3" xfId="2466" xr:uid="{2D4932C4-32AC-48DC-ABE2-93A41A2CE683}"/>
    <cellStyle name="20% - Ênfase3 9 4" xfId="1080" xr:uid="{E53A45B0-E03C-4C3F-A6BF-1A4B9AA9A5FE}"/>
    <cellStyle name="20% - Ênfase3 9 4 2" xfId="2932" xr:uid="{6B05E8A4-A5AE-4B57-B2AE-9BA3FAC76875}"/>
    <cellStyle name="20% - Ênfase3 9 5" xfId="2005" xr:uid="{0DF9010A-B968-4986-BFF4-77E469557C80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3" xfId="2351" xr:uid="{0533FF43-2946-4BDE-9A28-7DCF7582F0A4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3" xfId="2639" xr:uid="{9C29B6F4-37F6-430C-9F14-D4E642E5E90E}"/>
    <cellStyle name="20% - Ênfase4 10 4" xfId="1104" xr:uid="{73BF57E0-3DD3-4591-B6FD-AB7127168E4E}"/>
    <cellStyle name="20% - Ênfase4 10 4 2" xfId="2956" xr:uid="{EDFF0CF5-82EC-4127-820E-2415BC887766}"/>
    <cellStyle name="20% - Ênfase4 10 5" xfId="2029" xr:uid="{BC4538C2-636C-44F1-9275-63FED9CF781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3" xfId="2371" xr:uid="{73CD207E-2D4B-4FC6-BCBF-E7DB5572C513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3" xfId="2760" xr:uid="{A446E13F-3571-49AB-8ED9-012C414013C0}"/>
    <cellStyle name="20% - Ênfase4 11 4" xfId="1124" xr:uid="{D374F2F6-7AB4-4E02-83F5-01E829A19893}"/>
    <cellStyle name="20% - Ênfase4 11 4 2" xfId="2976" xr:uid="{6DA155E2-EBCB-4924-BF73-FA68DEBAF6E6}"/>
    <cellStyle name="20% - Ênfase4 11 5" xfId="2049" xr:uid="{9E146FCD-F439-402B-9652-6FBB194CBE2C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3" xfId="2391" xr:uid="{BE0991C0-FF97-4EB1-BBEA-B5C03AAB7351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3" xfId="2677" xr:uid="{13115E54-02A5-4702-AC90-F803CC6BEB24}"/>
    <cellStyle name="20% - Ênfase4 12 4" xfId="1144" xr:uid="{B517C28D-E53F-43C9-9F2A-87B050922501}"/>
    <cellStyle name="20% - Ênfase4 12 4 2" xfId="2996" xr:uid="{20252BCF-2CE3-4103-9AA1-FB2E4FCABBBB}"/>
    <cellStyle name="20% - Ênfase4 12 5" xfId="2069" xr:uid="{76E17FDD-3F91-4AA9-9DEB-4D03F457A4E8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3" xfId="2411" xr:uid="{359DDB93-F242-4472-914D-43696B41831C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3" xfId="2469" xr:uid="{1A76E719-B6EE-4BA7-9DD3-3D3A07865324}"/>
    <cellStyle name="20% - Ênfase4 13 4" xfId="1164" xr:uid="{85179A10-1311-4A22-9C55-5957A8BAB03B}"/>
    <cellStyle name="20% - Ênfase4 13 4 2" xfId="3016" xr:uid="{708D04B5-EDCD-4EFF-9D3A-165178B77F8B}"/>
    <cellStyle name="20% - Ênfase4 13 5" xfId="2089" xr:uid="{FACCAC91-45C9-4FBB-B1F0-31EAA7756772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3" xfId="2431" xr:uid="{D76B62D1-EBEC-4858-9640-83306844FAC7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3" xfId="2480" xr:uid="{5EEFF5AD-6002-4E16-BE98-4B9A36CAD0DE}"/>
    <cellStyle name="20% - Ênfase4 14 4" xfId="1184" xr:uid="{38B190EA-2873-4DD0-91C7-9FBB149F1E19}"/>
    <cellStyle name="20% - Ênfase4 14 4 2" xfId="3036" xr:uid="{B8802A84-DBCB-44F2-882E-B66E9BB362D6}"/>
    <cellStyle name="20% - Ênfase4 14 5" xfId="2109" xr:uid="{90CEEF65-9EF2-478C-8A40-3E1C66E348C4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3" xfId="1204" xr:uid="{6200188F-A9B4-4691-823F-4ECAC3F0ECB2}"/>
    <cellStyle name="20% - Ênfase4 15 3 2" xfId="3056" xr:uid="{E385F5C0-095C-47B0-B8AD-D14F0BD17E92}"/>
    <cellStyle name="20% - Ênfase4 15 4" xfId="2129" xr:uid="{1483A9FA-BE25-4F21-A830-7766E7AD9518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3" xfId="1224" xr:uid="{D04896B4-9B1E-4EC1-B313-1BFE170FFA2F}"/>
    <cellStyle name="20% - Ênfase4 16 3 2" xfId="3076" xr:uid="{E1FED15C-D3D7-409B-B28F-8104F56249B4}"/>
    <cellStyle name="20% - Ênfase4 16 4" xfId="2149" xr:uid="{3C1E733A-AFEF-4004-8C82-10827C55A52C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3" xfId="2168" xr:uid="{09F9BF54-7C1A-48A0-A055-A5C1F8DB9036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3" xfId="2642" xr:uid="{B20A264F-8CF1-4AEA-A34F-B9169E1C4F5B}"/>
    <cellStyle name="20% - Ênfase4 19" xfId="921" xr:uid="{00EA9B67-567C-4033-BFFD-97258E4FBEDD}"/>
    <cellStyle name="20% - Ênfase4 19 2" xfId="2773" xr:uid="{7BF30325-7D2B-4D5B-9B0D-55E7531393AA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3" xfId="2190" xr:uid="{06C155FF-9B8D-4672-B491-32DE9535EEF0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3" xfId="2515" xr:uid="{146C2DED-D4E6-43A3-B662-1902EB435266}"/>
    <cellStyle name="20% - Ênfase4 2 4" xfId="943" xr:uid="{6C589D63-90DC-4113-BE20-23F919AC3F64}"/>
    <cellStyle name="20% - Ênfase4 2 4 2" xfId="2795" xr:uid="{BF1F97DF-1EB6-47DF-8F82-EA9FEAB30555}"/>
    <cellStyle name="20% - Ênfase4 2 5" xfId="1868" xr:uid="{5491F9B0-2041-44CF-BE05-F92F5BDD32A7}"/>
    <cellStyle name="20% - Ênfase4 20" xfId="1846" xr:uid="{B3664DCB-9832-4B6F-917F-72CDC51C3E7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3" xfId="2208" xr:uid="{EA480FCE-FC1D-40E8-B550-75708EC857BD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3" xfId="2673" xr:uid="{44FED595-628A-4C51-A0EF-ADAEB2B368CE}"/>
    <cellStyle name="20% - Ênfase4 3 4" xfId="961" xr:uid="{1CE6BC61-37EE-480E-B9FE-7A04D259BECB}"/>
    <cellStyle name="20% - Ênfase4 3 4 2" xfId="2813" xr:uid="{729B81AB-11CD-48DD-944E-60D5F06D5989}"/>
    <cellStyle name="20% - Ênfase4 3 5" xfId="1886" xr:uid="{4EBA8F37-250E-443E-A8CE-0969FAA0B85E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3" xfId="2230" xr:uid="{88AB19D9-64DA-4EDD-9622-4B02A82C230A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3" xfId="2521" xr:uid="{C83686BB-6974-4434-9E1C-E4A7EC8039B9}"/>
    <cellStyle name="20% - Ênfase4 4 4" xfId="983" xr:uid="{E5AFDF6F-0BFA-4FFF-BCC8-8C102C60EF4B}"/>
    <cellStyle name="20% - Ênfase4 4 4 2" xfId="2835" xr:uid="{BCE884B6-27B5-445E-A592-2E7F6513EDDB}"/>
    <cellStyle name="20% - Ênfase4 4 5" xfId="1908" xr:uid="{6FF43D39-F77A-4E15-B068-6F0D1F1CEF1B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3" xfId="2250" xr:uid="{7B69CBC7-BAA2-4815-BF8B-FB1C24DBC978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3" xfId="2667" xr:uid="{D2002397-AC9B-41A0-B50E-DB4EE4FE1810}"/>
    <cellStyle name="20% - Ênfase4 5 4" xfId="1003" xr:uid="{F2DA79AC-426E-457C-A171-C24015EB6F90}"/>
    <cellStyle name="20% - Ênfase4 5 4 2" xfId="2855" xr:uid="{7A5A7A42-3C4B-4296-8526-741D2CE68A46}"/>
    <cellStyle name="20% - Ênfase4 5 5" xfId="1928" xr:uid="{DB5C88F5-18FF-4CE8-802B-E56F76B3CB8E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3" xfId="2270" xr:uid="{BF622656-FF75-4D89-9517-1FB51FD38EA0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3" xfId="2513" xr:uid="{0C9726CF-6FAB-4715-A0B1-72D07FC1BBA5}"/>
    <cellStyle name="20% - Ênfase4 6 4" xfId="1023" xr:uid="{2A4A3B4C-F79D-4263-974F-D4238F83D5AF}"/>
    <cellStyle name="20% - Ênfase4 6 4 2" xfId="2875" xr:uid="{1A3D3D08-C804-4855-9C93-2CE13E75051A}"/>
    <cellStyle name="20% - Ênfase4 6 5" xfId="1948" xr:uid="{31628386-34CA-4952-9BA2-66BD89A2894A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3" xfId="2290" xr:uid="{52175F01-952C-4272-852B-112D79DBF463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3" xfId="2751" xr:uid="{99D25132-0325-49EF-88A1-2BD05DA6174C}"/>
    <cellStyle name="20% - Ênfase4 7 4" xfId="1043" xr:uid="{13413A05-0406-460B-B5C5-D60D48E55DB3}"/>
    <cellStyle name="20% - Ênfase4 7 4 2" xfId="2895" xr:uid="{185027AB-2916-4495-8CD4-3AD775B2A8C6}"/>
    <cellStyle name="20% - Ênfase4 7 5" xfId="1968" xr:uid="{8504B70A-3517-4C4D-AA59-2BA94DC64C04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3" xfId="2310" xr:uid="{4F29BE60-445B-49B8-BCAB-918A48CDFCD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3" xfId="2557" xr:uid="{7167A2E3-A3FB-4D23-A8CB-0422E5D674EB}"/>
    <cellStyle name="20% - Ênfase4 8 4" xfId="1063" xr:uid="{092BDC15-2DFD-41B8-B7C6-48469BDE1256}"/>
    <cellStyle name="20% - Ênfase4 8 4 2" xfId="2915" xr:uid="{E659B383-FF70-4FE0-AC45-A826344147CD}"/>
    <cellStyle name="20% - Ênfase4 8 5" xfId="1988" xr:uid="{C9BE0313-4488-40FB-9CEC-30F29E67931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3" xfId="2330" xr:uid="{56919C6D-95FA-4AAF-BD1D-389AE533CC5B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3" xfId="2645" xr:uid="{FF3882D7-039E-49E2-B967-D2695D5B2BED}"/>
    <cellStyle name="20% - Ênfase4 9 4" xfId="1083" xr:uid="{C856A1FA-8570-4CDC-BF36-5AB74C9EF3A2}"/>
    <cellStyle name="20% - Ênfase4 9 4 2" xfId="2935" xr:uid="{1B39FF73-D169-4E99-B3C6-7B186640ED92}"/>
    <cellStyle name="20% - Ênfase4 9 5" xfId="2008" xr:uid="{05087203-4FAC-42D2-823D-84889313E905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3" xfId="2354" xr:uid="{0A9C4E41-5D25-4B86-A88C-06DB9CF054C9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3" xfId="2635" xr:uid="{D8E5E49C-DA41-42DB-AE41-4B35D57FBB17}"/>
    <cellStyle name="20% - Ênfase5 10 4" xfId="1107" xr:uid="{9CDDE127-08A0-4E1C-BBD6-DAE11C7D5DBD}"/>
    <cellStyle name="20% - Ênfase5 10 4 2" xfId="2959" xr:uid="{7E2E36E4-53F4-4695-9476-8A9C82FD2755}"/>
    <cellStyle name="20% - Ênfase5 10 5" xfId="2032" xr:uid="{179D9065-8360-4788-9A42-D0423E7EE19D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3" xfId="2374" xr:uid="{8EFE66FD-9E03-4DEA-9863-9BE9643CC493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3" xfId="2565" xr:uid="{4A5005F9-95E5-43F3-8E24-D29FF74CE3EB}"/>
    <cellStyle name="20% - Ênfase5 11 4" xfId="1127" xr:uid="{3F1FDAC9-75ED-4728-BD9D-5CE7E2A17937}"/>
    <cellStyle name="20% - Ênfase5 11 4 2" xfId="2979" xr:uid="{0D030733-7C70-4CC6-BBAF-BA1A77E9B1AB}"/>
    <cellStyle name="20% - Ênfase5 11 5" xfId="2052" xr:uid="{9C4B9233-B0A1-4FA2-9351-AE64D7AEAA7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3" xfId="2394" xr:uid="{D62D629B-CA3E-4AD8-AD69-1163B1F5C30E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3" xfId="2543" xr:uid="{80EBFE27-C3A9-48F8-8067-909258ED4030}"/>
    <cellStyle name="20% - Ênfase5 12 4" xfId="1147" xr:uid="{0666B4DA-FE3C-4F32-B320-C05B6D7FFC6D}"/>
    <cellStyle name="20% - Ênfase5 12 4 2" xfId="2999" xr:uid="{5EB15386-52C4-4726-B50C-83006A3C9BD1}"/>
    <cellStyle name="20% - Ênfase5 12 5" xfId="2072" xr:uid="{DC5799FC-C491-4076-B77F-660FE624CCF0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3" xfId="2414" xr:uid="{593621CD-D10B-4B31-B8CB-EB6EFF8BC2D1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3" xfId="2477" xr:uid="{CFF3FF01-1869-4ACB-A7CB-3632B0611DB8}"/>
    <cellStyle name="20% - Ênfase5 13 4" xfId="1167" xr:uid="{F23C1CD6-EB31-4767-BFBE-719EDA606CDD}"/>
    <cellStyle name="20% - Ênfase5 13 4 2" xfId="3019" xr:uid="{DA7C7E07-2D73-46DF-AD8D-F82D0D98DD38}"/>
    <cellStyle name="20% - Ênfase5 13 5" xfId="2092" xr:uid="{76D2BFB6-A77A-4256-B66D-C556DB0E1FCE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3" xfId="2434" xr:uid="{6F332873-33DB-4569-A7E8-E4EC5FD17F5D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3" xfId="2522" xr:uid="{AA72790B-E186-4348-BB23-F6CE2EECE3E7}"/>
    <cellStyle name="20% - Ênfase5 14 4" xfId="1187" xr:uid="{5C57340A-31B3-4688-8374-2AA47ABD15A4}"/>
    <cellStyle name="20% - Ênfase5 14 4 2" xfId="3039" xr:uid="{97CCA624-C6DD-413C-BB29-8D04AFB7D9E3}"/>
    <cellStyle name="20% - Ênfase5 14 5" xfId="2112" xr:uid="{571A9B28-5295-49A9-9954-F4DD5C9688FE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3" xfId="1207" xr:uid="{D3B22A80-618E-4755-B829-D292EF2D0819}"/>
    <cellStyle name="20% - Ênfase5 15 3 2" xfId="3059" xr:uid="{0F6FD035-DE07-42F9-AB37-6BF8B39626CA}"/>
    <cellStyle name="20% - Ênfase5 15 4" xfId="2132" xr:uid="{43732993-EAB3-4EED-83CD-2E74C0E11D3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3" xfId="1227" xr:uid="{CBE5E452-A612-4DF0-A9EA-CA88022C632E}"/>
    <cellStyle name="20% - Ênfase5 16 3 2" xfId="3079" xr:uid="{E3345573-E69B-4B32-9D4C-4E1960E13B21}"/>
    <cellStyle name="20% - Ênfase5 16 4" xfId="2152" xr:uid="{592923ED-9C3A-42B4-8C0D-06179ED336C3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3" xfId="2171" xr:uid="{4DAA1AAA-93EC-45D6-A687-49F70ACA740D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3" xfId="2697" xr:uid="{7728D18D-B61A-4D22-9894-84926A2BA047}"/>
    <cellStyle name="20% - Ênfase5 19" xfId="924" xr:uid="{BCA058B2-EFBE-487D-ABC7-FDCCBAB536DE}"/>
    <cellStyle name="20% - Ênfase5 19 2" xfId="2776" xr:uid="{715FD01C-70A6-406D-8D6B-1B468ED39CBB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3" xfId="2193" xr:uid="{7E52868D-C73B-4E14-BD55-F69A6AA6E1AA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3" xfId="2662" xr:uid="{5F724480-5AAA-4C25-ADE8-A58944FB6806}"/>
    <cellStyle name="20% - Ênfase5 2 4" xfId="946" xr:uid="{BBF892AE-3A20-486C-BC7B-C6E7D90545F3}"/>
    <cellStyle name="20% - Ênfase5 2 4 2" xfId="2798" xr:uid="{90C1DA9E-E32E-49F9-970B-A3EB4B15A64B}"/>
    <cellStyle name="20% - Ênfase5 2 5" xfId="1871" xr:uid="{70645E8E-A82E-4DB3-BEDE-CE3E92744FD4}"/>
    <cellStyle name="20% - Ênfase5 20" xfId="1849" xr:uid="{DE0A008D-7238-4C84-9A38-8BAD97A61940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3" xfId="2211" xr:uid="{35BF1700-8E87-468F-B1BD-A715EB82FC78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3" xfId="2709" xr:uid="{22A7D978-4CFB-432B-83BE-428D2BB23126}"/>
    <cellStyle name="20% - Ênfase5 3 4" xfId="964" xr:uid="{1909FFFA-F58B-4E3F-88F6-851E2BD9A7F6}"/>
    <cellStyle name="20% - Ênfase5 3 4 2" xfId="2816" xr:uid="{94426EA9-BAC8-44FE-BF00-A2231B63D406}"/>
    <cellStyle name="20% - Ênfase5 3 5" xfId="1889" xr:uid="{6B8C7033-3EF8-420D-A447-65B41C3247CF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3" xfId="2233" xr:uid="{A723071F-8731-4E99-9CCD-B9B1490EF7FD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3" xfId="2670" xr:uid="{ADA2E756-D47F-4502-AEDD-38D23B1C95D9}"/>
    <cellStyle name="20% - Ênfase5 4 4" xfId="986" xr:uid="{E3199C50-17A7-4CDD-A923-917639531932}"/>
    <cellStyle name="20% - Ênfase5 4 4 2" xfId="2838" xr:uid="{0E781629-A8FF-42E3-89CF-C6A958819A81}"/>
    <cellStyle name="20% - Ênfase5 4 5" xfId="1911" xr:uid="{F15BC985-5B26-44CA-92EE-4A19ACA6169D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3" xfId="2253" xr:uid="{7BE8F512-CBEF-40E7-AE5D-17148AC99827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3" xfId="2643" xr:uid="{74593FFF-6A48-4FE3-BA56-CEE2CE71B33F}"/>
    <cellStyle name="20% - Ênfase5 5 4" xfId="1006" xr:uid="{632BF4A7-3DEB-4073-A6F4-1188D845AABE}"/>
    <cellStyle name="20% - Ênfase5 5 4 2" xfId="2858" xr:uid="{BEC8EF60-6F54-4C79-9184-92AA8744D4A7}"/>
    <cellStyle name="20% - Ênfase5 5 5" xfId="1931" xr:uid="{2B5EB03F-B558-451D-8114-BDE53E8304A2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3" xfId="2273" xr:uid="{44911529-2F00-45BF-BCF1-CD826D4EE62B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3" xfId="2554" xr:uid="{B9AC5953-EDE2-4E3B-AD4C-195E2FD08C77}"/>
    <cellStyle name="20% - Ênfase5 6 4" xfId="1026" xr:uid="{DD64B5C1-B4FF-4529-85D7-29378F1D547D}"/>
    <cellStyle name="20% - Ênfase5 6 4 2" xfId="2878" xr:uid="{D282C169-017A-4550-A63F-8087971B1B6A}"/>
    <cellStyle name="20% - Ênfase5 6 5" xfId="1951" xr:uid="{EC2ACD22-EA6C-4942-8D46-A10297AF9656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3" xfId="2293" xr:uid="{2AED4BA2-3DB9-4A39-8121-51101AFE1C8B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3" xfId="2717" xr:uid="{70B85501-6DE8-49DA-8111-61783F80803A}"/>
    <cellStyle name="20% - Ênfase5 7 4" xfId="1046" xr:uid="{8E58D72D-02FC-494E-BA21-3852089B018B}"/>
    <cellStyle name="20% - Ênfase5 7 4 2" xfId="2898" xr:uid="{B0ECFA9B-F385-4E69-813F-9BEFC1A60700}"/>
    <cellStyle name="20% - Ênfase5 7 5" xfId="1971" xr:uid="{F77F0C21-6426-45EB-A1F7-7B10B1B417AE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3" xfId="2313" xr:uid="{69A955D1-F0B3-4C04-BCFA-A4C4D1BA3047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3" xfId="2471" xr:uid="{EBDDFC5B-18B6-4138-9FFA-3AD4D9CE9F96}"/>
    <cellStyle name="20% - Ênfase5 8 4" xfId="1066" xr:uid="{B7CF5ED9-AB1D-471F-9CFE-3BD373DC9133}"/>
    <cellStyle name="20% - Ênfase5 8 4 2" xfId="2918" xr:uid="{0ADCD95F-973B-4D5E-A89E-00B45BE3BD1B}"/>
    <cellStyle name="20% - Ênfase5 8 5" xfId="1991" xr:uid="{09BD9020-754A-484B-AF28-4875EEAE3A2C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3" xfId="2333" xr:uid="{D6B50659-E47A-4B15-84A8-E6797D2D513D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3" xfId="2656" xr:uid="{E03A0708-69DA-4116-917D-58BA6B09A53F}"/>
    <cellStyle name="20% - Ênfase5 9 4" xfId="1086" xr:uid="{65DFC777-53C8-4C87-8E12-D3CE8BD4C2F5}"/>
    <cellStyle name="20% - Ênfase5 9 4 2" xfId="2938" xr:uid="{900ABACA-0269-4FBD-BF26-CE109A44A9CC}"/>
    <cellStyle name="20% - Ênfase5 9 5" xfId="2011" xr:uid="{19F6ECBF-850E-4A84-A2F2-50F47C0C6E0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3" xfId="2357" xr:uid="{6DA981C6-1A9C-491E-B3F0-51FA81CD751D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3" xfId="2669" xr:uid="{9A57C24B-CD13-4EDB-8B3E-F74904C41686}"/>
    <cellStyle name="20% - Ênfase6 10 4" xfId="1110" xr:uid="{39A863FE-D56C-4BA2-8313-ACF4113AA48B}"/>
    <cellStyle name="20% - Ênfase6 10 4 2" xfId="2962" xr:uid="{D430FF60-68B0-43A4-9E81-53EAB1766C27}"/>
    <cellStyle name="20% - Ênfase6 10 5" xfId="2035" xr:uid="{D07E6279-0878-4269-AADC-AF3AED4A9238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3" xfId="2377" xr:uid="{CB46DC95-363D-475C-A966-6F168A6BBEF8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3" xfId="2719" xr:uid="{AB20010A-AA9A-4D9F-AA55-0E30E6364697}"/>
    <cellStyle name="20% - Ênfase6 11 4" xfId="1130" xr:uid="{E409BF62-C686-4FFA-906C-EDBDDA988519}"/>
    <cellStyle name="20% - Ênfase6 11 4 2" xfId="2982" xr:uid="{901CB8D2-3269-49D4-837C-ED4702B8F157}"/>
    <cellStyle name="20% - Ênfase6 11 5" xfId="2055" xr:uid="{451692B6-848F-4410-9911-52FA38500F1A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3" xfId="2397" xr:uid="{0C75BE94-62B8-4196-AD6A-A047F45DC223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3" xfId="2714" xr:uid="{72BE6B36-217F-4EFD-990A-2770B6042F18}"/>
    <cellStyle name="20% - Ênfase6 12 4" xfId="1150" xr:uid="{0ACBDD94-8891-496A-9A8D-4A53DE5A4DAA}"/>
    <cellStyle name="20% - Ênfase6 12 4 2" xfId="3002" xr:uid="{17085C6E-4E15-4D8D-BA17-D156E1171E58}"/>
    <cellStyle name="20% - Ênfase6 12 5" xfId="2075" xr:uid="{285A0EA9-0A40-4F69-84AC-4606E520FC2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3" xfId="2417" xr:uid="{0D73DCC4-E14C-4063-A830-4ABD709CD27D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3" xfId="2666" xr:uid="{F7C0E77B-F470-4345-8918-0607DCB51C3C}"/>
    <cellStyle name="20% - Ênfase6 13 4" xfId="1170" xr:uid="{27296227-A7D3-4AAE-B526-2871EFB90489}"/>
    <cellStyle name="20% - Ênfase6 13 4 2" xfId="3022" xr:uid="{FACE5EA9-2B80-40D8-87E1-1474E5F1EF3A}"/>
    <cellStyle name="20% - Ênfase6 13 5" xfId="2095" xr:uid="{1AD240F7-2C2A-4EDE-AD69-72A647843989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3" xfId="2437" xr:uid="{586DAC0F-F557-43B1-A415-7EBE82AE35B3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3" xfId="2646" xr:uid="{0073B367-104F-4295-8DCF-8777AC920F7F}"/>
    <cellStyle name="20% - Ênfase6 14 4" xfId="1190" xr:uid="{7F394FB7-9B5A-4E49-945E-01305F743655}"/>
    <cellStyle name="20% - Ênfase6 14 4 2" xfId="3042" xr:uid="{0C068BE1-EBB2-4F1F-B7B3-0E61F4BF9641}"/>
    <cellStyle name="20% - Ênfase6 14 5" xfId="2115" xr:uid="{03A85B18-0551-4BBB-86E0-54786FCA36FA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3" xfId="1210" xr:uid="{D73F0F2F-E9D7-46ED-A165-0BA5ED068ECC}"/>
    <cellStyle name="20% - Ênfase6 15 3 2" xfId="3062" xr:uid="{50E517C6-9CA0-4657-8E6F-D04112E1BC0A}"/>
    <cellStyle name="20% - Ênfase6 15 4" xfId="2135" xr:uid="{139EC7C4-0D3B-44C3-9B6A-52B48F1EE396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3" xfId="1230" xr:uid="{68EABEA0-E7A4-4B3A-9117-F63CE5E97F6E}"/>
    <cellStyle name="20% - Ênfase6 16 3 2" xfId="3082" xr:uid="{FC09E63E-9788-4359-A068-2B8CDC3985E5}"/>
    <cellStyle name="20% - Ênfase6 16 4" xfId="2155" xr:uid="{DCD886E9-A53F-46C0-991C-E884E15D1320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3" xfId="2174" xr:uid="{83C74066-FF3A-4580-B344-DC30A852C9F4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3" xfId="2520" xr:uid="{BFA9418A-6D78-4B83-B8EF-7D9AF71FA8E7}"/>
    <cellStyle name="20% - Ênfase6 19" xfId="927" xr:uid="{734144D0-707A-41E8-8147-E3E4561F3DBD}"/>
    <cellStyle name="20% - Ênfase6 19 2" xfId="2779" xr:uid="{4E7D52F8-C8AE-495C-AD8F-E7F768B3DB26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3" xfId="2196" xr:uid="{F67715DB-2B27-4973-B275-EE45E5835E66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3" xfId="2535" xr:uid="{A53BFF09-3AD1-4BFD-B1B7-80EA4A8D643F}"/>
    <cellStyle name="20% - Ênfase6 2 4" xfId="949" xr:uid="{4EF626DC-44D8-4C61-8435-BB818D345D5B}"/>
    <cellStyle name="20% - Ênfase6 2 4 2" xfId="2801" xr:uid="{5128EC55-CF75-4483-80B1-29366F00377B}"/>
    <cellStyle name="20% - Ênfase6 2 5" xfId="1874" xr:uid="{A2A4433E-1E7A-440F-8214-7DA15AFE7FEE}"/>
    <cellStyle name="20% - Ênfase6 20" xfId="1852" xr:uid="{AFDCD64A-E9D4-4E1D-BF95-D96EF40EC47F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3" xfId="2214" xr:uid="{17A32698-9EFF-4008-89D4-4EC1398E7F3D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3" xfId="2687" xr:uid="{368FA13A-ABE6-4BF2-B7DB-99F66E190056}"/>
    <cellStyle name="20% - Ênfase6 3 4" xfId="967" xr:uid="{7CF598ED-2B0E-4F55-A32B-A8289CF6FAF2}"/>
    <cellStyle name="20% - Ênfase6 3 4 2" xfId="2819" xr:uid="{BD800922-1834-4564-A2F8-E8F096878C56}"/>
    <cellStyle name="20% - Ênfase6 3 5" xfId="1892" xr:uid="{23EC267C-CDEA-4C9A-88C4-0284AF1500C5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3" xfId="2236" xr:uid="{B2EA9663-4B80-4C2F-9EF8-814F4207DBBA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3" xfId="2511" xr:uid="{395C44B5-9CF6-494B-A0DF-9B00395323D0}"/>
    <cellStyle name="20% - Ênfase6 4 4" xfId="989" xr:uid="{5BCD71DF-8D4F-4D45-88EC-9045B07DD0BE}"/>
    <cellStyle name="20% - Ênfase6 4 4 2" xfId="2841" xr:uid="{41DBCD30-C1FE-4088-8719-4EE56E7CDC0B}"/>
    <cellStyle name="20% - Ênfase6 4 5" xfId="1914" xr:uid="{FC4D9C7A-54AC-427A-9339-70D19A0DD3DB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3" xfId="2256" xr:uid="{1C26B5D1-1ED6-417B-9B6E-BBB268181D82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3" xfId="2528" xr:uid="{BFA2C0A8-60F1-4614-AAD1-8D0A62ED93A1}"/>
    <cellStyle name="20% - Ênfase6 5 4" xfId="1009" xr:uid="{A14FFB74-CCA9-41E8-BE3C-2477CBBD6170}"/>
    <cellStyle name="20% - Ênfase6 5 4 2" xfId="2861" xr:uid="{C404EFDE-0612-489B-8A1B-37B1F545F28E}"/>
    <cellStyle name="20% - Ênfase6 5 5" xfId="1934" xr:uid="{BF8E7DCF-7150-4A1E-9731-1D9A32918B4E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3" xfId="2276" xr:uid="{46077CF5-E1E0-49CA-84A4-5DDA3962EDE3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3" xfId="2541" xr:uid="{585C5BCB-DB72-4CEE-9BEC-0077DD537C0C}"/>
    <cellStyle name="20% - Ênfase6 6 4" xfId="1029" xr:uid="{EC2A627E-8A1F-44BD-BA9C-9506B6D009DB}"/>
    <cellStyle name="20% - Ênfase6 6 4 2" xfId="2881" xr:uid="{1EB2318B-6310-4F71-A7BD-5D7C8A997B5C}"/>
    <cellStyle name="20% - Ênfase6 6 5" xfId="1954" xr:uid="{603584E5-43B7-4FB5-837F-89B9A1103B4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3" xfId="2296" xr:uid="{D19940DF-22B6-4ABF-AFE9-27F2DFE37726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3" xfId="2695" xr:uid="{41AF6247-783A-4179-BFC8-C90EA6FCAAE6}"/>
    <cellStyle name="20% - Ênfase6 7 4" xfId="1049" xr:uid="{A8988256-819F-41F7-A7F4-09522900D11D}"/>
    <cellStyle name="20% - Ênfase6 7 4 2" xfId="2901" xr:uid="{30CBF9DF-5BEA-48A4-9502-9B379594CB8A}"/>
    <cellStyle name="20% - Ênfase6 7 5" xfId="1974" xr:uid="{4A4BE94A-7267-44B0-B250-074C970CD54D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3" xfId="2316" xr:uid="{C8750FFA-EF1D-4129-8E6D-817106A686AE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3" xfId="2456" xr:uid="{8625DB80-E499-45F8-A392-9D2C80723806}"/>
    <cellStyle name="20% - Ênfase6 8 4" xfId="1069" xr:uid="{E3FAC89D-7C90-4B33-A331-4E5FBC4CAC1F}"/>
    <cellStyle name="20% - Ênfase6 8 4 2" xfId="2921" xr:uid="{E9D04C66-F407-4136-A2ED-F0F56A89A21C}"/>
    <cellStyle name="20% - Ênfase6 8 5" xfId="1994" xr:uid="{D8693091-05D3-48CB-9C50-641660B1BA02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3" xfId="2336" xr:uid="{DD35E7F5-0F51-4E54-854B-D8133D361D99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3" xfId="2498" xr:uid="{3AC8AB9F-9DAE-407C-B278-757777EAEC8F}"/>
    <cellStyle name="20% - Ênfase6 9 4" xfId="1089" xr:uid="{796E3967-A3A3-4558-8ED6-12F95D696F15}"/>
    <cellStyle name="20% - Ênfase6 9 4 2" xfId="2941" xr:uid="{662DB2D2-4CA2-4C55-A9C4-63743A73CA26}"/>
    <cellStyle name="20% - Ênfase6 9 5" xfId="2014" xr:uid="{DD1F29B1-A4A2-41DE-B753-CDE3AAD73201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3" xfId="2343" xr:uid="{1D982583-1AFF-4B59-A772-155E2D9EB96F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3" xfId="2556" xr:uid="{7A0F1907-858B-4776-837A-A7743A8B858C}"/>
    <cellStyle name="40% - Ênfase1 10 4" xfId="1096" xr:uid="{68F30939-D3BB-4FCB-ADA0-7BA4FAD5FEB8}"/>
    <cellStyle name="40% - Ênfase1 10 4 2" xfId="2948" xr:uid="{870BE642-127B-41A3-BF48-A683331D2B2D}"/>
    <cellStyle name="40% - Ênfase1 10 5" xfId="2021" xr:uid="{99D02EAC-A819-4484-A5BE-043478A48F27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3" xfId="2363" xr:uid="{893ADC03-A21C-4736-9AE8-E8390A4B2E51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3" xfId="2616" xr:uid="{055833E4-9366-4C2F-9104-F9C3960E127C}"/>
    <cellStyle name="40% - Ênfase1 11 4" xfId="1116" xr:uid="{36D0F3E1-BB83-44C5-AA4B-FF817108322F}"/>
    <cellStyle name="40% - Ênfase1 11 4 2" xfId="2968" xr:uid="{951C4BD5-5636-4E4A-96E0-1DBE122BF8EA}"/>
    <cellStyle name="40% - Ênfase1 11 5" xfId="2041" xr:uid="{247FEA42-6418-4445-8B10-DAE9C7F4A3B8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3" xfId="2383" xr:uid="{9D8B7F1A-98BB-4E76-A77C-23BC4A384127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3" xfId="2631" xr:uid="{3A67FF2C-5D26-477B-A30C-055AD27F79BE}"/>
    <cellStyle name="40% - Ênfase1 12 4" xfId="1136" xr:uid="{C9B974BA-8C3D-4DCA-B6EC-C548B43164CF}"/>
    <cellStyle name="40% - Ênfase1 12 4 2" xfId="2988" xr:uid="{190E789A-9DC2-4640-8D33-1BD4B6F4A1CF}"/>
    <cellStyle name="40% - Ênfase1 12 5" xfId="2061" xr:uid="{0A2137CB-76AE-4D9D-84BB-D2B66CC06C05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3" xfId="2403" xr:uid="{B2F0A723-EF75-4B81-A6EB-0CCDF66C0DDC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3" xfId="2551" xr:uid="{2DC310AB-4138-4060-B659-A25D6874AD95}"/>
    <cellStyle name="40% - Ênfase1 13 4" xfId="1156" xr:uid="{A1F88DBC-9605-4C39-8719-959E15F2E29B}"/>
    <cellStyle name="40% - Ênfase1 13 4 2" xfId="3008" xr:uid="{005C9529-5D10-4E37-932B-168D002C2A6A}"/>
    <cellStyle name="40% - Ênfase1 13 5" xfId="2081" xr:uid="{29F1E484-0BDC-4059-8E3F-DBD3B076EF66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3" xfId="2423" xr:uid="{D985579D-4786-4FCB-9BAD-604375DDC4AE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3" xfId="2526" xr:uid="{3E331642-53C4-4644-A641-69CCE8A0EB29}"/>
    <cellStyle name="40% - Ênfase1 14 4" xfId="1176" xr:uid="{2328DD2B-50E6-4356-B1A3-9F57FD808772}"/>
    <cellStyle name="40% - Ênfase1 14 4 2" xfId="3028" xr:uid="{C06C629C-DCA2-4557-89B9-28EFB8FFD136}"/>
    <cellStyle name="40% - Ênfase1 14 5" xfId="2101" xr:uid="{919C4FF4-F352-4FAA-8B29-85C5FCD82E57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3" xfId="1196" xr:uid="{5D9B11BB-C4ED-49B6-BD97-1DDE1B192780}"/>
    <cellStyle name="40% - Ênfase1 15 3 2" xfId="3048" xr:uid="{08AFD1BB-43E9-417B-A8E8-DFE501ACFF11}"/>
    <cellStyle name="40% - Ênfase1 15 4" xfId="2121" xr:uid="{F373B314-307C-4381-BCD9-5D4BF37DF464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3" xfId="1216" xr:uid="{EA45A1D4-6DF6-49DB-B6D1-8F9375B66E36}"/>
    <cellStyle name="40% - Ênfase1 16 3 2" xfId="3068" xr:uid="{B865A84D-6264-408D-8B48-224638CFC70C}"/>
    <cellStyle name="40% - Ênfase1 16 4" xfId="2141" xr:uid="{2771FB90-35EF-4450-B98F-802DEA51727A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3" xfId="2160" xr:uid="{BB5D88B0-5643-4D34-9B85-6702992F1AF7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3" xfId="2450" xr:uid="{28F8C992-B61A-4981-AC43-B462C6C18DE8}"/>
    <cellStyle name="40% - Ênfase1 19" xfId="913" xr:uid="{CA4215EE-88B4-42D9-B379-6DDD93DC9DA6}"/>
    <cellStyle name="40% - Ênfase1 19 2" xfId="2765" xr:uid="{D130DC29-E13B-469D-8948-19BF1353DE8E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3" xfId="2182" xr:uid="{FDD60BB1-7E94-4F98-8EFD-6E0A39FAA812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3" xfId="2660" xr:uid="{6AC03908-2E20-4DB6-97B7-181F576FDD52}"/>
    <cellStyle name="40% - Ênfase1 2 4" xfId="935" xr:uid="{92ABFEEA-06A4-47D3-B2FC-201EF8E44DE0}"/>
    <cellStyle name="40% - Ênfase1 2 4 2" xfId="2787" xr:uid="{5DCF4D4A-F78C-450A-AAC2-A141AC593E13}"/>
    <cellStyle name="40% - Ênfase1 2 5" xfId="1860" xr:uid="{7EA61AED-48EF-4B14-8C5F-46661ADF61D6}"/>
    <cellStyle name="40% - Ênfase1 20" xfId="1838" xr:uid="{75246792-1DA4-42C5-A513-57AF335D70B6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3" xfId="2200" xr:uid="{42DFA9AA-3903-4013-B3DE-109838BB705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3" xfId="2692" xr:uid="{491150BB-E464-402A-A726-F4790D08BAAE}"/>
    <cellStyle name="40% - Ênfase1 3 4" xfId="953" xr:uid="{39339F04-FDD5-44E4-B305-E96305CC9841}"/>
    <cellStyle name="40% - Ênfase1 3 4 2" xfId="2805" xr:uid="{83AEBD74-C1DD-48C0-AC5F-DDB17E0DCCB8}"/>
    <cellStyle name="40% - Ênfase1 3 5" xfId="1878" xr:uid="{8F0E58A5-D2C5-4FFA-82F6-DCD3A77DD504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3" xfId="2222" xr:uid="{FC1127CD-BF11-46FD-9760-DAA6E269ED9A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3" xfId="2525" xr:uid="{ABB119D4-18E3-46E6-BC7B-BDE4A55B5863}"/>
    <cellStyle name="40% - Ênfase1 4 4" xfId="975" xr:uid="{C712BAE1-DE20-4070-93A9-9B4CC70A53F2}"/>
    <cellStyle name="40% - Ênfase1 4 4 2" xfId="2827" xr:uid="{915997CE-A82B-4748-A6BA-4C3BFF2018E8}"/>
    <cellStyle name="40% - Ênfase1 4 5" xfId="1900" xr:uid="{B2E60C9F-52E0-474E-9DB8-9DF72CBC8F67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3" xfId="2242" xr:uid="{DA5DF6AF-B856-46ED-9126-0FCC7D75EEFB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3" xfId="2688" xr:uid="{8994226A-0D69-4077-8C75-8E4AEF263E27}"/>
    <cellStyle name="40% - Ênfase1 5 4" xfId="995" xr:uid="{74E0F986-0DFF-4C31-8A93-4EA355732871}"/>
    <cellStyle name="40% - Ênfase1 5 4 2" xfId="2847" xr:uid="{AB70077D-2E73-4D72-AD61-CA7482042D17}"/>
    <cellStyle name="40% - Ênfase1 5 5" xfId="1920" xr:uid="{376B33A1-583A-4AA9-9631-D0F7C0443895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3" xfId="2262" xr:uid="{EF3586C8-DC1D-4230-9DBA-D80DDC373EA0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3" xfId="2548" xr:uid="{DCE32E9C-3594-4537-A3C7-D6F326B543A9}"/>
    <cellStyle name="40% - Ênfase1 6 4" xfId="1015" xr:uid="{7596247B-B0B1-42E8-A6EE-5F5D6CCF6B5D}"/>
    <cellStyle name="40% - Ênfase1 6 4 2" xfId="2867" xr:uid="{536DA353-06CC-46F1-8872-F4B08F30F56B}"/>
    <cellStyle name="40% - Ênfase1 6 5" xfId="1940" xr:uid="{39ACEDBC-46BA-4F8F-B5C6-3BE1F5B6BAFB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3" xfId="2282" xr:uid="{9382B89D-BFE3-4836-A180-483F185EA25E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3" xfId="2676" xr:uid="{0C397153-CA8B-41A4-9511-23B10DE21181}"/>
    <cellStyle name="40% - Ênfase1 7 4" xfId="1035" xr:uid="{9EA46BF4-449F-4F18-95B3-265DA6DBE4CA}"/>
    <cellStyle name="40% - Ênfase1 7 4 2" xfId="2887" xr:uid="{C6EB6CE3-075E-402C-BE44-27AE8707ACC4}"/>
    <cellStyle name="40% - Ênfase1 7 5" xfId="1960" xr:uid="{82BD6397-B73C-4BD6-AFC8-57F17A3DD938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3" xfId="2302" xr:uid="{EE175BDC-BAD4-4654-BB54-AFCE2944DA3D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3" xfId="2686" xr:uid="{0817B136-0134-4BD8-A088-105495D2D2D2}"/>
    <cellStyle name="40% - Ênfase1 8 4" xfId="1055" xr:uid="{DD6751FC-686B-4090-BDBE-675962E24E36}"/>
    <cellStyle name="40% - Ênfase1 8 4 2" xfId="2907" xr:uid="{7C17E439-20C2-4ADB-B767-28868EF340F6}"/>
    <cellStyle name="40% - Ênfase1 8 5" xfId="1980" xr:uid="{13B1BA89-8AE8-40F1-AFB4-48FD38537A08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3" xfId="2322" xr:uid="{961262A2-A282-4265-BAF8-69B29F3E7F8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3" xfId="2749" xr:uid="{3872AB91-B41A-4396-BE6A-D8DA92372742}"/>
    <cellStyle name="40% - Ênfase1 9 4" xfId="1075" xr:uid="{3736D986-8609-4567-9766-A1A602F0D489}"/>
    <cellStyle name="40% - Ênfase1 9 4 2" xfId="2927" xr:uid="{120274D4-2766-4A74-A741-8A353A8B4213}"/>
    <cellStyle name="40% - Ênfase1 9 5" xfId="2000" xr:uid="{2E990A93-46C1-4609-A675-760FDE73FF49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3" xfId="2346" xr:uid="{D3B4ADD8-97BC-4EBC-99C0-20A0172A6640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3" xfId="2568" xr:uid="{66DC70DB-20BB-4300-BA00-90E89C369E8C}"/>
    <cellStyle name="40% - Ênfase2 10 4" xfId="1099" xr:uid="{7C9CD0D1-26C8-4EDA-A63E-29F66ABA44DE}"/>
    <cellStyle name="40% - Ênfase2 10 4 2" xfId="2951" xr:uid="{1061CAC6-9D1C-4E6D-9416-BCFD3A2FE50F}"/>
    <cellStyle name="40% - Ênfase2 10 5" xfId="2024" xr:uid="{F4CF0B9B-043C-4886-A9ED-84D2808E4AA8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3" xfId="2366" xr:uid="{6C911A3D-2404-424D-8253-C78D9289FD90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3" xfId="2720" xr:uid="{A8096062-FDF6-40AF-9F7B-F491D979E59E}"/>
    <cellStyle name="40% - Ênfase2 11 4" xfId="1119" xr:uid="{BE22DE02-0D8A-4F67-8383-25EDA293A21D}"/>
    <cellStyle name="40% - Ênfase2 11 4 2" xfId="2971" xr:uid="{DA88D8F9-1423-421A-8C33-64C5137BB22E}"/>
    <cellStyle name="40% - Ênfase2 11 5" xfId="2044" xr:uid="{738136C7-48E3-4B7A-8FA2-F90E47E363D9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3" xfId="2386" xr:uid="{2768ED7E-ACF6-4C34-A9E4-E8B6D84F14B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3" xfId="2517" xr:uid="{20E36BD3-7A8A-45BC-9F68-002663EDF0F9}"/>
    <cellStyle name="40% - Ênfase2 12 4" xfId="1139" xr:uid="{BD56048A-C173-42BF-9FD6-DC98644F26F9}"/>
    <cellStyle name="40% - Ênfase2 12 4 2" xfId="2991" xr:uid="{BB3B1092-0C6D-47B8-9C9D-795268AD565D}"/>
    <cellStyle name="40% - Ênfase2 12 5" xfId="2064" xr:uid="{6481511C-4BEC-411A-8C2E-537AC8E9D673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3" xfId="2406" xr:uid="{C55C5768-18D7-431F-B3C1-14E0480302A7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3" xfId="2569" xr:uid="{5C48AD27-EAC2-45F7-A779-77D6CDE49348}"/>
    <cellStyle name="40% - Ênfase2 13 4" xfId="1159" xr:uid="{40FDC481-4763-4BA1-A60C-6E50991DE1A4}"/>
    <cellStyle name="40% - Ênfase2 13 4 2" xfId="3011" xr:uid="{4BBEA346-02DA-4A4A-94EB-42AD17FC6F46}"/>
    <cellStyle name="40% - Ênfase2 13 5" xfId="2084" xr:uid="{1BCE7400-C304-44CE-9926-3A3F45A7DBAE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3" xfId="2426" xr:uid="{7B1AA284-270F-4B0F-B0F9-A6B18F12A8E2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3" xfId="2758" xr:uid="{C489B6FA-7EB2-4F3E-9B60-3B67F50D125B}"/>
    <cellStyle name="40% - Ênfase2 14 4" xfId="1179" xr:uid="{82A0194D-1CB6-45DE-81B5-7857302C25B4}"/>
    <cellStyle name="40% - Ênfase2 14 4 2" xfId="3031" xr:uid="{0CA16FCA-CA44-4053-A7F0-4659F114C304}"/>
    <cellStyle name="40% - Ênfase2 14 5" xfId="2104" xr:uid="{85F4527E-D200-4987-865F-F439B03C5E83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3" xfId="1199" xr:uid="{A333A60D-0F6F-4481-9030-9664020C77B9}"/>
    <cellStyle name="40% - Ênfase2 15 3 2" xfId="3051" xr:uid="{7C7EB86A-8CCF-4547-B17B-ACE473D9C572}"/>
    <cellStyle name="40% - Ênfase2 15 4" xfId="2124" xr:uid="{B1788952-89B4-4071-B6DE-843E85C9F87D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3" xfId="1219" xr:uid="{1E221217-79D9-4F47-9701-8559456ADBBC}"/>
    <cellStyle name="40% - Ênfase2 16 3 2" xfId="3071" xr:uid="{DD916C08-06AE-4F73-8991-A360B38FF70D}"/>
    <cellStyle name="40% - Ênfase2 16 4" xfId="2144" xr:uid="{997BB6A3-3A97-407F-8FFB-A900F83720D8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3" xfId="2163" xr:uid="{47371AD5-539D-4A95-9EC5-050986D6349A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3" xfId="2461" xr:uid="{C833EE33-BCE2-4BB0-9F87-5DEAD9ADC49C}"/>
    <cellStyle name="40% - Ênfase2 19" xfId="916" xr:uid="{359FCC23-F7E4-45CE-B679-EB3774784D9B}"/>
    <cellStyle name="40% - Ênfase2 19 2" xfId="2768" xr:uid="{ED13CB99-2B2C-4F78-A033-F5841B034411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3" xfId="2185" xr:uid="{FEAD2A23-4989-4970-8A1D-E6B490436910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3" xfId="2619" xr:uid="{E4FBA2B8-F9B2-4C4A-A509-8EDE0A6B7F70}"/>
    <cellStyle name="40% - Ênfase2 2 4" xfId="938" xr:uid="{59FBC091-0BA4-496E-934E-4ABC6A5C0893}"/>
    <cellStyle name="40% - Ênfase2 2 4 2" xfId="2790" xr:uid="{929C8DA5-31E3-4022-9188-9B38C7C3FFAF}"/>
    <cellStyle name="40% - Ênfase2 2 5" xfId="1863" xr:uid="{8E7C3B75-0383-4E03-983F-E8C379CCAB82}"/>
    <cellStyle name="40% - Ênfase2 20" xfId="1841" xr:uid="{C4631B14-68EF-45DE-B101-3CF8D5F58F42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3" xfId="2203" xr:uid="{9BE3E704-3362-4898-B516-B57453A01718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3" xfId="2558" xr:uid="{5A0F7FFA-636F-49F6-A8DB-AC5D7545A0F6}"/>
    <cellStyle name="40% - Ênfase2 3 4" xfId="956" xr:uid="{438255A4-59EA-435A-B50A-CBD4FB9CB5B3}"/>
    <cellStyle name="40% - Ênfase2 3 4 2" xfId="2808" xr:uid="{CFB65ED8-4847-4EAC-92E2-7E2A2F463D9D}"/>
    <cellStyle name="40% - Ênfase2 3 5" xfId="1881" xr:uid="{E49B48AF-C4F1-43B5-BE3C-7D15600E8780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3" xfId="2225" xr:uid="{EC88EDD0-0056-4531-978F-855660E517E0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3" xfId="2630" xr:uid="{A31F876F-B687-4C4F-A67E-442F4BED79EC}"/>
    <cellStyle name="40% - Ênfase2 4 4" xfId="978" xr:uid="{5C5FDAE4-C3A6-4F8C-BD41-22EFC4E91C2F}"/>
    <cellStyle name="40% - Ênfase2 4 4 2" xfId="2830" xr:uid="{F644FA5F-EC74-4AAA-A5AB-F7EAE72A9D00}"/>
    <cellStyle name="40% - Ênfase2 4 5" xfId="1903" xr:uid="{99B37583-9AC7-4465-BEF5-E56414419C9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3" xfId="2245" xr:uid="{BFD9FACC-1C81-453C-901C-3DBD9BA266D6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3" xfId="2629" xr:uid="{7B837951-C9B4-430C-BC93-6D0DD16E26E7}"/>
    <cellStyle name="40% - Ênfase2 5 4" xfId="998" xr:uid="{F3E1332C-BE91-46C9-ABF6-D54B6B487CED}"/>
    <cellStyle name="40% - Ênfase2 5 4 2" xfId="2850" xr:uid="{036496AB-0E83-4288-9504-1FC8B65BF031}"/>
    <cellStyle name="40% - Ênfase2 5 5" xfId="1923" xr:uid="{A9C6CBB4-633B-410A-93D5-C06735E21F85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3" xfId="2265" xr:uid="{FEE8E860-0A30-4EF5-9D94-DEE7267FB255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3" xfId="2681" xr:uid="{2DB200D4-A3D9-4302-B037-73B8CAC09245}"/>
    <cellStyle name="40% - Ênfase2 6 4" xfId="1018" xr:uid="{C900E839-B87F-4FC0-9FDA-F0F333DCA8F4}"/>
    <cellStyle name="40% - Ênfase2 6 4 2" xfId="2870" xr:uid="{86AAE54E-46F9-4AA2-9423-9AC6E038C9EB}"/>
    <cellStyle name="40% - Ênfase2 6 5" xfId="1943" xr:uid="{E335266F-0362-4E62-BAE9-A310D67C5C7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3" xfId="2285" xr:uid="{1ABC4423-8CD5-4E11-AF47-5912459E978F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3" xfId="2706" xr:uid="{DB50EFDD-9465-479C-9C63-160CE4F060CA}"/>
    <cellStyle name="40% - Ênfase2 7 4" xfId="1038" xr:uid="{F50A0AD2-15FC-44B0-8A33-A344E867130F}"/>
    <cellStyle name="40% - Ênfase2 7 4 2" xfId="2890" xr:uid="{2DE075D9-63DD-44A3-A12E-DE599C2BD393}"/>
    <cellStyle name="40% - Ênfase2 7 5" xfId="1963" xr:uid="{83C9E355-D744-4FC5-AEDA-DA023D4FD45E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3" xfId="2305" xr:uid="{AC47711D-4944-4747-A6E4-68E7741A59E8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3" xfId="2564" xr:uid="{3F5C8B6F-EA01-4040-B4C5-46127FC57D05}"/>
    <cellStyle name="40% - Ênfase2 8 4" xfId="1058" xr:uid="{2E8DF9EB-3370-4396-A79C-4FB7078ED0D4}"/>
    <cellStyle name="40% - Ênfase2 8 4 2" xfId="2910" xr:uid="{76183E07-A239-4826-98B7-D640AE3B49F7}"/>
    <cellStyle name="40% - Ênfase2 8 5" xfId="1983" xr:uid="{EF5591B9-BE09-46FB-9FAB-77D15C07AE1C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3" xfId="2325" xr:uid="{FD7318CB-6EC2-4C5E-98F0-BE8143BA9C22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3" xfId="2728" xr:uid="{1F4F7925-BCC2-4A60-BA61-B0782A00160B}"/>
    <cellStyle name="40% - Ênfase2 9 4" xfId="1078" xr:uid="{C2C55BC6-10B4-44F6-AD12-775A25AA0EF6}"/>
    <cellStyle name="40% - Ênfase2 9 4 2" xfId="2930" xr:uid="{A8C7D1F5-D8E4-4F97-A6F8-64A7C0DA3507}"/>
    <cellStyle name="40% - Ênfase2 9 5" xfId="2003" xr:uid="{5FC7FE38-BD88-46D1-8E19-93B4AD3ABC94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3" xfId="2349" xr:uid="{CA691282-184E-432E-8E31-31EE8F4AC501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3" xfId="2539" xr:uid="{55936C2B-C0A0-4EAC-B9C0-96DBEA91D879}"/>
    <cellStyle name="40% - Ênfase3 10 4" xfId="1102" xr:uid="{F2F6C4ED-C948-4322-8AC2-8D34989DECE6}"/>
    <cellStyle name="40% - Ênfase3 10 4 2" xfId="2954" xr:uid="{85E1F525-55F0-419D-9CE6-8A84B1BE6220}"/>
    <cellStyle name="40% - Ênfase3 10 5" xfId="2027" xr:uid="{260CD408-FF9B-40E9-845A-26882AAF5119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3" xfId="2369" xr:uid="{BCB630B6-E48F-45C6-B5AD-0F1A2A71EA54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3" xfId="2659" xr:uid="{9B53532C-8F7E-4D7E-8264-C21538C8F4E6}"/>
    <cellStyle name="40% - Ênfase3 11 4" xfId="1122" xr:uid="{B4F7CD9E-87BD-4368-93B5-E8ACFD2B0D09}"/>
    <cellStyle name="40% - Ênfase3 11 4 2" xfId="2974" xr:uid="{DF59ADB1-0BA7-4C64-B35F-A06033249F62}"/>
    <cellStyle name="40% - Ênfase3 11 5" xfId="2047" xr:uid="{59289491-E5AF-4C85-8A6A-65549230D568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3" xfId="2389" xr:uid="{3A395A97-0421-4C07-A28C-E985B399A04D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3" xfId="2571" xr:uid="{51B96B88-08BD-448D-BDE0-E2141071242A}"/>
    <cellStyle name="40% - Ênfase3 12 4" xfId="1142" xr:uid="{3BB0B2BD-8F02-4A0D-9C14-A69F74F6DD01}"/>
    <cellStyle name="40% - Ênfase3 12 4 2" xfId="2994" xr:uid="{4A2E11E9-3CD2-4848-9D43-BACAFDB62B26}"/>
    <cellStyle name="40% - Ênfase3 12 5" xfId="2067" xr:uid="{3C820F6E-DDDB-4A3F-B1BE-D21C726614B8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3" xfId="2409" xr:uid="{B7BF6FFC-CAE0-4AAB-962C-5F5CF29842D8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3" xfId="2730" xr:uid="{9C7BD1D9-9877-4DA4-8326-9A4E3405BB7C}"/>
    <cellStyle name="40% - Ênfase3 13 4" xfId="1162" xr:uid="{3EECFA28-0909-48B1-B0E3-132520B4EE5A}"/>
    <cellStyle name="40% - Ênfase3 13 4 2" xfId="3014" xr:uid="{48F6F6AF-3815-4648-8089-0653A98BF9A3}"/>
    <cellStyle name="40% - Ênfase3 13 5" xfId="2087" xr:uid="{D1D1FB06-404B-4C45-87AA-A471203C4955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3" xfId="2429" xr:uid="{1E0E4F3D-0133-40BA-82D0-2F0C4E5176F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3" xfId="2561" xr:uid="{0511DD0C-D761-4520-A699-114D08F5E9DB}"/>
    <cellStyle name="40% - Ênfase3 14 4" xfId="1182" xr:uid="{D7E8019D-3159-4CF9-A534-059353DCB17D}"/>
    <cellStyle name="40% - Ênfase3 14 4 2" xfId="3034" xr:uid="{7E079D20-09D5-4483-9E2F-80FF64924E5B}"/>
    <cellStyle name="40% - Ênfase3 14 5" xfId="2107" xr:uid="{6B6B5933-6539-4142-A519-04517C9BCE7B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3" xfId="1202" xr:uid="{6BEE969D-EB68-4C1D-AC2B-2F02638D421D}"/>
    <cellStyle name="40% - Ênfase3 15 3 2" xfId="3054" xr:uid="{5B76E7D4-3D41-4C30-BA97-F7ACF2BFDB21}"/>
    <cellStyle name="40% - Ênfase3 15 4" xfId="2127" xr:uid="{57EA633F-1D07-42C5-B97A-8E74D8710A1F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3" xfId="1222" xr:uid="{CE1BC5AC-4914-4246-9EC5-F68F387DB625}"/>
    <cellStyle name="40% - Ênfase3 16 3 2" xfId="3074" xr:uid="{E93ADFFA-EE01-414D-86F6-F9F9E5F41004}"/>
    <cellStyle name="40% - Ênfase3 16 4" xfId="2147" xr:uid="{5F94C517-203D-4E91-93E8-59D136A32C36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3" xfId="2166" xr:uid="{F407F9D7-884E-4D48-9232-EFE65CB099F3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3" xfId="2655" xr:uid="{184D8CB5-200D-45B5-8822-6DFAE3C7DEE0}"/>
    <cellStyle name="40% - Ênfase3 19" xfId="919" xr:uid="{D48BCC58-623E-4A3A-A8C1-B4AE95AA8E7C}"/>
    <cellStyle name="40% - Ênfase3 19 2" xfId="2771" xr:uid="{7A51E1B6-DA5F-4CF8-901F-4D52F74CF942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3" xfId="2188" xr:uid="{F080EBA3-AF71-492E-B1D0-756C4157A2A0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3" xfId="2506" xr:uid="{26D7DC75-6B6C-4CDB-A39A-3E288CCC5795}"/>
    <cellStyle name="40% - Ênfase3 2 4" xfId="941" xr:uid="{5D5B2D28-50EC-4168-B7AA-D85C8C8BEBC0}"/>
    <cellStyle name="40% - Ênfase3 2 4 2" xfId="2793" xr:uid="{B5D38058-692F-4561-A258-D8E7071257AB}"/>
    <cellStyle name="40% - Ênfase3 2 5" xfId="1866" xr:uid="{42DE38E8-B863-40C6-86C1-6DB460C77E4C}"/>
    <cellStyle name="40% - Ênfase3 20" xfId="1844" xr:uid="{744C9644-FF10-493B-8EEB-EEE0359D7407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3" xfId="2206" xr:uid="{AD8108F3-8083-45BE-B417-C22BFC35C7B4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3" xfId="2481" xr:uid="{42988D47-3168-4901-B3D5-3586A53C6D33}"/>
    <cellStyle name="40% - Ênfase3 3 4" xfId="959" xr:uid="{6F905736-519B-4988-84AA-56CEA269E6C7}"/>
    <cellStyle name="40% - Ênfase3 3 4 2" xfId="2811" xr:uid="{4CACCA96-F603-4719-845C-3E6C261078E7}"/>
    <cellStyle name="40% - Ênfase3 3 5" xfId="1884" xr:uid="{F34C2288-76D3-4856-B8BF-7E06AD1FBE43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3" xfId="2228" xr:uid="{0D743BD9-FE8B-4A21-B3BA-28EC55B75419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3" xfId="2523" xr:uid="{A09EF084-EB2A-4F31-AB20-EAFEFF1CD4B3}"/>
    <cellStyle name="40% - Ênfase3 4 4" xfId="981" xr:uid="{6B510901-7FED-461D-AF56-182904FD3DF2}"/>
    <cellStyle name="40% - Ênfase3 4 4 2" xfId="2833" xr:uid="{8661EB29-7E33-412F-9AA3-E9578D7424F7}"/>
    <cellStyle name="40% - Ênfase3 4 5" xfId="1906" xr:uid="{C008FB22-3B3D-459A-803C-2C877586A679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3" xfId="2248" xr:uid="{D396B66D-A85B-43C7-8642-41DDB5D48041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3" xfId="2553" xr:uid="{6DC56D05-CECC-428B-B460-0751E23EB66B}"/>
    <cellStyle name="40% - Ênfase3 5 4" xfId="1001" xr:uid="{27F19163-62F7-4553-8A77-12A5CB1FD516}"/>
    <cellStyle name="40% - Ênfase3 5 4 2" xfId="2853" xr:uid="{56A933A5-B301-4393-9D2B-651285B6C830}"/>
    <cellStyle name="40% - Ênfase3 5 5" xfId="1926" xr:uid="{8E90B370-9118-49B6-9828-2280373D7E6E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3" xfId="2268" xr:uid="{FA6D1C23-155C-413F-B5C0-69F1CE15F3CB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3" xfId="2537" xr:uid="{3BD155CD-E207-4D2E-B56C-725D3FD0A4C7}"/>
    <cellStyle name="40% - Ênfase3 6 4" xfId="1021" xr:uid="{79BAB026-4C98-4E46-A86E-BC539E6686C4}"/>
    <cellStyle name="40% - Ênfase3 6 4 2" xfId="2873" xr:uid="{FD91DAE6-C694-4073-B740-AAFB83B5EE32}"/>
    <cellStyle name="40% - Ênfase3 6 5" xfId="1946" xr:uid="{23D5B173-70B9-4821-BAA6-322FB9A4CA07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3" xfId="2288" xr:uid="{908AF98B-D275-4803-832D-C1AD9CBAD8DE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3" xfId="2457" xr:uid="{135EF3AD-9569-4809-9FBF-4779AAD7EBF9}"/>
    <cellStyle name="40% - Ênfase3 7 4" xfId="1041" xr:uid="{FFBA2E24-8DD9-48F5-93B8-73F6B1FFF38B}"/>
    <cellStyle name="40% - Ênfase3 7 4 2" xfId="2893" xr:uid="{489C9799-4E7C-4164-9C34-23ECD1E63A84}"/>
    <cellStyle name="40% - Ênfase3 7 5" xfId="1966" xr:uid="{AD67B28C-8226-471B-A0EC-138555CDD26B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3" xfId="2308" xr:uid="{79641B53-F693-42B7-8F90-83EAAB1EF1A4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3" xfId="2684" xr:uid="{A7C7CC1E-4201-41D3-9B76-60B63A805E0A}"/>
    <cellStyle name="40% - Ênfase3 8 4" xfId="1061" xr:uid="{C4DDEF47-55AB-4BE9-90FB-192A506A4DBF}"/>
    <cellStyle name="40% - Ênfase3 8 4 2" xfId="2913" xr:uid="{2E5109ED-B8C2-4CD4-A575-197B169C20A8}"/>
    <cellStyle name="40% - Ênfase3 8 5" xfId="1986" xr:uid="{BF5E1302-50CD-4CE2-8382-700CEC4A0152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3" xfId="2328" xr:uid="{E55CC854-52C2-4BA5-A175-7D7D41664E54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3" xfId="2628" xr:uid="{C9672E80-5AA7-41D9-BF1F-77A4BF464E82}"/>
    <cellStyle name="40% - Ênfase3 9 4" xfId="1081" xr:uid="{0DCC36AC-4125-4E7B-9504-96AD704A6E27}"/>
    <cellStyle name="40% - Ênfase3 9 4 2" xfId="2933" xr:uid="{10B090B0-411B-4764-A36D-06B7293F2CF0}"/>
    <cellStyle name="40% - Ênfase3 9 5" xfId="2006" xr:uid="{F9DD441C-1435-4356-ABF9-BAA8E696DE64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3" xfId="2352" xr:uid="{7B4BFDA7-2CC8-4709-9AD8-36F2C5960334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3" xfId="2465" xr:uid="{F06125C6-90A5-4D64-86C5-4E74D8858BEA}"/>
    <cellStyle name="40% - Ênfase4 10 4" xfId="1105" xr:uid="{7F4C1C56-BDB9-4549-A9DA-46FE9114111F}"/>
    <cellStyle name="40% - Ênfase4 10 4 2" xfId="2957" xr:uid="{FFCF7413-3334-47A0-85CC-C017BB089F45}"/>
    <cellStyle name="40% - Ênfase4 10 5" xfId="2030" xr:uid="{688AD284-5113-4F1F-B128-60044B405374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3" xfId="2372" xr:uid="{8C165ECE-CA2B-4806-9D7A-42A74BBF9410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3" xfId="2632" xr:uid="{7AE80A9F-BDE9-4ECB-981A-3E9D963E6D9D}"/>
    <cellStyle name="40% - Ênfase4 11 4" xfId="1125" xr:uid="{054D9715-D46F-4CA8-A6AB-E36F8C2F7D6B}"/>
    <cellStyle name="40% - Ênfase4 11 4 2" xfId="2977" xr:uid="{6A387791-AEDF-46CE-BF59-3D29189D5B4C}"/>
    <cellStyle name="40% - Ênfase4 11 5" xfId="2050" xr:uid="{D5E3F43C-56E6-43BC-9823-12A2C08D0CC8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3" xfId="2392" xr:uid="{A6A1640B-70E4-438C-8152-E193735D1EE4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3" xfId="2756" xr:uid="{7A2EDF44-133B-4FC7-B81E-0766CE256DD6}"/>
    <cellStyle name="40% - Ênfase4 12 4" xfId="1145" xr:uid="{730E9E9C-9135-4418-8B1C-1B7463ADB6E1}"/>
    <cellStyle name="40% - Ênfase4 12 4 2" xfId="2997" xr:uid="{28183426-BBC9-4735-9C46-D5F047B3198E}"/>
    <cellStyle name="40% - Ênfase4 12 5" xfId="2070" xr:uid="{A2F33915-04EA-4DA8-9133-CE2838A75B96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3" xfId="2412" xr:uid="{E4FDCB58-9DA9-417A-B548-C862123D3808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3" xfId="2668" xr:uid="{DF4D2A0B-3B54-4052-9FAC-99DC0BB1D916}"/>
    <cellStyle name="40% - Ênfase4 13 4" xfId="1165" xr:uid="{CBAF71AF-FAB8-41CA-9316-A7CB5E538A70}"/>
    <cellStyle name="40% - Ênfase4 13 4 2" xfId="3017" xr:uid="{FB57D45F-C5C7-45D0-87C3-ECAF8A38236D}"/>
    <cellStyle name="40% - Ênfase4 13 5" xfId="2090" xr:uid="{68BC8F12-7109-41FA-BB0E-BE83DEA60CB5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3" xfId="2432" xr:uid="{8E6BA340-8647-4796-A8B3-5CDB96818D5A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3" xfId="2713" xr:uid="{8735747E-30E1-47F5-945F-E4CEC62D4286}"/>
    <cellStyle name="40% - Ênfase4 14 4" xfId="1185" xr:uid="{B99E4CAD-20CC-4329-B8E4-BDC582AAA427}"/>
    <cellStyle name="40% - Ênfase4 14 4 2" xfId="3037" xr:uid="{7D7863CE-344B-492D-9655-090B2CFE676E}"/>
    <cellStyle name="40% - Ênfase4 14 5" xfId="2110" xr:uid="{F60AF272-C54A-4BC3-BCDA-9BF737C5E135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3" xfId="1205" xr:uid="{16DD2611-756C-4921-B30B-51C80A731748}"/>
    <cellStyle name="40% - Ênfase4 15 3 2" xfId="3057" xr:uid="{FDDB5F23-1F8C-42AB-8A03-4FDB7F3E7C9C}"/>
    <cellStyle name="40% - Ênfase4 15 4" xfId="2130" xr:uid="{3478F878-989D-40B9-925A-AD5D54064A91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3" xfId="1225" xr:uid="{A0AA7256-EC0B-4F14-BCC3-234449C4CADF}"/>
    <cellStyle name="40% - Ênfase4 16 3 2" xfId="3077" xr:uid="{063412F6-2C69-4068-8BE2-E4D6C91F8731}"/>
    <cellStyle name="40% - Ênfase4 16 4" xfId="2150" xr:uid="{7E4F7DC2-78EE-4F88-9202-67AC9C1C9225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3" xfId="2169" xr:uid="{7E87A448-3DB3-43DA-8C51-FFDFA7AE3F51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3" xfId="2538" xr:uid="{077C1927-5AF0-426F-AE4C-861DC929FE38}"/>
    <cellStyle name="40% - Ênfase4 19" xfId="922" xr:uid="{2AD63B87-6B6B-4427-9434-34EFADC2DED8}"/>
    <cellStyle name="40% - Ênfase4 19 2" xfId="2774" xr:uid="{33A8BFD0-8D1D-4628-809C-92D4C71C89E5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3" xfId="2191" xr:uid="{DBA53361-99FD-4E06-A63C-7CE19D954F2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3" xfId="2753" xr:uid="{5B4EA9A5-996C-446F-B632-935CC36A0E73}"/>
    <cellStyle name="40% - Ênfase4 2 4" xfId="944" xr:uid="{B83D380E-69F9-40A0-B3DD-F30FE4430039}"/>
    <cellStyle name="40% - Ênfase4 2 4 2" xfId="2796" xr:uid="{EE5F280C-9B95-4DB9-B45A-035A250523CE}"/>
    <cellStyle name="40% - Ênfase4 2 5" xfId="1869" xr:uid="{51950831-588C-4DBE-A803-14DD918FA327}"/>
    <cellStyle name="40% - Ênfase4 20" xfId="1847" xr:uid="{4689A0CF-7710-454B-8842-4F2E6EC68213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3" xfId="2209" xr:uid="{FC5C0501-3D8D-4F04-9341-44CCED437761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3" xfId="2618" xr:uid="{A5754504-F42B-4B28-A7B1-1E03BB6744E6}"/>
    <cellStyle name="40% - Ênfase4 3 4" xfId="962" xr:uid="{C3AD9B88-AF25-4FFB-B2CF-4E55EBF60D6D}"/>
    <cellStyle name="40% - Ênfase4 3 4 2" xfId="2814" xr:uid="{5288F7BD-A02C-49C6-A424-AA5F72621C97}"/>
    <cellStyle name="40% - Ênfase4 3 5" xfId="1887" xr:uid="{652B0F9D-C829-4C04-80B0-6116D8C2D542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3" xfId="2231" xr:uid="{269802C7-7C0C-487B-9022-070BB1A048E7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3" xfId="2638" xr:uid="{632BE191-13C2-4A14-9E90-E5CBCA3360E9}"/>
    <cellStyle name="40% - Ênfase4 4 4" xfId="984" xr:uid="{6C9CAA0E-5411-4CD0-9BF8-0BF803F10DBC}"/>
    <cellStyle name="40% - Ênfase4 4 4 2" xfId="2836" xr:uid="{9DC40A5C-8DF0-4D61-B682-8AB47F9A3B91}"/>
    <cellStyle name="40% - Ênfase4 4 5" xfId="1909" xr:uid="{ED8CA35C-AC74-4482-90B2-492E58A0F0D1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3" xfId="2251" xr:uid="{31EE27F5-3A4E-4A89-B435-6BFE7F411EB2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3" xfId="2563" xr:uid="{54C4204E-6C00-4217-A9FC-439009A89059}"/>
    <cellStyle name="40% - Ênfase4 5 4" xfId="1004" xr:uid="{5689F15B-DE29-4A84-9611-922103BF58F0}"/>
    <cellStyle name="40% - Ênfase4 5 4 2" xfId="2856" xr:uid="{4F5455C3-84F0-4351-A7B7-075CCF62137D}"/>
    <cellStyle name="40% - Ênfase4 5 5" xfId="1929" xr:uid="{184B694D-4FA6-4760-80C3-E1D5967774D8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3" xfId="2271" xr:uid="{A2CD2479-E044-4E26-813B-F5A5E1D69615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3" xfId="2545" xr:uid="{52580E59-DA03-46BC-9386-C337F71FB2DE}"/>
    <cellStyle name="40% - Ênfase4 6 4" xfId="1024" xr:uid="{8FD920FE-672D-4300-9AF5-D5D28CAAC000}"/>
    <cellStyle name="40% - Ênfase4 6 4 2" xfId="2876" xr:uid="{24488CF5-0259-4187-B0BF-6652197C9400}"/>
    <cellStyle name="40% - Ênfase4 6 5" xfId="1949" xr:uid="{D29F7817-3BCB-4684-9D20-1C3C680FDE7D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3" xfId="2291" xr:uid="{155788C3-B997-4812-9535-9231BFA2EC67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3" xfId="2737" xr:uid="{F3B8462B-2FDC-499E-B00B-D6A7A1EC03C3}"/>
    <cellStyle name="40% - Ênfase4 7 4" xfId="1044" xr:uid="{134A87F9-8C2B-4CB7-BEDB-5AD03FE95CDC}"/>
    <cellStyle name="40% - Ênfase4 7 4 2" xfId="2896" xr:uid="{ECDDABAA-A7D9-46A3-96DA-7CB8DE05A6F1}"/>
    <cellStyle name="40% - Ênfase4 7 5" xfId="1969" xr:uid="{95A584FF-1838-403D-A716-7971849686BB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3" xfId="2311" xr:uid="{BBF1413B-02F2-420F-88CA-BDBB6A88BDAB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3" xfId="2473" xr:uid="{FA8CCFDB-87A3-4FCF-92D8-54E485377C15}"/>
    <cellStyle name="40% - Ênfase4 8 4" xfId="1064" xr:uid="{58B3B0CE-2BDC-4F4D-AA58-6D260FD10E0D}"/>
    <cellStyle name="40% - Ênfase4 8 4 2" xfId="2916" xr:uid="{9B729F1B-65BD-43DA-98E8-6516B1365754}"/>
    <cellStyle name="40% - Ênfase4 8 5" xfId="1989" xr:uid="{D6FD6157-AF8E-4004-94C4-E8C324B1A2AD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3" xfId="2331" xr:uid="{20CFABFB-F4E0-4C48-932A-A91C9AF5A62E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3" xfId="2744" xr:uid="{F30A90E3-8B47-43D2-9504-28139799EE9C}"/>
    <cellStyle name="40% - Ênfase4 9 4" xfId="1084" xr:uid="{AFFCACEF-7D90-4567-BD52-73A4B4392113}"/>
    <cellStyle name="40% - Ênfase4 9 4 2" xfId="2936" xr:uid="{5686263B-2E9E-4181-B3F0-C6E520226A45}"/>
    <cellStyle name="40% - Ênfase4 9 5" xfId="2009" xr:uid="{2314AC7E-9DCD-4DBC-BD4C-C2B4F12259E8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3" xfId="2355" xr:uid="{B1BE0323-A89F-4DCE-94C4-3E00CFF93A7B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3" xfId="2552" xr:uid="{564B0104-766D-46BA-A83B-FB7D99D49765}"/>
    <cellStyle name="40% - Ênfase5 10 4" xfId="1108" xr:uid="{7A3A2203-CAD1-48CA-85EB-3059F0FD7BC4}"/>
    <cellStyle name="40% - Ênfase5 10 4 2" xfId="2960" xr:uid="{63FF0F64-71ED-4B21-89F2-71351623D32E}"/>
    <cellStyle name="40% - Ênfase5 10 5" xfId="2033" xr:uid="{F38E1794-0DE2-431C-B08E-9F99E237196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3" xfId="2375" xr:uid="{4429DA40-CAD2-466C-A89E-0CB36CE95DBA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3" xfId="2518" xr:uid="{F013CFF0-93A2-4CA1-B59E-E7E032E25157}"/>
    <cellStyle name="40% - Ênfase5 11 4" xfId="1128" xr:uid="{B3E15A4C-3CD1-4C72-8769-94258E9A05DC}"/>
    <cellStyle name="40% - Ênfase5 11 4 2" xfId="2980" xr:uid="{FE0B774C-3F0F-4AB2-8517-36A7B9674CE2}"/>
    <cellStyle name="40% - Ênfase5 11 5" xfId="2053" xr:uid="{714D9C53-EE5E-48D1-B466-A69EE03C3FB9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3" xfId="2395" xr:uid="{8FB45962-AE00-4193-97DF-B255BC8E5D78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3" xfId="2759" xr:uid="{805033D8-5ACF-46D9-AF84-6D03EF233160}"/>
    <cellStyle name="40% - Ênfase5 12 4" xfId="1148" xr:uid="{81F3B638-25AA-4FB4-987E-30FD47FFE0C7}"/>
    <cellStyle name="40% - Ênfase5 12 4 2" xfId="3000" xr:uid="{BB339D9F-CE21-4BCC-8E85-341B1A3E85E7}"/>
    <cellStyle name="40% - Ênfase5 12 5" xfId="2073" xr:uid="{BF141FE8-ED33-4F29-BD8D-6BFB595C4848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3" xfId="2415" xr:uid="{A46ABFC0-98EE-48A6-9D82-5A1BBFAD980D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3" xfId="2644" xr:uid="{B0DE4F30-9511-4BAD-A6ED-D49052A1E6B7}"/>
    <cellStyle name="40% - Ênfase5 13 4" xfId="1168" xr:uid="{48F0D97F-6D18-4FCA-A1EF-F3AEDA680B77}"/>
    <cellStyle name="40% - Ênfase5 13 4 2" xfId="3020" xr:uid="{A09785B5-C9FA-4178-8C1C-2252ED75D79E}"/>
    <cellStyle name="40% - Ênfase5 13 5" xfId="2093" xr:uid="{38F9129E-CEB2-4726-BD2D-7FD0EDD705B0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3" xfId="2435" xr:uid="{32D570B0-0D24-48FA-988E-BE02814C312B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3" xfId="2452" xr:uid="{3EC33566-8D5A-4903-8DDE-357A62E17D90}"/>
    <cellStyle name="40% - Ênfase5 14 4" xfId="1188" xr:uid="{8699075F-8D86-4DFC-A1A9-4109FD455E3E}"/>
    <cellStyle name="40% - Ênfase5 14 4 2" xfId="3040" xr:uid="{6793F721-7328-444A-8579-27938775D4FF}"/>
    <cellStyle name="40% - Ênfase5 14 5" xfId="2113" xr:uid="{FCF5A907-EC22-4E9E-AC45-0B88DA380ACB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3" xfId="1208" xr:uid="{73D62864-4F92-4BD9-A056-D96F2284A3DC}"/>
    <cellStyle name="40% - Ênfase5 15 3 2" xfId="3060" xr:uid="{AD0CBB8E-B196-432C-B853-53901497B48C}"/>
    <cellStyle name="40% - Ênfase5 15 4" xfId="2133" xr:uid="{49A99C25-CBDE-400F-80C2-5E7037A182D8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3" xfId="1228" xr:uid="{B43EC7AD-E156-43DE-AF43-6DBA0351DD16}"/>
    <cellStyle name="40% - Ênfase5 16 3 2" xfId="3080" xr:uid="{36FC9ED1-607E-427E-B9B6-0FB0C6875B45}"/>
    <cellStyle name="40% - Ênfase5 16 4" xfId="2153" xr:uid="{7A038CBD-B02F-47D5-B2E5-21C29EA3DFEA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3" xfId="2172" xr:uid="{DC7B74E6-DC5C-48E4-936A-5DCFB63CA325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3" xfId="2443" xr:uid="{63F71793-6CFE-4078-8C84-6DA2FFB6B7CA}"/>
    <cellStyle name="40% - Ênfase5 19" xfId="925" xr:uid="{8AAFD829-C860-4488-AD25-02CEE16A451A}"/>
    <cellStyle name="40% - Ênfase5 19 2" xfId="2777" xr:uid="{E095F64D-43F5-41EA-B516-8B29D96A2C60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3" xfId="2194" xr:uid="{49957A5A-AE5D-4CDD-8F9A-12944F64F8D8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3" xfId="2444" xr:uid="{8E4097F5-9536-4BEE-A16E-5CC715122E42}"/>
    <cellStyle name="40% - Ênfase5 2 4" xfId="947" xr:uid="{24BFE45D-3874-4948-89BC-C2F05739B761}"/>
    <cellStyle name="40% - Ênfase5 2 4 2" xfId="2799" xr:uid="{42D2F19F-8879-495C-8856-8615F0DC9B82}"/>
    <cellStyle name="40% - Ênfase5 2 5" xfId="1872" xr:uid="{74E802F2-C74B-4572-9531-EB94848B6B25}"/>
    <cellStyle name="40% - Ênfase5 20" xfId="1850" xr:uid="{FAFFE1D5-2FB7-482A-88E5-1C2E40FDFDA6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3" xfId="2212" xr:uid="{BEF75038-B7E4-43C3-976C-1FD7BD2E50E9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3" xfId="2503" xr:uid="{22C568B1-92A3-4225-88EA-8E8668AD58AF}"/>
    <cellStyle name="40% - Ênfase5 3 4" xfId="965" xr:uid="{A45DA86B-1F57-404E-9D7D-85BD4F4267B1}"/>
    <cellStyle name="40% - Ênfase5 3 4 2" xfId="2817" xr:uid="{F59B04E0-14F7-4036-BC13-B9A568CC7028}"/>
    <cellStyle name="40% - Ênfase5 3 5" xfId="1890" xr:uid="{C4A41F2D-065E-4CDF-AC1F-FED29F7E91E4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3" xfId="2234" xr:uid="{436356CF-BF52-4513-BD61-4C606DCF9EF6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3" xfId="2663" xr:uid="{1D8F177B-BB0F-421F-BBC7-5A7A3EC1155D}"/>
    <cellStyle name="40% - Ênfase5 4 4" xfId="987" xr:uid="{41507F1A-093F-4E19-B12C-51B336CA2625}"/>
    <cellStyle name="40% - Ênfase5 4 4 2" xfId="2839" xr:uid="{19600672-267B-4E27-8881-DB8278A68A2A}"/>
    <cellStyle name="40% - Ênfase5 4 5" xfId="1912" xr:uid="{3E1CBF60-8208-47E4-AA2D-D478395AF8F5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3" xfId="2254" xr:uid="{AAF990F2-A0E4-4D99-B820-2AEE4FEB6A59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3" xfId="2741" xr:uid="{41129A59-6CF6-4F46-A407-9650DCE6FC3F}"/>
    <cellStyle name="40% - Ênfase5 5 4" xfId="1007" xr:uid="{9E5CDE3B-5648-431E-B38A-A2E60BDCCB80}"/>
    <cellStyle name="40% - Ênfase5 5 4 2" xfId="2859" xr:uid="{2B374800-2246-4B57-A465-2E629FDE1D0C}"/>
    <cellStyle name="40% - Ênfase5 5 5" xfId="1932" xr:uid="{73B5246C-B654-440C-9041-C752A7FD5AFC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3" xfId="2274" xr:uid="{C622AB55-B83F-455B-B6EE-C9F593856B83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3" xfId="2653" xr:uid="{D25D02CD-B568-4590-885B-4FCCB373F859}"/>
    <cellStyle name="40% - Ênfase5 6 4" xfId="1027" xr:uid="{BE4654D0-51F0-41A3-901F-A4A062752E2A}"/>
    <cellStyle name="40% - Ênfase5 6 4 2" xfId="2879" xr:uid="{1D12FFA7-129A-424D-B0F6-2C26F106FDF3}"/>
    <cellStyle name="40% - Ênfase5 6 5" xfId="1952" xr:uid="{F9A3D05D-B629-4174-940E-69B703392437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3" xfId="2294" xr:uid="{7369FE65-20D4-4368-A221-565BBA052B43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3" xfId="2510" xr:uid="{6F14A776-B3D6-43CE-B633-B685274ABAF7}"/>
    <cellStyle name="40% - Ênfase5 7 4" xfId="1047" xr:uid="{7561D513-B7D2-4F67-8905-685C1EF02B93}"/>
    <cellStyle name="40% - Ênfase5 7 4 2" xfId="2899" xr:uid="{0939B030-A015-4954-BF53-C816AB999042}"/>
    <cellStyle name="40% - Ênfase5 7 5" xfId="1972" xr:uid="{AE4E471B-751D-470E-80AE-3F0F783FDC70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3" xfId="2314" xr:uid="{EABA89B0-C674-420C-833E-8E00C3FEDF88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3" xfId="2710" xr:uid="{49EB5375-D6A2-4056-8E98-A68A1C807441}"/>
    <cellStyle name="40% - Ênfase5 8 4" xfId="1067" xr:uid="{6F5D6C2A-2D05-45A0-B602-4DBB74295BE1}"/>
    <cellStyle name="40% - Ênfase5 8 4 2" xfId="2919" xr:uid="{1ED21E53-AB83-472A-B6F4-FE9D94EB58F3}"/>
    <cellStyle name="40% - Ênfase5 8 5" xfId="1992" xr:uid="{26C1F7B8-52B9-4CAC-9AFC-A8D5BB516477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3" xfId="2334" xr:uid="{9FC53F92-A838-48D6-B727-26D786A24983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3" xfId="2650" xr:uid="{6478219D-B76A-4974-938B-FF8C1DA2C8E3}"/>
    <cellStyle name="40% - Ênfase5 9 4" xfId="1087" xr:uid="{94781B61-79DE-4CF0-93D9-90B218AC1378}"/>
    <cellStyle name="40% - Ênfase5 9 4 2" xfId="2939" xr:uid="{3DE87DF4-6446-40F3-A0ED-7048C3563BDD}"/>
    <cellStyle name="40% - Ênfase5 9 5" xfId="2012" xr:uid="{EFF051CE-1057-45EC-9C55-9A82D94203CA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3" xfId="2358" xr:uid="{E865CEA9-9FC1-4B90-B3E0-61567A460ED6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3" xfId="2536" xr:uid="{7FB42498-981D-46C9-BE36-28FCD5F4F8C8}"/>
    <cellStyle name="40% - Ênfase6 10 4" xfId="1111" xr:uid="{1700E37D-246F-429E-9768-BD9F62D53B04}"/>
    <cellStyle name="40% - Ênfase6 10 4 2" xfId="2963" xr:uid="{7D86FE1B-73D3-436E-A164-A4D4D94B3AF5}"/>
    <cellStyle name="40% - Ênfase6 10 5" xfId="2036" xr:uid="{B897C729-A06C-44AF-93DB-B0E0BB074EA1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3" xfId="2378" xr:uid="{454CA0E8-7855-4042-AACF-E7B6BC0AD737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3" xfId="2533" xr:uid="{86CBE16C-00E3-4442-BE91-276884559079}"/>
    <cellStyle name="40% - Ênfase6 11 4" xfId="1131" xr:uid="{33428723-5E71-4DEB-83F2-7E3432DB06F4}"/>
    <cellStyle name="40% - Ênfase6 11 4 2" xfId="2983" xr:uid="{93416E1A-EF23-438E-A172-75E95C9B6A4D}"/>
    <cellStyle name="40% - Ênfase6 11 5" xfId="2056" xr:uid="{288BC69F-388E-481E-AB3F-B6F642EDA0D2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3" xfId="2398" xr:uid="{AEB16863-C134-4FB6-8633-A25A44FFDC30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3" xfId="2640" xr:uid="{F48A5436-5F4F-428D-A2DE-EB05B7FC18E8}"/>
    <cellStyle name="40% - Ênfase6 12 4" xfId="1151" xr:uid="{76FAF974-C8E4-4886-BFD4-E5FB51608BC6}"/>
    <cellStyle name="40% - Ênfase6 12 4 2" xfId="3003" xr:uid="{BBC3B902-F780-46E3-9F11-3E26C2794E6C}"/>
    <cellStyle name="40% - Ênfase6 12 5" xfId="2076" xr:uid="{3D7CB08C-4E34-4A4A-B73B-DD869166C4DF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3" xfId="2418" xr:uid="{3ABBA85C-D392-45FC-B42E-6B2E39FAC81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3" xfId="2530" xr:uid="{76B67875-B171-449B-ACCB-7437FEE036D2}"/>
    <cellStyle name="40% - Ênfase6 13 4" xfId="1171" xr:uid="{B2A961F4-8599-47B1-8E29-F4CBB4CCBBBA}"/>
    <cellStyle name="40% - Ênfase6 13 4 2" xfId="3023" xr:uid="{6CD4C139-442F-4DDE-907A-10E0054039CF}"/>
    <cellStyle name="40% - Ênfase6 13 5" xfId="2096" xr:uid="{3D843A3E-D894-4EE9-86C5-1ECC3B84F43B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3" xfId="2438" xr:uid="{44B82FD7-484D-46CC-A352-B83D1FCAEBF4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3" xfId="2448" xr:uid="{7CEE663E-2C42-4CD2-B5D6-6907C2BBF056}"/>
    <cellStyle name="40% - Ênfase6 14 4" xfId="1191" xr:uid="{3A8B6F5E-673F-4754-947D-65F3EB8A1080}"/>
    <cellStyle name="40% - Ênfase6 14 4 2" xfId="3043" xr:uid="{6723D427-7617-46CD-8A37-0073BEFEF3F4}"/>
    <cellStyle name="40% - Ênfase6 14 5" xfId="2116" xr:uid="{5ADC6885-45C8-434D-AE36-811C593DA1B6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3" xfId="1211" xr:uid="{21D58DE4-A7A8-46A2-B2B5-2CE0364E8C7B}"/>
    <cellStyle name="40% - Ênfase6 15 3 2" xfId="3063" xr:uid="{AF1984D8-3DD5-4A35-A237-F3D695C42876}"/>
    <cellStyle name="40% - Ênfase6 15 4" xfId="2136" xr:uid="{5F4B0050-55BC-4B50-AB40-8B4EB97329DD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3" xfId="1231" xr:uid="{9F2EA102-B724-4143-9269-6CAFC410049B}"/>
    <cellStyle name="40% - Ênfase6 16 3 2" xfId="3083" xr:uid="{471ABEF1-2EF9-41F8-8AEE-35E64B8060BD}"/>
    <cellStyle name="40% - Ênfase6 16 4" xfId="2156" xr:uid="{2561AC99-2482-4573-993E-E7EA92A02C09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3" xfId="2175" xr:uid="{C05AED4E-6670-4ABB-B2B7-ED43DC8E801B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3" xfId="2623" xr:uid="{A1CA3B51-0BCD-4D8C-A9DA-74DCB70FE6FA}"/>
    <cellStyle name="40% - Ênfase6 19" xfId="928" xr:uid="{95D56721-F3C7-4943-BBE5-7DB680E1C5E0}"/>
    <cellStyle name="40% - Ênfase6 19 2" xfId="2780" xr:uid="{65A6BF0D-A61A-4571-BD02-C86360E0694F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3" xfId="2197" xr:uid="{A5ACAA2B-7442-42D0-9ECF-0F3191E48D34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3" xfId="2626" xr:uid="{6C9534C9-E7EB-4419-94F4-B28A5ABFBE34}"/>
    <cellStyle name="40% - Ênfase6 2 4" xfId="950" xr:uid="{AB435E26-A6D4-460B-8903-6B9E1D5EF943}"/>
    <cellStyle name="40% - Ênfase6 2 4 2" xfId="2802" xr:uid="{C23FA21D-5440-4546-A462-BA2845F91110}"/>
    <cellStyle name="40% - Ênfase6 2 5" xfId="1875" xr:uid="{C26D95C1-8D44-4DF4-8B35-53FBDF6399C2}"/>
    <cellStyle name="40% - Ênfase6 20" xfId="1853" xr:uid="{AD2A79E2-471E-4561-B71E-7ADACD7967AB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3" xfId="2215" xr:uid="{747C4864-20F0-460F-872F-2A8D8F5443B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3" xfId="2455" xr:uid="{6AAA71EB-94C8-4C30-8388-42C84C10A146}"/>
    <cellStyle name="40% - Ênfase6 3 4" xfId="968" xr:uid="{6DD28198-93A7-432C-BA03-895BC633295C}"/>
    <cellStyle name="40% - Ênfase6 3 4 2" xfId="2820" xr:uid="{B71B753B-21C3-4B11-9DF1-058D322161F2}"/>
    <cellStyle name="40% - Ênfase6 3 5" xfId="1893" xr:uid="{840C450C-BBB3-4D49-BFA7-FC04DCBE2837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3" xfId="2237" xr:uid="{EDF18D71-F9CF-4E3D-BA4E-8076C85DE639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3" xfId="2547" xr:uid="{027EEA8C-F3CF-4039-A3B3-B3A0E6AD8422}"/>
    <cellStyle name="40% - Ênfase6 4 4" xfId="990" xr:uid="{94BA4C7E-F564-49D6-9482-E3E67630C1F8}"/>
    <cellStyle name="40% - Ênfase6 4 4 2" xfId="2842" xr:uid="{F7AE4282-50F9-48D5-A3E1-EDD2BA678902}"/>
    <cellStyle name="40% - Ênfase6 4 5" xfId="1915" xr:uid="{93177675-8B86-484E-9AE2-F1A1FA0BEB3B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3" xfId="2257" xr:uid="{1468E94A-1A26-4B50-B005-A17385E16603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3" xfId="2634" xr:uid="{7EF09A29-BD53-4984-8C18-EC1412D04674}"/>
    <cellStyle name="40% - Ênfase6 5 4" xfId="1010" xr:uid="{1998CC76-4A33-4CC2-BD21-AFBD9C5C6454}"/>
    <cellStyle name="40% - Ênfase6 5 4 2" xfId="2862" xr:uid="{7B621902-929A-47C8-B7EF-0F4B9E21CD94}"/>
    <cellStyle name="40% - Ênfase6 5 5" xfId="1935" xr:uid="{64598618-C961-418D-A671-F5A1AB009B9D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3" xfId="2277" xr:uid="{9515F36C-246B-4F43-A7FA-180A87298955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3" xfId="2546" xr:uid="{7E5077D8-3D58-408C-833C-24F7247279DB}"/>
    <cellStyle name="40% - Ênfase6 6 4" xfId="1030" xr:uid="{6F0E0836-F1D3-4DD6-BC02-CCAEE582D019}"/>
    <cellStyle name="40% - Ênfase6 6 4 2" xfId="2882" xr:uid="{E4531191-41DC-41BA-B796-A74C505986A5}"/>
    <cellStyle name="40% - Ênfase6 6 5" xfId="1955" xr:uid="{F5B2720B-D16F-4296-9546-ABA0D9E79C61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3" xfId="2297" xr:uid="{60439CDC-4BD8-4FE1-8E87-3CE1890B158C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3" xfId="2446" xr:uid="{4F821125-B806-4E02-B47F-9B8C47B9945B}"/>
    <cellStyle name="40% - Ênfase6 7 4" xfId="1050" xr:uid="{476C81B8-46AF-4955-8824-E52126A87E04}"/>
    <cellStyle name="40% - Ênfase6 7 4 2" xfId="2902" xr:uid="{EFC9E25D-7938-45AC-8354-0E1E0736C670}"/>
    <cellStyle name="40% - Ênfase6 7 5" xfId="1975" xr:uid="{BFB05A96-2018-4C11-9FD8-0F8EDE8D7AA1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3" xfId="2317" xr:uid="{B944342E-AA27-469D-AE16-DBE7C682A7D3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3" xfId="2573" xr:uid="{1E2909E1-C2F5-498F-B8F7-FAC5FDFF6CAE}"/>
    <cellStyle name="40% - Ênfase6 8 4" xfId="1070" xr:uid="{3D021E77-BA74-4BF3-9E19-FD797D4B0CC6}"/>
    <cellStyle name="40% - Ênfase6 8 4 2" xfId="2922" xr:uid="{98C1DDD8-B32E-4721-B8AC-27DF08369D6B}"/>
    <cellStyle name="40% - Ênfase6 8 5" xfId="1995" xr:uid="{D5FF9847-3B57-41D5-9BE7-CC1F84429B2E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3" xfId="2337" xr:uid="{6D126BF4-85B6-4BB5-B241-8E8DAB5871BA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3" xfId="2453" xr:uid="{AB92B65A-ED6B-4373-BE02-C8763A3B5E3B}"/>
    <cellStyle name="40% - Ênfase6 9 4" xfId="1090" xr:uid="{7AAF60FC-CF92-439F-8521-1766FC973FE4}"/>
    <cellStyle name="40% - Ênfase6 9 4 2" xfId="2942" xr:uid="{9D2EC218-5038-492C-BFAA-7C4CEC5653AD}"/>
    <cellStyle name="40% - Ênfase6 9 5" xfId="2015" xr:uid="{7A8F136F-38AE-40EB-ADB2-A3CF5D88A86E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3" xfId="2344" xr:uid="{3EE7C833-E5C8-4A89-85BD-05B34BE5785F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3" xfId="2722" xr:uid="{F71F094A-32DA-4777-9C01-650949BAFDFF}"/>
    <cellStyle name="60% - Ênfase1 10 4" xfId="1097" xr:uid="{95402B2A-E5AA-4F17-8C97-FD0E0A76480F}"/>
    <cellStyle name="60% - Ênfase1 10 4 2" xfId="2949" xr:uid="{0BA50A12-FC2E-497D-994F-1B24B16A2847}"/>
    <cellStyle name="60% - Ênfase1 10 5" xfId="2022" xr:uid="{BFCBF05E-112F-45BD-99A4-523E06A5D5C3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3" xfId="2364" xr:uid="{46ECC747-99D0-4BB4-BFDC-040BE5D0537E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3" xfId="2755" xr:uid="{36D90140-7573-4C7D-8776-377D68C62F27}"/>
    <cellStyle name="60% - Ênfase1 11 4" xfId="1117" xr:uid="{8BD9B7B9-7BE3-4290-A3DE-C845C19F6137}"/>
    <cellStyle name="60% - Ênfase1 11 4 2" xfId="2969" xr:uid="{EB6699E3-2BD1-41BD-99C4-8CF07F750273}"/>
    <cellStyle name="60% - Ênfase1 11 5" xfId="2042" xr:uid="{303EDD9D-B42B-49EC-8687-8E1E904C6BD4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3" xfId="2384" xr:uid="{C2F73EA8-5032-4181-A15D-F7CAE40654BE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3" xfId="2550" xr:uid="{9D2A55B6-C351-4106-B608-2F2AB60EDC26}"/>
    <cellStyle name="60% - Ênfase1 12 4" xfId="1137" xr:uid="{0AA1D5EE-FD86-446F-98A8-8F614E500F0B}"/>
    <cellStyle name="60% - Ênfase1 12 4 2" xfId="2989" xr:uid="{674FF835-CA98-4128-8A2D-2ACD95F90D3A}"/>
    <cellStyle name="60% - Ênfase1 12 5" xfId="2062" xr:uid="{642A6E8A-D92A-4717-91ED-7A45D7BC2D6A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3" xfId="2404" xr:uid="{E0BED0AE-E3BA-4145-9218-50BC6EA351C5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3" xfId="2449" xr:uid="{A2B2AE71-C916-45DC-9A33-12602D3018DC}"/>
    <cellStyle name="60% - Ênfase1 13 4" xfId="1157" xr:uid="{A030C7BE-932A-478F-843D-8791D439D401}"/>
    <cellStyle name="60% - Ênfase1 13 4 2" xfId="3009" xr:uid="{321CC0C5-250E-4BA2-AA86-079DCAA3280E}"/>
    <cellStyle name="60% - Ênfase1 13 5" xfId="2082" xr:uid="{03B1B8FF-CF77-4EC8-B7E0-D7DD05833461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3" xfId="2424" xr:uid="{CEE33C2F-D6A3-4840-A012-05BD905662CA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3" xfId="2463" xr:uid="{716E46E1-0913-41EA-9A0A-C6B3ACCDBC65}"/>
    <cellStyle name="60% - Ênfase1 14 4" xfId="1177" xr:uid="{7E0CB194-991B-4ADA-A3FB-E62605746484}"/>
    <cellStyle name="60% - Ênfase1 14 4 2" xfId="3029" xr:uid="{AA0A7704-E160-42AA-B2D8-BF14D04E8E33}"/>
    <cellStyle name="60% - Ênfase1 14 5" xfId="2102" xr:uid="{63595649-041D-46B5-9FD9-AAE3767BF6CC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3" xfId="1197" xr:uid="{5A01C301-8229-44FD-AB2F-5BD4620B3360}"/>
    <cellStyle name="60% - Ênfase1 15 3 2" xfId="3049" xr:uid="{8508570D-86EA-4F69-9316-F9544BA6EF02}"/>
    <cellStyle name="60% - Ênfase1 15 4" xfId="2122" xr:uid="{E4977A9C-0114-4800-B120-CF12F498425D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3" xfId="1217" xr:uid="{B11174E3-3BEA-4383-9300-B425177F96D7}"/>
    <cellStyle name="60% - Ênfase1 16 3 2" xfId="3069" xr:uid="{558A952F-4AA9-4672-8B56-033DCEA9CD96}"/>
    <cellStyle name="60% - Ênfase1 16 4" xfId="2142" xr:uid="{DF0C675E-8C3E-45AC-97CB-16A95DE5EAAD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3" xfId="2161" xr:uid="{F882A2AA-2678-437F-B3A4-5D7C67C7F8A6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3" xfId="2657" xr:uid="{9DAB37EE-04DD-4D61-AB27-38CF1147D177}"/>
    <cellStyle name="60% - Ênfase1 19" xfId="914" xr:uid="{10610F0C-4A66-4775-B77B-3B8EE1C1413C}"/>
    <cellStyle name="60% - Ênfase1 19 2" xfId="2766" xr:uid="{7FB6C82E-28C5-48D0-BA1B-F1853C8F777C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3" xfId="2183" xr:uid="{2470770C-1315-464E-BC02-7257690D4911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3" xfId="2467" xr:uid="{626CE178-1326-4E28-969B-ED9A4A561514}"/>
    <cellStyle name="60% - Ênfase1 2 4" xfId="936" xr:uid="{1B8B3CD0-40F3-45B7-A70B-A2C337D48CEA}"/>
    <cellStyle name="60% - Ênfase1 2 4 2" xfId="2788" xr:uid="{2C3B3EF7-706D-4E3F-A479-C277AD76564A}"/>
    <cellStyle name="60% - Ênfase1 2 5" xfId="1861" xr:uid="{7379247C-086B-40B4-B907-7EAB22E58CA3}"/>
    <cellStyle name="60% - Ênfase1 20" xfId="1839" xr:uid="{C767C60F-2815-4B35-A832-49E4D05EFFF0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3" xfId="2201" xr:uid="{5819C583-EF67-4E25-95E5-111068FCADED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3" xfId="2549" xr:uid="{79DBE8F0-D588-4BED-9C6A-A6EF9ACCF1A3}"/>
    <cellStyle name="60% - Ênfase1 3 4" xfId="954" xr:uid="{54B4A317-2552-47DE-89E5-515FDF4BF2B4}"/>
    <cellStyle name="60% - Ênfase1 3 4 2" xfId="2806" xr:uid="{6DE9A626-C2DD-431D-B496-5DA341AACEF2}"/>
    <cellStyle name="60% - Ênfase1 3 5" xfId="1879" xr:uid="{CCA74D41-8F90-46D2-9EC7-6E8E15185E6B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3" xfId="2223" xr:uid="{17EA542F-4110-47B6-B592-F8BB92FEE926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3" xfId="2736" xr:uid="{573130B6-FF15-479F-8154-580938DBE4F2}"/>
    <cellStyle name="60% - Ênfase1 4 4" xfId="976" xr:uid="{1AB1AF9E-F008-4F38-BEA7-1767C5E22A4B}"/>
    <cellStyle name="60% - Ênfase1 4 4 2" xfId="2828" xr:uid="{7BA1EA86-ABF6-44BC-A1C2-9FC160D8660F}"/>
    <cellStyle name="60% - Ênfase1 4 5" xfId="1901" xr:uid="{92A5D87B-E263-4701-BEC0-B778F5D6433D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3" xfId="2243" xr:uid="{10EA01E1-1129-4224-BBC6-671C4921BDDF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3" xfId="2524" xr:uid="{E561A536-5D8D-444B-A5ED-29530FF32795}"/>
    <cellStyle name="60% - Ênfase1 5 4" xfId="996" xr:uid="{66D612DE-A2FD-4112-8656-7309D3CC3F14}"/>
    <cellStyle name="60% - Ênfase1 5 4 2" xfId="2848" xr:uid="{0A5BAFF2-0688-4A30-BDEC-509CC75BAEFD}"/>
    <cellStyle name="60% - Ênfase1 5 5" xfId="1921" xr:uid="{D08E5F36-F04B-4E64-85B6-ACD9A3A44C4A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3" xfId="2263" xr:uid="{7CE96259-F699-4FD6-A017-9131CF5C3F56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3" xfId="2492" xr:uid="{8A99BEC6-6D29-4942-B0E7-A0DDC700EDC3}"/>
    <cellStyle name="60% - Ênfase1 6 4" xfId="1016" xr:uid="{F1137AAB-7A8F-4360-A57F-15DC724E96BB}"/>
    <cellStyle name="60% - Ênfase1 6 4 2" xfId="2868" xr:uid="{FCB22872-96C1-4EBD-A0DA-C5DB1DA772AA}"/>
    <cellStyle name="60% - Ênfase1 6 5" xfId="1941" xr:uid="{99C9A8C2-D0CE-426A-881E-8A7D81FC6247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3" xfId="2283" xr:uid="{D0147F39-71DE-4F15-8F13-65424B843EF9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3" xfId="2559" xr:uid="{CE27F43A-8209-4DB9-B900-05DEE1C5C9C2}"/>
    <cellStyle name="60% - Ênfase1 7 4" xfId="1036" xr:uid="{795DDB67-9041-402F-88C8-4F37D537521D}"/>
    <cellStyle name="60% - Ênfase1 7 4 2" xfId="2888" xr:uid="{B4983EBA-EBDB-4B72-B347-3879BF6D65EF}"/>
    <cellStyle name="60% - Ênfase1 7 5" xfId="1961" xr:uid="{D2770897-7144-48FC-A46D-30DD51F3CF55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3" xfId="2303" xr:uid="{2C2562B4-51BA-45BD-84FD-22105287E91C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3" xfId="2674" xr:uid="{C0D210BC-B5CC-4E28-954A-FD7155AD97B7}"/>
    <cellStyle name="60% - Ênfase1 8 4" xfId="1056" xr:uid="{6B66B902-91C6-4EDD-AED5-A6828D1434CE}"/>
    <cellStyle name="60% - Ênfase1 8 4 2" xfId="2908" xr:uid="{24E931A5-F1B1-44D4-A217-740A400449F9}"/>
    <cellStyle name="60% - Ênfase1 8 5" xfId="1981" xr:uid="{23E7F2D8-10B1-4F76-8BF0-2DA554CF4586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3" xfId="2323" xr:uid="{E5EFD736-D979-46EF-B1F2-8A3A7B935583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3" xfId="2460" xr:uid="{87852BE4-894D-47A1-BACF-0024B0CD0E04}"/>
    <cellStyle name="60% - Ênfase1 9 4" xfId="1076" xr:uid="{80F30F06-0DAB-4817-8F6E-800A4C433928}"/>
    <cellStyle name="60% - Ênfase1 9 4 2" xfId="2928" xr:uid="{E85B0D38-C5CD-4A8C-A2F2-228DFBA7CEF6}"/>
    <cellStyle name="60% - Ênfase1 9 5" xfId="2001" xr:uid="{79C65451-5FFE-462C-AF5D-876798545EAF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3" xfId="2347" xr:uid="{3440B2F2-60D7-4DEF-90B7-B979B640990F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3" xfId="2496" xr:uid="{F433C60A-E941-406D-BFA2-315DA433E837}"/>
    <cellStyle name="60% - Ênfase2 10 4" xfId="1100" xr:uid="{CD3EB239-F774-46A6-9122-216658FDFF25}"/>
    <cellStyle name="60% - Ênfase2 10 4 2" xfId="2952" xr:uid="{E0ECFC71-24D2-42CF-9573-0F57B3B42442}"/>
    <cellStyle name="60% - Ênfase2 10 5" xfId="2025" xr:uid="{A7E52405-4522-4DE9-AA8A-522ED6EAABE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3" xfId="2367" xr:uid="{9F55CCE6-13DA-427F-A581-983BE16886EC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3" xfId="2652" xr:uid="{1EA0042A-3ECF-4571-A2B9-7FC329F1D5D0}"/>
    <cellStyle name="60% - Ênfase2 11 4" xfId="1120" xr:uid="{FD76A501-7D57-40EB-8A12-0B82D7DF96FE}"/>
    <cellStyle name="60% - Ênfase2 11 4 2" xfId="2972" xr:uid="{2EBAF29C-4ED9-4E8C-B1DB-472D4AC5DD32}"/>
    <cellStyle name="60% - Ênfase2 11 5" xfId="2045" xr:uid="{63795BDD-7E61-4686-B83C-ED80C54FA581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3" xfId="2387" xr:uid="{390C4BD8-1D56-41E4-ABF2-0FA879C7B4AD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3" xfId="2622" xr:uid="{DED9A642-22CC-4F0C-8F98-C07B90C96D87}"/>
    <cellStyle name="60% - Ênfase2 12 4" xfId="1140" xr:uid="{CC6B3A3A-DE66-4017-A0D4-CEC8A34BC04C}"/>
    <cellStyle name="60% - Ênfase2 12 4 2" xfId="2992" xr:uid="{31DB85AA-51A1-45C6-AA65-EBC8DD40A1C6}"/>
    <cellStyle name="60% - Ênfase2 12 5" xfId="2065" xr:uid="{F9FABA9B-E5B9-40E7-825D-CCD37187F6CA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3" xfId="2407" xr:uid="{D2FD6303-7292-45B1-AF0E-B29EAF89D132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3" xfId="2637" xr:uid="{7C29F8E4-8012-4A65-A8EF-3A95EAA3035D}"/>
    <cellStyle name="60% - Ênfase2 13 4" xfId="1160" xr:uid="{757651C7-ADC5-47BF-8365-AEDE646259DD}"/>
    <cellStyle name="60% - Ênfase2 13 4 2" xfId="3012" xr:uid="{D5BB185D-66E2-4D54-901D-AD6759397658}"/>
    <cellStyle name="60% - Ênfase2 13 5" xfId="2085" xr:uid="{4B98FA9E-5CD8-497B-874E-782B3931FC7F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3" xfId="2427" xr:uid="{1E5A2A5A-41A1-4C0F-A905-BA105F3B3D7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3" xfId="2703" xr:uid="{6476C234-549A-4D3D-94A7-55C565DAF3ED}"/>
    <cellStyle name="60% - Ênfase2 14 4" xfId="1180" xr:uid="{0F1F50D7-81AC-49EC-ACCE-EC5819C341A4}"/>
    <cellStyle name="60% - Ênfase2 14 4 2" xfId="3032" xr:uid="{13CBB73F-E557-4A62-A605-6EC9DC093231}"/>
    <cellStyle name="60% - Ênfase2 14 5" xfId="2105" xr:uid="{B4A47318-689E-413F-9535-5015C8945763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3" xfId="1200" xr:uid="{29290A0F-6B17-4910-95C9-96B68B6C11DB}"/>
    <cellStyle name="60% - Ênfase2 15 3 2" xfId="3052" xr:uid="{156B8E3D-C03A-40AF-8BA3-8E0F1F16C6AE}"/>
    <cellStyle name="60% - Ênfase2 15 4" xfId="2125" xr:uid="{57153DFD-419F-4709-9532-EB393CDAA9A3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3" xfId="1220" xr:uid="{3B632C4B-35EF-437D-B5F2-3DD9511D73C5}"/>
    <cellStyle name="60% - Ênfase2 16 3 2" xfId="3072" xr:uid="{B2DA7C04-6337-4E8B-A696-9C64F264F496}"/>
    <cellStyle name="60% - Ênfase2 16 4" xfId="2145" xr:uid="{E4A9F1D8-A974-4387-A1B3-C9B2A2C3936D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3" xfId="2164" xr:uid="{8C8601B9-0B47-4E69-AA6C-9A560CB1CDD7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3" xfId="2527" xr:uid="{F832D578-281C-4FBF-9020-6620ABF0C43B}"/>
    <cellStyle name="60% - Ênfase2 19" xfId="917" xr:uid="{A348F299-908D-4DF6-AC5F-16F3580C7959}"/>
    <cellStyle name="60% - Ênfase2 19 2" xfId="2769" xr:uid="{E485780B-85C4-4AD1-8406-5374B60B668D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3" xfId="2186" xr:uid="{968CF8D0-9536-449E-90C0-F18430DAE94F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3" xfId="2690" xr:uid="{ECE12B8E-4DF5-482D-918A-E62C244496A8}"/>
    <cellStyle name="60% - Ênfase2 2 4" xfId="939" xr:uid="{830FE0D5-989E-47C1-BA1A-038FA16060C5}"/>
    <cellStyle name="60% - Ênfase2 2 4 2" xfId="2791" xr:uid="{23B35DED-990C-4225-BFFD-0213184F0EBC}"/>
    <cellStyle name="60% - Ênfase2 2 5" xfId="1864" xr:uid="{BA220098-B5DC-4C63-B18C-4AA6FD5CADCB}"/>
    <cellStyle name="60% - Ênfase2 20" xfId="1842" xr:uid="{4274E36B-E41D-41E4-BA4E-C84DB93E5C33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3" xfId="2204" xr:uid="{194AF837-4A95-4A8F-8A3C-37C1ECEE0C6F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3" xfId="2501" xr:uid="{25D1D9B8-696B-486B-817E-00B281AD95B2}"/>
    <cellStyle name="60% - Ênfase2 3 4" xfId="957" xr:uid="{806C2E89-EC83-41FB-B52D-00E9DE7CF852}"/>
    <cellStyle name="60% - Ênfase2 3 4 2" xfId="2809" xr:uid="{7673470E-3B7C-4F52-AE65-0A4997997EF1}"/>
    <cellStyle name="60% - Ênfase2 3 5" xfId="1882" xr:uid="{7123A9CA-7F5F-4051-BAA8-76110FA0D837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3" xfId="2226" xr:uid="{8E989026-F403-4EE5-BD53-F2CB09604BF3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3" xfId="2734" xr:uid="{F5337F7A-A1E9-4748-9FCF-921978B8A1F8}"/>
    <cellStyle name="60% - Ênfase2 4 4" xfId="979" xr:uid="{FB3CD81B-44C2-4A3D-9E7E-581C882EEA02}"/>
    <cellStyle name="60% - Ênfase2 4 4 2" xfId="2831" xr:uid="{BD385CAF-7C89-4244-9D81-8394BE55DC53}"/>
    <cellStyle name="60% - Ênfase2 4 5" xfId="1904" xr:uid="{43E1151A-D8CD-429E-9C6D-E8E8DFA73C9B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3" xfId="2246" xr:uid="{35C075C3-1B78-4FF6-8E91-078993ED425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3" xfId="2474" xr:uid="{C5185950-2C8C-49B9-90B0-C5D5312613DA}"/>
    <cellStyle name="60% - Ênfase2 5 4" xfId="999" xr:uid="{9E78E13B-AEF1-4639-9BD1-0531250E609D}"/>
    <cellStyle name="60% - Ênfase2 5 4 2" xfId="2851" xr:uid="{0A2E6335-F616-4FA1-94FC-FE9FC78C36AF}"/>
    <cellStyle name="60% - Ênfase2 5 5" xfId="1924" xr:uid="{525BED69-E934-4E23-A89C-73603CC84FF9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3" xfId="2266" xr:uid="{F617409E-EDEF-4D6C-8B99-04DE57442DE5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3" xfId="2468" xr:uid="{D1D7896B-18C6-4B07-A05D-31271C37D5CC}"/>
    <cellStyle name="60% - Ênfase2 6 4" xfId="1019" xr:uid="{5029F1D6-1F21-4ACB-BE6F-ECC0466CF75A}"/>
    <cellStyle name="60% - Ênfase2 6 4 2" xfId="2871" xr:uid="{50881E12-5A40-4348-9E3A-B6F090B5FEFF}"/>
    <cellStyle name="60% - Ênfase2 6 5" xfId="1944" xr:uid="{C51B0080-7A5C-4638-A2AD-585D6261345D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3" xfId="2286" xr:uid="{17261DCC-A198-481E-84DA-F9C5F3B9978A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3" xfId="2483" xr:uid="{049432B6-AF4D-41FF-B5FA-C9E3EEFE7687}"/>
    <cellStyle name="60% - Ênfase2 7 4" xfId="1039" xr:uid="{41142BDF-5B68-44B5-9020-0C7D285D72EC}"/>
    <cellStyle name="60% - Ênfase2 7 4 2" xfId="2891" xr:uid="{C91EAF50-0A96-4292-8E19-403CA4BDBA5E}"/>
    <cellStyle name="60% - Ênfase2 7 5" xfId="1964" xr:uid="{CCDE04D4-75FF-4B0D-A3BF-0317080ED938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3" xfId="2306" xr:uid="{B4DB396E-D29C-4CE1-99BB-BCB98E4D5B8A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3" xfId="2651" xr:uid="{5D4FD40C-EC84-4F86-8E8B-CAC3AA43941B}"/>
    <cellStyle name="60% - Ênfase2 8 4" xfId="1059" xr:uid="{DAEAEE83-9F9D-476E-ACF9-05B5C5FBD4AD}"/>
    <cellStyle name="60% - Ênfase2 8 4 2" xfId="2911" xr:uid="{3F4CF61F-7A14-4A6E-9CAB-AF68F90773C8}"/>
    <cellStyle name="60% - Ênfase2 8 5" xfId="1984" xr:uid="{C5DA468C-CF3C-41F7-826F-3E90A69EBD90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3" xfId="2326" xr:uid="{15AF1FAA-7175-4DF8-96EC-6A8F4945A81C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3" xfId="2572" xr:uid="{E997E187-91F4-48F4-A89F-FB1CFAE83DBB}"/>
    <cellStyle name="60% - Ênfase2 9 4" xfId="1079" xr:uid="{E561871D-2725-428B-B825-00F4611739F4}"/>
    <cellStyle name="60% - Ênfase2 9 4 2" xfId="2931" xr:uid="{6A7EE0F4-205A-44B5-B2E3-138CA5895F7D}"/>
    <cellStyle name="60% - Ênfase2 9 5" xfId="2004" xr:uid="{9ADC9785-EF53-4A78-9280-EABF7341BEC9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3" xfId="2350" xr:uid="{AA75DFB9-CFFF-4DC7-B1DD-1D35FB5B0CEA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3" xfId="2542" xr:uid="{D013F200-A6BE-4543-940D-78F762454958}"/>
    <cellStyle name="60% - Ênfase3 10 4" xfId="1103" xr:uid="{33C812A5-2332-4A4B-AF09-3D5047C471EC}"/>
    <cellStyle name="60% - Ênfase3 10 4 2" xfId="2955" xr:uid="{D496393E-D2EA-4DB3-8D91-DA6049AC58A4}"/>
    <cellStyle name="60% - Ênfase3 10 5" xfId="2028" xr:uid="{E679CABA-60CC-4F58-9C5B-5BFD4F9AAF6E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3" xfId="2370" xr:uid="{AC87B736-23FE-4CBB-9040-F1E32FD7D9F0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3" xfId="2624" xr:uid="{B9DB9C90-BB4C-413A-A57C-332ED169A737}"/>
    <cellStyle name="60% - Ênfase3 11 4" xfId="1123" xr:uid="{CB05AE4C-7C58-4ABF-BEC4-28C480D5AA0F}"/>
    <cellStyle name="60% - Ênfase3 11 4 2" xfId="2975" xr:uid="{A343893A-7F8B-4C20-820D-3435FAC8D4DA}"/>
    <cellStyle name="60% - Ênfase3 11 5" xfId="2048" xr:uid="{A3A49356-E0AD-4E5B-A44E-EBD2C2DCE0D7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3" xfId="2390" xr:uid="{C5D16EC4-AFFD-44CB-9A95-0B997E1494FB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3" xfId="2702" xr:uid="{09120E4E-96F9-4092-86DC-52902EFDDFB2}"/>
    <cellStyle name="60% - Ênfase3 12 4" xfId="1143" xr:uid="{F488A74A-5E32-4A23-ABD6-BD41FBCE18F1}"/>
    <cellStyle name="60% - Ênfase3 12 4 2" xfId="2995" xr:uid="{48629AA9-3AA0-434C-864B-AF3391FC706E}"/>
    <cellStyle name="60% - Ênfase3 12 5" xfId="2068" xr:uid="{21F8E19C-C384-4E36-8693-2431B19E9707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3" xfId="2410" xr:uid="{7AFD0152-4780-4F65-AB19-B1988C98A92E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3" xfId="2540" xr:uid="{C1A44E9F-BCCD-4DFA-B982-8B6028EDB069}"/>
    <cellStyle name="60% - Ênfase3 13 4" xfId="1163" xr:uid="{659D2859-CB75-4B3A-8BF6-8CF84EAE8C8C}"/>
    <cellStyle name="60% - Ênfase3 13 4 2" xfId="3015" xr:uid="{2B79016B-3B85-44DD-BB80-B31CCF3809A3}"/>
    <cellStyle name="60% - Ênfase3 13 5" xfId="2088" xr:uid="{FC855A7F-9714-4F0B-8735-2E96B1B784A1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3" xfId="2430" xr:uid="{710CB214-B5CF-4F7B-9E7E-969B27C17F35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3" xfId="2696" xr:uid="{CBACDD7C-8B57-49D9-93DE-C0BB3F8EE61B}"/>
    <cellStyle name="60% - Ênfase3 14 4" xfId="1183" xr:uid="{3D6B63B2-47F9-4D08-BBF5-8719275434AF}"/>
    <cellStyle name="60% - Ênfase3 14 4 2" xfId="3035" xr:uid="{B9DFDDCB-1DD2-4718-8175-4CC15F361969}"/>
    <cellStyle name="60% - Ênfase3 14 5" xfId="2108" xr:uid="{E9EF8B5E-0AED-4482-99E6-A612F635C0D4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3" xfId="1203" xr:uid="{AD2B2EFC-4FC0-466F-B817-752A82D07F7F}"/>
    <cellStyle name="60% - Ênfase3 15 3 2" xfId="3055" xr:uid="{4D22264A-EC62-431E-8DF9-35574FF98DB3}"/>
    <cellStyle name="60% - Ênfase3 15 4" xfId="2128" xr:uid="{12E8A481-1B34-4F3B-AA24-D17C65486A4F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3" xfId="1223" xr:uid="{1F0E858B-E879-4750-BA86-DFA31077063A}"/>
    <cellStyle name="60% - Ênfase3 16 3 2" xfId="3075" xr:uid="{C0C26CD6-C6EF-4559-ACF0-F736270A2732}"/>
    <cellStyle name="60% - Ênfase3 16 4" xfId="2148" xr:uid="{A9C289BA-10A3-498E-AE0B-5B1ADB1E2BBA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3" xfId="2167" xr:uid="{BE32F112-3A39-4621-9432-34B50A786FAD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3" xfId="2500" xr:uid="{66ACF517-47A3-4064-8A40-E3017C8AA12C}"/>
    <cellStyle name="60% - Ênfase3 19" xfId="920" xr:uid="{C02CD745-2389-40CE-BA32-7E1DA8B587EB}"/>
    <cellStyle name="60% - Ênfase3 19 2" xfId="2772" xr:uid="{CA279B10-FB2C-4C6E-B8F9-DA605DA74C20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3" xfId="2189" xr:uid="{82F06866-5E55-44D4-9709-4D907DA9DC17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3" xfId="2718" xr:uid="{7C8A1AD6-237F-4B34-BBC3-AD1FD28DF4C3}"/>
    <cellStyle name="60% - Ênfase3 2 4" xfId="942" xr:uid="{DB780499-507A-4E1E-9DEF-DA3326E88084}"/>
    <cellStyle name="60% - Ênfase3 2 4 2" xfId="2794" xr:uid="{49399777-AE6C-41BD-BAAF-28A608311A10}"/>
    <cellStyle name="60% - Ênfase3 2 5" xfId="1867" xr:uid="{7E99110D-1C32-4E90-BFED-1164DBD0089C}"/>
    <cellStyle name="60% - Ênfase3 20" xfId="1845" xr:uid="{52F3EBE0-E2A2-4193-9771-D850C21F6AAE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3" xfId="2207" xr:uid="{C5B6BBA2-5170-4AC6-BF4D-F972D97F77FB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3" xfId="2509" xr:uid="{24633B5D-C529-455A-BA5D-01E404C632A5}"/>
    <cellStyle name="60% - Ênfase3 3 4" xfId="960" xr:uid="{59711E5B-B357-4714-8A70-14692E53EF6C}"/>
    <cellStyle name="60% - Ênfase3 3 4 2" xfId="2812" xr:uid="{655AD7CE-8A9C-421E-BEDB-B1D72B0729A3}"/>
    <cellStyle name="60% - Ênfase3 3 5" xfId="1885" xr:uid="{F5FD4F77-C033-4518-8916-F3A26D9ACB88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3" xfId="2229" xr:uid="{A33A39E9-68A5-47C6-8012-6B2127A63297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3" xfId="2489" xr:uid="{01735294-C755-4003-9414-EF7010CBB073}"/>
    <cellStyle name="60% - Ênfase3 4 4" xfId="982" xr:uid="{B8A0B1AC-31B8-47AF-9ACB-626B19EF072E}"/>
    <cellStyle name="60% - Ênfase3 4 4 2" xfId="2834" xr:uid="{773D3924-F4F6-4F10-B8F9-D3F8F4C11693}"/>
    <cellStyle name="60% - Ênfase3 4 5" xfId="1907" xr:uid="{A44D6AD3-D1CD-4F0C-B6C4-14595A7EE591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3" xfId="2249" xr:uid="{A8A0B683-2755-4489-8581-730BFBD1FCF4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3" xfId="2693" xr:uid="{30EF3CA7-2749-4E35-83C4-0CBFAF26F5D4}"/>
    <cellStyle name="60% - Ênfase3 5 4" xfId="1002" xr:uid="{1D06F52B-2B3C-4BEF-BDA8-725371F7E5C2}"/>
    <cellStyle name="60% - Ênfase3 5 4 2" xfId="2854" xr:uid="{731F6E6F-02BD-47DC-94D4-C8FEBD6D4CF2}"/>
    <cellStyle name="60% - Ênfase3 5 5" xfId="1927" xr:uid="{04C024B3-F188-4B61-8414-D556D5F915A7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3" xfId="2269" xr:uid="{EBD8A000-29C6-447D-A577-65FAD9A3F187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3" xfId="2738" xr:uid="{87B423C8-0C0C-4409-9895-5D049152BFA2}"/>
    <cellStyle name="60% - Ênfase3 6 4" xfId="1022" xr:uid="{507872CF-A410-48F7-ACC7-BBA582F3B6C6}"/>
    <cellStyle name="60% - Ênfase3 6 4 2" xfId="2874" xr:uid="{B672F0AB-E287-4A84-9B8C-60B87ED9D4C0}"/>
    <cellStyle name="60% - Ênfase3 6 5" xfId="1947" xr:uid="{5710AF70-0996-49F9-AE56-642403D13AED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3" xfId="2289" xr:uid="{F4A73F1E-9958-42E0-97EF-749920CDDCBC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3" xfId="2647" xr:uid="{8A2EF360-A736-450A-9106-A87A33FF89DD}"/>
    <cellStyle name="60% - Ênfase3 7 4" xfId="1042" xr:uid="{8243ED29-EAA0-48F7-8175-13CC1A8D0A42}"/>
    <cellStyle name="60% - Ênfase3 7 4 2" xfId="2894" xr:uid="{D9890F15-3DD0-4523-9E4F-41823000A75E}"/>
    <cellStyle name="60% - Ênfase3 7 5" xfId="1967" xr:uid="{489E4D20-D34A-4376-8A9A-DD2A1EC91EA3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3" xfId="2309" xr:uid="{98EFAF3C-0879-4326-ACB9-C6677DA55C56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3" xfId="2570" xr:uid="{5D3329D3-9855-443C-874B-66658205948D}"/>
    <cellStyle name="60% - Ênfase3 8 4" xfId="1062" xr:uid="{FA40CD26-D6FB-4C6B-B6BC-FE4E47A7B812}"/>
    <cellStyle name="60% - Ênfase3 8 4 2" xfId="2914" xr:uid="{1BA7ACAC-B0D3-4ADE-AA6E-6B46C89B5771}"/>
    <cellStyle name="60% - Ênfase3 8 5" xfId="1987" xr:uid="{6743D7BD-82D9-4D97-8FC7-9376D9D521CD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3" xfId="2329" xr:uid="{68A54204-292E-4A5C-86FB-DD309949CC44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3" xfId="2532" xr:uid="{0E77973F-AF92-4710-84A7-98AC79D79382}"/>
    <cellStyle name="60% - Ênfase3 9 4" xfId="1082" xr:uid="{2C4B1F16-2991-41B6-A020-A2CBC6FF025C}"/>
    <cellStyle name="60% - Ênfase3 9 4 2" xfId="2934" xr:uid="{59DDB718-2A12-41A1-8A9B-364EDB6CBCF3}"/>
    <cellStyle name="60% - Ênfase3 9 5" xfId="2007" xr:uid="{AAFAF170-4FA9-4BE1-AA13-DFCEC4A59131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3" xfId="2353" xr:uid="{04EF73C3-CCE8-4C12-B899-9A33073FD493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3" xfId="2689" xr:uid="{6D353469-5A7C-40C8-8EB6-5C329BD7651B}"/>
    <cellStyle name="60% - Ênfase4 10 4" xfId="1106" xr:uid="{ABF1434A-8139-49E1-9947-59CAEEADE663}"/>
    <cellStyle name="60% - Ênfase4 10 4 2" xfId="2958" xr:uid="{B2765B4F-CB7A-4A7A-8625-AEBE185373A2}"/>
    <cellStyle name="60% - Ênfase4 10 5" xfId="2031" xr:uid="{BF5E2FFC-8796-4A5D-9E70-82FCB1B95361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3" xfId="2373" xr:uid="{58A6B8F9-467A-44B1-BCBF-254B3EF1A591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3" xfId="2716" xr:uid="{9960E4DD-92D3-4364-8F33-C15423AEECFA}"/>
    <cellStyle name="60% - Ênfase4 11 4" xfId="1126" xr:uid="{9DB903C8-3040-45AA-AB6C-4C73B6A070DE}"/>
    <cellStyle name="60% - Ênfase4 11 4 2" xfId="2978" xr:uid="{FFE823CA-01AF-4E1A-972F-77B461650960}"/>
    <cellStyle name="60% - Ênfase4 11 5" xfId="2051" xr:uid="{07D4CE9B-96C6-48E1-B21D-8E78C59C0129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3" xfId="2393" xr:uid="{5615E042-6B12-4D95-AD42-3CD3FE53874F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3" xfId="2459" xr:uid="{D0486989-E5D5-4682-95B3-798DE264F96B}"/>
    <cellStyle name="60% - Ênfase4 12 4" xfId="1146" xr:uid="{67649AF8-7372-41F2-8E04-8A3795EA2B2D}"/>
    <cellStyle name="60% - Ênfase4 12 4 2" xfId="2998" xr:uid="{D3736643-D7B0-46C1-A381-99AE39731992}"/>
    <cellStyle name="60% - Ênfase4 12 5" xfId="2071" xr:uid="{B5BA9B1E-E71A-41A5-8AF2-9606DFF03017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3" xfId="2413" xr:uid="{05C027DA-73E7-4104-BDC0-4AA3D86102A2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3" xfId="2514" xr:uid="{1D7F2412-DD1A-49C5-A2D3-C2F0BF8F3470}"/>
    <cellStyle name="60% - Ênfase4 13 4" xfId="1166" xr:uid="{159580DA-6402-41B1-BC38-07468BBD23B0}"/>
    <cellStyle name="60% - Ênfase4 13 4 2" xfId="3018" xr:uid="{F7F33343-30FE-49C1-BAFC-F668151DC624}"/>
    <cellStyle name="60% - Ênfase4 13 5" xfId="2091" xr:uid="{0063D503-9F45-497D-8428-4695A4D930F3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3" xfId="2433" xr:uid="{87AFCC81-8F0C-4F25-BAF4-60FDEA9B342B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3" xfId="2633" xr:uid="{ED7EF103-1971-49D2-B826-5999B5F9A215}"/>
    <cellStyle name="60% - Ênfase4 14 4" xfId="1186" xr:uid="{82BF99AB-DAB6-4ED8-9FF2-5D8860F4507E}"/>
    <cellStyle name="60% - Ênfase4 14 4 2" xfId="3038" xr:uid="{AF07EB61-0B9A-4FAA-A43D-23403677483A}"/>
    <cellStyle name="60% - Ênfase4 14 5" xfId="2111" xr:uid="{A97695BB-FE9F-40FA-BF22-A2E26570B4F9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3" xfId="1206" xr:uid="{2CC76374-F2E5-4DE8-BDA8-0A6C56DEC8FA}"/>
    <cellStyle name="60% - Ênfase4 15 3 2" xfId="3058" xr:uid="{77C5B749-2113-4B94-9B6B-10EB90373516}"/>
    <cellStyle name="60% - Ênfase4 15 4" xfId="2131" xr:uid="{9DED660B-EEBA-4163-B109-793E8A9B5D66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3" xfId="1226" xr:uid="{1F4367BA-B2E8-46D1-8132-371A47F94C20}"/>
    <cellStyle name="60% - Ênfase4 16 3 2" xfId="3078" xr:uid="{74B40531-CBCA-425F-9E90-E00D79400C05}"/>
    <cellStyle name="60% - Ênfase4 16 4" xfId="2151" xr:uid="{1A75C3DB-31A6-496C-80F1-9A7F73BDA737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3" xfId="2170" xr:uid="{A53C09FC-BDD1-4ECD-8C79-EDE29B7043D3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3" xfId="2484" xr:uid="{99734247-1350-4E47-B20C-83E7475012F3}"/>
    <cellStyle name="60% - Ênfase4 19" xfId="923" xr:uid="{B4036DD8-38AE-4B5D-90A6-86DF19DF43E9}"/>
    <cellStyle name="60% - Ênfase4 19 2" xfId="2775" xr:uid="{A2AA175F-F599-43B2-96A9-7ED20CBD4B6D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3" xfId="2192" xr:uid="{9FD8E859-FA06-45FD-B644-7D7182436586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3" xfId="2691" xr:uid="{88EFF111-3248-4F3E-AFA8-564B53666024}"/>
    <cellStyle name="60% - Ênfase4 2 4" xfId="945" xr:uid="{E72D5BB5-9177-4891-ACFA-28174AFA7005}"/>
    <cellStyle name="60% - Ênfase4 2 4 2" xfId="2797" xr:uid="{33ECC860-450E-49E2-B57B-97152F245249}"/>
    <cellStyle name="60% - Ênfase4 2 5" xfId="1870" xr:uid="{2960E198-B238-4176-837C-90CCFF49F743}"/>
    <cellStyle name="60% - Ênfase4 20" xfId="1848" xr:uid="{B17627C4-E3DF-4E93-9529-8F8E7FF06F4A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3" xfId="2210" xr:uid="{F24B08C9-D0DA-4022-8842-25E8ED4C3681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3" xfId="2682" xr:uid="{2212F59F-9FCC-496F-B8F1-4F3121D8B44D}"/>
    <cellStyle name="60% - Ênfase4 3 4" xfId="963" xr:uid="{997C8CC1-B8E6-43FB-ADFF-B4C240013DAE}"/>
    <cellStyle name="60% - Ênfase4 3 4 2" xfId="2815" xr:uid="{2F70CBF8-C1B5-493F-AD6B-EB8A8D9B765D}"/>
    <cellStyle name="60% - Ênfase4 3 5" xfId="1888" xr:uid="{851C9FBB-2BF0-4D96-A4A1-6C16458A6474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3" xfId="2232" xr:uid="{A4941E9E-0E75-4878-8139-CAEDC80891FF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3" xfId="2747" xr:uid="{88D0E044-C4F9-4BCC-86B6-18019FF1FC27}"/>
    <cellStyle name="60% - Ênfase4 4 4" xfId="985" xr:uid="{D3E071D7-2F7D-434E-A756-DE337271C14E}"/>
    <cellStyle name="60% - Ênfase4 4 4 2" xfId="2837" xr:uid="{BF2D5498-5BE8-4CCD-A80C-D2209B2D08A0}"/>
    <cellStyle name="60% - Ênfase4 4 5" xfId="1910" xr:uid="{CE22A96D-64F9-42D2-87A0-B157E025DE4F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3" xfId="2252" xr:uid="{29684AC6-268B-49DF-A3B1-01F75450373A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3" xfId="2482" xr:uid="{018F5395-2149-4528-BB86-D4524610423F}"/>
    <cellStyle name="60% - Ênfase4 5 4" xfId="1005" xr:uid="{71B744E3-A85C-4C0E-98E7-4564FD569DDF}"/>
    <cellStyle name="60% - Ênfase4 5 4 2" xfId="2857" xr:uid="{0173DE07-F002-45E2-BE30-A07ED98B3D4F}"/>
    <cellStyle name="60% - Ênfase4 5 5" xfId="1930" xr:uid="{34860D9A-DC1D-467A-8045-D9790AAC5E0D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3" xfId="2272" xr:uid="{3DC55FE1-A370-4EF6-803D-D7751502DB94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3" xfId="2649" xr:uid="{998A48DF-76D4-4B03-A98D-1E73E40E4164}"/>
    <cellStyle name="60% - Ênfase4 6 4" xfId="1025" xr:uid="{39CFF0EF-74AB-441B-A129-00C857496BC5}"/>
    <cellStyle name="60% - Ênfase4 6 4 2" xfId="2877" xr:uid="{C3B1227A-7704-4D28-8869-B8FBF2FB9BCA}"/>
    <cellStyle name="60% - Ênfase4 6 5" xfId="1950" xr:uid="{9051E5E0-D208-45AB-B6A1-5CF1117387ED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3" xfId="2292" xr:uid="{F0F053F4-C9C0-4C16-830C-6069FC57A577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3" xfId="2555" xr:uid="{51EF86EB-A96F-4CE9-9869-5A5BE6068B19}"/>
    <cellStyle name="60% - Ênfase4 7 4" xfId="1045" xr:uid="{40A6B335-A289-4D4B-BC54-89C40AD0CF09}"/>
    <cellStyle name="60% - Ênfase4 7 4 2" xfId="2897" xr:uid="{8855C1E7-BDEE-45CA-A4C2-033F2B1DA655}"/>
    <cellStyle name="60% - Ênfase4 7 5" xfId="1970" xr:uid="{F718BF13-B1FB-4431-94E2-A1E67FD32E3B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3" xfId="2312" xr:uid="{20A4E11D-D0CA-426B-BA9E-B45C6BCA7879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3" xfId="2750" xr:uid="{98E626E0-618C-46A9-960A-12D9F8987FB2}"/>
    <cellStyle name="60% - Ênfase4 8 4" xfId="1065" xr:uid="{66962CED-4413-40B7-BC28-FAD800433D93}"/>
    <cellStyle name="60% - Ênfase4 8 4 2" xfId="2917" xr:uid="{B0E79311-57EE-431F-88BF-230B9047139C}"/>
    <cellStyle name="60% - Ênfase4 8 5" xfId="1990" xr:uid="{2DE25F95-FEDB-4FB0-9D6A-B4C3D3DA563C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3" xfId="2332" xr:uid="{028CCA22-632D-4052-87DF-73B04A581E40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3" xfId="2627" xr:uid="{9E44553A-490D-451C-ACAB-53EB5B812586}"/>
    <cellStyle name="60% - Ênfase4 9 4" xfId="1085" xr:uid="{681BECCD-55BE-4026-AD1E-AA381C8BD7EA}"/>
    <cellStyle name="60% - Ênfase4 9 4 2" xfId="2937" xr:uid="{739203FA-D31A-4791-AB63-218AC4F5314C}"/>
    <cellStyle name="60% - Ênfase4 9 5" xfId="2010" xr:uid="{CED8FE66-9239-412A-AAD5-35545883A386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3" xfId="2356" xr:uid="{8CC4CF7E-FF63-40F4-93EB-2AB4474F71D5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3" xfId="2711" xr:uid="{AF50E7FE-4956-4B22-B4E2-FF04459BCEEA}"/>
    <cellStyle name="60% - Ênfase5 10 4" xfId="1109" xr:uid="{CAD486E7-AB1C-4AA0-B182-1CE733743EE4}"/>
    <cellStyle name="60% - Ênfase5 10 4 2" xfId="2961" xr:uid="{2AC472BE-5624-47A9-BDDB-8C3D72C58550}"/>
    <cellStyle name="60% - Ênfase5 10 5" xfId="2034" xr:uid="{7C52B56B-90EF-4F7C-AF49-5CC147A09DB5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3" xfId="2376" xr:uid="{5BC05199-2718-4993-A243-9FC726AB089F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3" xfId="2440" xr:uid="{D3F099BC-2865-4B1B-9F06-C84FD279047F}"/>
    <cellStyle name="60% - Ênfase5 11 4" xfId="1129" xr:uid="{BDA31D3B-857B-4629-A671-FFA0B7DC943C}"/>
    <cellStyle name="60% - Ênfase5 11 4 2" xfId="2981" xr:uid="{9B4E56C0-D9BA-4BDE-B5C2-31BFF97A05B5}"/>
    <cellStyle name="60% - Ênfase5 11 5" xfId="2054" xr:uid="{1BC0E08F-AE6E-4200-A922-F4381B149D83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3" xfId="2396" xr:uid="{8D1B8815-CA3E-47FA-8E12-D78E3B904513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3" xfId="2746" xr:uid="{02578041-47A3-46AE-B8D9-8224F355C918}"/>
    <cellStyle name="60% - Ênfase5 12 4" xfId="1149" xr:uid="{B055E865-F1D5-4421-A742-A0070B09CD87}"/>
    <cellStyle name="60% - Ênfase5 12 4 2" xfId="3001" xr:uid="{23F749F9-995E-488D-A40D-A41EE2798F8B}"/>
    <cellStyle name="60% - Ênfase5 12 5" xfId="2074" xr:uid="{1B5471BF-1A7C-41C6-A413-91E4911888D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3" xfId="2416" xr:uid="{99242283-ABD6-4F26-B462-E556FD66342B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3" xfId="2708" xr:uid="{85F74334-C04E-4ACB-A505-17EA6A28902A}"/>
    <cellStyle name="60% - Ênfase5 13 4" xfId="1169" xr:uid="{9F4ADC36-2016-4EEA-BE1C-E2D9E0C6CCA8}"/>
    <cellStyle name="60% - Ênfase5 13 4 2" xfId="3021" xr:uid="{B0A99FEF-8AB2-4A5D-8C6D-89296781E812}"/>
    <cellStyle name="60% - Ênfase5 13 5" xfId="2094" xr:uid="{DCEB4436-260E-4893-9B5E-D0D40A4949DF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3" xfId="2436" xr:uid="{F06DE1F3-709C-4F24-998D-AC06B16E31A9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3" xfId="2505" xr:uid="{56F68EFD-0B75-4D33-B907-E778454D4515}"/>
    <cellStyle name="60% - Ênfase5 14 4" xfId="1189" xr:uid="{AC7A60A2-27BD-4F23-88D9-6EEE4A4E6924}"/>
    <cellStyle name="60% - Ênfase5 14 4 2" xfId="3041" xr:uid="{88A47F4D-4C41-4646-8384-4F48B5573959}"/>
    <cellStyle name="60% - Ênfase5 14 5" xfId="2114" xr:uid="{CDAFF7D4-8264-4EBE-9066-41154BC2D3C1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3" xfId="1209" xr:uid="{CA4306A9-1E55-4200-BE0A-6DB008454D00}"/>
    <cellStyle name="60% - Ênfase5 15 3 2" xfId="3061" xr:uid="{6065CFE9-1494-4609-938A-A701438ACC54}"/>
    <cellStyle name="60% - Ênfase5 15 4" xfId="2134" xr:uid="{7985BDC4-477D-4980-B0AF-CA4E0F67FB86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3" xfId="1229" xr:uid="{E8B032B7-8A49-46C5-B8C9-50F48B079705}"/>
    <cellStyle name="60% - Ênfase5 16 3 2" xfId="3081" xr:uid="{595B1384-7CA4-4FEA-A7BE-26412B3AA6C8}"/>
    <cellStyle name="60% - Ênfase5 16 4" xfId="2154" xr:uid="{F15DBE62-5B3A-49A6-8B8D-34F1B8A1ECD5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3" xfId="2173" xr:uid="{49EC1529-D6EB-417B-8C6A-62838527930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3" xfId="2529" xr:uid="{3862229C-3CAC-4969-9E2E-595BB01E7715}"/>
    <cellStyle name="60% - Ênfase5 19" xfId="926" xr:uid="{46BAC999-D4A9-43F2-81A0-93A477DA210A}"/>
    <cellStyle name="60% - Ênfase5 19 2" xfId="2778" xr:uid="{7FEFBF6E-BCDA-4786-8358-41C644E3389A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3" xfId="2195" xr:uid="{534B3323-1FBB-4698-83B7-1423A0A12ECB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3" xfId="2475" xr:uid="{BB92D816-C7CB-40C8-966B-3A39DEF475C7}"/>
    <cellStyle name="60% - Ênfase5 2 4" xfId="948" xr:uid="{4E052555-3890-42B8-9F2A-F647552F12C2}"/>
    <cellStyle name="60% - Ênfase5 2 4 2" xfId="2800" xr:uid="{E81C7A85-6298-42A5-9365-FC00FD28965D}"/>
    <cellStyle name="60% - Ênfase5 2 5" xfId="1873" xr:uid="{DE063A60-D658-4CE7-877A-D5F7D2FDD9BB}"/>
    <cellStyle name="60% - Ênfase5 20" xfId="1851" xr:uid="{33F0407F-7EEC-4DD5-AF92-1FF9694E8B03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3" xfId="2213" xr:uid="{16B61189-88FD-4631-BD67-0C40049C2AB2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3" xfId="2742" xr:uid="{03CF9EDC-167B-4011-80EB-735D555FAF9D}"/>
    <cellStyle name="60% - Ênfase5 3 4" xfId="966" xr:uid="{F798C0C0-533F-4D4D-8E4C-164E45E8B710}"/>
    <cellStyle name="60% - Ênfase5 3 4 2" xfId="2818" xr:uid="{A7E8CB62-01A4-4E00-8E57-1D0379B9C2F9}"/>
    <cellStyle name="60% - Ênfase5 3 5" xfId="1891" xr:uid="{D26018E8-3016-4F99-84F4-B2FC5FDD6FA1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3" xfId="2235" xr:uid="{E6B403C3-98A7-4066-9A61-A47E789C2BC2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3" xfId="2566" xr:uid="{F17E55DA-0099-4334-9754-20251CA34B16}"/>
    <cellStyle name="60% - Ênfase5 4 4" xfId="988" xr:uid="{C99D0F39-C06D-4216-B614-D59F72664883}"/>
    <cellStyle name="60% - Ênfase5 4 4 2" xfId="2840" xr:uid="{63A43ED9-3B37-474C-83F9-B956F3124F59}"/>
    <cellStyle name="60% - Ênfase5 4 5" xfId="1913" xr:uid="{22082AE9-31CD-4572-B049-BA99241961F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3" xfId="2255" xr:uid="{FE888A5A-682A-4C96-ACC5-1E9D4864B10E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3" xfId="2723" xr:uid="{33019FA0-88BB-4554-B166-11EFEDCBCF19}"/>
    <cellStyle name="60% - Ênfase5 5 4" xfId="1008" xr:uid="{CA6C0F80-51B8-4395-A3FE-C08AE2D83855}"/>
    <cellStyle name="60% - Ênfase5 5 4 2" xfId="2860" xr:uid="{CCB51A95-BAAE-44DA-96DF-C06FD16AD066}"/>
    <cellStyle name="60% - Ênfase5 5 5" xfId="1933" xr:uid="{B249C901-7E10-4F0D-9EB8-81A3221CDA28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3" xfId="2275" xr:uid="{7564C36B-D8FC-4630-8795-C9050D7E34C7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3" xfId="2451" xr:uid="{3BE5BBED-3ACD-417B-B32D-4E947B2A1E81}"/>
    <cellStyle name="60% - Ênfase5 6 4" xfId="1028" xr:uid="{3024CF35-053A-4757-B7D0-E31A9C72E219}"/>
    <cellStyle name="60% - Ênfase5 6 4 2" xfId="2880" xr:uid="{B766D555-3BEC-4534-8E01-DD67EB865A42}"/>
    <cellStyle name="60% - Ênfase5 6 5" xfId="1953" xr:uid="{F6111528-C68B-46C4-9BE3-F51ABB7AF068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3" xfId="2295" xr:uid="{3475CD4D-9368-4E97-974C-620785619B65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3" xfId="2502" xr:uid="{158E2753-B1B9-4CA3-A435-A0AE6E5377D3}"/>
    <cellStyle name="60% - Ênfase5 7 4" xfId="1048" xr:uid="{82047A58-F24E-440D-9B8C-8BA85032C093}"/>
    <cellStyle name="60% - Ênfase5 7 4 2" xfId="2900" xr:uid="{5F075A68-46BB-4F78-91B4-3012E4B4FB01}"/>
    <cellStyle name="60% - Ênfase5 7 5" xfId="1973" xr:uid="{A0A0E576-C98F-488D-BD9F-7CF484C253D2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3" xfId="2315" xr:uid="{3FEFF9E8-E8F6-4096-9927-5E6CB9253ED3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3" xfId="2567" xr:uid="{A22127A9-DDA6-4373-BE5E-FB65E802DE22}"/>
    <cellStyle name="60% - Ênfase5 8 4" xfId="1068" xr:uid="{BB5BC8EE-43ED-413F-A334-86AA3F5B908D}"/>
    <cellStyle name="60% - Ênfase5 8 4 2" xfId="2920" xr:uid="{95122776-8B5B-4834-BFF2-85F14B40F1EC}"/>
    <cellStyle name="60% - Ênfase5 8 5" xfId="1993" xr:uid="{F03D0003-4E79-41C7-A812-87E8DBDDA945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3" xfId="2335" xr:uid="{A8D0506E-1E51-48E3-BCE2-B97E8B39AA0F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3" xfId="2740" xr:uid="{B1D709F8-5AF2-42DB-AB85-B9E6846556CF}"/>
    <cellStyle name="60% - Ênfase5 9 4" xfId="1088" xr:uid="{8E1C35CA-176E-4157-BFE7-A5638E033AB8}"/>
    <cellStyle name="60% - Ênfase5 9 4 2" xfId="2940" xr:uid="{BDAAC21A-18BD-4778-BE4D-6D8A16A58231}"/>
    <cellStyle name="60% - Ênfase5 9 5" xfId="2013" xr:uid="{C7059E45-E747-469F-9840-7D23E5B4421A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3" xfId="2359" xr:uid="{EA9B989C-AA28-4602-9660-5AA0F6B8411E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3" xfId="2701" xr:uid="{AA3295B8-CDFC-49FC-850A-140881238FC5}"/>
    <cellStyle name="60% - Ênfase6 10 4" xfId="1112" xr:uid="{878CBAFD-6774-45B4-836B-BC54CE8A9DCB}"/>
    <cellStyle name="60% - Ênfase6 10 4 2" xfId="2964" xr:uid="{D1667164-58FE-4790-856F-EFB5D6E572FD}"/>
    <cellStyle name="60% - Ênfase6 10 5" xfId="2037" xr:uid="{5F82BAE7-7F5F-471C-823F-0854F493E216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3" xfId="2379" xr:uid="{49EE7689-DC07-47BF-95C9-6E1BFF73AF85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3" xfId="2704" xr:uid="{F71EAB1F-6029-477B-8BD2-A594F4771D3E}"/>
    <cellStyle name="60% - Ênfase6 11 4" xfId="1132" xr:uid="{B7CACD09-378D-4443-9262-E9C0C774CDBA}"/>
    <cellStyle name="60% - Ênfase6 11 4 2" xfId="2984" xr:uid="{985A65B4-2A6E-4E64-87B9-E7DBAF2767E8}"/>
    <cellStyle name="60% - Ênfase6 11 5" xfId="2057" xr:uid="{3A2EC064-5D9B-4896-A808-2F9102650F0B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3" xfId="2399" xr:uid="{A6B07BF7-ADD2-4FA1-93AA-13A856CDD8DB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3" xfId="2574" xr:uid="{122CB980-73A1-4E6B-8BF6-916A5174B268}"/>
    <cellStyle name="60% - Ênfase6 12 4" xfId="1152" xr:uid="{319F698C-22C3-4464-9338-C389FCA3FB61}"/>
    <cellStyle name="60% - Ênfase6 12 4 2" xfId="3004" xr:uid="{4B239554-8EE5-4B73-AA3E-F7611E7A3875}"/>
    <cellStyle name="60% - Ênfase6 12 5" xfId="2077" xr:uid="{12222B21-E3B6-49A3-B6C8-DC43B97B81A3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3" xfId="2419" xr:uid="{47F323FB-B6D9-4FA4-9165-7201BBE2D02B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3" xfId="2636" xr:uid="{63F7AA35-F9DB-4BA4-8A9D-ED7F5AD06532}"/>
    <cellStyle name="60% - Ênfase6 13 4" xfId="1172" xr:uid="{E4CC063F-FB93-480B-8206-55D6DA3FDF3A}"/>
    <cellStyle name="60% - Ênfase6 13 4 2" xfId="3024" xr:uid="{70BC0C93-1B33-483F-960C-32EC0176A104}"/>
    <cellStyle name="60% - Ênfase6 13 5" xfId="2097" xr:uid="{488F0DD5-0C4A-4FD9-9564-9CB6B8EAF0CD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3" xfId="2439" xr:uid="{6DDA5A2B-390E-402E-8017-61A5235DD1C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3" xfId="2491" xr:uid="{E7AACF1B-B361-4602-8BDB-0EEDD1F5C9B3}"/>
    <cellStyle name="60% - Ênfase6 14 4" xfId="1192" xr:uid="{D3E8B96E-0AE4-41C8-9AE8-E77D75DB52CA}"/>
    <cellStyle name="60% - Ênfase6 14 4 2" xfId="3044" xr:uid="{A04A2F1D-765A-43F4-8541-9CAE528C8125}"/>
    <cellStyle name="60% - Ênfase6 14 5" xfId="2117" xr:uid="{F4AC19C3-22C3-4470-947A-813A106210CA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3" xfId="1212" xr:uid="{B84BBAC0-1CEC-4805-A8EB-46F3ACD6C5B3}"/>
    <cellStyle name="60% - Ênfase6 15 3 2" xfId="3064" xr:uid="{D45703A0-221A-4868-A636-59B103BFA683}"/>
    <cellStyle name="60% - Ênfase6 15 4" xfId="2137" xr:uid="{AA4AB98B-0CF0-4A25-A6F9-7B9F6E51282D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3" xfId="1232" xr:uid="{B8E403DE-16F6-458B-8D8D-329D670E45F3}"/>
    <cellStyle name="60% - Ênfase6 16 3 2" xfId="3084" xr:uid="{BBDFDDEB-D211-4FCC-B1A3-6DEDF1D97C36}"/>
    <cellStyle name="60% - Ênfase6 16 4" xfId="2157" xr:uid="{491F2E27-523B-40F5-A0EF-BBFF2B62B36E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3" xfId="2176" xr:uid="{DE2E35AB-74B4-467D-9A5C-8055B9A1B263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3" xfId="2664" xr:uid="{4EF94972-28DF-4D94-B23E-DD1CD9BF3FA8}"/>
    <cellStyle name="60% - Ênfase6 19" xfId="929" xr:uid="{B05F1FA4-B12E-477D-B126-BA6930CD66BE}"/>
    <cellStyle name="60% - Ênfase6 19 2" xfId="2781" xr:uid="{CB0E3844-6F6B-4A6C-A568-74DBD8099632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3" xfId="2198" xr:uid="{863BA95F-F44E-45B6-9969-A37FBA014C6D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3" xfId="2516" xr:uid="{6430CFEB-AF88-43AF-8C3E-67F348EAC69E}"/>
    <cellStyle name="60% - Ênfase6 2 4" xfId="951" xr:uid="{D9710052-1A22-46B4-8F17-C377F603963A}"/>
    <cellStyle name="60% - Ênfase6 2 4 2" xfId="2803" xr:uid="{BAD1180E-3C4C-4FF4-B3A8-4E4BA8B73467}"/>
    <cellStyle name="60% - Ênfase6 2 5" xfId="1876" xr:uid="{503FC3A3-5451-4B67-8539-D09C983EF7F8}"/>
    <cellStyle name="60% - Ênfase6 20" xfId="1854" xr:uid="{1E6EA5D1-A68C-4D35-8CA8-7811DE7DF630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3" xfId="2216" xr:uid="{6D3858B9-5730-48D6-B595-1BBAAC4FECF9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3" xfId="2757" xr:uid="{9144A04D-B29C-432C-847A-4CA15B577276}"/>
    <cellStyle name="60% - Ênfase6 3 4" xfId="969" xr:uid="{8D3D52C7-7F1C-4E58-A2CA-907B3B884202}"/>
    <cellStyle name="60% - Ênfase6 3 4 2" xfId="2821" xr:uid="{8DA66920-87A2-4689-BB73-0D3FC6A805FF}"/>
    <cellStyle name="60% - Ênfase6 3 5" xfId="1894" xr:uid="{FD28A6E6-028C-404A-8B9B-B9B7D0C4A39F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3" xfId="2238" xr:uid="{BCB28E40-B485-4A79-8431-D2189A3CC6F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3" xfId="2508" xr:uid="{41FA9069-149C-4E1F-8780-984A6168DBD3}"/>
    <cellStyle name="60% - Ênfase6 4 4" xfId="991" xr:uid="{C3FE494C-09FC-40E9-BC3F-DAA80E38F799}"/>
    <cellStyle name="60% - Ênfase6 4 4 2" xfId="2843" xr:uid="{713BCB46-2737-489B-AF95-48CF9FA079BD}"/>
    <cellStyle name="60% - Ênfase6 4 5" xfId="1916" xr:uid="{017B7930-0116-4A08-833B-F2BDF86B290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3" xfId="2258" xr:uid="{B014CDAA-51D0-4F3A-93C3-70D867EC1079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3" xfId="2661" xr:uid="{5B778D93-5213-404F-854F-A2EF7E67BA6B}"/>
    <cellStyle name="60% - Ênfase6 5 4" xfId="1011" xr:uid="{D29EAD97-8CC0-4735-8404-363F048DDDBD}"/>
    <cellStyle name="60% - Ênfase6 5 4 2" xfId="2863" xr:uid="{9A3AD40C-7D16-4537-BD22-402DD9DD7935}"/>
    <cellStyle name="60% - Ênfase6 5 5" xfId="1936" xr:uid="{DB5ABF4A-B732-4A16-A3EC-793DDB7F14B4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3" xfId="2278" xr:uid="{709D3B19-825C-4D47-9837-737237014F88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3" xfId="2699" xr:uid="{998CF28C-4A18-4538-825B-0B455D9E0A58}"/>
    <cellStyle name="60% - Ênfase6 6 4" xfId="1031" xr:uid="{C7867F24-3814-4541-A8AD-ED143272F320}"/>
    <cellStyle name="60% - Ênfase6 6 4 2" xfId="2883" xr:uid="{56ED5C4F-CB47-4A0B-8D3B-3C9FB64D00B7}"/>
    <cellStyle name="60% - Ênfase6 6 5" xfId="1956" xr:uid="{AE5F7EC1-FF05-4B3C-84F7-AA037708B178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3" xfId="2298" xr:uid="{596618BD-8935-4BBB-A2F2-2F99213002E1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3" xfId="2654" xr:uid="{6824A3E9-FC4A-48A1-A2F1-EBFE1E210099}"/>
    <cellStyle name="60% - Ênfase6 7 4" xfId="1051" xr:uid="{8E785F21-2420-4747-AEA9-18D5D7794B2A}"/>
    <cellStyle name="60% - Ênfase6 7 4 2" xfId="2903" xr:uid="{5B0F9D2C-7551-4794-9035-E638E4665E1A}"/>
    <cellStyle name="60% - Ênfase6 7 5" xfId="1976" xr:uid="{96919558-ABE7-4BCE-9D6C-CD6697A9CFFF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3" xfId="2318" xr:uid="{E4ABACD5-5C8D-4C25-B5BF-078D859FC9EE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3" xfId="2490" xr:uid="{56D86371-C934-4D81-BB31-814321B6E9BD}"/>
    <cellStyle name="60% - Ênfase6 8 4" xfId="1071" xr:uid="{11400FF7-6034-4CBA-9410-2ED7C2FB2F85}"/>
    <cellStyle name="60% - Ênfase6 8 4 2" xfId="2923" xr:uid="{BC6EE999-7823-414C-8AEE-2365C4E2200B}"/>
    <cellStyle name="60% - Ênfase6 8 5" xfId="1996" xr:uid="{ABAB4DBD-F89B-48D8-AE37-16E0FAA14594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3" xfId="2338" xr:uid="{78BEB77D-E431-4904-9DBE-CCEEF1A809D4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3" xfId="2735" xr:uid="{AB5AD145-3143-43FD-877D-F2533FC5514C}"/>
    <cellStyle name="60% - Ênfase6 9 4" xfId="1091" xr:uid="{721689C6-DEC5-4FC3-ACC4-C7F37B87D55D}"/>
    <cellStyle name="60% - Ênfase6 9 4 2" xfId="2943" xr:uid="{4A9592F2-AB83-4719-9778-EF69F45AF54A}"/>
    <cellStyle name="60% - Ênfase6 9 5" xfId="2016" xr:uid="{A6FE5587-5F27-4073-8AC6-0F05ED578CA1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3" xfId="2761" xr:uid="{D5E3CC3C-3AF2-4F0F-8767-387327801B58}"/>
    <cellStyle name="Moeda 2 3" xfId="1414" xr:uid="{E18A11C7-0BA6-4464-B54D-B9FBCF8A0A24}"/>
    <cellStyle name="Moeda 2 3 2" xfId="3266" xr:uid="{C54F4AB2-CEED-4DB8-89E0-D822D5AAD322}"/>
    <cellStyle name="Moeda 2 4" xfId="2339" xr:uid="{636AB726-2EA3-44A5-86B3-BB84F927F040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3" xfId="2158" xr:uid="{E5D8CEAE-F977-48BF-A614-F6898B13EEA7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3" xfId="2534" xr:uid="{D1695CDA-8D65-4BC8-ABD8-7207CBE90E91}"/>
    <cellStyle name="Moeda 5" xfId="1092" xr:uid="{825002CC-6326-4646-8669-9F227DCB3449}"/>
    <cellStyle name="Moeda 5 2" xfId="2944" xr:uid="{6206E047-D0D2-44AB-87CE-376BF94F2B9A}"/>
    <cellStyle name="Moeda 6" xfId="2762" xr:uid="{FF68B8DE-F5DD-4AB3-9D71-8E5C51A6BFDC}"/>
    <cellStyle name="Moeda 7" xfId="2017" xr:uid="{4B297EE6-1FE0-4B43-AB8D-AAC13FEC47E6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3" xfId="2340" xr:uid="{8B3BCAE1-0726-4327-B7B5-5C0288C2962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3" xfId="2620" xr:uid="{11B480C6-74F9-4D1B-AB4B-8A9623C529DC}"/>
    <cellStyle name="Normal 10 4" xfId="1093" xr:uid="{FE7715F2-289C-429A-9653-94BB4E0D837D}"/>
    <cellStyle name="Normal 10 4 2" xfId="2945" xr:uid="{F75D653A-CB31-487D-8C29-DB151C0A4CCE}"/>
    <cellStyle name="Normal 10 5" xfId="2018" xr:uid="{979D6D1C-D5F3-46B0-9A59-6C8AA3DF6EB4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3" xfId="2360" xr:uid="{073D886B-EDED-4691-BE5A-1C1111153B6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3" xfId="2675" xr:uid="{474D0A94-DAA9-45FB-943D-E55EB33E10DE}"/>
    <cellStyle name="Normal 11 4" xfId="1113" xr:uid="{4B75BC05-B609-47E1-BA04-9B1C114C3DC4}"/>
    <cellStyle name="Normal 11 4 2" xfId="2965" xr:uid="{08AA2664-36AF-4766-9735-54ECEB107F7C}"/>
    <cellStyle name="Normal 11 5" xfId="2038" xr:uid="{640F88F6-7E1C-47A8-884C-E104179A9DA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3" xfId="2380" xr:uid="{A7907DBB-200E-4341-83F0-C378EF2A88C4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3" xfId="2658" xr:uid="{290E2107-9512-44B9-9BF3-468A424A6EF0}"/>
    <cellStyle name="Normal 12 4" xfId="1133" xr:uid="{BDB8DFFE-9A05-4CEE-8F7C-EBEB114DBF45}"/>
    <cellStyle name="Normal 12 4 2" xfId="2985" xr:uid="{EC2030EC-2948-4577-98E5-0B4B271711ED}"/>
    <cellStyle name="Normal 12 5" xfId="2058" xr:uid="{126134B5-C975-44C8-B0D5-B3DBF1D235D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3" xfId="2400" xr:uid="{10018E62-6210-4EE6-B86E-76E3BCE0894E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3" xfId="2504" xr:uid="{7AAB7B6E-8498-4EAA-A82E-996057CE3406}"/>
    <cellStyle name="Normal 13 4" xfId="1153" xr:uid="{5BBB839E-E2BA-4E8A-9299-47E7B2DB0695}"/>
    <cellStyle name="Normal 13 4 2" xfId="3005" xr:uid="{B03F2813-234F-4819-BDDD-D2FBA0C39A92}"/>
    <cellStyle name="Normal 13 5" xfId="2078" xr:uid="{CA8A4D3B-8821-4F86-B032-F21BA00F60BF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3" xfId="2420" xr:uid="{F5A3D9B1-88F4-4990-9003-941BC5582D1A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3" xfId="2454" xr:uid="{F0AFB4A5-EE13-42B4-8D96-3C7257A8BE7E}"/>
    <cellStyle name="Normal 14 4" xfId="1173" xr:uid="{29B48E3F-BE6A-4CF4-8E26-B553756D9FB2}"/>
    <cellStyle name="Normal 14 4 2" xfId="3025" xr:uid="{5795A64C-05E9-422A-9F43-10C948CB7B4E}"/>
    <cellStyle name="Normal 14 5" xfId="2098" xr:uid="{C90A0426-A83E-4BC0-91C8-509250F0704F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3" xfId="2576" xr:uid="{8B667070-8338-4E41-80CD-18B49F05D603}"/>
    <cellStyle name="Normal 15 4" xfId="1193" xr:uid="{D4D5645C-9689-49AD-B108-526B018AFBB7}"/>
    <cellStyle name="Normal 15 4 2" xfId="3045" xr:uid="{8CD23715-BB22-42D3-8300-215D64B31A88}"/>
    <cellStyle name="Normal 15 5" xfId="2118" xr:uid="{4E0741F9-2082-4556-9955-E55A3060F690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3" xfId="1213" xr:uid="{BA6C4435-3CB7-44F0-8C7D-BFCE2FE14F78}"/>
    <cellStyle name="Normal 16 3 2" xfId="3065" xr:uid="{BC01435B-A6C4-4421-A8FD-D20ACB592003}"/>
    <cellStyle name="Normal 16 4" xfId="2138" xr:uid="{15E52CB0-14C5-4887-A58F-80059C626EA2}"/>
    <cellStyle name="Normal 17" xfId="628" xr:uid="{F79F9B41-3A63-4E4B-BAE0-7247CCE16E0E}"/>
    <cellStyle name="Normal 18" xfId="306" xr:uid="{0C9EC187-A426-4B0A-83BE-5A5B8CD3C21C}"/>
    <cellStyle name="Normal 19" xfId="2763" xr:uid="{A1B4905A-3000-4B5B-97E3-1A025C393BF9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3" xfId="2217" xr:uid="{E528DE2C-3309-4054-BF65-BCF0B7C09C8F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3" xfId="2544" xr:uid="{DCADBC7C-A056-4E3D-A735-214F8C62D415}"/>
    <cellStyle name="Normal 2 2 4" xfId="970" xr:uid="{ECF787B5-BF4F-4FAB-8BD8-EFBFCAB2C884}"/>
    <cellStyle name="Normal 2 2 4 2" xfId="2822" xr:uid="{7FD7F840-00B4-4E77-A4D1-C7E9B7C87941}"/>
    <cellStyle name="Normal 2 2 5" xfId="1895" xr:uid="{0A7C270A-B6F5-4988-A9AF-2BD6F34467EF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3" xfId="2177" xr:uid="{3EC90885-AD6F-4D4C-854C-75DD97E29689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3" xfId="2621" xr:uid="{AC9B7461-76E1-4743-B631-262641116569}"/>
    <cellStyle name="Normal 2 5" xfId="930" xr:uid="{3DDE6217-2CA6-430C-81F8-4C111B641DD5}"/>
    <cellStyle name="Normal 2 5 2" xfId="2782" xr:uid="{365446CA-385C-4BF0-B9A0-5C0E81DFCC3A}"/>
    <cellStyle name="Normal 2 6" xfId="1855" xr:uid="{DF21EEB1-73BD-445D-A6AB-436246E4DE4E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3" xfId="2179" xr:uid="{68F0E395-301D-42D3-8D1B-63664F1275ED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3" xfId="2700" xr:uid="{377925BA-D1C8-4913-8904-8B715EA27BEA}"/>
    <cellStyle name="Normal 3 4" xfId="932" xr:uid="{A4518AA3-0B4A-4C4C-9CDB-C216282C27F8}"/>
    <cellStyle name="Normal 3 4 2" xfId="2784" xr:uid="{8C2602E3-4D55-4B9F-B843-C01E3A1198BB}"/>
    <cellStyle name="Normal 3 5" xfId="1857" xr:uid="{CAE06799-83FA-4245-B75A-BF92A6607E90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3" xfId="2219" xr:uid="{23A36ADC-E5C0-4322-884F-CF88CA6092A6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3" xfId="2641" xr:uid="{E7DE6E84-0371-4AEC-BED8-609BDC2180D6}"/>
    <cellStyle name="Normal 4 4" xfId="972" xr:uid="{9020D08B-0F18-411A-8C85-0AA923664CAD}"/>
    <cellStyle name="Normal 4 4 2" xfId="2824" xr:uid="{C3594061-C353-40F8-816D-94F09401A92B}"/>
    <cellStyle name="Normal 4 5" xfId="1897" xr:uid="{F17DEC98-910A-4A1E-8C56-5462B43029E1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3" xfId="2239" xr:uid="{E1732A52-2E30-4316-9CE1-BFECDE071A32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3" xfId="2575" xr:uid="{727F7DD7-C491-4A6A-923E-F24CB36C42D6}"/>
    <cellStyle name="Normal 5 4" xfId="992" xr:uid="{E225C3B9-16F8-49E8-A80C-323169761A93}"/>
    <cellStyle name="Normal 5 4 2" xfId="2844" xr:uid="{4AB3E9D7-60A8-4A8D-BCED-794794AD8086}"/>
    <cellStyle name="Normal 5 5" xfId="1917" xr:uid="{2725FB8E-EFEE-4F0A-8D54-5E0C80707810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3" xfId="2259" xr:uid="{A07512B1-1A71-479F-A5F8-BAA144005C9F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3" xfId="2705" xr:uid="{FDE2B151-0720-4DAC-8A00-3CBC593AE8C1}"/>
    <cellStyle name="Normal 6 4" xfId="1012" xr:uid="{AA792E8F-109D-449A-8B42-BC9C296096BA}"/>
    <cellStyle name="Normal 6 4 2" xfId="2864" xr:uid="{B2784681-1954-40DB-95F5-3B07B3C87463}"/>
    <cellStyle name="Normal 6 5" xfId="1937" xr:uid="{109E2981-50D6-4A6E-8B50-1FD0FD3846E2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3" xfId="2279" xr:uid="{8A66D583-A615-4957-B57B-3B2CA9A1BD7A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3" xfId="2729" xr:uid="{C130585D-4388-494A-B0DC-82FA7A0D2CE3}"/>
    <cellStyle name="Normal 7 4" xfId="1032" xr:uid="{CDC4513E-3BB3-469B-91B9-81A260661F38}"/>
    <cellStyle name="Normal 7 4 2" xfId="2884" xr:uid="{538A5B1B-A13D-459C-AB74-1F15F6DDB075}"/>
    <cellStyle name="Normal 7 5" xfId="1957" xr:uid="{3836AF32-4054-4477-A913-F2E0F1CB9492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3" xfId="2299" xr:uid="{2E13ABD4-B810-4FB1-97F6-0AC8D9FBE4E9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3" xfId="2683" xr:uid="{429DDE36-B255-4042-B6AF-EE57E02FE228}"/>
    <cellStyle name="Normal 8 4" xfId="1052" xr:uid="{EC2719A3-CBC0-43F3-A2FA-234E400173E0}"/>
    <cellStyle name="Normal 8 4 2" xfId="2904" xr:uid="{4FC2108D-A26A-4B9B-9486-328287F65656}"/>
    <cellStyle name="Normal 8 5" xfId="1977" xr:uid="{155D673F-43AE-483C-BE97-891B946734C1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3" xfId="2319" xr:uid="{75D07AF1-B48C-4732-8C6D-0BD4487B5480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3" xfId="2698" xr:uid="{08F17456-06DE-4D38-87C6-E4B7E892B623}"/>
    <cellStyle name="Normal 9 4" xfId="1072" xr:uid="{8BAB4BB5-CA58-403C-9B33-0976CBB907F4}"/>
    <cellStyle name="Normal 9 4 2" xfId="2924" xr:uid="{3A406444-25C1-4B0D-BCB5-02D9DC384E6E}"/>
    <cellStyle name="Normal 9 5" xfId="1997" xr:uid="{EF8E42E8-EE60-4D16-B985-50F18F030C2F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3" xfId="2341" xr:uid="{1A40BA0C-A241-4B0C-B56C-8332CB042B55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3" xfId="2485" xr:uid="{7A613487-34F0-4498-882B-B315D2C84A2E}"/>
    <cellStyle name="Nota 10 4" xfId="1094" xr:uid="{FDBE98F9-C143-43F8-A660-4246902ACBFA}"/>
    <cellStyle name="Nota 10 4 2" xfId="2946" xr:uid="{BF8F7F12-93FD-4D7B-B0DA-823679419BAC}"/>
    <cellStyle name="Nota 10 5" xfId="2019" xr:uid="{953D803D-2322-451D-A37B-B35D1200F91F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3" xfId="2361" xr:uid="{54D1060D-8795-4F2F-989F-3A457C9EAF53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3" xfId="2648" xr:uid="{76377BB2-41B8-49BF-8EED-DAAA2ED5FDB2}"/>
    <cellStyle name="Nota 11 4" xfId="1114" xr:uid="{1F35C3CC-A611-49EE-AC51-178898DD99B8}"/>
    <cellStyle name="Nota 11 4 2" xfId="2966" xr:uid="{16CA4EE9-9F4A-4CE3-BD77-A7C0376811A2}"/>
    <cellStyle name="Nota 11 5" xfId="2039" xr:uid="{62917E06-02B5-416D-A217-C4BB2B4648C9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3" xfId="2381" xr:uid="{2528A6F8-BDF0-40B7-AC6D-26856E694D80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3" xfId="2486" xr:uid="{21F9B816-175A-40C0-AF16-C1384EAF1B3E}"/>
    <cellStyle name="Nota 12 4" xfId="1134" xr:uid="{AF9E94C3-0227-4D46-87EF-7D309D556A26}"/>
    <cellStyle name="Nota 12 4 2" xfId="2986" xr:uid="{FE1E1A61-E957-44EE-801F-FF09E631101E}"/>
    <cellStyle name="Nota 12 5" xfId="2059" xr:uid="{D8088018-CDA2-4CB2-9875-6BCB3C85E9B7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3" xfId="2401" xr:uid="{58D2FF75-0C77-4753-8F12-EFE35E0EDE27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3" xfId="2724" xr:uid="{6D20535E-FAAE-4D6C-A58A-913C2F533C4C}"/>
    <cellStyle name="Nota 13 4" xfId="1154" xr:uid="{60A2DB97-1151-4665-B0FA-F00A69F47A9B}"/>
    <cellStyle name="Nota 13 4 2" xfId="3006" xr:uid="{4491F586-53BD-4195-942E-7166BAE8EC34}"/>
    <cellStyle name="Nota 13 5" xfId="2079" xr:uid="{C7B37248-7B74-42AD-A73B-DE3A140207F8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3" xfId="2421" xr:uid="{BACA67A7-5A01-4593-A6A5-C00DA28C4B94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3" xfId="2712" xr:uid="{215B8393-EFDD-4753-A4DE-4CE0BB9E1480}"/>
    <cellStyle name="Nota 14 4" xfId="1174" xr:uid="{74D80C52-83F3-44E9-ADFD-AA60B0028C60}"/>
    <cellStyle name="Nota 14 4 2" xfId="3026" xr:uid="{0E73F5A2-F749-4E12-8372-D7C436CCCEF2}"/>
    <cellStyle name="Nota 14 5" xfId="2099" xr:uid="{DDE22055-EF7C-4AE0-A6FE-F4E5D42C5A0C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3" xfId="1194" xr:uid="{B7387EE3-70E7-473B-990C-31622CC3FC32}"/>
    <cellStyle name="Nota 15 3 2" xfId="3046" xr:uid="{8F0B6389-222C-41D8-9DE8-A34B8CD0345D}"/>
    <cellStyle name="Nota 15 4" xfId="2119" xr:uid="{6938586D-0A5A-4A28-BA86-DAE81E9539F8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3" xfId="1214" xr:uid="{BA7F77C1-63A5-4C69-BAA3-69EB30B29D09}"/>
    <cellStyle name="Nota 16 3 2" xfId="3066" xr:uid="{8DEEF008-652D-4192-90B5-8CB983AAA990}"/>
    <cellStyle name="Nota 16 4" xfId="2139" xr:uid="{98880E19-F6E3-417E-8E45-9F0ED6DE8B4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3" xfId="2218" xr:uid="{3F7F196B-CEFC-4848-A8A7-26ABFC789983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3" xfId="2488" xr:uid="{29E4D474-DAA0-4590-8F0A-2F3E59371725}"/>
    <cellStyle name="Nota 2 2 4" xfId="971" xr:uid="{0D2FB7B7-CE70-4B94-B742-77159C822821}"/>
    <cellStyle name="Nota 2 2 4 2" xfId="2823" xr:uid="{34F47A31-AC54-4581-8EBF-1E41C39E986F}"/>
    <cellStyle name="Nota 2 2 5" xfId="1896" xr:uid="{617B6163-8B11-4188-8114-0E54E8175BE4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3" xfId="2178" xr:uid="{A748DEE4-C0D5-464A-86A1-3A16B2716742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3" xfId="2512" xr:uid="{AB05E4E8-EEEC-4FB0-A02B-04B020AA31F5}"/>
    <cellStyle name="Nota 2 5" xfId="931" xr:uid="{E1FF3AC1-E75B-44CA-B1D8-288B88C7E44C}"/>
    <cellStyle name="Nota 2 5 2" xfId="2783" xr:uid="{0C93CFF0-1E27-4333-ABE6-F9FE50398D2E}"/>
    <cellStyle name="Nota 2 6" xfId="1856" xr:uid="{DF3F9403-F851-4717-8F47-0D1044C3C2A2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3" xfId="2180" xr:uid="{96575C90-C9A6-4FF2-BE7F-49700441105E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3" xfId="2493" xr:uid="{083C4E06-2175-4678-A74A-2CC36A4AB062}"/>
    <cellStyle name="Nota 3 4" xfId="933" xr:uid="{F5E88E33-FBCE-45D4-B17E-31A2613963D2}"/>
    <cellStyle name="Nota 3 4 2" xfId="2785" xr:uid="{CE495E8C-8575-4335-B297-101D058D426A}"/>
    <cellStyle name="Nota 3 5" xfId="1858" xr:uid="{903B6CC3-0A7F-42CD-B805-2DCC5CA80ADF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3" xfId="2220" xr:uid="{04912C3C-93DA-4E68-A779-F70A5B27B761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3" xfId="2472" xr:uid="{3D860D58-9F99-4EAA-AE29-965AC8996EB4}"/>
    <cellStyle name="Nota 4 4" xfId="973" xr:uid="{8C67F07E-59F4-40F0-BD59-2F35AE0CB60B}"/>
    <cellStyle name="Nota 4 4 2" xfId="2825" xr:uid="{098FE8B9-8420-4899-8B1A-9B7383BCEF37}"/>
    <cellStyle name="Nota 4 5" xfId="1898" xr:uid="{4CD16D79-EBE4-4494-B9FD-DB369DA99F87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3" xfId="2240" xr:uid="{50BBDF84-9C7D-4D67-A868-CF68AA8C94B9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3" xfId="2462" xr:uid="{8C1DEB96-EAE8-41A0-9BC4-78A194FC46D2}"/>
    <cellStyle name="Nota 5 4" xfId="993" xr:uid="{56624690-506C-409C-B9DA-FDAB3535DBAF}"/>
    <cellStyle name="Nota 5 4 2" xfId="2845" xr:uid="{2DF5D107-EE68-4477-AAAE-F25BF9F5D1FC}"/>
    <cellStyle name="Nota 5 5" xfId="1918" xr:uid="{03512FFE-FA13-4C89-8531-986DE16E107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3" xfId="2260" xr:uid="{1CD38B7B-379B-4E04-BE1D-C6A31DE4BA06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3" xfId="2733" xr:uid="{7859A0DB-45F6-4222-8536-72071D6A7C92}"/>
    <cellStyle name="Nota 6 4" xfId="1013" xr:uid="{5CE73F38-6D6A-42A9-88DC-C7D88D2D6A2C}"/>
    <cellStyle name="Nota 6 4 2" xfId="2865" xr:uid="{E577AEEB-AC66-4D5B-A6A9-20488A3FEEC3}"/>
    <cellStyle name="Nota 6 5" xfId="1938" xr:uid="{4B44E422-B75B-4044-8BC4-F2D3AE36003F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3" xfId="2280" xr:uid="{79443F56-4246-4BC6-9639-E8BD0B15AFF2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3" xfId="2625" xr:uid="{CB4462D9-819B-4CC6-A42D-7BB7FB65F040}"/>
    <cellStyle name="Nota 7 4" xfId="1033" xr:uid="{989BCB13-C0F3-46F7-865F-8E457CBCA673}"/>
    <cellStyle name="Nota 7 4 2" xfId="2885" xr:uid="{954ED0EA-02BE-4A54-A5E1-F30F5603E864}"/>
    <cellStyle name="Nota 7 5" xfId="1958" xr:uid="{9386E181-9675-46D1-BD59-896B56A44246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3" xfId="2300" xr:uid="{9E8DBEA0-B6F9-4090-A283-8BF8C5A48E46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3" xfId="2470" xr:uid="{F95D1692-6EF9-49E9-AB5B-8AAFDFE0BC29}"/>
    <cellStyle name="Nota 8 4" xfId="1053" xr:uid="{02BFC272-D1B7-41FA-BEE1-CC4F0EC587BE}"/>
    <cellStyle name="Nota 8 4 2" xfId="2905" xr:uid="{BBB1C3A2-7E71-4801-8404-B8CF0909C4BA}"/>
    <cellStyle name="Nota 8 5" xfId="1978" xr:uid="{F3212D74-6ABD-40F5-91B2-AF10B1CBA117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3" xfId="2320" xr:uid="{A45F933D-85AA-401B-9193-BC29BBE597B0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3" xfId="2499" xr:uid="{CBF4FCFA-2156-4B98-A895-B756876260A5}"/>
    <cellStyle name="Nota 9 4" xfId="1073" xr:uid="{8AA7F144-D713-40F8-8236-DDA05998DADD}"/>
    <cellStyle name="Nota 9 4 2" xfId="2925" xr:uid="{E4DCBDB7-30E2-419C-8370-5808F9D60657}"/>
    <cellStyle name="Nota 9 5" xfId="1998" xr:uid="{0A785791-0797-4C48-9CC9-16460CF3BAD1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114A-6DDC-4501-BCF8-C8423F966AE5}">
  <sheetPr>
    <tabColor theme="8" tint="-0.249977111117893"/>
  </sheetPr>
  <dimension ref="A1:AR50"/>
  <sheetViews>
    <sheetView workbookViewId="0">
      <selection activeCell="C9" sqref="C9"/>
    </sheetView>
  </sheetViews>
  <sheetFormatPr defaultColWidth="9.109375" defaultRowHeight="12"/>
  <cols>
    <col min="1" max="1" width="31.109375" style="186" customWidth="1"/>
    <col min="2" max="2" width="14.33203125" style="221" bestFit="1" customWidth="1"/>
    <col min="3" max="3" width="8.33203125" style="186" customWidth="1"/>
    <col min="4" max="4" width="9.109375" style="186"/>
    <col min="5" max="5" width="8.44140625" style="186" customWidth="1"/>
    <col min="6" max="6" width="9.109375" style="186"/>
    <col min="7" max="7" width="10.33203125" style="186" customWidth="1"/>
    <col min="8" max="9" width="10.6640625" style="186" customWidth="1"/>
    <col min="10" max="10" width="12.33203125" style="186" customWidth="1"/>
    <col min="11" max="20" width="10.6640625" style="186" customWidth="1"/>
    <col min="21" max="16384" width="9.109375" style="186"/>
  </cols>
  <sheetData>
    <row r="1" spans="1:44" ht="12.6" thickBot="1"/>
    <row r="2" spans="1:44" ht="12.6" thickBot="1">
      <c r="A2" s="253" t="s">
        <v>338</v>
      </c>
      <c r="B2" s="254"/>
      <c r="C2" s="254"/>
      <c r="D2" s="255"/>
      <c r="E2" s="263">
        <v>1</v>
      </c>
      <c r="F2" s="263"/>
      <c r="G2" s="263">
        <v>2</v>
      </c>
      <c r="H2" s="263"/>
      <c r="I2" s="263">
        <v>6</v>
      </c>
      <c r="J2" s="263"/>
      <c r="K2" s="263">
        <v>7</v>
      </c>
      <c r="L2" s="263"/>
      <c r="M2" s="263">
        <v>8</v>
      </c>
      <c r="N2" s="263"/>
      <c r="O2" s="263">
        <v>9</v>
      </c>
      <c r="P2" s="263"/>
      <c r="Q2" s="263">
        <v>10</v>
      </c>
      <c r="R2" s="263"/>
      <c r="S2" s="263">
        <v>13</v>
      </c>
      <c r="T2" s="263"/>
      <c r="U2" s="263">
        <v>14</v>
      </c>
      <c r="V2" s="263"/>
      <c r="W2" s="263">
        <v>15</v>
      </c>
      <c r="X2" s="263"/>
      <c r="Y2" s="263">
        <v>16</v>
      </c>
      <c r="Z2" s="263"/>
      <c r="AA2" s="263">
        <v>17</v>
      </c>
      <c r="AB2" s="263"/>
      <c r="AC2" s="263">
        <v>20</v>
      </c>
      <c r="AD2" s="263"/>
      <c r="AE2" s="259">
        <v>22</v>
      </c>
      <c r="AF2" s="259"/>
      <c r="AG2" s="259">
        <v>23</v>
      </c>
      <c r="AH2" s="259"/>
      <c r="AI2" s="259">
        <v>24</v>
      </c>
      <c r="AJ2" s="259"/>
      <c r="AK2" s="259">
        <v>27</v>
      </c>
      <c r="AL2" s="259"/>
      <c r="AM2" s="259">
        <v>28</v>
      </c>
      <c r="AN2" s="259"/>
      <c r="AO2" s="259">
        <v>29</v>
      </c>
      <c r="AP2" s="259"/>
      <c r="AQ2" s="259">
        <v>30</v>
      </c>
      <c r="AR2" s="259"/>
    </row>
    <row r="3" spans="1:44">
      <c r="A3" s="187" t="s">
        <v>1</v>
      </c>
      <c r="B3" s="187" t="s">
        <v>2</v>
      </c>
      <c r="C3" s="187" t="s">
        <v>3</v>
      </c>
      <c r="D3" s="188" t="s">
        <v>4</v>
      </c>
      <c r="E3" s="189" t="s">
        <v>2</v>
      </c>
      <c r="F3" s="190" t="s">
        <v>5</v>
      </c>
      <c r="G3" s="189" t="s">
        <v>2</v>
      </c>
      <c r="H3" s="190" t="s">
        <v>5</v>
      </c>
      <c r="I3" s="189" t="s">
        <v>2</v>
      </c>
      <c r="J3" s="190" t="s">
        <v>5</v>
      </c>
      <c r="K3" s="189" t="s">
        <v>2</v>
      </c>
      <c r="L3" s="190" t="s">
        <v>5</v>
      </c>
      <c r="M3" s="189" t="s">
        <v>2</v>
      </c>
      <c r="N3" s="190" t="s">
        <v>5</v>
      </c>
      <c r="O3" s="189" t="s">
        <v>2</v>
      </c>
      <c r="P3" s="190" t="s">
        <v>5</v>
      </c>
      <c r="Q3" s="189" t="s">
        <v>2</v>
      </c>
      <c r="R3" s="190" t="s">
        <v>5</v>
      </c>
      <c r="S3" s="189" t="s">
        <v>2</v>
      </c>
      <c r="T3" s="190" t="s">
        <v>5</v>
      </c>
      <c r="U3" s="189" t="s">
        <v>2</v>
      </c>
      <c r="V3" s="190" t="s">
        <v>5</v>
      </c>
      <c r="W3" s="189" t="s">
        <v>2</v>
      </c>
      <c r="X3" s="190" t="s">
        <v>5</v>
      </c>
      <c r="Y3" s="189" t="s">
        <v>2</v>
      </c>
      <c r="Z3" s="190" t="s">
        <v>5</v>
      </c>
      <c r="AA3" s="189" t="s">
        <v>2</v>
      </c>
      <c r="AB3" s="190" t="s">
        <v>5</v>
      </c>
      <c r="AC3" s="189" t="s">
        <v>2</v>
      </c>
      <c r="AD3" s="190" t="s">
        <v>5</v>
      </c>
      <c r="AE3" s="189" t="s">
        <v>2</v>
      </c>
      <c r="AF3" s="190" t="s">
        <v>5</v>
      </c>
      <c r="AG3" s="189" t="s">
        <v>2</v>
      </c>
      <c r="AH3" s="190" t="s">
        <v>5</v>
      </c>
      <c r="AI3" s="189" t="s">
        <v>2</v>
      </c>
      <c r="AJ3" s="190" t="s">
        <v>5</v>
      </c>
      <c r="AK3" s="189" t="s">
        <v>2</v>
      </c>
      <c r="AL3" s="190" t="s">
        <v>5</v>
      </c>
      <c r="AM3" s="189" t="s">
        <v>2</v>
      </c>
      <c r="AN3" s="190" t="s">
        <v>5</v>
      </c>
      <c r="AO3" s="189" t="s">
        <v>2</v>
      </c>
      <c r="AP3" s="190" t="s">
        <v>5</v>
      </c>
      <c r="AQ3" s="189" t="s">
        <v>2</v>
      </c>
      <c r="AR3" s="190" t="s">
        <v>5</v>
      </c>
    </row>
    <row r="4" spans="1:44">
      <c r="A4" s="191" t="s">
        <v>55</v>
      </c>
      <c r="B4" s="192">
        <v>72</v>
      </c>
      <c r="C4" s="192">
        <f>F4+H4+J4+L4+N4+P4+R4+T4+V4+X4+Z4+AB4+AD4+AF4+AH4+AJ4+AL4+AN4+AP4+AR4</f>
        <v>20</v>
      </c>
      <c r="D4" s="193">
        <f t="shared" ref="D4:D9" si="0">C4/B4</f>
        <v>0.27777777777777779</v>
      </c>
      <c r="E4" s="194">
        <v>4</v>
      </c>
      <c r="F4" s="194">
        <v>2</v>
      </c>
      <c r="G4" s="194">
        <v>4</v>
      </c>
      <c r="H4" s="194">
        <v>0</v>
      </c>
      <c r="I4" s="194">
        <v>4</v>
      </c>
      <c r="J4" s="194">
        <v>0</v>
      </c>
      <c r="K4" s="194">
        <v>4</v>
      </c>
      <c r="L4" s="194">
        <v>0</v>
      </c>
      <c r="M4" s="194">
        <v>4</v>
      </c>
      <c r="N4" s="194">
        <v>0</v>
      </c>
      <c r="O4" s="194">
        <v>4</v>
      </c>
      <c r="P4" s="194">
        <v>2</v>
      </c>
      <c r="Q4" s="194">
        <v>4</v>
      </c>
      <c r="R4" s="194">
        <v>0</v>
      </c>
      <c r="S4" s="194">
        <v>4</v>
      </c>
      <c r="T4" s="194">
        <v>0</v>
      </c>
      <c r="U4" s="194">
        <v>4</v>
      </c>
      <c r="V4" s="194">
        <v>1</v>
      </c>
      <c r="W4" s="194">
        <v>4</v>
      </c>
      <c r="X4" s="194">
        <v>0</v>
      </c>
      <c r="Y4" s="194">
        <v>4</v>
      </c>
      <c r="Z4" s="194">
        <v>3</v>
      </c>
      <c r="AA4" s="194">
        <v>4</v>
      </c>
      <c r="AB4" s="194">
        <v>0</v>
      </c>
      <c r="AC4" s="194">
        <v>4</v>
      </c>
      <c r="AD4" s="194">
        <v>1</v>
      </c>
      <c r="AE4" s="194">
        <v>4</v>
      </c>
      <c r="AF4" s="195">
        <v>3</v>
      </c>
      <c r="AG4" s="194">
        <v>4</v>
      </c>
      <c r="AH4" s="194">
        <v>1</v>
      </c>
      <c r="AI4" s="194">
        <v>4</v>
      </c>
      <c r="AJ4" s="194">
        <v>0</v>
      </c>
      <c r="AK4" s="194">
        <v>4</v>
      </c>
      <c r="AL4" s="194">
        <v>3</v>
      </c>
      <c r="AM4" s="194">
        <v>4</v>
      </c>
      <c r="AN4" s="194">
        <v>2</v>
      </c>
      <c r="AO4" s="194">
        <v>4</v>
      </c>
      <c r="AP4" s="194">
        <v>2</v>
      </c>
      <c r="AQ4" s="194">
        <v>4</v>
      </c>
      <c r="AR4" s="194">
        <v>0</v>
      </c>
    </row>
    <row r="5" spans="1:44">
      <c r="A5" s="191" t="s">
        <v>6</v>
      </c>
      <c r="B5" s="192">
        <v>39</v>
      </c>
      <c r="C5" s="192">
        <f t="shared" ref="C5:C8" si="1">F5+H5+J5+L5+N5+P5+R5+T5+V5+X5+Z5+AB5+AD5+AF5+AH5+AJ5+AL5+AN5+AP5+AR5</f>
        <v>11</v>
      </c>
      <c r="D5" s="193">
        <f t="shared" si="0"/>
        <v>0.28205128205128205</v>
      </c>
      <c r="E5" s="194">
        <v>2</v>
      </c>
      <c r="F5" s="194">
        <v>0</v>
      </c>
      <c r="G5" s="194">
        <v>2</v>
      </c>
      <c r="H5" s="194">
        <v>0</v>
      </c>
      <c r="I5" s="194">
        <v>2</v>
      </c>
      <c r="J5" s="194">
        <v>0</v>
      </c>
      <c r="K5" s="194">
        <v>2</v>
      </c>
      <c r="L5" s="194">
        <v>0</v>
      </c>
      <c r="M5" s="194">
        <v>2</v>
      </c>
      <c r="N5" s="194">
        <v>0</v>
      </c>
      <c r="O5" s="194">
        <v>2</v>
      </c>
      <c r="P5" s="194">
        <v>0</v>
      </c>
      <c r="Q5" s="194">
        <v>2</v>
      </c>
      <c r="R5" s="194">
        <v>0</v>
      </c>
      <c r="S5" s="194">
        <v>2</v>
      </c>
      <c r="T5" s="194">
        <v>1</v>
      </c>
      <c r="U5" s="194">
        <v>2</v>
      </c>
      <c r="V5" s="194">
        <v>0</v>
      </c>
      <c r="W5" s="194">
        <v>2</v>
      </c>
      <c r="X5" s="194">
        <v>1</v>
      </c>
      <c r="Y5" s="194">
        <v>2</v>
      </c>
      <c r="Z5" s="194">
        <v>4</v>
      </c>
      <c r="AA5" s="194">
        <v>2</v>
      </c>
      <c r="AB5" s="194">
        <v>0</v>
      </c>
      <c r="AC5" s="194">
        <v>2</v>
      </c>
      <c r="AD5" s="194">
        <v>1</v>
      </c>
      <c r="AE5" s="194">
        <v>2</v>
      </c>
      <c r="AF5" s="195">
        <v>1</v>
      </c>
      <c r="AG5" s="194">
        <v>2</v>
      </c>
      <c r="AH5" s="194">
        <v>1</v>
      </c>
      <c r="AI5" s="194">
        <v>2</v>
      </c>
      <c r="AJ5" s="194">
        <v>0</v>
      </c>
      <c r="AK5" s="194">
        <v>2</v>
      </c>
      <c r="AL5" s="194">
        <v>1</v>
      </c>
      <c r="AM5" s="194">
        <v>2</v>
      </c>
      <c r="AN5" s="194">
        <v>1</v>
      </c>
      <c r="AO5" s="194">
        <v>2</v>
      </c>
      <c r="AP5" s="194">
        <v>0</v>
      </c>
      <c r="AQ5" s="194">
        <v>2</v>
      </c>
      <c r="AR5" s="194">
        <v>0</v>
      </c>
    </row>
    <row r="6" spans="1:44">
      <c r="A6" s="191" t="s">
        <v>7</v>
      </c>
      <c r="B6" s="192">
        <v>44</v>
      </c>
      <c r="C6" s="192">
        <f t="shared" si="1"/>
        <v>3</v>
      </c>
      <c r="D6" s="193">
        <f t="shared" si="0"/>
        <v>6.8181818181818177E-2</v>
      </c>
      <c r="E6" s="194">
        <v>3</v>
      </c>
      <c r="F6" s="194">
        <v>0</v>
      </c>
      <c r="G6" s="194">
        <v>3</v>
      </c>
      <c r="H6" s="194">
        <v>0</v>
      </c>
      <c r="I6" s="194">
        <v>3</v>
      </c>
      <c r="J6" s="194">
        <v>0</v>
      </c>
      <c r="K6" s="194">
        <v>3</v>
      </c>
      <c r="L6" s="194">
        <v>0</v>
      </c>
      <c r="M6" s="194">
        <v>3</v>
      </c>
      <c r="N6" s="194">
        <v>0</v>
      </c>
      <c r="O6" s="194">
        <v>3</v>
      </c>
      <c r="P6" s="194">
        <v>0</v>
      </c>
      <c r="Q6" s="194">
        <v>3</v>
      </c>
      <c r="R6" s="194">
        <v>0</v>
      </c>
      <c r="S6" s="194">
        <v>3</v>
      </c>
      <c r="T6" s="194">
        <v>0</v>
      </c>
      <c r="U6" s="194">
        <v>3</v>
      </c>
      <c r="V6" s="194">
        <v>0</v>
      </c>
      <c r="W6" s="194">
        <v>3</v>
      </c>
      <c r="X6" s="194">
        <v>0</v>
      </c>
      <c r="Y6" s="194">
        <v>3</v>
      </c>
      <c r="Z6" s="194">
        <v>1</v>
      </c>
      <c r="AA6" s="194">
        <v>3</v>
      </c>
      <c r="AB6" s="194">
        <v>0</v>
      </c>
      <c r="AC6" s="194">
        <v>3</v>
      </c>
      <c r="AD6" s="194">
        <v>0</v>
      </c>
      <c r="AE6" s="194">
        <v>3</v>
      </c>
      <c r="AF6" s="195">
        <v>0</v>
      </c>
      <c r="AG6" s="194">
        <v>3</v>
      </c>
      <c r="AH6" s="194">
        <v>0</v>
      </c>
      <c r="AI6" s="194">
        <v>3</v>
      </c>
      <c r="AJ6" s="194">
        <v>1</v>
      </c>
      <c r="AK6" s="194">
        <v>3</v>
      </c>
      <c r="AL6" s="194">
        <v>0</v>
      </c>
      <c r="AM6" s="194">
        <v>3</v>
      </c>
      <c r="AN6" s="194">
        <v>1</v>
      </c>
      <c r="AO6" s="194">
        <v>3</v>
      </c>
      <c r="AP6" s="194">
        <v>0</v>
      </c>
      <c r="AQ6" s="194">
        <v>3</v>
      </c>
      <c r="AR6" s="194">
        <v>0</v>
      </c>
    </row>
    <row r="7" spans="1:44">
      <c r="A7" s="191" t="s">
        <v>9</v>
      </c>
      <c r="B7" s="192">
        <v>37</v>
      </c>
      <c r="C7" s="192">
        <f t="shared" si="1"/>
        <v>17</v>
      </c>
      <c r="D7" s="193">
        <f t="shared" si="0"/>
        <v>0.45945945945945948</v>
      </c>
      <c r="E7" s="194">
        <v>2</v>
      </c>
      <c r="F7" s="194">
        <v>0</v>
      </c>
      <c r="G7" s="194">
        <v>2</v>
      </c>
      <c r="H7" s="194">
        <v>0</v>
      </c>
      <c r="I7" s="194">
        <v>2</v>
      </c>
      <c r="J7" s="194">
        <v>1</v>
      </c>
      <c r="K7" s="194">
        <v>2</v>
      </c>
      <c r="L7" s="194">
        <v>0</v>
      </c>
      <c r="M7" s="194">
        <v>2</v>
      </c>
      <c r="N7" s="194">
        <v>0</v>
      </c>
      <c r="O7" s="194">
        <v>2</v>
      </c>
      <c r="P7" s="194">
        <v>2</v>
      </c>
      <c r="Q7" s="194">
        <v>2</v>
      </c>
      <c r="R7" s="194">
        <v>2</v>
      </c>
      <c r="S7" s="194">
        <v>2</v>
      </c>
      <c r="T7" s="194">
        <v>1</v>
      </c>
      <c r="U7" s="194">
        <v>2</v>
      </c>
      <c r="V7" s="194">
        <v>1</v>
      </c>
      <c r="W7" s="194">
        <v>2</v>
      </c>
      <c r="X7" s="194">
        <v>1</v>
      </c>
      <c r="Y7" s="194">
        <v>2</v>
      </c>
      <c r="Z7" s="194">
        <v>0</v>
      </c>
      <c r="AA7" s="194">
        <v>2</v>
      </c>
      <c r="AB7" s="194">
        <v>0</v>
      </c>
      <c r="AC7" s="194">
        <v>2</v>
      </c>
      <c r="AD7" s="194">
        <v>0</v>
      </c>
      <c r="AE7" s="194">
        <v>2</v>
      </c>
      <c r="AF7" s="195">
        <v>1</v>
      </c>
      <c r="AG7" s="194">
        <v>2</v>
      </c>
      <c r="AH7" s="194">
        <v>1</v>
      </c>
      <c r="AI7" s="194">
        <v>2</v>
      </c>
      <c r="AJ7" s="194">
        <v>1</v>
      </c>
      <c r="AK7" s="194">
        <v>2</v>
      </c>
      <c r="AL7" s="194">
        <v>1</v>
      </c>
      <c r="AM7" s="194">
        <v>2</v>
      </c>
      <c r="AN7" s="194">
        <v>5</v>
      </c>
      <c r="AO7" s="194">
        <v>2</v>
      </c>
      <c r="AP7" s="194">
        <v>0</v>
      </c>
      <c r="AQ7" s="194">
        <v>2</v>
      </c>
      <c r="AR7" s="194">
        <v>0</v>
      </c>
    </row>
    <row r="8" spans="1:44">
      <c r="A8" s="191" t="s">
        <v>10</v>
      </c>
      <c r="B8" s="192">
        <v>22</v>
      </c>
      <c r="C8" s="192">
        <f t="shared" si="1"/>
        <v>22</v>
      </c>
      <c r="D8" s="193">
        <f t="shared" si="0"/>
        <v>1</v>
      </c>
      <c r="E8" s="194">
        <v>2</v>
      </c>
      <c r="F8" s="194">
        <v>0</v>
      </c>
      <c r="G8" s="194">
        <v>2</v>
      </c>
      <c r="H8" s="194">
        <v>1</v>
      </c>
      <c r="I8" s="194">
        <v>1</v>
      </c>
      <c r="J8" s="194">
        <v>0</v>
      </c>
      <c r="K8" s="194">
        <v>1</v>
      </c>
      <c r="L8" s="194">
        <v>3</v>
      </c>
      <c r="M8" s="194">
        <v>1</v>
      </c>
      <c r="N8" s="194">
        <v>2</v>
      </c>
      <c r="O8" s="194">
        <v>1</v>
      </c>
      <c r="P8" s="194">
        <v>1</v>
      </c>
      <c r="Q8" s="194">
        <v>1</v>
      </c>
      <c r="R8" s="194">
        <v>1</v>
      </c>
      <c r="S8" s="194">
        <v>1</v>
      </c>
      <c r="T8" s="194">
        <v>3</v>
      </c>
      <c r="U8" s="194">
        <v>1</v>
      </c>
      <c r="V8" s="194">
        <v>0</v>
      </c>
      <c r="W8" s="194">
        <v>1</v>
      </c>
      <c r="X8" s="194">
        <v>2</v>
      </c>
      <c r="Y8" s="194">
        <v>1</v>
      </c>
      <c r="Z8" s="194">
        <v>0</v>
      </c>
      <c r="AA8" s="194">
        <v>1</v>
      </c>
      <c r="AB8" s="194">
        <v>0</v>
      </c>
      <c r="AC8" s="194">
        <v>1</v>
      </c>
      <c r="AD8" s="194">
        <v>3</v>
      </c>
      <c r="AE8" s="194">
        <v>1</v>
      </c>
      <c r="AF8" s="195">
        <v>1</v>
      </c>
      <c r="AG8" s="194">
        <v>1</v>
      </c>
      <c r="AH8" s="195">
        <v>1</v>
      </c>
      <c r="AI8" s="194">
        <v>1</v>
      </c>
      <c r="AJ8" s="195">
        <v>0</v>
      </c>
      <c r="AK8" s="194">
        <v>1</v>
      </c>
      <c r="AL8" s="195">
        <v>2</v>
      </c>
      <c r="AM8" s="194">
        <v>1</v>
      </c>
      <c r="AN8" s="195">
        <v>1</v>
      </c>
      <c r="AO8" s="194">
        <v>1</v>
      </c>
      <c r="AP8" s="195">
        <v>1</v>
      </c>
      <c r="AQ8" s="194">
        <v>1</v>
      </c>
      <c r="AR8" s="195">
        <v>0</v>
      </c>
    </row>
    <row r="9" spans="1:44">
      <c r="A9" s="196" t="s">
        <v>11</v>
      </c>
      <c r="B9" s="197">
        <f>SUM(B4:B8)</f>
        <v>214</v>
      </c>
      <c r="C9" s="197">
        <f>SUM(C4:C8)</f>
        <v>73</v>
      </c>
      <c r="D9" s="198">
        <f t="shared" si="0"/>
        <v>0.34112149532710279</v>
      </c>
      <c r="E9" s="185">
        <f>SUM(E4:E8)</f>
        <v>13</v>
      </c>
      <c r="F9" s="185">
        <f>SUM(F4:F8)</f>
        <v>2</v>
      </c>
      <c r="G9" s="185">
        <f>SUM(G4:G8)</f>
        <v>13</v>
      </c>
      <c r="H9" s="185">
        <f t="shared" ref="H9:Z9" si="2">SUM(H4:H8)</f>
        <v>1</v>
      </c>
      <c r="I9" s="185">
        <f t="shared" si="2"/>
        <v>12</v>
      </c>
      <c r="J9" s="185">
        <f t="shared" si="2"/>
        <v>1</v>
      </c>
      <c r="K9" s="185">
        <f t="shared" si="2"/>
        <v>12</v>
      </c>
      <c r="L9" s="185">
        <f t="shared" si="2"/>
        <v>3</v>
      </c>
      <c r="M9" s="185">
        <f t="shared" si="2"/>
        <v>12</v>
      </c>
      <c r="N9" s="185">
        <f t="shared" si="2"/>
        <v>2</v>
      </c>
      <c r="O9" s="185">
        <f t="shared" si="2"/>
        <v>12</v>
      </c>
      <c r="P9" s="185">
        <f t="shared" si="2"/>
        <v>5</v>
      </c>
      <c r="Q9" s="185">
        <f t="shared" si="2"/>
        <v>12</v>
      </c>
      <c r="R9" s="185">
        <f t="shared" si="2"/>
        <v>3</v>
      </c>
      <c r="S9" s="185">
        <f t="shared" si="2"/>
        <v>12</v>
      </c>
      <c r="T9" s="185">
        <f t="shared" si="2"/>
        <v>5</v>
      </c>
      <c r="U9" s="185">
        <f t="shared" si="2"/>
        <v>12</v>
      </c>
      <c r="V9" s="185">
        <f t="shared" si="2"/>
        <v>2</v>
      </c>
      <c r="W9" s="185">
        <f t="shared" si="2"/>
        <v>12</v>
      </c>
      <c r="X9" s="185">
        <f t="shared" si="2"/>
        <v>4</v>
      </c>
      <c r="Y9" s="185">
        <f t="shared" si="2"/>
        <v>12</v>
      </c>
      <c r="Z9" s="185">
        <f t="shared" si="2"/>
        <v>8</v>
      </c>
      <c r="AA9" s="185">
        <f>SUM(AA4:AA8)</f>
        <v>12</v>
      </c>
      <c r="AB9" s="185">
        <f t="shared" ref="AB9:AD9" si="3">SUM(AB4:AB8)</f>
        <v>0</v>
      </c>
      <c r="AC9" s="185">
        <f>SUM(AC4:AC8)</f>
        <v>12</v>
      </c>
      <c r="AD9" s="185">
        <f t="shared" si="3"/>
        <v>5</v>
      </c>
      <c r="AE9" s="185">
        <f>SUM(AE4:AE8)</f>
        <v>12</v>
      </c>
      <c r="AF9" s="185">
        <f t="shared" ref="AF9:AH9" si="4">SUM(AF4:AF8)</f>
        <v>6</v>
      </c>
      <c r="AG9" s="185">
        <f>SUM(AG4:AG8)</f>
        <v>12</v>
      </c>
      <c r="AH9" s="185">
        <f t="shared" si="4"/>
        <v>4</v>
      </c>
      <c r="AI9" s="185">
        <f>SUM(AI4:AI8)</f>
        <v>12</v>
      </c>
      <c r="AJ9" s="185">
        <f t="shared" ref="AJ9:AL9" si="5">SUM(AJ4:AJ8)</f>
        <v>2</v>
      </c>
      <c r="AK9" s="185">
        <f>SUM(AK4:AK8)</f>
        <v>12</v>
      </c>
      <c r="AL9" s="185">
        <f t="shared" si="5"/>
        <v>7</v>
      </c>
      <c r="AM9" s="185">
        <f>SUM(AM4:AM8)</f>
        <v>12</v>
      </c>
      <c r="AN9" s="185">
        <f t="shared" ref="AN9" si="6">SUM(AN4:AN8)</f>
        <v>10</v>
      </c>
      <c r="AO9" s="185">
        <f>SUM(AO4:AO8)</f>
        <v>12</v>
      </c>
      <c r="AP9" s="185">
        <f>SUM(AP4:AP8)</f>
        <v>3</v>
      </c>
      <c r="AQ9" s="185">
        <f>SUM(AQ4:AQ8)</f>
        <v>12</v>
      </c>
      <c r="AR9" s="185">
        <f t="shared" ref="AR9" si="7">SUM(AR4:AR8)</f>
        <v>0</v>
      </c>
    </row>
    <row r="10" spans="1:44" s="184" customFormat="1">
      <c r="A10" s="37" t="s">
        <v>12</v>
      </c>
      <c r="B10" s="39">
        <f>C9+G25</f>
        <v>243</v>
      </c>
      <c r="C10" s="199"/>
      <c r="D10" s="200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</row>
    <row r="11" spans="1:44">
      <c r="A11" s="37" t="s">
        <v>13</v>
      </c>
      <c r="B11" s="39">
        <f>B10-B9</f>
        <v>29</v>
      </c>
      <c r="C11" s="201"/>
    </row>
    <row r="12" spans="1:44" ht="12.6" thickBot="1"/>
    <row r="13" spans="1:44" ht="15" thickBot="1">
      <c r="A13" s="256" t="s">
        <v>342</v>
      </c>
      <c r="B13" s="257"/>
      <c r="C13" s="257"/>
      <c r="D13" s="257"/>
      <c r="E13" s="257"/>
      <c r="F13" s="257"/>
      <c r="G13" s="258"/>
    </row>
    <row r="14" spans="1:44">
      <c r="A14" s="202" t="s">
        <v>14</v>
      </c>
      <c r="B14" s="203" t="s">
        <v>55</v>
      </c>
      <c r="C14" s="204" t="s">
        <v>6</v>
      </c>
      <c r="D14" s="204" t="s">
        <v>7</v>
      </c>
      <c r="E14" s="204" t="s">
        <v>9</v>
      </c>
      <c r="F14" s="204" t="s">
        <v>10</v>
      </c>
      <c r="G14" s="204" t="s">
        <v>11</v>
      </c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</row>
    <row r="15" spans="1:44" ht="15" customHeight="1">
      <c r="A15" s="206" t="s">
        <v>15</v>
      </c>
      <c r="B15" s="207">
        <v>3</v>
      </c>
      <c r="C15" s="207">
        <v>1</v>
      </c>
      <c r="D15" s="207">
        <v>1</v>
      </c>
      <c r="E15" s="207">
        <v>6</v>
      </c>
      <c r="F15" s="207">
        <v>11</v>
      </c>
      <c r="G15" s="208">
        <f>SUM(B15:F15)</f>
        <v>22</v>
      </c>
    </row>
    <row r="16" spans="1:44" ht="15" customHeight="1">
      <c r="A16" s="206" t="s">
        <v>16</v>
      </c>
      <c r="B16" s="207">
        <v>2</v>
      </c>
      <c r="C16" s="207">
        <v>3</v>
      </c>
      <c r="D16" s="207">
        <v>0</v>
      </c>
      <c r="E16" s="207">
        <v>10</v>
      </c>
      <c r="F16" s="207">
        <v>6</v>
      </c>
      <c r="G16" s="208">
        <f>SUM(B16:F16)</f>
        <v>21</v>
      </c>
      <c r="K16" s="205"/>
      <c r="L16" s="205"/>
      <c r="M16" s="205"/>
    </row>
    <row r="17" spans="1:16" ht="15" customHeight="1">
      <c r="A17" s="206" t="s">
        <v>17</v>
      </c>
      <c r="B17" s="207">
        <v>36</v>
      </c>
      <c r="C17" s="207">
        <v>0</v>
      </c>
      <c r="D17" s="207">
        <v>1</v>
      </c>
      <c r="E17" s="207">
        <v>0</v>
      </c>
      <c r="F17" s="207">
        <v>2</v>
      </c>
      <c r="G17" s="208">
        <f>SUM(B17:F17)</f>
        <v>39</v>
      </c>
      <c r="J17" s="209"/>
    </row>
    <row r="18" spans="1:16" ht="15" customHeight="1">
      <c r="A18" s="206" t="s">
        <v>18</v>
      </c>
      <c r="B18" s="207">
        <v>0</v>
      </c>
      <c r="C18" s="207">
        <v>1</v>
      </c>
      <c r="D18" s="207">
        <v>0</v>
      </c>
      <c r="E18" s="207">
        <v>0</v>
      </c>
      <c r="F18" s="207">
        <v>2</v>
      </c>
      <c r="G18" s="208">
        <f>SUM(B18:F18)</f>
        <v>3</v>
      </c>
    </row>
    <row r="19" spans="1:16" ht="15" customHeight="1">
      <c r="A19" s="203" t="s">
        <v>19</v>
      </c>
      <c r="B19" s="203" t="s">
        <v>55</v>
      </c>
      <c r="C19" s="204" t="s">
        <v>6</v>
      </c>
      <c r="D19" s="204" t="s">
        <v>7</v>
      </c>
      <c r="E19" s="204" t="s">
        <v>9</v>
      </c>
      <c r="F19" s="204" t="s">
        <v>10</v>
      </c>
      <c r="G19" s="204" t="s">
        <v>11</v>
      </c>
    </row>
    <row r="20" spans="1:16" ht="15" customHeight="1">
      <c r="A20" s="206" t="s">
        <v>51</v>
      </c>
      <c r="B20" s="207">
        <v>238</v>
      </c>
      <c r="C20" s="207">
        <v>181</v>
      </c>
      <c r="D20" s="207">
        <v>241</v>
      </c>
      <c r="E20" s="207">
        <v>149</v>
      </c>
      <c r="F20" s="211">
        <v>85</v>
      </c>
      <c r="G20" s="208">
        <f t="shared" ref="G20:G28" si="8">SUM(B20:F20)</f>
        <v>894</v>
      </c>
      <c r="P20" s="54"/>
    </row>
    <row r="21" spans="1:16" ht="15" customHeight="1">
      <c r="A21" s="206" t="s">
        <v>21</v>
      </c>
      <c r="B21" s="207">
        <v>62</v>
      </c>
      <c r="C21" s="207">
        <v>40</v>
      </c>
      <c r="D21" s="207">
        <v>25</v>
      </c>
      <c r="E21" s="207">
        <v>44</v>
      </c>
      <c r="F21" s="211">
        <v>27</v>
      </c>
      <c r="G21" s="208">
        <f t="shared" si="8"/>
        <v>198</v>
      </c>
      <c r="J21" s="209"/>
    </row>
    <row r="22" spans="1:16" s="213" customFormat="1" ht="15" customHeight="1">
      <c r="A22" s="206" t="s">
        <v>22</v>
      </c>
      <c r="B22" s="207">
        <v>25</v>
      </c>
      <c r="C22" s="207">
        <v>7</v>
      </c>
      <c r="D22" s="207">
        <v>5</v>
      </c>
      <c r="E22" s="207">
        <v>15</v>
      </c>
      <c r="F22" s="211">
        <v>12</v>
      </c>
      <c r="G22" s="208">
        <f t="shared" si="8"/>
        <v>64</v>
      </c>
      <c r="H22" s="212"/>
      <c r="K22" s="210"/>
    </row>
    <row r="23" spans="1:16" ht="15" customHeight="1">
      <c r="A23" s="206" t="s">
        <v>73</v>
      </c>
      <c r="B23" s="207">
        <v>4</v>
      </c>
      <c r="C23" s="207">
        <v>0</v>
      </c>
      <c r="D23" s="207">
        <v>0</v>
      </c>
      <c r="E23" s="207">
        <v>0</v>
      </c>
      <c r="F23" s="211">
        <v>0</v>
      </c>
      <c r="G23" s="208">
        <f t="shared" si="8"/>
        <v>4</v>
      </c>
      <c r="K23" s="210"/>
    </row>
    <row r="24" spans="1:16" ht="15" customHeight="1">
      <c r="A24" s="206" t="s">
        <v>23</v>
      </c>
      <c r="B24" s="207">
        <v>8</v>
      </c>
      <c r="C24" s="207">
        <v>3</v>
      </c>
      <c r="D24" s="207">
        <v>17</v>
      </c>
      <c r="E24" s="207">
        <v>6</v>
      </c>
      <c r="F24" s="211">
        <v>3</v>
      </c>
      <c r="G24" s="208">
        <f t="shared" si="8"/>
        <v>37</v>
      </c>
    </row>
    <row r="25" spans="1:16" ht="15" customHeight="1">
      <c r="A25" s="206" t="s">
        <v>24</v>
      </c>
      <c r="B25" s="207">
        <v>62</v>
      </c>
      <c r="C25" s="207">
        <v>34</v>
      </c>
      <c r="D25" s="207">
        <v>18</v>
      </c>
      <c r="E25" s="207">
        <v>34</v>
      </c>
      <c r="F25" s="211">
        <v>22</v>
      </c>
      <c r="G25" s="208">
        <f>SUM(B25:F25)</f>
        <v>170</v>
      </c>
      <c r="H25" s="209"/>
    </row>
    <row r="26" spans="1:16" ht="15" customHeight="1">
      <c r="A26" s="206" t="s">
        <v>25</v>
      </c>
      <c r="B26" s="207">
        <v>25</v>
      </c>
      <c r="C26" s="207">
        <v>10</v>
      </c>
      <c r="D26" s="207">
        <v>2</v>
      </c>
      <c r="E26" s="207">
        <v>18</v>
      </c>
      <c r="F26" s="211">
        <v>2</v>
      </c>
      <c r="G26" s="208">
        <f t="shared" si="8"/>
        <v>57</v>
      </c>
      <c r="H26" s="209"/>
    </row>
    <row r="27" spans="1:16" ht="15" customHeight="1">
      <c r="A27" s="206" t="s">
        <v>26</v>
      </c>
      <c r="B27" s="207">
        <v>3</v>
      </c>
      <c r="C27" s="207">
        <v>2</v>
      </c>
      <c r="D27" s="207">
        <v>2</v>
      </c>
      <c r="E27" s="207">
        <v>5</v>
      </c>
      <c r="F27" s="211">
        <v>8</v>
      </c>
      <c r="G27" s="208">
        <f t="shared" si="8"/>
        <v>20</v>
      </c>
      <c r="H27" s="209"/>
    </row>
    <row r="28" spans="1:16" ht="15" customHeight="1">
      <c r="A28" s="206" t="s">
        <v>335</v>
      </c>
      <c r="B28" s="195">
        <v>20</v>
      </c>
      <c r="C28" s="214">
        <v>11</v>
      </c>
      <c r="D28" s="214">
        <v>3</v>
      </c>
      <c r="E28" s="214">
        <v>17</v>
      </c>
      <c r="F28" s="215">
        <v>22</v>
      </c>
      <c r="G28" s="208">
        <f t="shared" si="8"/>
        <v>73</v>
      </c>
    </row>
    <row r="29" spans="1:16" ht="15" customHeight="1">
      <c r="A29" s="206" t="s">
        <v>336</v>
      </c>
      <c r="B29" s="216">
        <v>373</v>
      </c>
      <c r="C29" s="217">
        <v>249</v>
      </c>
      <c r="D29" s="217">
        <v>333</v>
      </c>
      <c r="E29" s="217">
        <v>307</v>
      </c>
      <c r="F29" s="218">
        <v>179</v>
      </c>
      <c r="G29" s="208">
        <f>SUM(B29:F29)</f>
        <v>1441</v>
      </c>
    </row>
    <row r="30" spans="1:16">
      <c r="A30" s="219" t="s">
        <v>11</v>
      </c>
      <c r="B30" s="220">
        <f>SUM(B15:B27)</f>
        <v>468</v>
      </c>
      <c r="C30" s="220">
        <f>SUM(C15:C27)</f>
        <v>282</v>
      </c>
      <c r="D30" s="220">
        <f>SUM(D15:D29)</f>
        <v>648</v>
      </c>
      <c r="E30" s="220">
        <f>SUM(E15:E27)</f>
        <v>287</v>
      </c>
      <c r="F30" s="220">
        <f>SUM(F15:F27)</f>
        <v>180</v>
      </c>
      <c r="G30" s="221"/>
    </row>
    <row r="33" spans="1:26" ht="12.6" thickBot="1">
      <c r="A33" s="260" t="s">
        <v>337</v>
      </c>
      <c r="B33" s="261"/>
      <c r="C33" s="261"/>
      <c r="D33" s="262"/>
      <c r="E33" s="263">
        <v>15</v>
      </c>
      <c r="F33" s="263"/>
      <c r="G33" s="263">
        <v>16</v>
      </c>
      <c r="H33" s="263"/>
      <c r="I33" s="263">
        <v>17</v>
      </c>
      <c r="J33" s="263"/>
      <c r="K33" s="263">
        <v>20</v>
      </c>
      <c r="L33" s="263"/>
      <c r="M33" s="259">
        <v>22</v>
      </c>
      <c r="N33" s="259"/>
      <c r="O33" s="259">
        <v>23</v>
      </c>
      <c r="P33" s="259"/>
      <c r="Q33" s="259">
        <v>24</v>
      </c>
      <c r="R33" s="259"/>
      <c r="S33" s="259">
        <v>27</v>
      </c>
      <c r="T33" s="259"/>
      <c r="U33" s="259">
        <v>28</v>
      </c>
      <c r="V33" s="259"/>
      <c r="W33" s="259">
        <v>29</v>
      </c>
      <c r="X33" s="259"/>
      <c r="Y33" s="259">
        <v>30</v>
      </c>
      <c r="Z33" s="259"/>
    </row>
    <row r="34" spans="1:26">
      <c r="A34" s="222" t="s">
        <v>1</v>
      </c>
      <c r="B34" s="222" t="s">
        <v>2</v>
      </c>
      <c r="C34" s="222" t="s">
        <v>3</v>
      </c>
      <c r="D34" s="223" t="s">
        <v>4</v>
      </c>
      <c r="E34" s="189" t="s">
        <v>2</v>
      </c>
      <c r="F34" s="190" t="s">
        <v>5</v>
      </c>
      <c r="G34" s="189" t="s">
        <v>2</v>
      </c>
      <c r="H34" s="190" t="s">
        <v>5</v>
      </c>
      <c r="I34" s="189" t="s">
        <v>2</v>
      </c>
      <c r="J34" s="190" t="s">
        <v>5</v>
      </c>
      <c r="K34" s="189" t="s">
        <v>2</v>
      </c>
      <c r="L34" s="190" t="s">
        <v>5</v>
      </c>
      <c r="M34" s="189" t="s">
        <v>2</v>
      </c>
      <c r="N34" s="190" t="s">
        <v>5</v>
      </c>
      <c r="O34" s="189" t="s">
        <v>2</v>
      </c>
      <c r="P34" s="190" t="s">
        <v>5</v>
      </c>
      <c r="Q34" s="189" t="s">
        <v>2</v>
      </c>
      <c r="R34" s="190" t="s">
        <v>5</v>
      </c>
      <c r="S34" s="189" t="s">
        <v>2</v>
      </c>
      <c r="T34" s="190" t="s">
        <v>5</v>
      </c>
      <c r="U34" s="189" t="s">
        <v>2</v>
      </c>
      <c r="V34" s="190" t="s">
        <v>5</v>
      </c>
      <c r="W34" s="189" t="s">
        <v>2</v>
      </c>
      <c r="X34" s="190" t="s">
        <v>5</v>
      </c>
      <c r="Y34" s="189" t="s">
        <v>2</v>
      </c>
      <c r="Z34" s="190" t="s">
        <v>5</v>
      </c>
    </row>
    <row r="35" spans="1:26">
      <c r="A35" s="191" t="s">
        <v>55</v>
      </c>
      <c r="B35" s="224">
        <v>360</v>
      </c>
      <c r="C35" s="224">
        <f>F35+H35+J35+L35+N35+P35+R35+T35+V35+X35+Z35</f>
        <v>295</v>
      </c>
      <c r="D35" s="225">
        <f t="shared" ref="D35:D40" si="9">C35/B35</f>
        <v>0.81944444444444442</v>
      </c>
      <c r="E35" s="194">
        <v>33</v>
      </c>
      <c r="F35" s="194">
        <v>33</v>
      </c>
      <c r="G35" s="194">
        <v>33</v>
      </c>
      <c r="H35" s="194">
        <v>32</v>
      </c>
      <c r="I35" s="194">
        <v>33</v>
      </c>
      <c r="J35" s="194">
        <v>0</v>
      </c>
      <c r="K35" s="194">
        <v>33</v>
      </c>
      <c r="L35" s="194">
        <v>33</v>
      </c>
      <c r="M35" s="194">
        <v>33</v>
      </c>
      <c r="N35" s="194">
        <v>33</v>
      </c>
      <c r="O35" s="194">
        <v>33</v>
      </c>
      <c r="P35" s="194">
        <v>0</v>
      </c>
      <c r="Q35" s="194">
        <v>33</v>
      </c>
      <c r="R35" s="194">
        <v>0</v>
      </c>
      <c r="S35" s="194">
        <v>33</v>
      </c>
      <c r="T35" s="194">
        <v>32</v>
      </c>
      <c r="U35" s="194">
        <v>33</v>
      </c>
      <c r="V35" s="194">
        <v>31</v>
      </c>
      <c r="W35" s="194">
        <v>33</v>
      </c>
      <c r="X35" s="194">
        <v>31</v>
      </c>
      <c r="Y35" s="194">
        <v>33</v>
      </c>
      <c r="Z35" s="194">
        <v>70</v>
      </c>
    </row>
    <row r="36" spans="1:26">
      <c r="A36" s="191" t="s">
        <v>6</v>
      </c>
      <c r="B36" s="224">
        <v>197</v>
      </c>
      <c r="C36" s="224">
        <f t="shared" ref="C36:C39" si="10">F36+H36+J36+L36+N36+P36+R36+T36+V36+X36+Z36</f>
        <v>185</v>
      </c>
      <c r="D36" s="225">
        <f t="shared" si="9"/>
        <v>0.93908629441624369</v>
      </c>
      <c r="E36" s="194">
        <v>18</v>
      </c>
      <c r="F36" s="194">
        <v>7</v>
      </c>
      <c r="G36" s="194">
        <v>18</v>
      </c>
      <c r="H36" s="194">
        <v>14</v>
      </c>
      <c r="I36" s="194">
        <v>18</v>
      </c>
      <c r="J36" s="194">
        <v>2</v>
      </c>
      <c r="K36" s="194">
        <v>18</v>
      </c>
      <c r="L36" s="194">
        <v>20</v>
      </c>
      <c r="M36" s="194">
        <v>18</v>
      </c>
      <c r="N36" s="194">
        <v>23</v>
      </c>
      <c r="O36" s="194">
        <v>18</v>
      </c>
      <c r="P36" s="194">
        <v>1</v>
      </c>
      <c r="Q36" s="194">
        <v>18</v>
      </c>
      <c r="R36" s="195">
        <v>31</v>
      </c>
      <c r="S36" s="194">
        <v>18</v>
      </c>
      <c r="T36" s="194">
        <v>16</v>
      </c>
      <c r="U36" s="194">
        <v>18</v>
      </c>
      <c r="V36" s="194">
        <v>18</v>
      </c>
      <c r="W36" s="194">
        <v>18</v>
      </c>
      <c r="X36" s="194">
        <v>23</v>
      </c>
      <c r="Y36" s="194">
        <v>18</v>
      </c>
      <c r="Z36" s="194">
        <v>30</v>
      </c>
    </row>
    <row r="37" spans="1:26">
      <c r="A37" s="191" t="s">
        <v>7</v>
      </c>
      <c r="B37" s="224">
        <v>218</v>
      </c>
      <c r="C37" s="224">
        <f t="shared" si="10"/>
        <v>218</v>
      </c>
      <c r="D37" s="225">
        <f t="shared" si="9"/>
        <v>1</v>
      </c>
      <c r="E37" s="194">
        <v>20</v>
      </c>
      <c r="F37" s="194">
        <v>20</v>
      </c>
      <c r="G37" s="194">
        <v>20</v>
      </c>
      <c r="H37" s="194">
        <v>26</v>
      </c>
      <c r="I37" s="194">
        <v>20</v>
      </c>
      <c r="J37" s="194">
        <v>22</v>
      </c>
      <c r="K37" s="194">
        <v>20</v>
      </c>
      <c r="L37" s="194">
        <v>21</v>
      </c>
      <c r="M37" s="194">
        <v>20</v>
      </c>
      <c r="N37" s="194">
        <v>25</v>
      </c>
      <c r="O37" s="194">
        <v>20</v>
      </c>
      <c r="P37" s="194">
        <v>20</v>
      </c>
      <c r="Q37" s="194">
        <v>20</v>
      </c>
      <c r="R37" s="195">
        <v>26</v>
      </c>
      <c r="S37" s="194">
        <v>20</v>
      </c>
      <c r="T37" s="194">
        <v>12</v>
      </c>
      <c r="U37" s="194">
        <v>20</v>
      </c>
      <c r="V37" s="194">
        <v>22</v>
      </c>
      <c r="W37" s="194">
        <v>20</v>
      </c>
      <c r="X37" s="194">
        <v>23</v>
      </c>
      <c r="Y37" s="194">
        <v>20</v>
      </c>
      <c r="Z37" s="194">
        <v>1</v>
      </c>
    </row>
    <row r="38" spans="1:26">
      <c r="A38" s="191" t="s">
        <v>9</v>
      </c>
      <c r="B38" s="224">
        <v>187</v>
      </c>
      <c r="C38" s="224">
        <f t="shared" si="10"/>
        <v>190</v>
      </c>
      <c r="D38" s="225">
        <f t="shared" si="9"/>
        <v>1.0160427807486632</v>
      </c>
      <c r="E38" s="194">
        <v>17</v>
      </c>
      <c r="F38" s="194">
        <v>20</v>
      </c>
      <c r="G38" s="194">
        <v>17</v>
      </c>
      <c r="H38" s="194">
        <v>17</v>
      </c>
      <c r="I38" s="194">
        <v>17</v>
      </c>
      <c r="J38" s="194">
        <v>12</v>
      </c>
      <c r="K38" s="194">
        <v>17</v>
      </c>
      <c r="L38" s="194">
        <v>0</v>
      </c>
      <c r="M38" s="194">
        <v>17</v>
      </c>
      <c r="N38" s="194">
        <v>17</v>
      </c>
      <c r="O38" s="194">
        <v>17</v>
      </c>
      <c r="P38" s="194">
        <v>23</v>
      </c>
      <c r="Q38" s="194">
        <v>17</v>
      </c>
      <c r="R38" s="195">
        <v>20</v>
      </c>
      <c r="S38" s="194">
        <v>17</v>
      </c>
      <c r="T38" s="194">
        <v>23</v>
      </c>
      <c r="U38" s="194">
        <v>17</v>
      </c>
      <c r="V38" s="194">
        <v>20</v>
      </c>
      <c r="W38" s="194">
        <v>17</v>
      </c>
      <c r="X38" s="194">
        <v>19</v>
      </c>
      <c r="Y38" s="194">
        <v>17</v>
      </c>
      <c r="Z38" s="194">
        <v>19</v>
      </c>
    </row>
    <row r="39" spans="1:26">
      <c r="A39" s="191" t="s">
        <v>10</v>
      </c>
      <c r="B39" s="224">
        <v>112</v>
      </c>
      <c r="C39" s="224">
        <f t="shared" si="10"/>
        <v>115</v>
      </c>
      <c r="D39" s="225">
        <f t="shared" si="9"/>
        <v>1.0267857142857142</v>
      </c>
      <c r="E39" s="194">
        <v>12</v>
      </c>
      <c r="F39" s="194">
        <v>12</v>
      </c>
      <c r="G39" s="194">
        <v>12</v>
      </c>
      <c r="H39" s="194">
        <v>13</v>
      </c>
      <c r="I39" s="194">
        <v>13</v>
      </c>
      <c r="J39" s="194">
        <v>0</v>
      </c>
      <c r="K39" s="194">
        <v>12</v>
      </c>
      <c r="L39" s="194">
        <v>1</v>
      </c>
      <c r="M39" s="194">
        <v>12</v>
      </c>
      <c r="N39" s="194">
        <v>4</v>
      </c>
      <c r="O39" s="194">
        <v>12</v>
      </c>
      <c r="P39" s="194">
        <v>15</v>
      </c>
      <c r="Q39" s="194">
        <v>12</v>
      </c>
      <c r="R39" s="195">
        <v>32</v>
      </c>
      <c r="S39" s="194">
        <v>12</v>
      </c>
      <c r="T39" s="194">
        <v>4</v>
      </c>
      <c r="U39" s="194">
        <v>12</v>
      </c>
      <c r="V39" s="194">
        <v>2</v>
      </c>
      <c r="W39" s="194">
        <v>12</v>
      </c>
      <c r="X39" s="194">
        <v>28</v>
      </c>
      <c r="Y39" s="194">
        <v>12</v>
      </c>
      <c r="Z39" s="194">
        <v>4</v>
      </c>
    </row>
    <row r="40" spans="1:26">
      <c r="A40" s="185" t="s">
        <v>11</v>
      </c>
      <c r="B40" s="185">
        <f>SUM(B35:B39)</f>
        <v>1074</v>
      </c>
      <c r="C40" s="185">
        <f>SUM(C35:C39)</f>
        <v>1003</v>
      </c>
      <c r="D40" s="226">
        <f t="shared" si="9"/>
        <v>0.93389199255121047</v>
      </c>
      <c r="E40" s="185">
        <f t="shared" ref="E40:Z40" si="11">SUM(E35:E39)</f>
        <v>100</v>
      </c>
      <c r="F40" s="185">
        <f t="shared" si="11"/>
        <v>92</v>
      </c>
      <c r="G40" s="185">
        <f t="shared" si="11"/>
        <v>100</v>
      </c>
      <c r="H40" s="185">
        <f t="shared" si="11"/>
        <v>102</v>
      </c>
      <c r="I40" s="185">
        <f t="shared" si="11"/>
        <v>101</v>
      </c>
      <c r="J40" s="185">
        <f t="shared" si="11"/>
        <v>36</v>
      </c>
      <c r="K40" s="185">
        <f t="shared" si="11"/>
        <v>100</v>
      </c>
      <c r="L40" s="185">
        <f t="shared" si="11"/>
        <v>75</v>
      </c>
      <c r="M40" s="185">
        <f t="shared" si="11"/>
        <v>100</v>
      </c>
      <c r="N40" s="185">
        <f t="shared" si="11"/>
        <v>102</v>
      </c>
      <c r="O40" s="185">
        <f t="shared" si="11"/>
        <v>100</v>
      </c>
      <c r="P40" s="185">
        <f t="shared" si="11"/>
        <v>59</v>
      </c>
      <c r="Q40" s="185">
        <f t="shared" si="11"/>
        <v>100</v>
      </c>
      <c r="R40" s="185">
        <f t="shared" si="11"/>
        <v>109</v>
      </c>
      <c r="S40" s="185">
        <f t="shared" si="11"/>
        <v>100</v>
      </c>
      <c r="T40" s="185">
        <f t="shared" si="11"/>
        <v>87</v>
      </c>
      <c r="U40" s="185">
        <f t="shared" si="11"/>
        <v>100</v>
      </c>
      <c r="V40" s="185">
        <f t="shared" si="11"/>
        <v>93</v>
      </c>
      <c r="W40" s="185">
        <f t="shared" si="11"/>
        <v>100</v>
      </c>
      <c r="X40" s="185">
        <f t="shared" si="11"/>
        <v>124</v>
      </c>
      <c r="Y40" s="185">
        <f t="shared" si="11"/>
        <v>100</v>
      </c>
      <c r="Z40" s="185">
        <f t="shared" si="11"/>
        <v>124</v>
      </c>
    </row>
    <row r="43" spans="1:26" ht="13.2">
      <c r="A43" s="61" t="s">
        <v>333</v>
      </c>
      <c r="B43" s="61" t="s">
        <v>330</v>
      </c>
      <c r="C43" s="210"/>
      <c r="D43" s="210"/>
    </row>
    <row r="44" spans="1:26" ht="13.2">
      <c r="A44" s="61" t="s">
        <v>55</v>
      </c>
      <c r="B44" s="62">
        <f>'EVOLUCAO DOS MESES'!C28</f>
        <v>8881.9274910000004</v>
      </c>
      <c r="C44" s="210"/>
      <c r="D44" s="210"/>
    </row>
    <row r="45" spans="1:26" ht="13.2">
      <c r="A45" s="61" t="s">
        <v>6</v>
      </c>
      <c r="B45" s="62">
        <f>'EVOLUCAO DOS MESES'!C29</f>
        <v>14368.270000000004</v>
      </c>
      <c r="C45" s="210"/>
      <c r="D45" s="210"/>
    </row>
    <row r="46" spans="1:26" ht="13.2">
      <c r="A46" s="61" t="s">
        <v>7</v>
      </c>
      <c r="B46" s="62">
        <f>'EVOLUCAO DOS MESES'!C30</f>
        <v>1344.6200000000001</v>
      </c>
      <c r="C46" s="210"/>
      <c r="D46" s="210"/>
    </row>
    <row r="47" spans="1:26" ht="13.2">
      <c r="A47" s="61" t="s">
        <v>8</v>
      </c>
      <c r="B47" s="62">
        <f>'EVOLUCAO DOS MESES'!C31</f>
        <v>0</v>
      </c>
      <c r="C47" s="210"/>
      <c r="D47" s="210"/>
    </row>
    <row r="48" spans="1:26" ht="13.2">
      <c r="A48" s="66" t="s">
        <v>56</v>
      </c>
      <c r="B48" s="62">
        <f>'EVOLUCAO DOS MESES'!C32</f>
        <v>31780.950000000004</v>
      </c>
    </row>
    <row r="49" spans="1:2" ht="13.2">
      <c r="A49" s="61" t="s">
        <v>10</v>
      </c>
      <c r="B49" s="62">
        <f>'EVOLUCAO DOS MESES'!C33</f>
        <v>40272.470000000008</v>
      </c>
    </row>
    <row r="50" spans="1:2" ht="13.2">
      <c r="A50" s="61" t="s">
        <v>343</v>
      </c>
      <c r="B50" s="62">
        <f>SUM(B44:B49)</f>
        <v>96648.237491000007</v>
      </c>
    </row>
  </sheetData>
  <mergeCells count="34">
    <mergeCell ref="AM2:AN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W33:X33"/>
    <mergeCell ref="Y33:Z33"/>
    <mergeCell ref="AO2:AP2"/>
    <mergeCell ref="AQ2:AR2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2:D2"/>
    <mergeCell ref="A13:G13"/>
    <mergeCell ref="Q33:R33"/>
    <mergeCell ref="S33:T33"/>
    <mergeCell ref="U33:V33"/>
  </mergeCell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38C8-753C-4C9B-AEEF-41D018BDD9AA}">
  <sheetPr>
    <tabColor theme="8" tint="-0.249977111117893"/>
  </sheetPr>
  <dimension ref="A2:AR50"/>
  <sheetViews>
    <sheetView workbookViewId="0">
      <selection activeCell="C10" sqref="C10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/>
    <col min="5" max="5" width="8.44140625" style="30" customWidth="1"/>
    <col min="6" max="6" width="9.109375" style="30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16384" width="9.109375" style="30"/>
  </cols>
  <sheetData>
    <row r="2" spans="1:44" ht="12.6" thickBot="1">
      <c r="A2" s="186" t="s">
        <v>330</v>
      </c>
      <c r="B2" s="249">
        <f>'EVOLUCAO DOS MESES'!D12</f>
        <v>30682.985000000001</v>
      </c>
    </row>
    <row r="3" spans="1:44" ht="12.6" thickBot="1">
      <c r="A3" s="253" t="s">
        <v>338</v>
      </c>
      <c r="B3" s="254"/>
      <c r="C3" s="254"/>
      <c r="D3" s="255"/>
      <c r="E3" s="268">
        <v>4</v>
      </c>
      <c r="F3" s="267"/>
      <c r="G3" s="265">
        <v>5</v>
      </c>
      <c r="H3" s="265"/>
      <c r="I3" s="265">
        <v>6</v>
      </c>
      <c r="J3" s="265"/>
      <c r="K3" s="265">
        <v>7</v>
      </c>
      <c r="L3" s="265"/>
      <c r="M3" s="265">
        <v>8</v>
      </c>
      <c r="N3" s="265"/>
      <c r="O3" s="265">
        <v>11</v>
      </c>
      <c r="P3" s="265"/>
      <c r="Q3" s="264">
        <v>12</v>
      </c>
      <c r="R3" s="264"/>
      <c r="S3" s="264">
        <v>13</v>
      </c>
      <c r="T3" s="264"/>
      <c r="U3" s="264">
        <v>14</v>
      </c>
      <c r="V3" s="264"/>
      <c r="W3" s="264">
        <v>15</v>
      </c>
      <c r="X3" s="264"/>
      <c r="Y3" s="265">
        <v>18</v>
      </c>
      <c r="Z3" s="265"/>
      <c r="AA3" s="265">
        <v>19</v>
      </c>
      <c r="AB3" s="265"/>
      <c r="AC3" s="264">
        <v>20</v>
      </c>
      <c r="AD3" s="264"/>
      <c r="AE3" s="264">
        <v>21</v>
      </c>
      <c r="AF3" s="264"/>
      <c r="AG3" s="264">
        <v>22</v>
      </c>
      <c r="AH3" s="264"/>
      <c r="AI3" s="264">
        <v>25</v>
      </c>
      <c r="AJ3" s="264"/>
      <c r="AK3" s="264">
        <v>26</v>
      </c>
      <c r="AL3" s="264"/>
      <c r="AM3" s="264">
        <v>27</v>
      </c>
      <c r="AN3" s="264"/>
      <c r="AO3" s="264">
        <v>28</v>
      </c>
      <c r="AP3" s="264"/>
      <c r="AQ3" s="264">
        <v>29</v>
      </c>
      <c r="AR3" s="264"/>
    </row>
    <row r="4" spans="1:44">
      <c r="A4" s="228" t="s">
        <v>1</v>
      </c>
      <c r="B4" s="228" t="s">
        <v>2</v>
      </c>
      <c r="C4" s="228" t="s">
        <v>3</v>
      </c>
      <c r="D4" s="229" t="s">
        <v>4</v>
      </c>
      <c r="E4" s="230" t="s">
        <v>2</v>
      </c>
      <c r="F4" s="231" t="s">
        <v>5</v>
      </c>
      <c r="G4" s="230" t="s">
        <v>2</v>
      </c>
      <c r="H4" s="231" t="s">
        <v>5</v>
      </c>
      <c r="I4" s="230" t="s">
        <v>2</v>
      </c>
      <c r="J4" s="231" t="s">
        <v>5</v>
      </c>
      <c r="K4" s="230" t="s">
        <v>2</v>
      </c>
      <c r="L4" s="231" t="s">
        <v>5</v>
      </c>
      <c r="M4" s="230" t="s">
        <v>2</v>
      </c>
      <c r="N4" s="231" t="s">
        <v>5</v>
      </c>
      <c r="O4" s="230" t="s">
        <v>2</v>
      </c>
      <c r="P4" s="231" t="s">
        <v>5</v>
      </c>
      <c r="Q4" s="230" t="s">
        <v>2</v>
      </c>
      <c r="R4" s="231" t="s">
        <v>5</v>
      </c>
      <c r="S4" s="230" t="s">
        <v>2</v>
      </c>
      <c r="T4" s="231" t="s">
        <v>5</v>
      </c>
      <c r="U4" s="230" t="s">
        <v>2</v>
      </c>
      <c r="V4" s="231" t="s">
        <v>5</v>
      </c>
      <c r="W4" s="230" t="s">
        <v>2</v>
      </c>
      <c r="X4" s="231" t="s">
        <v>5</v>
      </c>
      <c r="Y4" s="230" t="s">
        <v>2</v>
      </c>
      <c r="Z4" s="231" t="s">
        <v>5</v>
      </c>
      <c r="AA4" s="230" t="s">
        <v>2</v>
      </c>
      <c r="AB4" s="231" t="s">
        <v>5</v>
      </c>
      <c r="AC4" s="230" t="s">
        <v>2</v>
      </c>
      <c r="AD4" s="231" t="s">
        <v>5</v>
      </c>
      <c r="AE4" s="230" t="s">
        <v>2</v>
      </c>
      <c r="AF4" s="231" t="s">
        <v>5</v>
      </c>
      <c r="AG4" s="230" t="s">
        <v>2</v>
      </c>
      <c r="AH4" s="231" t="s">
        <v>5</v>
      </c>
      <c r="AI4" s="230" t="s">
        <v>2</v>
      </c>
      <c r="AJ4" s="231" t="s">
        <v>5</v>
      </c>
      <c r="AK4" s="230" t="s">
        <v>2</v>
      </c>
      <c r="AL4" s="231" t="s">
        <v>5</v>
      </c>
      <c r="AM4" s="230" t="s">
        <v>2</v>
      </c>
      <c r="AN4" s="231" t="s">
        <v>5</v>
      </c>
      <c r="AO4" s="230" t="s">
        <v>2</v>
      </c>
      <c r="AP4" s="231" t="s">
        <v>5</v>
      </c>
      <c r="AQ4" s="230" t="s">
        <v>2</v>
      </c>
      <c r="AR4" s="231" t="s">
        <v>5</v>
      </c>
    </row>
    <row r="5" spans="1:44">
      <c r="A5" s="232" t="s">
        <v>6</v>
      </c>
      <c r="B5" s="31">
        <f>E5+G5+I5+K5+M5+O5+Q5+S5+U5+W5+Y5+AA5+AC5+AE5+AG5+AI5+AK5+AM5+AO5+AQ5</f>
        <v>30</v>
      </c>
      <c r="C5" s="31">
        <f>F5+H5+J5+L5+N5+P5+R5+T5+V5+X5+Z5+AB5+AD5+AF5+AH5+AJ5+AL5+AN5+AP5+AR5</f>
        <v>10</v>
      </c>
      <c r="D5" s="32">
        <f>C5/B5</f>
        <v>0.33333333333333331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1</v>
      </c>
      <c r="M5" s="33">
        <v>1</v>
      </c>
      <c r="N5" s="33">
        <v>0</v>
      </c>
      <c r="O5" s="33">
        <v>1</v>
      </c>
      <c r="P5" s="33">
        <v>0</v>
      </c>
      <c r="Q5" s="33">
        <v>1</v>
      </c>
      <c r="R5" s="33">
        <v>0</v>
      </c>
      <c r="S5" s="33">
        <v>1</v>
      </c>
      <c r="T5" s="33">
        <v>0</v>
      </c>
      <c r="U5" s="33">
        <v>1</v>
      </c>
      <c r="V5" s="33">
        <v>0</v>
      </c>
      <c r="W5" s="33">
        <v>1</v>
      </c>
      <c r="X5" s="33">
        <v>1</v>
      </c>
      <c r="Y5" s="33">
        <v>2</v>
      </c>
      <c r="Z5" s="33">
        <v>0</v>
      </c>
      <c r="AA5" s="33">
        <v>2</v>
      </c>
      <c r="AB5" s="33">
        <v>0</v>
      </c>
      <c r="AC5" s="33">
        <v>2</v>
      </c>
      <c r="AD5" s="233">
        <v>2</v>
      </c>
      <c r="AE5" s="33">
        <v>2</v>
      </c>
      <c r="AF5" s="33">
        <v>1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1</v>
      </c>
      <c r="AM5" s="33">
        <v>2</v>
      </c>
      <c r="AN5" s="33">
        <v>1</v>
      </c>
      <c r="AO5" s="33">
        <v>2</v>
      </c>
      <c r="AP5" s="33">
        <v>1</v>
      </c>
      <c r="AQ5" s="33">
        <v>2</v>
      </c>
      <c r="AR5" s="33">
        <v>0</v>
      </c>
    </row>
    <row r="6" spans="1:44">
      <c r="A6" s="232" t="s">
        <v>8</v>
      </c>
      <c r="B6" s="31">
        <f t="shared" ref="B6:C9" si="0">E6+G6+I6+K6+M6+O6+Q6+S6+U6+W6+Y6+AA6+AC6+AE6+AG6+AI6+AK6+AM6+AO6+AQ6</f>
        <v>26</v>
      </c>
      <c r="C6" s="31">
        <f t="shared" si="0"/>
        <v>3</v>
      </c>
      <c r="D6" s="32">
        <f>C6/B6</f>
        <v>0.11538461538461539</v>
      </c>
      <c r="E6" s="33">
        <v>1</v>
      </c>
      <c r="F6" s="33">
        <v>0</v>
      </c>
      <c r="G6" s="33">
        <v>1</v>
      </c>
      <c r="H6" s="33">
        <v>0</v>
      </c>
      <c r="I6" s="33">
        <v>1</v>
      </c>
      <c r="J6" s="33">
        <v>0</v>
      </c>
      <c r="K6" s="33">
        <v>1</v>
      </c>
      <c r="L6" s="33">
        <v>0</v>
      </c>
      <c r="M6" s="33">
        <v>1</v>
      </c>
      <c r="N6" s="33">
        <v>0</v>
      </c>
      <c r="O6" s="33">
        <v>1</v>
      </c>
      <c r="P6" s="33">
        <v>0</v>
      </c>
      <c r="Q6" s="33">
        <v>1</v>
      </c>
      <c r="R6" s="33">
        <v>0</v>
      </c>
      <c r="S6" s="33">
        <v>1</v>
      </c>
      <c r="T6" s="33">
        <v>0</v>
      </c>
      <c r="U6" s="33">
        <v>1</v>
      </c>
      <c r="V6" s="33">
        <v>0</v>
      </c>
      <c r="W6" s="33">
        <v>1</v>
      </c>
      <c r="X6" s="33">
        <v>0</v>
      </c>
      <c r="Y6" s="33">
        <v>1</v>
      </c>
      <c r="Z6" s="33">
        <v>0</v>
      </c>
      <c r="AA6" s="33">
        <v>1</v>
      </c>
      <c r="AB6" s="33">
        <v>0</v>
      </c>
      <c r="AC6" s="33">
        <v>1</v>
      </c>
      <c r="AD6" s="233">
        <v>1</v>
      </c>
      <c r="AE6" s="33">
        <v>1</v>
      </c>
      <c r="AF6" s="33">
        <v>0</v>
      </c>
      <c r="AG6" s="33">
        <v>2</v>
      </c>
      <c r="AH6" s="33">
        <v>1</v>
      </c>
      <c r="AI6" s="33">
        <v>2</v>
      </c>
      <c r="AJ6" s="33">
        <v>0</v>
      </c>
      <c r="AK6" s="33">
        <v>2</v>
      </c>
      <c r="AL6" s="33">
        <v>0</v>
      </c>
      <c r="AM6" s="33">
        <v>2</v>
      </c>
      <c r="AN6" s="33">
        <v>0</v>
      </c>
      <c r="AO6" s="33">
        <v>2</v>
      </c>
      <c r="AP6" s="33">
        <v>0</v>
      </c>
      <c r="AQ6" s="33">
        <v>2</v>
      </c>
      <c r="AR6" s="33">
        <v>1</v>
      </c>
    </row>
    <row r="7" spans="1:44">
      <c r="A7" s="232" t="s">
        <v>7</v>
      </c>
      <c r="B7" s="31">
        <f t="shared" si="0"/>
        <v>50</v>
      </c>
      <c r="C7" s="31">
        <f t="shared" si="0"/>
        <v>18</v>
      </c>
      <c r="D7" s="32">
        <f>C7/B7</f>
        <v>0.36</v>
      </c>
      <c r="E7" s="33">
        <v>2</v>
      </c>
      <c r="F7" s="233">
        <v>2</v>
      </c>
      <c r="G7" s="33">
        <v>2</v>
      </c>
      <c r="H7" s="233">
        <v>3</v>
      </c>
      <c r="I7" s="33">
        <v>2</v>
      </c>
      <c r="J7" s="233">
        <v>1</v>
      </c>
      <c r="K7" s="33">
        <v>2</v>
      </c>
      <c r="L7" s="233">
        <v>2</v>
      </c>
      <c r="M7" s="33">
        <v>2</v>
      </c>
      <c r="N7" s="233">
        <v>3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2</v>
      </c>
      <c r="U7" s="33">
        <v>2</v>
      </c>
      <c r="V7" s="33">
        <v>0</v>
      </c>
      <c r="W7" s="33">
        <v>2</v>
      </c>
      <c r="X7" s="33">
        <v>0</v>
      </c>
      <c r="Y7" s="33">
        <v>3</v>
      </c>
      <c r="Z7" s="33">
        <v>0</v>
      </c>
      <c r="AA7" s="33">
        <v>3</v>
      </c>
      <c r="AB7" s="33">
        <v>0</v>
      </c>
      <c r="AC7" s="33">
        <v>3</v>
      </c>
      <c r="AD7" s="233">
        <v>0</v>
      </c>
      <c r="AE7" s="33">
        <v>3</v>
      </c>
      <c r="AF7" s="33">
        <v>1</v>
      </c>
      <c r="AG7" s="33">
        <v>3</v>
      </c>
      <c r="AH7" s="33">
        <v>1</v>
      </c>
      <c r="AI7" s="33">
        <v>3</v>
      </c>
      <c r="AJ7" s="33">
        <v>0</v>
      </c>
      <c r="AK7" s="33">
        <v>3</v>
      </c>
      <c r="AL7" s="33">
        <v>1</v>
      </c>
      <c r="AM7" s="33">
        <v>3</v>
      </c>
      <c r="AN7" s="33">
        <v>0</v>
      </c>
      <c r="AO7" s="33">
        <v>3</v>
      </c>
      <c r="AP7" s="33">
        <v>2</v>
      </c>
      <c r="AQ7" s="33">
        <v>3</v>
      </c>
      <c r="AR7" s="33">
        <v>0</v>
      </c>
    </row>
    <row r="8" spans="1:44">
      <c r="A8" s="232" t="s">
        <v>9</v>
      </c>
      <c r="B8" s="31">
        <f t="shared" si="0"/>
        <v>33</v>
      </c>
      <c r="C8" s="31">
        <f t="shared" si="0"/>
        <v>9</v>
      </c>
      <c r="D8" s="32">
        <f>C8/B8</f>
        <v>0.27272727272727271</v>
      </c>
      <c r="E8" s="33">
        <v>2</v>
      </c>
      <c r="F8" s="233">
        <v>1</v>
      </c>
      <c r="G8" s="33">
        <v>2</v>
      </c>
      <c r="H8" s="233">
        <v>0</v>
      </c>
      <c r="I8" s="33">
        <v>2</v>
      </c>
      <c r="J8" s="233">
        <v>1</v>
      </c>
      <c r="K8" s="33">
        <v>2</v>
      </c>
      <c r="L8" s="233">
        <v>0</v>
      </c>
      <c r="M8" s="33">
        <v>2</v>
      </c>
      <c r="N8" s="233">
        <v>0</v>
      </c>
      <c r="O8" s="33">
        <v>2</v>
      </c>
      <c r="P8" s="233">
        <v>0</v>
      </c>
      <c r="Q8" s="33">
        <v>2</v>
      </c>
      <c r="R8" s="233">
        <v>1</v>
      </c>
      <c r="S8" s="33">
        <v>2</v>
      </c>
      <c r="T8" s="33">
        <v>0</v>
      </c>
      <c r="U8" s="33">
        <v>2</v>
      </c>
      <c r="V8" s="33">
        <v>0</v>
      </c>
      <c r="W8" s="33">
        <v>2</v>
      </c>
      <c r="X8" s="33">
        <v>0</v>
      </c>
      <c r="Y8" s="33">
        <v>2</v>
      </c>
      <c r="Z8" s="33">
        <v>0</v>
      </c>
      <c r="AA8" s="33">
        <v>2</v>
      </c>
      <c r="AB8" s="33">
        <v>0</v>
      </c>
      <c r="AC8" s="33">
        <v>2</v>
      </c>
      <c r="AD8" s="233">
        <v>0</v>
      </c>
      <c r="AE8" s="33">
        <v>1</v>
      </c>
      <c r="AF8" s="33">
        <v>0</v>
      </c>
      <c r="AG8" s="33">
        <v>1</v>
      </c>
      <c r="AH8" s="33">
        <v>0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1</v>
      </c>
      <c r="AO8" s="33">
        <v>1</v>
      </c>
      <c r="AP8" s="33">
        <v>1</v>
      </c>
      <c r="AQ8" s="33">
        <v>1</v>
      </c>
      <c r="AR8" s="33">
        <v>2</v>
      </c>
    </row>
    <row r="9" spans="1:44">
      <c r="A9" s="232" t="s">
        <v>10</v>
      </c>
      <c r="B9" s="31">
        <f t="shared" si="0"/>
        <v>23</v>
      </c>
      <c r="C9" s="31">
        <f t="shared" si="0"/>
        <v>14</v>
      </c>
      <c r="D9" s="32">
        <f>C9/B9</f>
        <v>0.60869565217391308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2</v>
      </c>
      <c r="S9" s="33">
        <v>1</v>
      </c>
      <c r="T9" s="33">
        <v>0</v>
      </c>
      <c r="U9" s="33">
        <v>1</v>
      </c>
      <c r="V9" s="33">
        <v>0</v>
      </c>
      <c r="W9" s="33">
        <v>1</v>
      </c>
      <c r="X9" s="33">
        <v>1</v>
      </c>
      <c r="Y9" s="33">
        <v>1</v>
      </c>
      <c r="Z9" s="33">
        <v>0</v>
      </c>
      <c r="AA9" s="33">
        <v>1</v>
      </c>
      <c r="AB9" s="33">
        <v>2</v>
      </c>
      <c r="AC9" s="33">
        <v>1</v>
      </c>
      <c r="AD9" s="233">
        <v>0</v>
      </c>
      <c r="AE9" s="33">
        <v>1</v>
      </c>
      <c r="AF9" s="233">
        <v>1</v>
      </c>
      <c r="AG9" s="33">
        <v>1</v>
      </c>
      <c r="AH9" s="233">
        <v>3</v>
      </c>
      <c r="AI9" s="33">
        <v>1</v>
      </c>
      <c r="AJ9" s="233">
        <v>0</v>
      </c>
      <c r="AK9" s="33">
        <v>1</v>
      </c>
      <c r="AL9" s="233">
        <v>1</v>
      </c>
      <c r="AM9" s="33">
        <v>2</v>
      </c>
      <c r="AN9" s="233">
        <v>0</v>
      </c>
      <c r="AO9" s="33">
        <v>2</v>
      </c>
      <c r="AP9" s="233">
        <v>0</v>
      </c>
      <c r="AQ9" s="33">
        <v>2</v>
      </c>
      <c r="AR9" s="233">
        <v>3</v>
      </c>
    </row>
    <row r="10" spans="1:44">
      <c r="A10" s="234" t="s">
        <v>11</v>
      </c>
      <c r="B10" s="235">
        <f>SUM(B5:B9)</f>
        <v>162</v>
      </c>
      <c r="C10" s="235">
        <f>SUM(C5:C9)</f>
        <v>54</v>
      </c>
      <c r="D10" s="236">
        <f t="shared" ref="D10" si="1">C10/B10</f>
        <v>0.33333333333333331</v>
      </c>
      <c r="E10" s="227">
        <f>SUM(E5:E9)</f>
        <v>7</v>
      </c>
      <c r="F10" s="227">
        <f>SUM(F5:F9)</f>
        <v>3</v>
      </c>
      <c r="G10" s="227">
        <f>SUM(G5:G9)</f>
        <v>7</v>
      </c>
      <c r="H10" s="227">
        <f>SUM(H5:H9)</f>
        <v>5</v>
      </c>
      <c r="I10" s="227">
        <f t="shared" ref="I10:X10" si="2">SUM(I5:I9)</f>
        <v>7</v>
      </c>
      <c r="J10" s="227">
        <f t="shared" si="2"/>
        <v>2</v>
      </c>
      <c r="K10" s="227">
        <f t="shared" si="2"/>
        <v>7</v>
      </c>
      <c r="L10" s="227">
        <f t="shared" si="2"/>
        <v>4</v>
      </c>
      <c r="M10" s="227">
        <f t="shared" si="2"/>
        <v>7</v>
      </c>
      <c r="N10" s="227">
        <f t="shared" si="2"/>
        <v>3</v>
      </c>
      <c r="O10" s="227">
        <f t="shared" si="2"/>
        <v>7</v>
      </c>
      <c r="P10" s="227">
        <f t="shared" si="2"/>
        <v>0</v>
      </c>
      <c r="Q10" s="227">
        <f t="shared" si="2"/>
        <v>7</v>
      </c>
      <c r="R10" s="227">
        <f t="shared" si="2"/>
        <v>3</v>
      </c>
      <c r="S10" s="227">
        <f t="shared" si="2"/>
        <v>7</v>
      </c>
      <c r="T10" s="227">
        <f t="shared" si="2"/>
        <v>2</v>
      </c>
      <c r="U10" s="227">
        <f t="shared" si="2"/>
        <v>7</v>
      </c>
      <c r="V10" s="227">
        <f t="shared" si="2"/>
        <v>0</v>
      </c>
      <c r="W10" s="227">
        <f t="shared" si="2"/>
        <v>7</v>
      </c>
      <c r="X10" s="227">
        <f t="shared" si="2"/>
        <v>2</v>
      </c>
      <c r="Y10" s="227">
        <f>SUM(Y5:Y9)</f>
        <v>9</v>
      </c>
      <c r="Z10" s="227">
        <f t="shared" ref="Z10:AB10" si="3">SUM(Z5:Z9)</f>
        <v>0</v>
      </c>
      <c r="AA10" s="227">
        <f>SUM(AA5:AA9)</f>
        <v>9</v>
      </c>
      <c r="AB10" s="227">
        <f t="shared" si="3"/>
        <v>2</v>
      </c>
      <c r="AC10" s="227">
        <f>SUM(AC5:AC9)</f>
        <v>9</v>
      </c>
      <c r="AD10" s="227">
        <f t="shared" ref="AD10:AF10" si="4">SUM(AD5:AD9)</f>
        <v>3</v>
      </c>
      <c r="AE10" s="227">
        <f>SUM(AE5:AE9)</f>
        <v>8</v>
      </c>
      <c r="AF10" s="227">
        <f t="shared" si="4"/>
        <v>3</v>
      </c>
      <c r="AG10" s="227">
        <f>SUM(AG5:AG9)</f>
        <v>9</v>
      </c>
      <c r="AH10" s="227">
        <f t="shared" ref="AH10:AJ10" si="5">SUM(AH5:AH9)</f>
        <v>5</v>
      </c>
      <c r="AI10" s="227">
        <f>SUM(AI5:AI9)</f>
        <v>9</v>
      </c>
      <c r="AJ10" s="227">
        <f t="shared" si="5"/>
        <v>1</v>
      </c>
      <c r="AK10" s="227">
        <f>SUM(AK5:AK9)</f>
        <v>9</v>
      </c>
      <c r="AL10" s="227">
        <f t="shared" ref="AL10" si="6">SUM(AL5:AL9)</f>
        <v>4</v>
      </c>
      <c r="AM10" s="227">
        <f>SUM(AM5:AM9)</f>
        <v>10</v>
      </c>
      <c r="AN10" s="227">
        <f>SUM(AN5:AN9)</f>
        <v>2</v>
      </c>
      <c r="AO10" s="227">
        <f>SUM(AO5:AO9)</f>
        <v>10</v>
      </c>
      <c r="AP10" s="227">
        <f t="shared" ref="AP10:AR10" si="7">SUM(AP5:AP9)</f>
        <v>4</v>
      </c>
      <c r="AQ10" s="227">
        <f>SUM(AQ5:AQ9)</f>
        <v>10</v>
      </c>
      <c r="AR10" s="227">
        <f t="shared" si="7"/>
        <v>6</v>
      </c>
    </row>
    <row r="11" spans="1:44">
      <c r="A11" s="48" t="s">
        <v>339</v>
      </c>
      <c r="B11" s="237">
        <f>C10+G25</f>
        <v>147</v>
      </c>
      <c r="C11" s="39"/>
    </row>
    <row r="12" spans="1:44">
      <c r="A12" s="48" t="s">
        <v>340</v>
      </c>
      <c r="B12" s="237">
        <f>B10-B11</f>
        <v>15</v>
      </c>
      <c r="C12" s="39"/>
    </row>
    <row r="14" spans="1:44" ht="12.75" customHeight="1" thickBot="1">
      <c r="A14" s="256" t="s">
        <v>342</v>
      </c>
      <c r="B14" s="257"/>
      <c r="C14" s="257"/>
      <c r="D14" s="257"/>
      <c r="E14" s="257"/>
      <c r="F14" s="257"/>
      <c r="G14" s="258"/>
    </row>
    <row r="15" spans="1:44">
      <c r="A15" s="238" t="s">
        <v>14</v>
      </c>
      <c r="B15" s="238" t="s">
        <v>6</v>
      </c>
      <c r="C15" s="238" t="s">
        <v>7</v>
      </c>
      <c r="D15" s="238" t="s">
        <v>8</v>
      </c>
      <c r="E15" s="238" t="s">
        <v>9</v>
      </c>
      <c r="F15" s="238" t="s">
        <v>10</v>
      </c>
      <c r="G15" s="238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4" ht="15" customHeight="1">
      <c r="A16" s="239" t="s">
        <v>15</v>
      </c>
      <c r="B16" s="240">
        <v>11</v>
      </c>
      <c r="C16" s="240">
        <v>0</v>
      </c>
      <c r="D16" s="240">
        <v>0</v>
      </c>
      <c r="E16" s="240">
        <v>40</v>
      </c>
      <c r="F16" s="240">
        <v>3</v>
      </c>
      <c r="G16" s="241">
        <f>SUM(B16:F16)</f>
        <v>54</v>
      </c>
      <c r="H16" s="50"/>
      <c r="J16" s="49"/>
      <c r="K16" s="41"/>
      <c r="L16" s="42"/>
    </row>
    <row r="17" spans="1:44" ht="15" customHeight="1">
      <c r="A17" s="239" t="s">
        <v>16</v>
      </c>
      <c r="B17" s="240">
        <v>7</v>
      </c>
      <c r="C17" s="240">
        <v>0</v>
      </c>
      <c r="D17" s="240">
        <v>0</v>
      </c>
      <c r="E17" s="240">
        <v>0</v>
      </c>
      <c r="F17" s="240">
        <v>2</v>
      </c>
      <c r="G17" s="241">
        <f>SUM(B17:F17)</f>
        <v>9</v>
      </c>
      <c r="H17" s="50"/>
      <c r="K17" s="41"/>
    </row>
    <row r="18" spans="1:44" ht="15" customHeight="1">
      <c r="A18" s="239" t="s">
        <v>17</v>
      </c>
      <c r="B18" s="240">
        <v>3</v>
      </c>
      <c r="C18" s="240">
        <v>0</v>
      </c>
      <c r="D18" s="240">
        <v>0</v>
      </c>
      <c r="E18" s="240">
        <v>0</v>
      </c>
      <c r="F18" s="240">
        <v>4</v>
      </c>
      <c r="G18" s="241">
        <f>SUM(B18:F18)</f>
        <v>7</v>
      </c>
      <c r="H18" s="50"/>
      <c r="J18" s="49"/>
      <c r="K18" s="242"/>
      <c r="M18" s="49"/>
      <c r="P18" s="49"/>
    </row>
    <row r="19" spans="1:44" ht="15" customHeight="1">
      <c r="A19" s="239" t="s">
        <v>18</v>
      </c>
      <c r="B19" s="240">
        <v>0</v>
      </c>
      <c r="C19" s="240">
        <v>0</v>
      </c>
      <c r="D19" s="240">
        <v>0</v>
      </c>
      <c r="E19" s="240">
        <v>0</v>
      </c>
      <c r="F19" s="240">
        <v>0</v>
      </c>
      <c r="G19" s="241">
        <f>SUM(B19:F19)</f>
        <v>0</v>
      </c>
      <c r="H19" s="50"/>
    </row>
    <row r="20" spans="1:44" ht="15" customHeight="1">
      <c r="A20" s="243" t="s">
        <v>19</v>
      </c>
      <c r="B20" s="238" t="s">
        <v>6</v>
      </c>
      <c r="C20" s="238" t="s">
        <v>7</v>
      </c>
      <c r="D20" s="238" t="s">
        <v>8</v>
      </c>
      <c r="E20" s="238" t="s">
        <v>9</v>
      </c>
      <c r="F20" s="238" t="s">
        <v>10</v>
      </c>
      <c r="G20" s="238" t="s">
        <v>11</v>
      </c>
    </row>
    <row r="21" spans="1:44" ht="15" customHeight="1">
      <c r="A21" s="239" t="s">
        <v>51</v>
      </c>
      <c r="B21" s="240">
        <v>188</v>
      </c>
      <c r="C21" s="240">
        <v>346</v>
      </c>
      <c r="D21" s="240">
        <v>279</v>
      </c>
      <c r="E21" s="240">
        <v>179</v>
      </c>
      <c r="F21" s="240">
        <v>125</v>
      </c>
      <c r="G21" s="241">
        <f t="shared" ref="G21:G27" si="8">SUM(B21:F21)</f>
        <v>1117</v>
      </c>
    </row>
    <row r="22" spans="1:44" ht="15" customHeight="1">
      <c r="A22" s="239" t="s">
        <v>21</v>
      </c>
      <c r="B22" s="240">
        <v>40</v>
      </c>
      <c r="C22" s="240">
        <v>79</v>
      </c>
      <c r="D22" s="240">
        <v>27</v>
      </c>
      <c r="E22" s="240">
        <v>53</v>
      </c>
      <c r="F22" s="240">
        <v>45</v>
      </c>
      <c r="G22" s="241">
        <f t="shared" si="8"/>
        <v>244</v>
      </c>
      <c r="J22" s="40"/>
      <c r="K22" s="41"/>
      <c r="L22" s="42"/>
    </row>
    <row r="23" spans="1:44" s="38" customFormat="1" ht="15" customHeight="1">
      <c r="A23" s="239" t="s">
        <v>22</v>
      </c>
      <c r="B23" s="240">
        <v>7</v>
      </c>
      <c r="C23" s="240">
        <v>1</v>
      </c>
      <c r="D23" s="240">
        <v>8</v>
      </c>
      <c r="E23" s="240">
        <v>1</v>
      </c>
      <c r="F23" s="240">
        <v>3</v>
      </c>
      <c r="G23" s="241">
        <f t="shared" si="8"/>
        <v>20</v>
      </c>
      <c r="H23" s="43"/>
    </row>
    <row r="24" spans="1:44" ht="15" customHeight="1">
      <c r="A24" s="239" t="s">
        <v>23</v>
      </c>
      <c r="B24" s="240">
        <v>1</v>
      </c>
      <c r="C24" s="240">
        <v>5</v>
      </c>
      <c r="D24" s="240">
        <v>7</v>
      </c>
      <c r="E24" s="240">
        <v>0</v>
      </c>
      <c r="F24" s="240">
        <v>4</v>
      </c>
      <c r="G24" s="241">
        <f t="shared" si="8"/>
        <v>17</v>
      </c>
    </row>
    <row r="25" spans="1:44" ht="15" customHeight="1">
      <c r="A25" s="239" t="s">
        <v>24</v>
      </c>
      <c r="B25" s="240">
        <v>19</v>
      </c>
      <c r="C25" s="240">
        <v>44</v>
      </c>
      <c r="D25" s="240">
        <v>12</v>
      </c>
      <c r="E25" s="240">
        <v>8</v>
      </c>
      <c r="F25" s="240">
        <v>10</v>
      </c>
      <c r="G25" s="241">
        <f>SUM(B25:F25)</f>
        <v>93</v>
      </c>
      <c r="H25" s="40"/>
    </row>
    <row r="26" spans="1:44" ht="15" customHeight="1">
      <c r="A26" s="239" t="s">
        <v>25</v>
      </c>
      <c r="B26" s="240">
        <v>2</v>
      </c>
      <c r="C26" s="240">
        <v>0</v>
      </c>
      <c r="D26" s="240">
        <v>38</v>
      </c>
      <c r="E26" s="240">
        <v>6</v>
      </c>
      <c r="F26" s="240">
        <v>4</v>
      </c>
      <c r="G26" s="241">
        <f t="shared" si="8"/>
        <v>50</v>
      </c>
      <c r="H26" s="48"/>
    </row>
    <row r="27" spans="1:44" ht="15" customHeight="1">
      <c r="A27" s="239" t="s">
        <v>26</v>
      </c>
      <c r="B27" s="240">
        <v>2</v>
      </c>
      <c r="C27" s="240">
        <v>6</v>
      </c>
      <c r="D27" s="240">
        <v>4</v>
      </c>
      <c r="E27" s="240">
        <v>0</v>
      </c>
      <c r="F27" s="240">
        <v>2</v>
      </c>
      <c r="G27" s="241">
        <f t="shared" si="8"/>
        <v>14</v>
      </c>
      <c r="H27" s="40"/>
    </row>
    <row r="28" spans="1:44">
      <c r="A28" s="244" t="s">
        <v>11</v>
      </c>
      <c r="B28" s="245">
        <f>SUM(B16:B27)</f>
        <v>280</v>
      </c>
      <c r="C28" s="245">
        <f>SUM(C16:C27)</f>
        <v>481</v>
      </c>
      <c r="D28" s="245">
        <f>SUM(D16:D27)</f>
        <v>375</v>
      </c>
      <c r="E28" s="245">
        <f>SUM(E16:E27)</f>
        <v>287</v>
      </c>
      <c r="F28" s="245">
        <f>SUM(F16:F27)</f>
        <v>202</v>
      </c>
      <c r="G28" s="37"/>
    </row>
    <row r="31" spans="1:44" ht="12.6" thickBot="1">
      <c r="A31" s="253" t="s">
        <v>341</v>
      </c>
      <c r="B31" s="254"/>
      <c r="C31" s="254"/>
      <c r="D31" s="255"/>
      <c r="E31" s="266">
        <v>4</v>
      </c>
      <c r="F31" s="267"/>
      <c r="G31" s="265">
        <v>5</v>
      </c>
      <c r="H31" s="265"/>
      <c r="I31" s="265">
        <v>6</v>
      </c>
      <c r="J31" s="265"/>
      <c r="K31" s="265">
        <v>7</v>
      </c>
      <c r="L31" s="265"/>
      <c r="M31" s="265">
        <v>8</v>
      </c>
      <c r="N31" s="265"/>
      <c r="O31" s="265">
        <v>11</v>
      </c>
      <c r="P31" s="265"/>
      <c r="Q31" s="264">
        <v>12</v>
      </c>
      <c r="R31" s="264"/>
      <c r="S31" s="264">
        <v>13</v>
      </c>
      <c r="T31" s="264"/>
      <c r="U31" s="264">
        <v>14</v>
      </c>
      <c r="V31" s="264"/>
      <c r="W31" s="264">
        <v>15</v>
      </c>
      <c r="X31" s="264"/>
      <c r="Y31" s="265">
        <v>18</v>
      </c>
      <c r="Z31" s="265"/>
      <c r="AA31" s="265">
        <v>19</v>
      </c>
      <c r="AB31" s="265"/>
      <c r="AC31" s="264">
        <v>20</v>
      </c>
      <c r="AD31" s="264"/>
      <c r="AE31" s="264">
        <v>21</v>
      </c>
      <c r="AF31" s="264"/>
      <c r="AG31" s="264">
        <v>22</v>
      </c>
      <c r="AH31" s="264"/>
      <c r="AI31" s="264">
        <v>25</v>
      </c>
      <c r="AJ31" s="264"/>
      <c r="AK31" s="264">
        <v>26</v>
      </c>
      <c r="AL31" s="264"/>
      <c r="AM31" s="264">
        <v>27</v>
      </c>
      <c r="AN31" s="264"/>
      <c r="AO31" s="264">
        <v>28</v>
      </c>
      <c r="AP31" s="264"/>
      <c r="AQ31" s="264">
        <v>29</v>
      </c>
      <c r="AR31" s="264"/>
    </row>
    <row r="32" spans="1:44">
      <c r="A32" s="246" t="s">
        <v>1</v>
      </c>
      <c r="B32" s="246" t="s">
        <v>2</v>
      </c>
      <c r="C32" s="246" t="s">
        <v>3</v>
      </c>
      <c r="D32" s="247" t="s">
        <v>4</v>
      </c>
      <c r="E32" s="230" t="s">
        <v>2</v>
      </c>
      <c r="F32" s="231" t="s">
        <v>5</v>
      </c>
      <c r="G32" s="230" t="s">
        <v>2</v>
      </c>
      <c r="H32" s="231" t="s">
        <v>5</v>
      </c>
      <c r="I32" s="230" t="s">
        <v>2</v>
      </c>
      <c r="J32" s="231" t="s">
        <v>5</v>
      </c>
      <c r="K32" s="230" t="s">
        <v>2</v>
      </c>
      <c r="L32" s="231" t="s">
        <v>5</v>
      </c>
      <c r="M32" s="230" t="s">
        <v>2</v>
      </c>
      <c r="N32" s="231" t="s">
        <v>5</v>
      </c>
      <c r="O32" s="230" t="s">
        <v>2</v>
      </c>
      <c r="P32" s="231" t="s">
        <v>5</v>
      </c>
      <c r="Q32" s="230" t="s">
        <v>2</v>
      </c>
      <c r="R32" s="231" t="s">
        <v>5</v>
      </c>
      <c r="S32" s="230" t="s">
        <v>2</v>
      </c>
      <c r="T32" s="231" t="s">
        <v>5</v>
      </c>
      <c r="U32" s="230" t="s">
        <v>2</v>
      </c>
      <c r="V32" s="231" t="s">
        <v>5</v>
      </c>
      <c r="W32" s="230" t="s">
        <v>2</v>
      </c>
      <c r="X32" s="231" t="s">
        <v>5</v>
      </c>
      <c r="Y32" s="230" t="s">
        <v>2</v>
      </c>
      <c r="Z32" s="231" t="s">
        <v>5</v>
      </c>
      <c r="AA32" s="230" t="s">
        <v>2</v>
      </c>
      <c r="AB32" s="231" t="s">
        <v>5</v>
      </c>
      <c r="AC32" s="230" t="s">
        <v>2</v>
      </c>
      <c r="AD32" s="231" t="s">
        <v>5</v>
      </c>
      <c r="AE32" s="230" t="s">
        <v>2</v>
      </c>
      <c r="AF32" s="231" t="s">
        <v>5</v>
      </c>
      <c r="AG32" s="230" t="s">
        <v>2</v>
      </c>
      <c r="AH32" s="231" t="s">
        <v>5</v>
      </c>
      <c r="AI32" s="230" t="s">
        <v>2</v>
      </c>
      <c r="AJ32" s="231" t="s">
        <v>5</v>
      </c>
      <c r="AK32" s="230" t="s">
        <v>2</v>
      </c>
      <c r="AL32" s="231" t="s">
        <v>5</v>
      </c>
      <c r="AM32" s="230" t="s">
        <v>2</v>
      </c>
      <c r="AN32" s="231" t="s">
        <v>5</v>
      </c>
      <c r="AO32" s="230" t="s">
        <v>2</v>
      </c>
      <c r="AP32" s="231" t="s">
        <v>5</v>
      </c>
      <c r="AQ32" s="230" t="s">
        <v>2</v>
      </c>
      <c r="AR32" s="231" t="s">
        <v>5</v>
      </c>
    </row>
    <row r="33" spans="1:44">
      <c r="A33" s="232" t="s">
        <v>6</v>
      </c>
      <c r="B33" s="35">
        <f>E33+G33+I33+K33+M33+O33+Q33+S33+U33+W33+Y33+AA33+AC33+AE33+AG33+AI33+AK33+AM33+AO33+AQ33</f>
        <v>299</v>
      </c>
      <c r="C33" s="35">
        <f>F33+H33+J33+L33+N33+P33+R33+T33+V33+X33+Z33+AB33+AD33+AF33+AH33+AJ33+AL33+AN33+AP33+AR33</f>
        <v>275</v>
      </c>
      <c r="D33" s="36">
        <f t="shared" ref="D33:D37" si="9">C33/B33</f>
        <v>0.91973244147157196</v>
      </c>
      <c r="E33" s="33">
        <v>15</v>
      </c>
      <c r="F33" s="33">
        <v>2</v>
      </c>
      <c r="G33" s="33">
        <v>15</v>
      </c>
      <c r="H33" s="33">
        <v>0</v>
      </c>
      <c r="I33" s="33">
        <v>15</v>
      </c>
      <c r="J33" s="33">
        <v>1</v>
      </c>
      <c r="K33" s="33">
        <v>15</v>
      </c>
      <c r="L33" s="33">
        <v>0</v>
      </c>
      <c r="M33" s="33">
        <v>15</v>
      </c>
      <c r="N33" s="33">
        <v>7</v>
      </c>
      <c r="O33" s="33">
        <v>15</v>
      </c>
      <c r="P33" s="33">
        <v>1</v>
      </c>
      <c r="Q33" s="33">
        <v>15</v>
      </c>
      <c r="R33" s="33">
        <v>13</v>
      </c>
      <c r="S33" s="33">
        <v>15</v>
      </c>
      <c r="T33" s="33">
        <v>22</v>
      </c>
      <c r="U33" s="33">
        <v>15</v>
      </c>
      <c r="V33" s="33">
        <v>6</v>
      </c>
      <c r="W33" s="33">
        <v>15</v>
      </c>
      <c r="X33" s="33">
        <v>31</v>
      </c>
      <c r="Y33" s="33">
        <v>15</v>
      </c>
      <c r="Z33" s="33">
        <v>31</v>
      </c>
      <c r="AA33" s="33">
        <v>15</v>
      </c>
      <c r="AB33" s="33">
        <f>40/2</f>
        <v>20</v>
      </c>
      <c r="AC33" s="33">
        <v>15</v>
      </c>
      <c r="AD33" s="33">
        <v>20</v>
      </c>
      <c r="AE33" s="33">
        <v>15</v>
      </c>
      <c r="AF33" s="33">
        <v>12</v>
      </c>
      <c r="AG33" s="33">
        <v>15</v>
      </c>
      <c r="AH33" s="33">
        <v>6</v>
      </c>
      <c r="AI33" s="33">
        <v>15</v>
      </c>
      <c r="AJ33" s="33">
        <v>19</v>
      </c>
      <c r="AK33" s="33">
        <v>15</v>
      </c>
      <c r="AL33" s="33">
        <v>24</v>
      </c>
      <c r="AM33" s="33">
        <v>15</v>
      </c>
      <c r="AN33" s="33">
        <v>9</v>
      </c>
      <c r="AO33" s="33">
        <v>15</v>
      </c>
      <c r="AP33" s="33">
        <v>4</v>
      </c>
      <c r="AQ33" s="33">
        <v>14</v>
      </c>
      <c r="AR33" s="33">
        <v>47</v>
      </c>
    </row>
    <row r="34" spans="1:44">
      <c r="A34" s="232" t="s">
        <v>8</v>
      </c>
      <c r="B34" s="35">
        <f t="shared" ref="B34:C37" si="10">E34+G34+I34+K34+M34+O34+Q34+S34+U34+W34+Y34+AA34+AC34+AE34+AG34+AI34+AK34+AM34+AO34+AQ34</f>
        <v>257</v>
      </c>
      <c r="C34" s="35">
        <f t="shared" si="10"/>
        <v>344</v>
      </c>
      <c r="D34" s="36">
        <f t="shared" si="9"/>
        <v>1.33852140077821</v>
      </c>
      <c r="E34" s="33">
        <v>13</v>
      </c>
      <c r="F34" s="33">
        <v>0</v>
      </c>
      <c r="G34" s="33">
        <v>13</v>
      </c>
      <c r="H34" s="33">
        <v>0</v>
      </c>
      <c r="I34" s="33">
        <v>13</v>
      </c>
      <c r="J34" s="33">
        <v>0</v>
      </c>
      <c r="K34" s="33">
        <v>13</v>
      </c>
      <c r="L34" s="33">
        <v>2</v>
      </c>
      <c r="M34" s="33">
        <v>13</v>
      </c>
      <c r="N34" s="33">
        <v>1</v>
      </c>
      <c r="O34" s="33">
        <v>13</v>
      </c>
      <c r="P34" s="33">
        <v>2</v>
      </c>
      <c r="Q34" s="33">
        <v>13</v>
      </c>
      <c r="R34" s="233">
        <v>15</v>
      </c>
      <c r="S34" s="33">
        <v>13</v>
      </c>
      <c r="T34" s="33">
        <v>18</v>
      </c>
      <c r="U34" s="33">
        <v>13</v>
      </c>
      <c r="V34" s="33">
        <v>24</v>
      </c>
      <c r="W34" s="33">
        <v>13</v>
      </c>
      <c r="X34" s="33">
        <v>29</v>
      </c>
      <c r="Y34" s="33">
        <v>13</v>
      </c>
      <c r="Z34" s="33">
        <v>28</v>
      </c>
      <c r="AA34" s="33">
        <v>13</v>
      </c>
      <c r="AB34" s="33">
        <v>4</v>
      </c>
      <c r="AC34" s="33">
        <v>13</v>
      </c>
      <c r="AD34" s="33">
        <v>20</v>
      </c>
      <c r="AE34" s="33">
        <v>13</v>
      </c>
      <c r="AF34" s="33">
        <v>30</v>
      </c>
      <c r="AG34" s="33">
        <v>13</v>
      </c>
      <c r="AH34" s="33">
        <v>42</v>
      </c>
      <c r="AI34" s="33">
        <v>13</v>
      </c>
      <c r="AJ34" s="33">
        <v>39</v>
      </c>
      <c r="AK34" s="33">
        <v>13</v>
      </c>
      <c r="AL34" s="33">
        <v>51</v>
      </c>
      <c r="AM34" s="33">
        <v>13</v>
      </c>
      <c r="AN34" s="33">
        <v>20</v>
      </c>
      <c r="AO34" s="33">
        <v>10</v>
      </c>
      <c r="AP34" s="33">
        <v>0</v>
      </c>
      <c r="AQ34" s="33">
        <v>13</v>
      </c>
      <c r="AR34" s="33">
        <v>19</v>
      </c>
    </row>
    <row r="35" spans="1:44">
      <c r="A35" s="232" t="s">
        <v>7</v>
      </c>
      <c r="B35" s="35">
        <f>E35+G35+I35+K35+M35+O35+Q35+S35+U35+W35+Y35+AA35+AC35+AE35+AG35+AI35+AK35+AM35+AO35+AQ35</f>
        <v>508</v>
      </c>
      <c r="C35" s="35">
        <f>F35+H35+J35+L35+N35+P35+R35+T35+V35+X35+Z35+AB35+AD35+AF35+AH35+AJ35+AL35+AN35+AP35+AR35</f>
        <v>510</v>
      </c>
      <c r="D35" s="36">
        <f t="shared" si="9"/>
        <v>1.0039370078740157</v>
      </c>
      <c r="E35" s="33">
        <v>33</v>
      </c>
      <c r="F35" s="33">
        <v>0</v>
      </c>
      <c r="G35" s="33">
        <v>25</v>
      </c>
      <c r="H35" s="33">
        <v>0</v>
      </c>
      <c r="I35" s="33">
        <v>25</v>
      </c>
      <c r="J35" s="33">
        <v>4</v>
      </c>
      <c r="K35" s="33">
        <v>25</v>
      </c>
      <c r="L35" s="33">
        <v>6</v>
      </c>
      <c r="M35" s="33">
        <v>25</v>
      </c>
      <c r="N35" s="33">
        <v>14</v>
      </c>
      <c r="O35" s="33">
        <v>25</v>
      </c>
      <c r="P35" s="33">
        <v>11</v>
      </c>
      <c r="Q35" s="33">
        <v>25</v>
      </c>
      <c r="R35" s="233">
        <v>4</v>
      </c>
      <c r="S35" s="33">
        <v>25</v>
      </c>
      <c r="T35" s="33">
        <v>26</v>
      </c>
      <c r="U35" s="33">
        <v>25</v>
      </c>
      <c r="V35" s="33">
        <v>12</v>
      </c>
      <c r="W35" s="33">
        <v>25</v>
      </c>
      <c r="X35" s="33">
        <v>38</v>
      </c>
      <c r="Y35" s="33">
        <v>25</v>
      </c>
      <c r="Z35" s="33">
        <v>20</v>
      </c>
      <c r="AA35" s="33">
        <v>25</v>
      </c>
      <c r="AB35" s="33">
        <v>7</v>
      </c>
      <c r="AC35" s="33">
        <v>25</v>
      </c>
      <c r="AD35" s="33">
        <v>10</v>
      </c>
      <c r="AE35" s="33">
        <v>25</v>
      </c>
      <c r="AF35" s="33">
        <v>32</v>
      </c>
      <c r="AG35" s="33">
        <v>25</v>
      </c>
      <c r="AH35" s="33">
        <v>41</v>
      </c>
      <c r="AI35" s="33">
        <v>25</v>
      </c>
      <c r="AJ35" s="33">
        <v>57</v>
      </c>
      <c r="AK35" s="33">
        <v>25</v>
      </c>
      <c r="AL35" s="33">
        <v>60</v>
      </c>
      <c r="AM35" s="33">
        <v>25</v>
      </c>
      <c r="AN35" s="33">
        <v>60</v>
      </c>
      <c r="AO35" s="33">
        <v>25</v>
      </c>
      <c r="AP35" s="33">
        <v>62</v>
      </c>
      <c r="AQ35" s="33">
        <v>25</v>
      </c>
      <c r="AR35" s="33">
        <v>46</v>
      </c>
    </row>
    <row r="36" spans="1:44">
      <c r="A36" s="232" t="s">
        <v>9</v>
      </c>
      <c r="B36" s="35">
        <f t="shared" si="10"/>
        <v>326</v>
      </c>
      <c r="C36" s="35">
        <f>F36+H36+J36+L36+N36+P36+R36+T36+V36+X36+Z36+AB36+AD36+AF36+AH36+AJ36+AL36+AN36+AP36+AR36</f>
        <v>331</v>
      </c>
      <c r="D36" s="36">
        <f t="shared" si="9"/>
        <v>1.0153374233128833</v>
      </c>
      <c r="E36" s="33">
        <v>22</v>
      </c>
      <c r="F36" s="33">
        <v>31</v>
      </c>
      <c r="G36" s="33">
        <v>16</v>
      </c>
      <c r="H36" s="33">
        <v>24</v>
      </c>
      <c r="I36" s="33">
        <v>16</v>
      </c>
      <c r="J36" s="33">
        <v>5</v>
      </c>
      <c r="K36" s="33">
        <v>16</v>
      </c>
      <c r="L36" s="33">
        <v>7</v>
      </c>
      <c r="M36" s="33">
        <v>16</v>
      </c>
      <c r="N36" s="33">
        <v>28</v>
      </c>
      <c r="O36" s="33">
        <v>16</v>
      </c>
      <c r="P36" s="33">
        <v>16</v>
      </c>
      <c r="Q36" s="33">
        <v>16</v>
      </c>
      <c r="R36" s="233">
        <v>1</v>
      </c>
      <c r="S36" s="33">
        <v>16</v>
      </c>
      <c r="T36" s="33">
        <v>25</v>
      </c>
      <c r="U36" s="33">
        <v>16</v>
      </c>
      <c r="V36" s="33">
        <v>14</v>
      </c>
      <c r="W36" s="33">
        <v>16</v>
      </c>
      <c r="X36" s="33">
        <v>5</v>
      </c>
      <c r="Y36" s="33">
        <v>16</v>
      </c>
      <c r="Z36" s="33">
        <v>17</v>
      </c>
      <c r="AA36" s="33">
        <v>16</v>
      </c>
      <c r="AB36" s="33">
        <v>0</v>
      </c>
      <c r="AC36" s="33">
        <v>16</v>
      </c>
      <c r="AD36" s="33">
        <v>0</v>
      </c>
      <c r="AE36" s="33">
        <v>16</v>
      </c>
      <c r="AF36" s="33">
        <v>0</v>
      </c>
      <c r="AG36" s="33">
        <v>16</v>
      </c>
      <c r="AH36" s="33">
        <v>0</v>
      </c>
      <c r="AI36" s="33">
        <v>16</v>
      </c>
      <c r="AJ36" s="33">
        <v>31</v>
      </c>
      <c r="AK36" s="33">
        <v>16</v>
      </c>
      <c r="AL36" s="33">
        <v>40</v>
      </c>
      <c r="AM36" s="33">
        <v>16</v>
      </c>
      <c r="AN36" s="33">
        <v>32</v>
      </c>
      <c r="AO36" s="33">
        <v>16</v>
      </c>
      <c r="AP36" s="33">
        <v>30</v>
      </c>
      <c r="AQ36" s="33">
        <v>16</v>
      </c>
      <c r="AR36" s="33">
        <v>25</v>
      </c>
    </row>
    <row r="37" spans="1:44">
      <c r="A37" s="232" t="s">
        <v>10</v>
      </c>
      <c r="B37" s="35">
        <f t="shared" si="10"/>
        <v>233</v>
      </c>
      <c r="C37" s="35">
        <f>F37+H37+J37+L37+N37+P37+R37+T37+V37+X37+Z37+AB37+AD37+AF37+AH37+AJ37+AL37+AN37+AP37+AR37</f>
        <v>241</v>
      </c>
      <c r="D37" s="36">
        <f t="shared" si="9"/>
        <v>1.0343347639484979</v>
      </c>
      <c r="E37" s="33">
        <v>12</v>
      </c>
      <c r="F37" s="33">
        <v>0</v>
      </c>
      <c r="G37" s="33">
        <v>12</v>
      </c>
      <c r="H37" s="33">
        <v>1</v>
      </c>
      <c r="I37" s="33">
        <v>12</v>
      </c>
      <c r="J37" s="33">
        <v>1</v>
      </c>
      <c r="K37" s="33">
        <v>12</v>
      </c>
      <c r="L37" s="33">
        <v>8</v>
      </c>
      <c r="M37" s="33">
        <v>12</v>
      </c>
      <c r="N37" s="33">
        <v>3</v>
      </c>
      <c r="O37" s="33">
        <v>12</v>
      </c>
      <c r="P37" s="33">
        <v>0</v>
      </c>
      <c r="Q37" s="33">
        <v>12</v>
      </c>
      <c r="R37" s="233">
        <v>21</v>
      </c>
      <c r="S37" s="33">
        <v>12</v>
      </c>
      <c r="T37" s="33">
        <v>11</v>
      </c>
      <c r="U37" s="33">
        <v>12</v>
      </c>
      <c r="V37" s="33">
        <v>19</v>
      </c>
      <c r="W37" s="33">
        <v>12</v>
      </c>
      <c r="X37" s="33">
        <v>1</v>
      </c>
      <c r="Y37" s="33">
        <v>12</v>
      </c>
      <c r="Z37" s="33">
        <v>29</v>
      </c>
      <c r="AA37" s="33">
        <v>12</v>
      </c>
      <c r="AB37" s="33">
        <v>6</v>
      </c>
      <c r="AC37" s="33">
        <v>12</v>
      </c>
      <c r="AD37" s="33">
        <v>1</v>
      </c>
      <c r="AE37" s="33">
        <v>12</v>
      </c>
      <c r="AF37" s="33">
        <v>3</v>
      </c>
      <c r="AG37" s="33">
        <v>12</v>
      </c>
      <c r="AH37" s="33">
        <v>35</v>
      </c>
      <c r="AI37" s="33">
        <v>12</v>
      </c>
      <c r="AJ37" s="33">
        <v>36</v>
      </c>
      <c r="AK37" s="33">
        <v>12</v>
      </c>
      <c r="AL37" s="33">
        <v>26</v>
      </c>
      <c r="AM37" s="33">
        <v>12</v>
      </c>
      <c r="AN37" s="33">
        <v>20</v>
      </c>
      <c r="AO37" s="33">
        <v>12</v>
      </c>
      <c r="AP37" s="33">
        <v>16</v>
      </c>
      <c r="AQ37" s="33">
        <v>5</v>
      </c>
      <c r="AR37" s="33">
        <v>4</v>
      </c>
    </row>
    <row r="38" spans="1:44">
      <c r="A38" s="227" t="s">
        <v>11</v>
      </c>
      <c r="B38" s="227">
        <f>SUM(B33:B37)</f>
        <v>1623</v>
      </c>
      <c r="C38" s="227">
        <f>SUM(C33:C37)</f>
        <v>1701</v>
      </c>
      <c r="D38" s="248">
        <f>C38/B38</f>
        <v>1.0480591497227356</v>
      </c>
      <c r="E38" s="227">
        <f t="shared" ref="E38:AR38" si="11">SUM(E33:E37)</f>
        <v>95</v>
      </c>
      <c r="F38" s="227">
        <f t="shared" si="11"/>
        <v>33</v>
      </c>
      <c r="G38" s="227">
        <f t="shared" si="11"/>
        <v>81</v>
      </c>
      <c r="H38" s="227">
        <f t="shared" si="11"/>
        <v>25</v>
      </c>
      <c r="I38" s="227">
        <f t="shared" si="11"/>
        <v>81</v>
      </c>
      <c r="J38" s="227">
        <f t="shared" si="11"/>
        <v>11</v>
      </c>
      <c r="K38" s="227">
        <f t="shared" si="11"/>
        <v>81</v>
      </c>
      <c r="L38" s="227">
        <f t="shared" si="11"/>
        <v>23</v>
      </c>
      <c r="M38" s="227">
        <f t="shared" si="11"/>
        <v>81</v>
      </c>
      <c r="N38" s="227">
        <f t="shared" si="11"/>
        <v>53</v>
      </c>
      <c r="O38" s="227">
        <f t="shared" si="11"/>
        <v>81</v>
      </c>
      <c r="P38" s="227">
        <f t="shared" si="11"/>
        <v>30</v>
      </c>
      <c r="Q38" s="227">
        <f t="shared" si="11"/>
        <v>81</v>
      </c>
      <c r="R38" s="227">
        <f t="shared" si="11"/>
        <v>54</v>
      </c>
      <c r="S38" s="227">
        <f t="shared" si="11"/>
        <v>81</v>
      </c>
      <c r="T38" s="227">
        <f t="shared" si="11"/>
        <v>102</v>
      </c>
      <c r="U38" s="227">
        <f>SUM(U33:U37)</f>
        <v>81</v>
      </c>
      <c r="V38" s="227">
        <f t="shared" si="11"/>
        <v>75</v>
      </c>
      <c r="W38" s="227">
        <f t="shared" si="11"/>
        <v>81</v>
      </c>
      <c r="X38" s="227">
        <f t="shared" si="11"/>
        <v>104</v>
      </c>
      <c r="Y38" s="227">
        <f t="shared" si="11"/>
        <v>81</v>
      </c>
      <c r="Z38" s="227">
        <f t="shared" si="11"/>
        <v>125</v>
      </c>
      <c r="AA38" s="227">
        <f t="shared" si="11"/>
        <v>81</v>
      </c>
      <c r="AB38" s="227">
        <f t="shared" si="11"/>
        <v>37</v>
      </c>
      <c r="AC38" s="227">
        <f t="shared" si="11"/>
        <v>81</v>
      </c>
      <c r="AD38" s="227">
        <f t="shared" si="11"/>
        <v>51</v>
      </c>
      <c r="AE38" s="227">
        <f t="shared" si="11"/>
        <v>81</v>
      </c>
      <c r="AF38" s="227">
        <f t="shared" si="11"/>
        <v>77</v>
      </c>
      <c r="AG38" s="227">
        <f t="shared" si="11"/>
        <v>81</v>
      </c>
      <c r="AH38" s="227">
        <f t="shared" si="11"/>
        <v>124</v>
      </c>
      <c r="AI38" s="227">
        <f t="shared" si="11"/>
        <v>81</v>
      </c>
      <c r="AJ38" s="227">
        <f t="shared" si="11"/>
        <v>182</v>
      </c>
      <c r="AK38" s="227">
        <f t="shared" si="11"/>
        <v>81</v>
      </c>
      <c r="AL38" s="227">
        <f t="shared" si="11"/>
        <v>201</v>
      </c>
      <c r="AM38" s="227">
        <f t="shared" si="11"/>
        <v>81</v>
      </c>
      <c r="AN38" s="227">
        <f t="shared" si="11"/>
        <v>141</v>
      </c>
      <c r="AO38" s="227">
        <f t="shared" si="11"/>
        <v>78</v>
      </c>
      <c r="AP38" s="227">
        <f t="shared" si="11"/>
        <v>112</v>
      </c>
      <c r="AQ38" s="227">
        <f t="shared" si="11"/>
        <v>73</v>
      </c>
      <c r="AR38" s="227">
        <f t="shared" si="11"/>
        <v>141</v>
      </c>
    </row>
    <row r="41" spans="1:44">
      <c r="C41" s="210"/>
    </row>
    <row r="42" spans="1:44">
      <c r="A42" s="251"/>
      <c r="C42" s="210"/>
    </row>
    <row r="43" spans="1:44" ht="13.2">
      <c r="A43" s="61" t="s">
        <v>333</v>
      </c>
      <c r="B43" s="61" t="s">
        <v>330</v>
      </c>
      <c r="C43" s="210"/>
    </row>
    <row r="44" spans="1:44" ht="13.2">
      <c r="A44" s="61" t="s">
        <v>55</v>
      </c>
      <c r="B44" s="183">
        <f>'EVOLUCAO DOS MESES'!D28</f>
        <v>0</v>
      </c>
      <c r="C44" s="210"/>
    </row>
    <row r="45" spans="1:44" ht="13.2">
      <c r="A45" s="61" t="s">
        <v>6</v>
      </c>
      <c r="B45" s="183">
        <f>'EVOLUCAO DOS MESES'!D29</f>
        <v>5323.0600020000011</v>
      </c>
      <c r="C45" s="210"/>
    </row>
    <row r="46" spans="1:44" ht="13.2">
      <c r="A46" s="61" t="s">
        <v>7</v>
      </c>
      <c r="B46" s="183">
        <f>'EVOLUCAO DOS MESES'!D30</f>
        <v>10823.154999999999</v>
      </c>
    </row>
    <row r="47" spans="1:44" ht="13.2">
      <c r="A47" s="61" t="s">
        <v>8</v>
      </c>
      <c r="B47" s="183">
        <f>'EVOLUCAO DOS MESES'!D31</f>
        <v>1370.55</v>
      </c>
    </row>
    <row r="48" spans="1:44" ht="13.2">
      <c r="A48" s="66" t="s">
        <v>56</v>
      </c>
      <c r="B48" s="252">
        <f>'EVOLUCAO DOS MESES'!D32</f>
        <v>5969.51</v>
      </c>
    </row>
    <row r="49" spans="1:2" ht="13.2">
      <c r="A49" s="61" t="s">
        <v>10</v>
      </c>
      <c r="B49" s="183">
        <f>'EVOLUCAO DOS MESES'!D33</f>
        <v>7196.7099980000012</v>
      </c>
    </row>
    <row r="50" spans="1:2" ht="13.2">
      <c r="A50" s="61" t="s">
        <v>343</v>
      </c>
      <c r="B50" s="183">
        <f>SUM(B44:B49)</f>
        <v>30682.985000000004</v>
      </c>
    </row>
  </sheetData>
  <mergeCells count="43">
    <mergeCell ref="M3:N3"/>
    <mergeCell ref="A3:D3"/>
    <mergeCell ref="E3:F3"/>
    <mergeCell ref="G3:H3"/>
    <mergeCell ref="I3:J3"/>
    <mergeCell ref="K3:L3"/>
    <mergeCell ref="AK3:AL3"/>
    <mergeCell ref="O3:P3"/>
    <mergeCell ref="Q3:R3"/>
    <mergeCell ref="S3:T3"/>
    <mergeCell ref="U3:V3"/>
    <mergeCell ref="W3:X3"/>
    <mergeCell ref="Y3:Z3"/>
    <mergeCell ref="Y31:Z31"/>
    <mergeCell ref="AM3:AN3"/>
    <mergeCell ref="AO3:AP3"/>
    <mergeCell ref="AQ3:AR3"/>
    <mergeCell ref="A14:G14"/>
    <mergeCell ref="A31:D31"/>
    <mergeCell ref="E31:F31"/>
    <mergeCell ref="G31:H31"/>
    <mergeCell ref="I31:J31"/>
    <mergeCell ref="K31:L31"/>
    <mergeCell ref="M31:N31"/>
    <mergeCell ref="AA3:AB3"/>
    <mergeCell ref="AC3:AD3"/>
    <mergeCell ref="AE3:AF3"/>
    <mergeCell ref="AG3:AH3"/>
    <mergeCell ref="AI3:AJ3"/>
    <mergeCell ref="O31:P31"/>
    <mergeCell ref="Q31:R31"/>
    <mergeCell ref="S31:T31"/>
    <mergeCell ref="U31:V31"/>
    <mergeCell ref="W31:X31"/>
    <mergeCell ref="AM31:AN31"/>
    <mergeCell ref="AO31:AP31"/>
    <mergeCell ref="AQ31:AR31"/>
    <mergeCell ref="AA31:AB31"/>
    <mergeCell ref="AC31:AD31"/>
    <mergeCell ref="AE31:AF31"/>
    <mergeCell ref="AG31:AH31"/>
    <mergeCell ref="AI31:AJ31"/>
    <mergeCell ref="AK31:AL31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 tint="-0.249977111117893"/>
  </sheetPr>
  <dimension ref="A2:AT50"/>
  <sheetViews>
    <sheetView showGridLines="0" topLeftCell="A2" workbookViewId="0">
      <selection activeCell="C11" sqref="C11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>
      <c r="A2" s="30" t="s">
        <v>330</v>
      </c>
      <c r="B2" s="250">
        <f>'EVOLUCAO DOS MESES'!E12</f>
        <v>8711.02</v>
      </c>
    </row>
    <row r="3" spans="1:46" ht="12.6" thickBot="1">
      <c r="A3" s="271" t="s">
        <v>0</v>
      </c>
      <c r="B3" s="272"/>
      <c r="C3" s="272"/>
      <c r="D3" s="272"/>
      <c r="E3" s="277">
        <v>1</v>
      </c>
      <c r="F3" s="276"/>
      <c r="G3" s="275">
        <v>2</v>
      </c>
      <c r="H3" s="276"/>
      <c r="I3" s="275">
        <v>3</v>
      </c>
      <c r="J3" s="276"/>
      <c r="K3" s="275">
        <v>5</v>
      </c>
      <c r="L3" s="276"/>
      <c r="M3" s="275">
        <v>8</v>
      </c>
      <c r="N3" s="276"/>
      <c r="O3" s="275">
        <v>9</v>
      </c>
      <c r="P3" s="276"/>
      <c r="Q3" s="273">
        <v>10</v>
      </c>
      <c r="R3" s="274"/>
      <c r="S3" s="273">
        <v>11</v>
      </c>
      <c r="T3" s="274"/>
      <c r="U3" s="273">
        <v>12</v>
      </c>
      <c r="V3" s="274"/>
      <c r="W3" s="273">
        <v>15</v>
      </c>
      <c r="X3" s="274"/>
      <c r="Y3" s="275">
        <v>16</v>
      </c>
      <c r="Z3" s="276"/>
      <c r="AA3" s="275">
        <v>17</v>
      </c>
      <c r="AB3" s="276"/>
      <c r="AC3" s="273">
        <v>18</v>
      </c>
      <c r="AD3" s="274"/>
      <c r="AE3" s="273">
        <v>19</v>
      </c>
      <c r="AF3" s="274"/>
      <c r="AG3" s="273">
        <v>22</v>
      </c>
      <c r="AH3" s="274"/>
      <c r="AI3" s="273">
        <v>23</v>
      </c>
      <c r="AJ3" s="274"/>
      <c r="AK3" s="273">
        <v>24</v>
      </c>
      <c r="AL3" s="274"/>
      <c r="AM3" s="273">
        <v>25</v>
      </c>
      <c r="AN3" s="274"/>
      <c r="AO3" s="273">
        <v>26</v>
      </c>
      <c r="AP3" s="274"/>
      <c r="AQ3" s="273">
        <v>29</v>
      </c>
      <c r="AR3" s="274"/>
      <c r="AS3" s="273">
        <v>30</v>
      </c>
      <c r="AT3" s="274"/>
    </row>
    <row r="4" spans="1:46">
      <c r="A4" s="140" t="s">
        <v>1</v>
      </c>
      <c r="B4" s="140" t="s">
        <v>2</v>
      </c>
      <c r="C4" s="140" t="s">
        <v>3</v>
      </c>
      <c r="D4" s="141" t="s">
        <v>4</v>
      </c>
      <c r="E4" s="142" t="s">
        <v>2</v>
      </c>
      <c r="F4" s="143" t="s">
        <v>5</v>
      </c>
      <c r="G4" s="142" t="s">
        <v>2</v>
      </c>
      <c r="H4" s="143" t="s">
        <v>5</v>
      </c>
      <c r="I4" s="142" t="s">
        <v>2</v>
      </c>
      <c r="J4" s="143" t="s">
        <v>5</v>
      </c>
      <c r="K4" s="142" t="s">
        <v>2</v>
      </c>
      <c r="L4" s="143" t="s">
        <v>5</v>
      </c>
      <c r="M4" s="142" t="s">
        <v>2</v>
      </c>
      <c r="N4" s="143" t="s">
        <v>5</v>
      </c>
      <c r="O4" s="142" t="s">
        <v>2</v>
      </c>
      <c r="P4" s="143" t="s">
        <v>5</v>
      </c>
      <c r="Q4" s="142" t="s">
        <v>2</v>
      </c>
      <c r="R4" s="143" t="s">
        <v>5</v>
      </c>
      <c r="S4" s="142" t="s">
        <v>2</v>
      </c>
      <c r="T4" s="143" t="s">
        <v>5</v>
      </c>
      <c r="U4" s="142" t="s">
        <v>2</v>
      </c>
      <c r="V4" s="143" t="s">
        <v>5</v>
      </c>
      <c r="W4" s="142" t="s">
        <v>2</v>
      </c>
      <c r="X4" s="143" t="s">
        <v>5</v>
      </c>
      <c r="Y4" s="142" t="s">
        <v>2</v>
      </c>
      <c r="Z4" s="143" t="s">
        <v>5</v>
      </c>
      <c r="AA4" s="142" t="s">
        <v>2</v>
      </c>
      <c r="AB4" s="143" t="s">
        <v>5</v>
      </c>
      <c r="AC4" s="142" t="s">
        <v>2</v>
      </c>
      <c r="AD4" s="143" t="s">
        <v>5</v>
      </c>
      <c r="AE4" s="142" t="s">
        <v>2</v>
      </c>
      <c r="AF4" s="143" t="s">
        <v>5</v>
      </c>
      <c r="AG4" s="142" t="s">
        <v>2</v>
      </c>
      <c r="AH4" s="143" t="s">
        <v>5</v>
      </c>
      <c r="AI4" s="142" t="s">
        <v>2</v>
      </c>
      <c r="AJ4" s="143" t="s">
        <v>5</v>
      </c>
      <c r="AK4" s="142" t="s">
        <v>2</v>
      </c>
      <c r="AL4" s="143" t="s">
        <v>5</v>
      </c>
      <c r="AM4" s="142" t="s">
        <v>2</v>
      </c>
      <c r="AN4" s="143" t="s">
        <v>5</v>
      </c>
      <c r="AO4" s="142" t="s">
        <v>2</v>
      </c>
      <c r="AP4" s="143" t="s">
        <v>5</v>
      </c>
      <c r="AQ4" s="142" t="s">
        <v>2</v>
      </c>
      <c r="AR4" s="143" t="s">
        <v>5</v>
      </c>
      <c r="AS4" s="142" t="s">
        <v>2</v>
      </c>
      <c r="AT4" s="143" t="s">
        <v>5</v>
      </c>
    </row>
    <row r="5" spans="1:46">
      <c r="A5" s="144" t="s">
        <v>6</v>
      </c>
      <c r="B5" s="31">
        <v>31</v>
      </c>
      <c r="C5" s="31">
        <v>15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7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>
      <c r="A6" s="144" t="s">
        <v>7</v>
      </c>
      <c r="B6" s="31">
        <v>48</v>
      </c>
      <c r="C6" s="31">
        <v>21</v>
      </c>
      <c r="D6" s="32">
        <v>0.44</v>
      </c>
      <c r="E6" s="33">
        <v>3</v>
      </c>
      <c r="F6" s="117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7">
        <v>3</v>
      </c>
      <c r="M6" s="33">
        <v>3</v>
      </c>
      <c r="N6" s="117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7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>
      <c r="A7" s="144" t="s">
        <v>8</v>
      </c>
      <c r="B7" s="31">
        <v>25</v>
      </c>
      <c r="C7" s="31">
        <v>5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7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>
      <c r="A8" s="144" t="s">
        <v>9</v>
      </c>
      <c r="B8" s="31">
        <v>30</v>
      </c>
      <c r="C8" s="31">
        <v>27</v>
      </c>
      <c r="D8" s="32">
        <v>0.9</v>
      </c>
      <c r="E8" s="33">
        <v>2</v>
      </c>
      <c r="F8" s="117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7">
        <v>1</v>
      </c>
      <c r="M8" s="33">
        <v>2</v>
      </c>
      <c r="N8" s="117">
        <v>0</v>
      </c>
      <c r="O8" s="33">
        <v>2</v>
      </c>
      <c r="P8" s="117">
        <v>1</v>
      </c>
      <c r="Q8" s="33">
        <v>2</v>
      </c>
      <c r="R8" s="117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7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>
      <c r="A9" s="144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7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>
      <c r="A10" s="145" t="s">
        <v>11</v>
      </c>
      <c r="B10" s="146">
        <v>159</v>
      </c>
      <c r="C10" s="146">
        <f>SUM(C5:C9)</f>
        <v>88</v>
      </c>
      <c r="D10" s="147">
        <v>0.55000000000000004</v>
      </c>
      <c r="E10" s="148">
        <v>8</v>
      </c>
      <c r="F10" s="148">
        <v>1</v>
      </c>
      <c r="G10" s="148">
        <v>8</v>
      </c>
      <c r="H10" s="148">
        <v>2</v>
      </c>
      <c r="I10" s="148">
        <v>8</v>
      </c>
      <c r="J10" s="148">
        <v>3</v>
      </c>
      <c r="K10" s="148">
        <v>8</v>
      </c>
      <c r="L10" s="148">
        <v>9</v>
      </c>
      <c r="M10" s="148">
        <v>8</v>
      </c>
      <c r="N10" s="148">
        <v>1</v>
      </c>
      <c r="O10" s="148">
        <v>8</v>
      </c>
      <c r="P10" s="148">
        <v>5</v>
      </c>
      <c r="Q10" s="148">
        <v>8</v>
      </c>
      <c r="R10" s="148">
        <v>4</v>
      </c>
      <c r="S10" s="148">
        <v>8</v>
      </c>
      <c r="T10" s="148">
        <v>8</v>
      </c>
      <c r="U10" s="148">
        <v>8</v>
      </c>
      <c r="V10" s="148">
        <v>4</v>
      </c>
      <c r="W10" s="148">
        <v>7</v>
      </c>
      <c r="X10" s="148">
        <v>2</v>
      </c>
      <c r="Y10" s="148">
        <v>7</v>
      </c>
      <c r="Z10" s="148">
        <v>2</v>
      </c>
      <c r="AA10" s="148">
        <v>8</v>
      </c>
      <c r="AB10" s="148">
        <v>3</v>
      </c>
      <c r="AC10" s="148">
        <v>7</v>
      </c>
      <c r="AD10" s="148">
        <v>9</v>
      </c>
      <c r="AE10" s="148">
        <v>6</v>
      </c>
      <c r="AF10" s="148">
        <v>5</v>
      </c>
      <c r="AG10" s="148">
        <v>6</v>
      </c>
      <c r="AH10" s="148">
        <v>1</v>
      </c>
      <c r="AI10" s="148">
        <v>6</v>
      </c>
      <c r="AJ10" s="148">
        <v>1</v>
      </c>
      <c r="AK10" s="148">
        <v>6</v>
      </c>
      <c r="AL10" s="148">
        <v>4</v>
      </c>
      <c r="AM10" s="148">
        <v>8</v>
      </c>
      <c r="AN10" s="148">
        <v>5</v>
      </c>
      <c r="AO10" s="148">
        <v>8</v>
      </c>
      <c r="AP10" s="148">
        <v>11</v>
      </c>
      <c r="AQ10" s="148">
        <v>8</v>
      </c>
      <c r="AR10" s="148">
        <v>1</v>
      </c>
      <c r="AS10" s="148">
        <v>8</v>
      </c>
      <c r="AT10" s="148">
        <v>7</v>
      </c>
    </row>
    <row r="11" spans="1:46">
      <c r="A11" s="53" t="s">
        <v>12</v>
      </c>
      <c r="B11" s="54">
        <v>218</v>
      </c>
      <c r="C11" s="39"/>
    </row>
    <row r="12" spans="1:46">
      <c r="A12" s="53" t="s">
        <v>13</v>
      </c>
      <c r="B12" s="54">
        <v>59</v>
      </c>
      <c r="C12" s="39"/>
    </row>
    <row r="13" spans="1:46" ht="12.6" thickBot="1"/>
    <row r="14" spans="1:46" ht="12.75" customHeight="1" thickBot="1">
      <c r="A14" s="269" t="s">
        <v>117</v>
      </c>
      <c r="B14" s="270"/>
      <c r="C14" s="270"/>
      <c r="D14" s="270"/>
      <c r="E14" s="270"/>
      <c r="F14" s="270"/>
      <c r="G14" s="270"/>
    </row>
    <row r="15" spans="1:46">
      <c r="A15" s="149" t="s">
        <v>14</v>
      </c>
      <c r="B15" s="149" t="s">
        <v>6</v>
      </c>
      <c r="C15" s="149" t="s">
        <v>7</v>
      </c>
      <c r="D15" s="149" t="s">
        <v>8</v>
      </c>
      <c r="E15" s="149" t="s">
        <v>9</v>
      </c>
      <c r="F15" s="149" t="s">
        <v>10</v>
      </c>
      <c r="G15" s="149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>
      <c r="A16" s="150" t="s">
        <v>15</v>
      </c>
      <c r="B16" s="116">
        <v>35</v>
      </c>
      <c r="C16" s="102">
        <v>0</v>
      </c>
      <c r="D16" s="102">
        <v>0</v>
      </c>
      <c r="E16" s="102">
        <v>11</v>
      </c>
      <c r="F16" s="102">
        <v>6</v>
      </c>
      <c r="G16" s="151">
        <v>52</v>
      </c>
      <c r="H16" s="50"/>
      <c r="J16" s="49"/>
      <c r="K16" s="41"/>
      <c r="L16" s="42"/>
    </row>
    <row r="17" spans="1:46" ht="15" customHeight="1">
      <c r="A17" s="150" t="s">
        <v>16</v>
      </c>
      <c r="B17" s="116">
        <v>9</v>
      </c>
      <c r="C17" s="102">
        <v>0</v>
      </c>
      <c r="D17" s="102">
        <v>0</v>
      </c>
      <c r="E17" s="102">
        <v>0</v>
      </c>
      <c r="F17" s="102">
        <v>8</v>
      </c>
      <c r="G17" s="151">
        <v>17</v>
      </c>
      <c r="H17" s="50"/>
      <c r="K17" s="41"/>
    </row>
    <row r="18" spans="1:46" ht="15" customHeight="1">
      <c r="A18" s="150" t="s">
        <v>17</v>
      </c>
      <c r="B18" s="116">
        <v>4</v>
      </c>
      <c r="C18" s="102">
        <v>0</v>
      </c>
      <c r="D18" s="102">
        <v>0</v>
      </c>
      <c r="E18" s="102">
        <v>0</v>
      </c>
      <c r="F18" s="102">
        <v>3</v>
      </c>
      <c r="G18" s="151">
        <v>7</v>
      </c>
      <c r="H18" s="50"/>
      <c r="I18" s="41"/>
      <c r="J18" s="49"/>
      <c r="K18" s="41"/>
      <c r="M18" s="49"/>
      <c r="P18" s="49"/>
    </row>
    <row r="19" spans="1:46" ht="15" customHeight="1">
      <c r="A19" s="150" t="s">
        <v>18</v>
      </c>
      <c r="B19" s="116">
        <v>1</v>
      </c>
      <c r="C19" s="102">
        <v>0</v>
      </c>
      <c r="D19" s="102">
        <v>0</v>
      </c>
      <c r="E19" s="102">
        <v>0</v>
      </c>
      <c r="F19" s="102">
        <v>1</v>
      </c>
      <c r="G19" s="151">
        <v>2</v>
      </c>
      <c r="H19" s="50"/>
      <c r="I19" s="40"/>
    </row>
    <row r="20" spans="1:46" ht="15" customHeight="1">
      <c r="A20" s="152" t="s">
        <v>19</v>
      </c>
      <c r="B20" s="149" t="s">
        <v>6</v>
      </c>
      <c r="C20" s="149" t="s">
        <v>7</v>
      </c>
      <c r="D20" s="149" t="s">
        <v>8</v>
      </c>
      <c r="E20" s="149" t="s">
        <v>9</v>
      </c>
      <c r="F20" s="149" t="s">
        <v>10</v>
      </c>
      <c r="G20" s="149" t="s">
        <v>11</v>
      </c>
    </row>
    <row r="21" spans="1:46" ht="15" customHeight="1">
      <c r="A21" s="150" t="s">
        <v>20</v>
      </c>
      <c r="B21" s="87">
        <v>180</v>
      </c>
      <c r="C21" s="102">
        <v>530</v>
      </c>
      <c r="D21" s="87">
        <v>352</v>
      </c>
      <c r="E21" s="102">
        <v>197</v>
      </c>
      <c r="F21" s="102">
        <v>139</v>
      </c>
      <c r="G21" s="151">
        <v>1398</v>
      </c>
    </row>
    <row r="22" spans="1:46" ht="15" customHeight="1">
      <c r="A22" s="150" t="s">
        <v>21</v>
      </c>
      <c r="B22" s="117">
        <v>29</v>
      </c>
      <c r="C22" s="102">
        <v>75</v>
      </c>
      <c r="D22" s="117">
        <v>33</v>
      </c>
      <c r="E22" s="102">
        <v>69</v>
      </c>
      <c r="F22" s="102">
        <v>64</v>
      </c>
      <c r="G22" s="151">
        <v>270</v>
      </c>
      <c r="J22" s="40"/>
      <c r="K22" s="41"/>
      <c r="L22" s="42"/>
    </row>
    <row r="23" spans="1:46" s="38" customFormat="1" ht="15" customHeight="1">
      <c r="A23" s="150" t="s">
        <v>22</v>
      </c>
      <c r="B23" s="87">
        <v>0</v>
      </c>
      <c r="C23" s="102">
        <v>0</v>
      </c>
      <c r="D23" s="87">
        <v>1</v>
      </c>
      <c r="E23" s="102">
        <v>6</v>
      </c>
      <c r="F23" s="102">
        <v>7</v>
      </c>
      <c r="G23" s="151">
        <v>14</v>
      </c>
      <c r="H23" s="43"/>
    </row>
    <row r="24" spans="1:46" ht="15" customHeight="1">
      <c r="A24" s="150" t="s">
        <v>23</v>
      </c>
      <c r="B24" s="87">
        <v>1</v>
      </c>
      <c r="C24" s="102">
        <v>0</v>
      </c>
      <c r="D24" s="87">
        <v>3</v>
      </c>
      <c r="E24" s="102">
        <v>2</v>
      </c>
      <c r="F24" s="102">
        <v>9</v>
      </c>
      <c r="G24" s="151">
        <v>15</v>
      </c>
    </row>
    <row r="25" spans="1:46" ht="15" customHeight="1">
      <c r="A25" s="150" t="s">
        <v>24</v>
      </c>
      <c r="B25" s="87">
        <v>35</v>
      </c>
      <c r="C25" s="102">
        <v>42</v>
      </c>
      <c r="D25" s="87">
        <v>15</v>
      </c>
      <c r="E25" s="102">
        <v>14</v>
      </c>
      <c r="F25" s="102">
        <v>24</v>
      </c>
      <c r="G25" s="151">
        <v>130</v>
      </c>
      <c r="H25" s="40"/>
    </row>
    <row r="26" spans="1:46" ht="15" customHeight="1">
      <c r="A26" s="150" t="s">
        <v>25</v>
      </c>
      <c r="B26" s="87">
        <v>2</v>
      </c>
      <c r="C26" s="102">
        <v>0</v>
      </c>
      <c r="D26" s="87">
        <v>4</v>
      </c>
      <c r="E26" s="102">
        <v>15</v>
      </c>
      <c r="F26" s="102">
        <v>10</v>
      </c>
      <c r="G26" s="151">
        <v>31</v>
      </c>
      <c r="H26" s="48"/>
    </row>
    <row r="27" spans="1:46" ht="15" customHeight="1">
      <c r="A27" s="150" t="s">
        <v>26</v>
      </c>
      <c r="B27" s="87">
        <v>3</v>
      </c>
      <c r="C27" s="102">
        <v>0</v>
      </c>
      <c r="D27" s="87">
        <v>0</v>
      </c>
      <c r="E27" s="102">
        <v>4</v>
      </c>
      <c r="F27" s="102">
        <v>5</v>
      </c>
      <c r="G27" s="151">
        <v>12</v>
      </c>
      <c r="H27" s="40"/>
    </row>
    <row r="28" spans="1:46">
      <c r="A28" s="153" t="s">
        <v>11</v>
      </c>
      <c r="B28" s="139">
        <v>299</v>
      </c>
      <c r="C28" s="139">
        <v>647</v>
      </c>
      <c r="D28" s="139">
        <v>408</v>
      </c>
      <c r="E28" s="139">
        <v>318</v>
      </c>
      <c r="F28" s="139">
        <v>276</v>
      </c>
      <c r="G28" s="37"/>
    </row>
    <row r="30" spans="1:46" ht="12.6" thickBot="1"/>
    <row r="31" spans="1:46" ht="12.6" thickBot="1">
      <c r="A31" s="271" t="s">
        <v>27</v>
      </c>
      <c r="B31" s="272"/>
      <c r="C31" s="272"/>
      <c r="D31" s="278"/>
      <c r="E31" s="279">
        <v>1</v>
      </c>
      <c r="F31" s="276"/>
      <c r="G31" s="275">
        <v>2</v>
      </c>
      <c r="H31" s="276"/>
      <c r="I31" s="275">
        <v>3</v>
      </c>
      <c r="J31" s="276"/>
      <c r="K31" s="275">
        <v>5</v>
      </c>
      <c r="L31" s="276"/>
      <c r="M31" s="275">
        <v>8</v>
      </c>
      <c r="N31" s="276"/>
      <c r="O31" s="275">
        <v>9</v>
      </c>
      <c r="P31" s="276"/>
      <c r="Q31" s="273">
        <v>10</v>
      </c>
      <c r="R31" s="274"/>
      <c r="S31" s="273">
        <v>11</v>
      </c>
      <c r="T31" s="274"/>
      <c r="U31" s="273">
        <v>12</v>
      </c>
      <c r="V31" s="274"/>
      <c r="W31" s="273">
        <v>15</v>
      </c>
      <c r="X31" s="274"/>
      <c r="Y31" s="275">
        <v>16</v>
      </c>
      <c r="Z31" s="276"/>
      <c r="AA31" s="275">
        <v>17</v>
      </c>
      <c r="AB31" s="276"/>
      <c r="AC31" s="273">
        <v>18</v>
      </c>
      <c r="AD31" s="274"/>
      <c r="AE31" s="273">
        <v>19</v>
      </c>
      <c r="AF31" s="274"/>
      <c r="AG31" s="273">
        <v>22</v>
      </c>
      <c r="AH31" s="274"/>
      <c r="AI31" s="273">
        <v>23</v>
      </c>
      <c r="AJ31" s="274"/>
      <c r="AK31" s="273">
        <v>24</v>
      </c>
      <c r="AL31" s="274"/>
      <c r="AM31" s="273">
        <v>25</v>
      </c>
      <c r="AN31" s="274"/>
      <c r="AO31" s="273">
        <v>26</v>
      </c>
      <c r="AP31" s="274"/>
      <c r="AQ31" s="273">
        <v>29</v>
      </c>
      <c r="AR31" s="274"/>
      <c r="AS31" s="273">
        <v>30</v>
      </c>
      <c r="AT31" s="274"/>
    </row>
    <row r="32" spans="1:46">
      <c r="A32" s="154" t="s">
        <v>1</v>
      </c>
      <c r="B32" s="154" t="s">
        <v>2</v>
      </c>
      <c r="C32" s="154" t="s">
        <v>3</v>
      </c>
      <c r="D32" s="155" t="s">
        <v>4</v>
      </c>
      <c r="E32" s="142" t="s">
        <v>2</v>
      </c>
      <c r="F32" s="143" t="s">
        <v>5</v>
      </c>
      <c r="G32" s="142" t="s">
        <v>2</v>
      </c>
      <c r="H32" s="143" t="s">
        <v>5</v>
      </c>
      <c r="I32" s="142" t="s">
        <v>2</v>
      </c>
      <c r="J32" s="143" t="s">
        <v>5</v>
      </c>
      <c r="K32" s="142" t="s">
        <v>2</v>
      </c>
      <c r="L32" s="143" t="s">
        <v>5</v>
      </c>
      <c r="M32" s="142" t="s">
        <v>2</v>
      </c>
      <c r="N32" s="143" t="s">
        <v>5</v>
      </c>
      <c r="O32" s="142" t="s">
        <v>2</v>
      </c>
      <c r="P32" s="143" t="s">
        <v>5</v>
      </c>
      <c r="Q32" s="142" t="s">
        <v>2</v>
      </c>
      <c r="R32" s="143" t="s">
        <v>5</v>
      </c>
      <c r="S32" s="142" t="s">
        <v>2</v>
      </c>
      <c r="T32" s="143" t="s">
        <v>5</v>
      </c>
      <c r="U32" s="142" t="s">
        <v>2</v>
      </c>
      <c r="V32" s="143" t="s">
        <v>5</v>
      </c>
      <c r="W32" s="142" t="s">
        <v>2</v>
      </c>
      <c r="X32" s="143" t="s">
        <v>5</v>
      </c>
      <c r="Y32" s="142" t="s">
        <v>2</v>
      </c>
      <c r="Z32" s="143" t="s">
        <v>5</v>
      </c>
      <c r="AA32" s="142" t="s">
        <v>2</v>
      </c>
      <c r="AB32" s="143" t="s">
        <v>5</v>
      </c>
      <c r="AC32" s="142" t="s">
        <v>2</v>
      </c>
      <c r="AD32" s="143" t="s">
        <v>5</v>
      </c>
      <c r="AE32" s="142" t="s">
        <v>2</v>
      </c>
      <c r="AF32" s="143" t="s">
        <v>5</v>
      </c>
      <c r="AG32" s="142" t="s">
        <v>2</v>
      </c>
      <c r="AH32" s="143" t="s">
        <v>5</v>
      </c>
      <c r="AI32" s="142" t="s">
        <v>2</v>
      </c>
      <c r="AJ32" s="143" t="s">
        <v>5</v>
      </c>
      <c r="AK32" s="142" t="s">
        <v>2</v>
      </c>
      <c r="AL32" s="143" t="s">
        <v>5</v>
      </c>
      <c r="AM32" s="142" t="s">
        <v>2</v>
      </c>
      <c r="AN32" s="143" t="s">
        <v>5</v>
      </c>
      <c r="AO32" s="142" t="s">
        <v>2</v>
      </c>
      <c r="AP32" s="143" t="s">
        <v>5</v>
      </c>
      <c r="AQ32" s="142" t="s">
        <v>2</v>
      </c>
      <c r="AR32" s="143" t="s">
        <v>5</v>
      </c>
      <c r="AS32" s="142" t="s">
        <v>2</v>
      </c>
      <c r="AT32" s="143" t="s">
        <v>5</v>
      </c>
    </row>
    <row r="33" spans="1:46">
      <c r="A33" s="144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>
      <c r="A34" s="144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>
      <c r="A35" s="144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>
      <c r="A36" s="144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>
      <c r="A37" s="144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>
      <c r="A38" s="148" t="s">
        <v>11</v>
      </c>
      <c r="B38" s="148">
        <v>1750</v>
      </c>
      <c r="C38" s="148">
        <v>1605</v>
      </c>
      <c r="D38" s="156">
        <v>0.92</v>
      </c>
      <c r="E38" s="148">
        <v>85</v>
      </c>
      <c r="F38" s="148">
        <v>32</v>
      </c>
      <c r="G38" s="148">
        <v>85</v>
      </c>
      <c r="H38" s="148">
        <v>31</v>
      </c>
      <c r="I38" s="148">
        <v>85</v>
      </c>
      <c r="J38" s="148">
        <v>39</v>
      </c>
      <c r="K38" s="148">
        <v>85</v>
      </c>
      <c r="L38" s="148">
        <v>79</v>
      </c>
      <c r="M38" s="148">
        <v>85</v>
      </c>
      <c r="N38" s="148">
        <v>95</v>
      </c>
      <c r="O38" s="148">
        <v>85</v>
      </c>
      <c r="P38" s="148">
        <v>89</v>
      </c>
      <c r="Q38" s="148">
        <v>85</v>
      </c>
      <c r="R38" s="148">
        <v>37</v>
      </c>
      <c r="S38" s="148">
        <v>85</v>
      </c>
      <c r="T38" s="148">
        <v>58</v>
      </c>
      <c r="U38" s="148">
        <v>85</v>
      </c>
      <c r="V38" s="148">
        <v>85</v>
      </c>
      <c r="W38" s="148">
        <v>85</v>
      </c>
      <c r="X38" s="148">
        <v>61</v>
      </c>
      <c r="Y38" s="148">
        <v>85</v>
      </c>
      <c r="Z38" s="148">
        <v>78</v>
      </c>
      <c r="AA38" s="148">
        <v>85</v>
      </c>
      <c r="AB38" s="148">
        <v>49</v>
      </c>
      <c r="AC38" s="148">
        <v>85</v>
      </c>
      <c r="AD38" s="148">
        <v>37</v>
      </c>
      <c r="AE38" s="148">
        <v>85</v>
      </c>
      <c r="AF38" s="148">
        <v>55</v>
      </c>
      <c r="AG38" s="148">
        <v>80</v>
      </c>
      <c r="AH38" s="148">
        <v>123</v>
      </c>
      <c r="AI38" s="148">
        <v>80</v>
      </c>
      <c r="AJ38" s="148">
        <v>101</v>
      </c>
      <c r="AK38" s="148">
        <v>80</v>
      </c>
      <c r="AL38" s="148">
        <v>129</v>
      </c>
      <c r="AM38" s="148">
        <v>80</v>
      </c>
      <c r="AN38" s="148">
        <v>148</v>
      </c>
      <c r="AO38" s="148">
        <v>80</v>
      </c>
      <c r="AP38" s="148">
        <v>134</v>
      </c>
      <c r="AQ38" s="148">
        <v>80</v>
      </c>
      <c r="AR38" s="148">
        <v>145</v>
      </c>
      <c r="AS38" s="148">
        <v>80</v>
      </c>
      <c r="AT38" s="148">
        <v>0</v>
      </c>
    </row>
    <row r="42" spans="1:46">
      <c r="H42" s="88"/>
    </row>
    <row r="43" spans="1:46" ht="13.2">
      <c r="A43" s="61" t="s">
        <v>333</v>
      </c>
      <c r="B43" s="61" t="s">
        <v>330</v>
      </c>
      <c r="H43" s="88"/>
    </row>
    <row r="44" spans="1:46" ht="13.2">
      <c r="A44" s="61" t="s">
        <v>55</v>
      </c>
      <c r="B44" s="183">
        <f>'EVOLUCAO DOS MESES'!E28</f>
        <v>0</v>
      </c>
      <c r="H44" s="88"/>
    </row>
    <row r="45" spans="1:46" ht="13.2">
      <c r="A45" s="61" t="s">
        <v>6</v>
      </c>
      <c r="B45" s="183">
        <f>'EVOLUCAO DOS MESES'!E29</f>
        <v>2660.8</v>
      </c>
      <c r="H45" s="88"/>
    </row>
    <row r="46" spans="1:46" ht="13.2">
      <c r="A46" s="61" t="s">
        <v>7</v>
      </c>
      <c r="B46" s="183">
        <f>'EVOLUCAO DOS MESES'!E30</f>
        <v>1947.7400000000002</v>
      </c>
      <c r="H46" s="88"/>
    </row>
    <row r="47" spans="1:46" ht="13.2">
      <c r="A47" s="61" t="s">
        <v>8</v>
      </c>
      <c r="B47" s="183">
        <f>'EVOLUCAO DOS MESES'!E31</f>
        <v>309.64999999999998</v>
      </c>
    </row>
    <row r="48" spans="1:46" ht="13.2">
      <c r="A48" s="66" t="s">
        <v>56</v>
      </c>
      <c r="B48" s="252">
        <f>'EVOLUCAO DOS MESES'!E32</f>
        <v>1560.3799999999999</v>
      </c>
    </row>
    <row r="49" spans="1:2" ht="13.2">
      <c r="A49" s="61" t="s">
        <v>10</v>
      </c>
      <c r="B49" s="183">
        <f>'EVOLUCAO DOS MESES'!E33</f>
        <v>2232.4499999999998</v>
      </c>
    </row>
    <row r="50" spans="1:2" ht="13.2">
      <c r="A50" s="61" t="s">
        <v>343</v>
      </c>
      <c r="B50" s="183">
        <f>SUM(B44:B49)</f>
        <v>8711.02</v>
      </c>
    </row>
  </sheetData>
  <mergeCells count="45"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5" tint="-0.249977111117893"/>
  </sheetPr>
  <dimension ref="B2:L64"/>
  <sheetViews>
    <sheetView zoomScaleNormal="100" workbookViewId="0">
      <selection activeCell="C10" sqref="C10:E10"/>
    </sheetView>
  </sheetViews>
  <sheetFormatPr defaultRowHeight="13.2"/>
  <cols>
    <col min="2" max="2" width="43.44140625" bestFit="1" customWidth="1"/>
    <col min="3" max="3" width="14.33203125" bestFit="1" customWidth="1"/>
    <col min="4" max="4" width="13.33203125" bestFit="1" customWidth="1"/>
    <col min="5" max="5" width="12.21875" bestFit="1" customWidth="1"/>
    <col min="6" max="6" width="20.6640625" bestFit="1" customWidth="1"/>
    <col min="7" max="7" width="14" customWidth="1"/>
    <col min="8" max="8" width="14.88671875" bestFit="1" customWidth="1"/>
    <col min="9" max="9" width="13.44140625" bestFit="1" customWidth="1"/>
    <col min="11" max="11" width="13" bestFit="1" customWidth="1"/>
    <col min="14" max="14" width="13.44140625" bestFit="1" customWidth="1"/>
  </cols>
  <sheetData>
    <row r="2" spans="2:5">
      <c r="B2" s="64" t="s">
        <v>96</v>
      </c>
    </row>
    <row r="3" spans="2:5">
      <c r="B3" s="55" t="s">
        <v>78</v>
      </c>
      <c r="C3" s="56" t="s">
        <v>79</v>
      </c>
      <c r="D3" s="56" t="s">
        <v>80</v>
      </c>
      <c r="E3" s="56" t="s">
        <v>81</v>
      </c>
    </row>
    <row r="4" spans="2:5">
      <c r="B4" s="65" t="s">
        <v>82</v>
      </c>
      <c r="C4" s="56">
        <v>243</v>
      </c>
      <c r="D4" s="56">
        <v>147</v>
      </c>
      <c r="E4" s="56">
        <v>229</v>
      </c>
    </row>
    <row r="5" spans="2:5">
      <c r="B5" s="57" t="s">
        <v>83</v>
      </c>
      <c r="C5" s="58">
        <v>29</v>
      </c>
      <c r="D5" s="58">
        <v>-15</v>
      </c>
      <c r="E5" s="58">
        <v>70</v>
      </c>
    </row>
    <row r="6" spans="2:5">
      <c r="B6" s="57" t="s">
        <v>84</v>
      </c>
      <c r="C6" s="59">
        <v>1074</v>
      </c>
      <c r="D6" s="59">
        <v>1623</v>
      </c>
      <c r="E6" s="59">
        <v>1750</v>
      </c>
    </row>
    <row r="7" spans="2:5">
      <c r="B7" s="57" t="s">
        <v>85</v>
      </c>
      <c r="C7" s="59">
        <v>1003</v>
      </c>
      <c r="D7" s="59">
        <v>1701</v>
      </c>
      <c r="E7" s="61">
        <v>1657</v>
      </c>
    </row>
    <row r="8" spans="2:5">
      <c r="B8" s="65" t="s">
        <v>105</v>
      </c>
      <c r="C8" s="60">
        <v>0.93</v>
      </c>
      <c r="D8" s="60">
        <v>1.05</v>
      </c>
      <c r="E8" s="60">
        <v>0.95</v>
      </c>
    </row>
    <row r="9" spans="2:5">
      <c r="B9" s="65" t="s">
        <v>102</v>
      </c>
      <c r="C9" s="59">
        <v>214</v>
      </c>
      <c r="D9" s="59">
        <v>162</v>
      </c>
      <c r="E9" s="59">
        <v>159</v>
      </c>
    </row>
    <row r="10" spans="2:5">
      <c r="B10" s="65" t="s">
        <v>103</v>
      </c>
      <c r="C10" s="59">
        <v>73</v>
      </c>
      <c r="D10" s="59">
        <v>54</v>
      </c>
      <c r="E10" s="59">
        <v>88</v>
      </c>
    </row>
    <row r="11" spans="2:5">
      <c r="B11" s="65" t="s">
        <v>104</v>
      </c>
      <c r="C11" s="60">
        <v>0.34</v>
      </c>
      <c r="D11" s="60">
        <v>0.33</v>
      </c>
      <c r="E11" s="60">
        <v>0.55000000000000004</v>
      </c>
    </row>
    <row r="12" spans="2:5">
      <c r="B12" s="61" t="s">
        <v>86</v>
      </c>
      <c r="C12" s="62">
        <f>SUMIFS('FATURAMENTO RECUPERACAO'!D:D,'FATURAMENTO RECUPERACAO'!E:E,"Abril")</f>
        <v>96648.237490999993</v>
      </c>
      <c r="D12" s="62">
        <f>SUMIFS('FATURAMENTO RECUPERACAO'!D:D,'FATURAMENTO RECUPERACAO'!E:E,"Maio")</f>
        <v>30682.985000000001</v>
      </c>
      <c r="E12" s="62">
        <f>SUMIFS('FATURAMENTO RECUPERACAO'!D:D,'FATURAMENTO RECUPERACAO'!E:E,"Junho")</f>
        <v>8711.02</v>
      </c>
    </row>
    <row r="14" spans="2:5">
      <c r="B14" s="64" t="s">
        <v>106</v>
      </c>
    </row>
    <row r="15" spans="2:5">
      <c r="B15" s="61" t="s">
        <v>87</v>
      </c>
      <c r="C15" s="66" t="s">
        <v>88</v>
      </c>
      <c r="D15" s="61" t="s">
        <v>89</v>
      </c>
    </row>
    <row r="16" spans="2:5">
      <c r="B16" s="61" t="s">
        <v>79</v>
      </c>
      <c r="C16" s="61">
        <v>243</v>
      </c>
      <c r="D16" s="61" t="s">
        <v>90</v>
      </c>
    </row>
    <row r="17" spans="2:12">
      <c r="B17" s="61" t="s">
        <v>80</v>
      </c>
      <c r="C17" s="61">
        <v>147</v>
      </c>
      <c r="D17" s="63">
        <v>-0.4</v>
      </c>
    </row>
    <row r="18" spans="2:12">
      <c r="B18" s="61" t="s">
        <v>81</v>
      </c>
      <c r="C18" s="61">
        <v>229</v>
      </c>
      <c r="D18" s="63">
        <v>0.56000000000000005</v>
      </c>
    </row>
    <row r="20" spans="2:12">
      <c r="B20" s="64" t="s">
        <v>97</v>
      </c>
      <c r="H20" s="64" t="s">
        <v>107</v>
      </c>
    </row>
    <row r="21" spans="2:12">
      <c r="B21" s="61" t="s">
        <v>87</v>
      </c>
      <c r="C21" s="61" t="s">
        <v>2</v>
      </c>
      <c r="D21" s="61" t="s">
        <v>3</v>
      </c>
      <c r="E21" s="61" t="s">
        <v>4</v>
      </c>
      <c r="F21" s="61" t="s">
        <v>91</v>
      </c>
      <c r="H21" s="61" t="s">
        <v>87</v>
      </c>
      <c r="I21" s="61" t="s">
        <v>2</v>
      </c>
      <c r="J21" s="61" t="s">
        <v>3</v>
      </c>
      <c r="K21" s="61" t="s">
        <v>4</v>
      </c>
      <c r="L21" s="61" t="s">
        <v>91</v>
      </c>
    </row>
    <row r="22" spans="2:12">
      <c r="B22" s="61" t="s">
        <v>79</v>
      </c>
      <c r="C22" s="61">
        <v>1074</v>
      </c>
      <c r="D22" s="61">
        <v>1003</v>
      </c>
      <c r="E22" s="63">
        <v>0.93</v>
      </c>
      <c r="F22" s="61" t="s">
        <v>92</v>
      </c>
      <c r="H22" s="61" t="s">
        <v>79</v>
      </c>
      <c r="I22" s="61">
        <v>214</v>
      </c>
      <c r="J22" s="61">
        <v>73</v>
      </c>
      <c r="K22" s="60">
        <v>0.34</v>
      </c>
      <c r="L22" s="61" t="s">
        <v>92</v>
      </c>
    </row>
    <row r="23" spans="2:12">
      <c r="B23" s="61" t="s">
        <v>80</v>
      </c>
      <c r="C23" s="61">
        <v>1623</v>
      </c>
      <c r="D23" s="61">
        <v>1701</v>
      </c>
      <c r="E23" s="63">
        <v>1.05</v>
      </c>
      <c r="F23" s="61" t="s">
        <v>93</v>
      </c>
      <c r="H23" s="61" t="s">
        <v>80</v>
      </c>
      <c r="I23" s="61">
        <v>162</v>
      </c>
      <c r="J23" s="61">
        <v>54</v>
      </c>
      <c r="K23" s="60">
        <v>0.33</v>
      </c>
      <c r="L23" s="61" t="s">
        <v>92</v>
      </c>
    </row>
    <row r="24" spans="2:12">
      <c r="B24" s="61" t="s">
        <v>81</v>
      </c>
      <c r="C24" s="61">
        <v>1750</v>
      </c>
      <c r="D24" s="61">
        <v>1657</v>
      </c>
      <c r="E24" s="63">
        <v>0.95</v>
      </c>
      <c r="F24" s="61" t="s">
        <v>92</v>
      </c>
      <c r="H24" s="61" t="s">
        <v>81</v>
      </c>
      <c r="I24" s="61">
        <v>159</v>
      </c>
      <c r="J24" s="61">
        <v>91</v>
      </c>
      <c r="K24" s="60">
        <v>0.55000000000000004</v>
      </c>
      <c r="L24" s="61" t="s">
        <v>92</v>
      </c>
    </row>
    <row r="26" spans="2:12">
      <c r="B26" s="64" t="s">
        <v>98</v>
      </c>
    </row>
    <row r="27" spans="2:12">
      <c r="B27" s="61" t="s">
        <v>1</v>
      </c>
      <c r="C27" s="61" t="s">
        <v>79</v>
      </c>
      <c r="D27" s="61" t="s">
        <v>80</v>
      </c>
      <c r="E27" s="61" t="s">
        <v>81</v>
      </c>
      <c r="F27" s="61" t="s">
        <v>11</v>
      </c>
    </row>
    <row r="28" spans="2:12">
      <c r="B28" s="61" t="s">
        <v>55</v>
      </c>
      <c r="C28" s="62">
        <f>SUMIFS('FATURAMENTO RECUPERACAO'!D:D,'FATURAMENTO RECUPERACAO'!A:A,B28,'FATURAMENTO RECUPERACAO'!E:E,"Abril")</f>
        <v>8881.9274910000004</v>
      </c>
      <c r="D28" s="183">
        <f>SUMIFS('FATURAMENTO RECUPERACAO'!D:D,'FATURAMENTO RECUPERACAO'!A:A,B28,'FATURAMENTO RECUPERACAO'!E:E,"Maio")</f>
        <v>0</v>
      </c>
      <c r="E28" s="61">
        <f>SUMIFS('FATURAMENTO RECUPERACAO'!D:D,'FATURAMENTO RECUPERACAO'!A:A,B28,'FATURAMENTO RECUPERACAO'!E:E,"Junho")</f>
        <v>0</v>
      </c>
      <c r="F28" s="62">
        <f>SUM(C28:E28)</f>
        <v>8881.9274910000004</v>
      </c>
    </row>
    <row r="29" spans="2:12">
      <c r="B29" s="61" t="s">
        <v>6</v>
      </c>
      <c r="C29" s="62">
        <f>SUMIFS('FATURAMENTO RECUPERACAO'!D:D,'FATURAMENTO RECUPERACAO'!A:A,B29,'FATURAMENTO RECUPERACAO'!E:E,"Abril")</f>
        <v>14368.270000000004</v>
      </c>
      <c r="D29" s="183">
        <f>SUMIFS('FATURAMENTO RECUPERACAO'!D:D,'FATURAMENTO RECUPERACAO'!A:A,B29,'FATURAMENTO RECUPERACAO'!E:E,"Maio")</f>
        <v>5323.0600020000011</v>
      </c>
      <c r="E29" s="61">
        <f>SUMIFS('FATURAMENTO RECUPERACAO'!D:D,'FATURAMENTO RECUPERACAO'!A:A,B29,'FATURAMENTO RECUPERACAO'!E:E,"Junho")</f>
        <v>2660.8</v>
      </c>
      <c r="F29" s="62">
        <f t="shared" ref="F29:F33" si="0">SUM(C29:E29)</f>
        <v>22352.130002000005</v>
      </c>
    </row>
    <row r="30" spans="2:12">
      <c r="B30" s="61" t="s">
        <v>7</v>
      </c>
      <c r="C30" s="62">
        <f>SUMIFS('FATURAMENTO RECUPERACAO'!D:D,'FATURAMENTO RECUPERACAO'!A:A,B30,'FATURAMENTO RECUPERACAO'!E:E,"Abril")</f>
        <v>1344.6200000000001</v>
      </c>
      <c r="D30" s="183">
        <f>SUMIFS('FATURAMENTO RECUPERACAO'!D:D,'FATURAMENTO RECUPERACAO'!A:A,B30,'FATURAMENTO RECUPERACAO'!E:E,"Maio")</f>
        <v>10823.154999999999</v>
      </c>
      <c r="E30" s="61">
        <f>SUMIFS('FATURAMENTO RECUPERACAO'!D:D,'FATURAMENTO RECUPERACAO'!A:A,B30,'FATURAMENTO RECUPERACAO'!E:E,"Junho")</f>
        <v>1947.7400000000002</v>
      </c>
      <c r="F30" s="62">
        <f t="shared" si="0"/>
        <v>14115.514999999999</v>
      </c>
    </row>
    <row r="31" spans="2:12">
      <c r="B31" s="61" t="s">
        <v>8</v>
      </c>
      <c r="C31" s="62">
        <f>SUMIFS('FATURAMENTO RECUPERACAO'!D:D,'FATURAMENTO RECUPERACAO'!A:A,B31,'FATURAMENTO RECUPERACAO'!E:E,"Abril")</f>
        <v>0</v>
      </c>
      <c r="D31" s="183">
        <f>SUMIFS('FATURAMENTO RECUPERACAO'!D:D,'FATURAMENTO RECUPERACAO'!A:A,B31,'FATURAMENTO RECUPERACAO'!E:E,"Maio")</f>
        <v>1370.55</v>
      </c>
      <c r="E31" s="61">
        <f>SUMIFS('FATURAMENTO RECUPERACAO'!D:D,'FATURAMENTO RECUPERACAO'!A:A,B31,'FATURAMENTO RECUPERACAO'!E:E,"Junho")</f>
        <v>309.64999999999998</v>
      </c>
      <c r="F31" s="62">
        <f t="shared" si="0"/>
        <v>1680.1999999999998</v>
      </c>
    </row>
    <row r="32" spans="2:12">
      <c r="B32" s="66" t="s">
        <v>56</v>
      </c>
      <c r="C32" s="62">
        <f>SUMIFS('FATURAMENTO RECUPERACAO'!D:D,'FATURAMENTO RECUPERACAO'!A:A,B32,'FATURAMENTO RECUPERACAO'!E:E,"Abril")</f>
        <v>31780.950000000004</v>
      </c>
      <c r="D32" s="183">
        <f>SUMIFS('FATURAMENTO RECUPERACAO'!D:D,'FATURAMENTO RECUPERACAO'!A:A,B32,'FATURAMENTO RECUPERACAO'!E:E,"Maio")</f>
        <v>5969.51</v>
      </c>
      <c r="E32" s="61">
        <f>SUMIFS('FATURAMENTO RECUPERACAO'!D:D,'FATURAMENTO RECUPERACAO'!A:A,B32,'FATURAMENTO RECUPERACAO'!E:E,"Junho")</f>
        <v>1560.3799999999999</v>
      </c>
      <c r="F32" s="62">
        <f t="shared" si="0"/>
        <v>39310.840000000004</v>
      </c>
    </row>
    <row r="33" spans="2:11">
      <c r="B33" s="61" t="s">
        <v>10</v>
      </c>
      <c r="C33" s="62">
        <f>SUMIFS('FATURAMENTO RECUPERACAO'!D:D,'FATURAMENTO RECUPERACAO'!A:A,B33,'FATURAMENTO RECUPERACAO'!E:E,"Abril")</f>
        <v>40272.470000000008</v>
      </c>
      <c r="D33" s="183">
        <f>SUMIFS('FATURAMENTO RECUPERACAO'!D:D,'FATURAMENTO RECUPERACAO'!A:A,B33,'FATURAMENTO RECUPERACAO'!E:E,"Maio")</f>
        <v>7196.7099980000012</v>
      </c>
      <c r="E33" s="61">
        <f>SUMIFS('FATURAMENTO RECUPERACAO'!D:D,'FATURAMENTO RECUPERACAO'!A:A,B33,'FATURAMENTO RECUPERACAO'!E:E,"Junho")</f>
        <v>2232.4499999999998</v>
      </c>
      <c r="F33" s="62">
        <f t="shared" si="0"/>
        <v>49701.629998000004</v>
      </c>
    </row>
    <row r="35" spans="2:11">
      <c r="B35" s="79" t="s">
        <v>109</v>
      </c>
      <c r="F35" s="80" t="s">
        <v>111</v>
      </c>
      <c r="I35" s="80" t="s">
        <v>112</v>
      </c>
    </row>
    <row r="36" spans="2:11">
      <c r="B36" s="78" t="s">
        <v>110</v>
      </c>
      <c r="C36" s="66" t="s">
        <v>113</v>
      </c>
      <c r="D36" s="66" t="s">
        <v>114</v>
      </c>
      <c r="E36" s="66" t="s">
        <v>4</v>
      </c>
      <c r="F36" s="66" t="s">
        <v>113</v>
      </c>
      <c r="G36" s="66" t="s">
        <v>114</v>
      </c>
      <c r="H36" s="66" t="s">
        <v>4</v>
      </c>
      <c r="I36" s="66" t="s">
        <v>113</v>
      </c>
      <c r="J36" s="66" t="s">
        <v>114</v>
      </c>
      <c r="K36" s="66" t="s">
        <v>4</v>
      </c>
    </row>
    <row r="37" spans="2:11">
      <c r="B37" s="67" t="s">
        <v>55</v>
      </c>
      <c r="C37" s="68">
        <v>72</v>
      </c>
      <c r="D37" s="68">
        <v>20</v>
      </c>
      <c r="E37" s="69">
        <v>0.28000000000000003</v>
      </c>
      <c r="F37" s="75">
        <v>30</v>
      </c>
      <c r="G37" s="75">
        <v>10</v>
      </c>
      <c r="H37" s="76">
        <v>0.33</v>
      </c>
      <c r="I37" s="68"/>
      <c r="J37" s="68"/>
      <c r="K37" s="69"/>
    </row>
    <row r="38" spans="2:11">
      <c r="B38" s="67" t="s">
        <v>6</v>
      </c>
      <c r="C38" s="68">
        <v>39</v>
      </c>
      <c r="D38" s="68">
        <v>11</v>
      </c>
      <c r="E38" s="69">
        <v>0.28000000000000003</v>
      </c>
      <c r="F38" s="77"/>
      <c r="G38" s="77"/>
      <c r="H38" s="77"/>
      <c r="I38" s="68">
        <v>31</v>
      </c>
      <c r="J38" s="68">
        <v>16</v>
      </c>
      <c r="K38" s="69">
        <v>0.5161</v>
      </c>
    </row>
    <row r="39" spans="2:11">
      <c r="B39" s="67" t="s">
        <v>7</v>
      </c>
      <c r="C39" s="68">
        <v>44</v>
      </c>
      <c r="D39" s="68">
        <v>3</v>
      </c>
      <c r="E39" s="69">
        <v>7.0000000000000007E-2</v>
      </c>
      <c r="F39" s="75">
        <v>50</v>
      </c>
      <c r="G39" s="75">
        <v>18</v>
      </c>
      <c r="H39" s="76">
        <v>0.36</v>
      </c>
      <c r="I39" s="68">
        <v>48</v>
      </c>
      <c r="J39" s="68">
        <v>21</v>
      </c>
      <c r="K39" s="69">
        <v>0.4375</v>
      </c>
    </row>
    <row r="40" spans="2:11">
      <c r="B40" s="67" t="s">
        <v>9</v>
      </c>
      <c r="C40" s="68">
        <v>37</v>
      </c>
      <c r="D40" s="68">
        <v>17</v>
      </c>
      <c r="E40" s="69">
        <v>0.46</v>
      </c>
      <c r="F40" s="75">
        <v>33</v>
      </c>
      <c r="G40" s="75">
        <v>9</v>
      </c>
      <c r="H40" s="76">
        <v>0.27</v>
      </c>
      <c r="I40" s="68">
        <v>30</v>
      </c>
      <c r="J40" s="68">
        <v>27</v>
      </c>
      <c r="K40" s="69">
        <v>0.9</v>
      </c>
    </row>
    <row r="41" spans="2:11">
      <c r="B41" s="67" t="s">
        <v>10</v>
      </c>
      <c r="C41" s="68">
        <v>22</v>
      </c>
      <c r="D41" s="68">
        <v>22</v>
      </c>
      <c r="E41" s="69">
        <v>1</v>
      </c>
      <c r="F41" s="75">
        <v>23</v>
      </c>
      <c r="G41" s="75">
        <v>14</v>
      </c>
      <c r="H41" s="76">
        <v>0.61</v>
      </c>
      <c r="I41" s="68">
        <v>25</v>
      </c>
      <c r="J41" s="68">
        <v>20</v>
      </c>
      <c r="K41" s="69">
        <v>0.8</v>
      </c>
    </row>
    <row r="42" spans="2:11">
      <c r="B42" s="70" t="s">
        <v>8</v>
      </c>
      <c r="C42" s="61"/>
      <c r="D42" s="61"/>
      <c r="E42" s="61"/>
      <c r="F42" s="75">
        <v>26</v>
      </c>
      <c r="G42" s="75">
        <v>3</v>
      </c>
      <c r="H42" s="76">
        <v>0.12</v>
      </c>
      <c r="I42" s="68">
        <v>25</v>
      </c>
      <c r="J42" s="68">
        <v>7</v>
      </c>
      <c r="K42" s="69">
        <v>0.28000000000000003</v>
      </c>
    </row>
    <row r="43" spans="2:11">
      <c r="B43" s="71" t="s">
        <v>11</v>
      </c>
      <c r="C43" s="71">
        <v>214</v>
      </c>
      <c r="D43" s="71">
        <v>73</v>
      </c>
      <c r="E43" s="72">
        <v>0.34</v>
      </c>
      <c r="F43" s="73">
        <v>162</v>
      </c>
      <c r="G43" s="73">
        <v>54</v>
      </c>
      <c r="H43" s="74">
        <v>0.33</v>
      </c>
      <c r="I43" s="71">
        <v>159</v>
      </c>
      <c r="J43" s="71">
        <v>91</v>
      </c>
      <c r="K43" s="72">
        <v>0.57230000000000003</v>
      </c>
    </row>
    <row r="45" spans="2:11">
      <c r="B45" s="64" t="s">
        <v>99</v>
      </c>
    </row>
    <row r="46" spans="2:11">
      <c r="B46" s="61" t="s">
        <v>94</v>
      </c>
      <c r="C46" s="61" t="s">
        <v>1</v>
      </c>
      <c r="D46" s="61" t="s">
        <v>36</v>
      </c>
    </row>
    <row r="47" spans="2:11">
      <c r="B47" s="61">
        <v>1</v>
      </c>
      <c r="C47" s="61" t="s">
        <v>10</v>
      </c>
      <c r="D47" s="62">
        <f>F33</f>
        <v>49701.629998000004</v>
      </c>
    </row>
    <row r="48" spans="2:11">
      <c r="B48" s="61">
        <v>2</v>
      </c>
      <c r="C48" s="61" t="s">
        <v>9</v>
      </c>
      <c r="D48" s="62">
        <f>F32</f>
        <v>39310.840000000004</v>
      </c>
    </row>
    <row r="49" spans="2:4">
      <c r="B49" s="61">
        <v>3</v>
      </c>
      <c r="C49" s="61" t="s">
        <v>6</v>
      </c>
      <c r="D49" s="62">
        <f>F29</f>
        <v>22352.130002000005</v>
      </c>
    </row>
    <row r="50" spans="2:4">
      <c r="B50" s="61">
        <v>4</v>
      </c>
      <c r="C50" s="61" t="s">
        <v>7</v>
      </c>
      <c r="D50" s="62">
        <f>F30</f>
        <v>14115.514999999999</v>
      </c>
    </row>
    <row r="51" spans="2:4">
      <c r="B51" s="61">
        <v>5</v>
      </c>
      <c r="C51" s="61" t="s">
        <v>55</v>
      </c>
      <c r="D51" s="62">
        <f>F28</f>
        <v>8881.9274910000004</v>
      </c>
    </row>
    <row r="52" spans="2:4">
      <c r="B52" s="61">
        <v>6</v>
      </c>
      <c r="C52" s="61" t="s">
        <v>8</v>
      </c>
      <c r="D52" s="62">
        <f>F31</f>
        <v>1680.1999999999998</v>
      </c>
    </row>
    <row r="54" spans="2:4">
      <c r="B54" s="64" t="s">
        <v>100</v>
      </c>
    </row>
    <row r="55" spans="2:4">
      <c r="B55" s="61" t="s">
        <v>87</v>
      </c>
      <c r="C55" s="61" t="s">
        <v>36</v>
      </c>
      <c r="D55" s="61" t="s">
        <v>89</v>
      </c>
    </row>
    <row r="56" spans="2:4">
      <c r="B56" s="61" t="s">
        <v>79</v>
      </c>
      <c r="C56" s="62">
        <f>SUM(C28:C33)</f>
        <v>96648.237491000007</v>
      </c>
      <c r="D56" s="61" t="s">
        <v>90</v>
      </c>
    </row>
    <row r="57" spans="2:4">
      <c r="B57" s="61" t="s">
        <v>80</v>
      </c>
      <c r="C57" s="62">
        <f>SUM(D28:D33)</f>
        <v>30682.985000000004</v>
      </c>
      <c r="D57" s="166">
        <v>-0.6825</v>
      </c>
    </row>
    <row r="58" spans="2:4">
      <c r="B58" s="61" t="s">
        <v>81</v>
      </c>
      <c r="C58" s="62">
        <f>SUM(E28:E33)</f>
        <v>8711.02</v>
      </c>
      <c r="D58" s="167">
        <v>-0.71609999999999996</v>
      </c>
    </row>
    <row r="60" spans="2:4">
      <c r="B60" s="64" t="s">
        <v>101</v>
      </c>
    </row>
    <row r="61" spans="2:4">
      <c r="B61" s="61" t="s">
        <v>78</v>
      </c>
      <c r="C61" s="61" t="s">
        <v>95</v>
      </c>
    </row>
    <row r="62" spans="2:4">
      <c r="B62" s="61" t="s">
        <v>82</v>
      </c>
      <c r="C62" s="61">
        <f>SUM(C16:C18)</f>
        <v>619</v>
      </c>
    </row>
    <row r="63" spans="2:4">
      <c r="B63" s="61" t="s">
        <v>86</v>
      </c>
      <c r="C63" s="161">
        <f>SUM('FATURAMENTO RECUPERACAO'!D:D)</f>
        <v>136042.24249099992</v>
      </c>
    </row>
    <row r="64" spans="2:4">
      <c r="B64" s="66" t="s">
        <v>108</v>
      </c>
      <c r="C64" s="61">
        <f>SUM(J22:J24)</f>
        <v>218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zoomScaleNormal="100" workbookViewId="0">
      <selection activeCell="AC9" sqref="AC9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J1" s="89"/>
    </row>
    <row r="2" spans="1:37" ht="13.2">
      <c r="A2" s="88"/>
      <c r="B2" s="88"/>
      <c r="C2" s="283" t="s">
        <v>28</v>
      </c>
      <c r="D2" s="284"/>
      <c r="E2" s="284"/>
      <c r="F2" s="285"/>
      <c r="G2" s="283" t="s">
        <v>29</v>
      </c>
      <c r="H2" s="284"/>
      <c r="I2" s="284"/>
      <c r="J2" s="284"/>
      <c r="K2" s="285"/>
      <c r="L2" s="283" t="s">
        <v>30</v>
      </c>
      <c r="M2" s="284"/>
      <c r="N2" s="284"/>
      <c r="O2" s="284"/>
      <c r="P2" s="285"/>
      <c r="Q2" s="283" t="s">
        <v>31</v>
      </c>
      <c r="R2" s="284"/>
      <c r="S2" s="284"/>
      <c r="T2" s="284"/>
      <c r="U2" s="285"/>
      <c r="V2" s="283" t="s">
        <v>32</v>
      </c>
      <c r="W2" s="284"/>
      <c r="X2" s="88"/>
      <c r="Y2" s="88"/>
      <c r="Z2" s="90"/>
      <c r="AA2" s="91" t="s">
        <v>33</v>
      </c>
      <c r="AB2" s="91" t="s">
        <v>34</v>
      </c>
      <c r="AC2" s="91" t="s">
        <v>142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  <c r="AJ2" s="92"/>
    </row>
    <row r="3" spans="1:37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0"/>
      <c r="Y3" s="281"/>
      <c r="Z3" s="88"/>
      <c r="AA3" s="87">
        <v>1</v>
      </c>
      <c r="AB3" s="93">
        <v>39905</v>
      </c>
      <c r="AC3" s="93" t="s">
        <v>143</v>
      </c>
      <c r="AD3" s="94">
        <v>46059</v>
      </c>
      <c r="AE3" s="93">
        <v>395.94</v>
      </c>
      <c r="AF3" s="94">
        <v>46298</v>
      </c>
      <c r="AG3" s="93" t="s">
        <v>40</v>
      </c>
      <c r="AH3" s="93">
        <v>84</v>
      </c>
    </row>
    <row r="4" spans="1:37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35214</v>
      </c>
      <c r="AC4" s="93" t="s">
        <v>144</v>
      </c>
      <c r="AD4" s="94">
        <v>46059</v>
      </c>
      <c r="AE4" s="93">
        <v>536.37</v>
      </c>
      <c r="AF4" s="94">
        <v>46085</v>
      </c>
      <c r="AG4" s="93" t="s">
        <v>45</v>
      </c>
      <c r="AH4" s="93">
        <v>60</v>
      </c>
    </row>
    <row r="5" spans="1:37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2</v>
      </c>
      <c r="O5" s="102">
        <v>2</v>
      </c>
      <c r="P5" s="103">
        <v>2</v>
      </c>
      <c r="Q5" s="101">
        <v>2</v>
      </c>
      <c r="R5" s="102">
        <v>2</v>
      </c>
      <c r="S5" s="102">
        <v>2</v>
      </c>
      <c r="T5" s="102">
        <v>2</v>
      </c>
      <c r="U5" s="103">
        <v>2</v>
      </c>
      <c r="V5" s="51">
        <v>2</v>
      </c>
      <c r="W5" s="103">
        <v>2</v>
      </c>
      <c r="X5" s="104">
        <v>31</v>
      </c>
      <c r="Y5" s="88"/>
      <c r="Z5" s="88"/>
      <c r="AA5" s="87">
        <v>3</v>
      </c>
      <c r="AB5" s="93">
        <v>26900</v>
      </c>
      <c r="AC5" s="93" t="s">
        <v>145</v>
      </c>
      <c r="AD5" s="94">
        <v>46148</v>
      </c>
      <c r="AE5" s="93">
        <v>450.42</v>
      </c>
      <c r="AF5" s="94">
        <v>46096</v>
      </c>
      <c r="AG5" s="93" t="s">
        <v>6</v>
      </c>
      <c r="AH5" s="93">
        <v>82</v>
      </c>
    </row>
    <row r="6" spans="1:37" ht="13.8" thickBot="1">
      <c r="A6" s="88"/>
      <c r="B6" s="100" t="s">
        <v>46</v>
      </c>
      <c r="C6" s="105">
        <v>0</v>
      </c>
      <c r="D6" s="106">
        <v>2</v>
      </c>
      <c r="E6" s="106">
        <v>0</v>
      </c>
      <c r="F6" s="107">
        <v>3</v>
      </c>
      <c r="G6" s="105">
        <v>0</v>
      </c>
      <c r="H6" s="106">
        <v>1</v>
      </c>
      <c r="I6" s="106">
        <v>0</v>
      </c>
      <c r="J6" s="106">
        <v>1</v>
      </c>
      <c r="K6" s="107">
        <v>0</v>
      </c>
      <c r="L6" s="105">
        <v>1</v>
      </c>
      <c r="M6" s="106">
        <v>1</v>
      </c>
      <c r="N6" s="106">
        <v>0</v>
      </c>
      <c r="O6" s="106">
        <v>1</v>
      </c>
      <c r="P6" s="107">
        <v>0</v>
      </c>
      <c r="Q6" s="105">
        <v>0</v>
      </c>
      <c r="R6" s="106">
        <v>0</v>
      </c>
      <c r="S6" s="106">
        <v>0</v>
      </c>
      <c r="T6" s="106">
        <v>0</v>
      </c>
      <c r="U6" s="107">
        <v>3</v>
      </c>
      <c r="V6" s="105">
        <v>1</v>
      </c>
      <c r="W6" s="107">
        <v>2</v>
      </c>
      <c r="X6" s="104">
        <v>16</v>
      </c>
      <c r="Y6" s="108">
        <v>-15</v>
      </c>
      <c r="Z6" s="88"/>
      <c r="AA6" s="87">
        <v>4</v>
      </c>
      <c r="AB6" s="93">
        <v>25286</v>
      </c>
      <c r="AC6" s="93" t="s">
        <v>146</v>
      </c>
      <c r="AD6" s="94">
        <v>46148</v>
      </c>
      <c r="AE6" s="93">
        <v>1339.6</v>
      </c>
      <c r="AF6" s="94">
        <v>46057</v>
      </c>
      <c r="AG6" s="93" t="s">
        <v>47</v>
      </c>
      <c r="AH6" s="93">
        <v>64</v>
      </c>
    </row>
    <row r="7" spans="1:37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93">
        <v>29748</v>
      </c>
      <c r="AC7" s="93" t="s">
        <v>147</v>
      </c>
      <c r="AD7" s="94">
        <v>46148</v>
      </c>
      <c r="AE7" s="93">
        <v>429.34</v>
      </c>
      <c r="AF7" s="94">
        <v>46129</v>
      </c>
      <c r="AG7" s="93" t="s">
        <v>6</v>
      </c>
      <c r="AH7" s="93">
        <v>49</v>
      </c>
    </row>
    <row r="8" spans="1:37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41967</v>
      </c>
      <c r="AC8" s="93" t="s">
        <v>148</v>
      </c>
      <c r="AD8" s="94">
        <v>46271</v>
      </c>
      <c r="AE8" s="93">
        <v>177.86</v>
      </c>
      <c r="AF8" s="94">
        <v>46098</v>
      </c>
      <c r="AG8" s="93" t="s">
        <v>48</v>
      </c>
      <c r="AH8" s="93">
        <v>84</v>
      </c>
    </row>
    <row r="9" spans="1:37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111">
        <v>7</v>
      </c>
      <c r="AB9" s="110">
        <v>40914</v>
      </c>
      <c r="AC9" s="110" t="s">
        <v>149</v>
      </c>
      <c r="AD9" s="112">
        <v>46332</v>
      </c>
      <c r="AE9" s="110">
        <v>9588</v>
      </c>
      <c r="AF9" s="112">
        <v>46145</v>
      </c>
      <c r="AG9" s="110" t="s">
        <v>6</v>
      </c>
      <c r="AH9" s="110">
        <v>98</v>
      </c>
    </row>
    <row r="10" spans="1:37" ht="13.2">
      <c r="A10" s="88"/>
      <c r="B10" s="97" t="s">
        <v>15</v>
      </c>
      <c r="C10" s="102">
        <v>47</v>
      </c>
      <c r="D10" s="102"/>
      <c r="E10" s="102">
        <v>46</v>
      </c>
      <c r="F10" s="2">
        <v>43</v>
      </c>
      <c r="G10" s="2">
        <v>43</v>
      </c>
      <c r="H10" s="102">
        <v>16</v>
      </c>
      <c r="I10" s="102">
        <v>16</v>
      </c>
      <c r="J10" s="102">
        <v>21</v>
      </c>
      <c r="K10" s="102"/>
      <c r="L10" s="113">
        <v>12</v>
      </c>
      <c r="M10" s="102">
        <v>29</v>
      </c>
      <c r="N10" s="102">
        <v>29</v>
      </c>
      <c r="O10" s="102"/>
      <c r="P10" s="102">
        <v>32</v>
      </c>
      <c r="Q10" s="102">
        <v>8</v>
      </c>
      <c r="R10" s="114">
        <v>37</v>
      </c>
      <c r="S10" s="81">
        <v>38</v>
      </c>
      <c r="T10" s="115">
        <v>37</v>
      </c>
      <c r="U10" s="116">
        <v>35</v>
      </c>
      <c r="V10" s="102">
        <v>25</v>
      </c>
      <c r="W10" s="102"/>
      <c r="X10" s="88"/>
      <c r="Y10" s="88"/>
      <c r="Z10" s="88"/>
      <c r="AA10" s="87">
        <v>8</v>
      </c>
      <c r="AB10" s="93">
        <v>44581</v>
      </c>
      <c r="AC10" s="93" t="s">
        <v>150</v>
      </c>
      <c r="AD10" s="94">
        <v>46188</v>
      </c>
      <c r="AE10" s="93">
        <v>228.74</v>
      </c>
      <c r="AF10" s="94">
        <v>46126</v>
      </c>
      <c r="AG10" s="93" t="s">
        <v>50</v>
      </c>
      <c r="AH10" s="93">
        <v>62</v>
      </c>
    </row>
    <row r="11" spans="1:37" ht="13.2">
      <c r="A11" s="88"/>
      <c r="B11" s="97" t="s">
        <v>16</v>
      </c>
      <c r="C11" s="102">
        <v>9</v>
      </c>
      <c r="D11" s="102"/>
      <c r="E11" s="102">
        <v>9</v>
      </c>
      <c r="F11" s="2">
        <v>7</v>
      </c>
      <c r="G11" s="2">
        <v>7</v>
      </c>
      <c r="H11" s="102">
        <v>7</v>
      </c>
      <c r="I11" s="102">
        <v>7</v>
      </c>
      <c r="J11" s="102">
        <v>7</v>
      </c>
      <c r="K11" s="102"/>
      <c r="L11" s="113">
        <v>10</v>
      </c>
      <c r="M11" s="102">
        <v>10</v>
      </c>
      <c r="N11" s="102">
        <v>10</v>
      </c>
      <c r="O11" s="102"/>
      <c r="P11" s="102">
        <v>11</v>
      </c>
      <c r="Q11" s="102">
        <v>12</v>
      </c>
      <c r="R11" s="114">
        <v>11</v>
      </c>
      <c r="S11" s="81">
        <v>9</v>
      </c>
      <c r="T11" s="115">
        <v>9</v>
      </c>
      <c r="U11" s="116">
        <v>9</v>
      </c>
      <c r="V11" s="102">
        <v>6</v>
      </c>
      <c r="W11" s="102"/>
      <c r="X11" s="88"/>
      <c r="Y11" s="88"/>
      <c r="Z11" s="88"/>
      <c r="AA11" s="111">
        <v>9</v>
      </c>
      <c r="AB11" s="110">
        <v>43131</v>
      </c>
      <c r="AC11" s="110" t="s">
        <v>151</v>
      </c>
      <c r="AD11" s="112">
        <v>46189</v>
      </c>
      <c r="AE11" s="110">
        <v>397.3</v>
      </c>
      <c r="AF11" s="112">
        <v>46237</v>
      </c>
      <c r="AG11" s="110" t="s">
        <v>6</v>
      </c>
      <c r="AH11" s="110">
        <v>100</v>
      </c>
    </row>
    <row r="12" spans="1:37" ht="13.2">
      <c r="A12" s="88"/>
      <c r="B12" s="97" t="s">
        <v>17</v>
      </c>
      <c r="C12" s="102">
        <v>5</v>
      </c>
      <c r="D12" s="102"/>
      <c r="E12" s="102">
        <v>5</v>
      </c>
      <c r="F12" s="2">
        <v>3</v>
      </c>
      <c r="G12" s="2">
        <v>3</v>
      </c>
      <c r="H12" s="102">
        <v>4</v>
      </c>
      <c r="I12" s="102">
        <v>4</v>
      </c>
      <c r="J12" s="102">
        <v>4</v>
      </c>
      <c r="K12" s="102"/>
      <c r="L12" s="113">
        <v>6</v>
      </c>
      <c r="M12" s="102">
        <v>7</v>
      </c>
      <c r="N12" s="102">
        <v>7</v>
      </c>
      <c r="O12" s="102"/>
      <c r="P12" s="102">
        <v>5</v>
      </c>
      <c r="Q12" s="102">
        <v>3</v>
      </c>
      <c r="R12" s="114">
        <v>3</v>
      </c>
      <c r="S12" s="81">
        <v>2</v>
      </c>
      <c r="T12" s="115">
        <v>2</v>
      </c>
      <c r="U12" s="116">
        <v>4</v>
      </c>
      <c r="V12" s="102">
        <v>4</v>
      </c>
      <c r="W12" s="102"/>
      <c r="X12" s="88"/>
      <c r="Y12" s="88"/>
      <c r="Z12" s="88"/>
      <c r="AA12" s="111">
        <v>10</v>
      </c>
      <c r="AB12" s="110">
        <v>27411</v>
      </c>
      <c r="AC12" s="110" t="s">
        <v>152</v>
      </c>
      <c r="AD12" s="112">
        <v>46191</v>
      </c>
      <c r="AE12" s="110">
        <v>179.43</v>
      </c>
      <c r="AF12" s="112">
        <v>46298</v>
      </c>
      <c r="AG12" s="110" t="s">
        <v>6</v>
      </c>
      <c r="AH12" s="110">
        <v>100</v>
      </c>
      <c r="AK12">
        <v>0.2</v>
      </c>
    </row>
    <row r="13" spans="1:37" ht="13.2">
      <c r="A13" s="88"/>
      <c r="B13" s="97" t="s">
        <v>18</v>
      </c>
      <c r="C13" s="102">
        <v>0</v>
      </c>
      <c r="D13" s="102"/>
      <c r="E13" s="102">
        <v>0</v>
      </c>
      <c r="F13" s="2">
        <v>3</v>
      </c>
      <c r="G13" s="2">
        <v>3</v>
      </c>
      <c r="H13" s="102">
        <v>2</v>
      </c>
      <c r="I13" s="102">
        <v>2</v>
      </c>
      <c r="J13" s="102">
        <v>1</v>
      </c>
      <c r="K13" s="102"/>
      <c r="L13" s="113">
        <v>2</v>
      </c>
      <c r="M13" s="102">
        <v>1</v>
      </c>
      <c r="N13" s="102">
        <v>0</v>
      </c>
      <c r="O13" s="102"/>
      <c r="P13" s="102">
        <v>2</v>
      </c>
      <c r="Q13" s="102">
        <v>0</v>
      </c>
      <c r="R13" s="114">
        <v>0</v>
      </c>
      <c r="S13" s="81">
        <v>3</v>
      </c>
      <c r="T13" s="115">
        <v>2</v>
      </c>
      <c r="U13" s="116">
        <v>1</v>
      </c>
      <c r="V13" s="102">
        <v>1</v>
      </c>
      <c r="W13" s="102"/>
      <c r="X13" s="88"/>
      <c r="Y13" s="88"/>
      <c r="Z13" s="88"/>
      <c r="AA13" s="87">
        <v>11</v>
      </c>
      <c r="AB13" s="93">
        <v>36248</v>
      </c>
      <c r="AC13" s="93" t="s">
        <v>153</v>
      </c>
      <c r="AD13" s="94">
        <v>46199</v>
      </c>
      <c r="AE13" s="93">
        <v>264.39</v>
      </c>
      <c r="AF13" s="94">
        <v>46147</v>
      </c>
      <c r="AG13" s="93" t="s">
        <v>40</v>
      </c>
      <c r="AH13" s="93">
        <v>52</v>
      </c>
    </row>
    <row r="14" spans="1:37" ht="13.2">
      <c r="A14" s="88"/>
      <c r="B14" s="97" t="s">
        <v>51</v>
      </c>
      <c r="C14" s="102">
        <v>185</v>
      </c>
      <c r="D14" s="102"/>
      <c r="E14" s="102">
        <v>177</v>
      </c>
      <c r="F14" s="2">
        <v>177</v>
      </c>
      <c r="G14" s="2">
        <v>177</v>
      </c>
      <c r="H14" s="113">
        <v>214</v>
      </c>
      <c r="I14" s="102">
        <v>213</v>
      </c>
      <c r="J14" s="102">
        <v>213</v>
      </c>
      <c r="K14" s="102"/>
      <c r="L14" s="113">
        <v>204</v>
      </c>
      <c r="M14" s="102">
        <v>187</v>
      </c>
      <c r="N14" s="102">
        <v>187</v>
      </c>
      <c r="O14" s="102"/>
      <c r="P14" s="102">
        <v>190</v>
      </c>
      <c r="Q14" s="102">
        <v>216</v>
      </c>
      <c r="R14" s="114">
        <v>216</v>
      </c>
      <c r="S14" s="81">
        <v>223</v>
      </c>
      <c r="T14" s="115">
        <v>198</v>
      </c>
      <c r="U14" s="87">
        <v>180</v>
      </c>
      <c r="V14" s="102">
        <v>189</v>
      </c>
      <c r="W14" s="102"/>
      <c r="X14" s="88"/>
      <c r="Y14" s="88"/>
      <c r="Z14" s="88"/>
      <c r="AA14" s="87">
        <v>12</v>
      </c>
      <c r="AB14" s="93">
        <v>2425</v>
      </c>
      <c r="AC14" s="93" t="s">
        <v>154</v>
      </c>
      <c r="AD14" s="94">
        <v>46199</v>
      </c>
      <c r="AE14" s="93">
        <v>546.6</v>
      </c>
      <c r="AF14" s="94">
        <v>46128</v>
      </c>
      <c r="AG14" s="93" t="s">
        <v>40</v>
      </c>
      <c r="AH14" s="93">
        <v>71</v>
      </c>
    </row>
    <row r="15" spans="1:37" ht="13.2">
      <c r="A15" s="88"/>
      <c r="B15" s="97" t="s">
        <v>52</v>
      </c>
      <c r="C15" s="102">
        <v>40</v>
      </c>
      <c r="D15" s="102"/>
      <c r="E15" s="102">
        <v>33</v>
      </c>
      <c r="F15" s="2">
        <v>34</v>
      </c>
      <c r="G15" s="2">
        <v>34</v>
      </c>
      <c r="H15" s="102">
        <v>37</v>
      </c>
      <c r="I15" s="102">
        <v>37</v>
      </c>
      <c r="J15" s="102">
        <v>37</v>
      </c>
      <c r="K15" s="102"/>
      <c r="L15" s="113">
        <v>36</v>
      </c>
      <c r="M15" s="102">
        <v>35</v>
      </c>
      <c r="N15" s="102">
        <v>35</v>
      </c>
      <c r="O15" s="102"/>
      <c r="P15" s="102">
        <v>35</v>
      </c>
      <c r="Q15" s="102">
        <v>35</v>
      </c>
      <c r="R15" s="114">
        <v>35</v>
      </c>
      <c r="S15" s="81">
        <v>35</v>
      </c>
      <c r="T15" s="115">
        <v>32</v>
      </c>
      <c r="U15" s="117">
        <v>29</v>
      </c>
      <c r="V15" s="102">
        <v>29</v>
      </c>
      <c r="W15" s="102"/>
      <c r="X15" s="88"/>
      <c r="Y15" s="88"/>
      <c r="Z15" s="88"/>
      <c r="AA15" s="87">
        <v>13</v>
      </c>
      <c r="AB15" s="118">
        <v>24254</v>
      </c>
      <c r="AC15" s="118" t="s">
        <v>155</v>
      </c>
      <c r="AD15" s="94">
        <v>46199</v>
      </c>
      <c r="AE15" s="93">
        <v>400.81</v>
      </c>
      <c r="AF15" s="94">
        <v>46129</v>
      </c>
      <c r="AG15" s="93" t="s">
        <v>116</v>
      </c>
      <c r="AH15" s="52">
        <v>70</v>
      </c>
    </row>
    <row r="16" spans="1:37" ht="13.2">
      <c r="A16" s="88"/>
      <c r="B16" s="97" t="s">
        <v>22</v>
      </c>
      <c r="C16" s="102">
        <v>0</v>
      </c>
      <c r="D16" s="102"/>
      <c r="E16" s="102">
        <v>0</v>
      </c>
      <c r="F16" s="2">
        <v>0</v>
      </c>
      <c r="G16" s="2">
        <v>0</v>
      </c>
      <c r="H16" s="102">
        <v>0</v>
      </c>
      <c r="I16" s="102">
        <v>0</v>
      </c>
      <c r="J16" s="102">
        <v>0</v>
      </c>
      <c r="K16" s="102"/>
      <c r="L16" s="113">
        <v>0</v>
      </c>
      <c r="M16" s="102">
        <v>0</v>
      </c>
      <c r="N16" s="102">
        <v>0</v>
      </c>
      <c r="O16" s="102"/>
      <c r="P16" s="102">
        <v>0</v>
      </c>
      <c r="Q16" s="102">
        <v>0</v>
      </c>
      <c r="R16" s="114">
        <v>0</v>
      </c>
      <c r="S16" s="81">
        <v>0</v>
      </c>
      <c r="T16" s="115">
        <v>0</v>
      </c>
      <c r="U16" s="87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42652</v>
      </c>
      <c r="AC16" s="93" t="s">
        <v>156</v>
      </c>
      <c r="AD16" s="94">
        <v>46202</v>
      </c>
      <c r="AE16" s="93">
        <v>221.73</v>
      </c>
      <c r="AF16" s="94">
        <v>46239</v>
      </c>
      <c r="AG16" s="93" t="s">
        <v>6</v>
      </c>
      <c r="AH16" s="93">
        <v>52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1</v>
      </c>
      <c r="I17" s="102">
        <v>1</v>
      </c>
      <c r="J17" s="102">
        <v>1</v>
      </c>
      <c r="K17" s="102"/>
      <c r="L17" s="113">
        <v>1</v>
      </c>
      <c r="M17" s="102">
        <v>1</v>
      </c>
      <c r="N17" s="102">
        <v>1</v>
      </c>
      <c r="O17" s="102"/>
      <c r="P17" s="102">
        <v>1</v>
      </c>
      <c r="Q17" s="102">
        <v>1</v>
      </c>
      <c r="R17" s="114">
        <v>1</v>
      </c>
      <c r="S17" s="81">
        <v>1</v>
      </c>
      <c r="T17" s="115">
        <v>1</v>
      </c>
      <c r="U17" s="87">
        <v>1</v>
      </c>
      <c r="V17" s="102">
        <v>1</v>
      </c>
      <c r="W17" s="102"/>
      <c r="X17" s="88"/>
      <c r="Y17" s="88"/>
      <c r="Z17" s="88"/>
      <c r="AA17" s="87">
        <v>15</v>
      </c>
      <c r="AB17" s="93">
        <v>30292</v>
      </c>
      <c r="AC17" s="93" t="s">
        <v>157</v>
      </c>
      <c r="AD17" s="94">
        <v>46029</v>
      </c>
      <c r="AE17" s="93">
        <v>1797</v>
      </c>
      <c r="AF17" s="94">
        <v>46142</v>
      </c>
      <c r="AG17" s="93" t="s">
        <v>6</v>
      </c>
      <c r="AH17" s="93">
        <v>61</v>
      </c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2">
        <v>1</v>
      </c>
      <c r="G18" s="2">
        <v>1</v>
      </c>
      <c r="H18" s="102">
        <v>3</v>
      </c>
      <c r="I18" s="102">
        <v>4</v>
      </c>
      <c r="J18" s="102">
        <v>4</v>
      </c>
      <c r="K18" s="102"/>
      <c r="L18" s="113">
        <v>4</v>
      </c>
      <c r="M18" s="102">
        <v>4</v>
      </c>
      <c r="N18" s="102">
        <v>4</v>
      </c>
      <c r="O18" s="102"/>
      <c r="P18" s="102">
        <v>4</v>
      </c>
      <c r="Q18" s="102">
        <v>5</v>
      </c>
      <c r="R18" s="114">
        <v>5</v>
      </c>
      <c r="S18" s="81">
        <v>7</v>
      </c>
      <c r="T18" s="115">
        <v>31</v>
      </c>
      <c r="U18" s="87">
        <v>35</v>
      </c>
      <c r="V18" s="102">
        <v>36</v>
      </c>
      <c r="W18" s="102"/>
      <c r="X18" s="88"/>
      <c r="Y18" s="88"/>
      <c r="Z18" s="88"/>
      <c r="AA18" s="87">
        <v>16</v>
      </c>
      <c r="AB18" s="93">
        <v>39127</v>
      </c>
      <c r="AC18" s="93" t="s">
        <v>158</v>
      </c>
      <c r="AD18" s="94">
        <v>46029</v>
      </c>
      <c r="AE18" s="93">
        <v>180.15</v>
      </c>
      <c r="AF18" s="94">
        <v>46239</v>
      </c>
      <c r="AG18" s="93" t="s">
        <v>6</v>
      </c>
      <c r="AH18" s="93">
        <v>52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0</v>
      </c>
      <c r="H19" s="102">
        <v>0</v>
      </c>
      <c r="I19" s="102">
        <v>0</v>
      </c>
      <c r="J19" s="102">
        <v>0</v>
      </c>
      <c r="K19" s="102"/>
      <c r="L19" s="113">
        <v>0</v>
      </c>
      <c r="M19" s="102">
        <v>0</v>
      </c>
      <c r="N19" s="102">
        <v>0</v>
      </c>
      <c r="O19" s="102"/>
      <c r="P19" s="102">
        <v>2</v>
      </c>
      <c r="Q19" s="102">
        <v>2</v>
      </c>
      <c r="R19" s="114">
        <v>2</v>
      </c>
      <c r="S19" s="81">
        <v>2</v>
      </c>
      <c r="T19" s="115">
        <v>2</v>
      </c>
      <c r="U19" s="87">
        <v>2</v>
      </c>
      <c r="V19" s="102">
        <v>2</v>
      </c>
      <c r="W19" s="102"/>
      <c r="X19" s="88"/>
      <c r="Y19" s="88"/>
      <c r="Z19" s="88"/>
      <c r="AA19" s="88"/>
      <c r="AE19" s="119">
        <v>17133.68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1</v>
      </c>
      <c r="I20" s="102">
        <v>1</v>
      </c>
      <c r="J20" s="102">
        <v>1</v>
      </c>
      <c r="K20" s="102"/>
      <c r="L20" s="113">
        <v>1</v>
      </c>
      <c r="M20" s="102">
        <v>1</v>
      </c>
      <c r="N20" s="102">
        <v>1</v>
      </c>
      <c r="O20" s="102"/>
      <c r="P20" s="102">
        <v>1</v>
      </c>
      <c r="Q20" s="102">
        <v>1</v>
      </c>
      <c r="R20" s="114">
        <v>1</v>
      </c>
      <c r="S20" s="81">
        <v>1</v>
      </c>
      <c r="T20" s="115">
        <v>2</v>
      </c>
      <c r="U20" s="87">
        <v>3</v>
      </c>
      <c r="V20" s="102">
        <v>5</v>
      </c>
      <c r="W20" s="102"/>
      <c r="X20" s="88"/>
      <c r="Y20" s="88"/>
      <c r="Z20" s="88"/>
      <c r="AA20" s="88"/>
    </row>
    <row r="21" spans="1:34" ht="13.2">
      <c r="A21" s="88"/>
      <c r="B21" s="109" t="s">
        <v>11</v>
      </c>
      <c r="C21" s="109">
        <v>286</v>
      </c>
      <c r="D21" s="109">
        <v>0</v>
      </c>
      <c r="E21" s="109">
        <v>271</v>
      </c>
      <c r="F21" s="109">
        <v>268</v>
      </c>
      <c r="G21" s="109">
        <v>268</v>
      </c>
      <c r="H21" s="109">
        <v>285</v>
      </c>
      <c r="I21" s="109">
        <v>285</v>
      </c>
      <c r="J21" s="109">
        <v>289</v>
      </c>
      <c r="K21" s="109">
        <v>0</v>
      </c>
      <c r="L21" s="109">
        <v>276</v>
      </c>
      <c r="M21" s="109">
        <v>275</v>
      </c>
      <c r="N21" s="109">
        <v>274</v>
      </c>
      <c r="O21" s="109">
        <v>0</v>
      </c>
      <c r="P21" s="109">
        <v>283</v>
      </c>
      <c r="Q21" s="109">
        <v>283</v>
      </c>
      <c r="R21" s="109">
        <v>311</v>
      </c>
      <c r="S21" s="109">
        <v>321</v>
      </c>
      <c r="T21" s="109">
        <v>316</v>
      </c>
      <c r="U21" s="109">
        <v>299</v>
      </c>
      <c r="V21" s="109">
        <v>298</v>
      </c>
      <c r="W21" s="109">
        <v>0</v>
      </c>
      <c r="X21" s="88"/>
      <c r="Y21" s="88"/>
      <c r="Z21" s="88"/>
      <c r="AA21" s="88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13</v>
      </c>
      <c r="F25" s="87">
        <v>8</v>
      </c>
      <c r="G25" s="87">
        <v>3</v>
      </c>
      <c r="H25" s="87">
        <v>33</v>
      </c>
      <c r="I25" s="87" t="s">
        <v>54</v>
      </c>
      <c r="J25" s="87" t="s">
        <v>54</v>
      </c>
      <c r="K25" s="87" t="s">
        <v>54</v>
      </c>
      <c r="L25" s="87" t="s">
        <v>54</v>
      </c>
      <c r="M25" s="87">
        <v>11</v>
      </c>
      <c r="N25" s="87" t="s">
        <v>54</v>
      </c>
      <c r="O25" s="87" t="s">
        <v>54</v>
      </c>
      <c r="P25" s="87">
        <v>3</v>
      </c>
      <c r="Q25" s="87">
        <v>40</v>
      </c>
      <c r="R25" s="87">
        <v>30</v>
      </c>
      <c r="S25" s="87">
        <v>0</v>
      </c>
      <c r="T25" s="87">
        <v>47</v>
      </c>
      <c r="U25" s="87">
        <v>54</v>
      </c>
      <c r="V25" s="87">
        <v>36</v>
      </c>
      <c r="W25" s="87">
        <v>38</v>
      </c>
      <c r="X25" s="81">
        <v>316</v>
      </c>
      <c r="Y25" s="108">
        <v>-34</v>
      </c>
      <c r="Z25" s="88"/>
      <c r="AA25" s="88"/>
    </row>
    <row r="26" spans="1:34" ht="13.2">
      <c r="A26" s="88"/>
      <c r="B26" s="9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88"/>
      <c r="Y26" s="88"/>
      <c r="Z26" s="88"/>
      <c r="AA26" s="88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282"/>
      <c r="Y27" s="282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 spans="1:27" ht="13.2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34" ht="13.2">
      <c r="A2" s="88"/>
      <c r="B2" s="88"/>
      <c r="C2" s="283" t="s">
        <v>28</v>
      </c>
      <c r="D2" s="284"/>
      <c r="E2" s="284"/>
      <c r="F2" s="285"/>
      <c r="G2" s="283" t="s">
        <v>29</v>
      </c>
      <c r="H2" s="284"/>
      <c r="I2" s="284"/>
      <c r="J2" s="284"/>
      <c r="K2" s="285"/>
      <c r="L2" s="283" t="s">
        <v>30</v>
      </c>
      <c r="M2" s="284"/>
      <c r="N2" s="284"/>
      <c r="O2" s="284"/>
      <c r="P2" s="285"/>
      <c r="Q2" s="283" t="s">
        <v>31</v>
      </c>
      <c r="R2" s="284"/>
      <c r="S2" s="284"/>
      <c r="T2" s="284"/>
      <c r="U2" s="285"/>
      <c r="V2" s="283" t="s">
        <v>32</v>
      </c>
      <c r="W2" s="284"/>
      <c r="X2" s="88"/>
      <c r="Y2" s="88"/>
      <c r="Z2" s="90"/>
      <c r="AA2" s="91" t="s">
        <v>33</v>
      </c>
      <c r="AB2" s="91" t="s">
        <v>34</v>
      </c>
      <c r="AC2" s="91" t="s">
        <v>142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0"/>
      <c r="Y3" s="281"/>
      <c r="Z3" s="88"/>
      <c r="AA3" s="87">
        <v>1</v>
      </c>
      <c r="AB3" s="93">
        <v>23621</v>
      </c>
      <c r="AC3" s="93" t="s">
        <v>120</v>
      </c>
      <c r="AD3" s="94">
        <v>46148</v>
      </c>
      <c r="AE3" s="93">
        <v>273.19</v>
      </c>
      <c r="AF3" s="94">
        <v>46099</v>
      </c>
      <c r="AG3" s="93" t="s">
        <v>55</v>
      </c>
      <c r="AH3" s="52">
        <v>79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44106</v>
      </c>
      <c r="AC4" s="93" t="s">
        <v>121</v>
      </c>
      <c r="AD4" s="94">
        <v>46148</v>
      </c>
      <c r="AE4" s="93">
        <v>588.66</v>
      </c>
      <c r="AF4" s="94">
        <v>46101</v>
      </c>
      <c r="AG4" s="93" t="s">
        <v>55</v>
      </c>
      <c r="AH4" s="52">
        <v>77</v>
      </c>
    </row>
    <row r="5" spans="1:34" ht="13.2">
      <c r="A5" s="88"/>
      <c r="B5" s="100" t="s">
        <v>2</v>
      </c>
      <c r="C5" s="101">
        <v>3</v>
      </c>
      <c r="D5" s="102">
        <v>3</v>
      </c>
      <c r="E5" s="102">
        <v>3</v>
      </c>
      <c r="F5" s="103">
        <v>3</v>
      </c>
      <c r="G5" s="101">
        <v>3</v>
      </c>
      <c r="H5" s="102">
        <v>3</v>
      </c>
      <c r="I5" s="102">
        <v>3</v>
      </c>
      <c r="J5" s="102">
        <v>3</v>
      </c>
      <c r="K5" s="103">
        <v>3</v>
      </c>
      <c r="L5" s="101">
        <v>3</v>
      </c>
      <c r="M5" s="102">
        <v>3</v>
      </c>
      <c r="N5" s="102">
        <v>3</v>
      </c>
      <c r="O5" s="102">
        <v>2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3</v>
      </c>
      <c r="X5" s="104">
        <v>48</v>
      </c>
      <c r="Y5" s="88"/>
      <c r="Z5" s="88"/>
      <c r="AA5" s="87">
        <v>3</v>
      </c>
      <c r="AB5" s="93">
        <v>44364</v>
      </c>
      <c r="AC5" s="93" t="s">
        <v>122</v>
      </c>
      <c r="AD5" s="94">
        <v>46148</v>
      </c>
      <c r="AE5" s="93">
        <v>653.28</v>
      </c>
      <c r="AF5" s="94">
        <v>46057</v>
      </c>
      <c r="AG5" s="93" t="s">
        <v>55</v>
      </c>
      <c r="AH5" s="52">
        <v>64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3</v>
      </c>
      <c r="G6" s="105">
        <v>1</v>
      </c>
      <c r="H6" s="106">
        <v>0</v>
      </c>
      <c r="I6" s="106">
        <v>0</v>
      </c>
      <c r="J6" s="106">
        <v>1</v>
      </c>
      <c r="K6" s="107">
        <v>2</v>
      </c>
      <c r="L6" s="105">
        <v>0</v>
      </c>
      <c r="M6" s="106">
        <v>0</v>
      </c>
      <c r="N6" s="106">
        <v>1</v>
      </c>
      <c r="O6" s="106">
        <v>5</v>
      </c>
      <c r="P6" s="107">
        <v>2</v>
      </c>
      <c r="Q6" s="105">
        <v>0</v>
      </c>
      <c r="R6" s="106">
        <v>0</v>
      </c>
      <c r="S6" s="106">
        <v>1</v>
      </c>
      <c r="T6" s="106">
        <v>1</v>
      </c>
      <c r="U6" s="107">
        <v>4</v>
      </c>
      <c r="V6" s="105"/>
      <c r="W6" s="107"/>
      <c r="X6" s="104">
        <v>21</v>
      </c>
      <c r="Y6" s="108">
        <v>-27</v>
      </c>
      <c r="Z6" s="88"/>
      <c r="AA6" s="122">
        <v>4</v>
      </c>
      <c r="AB6" s="123">
        <v>29622</v>
      </c>
      <c r="AC6" s="123" t="s">
        <v>123</v>
      </c>
      <c r="AD6" s="124">
        <v>46240</v>
      </c>
      <c r="AE6" s="121">
        <v>415.4</v>
      </c>
      <c r="AF6" s="124">
        <v>45804</v>
      </c>
      <c r="AG6" s="121" t="s">
        <v>56</v>
      </c>
      <c r="AH6" s="121">
        <v>377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23">
        <v>40214</v>
      </c>
      <c r="AC7" s="123" t="s">
        <v>124</v>
      </c>
      <c r="AD7" s="124">
        <v>46332</v>
      </c>
      <c r="AE7" s="121">
        <v>245.45</v>
      </c>
      <c r="AF7" s="124">
        <v>46080</v>
      </c>
      <c r="AG7" s="121" t="s">
        <v>55</v>
      </c>
      <c r="AH7" s="121">
        <v>104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16902</v>
      </c>
      <c r="AC8" s="93" t="s">
        <v>125</v>
      </c>
      <c r="AD8" s="94">
        <v>46362</v>
      </c>
      <c r="AE8" s="93">
        <v>168.9</v>
      </c>
      <c r="AF8" s="94">
        <v>46135</v>
      </c>
      <c r="AG8" s="93" t="s">
        <v>55</v>
      </c>
      <c r="AH8" s="52">
        <v>50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93">
        <v>43912</v>
      </c>
      <c r="AC9" s="93" t="s">
        <v>126</v>
      </c>
      <c r="AD9" s="94">
        <v>46362</v>
      </c>
      <c r="AE9" s="93">
        <v>564.9</v>
      </c>
      <c r="AF9" s="94">
        <v>46057</v>
      </c>
      <c r="AG9" s="93" t="s">
        <v>55</v>
      </c>
      <c r="AH9" s="52">
        <v>71</v>
      </c>
    </row>
    <row r="10" spans="1:34" ht="13.2">
      <c r="A10" s="88"/>
      <c r="B10" s="97" t="s">
        <v>15</v>
      </c>
      <c r="C10" s="102">
        <v>54</v>
      </c>
      <c r="D10" s="102"/>
      <c r="E10" s="102">
        <v>45</v>
      </c>
      <c r="F10" s="2">
        <v>51</v>
      </c>
      <c r="G10" s="2">
        <v>51</v>
      </c>
      <c r="H10" s="102">
        <v>31</v>
      </c>
      <c r="I10" s="102">
        <v>27</v>
      </c>
      <c r="J10" s="102">
        <v>10</v>
      </c>
      <c r="K10" s="102">
        <v>20</v>
      </c>
      <c r="L10" s="113">
        <v>0</v>
      </c>
      <c r="M10" s="102">
        <v>10</v>
      </c>
      <c r="N10" s="102">
        <v>0</v>
      </c>
      <c r="O10" s="102"/>
      <c r="P10" s="102">
        <v>0</v>
      </c>
      <c r="Q10" s="102">
        <v>0</v>
      </c>
      <c r="R10" s="114">
        <v>26</v>
      </c>
      <c r="S10" s="81">
        <v>3</v>
      </c>
      <c r="T10" s="115">
        <v>0</v>
      </c>
      <c r="U10" s="102">
        <v>0</v>
      </c>
      <c r="V10" s="102">
        <v>0</v>
      </c>
      <c r="W10" s="102"/>
      <c r="X10" s="88"/>
      <c r="Y10" s="88"/>
      <c r="Z10" s="88"/>
      <c r="AA10" s="87">
        <v>8</v>
      </c>
      <c r="AB10" s="118">
        <v>44200</v>
      </c>
      <c r="AC10" s="118" t="s">
        <v>127</v>
      </c>
      <c r="AD10" s="94">
        <v>46190</v>
      </c>
      <c r="AE10" s="93">
        <v>203.45</v>
      </c>
      <c r="AF10" s="94">
        <v>46139</v>
      </c>
      <c r="AG10" s="93" t="s">
        <v>55</v>
      </c>
      <c r="AH10" s="52">
        <v>51</v>
      </c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2">
        <v>1</v>
      </c>
      <c r="G11" s="2">
        <v>1</v>
      </c>
      <c r="H11" s="102">
        <v>1</v>
      </c>
      <c r="I11" s="102">
        <v>0</v>
      </c>
      <c r="J11" s="102">
        <v>0</v>
      </c>
      <c r="K11" s="102">
        <v>0</v>
      </c>
      <c r="L11" s="113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02">
        <v>0</v>
      </c>
      <c r="V11" s="102">
        <v>0</v>
      </c>
      <c r="W11" s="102"/>
      <c r="X11" s="88"/>
      <c r="Y11" s="88"/>
      <c r="Z11" s="88"/>
      <c r="AA11" s="122">
        <v>9</v>
      </c>
      <c r="AB11" s="123">
        <v>36451</v>
      </c>
      <c r="AC11" s="123" t="s">
        <v>128</v>
      </c>
      <c r="AD11" s="124">
        <v>46191</v>
      </c>
      <c r="AE11" s="121">
        <v>398.24</v>
      </c>
      <c r="AF11" s="124">
        <v>46358</v>
      </c>
      <c r="AG11" s="121" t="s">
        <v>57</v>
      </c>
      <c r="AH11" s="121">
        <v>126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0</v>
      </c>
      <c r="I12" s="102">
        <v>0</v>
      </c>
      <c r="J12" s="102">
        <v>0</v>
      </c>
      <c r="K12" s="102">
        <v>0</v>
      </c>
      <c r="L12" s="113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02">
        <v>0</v>
      </c>
      <c r="V12" s="102">
        <v>0</v>
      </c>
      <c r="W12" s="102"/>
      <c r="X12" s="88"/>
      <c r="Y12" s="88"/>
      <c r="Z12" s="88"/>
      <c r="AA12" s="87">
        <v>10</v>
      </c>
      <c r="AB12" s="93">
        <v>42285</v>
      </c>
      <c r="AC12" s="93" t="s">
        <v>129</v>
      </c>
      <c r="AD12" s="94">
        <v>46191</v>
      </c>
      <c r="AE12" s="93">
        <v>1277</v>
      </c>
      <c r="AF12" s="94">
        <v>46026</v>
      </c>
      <c r="AG12" s="93" t="s">
        <v>58</v>
      </c>
      <c r="AH12" s="52">
        <v>78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>
        <v>0</v>
      </c>
      <c r="L13" s="113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02">
        <v>0</v>
      </c>
      <c r="V13" s="102">
        <v>0</v>
      </c>
      <c r="W13" s="102"/>
      <c r="X13" s="88"/>
      <c r="Y13" s="88"/>
      <c r="Z13" s="88"/>
      <c r="AA13" s="87">
        <v>11</v>
      </c>
      <c r="AB13" s="93">
        <v>38884</v>
      </c>
      <c r="AC13" s="93" t="s">
        <v>130</v>
      </c>
      <c r="AD13" s="94">
        <v>46191</v>
      </c>
      <c r="AE13" s="93">
        <v>278.36</v>
      </c>
      <c r="AF13" s="94">
        <v>46129</v>
      </c>
      <c r="AG13" s="93" t="s">
        <v>55</v>
      </c>
      <c r="AH13" s="52">
        <v>62</v>
      </c>
    </row>
    <row r="14" spans="1:34" ht="13.2">
      <c r="A14" s="88"/>
      <c r="B14" s="97" t="s">
        <v>51</v>
      </c>
      <c r="C14" s="102">
        <v>345</v>
      </c>
      <c r="D14" s="102"/>
      <c r="E14" s="102">
        <v>351</v>
      </c>
      <c r="F14" s="2">
        <v>356</v>
      </c>
      <c r="G14" s="2">
        <v>356</v>
      </c>
      <c r="H14" s="113">
        <v>371</v>
      </c>
      <c r="I14" s="102">
        <v>409</v>
      </c>
      <c r="J14" s="102">
        <v>422</v>
      </c>
      <c r="K14" s="102">
        <v>421</v>
      </c>
      <c r="L14" s="113">
        <v>707</v>
      </c>
      <c r="M14" s="102">
        <v>457</v>
      </c>
      <c r="N14" s="102">
        <v>464</v>
      </c>
      <c r="O14" s="102"/>
      <c r="P14" s="102">
        <v>482</v>
      </c>
      <c r="Q14" s="102">
        <v>472</v>
      </c>
      <c r="R14" s="114">
        <v>490</v>
      </c>
      <c r="S14" s="81">
        <v>507</v>
      </c>
      <c r="T14" s="115">
        <v>511</v>
      </c>
      <c r="U14" s="102">
        <v>530</v>
      </c>
      <c r="V14" s="102">
        <v>530</v>
      </c>
      <c r="W14" s="102"/>
      <c r="X14" s="88"/>
      <c r="Y14" s="88"/>
      <c r="Z14" s="88"/>
      <c r="AA14" s="87">
        <v>12</v>
      </c>
      <c r="AB14" s="118">
        <v>45080</v>
      </c>
      <c r="AC14" s="118" t="s">
        <v>131</v>
      </c>
      <c r="AD14" s="125">
        <v>46191</v>
      </c>
      <c r="AE14" s="93">
        <v>164.75</v>
      </c>
      <c r="AF14" s="94">
        <v>46142</v>
      </c>
      <c r="AG14" s="93" t="s">
        <v>59</v>
      </c>
      <c r="AH14" s="52">
        <v>49</v>
      </c>
    </row>
    <row r="15" spans="1:34" ht="13.2">
      <c r="A15" s="88"/>
      <c r="B15" s="97" t="s">
        <v>52</v>
      </c>
      <c r="C15" s="102">
        <v>79</v>
      </c>
      <c r="D15" s="102"/>
      <c r="E15" s="102">
        <v>79</v>
      </c>
      <c r="F15" s="2">
        <v>79</v>
      </c>
      <c r="G15" s="2">
        <v>79</v>
      </c>
      <c r="H15" s="102">
        <v>79</v>
      </c>
      <c r="I15" s="102">
        <v>79</v>
      </c>
      <c r="J15" s="102">
        <v>79</v>
      </c>
      <c r="K15" s="102">
        <v>78</v>
      </c>
      <c r="L15" s="113">
        <v>102</v>
      </c>
      <c r="M15" s="102">
        <v>76</v>
      </c>
      <c r="N15" s="102">
        <v>75</v>
      </c>
      <c r="O15" s="102"/>
      <c r="P15" s="102">
        <v>75</v>
      </c>
      <c r="Q15" s="102">
        <v>74</v>
      </c>
      <c r="R15" s="114">
        <v>76</v>
      </c>
      <c r="S15" s="81">
        <v>77</v>
      </c>
      <c r="T15" s="115">
        <v>78</v>
      </c>
      <c r="U15" s="102">
        <v>75</v>
      </c>
      <c r="V15" s="102">
        <v>75</v>
      </c>
      <c r="W15" s="102"/>
      <c r="X15" s="88"/>
      <c r="Y15" s="88"/>
      <c r="Z15" s="88"/>
      <c r="AA15" s="87">
        <v>13</v>
      </c>
      <c r="AB15" s="118">
        <v>31636</v>
      </c>
      <c r="AC15" s="118" t="s">
        <v>132</v>
      </c>
      <c r="AD15" s="125">
        <v>46191</v>
      </c>
      <c r="AE15" s="93">
        <v>287.23</v>
      </c>
      <c r="AF15" s="94">
        <v>46126</v>
      </c>
      <c r="AG15" s="93" t="s">
        <v>55</v>
      </c>
      <c r="AH15" s="52">
        <v>65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102">
        <v>0</v>
      </c>
      <c r="H16" s="102">
        <v>0</v>
      </c>
      <c r="I16" s="102">
        <v>0</v>
      </c>
      <c r="J16" s="102">
        <v>0</v>
      </c>
      <c r="K16" s="102">
        <v>0</v>
      </c>
      <c r="L16" s="113">
        <v>1</v>
      </c>
      <c r="M16" s="102">
        <v>0</v>
      </c>
      <c r="N16" s="102">
        <v>1</v>
      </c>
      <c r="O16" s="102"/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102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42559</v>
      </c>
      <c r="AC16" s="93" t="s">
        <v>133</v>
      </c>
      <c r="AD16" s="94">
        <v>46192</v>
      </c>
      <c r="AE16" s="93">
        <v>484.4</v>
      </c>
      <c r="AF16" s="94">
        <v>46136</v>
      </c>
      <c r="AG16" s="93" t="s">
        <v>55</v>
      </c>
      <c r="AH16" s="52">
        <v>56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13">
        <v>2</v>
      </c>
      <c r="M17" s="102">
        <v>0</v>
      </c>
      <c r="N17" s="102">
        <v>0</v>
      </c>
      <c r="O17" s="102"/>
      <c r="P17" s="102">
        <v>0</v>
      </c>
      <c r="Q17" s="102">
        <v>0</v>
      </c>
      <c r="R17" s="114">
        <v>0</v>
      </c>
      <c r="S17" s="81">
        <v>0</v>
      </c>
      <c r="T17" s="115">
        <v>0</v>
      </c>
      <c r="U17" s="102">
        <v>0</v>
      </c>
      <c r="V17" s="102">
        <v>0</v>
      </c>
      <c r="W17" s="102"/>
      <c r="X17" s="88"/>
      <c r="Y17" s="88"/>
      <c r="Z17" s="88"/>
      <c r="AA17" s="122">
        <v>15</v>
      </c>
      <c r="AB17" s="123">
        <v>29084</v>
      </c>
      <c r="AC17" s="123" t="s">
        <v>134</v>
      </c>
      <c r="AD17" s="124">
        <v>46192</v>
      </c>
      <c r="AE17" s="121">
        <v>201.15</v>
      </c>
      <c r="AF17" s="124">
        <v>46038</v>
      </c>
      <c r="AG17" s="121" t="s">
        <v>55</v>
      </c>
      <c r="AH17" s="121">
        <v>154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102">
        <v>0</v>
      </c>
      <c r="G18" s="102">
        <v>0</v>
      </c>
      <c r="H18" s="102">
        <v>0</v>
      </c>
      <c r="I18" s="102">
        <v>2</v>
      </c>
      <c r="J18" s="102">
        <v>6</v>
      </c>
      <c r="K18" s="102">
        <v>6</v>
      </c>
      <c r="L18" s="113">
        <v>12</v>
      </c>
      <c r="M18" s="102">
        <v>13</v>
      </c>
      <c r="N18" s="102">
        <v>14</v>
      </c>
      <c r="O18" s="102"/>
      <c r="P18" s="102">
        <v>16</v>
      </c>
      <c r="Q18" s="102">
        <v>25</v>
      </c>
      <c r="R18" s="114">
        <v>25</v>
      </c>
      <c r="S18" s="81">
        <v>26</v>
      </c>
      <c r="T18" s="115">
        <v>26</v>
      </c>
      <c r="U18" s="102">
        <v>41</v>
      </c>
      <c r="V18" s="102">
        <v>41</v>
      </c>
      <c r="W18" s="102"/>
      <c r="X18" s="88"/>
      <c r="Y18" s="88"/>
      <c r="Z18" s="88"/>
      <c r="AA18" s="122">
        <v>16</v>
      </c>
      <c r="AB18" s="123">
        <v>41123</v>
      </c>
      <c r="AC18" s="123" t="s">
        <v>135</v>
      </c>
      <c r="AD18" s="124">
        <v>46197</v>
      </c>
      <c r="AE18" s="121">
        <v>629.9</v>
      </c>
      <c r="AF18" s="124">
        <v>46003</v>
      </c>
      <c r="AG18" s="121" t="s">
        <v>55</v>
      </c>
      <c r="AH18" s="121">
        <v>194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102">
        <v>0</v>
      </c>
      <c r="H19" s="102">
        <v>0</v>
      </c>
      <c r="I19" s="102">
        <v>0</v>
      </c>
      <c r="J19" s="102">
        <v>0</v>
      </c>
      <c r="K19" s="102">
        <v>0</v>
      </c>
      <c r="L19" s="113">
        <v>3</v>
      </c>
      <c r="M19" s="102">
        <v>0</v>
      </c>
      <c r="N19" s="102">
        <v>0</v>
      </c>
      <c r="O19" s="102"/>
      <c r="P19" s="102">
        <v>0</v>
      </c>
      <c r="Q19" s="102">
        <v>0</v>
      </c>
      <c r="R19" s="114">
        <v>0</v>
      </c>
      <c r="S19" s="81">
        <v>0</v>
      </c>
      <c r="T19" s="115">
        <v>0</v>
      </c>
      <c r="U19" s="102">
        <v>0</v>
      </c>
      <c r="V19" s="102">
        <v>0</v>
      </c>
      <c r="W19" s="102"/>
      <c r="X19" s="88"/>
      <c r="Y19" s="88"/>
      <c r="Z19" s="88"/>
      <c r="AA19" s="122">
        <v>17</v>
      </c>
      <c r="AB19" s="123">
        <v>38358</v>
      </c>
      <c r="AC19" s="123" t="s">
        <v>136</v>
      </c>
      <c r="AD19" s="124">
        <v>46198</v>
      </c>
      <c r="AE19" s="121">
        <v>163.25</v>
      </c>
      <c r="AF19" s="124">
        <v>46072</v>
      </c>
      <c r="AG19" s="121" t="s">
        <v>55</v>
      </c>
      <c r="AH19" s="121">
        <v>126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102">
        <v>0</v>
      </c>
      <c r="H20" s="102">
        <v>0</v>
      </c>
      <c r="I20" s="102">
        <v>0</v>
      </c>
      <c r="J20" s="102">
        <v>0</v>
      </c>
      <c r="K20" s="102">
        <v>0</v>
      </c>
      <c r="L20" s="113">
        <v>0</v>
      </c>
      <c r="M20" s="102">
        <v>0</v>
      </c>
      <c r="N20" s="102">
        <v>0</v>
      </c>
      <c r="O20" s="102"/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102">
        <v>0</v>
      </c>
      <c r="V20" s="102">
        <v>0</v>
      </c>
      <c r="W20" s="102"/>
      <c r="X20" s="88"/>
      <c r="Y20" s="88"/>
      <c r="Z20" s="88"/>
      <c r="AA20" s="87">
        <v>18</v>
      </c>
      <c r="AB20" s="118">
        <v>30929</v>
      </c>
      <c r="AC20" s="118" t="s">
        <v>137</v>
      </c>
      <c r="AD20" s="94">
        <v>46199</v>
      </c>
      <c r="AE20" s="93">
        <v>1258</v>
      </c>
      <c r="AF20" s="94">
        <v>46239</v>
      </c>
      <c r="AG20" s="93" t="s">
        <v>7</v>
      </c>
      <c r="AH20" s="52">
        <v>49</v>
      </c>
    </row>
    <row r="21" spans="1:34" ht="13.2">
      <c r="A21" s="88"/>
      <c r="B21" s="109" t="s">
        <v>11</v>
      </c>
      <c r="C21" s="109">
        <v>478</v>
      </c>
      <c r="D21" s="109">
        <v>0</v>
      </c>
      <c r="E21" s="109">
        <v>475</v>
      </c>
      <c r="F21" s="109">
        <v>487</v>
      </c>
      <c r="G21" s="109">
        <v>487</v>
      </c>
      <c r="H21" s="109">
        <v>482</v>
      </c>
      <c r="I21" s="109">
        <v>517</v>
      </c>
      <c r="J21" s="109">
        <v>517</v>
      </c>
      <c r="K21" s="109">
        <v>525</v>
      </c>
      <c r="L21" s="109">
        <v>827</v>
      </c>
      <c r="M21" s="109">
        <v>556</v>
      </c>
      <c r="N21" s="109">
        <v>554</v>
      </c>
      <c r="O21" s="109">
        <v>0</v>
      </c>
      <c r="P21" s="109">
        <v>574</v>
      </c>
      <c r="Q21" s="109">
        <v>572</v>
      </c>
      <c r="R21" s="109">
        <v>618</v>
      </c>
      <c r="S21" s="109">
        <v>614</v>
      </c>
      <c r="T21" s="109">
        <v>616</v>
      </c>
      <c r="U21" s="109">
        <v>646</v>
      </c>
      <c r="V21" s="109">
        <v>646</v>
      </c>
      <c r="W21" s="109">
        <v>0</v>
      </c>
      <c r="X21" s="88"/>
      <c r="Y21" s="88"/>
      <c r="Z21" s="88"/>
      <c r="AA21" s="87">
        <v>19</v>
      </c>
      <c r="AB21" s="118">
        <v>28933</v>
      </c>
      <c r="AC21" s="118" t="s">
        <v>138</v>
      </c>
      <c r="AD21" s="94">
        <v>46199</v>
      </c>
      <c r="AE21" s="93">
        <v>471.98</v>
      </c>
      <c r="AF21" s="94">
        <v>46239</v>
      </c>
      <c r="AG21" s="93" t="s">
        <v>7</v>
      </c>
      <c r="AH21" s="52">
        <v>49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18">
        <v>38139</v>
      </c>
      <c r="AC22" s="118" t="s">
        <v>139</v>
      </c>
      <c r="AD22" s="94">
        <v>46199</v>
      </c>
      <c r="AE22" s="93">
        <v>183.75</v>
      </c>
      <c r="AF22" s="94">
        <v>46239</v>
      </c>
      <c r="AG22" s="93" t="s">
        <v>60</v>
      </c>
      <c r="AH22" s="52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7">
        <v>21</v>
      </c>
      <c r="AB23" s="118">
        <v>34343</v>
      </c>
      <c r="AC23" s="118" t="s">
        <v>140</v>
      </c>
      <c r="AD23" s="94">
        <v>46199</v>
      </c>
      <c r="AE23" s="93">
        <v>504.17</v>
      </c>
      <c r="AF23" s="94">
        <v>46239</v>
      </c>
      <c r="AG23" s="93" t="s">
        <v>7</v>
      </c>
      <c r="AH23" s="52">
        <v>49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63" t="s">
        <v>118</v>
      </c>
      <c r="AB24" s="164">
        <v>25853</v>
      </c>
      <c r="AC24" s="164" t="s">
        <v>141</v>
      </c>
      <c r="AD24" s="165">
        <v>46029</v>
      </c>
      <c r="AE24" s="162">
        <v>389.9</v>
      </c>
      <c r="AF24" s="165">
        <v>46147</v>
      </c>
      <c r="AG24" s="162" t="s">
        <v>7</v>
      </c>
      <c r="AH24" s="162">
        <v>56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12</v>
      </c>
      <c r="F25" s="87">
        <v>20</v>
      </c>
      <c r="G25" s="87">
        <v>20</v>
      </c>
      <c r="H25" s="87">
        <v>21</v>
      </c>
      <c r="I25" s="87">
        <v>14</v>
      </c>
      <c r="J25" s="87">
        <v>25</v>
      </c>
      <c r="K25" s="87">
        <v>20</v>
      </c>
      <c r="L25" s="87">
        <v>10</v>
      </c>
      <c r="M25" s="87">
        <v>20</v>
      </c>
      <c r="N25" s="87">
        <v>0</v>
      </c>
      <c r="O25" s="87">
        <v>20</v>
      </c>
      <c r="P25" s="87">
        <v>20</v>
      </c>
      <c r="Q25" s="87">
        <v>20</v>
      </c>
      <c r="R25" s="87">
        <v>20</v>
      </c>
      <c r="S25" s="87">
        <v>20</v>
      </c>
      <c r="T25" s="87">
        <v>13</v>
      </c>
      <c r="U25" s="87">
        <v>20</v>
      </c>
      <c r="V25" s="87">
        <v>30</v>
      </c>
      <c r="W25" s="87">
        <v>25</v>
      </c>
      <c r="X25" s="81">
        <v>350</v>
      </c>
      <c r="Y25" s="108">
        <v>0</v>
      </c>
      <c r="Z25" s="88"/>
      <c r="AA25" s="87"/>
      <c r="AB25" s="118"/>
      <c r="AC25" s="118"/>
      <c r="AD25" s="93"/>
      <c r="AE25" s="93"/>
      <c r="AF25" s="93"/>
      <c r="AG25" s="93"/>
      <c r="AH25" s="52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2"/>
      <c r="Y26" s="282"/>
      <c r="Z26" s="88"/>
      <c r="AA26" s="88"/>
      <c r="AE26" s="119">
        <v>5231.58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3" t="s">
        <v>28</v>
      </c>
      <c r="D2" s="284"/>
      <c r="E2" s="284"/>
      <c r="F2" s="285"/>
      <c r="G2" s="283" t="s">
        <v>29</v>
      </c>
      <c r="H2" s="284"/>
      <c r="I2" s="284"/>
      <c r="J2" s="284"/>
      <c r="K2" s="285"/>
      <c r="L2" s="283" t="s">
        <v>30</v>
      </c>
      <c r="M2" s="284"/>
      <c r="N2" s="284"/>
      <c r="O2" s="284"/>
      <c r="P2" s="285"/>
      <c r="Q2" s="283" t="s">
        <v>31</v>
      </c>
      <c r="R2" s="284"/>
      <c r="S2" s="284"/>
      <c r="T2" s="284"/>
      <c r="U2" s="285"/>
      <c r="V2" s="283" t="s">
        <v>32</v>
      </c>
      <c r="W2" s="284"/>
      <c r="X2" s="88"/>
      <c r="Y2" s="88"/>
      <c r="Z2" s="90"/>
      <c r="AA2" s="91" t="s">
        <v>33</v>
      </c>
      <c r="AB2" s="91" t="s">
        <v>34</v>
      </c>
      <c r="AC2" s="91" t="s">
        <v>142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0"/>
      <c r="Y3" s="281"/>
      <c r="Z3" s="88"/>
      <c r="AA3" s="122">
        <v>1</v>
      </c>
      <c r="AB3" s="157">
        <v>26746</v>
      </c>
      <c r="AC3" s="157" t="s">
        <v>159</v>
      </c>
      <c r="AD3" s="158">
        <v>46148</v>
      </c>
      <c r="AE3" s="157">
        <v>309.64999999999998</v>
      </c>
      <c r="AF3" s="158">
        <v>46175</v>
      </c>
      <c r="AG3" s="157" t="s">
        <v>61</v>
      </c>
      <c r="AH3" s="157">
        <v>119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42957</v>
      </c>
      <c r="AC4" s="129" t="s">
        <v>160</v>
      </c>
      <c r="AD4" s="130">
        <v>46362</v>
      </c>
      <c r="AE4" s="129">
        <v>169.73</v>
      </c>
      <c r="AF4" s="130">
        <v>46136</v>
      </c>
      <c r="AG4" s="129" t="s">
        <v>7</v>
      </c>
      <c r="AH4" s="131">
        <v>49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29236</v>
      </c>
      <c r="AC5" s="129" t="s">
        <v>161</v>
      </c>
      <c r="AD5" s="130">
        <v>46197</v>
      </c>
      <c r="AE5" s="129">
        <v>718.11</v>
      </c>
      <c r="AF5" s="130">
        <v>46136</v>
      </c>
      <c r="AG5" s="129" t="s">
        <v>7</v>
      </c>
      <c r="AH5" s="131">
        <v>61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1</v>
      </c>
      <c r="G6" s="105">
        <v>0</v>
      </c>
      <c r="H6" s="106">
        <v>0</v>
      </c>
      <c r="I6" s="106">
        <v>0</v>
      </c>
      <c r="J6" s="106">
        <v>0</v>
      </c>
      <c r="K6" s="107">
        <v>1</v>
      </c>
      <c r="L6" s="105">
        <v>0</v>
      </c>
      <c r="M6" s="106">
        <v>0</v>
      </c>
      <c r="N6" s="106">
        <v>0</v>
      </c>
      <c r="O6" s="106">
        <v>0</v>
      </c>
      <c r="P6" s="107">
        <v>0</v>
      </c>
      <c r="Q6" s="105">
        <v>0</v>
      </c>
      <c r="R6" s="106">
        <v>0</v>
      </c>
      <c r="S6" s="106">
        <v>2</v>
      </c>
      <c r="T6" s="106">
        <v>0</v>
      </c>
      <c r="U6" s="107">
        <v>1</v>
      </c>
      <c r="V6" s="105">
        <v>0</v>
      </c>
      <c r="W6" s="107">
        <v>2</v>
      </c>
      <c r="X6" s="104">
        <v>7</v>
      </c>
      <c r="Y6" s="108">
        <v>-18</v>
      </c>
      <c r="Z6" s="88"/>
      <c r="AA6" s="87">
        <v>4</v>
      </c>
      <c r="AB6" s="129">
        <v>44928</v>
      </c>
      <c r="AC6" s="129" t="s">
        <v>162</v>
      </c>
      <c r="AD6" s="130">
        <v>46197</v>
      </c>
      <c r="AE6" s="129">
        <v>217.28</v>
      </c>
      <c r="AF6" s="130">
        <v>46178</v>
      </c>
      <c r="AG6" s="129" t="s">
        <v>8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32">
        <v>38149</v>
      </c>
      <c r="AC7" s="132" t="s">
        <v>163</v>
      </c>
      <c r="AD7" s="133">
        <v>46199</v>
      </c>
      <c r="AE7" s="132">
        <v>220.74</v>
      </c>
      <c r="AF7" s="133">
        <v>46176</v>
      </c>
      <c r="AG7" s="132" t="s">
        <v>62</v>
      </c>
      <c r="AH7" s="132">
        <v>112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7</v>
      </c>
      <c r="AB8" s="129">
        <v>27148</v>
      </c>
      <c r="AC8" s="129" t="s">
        <v>164</v>
      </c>
      <c r="AD8" s="130">
        <v>46029</v>
      </c>
      <c r="AE8" s="129">
        <v>161.75</v>
      </c>
      <c r="AF8" s="130">
        <v>46129</v>
      </c>
      <c r="AG8" s="129" t="s">
        <v>8</v>
      </c>
      <c r="AH8" s="131">
        <v>75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6</v>
      </c>
      <c r="AB9" s="129">
        <v>34645</v>
      </c>
      <c r="AC9" s="129" t="s">
        <v>165</v>
      </c>
      <c r="AD9" s="130">
        <v>46029</v>
      </c>
      <c r="AE9" s="129">
        <v>175.75</v>
      </c>
      <c r="AF9" s="130">
        <v>46140</v>
      </c>
      <c r="AG9" s="129" t="s">
        <v>59</v>
      </c>
      <c r="AH9" s="131">
        <v>64</v>
      </c>
    </row>
    <row r="10" spans="1:34" ht="13.2">
      <c r="A10" s="88"/>
      <c r="B10" s="97" t="s">
        <v>15</v>
      </c>
      <c r="C10" s="102">
        <v>5</v>
      </c>
      <c r="D10" s="102"/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13"/>
      <c r="M10" s="102">
        <v>0</v>
      </c>
      <c r="N10" s="102">
        <v>16</v>
      </c>
      <c r="O10" s="102">
        <v>16</v>
      </c>
      <c r="P10" s="102">
        <v>16</v>
      </c>
      <c r="Q10" s="102">
        <v>0</v>
      </c>
      <c r="R10" s="114">
        <v>17</v>
      </c>
      <c r="S10" s="81">
        <v>1</v>
      </c>
      <c r="T10" s="115">
        <v>0</v>
      </c>
      <c r="U10" s="116">
        <v>0</v>
      </c>
      <c r="V10" s="116">
        <v>0</v>
      </c>
      <c r="W10" s="102"/>
      <c r="X10" s="88"/>
      <c r="Y10" s="88"/>
      <c r="Z10" s="88"/>
      <c r="AA10" s="87"/>
      <c r="AB10" s="129"/>
      <c r="AC10" s="129"/>
      <c r="AD10" s="129"/>
      <c r="AE10" s="129"/>
      <c r="AF10" s="129"/>
      <c r="AG10" s="129"/>
      <c r="AH10" s="131"/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102">
        <v>0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13"/>
      <c r="M11" s="102">
        <v>0</v>
      </c>
      <c r="N11" s="102">
        <v>0</v>
      </c>
      <c r="O11" s="102">
        <v>0</v>
      </c>
      <c r="P11" s="102">
        <v>0</v>
      </c>
      <c r="Q11" s="102">
        <v>1</v>
      </c>
      <c r="R11" s="114">
        <v>1</v>
      </c>
      <c r="S11" s="81">
        <v>0</v>
      </c>
      <c r="T11" s="115">
        <v>0</v>
      </c>
      <c r="U11" s="116">
        <v>0</v>
      </c>
      <c r="V11" s="116">
        <v>0</v>
      </c>
      <c r="W11" s="102"/>
      <c r="X11" s="88"/>
      <c r="Y11" s="88"/>
      <c r="Z11" s="88"/>
      <c r="AA11" s="87"/>
      <c r="AB11" s="159"/>
      <c r="AC11" s="159"/>
      <c r="AD11" s="159"/>
      <c r="AE11" s="129"/>
      <c r="AF11" s="129"/>
      <c r="AG11" s="129"/>
      <c r="AH11" s="131"/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102">
        <v>0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13"/>
      <c r="M12" s="102">
        <v>0</v>
      </c>
      <c r="N12" s="102">
        <v>0</v>
      </c>
      <c r="O12" s="102">
        <v>0</v>
      </c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16">
        <v>0</v>
      </c>
      <c r="W12" s="102"/>
      <c r="X12" s="88"/>
      <c r="Y12" s="88"/>
      <c r="Z12" s="88"/>
      <c r="AA12" s="87"/>
      <c r="AB12" s="159"/>
      <c r="AC12" s="159"/>
      <c r="AD12" s="159"/>
      <c r="AE12" s="129"/>
      <c r="AF12" s="129"/>
      <c r="AG12" s="129"/>
      <c r="AH12" s="131"/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102">
        <v>0</v>
      </c>
      <c r="G13" s="102">
        <v>0</v>
      </c>
      <c r="H13" s="102">
        <v>0</v>
      </c>
      <c r="I13" s="102">
        <v>0</v>
      </c>
      <c r="J13" s="102">
        <v>0</v>
      </c>
      <c r="K13" s="102">
        <v>0</v>
      </c>
      <c r="L13" s="113"/>
      <c r="M13" s="102">
        <v>0</v>
      </c>
      <c r="N13" s="102">
        <v>0</v>
      </c>
      <c r="O13" s="102">
        <v>0</v>
      </c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16">
        <v>0</v>
      </c>
      <c r="W13" s="102"/>
      <c r="X13" s="88"/>
      <c r="Y13" s="88"/>
      <c r="Z13" s="88"/>
      <c r="AA13" s="87"/>
      <c r="AB13" s="159"/>
      <c r="AC13" s="159"/>
      <c r="AD13" s="159"/>
      <c r="AE13" s="129"/>
      <c r="AF13" s="129"/>
      <c r="AG13" s="129"/>
      <c r="AH13" s="131"/>
    </row>
    <row r="14" spans="1:34" ht="13.2">
      <c r="A14" s="88"/>
      <c r="B14" s="97" t="s">
        <v>51</v>
      </c>
      <c r="C14" s="102">
        <v>291</v>
      </c>
      <c r="D14" s="102"/>
      <c r="E14" s="102">
        <v>295</v>
      </c>
      <c r="F14" s="102">
        <v>295</v>
      </c>
      <c r="G14" s="2">
        <v>295</v>
      </c>
      <c r="H14" s="113">
        <v>307</v>
      </c>
      <c r="I14" s="102">
        <v>307</v>
      </c>
      <c r="J14" s="102">
        <v>307</v>
      </c>
      <c r="K14" s="102">
        <v>307</v>
      </c>
      <c r="L14" s="113"/>
      <c r="M14" s="102">
        <v>39</v>
      </c>
      <c r="N14" s="102">
        <v>307</v>
      </c>
      <c r="O14" s="102">
        <v>307</v>
      </c>
      <c r="P14" s="102">
        <v>307</v>
      </c>
      <c r="Q14" s="102">
        <v>321</v>
      </c>
      <c r="R14" s="114">
        <v>333</v>
      </c>
      <c r="S14" s="81">
        <v>343</v>
      </c>
      <c r="T14" s="115">
        <v>335</v>
      </c>
      <c r="U14" s="87">
        <v>352</v>
      </c>
      <c r="V14" s="102">
        <v>350</v>
      </c>
      <c r="W14" s="102"/>
      <c r="X14" s="88"/>
      <c r="Y14" s="88"/>
      <c r="Z14" s="88"/>
      <c r="AA14" s="128"/>
      <c r="AB14" s="128"/>
      <c r="AC14" s="128"/>
      <c r="AD14" s="128"/>
      <c r="AE14" s="138">
        <v>1973.01</v>
      </c>
      <c r="AF14" s="128"/>
      <c r="AG14" s="128"/>
      <c r="AH14" s="127"/>
    </row>
    <row r="15" spans="1:34" ht="13.2">
      <c r="A15" s="88"/>
      <c r="B15" s="97" t="s">
        <v>52</v>
      </c>
      <c r="C15" s="102">
        <v>30</v>
      </c>
      <c r="D15" s="102"/>
      <c r="E15" s="102">
        <v>30</v>
      </c>
      <c r="F15" s="102">
        <v>30</v>
      </c>
      <c r="G15" s="2">
        <v>29</v>
      </c>
      <c r="H15" s="102">
        <v>31</v>
      </c>
      <c r="I15" s="102">
        <v>31</v>
      </c>
      <c r="J15" s="102">
        <v>31</v>
      </c>
      <c r="K15" s="102">
        <v>31</v>
      </c>
      <c r="L15" s="113"/>
      <c r="M15" s="102">
        <v>5</v>
      </c>
      <c r="N15" s="102">
        <v>31</v>
      </c>
      <c r="O15" s="102">
        <v>31</v>
      </c>
      <c r="P15" s="102">
        <v>31</v>
      </c>
      <c r="Q15" s="102">
        <v>31</v>
      </c>
      <c r="R15" s="114">
        <v>32</v>
      </c>
      <c r="S15" s="81">
        <v>32</v>
      </c>
      <c r="T15" s="115">
        <v>33</v>
      </c>
      <c r="U15" s="117">
        <v>33</v>
      </c>
      <c r="V15" s="102">
        <v>32</v>
      </c>
      <c r="W15" s="102"/>
      <c r="X15" s="88"/>
      <c r="Y15" s="88"/>
      <c r="Z15" s="88"/>
      <c r="AA15" s="88"/>
      <c r="AB15" s="128"/>
      <c r="AC15" s="128"/>
      <c r="AD15" s="128"/>
      <c r="AE15" s="128"/>
      <c r="AF15" s="128"/>
      <c r="AG15" s="128"/>
      <c r="AH15" s="127"/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2">
        <v>0</v>
      </c>
      <c r="H16" s="102">
        <v>1</v>
      </c>
      <c r="I16" s="102">
        <v>1</v>
      </c>
      <c r="J16" s="102">
        <v>1</v>
      </c>
      <c r="K16" s="102">
        <v>1</v>
      </c>
      <c r="L16" s="113"/>
      <c r="M16" s="102">
        <v>0</v>
      </c>
      <c r="N16" s="102">
        <v>1</v>
      </c>
      <c r="O16" s="102">
        <v>1</v>
      </c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87">
        <v>1</v>
      </c>
      <c r="V16" s="102">
        <v>1</v>
      </c>
      <c r="W16" s="102"/>
      <c r="X16" s="88"/>
      <c r="Y16" s="88"/>
      <c r="Z16" s="88"/>
      <c r="AA16" s="88"/>
      <c r="AB16" s="128"/>
      <c r="AC16" s="128"/>
      <c r="AD16" s="128"/>
      <c r="AE16" s="128"/>
      <c r="AF16" s="128"/>
      <c r="AG16" s="128"/>
      <c r="AH16" s="127"/>
    </row>
    <row r="17" spans="1:34" ht="13.2">
      <c r="A17" s="88"/>
      <c r="B17" s="97" t="s">
        <v>23</v>
      </c>
      <c r="C17" s="102">
        <v>0</v>
      </c>
      <c r="D17" s="102"/>
      <c r="E17" s="102">
        <v>1</v>
      </c>
      <c r="F17" s="102">
        <v>1</v>
      </c>
      <c r="G17" s="2">
        <v>1</v>
      </c>
      <c r="H17" s="102">
        <v>2</v>
      </c>
      <c r="I17" s="102">
        <v>2</v>
      </c>
      <c r="J17" s="102">
        <v>2</v>
      </c>
      <c r="K17" s="102">
        <v>2</v>
      </c>
      <c r="L17" s="113"/>
      <c r="M17" s="102">
        <v>0</v>
      </c>
      <c r="N17" s="102">
        <v>2</v>
      </c>
      <c r="O17" s="102">
        <v>2</v>
      </c>
      <c r="P17" s="102">
        <v>2</v>
      </c>
      <c r="Q17" s="102">
        <v>2</v>
      </c>
      <c r="R17" s="114">
        <v>2</v>
      </c>
      <c r="S17" s="81">
        <v>3</v>
      </c>
      <c r="T17" s="115">
        <v>3</v>
      </c>
      <c r="U17" s="87">
        <v>3</v>
      </c>
      <c r="V17" s="102">
        <v>3</v>
      </c>
      <c r="W17" s="102"/>
      <c r="X17" s="88"/>
      <c r="Y17" s="88"/>
      <c r="Z17" s="88"/>
      <c r="AA17" s="88"/>
      <c r="AB17" s="128"/>
      <c r="AC17" s="128"/>
      <c r="AD17" s="128"/>
      <c r="AE17" s="128"/>
      <c r="AF17" s="128"/>
      <c r="AG17" s="128"/>
      <c r="AH17" s="127"/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102">
        <v>1</v>
      </c>
      <c r="G18" s="2">
        <v>1</v>
      </c>
      <c r="H18" s="102">
        <v>1</v>
      </c>
      <c r="I18" s="102">
        <v>1</v>
      </c>
      <c r="J18" s="102">
        <v>1</v>
      </c>
      <c r="K18" s="102">
        <v>1</v>
      </c>
      <c r="L18" s="113"/>
      <c r="M18" s="102">
        <v>0</v>
      </c>
      <c r="N18" s="102">
        <v>1</v>
      </c>
      <c r="O18" s="102">
        <v>1</v>
      </c>
      <c r="P18" s="102">
        <v>1</v>
      </c>
      <c r="Q18" s="102">
        <v>1</v>
      </c>
      <c r="R18" s="114">
        <v>2</v>
      </c>
      <c r="S18" s="81">
        <v>5</v>
      </c>
      <c r="T18" s="115">
        <v>10</v>
      </c>
      <c r="U18" s="87">
        <v>15</v>
      </c>
      <c r="V18" s="102">
        <v>18</v>
      </c>
      <c r="W18" s="102"/>
      <c r="X18" s="88"/>
      <c r="Y18" s="88"/>
      <c r="Z18" s="88"/>
      <c r="AA18" s="88"/>
      <c r="AB18" s="128"/>
      <c r="AC18" s="128"/>
      <c r="AD18" s="128"/>
      <c r="AE18" s="128"/>
      <c r="AF18" s="128"/>
      <c r="AG18" s="128"/>
      <c r="AH18" s="127"/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2">
        <v>0</v>
      </c>
      <c r="H19" s="102">
        <v>3</v>
      </c>
      <c r="I19" s="102">
        <v>3</v>
      </c>
      <c r="J19" s="102">
        <v>3</v>
      </c>
      <c r="K19" s="102">
        <v>3</v>
      </c>
      <c r="L19" s="113"/>
      <c r="M19" s="102">
        <v>0</v>
      </c>
      <c r="N19" s="102">
        <v>3</v>
      </c>
      <c r="O19" s="102">
        <v>3</v>
      </c>
      <c r="P19" s="102">
        <v>3</v>
      </c>
      <c r="Q19" s="102">
        <v>4</v>
      </c>
      <c r="R19" s="114">
        <v>4</v>
      </c>
      <c r="S19" s="81">
        <v>4</v>
      </c>
      <c r="T19" s="115">
        <v>4</v>
      </c>
      <c r="U19" s="87">
        <v>4</v>
      </c>
      <c r="V19" s="102">
        <v>4</v>
      </c>
      <c r="W19" s="102"/>
      <c r="X19" s="88"/>
      <c r="Y19" s="88"/>
      <c r="Z19" s="88"/>
      <c r="AA19" s="88"/>
      <c r="AB19" s="128"/>
      <c r="AC19" s="128"/>
      <c r="AD19" s="128"/>
      <c r="AE19" s="128"/>
      <c r="AF19" s="128"/>
      <c r="AG19" s="128"/>
      <c r="AH19" s="127"/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2">
        <v>0</v>
      </c>
      <c r="H20" s="102">
        <v>0</v>
      </c>
      <c r="I20" s="102">
        <v>0</v>
      </c>
      <c r="J20" s="102">
        <v>0</v>
      </c>
      <c r="K20" s="102">
        <v>0</v>
      </c>
      <c r="L20" s="113"/>
      <c r="M20" s="102">
        <v>0</v>
      </c>
      <c r="N20" s="102">
        <v>0</v>
      </c>
      <c r="O20" s="102">
        <v>0</v>
      </c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87">
        <v>0</v>
      </c>
      <c r="V20" s="102">
        <v>0</v>
      </c>
      <c r="W20" s="102"/>
      <c r="X20" s="88"/>
      <c r="Y20" s="88"/>
      <c r="Z20" s="88"/>
      <c r="AA20" s="88"/>
      <c r="AB20" s="128"/>
      <c r="AC20" s="128"/>
      <c r="AD20" s="128"/>
      <c r="AE20" s="128"/>
      <c r="AF20" s="128"/>
      <c r="AG20" s="128"/>
      <c r="AH20" s="127"/>
    </row>
    <row r="21" spans="1:34" ht="13.2">
      <c r="A21" s="88"/>
      <c r="B21" s="109" t="s">
        <v>11</v>
      </c>
      <c r="C21" s="109">
        <v>326</v>
      </c>
      <c r="D21" s="109">
        <v>0</v>
      </c>
      <c r="E21" s="109">
        <v>327</v>
      </c>
      <c r="F21" s="109">
        <v>326</v>
      </c>
      <c r="G21" s="109">
        <v>325</v>
      </c>
      <c r="H21" s="109">
        <v>345</v>
      </c>
      <c r="I21" s="109">
        <v>345</v>
      </c>
      <c r="J21" s="109">
        <v>345</v>
      </c>
      <c r="K21" s="109">
        <v>345</v>
      </c>
      <c r="L21" s="109">
        <v>0</v>
      </c>
      <c r="M21" s="109">
        <v>44</v>
      </c>
      <c r="N21" s="109">
        <v>361</v>
      </c>
      <c r="O21" s="109">
        <v>361</v>
      </c>
      <c r="P21" s="109">
        <v>361</v>
      </c>
      <c r="Q21" s="109">
        <v>361</v>
      </c>
      <c r="R21" s="109">
        <v>392</v>
      </c>
      <c r="S21" s="109">
        <v>389</v>
      </c>
      <c r="T21" s="109">
        <v>386</v>
      </c>
      <c r="U21" s="109">
        <v>408</v>
      </c>
      <c r="V21" s="109">
        <v>408</v>
      </c>
      <c r="W21" s="109">
        <v>0</v>
      </c>
      <c r="X21" s="88"/>
      <c r="Y21" s="88"/>
      <c r="Z21" s="88"/>
      <c r="AA21" s="88"/>
      <c r="AB21" s="128"/>
      <c r="AC21" s="128"/>
      <c r="AD21" s="128"/>
      <c r="AE21" s="128"/>
      <c r="AF21" s="128"/>
      <c r="AG21" s="128"/>
      <c r="AH21" s="127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128"/>
      <c r="AC22" s="128"/>
      <c r="AD22" s="128"/>
      <c r="AE22" s="128"/>
      <c r="AF22" s="128"/>
      <c r="AG22" s="128"/>
      <c r="AH22" s="127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  <c r="AB23" s="128"/>
      <c r="AC23" s="128"/>
      <c r="AD23" s="128"/>
      <c r="AE23" s="128"/>
      <c r="AF23" s="128"/>
      <c r="AG23" s="128"/>
      <c r="AH23" s="12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  <c r="AB24" s="128"/>
      <c r="AC24" s="128"/>
      <c r="AD24" s="128"/>
      <c r="AE24" s="128"/>
      <c r="AF24" s="128"/>
      <c r="AG24" s="128"/>
      <c r="AH24" s="127"/>
    </row>
    <row r="25" spans="1:34" ht="13.2">
      <c r="A25" s="88"/>
      <c r="B25" s="81" t="s">
        <v>115</v>
      </c>
      <c r="C25" s="87">
        <v>20</v>
      </c>
      <c r="D25" s="87">
        <v>23</v>
      </c>
      <c r="E25" s="87">
        <v>4</v>
      </c>
      <c r="F25" s="87">
        <v>14</v>
      </c>
      <c r="G25" s="87">
        <v>29</v>
      </c>
      <c r="H25" s="87">
        <v>8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21</v>
      </c>
      <c r="R25" s="87">
        <v>16</v>
      </c>
      <c r="S25" s="87">
        <v>62</v>
      </c>
      <c r="T25" s="87">
        <v>35</v>
      </c>
      <c r="U25" s="87">
        <v>40</v>
      </c>
      <c r="V25" s="87">
        <v>40</v>
      </c>
      <c r="W25" s="87"/>
      <c r="X25" s="81">
        <v>312</v>
      </c>
      <c r="Y25" s="108">
        <v>-38</v>
      </c>
      <c r="Z25" s="88"/>
      <c r="AA25" s="88"/>
      <c r="AB25" s="128"/>
      <c r="AC25" s="128"/>
      <c r="AD25" s="128"/>
      <c r="AE25" s="128"/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6"/>
      <c r="Y26" s="286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3" t="s">
        <v>28</v>
      </c>
      <c r="D2" s="284"/>
      <c r="E2" s="284"/>
      <c r="F2" s="285"/>
      <c r="G2" s="283" t="s">
        <v>29</v>
      </c>
      <c r="H2" s="284"/>
      <c r="I2" s="284"/>
      <c r="J2" s="284"/>
      <c r="K2" s="285"/>
      <c r="L2" s="283" t="s">
        <v>30</v>
      </c>
      <c r="M2" s="284"/>
      <c r="N2" s="284"/>
      <c r="O2" s="284"/>
      <c r="P2" s="285"/>
      <c r="Q2" s="283" t="s">
        <v>31</v>
      </c>
      <c r="R2" s="284"/>
      <c r="S2" s="284"/>
      <c r="T2" s="284"/>
      <c r="U2" s="285"/>
      <c r="V2" s="283" t="s">
        <v>32</v>
      </c>
      <c r="W2" s="284"/>
      <c r="X2" s="88"/>
      <c r="Y2" s="88"/>
      <c r="Z2" s="90"/>
      <c r="AA2" s="91" t="s">
        <v>33</v>
      </c>
      <c r="AB2" s="91" t="s">
        <v>34</v>
      </c>
      <c r="AC2" s="91" t="s">
        <v>142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0"/>
      <c r="Y3" s="281"/>
      <c r="Z3" s="88"/>
      <c r="AA3" s="87">
        <v>1</v>
      </c>
      <c r="AB3" s="129">
        <v>33463</v>
      </c>
      <c r="AC3" s="129" t="s">
        <v>166</v>
      </c>
      <c r="AD3" s="130">
        <v>46087</v>
      </c>
      <c r="AE3" s="129">
        <v>745.8</v>
      </c>
      <c r="AF3" s="130">
        <v>46106</v>
      </c>
      <c r="AG3" s="129" t="s">
        <v>56</v>
      </c>
      <c r="AH3" s="131">
        <v>70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42936</v>
      </c>
      <c r="AC4" s="129" t="s">
        <v>167</v>
      </c>
      <c r="AD4" s="130">
        <v>46087</v>
      </c>
      <c r="AE4" s="129">
        <v>183.75</v>
      </c>
      <c r="AF4" s="130">
        <v>46112</v>
      </c>
      <c r="AG4" s="129" t="s">
        <v>56</v>
      </c>
      <c r="AH4" s="131">
        <v>64</v>
      </c>
    </row>
    <row r="5" spans="1:34" ht="13.2">
      <c r="A5" s="88"/>
      <c r="B5" s="100" t="s">
        <v>2</v>
      </c>
      <c r="C5" s="101">
        <v>2</v>
      </c>
      <c r="D5" s="102">
        <v>2</v>
      </c>
      <c r="E5" s="102">
        <v>2</v>
      </c>
      <c r="F5" s="103">
        <v>2</v>
      </c>
      <c r="G5" s="101">
        <v>2</v>
      </c>
      <c r="H5" s="102">
        <v>2</v>
      </c>
      <c r="I5" s="102">
        <v>2</v>
      </c>
      <c r="J5" s="102">
        <v>2</v>
      </c>
      <c r="K5" s="103">
        <v>2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1</v>
      </c>
      <c r="X5" s="104">
        <v>30</v>
      </c>
      <c r="Y5" s="88"/>
      <c r="Z5" s="88"/>
      <c r="AA5" s="87">
        <v>3</v>
      </c>
      <c r="AB5" s="129">
        <v>30921</v>
      </c>
      <c r="AC5" s="129" t="s">
        <v>168</v>
      </c>
      <c r="AD5" s="130">
        <v>46148</v>
      </c>
      <c r="AE5" s="129">
        <v>210.65</v>
      </c>
      <c r="AF5" s="130">
        <v>46099</v>
      </c>
      <c r="AG5" s="129" t="s">
        <v>56</v>
      </c>
      <c r="AH5" s="131">
        <v>79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2</v>
      </c>
      <c r="F6" s="107">
        <v>1</v>
      </c>
      <c r="G6" s="105">
        <v>0</v>
      </c>
      <c r="H6" s="106">
        <v>1</v>
      </c>
      <c r="I6" s="106">
        <v>3</v>
      </c>
      <c r="J6" s="106">
        <v>4</v>
      </c>
      <c r="K6" s="107">
        <v>0</v>
      </c>
      <c r="L6" s="105">
        <v>0</v>
      </c>
      <c r="M6" s="106">
        <v>0</v>
      </c>
      <c r="N6" s="106">
        <v>2</v>
      </c>
      <c r="O6" s="106">
        <v>1</v>
      </c>
      <c r="P6" s="107">
        <v>1</v>
      </c>
      <c r="Q6" s="105">
        <v>1</v>
      </c>
      <c r="R6" s="106">
        <v>1</v>
      </c>
      <c r="S6" s="106">
        <v>1</v>
      </c>
      <c r="T6" s="106">
        <v>3</v>
      </c>
      <c r="U6" s="107">
        <v>2</v>
      </c>
      <c r="V6" s="105">
        <v>0</v>
      </c>
      <c r="W6" s="107">
        <v>4</v>
      </c>
      <c r="X6" s="104">
        <v>27</v>
      </c>
      <c r="Y6" s="108">
        <v>-3</v>
      </c>
      <c r="Z6" s="88"/>
      <c r="AA6" s="87">
        <v>4</v>
      </c>
      <c r="AB6" s="129">
        <v>12165</v>
      </c>
      <c r="AC6" s="129" t="s">
        <v>169</v>
      </c>
      <c r="AD6" s="130">
        <v>46271</v>
      </c>
      <c r="AE6" s="129">
        <v>420.18</v>
      </c>
      <c r="AF6" s="130">
        <v>46127</v>
      </c>
      <c r="AG6" s="129" t="s">
        <v>56</v>
      </c>
      <c r="AH6" s="131">
        <v>55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28192</v>
      </c>
      <c r="AC7" s="129" t="s">
        <v>170</v>
      </c>
      <c r="AD7" s="130">
        <v>46301</v>
      </c>
      <c r="AE7" s="129">
        <v>264.45</v>
      </c>
      <c r="AF7" s="130">
        <v>46238</v>
      </c>
      <c r="AG7" s="129" t="s">
        <v>56</v>
      </c>
      <c r="AH7" s="131">
        <v>63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129">
        <v>37151</v>
      </c>
      <c r="AC8" s="129" t="s">
        <v>171</v>
      </c>
      <c r="AD8" s="130">
        <v>46301</v>
      </c>
      <c r="AE8" s="129">
        <v>411.74</v>
      </c>
      <c r="AF8" s="130">
        <v>46099</v>
      </c>
      <c r="AG8" s="129" t="s">
        <v>56</v>
      </c>
      <c r="AH8" s="131">
        <v>84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44572</v>
      </c>
      <c r="AC9" s="129" t="s">
        <v>172</v>
      </c>
      <c r="AD9" s="130">
        <v>46301</v>
      </c>
      <c r="AE9" s="129">
        <v>391.55</v>
      </c>
      <c r="AF9" s="130">
        <v>46103</v>
      </c>
      <c r="AG9" s="129" t="s">
        <v>56</v>
      </c>
      <c r="AH9" s="131">
        <v>80</v>
      </c>
    </row>
    <row r="10" spans="1:34" ht="13.2">
      <c r="A10" s="88"/>
      <c r="B10" s="97" t="s">
        <v>15</v>
      </c>
      <c r="C10" s="102">
        <v>50</v>
      </c>
      <c r="D10" s="102"/>
      <c r="E10" s="102">
        <v>50</v>
      </c>
      <c r="F10" s="2">
        <v>26</v>
      </c>
      <c r="G10" s="2">
        <v>26</v>
      </c>
      <c r="H10" s="102">
        <v>2</v>
      </c>
      <c r="I10" s="102">
        <v>0</v>
      </c>
      <c r="J10" s="102">
        <v>0</v>
      </c>
      <c r="K10" s="102"/>
      <c r="L10" s="102">
        <v>0</v>
      </c>
      <c r="M10" s="102">
        <v>10</v>
      </c>
      <c r="N10" s="102">
        <v>9</v>
      </c>
      <c r="O10" s="102"/>
      <c r="P10" s="102">
        <v>0</v>
      </c>
      <c r="Q10" s="102">
        <v>0</v>
      </c>
      <c r="R10" s="114">
        <v>14</v>
      </c>
      <c r="S10" s="81">
        <v>11</v>
      </c>
      <c r="T10" s="115">
        <v>0</v>
      </c>
      <c r="U10" s="116">
        <v>8</v>
      </c>
      <c r="V10" s="102">
        <v>1</v>
      </c>
      <c r="W10" s="102"/>
      <c r="X10" s="88"/>
      <c r="Y10" s="88"/>
      <c r="Z10" s="88"/>
      <c r="AA10" s="87">
        <v>8</v>
      </c>
      <c r="AB10" s="129">
        <v>601</v>
      </c>
      <c r="AC10" s="129" t="s">
        <v>173</v>
      </c>
      <c r="AD10" s="130">
        <v>46332</v>
      </c>
      <c r="AE10" s="129">
        <v>819.5</v>
      </c>
      <c r="AF10" s="130">
        <v>46238</v>
      </c>
      <c r="AG10" s="129" t="s">
        <v>56</v>
      </c>
      <c r="AH10" s="131">
        <v>64</v>
      </c>
    </row>
    <row r="11" spans="1:34" ht="13.2">
      <c r="A11" s="88"/>
      <c r="B11" s="97" t="s">
        <v>16</v>
      </c>
      <c r="C11" s="102">
        <v>14</v>
      </c>
      <c r="D11" s="102"/>
      <c r="E11" s="102">
        <v>14</v>
      </c>
      <c r="F11" s="2">
        <v>7</v>
      </c>
      <c r="G11" s="2">
        <v>4</v>
      </c>
      <c r="H11" s="102">
        <v>0</v>
      </c>
      <c r="I11" s="102">
        <v>0</v>
      </c>
      <c r="J11" s="102">
        <v>0</v>
      </c>
      <c r="K11" s="102"/>
      <c r="L11" s="102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16">
        <v>0</v>
      </c>
      <c r="V11" s="102">
        <v>0</v>
      </c>
      <c r="W11" s="102"/>
      <c r="X11" s="88"/>
      <c r="Y11" s="88"/>
      <c r="Z11" s="88"/>
      <c r="AA11" s="87">
        <v>9</v>
      </c>
      <c r="AB11" s="129">
        <v>32604</v>
      </c>
      <c r="AC11" s="129" t="s">
        <v>174</v>
      </c>
      <c r="AD11" s="130">
        <v>46332</v>
      </c>
      <c r="AE11" s="129">
        <v>183.35</v>
      </c>
      <c r="AF11" s="130">
        <v>46112</v>
      </c>
      <c r="AG11" s="129" t="s">
        <v>56</v>
      </c>
      <c r="AH11" s="131">
        <v>72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1</v>
      </c>
      <c r="I12" s="102">
        <v>0</v>
      </c>
      <c r="J12" s="102">
        <v>0</v>
      </c>
      <c r="K12" s="102"/>
      <c r="L12" s="102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02">
        <v>0</v>
      </c>
      <c r="W12" s="102"/>
      <c r="X12" s="88"/>
      <c r="Y12" s="88"/>
      <c r="Z12" s="88"/>
      <c r="AA12" s="87">
        <v>10</v>
      </c>
      <c r="AB12" s="129">
        <v>30889</v>
      </c>
      <c r="AC12" s="129" t="s">
        <v>175</v>
      </c>
      <c r="AD12" s="130">
        <v>46332</v>
      </c>
      <c r="AE12" s="129">
        <v>994.8</v>
      </c>
      <c r="AF12" s="130">
        <v>46136</v>
      </c>
      <c r="AG12" s="129" t="s">
        <v>56</v>
      </c>
      <c r="AH12" s="131">
        <v>48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/>
      <c r="L13" s="102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02">
        <v>0</v>
      </c>
      <c r="W13" s="102"/>
      <c r="X13" s="88"/>
      <c r="Y13" s="88"/>
      <c r="Z13" s="88"/>
      <c r="AA13" s="87">
        <v>11</v>
      </c>
      <c r="AB13" s="129">
        <v>20583</v>
      </c>
      <c r="AC13" s="129" t="s">
        <v>176</v>
      </c>
      <c r="AD13" s="130">
        <v>46332</v>
      </c>
      <c r="AE13" s="129">
        <v>1658</v>
      </c>
      <c r="AF13" s="130">
        <v>46127</v>
      </c>
      <c r="AG13" s="129" t="s">
        <v>56</v>
      </c>
      <c r="AH13" s="131">
        <v>57</v>
      </c>
    </row>
    <row r="14" spans="1:34" ht="13.2">
      <c r="A14" s="88"/>
      <c r="B14" s="97" t="s">
        <v>51</v>
      </c>
      <c r="C14" s="102">
        <v>147</v>
      </c>
      <c r="D14" s="102"/>
      <c r="E14" s="102">
        <v>120</v>
      </c>
      <c r="F14" s="2">
        <v>141</v>
      </c>
      <c r="G14" s="2">
        <v>143</v>
      </c>
      <c r="H14" s="113">
        <v>169</v>
      </c>
      <c r="I14" s="102">
        <v>169</v>
      </c>
      <c r="J14" s="102">
        <v>167</v>
      </c>
      <c r="K14" s="102"/>
      <c r="L14" s="113">
        <v>169</v>
      </c>
      <c r="M14" s="102">
        <v>170</v>
      </c>
      <c r="N14" s="102">
        <v>167</v>
      </c>
      <c r="O14" s="102"/>
      <c r="P14" s="102">
        <v>177</v>
      </c>
      <c r="Q14" s="102">
        <v>173</v>
      </c>
      <c r="R14" s="114">
        <v>179</v>
      </c>
      <c r="S14" s="81">
        <v>187</v>
      </c>
      <c r="T14" s="115">
        <v>193</v>
      </c>
      <c r="U14" s="87">
        <v>193</v>
      </c>
      <c r="V14" s="102">
        <v>201</v>
      </c>
      <c r="W14" s="102"/>
      <c r="X14" s="88"/>
      <c r="Y14" s="88"/>
      <c r="Z14" s="88"/>
      <c r="AA14" s="87">
        <v>12</v>
      </c>
      <c r="AB14" s="129">
        <v>21387</v>
      </c>
      <c r="AC14" s="129" t="s">
        <v>177</v>
      </c>
      <c r="AD14" s="130">
        <v>46190</v>
      </c>
      <c r="AE14" s="129">
        <v>239.95</v>
      </c>
      <c r="AF14" s="130">
        <v>46134</v>
      </c>
      <c r="AG14" s="129" t="s">
        <v>56</v>
      </c>
      <c r="AH14" s="131">
        <v>56</v>
      </c>
    </row>
    <row r="15" spans="1:34" ht="13.2">
      <c r="A15" s="88"/>
      <c r="B15" s="97" t="s">
        <v>52</v>
      </c>
      <c r="C15" s="102">
        <v>47</v>
      </c>
      <c r="D15" s="102"/>
      <c r="E15" s="102">
        <v>45</v>
      </c>
      <c r="F15" s="2">
        <v>49</v>
      </c>
      <c r="G15" s="2">
        <v>49</v>
      </c>
      <c r="H15" s="102">
        <v>63</v>
      </c>
      <c r="I15" s="102">
        <v>62</v>
      </c>
      <c r="J15" s="102">
        <v>62</v>
      </c>
      <c r="K15" s="102"/>
      <c r="L15" s="113">
        <v>62</v>
      </c>
      <c r="M15" s="102">
        <v>65</v>
      </c>
      <c r="N15" s="102">
        <v>66</v>
      </c>
      <c r="O15" s="102"/>
      <c r="P15" s="102">
        <v>68</v>
      </c>
      <c r="Q15" s="102">
        <v>68</v>
      </c>
      <c r="R15" s="114">
        <v>70</v>
      </c>
      <c r="S15" s="81">
        <v>69</v>
      </c>
      <c r="T15" s="115">
        <v>69</v>
      </c>
      <c r="U15" s="117">
        <v>69</v>
      </c>
      <c r="V15" s="102">
        <v>70</v>
      </c>
      <c r="W15" s="102"/>
      <c r="X15" s="88"/>
      <c r="Y15" s="88"/>
      <c r="Z15" s="88"/>
      <c r="AA15" s="122">
        <v>13</v>
      </c>
      <c r="AB15" s="132">
        <v>35547</v>
      </c>
      <c r="AC15" s="132" t="s">
        <v>178</v>
      </c>
      <c r="AD15" s="133">
        <v>46190</v>
      </c>
      <c r="AE15" s="132">
        <v>207.34</v>
      </c>
      <c r="AF15" s="133">
        <v>46045</v>
      </c>
      <c r="AG15" s="132" t="s">
        <v>56</v>
      </c>
      <c r="AH15" s="132">
        <v>145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2">
        <v>1</v>
      </c>
      <c r="G16" s="2">
        <v>1</v>
      </c>
      <c r="H16" s="102">
        <v>4</v>
      </c>
      <c r="I16" s="102">
        <v>4</v>
      </c>
      <c r="J16" s="102">
        <v>4</v>
      </c>
      <c r="K16" s="102"/>
      <c r="L16" s="113">
        <v>5</v>
      </c>
      <c r="M16" s="102">
        <v>6</v>
      </c>
      <c r="N16" s="102">
        <v>6</v>
      </c>
      <c r="O16" s="102"/>
      <c r="P16" s="102">
        <v>6</v>
      </c>
      <c r="Q16" s="102">
        <v>5</v>
      </c>
      <c r="R16" s="114">
        <v>6</v>
      </c>
      <c r="S16" s="81">
        <v>6</v>
      </c>
      <c r="T16" s="115">
        <v>6</v>
      </c>
      <c r="U16" s="87">
        <v>6</v>
      </c>
      <c r="V16" s="102">
        <v>6</v>
      </c>
      <c r="W16" s="102"/>
      <c r="X16" s="88"/>
      <c r="Y16" s="88"/>
      <c r="Z16" s="88"/>
      <c r="AA16" s="87">
        <v>14</v>
      </c>
      <c r="AB16" s="129">
        <v>42774</v>
      </c>
      <c r="AC16" s="129" t="s">
        <v>179</v>
      </c>
      <c r="AD16" s="130">
        <v>46191</v>
      </c>
      <c r="AE16" s="129">
        <v>829</v>
      </c>
      <c r="AF16" s="130">
        <v>46057</v>
      </c>
      <c r="AG16" s="129" t="s">
        <v>63</v>
      </c>
      <c r="AH16" s="131">
        <v>77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0</v>
      </c>
      <c r="I17" s="102">
        <v>0</v>
      </c>
      <c r="J17" s="102">
        <v>1</v>
      </c>
      <c r="K17" s="102"/>
      <c r="L17" s="113">
        <v>1</v>
      </c>
      <c r="M17" s="102">
        <v>2</v>
      </c>
      <c r="N17" s="102">
        <v>2</v>
      </c>
      <c r="O17" s="102"/>
      <c r="P17" s="102">
        <v>2</v>
      </c>
      <c r="Q17" s="102">
        <v>2</v>
      </c>
      <c r="R17" s="114">
        <v>2</v>
      </c>
      <c r="S17" s="81">
        <v>2</v>
      </c>
      <c r="T17" s="115">
        <v>2</v>
      </c>
      <c r="U17" s="87">
        <v>2</v>
      </c>
      <c r="V17" s="102">
        <v>3</v>
      </c>
      <c r="W17" s="102"/>
      <c r="X17" s="88"/>
      <c r="Y17" s="88"/>
      <c r="Z17" s="88"/>
      <c r="AA17" s="87">
        <v>15</v>
      </c>
      <c r="AB17" s="129">
        <v>38903</v>
      </c>
      <c r="AC17" s="129" t="s">
        <v>180</v>
      </c>
      <c r="AD17" s="130">
        <v>46192</v>
      </c>
      <c r="AE17" s="129">
        <v>617</v>
      </c>
      <c r="AF17" s="130">
        <v>46269</v>
      </c>
      <c r="AG17" s="129" t="s">
        <v>56</v>
      </c>
      <c r="AH17" s="131">
        <v>71</v>
      </c>
    </row>
    <row r="18" spans="1:34" ht="13.2">
      <c r="A18" s="88"/>
      <c r="B18" s="97" t="s">
        <v>24</v>
      </c>
      <c r="C18" s="102">
        <v>0</v>
      </c>
      <c r="D18" s="102"/>
      <c r="E18" s="102">
        <v>8</v>
      </c>
      <c r="F18" s="2">
        <v>8</v>
      </c>
      <c r="G18" s="2">
        <v>8</v>
      </c>
      <c r="H18" s="102">
        <v>8</v>
      </c>
      <c r="I18" s="102">
        <v>8</v>
      </c>
      <c r="J18" s="102">
        <v>9</v>
      </c>
      <c r="K18" s="102"/>
      <c r="L18" s="113">
        <v>9</v>
      </c>
      <c r="M18" s="102">
        <v>10</v>
      </c>
      <c r="N18" s="102">
        <v>11</v>
      </c>
      <c r="O18" s="102"/>
      <c r="P18" s="102">
        <v>11</v>
      </c>
      <c r="Q18" s="102">
        <v>13</v>
      </c>
      <c r="R18" s="102">
        <v>13</v>
      </c>
      <c r="S18" s="81">
        <v>13</v>
      </c>
      <c r="T18" s="115">
        <v>13</v>
      </c>
      <c r="U18" s="87">
        <v>13</v>
      </c>
      <c r="V18" s="102">
        <v>15</v>
      </c>
      <c r="W18" s="102"/>
      <c r="X18" s="88"/>
      <c r="Y18" s="88"/>
      <c r="Z18" s="88"/>
      <c r="AA18" s="122">
        <v>16</v>
      </c>
      <c r="AB18" s="132">
        <v>10376</v>
      </c>
      <c r="AC18" s="132" t="s">
        <v>181</v>
      </c>
      <c r="AD18" s="133">
        <v>46195</v>
      </c>
      <c r="AE18" s="132">
        <v>892.99</v>
      </c>
      <c r="AF18" s="133">
        <v>45756</v>
      </c>
      <c r="AG18" s="132" t="s">
        <v>10</v>
      </c>
      <c r="AH18" s="132">
        <v>291</v>
      </c>
    </row>
    <row r="19" spans="1:34" ht="13.2">
      <c r="A19" s="88"/>
      <c r="B19" s="97" t="s">
        <v>25</v>
      </c>
      <c r="C19" s="102">
        <v>0</v>
      </c>
      <c r="D19" s="102"/>
      <c r="E19" s="102">
        <v>1</v>
      </c>
      <c r="F19" s="2">
        <v>7</v>
      </c>
      <c r="G19" s="2">
        <v>7</v>
      </c>
      <c r="H19" s="102">
        <v>9</v>
      </c>
      <c r="I19" s="102">
        <v>10</v>
      </c>
      <c r="J19" s="102">
        <v>10</v>
      </c>
      <c r="K19" s="102"/>
      <c r="L19" s="113">
        <v>10</v>
      </c>
      <c r="M19" s="102">
        <v>12</v>
      </c>
      <c r="N19" s="102">
        <v>13</v>
      </c>
      <c r="O19" s="102"/>
      <c r="P19" s="102">
        <v>13</v>
      </c>
      <c r="Q19" s="102">
        <v>13</v>
      </c>
      <c r="R19" s="114">
        <v>14</v>
      </c>
      <c r="S19" s="81">
        <v>14</v>
      </c>
      <c r="T19" s="115">
        <v>15</v>
      </c>
      <c r="U19" s="87">
        <v>15</v>
      </c>
      <c r="V19" s="102">
        <v>18</v>
      </c>
      <c r="W19" s="102"/>
      <c r="X19" s="88"/>
      <c r="Y19" s="88"/>
      <c r="Z19" s="88"/>
      <c r="AA19" s="87">
        <v>17</v>
      </c>
      <c r="AB19" s="129">
        <v>41363</v>
      </c>
      <c r="AC19" s="129" t="s">
        <v>182</v>
      </c>
      <c r="AD19" s="130">
        <v>46196</v>
      </c>
      <c r="AE19" s="129">
        <v>536.6</v>
      </c>
      <c r="AF19" s="130">
        <v>46135</v>
      </c>
      <c r="AG19" s="129" t="s">
        <v>56</v>
      </c>
      <c r="AH19" s="131">
        <v>61</v>
      </c>
    </row>
    <row r="20" spans="1:34" ht="13.2">
      <c r="A20" s="88"/>
      <c r="B20" s="97" t="s">
        <v>26</v>
      </c>
      <c r="C20" s="102">
        <v>0</v>
      </c>
      <c r="D20" s="102"/>
      <c r="E20" s="102">
        <v>1</v>
      </c>
      <c r="F20" s="2">
        <v>2</v>
      </c>
      <c r="G20" s="2">
        <v>2</v>
      </c>
      <c r="H20" s="102">
        <v>3</v>
      </c>
      <c r="I20" s="102">
        <v>3</v>
      </c>
      <c r="J20" s="102">
        <v>3</v>
      </c>
      <c r="K20" s="102"/>
      <c r="L20" s="113">
        <v>3</v>
      </c>
      <c r="M20" s="102">
        <v>3</v>
      </c>
      <c r="N20" s="102">
        <v>3</v>
      </c>
      <c r="O20" s="102"/>
      <c r="P20" s="102">
        <v>3</v>
      </c>
      <c r="Q20" s="102">
        <v>3</v>
      </c>
      <c r="R20" s="114">
        <v>3</v>
      </c>
      <c r="S20" s="81">
        <v>3</v>
      </c>
      <c r="T20" s="115">
        <v>4</v>
      </c>
      <c r="U20" s="87">
        <v>4</v>
      </c>
      <c r="V20" s="102">
        <v>4</v>
      </c>
      <c r="W20" s="102"/>
      <c r="X20" s="88"/>
      <c r="Y20" s="88"/>
      <c r="Z20" s="88"/>
      <c r="AA20" s="87">
        <v>18</v>
      </c>
      <c r="AB20" s="129">
        <v>40966</v>
      </c>
      <c r="AC20" s="129" t="s">
        <v>183</v>
      </c>
      <c r="AD20" s="130">
        <v>46197</v>
      </c>
      <c r="AE20" s="129">
        <v>497.4</v>
      </c>
      <c r="AF20" s="130">
        <v>46239</v>
      </c>
      <c r="AG20" s="129" t="s">
        <v>56</v>
      </c>
      <c r="AH20" s="131">
        <v>47</v>
      </c>
    </row>
    <row r="21" spans="1:34" ht="13.2">
      <c r="A21" s="88"/>
      <c r="B21" s="109" t="s">
        <v>11</v>
      </c>
      <c r="C21" s="109">
        <v>258</v>
      </c>
      <c r="D21" s="109">
        <v>0</v>
      </c>
      <c r="E21" s="109">
        <v>239</v>
      </c>
      <c r="F21" s="109">
        <v>241</v>
      </c>
      <c r="G21" s="109">
        <v>240</v>
      </c>
      <c r="H21" s="109">
        <v>259</v>
      </c>
      <c r="I21" s="109">
        <v>256</v>
      </c>
      <c r="J21" s="109">
        <v>256</v>
      </c>
      <c r="K21" s="109">
        <v>0</v>
      </c>
      <c r="L21" s="109">
        <v>259</v>
      </c>
      <c r="M21" s="109">
        <v>278</v>
      </c>
      <c r="N21" s="109">
        <v>277</v>
      </c>
      <c r="O21" s="109">
        <v>0</v>
      </c>
      <c r="P21" s="109">
        <v>280</v>
      </c>
      <c r="Q21" s="109">
        <v>277</v>
      </c>
      <c r="R21" s="109">
        <v>301</v>
      </c>
      <c r="S21" s="109">
        <v>305</v>
      </c>
      <c r="T21" s="109">
        <v>302</v>
      </c>
      <c r="U21" s="109">
        <v>310</v>
      </c>
      <c r="V21" s="109">
        <v>318</v>
      </c>
      <c r="W21" s="109">
        <v>0</v>
      </c>
      <c r="X21" s="88"/>
      <c r="Y21" s="88"/>
      <c r="Z21" s="88"/>
      <c r="AA21" s="87">
        <v>19</v>
      </c>
      <c r="AB21" s="129">
        <v>33732</v>
      </c>
      <c r="AC21" s="129" t="s">
        <v>184</v>
      </c>
      <c r="AD21" s="130">
        <v>46198</v>
      </c>
      <c r="AE21" s="129">
        <v>587.41</v>
      </c>
      <c r="AF21" s="130">
        <v>46135</v>
      </c>
      <c r="AG21" s="129" t="s">
        <v>56</v>
      </c>
      <c r="AH21" s="131">
        <v>63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29">
        <v>43985</v>
      </c>
      <c r="AC22" s="129" t="s">
        <v>185</v>
      </c>
      <c r="AD22" s="130">
        <v>46198</v>
      </c>
      <c r="AE22" s="129">
        <v>331.04</v>
      </c>
      <c r="AF22" s="130">
        <v>46208</v>
      </c>
      <c r="AG22" s="129" t="s">
        <v>56</v>
      </c>
      <c r="AH22" s="131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122">
        <v>21</v>
      </c>
      <c r="AB23" s="132">
        <v>26794</v>
      </c>
      <c r="AC23" s="132" t="s">
        <v>186</v>
      </c>
      <c r="AD23" s="133">
        <v>46198</v>
      </c>
      <c r="AE23" s="132">
        <v>631.20000000000005</v>
      </c>
      <c r="AF23" s="133">
        <v>44866</v>
      </c>
      <c r="AG23" s="132" t="s">
        <v>62</v>
      </c>
      <c r="AH23" s="132">
        <v>1626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22">
        <v>22</v>
      </c>
      <c r="AB24" s="132">
        <v>41617</v>
      </c>
      <c r="AC24" s="132" t="s">
        <v>187</v>
      </c>
      <c r="AD24" s="133">
        <v>46199</v>
      </c>
      <c r="AE24" s="132">
        <v>4653.17</v>
      </c>
      <c r="AF24" s="133">
        <v>46157</v>
      </c>
      <c r="AG24" s="132" t="s">
        <v>56</v>
      </c>
      <c r="AH24" s="132">
        <v>42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0</v>
      </c>
      <c r="F25" s="87">
        <v>30</v>
      </c>
      <c r="G25" s="87">
        <v>30</v>
      </c>
      <c r="H25" s="87">
        <v>25</v>
      </c>
      <c r="I25" s="87">
        <v>13</v>
      </c>
      <c r="J25" s="87">
        <v>20</v>
      </c>
      <c r="K25" s="87">
        <v>41</v>
      </c>
      <c r="L25" s="87">
        <v>24</v>
      </c>
      <c r="M25" s="87">
        <v>23</v>
      </c>
      <c r="N25" s="87">
        <v>21</v>
      </c>
      <c r="O25" s="87">
        <v>18</v>
      </c>
      <c r="P25" s="87">
        <v>20</v>
      </c>
      <c r="Q25" s="87">
        <v>24</v>
      </c>
      <c r="R25" s="87">
        <v>24</v>
      </c>
      <c r="S25" s="87">
        <v>24</v>
      </c>
      <c r="T25" s="87">
        <v>19</v>
      </c>
      <c r="U25" s="87">
        <v>0</v>
      </c>
      <c r="V25" s="87">
        <v>30</v>
      </c>
      <c r="W25" s="87">
        <v>0</v>
      </c>
      <c r="X25" s="81">
        <v>386</v>
      </c>
      <c r="Y25" s="108">
        <v>36</v>
      </c>
      <c r="Z25" s="88"/>
      <c r="AA25" s="87">
        <v>23</v>
      </c>
      <c r="AB25" s="129">
        <v>20012</v>
      </c>
      <c r="AC25" s="129" t="s">
        <v>188</v>
      </c>
      <c r="AD25" s="130">
        <v>46199</v>
      </c>
      <c r="AE25" s="129">
        <v>173</v>
      </c>
      <c r="AF25" s="130">
        <v>46129</v>
      </c>
      <c r="AG25" s="129" t="s">
        <v>56</v>
      </c>
      <c r="AH25" s="131">
        <v>70</v>
      </c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6"/>
      <c r="Y26" s="286"/>
      <c r="Z26" s="88"/>
      <c r="AA26" s="126">
        <v>24</v>
      </c>
      <c r="AB26" s="134">
        <v>31923</v>
      </c>
      <c r="AC26" s="134" t="s">
        <v>189</v>
      </c>
      <c r="AD26" s="135">
        <v>46203</v>
      </c>
      <c r="AE26" s="134">
        <v>714.78</v>
      </c>
      <c r="AF26" s="135">
        <v>46147</v>
      </c>
      <c r="AG26" s="134" t="s">
        <v>56</v>
      </c>
      <c r="AH26" s="136">
        <v>56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7">
        <v>25</v>
      </c>
      <c r="AB27" s="129">
        <v>41105</v>
      </c>
      <c r="AC27" s="129" t="s">
        <v>190</v>
      </c>
      <c r="AD27" s="130">
        <v>46203</v>
      </c>
      <c r="AE27" s="129">
        <v>1058</v>
      </c>
      <c r="AF27" s="130">
        <v>46141</v>
      </c>
      <c r="AG27" s="129" t="s">
        <v>56</v>
      </c>
      <c r="AH27" s="131">
        <v>62</v>
      </c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7">
        <v>26</v>
      </c>
      <c r="AB28" s="129">
        <v>37503</v>
      </c>
      <c r="AC28" s="129" t="s">
        <v>191</v>
      </c>
      <c r="AD28" s="130">
        <v>46203</v>
      </c>
      <c r="AE28" s="129">
        <v>943.5</v>
      </c>
      <c r="AF28" s="130">
        <v>46156</v>
      </c>
      <c r="AG28" s="129" t="s">
        <v>59</v>
      </c>
      <c r="AH28" s="131">
        <v>47</v>
      </c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1">
        <v>27</v>
      </c>
      <c r="AB29" s="131">
        <v>38526</v>
      </c>
      <c r="AC29" s="131" t="s">
        <v>192</v>
      </c>
      <c r="AD29" s="130">
        <v>46029</v>
      </c>
      <c r="AE29" s="131">
        <v>187.85</v>
      </c>
      <c r="AF29" s="160">
        <v>46239</v>
      </c>
      <c r="AG29" s="129" t="s">
        <v>119</v>
      </c>
      <c r="AH29" s="131">
        <v>54</v>
      </c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38">
        <v>19384</v>
      </c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3" t="s">
        <v>28</v>
      </c>
      <c r="D2" s="284"/>
      <c r="E2" s="284"/>
      <c r="F2" s="285"/>
      <c r="G2" s="283" t="s">
        <v>29</v>
      </c>
      <c r="H2" s="284"/>
      <c r="I2" s="284"/>
      <c r="J2" s="284"/>
      <c r="K2" s="285"/>
      <c r="L2" s="283" t="s">
        <v>30</v>
      </c>
      <c r="M2" s="284"/>
      <c r="N2" s="284"/>
      <c r="O2" s="284"/>
      <c r="P2" s="285"/>
      <c r="Q2" s="283" t="s">
        <v>31</v>
      </c>
      <c r="R2" s="284"/>
      <c r="S2" s="284"/>
      <c r="T2" s="284"/>
      <c r="U2" s="285"/>
      <c r="V2" s="283" t="s">
        <v>32</v>
      </c>
      <c r="W2" s="284"/>
      <c r="X2" s="88"/>
      <c r="Y2" s="88"/>
      <c r="Z2" s="90"/>
      <c r="AA2" s="91" t="s">
        <v>33</v>
      </c>
      <c r="AB2" s="91" t="s">
        <v>34</v>
      </c>
      <c r="AC2" s="91" t="s">
        <v>142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80"/>
      <c r="Y3" s="281"/>
      <c r="Z3" s="88"/>
      <c r="AA3" s="87">
        <v>1</v>
      </c>
      <c r="AB3" s="129">
        <v>40650</v>
      </c>
      <c r="AC3" s="129" t="s">
        <v>193</v>
      </c>
      <c r="AD3" s="130">
        <v>46028</v>
      </c>
      <c r="AE3" s="129">
        <v>343.01</v>
      </c>
      <c r="AF3" s="130">
        <v>46126</v>
      </c>
      <c r="AG3" s="129" t="s">
        <v>10</v>
      </c>
      <c r="AH3" s="131">
        <v>48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43357</v>
      </c>
      <c r="AC4" s="129" t="s">
        <v>194</v>
      </c>
      <c r="AD4" s="130">
        <v>46087</v>
      </c>
      <c r="AE4" s="129">
        <v>441.99</v>
      </c>
      <c r="AF4" s="130">
        <v>46128</v>
      </c>
      <c r="AG4" s="129" t="s">
        <v>10</v>
      </c>
      <c r="AH4" s="131">
        <v>48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43013</v>
      </c>
      <c r="AC5" s="129" t="s">
        <v>195</v>
      </c>
      <c r="AD5" s="130">
        <v>46148</v>
      </c>
      <c r="AE5" s="129">
        <v>533.70000000000005</v>
      </c>
      <c r="AF5" s="130">
        <v>46126</v>
      </c>
      <c r="AG5" s="129" t="s">
        <v>10</v>
      </c>
      <c r="AH5" s="131">
        <v>52</v>
      </c>
    </row>
    <row r="6" spans="1:34" ht="13.8" thickBot="1">
      <c r="A6" s="88"/>
      <c r="B6" s="100" t="s">
        <v>46</v>
      </c>
      <c r="C6" s="105">
        <v>1</v>
      </c>
      <c r="D6" s="106">
        <v>0</v>
      </c>
      <c r="E6" s="106">
        <v>1</v>
      </c>
      <c r="F6" s="107">
        <v>1</v>
      </c>
      <c r="G6" s="105">
        <v>0</v>
      </c>
      <c r="H6" s="106">
        <v>3</v>
      </c>
      <c r="I6" s="106">
        <v>1</v>
      </c>
      <c r="J6" s="106">
        <v>2</v>
      </c>
      <c r="K6" s="107">
        <v>1</v>
      </c>
      <c r="L6" s="105">
        <v>1</v>
      </c>
      <c r="M6" s="106">
        <v>1</v>
      </c>
      <c r="N6" s="106">
        <v>0</v>
      </c>
      <c r="O6" s="106">
        <v>2</v>
      </c>
      <c r="P6" s="107">
        <v>2</v>
      </c>
      <c r="Q6" s="105">
        <v>0</v>
      </c>
      <c r="R6" s="106">
        <v>0</v>
      </c>
      <c r="S6" s="106">
        <v>0</v>
      </c>
      <c r="T6" s="106">
        <v>1</v>
      </c>
      <c r="U6" s="107">
        <v>1</v>
      </c>
      <c r="V6" s="105"/>
      <c r="W6" s="107">
        <v>2</v>
      </c>
      <c r="X6" s="104">
        <v>20</v>
      </c>
      <c r="Y6" s="108">
        <v>-5</v>
      </c>
      <c r="Z6" s="88"/>
      <c r="AA6" s="87">
        <v>4</v>
      </c>
      <c r="AB6" s="129">
        <v>38936</v>
      </c>
      <c r="AC6" s="129" t="s">
        <v>196</v>
      </c>
      <c r="AD6" s="130">
        <v>46271</v>
      </c>
      <c r="AE6" s="129">
        <v>179.85</v>
      </c>
      <c r="AF6" s="130">
        <v>46133</v>
      </c>
      <c r="AG6" s="129" t="s">
        <v>64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7546</v>
      </c>
      <c r="AC7" s="129" t="s">
        <v>197</v>
      </c>
      <c r="AD7" s="130">
        <v>46271</v>
      </c>
      <c r="AE7" s="129">
        <v>369.95</v>
      </c>
      <c r="AF7" s="130">
        <v>46135</v>
      </c>
      <c r="AG7" s="129" t="s">
        <v>10</v>
      </c>
      <c r="AH7" s="131">
        <v>47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2">
        <v>6</v>
      </c>
      <c r="AB8" s="132">
        <v>34899</v>
      </c>
      <c r="AC8" s="132" t="s">
        <v>198</v>
      </c>
      <c r="AD8" s="133">
        <v>46271</v>
      </c>
      <c r="AE8" s="132">
        <v>363.95</v>
      </c>
      <c r="AF8" s="133">
        <v>46071</v>
      </c>
      <c r="AG8" s="132" t="s">
        <v>10</v>
      </c>
      <c r="AH8" s="132">
        <v>111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25124</v>
      </c>
      <c r="AC9" s="129" t="s">
        <v>199</v>
      </c>
      <c r="AD9" s="130">
        <v>46301</v>
      </c>
      <c r="AE9" s="129">
        <v>349.55</v>
      </c>
      <c r="AF9" s="130">
        <v>46134</v>
      </c>
      <c r="AG9" s="129" t="s">
        <v>10</v>
      </c>
      <c r="AH9" s="131">
        <v>49</v>
      </c>
    </row>
    <row r="10" spans="1:34" ht="13.2">
      <c r="A10" s="88"/>
      <c r="B10" s="97" t="s">
        <v>15</v>
      </c>
      <c r="C10" s="102">
        <v>15</v>
      </c>
      <c r="D10" s="102"/>
      <c r="E10" s="102">
        <v>8</v>
      </c>
      <c r="F10" s="2">
        <v>9</v>
      </c>
      <c r="G10" s="2">
        <v>5</v>
      </c>
      <c r="H10" s="102">
        <v>7</v>
      </c>
      <c r="I10" s="102">
        <v>7</v>
      </c>
      <c r="J10" s="102">
        <v>8</v>
      </c>
      <c r="K10" s="102"/>
      <c r="L10" s="113">
        <v>1</v>
      </c>
      <c r="M10" s="102">
        <v>13</v>
      </c>
      <c r="N10" s="102">
        <v>13</v>
      </c>
      <c r="O10" s="102"/>
      <c r="P10" s="102">
        <v>14</v>
      </c>
      <c r="Q10" s="102">
        <v>13</v>
      </c>
      <c r="R10" s="114">
        <v>5</v>
      </c>
      <c r="S10" s="81">
        <v>7</v>
      </c>
      <c r="T10" s="115">
        <v>7</v>
      </c>
      <c r="U10" s="116">
        <v>13</v>
      </c>
      <c r="V10" s="102">
        <v>6</v>
      </c>
      <c r="W10" s="102"/>
      <c r="X10" s="88"/>
      <c r="Y10" s="88"/>
      <c r="Z10" s="88"/>
      <c r="AA10" s="87">
        <v>8</v>
      </c>
      <c r="AB10" s="129">
        <v>25071</v>
      </c>
      <c r="AC10" s="129" t="s">
        <v>200</v>
      </c>
      <c r="AD10" s="130">
        <v>46332</v>
      </c>
      <c r="AE10" s="129">
        <v>211.05</v>
      </c>
      <c r="AF10" s="130">
        <v>46269</v>
      </c>
      <c r="AG10" s="129" t="s">
        <v>10</v>
      </c>
      <c r="AH10" s="131">
        <v>63</v>
      </c>
    </row>
    <row r="11" spans="1:34" ht="13.2">
      <c r="A11" s="88"/>
      <c r="B11" s="97" t="s">
        <v>16</v>
      </c>
      <c r="C11" s="102">
        <v>4</v>
      </c>
      <c r="D11" s="102"/>
      <c r="E11" s="102">
        <v>4</v>
      </c>
      <c r="F11" s="2">
        <v>2</v>
      </c>
      <c r="G11" s="2">
        <v>2</v>
      </c>
      <c r="H11" s="102">
        <v>4</v>
      </c>
      <c r="I11" s="102">
        <v>4</v>
      </c>
      <c r="J11" s="102">
        <v>4</v>
      </c>
      <c r="K11" s="102"/>
      <c r="L11" s="113">
        <v>3</v>
      </c>
      <c r="M11" s="102">
        <v>3</v>
      </c>
      <c r="N11" s="102">
        <v>3</v>
      </c>
      <c r="O11" s="102"/>
      <c r="P11" s="102">
        <v>3</v>
      </c>
      <c r="Q11" s="102">
        <v>4</v>
      </c>
      <c r="R11" s="114">
        <v>1</v>
      </c>
      <c r="S11" s="81">
        <v>2</v>
      </c>
      <c r="T11" s="115">
        <v>2</v>
      </c>
      <c r="U11" s="116">
        <v>2</v>
      </c>
      <c r="V11" s="102">
        <v>8</v>
      </c>
      <c r="W11" s="102"/>
      <c r="X11" s="88"/>
      <c r="Y11" s="88"/>
      <c r="Z11" s="88"/>
      <c r="AA11" s="122">
        <v>9</v>
      </c>
      <c r="AB11" s="132">
        <v>40561</v>
      </c>
      <c r="AC11" s="132" t="s">
        <v>201</v>
      </c>
      <c r="AD11" s="133">
        <v>46332</v>
      </c>
      <c r="AE11" s="132">
        <v>7224.1</v>
      </c>
      <c r="AF11" s="133">
        <v>46079</v>
      </c>
      <c r="AG11" s="132" t="s">
        <v>10</v>
      </c>
      <c r="AH11" s="132">
        <v>105</v>
      </c>
    </row>
    <row r="12" spans="1:34" ht="13.2">
      <c r="A12" s="88"/>
      <c r="B12" s="97" t="s">
        <v>17</v>
      </c>
      <c r="C12" s="102">
        <v>4</v>
      </c>
      <c r="D12" s="102"/>
      <c r="E12" s="102">
        <v>4</v>
      </c>
      <c r="F12" s="2">
        <v>2</v>
      </c>
      <c r="G12" s="2">
        <v>2</v>
      </c>
      <c r="H12" s="102">
        <v>3</v>
      </c>
      <c r="I12" s="102">
        <v>3</v>
      </c>
      <c r="J12" s="102">
        <v>3</v>
      </c>
      <c r="K12" s="102"/>
      <c r="L12" s="113">
        <v>2</v>
      </c>
      <c r="M12" s="102">
        <v>2</v>
      </c>
      <c r="N12" s="102">
        <v>3</v>
      </c>
      <c r="O12" s="102"/>
      <c r="P12" s="102">
        <v>2</v>
      </c>
      <c r="Q12" s="102">
        <v>3</v>
      </c>
      <c r="R12" s="114">
        <v>1</v>
      </c>
      <c r="S12" s="81">
        <v>3</v>
      </c>
      <c r="T12" s="115">
        <v>2</v>
      </c>
      <c r="U12" s="116">
        <v>2</v>
      </c>
      <c r="V12" s="102">
        <v>3</v>
      </c>
      <c r="W12" s="102"/>
      <c r="X12" s="88"/>
      <c r="Y12" s="88"/>
      <c r="Z12" s="88"/>
      <c r="AA12" s="87">
        <v>10</v>
      </c>
      <c r="AB12" s="129">
        <v>44255</v>
      </c>
      <c r="AC12" s="129" t="s">
        <v>202</v>
      </c>
      <c r="AD12" s="130">
        <v>46362</v>
      </c>
      <c r="AE12" s="129">
        <v>380.76</v>
      </c>
      <c r="AF12" s="130">
        <v>46128</v>
      </c>
      <c r="AG12" s="129" t="s">
        <v>65</v>
      </c>
      <c r="AH12" s="131">
        <v>57</v>
      </c>
    </row>
    <row r="13" spans="1:34" ht="13.2">
      <c r="A13" s="88"/>
      <c r="B13" s="97" t="s">
        <v>18</v>
      </c>
      <c r="C13" s="102">
        <v>1</v>
      </c>
      <c r="D13" s="102"/>
      <c r="E13" s="102">
        <v>1</v>
      </c>
      <c r="F13" s="2">
        <v>4</v>
      </c>
      <c r="G13" s="2">
        <v>4</v>
      </c>
      <c r="H13" s="102">
        <v>1</v>
      </c>
      <c r="I13" s="102">
        <v>1</v>
      </c>
      <c r="J13" s="102">
        <v>0</v>
      </c>
      <c r="K13" s="102"/>
      <c r="L13" s="113">
        <v>2</v>
      </c>
      <c r="M13" s="102">
        <v>2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1</v>
      </c>
      <c r="T13" s="115">
        <v>2</v>
      </c>
      <c r="U13" s="116">
        <v>2</v>
      </c>
      <c r="V13" s="102">
        <v>1</v>
      </c>
      <c r="W13" s="102"/>
      <c r="X13" s="88"/>
      <c r="Y13" s="88"/>
      <c r="Z13" s="88"/>
      <c r="AA13" s="87">
        <v>11</v>
      </c>
      <c r="AB13" s="129">
        <v>44062</v>
      </c>
      <c r="AC13" s="129" t="s">
        <v>203</v>
      </c>
      <c r="AD13" s="130">
        <v>46188</v>
      </c>
      <c r="AE13" s="129">
        <v>275.35000000000002</v>
      </c>
      <c r="AF13" s="130">
        <v>46139</v>
      </c>
      <c r="AG13" s="129" t="s">
        <v>10</v>
      </c>
      <c r="AH13" s="131">
        <v>49</v>
      </c>
    </row>
    <row r="14" spans="1:34" ht="13.2">
      <c r="A14" s="88"/>
      <c r="B14" s="97" t="s">
        <v>51</v>
      </c>
      <c r="C14" s="102">
        <v>131</v>
      </c>
      <c r="D14" s="102"/>
      <c r="E14" s="102">
        <v>130</v>
      </c>
      <c r="F14" s="2">
        <v>130</v>
      </c>
      <c r="G14" s="2">
        <v>132</v>
      </c>
      <c r="H14" s="113">
        <v>135</v>
      </c>
      <c r="I14" s="102">
        <v>135</v>
      </c>
      <c r="J14" s="102">
        <v>135</v>
      </c>
      <c r="K14" s="102"/>
      <c r="L14" s="113">
        <v>136</v>
      </c>
      <c r="M14" s="102">
        <v>144</v>
      </c>
      <c r="N14" s="102">
        <v>142</v>
      </c>
      <c r="O14" s="102"/>
      <c r="P14" s="102">
        <v>139</v>
      </c>
      <c r="Q14" s="102">
        <v>138</v>
      </c>
      <c r="R14" s="114">
        <v>137</v>
      </c>
      <c r="S14" s="81">
        <v>145</v>
      </c>
      <c r="T14" s="115">
        <v>136</v>
      </c>
      <c r="U14" s="87">
        <v>136</v>
      </c>
      <c r="V14" s="102">
        <v>128</v>
      </c>
      <c r="W14" s="102"/>
      <c r="X14" s="88"/>
      <c r="Y14" s="88"/>
      <c r="Z14" s="88"/>
      <c r="AA14" s="87">
        <v>12</v>
      </c>
      <c r="AB14" s="129">
        <v>38812</v>
      </c>
      <c r="AC14" s="129" t="s">
        <v>204</v>
      </c>
      <c r="AD14" s="130">
        <v>46189</v>
      </c>
      <c r="AE14" s="129">
        <v>238.95</v>
      </c>
      <c r="AF14" s="130">
        <v>46057</v>
      </c>
      <c r="AG14" s="129" t="s">
        <v>10</v>
      </c>
      <c r="AH14" s="131">
        <v>75</v>
      </c>
    </row>
    <row r="15" spans="1:34" ht="13.2">
      <c r="A15" s="88"/>
      <c r="B15" s="97" t="s">
        <v>52</v>
      </c>
      <c r="C15" s="102">
        <v>49</v>
      </c>
      <c r="D15" s="102"/>
      <c r="E15" s="102">
        <v>48</v>
      </c>
      <c r="F15" s="2">
        <v>46</v>
      </c>
      <c r="G15" s="2">
        <v>47</v>
      </c>
      <c r="H15" s="102">
        <v>52</v>
      </c>
      <c r="I15" s="102">
        <v>52</v>
      </c>
      <c r="J15" s="102">
        <v>51</v>
      </c>
      <c r="K15" s="102"/>
      <c r="L15" s="113">
        <v>53</v>
      </c>
      <c r="M15" s="102">
        <v>55</v>
      </c>
      <c r="N15" s="102">
        <v>56</v>
      </c>
      <c r="O15" s="102"/>
      <c r="P15" s="102">
        <v>56</v>
      </c>
      <c r="Q15" s="102">
        <v>56</v>
      </c>
      <c r="R15" s="114">
        <v>58</v>
      </c>
      <c r="S15" s="81">
        <v>58</v>
      </c>
      <c r="T15" s="115">
        <v>61</v>
      </c>
      <c r="U15" s="117">
        <v>63</v>
      </c>
      <c r="V15" s="102">
        <v>69</v>
      </c>
      <c r="W15" s="102"/>
      <c r="X15" s="88"/>
      <c r="Y15" s="88"/>
      <c r="Z15" s="88"/>
      <c r="AA15" s="87">
        <v>13</v>
      </c>
      <c r="AB15" s="129">
        <v>39732</v>
      </c>
      <c r="AC15" s="129" t="s">
        <v>205</v>
      </c>
      <c r="AD15" s="130">
        <v>46191</v>
      </c>
      <c r="AE15" s="129">
        <v>221.45</v>
      </c>
      <c r="AF15" s="130">
        <v>46106</v>
      </c>
      <c r="AG15" s="129" t="s">
        <v>66</v>
      </c>
      <c r="AH15" s="131">
        <v>85</v>
      </c>
    </row>
    <row r="16" spans="1:34" ht="13.2">
      <c r="A16" s="88"/>
      <c r="B16" s="97" t="s">
        <v>22</v>
      </c>
      <c r="C16" s="102">
        <v>0</v>
      </c>
      <c r="D16" s="102"/>
      <c r="E16" s="102">
        <v>1</v>
      </c>
      <c r="F16" s="2">
        <v>2</v>
      </c>
      <c r="G16" s="2">
        <v>2</v>
      </c>
      <c r="H16" s="102">
        <v>3</v>
      </c>
      <c r="I16" s="102">
        <v>3</v>
      </c>
      <c r="J16" s="102">
        <v>3</v>
      </c>
      <c r="K16" s="102"/>
      <c r="L16" s="113">
        <v>3</v>
      </c>
      <c r="M16" s="102">
        <v>3</v>
      </c>
      <c r="N16" s="102">
        <v>3</v>
      </c>
      <c r="O16" s="102"/>
      <c r="P16" s="102">
        <v>3</v>
      </c>
      <c r="Q16" s="102">
        <v>3</v>
      </c>
      <c r="R16" s="114">
        <v>4</v>
      </c>
      <c r="S16" s="81">
        <v>5</v>
      </c>
      <c r="T16" s="115">
        <v>6</v>
      </c>
      <c r="U16" s="87">
        <v>7</v>
      </c>
      <c r="V16" s="102">
        <v>7</v>
      </c>
      <c r="W16" s="102"/>
      <c r="X16" s="88"/>
      <c r="Y16" s="88"/>
      <c r="Z16" s="88"/>
      <c r="AA16" s="87">
        <v>14</v>
      </c>
      <c r="AB16" s="129">
        <v>35511</v>
      </c>
      <c r="AC16" s="129" t="s">
        <v>206</v>
      </c>
      <c r="AD16" s="130">
        <v>46191</v>
      </c>
      <c r="AE16" s="129">
        <v>413.4</v>
      </c>
      <c r="AF16" s="130">
        <v>46269</v>
      </c>
      <c r="AG16" s="129" t="s">
        <v>10</v>
      </c>
      <c r="AH16" s="131">
        <v>70</v>
      </c>
    </row>
    <row r="17" spans="1:34" ht="13.2">
      <c r="A17" s="88"/>
      <c r="B17" s="97" t="s">
        <v>23</v>
      </c>
      <c r="C17" s="102">
        <v>0</v>
      </c>
      <c r="D17" s="102"/>
      <c r="E17" s="102">
        <v>6</v>
      </c>
      <c r="F17" s="2">
        <v>6</v>
      </c>
      <c r="G17" s="2">
        <v>6</v>
      </c>
      <c r="H17" s="102">
        <v>7</v>
      </c>
      <c r="I17" s="102">
        <v>7</v>
      </c>
      <c r="J17" s="102">
        <v>7</v>
      </c>
      <c r="K17" s="102"/>
      <c r="L17" s="113">
        <v>7</v>
      </c>
      <c r="M17" s="102">
        <v>8</v>
      </c>
      <c r="N17" s="102">
        <v>8</v>
      </c>
      <c r="O17" s="102"/>
      <c r="P17" s="102">
        <v>8</v>
      </c>
      <c r="Q17" s="102">
        <v>8</v>
      </c>
      <c r="R17" s="114">
        <v>8</v>
      </c>
      <c r="S17" s="81">
        <v>8</v>
      </c>
      <c r="T17" s="115">
        <v>8</v>
      </c>
      <c r="U17" s="87">
        <v>9</v>
      </c>
      <c r="V17" s="102">
        <v>10</v>
      </c>
      <c r="W17" s="102"/>
      <c r="X17" s="88"/>
      <c r="Y17" s="88"/>
      <c r="Z17" s="88"/>
      <c r="AA17" s="87">
        <v>15</v>
      </c>
      <c r="AB17" s="129">
        <v>29827</v>
      </c>
      <c r="AC17" s="129" t="s">
        <v>207</v>
      </c>
      <c r="AD17" s="130">
        <v>46192</v>
      </c>
      <c r="AE17" s="129">
        <v>265.14999999999998</v>
      </c>
      <c r="AF17" s="130">
        <v>46135</v>
      </c>
      <c r="AG17" s="129" t="s">
        <v>10</v>
      </c>
      <c r="AH17" s="131">
        <v>57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2">
        <v>1</v>
      </c>
      <c r="G18" s="2">
        <v>1</v>
      </c>
      <c r="H18" s="102">
        <v>1</v>
      </c>
      <c r="I18" s="102">
        <v>1</v>
      </c>
      <c r="J18" s="102">
        <v>1</v>
      </c>
      <c r="K18" s="102"/>
      <c r="L18" s="113">
        <v>3</v>
      </c>
      <c r="M18" s="102">
        <v>5</v>
      </c>
      <c r="N18" s="102">
        <v>6</v>
      </c>
      <c r="O18" s="102"/>
      <c r="P18" s="102">
        <v>14</v>
      </c>
      <c r="Q18" s="102">
        <v>15</v>
      </c>
      <c r="R18" s="114">
        <v>16</v>
      </c>
      <c r="S18" s="81">
        <v>19</v>
      </c>
      <c r="T18" s="115">
        <v>23</v>
      </c>
      <c r="U18" s="87">
        <v>24</v>
      </c>
      <c r="V18" s="102">
        <v>28</v>
      </c>
      <c r="W18" s="102"/>
      <c r="X18" s="88"/>
      <c r="Y18" s="88"/>
      <c r="Z18" s="88"/>
      <c r="AA18" s="87">
        <v>16</v>
      </c>
      <c r="AB18" s="129">
        <v>32789</v>
      </c>
      <c r="AC18" s="129" t="s">
        <v>208</v>
      </c>
      <c r="AD18" s="130">
        <v>46192</v>
      </c>
      <c r="AE18" s="129">
        <v>501.46</v>
      </c>
      <c r="AF18" s="130">
        <v>46107</v>
      </c>
      <c r="AG18" s="129" t="s">
        <v>10</v>
      </c>
      <c r="AH18" s="131">
        <v>85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1</v>
      </c>
      <c r="H19" s="102">
        <v>2</v>
      </c>
      <c r="I19" s="102">
        <v>2</v>
      </c>
      <c r="J19" s="102">
        <v>2</v>
      </c>
      <c r="K19" s="102"/>
      <c r="L19" s="113">
        <v>2</v>
      </c>
      <c r="M19" s="102">
        <v>4</v>
      </c>
      <c r="N19" s="102">
        <v>4</v>
      </c>
      <c r="O19" s="102"/>
      <c r="P19" s="102">
        <v>5</v>
      </c>
      <c r="Q19" s="102">
        <v>5</v>
      </c>
      <c r="R19" s="114">
        <v>5</v>
      </c>
      <c r="S19" s="81">
        <v>11</v>
      </c>
      <c r="T19" s="115">
        <v>10</v>
      </c>
      <c r="U19" s="87">
        <v>9</v>
      </c>
      <c r="V19" s="102">
        <v>11</v>
      </c>
      <c r="W19" s="102"/>
      <c r="X19" s="88"/>
      <c r="Y19" s="88"/>
      <c r="Z19" s="88"/>
      <c r="AA19" s="126">
        <v>17</v>
      </c>
      <c r="AB19" s="134">
        <v>43804</v>
      </c>
      <c r="AC19" s="134" t="s">
        <v>209</v>
      </c>
      <c r="AD19" s="135">
        <v>46198</v>
      </c>
      <c r="AE19" s="134">
        <v>300.68</v>
      </c>
      <c r="AF19" s="135">
        <v>46128</v>
      </c>
      <c r="AG19" s="134" t="s">
        <v>10</v>
      </c>
      <c r="AH19" s="136">
        <v>70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0</v>
      </c>
      <c r="I20" s="102">
        <v>0</v>
      </c>
      <c r="J20" s="102">
        <v>0</v>
      </c>
      <c r="K20" s="102"/>
      <c r="L20" s="113">
        <v>0</v>
      </c>
      <c r="M20" s="102">
        <v>2</v>
      </c>
      <c r="N20" s="102">
        <v>2</v>
      </c>
      <c r="O20" s="102"/>
      <c r="P20" s="102">
        <v>3</v>
      </c>
      <c r="Q20" s="102">
        <v>3</v>
      </c>
      <c r="R20" s="114">
        <v>3</v>
      </c>
      <c r="S20" s="81">
        <v>4</v>
      </c>
      <c r="T20" s="115">
        <v>4</v>
      </c>
      <c r="U20" s="87">
        <v>5</v>
      </c>
      <c r="V20" s="102">
        <v>5</v>
      </c>
      <c r="W20" s="102"/>
      <c r="X20" s="88"/>
      <c r="Y20" s="88"/>
      <c r="Z20" s="88"/>
      <c r="AA20" s="87">
        <v>18</v>
      </c>
      <c r="AB20" s="129">
        <v>13483</v>
      </c>
      <c r="AC20" s="129" t="s">
        <v>210</v>
      </c>
      <c r="AD20" s="130">
        <v>46199</v>
      </c>
      <c r="AE20" s="129">
        <v>179.85</v>
      </c>
      <c r="AF20" s="130">
        <v>46135</v>
      </c>
      <c r="AG20" s="129" t="s">
        <v>10</v>
      </c>
      <c r="AH20" s="131">
        <v>64</v>
      </c>
    </row>
    <row r="21" spans="1:34" ht="13.2">
      <c r="A21" s="88"/>
      <c r="B21" s="109" t="s">
        <v>11</v>
      </c>
      <c r="C21" s="109">
        <v>204</v>
      </c>
      <c r="D21" s="109">
        <v>0</v>
      </c>
      <c r="E21" s="109">
        <v>202</v>
      </c>
      <c r="F21" s="109">
        <v>201</v>
      </c>
      <c r="G21" s="109">
        <v>200</v>
      </c>
      <c r="H21" s="109">
        <v>215</v>
      </c>
      <c r="I21" s="109">
        <v>215</v>
      </c>
      <c r="J21" s="109">
        <v>214</v>
      </c>
      <c r="K21" s="109">
        <v>0</v>
      </c>
      <c r="L21" s="109">
        <v>212</v>
      </c>
      <c r="M21" s="109">
        <v>241</v>
      </c>
      <c r="N21" s="109">
        <v>240</v>
      </c>
      <c r="O21" s="109">
        <v>0</v>
      </c>
      <c r="P21" s="109">
        <v>247</v>
      </c>
      <c r="Q21" s="109">
        <v>248</v>
      </c>
      <c r="R21" s="109">
        <v>238</v>
      </c>
      <c r="S21" s="109">
        <v>263</v>
      </c>
      <c r="T21" s="109">
        <v>261</v>
      </c>
      <c r="U21" s="109">
        <v>272</v>
      </c>
      <c r="V21" s="109">
        <v>276</v>
      </c>
      <c r="W21" s="109">
        <v>0</v>
      </c>
      <c r="X21" s="88"/>
      <c r="Y21" s="88"/>
      <c r="Z21" s="88"/>
      <c r="AA21" s="122">
        <v>19</v>
      </c>
      <c r="AB21" s="132">
        <v>42832</v>
      </c>
      <c r="AC21" s="132" t="s">
        <v>211</v>
      </c>
      <c r="AD21" s="133">
        <v>46203</v>
      </c>
      <c r="AE21" s="132">
        <v>253.61</v>
      </c>
      <c r="AF21" s="133">
        <v>46108</v>
      </c>
      <c r="AG21" s="132" t="s">
        <v>10</v>
      </c>
      <c r="AH21" s="132">
        <v>95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2">
        <v>20</v>
      </c>
      <c r="AB22" s="132">
        <v>39094</v>
      </c>
      <c r="AC22" s="132" t="s">
        <v>212</v>
      </c>
      <c r="AD22" s="133">
        <v>46203</v>
      </c>
      <c r="AE22" s="132">
        <v>177.74</v>
      </c>
      <c r="AF22" s="133">
        <v>46359</v>
      </c>
      <c r="AG22" s="132" t="s">
        <v>10</v>
      </c>
      <c r="AH22" s="132">
        <v>110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1"/>
      <c r="AB23" s="131"/>
      <c r="AC23" s="131"/>
      <c r="AD23" s="131"/>
      <c r="AE23" s="131"/>
      <c r="AF23" s="131"/>
      <c r="AG23" s="131"/>
      <c r="AH23" s="13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1"/>
      <c r="AB24" s="131"/>
      <c r="AC24" s="131"/>
      <c r="AD24" s="131"/>
      <c r="AE24" s="131"/>
      <c r="AF24" s="131"/>
      <c r="AG24" s="131"/>
      <c r="AH24" s="137"/>
    </row>
    <row r="25" spans="1:34" ht="13.2">
      <c r="A25" s="88"/>
      <c r="B25" s="81" t="s">
        <v>115</v>
      </c>
      <c r="C25" s="87">
        <v>12</v>
      </c>
      <c r="D25" s="87">
        <v>8</v>
      </c>
      <c r="E25" s="87">
        <v>10</v>
      </c>
      <c r="F25" s="87">
        <v>7</v>
      </c>
      <c r="G25" s="87">
        <v>13</v>
      </c>
      <c r="H25" s="87">
        <v>2</v>
      </c>
      <c r="I25" s="87">
        <v>0</v>
      </c>
      <c r="J25" s="87">
        <v>3</v>
      </c>
      <c r="K25" s="87">
        <v>12</v>
      </c>
      <c r="L25" s="87">
        <v>15</v>
      </c>
      <c r="M25" s="87">
        <v>24</v>
      </c>
      <c r="N25" s="87">
        <v>6</v>
      </c>
      <c r="O25" s="87">
        <v>11</v>
      </c>
      <c r="P25" s="87">
        <v>12</v>
      </c>
      <c r="Q25" s="87">
        <v>18</v>
      </c>
      <c r="R25" s="87">
        <v>11</v>
      </c>
      <c r="S25" s="87">
        <v>23</v>
      </c>
      <c r="T25" s="87">
        <v>34</v>
      </c>
      <c r="U25" s="87">
        <v>34</v>
      </c>
      <c r="V25" s="87">
        <v>10</v>
      </c>
      <c r="W25" s="87">
        <v>28</v>
      </c>
      <c r="X25" s="81">
        <v>293</v>
      </c>
      <c r="Y25" s="108">
        <v>-57</v>
      </c>
      <c r="Z25" s="88"/>
      <c r="AA25" s="88"/>
      <c r="AB25" s="128"/>
      <c r="AC25" s="128"/>
      <c r="AD25" s="128"/>
      <c r="AE25" s="138">
        <v>13225.55</v>
      </c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6"/>
      <c r="Y26" s="286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sheetPr>
    <tabColor rgb="FFC00000"/>
  </sheetPr>
  <dimension ref="A1:F221"/>
  <sheetViews>
    <sheetView tabSelected="1" workbookViewId="0">
      <selection activeCell="C1" sqref="C1:C1048576"/>
    </sheetView>
  </sheetViews>
  <sheetFormatPr defaultRowHeight="13.2"/>
  <cols>
    <col min="1" max="1" width="15.44140625" style="173" bestFit="1" customWidth="1"/>
    <col min="2" max="2" width="10.109375" style="173" bestFit="1" customWidth="1"/>
    <col min="3" max="3" width="45.5546875" style="173" bestFit="1" customWidth="1"/>
    <col min="4" max="4" width="14.33203125" style="182" bestFit="1" customWidth="1"/>
    <col min="5" max="5" width="13.6640625" style="173" customWidth="1"/>
    <col min="6" max="16384" width="8.88671875" style="173"/>
  </cols>
  <sheetData>
    <row r="1" spans="1:6" ht="14.4">
      <c r="A1" s="177" t="s">
        <v>333</v>
      </c>
      <c r="B1" s="177" t="s">
        <v>332</v>
      </c>
      <c r="C1" s="177" t="s">
        <v>213</v>
      </c>
      <c r="D1" s="178" t="s">
        <v>330</v>
      </c>
      <c r="E1" s="177" t="s">
        <v>331</v>
      </c>
      <c r="F1" s="175"/>
    </row>
    <row r="2" spans="1:6" ht="14.4">
      <c r="A2" s="174" t="s">
        <v>6</v>
      </c>
      <c r="B2" s="168">
        <v>29748</v>
      </c>
      <c r="C2" s="168" t="s">
        <v>147</v>
      </c>
      <c r="D2" s="179">
        <v>1092.0500000000002</v>
      </c>
      <c r="E2" s="174" t="s">
        <v>79</v>
      </c>
      <c r="F2" s="175"/>
    </row>
    <row r="3" spans="1:6" ht="14.4">
      <c r="A3" s="174" t="s">
        <v>55</v>
      </c>
      <c r="B3" s="170">
        <v>44200</v>
      </c>
      <c r="C3" s="170" t="s">
        <v>127</v>
      </c>
      <c r="D3" s="180">
        <v>211.97</v>
      </c>
      <c r="E3" s="174" t="s">
        <v>79</v>
      </c>
      <c r="F3" s="175"/>
    </row>
    <row r="4" spans="1:6" ht="14.4">
      <c r="A4" s="174" t="s">
        <v>7</v>
      </c>
      <c r="B4" s="168">
        <v>27148</v>
      </c>
      <c r="C4" s="168" t="s">
        <v>164</v>
      </c>
      <c r="D4" s="179">
        <v>199.77</v>
      </c>
      <c r="E4" s="174" t="s">
        <v>79</v>
      </c>
      <c r="F4" s="175"/>
    </row>
    <row r="5" spans="1:6" ht="14.4">
      <c r="A5" s="174" t="s">
        <v>56</v>
      </c>
      <c r="B5" s="170">
        <v>601</v>
      </c>
      <c r="C5" s="170" t="s">
        <v>173</v>
      </c>
      <c r="D5" s="180">
        <v>713.69</v>
      </c>
      <c r="E5" s="174" t="s">
        <v>79</v>
      </c>
      <c r="F5" s="175"/>
    </row>
    <row r="6" spans="1:6" ht="14.4">
      <c r="A6" s="174" t="s">
        <v>56</v>
      </c>
      <c r="B6" s="170">
        <v>38903</v>
      </c>
      <c r="C6" s="170" t="s">
        <v>180</v>
      </c>
      <c r="D6" s="180">
        <v>1398</v>
      </c>
      <c r="E6" s="174" t="s">
        <v>79</v>
      </c>
      <c r="F6" s="175"/>
    </row>
    <row r="7" spans="1:6" ht="14.4">
      <c r="A7" s="174" t="s">
        <v>56</v>
      </c>
      <c r="B7" s="170">
        <v>41617</v>
      </c>
      <c r="C7" s="170" t="s">
        <v>187</v>
      </c>
      <c r="D7" s="180">
        <v>2608.5200000000004</v>
      </c>
      <c r="E7" s="174" t="s">
        <v>79</v>
      </c>
      <c r="F7" s="175"/>
    </row>
    <row r="8" spans="1:6" ht="14.4">
      <c r="A8" s="174" t="s">
        <v>56</v>
      </c>
      <c r="B8" s="170">
        <v>41105</v>
      </c>
      <c r="C8" s="170" t="s">
        <v>190</v>
      </c>
      <c r="D8" s="180">
        <v>869</v>
      </c>
      <c r="E8" s="174" t="s">
        <v>79</v>
      </c>
      <c r="F8" s="175"/>
    </row>
    <row r="9" spans="1:6" ht="14.4">
      <c r="A9" s="174" t="s">
        <v>10</v>
      </c>
      <c r="B9" s="172">
        <v>40650</v>
      </c>
      <c r="C9" s="172" t="s">
        <v>193</v>
      </c>
      <c r="D9" s="179">
        <v>694.83999999999992</v>
      </c>
      <c r="E9" s="174" t="s">
        <v>79</v>
      </c>
      <c r="F9" s="175"/>
    </row>
    <row r="10" spans="1:6" ht="14.4">
      <c r="A10" s="174" t="s">
        <v>10</v>
      </c>
      <c r="B10" s="172">
        <v>43357</v>
      </c>
      <c r="C10" s="172" t="s">
        <v>194</v>
      </c>
      <c r="D10" s="179">
        <v>843.18000000000006</v>
      </c>
      <c r="E10" s="174" t="s">
        <v>79</v>
      </c>
      <c r="F10" s="175"/>
    </row>
    <row r="11" spans="1:6" ht="14.4">
      <c r="A11" s="174" t="s">
        <v>10</v>
      </c>
      <c r="B11" s="172">
        <v>13483</v>
      </c>
      <c r="C11" s="172" t="s">
        <v>210</v>
      </c>
      <c r="D11" s="179">
        <v>177.9</v>
      </c>
      <c r="E11" s="174" t="s">
        <v>79</v>
      </c>
      <c r="F11" s="175"/>
    </row>
    <row r="12" spans="1:6" ht="14.4">
      <c r="A12" s="174" t="s">
        <v>10</v>
      </c>
      <c r="B12" s="172">
        <v>44062</v>
      </c>
      <c r="C12" s="172" t="s">
        <v>203</v>
      </c>
      <c r="D12" s="179">
        <v>325.31</v>
      </c>
      <c r="E12" s="174" t="s">
        <v>79</v>
      </c>
      <c r="F12" s="175"/>
    </row>
    <row r="13" spans="1:6" ht="14.4">
      <c r="A13" s="174" t="s">
        <v>6</v>
      </c>
      <c r="B13" s="168">
        <v>18928</v>
      </c>
      <c r="C13" s="168" t="s">
        <v>214</v>
      </c>
      <c r="D13" s="179">
        <v>1453.3500000000001</v>
      </c>
      <c r="E13" s="174" t="s">
        <v>79</v>
      </c>
      <c r="F13" s="175"/>
    </row>
    <row r="14" spans="1:6" ht="14.4">
      <c r="A14" s="174" t="s">
        <v>6</v>
      </c>
      <c r="B14" s="168">
        <v>38768</v>
      </c>
      <c r="C14" s="168" t="s">
        <v>218</v>
      </c>
      <c r="D14" s="179">
        <v>639.08000000000004</v>
      </c>
      <c r="E14" s="174" t="s">
        <v>79</v>
      </c>
      <c r="F14" s="175"/>
    </row>
    <row r="15" spans="1:6" ht="14.4">
      <c r="A15" s="174" t="s">
        <v>6</v>
      </c>
      <c r="B15" s="168">
        <v>14601</v>
      </c>
      <c r="C15" s="168" t="s">
        <v>228</v>
      </c>
      <c r="D15" s="179">
        <v>1710.3200000000002</v>
      </c>
      <c r="E15" s="174" t="s">
        <v>79</v>
      </c>
      <c r="F15" s="175"/>
    </row>
    <row r="16" spans="1:6" ht="14.4">
      <c r="A16" s="174" t="s">
        <v>6</v>
      </c>
      <c r="B16" s="168">
        <v>16103</v>
      </c>
      <c r="C16" s="168" t="s">
        <v>233</v>
      </c>
      <c r="D16" s="179">
        <v>4199.7300000000005</v>
      </c>
      <c r="E16" s="174" t="s">
        <v>79</v>
      </c>
      <c r="F16" s="175"/>
    </row>
    <row r="17" spans="1:6" ht="14.4">
      <c r="A17" s="174" t="s">
        <v>6</v>
      </c>
      <c r="B17" s="168">
        <v>31596</v>
      </c>
      <c r="C17" s="168" t="s">
        <v>238</v>
      </c>
      <c r="D17" s="179">
        <v>2485</v>
      </c>
      <c r="E17" s="174" t="s">
        <v>79</v>
      </c>
      <c r="F17" s="175"/>
    </row>
    <row r="18" spans="1:6" ht="14.4">
      <c r="A18" s="174" t="s">
        <v>6</v>
      </c>
      <c r="B18" s="168">
        <v>20275</v>
      </c>
      <c r="C18" s="168" t="s">
        <v>242</v>
      </c>
      <c r="D18" s="179">
        <v>405.45000000000005</v>
      </c>
      <c r="E18" s="174" t="s">
        <v>79</v>
      </c>
      <c r="F18" s="175"/>
    </row>
    <row r="19" spans="1:6" ht="14.4">
      <c r="A19" s="174" t="s">
        <v>6</v>
      </c>
      <c r="B19" s="168">
        <v>39891</v>
      </c>
      <c r="C19" s="168" t="s">
        <v>247</v>
      </c>
      <c r="D19" s="179">
        <v>892.33</v>
      </c>
      <c r="E19" s="174" t="s">
        <v>79</v>
      </c>
      <c r="F19" s="175"/>
    </row>
    <row r="20" spans="1:6" ht="14.4">
      <c r="A20" s="174" t="s">
        <v>6</v>
      </c>
      <c r="B20" s="169">
        <v>40172</v>
      </c>
      <c r="C20" s="168" t="s">
        <v>252</v>
      </c>
      <c r="D20" s="179">
        <v>424.29999999999995</v>
      </c>
      <c r="E20" s="174" t="s">
        <v>79</v>
      </c>
      <c r="F20" s="175"/>
    </row>
    <row r="21" spans="1:6" ht="14.4">
      <c r="A21" s="174" t="s">
        <v>6</v>
      </c>
      <c r="B21" s="169">
        <v>39761</v>
      </c>
      <c r="C21" s="168" t="s">
        <v>256</v>
      </c>
      <c r="D21" s="179">
        <v>309.95</v>
      </c>
      <c r="E21" s="174" t="s">
        <v>79</v>
      </c>
      <c r="F21" s="175"/>
    </row>
    <row r="22" spans="1:6" ht="14.4">
      <c r="A22" s="174" t="s">
        <v>6</v>
      </c>
      <c r="B22" s="169">
        <v>2738</v>
      </c>
      <c r="C22" s="168" t="s">
        <v>261</v>
      </c>
      <c r="D22" s="179">
        <v>756.71</v>
      </c>
      <c r="E22" s="174" t="s">
        <v>79</v>
      </c>
      <c r="F22" s="175"/>
    </row>
    <row r="23" spans="1:6" ht="14.4">
      <c r="A23" s="174" t="s">
        <v>55</v>
      </c>
      <c r="B23" s="170">
        <v>36533</v>
      </c>
      <c r="C23" s="170" t="s">
        <v>215</v>
      </c>
      <c r="D23" s="180">
        <v>556.29999999999995</v>
      </c>
      <c r="E23" s="174" t="s">
        <v>79</v>
      </c>
      <c r="F23" s="175"/>
    </row>
    <row r="24" spans="1:6" ht="14.4">
      <c r="A24" s="174" t="s">
        <v>55</v>
      </c>
      <c r="B24" s="170">
        <v>28847</v>
      </c>
      <c r="C24" s="170" t="s">
        <v>219</v>
      </c>
      <c r="D24" s="180">
        <v>283.45999999999998</v>
      </c>
      <c r="E24" s="174" t="s">
        <v>79</v>
      </c>
      <c r="F24" s="175"/>
    </row>
    <row r="25" spans="1:6" ht="14.4">
      <c r="A25" s="174" t="s">
        <v>55</v>
      </c>
      <c r="B25" s="170">
        <v>42096</v>
      </c>
      <c r="C25" s="170" t="s">
        <v>224</v>
      </c>
      <c r="D25" s="180">
        <v>274.86</v>
      </c>
      <c r="E25" s="174" t="s">
        <v>79</v>
      </c>
      <c r="F25" s="175"/>
    </row>
    <row r="26" spans="1:6" ht="14.4">
      <c r="A26" s="174" t="s">
        <v>55</v>
      </c>
      <c r="B26" s="170">
        <v>40022</v>
      </c>
      <c r="C26" s="170" t="s">
        <v>229</v>
      </c>
      <c r="D26" s="180">
        <v>472.57</v>
      </c>
      <c r="E26" s="174" t="s">
        <v>79</v>
      </c>
      <c r="F26" s="175"/>
    </row>
    <row r="27" spans="1:6" ht="14.4">
      <c r="A27" s="174" t="s">
        <v>55</v>
      </c>
      <c r="B27" s="170">
        <v>44147</v>
      </c>
      <c r="C27" s="170" t="s">
        <v>234</v>
      </c>
      <c r="D27" s="180">
        <v>792.59999999999991</v>
      </c>
      <c r="E27" s="174" t="s">
        <v>79</v>
      </c>
      <c r="F27" s="175"/>
    </row>
    <row r="28" spans="1:6" ht="14.4">
      <c r="A28" s="174" t="s">
        <v>55</v>
      </c>
      <c r="B28" s="170">
        <v>39060</v>
      </c>
      <c r="C28" s="170" t="s">
        <v>239</v>
      </c>
      <c r="D28" s="180">
        <v>419.28</v>
      </c>
      <c r="E28" s="174" t="s">
        <v>79</v>
      </c>
      <c r="F28" s="175"/>
    </row>
    <row r="29" spans="1:6" ht="14.4">
      <c r="A29" s="174" t="s">
        <v>55</v>
      </c>
      <c r="B29" s="170">
        <v>28765</v>
      </c>
      <c r="C29" s="170" t="s">
        <v>243</v>
      </c>
      <c r="D29" s="180">
        <v>175.84219999999999</v>
      </c>
      <c r="E29" s="174" t="s">
        <v>79</v>
      </c>
      <c r="F29" s="175"/>
    </row>
    <row r="30" spans="1:6" ht="14.4">
      <c r="A30" s="174" t="s">
        <v>55</v>
      </c>
      <c r="B30" s="170">
        <v>40926</v>
      </c>
      <c r="C30" s="170" t="s">
        <v>248</v>
      </c>
      <c r="D30" s="180">
        <v>885.55</v>
      </c>
      <c r="E30" s="174" t="s">
        <v>79</v>
      </c>
      <c r="F30" s="175"/>
    </row>
    <row r="31" spans="1:6" ht="14.4">
      <c r="A31" s="174" t="s">
        <v>55</v>
      </c>
      <c r="B31" s="170">
        <v>42963</v>
      </c>
      <c r="C31" s="170" t="s">
        <v>253</v>
      </c>
      <c r="D31" s="180">
        <v>231.22</v>
      </c>
      <c r="E31" s="174" t="s">
        <v>79</v>
      </c>
      <c r="F31" s="175"/>
    </row>
    <row r="32" spans="1:6" ht="14.4">
      <c r="A32" s="174" t="s">
        <v>55</v>
      </c>
      <c r="B32" s="170">
        <v>37910</v>
      </c>
      <c r="C32" s="170" t="s">
        <v>257</v>
      </c>
      <c r="D32" s="180">
        <v>170.38</v>
      </c>
      <c r="E32" s="174" t="s">
        <v>79</v>
      </c>
      <c r="F32" s="175"/>
    </row>
    <row r="33" spans="1:6" ht="14.4">
      <c r="A33" s="174" t="s">
        <v>55</v>
      </c>
      <c r="B33" s="170">
        <v>34545</v>
      </c>
      <c r="C33" s="170" t="s">
        <v>262</v>
      </c>
      <c r="D33" s="180">
        <v>247.60999999999999</v>
      </c>
      <c r="E33" s="174" t="s">
        <v>79</v>
      </c>
      <c r="F33" s="175"/>
    </row>
    <row r="34" spans="1:6" ht="14.4">
      <c r="A34" s="174" t="s">
        <v>55</v>
      </c>
      <c r="B34" s="170">
        <v>44138</v>
      </c>
      <c r="C34" s="170" t="s">
        <v>266</v>
      </c>
      <c r="D34" s="180">
        <v>158.69</v>
      </c>
      <c r="E34" s="174" t="s">
        <v>79</v>
      </c>
      <c r="F34" s="175"/>
    </row>
    <row r="35" spans="1:6" ht="14.4">
      <c r="A35" s="174" t="s">
        <v>55</v>
      </c>
      <c r="B35" s="170">
        <v>28819</v>
      </c>
      <c r="C35" s="170" t="s">
        <v>271</v>
      </c>
      <c r="D35" s="180">
        <v>748.83</v>
      </c>
      <c r="E35" s="174" t="s">
        <v>79</v>
      </c>
      <c r="F35" s="175"/>
    </row>
    <row r="36" spans="1:6" ht="14.4">
      <c r="A36" s="174" t="s">
        <v>55</v>
      </c>
      <c r="B36" s="170">
        <v>44049</v>
      </c>
      <c r="C36" s="170" t="s">
        <v>275</v>
      </c>
      <c r="D36" s="180">
        <v>317.54529500000001</v>
      </c>
      <c r="E36" s="174" t="s">
        <v>79</v>
      </c>
      <c r="F36" s="175"/>
    </row>
    <row r="37" spans="1:6" ht="14.4">
      <c r="A37" s="174" t="s">
        <v>55</v>
      </c>
      <c r="B37" s="170">
        <v>37577</v>
      </c>
      <c r="C37" s="170" t="s">
        <v>280</v>
      </c>
      <c r="D37" s="180">
        <v>537.43999599999995</v>
      </c>
      <c r="E37" s="174" t="s">
        <v>79</v>
      </c>
      <c r="F37" s="175"/>
    </row>
    <row r="38" spans="1:6" ht="14.4">
      <c r="A38" s="174" t="s">
        <v>55</v>
      </c>
      <c r="B38" s="170">
        <v>42647</v>
      </c>
      <c r="C38" s="170" t="s">
        <v>289</v>
      </c>
      <c r="D38" s="180">
        <v>1372.1899999999998</v>
      </c>
      <c r="E38" s="174" t="s">
        <v>79</v>
      </c>
      <c r="F38" s="175"/>
    </row>
    <row r="39" spans="1:6" ht="14.4">
      <c r="A39" s="174" t="s">
        <v>55</v>
      </c>
      <c r="B39" s="170">
        <v>39622</v>
      </c>
      <c r="C39" s="170" t="s">
        <v>293</v>
      </c>
      <c r="D39" s="180">
        <v>537.65</v>
      </c>
      <c r="E39" s="174" t="s">
        <v>79</v>
      </c>
      <c r="F39" s="175"/>
    </row>
    <row r="40" spans="1:6" ht="14.4">
      <c r="A40" s="174" t="s">
        <v>55</v>
      </c>
      <c r="B40" s="170">
        <v>42629</v>
      </c>
      <c r="C40" s="170" t="s">
        <v>297</v>
      </c>
      <c r="D40" s="180">
        <v>259.58</v>
      </c>
      <c r="E40" s="174" t="s">
        <v>79</v>
      </c>
      <c r="F40" s="175"/>
    </row>
    <row r="41" spans="1:6" ht="14.4">
      <c r="A41" s="174" t="s">
        <v>55</v>
      </c>
      <c r="B41" s="170">
        <v>38600</v>
      </c>
      <c r="C41" s="170" t="s">
        <v>301</v>
      </c>
      <c r="D41" s="180">
        <v>228.36</v>
      </c>
      <c r="E41" s="174" t="s">
        <v>79</v>
      </c>
      <c r="F41" s="175"/>
    </row>
    <row r="42" spans="1:6" ht="14.4">
      <c r="A42" s="174" t="s">
        <v>7</v>
      </c>
      <c r="B42" s="168">
        <v>43494</v>
      </c>
      <c r="C42" s="168" t="s">
        <v>220</v>
      </c>
      <c r="D42" s="179">
        <v>167.45999999999998</v>
      </c>
      <c r="E42" s="174" t="s">
        <v>79</v>
      </c>
      <c r="F42" s="175"/>
    </row>
    <row r="43" spans="1:6" ht="14.4">
      <c r="A43" s="174" t="s">
        <v>7</v>
      </c>
      <c r="B43" s="168">
        <v>12978</v>
      </c>
      <c r="C43" s="168" t="s">
        <v>225</v>
      </c>
      <c r="D43" s="179">
        <v>977.3900000000001</v>
      </c>
      <c r="E43" s="174" t="s">
        <v>79</v>
      </c>
      <c r="F43" s="175"/>
    </row>
    <row r="44" spans="1:6" ht="14.4">
      <c r="A44" s="174" t="s">
        <v>56</v>
      </c>
      <c r="B44" s="170">
        <v>40237</v>
      </c>
      <c r="C44" s="170" t="s">
        <v>221</v>
      </c>
      <c r="D44" s="180">
        <v>784.45</v>
      </c>
      <c r="E44" s="174" t="s">
        <v>79</v>
      </c>
      <c r="F44" s="175"/>
    </row>
    <row r="45" spans="1:6" ht="14.4">
      <c r="A45" s="174" t="s">
        <v>56</v>
      </c>
      <c r="B45" s="170">
        <v>43855</v>
      </c>
      <c r="C45" s="170" t="s">
        <v>231</v>
      </c>
      <c r="D45" s="180">
        <v>908.8</v>
      </c>
      <c r="E45" s="174" t="s">
        <v>79</v>
      </c>
      <c r="F45" s="175"/>
    </row>
    <row r="46" spans="1:6" ht="14.4">
      <c r="A46" s="174" t="s">
        <v>56</v>
      </c>
      <c r="B46" s="170">
        <v>41142</v>
      </c>
      <c r="C46" s="170" t="s">
        <v>236</v>
      </c>
      <c r="D46" s="180">
        <v>291.34999999999997</v>
      </c>
      <c r="E46" s="174" t="s">
        <v>79</v>
      </c>
      <c r="F46" s="175"/>
    </row>
    <row r="47" spans="1:6" ht="14.4">
      <c r="A47" s="174" t="s">
        <v>56</v>
      </c>
      <c r="B47" s="170">
        <v>43286</v>
      </c>
      <c r="C47" s="170" t="s">
        <v>240</v>
      </c>
      <c r="D47" s="180">
        <v>1737.96</v>
      </c>
      <c r="E47" s="174" t="s">
        <v>79</v>
      </c>
      <c r="F47" s="175"/>
    </row>
    <row r="48" spans="1:6" ht="14.4">
      <c r="A48" s="174" t="s">
        <v>56</v>
      </c>
      <c r="B48" s="170">
        <v>35902</v>
      </c>
      <c r="C48" s="170" t="s">
        <v>245</v>
      </c>
      <c r="D48" s="180">
        <v>509.02</v>
      </c>
      <c r="E48" s="174" t="s">
        <v>79</v>
      </c>
      <c r="F48" s="175"/>
    </row>
    <row r="49" spans="1:6" ht="14.4">
      <c r="A49" s="174" t="s">
        <v>56</v>
      </c>
      <c r="B49" s="170">
        <v>41418</v>
      </c>
      <c r="C49" s="170" t="s">
        <v>250</v>
      </c>
      <c r="D49" s="180">
        <v>1130.1999999999998</v>
      </c>
      <c r="E49" s="174" t="s">
        <v>79</v>
      </c>
      <c r="F49" s="175"/>
    </row>
    <row r="50" spans="1:6" ht="14.4">
      <c r="A50" s="174" t="s">
        <v>56</v>
      </c>
      <c r="B50" s="170">
        <v>18415</v>
      </c>
      <c r="C50" s="170" t="s">
        <v>259</v>
      </c>
      <c r="D50" s="180">
        <v>183.75</v>
      </c>
      <c r="E50" s="174" t="s">
        <v>79</v>
      </c>
      <c r="F50" s="175"/>
    </row>
    <row r="51" spans="1:6" ht="14.4">
      <c r="A51" s="174" t="s">
        <v>56</v>
      </c>
      <c r="B51" s="170">
        <v>44270</v>
      </c>
      <c r="C51" s="170" t="s">
        <v>264</v>
      </c>
      <c r="D51" s="180">
        <v>857.62999999999988</v>
      </c>
      <c r="E51" s="174" t="s">
        <v>79</v>
      </c>
      <c r="F51" s="175"/>
    </row>
    <row r="52" spans="1:6" ht="14.4">
      <c r="A52" s="174" t="s">
        <v>56</v>
      </c>
      <c r="B52" s="170">
        <v>44093</v>
      </c>
      <c r="C52" s="170" t="s">
        <v>268</v>
      </c>
      <c r="D52" s="180">
        <v>17371.710000000003</v>
      </c>
      <c r="E52" s="174" t="s">
        <v>79</v>
      </c>
      <c r="F52" s="175"/>
    </row>
    <row r="53" spans="1:6" ht="14.4">
      <c r="A53" s="174" t="s">
        <v>56</v>
      </c>
      <c r="B53" s="170">
        <v>44345</v>
      </c>
      <c r="C53" s="170" t="s">
        <v>273</v>
      </c>
      <c r="D53" s="180">
        <v>910.91</v>
      </c>
      <c r="E53" s="174" t="s">
        <v>79</v>
      </c>
      <c r="F53" s="175"/>
    </row>
    <row r="54" spans="1:6" ht="14.4">
      <c r="A54" s="174" t="s">
        <v>56</v>
      </c>
      <c r="B54" s="170">
        <v>32009</v>
      </c>
      <c r="C54" s="170" t="s">
        <v>277</v>
      </c>
      <c r="D54" s="180">
        <v>1039.3599999999999</v>
      </c>
      <c r="E54" s="174" t="s">
        <v>79</v>
      </c>
      <c r="F54" s="175"/>
    </row>
    <row r="55" spans="1:6" ht="14.4">
      <c r="A55" s="174" t="s">
        <v>56</v>
      </c>
      <c r="B55" s="170">
        <v>41058</v>
      </c>
      <c r="C55" s="170" t="s">
        <v>282</v>
      </c>
      <c r="D55" s="180">
        <v>195.95</v>
      </c>
      <c r="E55" s="174" t="s">
        <v>79</v>
      </c>
      <c r="F55" s="175"/>
    </row>
    <row r="56" spans="1:6" ht="14.4">
      <c r="A56" s="174" t="s">
        <v>56</v>
      </c>
      <c r="B56" s="170">
        <v>40984</v>
      </c>
      <c r="C56" s="170" t="s">
        <v>286</v>
      </c>
      <c r="D56" s="180">
        <v>270.64999999999998</v>
      </c>
      <c r="E56" s="174" t="s">
        <v>79</v>
      </c>
      <c r="F56" s="175"/>
    </row>
    <row r="57" spans="1:6" ht="14.4">
      <c r="A57" s="174" t="s">
        <v>10</v>
      </c>
      <c r="B57" s="172">
        <v>19384</v>
      </c>
      <c r="C57" s="172" t="s">
        <v>216</v>
      </c>
      <c r="D57" s="179">
        <v>505.89</v>
      </c>
      <c r="E57" s="174" t="s">
        <v>79</v>
      </c>
      <c r="F57" s="175"/>
    </row>
    <row r="58" spans="1:6" ht="14.4">
      <c r="A58" s="174" t="s">
        <v>10</v>
      </c>
      <c r="B58" s="172">
        <v>20828</v>
      </c>
      <c r="C58" s="172" t="s">
        <v>222</v>
      </c>
      <c r="D58" s="179">
        <v>3904.49</v>
      </c>
      <c r="E58" s="174" t="s">
        <v>79</v>
      </c>
      <c r="F58" s="175"/>
    </row>
    <row r="59" spans="1:6" ht="14.4">
      <c r="A59" s="174" t="s">
        <v>10</v>
      </c>
      <c r="B59" s="172">
        <v>22815</v>
      </c>
      <c r="C59" s="172" t="s">
        <v>226</v>
      </c>
      <c r="D59" s="179">
        <v>334</v>
      </c>
      <c r="E59" s="174" t="s">
        <v>79</v>
      </c>
      <c r="F59" s="175"/>
    </row>
    <row r="60" spans="1:6" ht="14.4">
      <c r="A60" s="174" t="s">
        <v>10</v>
      </c>
      <c r="B60" s="172">
        <v>31798</v>
      </c>
      <c r="C60" s="172" t="s">
        <v>232</v>
      </c>
      <c r="D60" s="179">
        <v>1628.3500000000001</v>
      </c>
      <c r="E60" s="174" t="s">
        <v>79</v>
      </c>
      <c r="F60" s="175"/>
    </row>
    <row r="61" spans="1:6" ht="14.4">
      <c r="A61" s="174" t="s">
        <v>10</v>
      </c>
      <c r="B61" s="172">
        <v>31563</v>
      </c>
      <c r="C61" s="172" t="s">
        <v>237</v>
      </c>
      <c r="D61" s="179">
        <v>471.28</v>
      </c>
      <c r="E61" s="174" t="s">
        <v>79</v>
      </c>
      <c r="F61" s="175"/>
    </row>
    <row r="62" spans="1:6" ht="14.4">
      <c r="A62" s="174" t="s">
        <v>10</v>
      </c>
      <c r="B62" s="172">
        <v>42602</v>
      </c>
      <c r="C62" s="172" t="s">
        <v>241</v>
      </c>
      <c r="D62" s="179">
        <v>267.45</v>
      </c>
      <c r="E62" s="174" t="s">
        <v>79</v>
      </c>
      <c r="F62" s="175"/>
    </row>
    <row r="63" spans="1:6" ht="14.4">
      <c r="A63" s="174" t="s">
        <v>10</v>
      </c>
      <c r="B63" s="172">
        <v>39205</v>
      </c>
      <c r="C63" s="172" t="s">
        <v>246</v>
      </c>
      <c r="D63" s="179">
        <v>748.49</v>
      </c>
      <c r="E63" s="174" t="s">
        <v>79</v>
      </c>
      <c r="F63" s="175"/>
    </row>
    <row r="64" spans="1:6" ht="14.4">
      <c r="A64" s="174" t="s">
        <v>10</v>
      </c>
      <c r="B64" s="172">
        <v>29964</v>
      </c>
      <c r="C64" s="172" t="s">
        <v>251</v>
      </c>
      <c r="D64" s="179">
        <v>622.4</v>
      </c>
      <c r="E64" s="174" t="s">
        <v>79</v>
      </c>
      <c r="F64" s="175"/>
    </row>
    <row r="65" spans="1:6" ht="14.4">
      <c r="A65" s="174" t="s">
        <v>10</v>
      </c>
      <c r="B65" s="172">
        <v>35076</v>
      </c>
      <c r="C65" s="172" t="s">
        <v>255</v>
      </c>
      <c r="D65" s="179">
        <v>402.1</v>
      </c>
      <c r="E65" s="174" t="s">
        <v>79</v>
      </c>
      <c r="F65" s="175"/>
    </row>
    <row r="66" spans="1:6" ht="14.4">
      <c r="A66" s="174" t="s">
        <v>10</v>
      </c>
      <c r="B66" s="172">
        <v>36972</v>
      </c>
      <c r="C66" s="172" t="s">
        <v>260</v>
      </c>
      <c r="D66" s="179">
        <v>2113.44</v>
      </c>
      <c r="E66" s="174" t="s">
        <v>79</v>
      </c>
      <c r="F66" s="175"/>
    </row>
    <row r="67" spans="1:6" ht="14.4">
      <c r="A67" s="174" t="s">
        <v>10</v>
      </c>
      <c r="B67" s="172">
        <v>41852</v>
      </c>
      <c r="C67" s="172" t="s">
        <v>269</v>
      </c>
      <c r="D67" s="179">
        <v>542.57000000000005</v>
      </c>
      <c r="E67" s="174" t="s">
        <v>79</v>
      </c>
      <c r="F67" s="175"/>
    </row>
    <row r="68" spans="1:6" ht="14.4">
      <c r="A68" s="174" t="s">
        <v>10</v>
      </c>
      <c r="B68" s="172">
        <v>41862</v>
      </c>
      <c r="C68" s="172" t="s">
        <v>278</v>
      </c>
      <c r="D68" s="179">
        <v>385.39</v>
      </c>
      <c r="E68" s="174" t="s">
        <v>79</v>
      </c>
      <c r="F68" s="175"/>
    </row>
    <row r="69" spans="1:6" ht="14.4">
      <c r="A69" s="174" t="s">
        <v>10</v>
      </c>
      <c r="B69" s="172">
        <v>41235</v>
      </c>
      <c r="C69" s="172" t="s">
        <v>283</v>
      </c>
      <c r="D69" s="179">
        <v>1582.7800000000002</v>
      </c>
      <c r="E69" s="174" t="s">
        <v>79</v>
      </c>
      <c r="F69" s="175"/>
    </row>
    <row r="70" spans="1:6" ht="14.4">
      <c r="A70" s="174" t="s">
        <v>10</v>
      </c>
      <c r="B70" s="168">
        <v>27813</v>
      </c>
      <c r="C70" s="172" t="s">
        <v>287</v>
      </c>
      <c r="D70" s="179">
        <v>20887.939999999999</v>
      </c>
      <c r="E70" s="174" t="s">
        <v>79</v>
      </c>
      <c r="F70" s="175"/>
    </row>
    <row r="71" spans="1:6" ht="14.4">
      <c r="A71" s="174" t="s">
        <v>10</v>
      </c>
      <c r="B71" s="172">
        <v>10095</v>
      </c>
      <c r="C71" s="172" t="s">
        <v>291</v>
      </c>
      <c r="D71" s="179">
        <v>789</v>
      </c>
      <c r="E71" s="174" t="s">
        <v>79</v>
      </c>
      <c r="F71" s="175"/>
    </row>
    <row r="72" spans="1:6" ht="14.4">
      <c r="A72" s="174" t="s">
        <v>10</v>
      </c>
      <c r="B72" s="172">
        <v>32981</v>
      </c>
      <c r="C72" s="172" t="s">
        <v>304</v>
      </c>
      <c r="D72" s="179">
        <v>1346.9</v>
      </c>
      <c r="E72" s="174" t="s">
        <v>79</v>
      </c>
      <c r="F72" s="175"/>
    </row>
    <row r="73" spans="1:6" ht="14.4">
      <c r="A73" s="174" t="s">
        <v>10</v>
      </c>
      <c r="B73" s="172">
        <v>28492</v>
      </c>
      <c r="C73" s="172" t="s">
        <v>308</v>
      </c>
      <c r="D73" s="179">
        <v>1225.19</v>
      </c>
      <c r="E73" s="174" t="s">
        <v>79</v>
      </c>
      <c r="F73" s="175"/>
    </row>
    <row r="74" spans="1:6" ht="14.4">
      <c r="A74" s="174" t="s">
        <v>10</v>
      </c>
      <c r="B74" s="172">
        <v>30067</v>
      </c>
      <c r="C74" s="172" t="s">
        <v>310</v>
      </c>
      <c r="D74" s="179">
        <v>473.58000000000004</v>
      </c>
      <c r="E74" s="174" t="s">
        <v>79</v>
      </c>
      <c r="F74" s="175"/>
    </row>
    <row r="75" spans="1:6" ht="14.4">
      <c r="A75" s="174" t="s">
        <v>6</v>
      </c>
      <c r="B75" s="168">
        <v>29748</v>
      </c>
      <c r="C75" s="168" t="s">
        <v>147</v>
      </c>
      <c r="D75" s="179">
        <v>662.71</v>
      </c>
      <c r="E75" s="174" t="s">
        <v>81</v>
      </c>
      <c r="F75" s="175"/>
    </row>
    <row r="76" spans="1:6" ht="14.4">
      <c r="A76" s="174" t="s">
        <v>7</v>
      </c>
      <c r="B76" s="169">
        <v>44200</v>
      </c>
      <c r="C76" s="168" t="s">
        <v>127</v>
      </c>
      <c r="D76" s="179">
        <v>0</v>
      </c>
      <c r="E76" s="174" t="s">
        <v>81</v>
      </c>
      <c r="F76" s="175"/>
    </row>
    <row r="77" spans="1:6" ht="14.4">
      <c r="A77" s="174" t="s">
        <v>7</v>
      </c>
      <c r="B77" s="169">
        <v>25853</v>
      </c>
      <c r="C77" s="168" t="s">
        <v>141</v>
      </c>
      <c r="D77" s="179">
        <v>0</v>
      </c>
      <c r="E77" s="174" t="s">
        <v>81</v>
      </c>
      <c r="F77" s="175"/>
    </row>
    <row r="78" spans="1:6" ht="14.4">
      <c r="A78" s="174" t="s">
        <v>56</v>
      </c>
      <c r="B78" s="170">
        <v>601</v>
      </c>
      <c r="C78" s="170" t="s">
        <v>173</v>
      </c>
      <c r="D78" s="180">
        <v>0</v>
      </c>
      <c r="E78" s="174" t="s">
        <v>81</v>
      </c>
      <c r="F78" s="175"/>
    </row>
    <row r="79" spans="1:6" ht="14.4">
      <c r="A79" s="174" t="s">
        <v>56</v>
      </c>
      <c r="B79" s="170">
        <v>38903</v>
      </c>
      <c r="C79" s="170" t="s">
        <v>180</v>
      </c>
      <c r="D79" s="180">
        <v>0</v>
      </c>
      <c r="E79" s="174" t="s">
        <v>81</v>
      </c>
      <c r="F79" s="175"/>
    </row>
    <row r="80" spans="1:6" ht="14.4">
      <c r="A80" s="174" t="s">
        <v>56</v>
      </c>
      <c r="B80" s="170">
        <v>41617</v>
      </c>
      <c r="C80" s="170" t="s">
        <v>187</v>
      </c>
      <c r="D80" s="180">
        <v>0</v>
      </c>
      <c r="E80" s="174" t="s">
        <v>81</v>
      </c>
      <c r="F80" s="175"/>
    </row>
    <row r="81" spans="1:6" ht="14.4">
      <c r="A81" s="174" t="s">
        <v>56</v>
      </c>
      <c r="B81" s="170">
        <v>41105</v>
      </c>
      <c r="C81" s="170" t="s">
        <v>190</v>
      </c>
      <c r="D81" s="180">
        <v>0</v>
      </c>
      <c r="E81" s="174" t="s">
        <v>81</v>
      </c>
      <c r="F81" s="175"/>
    </row>
    <row r="82" spans="1:6" ht="14.4">
      <c r="A82" s="174" t="s">
        <v>10</v>
      </c>
      <c r="B82" s="168">
        <v>40650</v>
      </c>
      <c r="C82" s="172" t="s">
        <v>193</v>
      </c>
      <c r="D82" s="179">
        <v>343.01</v>
      </c>
      <c r="E82" s="174" t="s">
        <v>81</v>
      </c>
      <c r="F82" s="175"/>
    </row>
    <row r="83" spans="1:6" ht="14.4">
      <c r="A83" s="174" t="s">
        <v>10</v>
      </c>
      <c r="B83" s="168">
        <v>43357</v>
      </c>
      <c r="C83" s="172" t="s">
        <v>194</v>
      </c>
      <c r="D83" s="179">
        <v>441.99</v>
      </c>
      <c r="E83" s="174" t="s">
        <v>81</v>
      </c>
      <c r="F83" s="175"/>
    </row>
    <row r="84" spans="1:6" ht="14.4">
      <c r="A84" s="174" t="s">
        <v>10</v>
      </c>
      <c r="B84" s="168">
        <v>44062</v>
      </c>
      <c r="C84" s="172" t="s">
        <v>203</v>
      </c>
      <c r="D84" s="179">
        <v>0</v>
      </c>
      <c r="E84" s="174" t="s">
        <v>81</v>
      </c>
      <c r="F84" s="175"/>
    </row>
    <row r="85" spans="1:6" ht="14.4">
      <c r="A85" s="174" t="s">
        <v>10</v>
      </c>
      <c r="B85" s="168">
        <v>13483</v>
      </c>
      <c r="C85" s="172" t="s">
        <v>210</v>
      </c>
      <c r="D85" s="179">
        <v>0</v>
      </c>
      <c r="E85" s="174" t="s">
        <v>81</v>
      </c>
      <c r="F85" s="175"/>
    </row>
    <row r="86" spans="1:6" ht="14.4">
      <c r="A86" s="174" t="s">
        <v>8</v>
      </c>
      <c r="B86" s="170">
        <v>27148</v>
      </c>
      <c r="C86" s="170" t="s">
        <v>164</v>
      </c>
      <c r="D86" s="180">
        <v>0</v>
      </c>
      <c r="E86" s="174" t="s">
        <v>81</v>
      </c>
      <c r="F86" s="175"/>
    </row>
    <row r="87" spans="1:6" ht="14.4">
      <c r="A87" s="174" t="s">
        <v>6</v>
      </c>
      <c r="B87" s="168">
        <v>39905</v>
      </c>
      <c r="C87" s="168" t="s">
        <v>143</v>
      </c>
      <c r="D87" s="179">
        <v>395.94</v>
      </c>
      <c r="E87" s="174" t="s">
        <v>81</v>
      </c>
      <c r="F87" s="175"/>
    </row>
    <row r="88" spans="1:6" ht="14.4">
      <c r="A88" s="174" t="s">
        <v>6</v>
      </c>
      <c r="B88" s="168">
        <v>35214</v>
      </c>
      <c r="C88" s="168" t="s">
        <v>144</v>
      </c>
      <c r="D88" s="179">
        <v>536.37</v>
      </c>
      <c r="E88" s="174" t="s">
        <v>81</v>
      </c>
      <c r="F88" s="175"/>
    </row>
    <row r="89" spans="1:6" ht="14.4">
      <c r="A89" s="174" t="s">
        <v>6</v>
      </c>
      <c r="B89" s="168">
        <v>26900</v>
      </c>
      <c r="C89" s="168" t="s">
        <v>145</v>
      </c>
      <c r="D89" s="179">
        <v>450.41999999999996</v>
      </c>
      <c r="E89" s="174" t="s">
        <v>81</v>
      </c>
      <c r="F89" s="175"/>
    </row>
    <row r="90" spans="1:6" ht="14.4">
      <c r="A90" s="174" t="s">
        <v>6</v>
      </c>
      <c r="B90" s="168">
        <v>25286</v>
      </c>
      <c r="C90" s="168" t="s">
        <v>146</v>
      </c>
      <c r="D90" s="179">
        <v>437.5</v>
      </c>
      <c r="E90" s="174" t="s">
        <v>81</v>
      </c>
      <c r="F90" s="175"/>
    </row>
    <row r="91" spans="1:6" ht="14.4">
      <c r="A91" s="174" t="s">
        <v>6</v>
      </c>
      <c r="B91" s="168">
        <v>41967</v>
      </c>
      <c r="C91" s="168" t="s">
        <v>148</v>
      </c>
      <c r="D91" s="179">
        <v>177.86</v>
      </c>
      <c r="E91" s="174" t="s">
        <v>81</v>
      </c>
      <c r="F91" s="175"/>
    </row>
    <row r="92" spans="1:6" ht="14.4">
      <c r="A92" s="174" t="s">
        <v>6</v>
      </c>
      <c r="B92" s="168">
        <v>40914</v>
      </c>
      <c r="C92" s="168" t="s">
        <v>149</v>
      </c>
      <c r="D92" s="179">
        <v>0</v>
      </c>
      <c r="E92" s="174" t="s">
        <v>81</v>
      </c>
      <c r="F92" s="175"/>
    </row>
    <row r="93" spans="1:6" ht="14.4">
      <c r="A93" s="174" t="s">
        <v>6</v>
      </c>
      <c r="B93" s="168">
        <v>44581</v>
      </c>
      <c r="C93" s="168" t="s">
        <v>150</v>
      </c>
      <c r="D93" s="179">
        <v>0</v>
      </c>
      <c r="E93" s="174" t="s">
        <v>81</v>
      </c>
      <c r="F93" s="175"/>
    </row>
    <row r="94" spans="1:6" ht="14.4">
      <c r="A94" s="174" t="s">
        <v>6</v>
      </c>
      <c r="B94" s="168">
        <v>43131</v>
      </c>
      <c r="C94" s="168" t="s">
        <v>151</v>
      </c>
      <c r="D94" s="179">
        <v>0</v>
      </c>
      <c r="E94" s="174" t="s">
        <v>81</v>
      </c>
      <c r="F94" s="175"/>
    </row>
    <row r="95" spans="1:6" ht="14.4">
      <c r="A95" s="174" t="s">
        <v>6</v>
      </c>
      <c r="B95" s="168">
        <v>27411</v>
      </c>
      <c r="C95" s="168" t="s">
        <v>152</v>
      </c>
      <c r="D95" s="179">
        <v>0</v>
      </c>
      <c r="E95" s="174" t="s">
        <v>81</v>
      </c>
      <c r="F95" s="175"/>
    </row>
    <row r="96" spans="1:6" ht="14.4">
      <c r="A96" s="174" t="s">
        <v>6</v>
      </c>
      <c r="B96" s="168">
        <v>36248</v>
      </c>
      <c r="C96" s="168" t="s">
        <v>153</v>
      </c>
      <c r="D96" s="179">
        <v>0</v>
      </c>
      <c r="E96" s="174" t="s">
        <v>81</v>
      </c>
      <c r="F96" s="175"/>
    </row>
    <row r="97" spans="1:6" ht="14.4">
      <c r="A97" s="174" t="s">
        <v>6</v>
      </c>
      <c r="B97" s="168">
        <v>2425</v>
      </c>
      <c r="C97" s="168" t="s">
        <v>154</v>
      </c>
      <c r="D97" s="179">
        <v>0</v>
      </c>
      <c r="E97" s="174" t="s">
        <v>81</v>
      </c>
      <c r="F97" s="175"/>
    </row>
    <row r="98" spans="1:6" ht="14.4">
      <c r="A98" s="174" t="s">
        <v>6</v>
      </c>
      <c r="B98" s="169">
        <v>24254</v>
      </c>
      <c r="C98" s="168" t="s">
        <v>155</v>
      </c>
      <c r="D98" s="179">
        <v>0</v>
      </c>
      <c r="E98" s="174" t="s">
        <v>81</v>
      </c>
      <c r="F98" s="175"/>
    </row>
    <row r="99" spans="1:6" ht="14.4">
      <c r="A99" s="174" t="s">
        <v>6</v>
      </c>
      <c r="B99" s="168">
        <v>42652</v>
      </c>
      <c r="C99" s="168" t="s">
        <v>156</v>
      </c>
      <c r="D99" s="179">
        <v>0</v>
      </c>
      <c r="E99" s="174" t="s">
        <v>81</v>
      </c>
      <c r="F99" s="175"/>
    </row>
    <row r="100" spans="1:6" ht="14.4">
      <c r="A100" s="174" t="s">
        <v>6</v>
      </c>
      <c r="B100" s="168">
        <v>30292</v>
      </c>
      <c r="C100" s="168" t="s">
        <v>157</v>
      </c>
      <c r="D100" s="179">
        <v>0</v>
      </c>
      <c r="E100" s="174" t="s">
        <v>81</v>
      </c>
      <c r="F100" s="175"/>
    </row>
    <row r="101" spans="1:6" ht="14.4">
      <c r="A101" s="174" t="s">
        <v>6</v>
      </c>
      <c r="B101" s="168">
        <v>39127</v>
      </c>
      <c r="C101" s="168" t="s">
        <v>158</v>
      </c>
      <c r="D101" s="179">
        <v>0</v>
      </c>
      <c r="E101" s="174" t="s">
        <v>81</v>
      </c>
      <c r="F101" s="175"/>
    </row>
    <row r="102" spans="1:6" ht="14.4">
      <c r="A102" s="174" t="s">
        <v>7</v>
      </c>
      <c r="B102" s="168">
        <v>23621</v>
      </c>
      <c r="C102" s="168" t="s">
        <v>120</v>
      </c>
      <c r="D102" s="179">
        <v>273.19</v>
      </c>
      <c r="E102" s="174" t="s">
        <v>81</v>
      </c>
      <c r="F102" s="175"/>
    </row>
    <row r="103" spans="1:6" ht="14.4">
      <c r="A103" s="174" t="s">
        <v>7</v>
      </c>
      <c r="B103" s="168">
        <v>44106</v>
      </c>
      <c r="C103" s="168" t="s">
        <v>121</v>
      </c>
      <c r="D103" s="179">
        <v>588.66000000000008</v>
      </c>
      <c r="E103" s="174" t="s">
        <v>81</v>
      </c>
      <c r="F103" s="175"/>
    </row>
    <row r="104" spans="1:6" ht="14.4">
      <c r="A104" s="174" t="s">
        <v>7</v>
      </c>
      <c r="B104" s="168">
        <v>44364</v>
      </c>
      <c r="C104" s="168" t="s">
        <v>122</v>
      </c>
      <c r="D104" s="179">
        <v>670.49</v>
      </c>
      <c r="E104" s="174" t="s">
        <v>81</v>
      </c>
      <c r="F104" s="175"/>
    </row>
    <row r="105" spans="1:6" ht="14.4">
      <c r="A105" s="174" t="s">
        <v>7</v>
      </c>
      <c r="B105" s="169">
        <v>29622</v>
      </c>
      <c r="C105" s="168" t="s">
        <v>123</v>
      </c>
      <c r="D105" s="179">
        <v>415.4</v>
      </c>
      <c r="E105" s="174" t="s">
        <v>81</v>
      </c>
      <c r="F105" s="175"/>
    </row>
    <row r="106" spans="1:6" ht="14.4">
      <c r="A106" s="174" t="s">
        <v>7</v>
      </c>
      <c r="B106" s="169">
        <v>40214</v>
      </c>
      <c r="C106" s="168" t="s">
        <v>124</v>
      </c>
      <c r="D106" s="179">
        <v>0</v>
      </c>
      <c r="E106" s="174" t="s">
        <v>81</v>
      </c>
      <c r="F106" s="175"/>
    </row>
    <row r="107" spans="1:6" ht="14.4">
      <c r="A107" s="174" t="s">
        <v>7</v>
      </c>
      <c r="B107" s="168">
        <v>16902</v>
      </c>
      <c r="C107" s="168" t="s">
        <v>125</v>
      </c>
      <c r="D107" s="179">
        <v>0</v>
      </c>
      <c r="E107" s="174" t="s">
        <v>81</v>
      </c>
      <c r="F107" s="175"/>
    </row>
    <row r="108" spans="1:6" ht="14.4">
      <c r="A108" s="174" t="s">
        <v>7</v>
      </c>
      <c r="B108" s="168">
        <v>43912</v>
      </c>
      <c r="C108" s="168" t="s">
        <v>126</v>
      </c>
      <c r="D108" s="179">
        <v>0</v>
      </c>
      <c r="E108" s="174" t="s">
        <v>81</v>
      </c>
      <c r="F108" s="175"/>
    </row>
    <row r="109" spans="1:6" ht="14.4">
      <c r="A109" s="174" t="s">
        <v>7</v>
      </c>
      <c r="B109" s="169">
        <v>36451</v>
      </c>
      <c r="C109" s="168" t="s">
        <v>128</v>
      </c>
      <c r="D109" s="179">
        <v>0</v>
      </c>
      <c r="E109" s="174" t="s">
        <v>81</v>
      </c>
      <c r="F109" s="175"/>
    </row>
    <row r="110" spans="1:6" ht="14.4">
      <c r="A110" s="174" t="s">
        <v>7</v>
      </c>
      <c r="B110" s="168">
        <v>42285</v>
      </c>
      <c r="C110" s="168" t="s">
        <v>129</v>
      </c>
      <c r="D110" s="179">
        <v>0</v>
      </c>
      <c r="E110" s="174" t="s">
        <v>81</v>
      </c>
      <c r="F110" s="175"/>
    </row>
    <row r="111" spans="1:6" ht="14.4">
      <c r="A111" s="174" t="s">
        <v>7</v>
      </c>
      <c r="B111" s="168">
        <v>38884</v>
      </c>
      <c r="C111" s="168" t="s">
        <v>130</v>
      </c>
      <c r="D111" s="179">
        <v>0</v>
      </c>
      <c r="E111" s="174" t="s">
        <v>81</v>
      </c>
      <c r="F111" s="175"/>
    </row>
    <row r="112" spans="1:6" ht="14.4">
      <c r="A112" s="174" t="s">
        <v>7</v>
      </c>
      <c r="B112" s="169">
        <v>45080</v>
      </c>
      <c r="C112" s="168" t="s">
        <v>131</v>
      </c>
      <c r="D112" s="179">
        <v>0</v>
      </c>
      <c r="E112" s="174" t="s">
        <v>81</v>
      </c>
      <c r="F112" s="175"/>
    </row>
    <row r="113" spans="1:6" ht="14.4">
      <c r="A113" s="174" t="s">
        <v>7</v>
      </c>
      <c r="B113" s="169">
        <v>31636</v>
      </c>
      <c r="C113" s="168" t="s">
        <v>132</v>
      </c>
      <c r="D113" s="179">
        <v>0</v>
      </c>
      <c r="E113" s="174" t="s">
        <v>81</v>
      </c>
      <c r="F113" s="175"/>
    </row>
    <row r="114" spans="1:6" ht="14.4">
      <c r="A114" s="174" t="s">
        <v>7</v>
      </c>
      <c r="B114" s="168">
        <v>42559</v>
      </c>
      <c r="C114" s="168" t="s">
        <v>133</v>
      </c>
      <c r="D114" s="179">
        <v>0</v>
      </c>
      <c r="E114" s="174" t="s">
        <v>81</v>
      </c>
      <c r="F114" s="175"/>
    </row>
    <row r="115" spans="1:6" ht="14.4">
      <c r="A115" s="174" t="s">
        <v>7</v>
      </c>
      <c r="B115" s="169">
        <v>29084</v>
      </c>
      <c r="C115" s="168" t="s">
        <v>134</v>
      </c>
      <c r="D115" s="179">
        <v>0</v>
      </c>
      <c r="E115" s="174" t="s">
        <v>81</v>
      </c>
      <c r="F115" s="175"/>
    </row>
    <row r="116" spans="1:6" ht="14.4">
      <c r="A116" s="174" t="s">
        <v>7</v>
      </c>
      <c r="B116" s="169">
        <v>41123</v>
      </c>
      <c r="C116" s="168" t="s">
        <v>135</v>
      </c>
      <c r="D116" s="179">
        <v>0</v>
      </c>
      <c r="E116" s="174" t="s">
        <v>81</v>
      </c>
      <c r="F116" s="175"/>
    </row>
    <row r="117" spans="1:6" ht="14.4">
      <c r="A117" s="174" t="s">
        <v>7</v>
      </c>
      <c r="B117" s="169">
        <v>38358</v>
      </c>
      <c r="C117" s="168" t="s">
        <v>136</v>
      </c>
      <c r="D117" s="179">
        <v>0</v>
      </c>
      <c r="E117" s="174" t="s">
        <v>81</v>
      </c>
      <c r="F117" s="175"/>
    </row>
    <row r="118" spans="1:6" ht="14.4">
      <c r="A118" s="174" t="s">
        <v>7</v>
      </c>
      <c r="B118" s="169">
        <v>30929</v>
      </c>
      <c r="C118" s="168" t="s">
        <v>137</v>
      </c>
      <c r="D118" s="179">
        <v>0</v>
      </c>
      <c r="E118" s="174" t="s">
        <v>81</v>
      </c>
      <c r="F118" s="175"/>
    </row>
    <row r="119" spans="1:6" ht="14.4">
      <c r="A119" s="174" t="s">
        <v>7</v>
      </c>
      <c r="B119" s="169">
        <v>28933</v>
      </c>
      <c r="C119" s="168" t="s">
        <v>138</v>
      </c>
      <c r="D119" s="179">
        <v>0</v>
      </c>
      <c r="E119" s="174" t="s">
        <v>81</v>
      </c>
      <c r="F119" s="175"/>
    </row>
    <row r="120" spans="1:6" ht="14.4">
      <c r="A120" s="174" t="s">
        <v>7</v>
      </c>
      <c r="B120" s="169">
        <v>38139</v>
      </c>
      <c r="C120" s="168" t="s">
        <v>139</v>
      </c>
      <c r="D120" s="179">
        <v>0</v>
      </c>
      <c r="E120" s="174" t="s">
        <v>81</v>
      </c>
      <c r="F120" s="175"/>
    </row>
    <row r="121" spans="1:6" ht="14.4">
      <c r="A121" s="174" t="s">
        <v>7</v>
      </c>
      <c r="B121" s="169">
        <v>34343</v>
      </c>
      <c r="C121" s="168" t="s">
        <v>140</v>
      </c>
      <c r="D121" s="179">
        <v>0</v>
      </c>
      <c r="E121" s="174" t="s">
        <v>81</v>
      </c>
      <c r="F121" s="175"/>
    </row>
    <row r="122" spans="1:6" ht="14.4">
      <c r="A122" s="174" t="s">
        <v>56</v>
      </c>
      <c r="B122" s="170">
        <v>33463</v>
      </c>
      <c r="C122" s="170" t="s">
        <v>166</v>
      </c>
      <c r="D122" s="180">
        <v>745.8</v>
      </c>
      <c r="E122" s="174" t="s">
        <v>81</v>
      </c>
      <c r="F122" s="175"/>
    </row>
    <row r="123" spans="1:6" ht="14.4">
      <c r="A123" s="174" t="s">
        <v>56</v>
      </c>
      <c r="B123" s="170">
        <v>42936</v>
      </c>
      <c r="C123" s="170" t="s">
        <v>167</v>
      </c>
      <c r="D123" s="180">
        <v>183.75</v>
      </c>
      <c r="E123" s="174" t="s">
        <v>81</v>
      </c>
      <c r="F123" s="175"/>
    </row>
    <row r="124" spans="1:6" ht="14.4">
      <c r="A124" s="174" t="s">
        <v>56</v>
      </c>
      <c r="B124" s="170">
        <v>30921</v>
      </c>
      <c r="C124" s="170" t="s">
        <v>168</v>
      </c>
      <c r="D124" s="180">
        <v>210.64999999999998</v>
      </c>
      <c r="E124" s="174" t="s">
        <v>81</v>
      </c>
      <c r="F124" s="175"/>
    </row>
    <row r="125" spans="1:6" ht="14.4">
      <c r="A125" s="174" t="s">
        <v>56</v>
      </c>
      <c r="B125" s="170">
        <v>12165</v>
      </c>
      <c r="C125" s="170" t="s">
        <v>169</v>
      </c>
      <c r="D125" s="180">
        <v>420.18</v>
      </c>
      <c r="E125" s="174" t="s">
        <v>81</v>
      </c>
      <c r="F125" s="175"/>
    </row>
    <row r="126" spans="1:6" ht="14.4">
      <c r="A126" s="174" t="s">
        <v>56</v>
      </c>
      <c r="B126" s="170">
        <v>28192</v>
      </c>
      <c r="C126" s="170" t="s">
        <v>170</v>
      </c>
      <c r="D126" s="180">
        <v>0</v>
      </c>
      <c r="E126" s="174" t="s">
        <v>81</v>
      </c>
      <c r="F126" s="175"/>
    </row>
    <row r="127" spans="1:6" ht="14.4">
      <c r="A127" s="174" t="s">
        <v>56</v>
      </c>
      <c r="B127" s="170">
        <v>37151</v>
      </c>
      <c r="C127" s="170" t="s">
        <v>171</v>
      </c>
      <c r="D127" s="180">
        <v>0</v>
      </c>
      <c r="E127" s="174" t="s">
        <v>81</v>
      </c>
      <c r="F127" s="175"/>
    </row>
    <row r="128" spans="1:6" ht="14.4">
      <c r="A128" s="174" t="s">
        <v>56</v>
      </c>
      <c r="B128" s="170">
        <v>44572</v>
      </c>
      <c r="C128" s="170" t="s">
        <v>172</v>
      </c>
      <c r="D128" s="180">
        <v>0</v>
      </c>
      <c r="E128" s="174" t="s">
        <v>81</v>
      </c>
      <c r="F128" s="175"/>
    </row>
    <row r="129" spans="1:6" ht="14.4">
      <c r="A129" s="174" t="s">
        <v>56</v>
      </c>
      <c r="B129" s="170">
        <v>32604</v>
      </c>
      <c r="C129" s="170" t="s">
        <v>174</v>
      </c>
      <c r="D129" s="180">
        <v>0</v>
      </c>
      <c r="E129" s="174" t="s">
        <v>81</v>
      </c>
      <c r="F129" s="175"/>
    </row>
    <row r="130" spans="1:6" ht="14.4">
      <c r="A130" s="174" t="s">
        <v>56</v>
      </c>
      <c r="B130" s="170">
        <v>30889</v>
      </c>
      <c r="C130" s="170" t="s">
        <v>175</v>
      </c>
      <c r="D130" s="180">
        <v>0</v>
      </c>
      <c r="E130" s="174" t="s">
        <v>81</v>
      </c>
      <c r="F130" s="175"/>
    </row>
    <row r="131" spans="1:6" ht="14.4">
      <c r="A131" s="174" t="s">
        <v>56</v>
      </c>
      <c r="B131" s="170">
        <v>20583</v>
      </c>
      <c r="C131" s="170" t="s">
        <v>176</v>
      </c>
      <c r="D131" s="180">
        <v>0</v>
      </c>
      <c r="E131" s="174" t="s">
        <v>81</v>
      </c>
      <c r="F131" s="175"/>
    </row>
    <row r="132" spans="1:6" ht="14.4">
      <c r="A132" s="174" t="s">
        <v>56</v>
      </c>
      <c r="B132" s="170">
        <v>21387</v>
      </c>
      <c r="C132" s="170" t="s">
        <v>177</v>
      </c>
      <c r="D132" s="180">
        <v>0</v>
      </c>
      <c r="E132" s="174" t="s">
        <v>81</v>
      </c>
      <c r="F132" s="175"/>
    </row>
    <row r="133" spans="1:6" ht="14.4">
      <c r="A133" s="174" t="s">
        <v>56</v>
      </c>
      <c r="B133" s="170">
        <v>35547</v>
      </c>
      <c r="C133" s="170" t="s">
        <v>178</v>
      </c>
      <c r="D133" s="180">
        <v>0</v>
      </c>
      <c r="E133" s="174" t="s">
        <v>81</v>
      </c>
      <c r="F133" s="175"/>
    </row>
    <row r="134" spans="1:6" ht="14.4">
      <c r="A134" s="174" t="s">
        <v>56</v>
      </c>
      <c r="B134" s="170">
        <v>42774</v>
      </c>
      <c r="C134" s="170" t="s">
        <v>179</v>
      </c>
      <c r="D134" s="180">
        <v>0</v>
      </c>
      <c r="E134" s="174" t="s">
        <v>81</v>
      </c>
      <c r="F134" s="175"/>
    </row>
    <row r="135" spans="1:6" ht="14.4">
      <c r="A135" s="174" t="s">
        <v>56</v>
      </c>
      <c r="B135" s="170">
        <v>10376</v>
      </c>
      <c r="C135" s="170" t="s">
        <v>181</v>
      </c>
      <c r="D135" s="180">
        <v>0</v>
      </c>
      <c r="E135" s="174" t="s">
        <v>81</v>
      </c>
      <c r="F135" s="175"/>
    </row>
    <row r="136" spans="1:6" ht="14.4">
      <c r="A136" s="174" t="s">
        <v>56</v>
      </c>
      <c r="B136" s="170">
        <v>41363</v>
      </c>
      <c r="C136" s="170" t="s">
        <v>182</v>
      </c>
      <c r="D136" s="180">
        <v>0</v>
      </c>
      <c r="E136" s="174" t="s">
        <v>81</v>
      </c>
      <c r="F136" s="175"/>
    </row>
    <row r="137" spans="1:6" ht="14.4">
      <c r="A137" s="174" t="s">
        <v>56</v>
      </c>
      <c r="B137" s="170">
        <v>40966</v>
      </c>
      <c r="C137" s="170" t="s">
        <v>183</v>
      </c>
      <c r="D137" s="180">
        <v>0</v>
      </c>
      <c r="E137" s="174" t="s">
        <v>81</v>
      </c>
      <c r="F137" s="175"/>
    </row>
    <row r="138" spans="1:6" ht="14.4">
      <c r="A138" s="174" t="s">
        <v>56</v>
      </c>
      <c r="B138" s="170">
        <v>33732</v>
      </c>
      <c r="C138" s="170" t="s">
        <v>184</v>
      </c>
      <c r="D138" s="180">
        <v>0</v>
      </c>
      <c r="E138" s="174" t="s">
        <v>81</v>
      </c>
      <c r="F138" s="175"/>
    </row>
    <row r="139" spans="1:6" ht="14.4">
      <c r="A139" s="174" t="s">
        <v>56</v>
      </c>
      <c r="B139" s="170">
        <v>43985</v>
      </c>
      <c r="C139" s="170" t="s">
        <v>185</v>
      </c>
      <c r="D139" s="180">
        <v>0</v>
      </c>
      <c r="E139" s="174" t="s">
        <v>81</v>
      </c>
      <c r="F139" s="175"/>
    </row>
    <row r="140" spans="1:6" ht="14.4">
      <c r="A140" s="174" t="s">
        <v>56</v>
      </c>
      <c r="B140" s="170">
        <v>26794</v>
      </c>
      <c r="C140" s="170" t="s">
        <v>334</v>
      </c>
      <c r="D140" s="180">
        <v>0</v>
      </c>
      <c r="E140" s="174" t="s">
        <v>81</v>
      </c>
      <c r="F140" s="175"/>
    </row>
    <row r="141" spans="1:6" ht="14.4">
      <c r="A141" s="174" t="s">
        <v>56</v>
      </c>
      <c r="B141" s="170">
        <v>20012</v>
      </c>
      <c r="C141" s="170" t="s">
        <v>188</v>
      </c>
      <c r="D141" s="180">
        <v>0</v>
      </c>
      <c r="E141" s="174" t="s">
        <v>81</v>
      </c>
      <c r="F141" s="175"/>
    </row>
    <row r="142" spans="1:6" ht="14.4">
      <c r="A142" s="174" t="s">
        <v>56</v>
      </c>
      <c r="B142" s="170">
        <v>31923</v>
      </c>
      <c r="C142" s="170" t="s">
        <v>189</v>
      </c>
      <c r="D142" s="180">
        <v>0</v>
      </c>
      <c r="E142" s="174" t="s">
        <v>81</v>
      </c>
      <c r="F142" s="175"/>
    </row>
    <row r="143" spans="1:6" ht="14.4">
      <c r="A143" s="174" t="s">
        <v>56</v>
      </c>
      <c r="B143" s="170">
        <v>37503</v>
      </c>
      <c r="C143" s="170" t="s">
        <v>191</v>
      </c>
      <c r="D143" s="180">
        <v>0</v>
      </c>
      <c r="E143" s="174" t="s">
        <v>81</v>
      </c>
      <c r="F143" s="175"/>
    </row>
    <row r="144" spans="1:6" ht="14.4">
      <c r="A144" s="174" t="s">
        <v>56</v>
      </c>
      <c r="B144" s="171">
        <v>39901</v>
      </c>
      <c r="C144" s="170" t="s">
        <v>329</v>
      </c>
      <c r="D144" s="180">
        <v>0</v>
      </c>
      <c r="E144" s="174" t="s">
        <v>81</v>
      </c>
      <c r="F144" s="175"/>
    </row>
    <row r="145" spans="1:6" ht="14.4">
      <c r="A145" s="174" t="s">
        <v>10</v>
      </c>
      <c r="B145" s="168">
        <v>43013</v>
      </c>
      <c r="C145" s="172" t="s">
        <v>195</v>
      </c>
      <c r="D145" s="179">
        <v>533.70000000000005</v>
      </c>
      <c r="E145" s="174" t="s">
        <v>81</v>
      </c>
      <c r="F145" s="175"/>
    </row>
    <row r="146" spans="1:6" ht="14.4">
      <c r="A146" s="174" t="s">
        <v>10</v>
      </c>
      <c r="B146" s="168">
        <v>38936</v>
      </c>
      <c r="C146" s="172" t="s">
        <v>196</v>
      </c>
      <c r="D146" s="179">
        <v>179.85</v>
      </c>
      <c r="E146" s="174" t="s">
        <v>81</v>
      </c>
      <c r="F146" s="175"/>
    </row>
    <row r="147" spans="1:6" ht="14.4">
      <c r="A147" s="174" t="s">
        <v>10</v>
      </c>
      <c r="B147" s="168">
        <v>7546</v>
      </c>
      <c r="C147" s="172" t="s">
        <v>197</v>
      </c>
      <c r="D147" s="179">
        <v>369.95</v>
      </c>
      <c r="E147" s="174" t="s">
        <v>81</v>
      </c>
      <c r="F147" s="175"/>
    </row>
    <row r="148" spans="1:6" ht="14.4">
      <c r="A148" s="174" t="s">
        <v>10</v>
      </c>
      <c r="B148" s="168">
        <v>34899</v>
      </c>
      <c r="C148" s="172" t="s">
        <v>198</v>
      </c>
      <c r="D148" s="179">
        <v>363.95</v>
      </c>
      <c r="E148" s="174" t="s">
        <v>81</v>
      </c>
      <c r="F148" s="175"/>
    </row>
    <row r="149" spans="1:6" ht="14.4">
      <c r="A149" s="174" t="s">
        <v>10</v>
      </c>
      <c r="B149" s="168">
        <v>25124</v>
      </c>
      <c r="C149" s="172" t="s">
        <v>199</v>
      </c>
      <c r="D149" s="179">
        <v>0</v>
      </c>
      <c r="E149" s="174" t="s">
        <v>81</v>
      </c>
      <c r="F149" s="175"/>
    </row>
    <row r="150" spans="1:6" ht="14.4">
      <c r="A150" s="174" t="s">
        <v>10</v>
      </c>
      <c r="B150" s="168">
        <v>25071</v>
      </c>
      <c r="C150" s="172" t="s">
        <v>200</v>
      </c>
      <c r="D150" s="179">
        <v>0</v>
      </c>
      <c r="E150" s="174" t="s">
        <v>81</v>
      </c>
      <c r="F150" s="175"/>
    </row>
    <row r="151" spans="1:6" ht="14.4">
      <c r="A151" s="174" t="s">
        <v>10</v>
      </c>
      <c r="B151" s="168">
        <v>40561</v>
      </c>
      <c r="C151" s="172" t="s">
        <v>201</v>
      </c>
      <c r="D151" s="179">
        <v>0</v>
      </c>
      <c r="E151" s="174" t="s">
        <v>81</v>
      </c>
      <c r="F151" s="175"/>
    </row>
    <row r="152" spans="1:6" ht="14.4">
      <c r="A152" s="174" t="s">
        <v>10</v>
      </c>
      <c r="B152" s="168">
        <v>44255</v>
      </c>
      <c r="C152" s="172" t="s">
        <v>202</v>
      </c>
      <c r="D152" s="179">
        <v>0</v>
      </c>
      <c r="E152" s="174" t="s">
        <v>81</v>
      </c>
      <c r="F152" s="175"/>
    </row>
    <row r="153" spans="1:6" ht="14.4">
      <c r="A153" s="174" t="s">
        <v>10</v>
      </c>
      <c r="B153" s="168">
        <v>38812</v>
      </c>
      <c r="C153" s="172" t="s">
        <v>204</v>
      </c>
      <c r="D153" s="179">
        <v>0</v>
      </c>
      <c r="E153" s="174" t="s">
        <v>81</v>
      </c>
      <c r="F153" s="175"/>
    </row>
    <row r="154" spans="1:6" ht="14.4">
      <c r="A154" s="174" t="s">
        <v>10</v>
      </c>
      <c r="B154" s="168">
        <v>39732</v>
      </c>
      <c r="C154" s="172" t="s">
        <v>205</v>
      </c>
      <c r="D154" s="179">
        <v>0</v>
      </c>
      <c r="E154" s="174" t="s">
        <v>81</v>
      </c>
      <c r="F154" s="175"/>
    </row>
    <row r="155" spans="1:6" ht="14.4">
      <c r="A155" s="174" t="s">
        <v>10</v>
      </c>
      <c r="B155" s="168">
        <v>35511</v>
      </c>
      <c r="C155" s="172" t="s">
        <v>206</v>
      </c>
      <c r="D155" s="179">
        <v>0</v>
      </c>
      <c r="E155" s="174" t="s">
        <v>81</v>
      </c>
      <c r="F155" s="175"/>
    </row>
    <row r="156" spans="1:6" ht="14.4">
      <c r="A156" s="174" t="s">
        <v>10</v>
      </c>
      <c r="B156" s="168">
        <v>29827</v>
      </c>
      <c r="C156" s="172" t="s">
        <v>207</v>
      </c>
      <c r="D156" s="179">
        <v>0</v>
      </c>
      <c r="E156" s="174" t="s">
        <v>81</v>
      </c>
      <c r="F156" s="175"/>
    </row>
    <row r="157" spans="1:6" ht="14.4">
      <c r="A157" s="174" t="s">
        <v>10</v>
      </c>
      <c r="B157" s="168">
        <v>32789</v>
      </c>
      <c r="C157" s="172" t="s">
        <v>208</v>
      </c>
      <c r="D157" s="179">
        <v>0</v>
      </c>
      <c r="E157" s="174" t="s">
        <v>81</v>
      </c>
      <c r="F157" s="175"/>
    </row>
    <row r="158" spans="1:6" ht="14.4">
      <c r="A158" s="174" t="s">
        <v>10</v>
      </c>
      <c r="B158" s="168">
        <v>43804</v>
      </c>
      <c r="C158" s="172" t="s">
        <v>209</v>
      </c>
      <c r="D158" s="179">
        <v>0</v>
      </c>
      <c r="E158" s="174" t="s">
        <v>81</v>
      </c>
      <c r="F158" s="175"/>
    </row>
    <row r="159" spans="1:6" ht="14.4">
      <c r="A159" s="174" t="s">
        <v>10</v>
      </c>
      <c r="B159" s="168">
        <v>42832</v>
      </c>
      <c r="C159" s="172" t="s">
        <v>211</v>
      </c>
      <c r="D159" s="179">
        <v>0</v>
      </c>
      <c r="E159" s="174" t="s">
        <v>81</v>
      </c>
      <c r="F159" s="175"/>
    </row>
    <row r="160" spans="1:6" ht="14.4">
      <c r="A160" s="174" t="s">
        <v>10</v>
      </c>
      <c r="B160" s="168">
        <v>39094</v>
      </c>
      <c r="C160" s="172" t="s">
        <v>212</v>
      </c>
      <c r="D160" s="179">
        <v>0</v>
      </c>
      <c r="E160" s="174" t="s">
        <v>81</v>
      </c>
      <c r="F160" s="175"/>
    </row>
    <row r="161" spans="1:6" ht="14.4">
      <c r="A161" s="174" t="s">
        <v>8</v>
      </c>
      <c r="B161" s="170">
        <v>26746</v>
      </c>
      <c r="C161" s="170" t="s">
        <v>159</v>
      </c>
      <c r="D161" s="180">
        <v>309.64999999999998</v>
      </c>
      <c r="E161" s="174" t="s">
        <v>81</v>
      </c>
      <c r="F161" s="175"/>
    </row>
    <row r="162" spans="1:6" ht="14.4">
      <c r="A162" s="174" t="s">
        <v>8</v>
      </c>
      <c r="B162" s="170">
        <v>42957</v>
      </c>
      <c r="C162" s="170" t="s">
        <v>160</v>
      </c>
      <c r="D162" s="180">
        <v>0</v>
      </c>
      <c r="E162" s="174" t="s">
        <v>81</v>
      </c>
      <c r="F162" s="175"/>
    </row>
    <row r="163" spans="1:6" ht="14.4">
      <c r="A163" s="174" t="s">
        <v>8</v>
      </c>
      <c r="B163" s="170">
        <v>29236</v>
      </c>
      <c r="C163" s="170" t="s">
        <v>161</v>
      </c>
      <c r="D163" s="180">
        <v>0</v>
      </c>
      <c r="E163" s="174" t="s">
        <v>81</v>
      </c>
      <c r="F163" s="175"/>
    </row>
    <row r="164" spans="1:6" ht="14.4">
      <c r="A164" s="174" t="s">
        <v>8</v>
      </c>
      <c r="B164" s="170">
        <v>44928</v>
      </c>
      <c r="C164" s="170" t="s">
        <v>162</v>
      </c>
      <c r="D164" s="180">
        <v>0</v>
      </c>
      <c r="E164" s="174" t="s">
        <v>81</v>
      </c>
      <c r="F164" s="175"/>
    </row>
    <row r="165" spans="1:6" ht="14.4">
      <c r="A165" s="174" t="s">
        <v>8</v>
      </c>
      <c r="B165" s="170">
        <v>38149</v>
      </c>
      <c r="C165" s="170" t="s">
        <v>163</v>
      </c>
      <c r="D165" s="180">
        <v>0</v>
      </c>
      <c r="E165" s="174" t="s">
        <v>81</v>
      </c>
      <c r="F165" s="175"/>
    </row>
    <row r="166" spans="1:6" ht="14.4">
      <c r="A166" s="174" t="s">
        <v>8</v>
      </c>
      <c r="B166" s="170">
        <v>34645</v>
      </c>
      <c r="C166" s="170" t="s">
        <v>165</v>
      </c>
      <c r="D166" s="180">
        <v>0</v>
      </c>
      <c r="E166" s="174" t="s">
        <v>81</v>
      </c>
      <c r="F166" s="175"/>
    </row>
    <row r="167" spans="1:6" ht="14.4">
      <c r="A167" s="174" t="s">
        <v>7</v>
      </c>
      <c r="B167" s="168">
        <v>25853</v>
      </c>
      <c r="C167" s="168" t="s">
        <v>141</v>
      </c>
      <c r="D167" s="179">
        <v>437.4</v>
      </c>
      <c r="E167" s="174" t="s">
        <v>80</v>
      </c>
      <c r="F167" s="175"/>
    </row>
    <row r="168" spans="1:6" ht="14.4">
      <c r="A168" s="174" t="s">
        <v>6</v>
      </c>
      <c r="B168" s="168">
        <v>2010</v>
      </c>
      <c r="C168" s="168" t="s">
        <v>265</v>
      </c>
      <c r="D168" s="179">
        <v>248.95</v>
      </c>
      <c r="E168" s="174" t="s">
        <v>80</v>
      </c>
      <c r="F168" s="175"/>
    </row>
    <row r="169" spans="1:6" ht="14.4">
      <c r="A169" s="174" t="s">
        <v>6</v>
      </c>
      <c r="B169" s="168">
        <v>34261</v>
      </c>
      <c r="C169" s="168" t="s">
        <v>270</v>
      </c>
      <c r="D169" s="179">
        <v>344.45</v>
      </c>
      <c r="E169" s="174" t="s">
        <v>80</v>
      </c>
      <c r="F169" s="175"/>
    </row>
    <row r="170" spans="1:6" ht="14.4">
      <c r="A170" s="174" t="s">
        <v>6</v>
      </c>
      <c r="B170" s="168">
        <v>32987</v>
      </c>
      <c r="C170" s="168" t="s">
        <v>274</v>
      </c>
      <c r="D170" s="179">
        <v>685.40000000000009</v>
      </c>
      <c r="E170" s="174" t="s">
        <v>80</v>
      </c>
      <c r="F170" s="175"/>
    </row>
    <row r="171" spans="1:6" ht="14.4">
      <c r="A171" s="174" t="s">
        <v>6</v>
      </c>
      <c r="B171" s="168">
        <v>18344</v>
      </c>
      <c r="C171" s="168" t="s">
        <v>279</v>
      </c>
      <c r="D171" s="179">
        <v>1968</v>
      </c>
      <c r="E171" s="174" t="s">
        <v>80</v>
      </c>
      <c r="F171" s="175"/>
    </row>
    <row r="172" spans="1:6" ht="14.4">
      <c r="A172" s="174" t="s">
        <v>6</v>
      </c>
      <c r="B172" s="168">
        <v>7029</v>
      </c>
      <c r="C172" s="168" t="s">
        <v>284</v>
      </c>
      <c r="D172" s="179">
        <v>775.97</v>
      </c>
      <c r="E172" s="174" t="s">
        <v>80</v>
      </c>
      <c r="F172" s="175"/>
    </row>
    <row r="173" spans="1:6" ht="14.4">
      <c r="A173" s="174" t="s">
        <v>6</v>
      </c>
      <c r="B173" s="168">
        <v>1346</v>
      </c>
      <c r="C173" s="168" t="s">
        <v>288</v>
      </c>
      <c r="D173" s="179">
        <v>441.59000000000003</v>
      </c>
      <c r="E173" s="174" t="s">
        <v>80</v>
      </c>
      <c r="F173" s="175"/>
    </row>
    <row r="174" spans="1:6" ht="14.4">
      <c r="A174" s="174" t="s">
        <v>6</v>
      </c>
      <c r="B174" s="168">
        <v>33080</v>
      </c>
      <c r="C174" s="168" t="s">
        <v>292</v>
      </c>
      <c r="D174" s="179">
        <v>208.26000000000002</v>
      </c>
      <c r="E174" s="174" t="s">
        <v>80</v>
      </c>
      <c r="F174" s="175"/>
    </row>
    <row r="175" spans="1:6" ht="14.4">
      <c r="A175" s="174" t="s">
        <v>6</v>
      </c>
      <c r="B175" s="168">
        <v>42836</v>
      </c>
      <c r="C175" s="168" t="s">
        <v>296</v>
      </c>
      <c r="D175" s="179">
        <v>179.75</v>
      </c>
      <c r="E175" s="174" t="s">
        <v>80</v>
      </c>
      <c r="F175" s="175"/>
    </row>
    <row r="176" spans="1:6" ht="14.4">
      <c r="A176" s="174" t="s">
        <v>6</v>
      </c>
      <c r="B176" s="169">
        <v>40921</v>
      </c>
      <c r="C176" s="168" t="s">
        <v>300</v>
      </c>
      <c r="D176" s="179">
        <v>251.40000199999997</v>
      </c>
      <c r="E176" s="174" t="s">
        <v>80</v>
      </c>
      <c r="F176" s="175"/>
    </row>
    <row r="177" spans="1:6" ht="14.4">
      <c r="A177" s="174" t="s">
        <v>6</v>
      </c>
      <c r="B177" s="169">
        <v>43346</v>
      </c>
      <c r="C177" s="168" t="s">
        <v>305</v>
      </c>
      <c r="D177" s="179">
        <v>219.29000000000002</v>
      </c>
      <c r="E177" s="174" t="s">
        <v>80</v>
      </c>
      <c r="F177" s="175"/>
    </row>
    <row r="178" spans="1:6" ht="14.4">
      <c r="A178" s="174" t="s">
        <v>7</v>
      </c>
      <c r="B178" s="168">
        <v>41737</v>
      </c>
      <c r="C178" s="168" t="s">
        <v>230</v>
      </c>
      <c r="D178" s="179">
        <v>307.36</v>
      </c>
      <c r="E178" s="174" t="s">
        <v>80</v>
      </c>
      <c r="F178" s="175"/>
    </row>
    <row r="179" spans="1:6" ht="14.4">
      <c r="A179" s="174" t="s">
        <v>7</v>
      </c>
      <c r="B179" s="169">
        <v>43104</v>
      </c>
      <c r="C179" s="168" t="s">
        <v>235</v>
      </c>
      <c r="D179" s="179">
        <v>212.34</v>
      </c>
      <c r="E179" s="174" t="s">
        <v>80</v>
      </c>
      <c r="F179" s="175"/>
    </row>
    <row r="180" spans="1:6" ht="14.4">
      <c r="A180" s="174" t="s">
        <v>7</v>
      </c>
      <c r="B180" s="169">
        <v>41723</v>
      </c>
      <c r="C180" s="168" t="s">
        <v>244</v>
      </c>
      <c r="D180" s="179">
        <v>201.58</v>
      </c>
      <c r="E180" s="174" t="s">
        <v>80</v>
      </c>
      <c r="F180" s="175"/>
    </row>
    <row r="181" spans="1:6" ht="14.4">
      <c r="A181" s="174" t="s">
        <v>7</v>
      </c>
      <c r="B181" s="169">
        <v>41854</v>
      </c>
      <c r="C181" s="168" t="s">
        <v>249</v>
      </c>
      <c r="D181" s="179">
        <v>156.91</v>
      </c>
      <c r="E181" s="174" t="s">
        <v>80</v>
      </c>
      <c r="F181" s="175"/>
    </row>
    <row r="182" spans="1:6" ht="14.4">
      <c r="A182" s="174" t="s">
        <v>7</v>
      </c>
      <c r="B182" s="168">
        <v>41885</v>
      </c>
      <c r="C182" s="168" t="s">
        <v>254</v>
      </c>
      <c r="D182" s="179">
        <v>1165.8800000000001</v>
      </c>
      <c r="E182" s="174" t="s">
        <v>80</v>
      </c>
      <c r="F182" s="175"/>
    </row>
    <row r="183" spans="1:6" ht="14.4">
      <c r="A183" s="174" t="s">
        <v>7</v>
      </c>
      <c r="B183" s="168">
        <v>38862</v>
      </c>
      <c r="C183" s="168" t="s">
        <v>258</v>
      </c>
      <c r="D183" s="179">
        <v>2598.8749999999995</v>
      </c>
      <c r="E183" s="174" t="s">
        <v>80</v>
      </c>
      <c r="F183" s="175"/>
    </row>
    <row r="184" spans="1:6" ht="14.4">
      <c r="A184" s="174" t="s">
        <v>7</v>
      </c>
      <c r="B184" s="169">
        <v>42939</v>
      </c>
      <c r="C184" s="168" t="s">
        <v>263</v>
      </c>
      <c r="D184" s="179">
        <v>237.75000000000003</v>
      </c>
      <c r="E184" s="174" t="s">
        <v>80</v>
      </c>
      <c r="F184" s="175"/>
    </row>
    <row r="185" spans="1:6" ht="14.4">
      <c r="A185" s="174" t="s">
        <v>7</v>
      </c>
      <c r="B185" s="168">
        <v>40109</v>
      </c>
      <c r="C185" s="168" t="s">
        <v>267</v>
      </c>
      <c r="D185" s="179">
        <v>682.44</v>
      </c>
      <c r="E185" s="174" t="s">
        <v>80</v>
      </c>
      <c r="F185" s="175"/>
    </row>
    <row r="186" spans="1:6" ht="14.4">
      <c r="A186" s="174" t="s">
        <v>7</v>
      </c>
      <c r="B186" s="168">
        <v>38623</v>
      </c>
      <c r="C186" s="168" t="s">
        <v>272</v>
      </c>
      <c r="D186" s="179">
        <v>674.28</v>
      </c>
      <c r="E186" s="174" t="s">
        <v>80</v>
      </c>
      <c r="F186" s="175"/>
    </row>
    <row r="187" spans="1:6" ht="14.4">
      <c r="A187" s="174" t="s">
        <v>7</v>
      </c>
      <c r="B187" s="168">
        <v>26858</v>
      </c>
      <c r="C187" s="168" t="s">
        <v>276</v>
      </c>
      <c r="D187" s="179">
        <v>937.91000000000008</v>
      </c>
      <c r="E187" s="174" t="s">
        <v>80</v>
      </c>
      <c r="F187" s="175"/>
    </row>
    <row r="188" spans="1:6" ht="14.4">
      <c r="A188" s="174" t="s">
        <v>7</v>
      </c>
      <c r="B188" s="168">
        <v>41808</v>
      </c>
      <c r="C188" s="168" t="s">
        <v>281</v>
      </c>
      <c r="D188" s="179">
        <v>1194.4199999999998</v>
      </c>
      <c r="E188" s="174" t="s">
        <v>80</v>
      </c>
      <c r="F188" s="175"/>
    </row>
    <row r="189" spans="1:6" ht="14.4">
      <c r="A189" s="174" t="s">
        <v>7</v>
      </c>
      <c r="B189" s="168">
        <v>41370</v>
      </c>
      <c r="C189" s="168" t="s">
        <v>285</v>
      </c>
      <c r="D189" s="179">
        <v>426.37</v>
      </c>
      <c r="E189" s="174" t="s">
        <v>80</v>
      </c>
      <c r="F189" s="175"/>
    </row>
    <row r="190" spans="1:6" ht="14.4">
      <c r="A190" s="174" t="s">
        <v>7</v>
      </c>
      <c r="B190" s="168">
        <v>34303</v>
      </c>
      <c r="C190" s="168" t="s">
        <v>290</v>
      </c>
      <c r="D190" s="179">
        <v>264.64999999999998</v>
      </c>
      <c r="E190" s="174" t="s">
        <v>80</v>
      </c>
      <c r="F190" s="175"/>
    </row>
    <row r="191" spans="1:6" ht="14.4">
      <c r="A191" s="174" t="s">
        <v>7</v>
      </c>
      <c r="B191" s="168">
        <v>34219</v>
      </c>
      <c r="C191" s="168" t="s">
        <v>294</v>
      </c>
      <c r="D191" s="179">
        <v>249.12</v>
      </c>
      <c r="E191" s="174" t="s">
        <v>80</v>
      </c>
      <c r="F191" s="175"/>
    </row>
    <row r="192" spans="1:6" ht="14.4">
      <c r="A192" s="174" t="s">
        <v>7</v>
      </c>
      <c r="B192" s="168">
        <v>43992</v>
      </c>
      <c r="C192" s="168" t="s">
        <v>298</v>
      </c>
      <c r="D192" s="179">
        <v>172.55</v>
      </c>
      <c r="E192" s="174" t="s">
        <v>80</v>
      </c>
      <c r="F192" s="175"/>
    </row>
    <row r="193" spans="1:6" ht="14.4">
      <c r="A193" s="174" t="s">
        <v>7</v>
      </c>
      <c r="B193" s="168">
        <v>34349</v>
      </c>
      <c r="C193" s="168" t="s">
        <v>302</v>
      </c>
      <c r="D193" s="179">
        <v>404.5</v>
      </c>
      <c r="E193" s="174" t="s">
        <v>80</v>
      </c>
      <c r="F193" s="175"/>
    </row>
    <row r="194" spans="1:6" ht="14.4">
      <c r="A194" s="174" t="s">
        <v>7</v>
      </c>
      <c r="B194" s="168">
        <v>30281</v>
      </c>
      <c r="C194" s="168" t="s">
        <v>306</v>
      </c>
      <c r="D194" s="179">
        <v>498.82</v>
      </c>
      <c r="E194" s="174" t="s">
        <v>80</v>
      </c>
      <c r="F194" s="175"/>
    </row>
    <row r="195" spans="1:6" ht="14.4">
      <c r="A195" s="174" t="s">
        <v>56</v>
      </c>
      <c r="B195" s="170">
        <v>41276</v>
      </c>
      <c r="C195" s="170" t="s">
        <v>295</v>
      </c>
      <c r="D195" s="180">
        <v>322.64999999999998</v>
      </c>
      <c r="E195" s="174" t="s">
        <v>80</v>
      </c>
      <c r="F195" s="175"/>
    </row>
    <row r="196" spans="1:6" ht="14.4">
      <c r="A196" s="174" t="s">
        <v>56</v>
      </c>
      <c r="B196" s="170">
        <v>28233</v>
      </c>
      <c r="C196" s="170" t="s">
        <v>299</v>
      </c>
      <c r="D196" s="180">
        <v>297.58999999999997</v>
      </c>
      <c r="E196" s="174" t="s">
        <v>80</v>
      </c>
      <c r="F196" s="175"/>
    </row>
    <row r="197" spans="1:6" ht="14.4">
      <c r="A197" s="174" t="s">
        <v>56</v>
      </c>
      <c r="B197" s="170">
        <v>29080</v>
      </c>
      <c r="C197" s="170" t="s">
        <v>303</v>
      </c>
      <c r="D197" s="180">
        <v>729.87</v>
      </c>
      <c r="E197" s="174" t="s">
        <v>80</v>
      </c>
      <c r="F197" s="175"/>
    </row>
    <row r="198" spans="1:6" ht="14.4">
      <c r="A198" s="174" t="s">
        <v>56</v>
      </c>
      <c r="B198" s="170">
        <v>31627</v>
      </c>
      <c r="C198" s="170" t="s">
        <v>307</v>
      </c>
      <c r="D198" s="180">
        <v>338.95000000000005</v>
      </c>
      <c r="E198" s="174" t="s">
        <v>80</v>
      </c>
      <c r="F198" s="175"/>
    </row>
    <row r="199" spans="1:6" ht="14.4">
      <c r="A199" s="174" t="s">
        <v>56</v>
      </c>
      <c r="B199" s="170">
        <v>37802</v>
      </c>
      <c r="C199" s="170" t="s">
        <v>309</v>
      </c>
      <c r="D199" s="180">
        <v>414.5</v>
      </c>
      <c r="E199" s="174" t="s">
        <v>80</v>
      </c>
      <c r="F199" s="175"/>
    </row>
    <row r="200" spans="1:6" ht="14.4">
      <c r="A200" s="174" t="s">
        <v>56</v>
      </c>
      <c r="B200" s="170">
        <v>35203</v>
      </c>
      <c r="C200" s="170" t="s">
        <v>311</v>
      </c>
      <c r="D200" s="180">
        <v>458.59</v>
      </c>
      <c r="E200" s="174" t="s">
        <v>80</v>
      </c>
      <c r="F200" s="175"/>
    </row>
    <row r="201" spans="1:6" ht="14.4">
      <c r="A201" s="174" t="s">
        <v>56</v>
      </c>
      <c r="B201" s="170">
        <v>33755</v>
      </c>
      <c r="C201" s="170" t="s">
        <v>313</v>
      </c>
      <c r="D201" s="180">
        <v>226.86</v>
      </c>
      <c r="E201" s="174" t="s">
        <v>80</v>
      </c>
      <c r="F201" s="175"/>
    </row>
    <row r="202" spans="1:6" ht="14.4">
      <c r="A202" s="174" t="s">
        <v>56</v>
      </c>
      <c r="B202" s="170">
        <v>41377</v>
      </c>
      <c r="C202" s="170" t="s">
        <v>315</v>
      </c>
      <c r="D202" s="180">
        <v>1173.5</v>
      </c>
      <c r="E202" s="174" t="s">
        <v>80</v>
      </c>
      <c r="F202" s="175"/>
    </row>
    <row r="203" spans="1:6" ht="14.4">
      <c r="A203" s="174" t="s">
        <v>56</v>
      </c>
      <c r="B203" s="170">
        <v>41645</v>
      </c>
      <c r="C203" s="170" t="s">
        <v>317</v>
      </c>
      <c r="D203" s="180">
        <v>2007</v>
      </c>
      <c r="E203" s="174" t="s">
        <v>80</v>
      </c>
      <c r="F203" s="175"/>
    </row>
    <row r="204" spans="1:6" ht="14.4">
      <c r="A204" s="174" t="s">
        <v>10</v>
      </c>
      <c r="B204" s="168">
        <v>42952</v>
      </c>
      <c r="C204" s="172" t="s">
        <v>312</v>
      </c>
      <c r="D204" s="179">
        <v>295.14</v>
      </c>
      <c r="E204" s="174" t="s">
        <v>80</v>
      </c>
      <c r="F204" s="175"/>
    </row>
    <row r="205" spans="1:6" ht="14.4">
      <c r="A205" s="174" t="s">
        <v>10</v>
      </c>
      <c r="B205" s="168">
        <v>28593</v>
      </c>
      <c r="C205" s="172" t="s">
        <v>314</v>
      </c>
      <c r="D205" s="179">
        <v>433.5</v>
      </c>
      <c r="E205" s="174" t="s">
        <v>80</v>
      </c>
      <c r="F205" s="175"/>
    </row>
    <row r="206" spans="1:6" ht="14.4">
      <c r="A206" s="174" t="s">
        <v>10</v>
      </c>
      <c r="B206" s="168">
        <v>6805</v>
      </c>
      <c r="C206" s="172" t="s">
        <v>316</v>
      </c>
      <c r="D206" s="179">
        <v>533.70000000000005</v>
      </c>
      <c r="E206" s="174" t="s">
        <v>80</v>
      </c>
      <c r="F206" s="175"/>
    </row>
    <row r="207" spans="1:6" ht="14.4">
      <c r="A207" s="174" t="s">
        <v>10</v>
      </c>
      <c r="B207" s="168">
        <v>40979</v>
      </c>
      <c r="C207" s="172" t="s">
        <v>318</v>
      </c>
      <c r="D207" s="179">
        <v>1520.96</v>
      </c>
      <c r="E207" s="174" t="s">
        <v>80</v>
      </c>
      <c r="F207" s="175"/>
    </row>
    <row r="208" spans="1:6" ht="14.4">
      <c r="A208" s="174" t="s">
        <v>10</v>
      </c>
      <c r="B208" s="168">
        <v>44665</v>
      </c>
      <c r="C208" s="172" t="s">
        <v>319</v>
      </c>
      <c r="D208" s="179">
        <v>241.86999999999998</v>
      </c>
      <c r="E208" s="174" t="s">
        <v>80</v>
      </c>
      <c r="F208" s="175"/>
    </row>
    <row r="209" spans="1:6" ht="14.4">
      <c r="A209" s="174" t="s">
        <v>10</v>
      </c>
      <c r="B209" s="168">
        <v>27076</v>
      </c>
      <c r="C209" s="172" t="s">
        <v>320</v>
      </c>
      <c r="D209" s="179">
        <v>198.95</v>
      </c>
      <c r="E209" s="174" t="s">
        <v>80</v>
      </c>
      <c r="F209" s="175"/>
    </row>
    <row r="210" spans="1:6" ht="14.4">
      <c r="A210" s="174" t="s">
        <v>10</v>
      </c>
      <c r="B210" s="169">
        <v>37882</v>
      </c>
      <c r="C210" s="172" t="s">
        <v>321</v>
      </c>
      <c r="D210" s="179">
        <v>778.79999800000007</v>
      </c>
      <c r="E210" s="174" t="s">
        <v>80</v>
      </c>
      <c r="F210" s="175"/>
    </row>
    <row r="211" spans="1:6" ht="14.4">
      <c r="A211" s="174" t="s">
        <v>10</v>
      </c>
      <c r="B211" s="168">
        <v>27660</v>
      </c>
      <c r="C211" s="172" t="s">
        <v>322</v>
      </c>
      <c r="D211" s="179">
        <v>249.45</v>
      </c>
      <c r="E211" s="174" t="s">
        <v>80</v>
      </c>
      <c r="F211" s="175"/>
    </row>
    <row r="212" spans="1:6" ht="14.4">
      <c r="A212" s="174" t="s">
        <v>10</v>
      </c>
      <c r="B212" s="168">
        <v>15850</v>
      </c>
      <c r="C212" s="172" t="s">
        <v>323</v>
      </c>
      <c r="D212" s="179">
        <v>1172.02</v>
      </c>
      <c r="E212" s="174" t="s">
        <v>80</v>
      </c>
      <c r="F212" s="175"/>
    </row>
    <row r="213" spans="1:6" ht="14.4">
      <c r="A213" s="174" t="s">
        <v>10</v>
      </c>
      <c r="B213" s="169">
        <v>24421</v>
      </c>
      <c r="C213" s="172" t="s">
        <v>324</v>
      </c>
      <c r="D213" s="179">
        <v>266.85000000000002</v>
      </c>
      <c r="E213" s="174" t="s">
        <v>80</v>
      </c>
      <c r="F213" s="175"/>
    </row>
    <row r="214" spans="1:6" ht="14.4">
      <c r="A214" s="174" t="s">
        <v>10</v>
      </c>
      <c r="B214" s="169">
        <v>43917</v>
      </c>
      <c r="C214" s="172" t="s">
        <v>325</v>
      </c>
      <c r="D214" s="179">
        <v>402.5</v>
      </c>
      <c r="E214" s="174" t="s">
        <v>80</v>
      </c>
      <c r="F214" s="175"/>
    </row>
    <row r="215" spans="1:6" ht="14.4">
      <c r="A215" s="174" t="s">
        <v>10</v>
      </c>
      <c r="B215" s="169">
        <v>37969</v>
      </c>
      <c r="C215" s="172" t="s">
        <v>326</v>
      </c>
      <c r="D215" s="179">
        <v>320.25</v>
      </c>
      <c r="E215" s="174" t="s">
        <v>80</v>
      </c>
      <c r="F215" s="175"/>
    </row>
    <row r="216" spans="1:6" ht="14.4">
      <c r="A216" s="174" t="s">
        <v>10</v>
      </c>
      <c r="B216" s="169">
        <v>31917</v>
      </c>
      <c r="C216" s="172" t="s">
        <v>327</v>
      </c>
      <c r="D216" s="179">
        <v>278</v>
      </c>
      <c r="E216" s="174" t="s">
        <v>80</v>
      </c>
      <c r="F216" s="175"/>
    </row>
    <row r="217" spans="1:6" ht="14.4">
      <c r="A217" s="174" t="s">
        <v>10</v>
      </c>
      <c r="B217" s="169">
        <v>28556</v>
      </c>
      <c r="C217" s="172" t="s">
        <v>328</v>
      </c>
      <c r="D217" s="179">
        <v>504.72</v>
      </c>
      <c r="E217" s="174" t="s">
        <v>80</v>
      </c>
      <c r="F217" s="175"/>
    </row>
    <row r="218" spans="1:6" ht="14.4">
      <c r="A218" s="174" t="s">
        <v>8</v>
      </c>
      <c r="B218" s="170">
        <v>40184</v>
      </c>
      <c r="C218" s="170" t="s">
        <v>217</v>
      </c>
      <c r="D218" s="180">
        <v>294</v>
      </c>
      <c r="E218" s="174" t="s">
        <v>80</v>
      </c>
      <c r="F218" s="175"/>
    </row>
    <row r="219" spans="1:6" ht="14.4">
      <c r="A219" s="174" t="s">
        <v>8</v>
      </c>
      <c r="B219" s="170">
        <v>43333</v>
      </c>
      <c r="C219" s="170" t="s">
        <v>223</v>
      </c>
      <c r="D219" s="180">
        <v>231.55</v>
      </c>
      <c r="E219" s="174" t="s">
        <v>80</v>
      </c>
      <c r="F219" s="175"/>
    </row>
    <row r="220" spans="1:6" ht="14.4">
      <c r="A220" s="174" t="s">
        <v>8</v>
      </c>
      <c r="B220" s="170">
        <v>41630</v>
      </c>
      <c r="C220" s="170" t="s">
        <v>227</v>
      </c>
      <c r="D220" s="180">
        <v>845</v>
      </c>
      <c r="E220" s="174" t="s">
        <v>80</v>
      </c>
      <c r="F220" s="175"/>
    </row>
    <row r="221" spans="1:6">
      <c r="A221" s="176"/>
      <c r="B221" s="176"/>
      <c r="C221" s="176"/>
      <c r="D221" s="181"/>
      <c r="E221" s="176"/>
    </row>
  </sheetData>
  <autoFilter ref="A1:E220" xr:uid="{70F87CC1-DCA0-4745-851E-B67F8CA3B2F2}">
    <sortState xmlns:xlrd2="http://schemas.microsoft.com/office/spreadsheetml/2017/richdata2" ref="A2:E220">
      <sortCondition ref="E1:E220"/>
    </sortState>
  </autoFilter>
  <phoneticPr fontId="57" type="noConversion"/>
  <conditionalFormatting sqref="B1:B1048576">
    <cfRule type="duplicateValues" dxfId="0" priority="4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>
      <c r="B1" s="11" t="s">
        <v>67</v>
      </c>
    </row>
    <row r="5" spans="1:13">
      <c r="A5" s="294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>
      <c r="A6" s="295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>
      <c r="A7" s="287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293">
        <f>SUM(H7:H10)</f>
        <v>944</v>
      </c>
    </row>
    <row r="8" spans="1:13">
      <c r="A8" s="288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291"/>
    </row>
    <row r="9" spans="1:13">
      <c r="A9" s="288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291"/>
    </row>
    <row r="10" spans="1:13">
      <c r="A10" s="296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292"/>
      <c r="L10" s="290" t="s">
        <v>70</v>
      </c>
      <c r="M10" s="290"/>
    </row>
    <row r="11" spans="1:13">
      <c r="A11" s="287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291">
        <f>SUM(H11:H15)</f>
        <v>129</v>
      </c>
      <c r="L11" s="4" t="s">
        <v>1</v>
      </c>
      <c r="M11" s="4" t="s">
        <v>3</v>
      </c>
    </row>
    <row r="12" spans="1:13">
      <c r="A12" s="288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291"/>
      <c r="L12" s="45" t="s">
        <v>55</v>
      </c>
      <c r="M12" s="2">
        <v>8</v>
      </c>
    </row>
    <row r="13" spans="1:13">
      <c r="A13" s="288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291"/>
      <c r="L13" s="45" t="s">
        <v>6</v>
      </c>
      <c r="M13" s="2">
        <v>5</v>
      </c>
    </row>
    <row r="14" spans="1:13">
      <c r="A14" s="288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291"/>
      <c r="L14" s="45" t="s">
        <v>7</v>
      </c>
      <c r="M14" s="2">
        <v>2</v>
      </c>
    </row>
    <row r="15" spans="1:13">
      <c r="A15" s="289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292"/>
      <c r="L15" s="45" t="s">
        <v>9</v>
      </c>
      <c r="M15" s="2">
        <v>9</v>
      </c>
    </row>
    <row r="16" spans="1:13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>
      <c r="L17" s="5" t="s">
        <v>11</v>
      </c>
      <c r="M17" s="1">
        <v>39</v>
      </c>
    </row>
    <row r="19" spans="1:13">
      <c r="A19" s="294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>
      <c r="A20" s="295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290" t="s">
        <v>75</v>
      </c>
      <c r="M20" s="290"/>
    </row>
    <row r="21" spans="1:13">
      <c r="A21" s="287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293">
        <f>SUM(H21:H24)</f>
        <v>808</v>
      </c>
      <c r="L21" s="29" t="s">
        <v>1</v>
      </c>
      <c r="M21" s="29" t="s">
        <v>2</v>
      </c>
    </row>
    <row r="22" spans="1:13">
      <c r="A22" s="288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291"/>
      <c r="L22" s="45" t="s">
        <v>55</v>
      </c>
      <c r="M22" s="12">
        <v>360</v>
      </c>
    </row>
    <row r="23" spans="1:13">
      <c r="A23" s="288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291"/>
      <c r="L23" s="45" t="s">
        <v>6</v>
      </c>
      <c r="M23" s="12">
        <v>197</v>
      </c>
    </row>
    <row r="24" spans="1:13">
      <c r="A24" s="296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292"/>
      <c r="L24" s="45" t="s">
        <v>7</v>
      </c>
      <c r="M24" s="12">
        <v>218</v>
      </c>
    </row>
    <row r="25" spans="1:13">
      <c r="A25" s="287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291">
        <f>SUM(H25:H29)</f>
        <v>546</v>
      </c>
      <c r="L25" s="45" t="s">
        <v>9</v>
      </c>
      <c r="M25" s="12">
        <v>187</v>
      </c>
    </row>
    <row r="26" spans="1:13">
      <c r="A26" s="288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291"/>
      <c r="L26" s="45" t="s">
        <v>10</v>
      </c>
      <c r="M26" s="12">
        <v>112</v>
      </c>
    </row>
    <row r="27" spans="1:13">
      <c r="A27" s="288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291"/>
      <c r="L27" s="6" t="s">
        <v>11</v>
      </c>
      <c r="M27" s="6">
        <f>SUM(M22:M26)</f>
        <v>1074</v>
      </c>
    </row>
    <row r="28" spans="1:13">
      <c r="A28" s="288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291"/>
    </row>
    <row r="29" spans="1:13">
      <c r="A29" s="289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292"/>
    </row>
    <row r="30" spans="1:13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>
      <c r="G32" s="11" t="s">
        <v>77</v>
      </c>
      <c r="H32" s="11">
        <f>H30-H16</f>
        <v>281</v>
      </c>
    </row>
  </sheetData>
  <mergeCells count="12">
    <mergeCell ref="A5:A6"/>
    <mergeCell ref="A19:A20"/>
    <mergeCell ref="A7:A10"/>
    <mergeCell ref="A11:A15"/>
    <mergeCell ref="A21:A24"/>
    <mergeCell ref="A25:A29"/>
    <mergeCell ref="L10:M10"/>
    <mergeCell ref="I11:I15"/>
    <mergeCell ref="I25:I29"/>
    <mergeCell ref="I7:I10"/>
    <mergeCell ref="I21:I24"/>
    <mergeCell ref="L20:M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EVOLUCAO DOS MESES</vt:lpstr>
      <vt:lpstr>Ariane</vt:lpstr>
      <vt:lpstr>Camila</vt:lpstr>
      <vt:lpstr>Cristielen</vt:lpstr>
      <vt:lpstr>Natalia</vt:lpstr>
      <vt:lpstr>Tatiana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2026-07-05T19:09:43Z</dcterms:modified>
  <cp:category/>
  <cp:contentStatus/>
</cp:coreProperties>
</file>
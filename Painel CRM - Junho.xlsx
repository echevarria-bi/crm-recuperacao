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1" documentId="11_D28D88E1957AB5299FE540226AA26260132FC841" xr6:coauthVersionLast="47" xr6:coauthVersionMax="47" xr10:uidLastSave="{503021E9-35EC-4AAA-A900-8A0AC7DA51B6}"/>
  <bookViews>
    <workbookView xWindow="28680" yWindow="-105" windowWidth="21840" windowHeight="13020" firstSheet="1" activeTab="9" xr2:uid="{00000000-000D-0000-FFFF-FFFF00000000}"/>
  </bookViews>
  <sheets>
    <sheet name="Painel Geral - Abril" sheetId="1" r:id="rId1"/>
    <sheet name="Painel Geral - Maio " sheetId="2" r:id="rId2"/>
    <sheet name="Painel Geral - Junho" sheetId="3" r:id="rId3"/>
    <sheet name="Ariane" sheetId="4" state="hidden" r:id="rId4"/>
    <sheet name="Camila" sheetId="5" state="hidden" r:id="rId5"/>
    <sheet name="Cristielen" sheetId="6" state="hidden" r:id="rId6"/>
    <sheet name="Natalia" sheetId="7" state="hidden" r:id="rId7"/>
    <sheet name="Tatiana" sheetId="8" state="hidden" r:id="rId8"/>
    <sheet name="Painel Geral - Julho" sheetId="9" r:id="rId9"/>
    <sheet name="FATURAMENTO RECUPERACAO" sheetId="10" r:id="rId10"/>
    <sheet name="Planilha1" sheetId="11" state="hidden" r:id="rId11"/>
  </sheets>
  <definedNames>
    <definedName name="_xlnm._FilterDatabase">Tatiana!$AA$2:$AH$2</definedName>
  </definedNames>
  <calcPr calcId="181029"/>
  <fileRecoveryPr repairLoad="1"/>
</workbook>
</file>

<file path=xl/calcChain.xml><?xml version="1.0" encoding="utf-8"?>
<calcChain xmlns="http://schemas.openxmlformats.org/spreadsheetml/2006/main">
  <c r="H30" i="11" l="1"/>
  <c r="G30" i="11"/>
  <c r="F30" i="11"/>
  <c r="E30" i="11"/>
  <c r="D30" i="11"/>
  <c r="C30" i="11"/>
  <c r="H29" i="11"/>
  <c r="H28" i="11"/>
  <c r="M27" i="11"/>
  <c r="H27" i="11"/>
  <c r="H26" i="11"/>
  <c r="H25" i="11"/>
  <c r="I25" i="11" s="1"/>
  <c r="H24" i="11"/>
  <c r="H23" i="11"/>
  <c r="H22" i="11"/>
  <c r="H21" i="11"/>
  <c r="I21" i="11" s="1"/>
  <c r="G16" i="11"/>
  <c r="F16" i="11"/>
  <c r="E16" i="11"/>
  <c r="D16" i="11"/>
  <c r="C16" i="11"/>
  <c r="H16" i="11" s="1"/>
  <c r="H15" i="11"/>
  <c r="H14" i="11"/>
  <c r="H13" i="11"/>
  <c r="H12" i="11"/>
  <c r="H11" i="11"/>
  <c r="I11" i="11" s="1"/>
  <c r="H10" i="11"/>
  <c r="H9" i="11"/>
  <c r="H8" i="11"/>
  <c r="H7" i="11"/>
  <c r="I7" i="11" s="1"/>
  <c r="B10" i="9"/>
  <c r="B11" i="9" s="1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C36" i="2"/>
  <c r="B36" i="2"/>
  <c r="D36" i="2" s="1"/>
  <c r="C35" i="2"/>
  <c r="D35" i="2" s="1"/>
  <c r="B35" i="2"/>
  <c r="C34" i="2"/>
  <c r="D34" i="2" s="1"/>
  <c r="B34" i="2"/>
  <c r="C33" i="2"/>
  <c r="D33" i="2" s="1"/>
  <c r="B33" i="2"/>
  <c r="AB32" i="2"/>
  <c r="AB37" i="2" s="1"/>
  <c r="B32" i="2"/>
  <c r="B37" i="2" s="1"/>
  <c r="F27" i="2"/>
  <c r="E27" i="2"/>
  <c r="D27" i="2"/>
  <c r="C27" i="2"/>
  <c r="B27" i="2"/>
  <c r="G26" i="2"/>
  <c r="G25" i="2"/>
  <c r="G24" i="2"/>
  <c r="G23" i="2"/>
  <c r="G22" i="2"/>
  <c r="G21" i="2"/>
  <c r="G20" i="2"/>
  <c r="G18" i="2"/>
  <c r="G17" i="2"/>
  <c r="G16" i="2"/>
  <c r="G15" i="2"/>
  <c r="B11" i="2"/>
  <c r="B10" i="2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B40" i="1"/>
  <c r="C39" i="1"/>
  <c r="D39" i="1" s="1"/>
  <c r="C38" i="1"/>
  <c r="D38" i="1" s="1"/>
  <c r="C37" i="1"/>
  <c r="D37" i="1" s="1"/>
  <c r="C36" i="1"/>
  <c r="D36" i="1" s="1"/>
  <c r="C35" i="1"/>
  <c r="C40" i="1" s="1"/>
  <c r="D40" i="1" s="1"/>
  <c r="F30" i="1"/>
  <c r="E30" i="1"/>
  <c r="D30" i="1"/>
  <c r="C30" i="1"/>
  <c r="B30" i="1"/>
  <c r="G29" i="1"/>
  <c r="G28" i="1"/>
  <c r="G27" i="1"/>
  <c r="G26" i="1"/>
  <c r="G25" i="1"/>
  <c r="B10" i="1" s="1"/>
  <c r="B11" i="1" s="1"/>
  <c r="G24" i="1"/>
  <c r="G23" i="1"/>
  <c r="G22" i="1"/>
  <c r="G21" i="1"/>
  <c r="G20" i="1"/>
  <c r="G18" i="1"/>
  <c r="G17" i="1"/>
  <c r="G16" i="1"/>
  <c r="G15" i="1"/>
  <c r="H32" i="11" l="1"/>
  <c r="C32" i="2"/>
  <c r="D35" i="1"/>
  <c r="D32" i="2" l="1"/>
  <c r="C37" i="2"/>
  <c r="D37" i="2" s="1"/>
</calcChain>
</file>

<file path=xl/sharedStrings.xml><?xml version="1.0" encoding="utf-8"?>
<sst xmlns="http://schemas.openxmlformats.org/spreadsheetml/2006/main" count="1583" uniqueCount="200">
  <si>
    <t>META RECUPERACAO</t>
  </si>
  <si>
    <t>Profissional</t>
  </si>
  <si>
    <t>Meta</t>
  </si>
  <si>
    <t>Realizado</t>
  </si>
  <si>
    <t>%</t>
  </si>
  <si>
    <t>Real</t>
  </si>
  <si>
    <t>Anna</t>
  </si>
  <si>
    <t>Ariane</t>
  </si>
  <si>
    <t>Camila</t>
  </si>
  <si>
    <t>Natália</t>
  </si>
  <si>
    <t>Tatiana</t>
  </si>
  <si>
    <t>Total</t>
  </si>
  <si>
    <t>Conversão Total (Televendas + RCA)</t>
  </si>
  <si>
    <t>Excedente</t>
  </si>
  <si>
    <t>DADOS DO DIA - PAINEL CONSOLIDADO</t>
  </si>
  <si>
    <t>Faixa de Inatividade</t>
  </si>
  <si>
    <t>45 a 59 Risco</t>
  </si>
  <si>
    <t>60 a 74 Atenção</t>
  </si>
  <si>
    <t>75 a 84 Crítico</t>
  </si>
  <si>
    <t>85 a 90 Urgente</t>
  </si>
  <si>
    <t>Motivos</t>
  </si>
  <si>
    <t>Não atendeu</t>
  </si>
  <si>
    <t>Contatos Efetivo</t>
  </si>
  <si>
    <t>Baixado/Outros</t>
  </si>
  <si>
    <t>Pedido Mínimo</t>
  </si>
  <si>
    <t>Ativo por temporada</t>
  </si>
  <si>
    <t>Conversão / Venda RCA Externo</t>
  </si>
  <si>
    <t>Telefone incorreto</t>
  </si>
  <si>
    <t>Problema Financeiro</t>
  </si>
  <si>
    <t>Conversão / Televendas</t>
  </si>
  <si>
    <t>Contatos Realizados (Não conta pra meta)</t>
  </si>
  <si>
    <t>META CONTATOS - DETERMINADA DE 15 À 30/04</t>
  </si>
  <si>
    <t>Cristielen</t>
  </si>
  <si>
    <t>META CONTATOS - DETERMINADA DE 04/05 À 29/05</t>
  </si>
  <si>
    <t>Não atendeu/Não retornou</t>
  </si>
  <si>
    <t xml:space="preserve">META CONTATOS </t>
  </si>
  <si>
    <t>Semana 1</t>
  </si>
  <si>
    <t>Semana 2</t>
  </si>
  <si>
    <t>Semana 3</t>
  </si>
  <si>
    <t>Semana 4</t>
  </si>
  <si>
    <t>Semana 5</t>
  </si>
  <si>
    <t>Qtdade</t>
  </si>
  <si>
    <t>ID:</t>
  </si>
  <si>
    <t>CLIENTE</t>
  </si>
  <si>
    <t>Nova Venda</t>
  </si>
  <si>
    <t>Valor</t>
  </si>
  <si>
    <t>Penultima venda</t>
  </si>
  <si>
    <t>RCA</t>
  </si>
  <si>
    <t>Prazo</t>
  </si>
  <si>
    <t>58.161.664 SIMONE CARVALHO DA SILVA</t>
  </si>
  <si>
    <t>Moacir</t>
  </si>
  <si>
    <t>Meta Conversão</t>
  </si>
  <si>
    <t>s</t>
  </si>
  <si>
    <t>t</t>
  </si>
  <si>
    <t>q</t>
  </si>
  <si>
    <t>CATIA MICHELE BONILHA PINTO</t>
  </si>
  <si>
    <t>Lauren</t>
  </si>
  <si>
    <t>MARCELO SPALDING SCHUMACHER</t>
  </si>
  <si>
    <t>Conversão</t>
  </si>
  <si>
    <t>40.327.341 FABIANO DUTRA MELLO</t>
  </si>
  <si>
    <t>André</t>
  </si>
  <si>
    <t>27.694.894 CLAUDETE LAVI MARQUES</t>
  </si>
  <si>
    <t>62.638.466 LUANA TAIS DA ROCHA RIBEIRO</t>
  </si>
  <si>
    <t>Henrique</t>
  </si>
  <si>
    <t>Item</t>
  </si>
  <si>
    <t>PERETTO COMERCIO DE ALIMENTOS LTDA</t>
  </si>
  <si>
    <t>BROTHERS CAFETERIA LTDA</t>
  </si>
  <si>
    <t>Douglas</t>
  </si>
  <si>
    <t>63.837.950 LUCAS SANTOS CRUZ</t>
  </si>
  <si>
    <t>CATHERINE OKCHSTEIN KELBERT 78874645015</t>
  </si>
  <si>
    <t>TANIA LIMA DA COSTA 47171812049</t>
  </si>
  <si>
    <t>MOACIR DOMINGOS MOCELLIN</t>
  </si>
  <si>
    <t>Contato Efetivo</t>
  </si>
  <si>
    <t>SUL BEER BAR LTDA</t>
  </si>
  <si>
    <t>Alexsandro</t>
  </si>
  <si>
    <t>60.267.140 KESIA TELLES RODRIGUES CHAVES</t>
  </si>
  <si>
    <t>JONAS MENDES VIEIRA</t>
  </si>
  <si>
    <t>57.087.406 RODRIGO RAMOS FORTUNATO</t>
  </si>
  <si>
    <t>Meta Contato</t>
  </si>
  <si>
    <t>Contatos Realizados- CONTROLE META</t>
  </si>
  <si>
    <t>P</t>
  </si>
  <si>
    <t>MARCOS OLIVEIRA RODRIGUES</t>
  </si>
  <si>
    <t>47.829.257 CAROLINE DE OLIVEIRA FIGUEIRO</t>
  </si>
  <si>
    <t>ANGELICA DA COSTA SCHUMACHER</t>
  </si>
  <si>
    <t>LUANA DA CUNHA LEGEMANN</t>
  </si>
  <si>
    <t>Natalia</t>
  </si>
  <si>
    <t>TAMIRIS MAGALHAES DE OLIVEIRA</t>
  </si>
  <si>
    <t>26.553.758 JOICY BOTELHO MEDEIROS</t>
  </si>
  <si>
    <t>60.588.164 DIELI MARIANO ANTUNES</t>
  </si>
  <si>
    <t>58.961.833 ERICK DA SILVA DUARTE</t>
  </si>
  <si>
    <t>ADAO MESQUITA MENDES</t>
  </si>
  <si>
    <t>Larissa</t>
  </si>
  <si>
    <t>ANA MARTINS SODRE</t>
  </si>
  <si>
    <t>Rose</t>
  </si>
  <si>
    <t>COMERCIO SABIO LTDA</t>
  </si>
  <si>
    <t>LUANA POGORZELSKI WEBER</t>
  </si>
  <si>
    <t>Franciele</t>
  </si>
  <si>
    <t>CLEONICE SILVA CAMEJO KLOECKNER</t>
  </si>
  <si>
    <t>50.494.223 VIVIANE JACQUES GOMES JARDIM</t>
  </si>
  <si>
    <t>NADIA GOMES BITTENCOURT ZEFERINO</t>
  </si>
  <si>
    <t>P P DE LEON ANAN LTDA</t>
  </si>
  <si>
    <t>PEDRO A VON MUHLEN &amp; CIA LTDA</t>
  </si>
  <si>
    <t>NICK SOUZA FARIAS</t>
  </si>
  <si>
    <t>DALVA SCHEFFER HOMEM</t>
  </si>
  <si>
    <t>JADIANE DE SOUZA MIRANDA</t>
  </si>
  <si>
    <t>Jairo</t>
  </si>
  <si>
    <t>CLAUDIO LUIZ ANTONIO DA SILVA</t>
  </si>
  <si>
    <t>xx</t>
  </si>
  <si>
    <t>ROSELE MEDINA GASQUE</t>
  </si>
  <si>
    <t>JULIA MACHADO FERREIRA</t>
  </si>
  <si>
    <t>Eduarda</t>
  </si>
  <si>
    <t>ROSELENE CARVALHO BIBIANO</t>
  </si>
  <si>
    <t>SINGULAR GOURMET GASTRONOMIA LTDA</t>
  </si>
  <si>
    <t>56.356.834 SABRINA VITORIA OLIVEIRA DA SILVA</t>
  </si>
  <si>
    <t>CAROLAINE MACHADO</t>
  </si>
  <si>
    <t>Elisiane</t>
  </si>
  <si>
    <t>LUCILENE BATISTA DE OLIVEIRA</t>
  </si>
  <si>
    <t>BRUNO TELLES CAMARGO</t>
  </si>
  <si>
    <t>SCARTEZZINI E GRIEBELER LTDA</t>
  </si>
  <si>
    <t>SANDRO DE OLIVEIRA TORMAN</t>
  </si>
  <si>
    <t>GIOVANA BORTOLOTTI LTDA</t>
  </si>
  <si>
    <t>FABIANE SANTOS CARVALHO</t>
  </si>
  <si>
    <t>EMILENE DA SILVA RAMOS</t>
  </si>
  <si>
    <t>54.188.182 NEUZA MARIA NAZARIO DOS SANTOS</t>
  </si>
  <si>
    <t>DARCIRIO PEREIRA DOS SANTOS JUNIOR</t>
  </si>
  <si>
    <t>DARLEI MOREIRA</t>
  </si>
  <si>
    <t>SCHAEFER SORVETERIA LTDA</t>
  </si>
  <si>
    <t>27.921.852 ANIR JOVENIL FAOTTO</t>
  </si>
  <si>
    <t>VILMAR FRANCISCO DE INHAIA</t>
  </si>
  <si>
    <t>JULIO CESAR VIANA PRATES 43984363087</t>
  </si>
  <si>
    <t>LUCAS WILLIAN DE MOURA MACHADO</t>
  </si>
  <si>
    <t>VIVIANE BASTOS COSTAS</t>
  </si>
  <si>
    <t>Renata</t>
  </si>
  <si>
    <t>53.660.499 MIRTENES GOMES MENEZES</t>
  </si>
  <si>
    <t>ACALENTO NUCLEO DE EDUCACAO INFANTIL LTDA</t>
  </si>
  <si>
    <t>57.081.732 EVELIN EDUARDA SESTHERAIM</t>
  </si>
  <si>
    <t>51.971.735 MONICA CRISTIANE ALVES</t>
  </si>
  <si>
    <t>LISANDRA MARIA LUDWIG</t>
  </si>
  <si>
    <t>62.668.950 ANA PAULA DA SILVA</t>
  </si>
  <si>
    <t>COMERCIAL DE ALIMENTOS FRANGO NO POTE LIVRAMENTO LTDA</t>
  </si>
  <si>
    <t>CARMEN BORGES</t>
  </si>
  <si>
    <t>TIAGO SANTOS DE PAULA 02799573002</t>
  </si>
  <si>
    <t>12.683.141 CATLEN CHAIANA DA SILVA TEIXE</t>
  </si>
  <si>
    <t>RAFAEL FRANCO DOS SANTOS</t>
  </si>
  <si>
    <t>LANCHONETE VRM LTDA</t>
  </si>
  <si>
    <t>Esteio</t>
  </si>
  <si>
    <t>MASTER PIZZA PIZZARIA LTDA</t>
  </si>
  <si>
    <t>62.199.517 CLAUDIMARA VICENTINA DE CARVALHO BEISE</t>
  </si>
  <si>
    <t>46.445.588 MEIRY JANE FARIAS NEGIDIO</t>
  </si>
  <si>
    <t>ROSALINA RIBEIRO GOES VAZZATA 9798472802</t>
  </si>
  <si>
    <t>Andreia</t>
  </si>
  <si>
    <t>CASA DI PAOLO GALETO E GRELHADOS BENTO EIRELI</t>
  </si>
  <si>
    <t>RESTAURANTE SAN GENNARO LTDA</t>
  </si>
  <si>
    <t>AIRTON J.C. DE FARIAS</t>
  </si>
  <si>
    <t>JISIANE DA SILVA FONSECA</t>
  </si>
  <si>
    <t>BEAR ICE GELO EM CUBOS LTDA</t>
  </si>
  <si>
    <t>63.126.225 REGIS PEREIRA DE LIMA</t>
  </si>
  <si>
    <t>Evandro</t>
  </si>
  <si>
    <t>CAMILA MACHADO ELICKER 00477725066</t>
  </si>
  <si>
    <t>DANIEL JOSE OLIVEIRA DE OLIVEIRA</t>
  </si>
  <si>
    <t>57.953.114 RAFAEL LIMA DE OLIVEIRA</t>
  </si>
  <si>
    <t>Ulisses</t>
  </si>
  <si>
    <t>LUIZ TORALES</t>
  </si>
  <si>
    <t>JOTANIL COMERCIO DE ALIMENTOS LTDA</t>
  </si>
  <si>
    <t>CRISTIANE TELES VIEIRA LTDA</t>
  </si>
  <si>
    <t>LUIS FERNANDO SILVA HENRIQUE 00868555061</t>
  </si>
  <si>
    <t>JUCA LANCHES LTDA ME</t>
  </si>
  <si>
    <t>14.409.681 FERNANDO LUDWIG DE BITENCOURT</t>
  </si>
  <si>
    <t>JAQUELINE DA SILVA</t>
  </si>
  <si>
    <t>Ariane - POA</t>
  </si>
  <si>
    <t>Camila - SUL</t>
  </si>
  <si>
    <t>Cristielen - VALE DOS SINOS</t>
  </si>
  <si>
    <t>Tatiana - SERRA</t>
  </si>
  <si>
    <t>Tatiana - LITORAL</t>
  </si>
  <si>
    <t>DADOS DO DIA 13/07/2025 - PAINEL CONSOLIDADO</t>
  </si>
  <si>
    <t>POA</t>
  </si>
  <si>
    <t>SUL</t>
  </si>
  <si>
    <t>VALE DOS SINOS</t>
  </si>
  <si>
    <t>SERRA</t>
  </si>
  <si>
    <t>LITORAL</t>
  </si>
  <si>
    <t xml:space="preserve">                                </t>
  </si>
  <si>
    <t>90 a 104</t>
  </si>
  <si>
    <t>TELEVENDEDORA</t>
  </si>
  <si>
    <t>CODCLI</t>
  </si>
  <si>
    <t>MÊS</t>
  </si>
  <si>
    <t>Abril</t>
  </si>
  <si>
    <t>Junho</t>
  </si>
  <si>
    <t>Maio</t>
  </si>
  <si>
    <t>Julho</t>
  </si>
  <si>
    <t>Tatiana Litoral</t>
  </si>
  <si>
    <t>Comparação do dia 8 para 17/4</t>
  </si>
  <si>
    <t>POSIÇÃO 8/4</t>
  </si>
  <si>
    <t>Entrou</t>
  </si>
  <si>
    <t>META CONVERSÃO FEITA</t>
  </si>
  <si>
    <t>Foi trabalhado</t>
  </si>
  <si>
    <t>Baixado Bloqueado/Prob Financeiro</t>
  </si>
  <si>
    <t>POSIÇÃO 17/4</t>
  </si>
  <si>
    <t>META LIGAÇÃO/MENSAGEM</t>
  </si>
  <si>
    <t>Ataulizou entrou</t>
  </si>
  <si>
    <t>NOVOS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</si>
</sst>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R40"/>
  <sheetViews>
    <sheetView workbookViewId="0"/>
  </sheetViews>
  <sheetFormatPr defaultRowHeight="14.4" x14ac:dyDescent="0.3"/>
  <sheetData>
    <row r="2" spans="1:44" x14ac:dyDescent="0.3">
      <c r="A2" t="s">
        <v>0</v>
      </c>
      <c r="E2">
        <v>1</v>
      </c>
      <c r="G2">
        <v>2</v>
      </c>
      <c r="I2">
        <v>6</v>
      </c>
      <c r="K2">
        <v>7</v>
      </c>
      <c r="M2">
        <v>8</v>
      </c>
      <c r="O2">
        <v>9</v>
      </c>
      <c r="Q2">
        <v>10</v>
      </c>
      <c r="S2">
        <v>13</v>
      </c>
      <c r="U2">
        <v>14</v>
      </c>
      <c r="W2">
        <v>15</v>
      </c>
      <c r="Y2">
        <v>16</v>
      </c>
      <c r="AA2">
        <v>17</v>
      </c>
      <c r="AC2">
        <v>20</v>
      </c>
      <c r="AE2">
        <v>22</v>
      </c>
      <c r="AG2">
        <v>23</v>
      </c>
      <c r="AI2">
        <v>24</v>
      </c>
      <c r="AK2">
        <v>27</v>
      </c>
      <c r="AM2">
        <v>28</v>
      </c>
      <c r="AO2">
        <v>29</v>
      </c>
      <c r="AQ2">
        <v>30</v>
      </c>
    </row>
    <row r="3" spans="1:44" x14ac:dyDescent="0.3">
      <c r="A3" t="s">
        <v>1</v>
      </c>
      <c r="B3" t="s">
        <v>2</v>
      </c>
      <c r="C3" t="s">
        <v>3</v>
      </c>
      <c r="D3" t="s">
        <v>4</v>
      </c>
      <c r="E3" t="s">
        <v>2</v>
      </c>
      <c r="F3" t="s">
        <v>5</v>
      </c>
      <c r="G3" t="s">
        <v>2</v>
      </c>
      <c r="H3" t="s">
        <v>5</v>
      </c>
      <c r="I3" t="s">
        <v>2</v>
      </c>
      <c r="J3" t="s">
        <v>5</v>
      </c>
      <c r="K3" t="s">
        <v>2</v>
      </c>
      <c r="L3" t="s">
        <v>5</v>
      </c>
      <c r="M3" t="s">
        <v>2</v>
      </c>
      <c r="N3" t="s">
        <v>5</v>
      </c>
      <c r="O3" t="s">
        <v>2</v>
      </c>
      <c r="P3" t="s">
        <v>5</v>
      </c>
      <c r="Q3" t="s">
        <v>2</v>
      </c>
      <c r="R3" t="s">
        <v>5</v>
      </c>
      <c r="S3" t="s">
        <v>2</v>
      </c>
      <c r="T3" t="s">
        <v>5</v>
      </c>
      <c r="U3" t="s">
        <v>2</v>
      </c>
      <c r="V3" t="s">
        <v>5</v>
      </c>
      <c r="W3" t="s">
        <v>2</v>
      </c>
      <c r="X3" t="s">
        <v>5</v>
      </c>
      <c r="Y3" t="s">
        <v>2</v>
      </c>
      <c r="Z3" t="s">
        <v>5</v>
      </c>
      <c r="AA3" t="s">
        <v>2</v>
      </c>
      <c r="AB3" t="s">
        <v>5</v>
      </c>
      <c r="AC3" t="s">
        <v>2</v>
      </c>
      <c r="AD3" t="s">
        <v>5</v>
      </c>
      <c r="AE3" t="s">
        <v>2</v>
      </c>
      <c r="AF3" t="s">
        <v>5</v>
      </c>
      <c r="AG3" t="s">
        <v>2</v>
      </c>
      <c r="AH3" t="s">
        <v>5</v>
      </c>
      <c r="AI3" t="s">
        <v>2</v>
      </c>
      <c r="AJ3" t="s">
        <v>5</v>
      </c>
      <c r="AK3" t="s">
        <v>2</v>
      </c>
      <c r="AL3" t="s">
        <v>5</v>
      </c>
      <c r="AM3" t="s">
        <v>2</v>
      </c>
      <c r="AN3" t="s">
        <v>5</v>
      </c>
      <c r="AO3" t="s">
        <v>2</v>
      </c>
      <c r="AP3" t="s">
        <v>5</v>
      </c>
      <c r="AQ3" t="s">
        <v>2</v>
      </c>
      <c r="AR3" t="s">
        <v>5</v>
      </c>
    </row>
    <row r="4" spans="1:44" x14ac:dyDescent="0.3">
      <c r="A4" t="s">
        <v>6</v>
      </c>
      <c r="B4">
        <v>72</v>
      </c>
      <c r="C4">
        <v>20</v>
      </c>
      <c r="D4">
        <v>0.28000000000000003</v>
      </c>
      <c r="E4">
        <v>4</v>
      </c>
      <c r="F4">
        <v>2</v>
      </c>
      <c r="G4">
        <v>4</v>
      </c>
      <c r="H4">
        <v>0</v>
      </c>
      <c r="I4">
        <v>4</v>
      </c>
      <c r="J4">
        <v>0</v>
      </c>
      <c r="K4">
        <v>4</v>
      </c>
      <c r="L4">
        <v>0</v>
      </c>
      <c r="M4">
        <v>4</v>
      </c>
      <c r="N4">
        <v>0</v>
      </c>
      <c r="O4">
        <v>4</v>
      </c>
      <c r="P4">
        <v>2</v>
      </c>
      <c r="Q4">
        <v>4</v>
      </c>
      <c r="R4">
        <v>0</v>
      </c>
      <c r="S4">
        <v>4</v>
      </c>
      <c r="T4">
        <v>0</v>
      </c>
      <c r="U4">
        <v>4</v>
      </c>
      <c r="V4">
        <v>1</v>
      </c>
      <c r="W4">
        <v>4</v>
      </c>
      <c r="X4">
        <v>0</v>
      </c>
      <c r="Y4">
        <v>4</v>
      </c>
      <c r="Z4">
        <v>3</v>
      </c>
      <c r="AA4">
        <v>4</v>
      </c>
      <c r="AB4">
        <v>0</v>
      </c>
      <c r="AC4">
        <v>4</v>
      </c>
      <c r="AD4">
        <v>1</v>
      </c>
      <c r="AE4">
        <v>4</v>
      </c>
      <c r="AF4">
        <v>3</v>
      </c>
      <c r="AG4">
        <v>4</v>
      </c>
      <c r="AH4">
        <v>1</v>
      </c>
      <c r="AI4">
        <v>4</v>
      </c>
      <c r="AJ4">
        <v>0</v>
      </c>
      <c r="AK4">
        <v>4</v>
      </c>
      <c r="AL4">
        <v>3</v>
      </c>
      <c r="AM4">
        <v>4</v>
      </c>
      <c r="AN4">
        <v>2</v>
      </c>
      <c r="AO4">
        <v>4</v>
      </c>
      <c r="AP4">
        <v>2</v>
      </c>
      <c r="AQ4">
        <v>4</v>
      </c>
      <c r="AR4">
        <v>0</v>
      </c>
    </row>
    <row r="5" spans="1:44" x14ac:dyDescent="0.3">
      <c r="A5" t="s">
        <v>7</v>
      </c>
      <c r="B5">
        <v>39</v>
      </c>
      <c r="C5">
        <v>11</v>
      </c>
      <c r="D5">
        <v>0.28000000000000003</v>
      </c>
      <c r="E5">
        <v>2</v>
      </c>
      <c r="F5">
        <v>0</v>
      </c>
      <c r="G5">
        <v>2</v>
      </c>
      <c r="H5">
        <v>0</v>
      </c>
      <c r="I5">
        <v>2</v>
      </c>
      <c r="J5">
        <v>0</v>
      </c>
      <c r="K5">
        <v>2</v>
      </c>
      <c r="L5">
        <v>0</v>
      </c>
      <c r="M5">
        <v>2</v>
      </c>
      <c r="N5">
        <v>0</v>
      </c>
      <c r="O5">
        <v>2</v>
      </c>
      <c r="P5">
        <v>0</v>
      </c>
      <c r="Q5">
        <v>2</v>
      </c>
      <c r="R5">
        <v>0</v>
      </c>
      <c r="S5">
        <v>2</v>
      </c>
      <c r="T5">
        <v>1</v>
      </c>
      <c r="U5">
        <v>2</v>
      </c>
      <c r="V5">
        <v>0</v>
      </c>
      <c r="W5">
        <v>2</v>
      </c>
      <c r="X5">
        <v>1</v>
      </c>
      <c r="Y5">
        <v>2</v>
      </c>
      <c r="Z5">
        <v>4</v>
      </c>
      <c r="AA5">
        <v>2</v>
      </c>
      <c r="AB5">
        <v>0</v>
      </c>
      <c r="AC5">
        <v>2</v>
      </c>
      <c r="AD5">
        <v>1</v>
      </c>
      <c r="AE5">
        <v>2</v>
      </c>
      <c r="AF5">
        <v>1</v>
      </c>
      <c r="AG5">
        <v>2</v>
      </c>
      <c r="AH5">
        <v>1</v>
      </c>
      <c r="AI5">
        <v>2</v>
      </c>
      <c r="AJ5">
        <v>0</v>
      </c>
      <c r="AK5">
        <v>2</v>
      </c>
      <c r="AL5">
        <v>1</v>
      </c>
      <c r="AM5">
        <v>2</v>
      </c>
      <c r="AN5">
        <v>1</v>
      </c>
      <c r="AO5">
        <v>2</v>
      </c>
      <c r="AP5">
        <v>0</v>
      </c>
      <c r="AQ5">
        <v>2</v>
      </c>
      <c r="AR5">
        <v>0</v>
      </c>
    </row>
    <row r="6" spans="1:44" x14ac:dyDescent="0.3">
      <c r="A6" t="s">
        <v>8</v>
      </c>
      <c r="B6">
        <v>44</v>
      </c>
      <c r="C6">
        <v>3</v>
      </c>
      <c r="D6">
        <v>7.0000000000000007E-2</v>
      </c>
      <c r="E6">
        <v>3</v>
      </c>
      <c r="F6">
        <v>0</v>
      </c>
      <c r="G6">
        <v>3</v>
      </c>
      <c r="H6">
        <v>0</v>
      </c>
      <c r="I6">
        <v>3</v>
      </c>
      <c r="J6">
        <v>0</v>
      </c>
      <c r="K6">
        <v>3</v>
      </c>
      <c r="L6">
        <v>0</v>
      </c>
      <c r="M6">
        <v>3</v>
      </c>
      <c r="N6">
        <v>0</v>
      </c>
      <c r="O6">
        <v>3</v>
      </c>
      <c r="P6">
        <v>0</v>
      </c>
      <c r="Q6">
        <v>3</v>
      </c>
      <c r="R6">
        <v>0</v>
      </c>
      <c r="S6">
        <v>3</v>
      </c>
      <c r="T6">
        <v>0</v>
      </c>
      <c r="U6">
        <v>3</v>
      </c>
      <c r="V6">
        <v>0</v>
      </c>
      <c r="W6">
        <v>3</v>
      </c>
      <c r="X6">
        <v>0</v>
      </c>
      <c r="Y6">
        <v>3</v>
      </c>
      <c r="Z6">
        <v>1</v>
      </c>
      <c r="AA6">
        <v>3</v>
      </c>
      <c r="AB6">
        <v>0</v>
      </c>
      <c r="AC6">
        <v>3</v>
      </c>
      <c r="AD6">
        <v>0</v>
      </c>
      <c r="AE6">
        <v>3</v>
      </c>
      <c r="AF6">
        <v>0</v>
      </c>
      <c r="AG6">
        <v>3</v>
      </c>
      <c r="AH6">
        <v>0</v>
      </c>
      <c r="AI6">
        <v>3</v>
      </c>
      <c r="AJ6">
        <v>1</v>
      </c>
      <c r="AK6">
        <v>3</v>
      </c>
      <c r="AL6">
        <v>0</v>
      </c>
      <c r="AM6">
        <v>3</v>
      </c>
      <c r="AN6">
        <v>1</v>
      </c>
      <c r="AO6">
        <v>3</v>
      </c>
      <c r="AP6">
        <v>0</v>
      </c>
      <c r="AQ6">
        <v>3</v>
      </c>
      <c r="AR6">
        <v>0</v>
      </c>
    </row>
    <row r="7" spans="1:44" x14ac:dyDescent="0.3">
      <c r="A7" t="s">
        <v>9</v>
      </c>
      <c r="B7">
        <v>37</v>
      </c>
      <c r="C7">
        <v>17</v>
      </c>
      <c r="D7">
        <v>0.46</v>
      </c>
      <c r="E7">
        <v>2</v>
      </c>
      <c r="F7">
        <v>0</v>
      </c>
      <c r="G7">
        <v>2</v>
      </c>
      <c r="H7">
        <v>0</v>
      </c>
      <c r="I7">
        <v>2</v>
      </c>
      <c r="J7">
        <v>1</v>
      </c>
      <c r="K7">
        <v>2</v>
      </c>
      <c r="L7">
        <v>0</v>
      </c>
      <c r="M7">
        <v>2</v>
      </c>
      <c r="N7">
        <v>0</v>
      </c>
      <c r="O7">
        <v>2</v>
      </c>
      <c r="P7">
        <v>2</v>
      </c>
      <c r="Q7">
        <v>2</v>
      </c>
      <c r="R7">
        <v>2</v>
      </c>
      <c r="S7">
        <v>2</v>
      </c>
      <c r="T7">
        <v>1</v>
      </c>
      <c r="U7">
        <v>2</v>
      </c>
      <c r="V7">
        <v>1</v>
      </c>
      <c r="W7">
        <v>2</v>
      </c>
      <c r="X7">
        <v>1</v>
      </c>
      <c r="Y7">
        <v>2</v>
      </c>
      <c r="Z7">
        <v>0</v>
      </c>
      <c r="AA7">
        <v>2</v>
      </c>
      <c r="AB7">
        <v>0</v>
      </c>
      <c r="AC7">
        <v>2</v>
      </c>
      <c r="AD7">
        <v>0</v>
      </c>
      <c r="AE7">
        <v>2</v>
      </c>
      <c r="AF7">
        <v>1</v>
      </c>
      <c r="AG7">
        <v>2</v>
      </c>
      <c r="AH7">
        <v>1</v>
      </c>
      <c r="AI7">
        <v>2</v>
      </c>
      <c r="AJ7">
        <v>1</v>
      </c>
      <c r="AK7">
        <v>2</v>
      </c>
      <c r="AL7">
        <v>1</v>
      </c>
      <c r="AM7">
        <v>2</v>
      </c>
      <c r="AN7">
        <v>5</v>
      </c>
      <c r="AO7">
        <v>2</v>
      </c>
      <c r="AP7">
        <v>0</v>
      </c>
      <c r="AQ7">
        <v>2</v>
      </c>
      <c r="AR7">
        <v>0</v>
      </c>
    </row>
    <row r="8" spans="1:44" x14ac:dyDescent="0.3">
      <c r="A8" t="s">
        <v>10</v>
      </c>
      <c r="B8">
        <v>22</v>
      </c>
      <c r="C8">
        <v>22</v>
      </c>
      <c r="D8">
        <v>1</v>
      </c>
      <c r="E8">
        <v>2</v>
      </c>
      <c r="F8">
        <v>0</v>
      </c>
      <c r="G8">
        <v>2</v>
      </c>
      <c r="H8">
        <v>1</v>
      </c>
      <c r="I8">
        <v>1</v>
      </c>
      <c r="J8">
        <v>0</v>
      </c>
      <c r="K8">
        <v>1</v>
      </c>
      <c r="L8">
        <v>3</v>
      </c>
      <c r="M8">
        <v>1</v>
      </c>
      <c r="N8">
        <v>2</v>
      </c>
      <c r="O8">
        <v>1</v>
      </c>
      <c r="P8">
        <v>1</v>
      </c>
      <c r="Q8">
        <v>1</v>
      </c>
      <c r="R8">
        <v>1</v>
      </c>
      <c r="S8">
        <v>1</v>
      </c>
      <c r="T8">
        <v>3</v>
      </c>
      <c r="U8">
        <v>1</v>
      </c>
      <c r="V8">
        <v>0</v>
      </c>
      <c r="W8">
        <v>1</v>
      </c>
      <c r="X8">
        <v>2</v>
      </c>
      <c r="Y8">
        <v>1</v>
      </c>
      <c r="Z8">
        <v>0</v>
      </c>
      <c r="AA8">
        <v>1</v>
      </c>
      <c r="AB8">
        <v>0</v>
      </c>
      <c r="AC8">
        <v>1</v>
      </c>
      <c r="AD8">
        <v>3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1</v>
      </c>
      <c r="AL8">
        <v>2</v>
      </c>
      <c r="AM8">
        <v>1</v>
      </c>
      <c r="AN8">
        <v>1</v>
      </c>
      <c r="AO8">
        <v>1</v>
      </c>
      <c r="AP8">
        <v>1</v>
      </c>
      <c r="AQ8">
        <v>1</v>
      </c>
      <c r="AR8">
        <v>0</v>
      </c>
    </row>
    <row r="9" spans="1:44" x14ac:dyDescent="0.3">
      <c r="A9" t="s">
        <v>11</v>
      </c>
      <c r="B9">
        <v>214</v>
      </c>
      <c r="C9">
        <v>73</v>
      </c>
      <c r="D9">
        <v>0.34</v>
      </c>
      <c r="E9">
        <v>13</v>
      </c>
      <c r="F9">
        <v>2</v>
      </c>
      <c r="G9">
        <v>13</v>
      </c>
      <c r="H9">
        <v>1</v>
      </c>
      <c r="I9">
        <v>12</v>
      </c>
      <c r="J9">
        <v>1</v>
      </c>
      <c r="K9">
        <v>12</v>
      </c>
      <c r="L9">
        <v>3</v>
      </c>
      <c r="M9">
        <v>12</v>
      </c>
      <c r="N9">
        <v>2</v>
      </c>
      <c r="O9">
        <v>12</v>
      </c>
      <c r="P9">
        <v>5</v>
      </c>
      <c r="Q9">
        <v>12</v>
      </c>
      <c r="R9">
        <v>3</v>
      </c>
      <c r="S9">
        <v>12</v>
      </c>
      <c r="T9">
        <v>5</v>
      </c>
      <c r="U9">
        <v>12</v>
      </c>
      <c r="V9">
        <v>2</v>
      </c>
      <c r="W9">
        <v>12</v>
      </c>
      <c r="X9">
        <v>4</v>
      </c>
      <c r="Y9">
        <v>12</v>
      </c>
      <c r="Z9">
        <v>8</v>
      </c>
      <c r="AA9">
        <v>12</v>
      </c>
      <c r="AB9">
        <v>0</v>
      </c>
      <c r="AC9">
        <v>12</v>
      </c>
      <c r="AD9">
        <v>5</v>
      </c>
      <c r="AE9">
        <v>12</v>
      </c>
      <c r="AF9">
        <v>6</v>
      </c>
      <c r="AG9">
        <v>12</v>
      </c>
      <c r="AH9">
        <v>4</v>
      </c>
      <c r="AI9">
        <v>12</v>
      </c>
      <c r="AJ9">
        <v>2</v>
      </c>
      <c r="AK9">
        <v>12</v>
      </c>
      <c r="AL9">
        <v>7</v>
      </c>
      <c r="AM9">
        <v>12</v>
      </c>
      <c r="AN9">
        <v>10</v>
      </c>
      <c r="AO9">
        <v>12</v>
      </c>
      <c r="AP9">
        <v>3</v>
      </c>
      <c r="AQ9">
        <v>12</v>
      </c>
      <c r="AR9">
        <v>0</v>
      </c>
    </row>
    <row r="10" spans="1:44" x14ac:dyDescent="0.3">
      <c r="A10" t="s">
        <v>12</v>
      </c>
      <c r="B10">
        <f>C9+G25</f>
        <v>243</v>
      </c>
    </row>
    <row r="11" spans="1:44" x14ac:dyDescent="0.3">
      <c r="A11" t="s">
        <v>13</v>
      </c>
      <c r="B11">
        <f>B10-B9</f>
        <v>29</v>
      </c>
    </row>
    <row r="13" spans="1:44" x14ac:dyDescent="0.3">
      <c r="A13" t="s">
        <v>14</v>
      </c>
    </row>
    <row r="14" spans="1:44" x14ac:dyDescent="0.3">
      <c r="A14" t="s">
        <v>15</v>
      </c>
      <c r="B14" t="s">
        <v>6</v>
      </c>
      <c r="C14" t="s">
        <v>7</v>
      </c>
      <c r="D14" t="s">
        <v>8</v>
      </c>
      <c r="E14" t="s">
        <v>9</v>
      </c>
      <c r="F14" t="s">
        <v>10</v>
      </c>
      <c r="G14" t="s">
        <v>11</v>
      </c>
    </row>
    <row r="15" spans="1:44" x14ac:dyDescent="0.3">
      <c r="A15" t="s">
        <v>16</v>
      </c>
      <c r="B15">
        <v>3</v>
      </c>
      <c r="C15">
        <v>1</v>
      </c>
      <c r="D15">
        <v>1</v>
      </c>
      <c r="E15">
        <v>6</v>
      </c>
      <c r="F15">
        <v>11</v>
      </c>
      <c r="G15">
        <f>SUM(B15:F15)</f>
        <v>22</v>
      </c>
    </row>
    <row r="16" spans="1:44" x14ac:dyDescent="0.3">
      <c r="A16" t="s">
        <v>17</v>
      </c>
      <c r="B16">
        <v>2</v>
      </c>
      <c r="C16">
        <v>3</v>
      </c>
      <c r="D16">
        <v>0</v>
      </c>
      <c r="E16">
        <v>10</v>
      </c>
      <c r="F16">
        <v>6</v>
      </c>
      <c r="G16">
        <f>SUM(B16:F16)</f>
        <v>21</v>
      </c>
    </row>
    <row r="17" spans="1:7" x14ac:dyDescent="0.3">
      <c r="A17" t="s">
        <v>18</v>
      </c>
      <c r="B17">
        <v>36</v>
      </c>
      <c r="C17">
        <v>0</v>
      </c>
      <c r="D17">
        <v>1</v>
      </c>
      <c r="E17">
        <v>0</v>
      </c>
      <c r="F17">
        <v>2</v>
      </c>
      <c r="G17">
        <f>SUM(B17:F17)</f>
        <v>39</v>
      </c>
    </row>
    <row r="18" spans="1:7" x14ac:dyDescent="0.3">
      <c r="A18" t="s">
        <v>19</v>
      </c>
      <c r="B18">
        <v>0</v>
      </c>
      <c r="C18">
        <v>1</v>
      </c>
      <c r="D18">
        <v>0</v>
      </c>
      <c r="E18">
        <v>0</v>
      </c>
      <c r="F18">
        <v>2</v>
      </c>
      <c r="G18">
        <f>SUM(B18:F18)</f>
        <v>3</v>
      </c>
    </row>
    <row r="19" spans="1:7" x14ac:dyDescent="0.3">
      <c r="A19" t="s">
        <v>20</v>
      </c>
      <c r="B19" t="s">
        <v>6</v>
      </c>
      <c r="C19" t="s">
        <v>7</v>
      </c>
      <c r="D19" t="s">
        <v>8</v>
      </c>
      <c r="E19" t="s">
        <v>9</v>
      </c>
      <c r="F19" t="s">
        <v>10</v>
      </c>
      <c r="G19" t="s">
        <v>11</v>
      </c>
    </row>
    <row r="20" spans="1:7" x14ac:dyDescent="0.3">
      <c r="A20" t="s">
        <v>21</v>
      </c>
      <c r="B20">
        <v>238</v>
      </c>
      <c r="C20">
        <v>181</v>
      </c>
      <c r="D20">
        <v>241</v>
      </c>
      <c r="E20">
        <v>149</v>
      </c>
      <c r="F20">
        <v>85</v>
      </c>
      <c r="G20">
        <f t="shared" ref="G20:G29" si="0">SUM(B20:F20)</f>
        <v>894</v>
      </c>
    </row>
    <row r="21" spans="1:7" x14ac:dyDescent="0.3">
      <c r="A21" t="s">
        <v>22</v>
      </c>
      <c r="B21">
        <v>62</v>
      </c>
      <c r="C21">
        <v>40</v>
      </c>
      <c r="D21">
        <v>25</v>
      </c>
      <c r="E21">
        <v>44</v>
      </c>
      <c r="F21">
        <v>27</v>
      </c>
      <c r="G21">
        <f t="shared" si="0"/>
        <v>198</v>
      </c>
    </row>
    <row r="22" spans="1:7" x14ac:dyDescent="0.3">
      <c r="A22" t="s">
        <v>23</v>
      </c>
      <c r="B22">
        <v>25</v>
      </c>
      <c r="C22">
        <v>7</v>
      </c>
      <c r="D22">
        <v>5</v>
      </c>
      <c r="E22">
        <v>15</v>
      </c>
      <c r="F22">
        <v>12</v>
      </c>
      <c r="G22">
        <f t="shared" si="0"/>
        <v>64</v>
      </c>
    </row>
    <row r="23" spans="1:7" x14ac:dyDescent="0.3">
      <c r="A23" t="s">
        <v>24</v>
      </c>
      <c r="B23">
        <v>4</v>
      </c>
      <c r="C23">
        <v>0</v>
      </c>
      <c r="D23">
        <v>0</v>
      </c>
      <c r="E23">
        <v>0</v>
      </c>
      <c r="F23">
        <v>0</v>
      </c>
      <c r="G23">
        <f t="shared" si="0"/>
        <v>4</v>
      </c>
    </row>
    <row r="24" spans="1:7" x14ac:dyDescent="0.3">
      <c r="A24" t="s">
        <v>25</v>
      </c>
      <c r="B24">
        <v>8</v>
      </c>
      <c r="C24">
        <v>3</v>
      </c>
      <c r="D24">
        <v>17</v>
      </c>
      <c r="E24">
        <v>6</v>
      </c>
      <c r="F24">
        <v>3</v>
      </c>
      <c r="G24">
        <f t="shared" si="0"/>
        <v>37</v>
      </c>
    </row>
    <row r="25" spans="1:7" x14ac:dyDescent="0.3">
      <c r="A25" t="s">
        <v>26</v>
      </c>
      <c r="B25">
        <v>62</v>
      </c>
      <c r="C25">
        <v>34</v>
      </c>
      <c r="D25">
        <v>18</v>
      </c>
      <c r="E25">
        <v>34</v>
      </c>
      <c r="F25">
        <v>22</v>
      </c>
      <c r="G25">
        <f t="shared" si="0"/>
        <v>170</v>
      </c>
    </row>
    <row r="26" spans="1:7" x14ac:dyDescent="0.3">
      <c r="A26" t="s">
        <v>27</v>
      </c>
      <c r="B26">
        <v>25</v>
      </c>
      <c r="C26">
        <v>10</v>
      </c>
      <c r="D26">
        <v>2</v>
      </c>
      <c r="E26">
        <v>18</v>
      </c>
      <c r="F26">
        <v>2</v>
      </c>
      <c r="G26">
        <f t="shared" si="0"/>
        <v>57</v>
      </c>
    </row>
    <row r="27" spans="1:7" x14ac:dyDescent="0.3">
      <c r="A27" t="s">
        <v>28</v>
      </c>
      <c r="B27">
        <v>3</v>
      </c>
      <c r="C27">
        <v>2</v>
      </c>
      <c r="D27">
        <v>2</v>
      </c>
      <c r="E27">
        <v>5</v>
      </c>
      <c r="F27">
        <v>8</v>
      </c>
      <c r="G27">
        <f t="shared" si="0"/>
        <v>20</v>
      </c>
    </row>
    <row r="28" spans="1:7" x14ac:dyDescent="0.3">
      <c r="A28" t="s">
        <v>29</v>
      </c>
      <c r="B28">
        <v>20</v>
      </c>
      <c r="C28">
        <v>11</v>
      </c>
      <c r="D28">
        <v>3</v>
      </c>
      <c r="E28">
        <v>17</v>
      </c>
      <c r="F28">
        <v>22</v>
      </c>
      <c r="G28">
        <f t="shared" si="0"/>
        <v>73</v>
      </c>
    </row>
    <row r="29" spans="1:7" x14ac:dyDescent="0.3">
      <c r="A29" t="s">
        <v>30</v>
      </c>
      <c r="B29">
        <v>373</v>
      </c>
      <c r="C29">
        <v>249</v>
      </c>
      <c r="D29">
        <v>333</v>
      </c>
      <c r="E29">
        <v>307</v>
      </c>
      <c r="F29">
        <v>179</v>
      </c>
      <c r="G29">
        <f t="shared" si="0"/>
        <v>1441</v>
      </c>
    </row>
    <row r="30" spans="1:7" x14ac:dyDescent="0.3">
      <c r="A30" t="s">
        <v>11</v>
      </c>
      <c r="B30">
        <f>SUM(B15:B27)</f>
        <v>468</v>
      </c>
      <c r="C30">
        <f>SUM(C15:C27)</f>
        <v>282</v>
      </c>
      <c r="D30">
        <f>SUM(D15:D29)</f>
        <v>648</v>
      </c>
      <c r="E30">
        <f>SUM(E15:E27)</f>
        <v>287</v>
      </c>
      <c r="F30">
        <f>SUM(F15:F27)</f>
        <v>180</v>
      </c>
    </row>
    <row r="33" spans="1:26" x14ac:dyDescent="0.3">
      <c r="A33" t="s">
        <v>31</v>
      </c>
      <c r="E33">
        <v>15</v>
      </c>
      <c r="G33">
        <v>16</v>
      </c>
      <c r="I33">
        <v>17</v>
      </c>
      <c r="K33">
        <v>20</v>
      </c>
      <c r="M33">
        <v>22</v>
      </c>
      <c r="O33">
        <v>23</v>
      </c>
      <c r="Q33">
        <v>24</v>
      </c>
      <c r="S33">
        <v>27</v>
      </c>
      <c r="U33">
        <v>28</v>
      </c>
      <c r="W33">
        <v>29</v>
      </c>
      <c r="Y33">
        <v>30</v>
      </c>
    </row>
    <row r="34" spans="1:26" x14ac:dyDescent="0.3">
      <c r="A34" t="s">
        <v>1</v>
      </c>
      <c r="B34" t="s">
        <v>2</v>
      </c>
      <c r="C34" t="s">
        <v>3</v>
      </c>
      <c r="D34" t="s">
        <v>4</v>
      </c>
      <c r="E34" t="s">
        <v>2</v>
      </c>
      <c r="F34" t="s">
        <v>5</v>
      </c>
      <c r="G34" t="s">
        <v>2</v>
      </c>
      <c r="H34" t="s">
        <v>5</v>
      </c>
      <c r="I34" t="s">
        <v>2</v>
      </c>
      <c r="J34" t="s">
        <v>5</v>
      </c>
      <c r="K34" t="s">
        <v>2</v>
      </c>
      <c r="L34" t="s">
        <v>5</v>
      </c>
      <c r="M34" t="s">
        <v>2</v>
      </c>
      <c r="N34" t="s">
        <v>5</v>
      </c>
      <c r="O34" t="s">
        <v>2</v>
      </c>
      <c r="P34" t="s">
        <v>5</v>
      </c>
      <c r="Q34" t="s">
        <v>2</v>
      </c>
      <c r="R34" t="s">
        <v>5</v>
      </c>
      <c r="S34" t="s">
        <v>2</v>
      </c>
      <c r="T34" t="s">
        <v>5</v>
      </c>
      <c r="U34" t="s">
        <v>2</v>
      </c>
      <c r="V34" t="s">
        <v>5</v>
      </c>
      <c r="W34" t="s">
        <v>2</v>
      </c>
      <c r="X34" t="s">
        <v>5</v>
      </c>
      <c r="Y34" t="s">
        <v>2</v>
      </c>
      <c r="Z34" t="s">
        <v>5</v>
      </c>
    </row>
    <row r="35" spans="1:26" x14ac:dyDescent="0.3">
      <c r="A35" t="s">
        <v>6</v>
      </c>
      <c r="B35">
        <v>360</v>
      </c>
      <c r="C35">
        <f>F35+H35+J35+L35+N35+P35+R35+T35+V35+X35+Z35</f>
        <v>295</v>
      </c>
      <c r="D35">
        <f t="shared" ref="D35:D40" si="1">C35/B35</f>
        <v>0.81944444444444442</v>
      </c>
      <c r="E35">
        <v>33</v>
      </c>
      <c r="F35">
        <v>33</v>
      </c>
      <c r="G35">
        <v>33</v>
      </c>
      <c r="H35">
        <v>32</v>
      </c>
      <c r="I35">
        <v>33</v>
      </c>
      <c r="J35">
        <v>0</v>
      </c>
      <c r="K35">
        <v>33</v>
      </c>
      <c r="L35">
        <v>33</v>
      </c>
      <c r="M35">
        <v>33</v>
      </c>
      <c r="N35">
        <v>33</v>
      </c>
      <c r="O35">
        <v>33</v>
      </c>
      <c r="P35">
        <v>0</v>
      </c>
      <c r="Q35">
        <v>33</v>
      </c>
      <c r="R35">
        <v>0</v>
      </c>
      <c r="S35">
        <v>33</v>
      </c>
      <c r="T35">
        <v>32</v>
      </c>
      <c r="U35">
        <v>33</v>
      </c>
      <c r="V35">
        <v>31</v>
      </c>
      <c r="W35">
        <v>33</v>
      </c>
      <c r="X35">
        <v>31</v>
      </c>
      <c r="Y35">
        <v>33</v>
      </c>
      <c r="Z35">
        <v>70</v>
      </c>
    </row>
    <row r="36" spans="1:26" x14ac:dyDescent="0.3">
      <c r="A36" t="s">
        <v>7</v>
      </c>
      <c r="B36">
        <v>197</v>
      </c>
      <c r="C36">
        <f>F36+H36+J36+L36+N36+P36+R36+T36+V36+X36+Z36</f>
        <v>185</v>
      </c>
      <c r="D36">
        <f t="shared" si="1"/>
        <v>0.93908629441624369</v>
      </c>
      <c r="E36">
        <v>18</v>
      </c>
      <c r="F36">
        <v>7</v>
      </c>
      <c r="G36">
        <v>18</v>
      </c>
      <c r="H36">
        <v>14</v>
      </c>
      <c r="I36">
        <v>18</v>
      </c>
      <c r="J36">
        <v>2</v>
      </c>
      <c r="K36">
        <v>18</v>
      </c>
      <c r="L36">
        <v>20</v>
      </c>
      <c r="M36">
        <v>18</v>
      </c>
      <c r="N36">
        <v>23</v>
      </c>
      <c r="O36">
        <v>18</v>
      </c>
      <c r="P36">
        <v>1</v>
      </c>
      <c r="Q36">
        <v>18</v>
      </c>
      <c r="R36">
        <v>31</v>
      </c>
      <c r="S36">
        <v>18</v>
      </c>
      <c r="T36">
        <v>16</v>
      </c>
      <c r="U36">
        <v>18</v>
      </c>
      <c r="V36">
        <v>18</v>
      </c>
      <c r="W36">
        <v>18</v>
      </c>
      <c r="X36">
        <v>23</v>
      </c>
      <c r="Y36">
        <v>18</v>
      </c>
      <c r="Z36">
        <v>30</v>
      </c>
    </row>
    <row r="37" spans="1:26" x14ac:dyDescent="0.3">
      <c r="A37" t="s">
        <v>8</v>
      </c>
      <c r="B37">
        <v>218</v>
      </c>
      <c r="C37">
        <f>F37+H37+J37+L37+N37+P37+R37+T37+V37+X37+Z37</f>
        <v>218</v>
      </c>
      <c r="D37">
        <f t="shared" si="1"/>
        <v>1</v>
      </c>
      <c r="E37">
        <v>20</v>
      </c>
      <c r="F37">
        <v>20</v>
      </c>
      <c r="G37">
        <v>20</v>
      </c>
      <c r="H37">
        <v>26</v>
      </c>
      <c r="I37">
        <v>20</v>
      </c>
      <c r="J37">
        <v>22</v>
      </c>
      <c r="K37">
        <v>20</v>
      </c>
      <c r="L37">
        <v>21</v>
      </c>
      <c r="M37">
        <v>20</v>
      </c>
      <c r="N37">
        <v>25</v>
      </c>
      <c r="O37">
        <v>20</v>
      </c>
      <c r="P37">
        <v>20</v>
      </c>
      <c r="Q37">
        <v>20</v>
      </c>
      <c r="R37">
        <v>26</v>
      </c>
      <c r="S37">
        <v>20</v>
      </c>
      <c r="T37">
        <v>12</v>
      </c>
      <c r="U37">
        <v>20</v>
      </c>
      <c r="V37">
        <v>22</v>
      </c>
      <c r="W37">
        <v>20</v>
      </c>
      <c r="X37">
        <v>23</v>
      </c>
      <c r="Y37">
        <v>20</v>
      </c>
      <c r="Z37">
        <v>1</v>
      </c>
    </row>
    <row r="38" spans="1:26" x14ac:dyDescent="0.3">
      <c r="A38" t="s">
        <v>9</v>
      </c>
      <c r="B38">
        <v>187</v>
      </c>
      <c r="C38">
        <f>F38+H38+J38+L38+N38+P38+R38+T38+V38+X38+Z38</f>
        <v>190</v>
      </c>
      <c r="D38">
        <f t="shared" si="1"/>
        <v>1.0160427807486632</v>
      </c>
      <c r="E38">
        <v>17</v>
      </c>
      <c r="F38">
        <v>20</v>
      </c>
      <c r="G38">
        <v>17</v>
      </c>
      <c r="H38">
        <v>17</v>
      </c>
      <c r="I38">
        <v>17</v>
      </c>
      <c r="J38">
        <v>12</v>
      </c>
      <c r="K38">
        <v>17</v>
      </c>
      <c r="L38">
        <v>0</v>
      </c>
      <c r="M38">
        <v>17</v>
      </c>
      <c r="N38">
        <v>17</v>
      </c>
      <c r="O38">
        <v>17</v>
      </c>
      <c r="P38">
        <v>23</v>
      </c>
      <c r="Q38">
        <v>17</v>
      </c>
      <c r="R38">
        <v>20</v>
      </c>
      <c r="S38">
        <v>17</v>
      </c>
      <c r="T38">
        <v>23</v>
      </c>
      <c r="U38">
        <v>17</v>
      </c>
      <c r="V38">
        <v>20</v>
      </c>
      <c r="W38">
        <v>17</v>
      </c>
      <c r="X38">
        <v>19</v>
      </c>
      <c r="Y38">
        <v>17</v>
      </c>
      <c r="Z38">
        <v>19</v>
      </c>
    </row>
    <row r="39" spans="1:26" x14ac:dyDescent="0.3">
      <c r="A39" t="s">
        <v>10</v>
      </c>
      <c r="B39">
        <v>112</v>
      </c>
      <c r="C39">
        <f>F39+H39+J39+L39+N39+P39+R39+T39+V39+X39+Z39</f>
        <v>115</v>
      </c>
      <c r="D39">
        <f t="shared" si="1"/>
        <v>1.0267857142857142</v>
      </c>
      <c r="E39">
        <v>12</v>
      </c>
      <c r="F39">
        <v>12</v>
      </c>
      <c r="G39">
        <v>12</v>
      </c>
      <c r="H39">
        <v>13</v>
      </c>
      <c r="I39">
        <v>13</v>
      </c>
      <c r="J39">
        <v>0</v>
      </c>
      <c r="K39">
        <v>12</v>
      </c>
      <c r="L39">
        <v>1</v>
      </c>
      <c r="M39">
        <v>12</v>
      </c>
      <c r="N39">
        <v>4</v>
      </c>
      <c r="O39">
        <v>12</v>
      </c>
      <c r="P39">
        <v>15</v>
      </c>
      <c r="Q39">
        <v>12</v>
      </c>
      <c r="R39">
        <v>32</v>
      </c>
      <c r="S39">
        <v>12</v>
      </c>
      <c r="T39">
        <v>4</v>
      </c>
      <c r="U39">
        <v>12</v>
      </c>
      <c r="V39">
        <v>2</v>
      </c>
      <c r="W39">
        <v>12</v>
      </c>
      <c r="X39">
        <v>28</v>
      </c>
      <c r="Y39">
        <v>12</v>
      </c>
      <c r="Z39">
        <v>4</v>
      </c>
    </row>
    <row r="40" spans="1:26" x14ac:dyDescent="0.3">
      <c r="A40" t="s">
        <v>11</v>
      </c>
      <c r="B40">
        <f>SUM(B35:B39)</f>
        <v>1074</v>
      </c>
      <c r="C40">
        <f>SUM(C35:C39)</f>
        <v>1003</v>
      </c>
      <c r="D40">
        <f t="shared" si="1"/>
        <v>0.93389199255121047</v>
      </c>
      <c r="E40">
        <f t="shared" ref="E40:Z40" si="2">SUM(E35:E39)</f>
        <v>100</v>
      </c>
      <c r="F40">
        <f t="shared" si="2"/>
        <v>92</v>
      </c>
      <c r="G40">
        <f t="shared" si="2"/>
        <v>100</v>
      </c>
      <c r="H40">
        <f t="shared" si="2"/>
        <v>102</v>
      </c>
      <c r="I40">
        <f t="shared" si="2"/>
        <v>101</v>
      </c>
      <c r="J40">
        <f t="shared" si="2"/>
        <v>36</v>
      </c>
      <c r="K40">
        <f t="shared" si="2"/>
        <v>100</v>
      </c>
      <c r="L40">
        <f t="shared" si="2"/>
        <v>75</v>
      </c>
      <c r="M40">
        <f t="shared" si="2"/>
        <v>100</v>
      </c>
      <c r="N40">
        <f t="shared" si="2"/>
        <v>102</v>
      </c>
      <c r="O40">
        <f t="shared" si="2"/>
        <v>100</v>
      </c>
      <c r="P40">
        <f t="shared" si="2"/>
        <v>59</v>
      </c>
      <c r="Q40">
        <f t="shared" si="2"/>
        <v>100</v>
      </c>
      <c r="R40">
        <f t="shared" si="2"/>
        <v>109</v>
      </c>
      <c r="S40">
        <f t="shared" si="2"/>
        <v>100</v>
      </c>
      <c r="T40">
        <f t="shared" si="2"/>
        <v>87</v>
      </c>
      <c r="U40">
        <f t="shared" si="2"/>
        <v>100</v>
      </c>
      <c r="V40">
        <f t="shared" si="2"/>
        <v>93</v>
      </c>
      <c r="W40">
        <f t="shared" si="2"/>
        <v>100</v>
      </c>
      <c r="X40">
        <f t="shared" si="2"/>
        <v>124</v>
      </c>
      <c r="Y40">
        <f t="shared" si="2"/>
        <v>100</v>
      </c>
      <c r="Z40">
        <f t="shared" si="2"/>
        <v>124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R37"/>
  <sheetViews>
    <sheetView workbookViewId="0"/>
  </sheetViews>
  <sheetFormatPr defaultRowHeight="14.4" x14ac:dyDescent="0.3"/>
  <sheetData>
    <row r="2" spans="1:44" x14ac:dyDescent="0.3">
      <c r="A2" t="s">
        <v>0</v>
      </c>
      <c r="E2">
        <v>4</v>
      </c>
      <c r="G2">
        <v>5</v>
      </c>
      <c r="I2">
        <v>6</v>
      </c>
      <c r="K2">
        <v>7</v>
      </c>
      <c r="M2">
        <v>8</v>
      </c>
      <c r="O2">
        <v>11</v>
      </c>
      <c r="Q2">
        <v>12</v>
      </c>
      <c r="S2">
        <v>13</v>
      </c>
      <c r="U2">
        <v>14</v>
      </c>
      <c r="W2">
        <v>15</v>
      </c>
      <c r="Y2">
        <v>18</v>
      </c>
      <c r="AA2">
        <v>19</v>
      </c>
      <c r="AC2">
        <v>20</v>
      </c>
      <c r="AE2">
        <v>21</v>
      </c>
      <c r="AG2">
        <v>22</v>
      </c>
      <c r="AI2">
        <v>25</v>
      </c>
      <c r="AK2">
        <v>26</v>
      </c>
      <c r="AM2">
        <v>27</v>
      </c>
      <c r="AO2">
        <v>28</v>
      </c>
      <c r="AQ2">
        <v>29</v>
      </c>
    </row>
    <row r="3" spans="1:44" x14ac:dyDescent="0.3">
      <c r="A3" t="s">
        <v>1</v>
      </c>
      <c r="B3" t="s">
        <v>2</v>
      </c>
      <c r="C3" t="s">
        <v>3</v>
      </c>
      <c r="D3" t="s">
        <v>4</v>
      </c>
      <c r="E3" t="s">
        <v>2</v>
      </c>
      <c r="F3" t="s">
        <v>5</v>
      </c>
      <c r="G3" t="s">
        <v>2</v>
      </c>
      <c r="H3" t="s">
        <v>5</v>
      </c>
      <c r="I3" t="s">
        <v>2</v>
      </c>
      <c r="J3" t="s">
        <v>5</v>
      </c>
      <c r="K3" t="s">
        <v>2</v>
      </c>
      <c r="L3" t="s">
        <v>5</v>
      </c>
      <c r="M3" t="s">
        <v>2</v>
      </c>
      <c r="N3" t="s">
        <v>5</v>
      </c>
      <c r="O3" t="s">
        <v>2</v>
      </c>
      <c r="P3" t="s">
        <v>5</v>
      </c>
      <c r="Q3" t="s">
        <v>2</v>
      </c>
      <c r="R3" t="s">
        <v>5</v>
      </c>
      <c r="S3" t="s">
        <v>2</v>
      </c>
      <c r="T3" t="s">
        <v>5</v>
      </c>
      <c r="U3" t="s">
        <v>2</v>
      </c>
      <c r="V3" t="s">
        <v>5</v>
      </c>
      <c r="W3" t="s">
        <v>2</v>
      </c>
      <c r="X3" t="s">
        <v>5</v>
      </c>
      <c r="Y3" t="s">
        <v>2</v>
      </c>
      <c r="Z3" t="s">
        <v>5</v>
      </c>
      <c r="AA3" t="s">
        <v>2</v>
      </c>
      <c r="AB3" t="s">
        <v>5</v>
      </c>
      <c r="AC3" t="s">
        <v>2</v>
      </c>
      <c r="AD3" t="s">
        <v>5</v>
      </c>
      <c r="AE3" t="s">
        <v>2</v>
      </c>
      <c r="AF3" t="s">
        <v>5</v>
      </c>
      <c r="AG3" t="s">
        <v>2</v>
      </c>
      <c r="AH3" t="s">
        <v>5</v>
      </c>
      <c r="AI3" t="s">
        <v>2</v>
      </c>
      <c r="AJ3" t="s">
        <v>5</v>
      </c>
      <c r="AK3" t="s">
        <v>2</v>
      </c>
      <c r="AL3" t="s">
        <v>5</v>
      </c>
      <c r="AM3" t="s">
        <v>2</v>
      </c>
      <c r="AN3" t="s">
        <v>5</v>
      </c>
      <c r="AO3" t="s">
        <v>2</v>
      </c>
      <c r="AP3" t="s">
        <v>5</v>
      </c>
      <c r="AQ3" t="s">
        <v>2</v>
      </c>
      <c r="AR3" t="s">
        <v>5</v>
      </c>
    </row>
    <row r="4" spans="1:44" x14ac:dyDescent="0.3">
      <c r="A4" t="s">
        <v>7</v>
      </c>
      <c r="B4">
        <v>30</v>
      </c>
      <c r="C4">
        <v>10</v>
      </c>
      <c r="D4">
        <v>0.33</v>
      </c>
      <c r="E4">
        <v>1</v>
      </c>
      <c r="F4">
        <v>0</v>
      </c>
      <c r="G4">
        <v>1</v>
      </c>
      <c r="H4">
        <v>2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1</v>
      </c>
      <c r="Y4">
        <v>2</v>
      </c>
      <c r="Z4">
        <v>0</v>
      </c>
      <c r="AA4">
        <v>2</v>
      </c>
      <c r="AB4">
        <v>0</v>
      </c>
      <c r="AC4">
        <v>2</v>
      </c>
      <c r="AD4">
        <v>2</v>
      </c>
      <c r="AE4">
        <v>2</v>
      </c>
      <c r="AF4">
        <v>1</v>
      </c>
      <c r="AG4">
        <v>2</v>
      </c>
      <c r="AH4">
        <v>0</v>
      </c>
      <c r="AI4">
        <v>2</v>
      </c>
      <c r="AJ4">
        <v>0</v>
      </c>
      <c r="AK4">
        <v>2</v>
      </c>
      <c r="AL4">
        <v>1</v>
      </c>
      <c r="AM4">
        <v>2</v>
      </c>
      <c r="AN4">
        <v>1</v>
      </c>
      <c r="AO4">
        <v>2</v>
      </c>
      <c r="AP4">
        <v>1</v>
      </c>
      <c r="AQ4">
        <v>2</v>
      </c>
      <c r="AR4">
        <v>0</v>
      </c>
    </row>
    <row r="5" spans="1:44" x14ac:dyDescent="0.3">
      <c r="A5" t="s">
        <v>32</v>
      </c>
      <c r="B5">
        <v>26</v>
      </c>
      <c r="C5">
        <v>3</v>
      </c>
      <c r="D5">
        <v>0.12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0</v>
      </c>
      <c r="AG5">
        <v>2</v>
      </c>
      <c r="AH5">
        <v>1</v>
      </c>
      <c r="AI5">
        <v>2</v>
      </c>
      <c r="AJ5">
        <v>0</v>
      </c>
      <c r="AK5">
        <v>2</v>
      </c>
      <c r="AL5">
        <v>0</v>
      </c>
      <c r="AM5">
        <v>2</v>
      </c>
      <c r="AN5">
        <v>0</v>
      </c>
      <c r="AO5">
        <v>2</v>
      </c>
      <c r="AP5">
        <v>0</v>
      </c>
      <c r="AQ5">
        <v>2</v>
      </c>
      <c r="AR5">
        <v>1</v>
      </c>
    </row>
    <row r="6" spans="1:44" x14ac:dyDescent="0.3">
      <c r="A6" t="s">
        <v>8</v>
      </c>
      <c r="B6">
        <v>50</v>
      </c>
      <c r="C6">
        <v>18</v>
      </c>
      <c r="D6">
        <v>0.36</v>
      </c>
      <c r="E6">
        <v>2</v>
      </c>
      <c r="F6">
        <v>2</v>
      </c>
      <c r="G6">
        <v>2</v>
      </c>
      <c r="H6">
        <v>3</v>
      </c>
      <c r="I6">
        <v>2</v>
      </c>
      <c r="J6">
        <v>1</v>
      </c>
      <c r="K6">
        <v>2</v>
      </c>
      <c r="L6">
        <v>2</v>
      </c>
      <c r="M6">
        <v>2</v>
      </c>
      <c r="N6">
        <v>3</v>
      </c>
      <c r="O6">
        <v>2</v>
      </c>
      <c r="P6">
        <v>0</v>
      </c>
      <c r="Q6">
        <v>2</v>
      </c>
      <c r="R6">
        <v>0</v>
      </c>
      <c r="S6">
        <v>2</v>
      </c>
      <c r="T6">
        <v>2</v>
      </c>
      <c r="U6">
        <v>2</v>
      </c>
      <c r="V6">
        <v>0</v>
      </c>
      <c r="W6">
        <v>2</v>
      </c>
      <c r="X6">
        <v>0</v>
      </c>
      <c r="Y6">
        <v>3</v>
      </c>
      <c r="Z6">
        <v>0</v>
      </c>
      <c r="AA6">
        <v>3</v>
      </c>
      <c r="AB6">
        <v>0</v>
      </c>
      <c r="AC6">
        <v>3</v>
      </c>
      <c r="AD6">
        <v>0</v>
      </c>
      <c r="AE6">
        <v>3</v>
      </c>
      <c r="AF6">
        <v>1</v>
      </c>
      <c r="AG6">
        <v>3</v>
      </c>
      <c r="AH6">
        <v>1</v>
      </c>
      <c r="AI6">
        <v>3</v>
      </c>
      <c r="AJ6">
        <v>0</v>
      </c>
      <c r="AK6">
        <v>3</v>
      </c>
      <c r="AL6">
        <v>1</v>
      </c>
      <c r="AM6">
        <v>3</v>
      </c>
      <c r="AN6">
        <v>0</v>
      </c>
      <c r="AO6">
        <v>3</v>
      </c>
      <c r="AP6">
        <v>2</v>
      </c>
      <c r="AQ6">
        <v>3</v>
      </c>
      <c r="AR6">
        <v>0</v>
      </c>
    </row>
    <row r="7" spans="1:44" x14ac:dyDescent="0.3">
      <c r="A7" t="s">
        <v>9</v>
      </c>
      <c r="B7">
        <v>33</v>
      </c>
      <c r="C7">
        <v>9</v>
      </c>
      <c r="D7">
        <v>0.27</v>
      </c>
      <c r="E7">
        <v>2</v>
      </c>
      <c r="F7">
        <v>1</v>
      </c>
      <c r="G7">
        <v>2</v>
      </c>
      <c r="H7">
        <v>0</v>
      </c>
      <c r="I7">
        <v>2</v>
      </c>
      <c r="J7">
        <v>1</v>
      </c>
      <c r="K7">
        <v>2</v>
      </c>
      <c r="L7">
        <v>0</v>
      </c>
      <c r="M7">
        <v>2</v>
      </c>
      <c r="N7">
        <v>0</v>
      </c>
      <c r="O7">
        <v>2</v>
      </c>
      <c r="P7">
        <v>0</v>
      </c>
      <c r="Q7">
        <v>2</v>
      </c>
      <c r="R7">
        <v>1</v>
      </c>
      <c r="S7">
        <v>2</v>
      </c>
      <c r="T7">
        <v>0</v>
      </c>
      <c r="U7">
        <v>2</v>
      </c>
      <c r="V7">
        <v>0</v>
      </c>
      <c r="W7">
        <v>2</v>
      </c>
      <c r="X7">
        <v>0</v>
      </c>
      <c r="Y7">
        <v>2</v>
      </c>
      <c r="Z7">
        <v>0</v>
      </c>
      <c r="AA7">
        <v>2</v>
      </c>
      <c r="AB7">
        <v>0</v>
      </c>
      <c r="AC7">
        <v>2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2</v>
      </c>
    </row>
    <row r="8" spans="1:44" x14ac:dyDescent="0.3">
      <c r="A8" t="s">
        <v>10</v>
      </c>
      <c r="B8">
        <v>23</v>
      </c>
      <c r="C8">
        <v>14</v>
      </c>
      <c r="D8">
        <v>0.61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1</v>
      </c>
      <c r="R8">
        <v>2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1</v>
      </c>
      <c r="AB8">
        <v>2</v>
      </c>
      <c r="AC8">
        <v>1</v>
      </c>
      <c r="AD8">
        <v>0</v>
      </c>
      <c r="AE8">
        <v>1</v>
      </c>
      <c r="AF8">
        <v>1</v>
      </c>
      <c r="AG8">
        <v>1</v>
      </c>
      <c r="AH8">
        <v>3</v>
      </c>
      <c r="AI8">
        <v>1</v>
      </c>
      <c r="AJ8">
        <v>0</v>
      </c>
      <c r="AK8">
        <v>1</v>
      </c>
      <c r="AL8">
        <v>1</v>
      </c>
      <c r="AM8">
        <v>2</v>
      </c>
      <c r="AN8">
        <v>0</v>
      </c>
      <c r="AO8">
        <v>2</v>
      </c>
      <c r="AP8">
        <v>0</v>
      </c>
      <c r="AQ8">
        <v>2</v>
      </c>
      <c r="AR8">
        <v>3</v>
      </c>
    </row>
    <row r="9" spans="1:44" x14ac:dyDescent="0.3">
      <c r="A9" t="s">
        <v>11</v>
      </c>
      <c r="B9">
        <v>162</v>
      </c>
      <c r="C9">
        <v>54</v>
      </c>
      <c r="D9">
        <v>0.33</v>
      </c>
      <c r="E9">
        <v>7</v>
      </c>
      <c r="F9">
        <v>3</v>
      </c>
      <c r="G9">
        <v>7</v>
      </c>
      <c r="H9">
        <v>5</v>
      </c>
      <c r="I9">
        <v>7</v>
      </c>
      <c r="J9">
        <v>2</v>
      </c>
      <c r="K9">
        <v>7</v>
      </c>
      <c r="L9">
        <v>4</v>
      </c>
      <c r="M9">
        <v>7</v>
      </c>
      <c r="N9">
        <v>3</v>
      </c>
      <c r="O9">
        <v>7</v>
      </c>
      <c r="P9">
        <v>0</v>
      </c>
      <c r="Q9">
        <v>7</v>
      </c>
      <c r="R9">
        <v>3</v>
      </c>
      <c r="S9">
        <v>7</v>
      </c>
      <c r="T9">
        <v>2</v>
      </c>
      <c r="U9">
        <v>7</v>
      </c>
      <c r="V9">
        <v>0</v>
      </c>
      <c r="W9">
        <v>7</v>
      </c>
      <c r="X9">
        <v>2</v>
      </c>
      <c r="Y9">
        <v>9</v>
      </c>
      <c r="Z9">
        <v>0</v>
      </c>
      <c r="AA9">
        <v>9</v>
      </c>
      <c r="AB9">
        <v>2</v>
      </c>
      <c r="AC9">
        <v>9</v>
      </c>
      <c r="AD9">
        <v>3</v>
      </c>
      <c r="AE9">
        <v>8</v>
      </c>
      <c r="AF9">
        <v>3</v>
      </c>
      <c r="AG9">
        <v>9</v>
      </c>
      <c r="AH9">
        <v>5</v>
      </c>
      <c r="AI9">
        <v>9</v>
      </c>
      <c r="AJ9">
        <v>1</v>
      </c>
      <c r="AK9">
        <v>9</v>
      </c>
      <c r="AL9">
        <v>4</v>
      </c>
      <c r="AM9">
        <v>10</v>
      </c>
      <c r="AN9">
        <v>2</v>
      </c>
      <c r="AO9">
        <v>10</v>
      </c>
      <c r="AP9">
        <v>4</v>
      </c>
      <c r="AQ9">
        <v>10</v>
      </c>
      <c r="AR9">
        <v>6</v>
      </c>
    </row>
    <row r="10" spans="1:44" x14ac:dyDescent="0.3">
      <c r="A10" t="s">
        <v>12</v>
      </c>
      <c r="B10">
        <f>C9+G24</f>
        <v>147</v>
      </c>
    </row>
    <row r="11" spans="1:44" x14ac:dyDescent="0.3">
      <c r="A11" t="s">
        <v>13</v>
      </c>
      <c r="B11">
        <f>B9-B10</f>
        <v>15</v>
      </c>
    </row>
    <row r="13" spans="1:44" x14ac:dyDescent="0.3">
      <c r="A13" t="s">
        <v>14</v>
      </c>
    </row>
    <row r="14" spans="1:44" x14ac:dyDescent="0.3">
      <c r="A14" t="s">
        <v>15</v>
      </c>
      <c r="B14" t="s">
        <v>7</v>
      </c>
      <c r="C14" t="s">
        <v>8</v>
      </c>
      <c r="D14" t="s">
        <v>32</v>
      </c>
      <c r="E14" t="s">
        <v>9</v>
      </c>
      <c r="F14" t="s">
        <v>10</v>
      </c>
      <c r="G14" t="s">
        <v>11</v>
      </c>
    </row>
    <row r="15" spans="1:44" x14ac:dyDescent="0.3">
      <c r="A15" t="s">
        <v>16</v>
      </c>
      <c r="B15">
        <v>11</v>
      </c>
      <c r="C15">
        <v>0</v>
      </c>
      <c r="D15">
        <v>0</v>
      </c>
      <c r="E15">
        <v>40</v>
      </c>
      <c r="F15">
        <v>3</v>
      </c>
      <c r="G15">
        <f>SUM(B15:F15)</f>
        <v>54</v>
      </c>
    </row>
    <row r="16" spans="1:44" x14ac:dyDescent="0.3">
      <c r="A16" t="s">
        <v>17</v>
      </c>
      <c r="B16">
        <v>7</v>
      </c>
      <c r="C16">
        <v>0</v>
      </c>
      <c r="D16">
        <v>0</v>
      </c>
      <c r="E16">
        <v>0</v>
      </c>
      <c r="F16">
        <v>2</v>
      </c>
      <c r="G16">
        <f>SUM(B16:F16)</f>
        <v>9</v>
      </c>
    </row>
    <row r="17" spans="1:44" x14ac:dyDescent="0.3">
      <c r="A17" t="s">
        <v>18</v>
      </c>
      <c r="B17">
        <v>3</v>
      </c>
      <c r="C17">
        <v>0</v>
      </c>
      <c r="D17">
        <v>0</v>
      </c>
      <c r="E17">
        <v>0</v>
      </c>
      <c r="F17">
        <v>4</v>
      </c>
      <c r="G17">
        <f>SUM(B17:F17)</f>
        <v>7</v>
      </c>
    </row>
    <row r="18" spans="1:44" x14ac:dyDescent="0.3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f>SUM(B18:F18)</f>
        <v>0</v>
      </c>
    </row>
    <row r="19" spans="1:44" x14ac:dyDescent="0.3">
      <c r="A19" t="s">
        <v>20</v>
      </c>
      <c r="B19" t="s">
        <v>7</v>
      </c>
      <c r="C19" t="s">
        <v>8</v>
      </c>
      <c r="D19" t="s">
        <v>32</v>
      </c>
      <c r="E19" t="s">
        <v>9</v>
      </c>
      <c r="F19" t="s">
        <v>10</v>
      </c>
      <c r="G19" t="s">
        <v>11</v>
      </c>
    </row>
    <row r="20" spans="1:44" x14ac:dyDescent="0.3">
      <c r="A20" t="s">
        <v>21</v>
      </c>
      <c r="B20">
        <v>188</v>
      </c>
      <c r="C20">
        <v>346</v>
      </c>
      <c r="D20">
        <v>279</v>
      </c>
      <c r="E20">
        <v>179</v>
      </c>
      <c r="F20">
        <v>125</v>
      </c>
      <c r="G20">
        <f t="shared" ref="G20:G26" si="0">SUM(B20:F20)</f>
        <v>1117</v>
      </c>
    </row>
    <row r="21" spans="1:44" x14ac:dyDescent="0.3">
      <c r="A21" t="s">
        <v>22</v>
      </c>
      <c r="B21">
        <v>40</v>
      </c>
      <c r="C21">
        <v>79</v>
      </c>
      <c r="D21">
        <v>27</v>
      </c>
      <c r="E21">
        <v>53</v>
      </c>
      <c r="F21">
        <v>45</v>
      </c>
      <c r="G21">
        <f t="shared" si="0"/>
        <v>244</v>
      </c>
    </row>
    <row r="22" spans="1:44" x14ac:dyDescent="0.3">
      <c r="A22" t="s">
        <v>23</v>
      </c>
      <c r="B22">
        <v>7</v>
      </c>
      <c r="C22">
        <v>1</v>
      </c>
      <c r="D22">
        <v>8</v>
      </c>
      <c r="E22">
        <v>1</v>
      </c>
      <c r="F22">
        <v>3</v>
      </c>
      <c r="G22">
        <f t="shared" si="0"/>
        <v>20</v>
      </c>
    </row>
    <row r="23" spans="1:44" x14ac:dyDescent="0.3">
      <c r="A23" t="s">
        <v>25</v>
      </c>
      <c r="B23">
        <v>1</v>
      </c>
      <c r="C23">
        <v>5</v>
      </c>
      <c r="D23">
        <v>7</v>
      </c>
      <c r="E23">
        <v>0</v>
      </c>
      <c r="F23">
        <v>4</v>
      </c>
      <c r="G23">
        <f t="shared" si="0"/>
        <v>17</v>
      </c>
    </row>
    <row r="24" spans="1:44" x14ac:dyDescent="0.3">
      <c r="A24" t="s">
        <v>26</v>
      </c>
      <c r="B24">
        <v>19</v>
      </c>
      <c r="C24">
        <v>44</v>
      </c>
      <c r="D24">
        <v>12</v>
      </c>
      <c r="E24">
        <v>8</v>
      </c>
      <c r="F24">
        <v>10</v>
      </c>
      <c r="G24">
        <f t="shared" si="0"/>
        <v>93</v>
      </c>
    </row>
    <row r="25" spans="1:44" x14ac:dyDescent="0.3">
      <c r="A25" t="s">
        <v>27</v>
      </c>
      <c r="B25">
        <v>2</v>
      </c>
      <c r="C25">
        <v>0</v>
      </c>
      <c r="D25">
        <v>38</v>
      </c>
      <c r="E25">
        <v>6</v>
      </c>
      <c r="F25">
        <v>4</v>
      </c>
      <c r="G25">
        <f t="shared" si="0"/>
        <v>50</v>
      </c>
    </row>
    <row r="26" spans="1:44" x14ac:dyDescent="0.3">
      <c r="A26" t="s">
        <v>28</v>
      </c>
      <c r="B26">
        <v>2</v>
      </c>
      <c r="C26">
        <v>6</v>
      </c>
      <c r="D26">
        <v>4</v>
      </c>
      <c r="E26">
        <v>0</v>
      </c>
      <c r="F26">
        <v>2</v>
      </c>
      <c r="G26">
        <f t="shared" si="0"/>
        <v>14</v>
      </c>
    </row>
    <row r="27" spans="1:44" x14ac:dyDescent="0.3">
      <c r="A27" t="s">
        <v>11</v>
      </c>
      <c r="B27">
        <f>SUM(B15:B26)</f>
        <v>280</v>
      </c>
      <c r="C27">
        <f>SUM(C15:C26)</f>
        <v>481</v>
      </c>
      <c r="D27">
        <f>SUM(D15:D26)</f>
        <v>375</v>
      </c>
      <c r="E27">
        <f>SUM(E15:E26)</f>
        <v>287</v>
      </c>
      <c r="F27">
        <f>SUM(F15:F26)</f>
        <v>202</v>
      </c>
    </row>
    <row r="30" spans="1:44" x14ac:dyDescent="0.3">
      <c r="A30" t="s">
        <v>33</v>
      </c>
      <c r="E30">
        <v>4</v>
      </c>
      <c r="G30">
        <v>5</v>
      </c>
      <c r="I30">
        <v>6</v>
      </c>
      <c r="K30">
        <v>7</v>
      </c>
      <c r="M30">
        <v>8</v>
      </c>
      <c r="O30">
        <v>11</v>
      </c>
      <c r="Q30">
        <v>12</v>
      </c>
      <c r="S30">
        <v>13</v>
      </c>
      <c r="U30">
        <v>14</v>
      </c>
      <c r="W30">
        <v>15</v>
      </c>
      <c r="Y30">
        <v>18</v>
      </c>
      <c r="AA30">
        <v>19</v>
      </c>
      <c r="AC30">
        <v>20</v>
      </c>
      <c r="AE30">
        <v>21</v>
      </c>
      <c r="AG30">
        <v>22</v>
      </c>
      <c r="AI30">
        <v>25</v>
      </c>
      <c r="AK30">
        <v>26</v>
      </c>
      <c r="AM30">
        <v>27</v>
      </c>
      <c r="AO30">
        <v>28</v>
      </c>
      <c r="AQ30">
        <v>29</v>
      </c>
    </row>
    <row r="31" spans="1:44" x14ac:dyDescent="0.3">
      <c r="A31" t="s">
        <v>1</v>
      </c>
      <c r="B31" t="s">
        <v>2</v>
      </c>
      <c r="C31" t="s">
        <v>3</v>
      </c>
      <c r="D31" t="s">
        <v>4</v>
      </c>
      <c r="E31" t="s">
        <v>2</v>
      </c>
      <c r="F31" t="s">
        <v>5</v>
      </c>
      <c r="G31" t="s">
        <v>2</v>
      </c>
      <c r="H31" t="s">
        <v>5</v>
      </c>
      <c r="I31" t="s">
        <v>2</v>
      </c>
      <c r="J31" t="s">
        <v>5</v>
      </c>
      <c r="K31" t="s">
        <v>2</v>
      </c>
      <c r="L31" t="s">
        <v>5</v>
      </c>
      <c r="M31" t="s">
        <v>2</v>
      </c>
      <c r="N31" t="s">
        <v>5</v>
      </c>
      <c r="O31" t="s">
        <v>2</v>
      </c>
      <c r="P31" t="s">
        <v>5</v>
      </c>
      <c r="Q31" t="s">
        <v>2</v>
      </c>
      <c r="R31" t="s">
        <v>5</v>
      </c>
      <c r="S31" t="s">
        <v>2</v>
      </c>
      <c r="T31" t="s">
        <v>5</v>
      </c>
      <c r="U31" t="s">
        <v>2</v>
      </c>
      <c r="V31" t="s">
        <v>5</v>
      </c>
      <c r="W31" t="s">
        <v>2</v>
      </c>
      <c r="X31" t="s">
        <v>5</v>
      </c>
      <c r="Y31" t="s">
        <v>2</v>
      </c>
      <c r="Z31" t="s">
        <v>5</v>
      </c>
      <c r="AA31" t="s">
        <v>2</v>
      </c>
      <c r="AB31" t="s">
        <v>5</v>
      </c>
      <c r="AC31" t="s">
        <v>2</v>
      </c>
      <c r="AD31" t="s">
        <v>5</v>
      </c>
      <c r="AE31" t="s">
        <v>2</v>
      </c>
      <c r="AF31" t="s">
        <v>5</v>
      </c>
      <c r="AG31" t="s">
        <v>2</v>
      </c>
      <c r="AH31" t="s">
        <v>5</v>
      </c>
      <c r="AI31" t="s">
        <v>2</v>
      </c>
      <c r="AJ31" t="s">
        <v>5</v>
      </c>
      <c r="AK31" t="s">
        <v>2</v>
      </c>
      <c r="AL31" t="s">
        <v>5</v>
      </c>
      <c r="AM31" t="s">
        <v>2</v>
      </c>
      <c r="AN31" t="s">
        <v>5</v>
      </c>
      <c r="AO31" t="s">
        <v>2</v>
      </c>
      <c r="AP31" t="s">
        <v>5</v>
      </c>
      <c r="AQ31" t="s">
        <v>2</v>
      </c>
      <c r="AR31" t="s">
        <v>5</v>
      </c>
    </row>
    <row r="32" spans="1:44" x14ac:dyDescent="0.3">
      <c r="A32" t="s">
        <v>7</v>
      </c>
      <c r="B32">
        <f t="shared" ref="B32:C36" si="1">E32+G32+I32+K32+M32+O32+Q32+S32+U32+W32+Y32+AA32+AC32+AE32+AG32+AI32+AK32+AM32+AO32+AQ32</f>
        <v>299</v>
      </c>
      <c r="C32">
        <f t="shared" si="1"/>
        <v>275</v>
      </c>
      <c r="D32">
        <f t="shared" ref="D32:D37" si="2">C32/B32</f>
        <v>0.91973244147157196</v>
      </c>
      <c r="E32">
        <v>15</v>
      </c>
      <c r="F32">
        <v>2</v>
      </c>
      <c r="G32">
        <v>15</v>
      </c>
      <c r="H32">
        <v>0</v>
      </c>
      <c r="I32">
        <v>15</v>
      </c>
      <c r="J32">
        <v>1</v>
      </c>
      <c r="K32">
        <v>15</v>
      </c>
      <c r="L32">
        <v>0</v>
      </c>
      <c r="M32">
        <v>15</v>
      </c>
      <c r="N32">
        <v>7</v>
      </c>
      <c r="O32">
        <v>15</v>
      </c>
      <c r="P32">
        <v>1</v>
      </c>
      <c r="Q32">
        <v>15</v>
      </c>
      <c r="R32">
        <v>13</v>
      </c>
      <c r="S32">
        <v>15</v>
      </c>
      <c r="T32">
        <v>22</v>
      </c>
      <c r="U32">
        <v>15</v>
      </c>
      <c r="V32">
        <v>6</v>
      </c>
      <c r="W32">
        <v>15</v>
      </c>
      <c r="X32">
        <v>31</v>
      </c>
      <c r="Y32">
        <v>15</v>
      </c>
      <c r="Z32">
        <v>31</v>
      </c>
      <c r="AA32">
        <v>15</v>
      </c>
      <c r="AB32">
        <f>40/2</f>
        <v>20</v>
      </c>
      <c r="AC32">
        <v>15</v>
      </c>
      <c r="AD32">
        <v>20</v>
      </c>
      <c r="AE32">
        <v>15</v>
      </c>
      <c r="AF32">
        <v>12</v>
      </c>
      <c r="AG32">
        <v>15</v>
      </c>
      <c r="AH32">
        <v>6</v>
      </c>
      <c r="AI32">
        <v>15</v>
      </c>
      <c r="AJ32">
        <v>19</v>
      </c>
      <c r="AK32">
        <v>15</v>
      </c>
      <c r="AL32">
        <v>24</v>
      </c>
      <c r="AM32">
        <v>15</v>
      </c>
      <c r="AN32">
        <v>9</v>
      </c>
      <c r="AO32">
        <v>15</v>
      </c>
      <c r="AP32">
        <v>4</v>
      </c>
      <c r="AQ32">
        <v>14</v>
      </c>
      <c r="AR32">
        <v>47</v>
      </c>
    </row>
    <row r="33" spans="1:44" x14ac:dyDescent="0.3">
      <c r="A33" t="s">
        <v>32</v>
      </c>
      <c r="B33">
        <f t="shared" si="1"/>
        <v>257</v>
      </c>
      <c r="C33">
        <f t="shared" si="1"/>
        <v>344</v>
      </c>
      <c r="D33">
        <f t="shared" si="2"/>
        <v>1.33852140077821</v>
      </c>
      <c r="E33">
        <v>13</v>
      </c>
      <c r="F33">
        <v>0</v>
      </c>
      <c r="G33">
        <v>13</v>
      </c>
      <c r="H33">
        <v>0</v>
      </c>
      <c r="I33">
        <v>13</v>
      </c>
      <c r="J33">
        <v>0</v>
      </c>
      <c r="K33">
        <v>13</v>
      </c>
      <c r="L33">
        <v>2</v>
      </c>
      <c r="M33">
        <v>13</v>
      </c>
      <c r="N33">
        <v>1</v>
      </c>
      <c r="O33">
        <v>13</v>
      </c>
      <c r="P33">
        <v>2</v>
      </c>
      <c r="Q33">
        <v>13</v>
      </c>
      <c r="R33">
        <v>15</v>
      </c>
      <c r="S33">
        <v>13</v>
      </c>
      <c r="T33">
        <v>18</v>
      </c>
      <c r="U33">
        <v>13</v>
      </c>
      <c r="V33">
        <v>24</v>
      </c>
      <c r="W33">
        <v>13</v>
      </c>
      <c r="X33">
        <v>29</v>
      </c>
      <c r="Y33">
        <v>13</v>
      </c>
      <c r="Z33">
        <v>28</v>
      </c>
      <c r="AA33">
        <v>13</v>
      </c>
      <c r="AB33">
        <v>4</v>
      </c>
      <c r="AC33">
        <v>13</v>
      </c>
      <c r="AD33">
        <v>20</v>
      </c>
      <c r="AE33">
        <v>13</v>
      </c>
      <c r="AF33">
        <v>30</v>
      </c>
      <c r="AG33">
        <v>13</v>
      </c>
      <c r="AH33">
        <v>42</v>
      </c>
      <c r="AI33">
        <v>13</v>
      </c>
      <c r="AJ33">
        <v>39</v>
      </c>
      <c r="AK33">
        <v>13</v>
      </c>
      <c r="AL33">
        <v>51</v>
      </c>
      <c r="AM33">
        <v>13</v>
      </c>
      <c r="AN33">
        <v>20</v>
      </c>
      <c r="AO33">
        <v>10</v>
      </c>
      <c r="AP33">
        <v>0</v>
      </c>
      <c r="AQ33">
        <v>13</v>
      </c>
      <c r="AR33">
        <v>19</v>
      </c>
    </row>
    <row r="34" spans="1:44" x14ac:dyDescent="0.3">
      <c r="A34" t="s">
        <v>8</v>
      </c>
      <c r="B34">
        <f t="shared" si="1"/>
        <v>508</v>
      </c>
      <c r="C34">
        <f t="shared" si="1"/>
        <v>510</v>
      </c>
      <c r="D34">
        <f t="shared" si="2"/>
        <v>1.0039370078740157</v>
      </c>
      <c r="E34">
        <v>33</v>
      </c>
      <c r="F34">
        <v>0</v>
      </c>
      <c r="G34">
        <v>25</v>
      </c>
      <c r="H34">
        <v>0</v>
      </c>
      <c r="I34">
        <v>25</v>
      </c>
      <c r="J34">
        <v>4</v>
      </c>
      <c r="K34">
        <v>25</v>
      </c>
      <c r="L34">
        <v>6</v>
      </c>
      <c r="M34">
        <v>25</v>
      </c>
      <c r="N34">
        <v>14</v>
      </c>
      <c r="O34">
        <v>25</v>
      </c>
      <c r="P34">
        <v>11</v>
      </c>
      <c r="Q34">
        <v>25</v>
      </c>
      <c r="R34">
        <v>4</v>
      </c>
      <c r="S34">
        <v>25</v>
      </c>
      <c r="T34">
        <v>26</v>
      </c>
      <c r="U34">
        <v>25</v>
      </c>
      <c r="V34">
        <v>12</v>
      </c>
      <c r="W34">
        <v>25</v>
      </c>
      <c r="X34">
        <v>38</v>
      </c>
      <c r="Y34">
        <v>25</v>
      </c>
      <c r="Z34">
        <v>20</v>
      </c>
      <c r="AA34">
        <v>25</v>
      </c>
      <c r="AB34">
        <v>7</v>
      </c>
      <c r="AC34">
        <v>25</v>
      </c>
      <c r="AD34">
        <v>10</v>
      </c>
      <c r="AE34">
        <v>25</v>
      </c>
      <c r="AF34">
        <v>32</v>
      </c>
      <c r="AG34">
        <v>25</v>
      </c>
      <c r="AH34">
        <v>41</v>
      </c>
      <c r="AI34">
        <v>25</v>
      </c>
      <c r="AJ34">
        <v>57</v>
      </c>
      <c r="AK34">
        <v>25</v>
      </c>
      <c r="AL34">
        <v>60</v>
      </c>
      <c r="AM34">
        <v>25</v>
      </c>
      <c r="AN34">
        <v>60</v>
      </c>
      <c r="AO34">
        <v>25</v>
      </c>
      <c r="AP34">
        <v>62</v>
      </c>
      <c r="AQ34">
        <v>25</v>
      </c>
      <c r="AR34">
        <v>46</v>
      </c>
    </row>
    <row r="35" spans="1:44" x14ac:dyDescent="0.3">
      <c r="A35" t="s">
        <v>9</v>
      </c>
      <c r="B35">
        <f t="shared" si="1"/>
        <v>326</v>
      </c>
      <c r="C35">
        <f t="shared" si="1"/>
        <v>331</v>
      </c>
      <c r="D35">
        <f t="shared" si="2"/>
        <v>1.0153374233128833</v>
      </c>
      <c r="E35">
        <v>22</v>
      </c>
      <c r="F35">
        <v>31</v>
      </c>
      <c r="G35">
        <v>16</v>
      </c>
      <c r="H35">
        <v>24</v>
      </c>
      <c r="I35">
        <v>16</v>
      </c>
      <c r="J35">
        <v>5</v>
      </c>
      <c r="K35">
        <v>16</v>
      </c>
      <c r="L35">
        <v>7</v>
      </c>
      <c r="M35">
        <v>16</v>
      </c>
      <c r="N35">
        <v>28</v>
      </c>
      <c r="O35">
        <v>16</v>
      </c>
      <c r="P35">
        <v>16</v>
      </c>
      <c r="Q35">
        <v>16</v>
      </c>
      <c r="R35">
        <v>1</v>
      </c>
      <c r="S35">
        <v>16</v>
      </c>
      <c r="T35">
        <v>25</v>
      </c>
      <c r="U35">
        <v>16</v>
      </c>
      <c r="V35">
        <v>14</v>
      </c>
      <c r="W35">
        <v>16</v>
      </c>
      <c r="X35">
        <v>5</v>
      </c>
      <c r="Y35">
        <v>16</v>
      </c>
      <c r="Z35">
        <v>17</v>
      </c>
      <c r="AA35">
        <v>16</v>
      </c>
      <c r="AB35">
        <v>0</v>
      </c>
      <c r="AC35">
        <v>16</v>
      </c>
      <c r="AD35">
        <v>0</v>
      </c>
      <c r="AE35">
        <v>16</v>
      </c>
      <c r="AF35">
        <v>0</v>
      </c>
      <c r="AG35">
        <v>16</v>
      </c>
      <c r="AH35">
        <v>0</v>
      </c>
      <c r="AI35">
        <v>16</v>
      </c>
      <c r="AJ35">
        <v>31</v>
      </c>
      <c r="AK35">
        <v>16</v>
      </c>
      <c r="AL35">
        <v>40</v>
      </c>
      <c r="AM35">
        <v>16</v>
      </c>
      <c r="AN35">
        <v>32</v>
      </c>
      <c r="AO35">
        <v>16</v>
      </c>
      <c r="AP35">
        <v>30</v>
      </c>
      <c r="AQ35">
        <v>16</v>
      </c>
      <c r="AR35">
        <v>25</v>
      </c>
    </row>
    <row r="36" spans="1:44" x14ac:dyDescent="0.3">
      <c r="A36" t="s">
        <v>10</v>
      </c>
      <c r="B36">
        <f t="shared" si="1"/>
        <v>233</v>
      </c>
      <c r="C36">
        <f t="shared" si="1"/>
        <v>241</v>
      </c>
      <c r="D36">
        <f t="shared" si="2"/>
        <v>1.0343347639484979</v>
      </c>
      <c r="E36">
        <v>12</v>
      </c>
      <c r="F36">
        <v>0</v>
      </c>
      <c r="G36">
        <v>12</v>
      </c>
      <c r="H36">
        <v>1</v>
      </c>
      <c r="I36">
        <v>12</v>
      </c>
      <c r="J36">
        <v>1</v>
      </c>
      <c r="K36">
        <v>12</v>
      </c>
      <c r="L36">
        <v>8</v>
      </c>
      <c r="M36">
        <v>12</v>
      </c>
      <c r="N36">
        <v>3</v>
      </c>
      <c r="O36">
        <v>12</v>
      </c>
      <c r="P36">
        <v>0</v>
      </c>
      <c r="Q36">
        <v>12</v>
      </c>
      <c r="R36">
        <v>21</v>
      </c>
      <c r="S36">
        <v>12</v>
      </c>
      <c r="T36">
        <v>11</v>
      </c>
      <c r="U36">
        <v>12</v>
      </c>
      <c r="V36">
        <v>19</v>
      </c>
      <c r="W36">
        <v>12</v>
      </c>
      <c r="X36">
        <v>1</v>
      </c>
      <c r="Y36">
        <v>12</v>
      </c>
      <c r="Z36">
        <v>29</v>
      </c>
      <c r="AA36">
        <v>12</v>
      </c>
      <c r="AB36">
        <v>6</v>
      </c>
      <c r="AC36">
        <v>12</v>
      </c>
      <c r="AD36">
        <v>1</v>
      </c>
      <c r="AE36">
        <v>12</v>
      </c>
      <c r="AF36">
        <v>3</v>
      </c>
      <c r="AG36">
        <v>12</v>
      </c>
      <c r="AH36">
        <v>35</v>
      </c>
      <c r="AI36">
        <v>12</v>
      </c>
      <c r="AJ36">
        <v>36</v>
      </c>
      <c r="AK36">
        <v>12</v>
      </c>
      <c r="AL36">
        <v>26</v>
      </c>
      <c r="AM36">
        <v>12</v>
      </c>
      <c r="AN36">
        <v>20</v>
      </c>
      <c r="AO36">
        <v>12</v>
      </c>
      <c r="AP36">
        <v>16</v>
      </c>
      <c r="AQ36">
        <v>5</v>
      </c>
      <c r="AR36">
        <v>4</v>
      </c>
    </row>
    <row r="37" spans="1:44" x14ac:dyDescent="0.3">
      <c r="A37" t="s">
        <v>11</v>
      </c>
      <c r="B37">
        <f>SUM(B32:B36)</f>
        <v>1623</v>
      </c>
      <c r="C37">
        <f>SUM(C32:C36)</f>
        <v>1701</v>
      </c>
      <c r="D37">
        <f t="shared" si="2"/>
        <v>1.0480591497227356</v>
      </c>
      <c r="E37">
        <f t="shared" ref="E37:AR37" si="3">SUM(E32:E36)</f>
        <v>95</v>
      </c>
      <c r="F37">
        <f t="shared" si="3"/>
        <v>33</v>
      </c>
      <c r="G37">
        <f t="shared" si="3"/>
        <v>81</v>
      </c>
      <c r="H37">
        <f t="shared" si="3"/>
        <v>25</v>
      </c>
      <c r="I37">
        <f t="shared" si="3"/>
        <v>81</v>
      </c>
      <c r="J37">
        <f t="shared" si="3"/>
        <v>11</v>
      </c>
      <c r="K37">
        <f t="shared" si="3"/>
        <v>81</v>
      </c>
      <c r="L37">
        <f t="shared" si="3"/>
        <v>23</v>
      </c>
      <c r="M37">
        <f t="shared" si="3"/>
        <v>81</v>
      </c>
      <c r="N37">
        <f t="shared" si="3"/>
        <v>53</v>
      </c>
      <c r="O37">
        <f t="shared" si="3"/>
        <v>81</v>
      </c>
      <c r="P37">
        <f t="shared" si="3"/>
        <v>30</v>
      </c>
      <c r="Q37">
        <f t="shared" si="3"/>
        <v>81</v>
      </c>
      <c r="R37">
        <f t="shared" si="3"/>
        <v>54</v>
      </c>
      <c r="S37">
        <f t="shared" si="3"/>
        <v>81</v>
      </c>
      <c r="T37">
        <f t="shared" si="3"/>
        <v>102</v>
      </c>
      <c r="U37">
        <f t="shared" si="3"/>
        <v>81</v>
      </c>
      <c r="V37">
        <f t="shared" si="3"/>
        <v>75</v>
      </c>
      <c r="W37">
        <f t="shared" si="3"/>
        <v>81</v>
      </c>
      <c r="X37">
        <f t="shared" si="3"/>
        <v>104</v>
      </c>
      <c r="Y37">
        <f t="shared" si="3"/>
        <v>81</v>
      </c>
      <c r="Z37">
        <f t="shared" si="3"/>
        <v>125</v>
      </c>
      <c r="AA37">
        <f t="shared" si="3"/>
        <v>81</v>
      </c>
      <c r="AB37">
        <f t="shared" si="3"/>
        <v>37</v>
      </c>
      <c r="AC37">
        <f t="shared" si="3"/>
        <v>81</v>
      </c>
      <c r="AD37">
        <f t="shared" si="3"/>
        <v>51</v>
      </c>
      <c r="AE37">
        <f t="shared" si="3"/>
        <v>81</v>
      </c>
      <c r="AF37">
        <f t="shared" si="3"/>
        <v>77</v>
      </c>
      <c r="AG37">
        <f t="shared" si="3"/>
        <v>81</v>
      </c>
      <c r="AH37">
        <f t="shared" si="3"/>
        <v>124</v>
      </c>
      <c r="AI37">
        <f t="shared" si="3"/>
        <v>81</v>
      </c>
      <c r="AJ37">
        <f t="shared" si="3"/>
        <v>182</v>
      </c>
      <c r="AK37">
        <f t="shared" si="3"/>
        <v>81</v>
      </c>
      <c r="AL37">
        <f t="shared" si="3"/>
        <v>201</v>
      </c>
      <c r="AM37">
        <f t="shared" si="3"/>
        <v>81</v>
      </c>
      <c r="AN37">
        <f t="shared" si="3"/>
        <v>141</v>
      </c>
      <c r="AO37">
        <f t="shared" si="3"/>
        <v>78</v>
      </c>
      <c r="AP37">
        <f t="shared" si="3"/>
        <v>112</v>
      </c>
      <c r="AQ37">
        <f t="shared" si="3"/>
        <v>73</v>
      </c>
      <c r="AR37">
        <f t="shared" si="3"/>
        <v>141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T37"/>
  <sheetViews>
    <sheetView workbookViewId="0"/>
  </sheetViews>
  <sheetFormatPr defaultRowHeight="14.4" x14ac:dyDescent="0.3"/>
  <sheetData>
    <row r="2" spans="1:46" x14ac:dyDescent="0.3">
      <c r="A2" t="s">
        <v>0</v>
      </c>
      <c r="E2">
        <v>1</v>
      </c>
      <c r="G2">
        <v>2</v>
      </c>
      <c r="I2">
        <v>3</v>
      </c>
      <c r="K2">
        <v>5</v>
      </c>
      <c r="M2">
        <v>8</v>
      </c>
      <c r="O2">
        <v>9</v>
      </c>
      <c r="Q2">
        <v>10</v>
      </c>
      <c r="S2">
        <v>11</v>
      </c>
      <c r="U2">
        <v>12</v>
      </c>
      <c r="W2">
        <v>15</v>
      </c>
      <c r="Y2">
        <v>16</v>
      </c>
      <c r="AA2">
        <v>17</v>
      </c>
      <c r="AC2">
        <v>18</v>
      </c>
      <c r="AE2">
        <v>19</v>
      </c>
      <c r="AG2">
        <v>22</v>
      </c>
      <c r="AI2">
        <v>23</v>
      </c>
      <c r="AK2">
        <v>24</v>
      </c>
      <c r="AM2">
        <v>25</v>
      </c>
      <c r="AO2">
        <v>26</v>
      </c>
      <c r="AQ2">
        <v>29</v>
      </c>
      <c r="AS2">
        <v>30</v>
      </c>
    </row>
    <row r="3" spans="1:46" x14ac:dyDescent="0.3">
      <c r="A3" t="s">
        <v>1</v>
      </c>
      <c r="B3" t="s">
        <v>2</v>
      </c>
      <c r="C3" t="s">
        <v>3</v>
      </c>
      <c r="D3" t="s">
        <v>4</v>
      </c>
      <c r="E3" t="s">
        <v>2</v>
      </c>
      <c r="F3" t="s">
        <v>5</v>
      </c>
      <c r="G3" t="s">
        <v>2</v>
      </c>
      <c r="H3" t="s">
        <v>5</v>
      </c>
      <c r="I3" t="s">
        <v>2</v>
      </c>
      <c r="J3" t="s">
        <v>5</v>
      </c>
      <c r="K3" t="s">
        <v>2</v>
      </c>
      <c r="L3" t="s">
        <v>5</v>
      </c>
      <c r="M3" t="s">
        <v>2</v>
      </c>
      <c r="N3" t="s">
        <v>5</v>
      </c>
      <c r="O3" t="s">
        <v>2</v>
      </c>
      <c r="P3" t="s">
        <v>5</v>
      </c>
      <c r="Q3" t="s">
        <v>2</v>
      </c>
      <c r="R3" t="s">
        <v>5</v>
      </c>
      <c r="S3" t="s">
        <v>2</v>
      </c>
      <c r="T3" t="s">
        <v>5</v>
      </c>
      <c r="U3" t="s">
        <v>2</v>
      </c>
      <c r="V3" t="s">
        <v>5</v>
      </c>
      <c r="W3" t="s">
        <v>2</v>
      </c>
      <c r="X3" t="s">
        <v>5</v>
      </c>
      <c r="Y3" t="s">
        <v>2</v>
      </c>
      <c r="Z3" t="s">
        <v>5</v>
      </c>
      <c r="AA3" t="s">
        <v>2</v>
      </c>
      <c r="AB3" t="s">
        <v>5</v>
      </c>
      <c r="AC3" t="s">
        <v>2</v>
      </c>
      <c r="AD3" t="s">
        <v>5</v>
      </c>
      <c r="AE3" t="s">
        <v>2</v>
      </c>
      <c r="AF3" t="s">
        <v>5</v>
      </c>
      <c r="AG3" t="s">
        <v>2</v>
      </c>
      <c r="AH3" t="s">
        <v>5</v>
      </c>
      <c r="AI3" t="s">
        <v>2</v>
      </c>
      <c r="AJ3" t="s">
        <v>5</v>
      </c>
      <c r="AK3" t="s">
        <v>2</v>
      </c>
      <c r="AL3" t="s">
        <v>5</v>
      </c>
      <c r="AM3" t="s">
        <v>2</v>
      </c>
      <c r="AN3" t="s">
        <v>5</v>
      </c>
      <c r="AO3" t="s">
        <v>2</v>
      </c>
      <c r="AP3" t="s">
        <v>5</v>
      </c>
      <c r="AQ3" t="s">
        <v>2</v>
      </c>
      <c r="AR3" t="s">
        <v>5</v>
      </c>
      <c r="AS3" t="s">
        <v>2</v>
      </c>
      <c r="AT3" t="s">
        <v>5</v>
      </c>
    </row>
    <row r="4" spans="1:46" x14ac:dyDescent="0.3">
      <c r="A4" t="s">
        <v>7</v>
      </c>
      <c r="B4">
        <v>31</v>
      </c>
      <c r="C4">
        <v>16</v>
      </c>
      <c r="D4">
        <v>0.52</v>
      </c>
      <c r="E4">
        <v>1</v>
      </c>
      <c r="F4">
        <v>0</v>
      </c>
      <c r="G4">
        <v>1</v>
      </c>
      <c r="H4">
        <v>2</v>
      </c>
      <c r="I4">
        <v>1</v>
      </c>
      <c r="J4">
        <v>0</v>
      </c>
      <c r="K4">
        <v>1</v>
      </c>
      <c r="L4">
        <v>3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2</v>
      </c>
      <c r="AB4">
        <v>0</v>
      </c>
      <c r="AC4">
        <v>2</v>
      </c>
      <c r="AD4">
        <v>1</v>
      </c>
      <c r="AE4">
        <v>2</v>
      </c>
      <c r="AF4">
        <v>0</v>
      </c>
      <c r="AG4">
        <v>2</v>
      </c>
      <c r="AH4">
        <v>0</v>
      </c>
      <c r="AI4">
        <v>2</v>
      </c>
      <c r="AJ4">
        <v>0</v>
      </c>
      <c r="AK4">
        <v>2</v>
      </c>
      <c r="AL4">
        <v>0</v>
      </c>
      <c r="AM4">
        <v>2</v>
      </c>
      <c r="AN4">
        <v>0</v>
      </c>
      <c r="AO4">
        <v>2</v>
      </c>
      <c r="AP4">
        <v>3</v>
      </c>
      <c r="AQ4">
        <v>2</v>
      </c>
      <c r="AR4">
        <v>1</v>
      </c>
      <c r="AS4">
        <v>2</v>
      </c>
      <c r="AT4">
        <v>2</v>
      </c>
    </row>
    <row r="5" spans="1:46" x14ac:dyDescent="0.3">
      <c r="A5" t="s">
        <v>8</v>
      </c>
      <c r="B5">
        <v>48</v>
      </c>
      <c r="C5">
        <v>22</v>
      </c>
      <c r="D5">
        <v>0.45833333333333331</v>
      </c>
      <c r="E5">
        <v>3</v>
      </c>
      <c r="F5">
        <v>0</v>
      </c>
      <c r="G5">
        <v>3</v>
      </c>
      <c r="H5">
        <v>0</v>
      </c>
      <c r="I5">
        <v>3</v>
      </c>
      <c r="J5">
        <v>0</v>
      </c>
      <c r="K5">
        <v>3</v>
      </c>
      <c r="L5">
        <v>3</v>
      </c>
      <c r="M5">
        <v>3</v>
      </c>
      <c r="N5">
        <v>1</v>
      </c>
      <c r="O5">
        <v>3</v>
      </c>
      <c r="P5">
        <v>0</v>
      </c>
      <c r="Q5">
        <v>3</v>
      </c>
      <c r="R5">
        <v>0</v>
      </c>
      <c r="S5">
        <v>3</v>
      </c>
      <c r="T5">
        <v>1</v>
      </c>
      <c r="U5">
        <v>3</v>
      </c>
      <c r="V5">
        <v>2</v>
      </c>
      <c r="W5">
        <v>3</v>
      </c>
      <c r="X5">
        <v>0</v>
      </c>
      <c r="Y5">
        <v>3</v>
      </c>
      <c r="Z5">
        <v>0</v>
      </c>
      <c r="AA5">
        <v>3</v>
      </c>
      <c r="AB5">
        <v>1</v>
      </c>
      <c r="AC5">
        <v>2</v>
      </c>
      <c r="AD5">
        <v>5</v>
      </c>
      <c r="AE5">
        <v>1</v>
      </c>
      <c r="AF5">
        <v>2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4</v>
      </c>
      <c r="AQ5">
        <v>1</v>
      </c>
      <c r="AR5">
        <v>0</v>
      </c>
      <c r="AS5">
        <v>1</v>
      </c>
      <c r="AT5">
        <v>0</v>
      </c>
    </row>
    <row r="6" spans="1:46" x14ac:dyDescent="0.3">
      <c r="A6" t="s">
        <v>32</v>
      </c>
      <c r="B6">
        <v>25</v>
      </c>
      <c r="C6">
        <v>7</v>
      </c>
      <c r="D6">
        <v>0.28000000000000003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1</v>
      </c>
      <c r="AL6">
        <v>2</v>
      </c>
      <c r="AM6">
        <v>2</v>
      </c>
      <c r="AN6">
        <v>0</v>
      </c>
      <c r="AO6">
        <v>2</v>
      </c>
      <c r="AP6">
        <v>1</v>
      </c>
      <c r="AQ6">
        <v>2</v>
      </c>
      <c r="AR6">
        <v>0</v>
      </c>
      <c r="AS6">
        <v>2</v>
      </c>
      <c r="AT6">
        <v>2</v>
      </c>
    </row>
    <row r="7" spans="1:46" x14ac:dyDescent="0.3">
      <c r="A7" t="s">
        <v>9</v>
      </c>
      <c r="B7">
        <v>30</v>
      </c>
      <c r="C7">
        <v>27</v>
      </c>
      <c r="D7">
        <v>0.9</v>
      </c>
      <c r="E7">
        <v>2</v>
      </c>
      <c r="F7">
        <v>0</v>
      </c>
      <c r="G7">
        <v>2</v>
      </c>
      <c r="H7">
        <v>0</v>
      </c>
      <c r="I7">
        <v>2</v>
      </c>
      <c r="J7">
        <v>2</v>
      </c>
      <c r="K7">
        <v>2</v>
      </c>
      <c r="L7">
        <v>1</v>
      </c>
      <c r="M7">
        <v>2</v>
      </c>
      <c r="N7">
        <v>0</v>
      </c>
      <c r="O7">
        <v>2</v>
      </c>
      <c r="P7">
        <v>1</v>
      </c>
      <c r="Q7">
        <v>2</v>
      </c>
      <c r="R7">
        <v>3</v>
      </c>
      <c r="S7">
        <v>2</v>
      </c>
      <c r="T7">
        <v>4</v>
      </c>
      <c r="U7">
        <v>2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2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3</v>
      </c>
      <c r="AO7">
        <v>1</v>
      </c>
      <c r="AP7">
        <v>2</v>
      </c>
      <c r="AQ7">
        <v>1</v>
      </c>
      <c r="AR7">
        <v>0</v>
      </c>
      <c r="AS7">
        <v>1</v>
      </c>
      <c r="AT7">
        <v>4</v>
      </c>
    </row>
    <row r="8" spans="1:46" x14ac:dyDescent="0.3">
      <c r="A8" t="s">
        <v>10</v>
      </c>
      <c r="B8">
        <v>25</v>
      </c>
      <c r="C8">
        <v>20</v>
      </c>
      <c r="D8">
        <v>0.8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3</v>
      </c>
      <c r="Q8">
        <v>1</v>
      </c>
      <c r="R8">
        <v>1</v>
      </c>
      <c r="S8">
        <v>1</v>
      </c>
      <c r="T8">
        <v>2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2</v>
      </c>
      <c r="AE8">
        <v>1</v>
      </c>
      <c r="AF8">
        <v>2</v>
      </c>
      <c r="AG8">
        <v>1</v>
      </c>
      <c r="AH8">
        <v>0</v>
      </c>
      <c r="AI8">
        <v>2</v>
      </c>
      <c r="AJ8">
        <v>0</v>
      </c>
      <c r="AK8">
        <v>1</v>
      </c>
      <c r="AL8">
        <v>0</v>
      </c>
      <c r="AM8">
        <v>2</v>
      </c>
      <c r="AN8">
        <v>1</v>
      </c>
      <c r="AO8">
        <v>2</v>
      </c>
      <c r="AP8">
        <v>1</v>
      </c>
      <c r="AQ8">
        <v>2</v>
      </c>
      <c r="AR8">
        <v>0</v>
      </c>
      <c r="AS8">
        <v>2</v>
      </c>
      <c r="AT8">
        <v>2</v>
      </c>
    </row>
    <row r="9" spans="1:46" x14ac:dyDescent="0.3">
      <c r="A9" t="s">
        <v>11</v>
      </c>
      <c r="B9">
        <v>159</v>
      </c>
      <c r="C9">
        <v>92</v>
      </c>
      <c r="D9">
        <v>0.57861635220125784</v>
      </c>
      <c r="E9">
        <v>8</v>
      </c>
      <c r="F9">
        <v>1</v>
      </c>
      <c r="G9">
        <v>8</v>
      </c>
      <c r="H9">
        <v>2</v>
      </c>
      <c r="I9">
        <v>8</v>
      </c>
      <c r="J9">
        <v>3</v>
      </c>
      <c r="K9">
        <v>8</v>
      </c>
      <c r="L9">
        <v>9</v>
      </c>
      <c r="M9">
        <v>8</v>
      </c>
      <c r="N9">
        <v>1</v>
      </c>
      <c r="O9">
        <v>8</v>
      </c>
      <c r="P9">
        <v>5</v>
      </c>
      <c r="Q9">
        <v>8</v>
      </c>
      <c r="R9">
        <v>4</v>
      </c>
      <c r="S9">
        <v>8</v>
      </c>
      <c r="T9">
        <v>8</v>
      </c>
      <c r="U9">
        <v>8</v>
      </c>
      <c r="V9">
        <v>4</v>
      </c>
      <c r="W9">
        <v>7</v>
      </c>
      <c r="X9">
        <v>2</v>
      </c>
      <c r="Y9">
        <v>7</v>
      </c>
      <c r="Z9">
        <v>2</v>
      </c>
      <c r="AA9">
        <v>8</v>
      </c>
      <c r="AB9">
        <v>3</v>
      </c>
      <c r="AC9">
        <v>7</v>
      </c>
      <c r="AD9">
        <v>9</v>
      </c>
      <c r="AE9">
        <v>6</v>
      </c>
      <c r="AF9">
        <v>5</v>
      </c>
      <c r="AG9">
        <v>6</v>
      </c>
      <c r="AH9">
        <v>1</v>
      </c>
      <c r="AI9">
        <v>29</v>
      </c>
      <c r="AJ9">
        <v>1</v>
      </c>
      <c r="AK9">
        <v>6</v>
      </c>
      <c r="AL9">
        <v>4</v>
      </c>
      <c r="AM9">
        <v>8</v>
      </c>
      <c r="AN9">
        <v>5</v>
      </c>
      <c r="AO9">
        <v>8</v>
      </c>
      <c r="AP9">
        <v>11</v>
      </c>
      <c r="AQ9">
        <v>8</v>
      </c>
      <c r="AR9">
        <v>1</v>
      </c>
      <c r="AS9">
        <v>8</v>
      </c>
      <c r="AT9">
        <v>10</v>
      </c>
    </row>
    <row r="10" spans="1:46" x14ac:dyDescent="0.3">
      <c r="A10" t="s">
        <v>12</v>
      </c>
      <c r="B10">
        <v>246</v>
      </c>
    </row>
    <row r="11" spans="1:46" x14ac:dyDescent="0.3">
      <c r="A11" t="s">
        <v>13</v>
      </c>
      <c r="B11">
        <v>87</v>
      </c>
    </row>
    <row r="13" spans="1:46" x14ac:dyDescent="0.3">
      <c r="A13" t="s">
        <v>14</v>
      </c>
    </row>
    <row r="14" spans="1:46" x14ac:dyDescent="0.3">
      <c r="A14" t="s">
        <v>15</v>
      </c>
      <c r="B14" t="s">
        <v>7</v>
      </c>
      <c r="C14" t="s">
        <v>8</v>
      </c>
      <c r="D14" t="s">
        <v>32</v>
      </c>
      <c r="E14" t="s">
        <v>9</v>
      </c>
      <c r="F14" t="s">
        <v>10</v>
      </c>
      <c r="G14" t="s">
        <v>11</v>
      </c>
    </row>
    <row r="15" spans="1:46" x14ac:dyDescent="0.3">
      <c r="A15" t="s">
        <v>16</v>
      </c>
      <c r="B15">
        <v>25</v>
      </c>
      <c r="C15">
        <v>0</v>
      </c>
      <c r="D15">
        <v>0</v>
      </c>
      <c r="E15">
        <v>0</v>
      </c>
      <c r="F15">
        <v>3</v>
      </c>
      <c r="G15">
        <v>28</v>
      </c>
    </row>
    <row r="16" spans="1:46" x14ac:dyDescent="0.3">
      <c r="A16" t="s">
        <v>17</v>
      </c>
      <c r="B16">
        <v>6</v>
      </c>
      <c r="C16">
        <v>0</v>
      </c>
      <c r="D16">
        <v>0</v>
      </c>
      <c r="E16">
        <v>0</v>
      </c>
      <c r="F16">
        <v>7</v>
      </c>
      <c r="G16">
        <v>13</v>
      </c>
    </row>
    <row r="17" spans="1:46" x14ac:dyDescent="0.3">
      <c r="A17" t="s">
        <v>18</v>
      </c>
      <c r="B17">
        <v>4</v>
      </c>
      <c r="C17">
        <v>0</v>
      </c>
      <c r="D17">
        <v>0</v>
      </c>
      <c r="E17">
        <v>0</v>
      </c>
      <c r="F17">
        <v>1</v>
      </c>
      <c r="G17">
        <v>5</v>
      </c>
    </row>
    <row r="18" spans="1:46" x14ac:dyDescent="0.3">
      <c r="A18" t="s">
        <v>19</v>
      </c>
      <c r="B18">
        <v>1</v>
      </c>
      <c r="C18">
        <v>0</v>
      </c>
      <c r="D18">
        <v>0</v>
      </c>
      <c r="E18">
        <v>0</v>
      </c>
      <c r="F18">
        <v>1</v>
      </c>
      <c r="G18">
        <v>2</v>
      </c>
    </row>
    <row r="19" spans="1:46" x14ac:dyDescent="0.3">
      <c r="A19" t="s">
        <v>20</v>
      </c>
      <c r="B19" t="s">
        <v>7</v>
      </c>
      <c r="C19" t="s">
        <v>8</v>
      </c>
      <c r="D19" t="s">
        <v>32</v>
      </c>
      <c r="E19" t="s">
        <v>9</v>
      </c>
      <c r="F19" t="s">
        <v>10</v>
      </c>
      <c r="G19" t="s">
        <v>11</v>
      </c>
    </row>
    <row r="20" spans="1:46" x14ac:dyDescent="0.3">
      <c r="A20" t="s">
        <v>34</v>
      </c>
      <c r="B20">
        <v>182</v>
      </c>
      <c r="C20">
        <v>530</v>
      </c>
      <c r="D20">
        <v>350</v>
      </c>
      <c r="E20">
        <v>201</v>
      </c>
      <c r="F20">
        <v>129</v>
      </c>
      <c r="G20">
        <v>1392</v>
      </c>
    </row>
    <row r="21" spans="1:46" x14ac:dyDescent="0.3">
      <c r="A21" t="s">
        <v>22</v>
      </c>
      <c r="B21">
        <v>29</v>
      </c>
      <c r="C21">
        <v>73</v>
      </c>
      <c r="D21">
        <v>32</v>
      </c>
      <c r="E21">
        <v>70</v>
      </c>
      <c r="F21">
        <v>70</v>
      </c>
      <c r="G21">
        <v>274</v>
      </c>
    </row>
    <row r="22" spans="1:46" x14ac:dyDescent="0.3">
      <c r="A22" t="s">
        <v>23</v>
      </c>
      <c r="B22">
        <v>0</v>
      </c>
      <c r="C22">
        <v>0</v>
      </c>
      <c r="D22">
        <v>1</v>
      </c>
      <c r="E22">
        <v>6</v>
      </c>
      <c r="F22">
        <v>8</v>
      </c>
      <c r="G22">
        <v>15</v>
      </c>
    </row>
    <row r="23" spans="1:46" x14ac:dyDescent="0.3">
      <c r="A23" t="s">
        <v>25</v>
      </c>
      <c r="B23">
        <v>1</v>
      </c>
      <c r="C23">
        <v>0</v>
      </c>
      <c r="D23">
        <v>3</v>
      </c>
      <c r="E23">
        <v>3</v>
      </c>
      <c r="F23">
        <v>10</v>
      </c>
      <c r="G23">
        <v>17</v>
      </c>
    </row>
    <row r="24" spans="1:46" x14ac:dyDescent="0.3">
      <c r="A24" t="s">
        <v>26</v>
      </c>
      <c r="B24">
        <v>41</v>
      </c>
      <c r="C24">
        <v>52</v>
      </c>
      <c r="D24">
        <v>18</v>
      </c>
      <c r="E24">
        <v>15</v>
      </c>
      <c r="F24">
        <v>28</v>
      </c>
      <c r="G24">
        <v>154</v>
      </c>
    </row>
    <row r="25" spans="1:46" x14ac:dyDescent="0.3">
      <c r="A25" t="s">
        <v>27</v>
      </c>
      <c r="B25">
        <v>2</v>
      </c>
      <c r="C25">
        <v>0</v>
      </c>
      <c r="D25">
        <v>4</v>
      </c>
      <c r="E25">
        <v>18</v>
      </c>
      <c r="F25">
        <v>12</v>
      </c>
      <c r="G25">
        <v>36</v>
      </c>
    </row>
    <row r="26" spans="1:46" x14ac:dyDescent="0.3">
      <c r="A26" t="s">
        <v>28</v>
      </c>
      <c r="B26">
        <v>5</v>
      </c>
      <c r="C26">
        <v>0</v>
      </c>
      <c r="D26">
        <v>0</v>
      </c>
      <c r="E26">
        <v>4</v>
      </c>
      <c r="F26">
        <v>5</v>
      </c>
      <c r="G26">
        <v>14</v>
      </c>
    </row>
    <row r="27" spans="1:46" x14ac:dyDescent="0.3">
      <c r="A27" t="s">
        <v>11</v>
      </c>
      <c r="B27">
        <v>296</v>
      </c>
      <c r="C27">
        <v>655</v>
      </c>
      <c r="D27">
        <v>408</v>
      </c>
      <c r="E27">
        <v>317</v>
      </c>
      <c r="F27">
        <v>274</v>
      </c>
    </row>
    <row r="30" spans="1:46" x14ac:dyDescent="0.3">
      <c r="A30" t="s">
        <v>35</v>
      </c>
      <c r="E30">
        <v>1</v>
      </c>
      <c r="G30">
        <v>2</v>
      </c>
      <c r="I30">
        <v>3</v>
      </c>
      <c r="K30">
        <v>5</v>
      </c>
      <c r="M30">
        <v>8</v>
      </c>
      <c r="O30">
        <v>9</v>
      </c>
      <c r="Q30">
        <v>10</v>
      </c>
      <c r="S30">
        <v>11</v>
      </c>
      <c r="U30">
        <v>12</v>
      </c>
      <c r="W30">
        <v>15</v>
      </c>
      <c r="Y30">
        <v>16</v>
      </c>
      <c r="AA30">
        <v>17</v>
      </c>
      <c r="AC30">
        <v>18</v>
      </c>
      <c r="AE30">
        <v>19</v>
      </c>
      <c r="AG30">
        <v>22</v>
      </c>
      <c r="AI30">
        <v>23</v>
      </c>
      <c r="AK30">
        <v>24</v>
      </c>
      <c r="AM30">
        <v>25</v>
      </c>
      <c r="AO30">
        <v>26</v>
      </c>
      <c r="AQ30">
        <v>29</v>
      </c>
      <c r="AS30">
        <v>30</v>
      </c>
    </row>
    <row r="31" spans="1:46" x14ac:dyDescent="0.3">
      <c r="A31" t="s">
        <v>1</v>
      </c>
      <c r="B31" t="s">
        <v>2</v>
      </c>
      <c r="C31" t="s">
        <v>3</v>
      </c>
      <c r="D31" t="s">
        <v>4</v>
      </c>
      <c r="E31" t="s">
        <v>2</v>
      </c>
      <c r="F31" t="s">
        <v>5</v>
      </c>
      <c r="G31" t="s">
        <v>2</v>
      </c>
      <c r="H31" t="s">
        <v>5</v>
      </c>
      <c r="I31" t="s">
        <v>2</v>
      </c>
      <c r="J31" t="s">
        <v>5</v>
      </c>
      <c r="K31" t="s">
        <v>2</v>
      </c>
      <c r="L31" t="s">
        <v>5</v>
      </c>
      <c r="M31" t="s">
        <v>2</v>
      </c>
      <c r="N31" t="s">
        <v>5</v>
      </c>
      <c r="O31" t="s">
        <v>2</v>
      </c>
      <c r="P31" t="s">
        <v>5</v>
      </c>
      <c r="Q31" t="s">
        <v>2</v>
      </c>
      <c r="R31" t="s">
        <v>5</v>
      </c>
      <c r="S31" t="s">
        <v>2</v>
      </c>
      <c r="T31" t="s">
        <v>5</v>
      </c>
      <c r="U31" t="s">
        <v>2</v>
      </c>
      <c r="V31" t="s">
        <v>5</v>
      </c>
      <c r="W31" t="s">
        <v>2</v>
      </c>
      <c r="X31" t="s">
        <v>5</v>
      </c>
      <c r="Y31" t="s">
        <v>2</v>
      </c>
      <c r="Z31" t="s">
        <v>5</v>
      </c>
      <c r="AA31" t="s">
        <v>2</v>
      </c>
      <c r="AB31" t="s">
        <v>5</v>
      </c>
      <c r="AC31" t="s">
        <v>2</v>
      </c>
      <c r="AD31" t="s">
        <v>5</v>
      </c>
      <c r="AE31" t="s">
        <v>2</v>
      </c>
      <c r="AF31" t="s">
        <v>5</v>
      </c>
      <c r="AG31" t="s">
        <v>2</v>
      </c>
      <c r="AH31" t="s">
        <v>5</v>
      </c>
      <c r="AI31" t="s">
        <v>2</v>
      </c>
      <c r="AJ31" t="s">
        <v>5</v>
      </c>
      <c r="AK31" t="s">
        <v>2</v>
      </c>
      <c r="AL31" t="s">
        <v>5</v>
      </c>
      <c r="AM31" t="s">
        <v>2</v>
      </c>
      <c r="AN31" t="s">
        <v>5</v>
      </c>
      <c r="AO31" t="s">
        <v>2</v>
      </c>
      <c r="AP31" t="s">
        <v>5</v>
      </c>
      <c r="AQ31" t="s">
        <v>2</v>
      </c>
      <c r="AR31" t="s">
        <v>5</v>
      </c>
      <c r="AS31" t="s">
        <v>2</v>
      </c>
      <c r="AT31" t="s">
        <v>5</v>
      </c>
    </row>
    <row r="32" spans="1:46" x14ac:dyDescent="0.3">
      <c r="A32" t="s">
        <v>7</v>
      </c>
      <c r="B32">
        <v>350</v>
      </c>
      <c r="C32">
        <v>373</v>
      </c>
      <c r="D32">
        <v>1.07</v>
      </c>
      <c r="E32">
        <v>17</v>
      </c>
      <c r="F32">
        <v>0</v>
      </c>
      <c r="G32">
        <v>17</v>
      </c>
      <c r="H32">
        <v>0</v>
      </c>
      <c r="I32">
        <v>17</v>
      </c>
      <c r="J32">
        <v>13</v>
      </c>
      <c r="K32">
        <v>17</v>
      </c>
      <c r="L32">
        <v>11</v>
      </c>
      <c r="M32">
        <v>17</v>
      </c>
      <c r="N32">
        <v>3</v>
      </c>
      <c r="O32">
        <v>17</v>
      </c>
      <c r="P32">
        <v>33</v>
      </c>
      <c r="Q32">
        <v>17</v>
      </c>
      <c r="R32">
        <v>10</v>
      </c>
      <c r="S32">
        <v>17</v>
      </c>
      <c r="T32">
        <v>10</v>
      </c>
      <c r="U32">
        <v>17</v>
      </c>
      <c r="V32">
        <v>12</v>
      </c>
      <c r="W32">
        <v>17</v>
      </c>
      <c r="X32">
        <v>12</v>
      </c>
      <c r="Y32">
        <v>17</v>
      </c>
      <c r="Z32">
        <v>11</v>
      </c>
      <c r="AA32">
        <v>17</v>
      </c>
      <c r="AB32">
        <v>10</v>
      </c>
      <c r="AC32">
        <v>17</v>
      </c>
      <c r="AD32">
        <v>0</v>
      </c>
      <c r="AE32">
        <v>17</v>
      </c>
      <c r="AF32">
        <v>3</v>
      </c>
      <c r="AG32">
        <v>16</v>
      </c>
      <c r="AH32">
        <v>40</v>
      </c>
      <c r="AI32">
        <v>16</v>
      </c>
      <c r="AJ32">
        <v>30</v>
      </c>
      <c r="AK32">
        <v>16</v>
      </c>
      <c r="AL32">
        <v>0</v>
      </c>
      <c r="AM32">
        <v>16</v>
      </c>
      <c r="AN32">
        <v>47</v>
      </c>
      <c r="AO32">
        <v>16</v>
      </c>
      <c r="AP32">
        <v>54</v>
      </c>
      <c r="AQ32">
        <v>16</v>
      </c>
      <c r="AR32">
        <v>36</v>
      </c>
      <c r="AS32">
        <v>16</v>
      </c>
      <c r="AT32">
        <v>38</v>
      </c>
    </row>
    <row r="33" spans="1:46" x14ac:dyDescent="0.3">
      <c r="A33" t="s">
        <v>8</v>
      </c>
      <c r="B33">
        <v>350</v>
      </c>
      <c r="C33">
        <v>350</v>
      </c>
      <c r="D33">
        <v>1</v>
      </c>
      <c r="E33">
        <v>17</v>
      </c>
      <c r="F33">
        <v>0</v>
      </c>
      <c r="G33">
        <v>17</v>
      </c>
      <c r="H33">
        <v>0</v>
      </c>
      <c r="I33">
        <v>17</v>
      </c>
      <c r="J33">
        <v>12</v>
      </c>
      <c r="K33">
        <v>17</v>
      </c>
      <c r="L33">
        <v>20</v>
      </c>
      <c r="M33">
        <v>17</v>
      </c>
      <c r="N33">
        <v>20</v>
      </c>
      <c r="O33">
        <v>17</v>
      </c>
      <c r="P33">
        <v>21</v>
      </c>
      <c r="Q33">
        <v>17</v>
      </c>
      <c r="R33">
        <v>14</v>
      </c>
      <c r="S33">
        <v>17</v>
      </c>
      <c r="T33">
        <v>25</v>
      </c>
      <c r="U33">
        <v>17</v>
      </c>
      <c r="V33">
        <v>20</v>
      </c>
      <c r="W33">
        <v>17</v>
      </c>
      <c r="X33">
        <v>10</v>
      </c>
      <c r="Y33">
        <v>17</v>
      </c>
      <c r="Z33">
        <v>20</v>
      </c>
      <c r="AA33">
        <v>17</v>
      </c>
      <c r="AB33">
        <v>12</v>
      </c>
      <c r="AC33">
        <v>17</v>
      </c>
      <c r="AD33">
        <v>8</v>
      </c>
      <c r="AE33">
        <v>17</v>
      </c>
      <c r="AF33">
        <v>20</v>
      </c>
      <c r="AG33">
        <v>16</v>
      </c>
      <c r="AH33">
        <v>20</v>
      </c>
      <c r="AI33">
        <v>16</v>
      </c>
      <c r="AJ33">
        <v>20</v>
      </c>
      <c r="AK33">
        <v>16</v>
      </c>
      <c r="AL33">
        <v>20</v>
      </c>
      <c r="AM33">
        <v>16</v>
      </c>
      <c r="AN33">
        <v>13</v>
      </c>
      <c r="AO33">
        <v>16</v>
      </c>
      <c r="AP33">
        <v>20</v>
      </c>
      <c r="AQ33">
        <v>16</v>
      </c>
      <c r="AR33">
        <v>30</v>
      </c>
      <c r="AS33">
        <v>16</v>
      </c>
      <c r="AT33">
        <v>25</v>
      </c>
    </row>
    <row r="34" spans="1:46" x14ac:dyDescent="0.3">
      <c r="A34" t="s">
        <v>32</v>
      </c>
      <c r="B34">
        <v>350</v>
      </c>
      <c r="C34">
        <v>342</v>
      </c>
      <c r="D34">
        <v>0.98</v>
      </c>
      <c r="E34">
        <v>17</v>
      </c>
      <c r="F34">
        <v>20</v>
      </c>
      <c r="G34">
        <v>17</v>
      </c>
      <c r="H34">
        <v>23</v>
      </c>
      <c r="I34">
        <v>17</v>
      </c>
      <c r="J34">
        <v>4</v>
      </c>
      <c r="K34">
        <v>17</v>
      </c>
      <c r="L34">
        <v>14</v>
      </c>
      <c r="M34">
        <v>17</v>
      </c>
      <c r="N34">
        <v>29</v>
      </c>
      <c r="O34">
        <v>17</v>
      </c>
      <c r="P34">
        <v>8</v>
      </c>
      <c r="Q34">
        <v>17</v>
      </c>
      <c r="R34">
        <v>0</v>
      </c>
      <c r="S34">
        <v>17</v>
      </c>
      <c r="T34">
        <v>0</v>
      </c>
      <c r="U34">
        <v>17</v>
      </c>
      <c r="V34">
        <v>0</v>
      </c>
      <c r="W34">
        <v>17</v>
      </c>
      <c r="X34">
        <v>0</v>
      </c>
      <c r="Y34">
        <v>17</v>
      </c>
      <c r="Z34">
        <v>0</v>
      </c>
      <c r="AA34">
        <v>17</v>
      </c>
      <c r="AB34">
        <v>0</v>
      </c>
      <c r="AC34">
        <v>17</v>
      </c>
      <c r="AD34">
        <v>0</v>
      </c>
      <c r="AE34">
        <v>17</v>
      </c>
      <c r="AF34">
        <v>0</v>
      </c>
      <c r="AG34">
        <v>16</v>
      </c>
      <c r="AH34">
        <v>21</v>
      </c>
      <c r="AI34">
        <v>16</v>
      </c>
      <c r="AJ34">
        <v>16</v>
      </c>
      <c r="AK34">
        <v>16</v>
      </c>
      <c r="AL34">
        <v>62</v>
      </c>
      <c r="AM34">
        <v>16</v>
      </c>
      <c r="AN34">
        <v>35</v>
      </c>
      <c r="AO34">
        <v>16</v>
      </c>
      <c r="AP34">
        <v>40</v>
      </c>
      <c r="AQ34">
        <v>16</v>
      </c>
      <c r="AR34">
        <v>40</v>
      </c>
      <c r="AS34">
        <v>16</v>
      </c>
      <c r="AT34">
        <v>30</v>
      </c>
    </row>
    <row r="35" spans="1:46" x14ac:dyDescent="0.3">
      <c r="A35" t="s">
        <v>9</v>
      </c>
      <c r="B35">
        <v>350</v>
      </c>
      <c r="C35">
        <v>385</v>
      </c>
      <c r="D35">
        <v>1.1000000000000001</v>
      </c>
      <c r="E35">
        <v>17</v>
      </c>
      <c r="F35">
        <v>0</v>
      </c>
      <c r="G35">
        <v>17</v>
      </c>
      <c r="H35">
        <v>0</v>
      </c>
      <c r="I35">
        <v>17</v>
      </c>
      <c r="J35">
        <v>0</v>
      </c>
      <c r="K35">
        <v>17</v>
      </c>
      <c r="L35">
        <v>30</v>
      </c>
      <c r="M35">
        <v>17</v>
      </c>
      <c r="N35">
        <v>30</v>
      </c>
      <c r="O35">
        <v>17</v>
      </c>
      <c r="P35">
        <v>25</v>
      </c>
      <c r="Q35">
        <v>17</v>
      </c>
      <c r="R35">
        <v>13</v>
      </c>
      <c r="S35">
        <v>17</v>
      </c>
      <c r="T35">
        <v>20</v>
      </c>
      <c r="U35">
        <v>17</v>
      </c>
      <c r="V35">
        <v>41</v>
      </c>
      <c r="W35">
        <v>17</v>
      </c>
      <c r="X35">
        <v>24</v>
      </c>
      <c r="Y35">
        <v>17</v>
      </c>
      <c r="Z35">
        <v>23</v>
      </c>
      <c r="AA35">
        <v>17</v>
      </c>
      <c r="AB35">
        <v>21</v>
      </c>
      <c r="AC35">
        <v>17</v>
      </c>
      <c r="AD35">
        <v>18</v>
      </c>
      <c r="AE35">
        <v>17</v>
      </c>
      <c r="AF35">
        <v>20</v>
      </c>
      <c r="AG35">
        <v>16</v>
      </c>
      <c r="AH35">
        <v>24</v>
      </c>
      <c r="AI35">
        <v>16</v>
      </c>
      <c r="AJ35">
        <v>24</v>
      </c>
      <c r="AK35">
        <v>16</v>
      </c>
      <c r="AL35">
        <v>24</v>
      </c>
      <c r="AM35">
        <v>16</v>
      </c>
      <c r="AN35">
        <v>19</v>
      </c>
      <c r="AO35">
        <v>16</v>
      </c>
      <c r="AP35">
        <v>0</v>
      </c>
      <c r="AQ35">
        <v>16</v>
      </c>
      <c r="AR35">
        <v>29</v>
      </c>
      <c r="AS35">
        <v>16</v>
      </c>
      <c r="AT35">
        <v>0</v>
      </c>
    </row>
    <row r="36" spans="1:46" x14ac:dyDescent="0.3">
      <c r="A36" t="s">
        <v>10</v>
      </c>
      <c r="B36">
        <v>350</v>
      </c>
      <c r="C36">
        <v>279</v>
      </c>
      <c r="D36">
        <v>0.8</v>
      </c>
      <c r="E36">
        <v>17</v>
      </c>
      <c r="F36">
        <v>12</v>
      </c>
      <c r="G36">
        <v>17</v>
      </c>
      <c r="H36">
        <v>8</v>
      </c>
      <c r="I36">
        <v>17</v>
      </c>
      <c r="J36">
        <v>10</v>
      </c>
      <c r="K36">
        <v>17</v>
      </c>
      <c r="L36">
        <v>7</v>
      </c>
      <c r="M36">
        <v>17</v>
      </c>
      <c r="N36">
        <v>13</v>
      </c>
      <c r="O36">
        <v>17</v>
      </c>
      <c r="P36">
        <v>2</v>
      </c>
      <c r="Q36">
        <v>17</v>
      </c>
      <c r="R36">
        <v>0</v>
      </c>
      <c r="S36">
        <v>17</v>
      </c>
      <c r="T36">
        <v>3</v>
      </c>
      <c r="U36">
        <v>17</v>
      </c>
      <c r="V36">
        <v>12</v>
      </c>
      <c r="W36">
        <v>17</v>
      </c>
      <c r="X36">
        <v>15</v>
      </c>
      <c r="Y36">
        <v>17</v>
      </c>
      <c r="Z36">
        <v>24</v>
      </c>
      <c r="AA36">
        <v>17</v>
      </c>
      <c r="AB36">
        <v>6</v>
      </c>
      <c r="AC36">
        <v>17</v>
      </c>
      <c r="AD36">
        <v>11</v>
      </c>
      <c r="AE36">
        <v>17</v>
      </c>
      <c r="AF36">
        <v>12</v>
      </c>
      <c r="AG36">
        <v>16</v>
      </c>
      <c r="AH36">
        <v>18</v>
      </c>
      <c r="AI36">
        <v>16</v>
      </c>
      <c r="AJ36">
        <v>11</v>
      </c>
      <c r="AK36">
        <v>16</v>
      </c>
      <c r="AL36">
        <v>23</v>
      </c>
      <c r="AM36">
        <v>16</v>
      </c>
      <c r="AN36">
        <v>34</v>
      </c>
      <c r="AO36">
        <v>16</v>
      </c>
      <c r="AP36">
        <v>20</v>
      </c>
      <c r="AQ36">
        <v>16</v>
      </c>
      <c r="AR36">
        <v>10</v>
      </c>
      <c r="AS36">
        <v>16</v>
      </c>
      <c r="AT36">
        <v>28</v>
      </c>
    </row>
    <row r="37" spans="1:46" x14ac:dyDescent="0.3">
      <c r="A37" t="s">
        <v>11</v>
      </c>
      <c r="B37">
        <v>1750</v>
      </c>
      <c r="C37">
        <v>1729</v>
      </c>
      <c r="D37">
        <v>0.99</v>
      </c>
      <c r="E37">
        <v>85</v>
      </c>
      <c r="F37">
        <v>32</v>
      </c>
      <c r="G37">
        <v>85</v>
      </c>
      <c r="H37">
        <v>31</v>
      </c>
      <c r="I37">
        <v>85</v>
      </c>
      <c r="J37">
        <v>39</v>
      </c>
      <c r="K37">
        <v>85</v>
      </c>
      <c r="L37">
        <v>82</v>
      </c>
      <c r="M37">
        <v>85</v>
      </c>
      <c r="N37">
        <v>95</v>
      </c>
      <c r="O37">
        <v>85</v>
      </c>
      <c r="P37">
        <v>89</v>
      </c>
      <c r="Q37">
        <v>85</v>
      </c>
      <c r="R37">
        <v>37</v>
      </c>
      <c r="S37">
        <v>85</v>
      </c>
      <c r="T37">
        <v>58</v>
      </c>
      <c r="U37">
        <v>85</v>
      </c>
      <c r="V37">
        <v>85</v>
      </c>
      <c r="W37">
        <v>85</v>
      </c>
      <c r="X37">
        <v>61</v>
      </c>
      <c r="Y37">
        <v>85</v>
      </c>
      <c r="Z37">
        <v>78</v>
      </c>
      <c r="AA37">
        <v>85</v>
      </c>
      <c r="AB37">
        <v>49</v>
      </c>
      <c r="AC37">
        <v>85</v>
      </c>
      <c r="AD37">
        <v>37</v>
      </c>
      <c r="AE37">
        <v>85</v>
      </c>
      <c r="AF37">
        <v>55</v>
      </c>
      <c r="AG37">
        <v>80</v>
      </c>
      <c r="AH37">
        <v>123</v>
      </c>
      <c r="AI37">
        <v>80</v>
      </c>
      <c r="AJ37">
        <v>101</v>
      </c>
      <c r="AK37">
        <v>80</v>
      </c>
      <c r="AL37">
        <v>129</v>
      </c>
      <c r="AM37">
        <v>80</v>
      </c>
      <c r="AN37">
        <v>148</v>
      </c>
      <c r="AO37">
        <v>80</v>
      </c>
      <c r="AP37">
        <v>134</v>
      </c>
      <c r="AQ37">
        <v>80</v>
      </c>
      <c r="AR37">
        <v>145</v>
      </c>
      <c r="AS37">
        <v>80</v>
      </c>
      <c r="AT37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K25"/>
  <sheetViews>
    <sheetView workbookViewId="0"/>
  </sheetViews>
  <sheetFormatPr defaultRowHeight="14.4" x14ac:dyDescent="0.3"/>
  <sheetData>
    <row r="2" spans="2:37" x14ac:dyDescent="0.3">
      <c r="C2" t="s">
        <v>36</v>
      </c>
      <c r="G2" t="s">
        <v>37</v>
      </c>
      <c r="L2" t="s">
        <v>38</v>
      </c>
      <c r="Q2" t="s">
        <v>39</v>
      </c>
      <c r="V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2:37" x14ac:dyDescent="0.3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10</v>
      </c>
      <c r="J3">
        <v>11</v>
      </c>
      <c r="K3">
        <v>12</v>
      </c>
      <c r="L3">
        <v>15</v>
      </c>
      <c r="M3">
        <v>16</v>
      </c>
      <c r="N3">
        <v>17</v>
      </c>
      <c r="O3">
        <v>18</v>
      </c>
      <c r="P3">
        <v>19</v>
      </c>
      <c r="Q3">
        <v>22</v>
      </c>
      <c r="R3">
        <v>23</v>
      </c>
      <c r="S3">
        <v>24</v>
      </c>
      <c r="T3">
        <v>25</v>
      </c>
      <c r="U3">
        <v>26</v>
      </c>
      <c r="V3">
        <v>29</v>
      </c>
      <c r="W3">
        <v>30</v>
      </c>
      <c r="AA3">
        <v>1</v>
      </c>
      <c r="AB3">
        <v>39905</v>
      </c>
      <c r="AC3" t="s">
        <v>49</v>
      </c>
      <c r="AD3">
        <v>46059</v>
      </c>
      <c r="AE3">
        <v>395.94</v>
      </c>
      <c r="AF3">
        <v>46298</v>
      </c>
      <c r="AG3" t="s">
        <v>50</v>
      </c>
      <c r="AH3">
        <v>84</v>
      </c>
    </row>
    <row r="4" spans="2:37" x14ac:dyDescent="0.3">
      <c r="B4" t="s">
        <v>51</v>
      </c>
      <c r="C4" t="s">
        <v>52</v>
      </c>
      <c r="D4" t="s">
        <v>53</v>
      </c>
      <c r="E4" t="s">
        <v>54</v>
      </c>
      <c r="F4" t="s">
        <v>54</v>
      </c>
      <c r="G4" t="s">
        <v>52</v>
      </c>
      <c r="H4" t="s">
        <v>52</v>
      </c>
      <c r="I4" t="s">
        <v>53</v>
      </c>
      <c r="J4" t="s">
        <v>54</v>
      </c>
      <c r="K4" t="s">
        <v>54</v>
      </c>
      <c r="L4" t="s">
        <v>52</v>
      </c>
      <c r="M4" t="s">
        <v>52</v>
      </c>
      <c r="N4" t="s">
        <v>53</v>
      </c>
      <c r="O4" t="s">
        <v>54</v>
      </c>
      <c r="P4" t="s">
        <v>54</v>
      </c>
      <c r="Q4" t="s">
        <v>52</v>
      </c>
      <c r="R4" t="s">
        <v>52</v>
      </c>
      <c r="S4" t="s">
        <v>53</v>
      </c>
      <c r="T4" t="s">
        <v>54</v>
      </c>
      <c r="U4" t="s">
        <v>54</v>
      </c>
      <c r="V4" t="s">
        <v>52</v>
      </c>
      <c r="W4" t="s">
        <v>52</v>
      </c>
      <c r="X4" t="s">
        <v>11</v>
      </c>
      <c r="AA4">
        <v>2</v>
      </c>
      <c r="AB4">
        <v>35214</v>
      </c>
      <c r="AC4" t="s">
        <v>55</v>
      </c>
      <c r="AD4">
        <v>46059</v>
      </c>
      <c r="AE4">
        <v>536.37</v>
      </c>
      <c r="AF4">
        <v>46085</v>
      </c>
      <c r="AG4" t="s">
        <v>56</v>
      </c>
      <c r="AH4">
        <v>60</v>
      </c>
    </row>
    <row r="5" spans="2:37" x14ac:dyDescent="0.3">
      <c r="B5" t="s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31</v>
      </c>
      <c r="AA5">
        <v>3</v>
      </c>
      <c r="AB5">
        <v>26900</v>
      </c>
      <c r="AC5" t="s">
        <v>57</v>
      </c>
      <c r="AD5">
        <v>46148</v>
      </c>
      <c r="AE5">
        <v>450.42</v>
      </c>
      <c r="AF5">
        <v>46096</v>
      </c>
      <c r="AG5" t="s">
        <v>7</v>
      </c>
      <c r="AH5">
        <v>82</v>
      </c>
    </row>
    <row r="6" spans="2:37" x14ac:dyDescent="0.3">
      <c r="B6" t="s">
        <v>58</v>
      </c>
      <c r="C6">
        <v>0</v>
      </c>
      <c r="D6">
        <v>2</v>
      </c>
      <c r="E6">
        <v>0</v>
      </c>
      <c r="F6">
        <v>3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1</v>
      </c>
      <c r="W6">
        <v>2</v>
      </c>
      <c r="X6">
        <v>16</v>
      </c>
      <c r="Y6">
        <v>-15</v>
      </c>
      <c r="AA6">
        <v>4</v>
      </c>
      <c r="AB6">
        <v>25286</v>
      </c>
      <c r="AC6" t="s">
        <v>59</v>
      </c>
      <c r="AD6">
        <v>46148</v>
      </c>
      <c r="AE6">
        <v>1339.6</v>
      </c>
      <c r="AF6">
        <v>46057</v>
      </c>
      <c r="AG6" t="s">
        <v>60</v>
      </c>
      <c r="AH6">
        <v>64</v>
      </c>
    </row>
    <row r="7" spans="2:37" x14ac:dyDescent="0.3">
      <c r="AA7">
        <v>5</v>
      </c>
      <c r="AB7">
        <v>29748</v>
      </c>
      <c r="AC7" t="s">
        <v>61</v>
      </c>
      <c r="AD7">
        <v>46148</v>
      </c>
      <c r="AE7">
        <v>429.34</v>
      </c>
      <c r="AF7">
        <v>46129</v>
      </c>
      <c r="AG7" t="s">
        <v>7</v>
      </c>
      <c r="AH7">
        <v>49</v>
      </c>
    </row>
    <row r="8" spans="2:37" x14ac:dyDescent="0.3">
      <c r="AA8">
        <v>6</v>
      </c>
      <c r="AB8">
        <v>41967</v>
      </c>
      <c r="AC8" t="s">
        <v>62</v>
      </c>
      <c r="AD8">
        <v>46271</v>
      </c>
      <c r="AE8">
        <v>177.86</v>
      </c>
      <c r="AF8">
        <v>46098</v>
      </c>
      <c r="AG8" t="s">
        <v>63</v>
      </c>
      <c r="AH8">
        <v>84</v>
      </c>
    </row>
    <row r="9" spans="2:37" x14ac:dyDescent="0.3">
      <c r="B9" t="s">
        <v>64</v>
      </c>
      <c r="C9">
        <v>1</v>
      </c>
      <c r="D9">
        <v>2</v>
      </c>
      <c r="E9">
        <v>3</v>
      </c>
      <c r="F9">
        <v>5</v>
      </c>
      <c r="G9">
        <v>8</v>
      </c>
      <c r="H9">
        <v>9</v>
      </c>
      <c r="I9">
        <v>10</v>
      </c>
      <c r="J9">
        <v>11</v>
      </c>
      <c r="K9">
        <v>12</v>
      </c>
      <c r="L9">
        <v>15</v>
      </c>
      <c r="M9">
        <v>16</v>
      </c>
      <c r="N9">
        <v>17</v>
      </c>
      <c r="O9">
        <v>18</v>
      </c>
      <c r="P9">
        <v>19</v>
      </c>
      <c r="Q9">
        <v>22</v>
      </c>
      <c r="R9">
        <v>23</v>
      </c>
      <c r="S9">
        <v>24</v>
      </c>
      <c r="T9">
        <v>25</v>
      </c>
      <c r="U9">
        <v>26</v>
      </c>
      <c r="V9">
        <v>29</v>
      </c>
      <c r="W9">
        <v>30</v>
      </c>
      <c r="AA9">
        <v>7</v>
      </c>
      <c r="AB9">
        <v>40914</v>
      </c>
      <c r="AC9" t="s">
        <v>65</v>
      </c>
      <c r="AD9">
        <v>46332</v>
      </c>
      <c r="AE9">
        <v>9588</v>
      </c>
      <c r="AF9">
        <v>46145</v>
      </c>
      <c r="AG9" t="s">
        <v>7</v>
      </c>
      <c r="AH9">
        <v>98</v>
      </c>
    </row>
    <row r="10" spans="2:37" x14ac:dyDescent="0.3">
      <c r="B10" t="s">
        <v>16</v>
      </c>
      <c r="C10">
        <v>47</v>
      </c>
      <c r="E10">
        <v>46</v>
      </c>
      <c r="F10">
        <v>43</v>
      </c>
      <c r="G10">
        <v>43</v>
      </c>
      <c r="H10">
        <v>16</v>
      </c>
      <c r="I10">
        <v>16</v>
      </c>
      <c r="J10">
        <v>21</v>
      </c>
      <c r="L10">
        <v>12</v>
      </c>
      <c r="M10">
        <v>29</v>
      </c>
      <c r="N10">
        <v>29</v>
      </c>
      <c r="P10">
        <v>32</v>
      </c>
      <c r="Q10">
        <v>8</v>
      </c>
      <c r="R10">
        <v>37</v>
      </c>
      <c r="S10">
        <v>38</v>
      </c>
      <c r="T10">
        <v>37</v>
      </c>
      <c r="U10">
        <v>35</v>
      </c>
      <c r="V10">
        <v>25</v>
      </c>
      <c r="AA10">
        <v>8</v>
      </c>
      <c r="AB10">
        <v>44581</v>
      </c>
      <c r="AC10" t="s">
        <v>66</v>
      </c>
      <c r="AD10">
        <v>46188</v>
      </c>
      <c r="AE10">
        <v>228.74</v>
      </c>
      <c r="AF10">
        <v>46126</v>
      </c>
      <c r="AG10" t="s">
        <v>67</v>
      </c>
      <c r="AH10">
        <v>62</v>
      </c>
    </row>
    <row r="11" spans="2:37" x14ac:dyDescent="0.3">
      <c r="B11" t="s">
        <v>17</v>
      </c>
      <c r="C11">
        <v>9</v>
      </c>
      <c r="E11">
        <v>9</v>
      </c>
      <c r="F11">
        <v>7</v>
      </c>
      <c r="G11">
        <v>7</v>
      </c>
      <c r="H11">
        <v>7</v>
      </c>
      <c r="I11">
        <v>7</v>
      </c>
      <c r="J11">
        <v>7</v>
      </c>
      <c r="L11">
        <v>10</v>
      </c>
      <c r="M11">
        <v>10</v>
      </c>
      <c r="N11">
        <v>10</v>
      </c>
      <c r="P11">
        <v>11</v>
      </c>
      <c r="Q11">
        <v>12</v>
      </c>
      <c r="R11">
        <v>11</v>
      </c>
      <c r="S11">
        <v>9</v>
      </c>
      <c r="T11">
        <v>9</v>
      </c>
      <c r="U11">
        <v>9</v>
      </c>
      <c r="V11">
        <v>6</v>
      </c>
      <c r="AA11">
        <v>9</v>
      </c>
      <c r="AB11">
        <v>43131</v>
      </c>
      <c r="AC11" t="s">
        <v>68</v>
      </c>
      <c r="AD11">
        <v>46189</v>
      </c>
      <c r="AE11">
        <v>397.3</v>
      </c>
      <c r="AF11">
        <v>46237</v>
      </c>
      <c r="AG11" t="s">
        <v>7</v>
      </c>
      <c r="AH11">
        <v>100</v>
      </c>
    </row>
    <row r="12" spans="2:37" x14ac:dyDescent="0.3">
      <c r="B12" t="s">
        <v>18</v>
      </c>
      <c r="C12">
        <v>5</v>
      </c>
      <c r="E12">
        <v>5</v>
      </c>
      <c r="F12">
        <v>3</v>
      </c>
      <c r="G12">
        <v>3</v>
      </c>
      <c r="H12">
        <v>4</v>
      </c>
      <c r="I12">
        <v>4</v>
      </c>
      <c r="J12">
        <v>4</v>
      </c>
      <c r="L12">
        <v>6</v>
      </c>
      <c r="M12">
        <v>7</v>
      </c>
      <c r="N12">
        <v>7</v>
      </c>
      <c r="P12">
        <v>5</v>
      </c>
      <c r="Q12">
        <v>3</v>
      </c>
      <c r="R12">
        <v>3</v>
      </c>
      <c r="S12">
        <v>2</v>
      </c>
      <c r="T12">
        <v>2</v>
      </c>
      <c r="U12">
        <v>4</v>
      </c>
      <c r="V12">
        <v>4</v>
      </c>
      <c r="AA12">
        <v>10</v>
      </c>
      <c r="AB12">
        <v>27411</v>
      </c>
      <c r="AC12" t="s">
        <v>69</v>
      </c>
      <c r="AD12">
        <v>46191</v>
      </c>
      <c r="AE12">
        <v>179.43</v>
      </c>
      <c r="AF12">
        <v>46298</v>
      </c>
      <c r="AG12" t="s">
        <v>7</v>
      </c>
      <c r="AH12">
        <v>100</v>
      </c>
      <c r="AK12">
        <v>0.2</v>
      </c>
    </row>
    <row r="13" spans="2:37" x14ac:dyDescent="0.3">
      <c r="B13" t="s">
        <v>19</v>
      </c>
      <c r="C13">
        <v>0</v>
      </c>
      <c r="E13">
        <v>0</v>
      </c>
      <c r="F13">
        <v>3</v>
      </c>
      <c r="G13">
        <v>3</v>
      </c>
      <c r="H13">
        <v>2</v>
      </c>
      <c r="I13">
        <v>2</v>
      </c>
      <c r="J13">
        <v>1</v>
      </c>
      <c r="L13">
        <v>2</v>
      </c>
      <c r="M13">
        <v>1</v>
      </c>
      <c r="N13">
        <v>0</v>
      </c>
      <c r="P13">
        <v>2</v>
      </c>
      <c r="Q13">
        <v>0</v>
      </c>
      <c r="R13">
        <v>0</v>
      </c>
      <c r="S13">
        <v>3</v>
      </c>
      <c r="T13">
        <v>2</v>
      </c>
      <c r="U13">
        <v>1</v>
      </c>
      <c r="V13">
        <v>1</v>
      </c>
      <c r="AA13">
        <v>11</v>
      </c>
      <c r="AB13">
        <v>36248</v>
      </c>
      <c r="AC13" t="s">
        <v>70</v>
      </c>
      <c r="AD13">
        <v>46199</v>
      </c>
      <c r="AE13">
        <v>264.39</v>
      </c>
      <c r="AF13">
        <v>46147</v>
      </c>
      <c r="AG13" t="s">
        <v>50</v>
      </c>
      <c r="AH13">
        <v>52</v>
      </c>
    </row>
    <row r="14" spans="2:37" x14ac:dyDescent="0.3">
      <c r="B14" t="s">
        <v>21</v>
      </c>
      <c r="C14">
        <v>185</v>
      </c>
      <c r="E14">
        <v>177</v>
      </c>
      <c r="F14">
        <v>177</v>
      </c>
      <c r="G14">
        <v>177</v>
      </c>
      <c r="H14">
        <v>214</v>
      </c>
      <c r="I14">
        <v>213</v>
      </c>
      <c r="J14">
        <v>213</v>
      </c>
      <c r="L14">
        <v>204</v>
      </c>
      <c r="M14">
        <v>187</v>
      </c>
      <c r="N14">
        <v>187</v>
      </c>
      <c r="P14">
        <v>190</v>
      </c>
      <c r="Q14">
        <v>216</v>
      </c>
      <c r="R14">
        <v>216</v>
      </c>
      <c r="S14">
        <v>223</v>
      </c>
      <c r="T14">
        <v>198</v>
      </c>
      <c r="U14">
        <v>180</v>
      </c>
      <c r="V14">
        <v>189</v>
      </c>
      <c r="AA14">
        <v>12</v>
      </c>
      <c r="AB14">
        <v>2425</v>
      </c>
      <c r="AC14" t="s">
        <v>71</v>
      </c>
      <c r="AD14">
        <v>46199</v>
      </c>
      <c r="AE14">
        <v>546.6</v>
      </c>
      <c r="AF14">
        <v>46128</v>
      </c>
      <c r="AG14" t="s">
        <v>50</v>
      </c>
      <c r="AH14">
        <v>71</v>
      </c>
    </row>
    <row r="15" spans="2:37" x14ac:dyDescent="0.3">
      <c r="B15" t="s">
        <v>72</v>
      </c>
      <c r="C15">
        <v>40</v>
      </c>
      <c r="E15">
        <v>33</v>
      </c>
      <c r="F15">
        <v>34</v>
      </c>
      <c r="G15">
        <v>34</v>
      </c>
      <c r="H15">
        <v>37</v>
      </c>
      <c r="I15">
        <v>37</v>
      </c>
      <c r="J15">
        <v>37</v>
      </c>
      <c r="L15">
        <v>36</v>
      </c>
      <c r="M15">
        <v>35</v>
      </c>
      <c r="N15">
        <v>35</v>
      </c>
      <c r="P15">
        <v>35</v>
      </c>
      <c r="Q15">
        <v>35</v>
      </c>
      <c r="R15">
        <v>35</v>
      </c>
      <c r="S15">
        <v>35</v>
      </c>
      <c r="T15">
        <v>32</v>
      </c>
      <c r="U15">
        <v>29</v>
      </c>
      <c r="V15">
        <v>29</v>
      </c>
      <c r="AA15">
        <v>13</v>
      </c>
      <c r="AB15">
        <v>24254</v>
      </c>
      <c r="AC15" t="s">
        <v>73</v>
      </c>
      <c r="AD15">
        <v>46199</v>
      </c>
      <c r="AE15">
        <v>400.81</v>
      </c>
      <c r="AF15">
        <v>46129</v>
      </c>
      <c r="AG15" t="s">
        <v>74</v>
      </c>
      <c r="AH15">
        <v>70</v>
      </c>
    </row>
    <row r="16" spans="2:37" x14ac:dyDescent="0.3">
      <c r="B16" t="s">
        <v>23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>
        <v>0</v>
      </c>
      <c r="M16">
        <v>0</v>
      </c>
      <c r="N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A16">
        <v>14</v>
      </c>
      <c r="AB16">
        <v>42652</v>
      </c>
      <c r="AC16" t="s">
        <v>75</v>
      </c>
      <c r="AD16">
        <v>46202</v>
      </c>
      <c r="AE16">
        <v>221.73</v>
      </c>
      <c r="AF16">
        <v>46239</v>
      </c>
      <c r="AG16" t="s">
        <v>7</v>
      </c>
      <c r="AH16">
        <v>52</v>
      </c>
    </row>
    <row r="17" spans="2:34" x14ac:dyDescent="0.3">
      <c r="B17" t="s">
        <v>25</v>
      </c>
      <c r="C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L17">
        <v>1</v>
      </c>
      <c r="M17">
        <v>1</v>
      </c>
      <c r="N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AA17">
        <v>15</v>
      </c>
      <c r="AB17">
        <v>30292</v>
      </c>
      <c r="AC17" t="s">
        <v>76</v>
      </c>
      <c r="AD17">
        <v>46029</v>
      </c>
      <c r="AE17">
        <v>1797</v>
      </c>
      <c r="AF17">
        <v>46142</v>
      </c>
      <c r="AG17" t="s">
        <v>7</v>
      </c>
      <c r="AH17">
        <v>61</v>
      </c>
    </row>
    <row r="18" spans="2:34" x14ac:dyDescent="0.3">
      <c r="B18" t="s">
        <v>26</v>
      </c>
      <c r="C18">
        <v>0</v>
      </c>
      <c r="E18">
        <v>1</v>
      </c>
      <c r="F18">
        <v>1</v>
      </c>
      <c r="G18">
        <v>1</v>
      </c>
      <c r="H18">
        <v>3</v>
      </c>
      <c r="I18">
        <v>4</v>
      </c>
      <c r="J18">
        <v>4</v>
      </c>
      <c r="L18">
        <v>4</v>
      </c>
      <c r="M18">
        <v>4</v>
      </c>
      <c r="N18">
        <v>4</v>
      </c>
      <c r="P18">
        <v>4</v>
      </c>
      <c r="Q18">
        <v>5</v>
      </c>
      <c r="R18">
        <v>5</v>
      </c>
      <c r="S18">
        <v>7</v>
      </c>
      <c r="T18">
        <v>31</v>
      </c>
      <c r="U18">
        <v>35</v>
      </c>
      <c r="V18">
        <v>36</v>
      </c>
      <c r="AA18">
        <v>16</v>
      </c>
      <c r="AB18">
        <v>39127</v>
      </c>
      <c r="AC18" t="s">
        <v>77</v>
      </c>
      <c r="AD18">
        <v>46029</v>
      </c>
      <c r="AE18">
        <v>180.15</v>
      </c>
      <c r="AF18">
        <v>46239</v>
      </c>
      <c r="AG18" t="s">
        <v>7</v>
      </c>
      <c r="AH18">
        <v>52</v>
      </c>
    </row>
    <row r="19" spans="2:34" x14ac:dyDescent="0.3">
      <c r="B19" t="s">
        <v>27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AE19">
        <v>17133.68</v>
      </c>
    </row>
    <row r="20" spans="2:34" x14ac:dyDescent="0.3">
      <c r="B20" t="s">
        <v>28</v>
      </c>
      <c r="C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L20">
        <v>1</v>
      </c>
      <c r="M20">
        <v>1</v>
      </c>
      <c r="N20">
        <v>1</v>
      </c>
      <c r="P20">
        <v>1</v>
      </c>
      <c r="Q20">
        <v>1</v>
      </c>
      <c r="R20">
        <v>1</v>
      </c>
      <c r="S20">
        <v>1</v>
      </c>
      <c r="T20">
        <v>2</v>
      </c>
      <c r="U20">
        <v>3</v>
      </c>
      <c r="V20">
        <v>5</v>
      </c>
    </row>
    <row r="21" spans="2:34" x14ac:dyDescent="0.3">
      <c r="B21" t="s">
        <v>11</v>
      </c>
      <c r="C21">
        <v>286</v>
      </c>
      <c r="D21">
        <v>0</v>
      </c>
      <c r="E21">
        <v>271</v>
      </c>
      <c r="F21">
        <v>268</v>
      </c>
      <c r="G21">
        <v>268</v>
      </c>
      <c r="H21">
        <v>285</v>
      </c>
      <c r="I21">
        <v>285</v>
      </c>
      <c r="J21">
        <v>289</v>
      </c>
      <c r="K21">
        <v>0</v>
      </c>
      <c r="L21">
        <v>276</v>
      </c>
      <c r="M21">
        <v>275</v>
      </c>
      <c r="N21">
        <v>274</v>
      </c>
      <c r="O21">
        <v>0</v>
      </c>
      <c r="P21">
        <v>283</v>
      </c>
      <c r="Q21">
        <v>283</v>
      </c>
      <c r="R21">
        <v>311</v>
      </c>
      <c r="S21">
        <v>321</v>
      </c>
      <c r="T21">
        <v>316</v>
      </c>
      <c r="U21">
        <v>299</v>
      </c>
      <c r="V21">
        <v>298</v>
      </c>
      <c r="W21">
        <v>0</v>
      </c>
    </row>
    <row r="23" spans="2:34" x14ac:dyDescent="0.3">
      <c r="B23" t="s">
        <v>78</v>
      </c>
      <c r="C23">
        <v>1</v>
      </c>
      <c r="D23">
        <v>2</v>
      </c>
      <c r="E23">
        <v>3</v>
      </c>
      <c r="F23">
        <v>5</v>
      </c>
      <c r="G23">
        <v>8</v>
      </c>
      <c r="H23">
        <v>9</v>
      </c>
      <c r="I23">
        <v>10</v>
      </c>
      <c r="J23">
        <v>11</v>
      </c>
      <c r="K23">
        <v>12</v>
      </c>
      <c r="L23">
        <v>15</v>
      </c>
      <c r="M23">
        <v>16</v>
      </c>
      <c r="N23">
        <v>17</v>
      </c>
      <c r="O23">
        <v>18</v>
      </c>
      <c r="P23">
        <v>19</v>
      </c>
      <c r="Q23">
        <v>22</v>
      </c>
      <c r="R23">
        <v>23</v>
      </c>
      <c r="S23">
        <v>24</v>
      </c>
      <c r="T23">
        <v>25</v>
      </c>
      <c r="U23">
        <v>26</v>
      </c>
      <c r="V23">
        <v>29</v>
      </c>
      <c r="W23">
        <v>30</v>
      </c>
      <c r="X23" t="s">
        <v>11</v>
      </c>
    </row>
    <row r="24" spans="2:34" x14ac:dyDescent="0.3">
      <c r="B24" t="s">
        <v>2</v>
      </c>
      <c r="C24">
        <v>17</v>
      </c>
      <c r="D24">
        <v>17</v>
      </c>
      <c r="E24">
        <v>17</v>
      </c>
      <c r="F24">
        <v>17</v>
      </c>
      <c r="G24">
        <v>17</v>
      </c>
      <c r="H24">
        <v>17</v>
      </c>
      <c r="I24">
        <v>17</v>
      </c>
      <c r="J24">
        <v>17</v>
      </c>
      <c r="K24">
        <v>17</v>
      </c>
      <c r="L24">
        <v>17</v>
      </c>
      <c r="M24">
        <v>17</v>
      </c>
      <c r="N24">
        <v>17</v>
      </c>
      <c r="O24">
        <v>17</v>
      </c>
      <c r="P24">
        <v>17</v>
      </c>
      <c r="Q24">
        <v>17</v>
      </c>
      <c r="R24">
        <v>17</v>
      </c>
      <c r="S24">
        <v>17</v>
      </c>
      <c r="T24">
        <v>16</v>
      </c>
      <c r="U24">
        <v>15</v>
      </c>
      <c r="V24">
        <v>15</v>
      </c>
      <c r="W24">
        <v>15</v>
      </c>
      <c r="X24">
        <v>350</v>
      </c>
    </row>
    <row r="25" spans="2:34" x14ac:dyDescent="0.3">
      <c r="B25" t="s">
        <v>79</v>
      </c>
      <c r="C25">
        <v>0</v>
      </c>
      <c r="D25">
        <v>0</v>
      </c>
      <c r="E25">
        <v>13</v>
      </c>
      <c r="F25">
        <v>8</v>
      </c>
      <c r="G25">
        <v>3</v>
      </c>
      <c r="H25">
        <v>33</v>
      </c>
      <c r="I25" t="s">
        <v>80</v>
      </c>
      <c r="J25" t="s">
        <v>80</v>
      </c>
      <c r="K25" t="s">
        <v>80</v>
      </c>
      <c r="L25" t="s">
        <v>80</v>
      </c>
      <c r="M25">
        <v>11</v>
      </c>
      <c r="N25" t="s">
        <v>80</v>
      </c>
      <c r="O25" t="s">
        <v>80</v>
      </c>
      <c r="P25">
        <v>3</v>
      </c>
      <c r="Q25">
        <v>40</v>
      </c>
      <c r="R25">
        <v>30</v>
      </c>
      <c r="S25">
        <v>0</v>
      </c>
      <c r="T25">
        <v>47</v>
      </c>
      <c r="U25">
        <v>54</v>
      </c>
      <c r="V25">
        <v>36</v>
      </c>
      <c r="W25">
        <v>38</v>
      </c>
      <c r="X25">
        <v>316</v>
      </c>
      <c r="Y25">
        <v>-34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H26"/>
  <sheetViews>
    <sheetView workbookViewId="0"/>
  </sheetViews>
  <sheetFormatPr defaultRowHeight="14.4" x14ac:dyDescent="0.3"/>
  <sheetData>
    <row r="2" spans="2:34" x14ac:dyDescent="0.3">
      <c r="C2" t="s">
        <v>36</v>
      </c>
      <c r="G2" t="s">
        <v>37</v>
      </c>
      <c r="L2" t="s">
        <v>38</v>
      </c>
      <c r="Q2" t="s">
        <v>39</v>
      </c>
      <c r="V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2:34" x14ac:dyDescent="0.3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10</v>
      </c>
      <c r="J3">
        <v>11</v>
      </c>
      <c r="K3">
        <v>12</v>
      </c>
      <c r="L3">
        <v>15</v>
      </c>
      <c r="M3">
        <v>16</v>
      </c>
      <c r="N3">
        <v>17</v>
      </c>
      <c r="O3">
        <v>18</v>
      </c>
      <c r="P3">
        <v>19</v>
      </c>
      <c r="Q3">
        <v>22</v>
      </c>
      <c r="R3">
        <v>23</v>
      </c>
      <c r="S3">
        <v>24</v>
      </c>
      <c r="T3">
        <v>25</v>
      </c>
      <c r="U3">
        <v>26</v>
      </c>
      <c r="V3">
        <v>29</v>
      </c>
      <c r="W3">
        <v>30</v>
      </c>
      <c r="AA3">
        <v>1</v>
      </c>
      <c r="AB3">
        <v>23621</v>
      </c>
      <c r="AC3" t="s">
        <v>81</v>
      </c>
      <c r="AD3">
        <v>46148</v>
      </c>
      <c r="AE3">
        <v>273.19</v>
      </c>
      <c r="AF3">
        <v>46099</v>
      </c>
      <c r="AG3" t="s">
        <v>6</v>
      </c>
      <c r="AH3">
        <v>79</v>
      </c>
    </row>
    <row r="4" spans="2:34" x14ac:dyDescent="0.3">
      <c r="B4" t="s">
        <v>51</v>
      </c>
      <c r="C4" t="s">
        <v>52</v>
      </c>
      <c r="D4" t="s">
        <v>53</v>
      </c>
      <c r="E4" t="s">
        <v>54</v>
      </c>
      <c r="F4" t="s">
        <v>54</v>
      </c>
      <c r="G4" t="s">
        <v>52</v>
      </c>
      <c r="H4" t="s">
        <v>52</v>
      </c>
      <c r="I4" t="s">
        <v>53</v>
      </c>
      <c r="J4" t="s">
        <v>54</v>
      </c>
      <c r="K4" t="s">
        <v>54</v>
      </c>
      <c r="L4" t="s">
        <v>52</v>
      </c>
      <c r="M4" t="s">
        <v>52</v>
      </c>
      <c r="N4" t="s">
        <v>53</v>
      </c>
      <c r="O4" t="s">
        <v>54</v>
      </c>
      <c r="P4" t="s">
        <v>54</v>
      </c>
      <c r="Q4" t="s">
        <v>52</v>
      </c>
      <c r="R4" t="s">
        <v>52</v>
      </c>
      <c r="S4" t="s">
        <v>53</v>
      </c>
      <c r="T4" t="s">
        <v>54</v>
      </c>
      <c r="U4" t="s">
        <v>54</v>
      </c>
      <c r="V4" t="s">
        <v>52</v>
      </c>
      <c r="W4" t="s">
        <v>52</v>
      </c>
      <c r="X4" t="s">
        <v>11</v>
      </c>
      <c r="AA4">
        <v>2</v>
      </c>
      <c r="AB4">
        <v>44106</v>
      </c>
      <c r="AC4" t="s">
        <v>82</v>
      </c>
      <c r="AD4">
        <v>46148</v>
      </c>
      <c r="AE4">
        <v>588.66</v>
      </c>
      <c r="AF4">
        <v>46101</v>
      </c>
      <c r="AG4" t="s">
        <v>6</v>
      </c>
      <c r="AH4">
        <v>77</v>
      </c>
    </row>
    <row r="5" spans="2:34" x14ac:dyDescent="0.3">
      <c r="B5" t="s">
        <v>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2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3</v>
      </c>
      <c r="X5">
        <v>48</v>
      </c>
      <c r="AA5">
        <v>3</v>
      </c>
      <c r="AB5">
        <v>44364</v>
      </c>
      <c r="AC5" t="s">
        <v>83</v>
      </c>
      <c r="AD5">
        <v>46148</v>
      </c>
      <c r="AE5">
        <v>653.28</v>
      </c>
      <c r="AF5">
        <v>46057</v>
      </c>
      <c r="AG5" t="s">
        <v>6</v>
      </c>
      <c r="AH5">
        <v>64</v>
      </c>
    </row>
    <row r="6" spans="2:34" x14ac:dyDescent="0.3">
      <c r="B6" t="s">
        <v>58</v>
      </c>
      <c r="C6">
        <v>0</v>
      </c>
      <c r="D6">
        <v>0</v>
      </c>
      <c r="E6">
        <v>0</v>
      </c>
      <c r="F6">
        <v>3</v>
      </c>
      <c r="G6">
        <v>1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5</v>
      </c>
      <c r="P6">
        <v>2</v>
      </c>
      <c r="Q6">
        <v>0</v>
      </c>
      <c r="R6">
        <v>0</v>
      </c>
      <c r="S6">
        <v>1</v>
      </c>
      <c r="T6">
        <v>1</v>
      </c>
      <c r="U6">
        <v>4</v>
      </c>
      <c r="X6">
        <v>21</v>
      </c>
      <c r="Y6">
        <v>-27</v>
      </c>
      <c r="AA6">
        <v>4</v>
      </c>
      <c r="AB6">
        <v>29622</v>
      </c>
      <c r="AC6" t="s">
        <v>84</v>
      </c>
      <c r="AD6">
        <v>46240</v>
      </c>
      <c r="AE6">
        <v>415.4</v>
      </c>
      <c r="AF6">
        <v>45804</v>
      </c>
      <c r="AG6" t="s">
        <v>85</v>
      </c>
      <c r="AH6">
        <v>377</v>
      </c>
    </row>
    <row r="7" spans="2:34" x14ac:dyDescent="0.3">
      <c r="AA7">
        <v>5</v>
      </c>
      <c r="AB7">
        <v>40214</v>
      </c>
      <c r="AC7" t="s">
        <v>86</v>
      </c>
      <c r="AD7">
        <v>46332</v>
      </c>
      <c r="AE7">
        <v>245.45</v>
      </c>
      <c r="AF7">
        <v>46080</v>
      </c>
      <c r="AG7" t="s">
        <v>6</v>
      </c>
      <c r="AH7">
        <v>104</v>
      </c>
    </row>
    <row r="8" spans="2:34" x14ac:dyDescent="0.3">
      <c r="AA8">
        <v>6</v>
      </c>
      <c r="AB8">
        <v>16902</v>
      </c>
      <c r="AC8" t="s">
        <v>87</v>
      </c>
      <c r="AD8">
        <v>46362</v>
      </c>
      <c r="AE8">
        <v>168.9</v>
      </c>
      <c r="AF8">
        <v>46135</v>
      </c>
      <c r="AG8" t="s">
        <v>6</v>
      </c>
      <c r="AH8">
        <v>50</v>
      </c>
    </row>
    <row r="9" spans="2:34" x14ac:dyDescent="0.3">
      <c r="B9" t="s">
        <v>64</v>
      </c>
      <c r="C9">
        <v>1</v>
      </c>
      <c r="D9">
        <v>2</v>
      </c>
      <c r="E9">
        <v>3</v>
      </c>
      <c r="F9">
        <v>5</v>
      </c>
      <c r="G9">
        <v>8</v>
      </c>
      <c r="H9">
        <v>9</v>
      </c>
      <c r="I9">
        <v>10</v>
      </c>
      <c r="J9">
        <v>11</v>
      </c>
      <c r="K9">
        <v>12</v>
      </c>
      <c r="L9">
        <v>15</v>
      </c>
      <c r="M9">
        <v>16</v>
      </c>
      <c r="N9">
        <v>17</v>
      </c>
      <c r="O9">
        <v>18</v>
      </c>
      <c r="P9">
        <v>19</v>
      </c>
      <c r="Q9">
        <v>22</v>
      </c>
      <c r="R9">
        <v>23</v>
      </c>
      <c r="S9">
        <v>24</v>
      </c>
      <c r="T9">
        <v>25</v>
      </c>
      <c r="U9">
        <v>26</v>
      </c>
      <c r="V9">
        <v>29</v>
      </c>
      <c r="W9">
        <v>30</v>
      </c>
      <c r="AA9">
        <v>7</v>
      </c>
      <c r="AB9">
        <v>43912</v>
      </c>
      <c r="AC9" t="s">
        <v>88</v>
      </c>
      <c r="AD9">
        <v>46362</v>
      </c>
      <c r="AE9">
        <v>564.9</v>
      </c>
      <c r="AF9">
        <v>46057</v>
      </c>
      <c r="AG9" t="s">
        <v>6</v>
      </c>
      <c r="AH9">
        <v>71</v>
      </c>
    </row>
    <row r="10" spans="2:34" x14ac:dyDescent="0.3">
      <c r="B10" t="s">
        <v>16</v>
      </c>
      <c r="C10">
        <v>54</v>
      </c>
      <c r="E10">
        <v>45</v>
      </c>
      <c r="F10">
        <v>51</v>
      </c>
      <c r="G10">
        <v>51</v>
      </c>
      <c r="H10">
        <v>31</v>
      </c>
      <c r="I10">
        <v>27</v>
      </c>
      <c r="J10">
        <v>10</v>
      </c>
      <c r="K10">
        <v>20</v>
      </c>
      <c r="L10">
        <v>0</v>
      </c>
      <c r="M10">
        <v>10</v>
      </c>
      <c r="N10">
        <v>0</v>
      </c>
      <c r="P10">
        <v>0</v>
      </c>
      <c r="Q10">
        <v>0</v>
      </c>
      <c r="R10">
        <v>26</v>
      </c>
      <c r="S10">
        <v>3</v>
      </c>
      <c r="T10">
        <v>0</v>
      </c>
      <c r="U10">
        <v>0</v>
      </c>
      <c r="V10">
        <v>0</v>
      </c>
      <c r="AA10">
        <v>8</v>
      </c>
      <c r="AB10">
        <v>44200</v>
      </c>
      <c r="AC10" t="s">
        <v>89</v>
      </c>
      <c r="AD10">
        <v>46190</v>
      </c>
      <c r="AE10">
        <v>203.45</v>
      </c>
      <c r="AF10">
        <v>46139</v>
      </c>
      <c r="AG10" t="s">
        <v>6</v>
      </c>
      <c r="AH10">
        <v>51</v>
      </c>
    </row>
    <row r="11" spans="2:34" x14ac:dyDescent="0.3">
      <c r="B11" t="s">
        <v>17</v>
      </c>
      <c r="C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A11">
        <v>9</v>
      </c>
      <c r="AB11">
        <v>36451</v>
      </c>
      <c r="AC11" t="s">
        <v>90</v>
      </c>
      <c r="AD11">
        <v>46191</v>
      </c>
      <c r="AE11">
        <v>398.24</v>
      </c>
      <c r="AF11">
        <v>46358</v>
      </c>
      <c r="AG11" t="s">
        <v>91</v>
      </c>
      <c r="AH11">
        <v>126</v>
      </c>
    </row>
    <row r="12" spans="2:34" x14ac:dyDescent="0.3">
      <c r="B12" t="s">
        <v>18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A12">
        <v>10</v>
      </c>
      <c r="AB12">
        <v>42285</v>
      </c>
      <c r="AC12" t="s">
        <v>92</v>
      </c>
      <c r="AD12">
        <v>46191</v>
      </c>
      <c r="AE12">
        <v>1277</v>
      </c>
      <c r="AF12">
        <v>46026</v>
      </c>
      <c r="AG12" t="s">
        <v>93</v>
      </c>
      <c r="AH12">
        <v>78</v>
      </c>
    </row>
    <row r="13" spans="2:34" x14ac:dyDescent="0.3">
      <c r="B13" t="s">
        <v>19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A13">
        <v>11</v>
      </c>
      <c r="AB13">
        <v>38884</v>
      </c>
      <c r="AC13" t="s">
        <v>94</v>
      </c>
      <c r="AD13">
        <v>46191</v>
      </c>
      <c r="AE13">
        <v>278.36</v>
      </c>
      <c r="AF13">
        <v>46129</v>
      </c>
      <c r="AG13" t="s">
        <v>6</v>
      </c>
      <c r="AH13">
        <v>62</v>
      </c>
    </row>
    <row r="14" spans="2:34" x14ac:dyDescent="0.3">
      <c r="B14" t="s">
        <v>21</v>
      </c>
      <c r="C14">
        <v>345</v>
      </c>
      <c r="E14">
        <v>351</v>
      </c>
      <c r="F14">
        <v>356</v>
      </c>
      <c r="G14">
        <v>356</v>
      </c>
      <c r="H14">
        <v>371</v>
      </c>
      <c r="I14">
        <v>409</v>
      </c>
      <c r="J14">
        <v>422</v>
      </c>
      <c r="K14">
        <v>421</v>
      </c>
      <c r="L14">
        <v>707</v>
      </c>
      <c r="M14">
        <v>457</v>
      </c>
      <c r="N14">
        <v>464</v>
      </c>
      <c r="P14">
        <v>482</v>
      </c>
      <c r="Q14">
        <v>472</v>
      </c>
      <c r="R14">
        <v>490</v>
      </c>
      <c r="S14">
        <v>507</v>
      </c>
      <c r="T14">
        <v>511</v>
      </c>
      <c r="U14">
        <v>530</v>
      </c>
      <c r="V14">
        <v>530</v>
      </c>
      <c r="AA14">
        <v>12</v>
      </c>
      <c r="AB14">
        <v>45080</v>
      </c>
      <c r="AC14" t="s">
        <v>95</v>
      </c>
      <c r="AD14">
        <v>46191</v>
      </c>
      <c r="AE14">
        <v>164.75</v>
      </c>
      <c r="AF14">
        <v>46142</v>
      </c>
      <c r="AG14" t="s">
        <v>96</v>
      </c>
      <c r="AH14">
        <v>49</v>
      </c>
    </row>
    <row r="15" spans="2:34" x14ac:dyDescent="0.3">
      <c r="B15" t="s">
        <v>72</v>
      </c>
      <c r="C15">
        <v>79</v>
      </c>
      <c r="E15">
        <v>79</v>
      </c>
      <c r="F15">
        <v>79</v>
      </c>
      <c r="G15">
        <v>79</v>
      </c>
      <c r="H15">
        <v>79</v>
      </c>
      <c r="I15">
        <v>79</v>
      </c>
      <c r="J15">
        <v>79</v>
      </c>
      <c r="K15">
        <v>78</v>
      </c>
      <c r="L15">
        <v>102</v>
      </c>
      <c r="M15">
        <v>76</v>
      </c>
      <c r="N15">
        <v>75</v>
      </c>
      <c r="P15">
        <v>75</v>
      </c>
      <c r="Q15">
        <v>74</v>
      </c>
      <c r="R15">
        <v>76</v>
      </c>
      <c r="S15">
        <v>77</v>
      </c>
      <c r="T15">
        <v>78</v>
      </c>
      <c r="U15">
        <v>75</v>
      </c>
      <c r="V15">
        <v>75</v>
      </c>
      <c r="AA15">
        <v>13</v>
      </c>
      <c r="AB15">
        <v>31636</v>
      </c>
      <c r="AC15" t="s">
        <v>97</v>
      </c>
      <c r="AD15">
        <v>46191</v>
      </c>
      <c r="AE15">
        <v>287.23</v>
      </c>
      <c r="AF15">
        <v>46126</v>
      </c>
      <c r="AG15" t="s">
        <v>6</v>
      </c>
      <c r="AH15">
        <v>65</v>
      </c>
    </row>
    <row r="16" spans="2:34" x14ac:dyDescent="0.3">
      <c r="B16" t="s">
        <v>23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AA16">
        <v>14</v>
      </c>
      <c r="AB16">
        <v>42559</v>
      </c>
      <c r="AC16" t="s">
        <v>98</v>
      </c>
      <c r="AD16">
        <v>46192</v>
      </c>
      <c r="AE16">
        <v>484.4</v>
      </c>
      <c r="AF16">
        <v>46136</v>
      </c>
      <c r="AG16" t="s">
        <v>6</v>
      </c>
      <c r="AH16">
        <v>56</v>
      </c>
    </row>
    <row r="17" spans="2:34" x14ac:dyDescent="0.3">
      <c r="B17" t="s">
        <v>25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A17">
        <v>15</v>
      </c>
      <c r="AB17">
        <v>29084</v>
      </c>
      <c r="AC17" t="s">
        <v>99</v>
      </c>
      <c r="AD17">
        <v>46192</v>
      </c>
      <c r="AE17">
        <v>201.15</v>
      </c>
      <c r="AF17">
        <v>46038</v>
      </c>
      <c r="AG17" t="s">
        <v>6</v>
      </c>
      <c r="AH17">
        <v>154</v>
      </c>
    </row>
    <row r="18" spans="2:34" x14ac:dyDescent="0.3">
      <c r="B18" t="s">
        <v>26</v>
      </c>
      <c r="C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6</v>
      </c>
      <c r="K18">
        <v>6</v>
      </c>
      <c r="L18">
        <v>12</v>
      </c>
      <c r="M18">
        <v>13</v>
      </c>
      <c r="N18">
        <v>14</v>
      </c>
      <c r="P18">
        <v>16</v>
      </c>
      <c r="Q18">
        <v>25</v>
      </c>
      <c r="R18">
        <v>25</v>
      </c>
      <c r="S18">
        <v>26</v>
      </c>
      <c r="T18">
        <v>26</v>
      </c>
      <c r="U18">
        <v>41</v>
      </c>
      <c r="V18">
        <v>41</v>
      </c>
      <c r="AA18">
        <v>16</v>
      </c>
      <c r="AB18">
        <v>41123</v>
      </c>
      <c r="AC18" t="s">
        <v>100</v>
      </c>
      <c r="AD18">
        <v>46197</v>
      </c>
      <c r="AE18">
        <v>629.9</v>
      </c>
      <c r="AF18">
        <v>46003</v>
      </c>
      <c r="AG18" t="s">
        <v>6</v>
      </c>
      <c r="AH18">
        <v>194</v>
      </c>
    </row>
    <row r="19" spans="2:34" x14ac:dyDescent="0.3">
      <c r="B19" t="s">
        <v>27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A19">
        <v>17</v>
      </c>
      <c r="AB19">
        <v>38358</v>
      </c>
      <c r="AC19" t="s">
        <v>101</v>
      </c>
      <c r="AD19">
        <v>46198</v>
      </c>
      <c r="AE19">
        <v>163.25</v>
      </c>
      <c r="AF19">
        <v>46072</v>
      </c>
      <c r="AG19" t="s">
        <v>6</v>
      </c>
      <c r="AH19">
        <v>126</v>
      </c>
    </row>
    <row r="20" spans="2:34" x14ac:dyDescent="0.3">
      <c r="B20" t="s">
        <v>28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A20">
        <v>18</v>
      </c>
      <c r="AB20">
        <v>30929</v>
      </c>
      <c r="AC20" t="s">
        <v>102</v>
      </c>
      <c r="AD20">
        <v>46199</v>
      </c>
      <c r="AE20">
        <v>1258</v>
      </c>
      <c r="AF20">
        <v>46239</v>
      </c>
      <c r="AG20" t="s">
        <v>8</v>
      </c>
      <c r="AH20">
        <v>49</v>
      </c>
    </row>
    <row r="21" spans="2:34" x14ac:dyDescent="0.3">
      <c r="B21" t="s">
        <v>11</v>
      </c>
      <c r="C21">
        <v>478</v>
      </c>
      <c r="D21">
        <v>0</v>
      </c>
      <c r="E21">
        <v>475</v>
      </c>
      <c r="F21">
        <v>487</v>
      </c>
      <c r="G21">
        <v>487</v>
      </c>
      <c r="H21">
        <v>482</v>
      </c>
      <c r="I21">
        <v>517</v>
      </c>
      <c r="J21">
        <v>517</v>
      </c>
      <c r="K21">
        <v>525</v>
      </c>
      <c r="L21">
        <v>827</v>
      </c>
      <c r="M21">
        <v>556</v>
      </c>
      <c r="N21">
        <v>554</v>
      </c>
      <c r="O21">
        <v>0</v>
      </c>
      <c r="P21">
        <v>574</v>
      </c>
      <c r="Q21">
        <v>572</v>
      </c>
      <c r="R21">
        <v>618</v>
      </c>
      <c r="S21">
        <v>614</v>
      </c>
      <c r="T21">
        <v>616</v>
      </c>
      <c r="U21">
        <v>646</v>
      </c>
      <c r="V21">
        <v>646</v>
      </c>
      <c r="W21">
        <v>0</v>
      </c>
      <c r="AA21">
        <v>19</v>
      </c>
      <c r="AB21">
        <v>28933</v>
      </c>
      <c r="AC21" t="s">
        <v>103</v>
      </c>
      <c r="AD21">
        <v>46199</v>
      </c>
      <c r="AE21">
        <v>471.98</v>
      </c>
      <c r="AF21">
        <v>46239</v>
      </c>
      <c r="AG21" t="s">
        <v>8</v>
      </c>
      <c r="AH21">
        <v>49</v>
      </c>
    </row>
    <row r="22" spans="2:34" x14ac:dyDescent="0.3">
      <c r="AA22">
        <v>20</v>
      </c>
      <c r="AB22">
        <v>38139</v>
      </c>
      <c r="AC22" t="s">
        <v>104</v>
      </c>
      <c r="AD22">
        <v>46199</v>
      </c>
      <c r="AE22">
        <v>183.75</v>
      </c>
      <c r="AF22">
        <v>46239</v>
      </c>
      <c r="AG22" t="s">
        <v>105</v>
      </c>
      <c r="AH22">
        <v>49</v>
      </c>
    </row>
    <row r="23" spans="2:34" x14ac:dyDescent="0.3">
      <c r="B23" t="s">
        <v>78</v>
      </c>
      <c r="C23">
        <v>1</v>
      </c>
      <c r="D23">
        <v>2</v>
      </c>
      <c r="E23">
        <v>3</v>
      </c>
      <c r="F23">
        <v>5</v>
      </c>
      <c r="G23">
        <v>8</v>
      </c>
      <c r="H23">
        <v>9</v>
      </c>
      <c r="I23">
        <v>10</v>
      </c>
      <c r="J23">
        <v>11</v>
      </c>
      <c r="K23">
        <v>12</v>
      </c>
      <c r="L23">
        <v>15</v>
      </c>
      <c r="M23">
        <v>16</v>
      </c>
      <c r="N23">
        <v>17</v>
      </c>
      <c r="O23">
        <v>18</v>
      </c>
      <c r="P23">
        <v>19</v>
      </c>
      <c r="Q23">
        <v>22</v>
      </c>
      <c r="R23">
        <v>23</v>
      </c>
      <c r="S23">
        <v>24</v>
      </c>
      <c r="T23">
        <v>25</v>
      </c>
      <c r="U23">
        <v>26</v>
      </c>
      <c r="V23">
        <v>29</v>
      </c>
      <c r="W23">
        <v>30</v>
      </c>
      <c r="X23" t="s">
        <v>11</v>
      </c>
      <c r="AA23">
        <v>21</v>
      </c>
      <c r="AB23">
        <v>34343</v>
      </c>
      <c r="AC23" t="s">
        <v>106</v>
      </c>
      <c r="AD23">
        <v>46199</v>
      </c>
      <c r="AE23">
        <v>504.17</v>
      </c>
      <c r="AF23">
        <v>46239</v>
      </c>
      <c r="AG23" t="s">
        <v>8</v>
      </c>
      <c r="AH23">
        <v>49</v>
      </c>
    </row>
    <row r="24" spans="2:34" x14ac:dyDescent="0.3">
      <c r="B24" t="s">
        <v>2</v>
      </c>
      <c r="C24">
        <v>17</v>
      </c>
      <c r="D24">
        <v>17</v>
      </c>
      <c r="E24">
        <v>17</v>
      </c>
      <c r="F24">
        <v>17</v>
      </c>
      <c r="G24">
        <v>17</v>
      </c>
      <c r="H24">
        <v>17</v>
      </c>
      <c r="I24">
        <v>17</v>
      </c>
      <c r="J24">
        <v>17</v>
      </c>
      <c r="K24">
        <v>17</v>
      </c>
      <c r="L24">
        <v>17</v>
      </c>
      <c r="M24">
        <v>17</v>
      </c>
      <c r="N24">
        <v>17</v>
      </c>
      <c r="O24">
        <v>17</v>
      </c>
      <c r="P24">
        <v>17</v>
      </c>
      <c r="Q24">
        <v>17</v>
      </c>
      <c r="R24">
        <v>17</v>
      </c>
      <c r="S24">
        <v>17</v>
      </c>
      <c r="T24">
        <v>16</v>
      </c>
      <c r="U24">
        <v>15</v>
      </c>
      <c r="V24">
        <v>15</v>
      </c>
      <c r="W24">
        <v>15</v>
      </c>
      <c r="X24">
        <v>350</v>
      </c>
      <c r="AA24" t="s">
        <v>107</v>
      </c>
      <c r="AB24">
        <v>25853</v>
      </c>
      <c r="AC24" t="s">
        <v>108</v>
      </c>
      <c r="AD24">
        <v>46029</v>
      </c>
      <c r="AE24">
        <v>389.9</v>
      </c>
      <c r="AF24">
        <v>46147</v>
      </c>
      <c r="AG24" t="s">
        <v>8</v>
      </c>
      <c r="AH24">
        <v>56</v>
      </c>
    </row>
    <row r="25" spans="2:34" x14ac:dyDescent="0.3">
      <c r="B25" t="s">
        <v>79</v>
      </c>
      <c r="C25">
        <v>0</v>
      </c>
      <c r="D25">
        <v>0</v>
      </c>
      <c r="E25">
        <v>12</v>
      </c>
      <c r="F25">
        <v>20</v>
      </c>
      <c r="G25">
        <v>20</v>
      </c>
      <c r="H25">
        <v>21</v>
      </c>
      <c r="I25">
        <v>14</v>
      </c>
      <c r="J25">
        <v>25</v>
      </c>
      <c r="K25">
        <v>20</v>
      </c>
      <c r="L25">
        <v>10</v>
      </c>
      <c r="M25">
        <v>20</v>
      </c>
      <c r="N25">
        <v>0</v>
      </c>
      <c r="O25">
        <v>20</v>
      </c>
      <c r="P25">
        <v>20</v>
      </c>
      <c r="Q25">
        <v>20</v>
      </c>
      <c r="R25">
        <v>20</v>
      </c>
      <c r="S25">
        <v>20</v>
      </c>
      <c r="T25">
        <v>13</v>
      </c>
      <c r="U25">
        <v>20</v>
      </c>
      <c r="V25">
        <v>30</v>
      </c>
      <c r="W25">
        <v>25</v>
      </c>
      <c r="X25">
        <v>350</v>
      </c>
      <c r="Y25">
        <v>0</v>
      </c>
    </row>
    <row r="26" spans="2:34" x14ac:dyDescent="0.3">
      <c r="AE26">
        <v>5231.58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H25"/>
  <sheetViews>
    <sheetView workbookViewId="0"/>
  </sheetViews>
  <sheetFormatPr defaultRowHeight="14.4" x14ac:dyDescent="0.3"/>
  <sheetData>
    <row r="2" spans="2:34" x14ac:dyDescent="0.3">
      <c r="C2" t="s">
        <v>36</v>
      </c>
      <c r="G2" t="s">
        <v>37</v>
      </c>
      <c r="L2" t="s">
        <v>38</v>
      </c>
      <c r="Q2" t="s">
        <v>39</v>
      </c>
      <c r="V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2:34" x14ac:dyDescent="0.3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10</v>
      </c>
      <c r="J3">
        <v>11</v>
      </c>
      <c r="K3">
        <v>12</v>
      </c>
      <c r="L3">
        <v>15</v>
      </c>
      <c r="M3">
        <v>16</v>
      </c>
      <c r="N3">
        <v>17</v>
      </c>
      <c r="O3">
        <v>18</v>
      </c>
      <c r="P3">
        <v>19</v>
      </c>
      <c r="Q3">
        <v>22</v>
      </c>
      <c r="R3">
        <v>23</v>
      </c>
      <c r="S3">
        <v>24</v>
      </c>
      <c r="T3">
        <v>25</v>
      </c>
      <c r="U3">
        <v>26</v>
      </c>
      <c r="V3">
        <v>29</v>
      </c>
      <c r="W3">
        <v>30</v>
      </c>
      <c r="AA3">
        <v>1</v>
      </c>
      <c r="AB3">
        <v>26746</v>
      </c>
      <c r="AC3" t="s">
        <v>109</v>
      </c>
      <c r="AD3">
        <v>46148</v>
      </c>
      <c r="AE3">
        <v>309.64999999999998</v>
      </c>
      <c r="AF3">
        <v>46175</v>
      </c>
      <c r="AG3" t="s">
        <v>110</v>
      </c>
      <c r="AH3">
        <v>119</v>
      </c>
    </row>
    <row r="4" spans="2:34" x14ac:dyDescent="0.3">
      <c r="B4" t="s">
        <v>51</v>
      </c>
      <c r="C4" t="s">
        <v>52</v>
      </c>
      <c r="D4" t="s">
        <v>53</v>
      </c>
      <c r="E4" t="s">
        <v>54</v>
      </c>
      <c r="F4" t="s">
        <v>54</v>
      </c>
      <c r="G4" t="s">
        <v>52</v>
      </c>
      <c r="H4" t="s">
        <v>52</v>
      </c>
      <c r="I4" t="s">
        <v>53</v>
      </c>
      <c r="J4" t="s">
        <v>54</v>
      </c>
      <c r="K4" t="s">
        <v>54</v>
      </c>
      <c r="L4" t="s">
        <v>52</v>
      </c>
      <c r="M4" t="s">
        <v>52</v>
      </c>
      <c r="N4" t="s">
        <v>53</v>
      </c>
      <c r="O4" t="s">
        <v>54</v>
      </c>
      <c r="P4" t="s">
        <v>54</v>
      </c>
      <c r="Q4" t="s">
        <v>52</v>
      </c>
      <c r="R4" t="s">
        <v>52</v>
      </c>
      <c r="S4" t="s">
        <v>53</v>
      </c>
      <c r="T4" t="s">
        <v>54</v>
      </c>
      <c r="U4" t="s">
        <v>54</v>
      </c>
      <c r="V4" t="s">
        <v>52</v>
      </c>
      <c r="W4" t="s">
        <v>52</v>
      </c>
      <c r="X4" t="s">
        <v>11</v>
      </c>
      <c r="AA4">
        <v>2</v>
      </c>
      <c r="AB4">
        <v>42957</v>
      </c>
      <c r="AC4" t="s">
        <v>111</v>
      </c>
      <c r="AD4">
        <v>46362</v>
      </c>
      <c r="AE4">
        <v>169.73</v>
      </c>
      <c r="AF4">
        <v>46136</v>
      </c>
      <c r="AG4" t="s">
        <v>8</v>
      </c>
      <c r="AH4">
        <v>49</v>
      </c>
    </row>
    <row r="5" spans="2:34" x14ac:dyDescent="0.3">
      <c r="B5" t="s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2</v>
      </c>
      <c r="U5">
        <v>2</v>
      </c>
      <c r="V5">
        <v>2</v>
      </c>
      <c r="W5">
        <v>2</v>
      </c>
      <c r="X5">
        <v>25</v>
      </c>
      <c r="AA5">
        <v>3</v>
      </c>
      <c r="AB5">
        <v>29236</v>
      </c>
      <c r="AC5" t="s">
        <v>112</v>
      </c>
      <c r="AD5">
        <v>46197</v>
      </c>
      <c r="AE5">
        <v>718.11</v>
      </c>
      <c r="AF5">
        <v>46136</v>
      </c>
      <c r="AG5" t="s">
        <v>8</v>
      </c>
      <c r="AH5">
        <v>61</v>
      </c>
    </row>
    <row r="6" spans="2:34" x14ac:dyDescent="0.3">
      <c r="B6" t="s">
        <v>58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1</v>
      </c>
      <c r="V6">
        <v>0</v>
      </c>
      <c r="W6">
        <v>2</v>
      </c>
      <c r="X6">
        <v>7</v>
      </c>
      <c r="Y6">
        <v>-18</v>
      </c>
      <c r="AA6">
        <v>4</v>
      </c>
      <c r="AB6">
        <v>44928</v>
      </c>
      <c r="AC6" t="s">
        <v>113</v>
      </c>
      <c r="AD6">
        <v>46197</v>
      </c>
      <c r="AE6">
        <v>217.28</v>
      </c>
      <c r="AF6">
        <v>46178</v>
      </c>
      <c r="AG6" t="s">
        <v>32</v>
      </c>
      <c r="AH6">
        <v>49</v>
      </c>
    </row>
    <row r="7" spans="2:34" x14ac:dyDescent="0.3">
      <c r="AA7">
        <v>5</v>
      </c>
      <c r="AB7">
        <v>38149</v>
      </c>
      <c r="AC7" t="s">
        <v>114</v>
      </c>
      <c r="AD7">
        <v>46199</v>
      </c>
      <c r="AE7">
        <v>220.74</v>
      </c>
      <c r="AF7">
        <v>46176</v>
      </c>
      <c r="AG7" t="s">
        <v>115</v>
      </c>
      <c r="AH7">
        <v>112</v>
      </c>
    </row>
    <row r="8" spans="2:34" x14ac:dyDescent="0.3">
      <c r="AA8">
        <v>7</v>
      </c>
      <c r="AB8">
        <v>27148</v>
      </c>
      <c r="AC8" t="s">
        <v>116</v>
      </c>
      <c r="AD8">
        <v>46029</v>
      </c>
      <c r="AE8">
        <v>161.75</v>
      </c>
      <c r="AF8">
        <v>46129</v>
      </c>
      <c r="AG8" t="s">
        <v>32</v>
      </c>
      <c r="AH8">
        <v>75</v>
      </c>
    </row>
    <row r="9" spans="2:34" x14ac:dyDescent="0.3">
      <c r="B9" t="s">
        <v>64</v>
      </c>
      <c r="C9">
        <v>1</v>
      </c>
      <c r="D9">
        <v>2</v>
      </c>
      <c r="E9">
        <v>3</v>
      </c>
      <c r="F9">
        <v>5</v>
      </c>
      <c r="G9">
        <v>8</v>
      </c>
      <c r="H9">
        <v>9</v>
      </c>
      <c r="I9">
        <v>10</v>
      </c>
      <c r="J9">
        <v>11</v>
      </c>
      <c r="K9">
        <v>12</v>
      </c>
      <c r="L9">
        <v>15</v>
      </c>
      <c r="M9">
        <v>16</v>
      </c>
      <c r="N9">
        <v>17</v>
      </c>
      <c r="O9">
        <v>18</v>
      </c>
      <c r="P9">
        <v>19</v>
      </c>
      <c r="Q9">
        <v>22</v>
      </c>
      <c r="R9">
        <v>23</v>
      </c>
      <c r="S9">
        <v>24</v>
      </c>
      <c r="T9">
        <v>25</v>
      </c>
      <c r="U9">
        <v>26</v>
      </c>
      <c r="V9">
        <v>29</v>
      </c>
      <c r="W9">
        <v>30</v>
      </c>
      <c r="AA9">
        <v>6</v>
      </c>
      <c r="AB9">
        <v>34645</v>
      </c>
      <c r="AC9" t="s">
        <v>117</v>
      </c>
      <c r="AD9">
        <v>46029</v>
      </c>
      <c r="AE9">
        <v>175.75</v>
      </c>
      <c r="AF9">
        <v>46140</v>
      </c>
      <c r="AG9" t="s">
        <v>96</v>
      </c>
      <c r="AH9">
        <v>64</v>
      </c>
    </row>
    <row r="10" spans="2:34" x14ac:dyDescent="0.3">
      <c r="B10" t="s">
        <v>16</v>
      </c>
      <c r="C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16</v>
      </c>
      <c r="O10">
        <v>16</v>
      </c>
      <c r="P10">
        <v>16</v>
      </c>
      <c r="Q10">
        <v>0</v>
      </c>
      <c r="R10">
        <v>17</v>
      </c>
      <c r="S10">
        <v>1</v>
      </c>
      <c r="T10">
        <v>0</v>
      </c>
      <c r="U10">
        <v>0</v>
      </c>
      <c r="V10">
        <v>0</v>
      </c>
    </row>
    <row r="11" spans="2:34" x14ac:dyDescent="0.3">
      <c r="B11" t="s">
        <v>17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2:34" x14ac:dyDescent="0.3">
      <c r="B12" t="s">
        <v>18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2:34" x14ac:dyDescent="0.3">
      <c r="B13" t="s">
        <v>19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2:34" x14ac:dyDescent="0.3">
      <c r="B14" t="s">
        <v>21</v>
      </c>
      <c r="C14">
        <v>291</v>
      </c>
      <c r="E14">
        <v>295</v>
      </c>
      <c r="F14">
        <v>295</v>
      </c>
      <c r="G14">
        <v>295</v>
      </c>
      <c r="H14">
        <v>307</v>
      </c>
      <c r="I14">
        <v>307</v>
      </c>
      <c r="J14">
        <v>307</v>
      </c>
      <c r="K14">
        <v>307</v>
      </c>
      <c r="M14">
        <v>39</v>
      </c>
      <c r="N14">
        <v>307</v>
      </c>
      <c r="O14">
        <v>307</v>
      </c>
      <c r="P14">
        <v>307</v>
      </c>
      <c r="Q14">
        <v>321</v>
      </c>
      <c r="R14">
        <v>333</v>
      </c>
      <c r="S14">
        <v>343</v>
      </c>
      <c r="T14">
        <v>335</v>
      </c>
      <c r="U14">
        <v>352</v>
      </c>
      <c r="V14">
        <v>350</v>
      </c>
      <c r="AE14">
        <v>1973.01</v>
      </c>
    </row>
    <row r="15" spans="2:34" x14ac:dyDescent="0.3">
      <c r="B15" t="s">
        <v>72</v>
      </c>
      <c r="C15">
        <v>30</v>
      </c>
      <c r="E15">
        <v>30</v>
      </c>
      <c r="F15">
        <v>30</v>
      </c>
      <c r="G15">
        <v>29</v>
      </c>
      <c r="H15">
        <v>31</v>
      </c>
      <c r="I15">
        <v>31</v>
      </c>
      <c r="J15">
        <v>31</v>
      </c>
      <c r="K15">
        <v>31</v>
      </c>
      <c r="M15">
        <v>5</v>
      </c>
      <c r="N15">
        <v>31</v>
      </c>
      <c r="O15">
        <v>31</v>
      </c>
      <c r="P15">
        <v>31</v>
      </c>
      <c r="Q15">
        <v>31</v>
      </c>
      <c r="R15">
        <v>32</v>
      </c>
      <c r="S15">
        <v>32</v>
      </c>
      <c r="T15">
        <v>33</v>
      </c>
      <c r="U15">
        <v>33</v>
      </c>
      <c r="V15">
        <v>32</v>
      </c>
    </row>
    <row r="16" spans="2:34" x14ac:dyDescent="0.3">
      <c r="B16" t="s">
        <v>23</v>
      </c>
      <c r="C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2:25" x14ac:dyDescent="0.3">
      <c r="B17" t="s">
        <v>25</v>
      </c>
      <c r="C17">
        <v>0</v>
      </c>
      <c r="E17">
        <v>1</v>
      </c>
      <c r="F17">
        <v>1</v>
      </c>
      <c r="G17">
        <v>1</v>
      </c>
      <c r="H17">
        <v>2</v>
      </c>
      <c r="I17">
        <v>2</v>
      </c>
      <c r="J17">
        <v>2</v>
      </c>
      <c r="K17">
        <v>2</v>
      </c>
      <c r="M17">
        <v>0</v>
      </c>
      <c r="N17">
        <v>2</v>
      </c>
      <c r="O17">
        <v>2</v>
      </c>
      <c r="P17">
        <v>2</v>
      </c>
      <c r="Q17">
        <v>2</v>
      </c>
      <c r="R17">
        <v>2</v>
      </c>
      <c r="S17">
        <v>3</v>
      </c>
      <c r="T17">
        <v>3</v>
      </c>
      <c r="U17">
        <v>3</v>
      </c>
      <c r="V17">
        <v>3</v>
      </c>
    </row>
    <row r="18" spans="2:25" x14ac:dyDescent="0.3">
      <c r="B18" t="s">
        <v>26</v>
      </c>
      <c r="C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2</v>
      </c>
      <c r="S18">
        <v>5</v>
      </c>
      <c r="T18">
        <v>10</v>
      </c>
      <c r="U18">
        <v>15</v>
      </c>
      <c r="V18">
        <v>18</v>
      </c>
    </row>
    <row r="19" spans="2:25" x14ac:dyDescent="0.3">
      <c r="B19" t="s">
        <v>27</v>
      </c>
      <c r="C19">
        <v>0</v>
      </c>
      <c r="E19">
        <v>0</v>
      </c>
      <c r="F19">
        <v>0</v>
      </c>
      <c r="G19">
        <v>0</v>
      </c>
      <c r="H19">
        <v>3</v>
      </c>
      <c r="I19">
        <v>3</v>
      </c>
      <c r="J19">
        <v>3</v>
      </c>
      <c r="K19">
        <v>3</v>
      </c>
      <c r="M19">
        <v>0</v>
      </c>
      <c r="N19">
        <v>3</v>
      </c>
      <c r="O19">
        <v>3</v>
      </c>
      <c r="P19">
        <v>3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</row>
    <row r="20" spans="2:25" x14ac:dyDescent="0.3">
      <c r="B20" t="s">
        <v>28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2:25" x14ac:dyDescent="0.3">
      <c r="B21" t="s">
        <v>11</v>
      </c>
      <c r="C21">
        <v>326</v>
      </c>
      <c r="D21">
        <v>0</v>
      </c>
      <c r="E21">
        <v>327</v>
      </c>
      <c r="F21">
        <v>326</v>
      </c>
      <c r="G21">
        <v>325</v>
      </c>
      <c r="H21">
        <v>345</v>
      </c>
      <c r="I21">
        <v>345</v>
      </c>
      <c r="J21">
        <v>345</v>
      </c>
      <c r="K21">
        <v>345</v>
      </c>
      <c r="L21">
        <v>0</v>
      </c>
      <c r="M21">
        <v>44</v>
      </c>
      <c r="N21">
        <v>361</v>
      </c>
      <c r="O21">
        <v>361</v>
      </c>
      <c r="P21">
        <v>361</v>
      </c>
      <c r="Q21">
        <v>361</v>
      </c>
      <c r="R21">
        <v>392</v>
      </c>
      <c r="S21">
        <v>389</v>
      </c>
      <c r="T21">
        <v>386</v>
      </c>
      <c r="U21">
        <v>408</v>
      </c>
      <c r="V21">
        <v>408</v>
      </c>
      <c r="W21">
        <v>0</v>
      </c>
    </row>
    <row r="23" spans="2:25" x14ac:dyDescent="0.3">
      <c r="B23" t="s">
        <v>78</v>
      </c>
      <c r="C23">
        <v>1</v>
      </c>
      <c r="D23">
        <v>2</v>
      </c>
      <c r="E23">
        <v>3</v>
      </c>
      <c r="F23">
        <v>5</v>
      </c>
      <c r="G23">
        <v>8</v>
      </c>
      <c r="H23">
        <v>9</v>
      </c>
      <c r="I23">
        <v>10</v>
      </c>
      <c r="J23">
        <v>11</v>
      </c>
      <c r="K23">
        <v>12</v>
      </c>
      <c r="L23">
        <v>15</v>
      </c>
      <c r="M23">
        <v>16</v>
      </c>
      <c r="N23">
        <v>17</v>
      </c>
      <c r="O23">
        <v>18</v>
      </c>
      <c r="P23">
        <v>19</v>
      </c>
      <c r="Q23">
        <v>22</v>
      </c>
      <c r="R23">
        <v>23</v>
      </c>
      <c r="S23">
        <v>24</v>
      </c>
      <c r="T23">
        <v>25</v>
      </c>
      <c r="U23">
        <v>26</v>
      </c>
      <c r="V23">
        <v>29</v>
      </c>
      <c r="W23">
        <v>30</v>
      </c>
      <c r="X23" t="s">
        <v>11</v>
      </c>
    </row>
    <row r="24" spans="2:25" x14ac:dyDescent="0.3">
      <c r="B24" t="s">
        <v>2</v>
      </c>
      <c r="C24">
        <v>17</v>
      </c>
      <c r="D24">
        <v>17</v>
      </c>
      <c r="E24">
        <v>17</v>
      </c>
      <c r="F24">
        <v>17</v>
      </c>
      <c r="G24">
        <v>17</v>
      </c>
      <c r="H24">
        <v>17</v>
      </c>
      <c r="I24">
        <v>17</v>
      </c>
      <c r="J24">
        <v>17</v>
      </c>
      <c r="K24">
        <v>17</v>
      </c>
      <c r="L24">
        <v>17</v>
      </c>
      <c r="M24">
        <v>17</v>
      </c>
      <c r="N24">
        <v>17</v>
      </c>
      <c r="O24">
        <v>17</v>
      </c>
      <c r="P24">
        <v>17</v>
      </c>
      <c r="Q24">
        <v>17</v>
      </c>
      <c r="R24">
        <v>17</v>
      </c>
      <c r="S24">
        <v>17</v>
      </c>
      <c r="T24">
        <v>16</v>
      </c>
      <c r="U24">
        <v>15</v>
      </c>
      <c r="V24">
        <v>15</v>
      </c>
      <c r="W24">
        <v>15</v>
      </c>
      <c r="X24">
        <v>350</v>
      </c>
    </row>
    <row r="25" spans="2:25" x14ac:dyDescent="0.3">
      <c r="B25" t="s">
        <v>79</v>
      </c>
      <c r="C25">
        <v>20</v>
      </c>
      <c r="D25">
        <v>23</v>
      </c>
      <c r="E25">
        <v>4</v>
      </c>
      <c r="F25">
        <v>14</v>
      </c>
      <c r="G25">
        <v>29</v>
      </c>
      <c r="H25">
        <v>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21</v>
      </c>
      <c r="R25">
        <v>16</v>
      </c>
      <c r="S25">
        <v>62</v>
      </c>
      <c r="T25">
        <v>35</v>
      </c>
      <c r="U25">
        <v>40</v>
      </c>
      <c r="V25">
        <v>40</v>
      </c>
      <c r="X25">
        <v>312</v>
      </c>
      <c r="Y25">
        <v>-38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H30"/>
  <sheetViews>
    <sheetView workbookViewId="0"/>
  </sheetViews>
  <sheetFormatPr defaultRowHeight="14.4" x14ac:dyDescent="0.3"/>
  <sheetData>
    <row r="2" spans="2:34" x14ac:dyDescent="0.3">
      <c r="C2" t="s">
        <v>36</v>
      </c>
      <c r="G2" t="s">
        <v>37</v>
      </c>
      <c r="L2" t="s">
        <v>38</v>
      </c>
      <c r="Q2" t="s">
        <v>39</v>
      </c>
      <c r="V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2:34" x14ac:dyDescent="0.3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10</v>
      </c>
      <c r="J3">
        <v>11</v>
      </c>
      <c r="K3">
        <v>12</v>
      </c>
      <c r="L3">
        <v>15</v>
      </c>
      <c r="M3">
        <v>16</v>
      </c>
      <c r="N3">
        <v>17</v>
      </c>
      <c r="O3">
        <v>18</v>
      </c>
      <c r="P3">
        <v>19</v>
      </c>
      <c r="Q3">
        <v>22</v>
      </c>
      <c r="R3">
        <v>23</v>
      </c>
      <c r="S3">
        <v>24</v>
      </c>
      <c r="T3">
        <v>25</v>
      </c>
      <c r="U3">
        <v>26</v>
      </c>
      <c r="V3">
        <v>29</v>
      </c>
      <c r="W3">
        <v>30</v>
      </c>
      <c r="AA3">
        <v>1</v>
      </c>
      <c r="AB3">
        <v>33463</v>
      </c>
      <c r="AC3" t="s">
        <v>118</v>
      </c>
      <c r="AD3">
        <v>46087</v>
      </c>
      <c r="AE3">
        <v>745.8</v>
      </c>
      <c r="AF3">
        <v>46106</v>
      </c>
      <c r="AG3" t="s">
        <v>85</v>
      </c>
      <c r="AH3">
        <v>70</v>
      </c>
    </row>
    <row r="4" spans="2:34" x14ac:dyDescent="0.3">
      <c r="B4" t="s">
        <v>51</v>
      </c>
      <c r="C4" t="s">
        <v>52</v>
      </c>
      <c r="D4" t="s">
        <v>53</v>
      </c>
      <c r="E4" t="s">
        <v>54</v>
      </c>
      <c r="F4" t="s">
        <v>54</v>
      </c>
      <c r="G4" t="s">
        <v>52</v>
      </c>
      <c r="H4" t="s">
        <v>52</v>
      </c>
      <c r="I4" t="s">
        <v>53</v>
      </c>
      <c r="J4" t="s">
        <v>54</v>
      </c>
      <c r="K4" t="s">
        <v>54</v>
      </c>
      <c r="L4" t="s">
        <v>52</v>
      </c>
      <c r="M4" t="s">
        <v>52</v>
      </c>
      <c r="N4" t="s">
        <v>53</v>
      </c>
      <c r="O4" t="s">
        <v>54</v>
      </c>
      <c r="P4" t="s">
        <v>54</v>
      </c>
      <c r="Q4" t="s">
        <v>52</v>
      </c>
      <c r="R4" t="s">
        <v>52</v>
      </c>
      <c r="S4" t="s">
        <v>53</v>
      </c>
      <c r="T4" t="s">
        <v>54</v>
      </c>
      <c r="U4" t="s">
        <v>54</v>
      </c>
      <c r="V4" t="s">
        <v>52</v>
      </c>
      <c r="W4" t="s">
        <v>52</v>
      </c>
      <c r="X4" t="s">
        <v>11</v>
      </c>
      <c r="AA4">
        <v>2</v>
      </c>
      <c r="AB4">
        <v>42936</v>
      </c>
      <c r="AC4" t="s">
        <v>119</v>
      </c>
      <c r="AD4">
        <v>46087</v>
      </c>
      <c r="AE4">
        <v>183.75</v>
      </c>
      <c r="AF4">
        <v>46112</v>
      </c>
      <c r="AG4" t="s">
        <v>85</v>
      </c>
      <c r="AH4">
        <v>64</v>
      </c>
    </row>
    <row r="5" spans="2:34" x14ac:dyDescent="0.3">
      <c r="B5" t="s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30</v>
      </c>
      <c r="AA5">
        <v>3</v>
      </c>
      <c r="AB5">
        <v>30921</v>
      </c>
      <c r="AC5" t="s">
        <v>120</v>
      </c>
      <c r="AD5">
        <v>46148</v>
      </c>
      <c r="AE5">
        <v>210.65</v>
      </c>
      <c r="AF5">
        <v>46099</v>
      </c>
      <c r="AG5" t="s">
        <v>85</v>
      </c>
      <c r="AH5">
        <v>79</v>
      </c>
    </row>
    <row r="6" spans="2:34" x14ac:dyDescent="0.3">
      <c r="B6" t="s">
        <v>58</v>
      </c>
      <c r="C6">
        <v>0</v>
      </c>
      <c r="D6">
        <v>0</v>
      </c>
      <c r="E6">
        <v>2</v>
      </c>
      <c r="F6">
        <v>1</v>
      </c>
      <c r="G6">
        <v>0</v>
      </c>
      <c r="H6">
        <v>1</v>
      </c>
      <c r="I6">
        <v>3</v>
      </c>
      <c r="J6">
        <v>4</v>
      </c>
      <c r="K6">
        <v>0</v>
      </c>
      <c r="L6">
        <v>0</v>
      </c>
      <c r="M6">
        <v>0</v>
      </c>
      <c r="N6">
        <v>2</v>
      </c>
      <c r="O6">
        <v>1</v>
      </c>
      <c r="P6">
        <v>1</v>
      </c>
      <c r="Q6">
        <v>1</v>
      </c>
      <c r="R6">
        <v>1</v>
      </c>
      <c r="S6">
        <v>1</v>
      </c>
      <c r="T6">
        <v>3</v>
      </c>
      <c r="U6">
        <v>2</v>
      </c>
      <c r="V6">
        <v>0</v>
      </c>
      <c r="W6">
        <v>4</v>
      </c>
      <c r="X6">
        <v>27</v>
      </c>
      <c r="Y6">
        <v>-3</v>
      </c>
      <c r="AA6">
        <v>4</v>
      </c>
      <c r="AB6">
        <v>12165</v>
      </c>
      <c r="AC6" t="s">
        <v>121</v>
      </c>
      <c r="AD6">
        <v>46271</v>
      </c>
      <c r="AE6">
        <v>420.18</v>
      </c>
      <c r="AF6">
        <v>46127</v>
      </c>
      <c r="AG6" t="s">
        <v>85</v>
      </c>
      <c r="AH6">
        <v>55</v>
      </c>
    </row>
    <row r="7" spans="2:34" x14ac:dyDescent="0.3">
      <c r="AA7">
        <v>5</v>
      </c>
      <c r="AB7">
        <v>28192</v>
      </c>
      <c r="AC7" t="s">
        <v>122</v>
      </c>
      <c r="AD7">
        <v>46301</v>
      </c>
      <c r="AE7">
        <v>264.45</v>
      </c>
      <c r="AF7">
        <v>46238</v>
      </c>
      <c r="AG7" t="s">
        <v>85</v>
      </c>
      <c r="AH7">
        <v>63</v>
      </c>
    </row>
    <row r="8" spans="2:34" x14ac:dyDescent="0.3">
      <c r="AA8">
        <v>6</v>
      </c>
      <c r="AB8">
        <v>37151</v>
      </c>
      <c r="AC8" t="s">
        <v>123</v>
      </c>
      <c r="AD8">
        <v>46301</v>
      </c>
      <c r="AE8">
        <v>411.74</v>
      </c>
      <c r="AF8">
        <v>46099</v>
      </c>
      <c r="AG8" t="s">
        <v>85</v>
      </c>
      <c r="AH8">
        <v>84</v>
      </c>
    </row>
    <row r="9" spans="2:34" x14ac:dyDescent="0.3">
      <c r="B9" t="s">
        <v>64</v>
      </c>
      <c r="C9">
        <v>1</v>
      </c>
      <c r="D9">
        <v>2</v>
      </c>
      <c r="E9">
        <v>3</v>
      </c>
      <c r="F9">
        <v>5</v>
      </c>
      <c r="G9">
        <v>8</v>
      </c>
      <c r="H9">
        <v>9</v>
      </c>
      <c r="I9">
        <v>10</v>
      </c>
      <c r="J9">
        <v>11</v>
      </c>
      <c r="K9">
        <v>12</v>
      </c>
      <c r="L9">
        <v>15</v>
      </c>
      <c r="M9">
        <v>16</v>
      </c>
      <c r="N9">
        <v>17</v>
      </c>
      <c r="O9">
        <v>18</v>
      </c>
      <c r="P9">
        <v>19</v>
      </c>
      <c r="Q9">
        <v>22</v>
      </c>
      <c r="R9">
        <v>23</v>
      </c>
      <c r="S9">
        <v>24</v>
      </c>
      <c r="T9">
        <v>25</v>
      </c>
      <c r="U9">
        <v>26</v>
      </c>
      <c r="V9">
        <v>29</v>
      </c>
      <c r="W9">
        <v>30</v>
      </c>
      <c r="AA9">
        <v>7</v>
      </c>
      <c r="AB9">
        <v>44572</v>
      </c>
      <c r="AC9" t="s">
        <v>124</v>
      </c>
      <c r="AD9">
        <v>46301</v>
      </c>
      <c r="AE9">
        <v>391.55</v>
      </c>
      <c r="AF9">
        <v>46103</v>
      </c>
      <c r="AG9" t="s">
        <v>85</v>
      </c>
      <c r="AH9">
        <v>80</v>
      </c>
    </row>
    <row r="10" spans="2:34" x14ac:dyDescent="0.3">
      <c r="B10" t="s">
        <v>16</v>
      </c>
      <c r="C10">
        <v>50</v>
      </c>
      <c r="E10">
        <v>50</v>
      </c>
      <c r="F10">
        <v>26</v>
      </c>
      <c r="G10">
        <v>26</v>
      </c>
      <c r="H10">
        <v>2</v>
      </c>
      <c r="I10">
        <v>0</v>
      </c>
      <c r="J10">
        <v>0</v>
      </c>
      <c r="L10">
        <v>0</v>
      </c>
      <c r="M10">
        <v>10</v>
      </c>
      <c r="N10">
        <v>9</v>
      </c>
      <c r="P10">
        <v>0</v>
      </c>
      <c r="Q10">
        <v>0</v>
      </c>
      <c r="R10">
        <v>14</v>
      </c>
      <c r="S10">
        <v>11</v>
      </c>
      <c r="T10">
        <v>0</v>
      </c>
      <c r="U10">
        <v>8</v>
      </c>
      <c r="V10">
        <v>1</v>
      </c>
      <c r="AA10">
        <v>8</v>
      </c>
      <c r="AB10">
        <v>601</v>
      </c>
      <c r="AC10" t="s">
        <v>125</v>
      </c>
      <c r="AD10">
        <v>46332</v>
      </c>
      <c r="AE10">
        <v>819.5</v>
      </c>
      <c r="AF10">
        <v>46238</v>
      </c>
      <c r="AG10" t="s">
        <v>85</v>
      </c>
      <c r="AH10">
        <v>64</v>
      </c>
    </row>
    <row r="11" spans="2:34" x14ac:dyDescent="0.3">
      <c r="B11" t="s">
        <v>17</v>
      </c>
      <c r="C11">
        <v>14</v>
      </c>
      <c r="E11">
        <v>14</v>
      </c>
      <c r="F11">
        <v>7</v>
      </c>
      <c r="G11">
        <v>4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A11">
        <v>9</v>
      </c>
      <c r="AB11">
        <v>32604</v>
      </c>
      <c r="AC11" t="s">
        <v>126</v>
      </c>
      <c r="AD11">
        <v>46332</v>
      </c>
      <c r="AE11">
        <v>183.35</v>
      </c>
      <c r="AF11">
        <v>46112</v>
      </c>
      <c r="AG11" t="s">
        <v>85</v>
      </c>
      <c r="AH11">
        <v>72</v>
      </c>
    </row>
    <row r="12" spans="2:34" x14ac:dyDescent="0.3">
      <c r="B12" t="s">
        <v>18</v>
      </c>
      <c r="C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L12">
        <v>0</v>
      </c>
      <c r="M12">
        <v>0</v>
      </c>
      <c r="N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A12">
        <v>10</v>
      </c>
      <c r="AB12">
        <v>30889</v>
      </c>
      <c r="AC12" t="s">
        <v>127</v>
      </c>
      <c r="AD12">
        <v>46332</v>
      </c>
      <c r="AE12">
        <v>994.8</v>
      </c>
      <c r="AF12">
        <v>46136</v>
      </c>
      <c r="AG12" t="s">
        <v>85</v>
      </c>
      <c r="AH12">
        <v>48</v>
      </c>
    </row>
    <row r="13" spans="2:34" x14ac:dyDescent="0.3">
      <c r="B13" t="s">
        <v>19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A13">
        <v>11</v>
      </c>
      <c r="AB13">
        <v>20583</v>
      </c>
      <c r="AC13" t="s">
        <v>128</v>
      </c>
      <c r="AD13">
        <v>46332</v>
      </c>
      <c r="AE13">
        <v>1658</v>
      </c>
      <c r="AF13">
        <v>46127</v>
      </c>
      <c r="AG13" t="s">
        <v>85</v>
      </c>
      <c r="AH13">
        <v>57</v>
      </c>
    </row>
    <row r="14" spans="2:34" x14ac:dyDescent="0.3">
      <c r="B14" t="s">
        <v>21</v>
      </c>
      <c r="C14">
        <v>147</v>
      </c>
      <c r="E14">
        <v>120</v>
      </c>
      <c r="F14">
        <v>141</v>
      </c>
      <c r="G14">
        <v>143</v>
      </c>
      <c r="H14">
        <v>169</v>
      </c>
      <c r="I14">
        <v>169</v>
      </c>
      <c r="J14">
        <v>167</v>
      </c>
      <c r="L14">
        <v>169</v>
      </c>
      <c r="M14">
        <v>170</v>
      </c>
      <c r="N14">
        <v>167</v>
      </c>
      <c r="P14">
        <v>177</v>
      </c>
      <c r="Q14">
        <v>173</v>
      </c>
      <c r="R14">
        <v>179</v>
      </c>
      <c r="S14">
        <v>187</v>
      </c>
      <c r="T14">
        <v>193</v>
      </c>
      <c r="U14">
        <v>193</v>
      </c>
      <c r="V14">
        <v>201</v>
      </c>
      <c r="AA14">
        <v>12</v>
      </c>
      <c r="AB14">
        <v>21387</v>
      </c>
      <c r="AC14" t="s">
        <v>129</v>
      </c>
      <c r="AD14">
        <v>46190</v>
      </c>
      <c r="AE14">
        <v>239.95</v>
      </c>
      <c r="AF14">
        <v>46134</v>
      </c>
      <c r="AG14" t="s">
        <v>85</v>
      </c>
      <c r="AH14">
        <v>56</v>
      </c>
    </row>
    <row r="15" spans="2:34" x14ac:dyDescent="0.3">
      <c r="B15" t="s">
        <v>72</v>
      </c>
      <c r="C15">
        <v>47</v>
      </c>
      <c r="E15">
        <v>45</v>
      </c>
      <c r="F15">
        <v>49</v>
      </c>
      <c r="G15">
        <v>49</v>
      </c>
      <c r="H15">
        <v>63</v>
      </c>
      <c r="I15">
        <v>62</v>
      </c>
      <c r="J15">
        <v>62</v>
      </c>
      <c r="L15">
        <v>62</v>
      </c>
      <c r="M15">
        <v>65</v>
      </c>
      <c r="N15">
        <v>66</v>
      </c>
      <c r="P15">
        <v>68</v>
      </c>
      <c r="Q15">
        <v>68</v>
      </c>
      <c r="R15">
        <v>70</v>
      </c>
      <c r="S15">
        <v>69</v>
      </c>
      <c r="T15">
        <v>69</v>
      </c>
      <c r="U15">
        <v>69</v>
      </c>
      <c r="V15">
        <v>70</v>
      </c>
      <c r="AA15">
        <v>13</v>
      </c>
      <c r="AB15">
        <v>35547</v>
      </c>
      <c r="AC15" t="s">
        <v>130</v>
      </c>
      <c r="AD15">
        <v>46190</v>
      </c>
      <c r="AE15">
        <v>207.34</v>
      </c>
      <c r="AF15">
        <v>46045</v>
      </c>
      <c r="AG15" t="s">
        <v>85</v>
      </c>
      <c r="AH15">
        <v>145</v>
      </c>
    </row>
    <row r="16" spans="2:34" x14ac:dyDescent="0.3">
      <c r="B16" t="s">
        <v>23</v>
      </c>
      <c r="C16">
        <v>0</v>
      </c>
      <c r="E16">
        <v>0</v>
      </c>
      <c r="F16">
        <v>1</v>
      </c>
      <c r="G16">
        <v>1</v>
      </c>
      <c r="H16">
        <v>4</v>
      </c>
      <c r="I16">
        <v>4</v>
      </c>
      <c r="J16">
        <v>4</v>
      </c>
      <c r="L16">
        <v>5</v>
      </c>
      <c r="M16">
        <v>6</v>
      </c>
      <c r="N16">
        <v>6</v>
      </c>
      <c r="P16">
        <v>6</v>
      </c>
      <c r="Q16">
        <v>5</v>
      </c>
      <c r="R16">
        <v>6</v>
      </c>
      <c r="S16">
        <v>6</v>
      </c>
      <c r="T16">
        <v>6</v>
      </c>
      <c r="U16">
        <v>6</v>
      </c>
      <c r="V16">
        <v>6</v>
      </c>
      <c r="AA16">
        <v>14</v>
      </c>
      <c r="AB16">
        <v>42774</v>
      </c>
      <c r="AC16" t="s">
        <v>131</v>
      </c>
      <c r="AD16">
        <v>46191</v>
      </c>
      <c r="AE16">
        <v>829</v>
      </c>
      <c r="AF16">
        <v>46057</v>
      </c>
      <c r="AG16" t="s">
        <v>132</v>
      </c>
      <c r="AH16">
        <v>77</v>
      </c>
    </row>
    <row r="17" spans="2:34" x14ac:dyDescent="0.3">
      <c r="B17" t="s">
        <v>25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L17">
        <v>1</v>
      </c>
      <c r="M17">
        <v>2</v>
      </c>
      <c r="N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3</v>
      </c>
      <c r="AA17">
        <v>15</v>
      </c>
      <c r="AB17">
        <v>38903</v>
      </c>
      <c r="AC17" t="s">
        <v>133</v>
      </c>
      <c r="AD17">
        <v>46192</v>
      </c>
      <c r="AE17">
        <v>617</v>
      </c>
      <c r="AF17">
        <v>46269</v>
      </c>
      <c r="AG17" t="s">
        <v>85</v>
      </c>
      <c r="AH17">
        <v>71</v>
      </c>
    </row>
    <row r="18" spans="2:34" x14ac:dyDescent="0.3">
      <c r="B18" t="s">
        <v>26</v>
      </c>
      <c r="C18">
        <v>0</v>
      </c>
      <c r="E18">
        <v>8</v>
      </c>
      <c r="F18">
        <v>8</v>
      </c>
      <c r="G18">
        <v>8</v>
      </c>
      <c r="H18">
        <v>8</v>
      </c>
      <c r="I18">
        <v>8</v>
      </c>
      <c r="J18">
        <v>9</v>
      </c>
      <c r="L18">
        <v>9</v>
      </c>
      <c r="M18">
        <v>10</v>
      </c>
      <c r="N18">
        <v>11</v>
      </c>
      <c r="P18">
        <v>11</v>
      </c>
      <c r="Q18">
        <v>13</v>
      </c>
      <c r="R18">
        <v>13</v>
      </c>
      <c r="S18">
        <v>13</v>
      </c>
      <c r="T18">
        <v>13</v>
      </c>
      <c r="U18">
        <v>13</v>
      </c>
      <c r="V18">
        <v>15</v>
      </c>
      <c r="AA18">
        <v>16</v>
      </c>
      <c r="AB18">
        <v>10376</v>
      </c>
      <c r="AC18" t="s">
        <v>134</v>
      </c>
      <c r="AD18">
        <v>46195</v>
      </c>
      <c r="AE18">
        <v>892.99</v>
      </c>
      <c r="AF18">
        <v>45756</v>
      </c>
      <c r="AG18" t="s">
        <v>10</v>
      </c>
      <c r="AH18">
        <v>291</v>
      </c>
    </row>
    <row r="19" spans="2:34" x14ac:dyDescent="0.3">
      <c r="B19" t="s">
        <v>27</v>
      </c>
      <c r="C19">
        <v>0</v>
      </c>
      <c r="E19">
        <v>1</v>
      </c>
      <c r="F19">
        <v>7</v>
      </c>
      <c r="G19">
        <v>7</v>
      </c>
      <c r="H19">
        <v>9</v>
      </c>
      <c r="I19">
        <v>10</v>
      </c>
      <c r="J19">
        <v>10</v>
      </c>
      <c r="L19">
        <v>10</v>
      </c>
      <c r="M19">
        <v>12</v>
      </c>
      <c r="N19">
        <v>13</v>
      </c>
      <c r="P19">
        <v>13</v>
      </c>
      <c r="Q19">
        <v>13</v>
      </c>
      <c r="R19">
        <v>14</v>
      </c>
      <c r="S19">
        <v>14</v>
      </c>
      <c r="T19">
        <v>15</v>
      </c>
      <c r="U19">
        <v>15</v>
      </c>
      <c r="V19">
        <v>18</v>
      </c>
      <c r="AA19">
        <v>17</v>
      </c>
      <c r="AB19">
        <v>41363</v>
      </c>
      <c r="AC19" t="s">
        <v>135</v>
      </c>
      <c r="AD19">
        <v>46196</v>
      </c>
      <c r="AE19">
        <v>536.6</v>
      </c>
      <c r="AF19">
        <v>46135</v>
      </c>
      <c r="AG19" t="s">
        <v>85</v>
      </c>
      <c r="AH19">
        <v>61</v>
      </c>
    </row>
    <row r="20" spans="2:34" x14ac:dyDescent="0.3">
      <c r="B20" t="s">
        <v>28</v>
      </c>
      <c r="C20">
        <v>0</v>
      </c>
      <c r="E20">
        <v>1</v>
      </c>
      <c r="F20">
        <v>2</v>
      </c>
      <c r="G20">
        <v>2</v>
      </c>
      <c r="H20">
        <v>3</v>
      </c>
      <c r="I20">
        <v>3</v>
      </c>
      <c r="J20">
        <v>3</v>
      </c>
      <c r="L20">
        <v>3</v>
      </c>
      <c r="M20">
        <v>3</v>
      </c>
      <c r="N20">
        <v>3</v>
      </c>
      <c r="P20">
        <v>3</v>
      </c>
      <c r="Q20">
        <v>3</v>
      </c>
      <c r="R20">
        <v>3</v>
      </c>
      <c r="S20">
        <v>3</v>
      </c>
      <c r="T20">
        <v>4</v>
      </c>
      <c r="U20">
        <v>4</v>
      </c>
      <c r="V20">
        <v>4</v>
      </c>
      <c r="AA20">
        <v>18</v>
      </c>
      <c r="AB20">
        <v>40966</v>
      </c>
      <c r="AC20" t="s">
        <v>136</v>
      </c>
      <c r="AD20">
        <v>46197</v>
      </c>
      <c r="AE20">
        <v>497.4</v>
      </c>
      <c r="AF20">
        <v>46239</v>
      </c>
      <c r="AG20" t="s">
        <v>85</v>
      </c>
      <c r="AH20">
        <v>47</v>
      </c>
    </row>
    <row r="21" spans="2:34" x14ac:dyDescent="0.3">
      <c r="B21" t="s">
        <v>11</v>
      </c>
      <c r="C21">
        <v>258</v>
      </c>
      <c r="D21">
        <v>0</v>
      </c>
      <c r="E21">
        <v>239</v>
      </c>
      <c r="F21">
        <v>241</v>
      </c>
      <c r="G21">
        <v>240</v>
      </c>
      <c r="H21">
        <v>259</v>
      </c>
      <c r="I21">
        <v>256</v>
      </c>
      <c r="J21">
        <v>256</v>
      </c>
      <c r="K21">
        <v>0</v>
      </c>
      <c r="L21">
        <v>259</v>
      </c>
      <c r="M21">
        <v>278</v>
      </c>
      <c r="N21">
        <v>277</v>
      </c>
      <c r="O21">
        <v>0</v>
      </c>
      <c r="P21">
        <v>280</v>
      </c>
      <c r="Q21">
        <v>277</v>
      </c>
      <c r="R21">
        <v>301</v>
      </c>
      <c r="S21">
        <v>305</v>
      </c>
      <c r="T21">
        <v>302</v>
      </c>
      <c r="U21">
        <v>310</v>
      </c>
      <c r="V21">
        <v>318</v>
      </c>
      <c r="W21">
        <v>0</v>
      </c>
      <c r="AA21">
        <v>19</v>
      </c>
      <c r="AB21">
        <v>33732</v>
      </c>
      <c r="AC21" t="s">
        <v>137</v>
      </c>
      <c r="AD21">
        <v>46198</v>
      </c>
      <c r="AE21">
        <v>587.41</v>
      </c>
      <c r="AF21">
        <v>46135</v>
      </c>
      <c r="AG21" t="s">
        <v>85</v>
      </c>
      <c r="AH21">
        <v>63</v>
      </c>
    </row>
    <row r="22" spans="2:34" x14ac:dyDescent="0.3">
      <c r="AA22">
        <v>20</v>
      </c>
      <c r="AB22">
        <v>43985</v>
      </c>
      <c r="AC22" t="s">
        <v>138</v>
      </c>
      <c r="AD22">
        <v>46198</v>
      </c>
      <c r="AE22">
        <v>331.04</v>
      </c>
      <c r="AF22">
        <v>46208</v>
      </c>
      <c r="AG22" t="s">
        <v>85</v>
      </c>
      <c r="AH22">
        <v>49</v>
      </c>
    </row>
    <row r="23" spans="2:34" x14ac:dyDescent="0.3">
      <c r="B23" t="s">
        <v>78</v>
      </c>
      <c r="C23">
        <v>1</v>
      </c>
      <c r="D23">
        <v>2</v>
      </c>
      <c r="E23">
        <v>3</v>
      </c>
      <c r="F23">
        <v>5</v>
      </c>
      <c r="G23">
        <v>8</v>
      </c>
      <c r="H23">
        <v>9</v>
      </c>
      <c r="I23">
        <v>10</v>
      </c>
      <c r="J23">
        <v>11</v>
      </c>
      <c r="K23">
        <v>12</v>
      </c>
      <c r="L23">
        <v>15</v>
      </c>
      <c r="M23">
        <v>16</v>
      </c>
      <c r="N23">
        <v>17</v>
      </c>
      <c r="O23">
        <v>18</v>
      </c>
      <c r="P23">
        <v>19</v>
      </c>
      <c r="Q23">
        <v>22</v>
      </c>
      <c r="R23">
        <v>23</v>
      </c>
      <c r="S23">
        <v>24</v>
      </c>
      <c r="T23">
        <v>25</v>
      </c>
      <c r="U23">
        <v>26</v>
      </c>
      <c r="V23">
        <v>29</v>
      </c>
      <c r="W23">
        <v>30</v>
      </c>
      <c r="X23" t="s">
        <v>11</v>
      </c>
      <c r="AA23">
        <v>21</v>
      </c>
      <c r="AB23">
        <v>26794</v>
      </c>
      <c r="AD23">
        <v>46198</v>
      </c>
      <c r="AE23">
        <v>631.20000000000005</v>
      </c>
      <c r="AF23">
        <v>44866</v>
      </c>
      <c r="AG23" t="s">
        <v>115</v>
      </c>
      <c r="AH23">
        <v>1626</v>
      </c>
    </row>
    <row r="24" spans="2:34" x14ac:dyDescent="0.3">
      <c r="B24" t="s">
        <v>2</v>
      </c>
      <c r="C24">
        <v>17</v>
      </c>
      <c r="D24">
        <v>17</v>
      </c>
      <c r="E24">
        <v>17</v>
      </c>
      <c r="F24">
        <v>17</v>
      </c>
      <c r="G24">
        <v>17</v>
      </c>
      <c r="H24">
        <v>17</v>
      </c>
      <c r="I24">
        <v>17</v>
      </c>
      <c r="J24">
        <v>17</v>
      </c>
      <c r="K24">
        <v>17</v>
      </c>
      <c r="L24">
        <v>17</v>
      </c>
      <c r="M24">
        <v>17</v>
      </c>
      <c r="N24">
        <v>17</v>
      </c>
      <c r="O24">
        <v>17</v>
      </c>
      <c r="P24">
        <v>17</v>
      </c>
      <c r="Q24">
        <v>17</v>
      </c>
      <c r="R24">
        <v>17</v>
      </c>
      <c r="S24">
        <v>17</v>
      </c>
      <c r="T24">
        <v>16</v>
      </c>
      <c r="U24">
        <v>15</v>
      </c>
      <c r="V24">
        <v>15</v>
      </c>
      <c r="W24">
        <v>15</v>
      </c>
      <c r="X24">
        <v>350</v>
      </c>
      <c r="AA24">
        <v>22</v>
      </c>
      <c r="AB24">
        <v>41617</v>
      </c>
      <c r="AC24" t="s">
        <v>139</v>
      </c>
      <c r="AD24">
        <v>46199</v>
      </c>
      <c r="AE24">
        <v>4653.17</v>
      </c>
      <c r="AF24">
        <v>46157</v>
      </c>
      <c r="AG24" t="s">
        <v>85</v>
      </c>
      <c r="AH24">
        <v>42</v>
      </c>
    </row>
    <row r="25" spans="2:34" x14ac:dyDescent="0.3">
      <c r="B25" t="s">
        <v>79</v>
      </c>
      <c r="C25">
        <v>0</v>
      </c>
      <c r="D25">
        <v>0</v>
      </c>
      <c r="E25">
        <v>0</v>
      </c>
      <c r="F25">
        <v>30</v>
      </c>
      <c r="G25">
        <v>30</v>
      </c>
      <c r="H25">
        <v>25</v>
      </c>
      <c r="I25">
        <v>13</v>
      </c>
      <c r="J25">
        <v>20</v>
      </c>
      <c r="K25">
        <v>41</v>
      </c>
      <c r="L25">
        <v>24</v>
      </c>
      <c r="M25">
        <v>23</v>
      </c>
      <c r="N25">
        <v>21</v>
      </c>
      <c r="O25">
        <v>18</v>
      </c>
      <c r="P25">
        <v>20</v>
      </c>
      <c r="Q25">
        <v>24</v>
      </c>
      <c r="R25">
        <v>24</v>
      </c>
      <c r="S25">
        <v>24</v>
      </c>
      <c r="T25">
        <v>19</v>
      </c>
      <c r="U25">
        <v>0</v>
      </c>
      <c r="V25">
        <v>30</v>
      </c>
      <c r="W25">
        <v>0</v>
      </c>
      <c r="X25">
        <v>386</v>
      </c>
      <c r="Y25">
        <v>36</v>
      </c>
      <c r="AA25">
        <v>23</v>
      </c>
      <c r="AB25">
        <v>20012</v>
      </c>
      <c r="AC25" t="s">
        <v>140</v>
      </c>
      <c r="AD25">
        <v>46199</v>
      </c>
      <c r="AE25">
        <v>173</v>
      </c>
      <c r="AF25">
        <v>46129</v>
      </c>
      <c r="AG25" t="s">
        <v>85</v>
      </c>
      <c r="AH25">
        <v>70</v>
      </c>
    </row>
    <row r="26" spans="2:34" x14ac:dyDescent="0.3">
      <c r="AA26">
        <v>24</v>
      </c>
      <c r="AB26">
        <v>31923</v>
      </c>
      <c r="AC26" t="s">
        <v>141</v>
      </c>
      <c r="AD26">
        <v>46203</v>
      </c>
      <c r="AE26">
        <v>714.78</v>
      </c>
      <c r="AF26">
        <v>46147</v>
      </c>
      <c r="AG26" t="s">
        <v>85</v>
      </c>
      <c r="AH26">
        <v>56</v>
      </c>
    </row>
    <row r="27" spans="2:34" x14ac:dyDescent="0.3">
      <c r="AA27">
        <v>25</v>
      </c>
      <c r="AB27">
        <v>41105</v>
      </c>
      <c r="AC27" t="s">
        <v>142</v>
      </c>
      <c r="AD27">
        <v>46203</v>
      </c>
      <c r="AE27">
        <v>1058</v>
      </c>
      <c r="AF27">
        <v>46141</v>
      </c>
      <c r="AG27" t="s">
        <v>85</v>
      </c>
      <c r="AH27">
        <v>62</v>
      </c>
    </row>
    <row r="28" spans="2:34" x14ac:dyDescent="0.3">
      <c r="AA28">
        <v>26</v>
      </c>
      <c r="AB28">
        <v>37503</v>
      </c>
      <c r="AC28" t="s">
        <v>143</v>
      </c>
      <c r="AD28">
        <v>46203</v>
      </c>
      <c r="AE28">
        <v>943.5</v>
      </c>
      <c r="AF28">
        <v>46156</v>
      </c>
      <c r="AG28" t="s">
        <v>96</v>
      </c>
      <c r="AH28">
        <v>47</v>
      </c>
    </row>
    <row r="29" spans="2:34" x14ac:dyDescent="0.3">
      <c r="AA29">
        <v>27</v>
      </c>
      <c r="AB29">
        <v>38526</v>
      </c>
      <c r="AC29" t="s">
        <v>144</v>
      </c>
      <c r="AD29">
        <v>46029</v>
      </c>
      <c r="AE29">
        <v>187.85</v>
      </c>
      <c r="AF29">
        <v>46239</v>
      </c>
      <c r="AG29" t="s">
        <v>145</v>
      </c>
      <c r="AH29">
        <v>54</v>
      </c>
    </row>
    <row r="30" spans="2:34" x14ac:dyDescent="0.3">
      <c r="AE30">
        <v>19384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H25"/>
  <sheetViews>
    <sheetView workbookViewId="0"/>
  </sheetViews>
  <sheetFormatPr defaultRowHeight="14.4" x14ac:dyDescent="0.3"/>
  <sheetData>
    <row r="2" spans="2:34" x14ac:dyDescent="0.3">
      <c r="C2" t="s">
        <v>36</v>
      </c>
      <c r="G2" t="s">
        <v>37</v>
      </c>
      <c r="L2" t="s">
        <v>38</v>
      </c>
      <c r="Q2" t="s">
        <v>39</v>
      </c>
      <c r="V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</row>
    <row r="3" spans="2:34" x14ac:dyDescent="0.3">
      <c r="C3">
        <v>1</v>
      </c>
      <c r="D3">
        <v>2</v>
      </c>
      <c r="E3">
        <v>3</v>
      </c>
      <c r="F3">
        <v>5</v>
      </c>
      <c r="G3">
        <v>8</v>
      </c>
      <c r="H3">
        <v>9</v>
      </c>
      <c r="I3">
        <v>10</v>
      </c>
      <c r="J3">
        <v>11</v>
      </c>
      <c r="K3">
        <v>12</v>
      </c>
      <c r="L3">
        <v>15</v>
      </c>
      <c r="M3">
        <v>16</v>
      </c>
      <c r="N3">
        <v>17</v>
      </c>
      <c r="O3">
        <v>18</v>
      </c>
      <c r="P3">
        <v>19</v>
      </c>
      <c r="Q3">
        <v>22</v>
      </c>
      <c r="R3">
        <v>23</v>
      </c>
      <c r="S3">
        <v>24</v>
      </c>
      <c r="T3">
        <v>25</v>
      </c>
      <c r="U3">
        <v>26</v>
      </c>
      <c r="V3">
        <v>29</v>
      </c>
      <c r="W3">
        <v>30</v>
      </c>
      <c r="AA3">
        <v>1</v>
      </c>
      <c r="AB3">
        <v>40650</v>
      </c>
      <c r="AC3" t="s">
        <v>146</v>
      </c>
      <c r="AD3">
        <v>46028</v>
      </c>
      <c r="AE3">
        <v>343.01</v>
      </c>
      <c r="AF3">
        <v>46126</v>
      </c>
      <c r="AG3" t="s">
        <v>10</v>
      </c>
      <c r="AH3">
        <v>48</v>
      </c>
    </row>
    <row r="4" spans="2:34" x14ac:dyDescent="0.3">
      <c r="B4" t="s">
        <v>51</v>
      </c>
      <c r="C4" t="s">
        <v>52</v>
      </c>
      <c r="D4" t="s">
        <v>53</v>
      </c>
      <c r="E4" t="s">
        <v>54</v>
      </c>
      <c r="F4" t="s">
        <v>54</v>
      </c>
      <c r="G4" t="s">
        <v>52</v>
      </c>
      <c r="H4" t="s">
        <v>52</v>
      </c>
      <c r="I4" t="s">
        <v>53</v>
      </c>
      <c r="J4" t="s">
        <v>54</v>
      </c>
      <c r="K4" t="s">
        <v>54</v>
      </c>
      <c r="L4" t="s">
        <v>52</v>
      </c>
      <c r="M4" t="s">
        <v>52</v>
      </c>
      <c r="N4" t="s">
        <v>53</v>
      </c>
      <c r="O4" t="s">
        <v>54</v>
      </c>
      <c r="P4" t="s">
        <v>54</v>
      </c>
      <c r="Q4" t="s">
        <v>52</v>
      </c>
      <c r="R4" t="s">
        <v>52</v>
      </c>
      <c r="S4" t="s">
        <v>53</v>
      </c>
      <c r="T4" t="s">
        <v>54</v>
      </c>
      <c r="U4" t="s">
        <v>54</v>
      </c>
      <c r="V4" t="s">
        <v>52</v>
      </c>
      <c r="W4" t="s">
        <v>52</v>
      </c>
      <c r="X4" t="s">
        <v>11</v>
      </c>
      <c r="AA4">
        <v>2</v>
      </c>
      <c r="AB4">
        <v>43357</v>
      </c>
      <c r="AC4" t="s">
        <v>147</v>
      </c>
      <c r="AD4">
        <v>46087</v>
      </c>
      <c r="AE4">
        <v>441.99</v>
      </c>
      <c r="AF4">
        <v>46128</v>
      </c>
      <c r="AG4" t="s">
        <v>10</v>
      </c>
      <c r="AH4">
        <v>48</v>
      </c>
    </row>
    <row r="5" spans="2:34" x14ac:dyDescent="0.3">
      <c r="B5" t="s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2</v>
      </c>
      <c r="U5">
        <v>2</v>
      </c>
      <c r="V5">
        <v>2</v>
      </c>
      <c r="W5">
        <v>2</v>
      </c>
      <c r="X5">
        <v>25</v>
      </c>
      <c r="AA5">
        <v>3</v>
      </c>
      <c r="AB5">
        <v>43013</v>
      </c>
      <c r="AC5" t="s">
        <v>148</v>
      </c>
      <c r="AD5">
        <v>46148</v>
      </c>
      <c r="AE5">
        <v>533.70000000000005</v>
      </c>
      <c r="AF5">
        <v>46126</v>
      </c>
      <c r="AG5" t="s">
        <v>10</v>
      </c>
      <c r="AH5">
        <v>52</v>
      </c>
    </row>
    <row r="6" spans="2:34" x14ac:dyDescent="0.3">
      <c r="B6" t="s">
        <v>58</v>
      </c>
      <c r="C6">
        <v>1</v>
      </c>
      <c r="D6">
        <v>0</v>
      </c>
      <c r="E6">
        <v>1</v>
      </c>
      <c r="F6">
        <v>1</v>
      </c>
      <c r="G6">
        <v>0</v>
      </c>
      <c r="H6">
        <v>3</v>
      </c>
      <c r="I6">
        <v>1</v>
      </c>
      <c r="J6">
        <v>2</v>
      </c>
      <c r="K6">
        <v>1</v>
      </c>
      <c r="L6">
        <v>1</v>
      </c>
      <c r="M6">
        <v>1</v>
      </c>
      <c r="N6">
        <v>0</v>
      </c>
      <c r="O6">
        <v>2</v>
      </c>
      <c r="P6">
        <v>2</v>
      </c>
      <c r="Q6">
        <v>0</v>
      </c>
      <c r="R6">
        <v>0</v>
      </c>
      <c r="S6">
        <v>0</v>
      </c>
      <c r="T6">
        <v>1</v>
      </c>
      <c r="U6">
        <v>1</v>
      </c>
      <c r="W6">
        <v>2</v>
      </c>
      <c r="X6">
        <v>20</v>
      </c>
      <c r="Y6">
        <v>-5</v>
      </c>
      <c r="AA6">
        <v>4</v>
      </c>
      <c r="AB6">
        <v>38936</v>
      </c>
      <c r="AC6" t="s">
        <v>149</v>
      </c>
      <c r="AD6">
        <v>46271</v>
      </c>
      <c r="AE6">
        <v>179.85</v>
      </c>
      <c r="AF6">
        <v>46133</v>
      </c>
      <c r="AG6" t="s">
        <v>150</v>
      </c>
      <c r="AH6">
        <v>49</v>
      </c>
    </row>
    <row r="7" spans="2:34" x14ac:dyDescent="0.3">
      <c r="AA7">
        <v>5</v>
      </c>
      <c r="AB7">
        <v>7546</v>
      </c>
      <c r="AC7" t="s">
        <v>151</v>
      </c>
      <c r="AD7">
        <v>46271</v>
      </c>
      <c r="AE7">
        <v>369.95</v>
      </c>
      <c r="AF7">
        <v>46135</v>
      </c>
      <c r="AG7" t="s">
        <v>10</v>
      </c>
      <c r="AH7">
        <v>47</v>
      </c>
    </row>
    <row r="8" spans="2:34" x14ac:dyDescent="0.3">
      <c r="AA8">
        <v>6</v>
      </c>
      <c r="AB8">
        <v>34899</v>
      </c>
      <c r="AC8" t="s">
        <v>152</v>
      </c>
      <c r="AD8">
        <v>46271</v>
      </c>
      <c r="AE8">
        <v>363.95</v>
      </c>
      <c r="AF8">
        <v>46071</v>
      </c>
      <c r="AG8" t="s">
        <v>10</v>
      </c>
      <c r="AH8">
        <v>111</v>
      </c>
    </row>
    <row r="9" spans="2:34" x14ac:dyDescent="0.3">
      <c r="B9" t="s">
        <v>64</v>
      </c>
      <c r="C9">
        <v>1</v>
      </c>
      <c r="D9">
        <v>2</v>
      </c>
      <c r="E9">
        <v>3</v>
      </c>
      <c r="F9">
        <v>5</v>
      </c>
      <c r="G9">
        <v>8</v>
      </c>
      <c r="H9">
        <v>9</v>
      </c>
      <c r="I9">
        <v>10</v>
      </c>
      <c r="J9">
        <v>11</v>
      </c>
      <c r="K9">
        <v>12</v>
      </c>
      <c r="L9">
        <v>15</v>
      </c>
      <c r="M9">
        <v>16</v>
      </c>
      <c r="N9">
        <v>17</v>
      </c>
      <c r="O9">
        <v>18</v>
      </c>
      <c r="P9">
        <v>19</v>
      </c>
      <c r="Q9">
        <v>22</v>
      </c>
      <c r="R9">
        <v>23</v>
      </c>
      <c r="S9">
        <v>24</v>
      </c>
      <c r="T9">
        <v>25</v>
      </c>
      <c r="U9">
        <v>26</v>
      </c>
      <c r="V9">
        <v>29</v>
      </c>
      <c r="W9">
        <v>30</v>
      </c>
      <c r="AA9">
        <v>7</v>
      </c>
      <c r="AB9">
        <v>25124</v>
      </c>
      <c r="AC9" t="s">
        <v>153</v>
      </c>
      <c r="AD9">
        <v>46301</v>
      </c>
      <c r="AE9">
        <v>349.55</v>
      </c>
      <c r="AF9">
        <v>46134</v>
      </c>
      <c r="AG9" t="s">
        <v>10</v>
      </c>
      <c r="AH9">
        <v>49</v>
      </c>
    </row>
    <row r="10" spans="2:34" x14ac:dyDescent="0.3">
      <c r="B10" t="s">
        <v>16</v>
      </c>
      <c r="C10">
        <v>15</v>
      </c>
      <c r="E10">
        <v>8</v>
      </c>
      <c r="F10">
        <v>9</v>
      </c>
      <c r="G10">
        <v>5</v>
      </c>
      <c r="H10">
        <v>7</v>
      </c>
      <c r="I10">
        <v>7</v>
      </c>
      <c r="J10">
        <v>8</v>
      </c>
      <c r="L10">
        <v>1</v>
      </c>
      <c r="M10">
        <v>13</v>
      </c>
      <c r="N10">
        <v>13</v>
      </c>
      <c r="P10">
        <v>14</v>
      </c>
      <c r="Q10">
        <v>13</v>
      </c>
      <c r="R10">
        <v>5</v>
      </c>
      <c r="S10">
        <v>7</v>
      </c>
      <c r="T10">
        <v>7</v>
      </c>
      <c r="U10">
        <v>13</v>
      </c>
      <c r="V10">
        <v>6</v>
      </c>
      <c r="AA10">
        <v>8</v>
      </c>
      <c r="AB10">
        <v>25071</v>
      </c>
      <c r="AC10" t="s">
        <v>154</v>
      </c>
      <c r="AD10">
        <v>46332</v>
      </c>
      <c r="AE10">
        <v>211.05</v>
      </c>
      <c r="AF10">
        <v>46269</v>
      </c>
      <c r="AG10" t="s">
        <v>10</v>
      </c>
      <c r="AH10">
        <v>63</v>
      </c>
    </row>
    <row r="11" spans="2:34" x14ac:dyDescent="0.3">
      <c r="B11" t="s">
        <v>17</v>
      </c>
      <c r="C11">
        <v>4</v>
      </c>
      <c r="E11">
        <v>4</v>
      </c>
      <c r="F11">
        <v>2</v>
      </c>
      <c r="G11">
        <v>2</v>
      </c>
      <c r="H11">
        <v>4</v>
      </c>
      <c r="I11">
        <v>4</v>
      </c>
      <c r="J11">
        <v>4</v>
      </c>
      <c r="L11">
        <v>3</v>
      </c>
      <c r="M11">
        <v>3</v>
      </c>
      <c r="N11">
        <v>3</v>
      </c>
      <c r="P11">
        <v>3</v>
      </c>
      <c r="Q11">
        <v>4</v>
      </c>
      <c r="R11">
        <v>1</v>
      </c>
      <c r="S11">
        <v>2</v>
      </c>
      <c r="T11">
        <v>2</v>
      </c>
      <c r="U11">
        <v>2</v>
      </c>
      <c r="V11">
        <v>8</v>
      </c>
      <c r="AA11">
        <v>9</v>
      </c>
      <c r="AB11">
        <v>40561</v>
      </c>
      <c r="AC11" t="s">
        <v>155</v>
      </c>
      <c r="AD11">
        <v>46332</v>
      </c>
      <c r="AE11">
        <v>7224.1</v>
      </c>
      <c r="AF11">
        <v>46079</v>
      </c>
      <c r="AG11" t="s">
        <v>10</v>
      </c>
      <c r="AH11">
        <v>105</v>
      </c>
    </row>
    <row r="12" spans="2:34" x14ac:dyDescent="0.3">
      <c r="B12" t="s">
        <v>18</v>
      </c>
      <c r="C12">
        <v>4</v>
      </c>
      <c r="E12">
        <v>4</v>
      </c>
      <c r="F12">
        <v>2</v>
      </c>
      <c r="G12">
        <v>2</v>
      </c>
      <c r="H12">
        <v>3</v>
      </c>
      <c r="I12">
        <v>3</v>
      </c>
      <c r="J12">
        <v>3</v>
      </c>
      <c r="L12">
        <v>2</v>
      </c>
      <c r="M12">
        <v>2</v>
      </c>
      <c r="N12">
        <v>3</v>
      </c>
      <c r="P12">
        <v>2</v>
      </c>
      <c r="Q12">
        <v>3</v>
      </c>
      <c r="R12">
        <v>1</v>
      </c>
      <c r="S12">
        <v>3</v>
      </c>
      <c r="T12">
        <v>2</v>
      </c>
      <c r="U12">
        <v>2</v>
      </c>
      <c r="V12">
        <v>3</v>
      </c>
      <c r="AA12">
        <v>10</v>
      </c>
      <c r="AB12">
        <v>44255</v>
      </c>
      <c r="AC12" t="s">
        <v>156</v>
      </c>
      <c r="AD12">
        <v>46362</v>
      </c>
      <c r="AE12">
        <v>380.76</v>
      </c>
      <c r="AF12">
        <v>46128</v>
      </c>
      <c r="AG12" t="s">
        <v>157</v>
      </c>
      <c r="AH12">
        <v>57</v>
      </c>
    </row>
    <row r="13" spans="2:34" x14ac:dyDescent="0.3">
      <c r="B13" t="s">
        <v>19</v>
      </c>
      <c r="C13">
        <v>1</v>
      </c>
      <c r="E13">
        <v>1</v>
      </c>
      <c r="F13">
        <v>4</v>
      </c>
      <c r="G13">
        <v>4</v>
      </c>
      <c r="H13">
        <v>1</v>
      </c>
      <c r="I13">
        <v>1</v>
      </c>
      <c r="J13">
        <v>0</v>
      </c>
      <c r="L13">
        <v>2</v>
      </c>
      <c r="M13">
        <v>2</v>
      </c>
      <c r="N13">
        <v>0</v>
      </c>
      <c r="P13">
        <v>0</v>
      </c>
      <c r="Q13">
        <v>0</v>
      </c>
      <c r="R13">
        <v>0</v>
      </c>
      <c r="S13">
        <v>1</v>
      </c>
      <c r="T13">
        <v>2</v>
      </c>
      <c r="U13">
        <v>2</v>
      </c>
      <c r="V13">
        <v>1</v>
      </c>
      <c r="AA13">
        <v>11</v>
      </c>
      <c r="AB13">
        <v>44062</v>
      </c>
      <c r="AC13" t="s">
        <v>158</v>
      </c>
      <c r="AD13">
        <v>46188</v>
      </c>
      <c r="AE13">
        <v>275.35000000000002</v>
      </c>
      <c r="AF13">
        <v>46139</v>
      </c>
      <c r="AG13" t="s">
        <v>10</v>
      </c>
      <c r="AH13">
        <v>49</v>
      </c>
    </row>
    <row r="14" spans="2:34" x14ac:dyDescent="0.3">
      <c r="B14" t="s">
        <v>21</v>
      </c>
      <c r="C14">
        <v>131</v>
      </c>
      <c r="E14">
        <v>130</v>
      </c>
      <c r="F14">
        <v>130</v>
      </c>
      <c r="G14">
        <v>132</v>
      </c>
      <c r="H14">
        <v>135</v>
      </c>
      <c r="I14">
        <v>135</v>
      </c>
      <c r="J14">
        <v>135</v>
      </c>
      <c r="L14">
        <v>136</v>
      </c>
      <c r="M14">
        <v>144</v>
      </c>
      <c r="N14">
        <v>142</v>
      </c>
      <c r="P14">
        <v>139</v>
      </c>
      <c r="Q14">
        <v>138</v>
      </c>
      <c r="R14">
        <v>137</v>
      </c>
      <c r="S14">
        <v>145</v>
      </c>
      <c r="T14">
        <v>136</v>
      </c>
      <c r="U14">
        <v>136</v>
      </c>
      <c r="V14">
        <v>128</v>
      </c>
      <c r="AA14">
        <v>12</v>
      </c>
      <c r="AB14">
        <v>38812</v>
      </c>
      <c r="AC14" t="s">
        <v>159</v>
      </c>
      <c r="AD14">
        <v>46189</v>
      </c>
      <c r="AE14">
        <v>238.95</v>
      </c>
      <c r="AF14">
        <v>46057</v>
      </c>
      <c r="AG14" t="s">
        <v>10</v>
      </c>
      <c r="AH14">
        <v>75</v>
      </c>
    </row>
    <row r="15" spans="2:34" x14ac:dyDescent="0.3">
      <c r="B15" t="s">
        <v>72</v>
      </c>
      <c r="C15">
        <v>49</v>
      </c>
      <c r="E15">
        <v>48</v>
      </c>
      <c r="F15">
        <v>46</v>
      </c>
      <c r="G15">
        <v>47</v>
      </c>
      <c r="H15">
        <v>52</v>
      </c>
      <c r="I15">
        <v>52</v>
      </c>
      <c r="J15">
        <v>51</v>
      </c>
      <c r="L15">
        <v>53</v>
      </c>
      <c r="M15">
        <v>55</v>
      </c>
      <c r="N15">
        <v>56</v>
      </c>
      <c r="P15">
        <v>56</v>
      </c>
      <c r="Q15">
        <v>56</v>
      </c>
      <c r="R15">
        <v>58</v>
      </c>
      <c r="S15">
        <v>58</v>
      </c>
      <c r="T15">
        <v>61</v>
      </c>
      <c r="U15">
        <v>63</v>
      </c>
      <c r="V15">
        <v>69</v>
      </c>
      <c r="AA15">
        <v>13</v>
      </c>
      <c r="AB15">
        <v>39732</v>
      </c>
      <c r="AC15" t="s">
        <v>160</v>
      </c>
      <c r="AD15">
        <v>46191</v>
      </c>
      <c r="AE15">
        <v>221.45</v>
      </c>
      <c r="AF15">
        <v>46106</v>
      </c>
      <c r="AG15" t="s">
        <v>161</v>
      </c>
      <c r="AH15">
        <v>85</v>
      </c>
    </row>
    <row r="16" spans="2:34" x14ac:dyDescent="0.3">
      <c r="B16" t="s">
        <v>23</v>
      </c>
      <c r="C16">
        <v>0</v>
      </c>
      <c r="E16">
        <v>1</v>
      </c>
      <c r="F16">
        <v>2</v>
      </c>
      <c r="G16">
        <v>2</v>
      </c>
      <c r="H16">
        <v>3</v>
      </c>
      <c r="I16">
        <v>3</v>
      </c>
      <c r="J16">
        <v>3</v>
      </c>
      <c r="L16">
        <v>3</v>
      </c>
      <c r="M16">
        <v>3</v>
      </c>
      <c r="N16">
        <v>3</v>
      </c>
      <c r="P16">
        <v>3</v>
      </c>
      <c r="Q16">
        <v>3</v>
      </c>
      <c r="R16">
        <v>4</v>
      </c>
      <c r="S16">
        <v>5</v>
      </c>
      <c r="T16">
        <v>6</v>
      </c>
      <c r="U16">
        <v>7</v>
      </c>
      <c r="V16">
        <v>7</v>
      </c>
      <c r="AA16">
        <v>14</v>
      </c>
      <c r="AB16">
        <v>35511</v>
      </c>
      <c r="AC16" t="s">
        <v>162</v>
      </c>
      <c r="AD16">
        <v>46191</v>
      </c>
      <c r="AE16">
        <v>413.4</v>
      </c>
      <c r="AF16">
        <v>46269</v>
      </c>
      <c r="AG16" t="s">
        <v>10</v>
      </c>
      <c r="AH16">
        <v>70</v>
      </c>
    </row>
    <row r="17" spans="2:34" x14ac:dyDescent="0.3">
      <c r="B17" t="s">
        <v>25</v>
      </c>
      <c r="C17">
        <v>0</v>
      </c>
      <c r="E17">
        <v>6</v>
      </c>
      <c r="F17">
        <v>6</v>
      </c>
      <c r="G17">
        <v>6</v>
      </c>
      <c r="H17">
        <v>7</v>
      </c>
      <c r="I17">
        <v>7</v>
      </c>
      <c r="J17">
        <v>7</v>
      </c>
      <c r="L17">
        <v>7</v>
      </c>
      <c r="M17">
        <v>8</v>
      </c>
      <c r="N17">
        <v>8</v>
      </c>
      <c r="P17">
        <v>8</v>
      </c>
      <c r="Q17">
        <v>8</v>
      </c>
      <c r="R17">
        <v>8</v>
      </c>
      <c r="S17">
        <v>8</v>
      </c>
      <c r="T17">
        <v>8</v>
      </c>
      <c r="U17">
        <v>9</v>
      </c>
      <c r="V17">
        <v>10</v>
      </c>
      <c r="AA17">
        <v>15</v>
      </c>
      <c r="AB17">
        <v>29827</v>
      </c>
      <c r="AC17" t="s">
        <v>163</v>
      </c>
      <c r="AD17">
        <v>46192</v>
      </c>
      <c r="AE17">
        <v>265.14999999999998</v>
      </c>
      <c r="AF17">
        <v>46135</v>
      </c>
      <c r="AG17" t="s">
        <v>10</v>
      </c>
      <c r="AH17">
        <v>57</v>
      </c>
    </row>
    <row r="18" spans="2:34" x14ac:dyDescent="0.3">
      <c r="B18" t="s">
        <v>26</v>
      </c>
      <c r="C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L18">
        <v>3</v>
      </c>
      <c r="M18">
        <v>5</v>
      </c>
      <c r="N18">
        <v>6</v>
      </c>
      <c r="P18">
        <v>14</v>
      </c>
      <c r="Q18">
        <v>15</v>
      </c>
      <c r="R18">
        <v>16</v>
      </c>
      <c r="S18">
        <v>19</v>
      </c>
      <c r="T18">
        <v>23</v>
      </c>
      <c r="U18">
        <v>24</v>
      </c>
      <c r="V18">
        <v>28</v>
      </c>
      <c r="AA18">
        <v>16</v>
      </c>
      <c r="AB18">
        <v>32789</v>
      </c>
      <c r="AC18" t="s">
        <v>164</v>
      </c>
      <c r="AD18">
        <v>46192</v>
      </c>
      <c r="AE18">
        <v>501.46</v>
      </c>
      <c r="AF18">
        <v>46107</v>
      </c>
      <c r="AG18" t="s">
        <v>10</v>
      </c>
      <c r="AH18">
        <v>85</v>
      </c>
    </row>
    <row r="19" spans="2:34" x14ac:dyDescent="0.3">
      <c r="B19" t="s">
        <v>27</v>
      </c>
      <c r="C19">
        <v>0</v>
      </c>
      <c r="E19">
        <v>0</v>
      </c>
      <c r="F19">
        <v>0</v>
      </c>
      <c r="G19">
        <v>1</v>
      </c>
      <c r="H19">
        <v>2</v>
      </c>
      <c r="I19">
        <v>2</v>
      </c>
      <c r="J19">
        <v>2</v>
      </c>
      <c r="L19">
        <v>2</v>
      </c>
      <c r="M19">
        <v>4</v>
      </c>
      <c r="N19">
        <v>4</v>
      </c>
      <c r="P19">
        <v>5</v>
      </c>
      <c r="Q19">
        <v>5</v>
      </c>
      <c r="R19">
        <v>5</v>
      </c>
      <c r="S19">
        <v>11</v>
      </c>
      <c r="T19">
        <v>10</v>
      </c>
      <c r="U19">
        <v>9</v>
      </c>
      <c r="V19">
        <v>11</v>
      </c>
      <c r="AA19">
        <v>17</v>
      </c>
      <c r="AB19">
        <v>43804</v>
      </c>
      <c r="AC19" t="s">
        <v>165</v>
      </c>
      <c r="AD19">
        <v>46198</v>
      </c>
      <c r="AE19">
        <v>300.68</v>
      </c>
      <c r="AF19">
        <v>46128</v>
      </c>
      <c r="AG19" t="s">
        <v>10</v>
      </c>
      <c r="AH19">
        <v>70</v>
      </c>
    </row>
    <row r="20" spans="2:34" x14ac:dyDescent="0.3">
      <c r="B20" t="s">
        <v>28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>
        <v>0</v>
      </c>
      <c r="M20">
        <v>2</v>
      </c>
      <c r="N20">
        <v>2</v>
      </c>
      <c r="P20">
        <v>3</v>
      </c>
      <c r="Q20">
        <v>3</v>
      </c>
      <c r="R20">
        <v>3</v>
      </c>
      <c r="S20">
        <v>4</v>
      </c>
      <c r="T20">
        <v>4</v>
      </c>
      <c r="U20">
        <v>5</v>
      </c>
      <c r="V20">
        <v>5</v>
      </c>
      <c r="AA20">
        <v>18</v>
      </c>
      <c r="AB20">
        <v>13483</v>
      </c>
      <c r="AC20" t="s">
        <v>166</v>
      </c>
      <c r="AD20">
        <v>46199</v>
      </c>
      <c r="AE20">
        <v>179.85</v>
      </c>
      <c r="AF20">
        <v>46135</v>
      </c>
      <c r="AG20" t="s">
        <v>10</v>
      </c>
      <c r="AH20">
        <v>64</v>
      </c>
    </row>
    <row r="21" spans="2:34" x14ac:dyDescent="0.3">
      <c r="B21" t="s">
        <v>11</v>
      </c>
      <c r="C21">
        <v>204</v>
      </c>
      <c r="D21">
        <v>0</v>
      </c>
      <c r="E21">
        <v>202</v>
      </c>
      <c r="F21">
        <v>201</v>
      </c>
      <c r="G21">
        <v>200</v>
      </c>
      <c r="H21">
        <v>215</v>
      </c>
      <c r="I21">
        <v>215</v>
      </c>
      <c r="J21">
        <v>214</v>
      </c>
      <c r="K21">
        <v>0</v>
      </c>
      <c r="L21">
        <v>212</v>
      </c>
      <c r="M21">
        <v>241</v>
      </c>
      <c r="N21">
        <v>240</v>
      </c>
      <c r="O21">
        <v>0</v>
      </c>
      <c r="P21">
        <v>247</v>
      </c>
      <c r="Q21">
        <v>248</v>
      </c>
      <c r="R21">
        <v>238</v>
      </c>
      <c r="S21">
        <v>263</v>
      </c>
      <c r="T21">
        <v>261</v>
      </c>
      <c r="U21">
        <v>272</v>
      </c>
      <c r="V21">
        <v>276</v>
      </c>
      <c r="W21">
        <v>0</v>
      </c>
      <c r="AA21">
        <v>19</v>
      </c>
      <c r="AB21">
        <v>42832</v>
      </c>
      <c r="AC21" t="s">
        <v>167</v>
      </c>
      <c r="AD21">
        <v>46203</v>
      </c>
      <c r="AE21">
        <v>253.61</v>
      </c>
      <c r="AF21">
        <v>46108</v>
      </c>
      <c r="AG21" t="s">
        <v>10</v>
      </c>
      <c r="AH21">
        <v>95</v>
      </c>
    </row>
    <row r="22" spans="2:34" x14ac:dyDescent="0.3">
      <c r="AA22">
        <v>20</v>
      </c>
      <c r="AB22">
        <v>39094</v>
      </c>
      <c r="AC22" t="s">
        <v>168</v>
      </c>
      <c r="AD22">
        <v>46203</v>
      </c>
      <c r="AE22">
        <v>177.74</v>
      </c>
      <c r="AF22">
        <v>46359</v>
      </c>
      <c r="AG22" t="s">
        <v>10</v>
      </c>
      <c r="AH22">
        <v>110</v>
      </c>
    </row>
    <row r="23" spans="2:34" x14ac:dyDescent="0.3">
      <c r="B23" t="s">
        <v>78</v>
      </c>
      <c r="C23">
        <v>1</v>
      </c>
      <c r="D23">
        <v>2</v>
      </c>
      <c r="E23">
        <v>3</v>
      </c>
      <c r="F23">
        <v>5</v>
      </c>
      <c r="G23">
        <v>8</v>
      </c>
      <c r="H23">
        <v>9</v>
      </c>
      <c r="I23">
        <v>10</v>
      </c>
      <c r="J23">
        <v>11</v>
      </c>
      <c r="K23">
        <v>12</v>
      </c>
      <c r="L23">
        <v>15</v>
      </c>
      <c r="M23">
        <v>16</v>
      </c>
      <c r="N23">
        <v>17</v>
      </c>
      <c r="O23">
        <v>18</v>
      </c>
      <c r="P23">
        <v>19</v>
      </c>
      <c r="Q23">
        <v>22</v>
      </c>
      <c r="R23">
        <v>23</v>
      </c>
      <c r="S23">
        <v>24</v>
      </c>
      <c r="T23">
        <v>25</v>
      </c>
      <c r="U23">
        <v>26</v>
      </c>
      <c r="V23">
        <v>29</v>
      </c>
      <c r="W23">
        <v>30</v>
      </c>
      <c r="X23" t="s">
        <v>11</v>
      </c>
    </row>
    <row r="24" spans="2:34" x14ac:dyDescent="0.3">
      <c r="B24" t="s">
        <v>2</v>
      </c>
      <c r="C24">
        <v>17</v>
      </c>
      <c r="D24">
        <v>17</v>
      </c>
      <c r="E24">
        <v>17</v>
      </c>
      <c r="F24">
        <v>17</v>
      </c>
      <c r="G24">
        <v>17</v>
      </c>
      <c r="H24">
        <v>17</v>
      </c>
      <c r="I24">
        <v>17</v>
      </c>
      <c r="J24">
        <v>17</v>
      </c>
      <c r="K24">
        <v>17</v>
      </c>
      <c r="L24">
        <v>17</v>
      </c>
      <c r="M24">
        <v>17</v>
      </c>
      <c r="N24">
        <v>17</v>
      </c>
      <c r="O24">
        <v>17</v>
      </c>
      <c r="P24">
        <v>17</v>
      </c>
      <c r="Q24">
        <v>17</v>
      </c>
      <c r="R24">
        <v>17</v>
      </c>
      <c r="S24">
        <v>17</v>
      </c>
      <c r="T24">
        <v>16</v>
      </c>
      <c r="U24">
        <v>15</v>
      </c>
      <c r="V24">
        <v>15</v>
      </c>
      <c r="W24">
        <v>15</v>
      </c>
      <c r="X24">
        <v>350</v>
      </c>
    </row>
    <row r="25" spans="2:34" x14ac:dyDescent="0.3">
      <c r="B25" t="s">
        <v>79</v>
      </c>
      <c r="C25">
        <v>12</v>
      </c>
      <c r="D25">
        <v>8</v>
      </c>
      <c r="E25">
        <v>10</v>
      </c>
      <c r="F25">
        <v>7</v>
      </c>
      <c r="G25">
        <v>13</v>
      </c>
      <c r="H25">
        <v>2</v>
      </c>
      <c r="I25">
        <v>0</v>
      </c>
      <c r="J25">
        <v>3</v>
      </c>
      <c r="K25">
        <v>12</v>
      </c>
      <c r="L25">
        <v>15</v>
      </c>
      <c r="M25">
        <v>24</v>
      </c>
      <c r="N25">
        <v>6</v>
      </c>
      <c r="O25">
        <v>11</v>
      </c>
      <c r="P25">
        <v>12</v>
      </c>
      <c r="Q25">
        <v>18</v>
      </c>
      <c r="R25">
        <v>11</v>
      </c>
      <c r="S25">
        <v>23</v>
      </c>
      <c r="T25">
        <v>34</v>
      </c>
      <c r="U25">
        <v>34</v>
      </c>
      <c r="V25">
        <v>10</v>
      </c>
      <c r="W25">
        <v>28</v>
      </c>
      <c r="X25">
        <v>293</v>
      </c>
      <c r="Y25">
        <v>-57</v>
      </c>
      <c r="AE25">
        <v>13225.55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X38"/>
  <sheetViews>
    <sheetView workbookViewId="0"/>
  </sheetViews>
  <sheetFormatPr defaultRowHeight="14.4" x14ac:dyDescent="0.3"/>
  <sheetData>
    <row r="2" spans="1:50" x14ac:dyDescent="0.3">
      <c r="A2" t="s">
        <v>0</v>
      </c>
      <c r="E2">
        <v>1</v>
      </c>
      <c r="G2">
        <v>2</v>
      </c>
      <c r="I2">
        <v>3</v>
      </c>
      <c r="K2">
        <v>6</v>
      </c>
      <c r="M2">
        <v>7</v>
      </c>
      <c r="O2">
        <v>8</v>
      </c>
      <c r="Q2">
        <v>9</v>
      </c>
      <c r="S2">
        <v>10</v>
      </c>
      <c r="U2">
        <v>13</v>
      </c>
      <c r="W2">
        <v>14</v>
      </c>
      <c r="Y2">
        <v>15</v>
      </c>
      <c r="AA2">
        <v>16</v>
      </c>
      <c r="AC2">
        <v>17</v>
      </c>
      <c r="AE2">
        <v>20</v>
      </c>
      <c r="AG2">
        <v>21</v>
      </c>
      <c r="AI2">
        <v>22</v>
      </c>
      <c r="AK2">
        <v>23</v>
      </c>
      <c r="AM2">
        <v>24</v>
      </c>
      <c r="AO2">
        <v>27</v>
      </c>
      <c r="AQ2">
        <v>28</v>
      </c>
      <c r="AS2">
        <v>29</v>
      </c>
      <c r="AU2">
        <v>30</v>
      </c>
      <c r="AW2">
        <v>31</v>
      </c>
    </row>
    <row r="3" spans="1:50" x14ac:dyDescent="0.3">
      <c r="A3" t="s">
        <v>1</v>
      </c>
      <c r="B3" t="s">
        <v>2</v>
      </c>
      <c r="C3" t="s">
        <v>3</v>
      </c>
      <c r="D3" t="s">
        <v>4</v>
      </c>
      <c r="E3" t="s">
        <v>2</v>
      </c>
      <c r="F3" t="s">
        <v>5</v>
      </c>
      <c r="G3" t="s">
        <v>2</v>
      </c>
      <c r="H3" t="s">
        <v>5</v>
      </c>
      <c r="I3" t="s">
        <v>2</v>
      </c>
      <c r="J3" t="s">
        <v>5</v>
      </c>
      <c r="K3" t="s">
        <v>2</v>
      </c>
      <c r="L3" t="s">
        <v>5</v>
      </c>
      <c r="M3" t="s">
        <v>2</v>
      </c>
      <c r="N3" t="s">
        <v>5</v>
      </c>
      <c r="O3" t="s">
        <v>2</v>
      </c>
      <c r="P3" t="s">
        <v>5</v>
      </c>
      <c r="Q3" t="s">
        <v>2</v>
      </c>
      <c r="R3" t="s">
        <v>5</v>
      </c>
      <c r="S3" t="s">
        <v>2</v>
      </c>
      <c r="T3" t="s">
        <v>5</v>
      </c>
      <c r="U3" t="s">
        <v>2</v>
      </c>
      <c r="V3" t="s">
        <v>5</v>
      </c>
      <c r="W3" t="s">
        <v>2</v>
      </c>
      <c r="X3" t="s">
        <v>5</v>
      </c>
      <c r="Y3" t="s">
        <v>2</v>
      </c>
      <c r="Z3" t="s">
        <v>5</v>
      </c>
      <c r="AA3" t="s">
        <v>2</v>
      </c>
      <c r="AB3" t="s">
        <v>5</v>
      </c>
      <c r="AC3" t="s">
        <v>2</v>
      </c>
      <c r="AD3" t="s">
        <v>5</v>
      </c>
      <c r="AE3" t="s">
        <v>2</v>
      </c>
      <c r="AF3" t="s">
        <v>5</v>
      </c>
      <c r="AG3" t="s">
        <v>2</v>
      </c>
      <c r="AH3" t="s">
        <v>5</v>
      </c>
      <c r="AI3" t="s">
        <v>2</v>
      </c>
      <c r="AJ3" t="s">
        <v>5</v>
      </c>
      <c r="AK3" t="s">
        <v>2</v>
      </c>
      <c r="AL3" t="s">
        <v>5</v>
      </c>
      <c r="AM3" t="s">
        <v>2</v>
      </c>
      <c r="AN3" t="s">
        <v>5</v>
      </c>
      <c r="AO3" t="s">
        <v>2</v>
      </c>
      <c r="AP3" t="s">
        <v>5</v>
      </c>
      <c r="AQ3" t="s">
        <v>2</v>
      </c>
      <c r="AR3" t="s">
        <v>5</v>
      </c>
      <c r="AS3" t="s">
        <v>2</v>
      </c>
      <c r="AT3" t="s">
        <v>5</v>
      </c>
      <c r="AU3" t="s">
        <v>2</v>
      </c>
      <c r="AV3" t="s">
        <v>5</v>
      </c>
      <c r="AW3" t="s">
        <v>2</v>
      </c>
      <c r="AX3" t="s">
        <v>5</v>
      </c>
    </row>
    <row r="4" spans="1:50" x14ac:dyDescent="0.3">
      <c r="A4" t="s">
        <v>169</v>
      </c>
      <c r="B4">
        <v>42</v>
      </c>
      <c r="C4">
        <v>5</v>
      </c>
      <c r="D4">
        <v>0.12</v>
      </c>
      <c r="E4">
        <v>2</v>
      </c>
      <c r="F4">
        <v>1</v>
      </c>
      <c r="G4">
        <v>2</v>
      </c>
      <c r="H4">
        <v>0</v>
      </c>
      <c r="I4">
        <v>2</v>
      </c>
      <c r="J4">
        <v>0</v>
      </c>
      <c r="K4">
        <v>2</v>
      </c>
      <c r="L4">
        <v>0</v>
      </c>
      <c r="M4">
        <v>2</v>
      </c>
      <c r="N4">
        <v>2</v>
      </c>
      <c r="O4">
        <v>2</v>
      </c>
      <c r="P4">
        <v>0</v>
      </c>
      <c r="Q4">
        <v>2</v>
      </c>
      <c r="R4">
        <v>1</v>
      </c>
      <c r="S4">
        <v>2</v>
      </c>
      <c r="T4">
        <v>0</v>
      </c>
      <c r="U4">
        <v>2</v>
      </c>
      <c r="V4">
        <v>0</v>
      </c>
      <c r="W4">
        <v>2</v>
      </c>
      <c r="X4">
        <v>1</v>
      </c>
      <c r="Y4">
        <v>2</v>
      </c>
      <c r="Z4">
        <v>0</v>
      </c>
      <c r="AA4">
        <v>2</v>
      </c>
      <c r="AB4">
        <v>0</v>
      </c>
      <c r="AC4">
        <v>2</v>
      </c>
      <c r="AD4">
        <v>0</v>
      </c>
      <c r="AE4">
        <v>2</v>
      </c>
      <c r="AF4">
        <v>0</v>
      </c>
      <c r="AG4">
        <v>2</v>
      </c>
      <c r="AH4">
        <v>0</v>
      </c>
      <c r="AI4">
        <v>2</v>
      </c>
      <c r="AK4">
        <v>2</v>
      </c>
      <c r="AM4">
        <v>2</v>
      </c>
      <c r="AO4">
        <v>2</v>
      </c>
      <c r="AQ4">
        <v>1</v>
      </c>
      <c r="AS4">
        <v>1</v>
      </c>
      <c r="AU4">
        <v>1</v>
      </c>
      <c r="AW4">
        <v>1</v>
      </c>
    </row>
    <row r="5" spans="1:50" x14ac:dyDescent="0.3">
      <c r="A5" t="s">
        <v>170</v>
      </c>
      <c r="B5">
        <v>43</v>
      </c>
      <c r="C5">
        <v>16</v>
      </c>
      <c r="D5">
        <v>0.37</v>
      </c>
      <c r="E5">
        <v>2</v>
      </c>
      <c r="F5">
        <v>1</v>
      </c>
      <c r="G5">
        <v>2</v>
      </c>
      <c r="H5">
        <v>0</v>
      </c>
      <c r="I5">
        <v>2</v>
      </c>
      <c r="J5">
        <v>2</v>
      </c>
      <c r="K5">
        <v>2</v>
      </c>
      <c r="L5">
        <v>0</v>
      </c>
      <c r="M5">
        <v>2</v>
      </c>
      <c r="N5">
        <v>1</v>
      </c>
      <c r="O5">
        <v>2</v>
      </c>
      <c r="P5">
        <v>2</v>
      </c>
      <c r="Q5">
        <v>2</v>
      </c>
      <c r="R5">
        <v>1</v>
      </c>
      <c r="S5">
        <v>2</v>
      </c>
      <c r="T5">
        <v>3</v>
      </c>
      <c r="U5">
        <v>2</v>
      </c>
      <c r="V5">
        <v>1</v>
      </c>
      <c r="W5">
        <v>2</v>
      </c>
      <c r="X5">
        <v>0</v>
      </c>
      <c r="Y5">
        <v>2</v>
      </c>
      <c r="Z5">
        <v>1</v>
      </c>
      <c r="AA5">
        <v>2</v>
      </c>
      <c r="AB5">
        <v>1</v>
      </c>
      <c r="AC5">
        <v>2</v>
      </c>
      <c r="AD5">
        <v>0</v>
      </c>
      <c r="AE5">
        <v>2</v>
      </c>
      <c r="AF5">
        <v>0</v>
      </c>
      <c r="AG5">
        <v>2</v>
      </c>
      <c r="AH5">
        <v>1</v>
      </c>
      <c r="AI5">
        <v>2</v>
      </c>
      <c r="AK5">
        <v>2</v>
      </c>
      <c r="AL5">
        <v>2</v>
      </c>
      <c r="AM5">
        <v>2</v>
      </c>
      <c r="AO5">
        <v>2</v>
      </c>
      <c r="AQ5">
        <v>2</v>
      </c>
      <c r="AS5">
        <v>1</v>
      </c>
      <c r="AU5">
        <v>1</v>
      </c>
      <c r="AW5">
        <v>1</v>
      </c>
    </row>
    <row r="6" spans="1:50" x14ac:dyDescent="0.3">
      <c r="A6" t="s">
        <v>171</v>
      </c>
      <c r="B6">
        <v>31</v>
      </c>
      <c r="C6">
        <v>3</v>
      </c>
      <c r="D6">
        <v>0.1</v>
      </c>
      <c r="E6">
        <v>2</v>
      </c>
      <c r="F6">
        <v>0</v>
      </c>
      <c r="G6">
        <v>2</v>
      </c>
      <c r="H6">
        <v>2</v>
      </c>
      <c r="I6">
        <v>2</v>
      </c>
      <c r="J6">
        <v>0</v>
      </c>
      <c r="K6">
        <v>2</v>
      </c>
      <c r="L6">
        <v>0</v>
      </c>
      <c r="M6">
        <v>2</v>
      </c>
      <c r="N6">
        <v>0</v>
      </c>
      <c r="O6">
        <v>2</v>
      </c>
      <c r="P6">
        <v>0</v>
      </c>
      <c r="Q6">
        <v>2</v>
      </c>
      <c r="R6">
        <v>0</v>
      </c>
      <c r="S6">
        <v>2</v>
      </c>
      <c r="T6">
        <v>0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  <c r="AI6">
        <v>1</v>
      </c>
      <c r="AK6">
        <v>1</v>
      </c>
      <c r="AM6">
        <v>1</v>
      </c>
      <c r="AO6">
        <v>1</v>
      </c>
      <c r="AQ6">
        <v>1</v>
      </c>
      <c r="AS6">
        <v>1</v>
      </c>
      <c r="AU6">
        <v>1</v>
      </c>
      <c r="AW6">
        <v>1</v>
      </c>
    </row>
    <row r="7" spans="1:50" x14ac:dyDescent="0.3">
      <c r="A7" t="s">
        <v>172</v>
      </c>
      <c r="B7">
        <v>22</v>
      </c>
      <c r="C7">
        <v>9</v>
      </c>
      <c r="D7">
        <v>0.41</v>
      </c>
      <c r="E7">
        <v>1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2</v>
      </c>
      <c r="U7">
        <v>1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2</v>
      </c>
      <c r="AI7">
        <v>1</v>
      </c>
      <c r="AJ7">
        <v>1</v>
      </c>
      <c r="AK7">
        <v>1</v>
      </c>
      <c r="AM7">
        <v>1</v>
      </c>
      <c r="AO7">
        <v>1</v>
      </c>
      <c r="AQ7">
        <v>1</v>
      </c>
      <c r="AS7">
        <v>1</v>
      </c>
      <c r="AU7">
        <v>1</v>
      </c>
      <c r="AW7">
        <v>0</v>
      </c>
    </row>
    <row r="8" spans="1:50" x14ac:dyDescent="0.3">
      <c r="A8" t="s">
        <v>173</v>
      </c>
      <c r="B8">
        <v>23</v>
      </c>
      <c r="C8">
        <v>1</v>
      </c>
      <c r="D8">
        <v>0.04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1</v>
      </c>
      <c r="AO8">
        <v>1</v>
      </c>
      <c r="AQ8">
        <v>1</v>
      </c>
      <c r="AS8">
        <v>1</v>
      </c>
      <c r="AU8">
        <v>1</v>
      </c>
      <c r="AW8">
        <v>1</v>
      </c>
    </row>
    <row r="9" spans="1:50" x14ac:dyDescent="0.3">
      <c r="A9" t="s">
        <v>11</v>
      </c>
      <c r="B9">
        <v>161</v>
      </c>
      <c r="C9">
        <v>34</v>
      </c>
      <c r="D9">
        <v>0.21</v>
      </c>
      <c r="E9">
        <v>8</v>
      </c>
      <c r="F9">
        <v>2</v>
      </c>
      <c r="G9">
        <v>8</v>
      </c>
      <c r="H9">
        <v>3</v>
      </c>
      <c r="I9">
        <v>8</v>
      </c>
      <c r="J9">
        <v>2</v>
      </c>
      <c r="K9">
        <v>8</v>
      </c>
      <c r="L9">
        <v>0</v>
      </c>
      <c r="M9">
        <v>8</v>
      </c>
      <c r="N9">
        <v>4</v>
      </c>
      <c r="O9">
        <v>8</v>
      </c>
      <c r="P9">
        <v>2</v>
      </c>
      <c r="Q9">
        <v>8</v>
      </c>
      <c r="R9">
        <v>2</v>
      </c>
      <c r="S9">
        <v>8</v>
      </c>
      <c r="T9">
        <v>5</v>
      </c>
      <c r="U9">
        <v>7</v>
      </c>
      <c r="V9">
        <v>1</v>
      </c>
      <c r="W9">
        <v>7</v>
      </c>
      <c r="X9">
        <v>1</v>
      </c>
      <c r="Y9">
        <v>7</v>
      </c>
      <c r="Z9">
        <v>1</v>
      </c>
      <c r="AA9">
        <v>7</v>
      </c>
      <c r="AB9">
        <v>2</v>
      </c>
      <c r="AC9">
        <v>7</v>
      </c>
      <c r="AD9">
        <v>1</v>
      </c>
      <c r="AE9">
        <v>7</v>
      </c>
      <c r="AF9">
        <v>0</v>
      </c>
      <c r="AG9">
        <v>7</v>
      </c>
      <c r="AH9">
        <v>4</v>
      </c>
      <c r="AI9">
        <v>7</v>
      </c>
      <c r="AJ9">
        <v>1</v>
      </c>
      <c r="AK9">
        <v>7</v>
      </c>
      <c r="AL9">
        <v>2</v>
      </c>
      <c r="AM9">
        <v>7</v>
      </c>
      <c r="AN9">
        <v>1</v>
      </c>
      <c r="AO9">
        <v>7</v>
      </c>
      <c r="AP9">
        <v>0</v>
      </c>
      <c r="AQ9">
        <v>6</v>
      </c>
      <c r="AR9">
        <v>0</v>
      </c>
      <c r="AS9">
        <v>5</v>
      </c>
      <c r="AT9">
        <v>0</v>
      </c>
      <c r="AU9">
        <v>5</v>
      </c>
      <c r="AV9">
        <v>0</v>
      </c>
      <c r="AW9">
        <v>4</v>
      </c>
      <c r="AX9">
        <v>0</v>
      </c>
    </row>
    <row r="10" spans="1:50" x14ac:dyDescent="0.3">
      <c r="A10" t="s">
        <v>12</v>
      </c>
      <c r="B10">
        <f>C9+G25</f>
        <v>76</v>
      </c>
    </row>
    <row r="11" spans="1:50" x14ac:dyDescent="0.3">
      <c r="A11" t="s">
        <v>13</v>
      </c>
      <c r="B11">
        <f>B10-B9</f>
        <v>-85</v>
      </c>
    </row>
    <row r="13" spans="1:50" x14ac:dyDescent="0.3">
      <c r="A13" t="s">
        <v>174</v>
      </c>
    </row>
    <row r="14" spans="1:50" x14ac:dyDescent="0.3">
      <c r="A14" t="s">
        <v>15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t="s">
        <v>11</v>
      </c>
      <c r="H14" t="s">
        <v>180</v>
      </c>
    </row>
    <row r="15" spans="1:50" x14ac:dyDescent="0.3">
      <c r="A15" t="s">
        <v>16</v>
      </c>
      <c r="B15">
        <v>70</v>
      </c>
      <c r="C15">
        <v>48</v>
      </c>
      <c r="D15">
        <v>0</v>
      </c>
      <c r="E15">
        <v>13</v>
      </c>
      <c r="F15">
        <v>22</v>
      </c>
      <c r="G15">
        <v>153</v>
      </c>
    </row>
    <row r="16" spans="1:50" x14ac:dyDescent="0.3">
      <c r="A16" t="s">
        <v>17</v>
      </c>
      <c r="B16">
        <v>16</v>
      </c>
      <c r="C16">
        <v>0</v>
      </c>
      <c r="D16">
        <v>6</v>
      </c>
      <c r="E16">
        <v>1</v>
      </c>
      <c r="F16">
        <v>1</v>
      </c>
      <c r="G16">
        <v>24</v>
      </c>
    </row>
    <row r="17" spans="1:50" x14ac:dyDescent="0.3">
      <c r="A17" t="s">
        <v>18</v>
      </c>
      <c r="B17">
        <v>3</v>
      </c>
      <c r="C17">
        <v>0</v>
      </c>
      <c r="D17">
        <v>2</v>
      </c>
      <c r="E17">
        <v>7</v>
      </c>
      <c r="F17">
        <v>0</v>
      </c>
      <c r="G17">
        <v>12</v>
      </c>
    </row>
    <row r="18" spans="1:50" x14ac:dyDescent="0.3">
      <c r="A18" t="s">
        <v>19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50" x14ac:dyDescent="0.3">
      <c r="A19" t="s">
        <v>181</v>
      </c>
      <c r="B19">
        <v>5</v>
      </c>
      <c r="C19">
        <v>1</v>
      </c>
      <c r="D19">
        <v>1</v>
      </c>
      <c r="E19">
        <v>0</v>
      </c>
      <c r="F19">
        <v>0</v>
      </c>
      <c r="G19">
        <v>7</v>
      </c>
    </row>
    <row r="20" spans="1:50" x14ac:dyDescent="0.3">
      <c r="A20" t="s">
        <v>20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11</v>
      </c>
    </row>
    <row r="21" spans="1:50" x14ac:dyDescent="0.3">
      <c r="A21" t="s">
        <v>34</v>
      </c>
      <c r="B21">
        <v>87</v>
      </c>
      <c r="C21">
        <v>221</v>
      </c>
      <c r="D21">
        <v>146</v>
      </c>
      <c r="E21">
        <v>32</v>
      </c>
      <c r="F21">
        <v>99</v>
      </c>
      <c r="G21">
        <v>585</v>
      </c>
    </row>
    <row r="22" spans="1:50" x14ac:dyDescent="0.3">
      <c r="A22" t="s">
        <v>22</v>
      </c>
      <c r="B22">
        <v>5</v>
      </c>
      <c r="C22">
        <v>7</v>
      </c>
      <c r="D22">
        <v>25</v>
      </c>
      <c r="E22">
        <v>27</v>
      </c>
      <c r="F22">
        <v>9</v>
      </c>
      <c r="G22">
        <v>73</v>
      </c>
    </row>
    <row r="23" spans="1:50" x14ac:dyDescent="0.3">
      <c r="A23" t="s">
        <v>23</v>
      </c>
      <c r="B23">
        <v>0</v>
      </c>
      <c r="C23">
        <v>0</v>
      </c>
      <c r="D23">
        <v>0</v>
      </c>
      <c r="E23">
        <v>4</v>
      </c>
      <c r="F23">
        <v>5</v>
      </c>
      <c r="G23">
        <v>9</v>
      </c>
    </row>
    <row r="24" spans="1:50" x14ac:dyDescent="0.3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50" x14ac:dyDescent="0.3">
      <c r="A25" t="s">
        <v>26</v>
      </c>
      <c r="B25">
        <v>12</v>
      </c>
      <c r="C25">
        <v>14</v>
      </c>
      <c r="D25">
        <v>5</v>
      </c>
      <c r="E25">
        <v>6</v>
      </c>
      <c r="F25">
        <v>5</v>
      </c>
      <c r="G25">
        <v>42</v>
      </c>
    </row>
    <row r="26" spans="1:50" x14ac:dyDescent="0.3">
      <c r="A26" t="s">
        <v>27</v>
      </c>
      <c r="B26">
        <v>0</v>
      </c>
      <c r="C26">
        <v>0</v>
      </c>
      <c r="D26">
        <v>3</v>
      </c>
      <c r="E26">
        <v>7</v>
      </c>
      <c r="F26">
        <v>6</v>
      </c>
      <c r="G26">
        <v>16</v>
      </c>
    </row>
    <row r="27" spans="1:50" x14ac:dyDescent="0.3">
      <c r="A27" t="s">
        <v>28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50" x14ac:dyDescent="0.3">
      <c r="A28" t="s">
        <v>11</v>
      </c>
      <c r="B28">
        <v>199</v>
      </c>
      <c r="C28">
        <v>291</v>
      </c>
      <c r="D28">
        <v>188</v>
      </c>
      <c r="E28">
        <v>97</v>
      </c>
      <c r="F28">
        <v>147</v>
      </c>
    </row>
    <row r="31" spans="1:50" x14ac:dyDescent="0.3">
      <c r="A31" t="s">
        <v>35</v>
      </c>
      <c r="E31">
        <v>1</v>
      </c>
      <c r="G31">
        <v>2</v>
      </c>
      <c r="I31">
        <v>3</v>
      </c>
      <c r="K31">
        <v>6</v>
      </c>
      <c r="M31">
        <v>7</v>
      </c>
      <c r="O31">
        <v>8</v>
      </c>
      <c r="Q31">
        <v>9</v>
      </c>
      <c r="S31">
        <v>10</v>
      </c>
      <c r="U31">
        <v>13</v>
      </c>
      <c r="W31">
        <v>14</v>
      </c>
      <c r="Y31">
        <v>15</v>
      </c>
      <c r="AA31">
        <v>16</v>
      </c>
      <c r="AC31">
        <v>17</v>
      </c>
      <c r="AE31">
        <v>20</v>
      </c>
      <c r="AG31">
        <v>21</v>
      </c>
      <c r="AI31">
        <v>22</v>
      </c>
      <c r="AK31">
        <v>23</v>
      </c>
      <c r="AM31">
        <v>24</v>
      </c>
      <c r="AO31">
        <v>27</v>
      </c>
      <c r="AQ31">
        <v>28</v>
      </c>
      <c r="AS31">
        <v>29</v>
      </c>
      <c r="AU31">
        <v>30</v>
      </c>
      <c r="AW31">
        <v>31</v>
      </c>
    </row>
    <row r="32" spans="1:50" x14ac:dyDescent="0.3">
      <c r="A32" t="s">
        <v>1</v>
      </c>
      <c r="B32" t="s">
        <v>2</v>
      </c>
      <c r="C32" t="s">
        <v>3</v>
      </c>
      <c r="D32" t="s">
        <v>4</v>
      </c>
      <c r="E32" t="s">
        <v>2</v>
      </c>
      <c r="F32" t="s">
        <v>5</v>
      </c>
      <c r="G32" t="s">
        <v>2</v>
      </c>
      <c r="H32" t="s">
        <v>5</v>
      </c>
      <c r="I32" t="s">
        <v>2</v>
      </c>
      <c r="J32" t="s">
        <v>5</v>
      </c>
      <c r="K32" t="s">
        <v>2</v>
      </c>
      <c r="L32" t="s">
        <v>5</v>
      </c>
      <c r="M32" t="s">
        <v>2</v>
      </c>
      <c r="N32" t="s">
        <v>5</v>
      </c>
      <c r="O32" t="s">
        <v>2</v>
      </c>
      <c r="P32" t="s">
        <v>5</v>
      </c>
      <c r="Q32" t="s">
        <v>2</v>
      </c>
      <c r="R32" t="s">
        <v>5</v>
      </c>
      <c r="S32" t="s">
        <v>2</v>
      </c>
      <c r="T32" t="s">
        <v>5</v>
      </c>
      <c r="U32" t="s">
        <v>2</v>
      </c>
      <c r="V32" t="s">
        <v>5</v>
      </c>
      <c r="W32" t="s">
        <v>2</v>
      </c>
      <c r="X32" t="s">
        <v>5</v>
      </c>
      <c r="Y32" t="s">
        <v>2</v>
      </c>
      <c r="Z32" t="s">
        <v>5</v>
      </c>
      <c r="AA32" t="s">
        <v>2</v>
      </c>
      <c r="AB32" t="s">
        <v>5</v>
      </c>
      <c r="AC32" t="s">
        <v>2</v>
      </c>
      <c r="AD32" t="s">
        <v>5</v>
      </c>
      <c r="AE32" t="s">
        <v>2</v>
      </c>
      <c r="AF32" t="s">
        <v>5</v>
      </c>
      <c r="AG32" t="s">
        <v>2</v>
      </c>
      <c r="AH32" t="s">
        <v>5</v>
      </c>
      <c r="AI32" t="s">
        <v>2</v>
      </c>
      <c r="AJ32" t="s">
        <v>5</v>
      </c>
      <c r="AK32" t="s">
        <v>2</v>
      </c>
      <c r="AL32" t="s">
        <v>5</v>
      </c>
      <c r="AM32" t="s">
        <v>2</v>
      </c>
      <c r="AN32" t="s">
        <v>5</v>
      </c>
      <c r="AO32" t="s">
        <v>2</v>
      </c>
      <c r="AP32" t="s">
        <v>5</v>
      </c>
      <c r="AQ32" t="s">
        <v>2</v>
      </c>
      <c r="AR32" t="s">
        <v>5</v>
      </c>
      <c r="AS32" t="s">
        <v>2</v>
      </c>
      <c r="AT32" t="s">
        <v>5</v>
      </c>
      <c r="AU32" t="s">
        <v>2</v>
      </c>
      <c r="AV32" t="s">
        <v>5</v>
      </c>
      <c r="AW32" t="s">
        <v>2</v>
      </c>
      <c r="AX32" t="s">
        <v>5</v>
      </c>
    </row>
    <row r="33" spans="1:50" x14ac:dyDescent="0.3">
      <c r="A33" t="s">
        <v>169</v>
      </c>
      <c r="B33">
        <v>250</v>
      </c>
      <c r="C33">
        <v>129</v>
      </c>
      <c r="D33">
        <v>0.52</v>
      </c>
      <c r="E33">
        <v>10</v>
      </c>
      <c r="F33">
        <v>0</v>
      </c>
      <c r="G33">
        <v>10</v>
      </c>
      <c r="H33">
        <v>0</v>
      </c>
      <c r="I33">
        <v>10</v>
      </c>
      <c r="J33">
        <v>15</v>
      </c>
      <c r="K33">
        <v>10</v>
      </c>
      <c r="L33">
        <v>15</v>
      </c>
      <c r="M33">
        <v>10</v>
      </c>
      <c r="N33">
        <v>13</v>
      </c>
      <c r="O33">
        <v>10</v>
      </c>
      <c r="P33">
        <v>11</v>
      </c>
      <c r="Q33">
        <v>10</v>
      </c>
      <c r="R33">
        <v>10</v>
      </c>
      <c r="S33">
        <v>10</v>
      </c>
      <c r="T33">
        <v>14</v>
      </c>
      <c r="U33">
        <v>10</v>
      </c>
      <c r="V33">
        <v>11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  <c r="AC33">
        <v>10</v>
      </c>
      <c r="AD33">
        <v>10</v>
      </c>
      <c r="AE33">
        <v>10</v>
      </c>
      <c r="AG33">
        <v>10</v>
      </c>
      <c r="AI33">
        <v>10</v>
      </c>
      <c r="AK33">
        <v>10</v>
      </c>
      <c r="AM33">
        <v>10</v>
      </c>
      <c r="AO33">
        <v>10</v>
      </c>
      <c r="AQ33">
        <v>10</v>
      </c>
      <c r="AS33">
        <v>10</v>
      </c>
      <c r="AU33">
        <v>10</v>
      </c>
      <c r="AW33">
        <v>10</v>
      </c>
    </row>
    <row r="34" spans="1:50" x14ac:dyDescent="0.3">
      <c r="A34" t="s">
        <v>170</v>
      </c>
      <c r="B34">
        <v>250</v>
      </c>
      <c r="C34">
        <v>110</v>
      </c>
      <c r="D34">
        <v>0.44</v>
      </c>
      <c r="E34">
        <v>10</v>
      </c>
      <c r="F34">
        <v>0</v>
      </c>
      <c r="G34">
        <v>10</v>
      </c>
      <c r="H34">
        <v>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  <c r="AC34">
        <v>10</v>
      </c>
      <c r="AD34">
        <v>10</v>
      </c>
      <c r="AE34">
        <v>10</v>
      </c>
      <c r="AG34">
        <v>10</v>
      </c>
      <c r="AI34">
        <v>10</v>
      </c>
      <c r="AK34">
        <v>10</v>
      </c>
      <c r="AM34">
        <v>10</v>
      </c>
      <c r="AO34">
        <v>10</v>
      </c>
      <c r="AQ34">
        <v>10</v>
      </c>
      <c r="AS34">
        <v>10</v>
      </c>
      <c r="AU34">
        <v>10</v>
      </c>
      <c r="AW34">
        <v>10</v>
      </c>
    </row>
    <row r="35" spans="1:50" x14ac:dyDescent="0.3">
      <c r="A35" t="s">
        <v>171</v>
      </c>
      <c r="B35">
        <v>250</v>
      </c>
      <c r="C35">
        <v>150</v>
      </c>
      <c r="D35">
        <v>0.6</v>
      </c>
      <c r="E35">
        <v>10</v>
      </c>
      <c r="F35">
        <v>0</v>
      </c>
      <c r="G35">
        <v>10</v>
      </c>
      <c r="H35">
        <v>0</v>
      </c>
      <c r="I35">
        <v>10</v>
      </c>
      <c r="J35">
        <v>10</v>
      </c>
      <c r="K35">
        <v>10</v>
      </c>
      <c r="L35">
        <v>11</v>
      </c>
      <c r="M35">
        <v>10</v>
      </c>
      <c r="N35">
        <v>12</v>
      </c>
      <c r="O35">
        <v>10</v>
      </c>
      <c r="P35">
        <v>10</v>
      </c>
      <c r="Q35">
        <v>10</v>
      </c>
      <c r="R35">
        <v>18</v>
      </c>
      <c r="S35">
        <v>10</v>
      </c>
      <c r="T35">
        <v>17</v>
      </c>
      <c r="U35">
        <v>10</v>
      </c>
      <c r="V35">
        <v>17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17</v>
      </c>
      <c r="AC35">
        <v>10</v>
      </c>
      <c r="AD35">
        <v>18</v>
      </c>
      <c r="AE35">
        <v>10</v>
      </c>
      <c r="AG35">
        <v>10</v>
      </c>
      <c r="AI35">
        <v>10</v>
      </c>
      <c r="AK35">
        <v>10</v>
      </c>
      <c r="AM35">
        <v>10</v>
      </c>
      <c r="AO35">
        <v>10</v>
      </c>
      <c r="AQ35">
        <v>10</v>
      </c>
      <c r="AS35">
        <v>10</v>
      </c>
      <c r="AU35">
        <v>10</v>
      </c>
      <c r="AW35">
        <v>10</v>
      </c>
    </row>
    <row r="36" spans="1:50" x14ac:dyDescent="0.3">
      <c r="A36" t="s">
        <v>172</v>
      </c>
      <c r="B36">
        <v>250</v>
      </c>
      <c r="C36">
        <v>118</v>
      </c>
      <c r="D36">
        <v>0.47</v>
      </c>
      <c r="E36">
        <v>10</v>
      </c>
      <c r="F36">
        <v>0</v>
      </c>
      <c r="G36">
        <v>10</v>
      </c>
      <c r="H36">
        <v>0</v>
      </c>
      <c r="I36">
        <v>10</v>
      </c>
      <c r="J36">
        <v>8</v>
      </c>
      <c r="K36">
        <v>10</v>
      </c>
      <c r="L36">
        <v>12</v>
      </c>
      <c r="M36">
        <v>10</v>
      </c>
      <c r="N36">
        <v>15</v>
      </c>
      <c r="O36">
        <v>10</v>
      </c>
      <c r="P36">
        <v>11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12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  <c r="AC36">
        <v>10</v>
      </c>
      <c r="AD36">
        <v>10</v>
      </c>
      <c r="AE36">
        <v>10</v>
      </c>
      <c r="AG36">
        <v>10</v>
      </c>
      <c r="AI36">
        <v>10</v>
      </c>
      <c r="AK36">
        <v>10</v>
      </c>
      <c r="AM36">
        <v>10</v>
      </c>
      <c r="AO36">
        <v>10</v>
      </c>
      <c r="AQ36">
        <v>10</v>
      </c>
      <c r="AS36">
        <v>10</v>
      </c>
      <c r="AU36">
        <v>10</v>
      </c>
      <c r="AW36">
        <v>10</v>
      </c>
    </row>
    <row r="37" spans="1:50" x14ac:dyDescent="0.3">
      <c r="A37" t="s">
        <v>173</v>
      </c>
      <c r="B37">
        <v>250</v>
      </c>
      <c r="C37">
        <v>90</v>
      </c>
      <c r="D37">
        <v>0.36</v>
      </c>
      <c r="E37">
        <v>10</v>
      </c>
      <c r="F37">
        <v>0</v>
      </c>
      <c r="G37">
        <v>10</v>
      </c>
      <c r="H37">
        <v>0</v>
      </c>
      <c r="I37">
        <v>10</v>
      </c>
      <c r="J37">
        <v>12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12</v>
      </c>
      <c r="Q37">
        <v>10</v>
      </c>
      <c r="R37">
        <v>10</v>
      </c>
      <c r="S37">
        <v>10</v>
      </c>
      <c r="T37">
        <v>11</v>
      </c>
      <c r="U37">
        <v>10</v>
      </c>
      <c r="V37">
        <v>10</v>
      </c>
      <c r="W37">
        <v>10</v>
      </c>
      <c r="X37">
        <v>5</v>
      </c>
      <c r="Y37">
        <v>10</v>
      </c>
      <c r="Z37">
        <v>10</v>
      </c>
      <c r="AA37">
        <v>10</v>
      </c>
      <c r="AB37">
        <v>0</v>
      </c>
      <c r="AC37">
        <v>10</v>
      </c>
      <c r="AD37">
        <v>0</v>
      </c>
      <c r="AE37">
        <v>10</v>
      </c>
      <c r="AG37">
        <v>10</v>
      </c>
      <c r="AI37">
        <v>10</v>
      </c>
      <c r="AK37">
        <v>10</v>
      </c>
      <c r="AM37">
        <v>10</v>
      </c>
      <c r="AO37">
        <v>10</v>
      </c>
      <c r="AQ37">
        <v>10</v>
      </c>
      <c r="AS37">
        <v>10</v>
      </c>
      <c r="AU37">
        <v>10</v>
      </c>
      <c r="AW37">
        <v>10</v>
      </c>
    </row>
    <row r="38" spans="1:50" x14ac:dyDescent="0.3">
      <c r="A38" t="s">
        <v>11</v>
      </c>
      <c r="B38">
        <v>1250</v>
      </c>
      <c r="C38">
        <v>597</v>
      </c>
      <c r="D38">
        <v>0.48</v>
      </c>
      <c r="E38">
        <v>50</v>
      </c>
      <c r="F38">
        <v>0</v>
      </c>
      <c r="G38">
        <v>50</v>
      </c>
      <c r="H38">
        <v>0</v>
      </c>
      <c r="I38">
        <v>50</v>
      </c>
      <c r="J38">
        <v>55</v>
      </c>
      <c r="K38">
        <v>50</v>
      </c>
      <c r="L38">
        <v>58</v>
      </c>
      <c r="M38">
        <v>50</v>
      </c>
      <c r="N38">
        <v>60</v>
      </c>
      <c r="O38">
        <v>50</v>
      </c>
      <c r="P38">
        <v>54</v>
      </c>
      <c r="Q38">
        <v>50</v>
      </c>
      <c r="R38">
        <v>58</v>
      </c>
      <c r="S38">
        <v>50</v>
      </c>
      <c r="T38">
        <v>62</v>
      </c>
      <c r="U38">
        <v>50</v>
      </c>
      <c r="V38">
        <v>60</v>
      </c>
      <c r="W38">
        <v>50</v>
      </c>
      <c r="X38">
        <v>45</v>
      </c>
      <c r="Y38">
        <v>50</v>
      </c>
      <c r="Z38">
        <v>50</v>
      </c>
      <c r="AA38">
        <v>50</v>
      </c>
      <c r="AB38">
        <v>47</v>
      </c>
      <c r="AC38">
        <v>50</v>
      </c>
      <c r="AD38">
        <v>48</v>
      </c>
      <c r="AE38">
        <v>50</v>
      </c>
      <c r="AF38">
        <v>0</v>
      </c>
      <c r="AG38">
        <v>50</v>
      </c>
      <c r="AH38">
        <v>0</v>
      </c>
      <c r="AI38">
        <v>50</v>
      </c>
      <c r="AJ38">
        <v>0</v>
      </c>
      <c r="AK38">
        <v>50</v>
      </c>
      <c r="AL38">
        <v>0</v>
      </c>
      <c r="AM38">
        <v>50</v>
      </c>
      <c r="AN38">
        <v>0</v>
      </c>
      <c r="AO38">
        <v>50</v>
      </c>
      <c r="AP38">
        <v>0</v>
      </c>
      <c r="AQ38">
        <v>50</v>
      </c>
      <c r="AR38">
        <v>0</v>
      </c>
      <c r="AS38">
        <v>50</v>
      </c>
      <c r="AT38">
        <v>0</v>
      </c>
      <c r="AU38">
        <v>50</v>
      </c>
      <c r="AV38">
        <v>0</v>
      </c>
      <c r="AW38">
        <v>50</v>
      </c>
      <c r="AX38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6"/>
  <sheetViews>
    <sheetView tabSelected="1" workbookViewId="0">
      <selection activeCell="B1" sqref="B1:B1048576"/>
    </sheetView>
  </sheetViews>
  <sheetFormatPr defaultRowHeight="14.4" x14ac:dyDescent="0.3"/>
  <sheetData>
    <row r="1" spans="1:3" x14ac:dyDescent="0.3">
      <c r="A1" t="s">
        <v>182</v>
      </c>
      <c r="B1" t="s">
        <v>183</v>
      </c>
      <c r="C1" t="s">
        <v>184</v>
      </c>
    </row>
    <row r="2" spans="1:3" x14ac:dyDescent="0.3">
      <c r="A2" t="s">
        <v>7</v>
      </c>
      <c r="B2">
        <v>29748</v>
      </c>
      <c r="C2" t="s">
        <v>185</v>
      </c>
    </row>
    <row r="3" spans="1:3" x14ac:dyDescent="0.3">
      <c r="A3" t="s">
        <v>6</v>
      </c>
      <c r="B3">
        <v>44200</v>
      </c>
      <c r="C3" t="s">
        <v>185</v>
      </c>
    </row>
    <row r="4" spans="1:3" x14ac:dyDescent="0.3">
      <c r="A4" t="s">
        <v>8</v>
      </c>
      <c r="B4">
        <v>27148</v>
      </c>
      <c r="C4" t="s">
        <v>185</v>
      </c>
    </row>
    <row r="5" spans="1:3" x14ac:dyDescent="0.3">
      <c r="A5" t="s">
        <v>85</v>
      </c>
      <c r="B5">
        <v>601</v>
      </c>
      <c r="C5" t="s">
        <v>185</v>
      </c>
    </row>
    <row r="6" spans="1:3" x14ac:dyDescent="0.3">
      <c r="A6" t="s">
        <v>85</v>
      </c>
      <c r="B6">
        <v>38903</v>
      </c>
      <c r="C6" t="s">
        <v>185</v>
      </c>
    </row>
    <row r="7" spans="1:3" x14ac:dyDescent="0.3">
      <c r="A7" t="s">
        <v>85</v>
      </c>
      <c r="B7">
        <v>41617</v>
      </c>
      <c r="C7" t="s">
        <v>185</v>
      </c>
    </row>
    <row r="8" spans="1:3" x14ac:dyDescent="0.3">
      <c r="A8" t="s">
        <v>85</v>
      </c>
      <c r="B8">
        <v>41105</v>
      </c>
      <c r="C8" t="s">
        <v>185</v>
      </c>
    </row>
    <row r="9" spans="1:3" x14ac:dyDescent="0.3">
      <c r="A9" t="s">
        <v>10</v>
      </c>
      <c r="B9">
        <v>40650</v>
      </c>
      <c r="C9" t="s">
        <v>185</v>
      </c>
    </row>
    <row r="10" spans="1:3" x14ac:dyDescent="0.3">
      <c r="A10" t="s">
        <v>10</v>
      </c>
      <c r="B10">
        <v>43357</v>
      </c>
      <c r="C10" t="s">
        <v>185</v>
      </c>
    </row>
    <row r="11" spans="1:3" x14ac:dyDescent="0.3">
      <c r="A11" t="s">
        <v>10</v>
      </c>
      <c r="B11">
        <v>13483</v>
      </c>
      <c r="C11" t="s">
        <v>185</v>
      </c>
    </row>
    <row r="12" spans="1:3" x14ac:dyDescent="0.3">
      <c r="A12" t="s">
        <v>10</v>
      </c>
      <c r="B12">
        <v>44062</v>
      </c>
      <c r="C12" t="s">
        <v>185</v>
      </c>
    </row>
    <row r="13" spans="1:3" x14ac:dyDescent="0.3">
      <c r="A13" t="s">
        <v>7</v>
      </c>
      <c r="B13">
        <v>18928</v>
      </c>
      <c r="C13" t="s">
        <v>185</v>
      </c>
    </row>
    <row r="14" spans="1:3" x14ac:dyDescent="0.3">
      <c r="A14" t="s">
        <v>7</v>
      </c>
      <c r="B14">
        <v>38768</v>
      </c>
      <c r="C14" t="s">
        <v>185</v>
      </c>
    </row>
    <row r="15" spans="1:3" x14ac:dyDescent="0.3">
      <c r="A15" t="s">
        <v>7</v>
      </c>
      <c r="B15">
        <v>14601</v>
      </c>
      <c r="C15" t="s">
        <v>185</v>
      </c>
    </row>
    <row r="16" spans="1:3" x14ac:dyDescent="0.3">
      <c r="A16" t="s">
        <v>7</v>
      </c>
      <c r="B16">
        <v>16103</v>
      </c>
      <c r="C16" t="s">
        <v>185</v>
      </c>
    </row>
    <row r="17" spans="1:3" x14ac:dyDescent="0.3">
      <c r="A17" t="s">
        <v>7</v>
      </c>
      <c r="B17">
        <v>31596</v>
      </c>
      <c r="C17" t="s">
        <v>185</v>
      </c>
    </row>
    <row r="18" spans="1:3" x14ac:dyDescent="0.3">
      <c r="A18" t="s">
        <v>7</v>
      </c>
      <c r="B18">
        <v>20275</v>
      </c>
      <c r="C18" t="s">
        <v>185</v>
      </c>
    </row>
    <row r="19" spans="1:3" x14ac:dyDescent="0.3">
      <c r="A19" t="s">
        <v>7</v>
      </c>
      <c r="B19">
        <v>39891</v>
      </c>
      <c r="C19" t="s">
        <v>185</v>
      </c>
    </row>
    <row r="20" spans="1:3" x14ac:dyDescent="0.3">
      <c r="A20" t="s">
        <v>7</v>
      </c>
      <c r="B20">
        <v>40172</v>
      </c>
      <c r="C20" t="s">
        <v>185</v>
      </c>
    </row>
    <row r="21" spans="1:3" x14ac:dyDescent="0.3">
      <c r="A21" t="s">
        <v>7</v>
      </c>
      <c r="B21">
        <v>39761</v>
      </c>
      <c r="C21" t="s">
        <v>185</v>
      </c>
    </row>
    <row r="22" spans="1:3" x14ac:dyDescent="0.3">
      <c r="A22" t="s">
        <v>7</v>
      </c>
      <c r="B22">
        <v>2738</v>
      </c>
      <c r="C22" t="s">
        <v>185</v>
      </c>
    </row>
    <row r="23" spans="1:3" x14ac:dyDescent="0.3">
      <c r="A23" t="s">
        <v>6</v>
      </c>
      <c r="B23">
        <v>36533</v>
      </c>
      <c r="C23" t="s">
        <v>185</v>
      </c>
    </row>
    <row r="24" spans="1:3" x14ac:dyDescent="0.3">
      <c r="A24" t="s">
        <v>6</v>
      </c>
      <c r="B24">
        <v>28847</v>
      </c>
      <c r="C24" t="s">
        <v>185</v>
      </c>
    </row>
    <row r="25" spans="1:3" x14ac:dyDescent="0.3">
      <c r="A25" t="s">
        <v>6</v>
      </c>
      <c r="B25">
        <v>42096</v>
      </c>
      <c r="C25" t="s">
        <v>185</v>
      </c>
    </row>
    <row r="26" spans="1:3" x14ac:dyDescent="0.3">
      <c r="A26" t="s">
        <v>6</v>
      </c>
      <c r="B26">
        <v>40022</v>
      </c>
      <c r="C26" t="s">
        <v>185</v>
      </c>
    </row>
    <row r="27" spans="1:3" x14ac:dyDescent="0.3">
      <c r="A27" t="s">
        <v>6</v>
      </c>
      <c r="B27">
        <v>44147</v>
      </c>
      <c r="C27" t="s">
        <v>185</v>
      </c>
    </row>
    <row r="28" spans="1:3" x14ac:dyDescent="0.3">
      <c r="A28" t="s">
        <v>6</v>
      </c>
      <c r="B28">
        <v>39060</v>
      </c>
      <c r="C28" t="s">
        <v>185</v>
      </c>
    </row>
    <row r="29" spans="1:3" x14ac:dyDescent="0.3">
      <c r="A29" t="s">
        <v>6</v>
      </c>
      <c r="B29">
        <v>28765</v>
      </c>
      <c r="C29" t="s">
        <v>185</v>
      </c>
    </row>
    <row r="30" spans="1:3" x14ac:dyDescent="0.3">
      <c r="A30" t="s">
        <v>6</v>
      </c>
      <c r="B30">
        <v>40926</v>
      </c>
      <c r="C30" t="s">
        <v>185</v>
      </c>
    </row>
    <row r="31" spans="1:3" x14ac:dyDescent="0.3">
      <c r="A31" t="s">
        <v>6</v>
      </c>
      <c r="B31">
        <v>42963</v>
      </c>
      <c r="C31" t="s">
        <v>185</v>
      </c>
    </row>
    <row r="32" spans="1:3" x14ac:dyDescent="0.3">
      <c r="A32" t="s">
        <v>6</v>
      </c>
      <c r="B32">
        <v>37910</v>
      </c>
      <c r="C32" t="s">
        <v>185</v>
      </c>
    </row>
    <row r="33" spans="1:3" x14ac:dyDescent="0.3">
      <c r="A33" t="s">
        <v>6</v>
      </c>
      <c r="B33">
        <v>34545</v>
      </c>
      <c r="C33" t="s">
        <v>185</v>
      </c>
    </row>
    <row r="34" spans="1:3" x14ac:dyDescent="0.3">
      <c r="A34" t="s">
        <v>6</v>
      </c>
      <c r="B34">
        <v>44138</v>
      </c>
      <c r="C34" t="s">
        <v>185</v>
      </c>
    </row>
    <row r="35" spans="1:3" x14ac:dyDescent="0.3">
      <c r="A35" t="s">
        <v>6</v>
      </c>
      <c r="B35">
        <v>28819</v>
      </c>
      <c r="C35" t="s">
        <v>185</v>
      </c>
    </row>
    <row r="36" spans="1:3" x14ac:dyDescent="0.3">
      <c r="A36" t="s">
        <v>6</v>
      </c>
      <c r="B36">
        <v>44049</v>
      </c>
      <c r="C36" t="s">
        <v>185</v>
      </c>
    </row>
    <row r="37" spans="1:3" x14ac:dyDescent="0.3">
      <c r="A37" t="s">
        <v>6</v>
      </c>
      <c r="B37">
        <v>37577</v>
      </c>
      <c r="C37" t="s">
        <v>185</v>
      </c>
    </row>
    <row r="38" spans="1:3" x14ac:dyDescent="0.3">
      <c r="A38" t="s">
        <v>6</v>
      </c>
      <c r="B38">
        <v>42647</v>
      </c>
      <c r="C38" t="s">
        <v>185</v>
      </c>
    </row>
    <row r="39" spans="1:3" x14ac:dyDescent="0.3">
      <c r="A39" t="s">
        <v>6</v>
      </c>
      <c r="B39">
        <v>39622</v>
      </c>
      <c r="C39" t="s">
        <v>185</v>
      </c>
    </row>
    <row r="40" spans="1:3" x14ac:dyDescent="0.3">
      <c r="A40" t="s">
        <v>6</v>
      </c>
      <c r="B40">
        <v>42629</v>
      </c>
      <c r="C40" t="s">
        <v>185</v>
      </c>
    </row>
    <row r="41" spans="1:3" x14ac:dyDescent="0.3">
      <c r="A41" t="s">
        <v>6</v>
      </c>
      <c r="B41">
        <v>38600</v>
      </c>
      <c r="C41" t="s">
        <v>185</v>
      </c>
    </row>
    <row r="42" spans="1:3" x14ac:dyDescent="0.3">
      <c r="A42" t="s">
        <v>8</v>
      </c>
      <c r="B42">
        <v>43494</v>
      </c>
      <c r="C42" t="s">
        <v>185</v>
      </c>
    </row>
    <row r="43" spans="1:3" x14ac:dyDescent="0.3">
      <c r="A43" t="s">
        <v>8</v>
      </c>
      <c r="B43">
        <v>12978</v>
      </c>
      <c r="C43" t="s">
        <v>185</v>
      </c>
    </row>
    <row r="44" spans="1:3" x14ac:dyDescent="0.3">
      <c r="A44" t="s">
        <v>85</v>
      </c>
      <c r="B44">
        <v>40237</v>
      </c>
      <c r="C44" t="s">
        <v>185</v>
      </c>
    </row>
    <row r="45" spans="1:3" x14ac:dyDescent="0.3">
      <c r="A45" t="s">
        <v>85</v>
      </c>
      <c r="B45">
        <v>43855</v>
      </c>
      <c r="C45" t="s">
        <v>185</v>
      </c>
    </row>
    <row r="46" spans="1:3" x14ac:dyDescent="0.3">
      <c r="A46" t="s">
        <v>85</v>
      </c>
      <c r="B46">
        <v>41142</v>
      </c>
      <c r="C46" t="s">
        <v>185</v>
      </c>
    </row>
    <row r="47" spans="1:3" x14ac:dyDescent="0.3">
      <c r="A47" t="s">
        <v>85</v>
      </c>
      <c r="B47">
        <v>43286</v>
      </c>
      <c r="C47" t="s">
        <v>185</v>
      </c>
    </row>
    <row r="48" spans="1:3" x14ac:dyDescent="0.3">
      <c r="A48" t="s">
        <v>85</v>
      </c>
      <c r="B48">
        <v>35902</v>
      </c>
      <c r="C48" t="s">
        <v>185</v>
      </c>
    </row>
    <row r="49" spans="1:3" x14ac:dyDescent="0.3">
      <c r="A49" t="s">
        <v>85</v>
      </c>
      <c r="B49">
        <v>41418</v>
      </c>
      <c r="C49" t="s">
        <v>185</v>
      </c>
    </row>
    <row r="50" spans="1:3" x14ac:dyDescent="0.3">
      <c r="A50" t="s">
        <v>85</v>
      </c>
      <c r="B50">
        <v>18415</v>
      </c>
      <c r="C50" t="s">
        <v>185</v>
      </c>
    </row>
    <row r="51" spans="1:3" x14ac:dyDescent="0.3">
      <c r="A51" t="s">
        <v>85</v>
      </c>
      <c r="B51">
        <v>44270</v>
      </c>
      <c r="C51" t="s">
        <v>185</v>
      </c>
    </row>
    <row r="52" spans="1:3" x14ac:dyDescent="0.3">
      <c r="A52" t="s">
        <v>85</v>
      </c>
      <c r="B52">
        <v>44093</v>
      </c>
      <c r="C52" t="s">
        <v>185</v>
      </c>
    </row>
    <row r="53" spans="1:3" x14ac:dyDescent="0.3">
      <c r="A53" t="s">
        <v>85</v>
      </c>
      <c r="B53">
        <v>44345</v>
      </c>
      <c r="C53" t="s">
        <v>185</v>
      </c>
    </row>
    <row r="54" spans="1:3" x14ac:dyDescent="0.3">
      <c r="A54" t="s">
        <v>85</v>
      </c>
      <c r="B54">
        <v>32009</v>
      </c>
      <c r="C54" t="s">
        <v>185</v>
      </c>
    </row>
    <row r="55" spans="1:3" x14ac:dyDescent="0.3">
      <c r="A55" t="s">
        <v>85</v>
      </c>
      <c r="B55">
        <v>41058</v>
      </c>
      <c r="C55" t="s">
        <v>185</v>
      </c>
    </row>
    <row r="56" spans="1:3" x14ac:dyDescent="0.3">
      <c r="A56" t="s">
        <v>85</v>
      </c>
      <c r="B56">
        <v>40984</v>
      </c>
      <c r="C56" t="s">
        <v>185</v>
      </c>
    </row>
    <row r="57" spans="1:3" x14ac:dyDescent="0.3">
      <c r="A57" t="s">
        <v>10</v>
      </c>
      <c r="B57">
        <v>19384</v>
      </c>
      <c r="C57" t="s">
        <v>185</v>
      </c>
    </row>
    <row r="58" spans="1:3" x14ac:dyDescent="0.3">
      <c r="A58" t="s">
        <v>10</v>
      </c>
      <c r="B58">
        <v>20828</v>
      </c>
      <c r="C58" t="s">
        <v>185</v>
      </c>
    </row>
    <row r="59" spans="1:3" x14ac:dyDescent="0.3">
      <c r="A59" t="s">
        <v>10</v>
      </c>
      <c r="B59">
        <v>22815</v>
      </c>
      <c r="C59" t="s">
        <v>185</v>
      </c>
    </row>
    <row r="60" spans="1:3" x14ac:dyDescent="0.3">
      <c r="A60" t="s">
        <v>10</v>
      </c>
      <c r="B60">
        <v>31798</v>
      </c>
      <c r="C60" t="s">
        <v>185</v>
      </c>
    </row>
    <row r="61" spans="1:3" x14ac:dyDescent="0.3">
      <c r="A61" t="s">
        <v>10</v>
      </c>
      <c r="B61">
        <v>31563</v>
      </c>
      <c r="C61" t="s">
        <v>185</v>
      </c>
    </row>
    <row r="62" spans="1:3" x14ac:dyDescent="0.3">
      <c r="A62" t="s">
        <v>10</v>
      </c>
      <c r="B62">
        <v>42602</v>
      </c>
      <c r="C62" t="s">
        <v>185</v>
      </c>
    </row>
    <row r="63" spans="1:3" x14ac:dyDescent="0.3">
      <c r="A63" t="s">
        <v>10</v>
      </c>
      <c r="B63">
        <v>39205</v>
      </c>
      <c r="C63" t="s">
        <v>185</v>
      </c>
    </row>
    <row r="64" spans="1:3" x14ac:dyDescent="0.3">
      <c r="A64" t="s">
        <v>10</v>
      </c>
      <c r="B64">
        <v>29964</v>
      </c>
      <c r="C64" t="s">
        <v>185</v>
      </c>
    </row>
    <row r="65" spans="1:3" x14ac:dyDescent="0.3">
      <c r="A65" t="s">
        <v>10</v>
      </c>
      <c r="B65">
        <v>35076</v>
      </c>
      <c r="C65" t="s">
        <v>185</v>
      </c>
    </row>
    <row r="66" spans="1:3" x14ac:dyDescent="0.3">
      <c r="A66" t="s">
        <v>10</v>
      </c>
      <c r="B66">
        <v>36972</v>
      </c>
      <c r="C66" t="s">
        <v>185</v>
      </c>
    </row>
    <row r="67" spans="1:3" x14ac:dyDescent="0.3">
      <c r="A67" t="s">
        <v>10</v>
      </c>
      <c r="B67">
        <v>41852</v>
      </c>
      <c r="C67" t="s">
        <v>185</v>
      </c>
    </row>
    <row r="68" spans="1:3" x14ac:dyDescent="0.3">
      <c r="A68" t="s">
        <v>10</v>
      </c>
      <c r="B68">
        <v>41862</v>
      </c>
      <c r="C68" t="s">
        <v>185</v>
      </c>
    </row>
    <row r="69" spans="1:3" x14ac:dyDescent="0.3">
      <c r="A69" t="s">
        <v>10</v>
      </c>
      <c r="B69">
        <v>41235</v>
      </c>
      <c r="C69" t="s">
        <v>185</v>
      </c>
    </row>
    <row r="70" spans="1:3" x14ac:dyDescent="0.3">
      <c r="A70" t="s">
        <v>10</v>
      </c>
      <c r="B70">
        <v>27813</v>
      </c>
      <c r="C70" t="s">
        <v>185</v>
      </c>
    </row>
    <row r="71" spans="1:3" x14ac:dyDescent="0.3">
      <c r="A71" t="s">
        <v>10</v>
      </c>
      <c r="B71">
        <v>10095</v>
      </c>
      <c r="C71" t="s">
        <v>185</v>
      </c>
    </row>
    <row r="72" spans="1:3" x14ac:dyDescent="0.3">
      <c r="A72" t="s">
        <v>10</v>
      </c>
      <c r="B72">
        <v>32981</v>
      </c>
      <c r="C72" t="s">
        <v>185</v>
      </c>
    </row>
    <row r="73" spans="1:3" x14ac:dyDescent="0.3">
      <c r="A73" t="s">
        <v>10</v>
      </c>
      <c r="B73">
        <v>28492</v>
      </c>
      <c r="C73" t="s">
        <v>185</v>
      </c>
    </row>
    <row r="74" spans="1:3" x14ac:dyDescent="0.3">
      <c r="A74" t="s">
        <v>10</v>
      </c>
      <c r="B74">
        <v>30067</v>
      </c>
      <c r="C74" t="s">
        <v>185</v>
      </c>
    </row>
    <row r="75" spans="1:3" x14ac:dyDescent="0.3">
      <c r="A75" t="s">
        <v>7</v>
      </c>
      <c r="B75">
        <v>29748</v>
      </c>
      <c r="C75" t="s">
        <v>186</v>
      </c>
    </row>
    <row r="76" spans="1:3" x14ac:dyDescent="0.3">
      <c r="A76" t="s">
        <v>8</v>
      </c>
      <c r="B76">
        <v>44200</v>
      </c>
      <c r="C76" t="s">
        <v>186</v>
      </c>
    </row>
    <row r="77" spans="1:3" x14ac:dyDescent="0.3">
      <c r="A77" t="s">
        <v>8</v>
      </c>
      <c r="B77">
        <v>25853</v>
      </c>
      <c r="C77" t="s">
        <v>186</v>
      </c>
    </row>
    <row r="78" spans="1:3" x14ac:dyDescent="0.3">
      <c r="A78" t="s">
        <v>85</v>
      </c>
      <c r="B78">
        <v>601</v>
      </c>
      <c r="C78" t="s">
        <v>186</v>
      </c>
    </row>
    <row r="79" spans="1:3" x14ac:dyDescent="0.3">
      <c r="A79" t="s">
        <v>85</v>
      </c>
      <c r="B79">
        <v>38903</v>
      </c>
      <c r="C79" t="s">
        <v>186</v>
      </c>
    </row>
    <row r="80" spans="1:3" x14ac:dyDescent="0.3">
      <c r="A80" t="s">
        <v>85</v>
      </c>
      <c r="B80">
        <v>41617</v>
      </c>
      <c r="C80" t="s">
        <v>186</v>
      </c>
    </row>
    <row r="81" spans="1:3" x14ac:dyDescent="0.3">
      <c r="A81" t="s">
        <v>85</v>
      </c>
      <c r="B81">
        <v>41105</v>
      </c>
      <c r="C81" t="s">
        <v>186</v>
      </c>
    </row>
    <row r="82" spans="1:3" x14ac:dyDescent="0.3">
      <c r="A82" t="s">
        <v>10</v>
      </c>
      <c r="B82">
        <v>40650</v>
      </c>
      <c r="C82" t="s">
        <v>186</v>
      </c>
    </row>
    <row r="83" spans="1:3" x14ac:dyDescent="0.3">
      <c r="A83" t="s">
        <v>10</v>
      </c>
      <c r="B83">
        <v>43357</v>
      </c>
      <c r="C83" t="s">
        <v>186</v>
      </c>
    </row>
    <row r="84" spans="1:3" x14ac:dyDescent="0.3">
      <c r="A84" t="s">
        <v>10</v>
      </c>
      <c r="B84">
        <v>44062</v>
      </c>
      <c r="C84" t="s">
        <v>186</v>
      </c>
    </row>
    <row r="85" spans="1:3" x14ac:dyDescent="0.3">
      <c r="A85" t="s">
        <v>10</v>
      </c>
      <c r="B85">
        <v>13483</v>
      </c>
      <c r="C85" t="s">
        <v>186</v>
      </c>
    </row>
    <row r="86" spans="1:3" x14ac:dyDescent="0.3">
      <c r="A86" t="s">
        <v>32</v>
      </c>
      <c r="B86">
        <v>27148</v>
      </c>
      <c r="C86" t="s">
        <v>186</v>
      </c>
    </row>
    <row r="87" spans="1:3" x14ac:dyDescent="0.3">
      <c r="A87" t="s">
        <v>7</v>
      </c>
      <c r="B87">
        <v>39905</v>
      </c>
      <c r="C87" t="s">
        <v>186</v>
      </c>
    </row>
    <row r="88" spans="1:3" x14ac:dyDescent="0.3">
      <c r="A88" t="s">
        <v>7</v>
      </c>
      <c r="B88">
        <v>35214</v>
      </c>
      <c r="C88" t="s">
        <v>186</v>
      </c>
    </row>
    <row r="89" spans="1:3" x14ac:dyDescent="0.3">
      <c r="A89" t="s">
        <v>7</v>
      </c>
      <c r="B89">
        <v>26900</v>
      </c>
      <c r="C89" t="s">
        <v>186</v>
      </c>
    </row>
    <row r="90" spans="1:3" x14ac:dyDescent="0.3">
      <c r="A90" t="s">
        <v>7</v>
      </c>
      <c r="B90">
        <v>25286</v>
      </c>
      <c r="C90" t="s">
        <v>186</v>
      </c>
    </row>
    <row r="91" spans="1:3" x14ac:dyDescent="0.3">
      <c r="A91" t="s">
        <v>7</v>
      </c>
      <c r="B91">
        <v>41967</v>
      </c>
      <c r="C91" t="s">
        <v>186</v>
      </c>
    </row>
    <row r="92" spans="1:3" x14ac:dyDescent="0.3">
      <c r="A92" t="s">
        <v>7</v>
      </c>
      <c r="B92">
        <v>40914</v>
      </c>
      <c r="C92" t="s">
        <v>186</v>
      </c>
    </row>
    <row r="93" spans="1:3" x14ac:dyDescent="0.3">
      <c r="A93" t="s">
        <v>7</v>
      </c>
      <c r="B93">
        <v>44581</v>
      </c>
      <c r="C93" t="s">
        <v>186</v>
      </c>
    </row>
    <row r="94" spans="1:3" x14ac:dyDescent="0.3">
      <c r="A94" t="s">
        <v>7</v>
      </c>
      <c r="B94">
        <v>43131</v>
      </c>
      <c r="C94" t="s">
        <v>186</v>
      </c>
    </row>
    <row r="95" spans="1:3" x14ac:dyDescent="0.3">
      <c r="A95" t="s">
        <v>7</v>
      </c>
      <c r="B95">
        <v>27411</v>
      </c>
      <c r="C95" t="s">
        <v>186</v>
      </c>
    </row>
    <row r="96" spans="1:3" x14ac:dyDescent="0.3">
      <c r="A96" t="s">
        <v>7</v>
      </c>
      <c r="B96">
        <v>36248</v>
      </c>
      <c r="C96" t="s">
        <v>186</v>
      </c>
    </row>
    <row r="97" spans="1:3" x14ac:dyDescent="0.3">
      <c r="A97" t="s">
        <v>7</v>
      </c>
      <c r="B97">
        <v>2425</v>
      </c>
      <c r="C97" t="s">
        <v>186</v>
      </c>
    </row>
    <row r="98" spans="1:3" x14ac:dyDescent="0.3">
      <c r="A98" t="s">
        <v>7</v>
      </c>
      <c r="B98">
        <v>24254</v>
      </c>
      <c r="C98" t="s">
        <v>186</v>
      </c>
    </row>
    <row r="99" spans="1:3" x14ac:dyDescent="0.3">
      <c r="A99" t="s">
        <v>7</v>
      </c>
      <c r="B99">
        <v>42652</v>
      </c>
      <c r="C99" t="s">
        <v>186</v>
      </c>
    </row>
    <row r="100" spans="1:3" x14ac:dyDescent="0.3">
      <c r="A100" t="s">
        <v>7</v>
      </c>
      <c r="B100">
        <v>30292</v>
      </c>
      <c r="C100" t="s">
        <v>186</v>
      </c>
    </row>
    <row r="101" spans="1:3" x14ac:dyDescent="0.3">
      <c r="A101" t="s">
        <v>7</v>
      </c>
      <c r="B101">
        <v>39127</v>
      </c>
      <c r="C101" t="s">
        <v>186</v>
      </c>
    </row>
    <row r="102" spans="1:3" x14ac:dyDescent="0.3">
      <c r="A102" t="s">
        <v>8</v>
      </c>
      <c r="B102">
        <v>23621</v>
      </c>
      <c r="C102" t="s">
        <v>186</v>
      </c>
    </row>
    <row r="103" spans="1:3" x14ac:dyDescent="0.3">
      <c r="A103" t="s">
        <v>8</v>
      </c>
      <c r="B103">
        <v>44106</v>
      </c>
      <c r="C103" t="s">
        <v>186</v>
      </c>
    </row>
    <row r="104" spans="1:3" x14ac:dyDescent="0.3">
      <c r="A104" t="s">
        <v>8</v>
      </c>
      <c r="B104">
        <v>44364</v>
      </c>
      <c r="C104" t="s">
        <v>186</v>
      </c>
    </row>
    <row r="105" spans="1:3" x14ac:dyDescent="0.3">
      <c r="A105" t="s">
        <v>8</v>
      </c>
      <c r="B105">
        <v>29622</v>
      </c>
      <c r="C105" t="s">
        <v>186</v>
      </c>
    </row>
    <row r="106" spans="1:3" x14ac:dyDescent="0.3">
      <c r="A106" t="s">
        <v>8</v>
      </c>
      <c r="B106">
        <v>40214</v>
      </c>
      <c r="C106" t="s">
        <v>186</v>
      </c>
    </row>
    <row r="107" spans="1:3" x14ac:dyDescent="0.3">
      <c r="A107" t="s">
        <v>8</v>
      </c>
      <c r="B107">
        <v>16902</v>
      </c>
      <c r="C107" t="s">
        <v>186</v>
      </c>
    </row>
    <row r="108" spans="1:3" x14ac:dyDescent="0.3">
      <c r="A108" t="s">
        <v>8</v>
      </c>
      <c r="B108">
        <v>43912</v>
      </c>
      <c r="C108" t="s">
        <v>186</v>
      </c>
    </row>
    <row r="109" spans="1:3" x14ac:dyDescent="0.3">
      <c r="A109" t="s">
        <v>8</v>
      </c>
      <c r="B109">
        <v>36451</v>
      </c>
      <c r="C109" t="s">
        <v>186</v>
      </c>
    </row>
    <row r="110" spans="1:3" x14ac:dyDescent="0.3">
      <c r="A110" t="s">
        <v>8</v>
      </c>
      <c r="B110">
        <v>42285</v>
      </c>
      <c r="C110" t="s">
        <v>186</v>
      </c>
    </row>
    <row r="111" spans="1:3" x14ac:dyDescent="0.3">
      <c r="A111" t="s">
        <v>8</v>
      </c>
      <c r="B111">
        <v>38884</v>
      </c>
      <c r="C111" t="s">
        <v>186</v>
      </c>
    </row>
    <row r="112" spans="1:3" x14ac:dyDescent="0.3">
      <c r="A112" t="s">
        <v>8</v>
      </c>
      <c r="B112">
        <v>45080</v>
      </c>
      <c r="C112" t="s">
        <v>186</v>
      </c>
    </row>
    <row r="113" spans="1:3" x14ac:dyDescent="0.3">
      <c r="A113" t="s">
        <v>8</v>
      </c>
      <c r="B113">
        <v>31636</v>
      </c>
      <c r="C113" t="s">
        <v>186</v>
      </c>
    </row>
    <row r="114" spans="1:3" x14ac:dyDescent="0.3">
      <c r="A114" t="s">
        <v>8</v>
      </c>
      <c r="B114">
        <v>42559</v>
      </c>
      <c r="C114" t="s">
        <v>186</v>
      </c>
    </row>
    <row r="115" spans="1:3" x14ac:dyDescent="0.3">
      <c r="A115" t="s">
        <v>8</v>
      </c>
      <c r="B115">
        <v>29084</v>
      </c>
      <c r="C115" t="s">
        <v>186</v>
      </c>
    </row>
    <row r="116" spans="1:3" x14ac:dyDescent="0.3">
      <c r="A116" t="s">
        <v>8</v>
      </c>
      <c r="B116">
        <v>41123</v>
      </c>
      <c r="C116" t="s">
        <v>186</v>
      </c>
    </row>
    <row r="117" spans="1:3" x14ac:dyDescent="0.3">
      <c r="A117" t="s">
        <v>8</v>
      </c>
      <c r="B117">
        <v>38358</v>
      </c>
      <c r="C117" t="s">
        <v>186</v>
      </c>
    </row>
    <row r="118" spans="1:3" x14ac:dyDescent="0.3">
      <c r="A118" t="s">
        <v>8</v>
      </c>
      <c r="B118">
        <v>30929</v>
      </c>
      <c r="C118" t="s">
        <v>186</v>
      </c>
    </row>
    <row r="119" spans="1:3" x14ac:dyDescent="0.3">
      <c r="A119" t="s">
        <v>8</v>
      </c>
      <c r="B119">
        <v>28933</v>
      </c>
      <c r="C119" t="s">
        <v>186</v>
      </c>
    </row>
    <row r="120" spans="1:3" x14ac:dyDescent="0.3">
      <c r="A120" t="s">
        <v>8</v>
      </c>
      <c r="B120">
        <v>38139</v>
      </c>
      <c r="C120" t="s">
        <v>186</v>
      </c>
    </row>
    <row r="121" spans="1:3" x14ac:dyDescent="0.3">
      <c r="A121" t="s">
        <v>8</v>
      </c>
      <c r="B121">
        <v>34343</v>
      </c>
      <c r="C121" t="s">
        <v>186</v>
      </c>
    </row>
    <row r="122" spans="1:3" x14ac:dyDescent="0.3">
      <c r="A122" t="s">
        <v>85</v>
      </c>
      <c r="B122">
        <v>33463</v>
      </c>
      <c r="C122" t="s">
        <v>186</v>
      </c>
    </row>
    <row r="123" spans="1:3" x14ac:dyDescent="0.3">
      <c r="A123" t="s">
        <v>85</v>
      </c>
      <c r="B123">
        <v>42936</v>
      </c>
      <c r="C123" t="s">
        <v>186</v>
      </c>
    </row>
    <row r="124" spans="1:3" x14ac:dyDescent="0.3">
      <c r="A124" t="s">
        <v>85</v>
      </c>
      <c r="B124">
        <v>30921</v>
      </c>
      <c r="C124" t="s">
        <v>186</v>
      </c>
    </row>
    <row r="125" spans="1:3" x14ac:dyDescent="0.3">
      <c r="A125" t="s">
        <v>85</v>
      </c>
      <c r="B125">
        <v>12165</v>
      </c>
      <c r="C125" t="s">
        <v>186</v>
      </c>
    </row>
    <row r="126" spans="1:3" x14ac:dyDescent="0.3">
      <c r="A126" t="s">
        <v>85</v>
      </c>
      <c r="B126">
        <v>28192</v>
      </c>
      <c r="C126" t="s">
        <v>186</v>
      </c>
    </row>
    <row r="127" spans="1:3" x14ac:dyDescent="0.3">
      <c r="A127" t="s">
        <v>85</v>
      </c>
      <c r="B127">
        <v>37151</v>
      </c>
      <c r="C127" t="s">
        <v>186</v>
      </c>
    </row>
    <row r="128" spans="1:3" x14ac:dyDescent="0.3">
      <c r="A128" t="s">
        <v>85</v>
      </c>
      <c r="B128">
        <v>44572</v>
      </c>
      <c r="C128" t="s">
        <v>186</v>
      </c>
    </row>
    <row r="129" spans="1:3" x14ac:dyDescent="0.3">
      <c r="A129" t="s">
        <v>85</v>
      </c>
      <c r="B129">
        <v>32604</v>
      </c>
      <c r="C129" t="s">
        <v>186</v>
      </c>
    </row>
    <row r="130" spans="1:3" x14ac:dyDescent="0.3">
      <c r="A130" t="s">
        <v>85</v>
      </c>
      <c r="B130">
        <v>30889</v>
      </c>
      <c r="C130" t="s">
        <v>186</v>
      </c>
    </row>
    <row r="131" spans="1:3" x14ac:dyDescent="0.3">
      <c r="A131" t="s">
        <v>85</v>
      </c>
      <c r="B131">
        <v>20583</v>
      </c>
      <c r="C131" t="s">
        <v>186</v>
      </c>
    </row>
    <row r="132" spans="1:3" x14ac:dyDescent="0.3">
      <c r="A132" t="s">
        <v>85</v>
      </c>
      <c r="B132">
        <v>21387</v>
      </c>
      <c r="C132" t="s">
        <v>186</v>
      </c>
    </row>
    <row r="133" spans="1:3" x14ac:dyDescent="0.3">
      <c r="A133" t="s">
        <v>85</v>
      </c>
      <c r="B133">
        <v>35547</v>
      </c>
      <c r="C133" t="s">
        <v>186</v>
      </c>
    </row>
    <row r="134" spans="1:3" x14ac:dyDescent="0.3">
      <c r="A134" t="s">
        <v>85</v>
      </c>
      <c r="B134">
        <v>42774</v>
      </c>
      <c r="C134" t="s">
        <v>186</v>
      </c>
    </row>
    <row r="135" spans="1:3" x14ac:dyDescent="0.3">
      <c r="A135" t="s">
        <v>85</v>
      </c>
      <c r="B135">
        <v>10376</v>
      </c>
      <c r="C135" t="s">
        <v>186</v>
      </c>
    </row>
    <row r="136" spans="1:3" x14ac:dyDescent="0.3">
      <c r="A136" t="s">
        <v>85</v>
      </c>
      <c r="B136">
        <v>41363</v>
      </c>
      <c r="C136" t="s">
        <v>186</v>
      </c>
    </row>
    <row r="137" spans="1:3" x14ac:dyDescent="0.3">
      <c r="A137" t="s">
        <v>85</v>
      </c>
      <c r="B137">
        <v>40966</v>
      </c>
      <c r="C137" t="s">
        <v>186</v>
      </c>
    </row>
    <row r="138" spans="1:3" x14ac:dyDescent="0.3">
      <c r="A138" t="s">
        <v>85</v>
      </c>
      <c r="B138">
        <v>33732</v>
      </c>
      <c r="C138" t="s">
        <v>186</v>
      </c>
    </row>
    <row r="139" spans="1:3" x14ac:dyDescent="0.3">
      <c r="A139" t="s">
        <v>85</v>
      </c>
      <c r="B139">
        <v>43985</v>
      </c>
      <c r="C139" t="s">
        <v>186</v>
      </c>
    </row>
    <row r="140" spans="1:3" x14ac:dyDescent="0.3">
      <c r="A140" t="s">
        <v>85</v>
      </c>
      <c r="B140">
        <v>26794</v>
      </c>
      <c r="C140" t="s">
        <v>186</v>
      </c>
    </row>
    <row r="141" spans="1:3" x14ac:dyDescent="0.3">
      <c r="A141" t="s">
        <v>85</v>
      </c>
      <c r="B141">
        <v>20012</v>
      </c>
      <c r="C141" t="s">
        <v>186</v>
      </c>
    </row>
    <row r="142" spans="1:3" x14ac:dyDescent="0.3">
      <c r="A142" t="s">
        <v>85</v>
      </c>
      <c r="B142">
        <v>31923</v>
      </c>
      <c r="C142" t="s">
        <v>186</v>
      </c>
    </row>
    <row r="143" spans="1:3" x14ac:dyDescent="0.3">
      <c r="A143" t="s">
        <v>85</v>
      </c>
      <c r="B143">
        <v>37503</v>
      </c>
      <c r="C143" t="s">
        <v>186</v>
      </c>
    </row>
    <row r="144" spans="1:3" x14ac:dyDescent="0.3">
      <c r="A144" t="s">
        <v>85</v>
      </c>
      <c r="B144">
        <v>39901</v>
      </c>
      <c r="C144" t="s">
        <v>186</v>
      </c>
    </row>
    <row r="145" spans="1:3" x14ac:dyDescent="0.3">
      <c r="A145" t="s">
        <v>10</v>
      </c>
      <c r="B145">
        <v>43013</v>
      </c>
      <c r="C145" t="s">
        <v>186</v>
      </c>
    </row>
    <row r="146" spans="1:3" x14ac:dyDescent="0.3">
      <c r="A146" t="s">
        <v>10</v>
      </c>
      <c r="B146">
        <v>38936</v>
      </c>
      <c r="C146" t="s">
        <v>186</v>
      </c>
    </row>
    <row r="147" spans="1:3" x14ac:dyDescent="0.3">
      <c r="A147" t="s">
        <v>10</v>
      </c>
      <c r="B147">
        <v>7546</v>
      </c>
      <c r="C147" t="s">
        <v>186</v>
      </c>
    </row>
    <row r="148" spans="1:3" x14ac:dyDescent="0.3">
      <c r="A148" t="s">
        <v>10</v>
      </c>
      <c r="B148">
        <v>34899</v>
      </c>
      <c r="C148" t="s">
        <v>186</v>
      </c>
    </row>
    <row r="149" spans="1:3" x14ac:dyDescent="0.3">
      <c r="A149" t="s">
        <v>10</v>
      </c>
      <c r="B149">
        <v>25124</v>
      </c>
      <c r="C149" t="s">
        <v>186</v>
      </c>
    </row>
    <row r="150" spans="1:3" x14ac:dyDescent="0.3">
      <c r="A150" t="s">
        <v>10</v>
      </c>
      <c r="B150">
        <v>25071</v>
      </c>
      <c r="C150" t="s">
        <v>186</v>
      </c>
    </row>
    <row r="151" spans="1:3" x14ac:dyDescent="0.3">
      <c r="A151" t="s">
        <v>10</v>
      </c>
      <c r="B151">
        <v>40561</v>
      </c>
      <c r="C151" t="s">
        <v>186</v>
      </c>
    </row>
    <row r="152" spans="1:3" x14ac:dyDescent="0.3">
      <c r="A152" t="s">
        <v>10</v>
      </c>
      <c r="B152">
        <v>44255</v>
      </c>
      <c r="C152" t="s">
        <v>186</v>
      </c>
    </row>
    <row r="153" spans="1:3" x14ac:dyDescent="0.3">
      <c r="A153" t="s">
        <v>10</v>
      </c>
      <c r="B153">
        <v>38812</v>
      </c>
      <c r="C153" t="s">
        <v>186</v>
      </c>
    </row>
    <row r="154" spans="1:3" x14ac:dyDescent="0.3">
      <c r="A154" t="s">
        <v>10</v>
      </c>
      <c r="B154">
        <v>39732</v>
      </c>
      <c r="C154" t="s">
        <v>186</v>
      </c>
    </row>
    <row r="155" spans="1:3" x14ac:dyDescent="0.3">
      <c r="A155" t="s">
        <v>10</v>
      </c>
      <c r="B155">
        <v>35511</v>
      </c>
      <c r="C155" t="s">
        <v>186</v>
      </c>
    </row>
    <row r="156" spans="1:3" x14ac:dyDescent="0.3">
      <c r="A156" t="s">
        <v>10</v>
      </c>
      <c r="B156">
        <v>29827</v>
      </c>
      <c r="C156" t="s">
        <v>186</v>
      </c>
    </row>
    <row r="157" spans="1:3" x14ac:dyDescent="0.3">
      <c r="A157" t="s">
        <v>10</v>
      </c>
      <c r="B157">
        <v>32789</v>
      </c>
      <c r="C157" t="s">
        <v>186</v>
      </c>
    </row>
    <row r="158" spans="1:3" x14ac:dyDescent="0.3">
      <c r="A158" t="s">
        <v>10</v>
      </c>
      <c r="B158">
        <v>43804</v>
      </c>
      <c r="C158" t="s">
        <v>186</v>
      </c>
    </row>
    <row r="159" spans="1:3" x14ac:dyDescent="0.3">
      <c r="A159" t="s">
        <v>10</v>
      </c>
      <c r="B159">
        <v>42832</v>
      </c>
      <c r="C159" t="s">
        <v>186</v>
      </c>
    </row>
    <row r="160" spans="1:3" x14ac:dyDescent="0.3">
      <c r="A160" t="s">
        <v>10</v>
      </c>
      <c r="B160">
        <v>39094</v>
      </c>
      <c r="C160" t="s">
        <v>186</v>
      </c>
    </row>
    <row r="161" spans="1:3" x14ac:dyDescent="0.3">
      <c r="A161" t="s">
        <v>32</v>
      </c>
      <c r="B161">
        <v>26746</v>
      </c>
      <c r="C161" t="s">
        <v>186</v>
      </c>
    </row>
    <row r="162" spans="1:3" x14ac:dyDescent="0.3">
      <c r="A162" t="s">
        <v>32</v>
      </c>
      <c r="B162">
        <v>42957</v>
      </c>
      <c r="C162" t="s">
        <v>186</v>
      </c>
    </row>
    <row r="163" spans="1:3" x14ac:dyDescent="0.3">
      <c r="A163" t="s">
        <v>32</v>
      </c>
      <c r="B163">
        <v>29236</v>
      </c>
      <c r="C163" t="s">
        <v>186</v>
      </c>
    </row>
    <row r="164" spans="1:3" x14ac:dyDescent="0.3">
      <c r="A164" t="s">
        <v>32</v>
      </c>
      <c r="B164">
        <v>44928</v>
      </c>
      <c r="C164" t="s">
        <v>186</v>
      </c>
    </row>
    <row r="165" spans="1:3" x14ac:dyDescent="0.3">
      <c r="A165" t="s">
        <v>32</v>
      </c>
      <c r="B165">
        <v>38149</v>
      </c>
      <c r="C165" t="s">
        <v>186</v>
      </c>
    </row>
    <row r="166" spans="1:3" x14ac:dyDescent="0.3">
      <c r="A166" t="s">
        <v>32</v>
      </c>
      <c r="B166">
        <v>34645</v>
      </c>
      <c r="C166" t="s">
        <v>186</v>
      </c>
    </row>
    <row r="167" spans="1:3" x14ac:dyDescent="0.3">
      <c r="A167" t="s">
        <v>8</v>
      </c>
      <c r="B167">
        <v>25853</v>
      </c>
      <c r="C167" t="s">
        <v>187</v>
      </c>
    </row>
    <row r="168" spans="1:3" x14ac:dyDescent="0.3">
      <c r="A168" t="s">
        <v>7</v>
      </c>
      <c r="B168">
        <v>2010</v>
      </c>
      <c r="C168" t="s">
        <v>187</v>
      </c>
    </row>
    <row r="169" spans="1:3" x14ac:dyDescent="0.3">
      <c r="A169" t="s">
        <v>7</v>
      </c>
      <c r="B169">
        <v>34261</v>
      </c>
      <c r="C169" t="s">
        <v>187</v>
      </c>
    </row>
    <row r="170" spans="1:3" x14ac:dyDescent="0.3">
      <c r="A170" t="s">
        <v>7</v>
      </c>
      <c r="B170">
        <v>32987</v>
      </c>
      <c r="C170" t="s">
        <v>187</v>
      </c>
    </row>
    <row r="171" spans="1:3" x14ac:dyDescent="0.3">
      <c r="A171" t="s">
        <v>7</v>
      </c>
      <c r="B171">
        <v>18344</v>
      </c>
      <c r="C171" t="s">
        <v>187</v>
      </c>
    </row>
    <row r="172" spans="1:3" x14ac:dyDescent="0.3">
      <c r="A172" t="s">
        <v>7</v>
      </c>
      <c r="B172">
        <v>7029</v>
      </c>
      <c r="C172" t="s">
        <v>187</v>
      </c>
    </row>
    <row r="173" spans="1:3" x14ac:dyDescent="0.3">
      <c r="A173" t="s">
        <v>7</v>
      </c>
      <c r="B173">
        <v>1346</v>
      </c>
      <c r="C173" t="s">
        <v>187</v>
      </c>
    </row>
    <row r="174" spans="1:3" x14ac:dyDescent="0.3">
      <c r="A174" t="s">
        <v>7</v>
      </c>
      <c r="B174">
        <v>33080</v>
      </c>
      <c r="C174" t="s">
        <v>187</v>
      </c>
    </row>
    <row r="175" spans="1:3" x14ac:dyDescent="0.3">
      <c r="A175" t="s">
        <v>7</v>
      </c>
      <c r="B175">
        <v>42836</v>
      </c>
      <c r="C175" t="s">
        <v>187</v>
      </c>
    </row>
    <row r="176" spans="1:3" x14ac:dyDescent="0.3">
      <c r="A176" t="s">
        <v>7</v>
      </c>
      <c r="B176">
        <v>40921</v>
      </c>
      <c r="C176" t="s">
        <v>187</v>
      </c>
    </row>
    <row r="177" spans="1:3" x14ac:dyDescent="0.3">
      <c r="A177" t="s">
        <v>7</v>
      </c>
      <c r="B177">
        <v>43346</v>
      </c>
      <c r="C177" t="s">
        <v>187</v>
      </c>
    </row>
    <row r="178" spans="1:3" x14ac:dyDescent="0.3">
      <c r="A178" t="s">
        <v>8</v>
      </c>
      <c r="B178">
        <v>41737</v>
      </c>
      <c r="C178" t="s">
        <v>187</v>
      </c>
    </row>
    <row r="179" spans="1:3" x14ac:dyDescent="0.3">
      <c r="A179" t="s">
        <v>8</v>
      </c>
      <c r="B179">
        <v>43104</v>
      </c>
      <c r="C179" t="s">
        <v>187</v>
      </c>
    </row>
    <row r="180" spans="1:3" x14ac:dyDescent="0.3">
      <c r="A180" t="s">
        <v>8</v>
      </c>
      <c r="B180">
        <v>41723</v>
      </c>
      <c r="C180" t="s">
        <v>187</v>
      </c>
    </row>
    <row r="181" spans="1:3" x14ac:dyDescent="0.3">
      <c r="A181" t="s">
        <v>8</v>
      </c>
      <c r="B181">
        <v>41854</v>
      </c>
      <c r="C181" t="s">
        <v>187</v>
      </c>
    </row>
    <row r="182" spans="1:3" x14ac:dyDescent="0.3">
      <c r="A182" t="s">
        <v>8</v>
      </c>
      <c r="B182">
        <v>41885</v>
      </c>
      <c r="C182" t="s">
        <v>187</v>
      </c>
    </row>
    <row r="183" spans="1:3" x14ac:dyDescent="0.3">
      <c r="A183" t="s">
        <v>8</v>
      </c>
      <c r="B183">
        <v>38862</v>
      </c>
      <c r="C183" t="s">
        <v>187</v>
      </c>
    </row>
    <row r="184" spans="1:3" x14ac:dyDescent="0.3">
      <c r="A184" t="s">
        <v>8</v>
      </c>
      <c r="B184">
        <v>42939</v>
      </c>
      <c r="C184" t="s">
        <v>187</v>
      </c>
    </row>
    <row r="185" spans="1:3" x14ac:dyDescent="0.3">
      <c r="A185" t="s">
        <v>8</v>
      </c>
      <c r="B185">
        <v>40109</v>
      </c>
      <c r="C185" t="s">
        <v>187</v>
      </c>
    </row>
    <row r="186" spans="1:3" x14ac:dyDescent="0.3">
      <c r="A186" t="s">
        <v>8</v>
      </c>
      <c r="B186">
        <v>38623</v>
      </c>
      <c r="C186" t="s">
        <v>187</v>
      </c>
    </row>
    <row r="187" spans="1:3" x14ac:dyDescent="0.3">
      <c r="A187" t="s">
        <v>8</v>
      </c>
      <c r="B187">
        <v>26858</v>
      </c>
      <c r="C187" t="s">
        <v>187</v>
      </c>
    </row>
    <row r="188" spans="1:3" x14ac:dyDescent="0.3">
      <c r="A188" t="s">
        <v>8</v>
      </c>
      <c r="B188">
        <v>41808</v>
      </c>
      <c r="C188" t="s">
        <v>187</v>
      </c>
    </row>
    <row r="189" spans="1:3" x14ac:dyDescent="0.3">
      <c r="A189" t="s">
        <v>8</v>
      </c>
      <c r="B189">
        <v>41370</v>
      </c>
      <c r="C189" t="s">
        <v>187</v>
      </c>
    </row>
    <row r="190" spans="1:3" x14ac:dyDescent="0.3">
      <c r="A190" t="s">
        <v>8</v>
      </c>
      <c r="B190">
        <v>34303</v>
      </c>
      <c r="C190" t="s">
        <v>187</v>
      </c>
    </row>
    <row r="191" spans="1:3" x14ac:dyDescent="0.3">
      <c r="A191" t="s">
        <v>8</v>
      </c>
      <c r="B191">
        <v>34219</v>
      </c>
      <c r="C191" t="s">
        <v>187</v>
      </c>
    </row>
    <row r="192" spans="1:3" x14ac:dyDescent="0.3">
      <c r="A192" t="s">
        <v>8</v>
      </c>
      <c r="B192">
        <v>43992</v>
      </c>
      <c r="C192" t="s">
        <v>187</v>
      </c>
    </row>
    <row r="193" spans="1:3" x14ac:dyDescent="0.3">
      <c r="A193" t="s">
        <v>8</v>
      </c>
      <c r="B193">
        <v>34349</v>
      </c>
      <c r="C193" t="s">
        <v>187</v>
      </c>
    </row>
    <row r="194" spans="1:3" x14ac:dyDescent="0.3">
      <c r="A194" t="s">
        <v>8</v>
      </c>
      <c r="B194">
        <v>30281</v>
      </c>
      <c r="C194" t="s">
        <v>187</v>
      </c>
    </row>
    <row r="195" spans="1:3" x14ac:dyDescent="0.3">
      <c r="A195" t="s">
        <v>85</v>
      </c>
      <c r="B195">
        <v>41276</v>
      </c>
      <c r="C195" t="s">
        <v>187</v>
      </c>
    </row>
    <row r="196" spans="1:3" x14ac:dyDescent="0.3">
      <c r="A196" t="s">
        <v>85</v>
      </c>
      <c r="B196">
        <v>28233</v>
      </c>
      <c r="C196" t="s">
        <v>187</v>
      </c>
    </row>
    <row r="197" spans="1:3" x14ac:dyDescent="0.3">
      <c r="A197" t="s">
        <v>85</v>
      </c>
      <c r="B197">
        <v>29080</v>
      </c>
      <c r="C197" t="s">
        <v>187</v>
      </c>
    </row>
    <row r="198" spans="1:3" x14ac:dyDescent="0.3">
      <c r="A198" t="s">
        <v>85</v>
      </c>
      <c r="B198">
        <v>31627</v>
      </c>
      <c r="C198" t="s">
        <v>187</v>
      </c>
    </row>
    <row r="199" spans="1:3" x14ac:dyDescent="0.3">
      <c r="A199" t="s">
        <v>85</v>
      </c>
      <c r="B199">
        <v>37802</v>
      </c>
      <c r="C199" t="s">
        <v>187</v>
      </c>
    </row>
    <row r="200" spans="1:3" x14ac:dyDescent="0.3">
      <c r="A200" t="s">
        <v>85</v>
      </c>
      <c r="B200">
        <v>35203</v>
      </c>
      <c r="C200" t="s">
        <v>187</v>
      </c>
    </row>
    <row r="201" spans="1:3" x14ac:dyDescent="0.3">
      <c r="A201" t="s">
        <v>85</v>
      </c>
      <c r="B201">
        <v>33755</v>
      </c>
      <c r="C201" t="s">
        <v>187</v>
      </c>
    </row>
    <row r="202" spans="1:3" x14ac:dyDescent="0.3">
      <c r="A202" t="s">
        <v>85</v>
      </c>
      <c r="B202">
        <v>41377</v>
      </c>
      <c r="C202" t="s">
        <v>187</v>
      </c>
    </row>
    <row r="203" spans="1:3" x14ac:dyDescent="0.3">
      <c r="A203" t="s">
        <v>85</v>
      </c>
      <c r="B203">
        <v>41645</v>
      </c>
      <c r="C203" t="s">
        <v>187</v>
      </c>
    </row>
    <row r="204" spans="1:3" x14ac:dyDescent="0.3">
      <c r="A204" t="s">
        <v>10</v>
      </c>
      <c r="B204">
        <v>42952</v>
      </c>
      <c r="C204" t="s">
        <v>187</v>
      </c>
    </row>
    <row r="205" spans="1:3" x14ac:dyDescent="0.3">
      <c r="A205" t="s">
        <v>10</v>
      </c>
      <c r="B205">
        <v>28593</v>
      </c>
      <c r="C205" t="s">
        <v>187</v>
      </c>
    </row>
    <row r="206" spans="1:3" x14ac:dyDescent="0.3">
      <c r="A206" t="s">
        <v>10</v>
      </c>
      <c r="B206">
        <v>6805</v>
      </c>
      <c r="C206" t="s">
        <v>187</v>
      </c>
    </row>
    <row r="207" spans="1:3" x14ac:dyDescent="0.3">
      <c r="A207" t="s">
        <v>10</v>
      </c>
      <c r="B207">
        <v>40979</v>
      </c>
      <c r="C207" t="s">
        <v>187</v>
      </c>
    </row>
    <row r="208" spans="1:3" x14ac:dyDescent="0.3">
      <c r="A208" t="s">
        <v>10</v>
      </c>
      <c r="B208">
        <v>44665</v>
      </c>
      <c r="C208" t="s">
        <v>187</v>
      </c>
    </row>
    <row r="209" spans="1:3" x14ac:dyDescent="0.3">
      <c r="A209" t="s">
        <v>10</v>
      </c>
      <c r="B209">
        <v>27076</v>
      </c>
      <c r="C209" t="s">
        <v>187</v>
      </c>
    </row>
    <row r="210" spans="1:3" x14ac:dyDescent="0.3">
      <c r="A210" t="s">
        <v>10</v>
      </c>
      <c r="B210">
        <v>37882</v>
      </c>
      <c r="C210" t="s">
        <v>187</v>
      </c>
    </row>
    <row r="211" spans="1:3" x14ac:dyDescent="0.3">
      <c r="A211" t="s">
        <v>10</v>
      </c>
      <c r="B211">
        <v>27660</v>
      </c>
      <c r="C211" t="s">
        <v>187</v>
      </c>
    </row>
    <row r="212" spans="1:3" x14ac:dyDescent="0.3">
      <c r="A212" t="s">
        <v>10</v>
      </c>
      <c r="B212">
        <v>15850</v>
      </c>
      <c r="C212" t="s">
        <v>187</v>
      </c>
    </row>
    <row r="213" spans="1:3" x14ac:dyDescent="0.3">
      <c r="A213" t="s">
        <v>10</v>
      </c>
      <c r="B213">
        <v>24421</v>
      </c>
      <c r="C213" t="s">
        <v>187</v>
      </c>
    </row>
    <row r="214" spans="1:3" x14ac:dyDescent="0.3">
      <c r="A214" t="s">
        <v>10</v>
      </c>
      <c r="B214">
        <v>43917</v>
      </c>
      <c r="C214" t="s">
        <v>187</v>
      </c>
    </row>
    <row r="215" spans="1:3" x14ac:dyDescent="0.3">
      <c r="A215" t="s">
        <v>10</v>
      </c>
      <c r="B215">
        <v>37969</v>
      </c>
      <c r="C215" t="s">
        <v>187</v>
      </c>
    </row>
    <row r="216" spans="1:3" x14ac:dyDescent="0.3">
      <c r="A216" t="s">
        <v>10</v>
      </c>
      <c r="B216">
        <v>31917</v>
      </c>
      <c r="C216" t="s">
        <v>187</v>
      </c>
    </row>
    <row r="217" spans="1:3" x14ac:dyDescent="0.3">
      <c r="A217" t="s">
        <v>10</v>
      </c>
      <c r="B217">
        <v>28556</v>
      </c>
      <c r="C217" t="s">
        <v>187</v>
      </c>
    </row>
    <row r="218" spans="1:3" x14ac:dyDescent="0.3">
      <c r="A218" t="s">
        <v>32</v>
      </c>
      <c r="B218">
        <v>40184</v>
      </c>
      <c r="C218" t="s">
        <v>187</v>
      </c>
    </row>
    <row r="219" spans="1:3" x14ac:dyDescent="0.3">
      <c r="A219" t="s">
        <v>32</v>
      </c>
      <c r="B219">
        <v>43333</v>
      </c>
      <c r="C219" t="s">
        <v>187</v>
      </c>
    </row>
    <row r="220" spans="1:3" x14ac:dyDescent="0.3">
      <c r="A220" t="s">
        <v>32</v>
      </c>
      <c r="B220">
        <v>41630</v>
      </c>
      <c r="C220" t="s">
        <v>187</v>
      </c>
    </row>
    <row r="221" spans="1:3" x14ac:dyDescent="0.3">
      <c r="A221" t="s">
        <v>7</v>
      </c>
      <c r="B221">
        <v>30292</v>
      </c>
      <c r="C221" t="s">
        <v>188</v>
      </c>
    </row>
    <row r="222" spans="1:3" x14ac:dyDescent="0.3">
      <c r="A222" t="s">
        <v>7</v>
      </c>
      <c r="B222">
        <v>39914</v>
      </c>
      <c r="C222" t="s">
        <v>188</v>
      </c>
    </row>
    <row r="223" spans="1:3" x14ac:dyDescent="0.3">
      <c r="A223" t="s">
        <v>7</v>
      </c>
      <c r="B223">
        <v>44220</v>
      </c>
      <c r="C223" t="s">
        <v>188</v>
      </c>
    </row>
    <row r="224" spans="1:3" x14ac:dyDescent="0.3">
      <c r="A224" t="s">
        <v>7</v>
      </c>
      <c r="B224">
        <v>32987</v>
      </c>
      <c r="C224" t="s">
        <v>188</v>
      </c>
    </row>
    <row r="225" spans="1:3" x14ac:dyDescent="0.3">
      <c r="A225" t="s">
        <v>7</v>
      </c>
      <c r="B225">
        <v>43271</v>
      </c>
      <c r="C225" t="s">
        <v>188</v>
      </c>
    </row>
    <row r="226" spans="1:3" x14ac:dyDescent="0.3">
      <c r="A226" t="s">
        <v>8</v>
      </c>
      <c r="B226">
        <v>44685</v>
      </c>
      <c r="C226" t="s">
        <v>188</v>
      </c>
    </row>
    <row r="227" spans="1:3" x14ac:dyDescent="0.3">
      <c r="A227" t="s">
        <v>8</v>
      </c>
      <c r="B227">
        <v>38428</v>
      </c>
      <c r="C227" t="s">
        <v>188</v>
      </c>
    </row>
    <row r="228" spans="1:3" x14ac:dyDescent="0.3">
      <c r="A228" t="s">
        <v>8</v>
      </c>
      <c r="B228">
        <v>40325</v>
      </c>
      <c r="C228" t="s">
        <v>188</v>
      </c>
    </row>
    <row r="229" spans="1:3" x14ac:dyDescent="0.3">
      <c r="A229" t="s">
        <v>8</v>
      </c>
      <c r="B229">
        <v>44770</v>
      </c>
      <c r="C229" t="s">
        <v>188</v>
      </c>
    </row>
    <row r="230" spans="1:3" x14ac:dyDescent="0.3">
      <c r="A230" t="s">
        <v>8</v>
      </c>
      <c r="B230">
        <v>42900</v>
      </c>
      <c r="C230" t="s">
        <v>188</v>
      </c>
    </row>
    <row r="231" spans="1:3" x14ac:dyDescent="0.3">
      <c r="A231" t="s">
        <v>8</v>
      </c>
      <c r="B231">
        <v>41253</v>
      </c>
      <c r="C231" t="s">
        <v>188</v>
      </c>
    </row>
    <row r="232" spans="1:3" x14ac:dyDescent="0.3">
      <c r="A232" t="s">
        <v>8</v>
      </c>
      <c r="B232">
        <v>43936</v>
      </c>
      <c r="C232" t="s">
        <v>188</v>
      </c>
    </row>
    <row r="233" spans="1:3" x14ac:dyDescent="0.3">
      <c r="A233" t="s">
        <v>8</v>
      </c>
      <c r="B233">
        <v>41721</v>
      </c>
      <c r="C233" t="s">
        <v>188</v>
      </c>
    </row>
    <row r="234" spans="1:3" x14ac:dyDescent="0.3">
      <c r="A234" t="s">
        <v>8</v>
      </c>
      <c r="B234">
        <v>36402</v>
      </c>
      <c r="C234" t="s">
        <v>188</v>
      </c>
    </row>
    <row r="235" spans="1:3" x14ac:dyDescent="0.3">
      <c r="A235" t="s">
        <v>8</v>
      </c>
      <c r="B235">
        <v>34219</v>
      </c>
      <c r="C235" t="s">
        <v>188</v>
      </c>
    </row>
    <row r="236" spans="1:3" x14ac:dyDescent="0.3">
      <c r="A236" t="s">
        <v>8</v>
      </c>
      <c r="B236">
        <v>38760</v>
      </c>
      <c r="C236" t="s">
        <v>188</v>
      </c>
    </row>
    <row r="237" spans="1:3" x14ac:dyDescent="0.3">
      <c r="A237" t="s">
        <v>8</v>
      </c>
      <c r="B237">
        <v>17036</v>
      </c>
      <c r="C237" t="s">
        <v>188</v>
      </c>
    </row>
    <row r="238" spans="1:3" x14ac:dyDescent="0.3">
      <c r="A238" t="s">
        <v>8</v>
      </c>
      <c r="B238">
        <v>31206</v>
      </c>
      <c r="C238" t="s">
        <v>188</v>
      </c>
    </row>
    <row r="239" spans="1:3" x14ac:dyDescent="0.3">
      <c r="A239" t="s">
        <v>8</v>
      </c>
      <c r="B239">
        <v>43285</v>
      </c>
      <c r="C239" t="s">
        <v>188</v>
      </c>
    </row>
    <row r="240" spans="1:3" x14ac:dyDescent="0.3">
      <c r="A240" t="s">
        <v>8</v>
      </c>
      <c r="B240">
        <v>11480</v>
      </c>
      <c r="C240" t="s">
        <v>188</v>
      </c>
    </row>
    <row r="241" spans="1:3" x14ac:dyDescent="0.3">
      <c r="A241" t="s">
        <v>8</v>
      </c>
      <c r="B241">
        <v>42764</v>
      </c>
      <c r="C241" t="s">
        <v>188</v>
      </c>
    </row>
    <row r="242" spans="1:3" x14ac:dyDescent="0.3">
      <c r="A242" t="s">
        <v>8</v>
      </c>
      <c r="B242">
        <v>36355</v>
      </c>
      <c r="C242" t="s">
        <v>188</v>
      </c>
    </row>
    <row r="243" spans="1:3" x14ac:dyDescent="0.3">
      <c r="A243" t="s">
        <v>32</v>
      </c>
      <c r="B243">
        <v>44295</v>
      </c>
      <c r="C243" t="s">
        <v>188</v>
      </c>
    </row>
    <row r="244" spans="1:3" x14ac:dyDescent="0.3">
      <c r="A244" t="s">
        <v>32</v>
      </c>
      <c r="B244">
        <v>40728</v>
      </c>
      <c r="C244" t="s">
        <v>188</v>
      </c>
    </row>
    <row r="245" spans="1:3" x14ac:dyDescent="0.3">
      <c r="A245" t="s">
        <v>32</v>
      </c>
      <c r="B245">
        <v>44563</v>
      </c>
      <c r="C245" t="s">
        <v>188</v>
      </c>
    </row>
    <row r="246" spans="1:3" x14ac:dyDescent="0.3">
      <c r="A246" t="s">
        <v>32</v>
      </c>
      <c r="B246">
        <v>44407</v>
      </c>
      <c r="C246" t="s">
        <v>188</v>
      </c>
    </row>
    <row r="247" spans="1:3" x14ac:dyDescent="0.3">
      <c r="A247" t="s">
        <v>32</v>
      </c>
      <c r="B247">
        <v>44912</v>
      </c>
      <c r="C247" t="s">
        <v>188</v>
      </c>
    </row>
    <row r="248" spans="1:3" x14ac:dyDescent="0.3">
      <c r="A248" t="s">
        <v>32</v>
      </c>
      <c r="B248">
        <v>44124</v>
      </c>
      <c r="C248" t="s">
        <v>188</v>
      </c>
    </row>
    <row r="249" spans="1:3" x14ac:dyDescent="0.3">
      <c r="A249" t="s">
        <v>10</v>
      </c>
      <c r="B249">
        <v>40085</v>
      </c>
      <c r="C249" t="s">
        <v>188</v>
      </c>
    </row>
    <row r="250" spans="1:3" x14ac:dyDescent="0.3">
      <c r="A250" t="s">
        <v>10</v>
      </c>
      <c r="B250">
        <v>3695</v>
      </c>
      <c r="C250" t="s">
        <v>188</v>
      </c>
    </row>
    <row r="251" spans="1:3" x14ac:dyDescent="0.3">
      <c r="A251" t="s">
        <v>10</v>
      </c>
      <c r="B251">
        <v>36491</v>
      </c>
      <c r="C251" t="s">
        <v>188</v>
      </c>
    </row>
    <row r="252" spans="1:3" x14ac:dyDescent="0.3">
      <c r="A252" t="s">
        <v>10</v>
      </c>
      <c r="B252">
        <v>10095</v>
      </c>
      <c r="C252" t="s">
        <v>188</v>
      </c>
    </row>
    <row r="253" spans="1:3" x14ac:dyDescent="0.3">
      <c r="A253" t="s">
        <v>10</v>
      </c>
      <c r="B253">
        <v>34242</v>
      </c>
      <c r="C253" t="s">
        <v>188</v>
      </c>
    </row>
    <row r="254" spans="1:3" x14ac:dyDescent="0.3">
      <c r="A254" t="s">
        <v>10</v>
      </c>
      <c r="B254">
        <v>37875</v>
      </c>
      <c r="C254" t="s">
        <v>188</v>
      </c>
    </row>
    <row r="255" spans="1:3" x14ac:dyDescent="0.3">
      <c r="A255" t="s">
        <v>10</v>
      </c>
      <c r="B255">
        <v>41235</v>
      </c>
      <c r="C255" t="s">
        <v>188</v>
      </c>
    </row>
    <row r="256" spans="1:3" x14ac:dyDescent="0.3">
      <c r="A256" t="s">
        <v>10</v>
      </c>
      <c r="B256">
        <v>45020</v>
      </c>
      <c r="C256" t="s">
        <v>188</v>
      </c>
    </row>
    <row r="257" spans="1:3" x14ac:dyDescent="0.3">
      <c r="A257" t="s">
        <v>10</v>
      </c>
      <c r="B257">
        <v>44299</v>
      </c>
      <c r="C257" t="s">
        <v>188</v>
      </c>
    </row>
    <row r="258" spans="1:3" x14ac:dyDescent="0.3">
      <c r="A258" t="s">
        <v>10</v>
      </c>
      <c r="B258">
        <v>44872</v>
      </c>
      <c r="C258" t="s">
        <v>188</v>
      </c>
    </row>
    <row r="259" spans="1:3" x14ac:dyDescent="0.3">
      <c r="A259" t="s">
        <v>10</v>
      </c>
      <c r="B259">
        <v>44298</v>
      </c>
      <c r="C259" t="s">
        <v>188</v>
      </c>
    </row>
    <row r="260" spans="1:3" x14ac:dyDescent="0.3">
      <c r="A260" t="s">
        <v>10</v>
      </c>
      <c r="B260">
        <v>41862</v>
      </c>
      <c r="C260" t="s">
        <v>188</v>
      </c>
    </row>
    <row r="261" spans="1:3" x14ac:dyDescent="0.3">
      <c r="A261" t="s">
        <v>10</v>
      </c>
      <c r="B261">
        <v>44025</v>
      </c>
      <c r="C261" t="s">
        <v>188</v>
      </c>
    </row>
    <row r="262" spans="1:3" x14ac:dyDescent="0.3">
      <c r="A262" t="s">
        <v>10</v>
      </c>
      <c r="B262">
        <v>29043</v>
      </c>
      <c r="C262" t="s">
        <v>188</v>
      </c>
    </row>
    <row r="263" spans="1:3" x14ac:dyDescent="0.3">
      <c r="A263" t="s">
        <v>10</v>
      </c>
      <c r="B263">
        <v>43357</v>
      </c>
      <c r="C263" t="s">
        <v>188</v>
      </c>
    </row>
    <row r="264" spans="1:3" x14ac:dyDescent="0.3">
      <c r="A264" t="s">
        <v>10</v>
      </c>
      <c r="B264">
        <v>43612</v>
      </c>
      <c r="C264" t="s">
        <v>188</v>
      </c>
    </row>
    <row r="265" spans="1:3" x14ac:dyDescent="0.3">
      <c r="A265" t="s">
        <v>10</v>
      </c>
      <c r="B265">
        <v>42952</v>
      </c>
      <c r="C265" t="s">
        <v>188</v>
      </c>
    </row>
    <row r="266" spans="1:3" x14ac:dyDescent="0.3">
      <c r="A266" t="s">
        <v>189</v>
      </c>
      <c r="B266">
        <v>28561</v>
      </c>
      <c r="C266" t="s">
        <v>188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2"/>
  <sheetViews>
    <sheetView workbookViewId="0"/>
  </sheetViews>
  <sheetFormatPr defaultRowHeight="14.4" x14ac:dyDescent="0.3"/>
  <sheetData>
    <row r="1" spans="1:13" x14ac:dyDescent="0.3">
      <c r="B1" t="s">
        <v>190</v>
      </c>
    </row>
    <row r="5" spans="1:13" x14ac:dyDescent="0.3">
      <c r="A5" t="s">
        <v>191</v>
      </c>
      <c r="C5" t="s">
        <v>6</v>
      </c>
      <c r="D5" t="s">
        <v>7</v>
      </c>
      <c r="E5" t="s">
        <v>8</v>
      </c>
      <c r="F5" t="s">
        <v>85</v>
      </c>
      <c r="G5" t="s">
        <v>10</v>
      </c>
    </row>
    <row r="6" spans="1:13" x14ac:dyDescent="0.3">
      <c r="B6" t="s">
        <v>64</v>
      </c>
      <c r="C6">
        <v>8</v>
      </c>
      <c r="D6">
        <v>8</v>
      </c>
      <c r="E6">
        <v>8</v>
      </c>
      <c r="F6">
        <v>8</v>
      </c>
      <c r="G6">
        <v>8</v>
      </c>
      <c r="H6" t="s">
        <v>11</v>
      </c>
    </row>
    <row r="7" spans="1:13" x14ac:dyDescent="0.3">
      <c r="A7" t="s">
        <v>192</v>
      </c>
      <c r="B7" t="s">
        <v>16</v>
      </c>
      <c r="C7">
        <v>146</v>
      </c>
      <c r="D7">
        <v>85</v>
      </c>
      <c r="E7">
        <v>79</v>
      </c>
      <c r="F7">
        <v>67</v>
      </c>
      <c r="G7">
        <v>41</v>
      </c>
      <c r="H7">
        <f t="shared" ref="H7:H16" si="0">SUM(C7:G7)</f>
        <v>418</v>
      </c>
      <c r="I7">
        <f>SUM(H7:H10)</f>
        <v>944</v>
      </c>
    </row>
    <row r="8" spans="1:13" x14ac:dyDescent="0.3">
      <c r="B8" t="s">
        <v>17</v>
      </c>
      <c r="C8">
        <v>100</v>
      </c>
      <c r="D8">
        <v>47</v>
      </c>
      <c r="E8">
        <v>53</v>
      </c>
      <c r="F8">
        <v>59</v>
      </c>
      <c r="G8">
        <v>43</v>
      </c>
      <c r="H8">
        <f t="shared" si="0"/>
        <v>302</v>
      </c>
    </row>
    <row r="9" spans="1:13" x14ac:dyDescent="0.3">
      <c r="B9" t="s">
        <v>18</v>
      </c>
      <c r="C9">
        <v>53</v>
      </c>
      <c r="D9">
        <v>47</v>
      </c>
      <c r="E9">
        <v>38</v>
      </c>
      <c r="F9">
        <v>41</v>
      </c>
      <c r="G9">
        <v>24</v>
      </c>
      <c r="H9">
        <f t="shared" si="0"/>
        <v>203</v>
      </c>
    </row>
    <row r="10" spans="1:13" x14ac:dyDescent="0.3">
      <c r="B10" t="s">
        <v>19</v>
      </c>
      <c r="C10">
        <v>0</v>
      </c>
      <c r="D10">
        <v>0</v>
      </c>
      <c r="E10">
        <v>21</v>
      </c>
      <c r="F10">
        <v>0</v>
      </c>
      <c r="G10">
        <v>0</v>
      </c>
      <c r="H10">
        <f t="shared" si="0"/>
        <v>21</v>
      </c>
      <c r="L10" t="s">
        <v>193</v>
      </c>
    </row>
    <row r="11" spans="1:13" x14ac:dyDescent="0.3">
      <c r="A11" t="s">
        <v>194</v>
      </c>
      <c r="B11" t="s">
        <v>21</v>
      </c>
      <c r="C11">
        <v>4</v>
      </c>
      <c r="D11">
        <v>10</v>
      </c>
      <c r="E11">
        <v>20</v>
      </c>
      <c r="F11">
        <v>15</v>
      </c>
      <c r="G11">
        <v>2</v>
      </c>
      <c r="H11">
        <f t="shared" si="0"/>
        <v>51</v>
      </c>
      <c r="I11">
        <f>SUM(H11:H15)</f>
        <v>129</v>
      </c>
      <c r="L11" t="s">
        <v>1</v>
      </c>
      <c r="M11" t="s">
        <v>3</v>
      </c>
    </row>
    <row r="12" spans="1:13" x14ac:dyDescent="0.3">
      <c r="B12" t="s">
        <v>72</v>
      </c>
      <c r="C12">
        <v>27</v>
      </c>
      <c r="D12">
        <v>8</v>
      </c>
      <c r="E12">
        <v>5</v>
      </c>
      <c r="F12">
        <v>7</v>
      </c>
      <c r="G12">
        <v>6</v>
      </c>
      <c r="H12">
        <f t="shared" si="0"/>
        <v>53</v>
      </c>
      <c r="L12" t="s">
        <v>6</v>
      </c>
      <c r="M12">
        <v>8</v>
      </c>
    </row>
    <row r="13" spans="1:13" x14ac:dyDescent="0.3">
      <c r="B13" t="s">
        <v>195</v>
      </c>
      <c r="C13">
        <v>7</v>
      </c>
      <c r="D13">
        <v>2</v>
      </c>
      <c r="E13">
        <v>0</v>
      </c>
      <c r="F13">
        <v>3</v>
      </c>
      <c r="G13">
        <v>8</v>
      </c>
      <c r="H13">
        <f t="shared" si="0"/>
        <v>20</v>
      </c>
      <c r="L13" t="s">
        <v>7</v>
      </c>
      <c r="M13">
        <v>5</v>
      </c>
    </row>
    <row r="14" spans="1:13" x14ac:dyDescent="0.3">
      <c r="B14" t="s">
        <v>24</v>
      </c>
      <c r="C14">
        <v>3</v>
      </c>
      <c r="D14">
        <v>0</v>
      </c>
      <c r="E14">
        <v>0</v>
      </c>
      <c r="F14">
        <v>0</v>
      </c>
      <c r="G14">
        <v>0</v>
      </c>
      <c r="H14">
        <f t="shared" si="0"/>
        <v>3</v>
      </c>
      <c r="L14" t="s">
        <v>8</v>
      </c>
      <c r="M14">
        <v>2</v>
      </c>
    </row>
    <row r="15" spans="1:13" x14ac:dyDescent="0.3">
      <c r="B15" t="s">
        <v>25</v>
      </c>
      <c r="C15">
        <v>0</v>
      </c>
      <c r="D15">
        <v>0</v>
      </c>
      <c r="E15">
        <v>2</v>
      </c>
      <c r="F15">
        <v>0</v>
      </c>
      <c r="G15">
        <v>0</v>
      </c>
      <c r="H15">
        <f t="shared" si="0"/>
        <v>2</v>
      </c>
      <c r="L15" t="s">
        <v>9</v>
      </c>
      <c r="M15">
        <v>9</v>
      </c>
    </row>
    <row r="16" spans="1:13" x14ac:dyDescent="0.3">
      <c r="C16">
        <f>SUM(C7:C15)</f>
        <v>340</v>
      </c>
      <c r="D16">
        <f>SUM(D7:D15)</f>
        <v>199</v>
      </c>
      <c r="E16">
        <f>SUM(E7:E15)</f>
        <v>218</v>
      </c>
      <c r="F16">
        <f>SUM(F7:F15)</f>
        <v>192</v>
      </c>
      <c r="G16">
        <f>SUM(G7:G15)</f>
        <v>124</v>
      </c>
      <c r="H16">
        <f t="shared" si="0"/>
        <v>1073</v>
      </c>
      <c r="L16" t="s">
        <v>10</v>
      </c>
      <c r="M16">
        <v>15</v>
      </c>
    </row>
    <row r="17" spans="1:13" x14ac:dyDescent="0.3">
      <c r="L17" t="s">
        <v>11</v>
      </c>
      <c r="M17">
        <v>39</v>
      </c>
    </row>
    <row r="19" spans="1:13" x14ac:dyDescent="0.3">
      <c r="A19" t="s">
        <v>196</v>
      </c>
      <c r="C19" t="s">
        <v>6</v>
      </c>
      <c r="D19" t="s">
        <v>7</v>
      </c>
      <c r="E19" t="s">
        <v>8</v>
      </c>
      <c r="F19" t="s">
        <v>85</v>
      </c>
      <c r="G19" t="s">
        <v>10</v>
      </c>
    </row>
    <row r="20" spans="1:13" x14ac:dyDescent="0.3">
      <c r="B20" t="s">
        <v>64</v>
      </c>
      <c r="C20">
        <v>17</v>
      </c>
      <c r="D20">
        <v>17</v>
      </c>
      <c r="E20">
        <v>17</v>
      </c>
      <c r="F20">
        <v>17</v>
      </c>
      <c r="G20">
        <v>17</v>
      </c>
      <c r="H20" t="s">
        <v>11</v>
      </c>
      <c r="L20" t="s">
        <v>197</v>
      </c>
    </row>
    <row r="21" spans="1:13" x14ac:dyDescent="0.3">
      <c r="A21" t="s">
        <v>198</v>
      </c>
      <c r="B21" t="s">
        <v>16</v>
      </c>
      <c r="C21">
        <v>156</v>
      </c>
      <c r="D21">
        <v>96</v>
      </c>
      <c r="E21">
        <v>83</v>
      </c>
      <c r="F21">
        <v>83</v>
      </c>
      <c r="G21">
        <v>54</v>
      </c>
      <c r="H21">
        <f t="shared" ref="H21:H30" si="1">SUM(C21:G21)</f>
        <v>472</v>
      </c>
      <c r="I21">
        <f>SUM(H21:H24)</f>
        <v>808</v>
      </c>
      <c r="L21" t="s">
        <v>1</v>
      </c>
      <c r="M21" t="s">
        <v>2</v>
      </c>
    </row>
    <row r="22" spans="1:13" x14ac:dyDescent="0.3">
      <c r="B22" t="s">
        <v>17</v>
      </c>
      <c r="C22">
        <v>48</v>
      </c>
      <c r="D22">
        <v>59</v>
      </c>
      <c r="E22">
        <v>4</v>
      </c>
      <c r="F22">
        <v>15</v>
      </c>
      <c r="G22">
        <v>13</v>
      </c>
      <c r="H22">
        <f t="shared" si="1"/>
        <v>139</v>
      </c>
      <c r="L22" t="s">
        <v>6</v>
      </c>
      <c r="M22">
        <v>360</v>
      </c>
    </row>
    <row r="23" spans="1:13" x14ac:dyDescent="0.3">
      <c r="B23" t="s">
        <v>18</v>
      </c>
      <c r="C23">
        <v>95</v>
      </c>
      <c r="D23">
        <v>11</v>
      </c>
      <c r="E23">
        <v>24</v>
      </c>
      <c r="F23">
        <v>31</v>
      </c>
      <c r="G23">
        <v>24</v>
      </c>
      <c r="H23">
        <f t="shared" si="1"/>
        <v>185</v>
      </c>
      <c r="L23" t="s">
        <v>7</v>
      </c>
      <c r="M23">
        <v>197</v>
      </c>
    </row>
    <row r="24" spans="1:13" x14ac:dyDescent="0.3">
      <c r="B24" t="s">
        <v>19</v>
      </c>
      <c r="C24">
        <v>1</v>
      </c>
      <c r="D24">
        <v>0</v>
      </c>
      <c r="E24">
        <v>8</v>
      </c>
      <c r="F24">
        <v>0</v>
      </c>
      <c r="G24">
        <v>3</v>
      </c>
      <c r="H24">
        <f t="shared" si="1"/>
        <v>12</v>
      </c>
      <c r="L24" t="s">
        <v>8</v>
      </c>
      <c r="M24">
        <v>218</v>
      </c>
    </row>
    <row r="25" spans="1:13" x14ac:dyDescent="0.3">
      <c r="A25" t="s">
        <v>194</v>
      </c>
      <c r="B25" t="s">
        <v>21</v>
      </c>
      <c r="C25">
        <v>65</v>
      </c>
      <c r="D25">
        <v>47</v>
      </c>
      <c r="E25">
        <v>120</v>
      </c>
      <c r="F25">
        <v>56</v>
      </c>
      <c r="G25">
        <v>28</v>
      </c>
      <c r="H25">
        <f t="shared" si="1"/>
        <v>316</v>
      </c>
      <c r="I25">
        <f>SUM(H25:H29)</f>
        <v>546</v>
      </c>
      <c r="L25" t="s">
        <v>9</v>
      </c>
      <c r="M25">
        <v>187</v>
      </c>
    </row>
    <row r="26" spans="1:13" x14ac:dyDescent="0.3">
      <c r="B26" t="s">
        <v>72</v>
      </c>
      <c r="C26">
        <v>37</v>
      </c>
      <c r="D26">
        <v>17</v>
      </c>
      <c r="E26">
        <v>9</v>
      </c>
      <c r="F26">
        <v>15</v>
      </c>
      <c r="G26">
        <v>19</v>
      </c>
      <c r="H26">
        <f t="shared" si="1"/>
        <v>97</v>
      </c>
      <c r="L26" t="s">
        <v>10</v>
      </c>
      <c r="M26">
        <v>112</v>
      </c>
    </row>
    <row r="27" spans="1:13" x14ac:dyDescent="0.3">
      <c r="B27" t="s">
        <v>195</v>
      </c>
      <c r="C27">
        <v>45</v>
      </c>
      <c r="D27">
        <v>13</v>
      </c>
      <c r="E27">
        <v>16</v>
      </c>
      <c r="F27">
        <v>19</v>
      </c>
      <c r="G27">
        <v>15</v>
      </c>
      <c r="H27">
        <f t="shared" si="1"/>
        <v>108</v>
      </c>
      <c r="L27" t="s">
        <v>11</v>
      </c>
      <c r="M27">
        <f>SUM(M22:M26)</f>
        <v>1074</v>
      </c>
    </row>
    <row r="28" spans="1:13" x14ac:dyDescent="0.3">
      <c r="B28" t="s">
        <v>24</v>
      </c>
      <c r="C28">
        <v>4</v>
      </c>
      <c r="D28">
        <v>0</v>
      </c>
      <c r="E28">
        <v>1</v>
      </c>
      <c r="F28">
        <v>1</v>
      </c>
      <c r="G28">
        <v>1</v>
      </c>
      <c r="H28">
        <f t="shared" si="1"/>
        <v>7</v>
      </c>
    </row>
    <row r="29" spans="1:13" x14ac:dyDescent="0.3">
      <c r="B29" t="s">
        <v>25</v>
      </c>
      <c r="C29">
        <v>5</v>
      </c>
      <c r="D29">
        <v>1</v>
      </c>
      <c r="E29">
        <v>10</v>
      </c>
      <c r="F29">
        <v>2</v>
      </c>
      <c r="G29">
        <v>0</v>
      </c>
      <c r="H29">
        <f t="shared" si="1"/>
        <v>18</v>
      </c>
    </row>
    <row r="30" spans="1:13" x14ac:dyDescent="0.3">
      <c r="C30">
        <f>SUM(C21:C29)</f>
        <v>456</v>
      </c>
      <c r="D30">
        <f>SUM(D21:D29)</f>
        <v>244</v>
      </c>
      <c r="E30">
        <f>SUM(E21:E29)</f>
        <v>275</v>
      </c>
      <c r="F30">
        <f>SUM(F21:F29)</f>
        <v>222</v>
      </c>
      <c r="G30">
        <f>SUM(G21:G29)</f>
        <v>157</v>
      </c>
      <c r="H30">
        <f t="shared" si="1"/>
        <v>1354</v>
      </c>
    </row>
    <row r="32" spans="1:13" x14ac:dyDescent="0.3">
      <c r="G32" t="s">
        <v>199</v>
      </c>
      <c r="H32">
        <f>H30-H16</f>
        <v>281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Painel Geral - Abril</vt:lpstr>
      <vt:lpstr>Painel Geral - Maio </vt:lpstr>
      <vt:lpstr>Painel Geral - Junho</vt:lpstr>
      <vt:lpstr>Ariane</vt:lpstr>
      <vt:lpstr>Camila</vt:lpstr>
      <vt:lpstr>Cristielen</vt:lpstr>
      <vt:lpstr>Natalia</vt:lpstr>
      <vt:lpstr>Tatiana</vt:lpstr>
      <vt:lpstr>Painel Geral - Julho</vt:lpstr>
      <vt:lpstr>FATURAMENTO RECUPERACAO</vt:lpstr>
      <vt:lpstr>Planilha1</vt:lpstr>
      <vt:lpstr>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2026-04-08T19:12:46Z</dcterms:created>
  <dcterms:modified xsi:type="dcterms:W3CDTF">2026-07-24T18:22:23Z</dcterms:modified>
</cp:coreProperties>
</file>
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projeto_recuperacao/"/>
    </mc:Choice>
  </mc:AlternateContent>
  <xr:revisionPtr revIDLastSave="30" documentId="8_{8E0FE364-25CB-463E-85D6-47CE8031AF55}" xr6:coauthVersionLast="47" xr6:coauthVersionMax="47" xr10:uidLastSave="{D39E608C-35C2-47AC-B01D-978B9CE1A62A}"/>
  <bookViews>
    <workbookView xWindow="-108" yWindow="-108" windowWidth="23256" windowHeight="12456" activeTab="3" xr2:uid="{00000000-000D-0000-FFFF-FFFF00000000}"/>
  </bookViews>
  <sheets>
    <sheet name="Painel Geral - Abril" sheetId="22" r:id="rId1"/>
    <sheet name="Painel Geral - Maio " sheetId="23" r:id="rId2"/>
    <sheet name="Painel Geral - Junho" sheetId="10" r:id="rId3"/>
    <sheet name="EVOLUCAO DOS MESES" sheetId="20" r:id="rId4"/>
    <sheet name="Ariane" sheetId="14" state="hidden" r:id="rId5"/>
    <sheet name="Camila" sheetId="16" state="hidden" r:id="rId6"/>
    <sheet name="Cristielen" sheetId="17" state="hidden" r:id="rId7"/>
    <sheet name="Natalia" sheetId="18" state="hidden" r:id="rId8"/>
    <sheet name="Tatiana" sheetId="19" state="hidden" r:id="rId9"/>
    <sheet name="FATURAMENTO RECUPERACAO" sheetId="21" r:id="rId10"/>
    <sheet name="Planilha1" sheetId="11" state="hidden" r:id="rId11"/>
  </sheets>
  <externalReferences>
    <externalReference r:id="rId12"/>
  </externalReferences>
  <definedNames>
    <definedName name="_xlnm._FilterDatabase" localSheetId="4" hidden="1">Ariane!$AA$2:$AH$2</definedName>
    <definedName name="_xlnm._FilterDatabase" localSheetId="5" hidden="1">Camila!$AA$2:$AH$2</definedName>
    <definedName name="_xlnm._FilterDatabase" localSheetId="6" hidden="1">Cristielen!$AA$2:$AH$2</definedName>
    <definedName name="_xlnm._FilterDatabase" localSheetId="9" hidden="1">'FATURAMENTO RECUPERACAO'!$A$1:$E$220</definedName>
    <definedName name="_xlnm._FilterDatabase" localSheetId="7" hidden="1">Natalia!$AA$2:$AH$2</definedName>
    <definedName name="_xlnm._FilterDatabase" localSheetId="2" hidden="1">'Painel Geral - Junho'!#REF!</definedName>
    <definedName name="_xlnm._FilterDatabase" localSheetId="8" hidden="1">Tatiana!$AA$2:$AH$2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5" i="23" l="1"/>
  <c r="D44" i="23"/>
  <c r="D43" i="23"/>
  <c r="D42" i="23"/>
  <c r="D41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C37" i="23"/>
  <c r="D37" i="23" s="1"/>
  <c r="B37" i="23"/>
  <c r="C36" i="23"/>
  <c r="D36" i="23" s="1"/>
  <c r="B36" i="23"/>
  <c r="C35" i="23"/>
  <c r="D35" i="23" s="1"/>
  <c r="B35" i="23"/>
  <c r="C34" i="23"/>
  <c r="D34" i="23" s="1"/>
  <c r="B34" i="23"/>
  <c r="AB33" i="23"/>
  <c r="AB38" i="23" s="1"/>
  <c r="B33" i="23"/>
  <c r="B38" i="23" s="1"/>
  <c r="F28" i="23"/>
  <c r="E28" i="23"/>
  <c r="D28" i="23"/>
  <c r="C28" i="23"/>
  <c r="B28" i="23"/>
  <c r="G27" i="23"/>
  <c r="G26" i="23"/>
  <c r="G25" i="23"/>
  <c r="G24" i="23"/>
  <c r="G23" i="23"/>
  <c r="G22" i="23"/>
  <c r="G21" i="23"/>
  <c r="G19" i="23"/>
  <c r="G18" i="23"/>
  <c r="G17" i="23"/>
  <c r="G16" i="23"/>
  <c r="AR10" i="23"/>
  <c r="AQ10" i="23"/>
  <c r="AP10" i="23"/>
  <c r="AO10" i="23"/>
  <c r="AN10" i="23"/>
  <c r="AM10" i="23"/>
  <c r="AL10" i="23"/>
  <c r="AK10" i="23"/>
  <c r="AJ10" i="23"/>
  <c r="AI10" i="23"/>
  <c r="AH10" i="23"/>
  <c r="AG10" i="23"/>
  <c r="AF10" i="23"/>
  <c r="AE10" i="23"/>
  <c r="AD10" i="23"/>
  <c r="AC10" i="23"/>
  <c r="AB10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C9" i="23"/>
  <c r="D9" i="23" s="1"/>
  <c r="B9" i="23"/>
  <c r="C8" i="23"/>
  <c r="B8" i="23"/>
  <c r="D8" i="23" s="1"/>
  <c r="C7" i="23"/>
  <c r="D7" i="23" s="1"/>
  <c r="B7" i="23"/>
  <c r="C6" i="23"/>
  <c r="D6" i="23" s="1"/>
  <c r="B6" i="23"/>
  <c r="B10" i="23" s="1"/>
  <c r="C5" i="23"/>
  <c r="C10" i="23" s="1"/>
  <c r="B5" i="23"/>
  <c r="D10" i="23" l="1"/>
  <c r="B11" i="23"/>
  <c r="B12" i="23"/>
  <c r="D5" i="23"/>
  <c r="C33" i="23"/>
  <c r="D33" i="23" l="1"/>
  <c r="C38" i="23"/>
  <c r="D38" i="23" s="1"/>
  <c r="Z40" i="22" l="1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B40" i="22"/>
  <c r="C39" i="22"/>
  <c r="D39" i="22" s="1"/>
  <c r="C38" i="22"/>
  <c r="D38" i="22" s="1"/>
  <c r="C37" i="22"/>
  <c r="D37" i="22" s="1"/>
  <c r="C36" i="22"/>
  <c r="D36" i="22" s="1"/>
  <c r="C35" i="22"/>
  <c r="D35" i="22" s="1"/>
  <c r="F30" i="22"/>
  <c r="E30" i="22"/>
  <c r="D30" i="22"/>
  <c r="C30" i="22"/>
  <c r="B30" i="22"/>
  <c r="G29" i="22"/>
  <c r="G28" i="22"/>
  <c r="G27" i="22"/>
  <c r="G26" i="22"/>
  <c r="G25" i="22"/>
  <c r="G24" i="22"/>
  <c r="G23" i="22"/>
  <c r="G22" i="22"/>
  <c r="G21" i="22"/>
  <c r="G20" i="22"/>
  <c r="G18" i="22"/>
  <c r="G17" i="22"/>
  <c r="G16" i="22"/>
  <c r="G15" i="22"/>
  <c r="AR9" i="22"/>
  <c r="AQ9" i="22"/>
  <c r="AP9" i="22"/>
  <c r="AO9" i="22"/>
  <c r="AN9" i="22"/>
  <c r="AM9" i="22"/>
  <c r="AL9" i="22"/>
  <c r="AK9" i="22"/>
  <c r="AJ9" i="22"/>
  <c r="AI9" i="22"/>
  <c r="AH9" i="22"/>
  <c r="AG9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B9" i="22"/>
  <c r="C8" i="22"/>
  <c r="D8" i="22" s="1"/>
  <c r="C7" i="22"/>
  <c r="D7" i="22" s="1"/>
  <c r="C6" i="22"/>
  <c r="D6" i="22" s="1"/>
  <c r="C5" i="22"/>
  <c r="D5" i="22" s="1"/>
  <c r="C4" i="22"/>
  <c r="C9" i="22" s="1"/>
  <c r="B10" i="22" l="1"/>
  <c r="B11" i="22" s="1"/>
  <c r="D9" i="22"/>
  <c r="C40" i="22"/>
  <c r="D40" i="22" s="1"/>
  <c r="D4" i="22"/>
  <c r="E29" i="20" l="1"/>
  <c r="E30" i="20"/>
  <c r="E31" i="20"/>
  <c r="E32" i="20"/>
  <c r="E33" i="20"/>
  <c r="E28" i="20"/>
  <c r="D29" i="20"/>
  <c r="D30" i="20"/>
  <c r="D31" i="20"/>
  <c r="D32" i="20"/>
  <c r="D33" i="20"/>
  <c r="D28" i="20"/>
  <c r="C28" i="20"/>
  <c r="C30" i="20"/>
  <c r="C31" i="20"/>
  <c r="C32" i="20"/>
  <c r="F32" i="20" s="1"/>
  <c r="D48" i="20" s="1"/>
  <c r="C33" i="20"/>
  <c r="C29" i="20"/>
  <c r="C63" i="20"/>
  <c r="E12" i="20"/>
  <c r="D12" i="20"/>
  <c r="C12" i="20"/>
  <c r="C64" i="20"/>
  <c r="C62" i="20"/>
  <c r="M27" i="11"/>
  <c r="H22" i="11"/>
  <c r="H23" i="11"/>
  <c r="H24" i="11"/>
  <c r="H25" i="11"/>
  <c r="H26" i="11"/>
  <c r="H27" i="11"/>
  <c r="H28" i="11"/>
  <c r="H29" i="11"/>
  <c r="H21" i="11"/>
  <c r="I21" i="11" s="1"/>
  <c r="H8" i="11"/>
  <c r="H9" i="11"/>
  <c r="H10" i="11"/>
  <c r="H11" i="11"/>
  <c r="H12" i="11"/>
  <c r="H13" i="11"/>
  <c r="H14" i="11"/>
  <c r="H15" i="11"/>
  <c r="H7" i="11"/>
  <c r="I7" i="11" s="1"/>
  <c r="G30" i="11"/>
  <c r="F30" i="11"/>
  <c r="E30" i="11"/>
  <c r="D30" i="11"/>
  <c r="C30" i="11"/>
  <c r="H30" i="11" s="1"/>
  <c r="G16" i="11"/>
  <c r="F16" i="11"/>
  <c r="E16" i="11"/>
  <c r="D16" i="11"/>
  <c r="C16" i="11"/>
  <c r="H16" i="11" s="1"/>
  <c r="F33" i="20" l="1"/>
  <c r="D47" i="20" s="1"/>
  <c r="F28" i="20"/>
  <c r="D51" i="20" s="1"/>
  <c r="F31" i="20"/>
  <c r="D52" i="20" s="1"/>
  <c r="C57" i="20"/>
  <c r="C58" i="20"/>
  <c r="C56" i="20"/>
  <c r="F29" i="20"/>
  <c r="D49" i="20" s="1"/>
  <c r="F30" i="20"/>
  <c r="D50" i="20" s="1"/>
  <c r="H32" i="11"/>
  <c r="I11" i="11"/>
  <c r="I2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tc={92AF0188-AF8F-437A-93FF-6CE35FF3AE8F}</author>
    <author>tc={87EEC17F-A377-4E73-9CA5-B2853704F35E}</author>
    <author>tc={1DA4D6C7-11D4-4C9E-9ADF-338040561A3A}</author>
    <author>tc={EDA04156-2E47-4289-9E90-416D04A8D72E}</author>
  </authors>
  <commentList>
    <comment ref="P35" authorId="0" shapeId="0" xr:uid="{46BBF290-91AC-4A16-9CFB-E2AA280B97B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R35" authorId="1" shapeId="0" xr:uid="{5DE4189D-88C1-44EA-92FF-3E565367D328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P36" authorId="2" shapeId="0" xr:uid="{75E3887D-9584-4F4F-86AF-7F4139A39E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Por conta da ausência da Anna, não conseguiu dar atenção do CRM. Ocorreu muitos problemas nas entregas da Anna em 23-4.</t>
        </r>
      </text>
    </comment>
    <comment ref="L38" authorId="3" shapeId="0" xr:uid="{4DBB6E04-12C5-438D-9D08-51CE0C16D3AD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Está de Folga em 20-4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tc={9621AC28-801A-4D64-99C7-91F18B3BDB75}</author>
    <author>tc={33BE1FFB-FDDA-4B3F-A8F8-624EEEC3628D}</author>
    <author>tc={6A847DE1-0ABF-44DC-96BE-84A355F46E97}</author>
    <author>tc={82B99570-C34F-4015-ABF4-6182A222862F}</author>
    <author>tc={136442F3-B454-45C5-8C5F-1BF912BCE939}</author>
  </authors>
  <commentList>
    <comment ref="AP34" authorId="0" shapeId="0" xr:uid="{B3C231E9-9D3C-4C7F-B603-23C47E53E8E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outra lista, mas conseguiu bater a sua meta de contatos.</t>
        </r>
      </text>
    </comment>
    <comment ref="AB36" authorId="1" shapeId="0" xr:uid="{0D576315-861A-4171-B7C5-A2226A2AF5E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D36" authorId="2" shapeId="0" xr:uid="{A5AB28C5-E76B-462B-B81F-531DDF5B6403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F36" authorId="3" shapeId="0" xr:uid="{53AECE93-147B-4B3C-A7F7-E69120F3BCFF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H36" authorId="4" shapeId="0" xr:uid="{2E205A84-B166-44D7-8FD0-96C9E61DCC1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tc={110EB2BA-EE12-4A9C-93B2-C753A07193CE}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tc={657A8C87-DC61-4A23-8D1C-2D38D5F1BE12}</author>
    <author>tc={EF276022-B394-4A52-8308-51345081745B}</author>
  </authors>
  <commentList>
    <comment ref="AL33" authorId="0" shapeId="0" xr:uid="{110EB2BA-EE12-4A9C-93B2-C753A07193CE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  </r>
      </text>
    </comment>
    <comment ref="R35" authorId="1" shapeId="0" xr:uid="{596ABB47-70D4-46F5-A058-C2D8FC71DA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T35" authorId="2" shapeId="0" xr:uid="{12217CA1-EE75-466D-8AC1-B512AF57183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V35" authorId="3" shapeId="0" xr:uid="{4A1C36D5-D063-4B03-A1E3-F9A60A439D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X35" authorId="4" shapeId="0" xr:uid="{ADC094F8-93F0-4C7A-9967-253DC348084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Z35" authorId="5" shapeId="0" xr:uid="{3AFBAA46-DA48-43CC-A985-16F12C06064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B35" authorId="6" shapeId="0" xr:uid="{94A9765C-382E-41B7-B3FE-188F1629B79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D35" authorId="7" shapeId="0" xr:uid="{3C82105C-9F43-428D-A71B-E102B2635881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F35" authorId="8" shapeId="0" xr:uid="{08A637E7-8E81-4229-B448-3015AF2A88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F36" authorId="9" shapeId="0" xr:uid="{6900338A-6CA0-497B-B2EF-5A255D17247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H36" authorId="10" shapeId="0" xr:uid="{D9644057-1701-4477-AEA5-AF092045E58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J36" authorId="11" shapeId="0" xr:uid="{79F78E51-A178-4AE7-8B42-DA6DAFFEEE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AP36" authorId="12" shapeId="0" xr:uid="{657A8C87-DC61-4A23-8D1C-2D38D5F1BE12}">
      <text>
        <r>
          <rPr>
            <sz val="10"/>
            <color rgb="FF000000"/>
            <rFont val="Arial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Folga 26/6
</t>
        </r>
      </text>
    </comment>
    <comment ref="R37" authorId="13" shapeId="0" xr:uid="{EF276022-B394-4A52-8308-51345081745B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  </r>
      </text>
    </comment>
  </commentList>
</comments>
</file>

<file path=xl/sharedStrings.xml><?xml version="1.0" encoding="utf-8"?>
<sst xmlns="http://schemas.openxmlformats.org/spreadsheetml/2006/main" count="1679" uniqueCount="348">
  <si>
    <t>META RECUPERAÇÃO</t>
  </si>
  <si>
    <t>Profissional</t>
  </si>
  <si>
    <t>Meta</t>
  </si>
  <si>
    <t>Realizado</t>
  </si>
  <si>
    <t>%</t>
  </si>
  <si>
    <t>Real</t>
  </si>
  <si>
    <t>Ariane</t>
  </si>
  <si>
    <t>Camila</t>
  </si>
  <si>
    <t>Cristielen</t>
  </si>
  <si>
    <t>Natália</t>
  </si>
  <si>
    <t>Tatiana</t>
  </si>
  <si>
    <t>Total</t>
  </si>
  <si>
    <t>Conversão Total (Televendas + RCA)</t>
  </si>
  <si>
    <t>Excedente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</si>
  <si>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</si>
  <si>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</si>
  <si>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</si>
  <si>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</si>
  <si>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</si>
  <si>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</si>
  <si>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atendeu/Não retornou</t>
  </si>
  <si>
    <t>Contatos Efetivo</t>
  </si>
  <si>
    <t>Baixado/Outros</t>
  </si>
  <si>
    <t>Ativo por temporada</t>
  </si>
  <si>
    <t>Conversão / Venda RCA Externo</t>
  </si>
  <si>
    <t>Telefone incorreto</t>
  </si>
  <si>
    <t>Problema Financeiro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</si>
  <si>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</si>
  <si>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</si>
  <si>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</si>
  <si>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</si>
  <si>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</si>
  <si>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</si>
  <si>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</si>
  <si>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</si>
  <si>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Nova Venda</t>
  </si>
  <si>
    <t>Valor</t>
  </si>
  <si>
    <t>Penultima venda</t>
  </si>
  <si>
    <t>RCA</t>
  </si>
  <si>
    <t>Prazo</t>
  </si>
  <si>
    <t>Moacir</t>
  </si>
  <si>
    <t>Meta Conversão</t>
  </si>
  <si>
    <t>s</t>
  </si>
  <si>
    <t>t</t>
  </si>
  <si>
    <t>q</t>
  </si>
  <si>
    <t>Lauren</t>
  </si>
  <si>
    <t>Conversão</t>
  </si>
  <si>
    <t>André</t>
  </si>
  <si>
    <t>Henrique</t>
  </si>
  <si>
    <t>Item</t>
  </si>
  <si>
    <t>Douglas</t>
  </si>
  <si>
    <t>Não atendeu</t>
  </si>
  <si>
    <t>Contato Efetivo</t>
  </si>
  <si>
    <t>Meta Contato</t>
  </si>
  <si>
    <t>P</t>
  </si>
  <si>
    <t>Anna</t>
  </si>
  <si>
    <t>Natalia</t>
  </si>
  <si>
    <t>Larissa</t>
  </si>
  <si>
    <t>Rose</t>
  </si>
  <si>
    <t>Franciele</t>
  </si>
  <si>
    <t>Jairo</t>
  </si>
  <si>
    <t>Eduarda</t>
  </si>
  <si>
    <t>Elisiane</t>
  </si>
  <si>
    <t>Renata</t>
  </si>
  <si>
    <t>Andreia</t>
  </si>
  <si>
    <t>Evandro</t>
  </si>
  <si>
    <t>Ulisses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</si>
  <si>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</si>
  <si>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</si>
  <si>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</si>
  <si>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</si>
  <si>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</si>
  <si>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</si>
  <si>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Pedido Mínimo</t>
  </si>
  <si>
    <t>POSIÇÃO 17/4</t>
  </si>
  <si>
    <t>META LIGAÇÃO/MENSAGEM</t>
  </si>
  <si>
    <t>Ataulizou entrou</t>
  </si>
  <si>
    <t>NOVOS</t>
  </si>
  <si>
    <t>Indicador</t>
  </si>
  <si>
    <t>Abril</t>
  </si>
  <si>
    <t>Maio</t>
  </si>
  <si>
    <t>Junho</t>
  </si>
  <si>
    <t>Conversões Totais</t>
  </si>
  <si>
    <t>Excedente / GAP</t>
  </si>
  <si>
    <t>Meta de Contatos</t>
  </si>
  <si>
    <t>Contatos Realizados</t>
  </si>
  <si>
    <t>Valor Recuperado</t>
  </si>
  <si>
    <t>Mês</t>
  </si>
  <si>
    <t>Conversões</t>
  </si>
  <si>
    <t>Variação</t>
  </si>
  <si>
    <t>-</t>
  </si>
  <si>
    <t>Atingiu?</t>
  </si>
  <si>
    <t>Não</t>
  </si>
  <si>
    <t>Sim</t>
  </si>
  <si>
    <t>Posição</t>
  </si>
  <si>
    <t>Resultado</t>
  </si>
  <si>
    <t>RESUMO</t>
  </si>
  <si>
    <t>CONTATOS</t>
  </si>
  <si>
    <t>VALOR RECUPERADO POR MÊS</t>
  </si>
  <si>
    <t>RANKING FINANCEIRO DO TRIMESTRE</t>
  </si>
  <si>
    <t>EVOLUÇÃO FINANCEIRA</t>
  </si>
  <si>
    <t>RESUMO DO TRIMESTRE</t>
  </si>
  <si>
    <t>Meta de Clientes Recuperados</t>
  </si>
  <si>
    <t>Realizado de Clientes Recuperados</t>
  </si>
  <si>
    <t>% Meta Recuperados</t>
  </si>
  <si>
    <t>% Meta Contato</t>
  </si>
  <si>
    <t>CONVERSÕES ( Tele + RCAs )</t>
  </si>
  <si>
    <t>RECUPERADOS</t>
  </si>
  <si>
    <t>Totais Recuperados</t>
  </si>
  <si>
    <t>RECUPERADOS POR RCA</t>
  </si>
  <si>
    <t>Painel CRM - Abril</t>
  </si>
  <si>
    <t>Painel CRM - Maio</t>
  </si>
  <si>
    <t>Painel CRM - Junho</t>
  </si>
  <si>
    <t>META</t>
  </si>
  <si>
    <t>REAL</t>
  </si>
  <si>
    <r>
      <t xml:space="preserve">Contatos Realizados- </t>
    </r>
    <r>
      <rPr>
        <b/>
        <sz val="8"/>
        <color rgb="FFFF0000"/>
        <rFont val="Arial"/>
        <family val="2"/>
        <scheme val="minor"/>
      </rPr>
      <t>CONTROLE META</t>
    </r>
  </si>
  <si>
    <t>Alexsandro</t>
  </si>
  <si>
    <r>
      <t xml:space="preserve">DADOS DO DIA 29/06/2025 - </t>
    </r>
    <r>
      <rPr>
        <b/>
        <i/>
        <sz val="11"/>
        <color rgb="FF000000"/>
        <rFont val="Calibri"/>
        <family val="2"/>
      </rPr>
      <t>PAINEL CONSOLIDADO</t>
    </r>
  </si>
  <si>
    <t>Atualizado 29/06 às 18:01</t>
  </si>
  <si>
    <t>Tatianna</t>
  </si>
  <si>
    <t>xx</t>
  </si>
  <si>
    <t>Esteio</t>
  </si>
  <si>
    <t>MARCOS OLIVEIRA RODRIGUES</t>
  </si>
  <si>
    <t>47.829.257 CAROLINE DE OLIVEIRA FIGUEIRO</t>
  </si>
  <si>
    <t>ANGELICA DA COSTA SCHUMACHER</t>
  </si>
  <si>
    <t>LUANA DA CUNHA LEGEMANN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</si>
  <si>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</si>
  <si>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</si>
  <si>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</si>
  <si>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</si>
  <si>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</si>
  <si>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ANA MARTINS SODRE</t>
  </si>
  <si>
    <t>COMERCIO SABIO LTDA</t>
  </si>
  <si>
    <t>LUANA POGORZELSKI WEBER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</si>
  <si>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</si>
  <si>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</si>
  <si>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</si>
  <si>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</si>
  <si>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</si>
  <si>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</si>
  <si>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</si>
  <si>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</si>
  <si>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CLAUDIO LUIZ ANTONIO DA SILVA</t>
  </si>
  <si>
    <t>ROSELE MEDINA GASQUE</t>
  </si>
  <si>
    <t>CLIENTE</t>
  </si>
  <si>
    <t>58.161.664 SIMONE CARVALHO DA SILVA</t>
  </si>
  <si>
    <t>CATIA MICHELE BONILHA PINTO</t>
  </si>
  <si>
    <t>MARCELO SPALDING SCHUMACHER</t>
  </si>
  <si>
    <t>40.327.341 FABIANO DUTRA MELLO</t>
  </si>
  <si>
    <t>27.694.894 CLAUDETE LAVI MARQUES</t>
  </si>
  <si>
    <t>62.638.466 LUANA TAIS DA ROCHA RIBEIRO</t>
  </si>
  <si>
    <t>PERETTO COMERCIO DE ALIMENTOS LTDA</t>
  </si>
  <si>
    <t>BROTHERS CAFETERIA LTDA</t>
  </si>
  <si>
    <t>63.837.950 LUCAS SANTOS CRUZ</t>
  </si>
  <si>
    <t>CATHERINE OKCHSTEIN KELBERT 78874645015</t>
  </si>
  <si>
    <t>TANIA LIMA DA COSTA 47171812049</t>
  </si>
  <si>
    <t>MOACIR DOMINGOS MOCELLIN</t>
  </si>
  <si>
    <t>SUL BEER BAR LTDA</t>
  </si>
  <si>
    <t>60.267.140 KESIA TELLES RODRIGUES CHAVES</t>
  </si>
  <si>
    <t>JONAS MENDES VIEIRA</t>
  </si>
  <si>
    <t>57.087.406 RODRIGO RAMOS FORTUNATO</t>
  </si>
  <si>
    <t>JULIA MACHADO FERREIRA</t>
  </si>
  <si>
    <t>ROSELENE CARVALHO BIBIANO</t>
  </si>
  <si>
    <t>SINGULAR GOURMET GASTRONOMIA LTDA</t>
  </si>
  <si>
    <t>56.356.834 SABRINA VITORIA OLIVEIRA DA SILVA</t>
  </si>
  <si>
    <t>CAROLAINE MACHADO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</si>
  <si>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</si>
  <si>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</si>
  <si>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</si>
  <si>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</si>
  <si>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</si>
  <si>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</si>
  <si>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</si>
  <si>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</si>
  <si>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</si>
  <si>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</si>
  <si>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</si>
  <si>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</si>
  <si>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</si>
  <si>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</si>
  <si>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</si>
  <si>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</si>
  <si>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</si>
  <si>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</si>
  <si>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</si>
  <si>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</si>
  <si>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</si>
  <si>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</si>
  <si>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/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</si>
  <si>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</si>
  <si>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</si>
  <si>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</si>
  <si>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</si>
  <si>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</si>
  <si>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</si>
  <si>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</si>
  <si>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</si>
  <si>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</si>
  <si>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</si>
  <si>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</si>
  <si>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</si>
  <si>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</si>
  <si>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</si>
  <si>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</si>
  <si>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</si>
  <si>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CAMILA MACHADO ELICKER 00477725066</t>
  </si>
  <si>
    <t>DANIEL JOSE OLIVEIRA DE OLIVEIRA</t>
  </si>
  <si>
    <t>57.953.114 RAFAEL LIMA DE OLIVEIRA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</si>
  <si>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</si>
  <si>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</si>
  <si>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</si>
  <si>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</si>
  <si>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</si>
  <si>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</si>
  <si>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</si>
  <si>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CLIENTES</t>
  </si>
  <si>
    <t>GIULIANO WROBLESKI DE ALMEIDA</t>
  </si>
  <si>
    <t>SIMONE MARIA DA COSTA SOARES 71508686068</t>
  </si>
  <si>
    <t>DORNELLES &amp; DORNELLES LTDA</t>
  </si>
  <si>
    <t>ANA RUTH PEREIRA DA VEIGA</t>
  </si>
  <si>
    <t>RAYSSA VITORIA DE FREITAS SILVA</t>
  </si>
  <si>
    <t>JOCELI MARTINS</t>
  </si>
  <si>
    <t>60.160.620 TATIANE PINHEIRO FURTADO DE OLIVEIRA</t>
  </si>
  <si>
    <t>50.531.220 DOUGLAS CARVALHO GARCIA DA SILVA</t>
  </si>
  <si>
    <t>NATHALIA SOUZA TASSONI</t>
  </si>
  <si>
    <t>62.816.739 TIAGO DA COSTA BORGES</t>
  </si>
  <si>
    <t>VITORIA DA SILVA GUTIERREZ</t>
  </si>
  <si>
    <t>CAFE DA PRAIA RESTAURANTE E CAFETERIA LT</t>
  </si>
  <si>
    <t>DOMENICO FOOD LTDA</t>
  </si>
  <si>
    <t>60.313.027 DIEGO MANOEL DA SILVA</t>
  </si>
  <si>
    <t>MARCELO LIGABUE LANCHES</t>
  </si>
  <si>
    <t>NEIVA TEREZINHA PEREIRA</t>
  </si>
  <si>
    <t>MONICA DIAS DA SILVA</t>
  </si>
  <si>
    <t>KAUE SILVA</t>
  </si>
  <si>
    <t>49.146.914 GIULLIANO BONNEMBERG CAMARGO DA SILVA</t>
  </si>
  <si>
    <t>RAIZ RESTAURANTE LTDA</t>
  </si>
  <si>
    <t>63.201.191 JULIANO SILVA SOUZA</t>
  </si>
  <si>
    <t>63.389.815 TAINARA LOPES MONTEIRO</t>
  </si>
  <si>
    <t>48.380.544 ROZEMERY MARTINS DE SOUZA</t>
  </si>
  <si>
    <t>48.972.716 ADRIANA LUIZA ELSENBACK DA SILVA</t>
  </si>
  <si>
    <t>HOSPITAL BDW POA LTDA</t>
  </si>
  <si>
    <t>ELISANGELA ROSCA MARIANO</t>
  </si>
  <si>
    <t>62.220.880 DIENEFER TAINARA FROS DA LUZ</t>
  </si>
  <si>
    <t>BISTRO GAIA COZINHA CRIATIVA LTDA</t>
  </si>
  <si>
    <t>MARCOS CATAFESTA DA SILVA 29550793087</t>
  </si>
  <si>
    <t>MICHELE FROS ARAUJO 02613129018</t>
  </si>
  <si>
    <t>28.679.102 MANOEL DIEGO MORAIS GAUTERIO</t>
  </si>
  <si>
    <t>ROBERTA GRAZIANE DA SILVA</t>
  </si>
  <si>
    <t>MIATTO CAFE LTDA</t>
  </si>
  <si>
    <t>PITANGA ESCOLA DE EDUCAC?O INFANTIL LTDA</t>
  </si>
  <si>
    <t>JOSIENE SILVA MESQUITA</t>
  </si>
  <si>
    <t>44.571.711 ADRIANA GOMES DE AVILA</t>
  </si>
  <si>
    <t>ANDRE REY MOLLER</t>
  </si>
  <si>
    <t>47.801.176 PAULO ROBERTO VARGAS DE OLIVEIRA</t>
  </si>
  <si>
    <t>LANCHERIA BOM SABOR LTDA</t>
  </si>
  <si>
    <t>40.199.704 GUILHERME PERES LEAL</t>
  </si>
  <si>
    <t>FERNANDA CACERES</t>
  </si>
  <si>
    <t>ALECSANDRO SILVEIRA CRISTOV?O</t>
  </si>
  <si>
    <t>MINIMERCADO PAI E FILHO</t>
  </si>
  <si>
    <t>SARA MADALENA SILVA DE SOUZA</t>
  </si>
  <si>
    <t>MADU FOODS LTDA</t>
  </si>
  <si>
    <t>ARTE EM PAO PADARIA LTDA</t>
  </si>
  <si>
    <t>52.636.111 LUIZ AMPESSAN JUNIOR</t>
  </si>
  <si>
    <t>BAR E LANCHERIA REALEZA EIRELI</t>
  </si>
  <si>
    <t>ANDRESSA VARGAS DE AZEVEDO</t>
  </si>
  <si>
    <t>60.426.891 YSMAEL SIQUEIRA SILVA DA SILVA</t>
  </si>
  <si>
    <t>49.363.694 ANTONIO GELSON DE OLIVEIRA AR</t>
  </si>
  <si>
    <t>CONFEITARIA ZONA SUL LTDA</t>
  </si>
  <si>
    <t>57.274.207 BRUNA NASCIMENTO SILVA</t>
  </si>
  <si>
    <t>ALEXIA PIETRA MEDEIROS</t>
  </si>
  <si>
    <t>DIOVANI DA SILVA</t>
  </si>
  <si>
    <t>LANCHONETE O SANTO LTDA</t>
  </si>
  <si>
    <t>ELDER YURI CUNHA LOPES 04484948095</t>
  </si>
  <si>
    <t>JOSE CARLOS DE OLIVEIRA</t>
  </si>
  <si>
    <t>TALISSON SASSO HOMEM</t>
  </si>
  <si>
    <t>44.109.137 EZEQUIEL DOS SANTOS</t>
  </si>
  <si>
    <t>GONI CONSULTORIA LTDA</t>
  </si>
  <si>
    <t>36.020.214 BRUNA TERESINHA MENDES RENE D</t>
  </si>
  <si>
    <t>DOUGLAS DE MORAES HOMEM</t>
  </si>
  <si>
    <t>CLAUDETE MLLER ENGELMANN</t>
  </si>
  <si>
    <t>ANGELICA BLANGER JORDON</t>
  </si>
  <si>
    <t>ACF COMERCIO DE ALIMENTOS LTDA</t>
  </si>
  <si>
    <t>ANDREW TAROUCO MONTIEL</t>
  </si>
  <si>
    <t>OFICINA DOS SONHOS CASA DE FESTAS LTDA</t>
  </si>
  <si>
    <t>JO?O BATISTA PEREIRA DA SILVA</t>
  </si>
  <si>
    <t>TAFAIEL HENRIQUE DAL CASTEL</t>
  </si>
  <si>
    <t>ASSOCIACAO DE ASSISTENCIA SOCIAL BOM PAS</t>
  </si>
  <si>
    <t>LERIDA KARINA DA COSTA MORAES</t>
  </si>
  <si>
    <t>56.127.975 JOELMA ARAUJO FAGUNDES</t>
  </si>
  <si>
    <t>LUCIANE TERESINHA BORGES 83405240034</t>
  </si>
  <si>
    <t>CABO HORN BAR LTDA</t>
  </si>
  <si>
    <t>63.411.527 LUCIANO GARCIA CARVALHO</t>
  </si>
  <si>
    <t>LAURECI AVILA MASSENA</t>
  </si>
  <si>
    <t>F T M COMERCIO DE BEBIDAS LTDA</t>
  </si>
  <si>
    <t>DIEGO BATISTA MOREIRA</t>
  </si>
  <si>
    <t>ANDREW SILVA DE MELO</t>
  </si>
  <si>
    <t>MIRIAN VERARDI DE SOUZA</t>
  </si>
  <si>
    <t>JANA RICARDO DE PAULA</t>
  </si>
  <si>
    <t>KELLY SOARES BORGES</t>
  </si>
  <si>
    <t>CLAUDIA LISBOA</t>
  </si>
  <si>
    <t>SUZANA MOTTA BRAGA PACHECO</t>
  </si>
  <si>
    <t>EVALDO SOUZA DE OLIVEIRA 66786240097</t>
  </si>
  <si>
    <t>IONE DE FATIMA SANTOS ROSA</t>
  </si>
  <si>
    <t>ELIVONE DA SILVA FORTE</t>
  </si>
  <si>
    <t>ELENICE NOGUEIRA DOMINGUES KONRADT 01936202000</t>
  </si>
  <si>
    <t>TRI INDUSTRIA CAMISETAS &amp; EVENTOS LTDA</t>
  </si>
  <si>
    <t>DAIANE FESTINALLI &amp; CIA LTDA</t>
  </si>
  <si>
    <t>57.732.143 CARINA APARECIDA BORGES</t>
  </si>
  <si>
    <t>CARLA FABIANE DE OLIVEIRA ABREU</t>
  </si>
  <si>
    <t>ELAINE PEREIRA DA SILVA</t>
  </si>
  <si>
    <t>KELLI CRISTINA ARAUJO</t>
  </si>
  <si>
    <t>ORY LAUX &amp; CIA LTDA</t>
  </si>
  <si>
    <t>TIAGO DIAS</t>
  </si>
  <si>
    <t>INDUSTRIA DE ALIMENTOS DU VALLE LTDA</t>
  </si>
  <si>
    <t>ANA CLAUDIA DE SOUZA ANGELO</t>
  </si>
  <si>
    <t>ANDERSON PADILHA DOS SANTOS</t>
  </si>
  <si>
    <t>ANDRE LEANDRO SCHNEIDER</t>
  </si>
  <si>
    <t>49.789.249 CAROLINE DOS SANTOS LUIZ</t>
  </si>
  <si>
    <t>CHURRASCARIA GARFO E BOMBACHA LTDA</t>
  </si>
  <si>
    <t>56.058.941 TAIS COSTA DE OLIVEIRA SILVA</t>
  </si>
  <si>
    <t>BENDITO SABOR LTDA</t>
  </si>
  <si>
    <t>SANDRA MARIA GEHLEN</t>
  </si>
  <si>
    <t>CARLOS EDUARDO SCHMITT</t>
  </si>
  <si>
    <t>LANCHERIA TIA JU LTDA</t>
  </si>
  <si>
    <t>PORTO SUSHI RESTAURANTE LTDA</t>
  </si>
  <si>
    <t>PMA COMERCIO DE BEBIDAS LTDA</t>
  </si>
  <si>
    <t>JULIA SILVA DOS SANTOS</t>
  </si>
  <si>
    <t>LIMAS MERCADO LTDA</t>
  </si>
  <si>
    <t>55.863.802 FRANCIELI RIBEIRO GOSS</t>
  </si>
  <si>
    <t>GISLAINE LOPES 00680937056</t>
  </si>
  <si>
    <t>FIN INDUSTRIA DE ALIMENTOS LTDA</t>
  </si>
  <si>
    <t>JC CENTRO TERAPEUTICO SALVANDO VIDAS LTD</t>
  </si>
  <si>
    <t>FATURAMENTO</t>
  </si>
  <si>
    <t xml:space="preserve">MÊS </t>
  </si>
  <si>
    <t>ID CLIENTE</t>
  </si>
  <si>
    <t>TELEVENDEDORA</t>
  </si>
  <si>
    <t>JULIANE DA SILVA CORRÊA</t>
  </si>
  <si>
    <r>
      <rPr>
        <b/>
        <sz val="9"/>
        <color rgb="FF000000"/>
        <rFont val="Calibri"/>
      </rPr>
      <t xml:space="preserve">DADOS DO DIA 30/04/2025 - </t>
    </r>
    <r>
      <rPr>
        <b/>
        <i/>
        <sz val="9"/>
        <color rgb="FF000000"/>
        <rFont val="Calibri"/>
      </rPr>
      <t>PAINEL CONSOLIDADO</t>
    </r>
  </si>
  <si>
    <t>Finalizado em 30/04 às 14:43</t>
  </si>
  <si>
    <t>&gt;&gt;&gt; Nova Coluna</t>
  </si>
  <si>
    <t>Conversão / Televendas</t>
  </si>
  <si>
    <t>Contatos Realizados (Não conta pra meta)</t>
  </si>
  <si>
    <t>META CONTATOS - DETERMINADA DE 15 À 30/04</t>
  </si>
  <si>
    <t>META POSITIVAÇÃO</t>
  </si>
  <si>
    <t>conversão total (Televendas + RCA)</t>
  </si>
  <si>
    <t>GAP</t>
  </si>
  <si>
    <r>
      <rPr>
        <b/>
        <sz val="11"/>
        <color rgb="FF000000"/>
        <rFont val="Calibri"/>
      </rPr>
      <t xml:space="preserve">DADOS DO DIA 01/06/2025 - </t>
    </r>
    <r>
      <rPr>
        <b/>
        <i/>
        <sz val="11"/>
        <color rgb="FF000000"/>
        <rFont val="Calibri"/>
      </rPr>
      <t>PAINEL CONSOLIDADO</t>
    </r>
  </si>
  <si>
    <t>META CONTATOS - DETERMINADA DE 04/05 À 29/05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</si>
</sst>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7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family val="2"/>
      <scheme val="minor"/>
    </font>
    <font>
      <sz val="8"/>
      <color theme="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Calibri"/>
      <family val="2"/>
    </font>
    <font>
      <sz val="8"/>
      <color rgb="FF000000"/>
      <name val="Calibri"/>
      <family val="2"/>
    </font>
    <font>
      <b/>
      <sz val="9"/>
      <color rgb="FFFF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8"/>
      <color rgb="FF000000"/>
      <name val="Calibri"/>
      <family val="2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color rgb="FF000000"/>
      <name val="Calibri"/>
    </font>
    <font>
      <sz val="9"/>
      <name val="Calibri"/>
    </font>
    <font>
      <sz val="9"/>
      <color rgb="FFFFFFFF"/>
      <name val="Calibri"/>
    </font>
    <font>
      <sz val="8"/>
      <color rgb="FF242424"/>
      <name val="Segoe UI"/>
      <family val="2"/>
    </font>
    <font>
      <sz val="9"/>
      <color rgb="FFFFFFFF"/>
      <name val="Calibri"/>
      <family val="2"/>
    </font>
    <font>
      <sz val="10"/>
      <color rgb="FFFFFFFF"/>
      <name val="Arial"/>
      <family val="2"/>
      <scheme val="minor"/>
    </font>
    <font>
      <sz val="8"/>
      <color rgb="FFFFFFFF"/>
      <name val="Arial"/>
      <family val="2"/>
      <scheme val="minor"/>
    </font>
    <font>
      <sz val="10"/>
      <color rgb="FFFF0000"/>
      <name val="Arial"/>
      <scheme val="minor"/>
    </font>
    <font>
      <b/>
      <sz val="8"/>
      <color rgb="FF000000"/>
      <name val="Arial"/>
      <family val="2"/>
      <scheme val="minor"/>
    </font>
    <font>
      <b/>
      <sz val="8"/>
      <color rgb="FFFFFFFF"/>
      <name val="Arial"/>
      <family val="2"/>
      <scheme val="minor"/>
    </font>
    <font>
      <b/>
      <sz val="9"/>
      <color rgb="FFFFFFFF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sz val="10"/>
      <color rgb="FF000000"/>
      <name val="Arial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Calibri"/>
      <family val="2"/>
    </font>
    <font>
      <sz val="10"/>
      <color rgb="FF000000"/>
      <name val="Arial Unicode MS"/>
    </font>
    <font>
      <sz val="11"/>
      <name val="Calibri"/>
      <charset val="1"/>
    </font>
    <font>
      <sz val="10"/>
      <color rgb="FF000000"/>
      <name val="Arial"/>
    </font>
    <font>
      <sz val="8"/>
      <name val="Arial"/>
      <scheme val="minor"/>
    </font>
    <font>
      <b/>
      <sz val="11"/>
      <name val="Calibri"/>
      <family val="2"/>
    </font>
    <font>
      <sz val="9"/>
      <color theme="0"/>
      <name val="Calibri"/>
    </font>
    <font>
      <b/>
      <sz val="9"/>
      <color theme="0"/>
      <name val="Calibri"/>
    </font>
    <font>
      <sz val="9"/>
      <color theme="1"/>
      <name val="Calibri"/>
    </font>
    <font>
      <sz val="8"/>
      <color rgb="FF000000"/>
      <name val="Calibri"/>
    </font>
    <font>
      <b/>
      <sz val="9"/>
      <color rgb="FF000000"/>
      <name val="Calibri"/>
    </font>
    <font>
      <b/>
      <i/>
      <sz val="9"/>
      <color rgb="FF000000"/>
      <name val="Calibri"/>
    </font>
    <font>
      <sz val="8"/>
      <color theme="1"/>
      <name val="Arial"/>
      <scheme val="minor"/>
    </font>
    <font>
      <b/>
      <sz val="14"/>
      <color rgb="FFFF0000"/>
      <name val="Calibri"/>
    </font>
    <font>
      <sz val="14"/>
      <color rgb="FF000000"/>
      <name val="Calibri"/>
    </font>
    <font>
      <b/>
      <sz val="9"/>
      <color rgb="FFFF0000"/>
      <name val="Calibri"/>
    </font>
    <font>
      <sz val="9"/>
      <color theme="0"/>
      <name val="Calibri"/>
      <family val="2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rgb="FF000000"/>
      <name val="Calibri"/>
    </font>
    <font>
      <b/>
      <i/>
      <sz val="11"/>
      <color rgb="FF000000"/>
      <name val="Calibri"/>
    </font>
    <font>
      <sz val="11"/>
      <color rgb="FF000000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134F5C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93D93"/>
        <bgColor rgb="FF000000"/>
      </patternFill>
    </fill>
    <fill>
      <patternFill patternType="solid">
        <fgColor rgb="FF093D93"/>
        <bgColor rgb="FF666666"/>
      </patternFill>
    </fill>
    <fill>
      <patternFill patternType="solid">
        <fgColor rgb="FF093D93"/>
        <bgColor rgb="FF134F5C"/>
      </patternFill>
    </fill>
    <fill>
      <patternFill patternType="solid">
        <fgColor rgb="FFFFFFFF"/>
        <bgColor rgb="FF000000"/>
      </patternFill>
    </fill>
    <fill>
      <patternFill patternType="solid">
        <fgColor rgb="FFFBBC04"/>
        <bgColor rgb="FF000000"/>
      </patternFill>
    </fill>
    <fill>
      <patternFill patternType="solid">
        <fgColor rgb="FFEA4335"/>
        <bgColor rgb="FF000000"/>
      </patternFill>
    </fill>
    <fill>
      <patternFill patternType="solid">
        <fgColor rgb="FFFDE49B"/>
        <bgColor rgb="FF000000"/>
      </patternFill>
    </fill>
    <fill>
      <patternFill patternType="solid">
        <fgColor rgb="FFFEF2CD"/>
        <bgColor rgb="FF000000"/>
      </patternFill>
    </fill>
    <fill>
      <patternFill patternType="solid">
        <fgColor rgb="FF4285F4"/>
        <bgColor rgb="FF000000"/>
      </patternFill>
    </fill>
    <fill>
      <patternFill patternType="solid">
        <fgColor rgb="FFFF6D0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dash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/>
      <top/>
      <bottom style="dashed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</borders>
  <cellStyleXfs count="3650">
    <xf numFmtId="0" fontId="0" fillId="0" borderId="0"/>
    <xf numFmtId="44" fontId="36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51" applyNumberFormat="0" applyFill="0" applyAlignment="0" applyProtection="0"/>
    <xf numFmtId="0" fontId="39" fillId="0" borderId="52" applyNumberFormat="0" applyFill="0" applyAlignment="0" applyProtection="0"/>
    <xf numFmtId="0" fontId="40" fillId="0" borderId="53" applyNumberFormat="0" applyFill="0" applyAlignment="0" applyProtection="0"/>
    <xf numFmtId="0" fontId="40" fillId="0" borderId="0" applyNumberFormat="0" applyFill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0" applyNumberFormat="0" applyBorder="0" applyAlignment="0" applyProtection="0"/>
    <xf numFmtId="0" fontId="44" fillId="22" borderId="54" applyNumberFormat="0" applyAlignment="0" applyProtection="0"/>
    <xf numFmtId="0" fontId="45" fillId="23" borderId="55" applyNumberFormat="0" applyAlignment="0" applyProtection="0"/>
    <xf numFmtId="0" fontId="46" fillId="23" borderId="54" applyNumberFormat="0" applyAlignment="0" applyProtection="0"/>
    <xf numFmtId="0" fontId="47" fillId="0" borderId="56" applyNumberFormat="0" applyFill="0" applyAlignment="0" applyProtection="0"/>
    <xf numFmtId="0" fontId="48" fillId="24" borderId="57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9" applyNumberFormat="0" applyFill="0" applyAlignment="0" applyProtection="0"/>
    <xf numFmtId="0" fontId="52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52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52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52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52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52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3" fillId="0" borderId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44" fontId="53" fillId="0" borderId="0" applyFont="0" applyFill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5" fillId="0" borderId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5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6" fillId="0" borderId="0"/>
    <xf numFmtId="44" fontId="36" fillId="0" borderId="0" applyFont="0" applyFill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53" fillId="0" borderId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3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5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36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3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1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48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48" borderId="0" applyNumberFormat="0" applyBorder="0" applyAlignment="0" applyProtection="0"/>
    <xf numFmtId="0" fontId="2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1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25" borderId="58" applyNumberFormat="0" applyFont="0" applyAlignment="0" applyProtection="0"/>
    <xf numFmtId="0" fontId="2" fillId="29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9" borderId="0" applyNumberFormat="0" applyBorder="0" applyAlignment="0" applyProtection="0"/>
    <xf numFmtId="0" fontId="2" fillId="25" borderId="58" applyNumberFormat="0" applyFont="0" applyAlignment="0" applyProtection="0"/>
    <xf numFmtId="0" fontId="2" fillId="43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35" borderId="0" applyNumberFormat="0" applyBorder="0" applyAlignment="0" applyProtection="0"/>
    <xf numFmtId="0" fontId="2" fillId="39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5" borderId="58" applyNumberFormat="0" applyFont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49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7" borderId="0" applyNumberFormat="0" applyBorder="0" applyAlignment="0" applyProtection="0"/>
    <xf numFmtId="0" fontId="2" fillId="33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0" borderId="0"/>
    <xf numFmtId="0" fontId="2" fillId="45" borderId="0" applyNumberFormat="0" applyBorder="0" applyAlignment="0" applyProtection="0"/>
    <xf numFmtId="0" fontId="2" fillId="36" borderId="0" applyNumberFormat="0" applyBorder="0" applyAlignment="0" applyProtection="0"/>
    <xf numFmtId="0" fontId="2" fillId="31" borderId="0" applyNumberFormat="0" applyBorder="0" applyAlignment="0" applyProtection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44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5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3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3" borderId="0" applyNumberFormat="0" applyBorder="0" applyAlignment="0" applyProtection="0"/>
    <xf numFmtId="0" fontId="2" fillId="47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37" borderId="0" applyNumberFormat="0" applyBorder="0" applyAlignment="0" applyProtection="0"/>
    <xf numFmtId="0" fontId="2" fillId="48" borderId="0" applyNumberFormat="0" applyBorder="0" applyAlignment="0" applyProtection="0"/>
    <xf numFmtId="44" fontId="55" fillId="0" borderId="0" applyFont="0" applyFill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0" borderId="0" applyNumberFormat="0" applyBorder="0" applyAlignment="0" applyProtection="0"/>
    <xf numFmtId="0" fontId="2" fillId="48" borderId="0" applyNumberFormat="0" applyBorder="0" applyAlignment="0" applyProtection="0"/>
    <xf numFmtId="0" fontId="2" fillId="48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4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2" borderId="0" applyNumberFormat="0" applyBorder="0" applyAlignment="0" applyProtection="0"/>
    <xf numFmtId="0" fontId="2" fillId="29" borderId="0" applyNumberFormat="0" applyBorder="0" applyAlignment="0" applyProtection="0"/>
    <xf numFmtId="0" fontId="2" fillId="2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43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7" borderId="0" applyNumberFormat="0" applyBorder="0" applyAlignment="0" applyProtection="0"/>
    <xf numFmtId="0" fontId="2" fillId="36" borderId="0" applyNumberFormat="0" applyBorder="0" applyAlignment="0" applyProtection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8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8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28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8" borderId="0" applyNumberFormat="0" applyBorder="0" applyAlignment="0" applyProtection="0"/>
    <xf numFmtId="0" fontId="2" fillId="43" borderId="0" applyNumberFormat="0" applyBorder="0" applyAlignment="0" applyProtection="0"/>
    <xf numFmtId="0" fontId="2" fillId="49" borderId="0" applyNumberFormat="0" applyBorder="0" applyAlignment="0" applyProtection="0"/>
    <xf numFmtId="0" fontId="2" fillId="33" borderId="0" applyNumberFormat="0" applyBorder="0" applyAlignment="0" applyProtection="0"/>
    <xf numFmtId="0" fontId="2" fillId="40" borderId="0" applyNumberFormat="0" applyBorder="0" applyAlignment="0" applyProtection="0"/>
    <xf numFmtId="0" fontId="2" fillId="39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8" borderId="0" applyNumberFormat="0" applyBorder="0" applyAlignment="0" applyProtection="0"/>
    <xf numFmtId="0" fontId="2" fillId="4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43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9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28" borderId="0" applyNumberFormat="0" applyBorder="0" applyAlignment="0" applyProtection="0"/>
    <xf numFmtId="0" fontId="2" fillId="4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45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27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35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5" borderId="58" applyNumberFormat="0" applyFont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1" borderId="0" applyNumberFormat="0" applyBorder="0" applyAlignment="0" applyProtection="0"/>
    <xf numFmtId="0" fontId="2" fillId="45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44" fontId="53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5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6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5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3" fillId="0" borderId="0" applyFont="0" applyFill="0" applyBorder="0" applyAlignment="0" applyProtection="0"/>
    <xf numFmtId="44" fontId="55" fillId="0" borderId="0" applyFont="0" applyFill="0" applyBorder="0" applyAlignment="0" applyProtection="0"/>
    <xf numFmtId="0" fontId="55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5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6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5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3" fillId="0" borderId="0" applyFont="0" applyFill="0" applyBorder="0" applyAlignment="0" applyProtection="0"/>
  </cellStyleXfs>
  <cellXfs count="299">
    <xf numFmtId="0" fontId="0" fillId="0" borderId="0" xfId="0"/>
    <xf numFmtId="0" fontId="8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0" fillId="6" borderId="0" xfId="0" applyFill="1"/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0" fillId="0" borderId="10" xfId="0" applyBorder="1"/>
    <xf numFmtId="0" fontId="0" fillId="0" borderId="17" xfId="0" applyBorder="1"/>
    <xf numFmtId="0" fontId="0" fillId="0" borderId="28" xfId="0" applyBorder="1"/>
    <xf numFmtId="0" fontId="0" fillId="0" borderId="29" xfId="0" applyBorder="1"/>
    <xf numFmtId="0" fontId="0" fillId="0" borderId="0" xfId="0" applyAlignment="1">
      <alignment horizontal="center" vertical="center"/>
    </xf>
    <xf numFmtId="0" fontId="8" fillId="3" borderId="31" xfId="0" applyFont="1" applyFill="1" applyBorder="1" applyAlignment="1">
      <alignment horizontal="center"/>
    </xf>
    <xf numFmtId="0" fontId="12" fillId="0" borderId="0" xfId="0" applyFont="1"/>
    <xf numFmtId="0" fontId="13" fillId="0" borderId="1" xfId="0" applyFont="1" applyBorder="1" applyAlignment="1">
      <alignment horizontal="center"/>
    </xf>
    <xf numFmtId="9" fontId="13" fillId="0" borderId="5" xfId="0" applyNumberFormat="1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/>
    </xf>
    <xf numFmtId="9" fontId="13" fillId="0" borderId="2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15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 applyAlignment="1">
      <alignment vertical="center"/>
    </xf>
    <xf numFmtId="0" fontId="5" fillId="2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9" fillId="0" borderId="0" xfId="0" applyFont="1"/>
    <xf numFmtId="0" fontId="12" fillId="0" borderId="41" xfId="0" applyFont="1" applyBorder="1" applyAlignment="1">
      <alignment vertical="center"/>
    </xf>
    <xf numFmtId="0" fontId="6" fillId="0" borderId="35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48" xfId="0" applyFont="1" applyBorder="1" applyAlignment="1">
      <alignment horizontal="center" vertical="center" wrapText="1"/>
    </xf>
    <xf numFmtId="0" fontId="21" fillId="0" borderId="48" xfId="0" applyFont="1" applyBorder="1" applyAlignment="1">
      <alignment horizontal="right" vertical="center" wrapText="1"/>
    </xf>
    <xf numFmtId="0" fontId="0" fillId="0" borderId="48" xfId="0" applyBorder="1" applyAlignment="1">
      <alignment vertical="center" wrapText="1"/>
    </xf>
    <xf numFmtId="0" fontId="0" fillId="0" borderId="48" xfId="0" applyBorder="1" applyAlignment="1">
      <alignment horizontal="right" vertical="center" wrapText="1"/>
    </xf>
    <xf numFmtId="3" fontId="0" fillId="0" borderId="48" xfId="0" applyNumberFormat="1" applyBorder="1" applyAlignment="1">
      <alignment horizontal="right" vertical="center" wrapText="1"/>
    </xf>
    <xf numFmtId="9" fontId="21" fillId="0" borderId="48" xfId="0" applyNumberFormat="1" applyFont="1" applyBorder="1" applyAlignment="1">
      <alignment horizontal="right" vertical="center" wrapText="1"/>
    </xf>
    <xf numFmtId="0" fontId="0" fillId="0" borderId="48" xfId="0" applyBorder="1"/>
    <xf numFmtId="8" fontId="0" fillId="0" borderId="48" xfId="0" applyNumberFormat="1" applyBorder="1"/>
    <xf numFmtId="9" fontId="0" fillId="0" borderId="48" xfId="0" applyNumberFormat="1" applyBorder="1"/>
    <xf numFmtId="0" fontId="10" fillId="7" borderId="0" xfId="0" applyFont="1" applyFill="1"/>
    <xf numFmtId="0" fontId="22" fillId="0" borderId="48" xfId="0" applyFont="1" applyBorder="1" applyAlignment="1">
      <alignment vertical="center" wrapText="1"/>
    </xf>
    <xf numFmtId="0" fontId="22" fillId="0" borderId="48" xfId="0" applyFont="1" applyBorder="1"/>
    <xf numFmtId="0" fontId="23" fillId="2" borderId="48" xfId="0" applyFont="1" applyFill="1" applyBorder="1" applyAlignment="1">
      <alignment horizontal="center"/>
    </xf>
    <xf numFmtId="0" fontId="24" fillId="0" borderId="48" xfId="0" applyFont="1" applyBorder="1" applyAlignment="1">
      <alignment horizontal="center"/>
    </xf>
    <xf numFmtId="9" fontId="24" fillId="0" borderId="48" xfId="0" applyNumberFormat="1" applyFont="1" applyBorder="1" applyAlignment="1">
      <alignment horizontal="center"/>
    </xf>
    <xf numFmtId="0" fontId="12" fillId="2" borderId="48" xfId="0" applyFont="1" applyFill="1" applyBorder="1" applyAlignment="1">
      <alignment horizontal="center"/>
    </xf>
    <xf numFmtId="0" fontId="25" fillId="8" borderId="48" xfId="0" applyFont="1" applyFill="1" applyBorder="1" applyAlignment="1">
      <alignment horizontal="center"/>
    </xf>
    <xf numFmtId="9" fontId="25" fillId="8" borderId="48" xfId="0" applyNumberFormat="1" applyFont="1" applyFill="1" applyBorder="1" applyAlignment="1">
      <alignment horizontal="center"/>
    </xf>
    <xf numFmtId="0" fontId="27" fillId="8" borderId="48" xfId="0" applyFont="1" applyFill="1" applyBorder="1" applyAlignment="1">
      <alignment horizontal="center"/>
    </xf>
    <xf numFmtId="9" fontId="27" fillId="8" borderId="48" xfId="0" applyNumberFormat="1" applyFont="1" applyFill="1" applyBorder="1" applyAlignment="1">
      <alignment horizontal="center"/>
    </xf>
    <xf numFmtId="0" fontId="13" fillId="7" borderId="48" xfId="0" applyFont="1" applyFill="1" applyBorder="1" applyAlignment="1">
      <alignment horizontal="center"/>
    </xf>
    <xf numFmtId="9" fontId="13" fillId="7" borderId="48" xfId="0" applyNumberFormat="1" applyFont="1" applyFill="1" applyBorder="1" applyAlignment="1">
      <alignment horizontal="center"/>
    </xf>
    <xf numFmtId="0" fontId="0" fillId="7" borderId="48" xfId="0" applyFill="1" applyBorder="1"/>
    <xf numFmtId="0" fontId="26" fillId="7" borderId="48" xfId="0" applyFont="1" applyFill="1" applyBorder="1"/>
    <xf numFmtId="0" fontId="10" fillId="7" borderId="49" xfId="0" applyFont="1" applyFill="1" applyBorder="1"/>
    <xf numFmtId="0" fontId="26" fillId="7" borderId="49" xfId="0" applyFont="1" applyFill="1" applyBorder="1"/>
    <xf numFmtId="0" fontId="9" fillId="0" borderId="2" xfId="0" applyFont="1" applyBorder="1" applyAlignment="1">
      <alignment horizontal="center"/>
    </xf>
    <xf numFmtId="0" fontId="28" fillId="9" borderId="2" xfId="0" applyFont="1" applyFill="1" applyBorder="1" applyAlignment="1">
      <alignment horizontal="center"/>
    </xf>
    <xf numFmtId="0" fontId="29" fillId="10" borderId="35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29" fillId="10" borderId="36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 applyAlignment="1">
      <alignment horizontal="center"/>
    </xf>
    <xf numFmtId="0" fontId="10" fillId="12" borderId="2" xfId="0" applyFont="1" applyFill="1" applyBorder="1" applyAlignment="1">
      <alignment horizontal="center"/>
    </xf>
    <xf numFmtId="0" fontId="0" fillId="11" borderId="0" xfId="0" applyFill="1"/>
    <xf numFmtId="0" fontId="0" fillId="11" borderId="2" xfId="0" applyFill="1" applyBorder="1" applyAlignment="1">
      <alignment horizontal="center"/>
    </xf>
    <xf numFmtId="14" fontId="0" fillId="11" borderId="2" xfId="0" applyNumberFormat="1" applyFill="1" applyBorder="1" applyAlignment="1">
      <alignment horizontal="center"/>
    </xf>
    <xf numFmtId="0" fontId="28" fillId="9" borderId="7" xfId="0" applyFont="1" applyFill="1" applyBorder="1" applyAlignment="1">
      <alignment horizontal="center"/>
    </xf>
    <xf numFmtId="0" fontId="9" fillId="2" borderId="35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0" fontId="9" fillId="0" borderId="39" xfId="0" applyFont="1" applyBorder="1" applyAlignment="1">
      <alignment horizontal="center"/>
    </xf>
    <xf numFmtId="0" fontId="32" fillId="13" borderId="0" xfId="0" applyFont="1" applyFill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14" fontId="0" fillId="14" borderId="2" xfId="0" applyNumberForma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11" borderId="33" xfId="0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0" xfId="0" applyFill="1" applyAlignment="1">
      <alignment horizontal="center"/>
    </xf>
    <xf numFmtId="0" fontId="9" fillId="11" borderId="0" xfId="0" applyFont="1" applyFill="1" applyAlignment="1">
      <alignment horizontal="center"/>
    </xf>
    <xf numFmtId="0" fontId="0" fillId="15" borderId="2" xfId="0" applyFill="1" applyBorder="1" applyAlignment="1">
      <alignment horizontal="center"/>
    </xf>
    <xf numFmtId="0" fontId="9" fillId="15" borderId="2" xfId="0" applyFont="1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14" fontId="0" fillId="15" borderId="2" xfId="0" applyNumberFormat="1" applyFill="1" applyBorder="1" applyAlignment="1">
      <alignment horizontal="center"/>
    </xf>
    <xf numFmtId="14" fontId="0" fillId="11" borderId="2" xfId="0" applyNumberFormat="1" applyFill="1" applyBorder="1" applyAlignment="1">
      <alignment horizontal="center" wrapText="1"/>
    </xf>
    <xf numFmtId="0" fontId="9" fillId="11" borderId="16" xfId="0" applyFont="1" applyFill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11" borderId="2" xfId="0" applyFont="1" applyFill="1" applyBorder="1" applyAlignment="1">
      <alignment horizontal="center"/>
    </xf>
    <xf numFmtId="14" fontId="22" fillId="11" borderId="2" xfId="0" applyNumberFormat="1" applyFont="1" applyFill="1" applyBorder="1" applyAlignment="1">
      <alignment horizontal="center"/>
    </xf>
    <xf numFmtId="0" fontId="22" fillId="0" borderId="2" xfId="0" applyFont="1" applyBorder="1" applyAlignment="1">
      <alignment horizontal="center"/>
    </xf>
    <xf numFmtId="0" fontId="22" fillId="15" borderId="2" xfId="0" applyFont="1" applyFill="1" applyBorder="1" applyAlignment="1">
      <alignment horizontal="center"/>
    </xf>
    <xf numFmtId="14" fontId="22" fillId="15" borderId="2" xfId="0" applyNumberFormat="1" applyFont="1" applyFill="1" applyBorder="1" applyAlignment="1">
      <alignment horizontal="center"/>
    </xf>
    <xf numFmtId="0" fontId="22" fillId="11" borderId="16" xfId="0" applyFont="1" applyFill="1" applyBorder="1" applyAlignment="1">
      <alignment horizontal="center"/>
    </xf>
    <xf numFmtId="14" fontId="22" fillId="11" borderId="16" xfId="0" applyNumberFormat="1" applyFont="1" applyFill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2" xfId="0" applyFont="1" applyBorder="1"/>
    <xf numFmtId="0" fontId="22" fillId="11" borderId="0" xfId="0" applyFont="1" applyFill="1" applyAlignment="1">
      <alignment horizontal="center"/>
    </xf>
    <xf numFmtId="0" fontId="27" fillId="8" borderId="0" xfId="0" applyFont="1" applyFill="1" applyAlignment="1">
      <alignment horizontal="center"/>
    </xf>
    <xf numFmtId="0" fontId="27" fillId="8" borderId="43" xfId="0" applyFont="1" applyFill="1" applyBorder="1" applyAlignment="1">
      <alignment horizontal="center"/>
    </xf>
    <xf numFmtId="0" fontId="27" fillId="8" borderId="44" xfId="0" applyFont="1" applyFill="1" applyBorder="1" applyAlignment="1">
      <alignment horizontal="center"/>
    </xf>
    <xf numFmtId="0" fontId="27" fillId="16" borderId="2" xfId="0" applyFont="1" applyFill="1" applyBorder="1" applyAlignment="1">
      <alignment horizontal="center"/>
    </xf>
    <xf numFmtId="0" fontId="27" fillId="17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27" fillId="8" borderId="3" xfId="0" applyFont="1" applyFill="1" applyBorder="1" applyAlignment="1">
      <alignment horizontal="center"/>
    </xf>
    <xf numFmtId="0" fontId="27" fillId="8" borderId="1" xfId="0" applyFont="1" applyFill="1" applyBorder="1" applyAlignment="1">
      <alignment horizontal="center"/>
    </xf>
    <xf numFmtId="9" fontId="27" fillId="8" borderId="5" xfId="0" applyNumberFormat="1" applyFont="1" applyFill="1" applyBorder="1" applyAlignment="1">
      <alignment horizontal="center"/>
    </xf>
    <xf numFmtId="0" fontId="27" fillId="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 wrapText="1"/>
    </xf>
    <xf numFmtId="0" fontId="33" fillId="8" borderId="14" xfId="0" applyFont="1" applyFill="1" applyBorder="1" applyAlignment="1">
      <alignment horizontal="center" vertical="center"/>
    </xf>
    <xf numFmtId="0" fontId="27" fillId="8" borderId="31" xfId="0" applyFont="1" applyFill="1" applyBorder="1" applyAlignment="1">
      <alignment horizontal="center"/>
    </xf>
    <xf numFmtId="0" fontId="27" fillId="8" borderId="32" xfId="0" applyFont="1" applyFill="1" applyBorder="1" applyAlignment="1">
      <alignment horizontal="center"/>
    </xf>
    <xf numFmtId="9" fontId="27" fillId="8" borderId="2" xfId="0" applyNumberFormat="1" applyFont="1" applyFill="1" applyBorder="1" applyAlignment="1">
      <alignment horizontal="center"/>
    </xf>
    <xf numFmtId="0" fontId="22" fillId="14" borderId="2" xfId="0" applyFont="1" applyFill="1" applyBorder="1" applyAlignment="1">
      <alignment horizontal="center"/>
    </xf>
    <xf numFmtId="14" fontId="22" fillId="14" borderId="2" xfId="0" applyNumberFormat="1" applyFont="1" applyFill="1" applyBorder="1" applyAlignment="1">
      <alignment horizontal="center"/>
    </xf>
    <xf numFmtId="0" fontId="22" fillId="11" borderId="2" xfId="0" applyFont="1" applyFill="1" applyBorder="1" applyAlignment="1">
      <alignment horizontal="center" wrapText="1"/>
    </xf>
    <xf numFmtId="14" fontId="22" fillId="0" borderId="2" xfId="0" applyNumberFormat="1" applyFont="1" applyBorder="1" applyAlignment="1">
      <alignment horizontal="center"/>
    </xf>
    <xf numFmtId="44" fontId="0" fillId="0" borderId="48" xfId="0" applyNumberFormat="1" applyBorder="1"/>
    <xf numFmtId="0" fontId="0" fillId="13" borderId="2" xfId="0" applyFill="1" applyBorder="1" applyAlignment="1">
      <alignment horizontal="center"/>
    </xf>
    <xf numFmtId="0" fontId="9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 wrapText="1"/>
    </xf>
    <xf numFmtId="14" fontId="0" fillId="13" borderId="2" xfId="0" applyNumberFormat="1" applyFill="1" applyBorder="1" applyAlignment="1">
      <alignment horizontal="center"/>
    </xf>
    <xf numFmtId="10" fontId="22" fillId="0" borderId="48" xfId="0" applyNumberFormat="1" applyFont="1" applyBorder="1"/>
    <xf numFmtId="10" fontId="54" fillId="0" borderId="48" xfId="0" applyNumberFormat="1" applyFont="1" applyBorder="1" applyAlignment="1">
      <alignment vertical="center"/>
    </xf>
    <xf numFmtId="0" fontId="56" fillId="50" borderId="48" xfId="306" applyFont="1" applyFill="1" applyBorder="1" applyAlignment="1">
      <alignment horizontal="center"/>
    </xf>
    <xf numFmtId="0" fontId="56" fillId="50" borderId="48" xfId="306" applyFont="1" applyFill="1" applyBorder="1" applyAlignment="1">
      <alignment horizontal="center" wrapText="1"/>
    </xf>
    <xf numFmtId="0" fontId="56" fillId="52" borderId="48" xfId="306" applyFont="1" applyFill="1" applyBorder="1" applyAlignment="1">
      <alignment horizontal="center"/>
    </xf>
    <xf numFmtId="0" fontId="56" fillId="51" borderId="48" xfId="306" applyFont="1" applyFill="1" applyBorder="1" applyAlignment="1">
      <alignment horizontal="center"/>
    </xf>
    <xf numFmtId="0" fontId="56" fillId="7" borderId="48" xfId="306" applyFont="1" applyFill="1" applyBorder="1" applyAlignment="1">
      <alignment horizontal="center"/>
    </xf>
    <xf numFmtId="0" fontId="0" fillId="5" borderId="60" xfId="0" applyFill="1" applyBorder="1" applyAlignment="1">
      <alignment horizontal="center"/>
    </xf>
    <xf numFmtId="0" fontId="55" fillId="0" borderId="48" xfId="306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58" fillId="53" borderId="48" xfId="306" applyFont="1" applyFill="1" applyBorder="1" applyAlignment="1">
      <alignment horizontal="center"/>
    </xf>
    <xf numFmtId="44" fontId="58" fillId="53" borderId="48" xfId="1" applyFont="1" applyFill="1" applyBorder="1" applyAlignment="1">
      <alignment horizontal="center"/>
    </xf>
    <xf numFmtId="44" fontId="55" fillId="7" borderId="48" xfId="1" applyFont="1" applyFill="1" applyBorder="1" applyAlignment="1">
      <alignment horizontal="center"/>
    </xf>
    <xf numFmtId="44" fontId="55" fillId="51" borderId="48" xfId="1" applyFont="1" applyFill="1" applyBorder="1" applyAlignment="1">
      <alignment horizontal="center"/>
    </xf>
    <xf numFmtId="44" fontId="0" fillId="5" borderId="62" xfId="1" applyFont="1" applyFill="1" applyBorder="1" applyAlignment="1">
      <alignment horizontal="center"/>
    </xf>
    <xf numFmtId="44" fontId="0" fillId="5" borderId="60" xfId="1" applyFont="1" applyFill="1" applyBorder="1" applyAlignment="1">
      <alignment horizontal="center"/>
    </xf>
    <xf numFmtId="44" fontId="0" fillId="0" borderId="48" xfId="1" applyFont="1" applyBorder="1"/>
    <xf numFmtId="0" fontId="23" fillId="5" borderId="0" xfId="0" applyFont="1" applyFill="1"/>
    <xf numFmtId="0" fontId="23" fillId="5" borderId="0" xfId="0" applyFont="1" applyFill="1" applyAlignment="1">
      <alignment horizontal="center"/>
    </xf>
    <xf numFmtId="0" fontId="59" fillId="3" borderId="2" xfId="0" applyFont="1" applyFill="1" applyBorder="1" applyAlignment="1">
      <alignment horizontal="center"/>
    </xf>
    <xf numFmtId="0" fontId="23" fillId="0" borderId="0" xfId="0" applyFont="1"/>
    <xf numFmtId="0" fontId="59" fillId="3" borderId="4" xfId="0" applyFont="1" applyFill="1" applyBorder="1" applyAlignment="1">
      <alignment horizontal="center"/>
    </xf>
    <xf numFmtId="0" fontId="59" fillId="3" borderId="63" xfId="0" applyFont="1" applyFill="1" applyBorder="1" applyAlignment="1">
      <alignment horizontal="center"/>
    </xf>
    <xf numFmtId="0" fontId="59" fillId="51" borderId="2" xfId="0" applyFont="1" applyFill="1" applyBorder="1" applyAlignment="1">
      <alignment horizontal="center"/>
    </xf>
    <xf numFmtId="0" fontId="59" fillId="54" borderId="2" xfId="0" applyFont="1" applyFill="1" applyBorder="1" applyAlignment="1">
      <alignment horizontal="center"/>
    </xf>
    <xf numFmtId="0" fontId="61" fillId="2" borderId="2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9" fontId="24" fillId="0" borderId="5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5" borderId="2" xfId="0" applyFont="1" applyFill="1" applyBorder="1" applyAlignment="1">
      <alignment horizontal="center"/>
    </xf>
    <xf numFmtId="0" fontId="59" fillId="3" borderId="3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9" fontId="59" fillId="3" borderId="5" xfId="0" applyNumberFormat="1" applyFont="1" applyFill="1" applyBorder="1" applyAlignment="1">
      <alignment horizontal="center"/>
    </xf>
    <xf numFmtId="0" fontId="59" fillId="5" borderId="0" xfId="0" applyFont="1" applyFill="1" applyAlignment="1">
      <alignment horizontal="center"/>
    </xf>
    <xf numFmtId="9" fontId="59" fillId="5" borderId="0" xfId="0" applyNumberFormat="1" applyFont="1" applyFill="1" applyAlignment="1">
      <alignment horizontal="center"/>
    </xf>
    <xf numFmtId="0" fontId="62" fillId="0" borderId="0" xfId="0" applyFont="1" applyAlignment="1">
      <alignment horizontal="center"/>
    </xf>
    <xf numFmtId="0" fontId="60" fillId="3" borderId="16" xfId="0" applyFont="1" applyFill="1" applyBorder="1" applyAlignment="1">
      <alignment horizontal="center" vertical="center"/>
    </xf>
    <xf numFmtId="0" fontId="60" fillId="3" borderId="15" xfId="0" applyFont="1" applyFill="1" applyBorder="1" applyAlignment="1">
      <alignment horizontal="center" vertical="center" wrapText="1"/>
    </xf>
    <xf numFmtId="0" fontId="60" fillId="3" borderId="15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5" borderId="2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/>
    </xf>
    <xf numFmtId="0" fontId="23" fillId="55" borderId="2" xfId="0" applyFont="1" applyFill="1" applyBorder="1" applyAlignment="1">
      <alignment horizontal="center"/>
    </xf>
    <xf numFmtId="0" fontId="66" fillId="0" borderId="0" xfId="0" applyFont="1"/>
    <xf numFmtId="0" fontId="67" fillId="0" borderId="0" xfId="0" applyFont="1"/>
    <xf numFmtId="0" fontId="67" fillId="6" borderId="0" xfId="0" applyFont="1" applyFill="1"/>
    <xf numFmtId="0" fontId="23" fillId="6" borderId="0" xfId="0" applyFont="1" applyFill="1"/>
    <xf numFmtId="0" fontId="68" fillId="0" borderId="0" xfId="0" applyFont="1"/>
    <xf numFmtId="2" fontId="23" fillId="0" borderId="0" xfId="0" applyNumberFormat="1" applyFont="1"/>
    <xf numFmtId="0" fontId="65" fillId="0" borderId="0" xfId="0" applyFont="1" applyAlignment="1">
      <alignment horizontal="center"/>
    </xf>
    <xf numFmtId="0" fontId="65" fillId="0" borderId="5" xfId="0" applyFont="1" applyBorder="1" applyAlignment="1">
      <alignment horizontal="center"/>
    </xf>
    <xf numFmtId="0" fontId="6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61" fillId="0" borderId="2" xfId="0" applyFont="1" applyBorder="1" applyAlignment="1">
      <alignment horizontal="center"/>
    </xf>
    <xf numFmtId="0" fontId="61" fillId="0" borderId="17" xfId="0" applyFont="1" applyBorder="1" applyAlignment="1">
      <alignment horizontal="center"/>
    </xf>
    <xf numFmtId="0" fontId="65" fillId="5" borderId="2" xfId="0" applyFont="1" applyFill="1" applyBorder="1" applyAlignment="1">
      <alignment horizontal="center"/>
    </xf>
    <xf numFmtId="0" fontId="65" fillId="0" borderId="2" xfId="0" applyFont="1" applyBorder="1" applyAlignment="1">
      <alignment horizontal="center"/>
    </xf>
    <xf numFmtId="0" fontId="65" fillId="0" borderId="17" xfId="0" applyFont="1" applyBorder="1" applyAlignment="1">
      <alignment horizontal="center"/>
    </xf>
    <xf numFmtId="0" fontId="60" fillId="3" borderId="14" xfId="0" applyFont="1" applyFill="1" applyBorder="1" applyAlignment="1">
      <alignment horizontal="center" vertical="center"/>
    </xf>
    <xf numFmtId="0" fontId="59" fillId="3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9" fillId="3" borderId="32" xfId="0" applyFont="1" applyFill="1" applyBorder="1" applyAlignment="1">
      <alignment horizontal="center"/>
    </xf>
    <xf numFmtId="0" fontId="24" fillId="0" borderId="2" xfId="0" applyFont="1" applyBorder="1" applyAlignment="1">
      <alignment horizontal="center"/>
    </xf>
    <xf numFmtId="9" fontId="24" fillId="0" borderId="2" xfId="0" applyNumberFormat="1" applyFont="1" applyBorder="1" applyAlignment="1">
      <alignment horizontal="center"/>
    </xf>
    <xf numFmtId="9" fontId="59" fillId="3" borderId="2" xfId="0" applyNumberFormat="1" applyFont="1" applyFill="1" applyBorder="1" applyAlignment="1">
      <alignment horizontal="center"/>
    </xf>
    <xf numFmtId="0" fontId="69" fillId="3" borderId="2" xfId="0" applyFont="1" applyFill="1" applyBorder="1" applyAlignment="1">
      <alignment horizontal="center"/>
    </xf>
    <xf numFmtId="0" fontId="69" fillId="3" borderId="43" xfId="0" applyFont="1" applyFill="1" applyBorder="1" applyAlignment="1">
      <alignment horizontal="center"/>
    </xf>
    <xf numFmtId="0" fontId="69" fillId="3" borderId="44" xfId="0" applyFont="1" applyFill="1" applyBorder="1" applyAlignment="1">
      <alignment horizontal="center"/>
    </xf>
    <xf numFmtId="0" fontId="69" fillId="51" borderId="2" xfId="0" applyFont="1" applyFill="1" applyBorder="1" applyAlignment="1">
      <alignment horizontal="center"/>
    </xf>
    <xf numFmtId="0" fontId="69" fillId="54" borderId="2" xfId="0" applyFont="1" applyFill="1" applyBorder="1" applyAlignment="1">
      <alignment horizontal="center"/>
    </xf>
    <xf numFmtId="0" fontId="71" fillId="2" borderId="2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center"/>
    </xf>
    <xf numFmtId="0" fontId="69" fillId="3" borderId="3" xfId="0" applyFont="1" applyFill="1" applyBorder="1" applyAlignment="1">
      <alignment horizontal="center"/>
    </xf>
    <xf numFmtId="0" fontId="69" fillId="3" borderId="1" xfId="0" applyFont="1" applyFill="1" applyBorder="1" applyAlignment="1">
      <alignment horizontal="center"/>
    </xf>
    <xf numFmtId="9" fontId="69" fillId="3" borderId="5" xfId="0" applyNumberFormat="1" applyFont="1" applyFill="1" applyBorder="1" applyAlignment="1">
      <alignment horizontal="center"/>
    </xf>
    <xf numFmtId="0" fontId="72" fillId="0" borderId="0" xfId="0" applyFont="1" applyAlignment="1">
      <alignment horizontal="center"/>
    </xf>
    <xf numFmtId="0" fontId="70" fillId="3" borderId="15" xfId="0" applyFont="1" applyFill="1" applyBorder="1" applyAlignment="1">
      <alignment horizontal="center" vertical="center"/>
    </xf>
    <xf numFmtId="0" fontId="12" fillId="55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2" fillId="55" borderId="2" xfId="0" applyFont="1" applyFill="1" applyBorder="1" applyAlignment="1">
      <alignment horizontal="center"/>
    </xf>
    <xf numFmtId="2" fontId="75" fillId="0" borderId="0" xfId="0" applyNumberFormat="1" applyFont="1"/>
    <xf numFmtId="0" fontId="70" fillId="3" borderId="15" xfId="0" applyFont="1" applyFill="1" applyBorder="1" applyAlignment="1">
      <alignment horizontal="center" vertical="center" wrapText="1"/>
    </xf>
    <xf numFmtId="0" fontId="70" fillId="3" borderId="14" xfId="0" applyFont="1" applyFill="1" applyBorder="1" applyAlignment="1">
      <alignment horizontal="center" vertical="center"/>
    </xf>
    <xf numFmtId="0" fontId="69" fillId="3" borderId="0" xfId="0" applyFont="1" applyFill="1" applyAlignment="1">
      <alignment horizontal="center"/>
    </xf>
    <xf numFmtId="0" fontId="69" fillId="3" borderId="31" xfId="0" applyFont="1" applyFill="1" applyBorder="1" applyAlignment="1">
      <alignment horizontal="center"/>
    </xf>
    <xf numFmtId="0" fontId="69" fillId="3" borderId="32" xfId="0" applyFont="1" applyFill="1" applyBorder="1" applyAlignment="1">
      <alignment horizontal="center"/>
    </xf>
    <xf numFmtId="9" fontId="69" fillId="3" borderId="2" xfId="0" applyNumberFormat="1" applyFont="1" applyFill="1" applyBorder="1" applyAlignment="1">
      <alignment horizontal="center"/>
    </xf>
    <xf numFmtId="0" fontId="60" fillId="3" borderId="2" xfId="0" applyFont="1" applyFill="1" applyBorder="1" applyAlignment="1">
      <alignment horizontal="center"/>
    </xf>
    <xf numFmtId="0" fontId="63" fillId="6" borderId="11" xfId="0" applyFont="1" applyFill="1" applyBorder="1" applyAlignment="1">
      <alignment horizontal="center"/>
    </xf>
    <xf numFmtId="0" fontId="63" fillId="6" borderId="12" xfId="0" applyFont="1" applyFill="1" applyBorder="1" applyAlignment="1">
      <alignment horizontal="center"/>
    </xf>
    <xf numFmtId="0" fontId="63" fillId="6" borderId="13" xfId="0" applyFont="1" applyFill="1" applyBorder="1" applyAlignment="1">
      <alignment horizontal="center"/>
    </xf>
    <xf numFmtId="0" fontId="59" fillId="3" borderId="2" xfId="0" applyFont="1" applyFill="1" applyBorder="1" applyAlignment="1">
      <alignment horizontal="center"/>
    </xf>
    <xf numFmtId="0" fontId="70" fillId="3" borderId="2" xfId="0" applyFont="1" applyFill="1" applyBorder="1" applyAlignment="1">
      <alignment horizontal="center"/>
    </xf>
    <xf numFmtId="0" fontId="69" fillId="3" borderId="2" xfId="0" applyFont="1" applyFill="1" applyBorder="1" applyAlignment="1">
      <alignment horizontal="center"/>
    </xf>
    <xf numFmtId="0" fontId="73" fillId="6" borderId="11" xfId="0" applyFont="1" applyFill="1" applyBorder="1" applyAlignment="1">
      <alignment horizontal="center"/>
    </xf>
    <xf numFmtId="0" fontId="73" fillId="6" borderId="12" xfId="0" applyFont="1" applyFill="1" applyBorder="1" applyAlignment="1">
      <alignment horizontal="center"/>
    </xf>
    <xf numFmtId="0" fontId="73" fillId="6" borderId="13" xfId="0" applyFont="1" applyFill="1" applyBorder="1" applyAlignment="1">
      <alignment horizontal="center"/>
    </xf>
    <xf numFmtId="0" fontId="14" fillId="6" borderId="11" xfId="0" applyFont="1" applyFill="1" applyBorder="1" applyAlignment="1">
      <alignment horizontal="center"/>
    </xf>
    <xf numFmtId="0" fontId="14" fillId="6" borderId="12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/>
    </xf>
    <xf numFmtId="0" fontId="69" fillId="3" borderId="40" xfId="0" applyFont="1" applyFill="1" applyBorder="1" applyAlignment="1">
      <alignment horizontal="center"/>
    </xf>
    <xf numFmtId="0" fontId="69" fillId="3" borderId="34" xfId="0" applyFont="1" applyFill="1" applyBorder="1" applyAlignment="1">
      <alignment horizontal="center"/>
    </xf>
    <xf numFmtId="0" fontId="69" fillId="3" borderId="42" xfId="0" applyFont="1" applyFill="1" applyBorder="1" applyAlignment="1">
      <alignment horizontal="center"/>
    </xf>
    <xf numFmtId="0" fontId="34" fillId="12" borderId="11" xfId="0" applyFont="1" applyFill="1" applyBorder="1" applyAlignment="1">
      <alignment horizontal="center"/>
    </xf>
    <xf numFmtId="0" fontId="34" fillId="12" borderId="12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14" fillId="12" borderId="12" xfId="0" applyFont="1" applyFill="1" applyBorder="1" applyAlignment="1">
      <alignment horizontal="center"/>
    </xf>
    <xf numFmtId="0" fontId="33" fillId="8" borderId="17" xfId="0" applyFont="1" applyFill="1" applyBorder="1" applyAlignment="1">
      <alignment horizontal="center"/>
    </xf>
    <xf numFmtId="0" fontId="33" fillId="8" borderId="34" xfId="0" applyFont="1" applyFill="1" applyBorder="1" applyAlignment="1">
      <alignment horizontal="center"/>
    </xf>
    <xf numFmtId="0" fontId="27" fillId="8" borderId="17" xfId="0" applyFont="1" applyFill="1" applyBorder="1" applyAlignment="1">
      <alignment horizontal="center"/>
    </xf>
    <xf numFmtId="0" fontId="27" fillId="8" borderId="34" xfId="0" applyFont="1" applyFill="1" applyBorder="1" applyAlignment="1">
      <alignment horizontal="center"/>
    </xf>
    <xf numFmtId="0" fontId="27" fillId="8" borderId="42" xfId="0" applyFont="1" applyFill="1" applyBorder="1" applyAlignment="1">
      <alignment horizontal="center"/>
    </xf>
    <xf numFmtId="0" fontId="14" fillId="12" borderId="13" xfId="0" applyFont="1" applyFill="1" applyBorder="1" applyAlignment="1">
      <alignment horizontal="center"/>
    </xf>
    <xf numFmtId="0" fontId="27" fillId="8" borderId="40" xfId="0" applyFont="1" applyFill="1" applyBorder="1" applyAlignment="1">
      <alignment horizontal="center"/>
    </xf>
    <xf numFmtId="0" fontId="9" fillId="0" borderId="50" xfId="0" applyFont="1" applyBorder="1"/>
    <xf numFmtId="0" fontId="9" fillId="0" borderId="0" xfId="0" applyFont="1"/>
    <xf numFmtId="0" fontId="0" fillId="0" borderId="0" xfId="0"/>
    <xf numFmtId="0" fontId="31" fillId="12" borderId="45" xfId="0" applyFont="1" applyFill="1" applyBorder="1" applyAlignment="1">
      <alignment horizontal="center"/>
    </xf>
    <xf numFmtId="0" fontId="31" fillId="12" borderId="46" xfId="0" applyFont="1" applyFill="1" applyBorder="1" applyAlignment="1">
      <alignment horizontal="center"/>
    </xf>
    <xf numFmtId="0" fontId="31" fillId="12" borderId="47" xfId="0" applyFont="1" applyFill="1" applyBorder="1" applyAlignment="1">
      <alignment horizontal="center"/>
    </xf>
    <xf numFmtId="0" fontId="22" fillId="0" borderId="0" xfId="0" applyFont="1"/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30" xfId="0" applyFill="1" applyBorder="1" applyAlignment="1">
      <alignment horizontal="center"/>
    </xf>
    <xf numFmtId="0" fontId="0" fillId="0" borderId="24" xfId="0" applyBorder="1" applyAlignment="1">
      <alignment horizontal="center"/>
    </xf>
  </cellXfs>
  <cellStyles count="3650">
    <cellStyle name="20% - Ênfase1" xfId="19" builtinId="30" customBuiltin="1"/>
    <cellStyle name="20% - Ênfase1 10" xfId="208" xr:uid="{03F3DDFE-B458-4B3A-95E4-88076EE1643A}"/>
    <cellStyle name="20% - Ênfase1 10 2" xfId="814" xr:uid="{A71D94BF-7D49-402C-B6CA-14657A068BA3}"/>
    <cellStyle name="20% - Ênfase1 10 2 2" xfId="1417" xr:uid="{FC3726ED-3142-49C6-B600-E1DDA6F9014B}"/>
    <cellStyle name="20% - Ênfase1 10 2 2 2" xfId="3269" xr:uid="{1DEAE129-B7CF-426B-B03B-8231F214E1C1}"/>
    <cellStyle name="20% - Ênfase1 10 2 3" xfId="2342" xr:uid="{48A46E64-D245-4705-9033-E88BD37D5BE8}"/>
    <cellStyle name="20% - Ênfase1 10 3" xfId="490" xr:uid="{77526AE8-A8BD-464E-BB22-69356F9DD250}"/>
    <cellStyle name="20% - Ênfase1 10 3 2" xfId="1553" xr:uid="{1F7B9CFF-A6DA-4832-AF6C-9F2C5AA16B6F}"/>
    <cellStyle name="20% - Ênfase1 10 3 2 2" xfId="3405" xr:uid="{DACA99E5-74F9-4FF8-B6D3-513CAF6CBF65}"/>
    <cellStyle name="20% - Ênfase1 10 3 3" xfId="2478" xr:uid="{45C1D1BA-09D1-45A3-A069-B5C8D238763F}"/>
    <cellStyle name="20% - Ênfase1 10 4" xfId="1095" xr:uid="{16717D80-AA5F-46B3-A8F0-7C3B7A35E92E}"/>
    <cellStyle name="20% - Ênfase1 10 4 2" xfId="2947" xr:uid="{C12BD4B6-C957-445C-8542-14620FCCA5FA}"/>
    <cellStyle name="20% - Ênfase1 10 5" xfId="2020" xr:uid="{29CC4243-54BB-45F6-B7F9-C8A9E8F81542}"/>
    <cellStyle name="20% - Ênfase1 11" xfId="228" xr:uid="{CE0BDD4E-E245-4BDC-B394-3A87B44FDCA2}"/>
    <cellStyle name="20% - Ênfase1 11 2" xfId="834" xr:uid="{C77DE7D9-2502-45EC-A102-97F3DF086178}"/>
    <cellStyle name="20% - Ênfase1 11 2 2" xfId="1437" xr:uid="{6A86EADF-1529-45A0-A4B5-00B70DAAE3E8}"/>
    <cellStyle name="20% - Ênfase1 11 2 2 2" xfId="3289" xr:uid="{AC48F143-2BF8-474A-B974-53ABBD64478D}"/>
    <cellStyle name="20% - Ênfase1 11 2 3" xfId="2362" xr:uid="{98F15237-5747-4161-8649-C77D4C4F68B2}"/>
    <cellStyle name="20% - Ênfase1 11 3" xfId="510" xr:uid="{8CA777E6-025C-4F1F-A56B-FF6E561FE342}"/>
    <cellStyle name="20% - Ênfase1 11 3 2" xfId="1823" xr:uid="{8FF9AF24-F539-4000-92C0-34E1210E1162}"/>
    <cellStyle name="20% - Ênfase1 11 3 2 2" xfId="3636" xr:uid="{B80B38C7-B61C-4BCE-946C-E50B537298FB}"/>
    <cellStyle name="20% - Ênfase1 11 3 3" xfId="2748" xr:uid="{AB989906-A0C4-4682-9CA6-547B5BA3FF71}"/>
    <cellStyle name="20% - Ênfase1 11 4" xfId="1115" xr:uid="{1A4F5B85-421A-4658-8359-E4E8A142F5C9}"/>
    <cellStyle name="20% - Ênfase1 11 4 2" xfId="2967" xr:uid="{84FA4234-6643-442E-85A2-91A827290EB6}"/>
    <cellStyle name="20% - Ênfase1 11 5" xfId="2040" xr:uid="{95FE37D6-79F9-4E86-969E-B7B108F6B148}"/>
    <cellStyle name="20% - Ênfase1 12" xfId="248" xr:uid="{5260C8F4-16B1-4607-8E73-E30A7A9C7AD4}"/>
    <cellStyle name="20% - Ênfase1 12 2" xfId="854" xr:uid="{2DD29298-FA61-4233-88A4-9A7F95583CB8}"/>
    <cellStyle name="20% - Ênfase1 12 2 2" xfId="1457" xr:uid="{D836AAA3-F2C7-4E9B-8E74-EB1470FAABA6}"/>
    <cellStyle name="20% - Ênfase1 12 2 2 2" xfId="3309" xr:uid="{B80D853B-5352-46C5-9D99-FCD938B0235E}"/>
    <cellStyle name="20% - Ênfase1 12 2 3" xfId="2382" xr:uid="{33EDE8C8-D51C-410F-84FC-850AFEBE7BFF}"/>
    <cellStyle name="20% - Ênfase1 12 3" xfId="530" xr:uid="{1C96FD0A-5E51-4397-B941-66743537465F}"/>
    <cellStyle name="20% - Ênfase1 12 3 2" xfId="1522" xr:uid="{63AF3F52-C1E4-4A76-92FE-0D8412B5E8DE}"/>
    <cellStyle name="20% - Ênfase1 12 3 2 2" xfId="3374" xr:uid="{B940353A-B8FD-4AB1-9262-F80A4959C93F}"/>
    <cellStyle name="20% - Ênfase1 12 3 3" xfId="2447" xr:uid="{CE5AB464-DDA2-4F9D-884D-B7DAB60C61DB}"/>
    <cellStyle name="20% - Ênfase1 12 4" xfId="1135" xr:uid="{C8197006-D599-4DD2-A105-587F233D49E4}"/>
    <cellStyle name="20% - Ênfase1 12 4 2" xfId="2987" xr:uid="{6159BD9D-72AC-4F3D-9862-F701A10C9AAB}"/>
    <cellStyle name="20% - Ênfase1 12 5" xfId="2060" xr:uid="{36AF58DF-1C3E-4E93-BBC1-7C7B3A2C5CD5}"/>
    <cellStyle name="20% - Ênfase1 13" xfId="268" xr:uid="{64DD8187-813D-49CF-8957-FD62A314E152}"/>
    <cellStyle name="20% - Ênfase1 13 2" xfId="874" xr:uid="{F6F128EC-C968-4A78-9518-244B612396F6}"/>
    <cellStyle name="20% - Ênfase1 13 2 2" xfId="1477" xr:uid="{593A3251-3F3A-47FA-BE73-CD6A7F580F7D}"/>
    <cellStyle name="20% - Ênfase1 13 2 2 2" xfId="3329" xr:uid="{2BF6A226-A3C2-4CD2-AAFB-34F1709B2878}"/>
    <cellStyle name="20% - Ênfase1 13 2 3" xfId="2402" xr:uid="{ED3F5CF4-D0C7-4BDC-97BD-1109B8B8D4D3}"/>
    <cellStyle name="20% - Ênfase1 13 3" xfId="550" xr:uid="{335C648C-E0B6-45A3-B8E3-353F71DF34CA}"/>
    <cellStyle name="20% - Ênfase1 13 3 2" xfId="1827" xr:uid="{6ED8F859-0EF7-434C-A418-9D473CAB6851}"/>
    <cellStyle name="20% - Ênfase1 13 3 2 2" xfId="3640" xr:uid="{CA29B7EB-905D-4BCA-8933-2BAA1D744D9E}"/>
    <cellStyle name="20% - Ênfase1 13 3 3" xfId="2752" xr:uid="{AC266DDA-E7F8-4BBC-9FB3-040E925A908A}"/>
    <cellStyle name="20% - Ênfase1 13 4" xfId="1155" xr:uid="{5AF761A3-EB62-4377-9BD3-F45140F16AFE}"/>
    <cellStyle name="20% - Ênfase1 13 4 2" xfId="3007" xr:uid="{1485EB70-8E07-4D1E-8E1A-8BFE4F44CE0E}"/>
    <cellStyle name="20% - Ênfase1 13 5" xfId="2080" xr:uid="{4CB15E8B-3B86-4FE3-909E-D30646208B0D}"/>
    <cellStyle name="20% - Ênfase1 14" xfId="288" xr:uid="{D9368D2D-6CF5-4A7D-A3B7-18F560D126C1}"/>
    <cellStyle name="20% - Ênfase1 14 2" xfId="894" xr:uid="{9B52CEC8-68E9-432C-A2BE-510A551C87F6}"/>
    <cellStyle name="20% - Ênfase1 14 2 2" xfId="1497" xr:uid="{D142F549-8C1A-437D-A6F9-23EFE6443519}"/>
    <cellStyle name="20% - Ênfase1 14 2 2 2" xfId="3349" xr:uid="{1538B8D8-CF4A-4F9A-951A-55ACFE99A6CA}"/>
    <cellStyle name="20% - Ênfase1 14 2 3" xfId="2422" xr:uid="{69952AE3-7983-4BD0-8AA1-8F4A8F595F97}"/>
    <cellStyle name="20% - Ênfase1 14 3" xfId="570" xr:uid="{377B537B-8F38-420E-A894-CE4825762BFC}"/>
    <cellStyle name="20% - Ênfase1 14 3 2" xfId="1807" xr:uid="{12D86FE0-92B7-4BA0-A026-B6B021A97030}"/>
    <cellStyle name="20% - Ênfase1 14 3 2 2" xfId="3620" xr:uid="{FC202C97-580F-43C5-B1C5-F393B201D6D4}"/>
    <cellStyle name="20% - Ênfase1 14 3 3" xfId="2732" xr:uid="{95B9C122-4F83-4FE4-ADE6-04442562A17E}"/>
    <cellStyle name="20% - Ênfase1 14 4" xfId="1175" xr:uid="{E7198352-B7B7-4577-AB94-B3F0F62C8E5D}"/>
    <cellStyle name="20% - Ênfase1 14 4 2" xfId="3027" xr:uid="{77AB31AE-CE01-49A0-9F69-76633B99BFF6}"/>
    <cellStyle name="20% - Ênfase1 14 5" xfId="2100" xr:uid="{F8C535C9-118F-4DCB-8C76-D375BC3DD127}"/>
    <cellStyle name="20% - Ênfase1 15" xfId="590" xr:uid="{5AE35A5D-C228-44D1-940B-987767311555}"/>
    <cellStyle name="20% - Ênfase1 15 2" xfId="1653" xr:uid="{9BFF61E5-D11C-40E4-97D0-B9A678FFEF5C}"/>
    <cellStyle name="20% - Ênfase1 15 2 2" xfId="2578" xr:uid="{37AC77D0-2B4B-4591-AEE4-D4C83931D505}"/>
    <cellStyle name="20% - Ênfase1 15 3" xfId="1195" xr:uid="{0E684CD6-49FA-4665-826C-3F862CF72156}"/>
    <cellStyle name="20% - Ênfase1 15 3 2" xfId="3047" xr:uid="{F22585C4-EA47-4AFA-8198-EA03B7A11595}"/>
    <cellStyle name="20% - Ênfase1 15 4" xfId="2120" xr:uid="{9C447012-BCBC-4A1B-BDBC-9814AF196281}"/>
    <cellStyle name="20% - Ênfase1 16" xfId="610" xr:uid="{A2324834-F3CE-4A90-B0CC-438962118533}"/>
    <cellStyle name="20% - Ênfase1 16 2" xfId="1673" xr:uid="{8C41ECDD-2F18-4DDC-97CB-37EE7F77BB1B}"/>
    <cellStyle name="20% - Ênfase1 16 2 2" xfId="2598" xr:uid="{4591BBBC-0A20-4C2A-A5E8-A838FA35A208}"/>
    <cellStyle name="20% - Ênfase1 16 3" xfId="1215" xr:uid="{012AD039-0514-4A25-BEB4-C4BA960F7977}"/>
    <cellStyle name="20% - Ênfase1 16 3 2" xfId="3067" xr:uid="{36A8C98E-EA2C-4B49-A86B-2C9DC1816A81}"/>
    <cellStyle name="20% - Ênfase1 16 4" xfId="2140" xr:uid="{237410EC-9B1F-4E8B-8E42-8674A198C819}"/>
    <cellStyle name="20% - Ênfase1 17" xfId="630" xr:uid="{D5F1ABDA-0C0C-4713-AFE3-1B8189352B0B}"/>
    <cellStyle name="20% - Ênfase1 17 2" xfId="1234" xr:uid="{116FEE59-37BC-49F7-B993-24367DF8A08A}"/>
    <cellStyle name="20% - Ênfase1 17 2 2" xfId="3086" xr:uid="{045D22D3-1F34-481B-A103-0212D58FBC30}"/>
    <cellStyle name="20% - Ênfase1 17 3" xfId="2159" xr:uid="{A662C668-CDA9-4004-BA5A-A40366B854DC}"/>
    <cellStyle name="20% - Ênfase1 18" xfId="307" xr:uid="{46C01D40-8EEB-4CF1-A966-B713A9615991}"/>
    <cellStyle name="20% - Ênfase1 18 2" xfId="1570" xr:uid="{899A758C-76FE-4C0E-A813-0419A3AE5F52}"/>
    <cellStyle name="20% - Ênfase1 18 2 2" xfId="3422" xr:uid="{36ECD6A6-369F-4C3A-8A8C-2AD3960811D6}"/>
    <cellStyle name="20% - Ênfase1 18 3" xfId="2495" xr:uid="{90FD0C01-28B3-4840-A3CE-E90B2D893EB0}"/>
    <cellStyle name="20% - Ênfase1 19" xfId="912" xr:uid="{F72AEC7E-225E-4C98-98A7-B212FD9D2A43}"/>
    <cellStyle name="20% - Ênfase1 19 2" xfId="2764" xr:uid="{29F7FCC3-2FD6-4358-9F8A-804D03D10980}"/>
    <cellStyle name="20% - Ênfase1 2" xfId="47" xr:uid="{111972F4-A8FD-48EA-A93B-9C7DB990AF72}"/>
    <cellStyle name="20% - Ênfase1 2 2" xfId="653" xr:uid="{C9C0E7DB-FA15-4977-93A4-0696BB5CC0AF}"/>
    <cellStyle name="20% - Ênfase1 2 2 2" xfId="1256" xr:uid="{91541286-E687-4EBE-967B-A7AC6E19DB47}"/>
    <cellStyle name="20% - Ênfase1 2 2 2 2" xfId="3108" xr:uid="{4C7B56C8-77CD-4AB0-B69C-F0E96DAE0F29}"/>
    <cellStyle name="20% - Ênfase1 2 2 3" xfId="2181" xr:uid="{B37B59D5-77A3-48F2-A3C7-2D9A640328A8}"/>
    <cellStyle name="20% - Ênfase1 2 3" xfId="329" xr:uid="{655C18EB-7584-4DF8-9FA5-81962BB0EC06}"/>
    <cellStyle name="20% - Ênfase1 2 3 2" xfId="1692" xr:uid="{4368DC6A-9269-4235-A61D-C81FA434949D}"/>
    <cellStyle name="20% - Ênfase1 2 3 2 2" xfId="3505" xr:uid="{A0D53A23-20C9-4B9A-880B-8452F03C08D7}"/>
    <cellStyle name="20% - Ênfase1 2 3 3" xfId="2617" xr:uid="{77CE99D5-D2B3-46DD-B0C9-2238A29415FE}"/>
    <cellStyle name="20% - Ênfase1 2 4" xfId="934" xr:uid="{BD799812-2A36-4357-A750-DE1E6ADDC014}"/>
    <cellStyle name="20% - Ênfase1 2 4 2" xfId="2786" xr:uid="{265B1287-3E0E-4B4E-9CFD-CC50C9829A5C}"/>
    <cellStyle name="20% - Ênfase1 2 5" xfId="1859" xr:uid="{1E18D5A8-D861-4C3D-B3C8-BF2AFDFBF9D2}"/>
    <cellStyle name="20% - Ênfase1 20" xfId="1837" xr:uid="{5EE3349C-FF42-4BFE-AF03-96D88775F2CE}"/>
    <cellStyle name="20% - Ênfase1 3" xfId="65" xr:uid="{934CE407-E40F-458D-8E89-39A32828614A}"/>
    <cellStyle name="20% - Ênfase1 3 2" xfId="671" xr:uid="{6A84FE43-97CE-40C4-8441-B833979C2D37}"/>
    <cellStyle name="20% - Ênfase1 3 2 2" xfId="1274" xr:uid="{5E6CCFA6-A89C-4F46-ADE2-0D8C5C278719}"/>
    <cellStyle name="20% - Ênfase1 3 2 2 2" xfId="3126" xr:uid="{FA59EDC5-D3D7-4794-904B-D20286ED2D35}"/>
    <cellStyle name="20% - Ênfase1 3 2 3" xfId="2199" xr:uid="{12A190D4-A79D-4082-B70F-33D4758D1905}"/>
    <cellStyle name="20% - Ênfase1 3 3" xfId="347" xr:uid="{F8E88433-8DC3-4F60-9392-F5E1724A85DB}"/>
    <cellStyle name="20% - Ênfase1 3 3 2" xfId="1829" xr:uid="{1B7A61BD-616A-4A10-B72C-D03B361D1BB3}"/>
    <cellStyle name="20% - Ênfase1 3 3 2 2" xfId="3642" xr:uid="{AE7C018F-0488-4D22-8CB3-2B3E862C121F}"/>
    <cellStyle name="20% - Ênfase1 3 3 3" xfId="2754" xr:uid="{3C372EF0-8260-49E7-A460-91B0AB683BB3}"/>
    <cellStyle name="20% - Ênfase1 3 4" xfId="952" xr:uid="{135FE03D-8758-4034-8174-8F723A765E9C}"/>
    <cellStyle name="20% - Ênfase1 3 4 2" xfId="2804" xr:uid="{6C9BCB10-E6C0-4C3A-BFD0-0FE6F006916A}"/>
    <cellStyle name="20% - Ênfase1 3 5" xfId="1877" xr:uid="{CB78E80C-F43C-4189-975D-23636A28BD95}"/>
    <cellStyle name="20% - Ênfase1 4" xfId="87" xr:uid="{4F7F7515-BBE9-45E1-BFEC-D9D9B980A4C8}"/>
    <cellStyle name="20% - Ênfase1 4 2" xfId="693" xr:uid="{52BF4ABB-E280-4E93-A161-EE6DB62E9696}"/>
    <cellStyle name="20% - Ênfase1 4 2 2" xfId="1296" xr:uid="{BE83D0FF-8C1A-4DE3-B841-30240DD7B77B}"/>
    <cellStyle name="20% - Ênfase1 4 2 2 2" xfId="3148" xr:uid="{8F60C802-B2E9-4501-B872-678FA32E2C84}"/>
    <cellStyle name="20% - Ênfase1 4 2 3" xfId="2221" xr:uid="{8B1DB475-235D-44A3-8DC1-34E79AB586C1}"/>
    <cellStyle name="20% - Ênfase1 4 3" xfId="369" xr:uid="{4F343FE0-1C13-473C-AF32-3F770B4F1B77}"/>
    <cellStyle name="20% - Ênfase1 4 3 2" xfId="1790" xr:uid="{F33534B0-E2D9-47E9-8DFC-FC3E7B68F87A}"/>
    <cellStyle name="20% - Ênfase1 4 3 2 2" xfId="3603" xr:uid="{61E3B603-9B28-402F-BE63-CAA4955B4CA8}"/>
    <cellStyle name="20% - Ênfase1 4 3 3" xfId="2715" xr:uid="{BB33B709-A182-4179-8865-35B790E75F0D}"/>
    <cellStyle name="20% - Ênfase1 4 4" xfId="974" xr:uid="{05DA0B45-04A2-4400-B615-ECD0A6BC99A1}"/>
    <cellStyle name="20% - Ênfase1 4 4 2" xfId="2826" xr:uid="{7E33F2FB-AD45-4351-85DB-DE3E0DC589BC}"/>
    <cellStyle name="20% - Ênfase1 4 5" xfId="1899" xr:uid="{C18E7A05-7B34-4A41-A8F7-DC4AB6E15B15}"/>
    <cellStyle name="20% - Ênfase1 5" xfId="107" xr:uid="{38CE0385-BD62-43B8-B532-836725856649}"/>
    <cellStyle name="20% - Ênfase1 5 2" xfId="713" xr:uid="{E9819724-A1F1-4369-91C3-F1BB1A6CAEF4}"/>
    <cellStyle name="20% - Ênfase1 5 2 2" xfId="1316" xr:uid="{59915B28-95A3-4597-8809-614F302B0E44}"/>
    <cellStyle name="20% - Ênfase1 5 2 2 2" xfId="3168" xr:uid="{F155CA5B-8375-4CF1-9F22-B62EDA2E99AA}"/>
    <cellStyle name="20% - Ênfase1 5 2 3" xfId="2241" xr:uid="{C2837627-BA2B-43DF-A51C-81666E38F0D7}"/>
    <cellStyle name="20% - Ênfase1 5 3" xfId="389" xr:uid="{9ECA69CF-EFEC-4464-AEF3-824918E3754E}"/>
    <cellStyle name="20% - Ênfase1 5 3 2" xfId="1635" xr:uid="{0EE215F4-1DAE-404D-B0DC-CEA48614A324}"/>
    <cellStyle name="20% - Ênfase1 5 3 2 2" xfId="3487" xr:uid="{9B9703FE-2AA8-422E-B22D-F665D6279010}"/>
    <cellStyle name="20% - Ênfase1 5 3 3" xfId="2560" xr:uid="{4EBB888F-B023-4EBB-A9EE-D1112E6FF18E}"/>
    <cellStyle name="20% - Ênfase1 5 4" xfId="994" xr:uid="{CA2613A7-E60C-4A63-83F9-545D6F83B290}"/>
    <cellStyle name="20% - Ênfase1 5 4 2" xfId="2846" xr:uid="{B2208CB7-6D0C-4953-9C4D-EB1353CC1628}"/>
    <cellStyle name="20% - Ênfase1 5 5" xfId="1919" xr:uid="{9BDC47B6-FDD9-47C0-98A2-79F5212663D7}"/>
    <cellStyle name="20% - Ênfase1 6" xfId="127" xr:uid="{31626FB4-FF64-4F23-916A-FFFE0F894E06}"/>
    <cellStyle name="20% - Ênfase1 6 2" xfId="733" xr:uid="{5A50A511-952A-4805-8BA9-4C1200E38ECE}"/>
    <cellStyle name="20% - Ênfase1 6 2 2" xfId="1336" xr:uid="{C6416DCC-B3D7-42B9-9384-815E5839CCD0}"/>
    <cellStyle name="20% - Ênfase1 6 2 2 2" xfId="3188" xr:uid="{216D297D-37CB-4E14-B118-37BEDE0AEB01}"/>
    <cellStyle name="20% - Ênfase1 6 2 3" xfId="2261" xr:uid="{C48C759F-4563-4620-A1FA-716EF0FE1DE1}"/>
    <cellStyle name="20% - Ênfase1 6 3" xfId="409" xr:uid="{A2905DE5-459A-40D2-ADF3-02EC83651BA5}"/>
    <cellStyle name="20% - Ênfase1 6 3 2" xfId="1806" xr:uid="{ECFB0006-EB48-4A1E-9736-8979AE10FB40}"/>
    <cellStyle name="20% - Ênfase1 6 3 2 2" xfId="3619" xr:uid="{8EF410B3-5ECB-44CB-B02B-A641925ACEDC}"/>
    <cellStyle name="20% - Ênfase1 6 3 3" xfId="2731" xr:uid="{B360BBB3-EE21-46DD-B717-22E519388D67}"/>
    <cellStyle name="20% - Ênfase1 6 4" xfId="1014" xr:uid="{017D52B0-6A70-462B-BBD0-82EE04DC1894}"/>
    <cellStyle name="20% - Ênfase1 6 4 2" xfId="2866" xr:uid="{B04554F0-B26B-4137-8013-DF193CE9D12A}"/>
    <cellStyle name="20% - Ênfase1 6 5" xfId="1939" xr:uid="{35B6F60E-1C27-4C05-827F-4824E3D5FC1D}"/>
    <cellStyle name="20% - Ênfase1 7" xfId="147" xr:uid="{448E0D87-FE30-47CE-B834-E195C9B4AE5B}"/>
    <cellStyle name="20% - Ênfase1 7 2" xfId="753" xr:uid="{817498D5-FEF4-4F6A-90A1-53867A5D0EAC}"/>
    <cellStyle name="20% - Ênfase1 7 2 2" xfId="1356" xr:uid="{0D9CFB3E-033D-4CE0-9A01-BC75BF0DF811}"/>
    <cellStyle name="20% - Ênfase1 7 2 2 2" xfId="3208" xr:uid="{99BEF059-382D-411F-BF22-A7E3EF4EDA32}"/>
    <cellStyle name="20% - Ênfase1 7 2 3" xfId="2281" xr:uid="{ECDFFFF0-8E97-4CCB-AD40-335550846F32}"/>
    <cellStyle name="20% - Ênfase1 7 3" xfId="429" xr:uid="{9F763770-0199-4265-886F-FC7E20D275AF}"/>
    <cellStyle name="20% - Ênfase1 7 3 2" xfId="1814" xr:uid="{B6903566-207C-4086-AF47-6062B153529D}"/>
    <cellStyle name="20% - Ênfase1 7 3 2 2" xfId="3627" xr:uid="{48AEE28B-7FA9-4177-AA22-7BA8A8B05ECB}"/>
    <cellStyle name="20% - Ênfase1 7 3 3" xfId="2739" xr:uid="{2B94AA7B-A262-4349-B01D-0D00A36877BB}"/>
    <cellStyle name="20% - Ênfase1 7 4" xfId="1034" xr:uid="{E21D5DCE-E2FD-4463-B81C-68332F943738}"/>
    <cellStyle name="20% - Ênfase1 7 4 2" xfId="2886" xr:uid="{B22B3D01-3BB1-444D-B4EC-D26536538C30}"/>
    <cellStyle name="20% - Ênfase1 7 5" xfId="1959" xr:uid="{DBF39433-FCA7-4929-AE0D-3A75685762A8}"/>
    <cellStyle name="20% - Ênfase1 8" xfId="167" xr:uid="{C102F080-F8C0-4C84-96B5-5E51D4466399}"/>
    <cellStyle name="20% - Ênfase1 8 2" xfId="773" xr:uid="{168CEA90-29CA-4993-B8C1-802D139934ED}"/>
    <cellStyle name="20% - Ênfase1 8 2 2" xfId="1376" xr:uid="{A77E11E3-4FE5-40AD-B73F-FC0D36077EEE}"/>
    <cellStyle name="20% - Ênfase1 8 2 2 2" xfId="3228" xr:uid="{E485E557-ADC8-40D3-9D67-A847B3FB83F3}"/>
    <cellStyle name="20% - Ênfase1 8 2 3" xfId="2301" xr:uid="{13D71DED-E6B1-4361-A680-ADE6F30CBE5B}"/>
    <cellStyle name="20% - Ênfase1 8 3" xfId="449" xr:uid="{858A7E23-FAD7-4B03-85D8-D8416D528835}"/>
    <cellStyle name="20% - Ênfase1 8 3 2" xfId="1769" xr:uid="{4DF87247-F49C-4BD0-A8DB-CF045712138A}"/>
    <cellStyle name="20% - Ênfase1 8 3 2 2" xfId="3582" xr:uid="{C879A0E3-9114-448A-9FE5-757CB101F009}"/>
    <cellStyle name="20% - Ênfase1 8 3 3" xfId="2694" xr:uid="{6A6F5B38-FCC2-45C5-9011-C14C3118BF5C}"/>
    <cellStyle name="20% - Ênfase1 8 4" xfId="1054" xr:uid="{D1AEDDB6-A4A8-4D54-8CD6-52E32794E15D}"/>
    <cellStyle name="20% - Ênfase1 8 4 2" xfId="2906" xr:uid="{FFDFAA78-E0EC-40CA-94A2-2F6A64762293}"/>
    <cellStyle name="20% - Ênfase1 8 5" xfId="1979" xr:uid="{562CCDAD-63AA-405B-B6D3-7A84D050391F}"/>
    <cellStyle name="20% - Ênfase1 9" xfId="187" xr:uid="{330140E1-7B54-4DA0-9C95-71961980FB8A}"/>
    <cellStyle name="20% - Ênfase1 9 2" xfId="793" xr:uid="{FE0FBDEA-1288-4CCB-B0A7-11EF2AF9CABC}"/>
    <cellStyle name="20% - Ênfase1 9 2 2" xfId="1396" xr:uid="{523A26B6-2687-48C0-9DE0-319B33E975AE}"/>
    <cellStyle name="20% - Ênfase1 9 2 2 2" xfId="3248" xr:uid="{2E9B2BF1-B866-4D0F-9593-069B8E792AF3}"/>
    <cellStyle name="20% - Ênfase1 9 2 3" xfId="2321" xr:uid="{CE707952-046D-4197-868F-C7883C5A37D9}"/>
    <cellStyle name="20% - Ênfase1 9 3" xfId="469" xr:uid="{8FBC3053-4993-4700-85B3-8803B0CD60A7}"/>
    <cellStyle name="20% - Ênfase1 9 3 2" xfId="1606" xr:uid="{0BBA2A61-FCA4-4CD7-B67F-B8A3A8EDA967}"/>
    <cellStyle name="20% - Ênfase1 9 3 2 2" xfId="3458" xr:uid="{6AE49DFF-4BCA-4F1D-B4C2-D51A41929EF3}"/>
    <cellStyle name="20% - Ênfase1 9 3 3" xfId="2531" xr:uid="{4E49A616-7766-4D99-8556-9727C251512D}"/>
    <cellStyle name="20% - Ênfase1 9 4" xfId="1074" xr:uid="{4EC110AF-C230-4D36-B89A-16E8BBF4F19A}"/>
    <cellStyle name="20% - Ênfase1 9 4 2" xfId="2926" xr:uid="{28ED0B4F-6362-407F-BF87-7F72F4FBAF95}"/>
    <cellStyle name="20% - Ênfase1 9 5" xfId="1999" xr:uid="{D3949164-1AE2-4CE4-88A8-8FB98541BE13}"/>
    <cellStyle name="20% - Ênfase2" xfId="23" builtinId="34" customBuiltin="1"/>
    <cellStyle name="20% - Ênfase2 10" xfId="211" xr:uid="{02D9761D-E9B2-491D-9C9A-D0AB7D3DAF0D}"/>
    <cellStyle name="20% - Ênfase2 10 2" xfId="817" xr:uid="{725D6760-6839-4D6A-A905-6828A364A8E9}"/>
    <cellStyle name="20% - Ênfase2 10 2 2" xfId="1420" xr:uid="{5DBCF773-B03F-4260-9589-21B67C985B18}"/>
    <cellStyle name="20% - Ênfase2 10 2 2 2" xfId="3272" xr:uid="{05BB0187-4468-4E3A-BDEA-12AEC7FD19CF}"/>
    <cellStyle name="20% - Ênfase2 10 2 3" xfId="2345" xr:uid="{F764E6BC-177A-4D67-88EF-7D594C351357}"/>
    <cellStyle name="20% - Ênfase2 10 3" xfId="493" xr:uid="{031B737A-03FB-429D-ABF6-475D34046042}"/>
    <cellStyle name="20% - Ênfase2 10 3 2" xfId="1755" xr:uid="{4ECF64BC-07DD-42A9-A4C3-E22639672A62}"/>
    <cellStyle name="20% - Ênfase2 10 3 2 2" xfId="3568" xr:uid="{B2D09352-78DC-487C-921D-EDE3BA799B5F}"/>
    <cellStyle name="20% - Ênfase2 10 3 3" xfId="2680" xr:uid="{94B95052-B6F1-41A0-BBCC-79D6813C6724}"/>
    <cellStyle name="20% - Ênfase2 10 4" xfId="1098" xr:uid="{23B7F8BD-95A6-484C-861B-D662F8E524FF}"/>
    <cellStyle name="20% - Ênfase2 10 4 2" xfId="2950" xr:uid="{682FF402-C412-4369-B112-CED0E6B44AAC}"/>
    <cellStyle name="20% - Ênfase2 10 5" xfId="2023" xr:uid="{FC62C89D-9AC4-48AC-BC0B-0664F90891F0}"/>
    <cellStyle name="20% - Ênfase2 11" xfId="231" xr:uid="{A5505092-035C-4F71-A7F5-959A26FFBB83}"/>
    <cellStyle name="20% - Ênfase2 11 2" xfId="837" xr:uid="{DF7D7F84-A9D8-40D5-BDC2-9B3F148E7D37}"/>
    <cellStyle name="20% - Ênfase2 11 2 2" xfId="1440" xr:uid="{46B8EC39-11B6-412D-8925-BA43A306F1C5}"/>
    <cellStyle name="20% - Ênfase2 11 2 2 2" xfId="3292" xr:uid="{6AC134AE-5D72-481A-8677-5C966CF1E152}"/>
    <cellStyle name="20% - Ênfase2 11 2 3" xfId="2365" xr:uid="{3593FB7B-D3EA-4B6A-B820-504D4F321901}"/>
    <cellStyle name="20% - Ênfase2 11 3" xfId="513" xr:uid="{4324D326-8D4F-417D-A9FE-12D641A360C8}"/>
    <cellStyle name="20% - Ênfase2 11 3 2" xfId="1740" xr:uid="{4FBAF9CE-C1A3-4C47-8975-3445F2BC7FEF}"/>
    <cellStyle name="20% - Ênfase2 11 3 2 2" xfId="3553" xr:uid="{85BD1088-69CE-4876-864F-3CFAE9F1E11A}"/>
    <cellStyle name="20% - Ênfase2 11 3 3" xfId="2665" xr:uid="{B6C09872-7D7A-4431-A7ED-89EB58FF5288}"/>
    <cellStyle name="20% - Ênfase2 11 4" xfId="1118" xr:uid="{A1109F1A-F95B-410D-A0AA-6DBB5B572392}"/>
    <cellStyle name="20% - Ênfase2 11 4 2" xfId="2970" xr:uid="{E6955CE3-A14C-4285-A0A3-BF3CE5EFD048}"/>
    <cellStyle name="20% - Ênfase2 11 5" xfId="2043" xr:uid="{C28716F1-2F20-45D2-9475-FF7AAB2AA76E}"/>
    <cellStyle name="20% - Ênfase2 12" xfId="251" xr:uid="{0733B38F-9EAA-4DEA-B238-4FA77961D289}"/>
    <cellStyle name="20% - Ênfase2 12 2" xfId="857" xr:uid="{EDF5DD9B-FA1D-4580-8494-BE0343FECEA4}"/>
    <cellStyle name="20% - Ênfase2 12 2 2" xfId="1460" xr:uid="{58215169-9D2D-4D01-BFA5-45B9BD537BAF}"/>
    <cellStyle name="20% - Ênfase2 12 2 2 2" xfId="3312" xr:uid="{62F8F7D9-AA0E-431D-B8E1-13B1C5207561}"/>
    <cellStyle name="20% - Ênfase2 12 2 3" xfId="2385" xr:uid="{6BB00196-A9B8-414C-BA35-8868A8D5925C}"/>
    <cellStyle name="20% - Ênfase2 12 3" xfId="533" xr:uid="{78513388-EA7D-4C9D-8A37-8FE8FFDC1586}"/>
    <cellStyle name="20% - Ênfase2 12 3 2" xfId="1562" xr:uid="{49C8C1CE-736C-4B06-A5D1-C93925A6E5FE}"/>
    <cellStyle name="20% - Ênfase2 12 3 2 2" xfId="3414" xr:uid="{D6F2A8C9-04F5-4643-B24C-102D89210A98}"/>
    <cellStyle name="20% - Ênfase2 12 3 3" xfId="2487" xr:uid="{DE03AA70-D91F-4826-AAC7-D4225E374069}"/>
    <cellStyle name="20% - Ênfase2 12 4" xfId="1138" xr:uid="{DDD0FB9F-BA3B-43EE-BD7E-76D16BD08852}"/>
    <cellStyle name="20% - Ênfase2 12 4 2" xfId="2990" xr:uid="{B2108026-549D-49A7-925A-2F6E16E96A17}"/>
    <cellStyle name="20% - Ênfase2 12 5" xfId="2063" xr:uid="{FD27F0FB-ED8C-4D66-8EC7-A8EBE5681812}"/>
    <cellStyle name="20% - Ênfase2 13" xfId="271" xr:uid="{39D92AD9-12C9-4B41-A1FC-555641A00009}"/>
    <cellStyle name="20% - Ênfase2 13 2" xfId="877" xr:uid="{02EC85BC-E425-43A3-A9C3-8C4A5E885E08}"/>
    <cellStyle name="20% - Ênfase2 13 2 2" xfId="1480" xr:uid="{F55C3AB1-3E6B-4BF9-95C9-7C4AD0A3C341}"/>
    <cellStyle name="20% - Ênfase2 13 2 2 2" xfId="3332" xr:uid="{9D5F99E7-AFC7-4732-9F7B-FF67C995FBA1}"/>
    <cellStyle name="20% - Ênfase2 13 2 3" xfId="2405" xr:uid="{079C5370-2697-4375-8DA4-437E73ECE74A}"/>
    <cellStyle name="20% - Ênfase2 13 3" xfId="553" xr:uid="{59A16CFD-ECD0-4909-9343-B40FB3F83B2F}"/>
    <cellStyle name="20% - Ênfase2 13 3 2" xfId="1802" xr:uid="{C31777C3-D895-45BD-B5DF-9EC075773ED0}"/>
    <cellStyle name="20% - Ênfase2 13 3 2 2" xfId="3615" xr:uid="{32E966D3-8000-4250-9C20-2388DA6FFDC5}"/>
    <cellStyle name="20% - Ênfase2 13 3 3" xfId="2727" xr:uid="{0AFA847D-836A-49D7-B31D-F71074B31ECD}"/>
    <cellStyle name="20% - Ênfase2 13 4" xfId="1158" xr:uid="{5A9FDD29-BFC6-40FC-8038-8A0FB5913BAD}"/>
    <cellStyle name="20% - Ênfase2 13 4 2" xfId="3010" xr:uid="{7F3DE363-172B-493A-91C3-F4CD727C310D}"/>
    <cellStyle name="20% - Ênfase2 13 5" xfId="2083" xr:uid="{F224A3B6-8850-4791-AB94-98407E70B1D4}"/>
    <cellStyle name="20% - Ênfase2 14" xfId="291" xr:uid="{E9D1B6F2-92EF-4249-8763-AB4D32134F3A}"/>
    <cellStyle name="20% - Ênfase2 14 2" xfId="897" xr:uid="{413D0E09-1256-4C46-B98C-EC34C318AA49}"/>
    <cellStyle name="20% - Ênfase2 14 2 2" xfId="1500" xr:uid="{0F225D0E-C8A5-4B52-B2F4-BE59BAC273EB}"/>
    <cellStyle name="20% - Ênfase2 14 2 2 2" xfId="3352" xr:uid="{943BCDE0-E757-425F-BF64-3241A1B52AE0}"/>
    <cellStyle name="20% - Ênfase2 14 2 3" xfId="2425" xr:uid="{97ED949F-011D-4466-8AA9-C57585E115BD}"/>
    <cellStyle name="20% - Ênfase2 14 3" xfId="573" xr:uid="{9CB8DAC4-54BC-4E1F-96CE-154EDB38AF89}"/>
    <cellStyle name="20% - Ênfase2 14 3 2" xfId="1520" xr:uid="{D97C6D29-EA8D-4329-85BA-B12FA19F5E57}"/>
    <cellStyle name="20% - Ênfase2 14 3 2 2" xfId="3372" xr:uid="{C0F3F482-B66E-4945-B3F6-DBDDD081F757}"/>
    <cellStyle name="20% - Ênfase2 14 3 3" xfId="2445" xr:uid="{2608D903-00BD-4940-8F50-BF3BFA056B3E}"/>
    <cellStyle name="20% - Ênfase2 14 4" xfId="1178" xr:uid="{643729F6-E5EE-406D-978B-8B56D1A1088C}"/>
    <cellStyle name="20% - Ênfase2 14 4 2" xfId="3030" xr:uid="{C8D9448F-F39A-46E5-9FF1-6CA64353AF2E}"/>
    <cellStyle name="20% - Ênfase2 14 5" xfId="2103" xr:uid="{E32B27D3-1A38-4B52-B0BE-CD18B7353571}"/>
    <cellStyle name="20% - Ênfase2 15" xfId="593" xr:uid="{A6A261AA-B956-43AB-94C6-26505F5FAC89}"/>
    <cellStyle name="20% - Ênfase2 15 2" xfId="1656" xr:uid="{26A45383-7D17-4A32-98F6-EED289AF95FB}"/>
    <cellStyle name="20% - Ênfase2 15 2 2" xfId="2581" xr:uid="{5DFA7E82-334A-4B88-87A9-E0FAB50B49D9}"/>
    <cellStyle name="20% - Ênfase2 15 3" xfId="1198" xr:uid="{829E49F0-E63E-4851-8609-B60E251B4635}"/>
    <cellStyle name="20% - Ênfase2 15 3 2" xfId="3050" xr:uid="{9B1BA0DF-A445-4441-9A7A-66CFE142CF82}"/>
    <cellStyle name="20% - Ênfase2 15 4" xfId="2123" xr:uid="{E87FCE3D-224F-42FA-90D1-1A5DC4A0C115}"/>
    <cellStyle name="20% - Ênfase2 16" xfId="613" xr:uid="{FFD4CACD-E9B8-4EF4-B782-67BFB211A698}"/>
    <cellStyle name="20% - Ênfase2 16 2" xfId="1676" xr:uid="{0C2C8789-A0F3-4216-B885-F42AA550405B}"/>
    <cellStyle name="20% - Ênfase2 16 2 2" xfId="2601" xr:uid="{AD16A36A-2BA1-47E8-A4EF-0664B159DC6F}"/>
    <cellStyle name="20% - Ênfase2 16 3" xfId="1218" xr:uid="{FF97C699-BCA7-4C99-A319-B59DB34A9B50}"/>
    <cellStyle name="20% - Ênfase2 16 3 2" xfId="3070" xr:uid="{B9BAF459-C6FB-4A5B-9593-CE737B9B79ED}"/>
    <cellStyle name="20% - Ênfase2 16 4" xfId="2143" xr:uid="{63707C5F-5FEE-4F7A-B644-0FC47116127C}"/>
    <cellStyle name="20% - Ênfase2 17" xfId="633" xr:uid="{BC94BCC6-4395-434D-9E0C-86EB6332C826}"/>
    <cellStyle name="20% - Ênfase2 17 2" xfId="1237" xr:uid="{315C44DA-5445-4BAE-99DF-CEE874B427F8}"/>
    <cellStyle name="20% - Ênfase2 17 2 2" xfId="3089" xr:uid="{2E1233CE-616C-49DF-8845-7BF4BEBE26B9}"/>
    <cellStyle name="20% - Ênfase2 17 3" xfId="2162" xr:uid="{32533072-AF85-4866-A32A-927B5D34EB3E}"/>
    <cellStyle name="20% - Ênfase2 18" xfId="310" xr:uid="{0D4E1D39-80FB-44CC-BDED-81D2D98F81CA}"/>
    <cellStyle name="20% - Ênfase2 18 2" xfId="1753" xr:uid="{001B9887-DB92-4B74-A4A9-32FA994B151D}"/>
    <cellStyle name="20% - Ênfase2 18 2 2" xfId="3566" xr:uid="{196CC3BF-491C-46A2-B39C-E4358D853A0E}"/>
    <cellStyle name="20% - Ênfase2 18 3" xfId="2678" xr:uid="{259A2A29-D94A-4AB0-B180-E4A9CB2D0EB8}"/>
    <cellStyle name="20% - Ênfase2 19" xfId="915" xr:uid="{95A7A71D-446E-40BF-8B65-EB21B324A488}"/>
    <cellStyle name="20% - Ênfase2 19 2" xfId="2767" xr:uid="{BEBB0E74-2FB3-4086-BE85-BA8BAA8AECA8}"/>
    <cellStyle name="20% - Ênfase2 2" xfId="50" xr:uid="{1D0AB4F5-BD54-42D7-8DE9-48E1A00A7369}"/>
    <cellStyle name="20% - Ênfase2 2 2" xfId="656" xr:uid="{F289D022-7E18-4CD0-B21A-0E6F957405AA}"/>
    <cellStyle name="20% - Ênfase2 2 2 2" xfId="1259" xr:uid="{65ACAAA3-3D3B-40F6-8108-95A6178758B8}"/>
    <cellStyle name="20% - Ênfase2 2 2 2 2" xfId="3111" xr:uid="{9B9A7184-22BF-4EE5-A92C-24C34B6A4481}"/>
    <cellStyle name="20% - Ênfase2 2 2 3" xfId="2184" xr:uid="{DB967659-3905-4478-8E50-281C52EC6FCD}"/>
    <cellStyle name="20% - Ênfase2 2 3" xfId="332" xr:uid="{8438B473-6C77-4CEB-B29E-9E5FB2D4C9CD}"/>
    <cellStyle name="20% - Ênfase2 2 3 2" xfId="1582" xr:uid="{227D52BC-86BC-4DBA-BE91-F0F8694AFCCF}"/>
    <cellStyle name="20% - Ênfase2 2 3 2 2" xfId="3434" xr:uid="{026416B5-F062-4E3C-ABCC-B3F978D820B7}"/>
    <cellStyle name="20% - Ênfase2 2 3 3" xfId="2507" xr:uid="{CFE5E4AC-83CF-4208-88B1-8C2EDACF0151}"/>
    <cellStyle name="20% - Ênfase2 2 4" xfId="937" xr:uid="{16A1B849-1910-49F1-90E8-FC2EB56A6037}"/>
    <cellStyle name="20% - Ênfase2 2 4 2" xfId="2789" xr:uid="{059508BE-7CB8-450F-AC96-372FA3FC1C03}"/>
    <cellStyle name="20% - Ênfase2 2 5" xfId="1862" xr:uid="{D889CB6D-72E6-42C4-8E06-ACE241B93AA1}"/>
    <cellStyle name="20% - Ênfase2 20" xfId="1840" xr:uid="{FDC9587C-9986-4184-B264-A7944AC76F50}"/>
    <cellStyle name="20% - Ênfase2 3" xfId="68" xr:uid="{1E54899E-F1C9-40F6-BF78-9A1011BBD5F7}"/>
    <cellStyle name="20% - Ênfase2 3 2" xfId="674" xr:uid="{7CA97794-72E8-4F7C-A880-66C1424CFE67}"/>
    <cellStyle name="20% - Ênfase2 3 2 2" xfId="1277" xr:uid="{F2FCAFE8-81C2-476F-8667-DB9F1293BAE2}"/>
    <cellStyle name="20% - Ênfase2 3 2 2 2" xfId="3129" xr:uid="{677FDE05-2654-4DDD-8E48-C02435C8900C}"/>
    <cellStyle name="20% - Ênfase2 3 2 3" xfId="2202" xr:uid="{D2F41DF2-5D9C-4B16-9AC5-33BF3783D284}"/>
    <cellStyle name="20% - Ênfase2 3 3" xfId="350" xr:uid="{7DA09FA3-2E12-4514-8556-BBE8C55A5EE0}"/>
    <cellStyle name="20% - Ênfase2 3 3 2" xfId="1569" xr:uid="{50C2E05B-DA3F-4F9B-998F-487456782AD5}"/>
    <cellStyle name="20% - Ênfase2 3 3 2 2" xfId="3421" xr:uid="{B7AC334F-B245-4AD0-8BCC-C856657E65E7}"/>
    <cellStyle name="20% - Ênfase2 3 3 3" xfId="2494" xr:uid="{2BA54356-C7B5-41D8-A79B-435CCFA0D1A2}"/>
    <cellStyle name="20% - Ênfase2 3 4" xfId="955" xr:uid="{702A51A6-132A-4319-84DA-45001EAFCE33}"/>
    <cellStyle name="20% - Ênfase2 3 4 2" xfId="2807" xr:uid="{D3AB25B8-D354-43CB-B5B9-B7485D192ECA}"/>
    <cellStyle name="20% - Ênfase2 3 5" xfId="1880" xr:uid="{810C77C7-D615-4D14-943F-D7C9A63F1A8F}"/>
    <cellStyle name="20% - Ênfase2 4" xfId="90" xr:uid="{FFB4D482-EEAD-423A-BEC7-45D4ECD7B444}"/>
    <cellStyle name="20% - Ênfase2 4 2" xfId="696" xr:uid="{C71DD0E9-8759-4E9A-9212-DC184834534D}"/>
    <cellStyle name="20% - Ênfase2 4 2 2" xfId="1299" xr:uid="{5E709FB4-7A2F-40C6-B49E-0AFD643C4F51}"/>
    <cellStyle name="20% - Ênfase2 4 2 2 2" xfId="3151" xr:uid="{FCF0E30C-7FFC-41AF-9814-A55655F9A94A}"/>
    <cellStyle name="20% - Ênfase2 4 2 3" xfId="2224" xr:uid="{C317ABFD-EF66-47CE-A125-E6911B120413}"/>
    <cellStyle name="20% - Ênfase2 4 3" xfId="372" xr:uid="{65304694-327C-49CE-BCCE-78744182710B}"/>
    <cellStyle name="20% - Ênfase2 4 3 2" xfId="1754" xr:uid="{B5D8C967-D93F-42A9-9522-760BD8D4401E}"/>
    <cellStyle name="20% - Ênfase2 4 3 2 2" xfId="3567" xr:uid="{837109B7-D454-42CB-9916-9F61A31C3DD8}"/>
    <cellStyle name="20% - Ênfase2 4 3 3" xfId="2679" xr:uid="{9A585AA1-47A1-4BBC-99FC-687F1ED29073}"/>
    <cellStyle name="20% - Ênfase2 4 4" xfId="977" xr:uid="{01131E99-40E8-4F51-B3BB-E5153E541F35}"/>
    <cellStyle name="20% - Ênfase2 4 4 2" xfId="2829" xr:uid="{4BFAE506-46DC-48A9-BE0E-7D476699AD42}"/>
    <cellStyle name="20% - Ênfase2 4 5" xfId="1902" xr:uid="{CF961A7D-4554-481F-AF9D-95A92E10CFF9}"/>
    <cellStyle name="20% - Ênfase2 5" xfId="110" xr:uid="{2D7AB08D-C519-4C21-A3B8-F3EED46454DB}"/>
    <cellStyle name="20% - Ênfase2 5 2" xfId="716" xr:uid="{B7DBBA89-0830-4A3B-A8FA-D7DA1069D4F6}"/>
    <cellStyle name="20% - Ênfase2 5 2 2" xfId="1319" xr:uid="{2CFE0174-A527-413E-AB1A-3AE187A04F0B}"/>
    <cellStyle name="20% - Ênfase2 5 2 2 2" xfId="3171" xr:uid="{D25F6FC5-8F1B-46FD-9D03-4876CB7762CC}"/>
    <cellStyle name="20% - Ênfase2 5 2 3" xfId="2244" xr:uid="{4AAF4BCE-DF19-4D34-8C46-6C3CE6B09FAC}"/>
    <cellStyle name="20% - Ênfase2 5 3" xfId="392" xr:uid="{EAFF609D-B466-4E61-B4A2-AC631844C340}"/>
    <cellStyle name="20% - Ênfase2 5 3 2" xfId="1747" xr:uid="{2ADF75A8-3309-4B39-A35A-13A6F6ED4934}"/>
    <cellStyle name="20% - Ênfase2 5 3 2 2" xfId="3560" xr:uid="{BE9D9FE9-F7C4-4875-8440-989442D30880}"/>
    <cellStyle name="20% - Ênfase2 5 3 3" xfId="2672" xr:uid="{230EB1AD-62F6-4333-BF35-E1F757A46FF0}"/>
    <cellStyle name="20% - Ênfase2 5 4" xfId="997" xr:uid="{CF2DA218-0816-4025-869B-982ED5486807}"/>
    <cellStyle name="20% - Ênfase2 5 4 2" xfId="2849" xr:uid="{56CBDEE1-D47A-499F-A108-30FE4F4E3479}"/>
    <cellStyle name="20% - Ênfase2 5 5" xfId="1922" xr:uid="{B60120A1-9189-41A9-B48D-F09166E8499D}"/>
    <cellStyle name="20% - Ênfase2 6" xfId="130" xr:uid="{E58549FE-0F4C-4956-B42D-BF9ECD58548C}"/>
    <cellStyle name="20% - Ênfase2 6 2" xfId="736" xr:uid="{1C27273B-FC97-4C1A-8D7E-25FF262CE74C}"/>
    <cellStyle name="20% - Ênfase2 6 2 2" xfId="1339" xr:uid="{E3626580-12F6-4406-86DA-78D9E64F30F9}"/>
    <cellStyle name="20% - Ênfase2 6 2 2 2" xfId="3191" xr:uid="{2ACBFD7C-2BCB-47F2-8398-C84C5834E4EE}"/>
    <cellStyle name="20% - Ênfase2 6 2 3" xfId="2264" xr:uid="{CD149177-B144-4A83-A7FE-07E2DB15BD17}"/>
    <cellStyle name="20% - Ênfase2 6 3" xfId="412" xr:uid="{A865FCED-E6B3-47B4-9F5F-BD037605E04C}"/>
    <cellStyle name="20% - Ênfase2 6 3 2" xfId="1801" xr:uid="{B6CD5D06-13FD-4CC3-9662-96A7EA4BC3D5}"/>
    <cellStyle name="20% - Ênfase2 6 3 2 2" xfId="3614" xr:uid="{CCF14B5B-C0B5-47D2-895D-984A276B7FBA}"/>
    <cellStyle name="20% - Ênfase2 6 3 3" xfId="2726" xr:uid="{DC4FEFDC-9A27-425D-81D0-68FB2DF99DF4}"/>
    <cellStyle name="20% - Ênfase2 6 4" xfId="1017" xr:uid="{ED48DCDA-8463-4580-B581-D81C95A12563}"/>
    <cellStyle name="20% - Ênfase2 6 4 2" xfId="2869" xr:uid="{E83D32FD-85C3-4FAE-B17E-3A5B5D2A9107}"/>
    <cellStyle name="20% - Ênfase2 6 5" xfId="1942" xr:uid="{0A5B0A27-4D5B-4204-BF65-AD2544A909E1}"/>
    <cellStyle name="20% - Ênfase2 7" xfId="150" xr:uid="{4266AE74-0485-4ADC-A47A-D16066BD83F3}"/>
    <cellStyle name="20% - Ênfase2 7 2" xfId="756" xr:uid="{4001F028-CE7D-46CF-8393-E484BC5FCC7C}"/>
    <cellStyle name="20% - Ênfase2 7 2 2" xfId="1359" xr:uid="{71EE3A9D-5215-4F20-A55D-FFA21040329C}"/>
    <cellStyle name="20% - Ênfase2 7 2 2 2" xfId="3211" xr:uid="{4D9B4EEA-B8F5-42C5-81D9-B8DE67ABBD20}"/>
    <cellStyle name="20% - Ênfase2 7 2 3" xfId="2284" xr:uid="{13953236-A500-4B97-935F-5B61879D3722}"/>
    <cellStyle name="20% - Ênfase2 7 3" xfId="432" xr:uid="{D23D0AB7-BC4F-4720-804A-66C224A199FA}"/>
    <cellStyle name="20% - Ênfase2 7 3 2" xfId="1820" xr:uid="{A47CE3DE-2FD9-4F9A-A738-A1A5C6870A00}"/>
    <cellStyle name="20% - Ênfase2 7 3 2 2" xfId="3633" xr:uid="{965816BD-4729-4825-B6A9-3063F8362457}"/>
    <cellStyle name="20% - Ênfase2 7 3 3" xfId="2745" xr:uid="{39F66A79-AEFA-414F-B67C-C49505E76841}"/>
    <cellStyle name="20% - Ênfase2 7 4" xfId="1037" xr:uid="{01E6EBC7-91D7-4BC6-A954-9ECA82E606A4}"/>
    <cellStyle name="20% - Ênfase2 7 4 2" xfId="2889" xr:uid="{8ABAC480-2E8F-482E-B183-6F69EB3AAB89}"/>
    <cellStyle name="20% - Ênfase2 7 5" xfId="1962" xr:uid="{3260250F-9D7E-4535-B446-E01068F849A2}"/>
    <cellStyle name="20% - Ênfase2 8" xfId="170" xr:uid="{BA9D7670-92C0-4AA0-BB03-D49F3C15F89F}"/>
    <cellStyle name="20% - Ênfase2 8 2" xfId="776" xr:uid="{AC7E0B2C-8AEA-4506-AC6F-0BD02B634963}"/>
    <cellStyle name="20% - Ênfase2 8 2 2" xfId="1379" xr:uid="{B37691F1-CE8B-46CE-A314-B31866C6E2B4}"/>
    <cellStyle name="20% - Ênfase2 8 2 2 2" xfId="3231" xr:uid="{F0E7D02F-6983-46F3-AC2A-9E8F0C0C10D3}"/>
    <cellStyle name="20% - Ênfase2 8 2 3" xfId="2304" xr:uid="{A50C3661-A2FA-4C9A-A13B-70BDA55D5A88}"/>
    <cellStyle name="20% - Ênfase2 8 3" xfId="452" xr:uid="{09EA90A3-FFCA-4093-AC73-31EE45185AF9}"/>
    <cellStyle name="20% - Ênfase2 8 3 2" xfId="1572" xr:uid="{247BE2BE-3C51-404D-8326-C1CB683BC81F}"/>
    <cellStyle name="20% - Ênfase2 8 3 2 2" xfId="3424" xr:uid="{7DA75120-6E6A-4DCA-A292-88B2B0BD9CD8}"/>
    <cellStyle name="20% - Ênfase2 8 3 3" xfId="2497" xr:uid="{24FDC10B-0109-4E53-BABE-0B19176D1962}"/>
    <cellStyle name="20% - Ênfase2 8 4" xfId="1057" xr:uid="{050BA80A-482A-4367-B51D-54AE01D26503}"/>
    <cellStyle name="20% - Ênfase2 8 4 2" xfId="2909" xr:uid="{8D58A026-89CE-4AFF-B251-669F89B1DFD1}"/>
    <cellStyle name="20% - Ênfase2 8 5" xfId="1982" xr:uid="{C1426429-059F-47BC-83C5-76B134D33E01}"/>
    <cellStyle name="20% - Ênfase2 9" xfId="190" xr:uid="{43271D06-EEA7-42EB-B6A0-8BD973F361BB}"/>
    <cellStyle name="20% - Ênfase2 9 2" xfId="796" xr:uid="{56B7FD01-355D-4699-B5E9-EC1FBA53295A}"/>
    <cellStyle name="20% - Ênfase2 9 2 2" xfId="1399" xr:uid="{9A4CB6A0-5045-41FB-AC29-7F9E7F98164D}"/>
    <cellStyle name="20% - Ênfase2 9 2 2 2" xfId="3251" xr:uid="{BE9DF46D-454E-41D6-AB8D-D1C2124DE9D6}"/>
    <cellStyle name="20% - Ênfase2 9 2 3" xfId="2324" xr:uid="{24516F18-A276-493C-9797-9B65737B9F1E}"/>
    <cellStyle name="20% - Ênfase2 9 3" xfId="472" xr:uid="{CA8C80B1-3D7E-44B7-A114-765EE3D415C5}"/>
    <cellStyle name="20% - Ênfase2 9 3 2" xfId="1746" xr:uid="{EA820E2B-008D-437F-B4D6-696E0B3DCBF5}"/>
    <cellStyle name="20% - Ênfase2 9 3 2 2" xfId="3559" xr:uid="{7E2BD416-C669-40AF-AE27-CB4B3B91A86A}"/>
    <cellStyle name="20% - Ênfase2 9 3 3" xfId="2671" xr:uid="{C5529E16-3DF8-41CD-B649-12BDA7918F55}"/>
    <cellStyle name="20% - Ênfase2 9 4" xfId="1077" xr:uid="{B91C5CB1-4639-4B1B-B14F-99E5A7418EDD}"/>
    <cellStyle name="20% - Ênfase2 9 4 2" xfId="2929" xr:uid="{C55B95BA-0D52-47B6-BBD9-FE0898716726}"/>
    <cellStyle name="20% - Ênfase2 9 5" xfId="2002" xr:uid="{310B1523-C1F5-4A66-9075-D8D77479D1CC}"/>
    <cellStyle name="20% - Ênfase3" xfId="27" builtinId="38" customBuiltin="1"/>
    <cellStyle name="20% - Ênfase3 10" xfId="214" xr:uid="{B7D8BC10-6B81-4797-B6F1-2708C88B7AB4}"/>
    <cellStyle name="20% - Ênfase3 10 2" xfId="820" xr:uid="{0829B962-7F28-40F0-A34B-8CDE8C2E4CBA}"/>
    <cellStyle name="20% - Ênfase3 10 2 2" xfId="1423" xr:uid="{4935D110-9B13-4561-A488-AFF6ADF8D8E1}"/>
    <cellStyle name="20% - Ênfase3 10 2 2 2" xfId="3275" xr:uid="{8FEFE657-D0DD-40B9-AA25-88A8C423FC7F}"/>
    <cellStyle name="20% - Ênfase3 10 2 3" xfId="2348" xr:uid="{6DFD5BDC-6096-4FCF-AFDF-E8E97FF03BEC}"/>
    <cellStyle name="20% - Ênfase3 10 3" xfId="496" xr:uid="{33C8B4A7-588E-4196-9B50-6E911F4B21FB}"/>
    <cellStyle name="20% - Ênfase3 10 3 2" xfId="1517" xr:uid="{F97E6EF0-1235-473A-9F60-974AD8F6A3D4}"/>
    <cellStyle name="20% - Ênfase3 10 3 2 2" xfId="3369" xr:uid="{B15C6443-0B36-448F-B83A-0F3C9122974E}"/>
    <cellStyle name="20% - Ênfase3 10 3 3" xfId="2442" xr:uid="{693DC628-1673-429F-9C0F-B40A54FE86BA}"/>
    <cellStyle name="20% - Ênfase3 10 4" xfId="1101" xr:uid="{08143710-5049-406A-A06D-932420BD49C3}"/>
    <cellStyle name="20% - Ênfase3 10 4 2" xfId="2953" xr:uid="{3CB15EE3-096F-4BD2-9B6B-FE75925314E2}"/>
    <cellStyle name="20% - Ênfase3 10 5" xfId="2026" xr:uid="{4A567D57-4117-4FC7-BEAC-D1F2436957ED}"/>
    <cellStyle name="20% - Ênfase3 11" xfId="234" xr:uid="{69F75B44-B650-4307-9482-19B308050968}"/>
    <cellStyle name="20% - Ênfase3 11 2" xfId="840" xr:uid="{B0367894-3D1E-4688-A71D-A0D0602F2A93}"/>
    <cellStyle name="20% - Ênfase3 11 2 2" xfId="1443" xr:uid="{9BBA35E9-1C08-48DF-8F70-C1A73599B765}"/>
    <cellStyle name="20% - Ênfase3 11 2 2 2" xfId="3295" xr:uid="{52090500-AAAC-478C-BCAD-79C61FCDF41E}"/>
    <cellStyle name="20% - Ênfase3 11 2 3" xfId="2368" xr:uid="{ACAF6DFA-F6EF-4964-A5B3-7E52BD5F6D62}"/>
    <cellStyle name="20% - Ênfase3 11 3" xfId="516" xr:uid="{C8FB0A3E-F532-4C9B-BD0D-F220C5570EE6}"/>
    <cellStyle name="20% - Ênfase3 11 3 2" xfId="1516" xr:uid="{1890A40F-5629-49BB-82D4-2BB49A51BC43}"/>
    <cellStyle name="20% - Ênfase3 11 3 2 2" xfId="3368" xr:uid="{05F32C51-8822-43C9-A29C-31D90411582F}"/>
    <cellStyle name="20% - Ênfase3 11 3 3" xfId="2441" xr:uid="{C7288440-A6CB-4ED3-9FEB-AC5967E0554E}"/>
    <cellStyle name="20% - Ênfase3 11 4" xfId="1121" xr:uid="{BAE94379-7C85-4A69-B32E-E9BD66B9E73E}"/>
    <cellStyle name="20% - Ênfase3 11 4 2" xfId="2973" xr:uid="{7B28CA4F-8D24-4387-A798-9CD4FBC69A5C}"/>
    <cellStyle name="20% - Ênfase3 11 5" xfId="2046" xr:uid="{ECB2A48B-6A20-4056-B352-3D8C55751AFD}"/>
    <cellStyle name="20% - Ênfase3 12" xfId="254" xr:uid="{E936E8D8-5C09-4106-9D8A-7E071EC101F6}"/>
    <cellStyle name="20% - Ênfase3 12 2" xfId="860" xr:uid="{4062540C-964B-4D4F-888E-FAE164662D69}"/>
    <cellStyle name="20% - Ênfase3 12 2 2" xfId="1463" xr:uid="{7BAB7727-4DD6-4969-B74A-1D74500B4BFC}"/>
    <cellStyle name="20% - Ênfase3 12 2 2 2" xfId="3315" xr:uid="{21C774AE-F969-4CFC-862D-3EA3E9E49CB6}"/>
    <cellStyle name="20% - Ênfase3 12 2 3" xfId="2388" xr:uid="{5A822285-2C63-44E7-9883-CC01C693788C}"/>
    <cellStyle name="20% - Ênfase3 12 3" xfId="536" xr:uid="{9B5331BD-828E-46AA-9EB2-7CC062A628A2}"/>
    <cellStyle name="20% - Ênfase3 12 3 2" xfId="1796" xr:uid="{F2E0A155-CC79-494F-A90A-0C037D96EFE1}"/>
    <cellStyle name="20% - Ênfase3 12 3 2 2" xfId="3609" xr:uid="{3AA1BD35-BEEA-47F5-BC47-A1A836FED728}"/>
    <cellStyle name="20% - Ênfase3 12 3 3" xfId="2721" xr:uid="{4925BF85-D99D-4C5D-99BB-7BC14CC243C5}"/>
    <cellStyle name="20% - Ênfase3 12 4" xfId="1141" xr:uid="{D8D57321-BCE0-4B61-BD46-7FC671014EA2}"/>
    <cellStyle name="20% - Ênfase3 12 4 2" xfId="2993" xr:uid="{BBE438A5-D88D-4B4C-91AF-115A2DF3958C}"/>
    <cellStyle name="20% - Ênfase3 12 5" xfId="2066" xr:uid="{6E8B0D40-215C-4523-8229-E1E7B5267317}"/>
    <cellStyle name="20% - Ênfase3 13" xfId="274" xr:uid="{7972506F-32F3-429A-909C-C77EA3BBF131}"/>
    <cellStyle name="20% - Ênfase3 13 2" xfId="880" xr:uid="{6BC87E14-2C3B-49E5-876A-E7ECC1AC282A}"/>
    <cellStyle name="20% - Ênfase3 13 2 2" xfId="1483" xr:uid="{811235AE-47BA-4DB5-8EBA-F0E65A05BC0C}"/>
    <cellStyle name="20% - Ênfase3 13 2 2 2" xfId="3335" xr:uid="{55D429DC-F29D-46CB-B9A0-D5C26688C789}"/>
    <cellStyle name="20% - Ênfase3 13 2 3" xfId="2408" xr:uid="{C490EE14-BABC-42A2-8ECF-457DEC57D555}"/>
    <cellStyle name="20% - Ênfase3 13 3" xfId="556" xr:uid="{00005EE5-DD20-4D3D-B36C-3B75EF0D11CC}"/>
    <cellStyle name="20% - Ênfase3 13 3 2" xfId="1551" xr:uid="{498584C4-0ECF-4779-AD9C-DF8E4CAEAA9C}"/>
    <cellStyle name="20% - Ênfase3 13 3 2 2" xfId="3403" xr:uid="{BEA0101B-88B6-4C00-AFD3-0F9FC8611C58}"/>
    <cellStyle name="20% - Ênfase3 13 3 3" xfId="2476" xr:uid="{8354858D-FFD4-4664-AD16-49D08BBB24BB}"/>
    <cellStyle name="20% - Ênfase3 13 4" xfId="1161" xr:uid="{8F6F716A-B8A0-429C-915F-C9E16B0F7F24}"/>
    <cellStyle name="20% - Ênfase3 13 4 2" xfId="3013" xr:uid="{9543F5CB-14B5-4A88-9463-806B3E97B7E3}"/>
    <cellStyle name="20% - Ênfase3 13 5" xfId="2086" xr:uid="{18C02636-228B-418E-AE53-D76378F70B59}"/>
    <cellStyle name="20% - Ênfase3 14" xfId="294" xr:uid="{9CD1B4E0-7A8A-40E6-A8AE-F51967F2939C}"/>
    <cellStyle name="20% - Ênfase3 14 2" xfId="900" xr:uid="{224F732F-0F8A-4277-A400-FE9C61580140}"/>
    <cellStyle name="20% - Ênfase3 14 2 2" xfId="1503" xr:uid="{A707439C-986D-4F9B-9B9B-F462D373E35D}"/>
    <cellStyle name="20% - Ênfase3 14 2 2 2" xfId="3355" xr:uid="{F05AC124-EED8-4E20-99A5-D13C632C7B34}"/>
    <cellStyle name="20% - Ênfase3 14 2 3" xfId="2428" xr:uid="{790F4FCF-6CA4-4C8A-8C37-1ECD88AEB0BD}"/>
    <cellStyle name="20% - Ênfase3 14 3" xfId="576" xr:uid="{D5399129-8291-4F24-BAE3-A701131667E9}"/>
    <cellStyle name="20% - Ênfase3 14 3 2" xfId="1539" xr:uid="{70E97CE8-C081-45FA-82B5-50CF6B3649A6}"/>
    <cellStyle name="20% - Ênfase3 14 3 2 2" xfId="3391" xr:uid="{B80C1239-B80C-48D0-B0F7-806F19E33E5F}"/>
    <cellStyle name="20% - Ênfase3 14 3 3" xfId="2464" xr:uid="{3778756E-AA33-4C83-9154-2ADEAD3903DC}"/>
    <cellStyle name="20% - Ênfase3 14 4" xfId="1181" xr:uid="{9519642E-87D4-4F5E-939E-F9C87FB8440D}"/>
    <cellStyle name="20% - Ênfase3 14 4 2" xfId="3033" xr:uid="{B41F2B70-1ED1-48CA-A2A1-DEDAC8613302}"/>
    <cellStyle name="20% - Ênfase3 14 5" xfId="2106" xr:uid="{9D8E1782-0A20-4964-817E-7B4824B46CE6}"/>
    <cellStyle name="20% - Ênfase3 15" xfId="596" xr:uid="{86C0E934-1F2A-4FD3-B488-3C098F8D3CAC}"/>
    <cellStyle name="20% - Ênfase3 15 2" xfId="1659" xr:uid="{58E1DE87-B35F-4715-87D4-41C0757ACBAA}"/>
    <cellStyle name="20% - Ênfase3 15 2 2" xfId="2584" xr:uid="{B02EFD8F-6009-4D8E-9990-B190E2A75C3E}"/>
    <cellStyle name="20% - Ênfase3 15 3" xfId="1201" xr:uid="{B72DF659-4434-44FC-A48C-11856AF89BA6}"/>
    <cellStyle name="20% - Ênfase3 15 3 2" xfId="3053" xr:uid="{BD216EAE-FFDB-499F-AFCA-402D160044AF}"/>
    <cellStyle name="20% - Ênfase3 15 4" xfId="2126" xr:uid="{A7904D56-CD8D-4970-9CEF-BFB5CD57B611}"/>
    <cellStyle name="20% - Ênfase3 16" xfId="616" xr:uid="{375935D9-74D5-429D-8B31-CE3DEACC2857}"/>
    <cellStyle name="20% - Ênfase3 16 2" xfId="1679" xr:uid="{B5543729-507C-42FF-AAD5-330710A72B5E}"/>
    <cellStyle name="20% - Ênfase3 16 2 2" xfId="2604" xr:uid="{9E0A1884-B449-4910-9575-E27DF7DBB017}"/>
    <cellStyle name="20% - Ênfase3 16 3" xfId="1221" xr:uid="{4CE33BCE-0493-4937-9FB1-E87AFB9E0C37}"/>
    <cellStyle name="20% - Ênfase3 16 3 2" xfId="3073" xr:uid="{CCB31C52-97EF-4BD8-B2A0-03557F9828A3}"/>
    <cellStyle name="20% - Ênfase3 16 4" xfId="2146" xr:uid="{8F5B9DB5-A27F-43F4-A5B2-1F04E436154A}"/>
    <cellStyle name="20% - Ênfase3 17" xfId="636" xr:uid="{3FCCFAD4-B444-4780-967B-B17B967761C0}"/>
    <cellStyle name="20% - Ênfase3 17 2" xfId="1240" xr:uid="{0E4099DA-F2EB-4D7A-BD13-7BB6509059CF}"/>
    <cellStyle name="20% - Ênfase3 17 2 2" xfId="3092" xr:uid="{5D830635-D6D4-4250-B906-543BA59B1CF0}"/>
    <cellStyle name="20% - Ênfase3 17 3" xfId="2165" xr:uid="{A342172C-19DB-46DE-A973-96549A185715}"/>
    <cellStyle name="20% - Ênfase3 18" xfId="313" xr:uid="{37A1055D-8745-44C0-80BF-ED75342F82BC}"/>
    <cellStyle name="20% - Ênfase3 18 2" xfId="1594" xr:uid="{317B8118-80FD-4AB4-9467-E561D821B6AA}"/>
    <cellStyle name="20% - Ênfase3 18 2 2" xfId="3446" xr:uid="{2A2AF045-53B8-419E-955F-636D511F89D4}"/>
    <cellStyle name="20% - Ênfase3 18 3" xfId="2519" xr:uid="{8DD61C58-92A9-434B-9FF8-DBE9458460C9}"/>
    <cellStyle name="20% - Ênfase3 19" xfId="918" xr:uid="{E9C86268-B568-499D-AB00-C63D570AB124}"/>
    <cellStyle name="20% - Ênfase3 19 2" xfId="2770" xr:uid="{9B295645-FBEC-4991-93FB-6A09D77FA70A}"/>
    <cellStyle name="20% - Ênfase3 2" xfId="53" xr:uid="{AD8A4591-A30C-42C4-BB94-BD4FFEC1BD5E}"/>
    <cellStyle name="20% - Ênfase3 2 2" xfId="659" xr:uid="{C3CFA692-B117-4903-AA91-22AFDAD4434F}"/>
    <cellStyle name="20% - Ênfase3 2 2 2" xfId="1262" xr:uid="{DC62D16F-E9D0-4F93-AB2D-9AEC04A98ECE}"/>
    <cellStyle name="20% - Ênfase3 2 2 2 2" xfId="3114" xr:uid="{01545F15-FB0A-4406-A312-DB46367BD6F6}"/>
    <cellStyle name="20% - Ênfase3 2 2 3" xfId="2187" xr:uid="{68587CCA-53D6-4AAC-B1CE-5913BF0CDE2D}"/>
    <cellStyle name="20% - Ênfase3 2 3" xfId="335" xr:uid="{85E9D60D-E667-4A96-B15B-E0E074034AED}"/>
    <cellStyle name="20% - Ênfase3 2 3 2" xfId="1554" xr:uid="{6EA24560-D073-4DDD-8FD0-9CC19C899E2C}"/>
    <cellStyle name="20% - Ênfase3 2 3 2 2" xfId="3406" xr:uid="{69B8998D-A598-45DE-9114-EF2548A8DD80}"/>
    <cellStyle name="20% - Ênfase3 2 3 3" xfId="2479" xr:uid="{506A13DC-8F31-42C0-812E-AA7D8CE1836B}"/>
    <cellStyle name="20% - Ênfase3 2 4" xfId="940" xr:uid="{3E3EC23D-14DB-4EEB-80FF-C13A2CE90A04}"/>
    <cellStyle name="20% - Ênfase3 2 4 2" xfId="2792" xr:uid="{8FF23457-75EC-4400-8747-BEBE067290F3}"/>
    <cellStyle name="20% - Ênfase3 2 5" xfId="1865" xr:uid="{8E8619AA-A5EB-4417-9EDC-8E6804677856}"/>
    <cellStyle name="20% - Ênfase3 20" xfId="1843" xr:uid="{870DC1DA-D070-4692-822B-3F156B0A204A}"/>
    <cellStyle name="20% - Ênfase3 3" xfId="71" xr:uid="{4A958920-3F1F-402A-9FC6-82A60584A6C9}"/>
    <cellStyle name="20% - Ênfase3 3 2" xfId="677" xr:uid="{2BDF1129-75E4-45C7-B0DF-5E8489E835CE}"/>
    <cellStyle name="20% - Ênfase3 3 2 2" xfId="1280" xr:uid="{7903A787-0691-4CD0-950C-05298551BAFD}"/>
    <cellStyle name="20% - Ênfase3 3 2 2 2" xfId="3132" xr:uid="{DB41630E-F532-4399-A0CD-A853FA8B824E}"/>
    <cellStyle name="20% - Ênfase3 3 2 3" xfId="2205" xr:uid="{77376C71-9831-4961-94E8-041626700465}"/>
    <cellStyle name="20% - Ênfase3 3 3" xfId="353" xr:uid="{65119A2E-84D1-4810-9FF5-C47E1AE0E2FF}"/>
    <cellStyle name="20% - Ênfase3 3 3 2" xfId="1533" xr:uid="{F00152D3-95F9-46D9-8D63-F205E8D67692}"/>
    <cellStyle name="20% - Ênfase3 3 3 2 2" xfId="3385" xr:uid="{69454D13-8CAC-4627-8DB9-705E44031432}"/>
    <cellStyle name="20% - Ênfase3 3 3 3" xfId="2458" xr:uid="{B4F6C7B0-1027-4104-BECC-9F0364CD3ADC}"/>
    <cellStyle name="20% - Ênfase3 3 4" xfId="958" xr:uid="{F38F9205-BB62-4C51-90DB-4D33E8BC7ED6}"/>
    <cellStyle name="20% - Ênfase3 3 4 2" xfId="2810" xr:uid="{04EAB957-B595-4A01-BB7C-455C8317AACA}"/>
    <cellStyle name="20% - Ênfase3 3 5" xfId="1883" xr:uid="{1DD7A278-515F-4815-8C75-BF5AB07469F1}"/>
    <cellStyle name="20% - Ênfase3 4" xfId="93" xr:uid="{3705752C-F04B-47FD-9DCB-59CCD0A694AA}"/>
    <cellStyle name="20% - Ênfase3 4 2" xfId="699" xr:uid="{157E55A5-C2EA-45E3-8454-7FF84015703F}"/>
    <cellStyle name="20% - Ênfase3 4 2 2" xfId="1302" xr:uid="{E3AB79D0-EA95-405B-9011-69B27335752A}"/>
    <cellStyle name="20% - Ênfase3 4 2 2 2" xfId="3154" xr:uid="{83C3D1FC-5E48-4628-847E-3BA5878B6067}"/>
    <cellStyle name="20% - Ênfase3 4 2 3" xfId="2227" xr:uid="{5EEDC3C7-5987-4FC1-B3DE-A5B225501D87}"/>
    <cellStyle name="20% - Ênfase3 4 3" xfId="375" xr:uid="{36FBEED7-E2C2-4D2B-9E02-74D4473DBE2B}"/>
    <cellStyle name="20% - Ênfase3 4 3 2" xfId="1782" xr:uid="{88233C1E-7643-4FD9-BFE0-FFA0CCE2E61A}"/>
    <cellStyle name="20% - Ênfase3 4 3 2 2" xfId="3595" xr:uid="{F5798EC1-C783-4169-BEB4-72BD279C7DF8}"/>
    <cellStyle name="20% - Ênfase3 4 3 3" xfId="2707" xr:uid="{727CF85D-4F02-41D3-8A6E-7061E78AB83C}"/>
    <cellStyle name="20% - Ênfase3 4 4" xfId="980" xr:uid="{03D7F228-DEAA-4BF0-8664-6B7F26F06AF1}"/>
    <cellStyle name="20% - Ênfase3 4 4 2" xfId="2832" xr:uid="{480DF61E-D4EC-4193-91FB-C47F83B2133C}"/>
    <cellStyle name="20% - Ênfase3 4 5" xfId="1905" xr:uid="{0D0797EE-5B5A-43D4-9333-8FDB75FD5FC8}"/>
    <cellStyle name="20% - Ênfase3 5" xfId="113" xr:uid="{2AA8916E-33E3-4625-B3AB-380F452AA5D6}"/>
    <cellStyle name="20% - Ênfase3 5 2" xfId="719" xr:uid="{63A5DFB5-8A54-4106-87B8-EFD22F8D687B}"/>
    <cellStyle name="20% - Ênfase3 5 2 2" xfId="1322" xr:uid="{897CCCBA-D3E9-4D0A-B8AB-B6C573EEF3D3}"/>
    <cellStyle name="20% - Ênfase3 5 2 2 2" xfId="3174" xr:uid="{1A7C8790-45F4-4043-8E2F-D85D2F51E4B1}"/>
    <cellStyle name="20% - Ênfase3 5 2 3" xfId="2247" xr:uid="{F567FFA4-3E7B-41A1-A2AF-BEE54F4F3CC3}"/>
    <cellStyle name="20% - Ênfase3 5 3" xfId="395" xr:uid="{F99840E4-E1C9-415C-9412-14E1B1DF69E0}"/>
    <cellStyle name="20% - Ênfase3 5 3 2" xfId="1800" xr:uid="{1976D658-2EE8-4176-BBA7-6346D911C1B9}"/>
    <cellStyle name="20% - Ênfase3 5 3 2 2" xfId="3613" xr:uid="{9012C48D-56EC-475F-BF4B-046F90B13ABC}"/>
    <cellStyle name="20% - Ênfase3 5 3 3" xfId="2725" xr:uid="{4D2B6284-8A4D-4E13-915D-BC0425FADDD4}"/>
    <cellStyle name="20% - Ênfase3 5 4" xfId="1000" xr:uid="{9C80D2D0-F331-4BED-BAE5-CDB6D58F5A16}"/>
    <cellStyle name="20% - Ênfase3 5 4 2" xfId="2852" xr:uid="{E1946A94-A580-4CA2-BC5C-3F98134BF563}"/>
    <cellStyle name="20% - Ênfase3 5 5" xfId="1925" xr:uid="{F0832882-9BD1-430D-A3E4-CE7E2405558E}"/>
    <cellStyle name="20% - Ênfase3 6" xfId="133" xr:uid="{C4523531-48D0-4EF5-92A4-2BF4195D2CA9}"/>
    <cellStyle name="20% - Ênfase3 6 2" xfId="739" xr:uid="{41CB2FB2-053D-40B7-A32D-FCC934126FBD}"/>
    <cellStyle name="20% - Ênfase3 6 2 2" xfId="1342" xr:uid="{C2F6028C-121E-47F9-A8F7-ADED69BDC81E}"/>
    <cellStyle name="20% - Ênfase3 6 2 2 2" xfId="3194" xr:uid="{3448CD53-4E2E-4F62-9D3A-405C8F59016F}"/>
    <cellStyle name="20% - Ênfase3 6 2 3" xfId="2267" xr:uid="{7A1F097A-3D3D-4130-92DE-CC148E21B7F0}"/>
    <cellStyle name="20% - Ênfase3 6 3" xfId="415" xr:uid="{2CF5411A-ACA8-4B09-A702-DF0A05047259}"/>
    <cellStyle name="20% - Ênfase3 6 3 2" xfId="1760" xr:uid="{941A0F14-A7DA-4D01-9974-AD3B705BA336}"/>
    <cellStyle name="20% - Ênfase3 6 3 2 2" xfId="3573" xr:uid="{4925E53E-7499-436C-BD22-DA703AFCCCC9}"/>
    <cellStyle name="20% - Ênfase3 6 3 3" xfId="2685" xr:uid="{199ABF78-5D1D-4A27-8E1F-4FF700C1533F}"/>
    <cellStyle name="20% - Ênfase3 6 4" xfId="1020" xr:uid="{FC098512-BE57-4236-8B2E-0F9778A912A1}"/>
    <cellStyle name="20% - Ênfase3 6 4 2" xfId="2872" xr:uid="{5C720E69-FB8E-4C0E-BEAB-F2A774F08D4D}"/>
    <cellStyle name="20% - Ênfase3 6 5" xfId="1945" xr:uid="{D4C1DAE6-BE4C-41D8-BFB4-C907835EF4FB}"/>
    <cellStyle name="20% - Ênfase3 7" xfId="153" xr:uid="{20B9617F-53F3-4C3D-A275-227C96CA8B06}"/>
    <cellStyle name="20% - Ênfase3 7 2" xfId="759" xr:uid="{56EC272F-3843-4BB5-A34F-45A4397852BD}"/>
    <cellStyle name="20% - Ênfase3 7 2 2" xfId="1362" xr:uid="{0B4F6198-EEA9-4557-AA79-659558271A04}"/>
    <cellStyle name="20% - Ênfase3 7 2 2 2" xfId="3214" xr:uid="{24659FB6-1A52-4325-9F22-668518752438}"/>
    <cellStyle name="20% - Ênfase3 7 2 3" xfId="2287" xr:uid="{7570E34D-D267-486D-B0B9-1EDF621AAC98}"/>
    <cellStyle name="20% - Ênfase3 7 3" xfId="435" xr:uid="{E281BDAA-B533-495B-9628-E67E733DF50B}"/>
    <cellStyle name="20% - Ênfase3 7 3 2" xfId="1818" xr:uid="{45BE74B8-B72D-43E1-91C7-E543E7EC9B73}"/>
    <cellStyle name="20% - Ênfase3 7 3 2 2" xfId="3631" xr:uid="{B0F61278-157E-4F5A-B779-7BB167EA3AA1}"/>
    <cellStyle name="20% - Ênfase3 7 3 3" xfId="2743" xr:uid="{6E4B249E-3FDF-4DBD-831F-69B6E610029E}"/>
    <cellStyle name="20% - Ênfase3 7 4" xfId="1040" xr:uid="{0B9EC411-1E99-4C08-B3CE-4C4219FE7F6C}"/>
    <cellStyle name="20% - Ênfase3 7 4 2" xfId="2892" xr:uid="{B85DA41C-B6CB-40C2-9562-EF2BD995CF60}"/>
    <cellStyle name="20% - Ênfase3 7 5" xfId="1965" xr:uid="{F2E9827A-6979-4EC4-969C-485C27BEFB64}"/>
    <cellStyle name="20% - Ênfase3 8" xfId="173" xr:uid="{51EA8F61-99F4-4046-B895-F2B33DD3A4FF}"/>
    <cellStyle name="20% - Ênfase3 8 2" xfId="779" xr:uid="{97B70783-AA90-49FE-B9D3-8D2DAA7CA26D}"/>
    <cellStyle name="20% - Ênfase3 8 2 2" xfId="1382" xr:uid="{7480859D-E66E-4A61-97D0-1BB55974BDC1}"/>
    <cellStyle name="20% - Ênfase3 8 2 2 2" xfId="3234" xr:uid="{BF37F211-2314-4C16-B982-40272AF6CA4A}"/>
    <cellStyle name="20% - Ênfase3 8 2 3" xfId="2307" xr:uid="{2CEE6654-F59B-4C2C-B988-D7072F74E886}"/>
    <cellStyle name="20% - Ênfase3 8 3" xfId="455" xr:uid="{E1B2DD32-EC9D-4C04-9B08-14D65F563ECB}"/>
    <cellStyle name="20% - Ênfase3 8 3 2" xfId="1637" xr:uid="{B36A13A4-A56B-477C-A6E2-8561420F3D01}"/>
    <cellStyle name="20% - Ênfase3 8 3 2 2" xfId="3489" xr:uid="{636FDD0D-9C7E-4C5F-9099-FA1D10FFA191}"/>
    <cellStyle name="20% - Ênfase3 8 3 3" xfId="2562" xr:uid="{CB2CD246-3292-4F76-A789-EBC924D5A6E9}"/>
    <cellStyle name="20% - Ênfase3 8 4" xfId="1060" xr:uid="{96BE6D6B-977A-4DB5-8756-864F73BF32D3}"/>
    <cellStyle name="20% - Ênfase3 8 4 2" xfId="2912" xr:uid="{916DA1E1-A00D-45D7-9B8A-CB10D7BD1850}"/>
    <cellStyle name="20% - Ênfase3 8 5" xfId="1985" xr:uid="{45BC5998-E2B1-4738-AA9A-9C5C1848236C}"/>
    <cellStyle name="20% - Ênfase3 9" xfId="193" xr:uid="{7193A8B7-CE64-4B9D-8050-A240CBE0426B}"/>
    <cellStyle name="20% - Ênfase3 9 2" xfId="799" xr:uid="{3600FB13-36C9-477E-A943-1FE6AD8D2C1F}"/>
    <cellStyle name="20% - Ênfase3 9 2 2" xfId="1402" xr:uid="{BB0BAA62-A851-49D1-9132-9CE5DF72078A}"/>
    <cellStyle name="20% - Ênfase3 9 2 2 2" xfId="3254" xr:uid="{AD71D7DF-BC50-4D1A-A392-3DDCE7F2886F}"/>
    <cellStyle name="20% - Ênfase3 9 2 3" xfId="2327" xr:uid="{FDC993C6-4B83-443F-BF6C-A3794F08B778}"/>
    <cellStyle name="20% - Ênfase3 9 3" xfId="475" xr:uid="{1B57F737-15B6-4276-8B2D-FBCACC2E075D}"/>
    <cellStyle name="20% - Ênfase3 9 3 2" xfId="1541" xr:uid="{5DF2A030-A903-4D2C-BF3F-1AFC18986D4F}"/>
    <cellStyle name="20% - Ênfase3 9 3 2 2" xfId="3393" xr:uid="{0DA042F7-DA26-4FD7-AAF0-C60ED4DAB836}"/>
    <cellStyle name="20% - Ênfase3 9 3 3" xfId="2466" xr:uid="{2D4932C4-32AC-48DC-ABE2-93A41A2CE683}"/>
    <cellStyle name="20% - Ênfase3 9 4" xfId="1080" xr:uid="{E53A45B0-E03C-4C3F-A6BF-1A4B9AA9A5FE}"/>
    <cellStyle name="20% - Ênfase3 9 4 2" xfId="2932" xr:uid="{6B05E8A4-A5AE-4B57-B2AE-9BA3FAC76875}"/>
    <cellStyle name="20% - Ênfase3 9 5" xfId="2005" xr:uid="{0DF9010A-B968-4986-BFF4-77E469557C80}"/>
    <cellStyle name="20% - Ênfase4" xfId="31" builtinId="42" customBuiltin="1"/>
    <cellStyle name="20% - Ênfase4 10" xfId="217" xr:uid="{F1151F5C-CE6D-47D2-A23B-0167CC02EC78}"/>
    <cellStyle name="20% - Ênfase4 10 2" xfId="823" xr:uid="{047A5B44-A7A5-436A-8C82-29C74EE784E3}"/>
    <cellStyle name="20% - Ênfase4 10 2 2" xfId="1426" xr:uid="{D3C4BCDD-1608-4959-9B19-BEFED90C9D25}"/>
    <cellStyle name="20% - Ênfase4 10 2 2 2" xfId="3278" xr:uid="{ADB55985-C536-4121-B786-04F2ED3E3EED}"/>
    <cellStyle name="20% - Ênfase4 10 2 3" xfId="2351" xr:uid="{0533FF43-2946-4BDE-9A28-7DCF7582F0A4}"/>
    <cellStyle name="20% - Ênfase4 10 3" xfId="499" xr:uid="{83DEDD61-8816-410F-9BA7-C432A3DB0A26}"/>
    <cellStyle name="20% - Ênfase4 10 3 2" xfId="1714" xr:uid="{7A054FDB-0D77-4A53-97EB-C6B3E899CEEF}"/>
    <cellStyle name="20% - Ênfase4 10 3 2 2" xfId="3527" xr:uid="{5C60C7A2-5A76-47E9-9226-3357AE54B683}"/>
    <cellStyle name="20% - Ênfase4 10 3 3" xfId="2639" xr:uid="{9C29B6F4-37F6-430C-9F14-D4E642E5E90E}"/>
    <cellStyle name="20% - Ênfase4 10 4" xfId="1104" xr:uid="{73BF57E0-3DD3-4591-B6FD-AB7127168E4E}"/>
    <cellStyle name="20% - Ênfase4 10 4 2" xfId="2956" xr:uid="{EDFF0CF5-82EC-4127-820E-2415BC887766}"/>
    <cellStyle name="20% - Ênfase4 10 5" xfId="2029" xr:uid="{BC4538C2-636C-44F1-9275-63FED9CF7812}"/>
    <cellStyle name="20% - Ênfase4 11" xfId="237" xr:uid="{2909A310-7B03-4416-98BA-8294E39A3C79}"/>
    <cellStyle name="20% - Ênfase4 11 2" xfId="843" xr:uid="{A83BBDA9-EAA3-4B8C-AA28-3F395BEBE4F7}"/>
    <cellStyle name="20% - Ênfase4 11 2 2" xfId="1446" xr:uid="{E8C35A89-DD4B-4A0F-9DA1-234B1B174EE3}"/>
    <cellStyle name="20% - Ênfase4 11 2 2 2" xfId="3298" xr:uid="{F550C26D-225C-4A8B-BA14-BA55FB096A6C}"/>
    <cellStyle name="20% - Ênfase4 11 2 3" xfId="2371" xr:uid="{73CD207E-2D4B-4FC6-BCBF-E7DB5572C513}"/>
    <cellStyle name="20% - Ênfase4 11 3" xfId="519" xr:uid="{F517CAE1-6B13-4562-B288-B8948D0968B9}"/>
    <cellStyle name="20% - Ênfase4 11 3 2" xfId="1835" xr:uid="{D9710BAD-13D4-4029-AB3B-B7AB4D3D6FB9}"/>
    <cellStyle name="20% - Ênfase4 11 3 2 2" xfId="3648" xr:uid="{14FD90ED-6B58-4966-86C3-B731EADD9383}"/>
    <cellStyle name="20% - Ênfase4 11 3 3" xfId="2760" xr:uid="{A446E13F-3571-49AB-8ED9-012C414013C0}"/>
    <cellStyle name="20% - Ênfase4 11 4" xfId="1124" xr:uid="{D374F2F6-7AB4-4E02-83F5-01E829A19893}"/>
    <cellStyle name="20% - Ênfase4 11 4 2" xfId="2976" xr:uid="{6DA155E2-EBCB-4924-BF73-FA68DEBAF6E6}"/>
    <cellStyle name="20% - Ênfase4 11 5" xfId="2049" xr:uid="{9E146FCD-F439-402B-9652-6FBB194CBE2C}"/>
    <cellStyle name="20% - Ênfase4 12" xfId="257" xr:uid="{303AE62C-6757-4C58-BC3C-8EDD0CEE8C81}"/>
    <cellStyle name="20% - Ênfase4 12 2" xfId="863" xr:uid="{A607A4C3-1E80-461D-8BCC-9599EDE2AC50}"/>
    <cellStyle name="20% - Ênfase4 12 2 2" xfId="1466" xr:uid="{B880344E-9E45-4271-8A12-A2D2BF33AC0C}"/>
    <cellStyle name="20% - Ênfase4 12 2 2 2" xfId="3318" xr:uid="{CF5ED871-9C07-4EF5-841A-B2C249B6B2C2}"/>
    <cellStyle name="20% - Ênfase4 12 2 3" xfId="2391" xr:uid="{BE0991C0-FF97-4EB1-BBEA-B5C03AAB7351}"/>
    <cellStyle name="20% - Ênfase4 12 3" xfId="539" xr:uid="{3457310B-41F3-4C36-B325-3E185C901BBF}"/>
    <cellStyle name="20% - Ênfase4 12 3 2" xfId="1752" xr:uid="{B8372B37-E2A5-4369-9D07-6E777AD8DEEB}"/>
    <cellStyle name="20% - Ênfase4 12 3 2 2" xfId="3565" xr:uid="{99B95B35-7019-45D6-88FE-FCFF3172175B}"/>
    <cellStyle name="20% - Ênfase4 12 3 3" xfId="2677" xr:uid="{13115E54-02A5-4702-AC90-F803CC6BEB24}"/>
    <cellStyle name="20% - Ênfase4 12 4" xfId="1144" xr:uid="{B517C28D-E53F-43C9-9F2A-87B050922501}"/>
    <cellStyle name="20% - Ênfase4 12 4 2" xfId="2996" xr:uid="{20252BCF-2CE3-4103-9AA1-FB2E4FCABBBB}"/>
    <cellStyle name="20% - Ênfase4 12 5" xfId="2069" xr:uid="{76E17FDD-3F91-4AA9-9DEB-4D03F457A4E8}"/>
    <cellStyle name="20% - Ênfase4 13" xfId="277" xr:uid="{666B8B53-9D4B-4D24-85D1-F49C96D13FCB}"/>
    <cellStyle name="20% - Ênfase4 13 2" xfId="883" xr:uid="{079FA675-838C-4926-8A2D-A1406F61E66E}"/>
    <cellStyle name="20% - Ênfase4 13 2 2" xfId="1486" xr:uid="{09B32323-90F2-4E7F-B061-148E53351DDF}"/>
    <cellStyle name="20% - Ênfase4 13 2 2 2" xfId="3338" xr:uid="{A1C6E91B-1EF2-4C47-B29E-4D8010C847C2}"/>
    <cellStyle name="20% - Ênfase4 13 2 3" xfId="2411" xr:uid="{359DDB93-F242-4472-914D-43696B41831C}"/>
    <cellStyle name="20% - Ênfase4 13 3" xfId="559" xr:uid="{E7DE79CA-61F2-42F6-9D8C-9173E9A0F2C9}"/>
    <cellStyle name="20% - Ênfase4 13 3 2" xfId="1544" xr:uid="{0BC85D78-BAE0-4FC0-88A2-E0E50A4D1A14}"/>
    <cellStyle name="20% - Ênfase4 13 3 2 2" xfId="3396" xr:uid="{00F1BD53-308E-4EA7-A513-40BDF9CB39D8}"/>
    <cellStyle name="20% - Ênfase4 13 3 3" xfId="2469" xr:uid="{1A76E719-B6EE-4BA7-9DD3-3D3A07865324}"/>
    <cellStyle name="20% - Ênfase4 13 4" xfId="1164" xr:uid="{85179A10-1311-4A22-9C55-5957A8BAB03B}"/>
    <cellStyle name="20% - Ênfase4 13 4 2" xfId="3016" xr:uid="{708D04B5-EDCD-4EFF-9D3A-165178B77F8B}"/>
    <cellStyle name="20% - Ênfase4 13 5" xfId="2089" xr:uid="{FACCAC91-45C9-4FBB-B1F0-31EAA7756772}"/>
    <cellStyle name="20% - Ênfase4 14" xfId="297" xr:uid="{B711625D-7420-4E0E-9100-D99C57216820}"/>
    <cellStyle name="20% - Ênfase4 14 2" xfId="903" xr:uid="{95B51BD7-46E9-4A80-87EC-797D9D53EA37}"/>
    <cellStyle name="20% - Ênfase4 14 2 2" xfId="1506" xr:uid="{17953B54-6B0D-4B64-B0C4-3891F1468861}"/>
    <cellStyle name="20% - Ênfase4 14 2 2 2" xfId="3358" xr:uid="{704A1B53-C678-469F-AFD1-811718E200F6}"/>
    <cellStyle name="20% - Ênfase4 14 2 3" xfId="2431" xr:uid="{D76B62D1-EBEC-4858-9640-83306844FAC7}"/>
    <cellStyle name="20% - Ênfase4 14 3" xfId="579" xr:uid="{F4194E45-A9B1-440A-9A14-643B4F18A2C5}"/>
    <cellStyle name="20% - Ênfase4 14 3 2" xfId="1555" xr:uid="{044ADB2E-35A5-465E-8E08-B0BA520DDB3A}"/>
    <cellStyle name="20% - Ênfase4 14 3 2 2" xfId="3407" xr:uid="{BA859FC0-2F7D-4312-B232-3EA83E6EB10C}"/>
    <cellStyle name="20% - Ênfase4 14 3 3" xfId="2480" xr:uid="{5EEFF5AD-6002-4E16-BE98-4B9A36CAD0DE}"/>
    <cellStyle name="20% - Ênfase4 14 4" xfId="1184" xr:uid="{38B190EA-2873-4DD0-91C7-9FBB149F1E19}"/>
    <cellStyle name="20% - Ênfase4 14 4 2" xfId="3036" xr:uid="{B8802A84-DBCB-44F2-882E-B66E9BB362D6}"/>
    <cellStyle name="20% - Ênfase4 14 5" xfId="2109" xr:uid="{90CEEF65-9EF2-478C-8A40-3E1C66E348C4}"/>
    <cellStyle name="20% - Ênfase4 15" xfId="599" xr:uid="{A1636C80-22D4-4103-849A-40FF4627A8E6}"/>
    <cellStyle name="20% - Ênfase4 15 2" xfId="1662" xr:uid="{0358E6B5-F498-41D0-A3A2-3AC810285C10}"/>
    <cellStyle name="20% - Ênfase4 15 2 2" xfId="2587" xr:uid="{6F5725CF-5D19-46F9-BD9C-44753F60FE86}"/>
    <cellStyle name="20% - Ênfase4 15 3" xfId="1204" xr:uid="{6200188F-A9B4-4691-823F-4ECAC3F0ECB2}"/>
    <cellStyle name="20% - Ênfase4 15 3 2" xfId="3056" xr:uid="{E385F5C0-095C-47B0-B8AD-D14F0BD17E92}"/>
    <cellStyle name="20% - Ênfase4 15 4" xfId="2129" xr:uid="{1483A9FA-BE25-4F21-A830-7766E7AD9518}"/>
    <cellStyle name="20% - Ênfase4 16" xfId="619" xr:uid="{162D3797-3E09-450C-B774-4DF53E6BADC4}"/>
    <cellStyle name="20% - Ênfase4 16 2" xfId="1682" xr:uid="{1C4CA091-4829-4F83-8DE2-15605B5CA622}"/>
    <cellStyle name="20% - Ênfase4 16 2 2" xfId="2607" xr:uid="{A0D6784B-6E7F-4DB3-BE30-227D8C5FD098}"/>
    <cellStyle name="20% - Ênfase4 16 3" xfId="1224" xr:uid="{D04896B4-9B1E-4EC1-B313-1BFE170FFA2F}"/>
    <cellStyle name="20% - Ênfase4 16 3 2" xfId="3076" xr:uid="{E1FED15C-D3D7-409B-B28F-8104F56249B4}"/>
    <cellStyle name="20% - Ênfase4 16 4" xfId="2149" xr:uid="{3C1E733A-AFEF-4004-8C82-10827C55A52C}"/>
    <cellStyle name="20% - Ênfase4 17" xfId="639" xr:uid="{EF8B0C4C-907E-4049-8954-C03FD03FC264}"/>
    <cellStyle name="20% - Ênfase4 17 2" xfId="1243" xr:uid="{FCF7BCE8-18D0-407C-8641-D9F70E8AD35B}"/>
    <cellStyle name="20% - Ênfase4 17 2 2" xfId="3095" xr:uid="{E2E63AE6-8A99-44F9-BF39-AB75AD5E5EDA}"/>
    <cellStyle name="20% - Ênfase4 17 3" xfId="2168" xr:uid="{09F9BF54-7C1A-48A0-A055-A5C1F8DB9036}"/>
    <cellStyle name="20% - Ênfase4 18" xfId="316" xr:uid="{DDEE68C8-0471-4392-BC80-E15F959C0C4B}"/>
    <cellStyle name="20% - Ênfase4 18 2" xfId="1717" xr:uid="{188B96A1-4CF4-4499-8E7E-63B1EEC7AA73}"/>
    <cellStyle name="20% - Ênfase4 18 2 2" xfId="3530" xr:uid="{C792EB6F-8A24-4ED6-B90A-0FDA64F819B9}"/>
    <cellStyle name="20% - Ênfase4 18 3" xfId="2642" xr:uid="{B20A264F-8CF1-4AEA-A34F-B9169E1C4F5B}"/>
    <cellStyle name="20% - Ênfase4 19" xfId="921" xr:uid="{00EA9B67-567C-4033-BFFD-97258E4FBEDD}"/>
    <cellStyle name="20% - Ênfase4 19 2" xfId="2773" xr:uid="{7BF30325-7D2B-4D5B-9B0D-55E7531393AA}"/>
    <cellStyle name="20% - Ênfase4 2" xfId="56" xr:uid="{1EDEF5F3-1C96-45F8-9D63-0B32804DF88A}"/>
    <cellStyle name="20% - Ênfase4 2 2" xfId="662" xr:uid="{3D5E6E59-30F1-4315-BEA9-6C6E28F3A352}"/>
    <cellStyle name="20% - Ênfase4 2 2 2" xfId="1265" xr:uid="{2CE1079E-8729-4C36-BFDC-AFD6799C61E0}"/>
    <cellStyle name="20% - Ênfase4 2 2 2 2" xfId="3117" xr:uid="{E656D38F-541C-413E-9819-6E1ED3B7365D}"/>
    <cellStyle name="20% - Ênfase4 2 2 3" xfId="2190" xr:uid="{06C155FF-9B8D-4672-B491-32DE9535EEF0}"/>
    <cellStyle name="20% - Ênfase4 2 3" xfId="338" xr:uid="{BB6EC91C-AD11-4857-9291-D399222B633A}"/>
    <cellStyle name="20% - Ênfase4 2 3 2" xfId="1590" xr:uid="{05F7D2BF-3CD1-43D0-9891-07262EE099CE}"/>
    <cellStyle name="20% - Ênfase4 2 3 2 2" xfId="3442" xr:uid="{6B8A7E02-5282-4D45-BF90-8024D8779716}"/>
    <cellStyle name="20% - Ênfase4 2 3 3" xfId="2515" xr:uid="{146C2DED-D4E6-43A3-B662-1902EB435266}"/>
    <cellStyle name="20% - Ênfase4 2 4" xfId="943" xr:uid="{6C589D63-90DC-4113-BE20-23F919AC3F64}"/>
    <cellStyle name="20% - Ênfase4 2 4 2" xfId="2795" xr:uid="{BF1F97DF-1EB6-47DF-8F82-EA9FEAB30555}"/>
    <cellStyle name="20% - Ênfase4 2 5" xfId="1868" xr:uid="{5491F9B0-2041-44CF-BE05-F92F5BDD32A7}"/>
    <cellStyle name="20% - Ênfase4 20" xfId="1846" xr:uid="{B3664DCB-9832-4B6F-917F-72CDC51C3E79}"/>
    <cellStyle name="20% - Ênfase4 3" xfId="74" xr:uid="{5CA6EEA9-4724-4C27-9ED0-89E896926874}"/>
    <cellStyle name="20% - Ênfase4 3 2" xfId="680" xr:uid="{1235825A-0CBC-44FF-BFEA-71C1D95DB111}"/>
    <cellStyle name="20% - Ênfase4 3 2 2" xfId="1283" xr:uid="{FD84EB55-4462-4361-8EE6-65CB2808917D}"/>
    <cellStyle name="20% - Ênfase4 3 2 2 2" xfId="3135" xr:uid="{9C11AF3E-D669-4F6C-9284-99AA2BF934F3}"/>
    <cellStyle name="20% - Ênfase4 3 2 3" xfId="2208" xr:uid="{EA480FCE-FC1D-40E8-B550-75708EC857BD}"/>
    <cellStyle name="20% - Ênfase4 3 3" xfId="356" xr:uid="{1BECAF31-B5A5-458E-ACF2-C8C2C1215D3F}"/>
    <cellStyle name="20% - Ênfase4 3 3 2" xfId="1748" xr:uid="{9853796C-F74A-477E-BA6B-FCB14C11E8FB}"/>
    <cellStyle name="20% - Ênfase4 3 3 2 2" xfId="3561" xr:uid="{B2CFABCB-A5DC-4116-84F9-231ADB8D4F34}"/>
    <cellStyle name="20% - Ênfase4 3 3 3" xfId="2673" xr:uid="{44FED595-628A-4C51-A0EF-ADAEB2B368CE}"/>
    <cellStyle name="20% - Ênfase4 3 4" xfId="961" xr:uid="{1CE6BC61-37EE-480E-B9FE-7A04D259BECB}"/>
    <cellStyle name="20% - Ênfase4 3 4 2" xfId="2813" xr:uid="{729B81AB-11CD-48DD-944E-60D5F06D5989}"/>
    <cellStyle name="20% - Ênfase4 3 5" xfId="1886" xr:uid="{4EBA8F37-250E-443E-A8CE-0969FAA0B85E}"/>
    <cellStyle name="20% - Ênfase4 4" xfId="96" xr:uid="{5CD2084E-5323-4C72-B137-2F54D1367C11}"/>
    <cellStyle name="20% - Ênfase4 4 2" xfId="702" xr:uid="{DE3D130F-E001-4D98-88B3-5C4BC4C55B8A}"/>
    <cellStyle name="20% - Ênfase4 4 2 2" xfId="1305" xr:uid="{B58AEB83-F2D7-4CC1-8085-EBA2C2539570}"/>
    <cellStyle name="20% - Ênfase4 4 2 2 2" xfId="3157" xr:uid="{507C27E6-3171-493D-9FC1-28A61A19972B}"/>
    <cellStyle name="20% - Ênfase4 4 2 3" xfId="2230" xr:uid="{88AB19D9-64DA-4EDD-9622-4B02A82C230A}"/>
    <cellStyle name="20% - Ênfase4 4 3" xfId="378" xr:uid="{0F3A5387-ABBE-492B-9CBA-445C745F1ADF}"/>
    <cellStyle name="20% - Ênfase4 4 3 2" xfId="1596" xr:uid="{1F7E803B-FADC-4DAB-84EE-BE6C73A7F537}"/>
    <cellStyle name="20% - Ênfase4 4 3 2 2" xfId="3448" xr:uid="{0F9424C3-F904-4050-9E52-759B6ED69098}"/>
    <cellStyle name="20% - Ênfase4 4 3 3" xfId="2521" xr:uid="{C83686BB-6974-4434-9E1C-E4A7EC8039B9}"/>
    <cellStyle name="20% - Ênfase4 4 4" xfId="983" xr:uid="{E5AFDF6F-0BFA-4FFF-BCC8-8C102C60EF4B}"/>
    <cellStyle name="20% - Ênfase4 4 4 2" xfId="2835" xr:uid="{BCE884B6-27B5-445E-A592-2E7F6513EDDB}"/>
    <cellStyle name="20% - Ênfase4 4 5" xfId="1908" xr:uid="{6FF43D39-F77A-4E15-B068-6F0D1F1CEF1B}"/>
    <cellStyle name="20% - Ênfase4 5" xfId="116" xr:uid="{A870645B-E53A-4517-94CD-CF8C11EEF5E2}"/>
    <cellStyle name="20% - Ênfase4 5 2" xfId="722" xr:uid="{C5AC6A59-F15B-4AF9-ACDD-FE967901D1BE}"/>
    <cellStyle name="20% - Ênfase4 5 2 2" xfId="1325" xr:uid="{4B4C67AF-C0AD-4EF3-A815-2C067424EE1E}"/>
    <cellStyle name="20% - Ênfase4 5 2 2 2" xfId="3177" xr:uid="{F8A0B129-09DC-4F4A-96C5-6D767CA51B9C}"/>
    <cellStyle name="20% - Ênfase4 5 2 3" xfId="2250" xr:uid="{7B69CBC7-BAA2-4815-BF8B-FB1C24DBC978}"/>
    <cellStyle name="20% - Ênfase4 5 3" xfId="398" xr:uid="{8CEEFE5A-04F2-4970-B148-04892CCCA576}"/>
    <cellStyle name="20% - Ênfase4 5 3 2" xfId="1742" xr:uid="{7EF5D68B-87C1-418B-ADC6-D59F08AE0D1C}"/>
    <cellStyle name="20% - Ênfase4 5 3 2 2" xfId="3555" xr:uid="{646D4522-CADB-45D6-9DEB-EBFAE0F7663F}"/>
    <cellStyle name="20% - Ênfase4 5 3 3" xfId="2667" xr:uid="{D2002397-AC9B-41A0-B50E-DB4EE4FE1810}"/>
    <cellStyle name="20% - Ênfase4 5 4" xfId="1003" xr:uid="{F2DA79AC-426E-457C-A171-C24015EB6F90}"/>
    <cellStyle name="20% - Ênfase4 5 4 2" xfId="2855" xr:uid="{7A5A7A42-3C4B-4296-8526-741D2CE68A46}"/>
    <cellStyle name="20% - Ênfase4 5 5" xfId="1928" xr:uid="{DB5C88F5-18FF-4CE8-802B-E56F76B3CB8E}"/>
    <cellStyle name="20% - Ênfase4 6" xfId="136" xr:uid="{F13A259B-FBC1-4978-B828-83033D60F84C}"/>
    <cellStyle name="20% - Ênfase4 6 2" xfId="742" xr:uid="{3B595303-61C7-41C1-8A13-ED43FDA95F46}"/>
    <cellStyle name="20% - Ênfase4 6 2 2" xfId="1345" xr:uid="{2BD3521F-0AD2-4B14-B5BC-2D46CD211191}"/>
    <cellStyle name="20% - Ênfase4 6 2 2 2" xfId="3197" xr:uid="{702B7677-EE1B-45DA-8CD1-5A16575C9CEF}"/>
    <cellStyle name="20% - Ênfase4 6 2 3" xfId="2270" xr:uid="{BF622656-FF75-4D89-9517-1FB51FD38EA0}"/>
    <cellStyle name="20% - Ênfase4 6 3" xfId="418" xr:uid="{B7C718E7-C405-459F-BDEF-A184078A425E}"/>
    <cellStyle name="20% - Ênfase4 6 3 2" xfId="1588" xr:uid="{D84216D5-65CD-4F79-BB06-C3F79D7EEE8D}"/>
    <cellStyle name="20% - Ênfase4 6 3 2 2" xfId="3440" xr:uid="{3F6230DF-67A1-41B6-A36D-A31EF1B8CE91}"/>
    <cellStyle name="20% - Ênfase4 6 3 3" xfId="2513" xr:uid="{0C9726CF-6FAB-4715-A0B1-72D07FC1BBA5}"/>
    <cellStyle name="20% - Ênfase4 6 4" xfId="1023" xr:uid="{2A4A3B4C-F79D-4263-974F-D4238F83D5AF}"/>
    <cellStyle name="20% - Ênfase4 6 4 2" xfId="2875" xr:uid="{1A3D3D08-C804-4855-9C93-2CE13E75051A}"/>
    <cellStyle name="20% - Ênfase4 6 5" xfId="1948" xr:uid="{31628386-34CA-4952-9BA2-66BD89A2894A}"/>
    <cellStyle name="20% - Ênfase4 7" xfId="156" xr:uid="{CC677621-B8DF-4327-8F15-9327FDC8C207}"/>
    <cellStyle name="20% - Ênfase4 7 2" xfId="762" xr:uid="{174CC804-B3C7-44BD-A3BA-2E1ECFB71533}"/>
    <cellStyle name="20% - Ênfase4 7 2 2" xfId="1365" xr:uid="{676EC7DD-4612-483C-A4E9-A7E08068F604}"/>
    <cellStyle name="20% - Ênfase4 7 2 2 2" xfId="3217" xr:uid="{991E4CF1-929D-49F7-83E7-2611CAE14094}"/>
    <cellStyle name="20% - Ênfase4 7 2 3" xfId="2290" xr:uid="{52175F01-952C-4272-852B-112D79DBF463}"/>
    <cellStyle name="20% - Ênfase4 7 3" xfId="438" xr:uid="{01062251-F584-4294-AD7D-9526D1168A6D}"/>
    <cellStyle name="20% - Ênfase4 7 3 2" xfId="1826" xr:uid="{402A99B1-7FD6-4DBE-9AE5-9B5D2FAD89C5}"/>
    <cellStyle name="20% - Ênfase4 7 3 2 2" xfId="3639" xr:uid="{16EA46E6-57D4-4512-88D3-43129A137C81}"/>
    <cellStyle name="20% - Ênfase4 7 3 3" xfId="2751" xr:uid="{99D25132-0325-49EF-88A1-2BD05DA6174C}"/>
    <cellStyle name="20% - Ênfase4 7 4" xfId="1043" xr:uid="{13413A05-0406-460B-B5C5-D60D48E55DB3}"/>
    <cellStyle name="20% - Ênfase4 7 4 2" xfId="2895" xr:uid="{185027AB-2916-4495-8CD4-3AD775B2A8C6}"/>
    <cellStyle name="20% - Ênfase4 7 5" xfId="1968" xr:uid="{8504B70A-3517-4C4D-AA59-2BA94DC64C04}"/>
    <cellStyle name="20% - Ênfase4 8" xfId="176" xr:uid="{6BFF59DE-6795-43CB-89C5-3596ED0553AF}"/>
    <cellStyle name="20% - Ênfase4 8 2" xfId="782" xr:uid="{DF74451A-6E23-44AA-B512-46D1B176ECF7}"/>
    <cellStyle name="20% - Ênfase4 8 2 2" xfId="1385" xr:uid="{49A05F44-F171-42D1-889B-7770FFEACC56}"/>
    <cellStyle name="20% - Ênfase4 8 2 2 2" xfId="3237" xr:uid="{0078CF3E-888D-475F-880C-3BE5ECC02A46}"/>
    <cellStyle name="20% - Ênfase4 8 2 3" xfId="2310" xr:uid="{4F29BE60-445B-49B8-BCAB-918A48CDFCDB}"/>
    <cellStyle name="20% - Ênfase4 8 3" xfId="458" xr:uid="{33D6A02E-11DF-45E8-8862-9B014840B349}"/>
    <cellStyle name="20% - Ênfase4 8 3 2" xfId="1632" xr:uid="{E691728C-6FBB-40A6-81F1-3725EF4A42D3}"/>
    <cellStyle name="20% - Ênfase4 8 3 2 2" xfId="3484" xr:uid="{7F143522-586E-4FE9-846D-D2900E392FF5}"/>
    <cellStyle name="20% - Ênfase4 8 3 3" xfId="2557" xr:uid="{7167A2E3-A3FB-4D23-A8CB-0422E5D674EB}"/>
    <cellStyle name="20% - Ênfase4 8 4" xfId="1063" xr:uid="{092BDC15-2DFD-41B8-B7C6-48469BDE1256}"/>
    <cellStyle name="20% - Ênfase4 8 4 2" xfId="2915" xr:uid="{E659B383-FF70-4FE0-AC45-A826344147CD}"/>
    <cellStyle name="20% - Ênfase4 8 5" xfId="1988" xr:uid="{C9BE0313-4488-40FB-9CEC-30F29E679312}"/>
    <cellStyle name="20% - Ênfase4 9" xfId="196" xr:uid="{1C107C3A-3217-4BEC-BF6D-4AE245093A21}"/>
    <cellStyle name="20% - Ênfase4 9 2" xfId="802" xr:uid="{AF3369B3-F0D2-4ACB-8A48-9940F7C455CF}"/>
    <cellStyle name="20% - Ênfase4 9 2 2" xfId="1405" xr:uid="{4AE02500-5718-4BDD-977D-82C897045F44}"/>
    <cellStyle name="20% - Ênfase4 9 2 2 2" xfId="3257" xr:uid="{69F14496-086F-41A4-8F22-2E49BFA9703B}"/>
    <cellStyle name="20% - Ênfase4 9 2 3" xfId="2330" xr:uid="{56919C6D-95FA-4AAF-BD1D-389AE533CC5B}"/>
    <cellStyle name="20% - Ênfase4 9 3" xfId="478" xr:uid="{93057E7F-69A9-4723-AF53-81D370BBBE07}"/>
    <cellStyle name="20% - Ênfase4 9 3 2" xfId="1720" xr:uid="{BF8AA26C-1A83-4B09-8EE0-5C27E87BDC0C}"/>
    <cellStyle name="20% - Ênfase4 9 3 2 2" xfId="3533" xr:uid="{A36C1623-3D00-43B4-9373-3F2585AE7375}"/>
    <cellStyle name="20% - Ênfase4 9 3 3" xfId="2645" xr:uid="{FF3882D7-039E-49E2-B967-D2695D5B2BED}"/>
    <cellStyle name="20% - Ênfase4 9 4" xfId="1083" xr:uid="{C856A1FA-8570-4CDC-BF36-5AB74C9EF3A2}"/>
    <cellStyle name="20% - Ênfase4 9 4 2" xfId="2935" xr:uid="{1B39FF73-D169-4E99-B3C6-7B186640ED92}"/>
    <cellStyle name="20% - Ênfase4 9 5" xfId="2008" xr:uid="{05087203-4FAC-42D2-823D-84889313E905}"/>
    <cellStyle name="20% - Ênfase5" xfId="35" builtinId="46" customBuiltin="1"/>
    <cellStyle name="20% - Ênfase5 10" xfId="220" xr:uid="{E51799A8-9E61-46C8-B8B9-1F1698C2B19A}"/>
    <cellStyle name="20% - Ênfase5 10 2" xfId="826" xr:uid="{2BFA116E-1391-4DC4-917D-10E2C4244E3B}"/>
    <cellStyle name="20% - Ênfase5 10 2 2" xfId="1429" xr:uid="{120FD81C-6A16-4893-8728-DB7FB6461648}"/>
    <cellStyle name="20% - Ênfase5 10 2 2 2" xfId="3281" xr:uid="{7FECC7ED-3A9B-4B4C-92A5-E71CEACE1E1A}"/>
    <cellStyle name="20% - Ênfase5 10 2 3" xfId="2354" xr:uid="{0A9C4E41-5D25-4B86-A88C-06DB9CF054C9}"/>
    <cellStyle name="20% - Ênfase5 10 3" xfId="502" xr:uid="{1F845255-6297-467D-9706-F198911A0A58}"/>
    <cellStyle name="20% - Ênfase5 10 3 2" xfId="1710" xr:uid="{2E44FBD4-E12D-4C04-AD25-75B5B3C15626}"/>
    <cellStyle name="20% - Ênfase5 10 3 2 2" xfId="3523" xr:uid="{923AB00F-DBAC-451B-AD31-C3671265C66D}"/>
    <cellStyle name="20% - Ênfase5 10 3 3" xfId="2635" xr:uid="{D8E5E49C-DA41-42DB-AE41-4B35D57FBB17}"/>
    <cellStyle name="20% - Ênfase5 10 4" xfId="1107" xr:uid="{9CDDE127-08A0-4E1C-BBD6-DAE11C7D5DBD}"/>
    <cellStyle name="20% - Ênfase5 10 4 2" xfId="2959" xr:uid="{7E2E36E4-53F4-4695-9476-8A9C82FD2755}"/>
    <cellStyle name="20% - Ênfase5 10 5" xfId="2032" xr:uid="{179D9065-8360-4788-9A42-D0423E7EE19D}"/>
    <cellStyle name="20% - Ênfase5 11" xfId="240" xr:uid="{B38FF362-2C86-47A5-A705-657ADFE034C1}"/>
    <cellStyle name="20% - Ênfase5 11 2" xfId="846" xr:uid="{90587341-D5D5-4464-ACD5-39DA870C7FBC}"/>
    <cellStyle name="20% - Ênfase5 11 2 2" xfId="1449" xr:uid="{2A4AE643-D68E-4304-9E93-5E05E2AB7E1A}"/>
    <cellStyle name="20% - Ênfase5 11 2 2 2" xfId="3301" xr:uid="{E40476A3-D1C2-4E6F-8E7A-31F25C285541}"/>
    <cellStyle name="20% - Ênfase5 11 2 3" xfId="2374" xr:uid="{8EFE66FD-9E03-4DEA-9863-9BE9643CC493}"/>
    <cellStyle name="20% - Ênfase5 11 3" xfId="522" xr:uid="{E6B9A7DF-DA69-4440-8617-9A44CA9E7B67}"/>
    <cellStyle name="20% - Ênfase5 11 3 2" xfId="1640" xr:uid="{07168DFF-0928-4C78-9BF0-365758C37CAE}"/>
    <cellStyle name="20% - Ênfase5 11 3 2 2" xfId="3492" xr:uid="{F11868B4-6FE4-4451-9A74-188E20A18DF4}"/>
    <cellStyle name="20% - Ênfase5 11 3 3" xfId="2565" xr:uid="{4A5005F9-95E5-43F3-8E24-D29FF74CE3EB}"/>
    <cellStyle name="20% - Ênfase5 11 4" xfId="1127" xr:uid="{3F1FDAC9-75ED-4728-BD9D-5CE7E2A17937}"/>
    <cellStyle name="20% - Ênfase5 11 4 2" xfId="2979" xr:uid="{0D030733-7C70-4CC6-BBAF-BA1A77E9B1AB}"/>
    <cellStyle name="20% - Ênfase5 11 5" xfId="2052" xr:uid="{9C4B9233-B0A1-4FA2-9351-AE64D7AEAA76}"/>
    <cellStyle name="20% - Ênfase5 12" xfId="260" xr:uid="{00102785-E7C3-4168-8E02-90DB3E715D5A}"/>
    <cellStyle name="20% - Ênfase5 12 2" xfId="866" xr:uid="{1D158B27-BD84-4695-B92A-2DDD08CDA583}"/>
    <cellStyle name="20% - Ênfase5 12 2 2" xfId="1469" xr:uid="{6F50ABDF-4467-473A-A72F-2373445DCB04}"/>
    <cellStyle name="20% - Ênfase5 12 2 2 2" xfId="3321" xr:uid="{884665B5-D8A7-4E94-8FCE-FDADB08E8B1F}"/>
    <cellStyle name="20% - Ênfase5 12 2 3" xfId="2394" xr:uid="{D62D629B-CA3E-4AD8-AD69-1163B1F5C30E}"/>
    <cellStyle name="20% - Ênfase5 12 3" xfId="542" xr:uid="{9FA6A41C-C576-4144-B650-A0115AA4B14B}"/>
    <cellStyle name="20% - Ênfase5 12 3 2" xfId="1618" xr:uid="{975D92C5-1C46-4FD2-9DA6-ACFCAED00189}"/>
    <cellStyle name="20% - Ênfase5 12 3 2 2" xfId="3470" xr:uid="{C7C64292-7D6B-4773-BCA9-988483F38059}"/>
    <cellStyle name="20% - Ênfase5 12 3 3" xfId="2543" xr:uid="{80EBFE27-C3A9-48F8-8067-909258ED4030}"/>
    <cellStyle name="20% - Ênfase5 12 4" xfId="1147" xr:uid="{0666B4DA-FE3C-4F32-B320-C05B6D7FFC6D}"/>
    <cellStyle name="20% - Ênfase5 12 4 2" xfId="2999" xr:uid="{5EB15386-52C4-4726-B50C-83006A3C9BD1}"/>
    <cellStyle name="20% - Ênfase5 12 5" xfId="2072" xr:uid="{DC5799FC-C491-4076-B77F-660FE624CCF0}"/>
    <cellStyle name="20% - Ênfase5 13" xfId="280" xr:uid="{11689850-CFB7-4ED4-A9C5-851056C271F4}"/>
    <cellStyle name="20% - Ênfase5 13 2" xfId="886" xr:uid="{AA2EEDBF-AB9D-49C8-A550-C741F835EA95}"/>
    <cellStyle name="20% - Ênfase5 13 2 2" xfId="1489" xr:uid="{B4006636-8EF0-4D96-A32E-1A0B56698EF4}"/>
    <cellStyle name="20% - Ênfase5 13 2 2 2" xfId="3341" xr:uid="{C9B86CFF-83EE-4BC1-9CDB-329580AA1151}"/>
    <cellStyle name="20% - Ênfase5 13 2 3" xfId="2414" xr:uid="{593621CD-D10B-4B31-B8CB-EB6EFF8BC2D1}"/>
    <cellStyle name="20% - Ênfase5 13 3" xfId="562" xr:uid="{BFF98775-6FA3-43AB-8583-A337FFDA3F69}"/>
    <cellStyle name="20% - Ênfase5 13 3 2" xfId="1552" xr:uid="{8D1FB46D-5C9D-4BCA-8CCD-89333C12D03A}"/>
    <cellStyle name="20% - Ênfase5 13 3 2 2" xfId="3404" xr:uid="{DA4D7B0D-6902-4A3B-9E8A-A09C765F125D}"/>
    <cellStyle name="20% - Ênfase5 13 3 3" xfId="2477" xr:uid="{CFF3FF01-1869-4ACB-A7CB-3632B0611DB8}"/>
    <cellStyle name="20% - Ênfase5 13 4" xfId="1167" xr:uid="{F23C1CD6-EB31-4767-BFBE-719EDA606CDD}"/>
    <cellStyle name="20% - Ênfase5 13 4 2" xfId="3019" xr:uid="{DA7C7E07-2D73-46DF-AD8D-F82D0D98DD38}"/>
    <cellStyle name="20% - Ênfase5 13 5" xfId="2092" xr:uid="{76D2BFB6-A77A-4256-B66D-C556DB0E1FCE}"/>
    <cellStyle name="20% - Ênfase5 14" xfId="300" xr:uid="{68D23ED1-41B4-49E6-97AC-4711077D94D4}"/>
    <cellStyle name="20% - Ênfase5 14 2" xfId="906" xr:uid="{DEC46075-64E8-4EA1-8F9F-59B459ED189E}"/>
    <cellStyle name="20% - Ênfase5 14 2 2" xfId="1509" xr:uid="{C30CA2E0-0733-4935-BB34-E35868B2918D}"/>
    <cellStyle name="20% - Ênfase5 14 2 2 2" xfId="3361" xr:uid="{DC0955F2-73EB-4F24-8CAB-088E7C730946}"/>
    <cellStyle name="20% - Ênfase5 14 2 3" xfId="2434" xr:uid="{6F332873-33DB-4569-A7E8-E4EC5FD17F5D}"/>
    <cellStyle name="20% - Ênfase5 14 3" xfId="582" xr:uid="{E4E245BA-27A6-402D-B50A-05D0BF614A41}"/>
    <cellStyle name="20% - Ênfase5 14 3 2" xfId="1597" xr:uid="{DAEC786D-7C2B-4D10-B3DB-F1F456673034}"/>
    <cellStyle name="20% - Ênfase5 14 3 2 2" xfId="3449" xr:uid="{A5A7E2B3-A6E4-4DAC-A8B0-47656D8B70D4}"/>
    <cellStyle name="20% - Ênfase5 14 3 3" xfId="2522" xr:uid="{AA72790B-E186-4348-BB23-F6CE2EECE3E7}"/>
    <cellStyle name="20% - Ênfase5 14 4" xfId="1187" xr:uid="{5C57340A-31B3-4688-8374-2AA47ABD15A4}"/>
    <cellStyle name="20% - Ênfase5 14 4 2" xfId="3039" xr:uid="{97CCA624-C6DD-413C-BB29-8D04AFB7D9E3}"/>
    <cellStyle name="20% - Ênfase5 14 5" xfId="2112" xr:uid="{571A9B28-5295-49A9-9954-F4DD5C9688FE}"/>
    <cellStyle name="20% - Ênfase5 15" xfId="602" xr:uid="{5CCBF429-AF00-4D4C-943C-4508825029FE}"/>
    <cellStyle name="20% - Ênfase5 15 2" xfId="1665" xr:uid="{A4C413BB-2FB7-4205-A1A5-361A518FD871}"/>
    <cellStyle name="20% - Ênfase5 15 2 2" xfId="2590" xr:uid="{0CECEA1A-B330-4F92-B948-AE4C7087CAC7}"/>
    <cellStyle name="20% - Ênfase5 15 3" xfId="1207" xr:uid="{D3B22A80-618E-4755-B829-D292EF2D0819}"/>
    <cellStyle name="20% - Ênfase5 15 3 2" xfId="3059" xr:uid="{0F6FD035-DE07-42F9-AB37-6BF8B39626CA}"/>
    <cellStyle name="20% - Ênfase5 15 4" xfId="2132" xr:uid="{43732993-EAB3-4EED-83CD-2E74C0E11D3C}"/>
    <cellStyle name="20% - Ênfase5 16" xfId="622" xr:uid="{0B671881-D8BD-490A-B287-B94F4AC5B724}"/>
    <cellStyle name="20% - Ênfase5 16 2" xfId="1685" xr:uid="{9412EC41-9B92-4645-A8FE-AD13E517A05E}"/>
    <cellStyle name="20% - Ênfase5 16 2 2" xfId="2610" xr:uid="{A736D815-F553-4165-BFFD-9B5AC1266EB2}"/>
    <cellStyle name="20% - Ênfase5 16 3" xfId="1227" xr:uid="{CBE5E452-A612-4DF0-A9EA-CA88022C632E}"/>
    <cellStyle name="20% - Ênfase5 16 3 2" xfId="3079" xr:uid="{E3345573-E69B-4B32-9D4C-4E1960E13B21}"/>
    <cellStyle name="20% - Ênfase5 16 4" xfId="2152" xr:uid="{592923ED-9C3A-42B4-8C0D-06179ED336C3}"/>
    <cellStyle name="20% - Ênfase5 17" xfId="642" xr:uid="{2EA1E9C0-088E-49B4-9908-71820978CDDB}"/>
    <cellStyle name="20% - Ênfase5 17 2" xfId="1246" xr:uid="{89C67715-E7B6-4892-AFFC-EE7E84E37C57}"/>
    <cellStyle name="20% - Ênfase5 17 2 2" xfId="3098" xr:uid="{355C70B8-EB54-472A-8E05-ACAFFB20BD64}"/>
    <cellStyle name="20% - Ênfase5 17 3" xfId="2171" xr:uid="{4DAA1AAA-93EC-45D6-A687-49F70ACA740D}"/>
    <cellStyle name="20% - Ênfase5 18" xfId="319" xr:uid="{38BFBB84-89C9-416C-A5F3-8DDC305A8BF6}"/>
    <cellStyle name="20% - Ênfase5 18 2" xfId="1772" xr:uid="{0DF2E926-8564-43AB-A421-2D34D29609D0}"/>
    <cellStyle name="20% - Ênfase5 18 2 2" xfId="3585" xr:uid="{E69955F0-0366-466B-975A-E3EC9ABFC2C9}"/>
    <cellStyle name="20% - Ênfase5 18 3" xfId="2697" xr:uid="{7728D18D-B61A-4D22-9894-84926A2BA047}"/>
    <cellStyle name="20% - Ênfase5 19" xfId="924" xr:uid="{BCA058B2-EFBE-487D-ABC7-FDCCBAB536DE}"/>
    <cellStyle name="20% - Ênfase5 19 2" xfId="2776" xr:uid="{715FD01C-70A6-406D-8D6B-1B468ED39CBB}"/>
    <cellStyle name="20% - Ênfase5 2" xfId="59" xr:uid="{2EA5F57E-55C4-4F1F-A735-3AB145574709}"/>
    <cellStyle name="20% - Ênfase5 2 2" xfId="665" xr:uid="{7B291522-DC9B-4E13-9562-6A6CAE8AECF9}"/>
    <cellStyle name="20% - Ênfase5 2 2 2" xfId="1268" xr:uid="{3C9BA0C1-A4F8-44C4-B0D6-60FC2DE28B8D}"/>
    <cellStyle name="20% - Ênfase5 2 2 2 2" xfId="3120" xr:uid="{0FB94BA3-4280-461E-808C-CFE7A7C6836C}"/>
    <cellStyle name="20% - Ênfase5 2 2 3" xfId="2193" xr:uid="{7E52868D-C73B-4E14-BD55-F69A6AA6E1AA}"/>
    <cellStyle name="20% - Ênfase5 2 3" xfId="341" xr:uid="{5A48C3CB-7B77-490D-BD3A-3735E07B5777}"/>
    <cellStyle name="20% - Ênfase5 2 3 2" xfId="1737" xr:uid="{7C1BDACC-C19A-4A6C-A39C-718B20B523B0}"/>
    <cellStyle name="20% - Ênfase5 2 3 2 2" xfId="3550" xr:uid="{24A423E8-3B84-4F8B-A48B-172166887A02}"/>
    <cellStyle name="20% - Ênfase5 2 3 3" xfId="2662" xr:uid="{5F724480-5AAA-4C25-ADE8-A58944FB6806}"/>
    <cellStyle name="20% - Ênfase5 2 4" xfId="946" xr:uid="{BBF892AE-3A20-486C-BC7B-C6E7D90545F3}"/>
    <cellStyle name="20% - Ênfase5 2 4 2" xfId="2798" xr:uid="{90C1DA9E-E32E-49F9-970B-A3EB4B15A64B}"/>
    <cellStyle name="20% - Ênfase5 2 5" xfId="1871" xr:uid="{70645E8E-A82E-4DB3-BEDE-CE3E92744FD4}"/>
    <cellStyle name="20% - Ênfase5 20" xfId="1849" xr:uid="{DE0A008D-7238-4C84-9A38-8BAD97A61940}"/>
    <cellStyle name="20% - Ênfase5 3" xfId="77" xr:uid="{DC51F1A4-3652-4B17-A70C-DEED1C5BBE51}"/>
    <cellStyle name="20% - Ênfase5 3 2" xfId="683" xr:uid="{C583F2C6-45E0-4520-A48F-7FB581F62DDF}"/>
    <cellStyle name="20% - Ênfase5 3 2 2" xfId="1286" xr:uid="{522D1690-CD9B-48CA-BE2A-7F12E59D611E}"/>
    <cellStyle name="20% - Ênfase5 3 2 2 2" xfId="3138" xr:uid="{C9A09439-61B4-436A-94EA-30557080A141}"/>
    <cellStyle name="20% - Ênfase5 3 2 3" xfId="2211" xr:uid="{35BF1700-8E87-468F-B1BD-A715EB82FC78}"/>
    <cellStyle name="20% - Ênfase5 3 3" xfId="359" xr:uid="{E025A2BD-BCB8-4484-ABDE-7413B1ECF4DC}"/>
    <cellStyle name="20% - Ênfase5 3 3 2" xfId="1784" xr:uid="{B29AF9F5-2258-43DA-A615-8577806B38FD}"/>
    <cellStyle name="20% - Ênfase5 3 3 2 2" xfId="3597" xr:uid="{83E40A65-A5E7-4AE2-966E-C31AB93282F5}"/>
    <cellStyle name="20% - Ênfase5 3 3 3" xfId="2709" xr:uid="{22A7D978-4CFB-432B-83BE-428D2BB23126}"/>
    <cellStyle name="20% - Ênfase5 3 4" xfId="964" xr:uid="{1909FFFA-F58B-4E3F-88F6-851E2BD9A7F6}"/>
    <cellStyle name="20% - Ênfase5 3 4 2" xfId="2816" xr:uid="{94426EA9-BAC8-44FE-BF00-A2231B63D406}"/>
    <cellStyle name="20% - Ênfase5 3 5" xfId="1889" xr:uid="{6B8C7033-3EF8-420D-A447-65B41C3247CF}"/>
    <cellStyle name="20% - Ênfase5 4" xfId="99" xr:uid="{6D41EE81-170B-4545-8EA4-4AA805EB898D}"/>
    <cellStyle name="20% - Ênfase5 4 2" xfId="705" xr:uid="{2CDA603B-9CC0-488B-9206-F971DA30B4F8}"/>
    <cellStyle name="20% - Ênfase5 4 2 2" xfId="1308" xr:uid="{CA3F9A41-1DA1-4825-BB38-7234D07F9FB2}"/>
    <cellStyle name="20% - Ênfase5 4 2 2 2" xfId="3160" xr:uid="{3AB21F17-A85A-4376-AA0E-4A8ED08B5EA5}"/>
    <cellStyle name="20% - Ênfase5 4 2 3" xfId="2233" xr:uid="{A723071F-8731-4E99-9CCD-B9B1490EF7FD}"/>
    <cellStyle name="20% - Ênfase5 4 3" xfId="381" xr:uid="{4724A3FB-BFE1-4E90-B62C-072F93D56D2B}"/>
    <cellStyle name="20% - Ênfase5 4 3 2" xfId="1745" xr:uid="{46675A70-7638-4A76-AE1E-EE70BB673913}"/>
    <cellStyle name="20% - Ênfase5 4 3 2 2" xfId="3558" xr:uid="{1428216C-1774-4595-B5CF-160630B1D8F1}"/>
    <cellStyle name="20% - Ênfase5 4 3 3" xfId="2670" xr:uid="{ADA2E756-D47F-4502-AEDD-38D23B1C95D9}"/>
    <cellStyle name="20% - Ênfase5 4 4" xfId="986" xr:uid="{E3199C50-17A7-4CDD-A923-917639531932}"/>
    <cellStyle name="20% - Ênfase5 4 4 2" xfId="2838" xr:uid="{0E781629-A8FF-42E3-89CF-C6A958819A81}"/>
    <cellStyle name="20% - Ênfase5 4 5" xfId="1911" xr:uid="{F15BC985-5B26-44CA-92EE-4A19ACA6169D}"/>
    <cellStyle name="20% - Ênfase5 5" xfId="119" xr:uid="{85437FC1-D5BF-4E3D-94F6-7208878EBF85}"/>
    <cellStyle name="20% - Ênfase5 5 2" xfId="725" xr:uid="{3CEA99CF-7264-4875-808B-CDCDFA3D9619}"/>
    <cellStyle name="20% - Ênfase5 5 2 2" xfId="1328" xr:uid="{58776E48-7D3C-4425-91F9-C46B4E294D93}"/>
    <cellStyle name="20% - Ênfase5 5 2 2 2" xfId="3180" xr:uid="{207E473F-2603-4361-B216-999571E46CD1}"/>
    <cellStyle name="20% - Ênfase5 5 2 3" xfId="2253" xr:uid="{7BE8F512-CBEF-40E7-AE5D-17148AC99827}"/>
    <cellStyle name="20% - Ênfase5 5 3" xfId="401" xr:uid="{386231BD-43F4-48AA-AFD6-355D3BCE9A17}"/>
    <cellStyle name="20% - Ênfase5 5 3 2" xfId="1718" xr:uid="{154965C7-570A-4139-B7A8-D9FF7D755CFB}"/>
    <cellStyle name="20% - Ênfase5 5 3 2 2" xfId="3531" xr:uid="{B9D0A6B4-F3CE-4BC4-95C0-C1598A3DD5E3}"/>
    <cellStyle name="20% - Ênfase5 5 3 3" xfId="2643" xr:uid="{74593FFF-6A48-4FE3-BA56-CEE2CE71B33F}"/>
    <cellStyle name="20% - Ênfase5 5 4" xfId="1006" xr:uid="{632BF4A7-3DEB-4073-A6F4-1188D845AABE}"/>
    <cellStyle name="20% - Ênfase5 5 4 2" xfId="2858" xr:uid="{BEC8EF60-6F54-4C79-9184-92AA8744D4A7}"/>
    <cellStyle name="20% - Ênfase5 5 5" xfId="1931" xr:uid="{2B5EB03F-B558-451D-8114-BDE53E8304A2}"/>
    <cellStyle name="20% - Ênfase5 6" xfId="139" xr:uid="{CEBC864B-3314-4195-851B-C361069920F8}"/>
    <cellStyle name="20% - Ênfase5 6 2" xfId="745" xr:uid="{BDB3D180-8775-4972-99EF-1D62D889066F}"/>
    <cellStyle name="20% - Ênfase5 6 2 2" xfId="1348" xr:uid="{860DA316-5717-4604-8E97-B806F665FCA5}"/>
    <cellStyle name="20% - Ênfase5 6 2 2 2" xfId="3200" xr:uid="{30334A9C-A763-4D12-A044-ECE98F50DCB4}"/>
    <cellStyle name="20% - Ênfase5 6 2 3" xfId="2273" xr:uid="{44911529-2F00-45BF-BCF1-CD826D4EE62B}"/>
    <cellStyle name="20% - Ênfase5 6 3" xfId="421" xr:uid="{DFA2FD53-B78A-4B8D-82B7-6BF4DEA6FBB2}"/>
    <cellStyle name="20% - Ênfase5 6 3 2" xfId="1629" xr:uid="{EE292580-195F-4533-BBF0-73C4C2992686}"/>
    <cellStyle name="20% - Ênfase5 6 3 2 2" xfId="3481" xr:uid="{5E47AB5C-2C60-4DA5-8E2E-4190CD76C8D6}"/>
    <cellStyle name="20% - Ênfase5 6 3 3" xfId="2554" xr:uid="{B9AC5953-EDE2-4E3B-AD4C-195E2FD08C77}"/>
    <cellStyle name="20% - Ênfase5 6 4" xfId="1026" xr:uid="{DD64B5C1-B4FF-4529-85D7-29378F1D547D}"/>
    <cellStyle name="20% - Ênfase5 6 4 2" xfId="2878" xr:uid="{D282C169-017A-4550-A63F-8087971B1B6A}"/>
    <cellStyle name="20% - Ênfase5 6 5" xfId="1951" xr:uid="{EC2ACD22-EA6C-4942-8D46-A10297AF9656}"/>
    <cellStyle name="20% - Ênfase5 7" xfId="159" xr:uid="{413C8780-F1E5-414F-8306-1B05270E506F}"/>
    <cellStyle name="20% - Ênfase5 7 2" xfId="765" xr:uid="{9A6A91C7-7256-4DC5-9491-430C133230E5}"/>
    <cellStyle name="20% - Ênfase5 7 2 2" xfId="1368" xr:uid="{34B494D2-94AE-4712-A1CD-70C5E06F709D}"/>
    <cellStyle name="20% - Ênfase5 7 2 2 2" xfId="3220" xr:uid="{A8CA24E2-2764-47BA-A789-D18757E4F3F5}"/>
    <cellStyle name="20% - Ênfase5 7 2 3" xfId="2293" xr:uid="{2AED4BA2-3DB9-4A39-8121-51101AFE1C8B}"/>
    <cellStyle name="20% - Ênfase5 7 3" xfId="441" xr:uid="{B563D25B-BDCE-4280-88C5-6847AEDDD959}"/>
    <cellStyle name="20% - Ênfase5 7 3 2" xfId="1792" xr:uid="{7D5B6465-CB64-40FE-AC62-2952168461B5}"/>
    <cellStyle name="20% - Ênfase5 7 3 2 2" xfId="3605" xr:uid="{B0C12E6A-0D11-4D0A-B297-E1879C5C9501}"/>
    <cellStyle name="20% - Ênfase5 7 3 3" xfId="2717" xr:uid="{70B85501-6DE8-49DA-8111-61783F80803A}"/>
    <cellStyle name="20% - Ênfase5 7 4" xfId="1046" xr:uid="{8E58D72D-02FC-494E-BA21-3852089B018B}"/>
    <cellStyle name="20% - Ênfase5 7 4 2" xfId="2898" xr:uid="{B0ECFA9B-F385-4E69-813F-9BEFC1A60700}"/>
    <cellStyle name="20% - Ênfase5 7 5" xfId="1971" xr:uid="{F77F0C21-6426-45EB-A1F7-7B10B1B417AE}"/>
    <cellStyle name="20% - Ênfase5 8" xfId="179" xr:uid="{6594CECF-1551-4F25-B0FF-2A15688EF5D2}"/>
    <cellStyle name="20% - Ênfase5 8 2" xfId="785" xr:uid="{FED10C2A-C564-4BD4-BB5D-F2793ECFE442}"/>
    <cellStyle name="20% - Ênfase5 8 2 2" xfId="1388" xr:uid="{46376FCE-D992-463D-9369-BCB843A6D727}"/>
    <cellStyle name="20% - Ênfase5 8 2 2 2" xfId="3240" xr:uid="{9474867D-E849-4126-9582-1E81B3BB3D01}"/>
    <cellStyle name="20% - Ênfase5 8 2 3" xfId="2313" xr:uid="{69A955D1-F0B3-4C04-BCFA-A4C4D1BA3047}"/>
    <cellStyle name="20% - Ênfase5 8 3" xfId="461" xr:uid="{11B6196B-9E8B-4168-A379-8CA795B5B4F3}"/>
    <cellStyle name="20% - Ênfase5 8 3 2" xfId="1546" xr:uid="{91CB4E97-20ED-4F50-AB90-8A4F5CFE62CD}"/>
    <cellStyle name="20% - Ênfase5 8 3 2 2" xfId="3398" xr:uid="{B1096779-3100-4065-991F-D233BC0834FC}"/>
    <cellStyle name="20% - Ênfase5 8 3 3" xfId="2471" xr:uid="{EBDDFC5B-18B6-4138-9FFA-3AD4D9CE9F96}"/>
    <cellStyle name="20% - Ênfase5 8 4" xfId="1066" xr:uid="{B7CF5ED9-AB1D-471F-9CFE-3BD373DC9133}"/>
    <cellStyle name="20% - Ênfase5 8 4 2" xfId="2918" xr:uid="{0ADCD95F-973B-4D5E-A89E-00B45BE3BD1B}"/>
    <cellStyle name="20% - Ênfase5 8 5" xfId="1991" xr:uid="{09BD9020-754A-484B-AF28-4875EEAE3A2C}"/>
    <cellStyle name="20% - Ênfase5 9" xfId="199" xr:uid="{11F7D2E1-FDCB-4A1E-A304-9D86068907D8}"/>
    <cellStyle name="20% - Ênfase5 9 2" xfId="805" xr:uid="{502538D0-4A7F-4162-8148-B80C3DE2986E}"/>
    <cellStyle name="20% - Ênfase5 9 2 2" xfId="1408" xr:uid="{BFE7BB04-E56D-49A0-A2F9-7634A1D17CA1}"/>
    <cellStyle name="20% - Ênfase5 9 2 2 2" xfId="3260" xr:uid="{7293FCAB-BAC5-462F-B475-2FBDCF950287}"/>
    <cellStyle name="20% - Ênfase5 9 2 3" xfId="2333" xr:uid="{D6B50659-E47A-4B15-84A8-E6797D2D513D}"/>
    <cellStyle name="20% - Ênfase5 9 3" xfId="481" xr:uid="{D4FB17CB-7466-44AD-8B13-9C44DA5419C9}"/>
    <cellStyle name="20% - Ênfase5 9 3 2" xfId="1731" xr:uid="{DB2F7D4D-B86D-4CAF-9CF7-E3139B9F614A}"/>
    <cellStyle name="20% - Ênfase5 9 3 2 2" xfId="3544" xr:uid="{3E97EAEC-F4CC-4A56-8E76-91701902DBFB}"/>
    <cellStyle name="20% - Ênfase5 9 3 3" xfId="2656" xr:uid="{E03A0708-69DA-4116-917D-58BA6B09A53F}"/>
    <cellStyle name="20% - Ênfase5 9 4" xfId="1086" xr:uid="{65DFC777-53C8-4C87-8E12-D3CE8BD4C2F5}"/>
    <cellStyle name="20% - Ênfase5 9 4 2" xfId="2938" xr:uid="{900ABACA-0269-4FBD-BF26-CE109A44A9CC}"/>
    <cellStyle name="20% - Ênfase5 9 5" xfId="2011" xr:uid="{19F6ECBF-850E-4A84-A2F2-50F47C0C6E0A}"/>
    <cellStyle name="20% - Ênfase6" xfId="39" builtinId="50" customBuiltin="1"/>
    <cellStyle name="20% - Ênfase6 10" xfId="223" xr:uid="{66A3B2E9-38A2-4A6C-84FA-7BBF2161D586}"/>
    <cellStyle name="20% - Ênfase6 10 2" xfId="829" xr:uid="{5A9BFF8D-6037-4628-BF62-63CA61560002}"/>
    <cellStyle name="20% - Ênfase6 10 2 2" xfId="1432" xr:uid="{0F779A1D-F642-4EF8-B1B5-9C5CB7DC7199}"/>
    <cellStyle name="20% - Ênfase6 10 2 2 2" xfId="3284" xr:uid="{87133181-3B02-412F-AB06-6325A65DA18B}"/>
    <cellStyle name="20% - Ênfase6 10 2 3" xfId="2357" xr:uid="{6DA981C6-1A9C-491E-B3F0-51FA81CD751D}"/>
    <cellStyle name="20% - Ênfase6 10 3" xfId="505" xr:uid="{52E9B64B-FB69-4DE0-9819-54F9E83B0DF5}"/>
    <cellStyle name="20% - Ênfase6 10 3 2" xfId="1744" xr:uid="{A4CAE074-2FC9-4320-BD10-3936ACFC95E7}"/>
    <cellStyle name="20% - Ênfase6 10 3 2 2" xfId="3557" xr:uid="{03F04B05-1AD6-4215-AE87-A8BD573635CE}"/>
    <cellStyle name="20% - Ênfase6 10 3 3" xfId="2669" xr:uid="{9A57C24B-CD13-4EDB-8B3E-F74904C41686}"/>
    <cellStyle name="20% - Ênfase6 10 4" xfId="1110" xr:uid="{39A863FE-D56C-4BA2-8313-ACF4113AA48B}"/>
    <cellStyle name="20% - Ênfase6 10 4 2" xfId="2962" xr:uid="{D430FF60-68B0-43A4-9E81-53EAB1766C27}"/>
    <cellStyle name="20% - Ênfase6 10 5" xfId="2035" xr:uid="{D07E6279-0878-4269-AADC-AF3AED4A9238}"/>
    <cellStyle name="20% - Ênfase6 11" xfId="243" xr:uid="{1242967B-162D-4771-8686-384408AF88F8}"/>
    <cellStyle name="20% - Ênfase6 11 2" xfId="849" xr:uid="{AF268A05-6B6B-4E21-BF76-F041138ADEF8}"/>
    <cellStyle name="20% - Ênfase6 11 2 2" xfId="1452" xr:uid="{1E79FDA5-6AF6-4F61-B114-833B9B84A872}"/>
    <cellStyle name="20% - Ênfase6 11 2 2 2" xfId="3304" xr:uid="{3F75325D-E7F5-495C-97E1-D064069191EF}"/>
    <cellStyle name="20% - Ênfase6 11 2 3" xfId="2377" xr:uid="{CB46DC95-363D-475C-A966-6F168A6BBEF8}"/>
    <cellStyle name="20% - Ênfase6 11 3" xfId="525" xr:uid="{50BD75AA-C971-4767-9E1C-42D223AA7CE4}"/>
    <cellStyle name="20% - Ênfase6 11 3 2" xfId="1794" xr:uid="{60FF5008-B2DD-46BC-AB1F-07E762D827D1}"/>
    <cellStyle name="20% - Ênfase6 11 3 2 2" xfId="3607" xr:uid="{BE1CE245-4028-43EC-A15A-44C3C9B0C4E0}"/>
    <cellStyle name="20% - Ênfase6 11 3 3" xfId="2719" xr:uid="{AB20010A-AA9A-4D9F-AA55-0E30E6364697}"/>
    <cellStyle name="20% - Ênfase6 11 4" xfId="1130" xr:uid="{E409BF62-C686-4FFA-906C-EDBDDA988519}"/>
    <cellStyle name="20% - Ênfase6 11 4 2" xfId="2982" xr:uid="{901CB8D2-3269-49D4-837C-ED4702B8F157}"/>
    <cellStyle name="20% - Ênfase6 11 5" xfId="2055" xr:uid="{451692B6-848F-4410-9911-52FA38500F1A}"/>
    <cellStyle name="20% - Ênfase6 12" xfId="263" xr:uid="{5E296180-046A-4E2D-8377-C3579EAD4EC0}"/>
    <cellStyle name="20% - Ênfase6 12 2" xfId="869" xr:uid="{C6126A95-B5F6-4F4A-96D3-EA4D5BE8BECF}"/>
    <cellStyle name="20% - Ênfase6 12 2 2" xfId="1472" xr:uid="{5C39E28C-197A-4A22-B8C5-33DFF44A89CC}"/>
    <cellStyle name="20% - Ênfase6 12 2 2 2" xfId="3324" xr:uid="{AC3F5A41-15C4-4F87-B2E8-29D9E420F8DC}"/>
    <cellStyle name="20% - Ênfase6 12 2 3" xfId="2397" xr:uid="{0C75BE94-62B8-4196-AD6A-A047F45DC223}"/>
    <cellStyle name="20% - Ênfase6 12 3" xfId="545" xr:uid="{A45F0FBD-74A3-492C-B30E-DCB4918DC9B2}"/>
    <cellStyle name="20% - Ênfase6 12 3 2" xfId="1789" xr:uid="{18FB9375-6B4B-4FD2-A54E-358C11CEFF9C}"/>
    <cellStyle name="20% - Ênfase6 12 3 2 2" xfId="3602" xr:uid="{666C7E7B-FE49-4694-AA10-749A55F5C681}"/>
    <cellStyle name="20% - Ênfase6 12 3 3" xfId="2714" xr:uid="{72BE6B36-217F-4EFD-990A-2770B6042F18}"/>
    <cellStyle name="20% - Ênfase6 12 4" xfId="1150" xr:uid="{0ACBDD94-8891-496A-9A8D-4A53DE5A4DAA}"/>
    <cellStyle name="20% - Ênfase6 12 4 2" xfId="3002" xr:uid="{17085C6E-4E15-4D8D-BA17-D156E1171E58}"/>
    <cellStyle name="20% - Ênfase6 12 5" xfId="2075" xr:uid="{285A0EA9-0A40-4F69-84AC-4606E520FC2C}"/>
    <cellStyle name="20% - Ênfase6 13" xfId="283" xr:uid="{72CB5B41-192C-4C13-81F8-6073AD449AEC}"/>
    <cellStyle name="20% - Ênfase6 13 2" xfId="889" xr:uid="{C55B4B46-C69D-4E13-B3B0-A79BA3E3E3C8}"/>
    <cellStyle name="20% - Ênfase6 13 2 2" xfId="1492" xr:uid="{4AD94489-71F9-474B-84BC-865E1E379564}"/>
    <cellStyle name="20% - Ênfase6 13 2 2 2" xfId="3344" xr:uid="{52C230B9-CB7D-416F-A24E-90F3B51AA5E2}"/>
    <cellStyle name="20% - Ênfase6 13 2 3" xfId="2417" xr:uid="{0D73DCC4-E14C-4063-A830-4ABD709CD27D}"/>
    <cellStyle name="20% - Ênfase6 13 3" xfId="565" xr:uid="{3B46F0F2-73CB-4620-A0C0-AEC21DE157D4}"/>
    <cellStyle name="20% - Ênfase6 13 3 2" xfId="1741" xr:uid="{758C6E0C-36E1-4D28-8C28-89C48AFA351B}"/>
    <cellStyle name="20% - Ênfase6 13 3 2 2" xfId="3554" xr:uid="{3BEF8A6E-BEA6-4A85-9530-268872B2E60D}"/>
    <cellStyle name="20% - Ênfase6 13 3 3" xfId="2666" xr:uid="{F7C0E77B-F470-4345-8918-0607DCB51C3C}"/>
    <cellStyle name="20% - Ênfase6 13 4" xfId="1170" xr:uid="{27296227-A7D3-4AAE-B526-2871EFB90489}"/>
    <cellStyle name="20% - Ênfase6 13 4 2" xfId="3022" xr:uid="{FACE5EA9-2B80-40D8-87E1-1474E5F1EF3A}"/>
    <cellStyle name="20% - Ênfase6 13 5" xfId="2095" xr:uid="{1AD240F7-2C2A-4EDE-AD69-72A647843989}"/>
    <cellStyle name="20% - Ênfase6 14" xfId="303" xr:uid="{4E5711E0-B20B-4290-9DF0-BB3F54A12BCE}"/>
    <cellStyle name="20% - Ênfase6 14 2" xfId="909" xr:uid="{54951E83-6905-4F27-B70A-5BF0D6CB2855}"/>
    <cellStyle name="20% - Ênfase6 14 2 2" xfId="1512" xr:uid="{ED36616B-548D-4984-B0E7-778163EC8208}"/>
    <cellStyle name="20% - Ênfase6 14 2 2 2" xfId="3364" xr:uid="{EBD2A948-DC8B-4D90-B5DB-5B6D261D3E4F}"/>
    <cellStyle name="20% - Ênfase6 14 2 3" xfId="2437" xr:uid="{586DAC0F-F557-43B1-A415-7EBE82AE35B3}"/>
    <cellStyle name="20% - Ênfase6 14 3" xfId="585" xr:uid="{24DACEA2-9614-424A-97B1-EF344FDDBCCB}"/>
    <cellStyle name="20% - Ênfase6 14 3 2" xfId="1721" xr:uid="{C6F1E689-7949-4ABD-8B5A-D6C6D7B2DA45}"/>
    <cellStyle name="20% - Ênfase6 14 3 2 2" xfId="3534" xr:uid="{8986FB91-DEB4-4FA3-810E-D706859F1EA9}"/>
    <cellStyle name="20% - Ênfase6 14 3 3" xfId="2646" xr:uid="{0073B367-104F-4295-8DCF-8777AC920F7F}"/>
    <cellStyle name="20% - Ênfase6 14 4" xfId="1190" xr:uid="{7F394FB7-9B5A-4E49-945E-01305F743655}"/>
    <cellStyle name="20% - Ênfase6 14 4 2" xfId="3042" xr:uid="{0C068BE1-EBB2-4F1F-B7B3-0E61F4BF9641}"/>
    <cellStyle name="20% - Ênfase6 14 5" xfId="2115" xr:uid="{03A85B18-0551-4BBB-86E0-54786FCA36FA}"/>
    <cellStyle name="20% - Ênfase6 15" xfId="605" xr:uid="{A91557A6-4F2A-487A-802F-F2A1EA86CA6B}"/>
    <cellStyle name="20% - Ênfase6 15 2" xfId="1668" xr:uid="{3B4E8B26-6D48-4E42-8E81-B8ED0BB971B1}"/>
    <cellStyle name="20% - Ênfase6 15 2 2" xfId="2593" xr:uid="{FC06DD48-CF8C-4278-8F13-EF0CEF95E0D6}"/>
    <cellStyle name="20% - Ênfase6 15 3" xfId="1210" xr:uid="{D73F0F2F-E9D7-46ED-A165-0BA5ED068ECC}"/>
    <cellStyle name="20% - Ênfase6 15 3 2" xfId="3062" xr:uid="{50E517C6-9CA0-4657-8E6F-D04112E1BC0A}"/>
    <cellStyle name="20% - Ênfase6 15 4" xfId="2135" xr:uid="{139EC7C4-0D3B-44C3-9B6A-52B48F1EE396}"/>
    <cellStyle name="20% - Ênfase6 16" xfId="625" xr:uid="{797DC5AB-6ADE-421F-A4E2-1075B6696514}"/>
    <cellStyle name="20% - Ênfase6 16 2" xfId="1688" xr:uid="{382DEE2D-98A4-41C5-864E-6626A5F6F077}"/>
    <cellStyle name="20% - Ênfase6 16 2 2" xfId="2613" xr:uid="{376B9CE8-758E-4098-9BC0-A8B31FAE0B0B}"/>
    <cellStyle name="20% - Ênfase6 16 3" xfId="1230" xr:uid="{68EABEA0-E7A4-4B3A-9117-F63CE5E97F6E}"/>
    <cellStyle name="20% - Ênfase6 16 3 2" xfId="3082" xr:uid="{FC09E63E-9788-4359-A068-2B8CDC3985E5}"/>
    <cellStyle name="20% - Ênfase6 16 4" xfId="2155" xr:uid="{DCD886E9-A53F-46C0-991C-E884E15D1320}"/>
    <cellStyle name="20% - Ênfase6 17" xfId="645" xr:uid="{3DADD0BF-34E9-4411-822C-D25D66AECB30}"/>
    <cellStyle name="20% - Ênfase6 17 2" xfId="1249" xr:uid="{5DE8FAF7-409F-406D-94C7-5566BE082328}"/>
    <cellStyle name="20% - Ênfase6 17 2 2" xfId="3101" xr:uid="{226423D9-C632-4E67-B257-BABCBD86FF88}"/>
    <cellStyle name="20% - Ênfase6 17 3" xfId="2174" xr:uid="{83C74066-FF3A-4580-B344-DC30A852C9F4}"/>
    <cellStyle name="20% - Ênfase6 18" xfId="322" xr:uid="{549D2126-633F-4A12-9343-8AD9E1BDC199}"/>
    <cellStyle name="20% - Ênfase6 18 2" xfId="1595" xr:uid="{56165515-6496-43A6-A42E-7BE44E24514C}"/>
    <cellStyle name="20% - Ênfase6 18 2 2" xfId="3447" xr:uid="{73D84395-4B08-4995-9300-D56E70A4DA24}"/>
    <cellStyle name="20% - Ênfase6 18 3" xfId="2520" xr:uid="{BFA9418A-6D78-4B83-B8EF-7D9AF71FA8E7}"/>
    <cellStyle name="20% - Ênfase6 19" xfId="927" xr:uid="{734144D0-707A-41E8-8147-E3E4561F3DBD}"/>
    <cellStyle name="20% - Ênfase6 19 2" xfId="2779" xr:uid="{4E7D52F8-C8AE-495C-AD8F-E7F768B3DB26}"/>
    <cellStyle name="20% - Ênfase6 2" xfId="62" xr:uid="{1195F3DB-2333-4C70-B53A-E4C198F0C026}"/>
    <cellStyle name="20% - Ênfase6 2 2" xfId="668" xr:uid="{42AFB587-6119-458A-92D1-0E675BBADC05}"/>
    <cellStyle name="20% - Ênfase6 2 2 2" xfId="1271" xr:uid="{BF1F50F3-5CA6-44AF-B7D4-8F0163D6E79E}"/>
    <cellStyle name="20% - Ênfase6 2 2 2 2" xfId="3123" xr:uid="{EA730F5C-6DD8-4338-B526-65F912C73080}"/>
    <cellStyle name="20% - Ênfase6 2 2 3" xfId="2196" xr:uid="{F67715DB-2B27-4973-B275-EE45E5835E66}"/>
    <cellStyle name="20% - Ênfase6 2 3" xfId="344" xr:uid="{467976A7-10F3-4DEB-BC0C-B9223437B340}"/>
    <cellStyle name="20% - Ênfase6 2 3 2" xfId="1610" xr:uid="{A2867CA7-8B08-4819-B6D7-F60972C97376}"/>
    <cellStyle name="20% - Ênfase6 2 3 2 2" xfId="3462" xr:uid="{D80617A4-0B06-4D5D-B5EB-E96034E467E2}"/>
    <cellStyle name="20% - Ênfase6 2 3 3" xfId="2535" xr:uid="{A53BFF09-3AD1-4BFD-B1B7-80EA4A8D643F}"/>
    <cellStyle name="20% - Ênfase6 2 4" xfId="949" xr:uid="{4EF626DC-44D8-4C61-8435-BB818D345D5B}"/>
    <cellStyle name="20% - Ênfase6 2 4 2" xfId="2801" xr:uid="{5128EC55-CF75-4483-80B1-29366F00377B}"/>
    <cellStyle name="20% - Ênfase6 2 5" xfId="1874" xr:uid="{A2A4433E-1E7A-440F-8214-7DA15AFE7FEE}"/>
    <cellStyle name="20% - Ênfase6 20" xfId="1852" xr:uid="{AFDCD64A-E9D4-4E1D-BF95-D96EF40EC47F}"/>
    <cellStyle name="20% - Ênfase6 3" xfId="80" xr:uid="{D3CBF768-9836-4D97-9B16-36EAC7B3DD80}"/>
    <cellStyle name="20% - Ênfase6 3 2" xfId="686" xr:uid="{91B652A3-E6D4-446C-AA93-ED5FC6CD1D59}"/>
    <cellStyle name="20% - Ênfase6 3 2 2" xfId="1289" xr:uid="{F25A5D1E-911F-4020-8CC1-14042BBDDC2C}"/>
    <cellStyle name="20% - Ênfase6 3 2 2 2" xfId="3141" xr:uid="{BB599CDD-3DAC-42A7-9884-9817A9BF0C4A}"/>
    <cellStyle name="20% - Ênfase6 3 2 3" xfId="2214" xr:uid="{17A32698-9EFF-4008-89D4-4EC1398E7F3D}"/>
    <cellStyle name="20% - Ênfase6 3 3" xfId="362" xr:uid="{CC598543-3947-4976-92EE-A52420180B30}"/>
    <cellStyle name="20% - Ênfase6 3 3 2" xfId="1762" xr:uid="{4BD92F3A-D564-4A60-BBA9-5363AF4997FB}"/>
    <cellStyle name="20% - Ênfase6 3 3 2 2" xfId="3575" xr:uid="{1DE1D14F-334A-42BE-ADD0-14B3A065E7AF}"/>
    <cellStyle name="20% - Ênfase6 3 3 3" xfId="2687" xr:uid="{368FA13A-ABE6-4BF2-B7DB-99F66E190056}"/>
    <cellStyle name="20% - Ênfase6 3 4" xfId="967" xr:uid="{7CF598ED-2B0E-4F55-A32B-A8289CF6FAF2}"/>
    <cellStyle name="20% - Ênfase6 3 4 2" xfId="2819" xr:uid="{BD800922-1834-4564-A2F8-E8F096878C56}"/>
    <cellStyle name="20% - Ênfase6 3 5" xfId="1892" xr:uid="{23EC267C-CDEA-4C9A-88C4-0284AF1500C5}"/>
    <cellStyle name="20% - Ênfase6 4" xfId="102" xr:uid="{65262CE8-A933-4D30-B430-3442821F7FCD}"/>
    <cellStyle name="20% - Ênfase6 4 2" xfId="708" xr:uid="{F240DE53-D8E7-46A0-9EBE-DCBAF0CDF0CB}"/>
    <cellStyle name="20% - Ênfase6 4 2 2" xfId="1311" xr:uid="{83D32DC6-52CD-43F0-A145-434A744728D2}"/>
    <cellStyle name="20% - Ênfase6 4 2 2 2" xfId="3163" xr:uid="{134B13B3-710A-4E8E-B625-FCB83EFBDB96}"/>
    <cellStyle name="20% - Ênfase6 4 2 3" xfId="2236" xr:uid="{B2EA9663-4B80-4C2F-9EF8-814F4207DBBA}"/>
    <cellStyle name="20% - Ênfase6 4 3" xfId="384" xr:uid="{E1F3EA79-CCD7-4BAA-9814-74E3336886D1}"/>
    <cellStyle name="20% - Ênfase6 4 3 2" xfId="1586" xr:uid="{4FDE3A49-1BDC-455D-A721-390A618CC25D}"/>
    <cellStyle name="20% - Ênfase6 4 3 2 2" xfId="3438" xr:uid="{88549AE1-2063-43E0-8E70-9F015571208D}"/>
    <cellStyle name="20% - Ênfase6 4 3 3" xfId="2511" xr:uid="{395C44B5-9CF6-494B-A0DF-9B00395323D0}"/>
    <cellStyle name="20% - Ênfase6 4 4" xfId="989" xr:uid="{5BCD71DF-8D4F-4D45-88EC-9045B07DD0BE}"/>
    <cellStyle name="20% - Ênfase6 4 4 2" xfId="2841" xr:uid="{41DBCD30-C1FE-4088-8719-4EE56E7CDC0B}"/>
    <cellStyle name="20% - Ênfase6 4 5" xfId="1914" xr:uid="{FC4D9C7A-54AC-427A-9339-70D19A0DD3DB}"/>
    <cellStyle name="20% - Ênfase6 5" xfId="122" xr:uid="{50D666E3-B89A-4142-98CE-C88769FD6ADF}"/>
    <cellStyle name="20% - Ênfase6 5 2" xfId="728" xr:uid="{D5FE4EA4-0F99-4FF6-B425-CE4B1AB0FA3F}"/>
    <cellStyle name="20% - Ênfase6 5 2 2" xfId="1331" xr:uid="{40C5E2A9-BF75-440A-A6FE-C83947763F82}"/>
    <cellStyle name="20% - Ênfase6 5 2 2 2" xfId="3183" xr:uid="{B5B980C7-51C1-42AD-8A60-9EADCDE49D2E}"/>
    <cellStyle name="20% - Ênfase6 5 2 3" xfId="2256" xr:uid="{1C26B5D1-1ED6-417B-9B6E-BBB268181D82}"/>
    <cellStyle name="20% - Ênfase6 5 3" xfId="404" xr:uid="{16B3A8B8-11E9-4F66-BA4E-2C2A648E4EDA}"/>
    <cellStyle name="20% - Ênfase6 5 3 2" xfId="1603" xr:uid="{55E0BFC1-D23D-46D2-AB29-25BE4F95D571}"/>
    <cellStyle name="20% - Ênfase6 5 3 2 2" xfId="3455" xr:uid="{3951D130-B4D2-42EF-8051-C33FE630A461}"/>
    <cellStyle name="20% - Ênfase6 5 3 3" xfId="2528" xr:uid="{BFA2C0A8-60F1-4614-AAD1-8D0A62ED93A1}"/>
    <cellStyle name="20% - Ênfase6 5 4" xfId="1009" xr:uid="{A14FFB74-CCA9-41E8-BE3C-2477CBBD6170}"/>
    <cellStyle name="20% - Ênfase6 5 4 2" xfId="2861" xr:uid="{C404EFDE-0612-489B-8A1B-37B1F545F28E}"/>
    <cellStyle name="20% - Ênfase6 5 5" xfId="1934" xr:uid="{BF8E7DCF-7150-4A1E-9731-1D9A32918B4E}"/>
    <cellStyle name="20% - Ênfase6 6" xfId="142" xr:uid="{00CE925C-640A-4E04-BCF4-AE7465A5A5B0}"/>
    <cellStyle name="20% - Ênfase6 6 2" xfId="748" xr:uid="{B28F3188-F802-45E1-9740-0FC218093D60}"/>
    <cellStyle name="20% - Ênfase6 6 2 2" xfId="1351" xr:uid="{CC6E84A9-57CC-483D-B09C-1320D9865276}"/>
    <cellStyle name="20% - Ênfase6 6 2 2 2" xfId="3203" xr:uid="{C7B69E6D-82AA-4008-BFEA-D87DAE6D3971}"/>
    <cellStyle name="20% - Ênfase6 6 2 3" xfId="2276" xr:uid="{46077CF5-E1E0-49CA-84A4-5DDA3962EDE3}"/>
    <cellStyle name="20% - Ênfase6 6 3" xfId="424" xr:uid="{DB5B38CA-6CCF-4B0D-ADB0-3A31FF7FFA12}"/>
    <cellStyle name="20% - Ênfase6 6 3 2" xfId="1616" xr:uid="{3ED49D18-4492-4C63-BFA8-E26FB7190F28}"/>
    <cellStyle name="20% - Ênfase6 6 3 2 2" xfId="3468" xr:uid="{7A66BFDF-0D50-442B-8735-A465AD1B483E}"/>
    <cellStyle name="20% - Ênfase6 6 3 3" xfId="2541" xr:uid="{585C5BCB-DB72-4CEE-9BEC-0077DD537C0C}"/>
    <cellStyle name="20% - Ênfase6 6 4" xfId="1029" xr:uid="{EC2A627E-8A1F-44BD-BA9C-9506B6D009DB}"/>
    <cellStyle name="20% - Ênfase6 6 4 2" xfId="2881" xr:uid="{1EB2318B-6310-4F71-A7BD-5D7C8A997B5C}"/>
    <cellStyle name="20% - Ênfase6 6 5" xfId="1954" xr:uid="{603584E5-43B7-4FB5-837F-89B9A1103B40}"/>
    <cellStyle name="20% - Ênfase6 7" xfId="162" xr:uid="{F44DA96E-B1E5-4D24-B551-5DD9F9629B7B}"/>
    <cellStyle name="20% - Ênfase6 7 2" xfId="768" xr:uid="{7364B9E3-CE88-45A7-A4C0-81089C5010AE}"/>
    <cellStyle name="20% - Ênfase6 7 2 2" xfId="1371" xr:uid="{57F5EC05-F15F-4D67-8503-860D2C6D0BB9}"/>
    <cellStyle name="20% - Ênfase6 7 2 2 2" xfId="3223" xr:uid="{119C0327-1A8B-4D70-8236-201127D168F0}"/>
    <cellStyle name="20% - Ênfase6 7 2 3" xfId="2296" xr:uid="{D19940DF-22B6-4ABF-AFE9-27F2DFE37726}"/>
    <cellStyle name="20% - Ênfase6 7 3" xfId="444" xr:uid="{41983B12-1B18-4FA1-A286-F2E050E1A416}"/>
    <cellStyle name="20% - Ênfase6 7 3 2" xfId="1770" xr:uid="{F0C7A352-FFFA-4E40-8B3D-F6A7B52A8DAD}"/>
    <cellStyle name="20% - Ênfase6 7 3 2 2" xfId="3583" xr:uid="{6F926DEE-D6DB-41C4-9759-22D538893F93}"/>
    <cellStyle name="20% - Ênfase6 7 3 3" xfId="2695" xr:uid="{41AF6247-783A-4179-BFC8-C90EA6FCAAE6}"/>
    <cellStyle name="20% - Ênfase6 7 4" xfId="1049" xr:uid="{A8988256-819F-41F7-A7F4-09522900D11D}"/>
    <cellStyle name="20% - Ênfase6 7 4 2" xfId="2901" xr:uid="{30CBF9DF-5BEA-48A4-9502-9B379594CB8A}"/>
    <cellStyle name="20% - Ênfase6 7 5" xfId="1974" xr:uid="{4A4BE94A-7267-44B0-B250-074C970CD54D}"/>
    <cellStyle name="20% - Ênfase6 8" xfId="182" xr:uid="{59D40456-AC20-48B9-AB28-42F96FC4D66E}"/>
    <cellStyle name="20% - Ênfase6 8 2" xfId="788" xr:uid="{28428FE3-AAF9-4A19-9EE1-D080ED841DF3}"/>
    <cellStyle name="20% - Ênfase6 8 2 2" xfId="1391" xr:uid="{DD1896DB-72FB-4AC0-A924-7F9E00B3C3E8}"/>
    <cellStyle name="20% - Ênfase6 8 2 2 2" xfId="3243" xr:uid="{18E53880-3BC2-437A-A5F9-CD4FD0D5DBF3}"/>
    <cellStyle name="20% - Ênfase6 8 2 3" xfId="2316" xr:uid="{C8750FFA-EF1D-4129-8E6D-817106A686AE}"/>
    <cellStyle name="20% - Ênfase6 8 3" xfId="464" xr:uid="{CB265F74-B198-4981-9C13-4AD8F208F80D}"/>
    <cellStyle name="20% - Ênfase6 8 3 2" xfId="1531" xr:uid="{FA0D4B68-0EAE-4D0A-A5F1-6AC2CE9D8DBC}"/>
    <cellStyle name="20% - Ênfase6 8 3 2 2" xfId="3383" xr:uid="{09B22A11-0A44-40D0-BC32-DAF37DE4F961}"/>
    <cellStyle name="20% - Ênfase6 8 3 3" xfId="2456" xr:uid="{8625DB80-E499-45F8-A392-9D2C80723806}"/>
    <cellStyle name="20% - Ênfase6 8 4" xfId="1069" xr:uid="{E3FAC89D-7C90-4B33-A331-4E5FBC4CAC1F}"/>
    <cellStyle name="20% - Ênfase6 8 4 2" xfId="2921" xr:uid="{E9D04C66-F407-4136-A2ED-F0F56A89A21C}"/>
    <cellStyle name="20% - Ênfase6 8 5" xfId="1994" xr:uid="{D8693091-05D3-48CB-9C50-641660B1BA02}"/>
    <cellStyle name="20% - Ênfase6 9" xfId="202" xr:uid="{170357BE-F822-4FDD-BC67-BCCF39A23C17}"/>
    <cellStyle name="20% - Ênfase6 9 2" xfId="808" xr:uid="{9DC40F45-1323-47FB-A295-8A6EC6750926}"/>
    <cellStyle name="20% - Ênfase6 9 2 2" xfId="1411" xr:uid="{92B75FE8-4F43-49D6-9B23-B07271F70442}"/>
    <cellStyle name="20% - Ênfase6 9 2 2 2" xfId="3263" xr:uid="{62FA5CAF-B062-4C23-B988-6BD18B62B60C}"/>
    <cellStyle name="20% - Ênfase6 9 2 3" xfId="2336" xr:uid="{DD35E7F5-0F51-4E54-854B-D8133D361D99}"/>
    <cellStyle name="20% - Ênfase6 9 3" xfId="484" xr:uid="{B7F887CE-DBCC-48A2-B4DC-48D5DF23FF65}"/>
    <cellStyle name="20% - Ênfase6 9 3 2" xfId="1573" xr:uid="{5A48E36C-42F6-47BF-B5A5-A8568590D966}"/>
    <cellStyle name="20% - Ênfase6 9 3 2 2" xfId="3425" xr:uid="{13F1DF42-F2E7-4CF9-B2F7-746B65E52D9C}"/>
    <cellStyle name="20% - Ênfase6 9 3 3" xfId="2498" xr:uid="{3AC8AB9F-9DAE-407C-B278-757777EAEC8F}"/>
    <cellStyle name="20% - Ênfase6 9 4" xfId="1089" xr:uid="{796E3967-A3A3-4558-8ED6-12F95D696F15}"/>
    <cellStyle name="20% - Ênfase6 9 4 2" xfId="2941" xr:uid="{662DB2D2-4CA2-4C55-A9C4-63743A73CA26}"/>
    <cellStyle name="20% - Ênfase6 9 5" xfId="2014" xr:uid="{DD1F29B1-A4A2-41DE-B753-CDE3AAD73201}"/>
    <cellStyle name="40% - Ênfase1" xfId="20" builtinId="31" customBuiltin="1"/>
    <cellStyle name="40% - Ênfase1 10" xfId="209" xr:uid="{B114C9DA-43D0-45CB-A1C4-6FB2A0B5763A}"/>
    <cellStyle name="40% - Ênfase1 10 2" xfId="815" xr:uid="{778C75CA-D793-46D8-A549-A045152B345B}"/>
    <cellStyle name="40% - Ênfase1 10 2 2" xfId="1418" xr:uid="{DB2C7C59-20D9-4880-A8C6-9EB5BA8C391E}"/>
    <cellStyle name="40% - Ênfase1 10 2 2 2" xfId="3270" xr:uid="{D893833E-C087-449A-8699-EB30FADE8B6F}"/>
    <cellStyle name="40% - Ênfase1 10 2 3" xfId="2343" xr:uid="{1D982583-1AFF-4B59-A772-155E2D9EB96F}"/>
    <cellStyle name="40% - Ênfase1 10 3" xfId="491" xr:uid="{995D7FD8-B46B-4C06-9405-33CC1607A0DE}"/>
    <cellStyle name="40% - Ênfase1 10 3 2" xfId="1631" xr:uid="{6E7ED1C2-8331-458D-968D-BE6AE7323775}"/>
    <cellStyle name="40% - Ênfase1 10 3 2 2" xfId="3483" xr:uid="{F8E54A97-43DC-4E83-BAE0-C25683EA551C}"/>
    <cellStyle name="40% - Ênfase1 10 3 3" xfId="2556" xr:uid="{7A0F1907-858B-4776-837A-A7743A8B858C}"/>
    <cellStyle name="40% - Ênfase1 10 4" xfId="1096" xr:uid="{68F30939-D3BB-4FCB-ADA0-7BA4FAD5FEB8}"/>
    <cellStyle name="40% - Ênfase1 10 4 2" xfId="2948" xr:uid="{870BE642-127B-41A3-BF48-A683331D2B2D}"/>
    <cellStyle name="40% - Ênfase1 10 5" xfId="2021" xr:uid="{99D02EAC-A819-4484-A5BE-043478A48F27}"/>
    <cellStyle name="40% - Ênfase1 11" xfId="229" xr:uid="{3ECB341A-45B1-40B9-8B39-81806F94EA5B}"/>
    <cellStyle name="40% - Ênfase1 11 2" xfId="835" xr:uid="{36D3FD86-6972-4470-BCC6-E5CAD700A05E}"/>
    <cellStyle name="40% - Ênfase1 11 2 2" xfId="1438" xr:uid="{0E6DE728-A235-48D3-A9A8-3FF29B45CF1F}"/>
    <cellStyle name="40% - Ênfase1 11 2 2 2" xfId="3290" xr:uid="{D2DA6253-9FE7-4391-9B96-2213ED88041D}"/>
    <cellStyle name="40% - Ênfase1 11 2 3" xfId="2363" xr:uid="{893ADC03-A21C-4736-9AE8-E8390A4B2E51}"/>
    <cellStyle name="40% - Ênfase1 11 3" xfId="511" xr:uid="{56B79F6A-3FAF-4D5E-9DCC-137CDEBF786B}"/>
    <cellStyle name="40% - Ênfase1 11 3 2" xfId="1691" xr:uid="{5283919E-1ACF-41D7-9363-7F566AF1ACD6}"/>
    <cellStyle name="40% - Ênfase1 11 3 2 2" xfId="3504" xr:uid="{1F8B43C9-FE23-4A86-A737-EEF7E146D062}"/>
    <cellStyle name="40% - Ênfase1 11 3 3" xfId="2616" xr:uid="{055833E4-9366-4C2F-9104-F9C3960E127C}"/>
    <cellStyle name="40% - Ênfase1 11 4" xfId="1116" xr:uid="{36D0F3E1-BB83-44C5-AA4B-FF817108322F}"/>
    <cellStyle name="40% - Ênfase1 11 4 2" xfId="2968" xr:uid="{951C4BD5-5636-4E4A-96E0-1DBE122BF8EA}"/>
    <cellStyle name="40% - Ênfase1 11 5" xfId="2041" xr:uid="{247FEA42-6418-4445-8B10-DAE9C7F4A3B8}"/>
    <cellStyle name="40% - Ênfase1 12" xfId="249" xr:uid="{2F689C53-3496-465F-928A-ECC8F6F2D3E3}"/>
    <cellStyle name="40% - Ênfase1 12 2" xfId="855" xr:uid="{E4E13D16-6ACB-403E-A86A-8FE746CCD2C2}"/>
    <cellStyle name="40% - Ênfase1 12 2 2" xfId="1458" xr:uid="{21DF4FBA-3E76-463D-8169-2103B1DFDE16}"/>
    <cellStyle name="40% - Ênfase1 12 2 2 2" xfId="3310" xr:uid="{1444D8BE-CF2B-4AB1-840E-FD9FE60D71DE}"/>
    <cellStyle name="40% - Ênfase1 12 2 3" xfId="2383" xr:uid="{9D8B7F1A-98BB-4E76-A77C-23BC4A384127}"/>
    <cellStyle name="40% - Ênfase1 12 3" xfId="531" xr:uid="{16845ECD-2CC7-4C56-9A0F-CC6A4993D6CC}"/>
    <cellStyle name="40% - Ênfase1 12 3 2" xfId="1706" xr:uid="{C513123C-31C0-4874-8D0F-55E0DA060295}"/>
    <cellStyle name="40% - Ênfase1 12 3 2 2" xfId="3519" xr:uid="{B2D4F315-18A5-4F62-ABC6-8BF2E1A4B388}"/>
    <cellStyle name="40% - Ênfase1 12 3 3" xfId="2631" xr:uid="{3A67FF2C-5D26-477B-A30C-055AD27F79BE}"/>
    <cellStyle name="40% - Ênfase1 12 4" xfId="1136" xr:uid="{C9B974BA-8C3D-4DCA-B6EC-C548B43164CF}"/>
    <cellStyle name="40% - Ênfase1 12 4 2" xfId="2988" xr:uid="{190E789A-9DC2-4640-8D33-1BD4B6F4A1CF}"/>
    <cellStyle name="40% - Ênfase1 12 5" xfId="2061" xr:uid="{0A2137CB-76AE-4D9D-84BB-D2B66CC06C05}"/>
    <cellStyle name="40% - Ênfase1 13" xfId="269" xr:uid="{6B4A6474-E4F9-459F-AC66-E804F3983588}"/>
    <cellStyle name="40% - Ênfase1 13 2" xfId="875" xr:uid="{14ECF224-474E-4122-A0AD-47A4229C065D}"/>
    <cellStyle name="40% - Ênfase1 13 2 2" xfId="1478" xr:uid="{434BBCF2-00DA-47DD-BF02-9DDDEE45A994}"/>
    <cellStyle name="40% - Ênfase1 13 2 2 2" xfId="3330" xr:uid="{96FFFFB4-8626-4915-A379-A8A9CBF97D83}"/>
    <cellStyle name="40% - Ênfase1 13 2 3" xfId="2403" xr:uid="{B2F0A723-EF75-4B81-A6EB-0CCDF66C0DDC}"/>
    <cellStyle name="40% - Ênfase1 13 3" xfId="551" xr:uid="{C938D9B7-5A72-4E2E-9524-CE74C93D2938}"/>
    <cellStyle name="40% - Ênfase1 13 3 2" xfId="1626" xr:uid="{F2A457C6-F2B1-46E8-A1D6-30781C5B605D}"/>
    <cellStyle name="40% - Ênfase1 13 3 2 2" xfId="3478" xr:uid="{6E754E70-A3BA-4E81-9270-4BF7DCEA7764}"/>
    <cellStyle name="40% - Ênfase1 13 3 3" xfId="2551" xr:uid="{2DC310AB-4138-4060-B659-A25D6874AD95}"/>
    <cellStyle name="40% - Ênfase1 13 4" xfId="1156" xr:uid="{A1F88DBC-9605-4C39-8719-959E15F2E29B}"/>
    <cellStyle name="40% - Ênfase1 13 4 2" xfId="3008" xr:uid="{005C9529-5D10-4E37-932B-168D002C2A6A}"/>
    <cellStyle name="40% - Ênfase1 13 5" xfId="2081" xr:uid="{29F1E484-0BDC-4059-8E3F-DBD3B076EF66}"/>
    <cellStyle name="40% - Ênfase1 14" xfId="289" xr:uid="{B092D708-E6EB-435C-9757-086D144319C3}"/>
    <cellStyle name="40% - Ênfase1 14 2" xfId="895" xr:uid="{6BBE6961-0E74-4B0A-8B61-BFEE6DC8F7AF}"/>
    <cellStyle name="40% - Ênfase1 14 2 2" xfId="1498" xr:uid="{ACB1F8A7-95D4-4673-A6AB-CB0FEAB75C6D}"/>
    <cellStyle name="40% - Ênfase1 14 2 2 2" xfId="3350" xr:uid="{A47408D5-BF14-454E-9416-73E8D815EE58}"/>
    <cellStyle name="40% - Ênfase1 14 2 3" xfId="2423" xr:uid="{D985579D-4786-4FCB-9BAD-604375DDC4AE}"/>
    <cellStyle name="40% - Ênfase1 14 3" xfId="571" xr:uid="{FC96BA1D-5F5A-436A-B306-19485C7CBA95}"/>
    <cellStyle name="40% - Ênfase1 14 3 2" xfId="1601" xr:uid="{779C17BB-914A-4208-ACAC-8EAB9A5E9610}"/>
    <cellStyle name="40% - Ênfase1 14 3 2 2" xfId="3453" xr:uid="{F8C0699A-D003-42B9-AB37-7DF23D9F7427}"/>
    <cellStyle name="40% - Ênfase1 14 3 3" xfId="2526" xr:uid="{3E331642-53C4-4644-A641-69CCE8A0EB29}"/>
    <cellStyle name="40% - Ênfase1 14 4" xfId="1176" xr:uid="{2328DD2B-50E6-4356-B1A3-9F57FD808772}"/>
    <cellStyle name="40% - Ênfase1 14 4 2" xfId="3028" xr:uid="{C06C629C-DCA2-4557-89B9-28EFB8FFD136}"/>
    <cellStyle name="40% - Ênfase1 14 5" xfId="2101" xr:uid="{919C4FF4-F352-4FAA-8B29-85C5FCD82E57}"/>
    <cellStyle name="40% - Ênfase1 15" xfId="591" xr:uid="{68AA2841-DFFC-4DC7-8523-6F67FA15FFAC}"/>
    <cellStyle name="40% - Ênfase1 15 2" xfId="1654" xr:uid="{EB7A9553-22AB-4278-AF59-D326313F1EB1}"/>
    <cellStyle name="40% - Ênfase1 15 2 2" xfId="2579" xr:uid="{369174D7-43F4-459B-BF2D-312EB7E51C6B}"/>
    <cellStyle name="40% - Ênfase1 15 3" xfId="1196" xr:uid="{5D9B11BB-C4ED-49B6-BD97-1DDE1B192780}"/>
    <cellStyle name="40% - Ênfase1 15 3 2" xfId="3048" xr:uid="{08AFD1BB-43E9-417B-A8E8-DFE501ACFF11}"/>
    <cellStyle name="40% - Ênfase1 15 4" xfId="2121" xr:uid="{F373B314-307C-4381-BCD9-5D4BF37DF464}"/>
    <cellStyle name="40% - Ênfase1 16" xfId="611" xr:uid="{C1A1F1E4-FC1F-4E3F-8A70-55810B75ECE3}"/>
    <cellStyle name="40% - Ênfase1 16 2" xfId="1674" xr:uid="{5071C000-7DA0-49F9-ACCF-A3D5E0822BDC}"/>
    <cellStyle name="40% - Ênfase1 16 2 2" xfId="2599" xr:uid="{CFCB2380-FC66-465A-BD5D-493FF31A25B3}"/>
    <cellStyle name="40% - Ênfase1 16 3" xfId="1216" xr:uid="{EA45A1D4-6DF6-49DB-B6D1-8F9375B66E36}"/>
    <cellStyle name="40% - Ênfase1 16 3 2" xfId="3068" xr:uid="{B865A84D-6264-408D-8B48-224638CFC70C}"/>
    <cellStyle name="40% - Ênfase1 16 4" xfId="2141" xr:uid="{2771FB90-35EF-4450-B98F-802DEA51727A}"/>
    <cellStyle name="40% - Ênfase1 17" xfId="631" xr:uid="{403CC2BB-4E52-46A7-8442-A99155FFA8DA}"/>
    <cellStyle name="40% - Ênfase1 17 2" xfId="1235" xr:uid="{B9C85878-6D90-44AE-993F-523005391108}"/>
    <cellStyle name="40% - Ênfase1 17 2 2" xfId="3087" xr:uid="{EF6FBAE8-90DD-4AB0-90AB-D08FC81F8CB1}"/>
    <cellStyle name="40% - Ênfase1 17 3" xfId="2160" xr:uid="{BB5D88B0-5643-4D34-9B85-6702992F1AF7}"/>
    <cellStyle name="40% - Ênfase1 18" xfId="308" xr:uid="{740FF10C-1D07-45D8-8A41-19EB28B3194D}"/>
    <cellStyle name="40% - Ênfase1 18 2" xfId="1525" xr:uid="{DC7DC3AF-94BA-40BD-A2B7-CAB81F868254}"/>
    <cellStyle name="40% - Ênfase1 18 2 2" xfId="3377" xr:uid="{F4D74921-A6D6-4846-9001-63A61F4E614C}"/>
    <cellStyle name="40% - Ênfase1 18 3" xfId="2450" xr:uid="{28F8C992-B61A-4981-AC43-B462C6C18DE8}"/>
    <cellStyle name="40% - Ênfase1 19" xfId="913" xr:uid="{CA4215EE-88B4-42D9-B379-6DDD93DC9DA6}"/>
    <cellStyle name="40% - Ênfase1 19 2" xfId="2765" xr:uid="{D130DC29-E13B-469D-8948-19BF1353DE8E}"/>
    <cellStyle name="40% - Ênfase1 2" xfId="48" xr:uid="{FEC20DBB-64B3-479F-A11B-717162751A32}"/>
    <cellStyle name="40% - Ênfase1 2 2" xfId="654" xr:uid="{3C0A533B-8260-4464-B58B-89CD443F4E29}"/>
    <cellStyle name="40% - Ênfase1 2 2 2" xfId="1257" xr:uid="{66CFB529-2852-4F67-B02E-16ACF3414F9A}"/>
    <cellStyle name="40% - Ênfase1 2 2 2 2" xfId="3109" xr:uid="{B4562942-EFF1-4542-B80C-33E1A72EE160}"/>
    <cellStyle name="40% - Ênfase1 2 2 3" xfId="2182" xr:uid="{FDD60BB1-7E94-4F98-8EFD-6E0A39FAA812}"/>
    <cellStyle name="40% - Ênfase1 2 3" xfId="330" xr:uid="{AABD299E-6398-435A-A47D-AC9A9E5CD165}"/>
    <cellStyle name="40% - Ênfase1 2 3 2" xfId="1735" xr:uid="{1FC4E175-8519-4B0A-BCEB-8F651A5FA3D6}"/>
    <cellStyle name="40% - Ênfase1 2 3 2 2" xfId="3548" xr:uid="{53207AFC-5AB0-4C4B-9028-538CE3C4D7B0}"/>
    <cellStyle name="40% - Ênfase1 2 3 3" xfId="2660" xr:uid="{6AC03908-2E20-4DB6-97B7-181F576FDD52}"/>
    <cellStyle name="40% - Ênfase1 2 4" xfId="935" xr:uid="{92ABFEEA-06A4-47D3-B2FC-201EF8E44DE0}"/>
    <cellStyle name="40% - Ênfase1 2 4 2" xfId="2787" xr:uid="{5DCF4D4A-F78C-450A-AAC2-A141AC593E13}"/>
    <cellStyle name="40% - Ênfase1 2 5" xfId="1860" xr:uid="{7EA61AED-48EF-4B14-8C5F-46661ADF61D6}"/>
    <cellStyle name="40% - Ênfase1 20" xfId="1838" xr:uid="{75246792-1DA4-42C5-A513-57AF335D70B6}"/>
    <cellStyle name="40% - Ênfase1 3" xfId="66" xr:uid="{341E7645-79D8-488F-83C6-EF3210A658B9}"/>
    <cellStyle name="40% - Ênfase1 3 2" xfId="672" xr:uid="{EA414AD1-E3C1-423B-8CBE-AA1400A1D7F9}"/>
    <cellStyle name="40% - Ênfase1 3 2 2" xfId="1275" xr:uid="{2F4D5FD8-9E2E-41E5-98BD-C6B0E151264C}"/>
    <cellStyle name="40% - Ênfase1 3 2 2 2" xfId="3127" xr:uid="{EEFA0C8A-5093-4222-8CB0-00CCDAC72740}"/>
    <cellStyle name="40% - Ênfase1 3 2 3" xfId="2200" xr:uid="{42DFA9AA-3903-4013-B3DE-109838BB7053}"/>
    <cellStyle name="40% - Ênfase1 3 3" xfId="348" xr:uid="{49AB1AD6-2692-4F02-8D5D-5565BFA8A56B}"/>
    <cellStyle name="40% - Ênfase1 3 3 2" xfId="1767" xr:uid="{2598D005-7A36-4B40-BFC3-DDD93E1E0389}"/>
    <cellStyle name="40% - Ênfase1 3 3 2 2" xfId="3580" xr:uid="{F6B70DF7-B21E-4CBF-B48B-283882B6A0E3}"/>
    <cellStyle name="40% - Ênfase1 3 3 3" xfId="2692" xr:uid="{491150BB-E464-402A-A726-F4790D08BAAE}"/>
    <cellStyle name="40% - Ênfase1 3 4" xfId="953" xr:uid="{39339F04-FDD5-44E4-B305-E96305CC9841}"/>
    <cellStyle name="40% - Ênfase1 3 4 2" xfId="2805" xr:uid="{83AEBD74-C1DD-48C0-AC5F-DDB17E0DCCB8}"/>
    <cellStyle name="40% - Ênfase1 3 5" xfId="1878" xr:uid="{8F0E58A5-D2C5-4FFA-82F6-DCD3A77DD504}"/>
    <cellStyle name="40% - Ênfase1 4" xfId="88" xr:uid="{61C87B42-7388-45B3-AF3D-3E393894E096}"/>
    <cellStyle name="40% - Ênfase1 4 2" xfId="694" xr:uid="{067E3CDF-F57A-4470-9BBD-9CB515FB01F2}"/>
    <cellStyle name="40% - Ênfase1 4 2 2" xfId="1297" xr:uid="{C6595EAD-DE46-4262-86B5-A124AD1CD0BF}"/>
    <cellStyle name="40% - Ênfase1 4 2 2 2" xfId="3149" xr:uid="{6B26282E-11A3-4396-A518-AB4BE41D6E1E}"/>
    <cellStyle name="40% - Ênfase1 4 2 3" xfId="2222" xr:uid="{FC1127CD-BF11-46FD-9760-DAA6E269ED9A}"/>
    <cellStyle name="40% - Ênfase1 4 3" xfId="370" xr:uid="{CD443A36-41DF-4EAC-887F-944D72D955A6}"/>
    <cellStyle name="40% - Ênfase1 4 3 2" xfId="1600" xr:uid="{20DAAB99-B69F-4402-829C-BA29D921815C}"/>
    <cellStyle name="40% - Ênfase1 4 3 2 2" xfId="3452" xr:uid="{6E6AB757-9C6A-4F40-B379-8B85B0ACC4D2}"/>
    <cellStyle name="40% - Ênfase1 4 3 3" xfId="2525" xr:uid="{ABB119D4-18E3-46E6-BC7B-BDE4A55B5863}"/>
    <cellStyle name="40% - Ênfase1 4 4" xfId="975" xr:uid="{C712BAE1-DE20-4070-93A9-9B4CC70A53F2}"/>
    <cellStyle name="40% - Ênfase1 4 4 2" xfId="2827" xr:uid="{915997CE-A82B-4748-A6BA-4C3BFF2018E8}"/>
    <cellStyle name="40% - Ênfase1 4 5" xfId="1900" xr:uid="{B2E60C9F-52E0-474E-9DB8-9DF72CBC8F67}"/>
    <cellStyle name="40% - Ênfase1 5" xfId="108" xr:uid="{B8060DD2-21DD-4B98-AEC8-FB914AD6C472}"/>
    <cellStyle name="40% - Ênfase1 5 2" xfId="714" xr:uid="{82452C11-988B-45F8-994A-FB3E492C446E}"/>
    <cellStyle name="40% - Ênfase1 5 2 2" xfId="1317" xr:uid="{C86646D5-58D8-4DE8-9C64-3E7DF59631B2}"/>
    <cellStyle name="40% - Ênfase1 5 2 2 2" xfId="3169" xr:uid="{2DF1D3B0-33FE-4B91-95E0-DAB03E0EA1F2}"/>
    <cellStyle name="40% - Ênfase1 5 2 3" xfId="2242" xr:uid="{DA5DF6AF-B856-46ED-9126-0FCC7D75EEFB}"/>
    <cellStyle name="40% - Ênfase1 5 3" xfId="390" xr:uid="{AE57A2E6-CDDE-440F-BC48-3284B6F0B536}"/>
    <cellStyle name="40% - Ênfase1 5 3 2" xfId="1763" xr:uid="{A77D32B0-5628-4A38-B254-0FA869CA4650}"/>
    <cellStyle name="40% - Ênfase1 5 3 2 2" xfId="3576" xr:uid="{1AB72D4F-B2EB-436B-9CD4-91E3FD0E8AF0}"/>
    <cellStyle name="40% - Ênfase1 5 3 3" xfId="2688" xr:uid="{8994226A-0D69-4077-8C75-8E4AEF263E27}"/>
    <cellStyle name="40% - Ênfase1 5 4" xfId="995" xr:uid="{74E0F986-0DFF-4C31-8A93-4EA355732871}"/>
    <cellStyle name="40% - Ênfase1 5 4 2" xfId="2847" xr:uid="{AB70077D-2E73-4D72-AD61-CA7482042D17}"/>
    <cellStyle name="40% - Ênfase1 5 5" xfId="1920" xr:uid="{376B33A1-583A-4AA9-9631-D0F7C0443895}"/>
    <cellStyle name="40% - Ênfase1 6" xfId="128" xr:uid="{A1E767C0-AB93-4A70-9419-4AA904332A58}"/>
    <cellStyle name="40% - Ênfase1 6 2" xfId="734" xr:uid="{D0EC3D76-8487-411C-BD61-BC4088A27E07}"/>
    <cellStyle name="40% - Ênfase1 6 2 2" xfId="1337" xr:uid="{DBB1549C-027A-47F6-A329-0637D6D26BD7}"/>
    <cellStyle name="40% - Ênfase1 6 2 2 2" xfId="3189" xr:uid="{DB8BE930-468A-444E-A32E-EE97A29D7161}"/>
    <cellStyle name="40% - Ênfase1 6 2 3" xfId="2262" xr:uid="{EF3586C8-DC1D-4230-9DBA-D80DDC373EA0}"/>
    <cellStyle name="40% - Ênfase1 6 3" xfId="410" xr:uid="{8A35EAF8-5639-4938-95FB-1B8655D49543}"/>
    <cellStyle name="40% - Ênfase1 6 3 2" xfId="1623" xr:uid="{3DE344D0-6B0F-44EC-804C-DF4D5DB1F4CD}"/>
    <cellStyle name="40% - Ênfase1 6 3 2 2" xfId="3475" xr:uid="{7112C83D-03BB-411E-BDB6-DFA941B297E9}"/>
    <cellStyle name="40% - Ênfase1 6 3 3" xfId="2548" xr:uid="{DCE32E9C-3594-4537-A3C7-D6F326B543A9}"/>
    <cellStyle name="40% - Ênfase1 6 4" xfId="1015" xr:uid="{7596247B-B0B1-42E8-A6EE-5F5D6CCF6B5D}"/>
    <cellStyle name="40% - Ênfase1 6 4 2" xfId="2867" xr:uid="{536DA353-06CC-46F1-8872-F4B08F30F56B}"/>
    <cellStyle name="40% - Ênfase1 6 5" xfId="1940" xr:uid="{39ACEDBC-46BA-4F8F-B5C6-3BE1F5B6BAFB}"/>
    <cellStyle name="40% - Ênfase1 7" xfId="148" xr:uid="{E4DE5FD4-B149-4B6A-831E-D06B7870152B}"/>
    <cellStyle name="40% - Ênfase1 7 2" xfId="754" xr:uid="{23AB83EE-DD2C-431A-844D-0E7697230C4C}"/>
    <cellStyle name="40% - Ênfase1 7 2 2" xfId="1357" xr:uid="{22E65F5D-A8FA-4B79-AFFE-8E59C0D4EB50}"/>
    <cellStyle name="40% - Ênfase1 7 2 2 2" xfId="3209" xr:uid="{636C844F-7946-4CE4-A098-FBC98914FD60}"/>
    <cellStyle name="40% - Ênfase1 7 2 3" xfId="2282" xr:uid="{9382B89D-BFE3-4836-A180-483F185EA25E}"/>
    <cellStyle name="40% - Ênfase1 7 3" xfId="430" xr:uid="{F14A6310-C7D1-4E68-825D-6EAD19EF84F9}"/>
    <cellStyle name="40% - Ênfase1 7 3 2" xfId="1751" xr:uid="{554127FB-14F7-4EAF-870C-F84173C1FD93}"/>
    <cellStyle name="40% - Ênfase1 7 3 2 2" xfId="3564" xr:uid="{FCB1EAC7-6D29-4F1A-AC64-661B38EAE100}"/>
    <cellStyle name="40% - Ênfase1 7 3 3" xfId="2676" xr:uid="{0C397153-CA8B-41A4-9511-23B10DE21181}"/>
    <cellStyle name="40% - Ênfase1 7 4" xfId="1035" xr:uid="{9EA46BF4-449F-4F18-95B3-265DA6DBE4CA}"/>
    <cellStyle name="40% - Ênfase1 7 4 2" xfId="2887" xr:uid="{C6EB6CE3-075E-402C-BE44-27AE8707ACC4}"/>
    <cellStyle name="40% - Ênfase1 7 5" xfId="1960" xr:uid="{82BD6397-B73C-4BD6-AFC8-57F17A3DD938}"/>
    <cellStyle name="40% - Ênfase1 8" xfId="168" xr:uid="{506C945C-DC56-4CB7-8A60-6D468FB235D0}"/>
    <cellStyle name="40% - Ênfase1 8 2" xfId="774" xr:uid="{64F4079C-3C14-4BAE-8288-78F6A31B2AAB}"/>
    <cellStyle name="40% - Ênfase1 8 2 2" xfId="1377" xr:uid="{4489B5EA-2593-47D1-B729-FB9F51720D64}"/>
    <cellStyle name="40% - Ênfase1 8 2 2 2" xfId="3229" xr:uid="{759FC74C-1ECE-4B9D-AD05-08ADE34B2964}"/>
    <cellStyle name="40% - Ênfase1 8 2 3" xfId="2302" xr:uid="{EE175BDC-BAD4-4654-BB54-AFCE2944DA3D}"/>
    <cellStyle name="40% - Ênfase1 8 3" xfId="450" xr:uid="{C132E87F-9E8E-4649-A2F0-2304564A5BD2}"/>
    <cellStyle name="40% - Ênfase1 8 3 2" xfId="1761" xr:uid="{40A0B12C-ECA0-4AD7-9705-FB01E328950E}"/>
    <cellStyle name="40% - Ênfase1 8 3 2 2" xfId="3574" xr:uid="{9EB679A6-2952-4E34-889C-D49D34EE33F7}"/>
    <cellStyle name="40% - Ênfase1 8 3 3" xfId="2686" xr:uid="{0817B136-0134-4BD8-A088-105495D2D2D2}"/>
    <cellStyle name="40% - Ênfase1 8 4" xfId="1055" xr:uid="{DD6751FC-686B-4090-BDBE-675962E24E36}"/>
    <cellStyle name="40% - Ênfase1 8 4 2" xfId="2907" xr:uid="{7C17E439-20C2-4ADB-B767-28868EF340F6}"/>
    <cellStyle name="40% - Ênfase1 8 5" xfId="1980" xr:uid="{13B1BA89-8AE8-40F1-AFB4-48FD38537A08}"/>
    <cellStyle name="40% - Ênfase1 9" xfId="188" xr:uid="{5718BE37-9AAF-4386-8681-0D9F98927A80}"/>
    <cellStyle name="40% - Ênfase1 9 2" xfId="794" xr:uid="{6CA6EED3-194B-4F39-92AD-3C28FB3C0421}"/>
    <cellStyle name="40% - Ênfase1 9 2 2" xfId="1397" xr:uid="{B322F014-10AB-4FC8-9ADA-E4072A1111E5}"/>
    <cellStyle name="40% - Ênfase1 9 2 2 2" xfId="3249" xr:uid="{13785C0B-9096-449E-91A5-BCAA2DF9C101}"/>
    <cellStyle name="40% - Ênfase1 9 2 3" xfId="2322" xr:uid="{961262A2-A282-4265-BAF8-69B29F3E7F88}"/>
    <cellStyle name="40% - Ênfase1 9 3" xfId="470" xr:uid="{0663EF77-0C9E-479E-9353-AABB12918F4B}"/>
    <cellStyle name="40% - Ênfase1 9 3 2" xfId="1824" xr:uid="{EE10F588-CD88-4B0E-8153-D793192E7AEA}"/>
    <cellStyle name="40% - Ênfase1 9 3 2 2" xfId="3637" xr:uid="{631CD93A-FB26-4BD6-AADC-5AE26EAA73D1}"/>
    <cellStyle name="40% - Ênfase1 9 3 3" xfId="2749" xr:uid="{3872AB91-B41A-4396-BE6A-D8DA92372742}"/>
    <cellStyle name="40% - Ênfase1 9 4" xfId="1075" xr:uid="{3736D986-8609-4567-9766-A1A602F0D489}"/>
    <cellStyle name="40% - Ênfase1 9 4 2" xfId="2927" xr:uid="{120274D4-2766-4A74-A741-8A353A8B4213}"/>
    <cellStyle name="40% - Ênfase1 9 5" xfId="2000" xr:uid="{2E990A93-46C1-4609-A675-760FDE73FF49}"/>
    <cellStyle name="40% - Ênfase2" xfId="24" builtinId="35" customBuiltin="1"/>
    <cellStyle name="40% - Ênfase2 10" xfId="212" xr:uid="{5AD88108-E246-45AF-AC9E-36525ED7005A}"/>
    <cellStyle name="40% - Ênfase2 10 2" xfId="818" xr:uid="{BBD808B0-65AE-459D-94AD-B2E98E0EC47B}"/>
    <cellStyle name="40% - Ênfase2 10 2 2" xfId="1421" xr:uid="{083D251F-8FA9-4996-9072-4E9EE30EC00C}"/>
    <cellStyle name="40% - Ênfase2 10 2 2 2" xfId="3273" xr:uid="{750C511C-21A9-4576-94BB-9C2F409A0FC7}"/>
    <cellStyle name="40% - Ênfase2 10 2 3" xfId="2346" xr:uid="{D3B4ADD8-97BC-4EBC-99C0-20A0172A6640}"/>
    <cellStyle name="40% - Ênfase2 10 3" xfId="494" xr:uid="{34FAD5A6-E3BD-4C6A-A700-A543909F10DA}"/>
    <cellStyle name="40% - Ênfase2 10 3 2" xfId="1643" xr:uid="{DADC5343-934A-46E3-A98B-A072901A944E}"/>
    <cellStyle name="40% - Ênfase2 10 3 2 2" xfId="3495" xr:uid="{2BBFA529-5875-40A7-A342-20F6A4DA4D91}"/>
    <cellStyle name="40% - Ênfase2 10 3 3" xfId="2568" xr:uid="{66DC70DB-20BB-4300-BA00-90E89C369E8C}"/>
    <cellStyle name="40% - Ênfase2 10 4" xfId="1099" xr:uid="{7C9CD0D1-26C8-4EDA-A63E-29F66ABA44DE}"/>
    <cellStyle name="40% - Ênfase2 10 4 2" xfId="2951" xr:uid="{1061CAC6-9D1C-4E6D-9416-BCFD3A2FE50F}"/>
    <cellStyle name="40% - Ênfase2 10 5" xfId="2024" xr:uid="{F4CF0B9B-043C-4886-A9ED-84D2808E4AA8}"/>
    <cellStyle name="40% - Ênfase2 11" xfId="232" xr:uid="{2E080036-1BAE-4576-824B-739D4BDCAA08}"/>
    <cellStyle name="40% - Ênfase2 11 2" xfId="838" xr:uid="{141A0177-8B97-4E61-ADC1-4399F0FC562D}"/>
    <cellStyle name="40% - Ênfase2 11 2 2" xfId="1441" xr:uid="{CC10906C-41F0-4277-991B-EA6BA03EDCB8}"/>
    <cellStyle name="40% - Ênfase2 11 2 2 2" xfId="3293" xr:uid="{5510DB3B-7917-42C4-83D4-002695B91C21}"/>
    <cellStyle name="40% - Ênfase2 11 2 3" xfId="2366" xr:uid="{6C911A3D-2404-424D-8253-C78D9289FD90}"/>
    <cellStyle name="40% - Ênfase2 11 3" xfId="514" xr:uid="{9447C148-962A-4349-95C5-BDAAAA9DF1BC}"/>
    <cellStyle name="40% - Ênfase2 11 3 2" xfId="1795" xr:uid="{57B2F448-4F33-433F-934F-C6AE5426FD0E}"/>
    <cellStyle name="40% - Ênfase2 11 3 2 2" xfId="3608" xr:uid="{ABC7ECD9-C97C-40CD-BD3D-502D71BE1B10}"/>
    <cellStyle name="40% - Ênfase2 11 3 3" xfId="2720" xr:uid="{A8096062-FDF6-40AF-9F7B-F491D979E59E}"/>
    <cellStyle name="40% - Ênfase2 11 4" xfId="1119" xr:uid="{BE22DE02-0D8A-4F67-8383-25EDA293A21D}"/>
    <cellStyle name="40% - Ênfase2 11 4 2" xfId="2971" xr:uid="{DA88D8F9-1423-421A-8C33-64C5137BB22E}"/>
    <cellStyle name="40% - Ênfase2 11 5" xfId="2044" xr:uid="{738136C7-48E3-4B7A-8FA2-F90E47E363D9}"/>
    <cellStyle name="40% - Ênfase2 12" xfId="252" xr:uid="{1B17FB0C-C87E-4F34-AAB2-7BBE75752194}"/>
    <cellStyle name="40% - Ênfase2 12 2" xfId="858" xr:uid="{170544A3-44FD-415E-9BCD-B167BB01E15B}"/>
    <cellStyle name="40% - Ênfase2 12 2 2" xfId="1461" xr:uid="{1A717F41-8792-47B4-93CC-DF88E548B1CD}"/>
    <cellStyle name="40% - Ênfase2 12 2 2 2" xfId="3313" xr:uid="{7024EBE3-1F42-492A-8EF8-D5CAAC723527}"/>
    <cellStyle name="40% - Ênfase2 12 2 3" xfId="2386" xr:uid="{2768ED7E-ACF6-4C34-A9E4-E8B6D84F14BF}"/>
    <cellStyle name="40% - Ênfase2 12 3" xfId="534" xr:uid="{B067E8C2-79D3-490A-8A81-80AC7F483DBE}"/>
    <cellStyle name="40% - Ênfase2 12 3 2" xfId="1592" xr:uid="{99D9B058-2610-4D7B-A62A-DA922E25A029}"/>
    <cellStyle name="40% - Ênfase2 12 3 2 2" xfId="3444" xr:uid="{41DE513A-C631-4194-9564-153F39C25FBE}"/>
    <cellStyle name="40% - Ênfase2 12 3 3" xfId="2517" xr:uid="{20E36BD3-7A8A-45BC-9F68-002663EDF0F9}"/>
    <cellStyle name="40% - Ênfase2 12 4" xfId="1139" xr:uid="{BD56048A-C173-42BF-9FD6-DC98644F26F9}"/>
    <cellStyle name="40% - Ênfase2 12 4 2" xfId="2991" xr:uid="{BB3B1092-0C6D-47B8-9C9D-795268AD565D}"/>
    <cellStyle name="40% - Ênfase2 12 5" xfId="2064" xr:uid="{6481511C-4BEC-411A-8C2E-537AC8E9D673}"/>
    <cellStyle name="40% - Ênfase2 13" xfId="272" xr:uid="{977EBEA3-3664-4D04-A664-AE0F2EBAEBAC}"/>
    <cellStyle name="40% - Ênfase2 13 2" xfId="878" xr:uid="{253095E9-D6EF-4501-9DB3-5A20F34601A5}"/>
    <cellStyle name="40% - Ênfase2 13 2 2" xfId="1481" xr:uid="{5B10031D-67CF-4F99-A484-3CF54C5172B3}"/>
    <cellStyle name="40% - Ênfase2 13 2 2 2" xfId="3333" xr:uid="{FBC2C4E5-430D-42DF-AE8D-C97B3795631E}"/>
    <cellStyle name="40% - Ênfase2 13 2 3" xfId="2406" xr:uid="{C55C5768-18D7-431F-B3C1-14E0480302A7}"/>
    <cellStyle name="40% - Ênfase2 13 3" xfId="554" xr:uid="{7A939B4A-32A8-460E-8510-B705677A88D7}"/>
    <cellStyle name="40% - Ênfase2 13 3 2" xfId="1644" xr:uid="{8F176CD7-9B57-482C-9EB3-AE7FE6609A92}"/>
    <cellStyle name="40% - Ênfase2 13 3 2 2" xfId="3496" xr:uid="{F09EF00F-9B56-44AF-A77D-6CA4FEF9484C}"/>
    <cellStyle name="40% - Ênfase2 13 3 3" xfId="2569" xr:uid="{5C48AD27-EAC2-45F7-A779-77D6CDE49348}"/>
    <cellStyle name="40% - Ênfase2 13 4" xfId="1159" xr:uid="{40FDC481-4763-4BA1-A60C-6E50991DE1A4}"/>
    <cellStyle name="40% - Ênfase2 13 4 2" xfId="3011" xr:uid="{4BBEA346-02DA-4A4A-94EB-42AD17FC6F46}"/>
    <cellStyle name="40% - Ênfase2 13 5" xfId="2084" xr:uid="{1BCE7400-C304-44CE-9926-3A3F45A7DBAE}"/>
    <cellStyle name="40% - Ênfase2 14" xfId="292" xr:uid="{295B4FA6-0D9B-4314-A7BF-5D273D018348}"/>
    <cellStyle name="40% - Ênfase2 14 2" xfId="898" xr:uid="{3F16F211-7F19-419C-BB9E-47135A4623CA}"/>
    <cellStyle name="40% - Ênfase2 14 2 2" xfId="1501" xr:uid="{7031BAAE-F35D-4FB3-A9C6-EC0C16F08AEB}"/>
    <cellStyle name="40% - Ênfase2 14 2 2 2" xfId="3353" xr:uid="{8DC00BA4-AA6A-406F-BCDD-DA63C87D854D}"/>
    <cellStyle name="40% - Ênfase2 14 2 3" xfId="2426" xr:uid="{7B1AA284-270F-4B0F-B0F9-A6B18F12A8E2}"/>
    <cellStyle name="40% - Ênfase2 14 3" xfId="574" xr:uid="{F61010B7-ED6D-4E03-86EA-20CC9A624824}"/>
    <cellStyle name="40% - Ênfase2 14 3 2" xfId="1833" xr:uid="{D6FFB426-18F4-43C1-827C-D9E0704BFE46}"/>
    <cellStyle name="40% - Ênfase2 14 3 2 2" xfId="3646" xr:uid="{4A8D76C7-7899-49EA-BB53-0C1118B5D067}"/>
    <cellStyle name="40% - Ênfase2 14 3 3" xfId="2758" xr:uid="{C489B6FA-7EB2-4F3E-9B60-3B67F50D125B}"/>
    <cellStyle name="40% - Ênfase2 14 4" xfId="1179" xr:uid="{82A0194D-1CB6-45DE-81B5-7857302C25B4}"/>
    <cellStyle name="40% - Ênfase2 14 4 2" xfId="3031" xr:uid="{0CA16FCA-CA44-4053-A7F0-4659F114C304}"/>
    <cellStyle name="40% - Ênfase2 14 5" xfId="2104" xr:uid="{85F4527E-D200-4987-865F-F439B03C5E83}"/>
    <cellStyle name="40% - Ênfase2 15" xfId="594" xr:uid="{9042D995-A7D8-4788-9178-6504656F32B7}"/>
    <cellStyle name="40% - Ênfase2 15 2" xfId="1657" xr:uid="{4E3EC3D6-E2F2-4D1A-BCAC-DA0609048A72}"/>
    <cellStyle name="40% - Ênfase2 15 2 2" xfId="2582" xr:uid="{5F4017B1-F47F-479B-B648-E8CC090A33CF}"/>
    <cellStyle name="40% - Ênfase2 15 3" xfId="1199" xr:uid="{A333A60D-0F6F-4481-9030-9664020C77B9}"/>
    <cellStyle name="40% - Ênfase2 15 3 2" xfId="3051" xr:uid="{7C7EB86A-8CCF-4547-B17B-ACE473D9C572}"/>
    <cellStyle name="40% - Ênfase2 15 4" xfId="2124" xr:uid="{B1788952-89B4-4071-B6DE-843E85C9F87D}"/>
    <cellStyle name="40% - Ênfase2 16" xfId="614" xr:uid="{7E77E3FE-BA60-4D8E-9678-28A3D90E353F}"/>
    <cellStyle name="40% - Ênfase2 16 2" xfId="1677" xr:uid="{CAA87516-0298-4A53-9969-675FC12C9B36}"/>
    <cellStyle name="40% - Ênfase2 16 2 2" xfId="2602" xr:uid="{9029CEF9-4C87-43E1-B5E0-7CDCACC056A7}"/>
    <cellStyle name="40% - Ênfase2 16 3" xfId="1219" xr:uid="{1E221217-79D9-4F47-9701-8559456ADBBC}"/>
    <cellStyle name="40% - Ênfase2 16 3 2" xfId="3071" xr:uid="{DD916C08-06AE-4F73-8991-A360B38FF70D}"/>
    <cellStyle name="40% - Ênfase2 16 4" xfId="2144" xr:uid="{997BB6A3-3A97-407F-8FFB-A900F83720D8}"/>
    <cellStyle name="40% - Ênfase2 17" xfId="634" xr:uid="{A270E103-D8EC-4D48-83D0-DDC616C2A118}"/>
    <cellStyle name="40% - Ênfase2 17 2" xfId="1238" xr:uid="{52CC6D33-FB37-489B-A96F-4B94F3D329D0}"/>
    <cellStyle name="40% - Ênfase2 17 2 2" xfId="3090" xr:uid="{201BA160-A3EA-4A51-A7D5-EC34E3072C6E}"/>
    <cellStyle name="40% - Ênfase2 17 3" xfId="2163" xr:uid="{47371AD5-539D-4A95-9EC5-050986D6349A}"/>
    <cellStyle name="40% - Ênfase2 18" xfId="311" xr:uid="{F22C00B2-A8C8-4F44-AFEA-4257C3349ED9}"/>
    <cellStyle name="40% - Ênfase2 18 2" xfId="1536" xr:uid="{A6DEF40C-8C1A-4C50-A362-E7AFC253D2CC}"/>
    <cellStyle name="40% - Ênfase2 18 2 2" xfId="3388" xr:uid="{E8DBE2D3-2B4F-43D4-8C76-505DF731ABA3}"/>
    <cellStyle name="40% - Ênfase2 18 3" xfId="2461" xr:uid="{C833EE33-BCE2-4BB0-9F87-5DEAD9ADC49C}"/>
    <cellStyle name="40% - Ênfase2 19" xfId="916" xr:uid="{359FCC23-F7E4-45CE-B679-EB3774784D9B}"/>
    <cellStyle name="40% - Ênfase2 19 2" xfId="2768" xr:uid="{ED13CB99-2B2C-4F78-A033-F5841B034411}"/>
    <cellStyle name="40% - Ênfase2 2" xfId="51" xr:uid="{69E0D125-01D2-433D-87BE-2B7DE26755C4}"/>
    <cellStyle name="40% - Ênfase2 2 2" xfId="657" xr:uid="{4C273F2F-183C-407E-9803-2C4290BFDF92}"/>
    <cellStyle name="40% - Ênfase2 2 2 2" xfId="1260" xr:uid="{9DE0D694-07D9-48E3-AD55-D51E417F92C5}"/>
    <cellStyle name="40% - Ênfase2 2 2 2 2" xfId="3112" xr:uid="{C3860A8B-6D51-4EC6-9A59-BE8FF6EDE1A2}"/>
    <cellStyle name="40% - Ênfase2 2 2 3" xfId="2185" xr:uid="{FEAD2A23-4989-4970-8A1D-E6B490436910}"/>
    <cellStyle name="40% - Ênfase2 2 3" xfId="333" xr:uid="{C796E05C-E7C1-42D7-BE58-916D2BAB6083}"/>
    <cellStyle name="40% - Ênfase2 2 3 2" xfId="1694" xr:uid="{F2A00FD5-E24C-4546-99CB-B9C961E31192}"/>
    <cellStyle name="40% - Ênfase2 2 3 2 2" xfId="3507" xr:uid="{97C96F64-6AD5-45F7-A208-7B154DAD9347}"/>
    <cellStyle name="40% - Ênfase2 2 3 3" xfId="2619" xr:uid="{E4FBA2B8-F9B2-4C4A-A509-8EDE0A6B7F70}"/>
    <cellStyle name="40% - Ênfase2 2 4" xfId="938" xr:uid="{59FBC091-0BA4-496E-934E-4ABC6A5C0893}"/>
    <cellStyle name="40% - Ênfase2 2 4 2" xfId="2790" xr:uid="{929C8DA5-31E3-4022-9188-9B38C7C3FFAF}"/>
    <cellStyle name="40% - Ênfase2 2 5" xfId="1863" xr:uid="{8E7C3B75-0383-4E03-983F-E8C379CCAB82}"/>
    <cellStyle name="40% - Ênfase2 20" xfId="1841" xr:uid="{C4631B14-68EF-45DE-B101-3CF8D5F58F42}"/>
    <cellStyle name="40% - Ênfase2 3" xfId="69" xr:uid="{BD512388-C12C-4FAB-8A70-0F0F7520E43F}"/>
    <cellStyle name="40% - Ênfase2 3 2" xfId="675" xr:uid="{88F85DF4-F931-4E82-9213-F9ECBEDA3235}"/>
    <cellStyle name="40% - Ênfase2 3 2 2" xfId="1278" xr:uid="{D612FBEA-4DC4-4D26-94F6-78347283BDFA}"/>
    <cellStyle name="40% - Ênfase2 3 2 2 2" xfId="3130" xr:uid="{F1085EF1-1A0C-4E50-BB51-F77ADE088881}"/>
    <cellStyle name="40% - Ênfase2 3 2 3" xfId="2203" xr:uid="{9BE3E704-3362-4898-B516-B57453A01718}"/>
    <cellStyle name="40% - Ênfase2 3 3" xfId="351" xr:uid="{85466066-D928-4C2F-A2DE-0797A0C06B89}"/>
    <cellStyle name="40% - Ênfase2 3 3 2" xfId="1633" xr:uid="{49318F19-2624-4AB4-9F55-AE59564D5D14}"/>
    <cellStyle name="40% - Ênfase2 3 3 2 2" xfId="3485" xr:uid="{6FCDADD6-E120-400D-9C51-847EFBAB4344}"/>
    <cellStyle name="40% - Ênfase2 3 3 3" xfId="2558" xr:uid="{5A0F7FFA-636F-49F6-A8DB-AC5D7545A0F6}"/>
    <cellStyle name="40% - Ênfase2 3 4" xfId="956" xr:uid="{438255A4-59EA-435A-B50A-CBD4FB9CB5B3}"/>
    <cellStyle name="40% - Ênfase2 3 4 2" xfId="2808" xr:uid="{CFB65ED8-4847-4EAC-92E2-7E2A2F463D9D}"/>
    <cellStyle name="40% - Ênfase2 3 5" xfId="1881" xr:uid="{E49B48AF-C4F1-43B5-BE3C-7D15600E8780}"/>
    <cellStyle name="40% - Ênfase2 4" xfId="91" xr:uid="{632CE022-D767-47BC-9D85-843C74ED8214}"/>
    <cellStyle name="40% - Ênfase2 4 2" xfId="697" xr:uid="{FCBBE97F-2D62-4C81-A9EE-E1B8AA993E8E}"/>
    <cellStyle name="40% - Ênfase2 4 2 2" xfId="1300" xr:uid="{D7604B1F-EAC7-4B01-853B-7E251E43E4E8}"/>
    <cellStyle name="40% - Ênfase2 4 2 2 2" xfId="3152" xr:uid="{BBB81E56-7045-4219-B99F-A6DC2A8379FF}"/>
    <cellStyle name="40% - Ênfase2 4 2 3" xfId="2225" xr:uid="{EC88EDD0-0056-4531-978F-855660E517E0}"/>
    <cellStyle name="40% - Ênfase2 4 3" xfId="373" xr:uid="{53EDF3A8-1A6A-443B-A6E2-2FF32D75ACA5}"/>
    <cellStyle name="40% - Ênfase2 4 3 2" xfId="1705" xr:uid="{68EE1C77-451F-4E0F-AAAB-49DB91C9F1FB}"/>
    <cellStyle name="40% - Ênfase2 4 3 2 2" xfId="3518" xr:uid="{C9A4329D-04E9-4F5C-A7D9-721817259465}"/>
    <cellStyle name="40% - Ênfase2 4 3 3" xfId="2630" xr:uid="{A31F876F-B687-4C4F-A67E-442F4BED79EC}"/>
    <cellStyle name="40% - Ênfase2 4 4" xfId="978" xr:uid="{5C5FDAE4-C3A6-4F8C-BD41-22EFC4E91C2F}"/>
    <cellStyle name="40% - Ênfase2 4 4 2" xfId="2830" xr:uid="{F644FA5F-EC74-4AAA-A5AB-F7EAE72A9D00}"/>
    <cellStyle name="40% - Ênfase2 4 5" xfId="1903" xr:uid="{99B37583-9AC7-4465-BEF5-E56414419C9B}"/>
    <cellStyle name="40% - Ênfase2 5" xfId="111" xr:uid="{0BFF451B-5FFC-4D92-A491-B8D058351AA1}"/>
    <cellStyle name="40% - Ênfase2 5 2" xfId="717" xr:uid="{1CF23BD0-89DE-4DD8-9342-4F429F8A23E3}"/>
    <cellStyle name="40% - Ênfase2 5 2 2" xfId="1320" xr:uid="{2505AAC0-D16C-4F7A-AEB7-01EDE93CAC30}"/>
    <cellStyle name="40% - Ênfase2 5 2 2 2" xfId="3172" xr:uid="{6B085880-1827-4F7F-8B6F-D524CE9DC620}"/>
    <cellStyle name="40% - Ênfase2 5 2 3" xfId="2245" xr:uid="{BFD9FACC-1C81-453C-901C-3DBD9BA266D6}"/>
    <cellStyle name="40% - Ênfase2 5 3" xfId="393" xr:uid="{E431D38C-0042-490C-848B-3450362B917B}"/>
    <cellStyle name="40% - Ênfase2 5 3 2" xfId="1704" xr:uid="{06E657EA-C09F-43A9-928A-8F10EB8E5291}"/>
    <cellStyle name="40% - Ênfase2 5 3 2 2" xfId="3517" xr:uid="{CCF5CFA2-69C0-4CDA-98E4-108D090A0A7C}"/>
    <cellStyle name="40% - Ênfase2 5 3 3" xfId="2629" xr:uid="{7B837951-C9B4-430C-BC93-6D0DD16E26E7}"/>
    <cellStyle name="40% - Ênfase2 5 4" xfId="998" xr:uid="{F3E1332C-BE91-46C9-ABF6-D54B6B487CED}"/>
    <cellStyle name="40% - Ênfase2 5 4 2" xfId="2850" xr:uid="{036496AB-0E83-4288-9504-1FC8B65BF031}"/>
    <cellStyle name="40% - Ênfase2 5 5" xfId="1923" xr:uid="{A9C6CBB4-633B-410A-93D5-C06735E21F85}"/>
    <cellStyle name="40% - Ênfase2 6" xfId="131" xr:uid="{D96A3368-7A26-4A74-8606-49C288E0EC51}"/>
    <cellStyle name="40% - Ênfase2 6 2" xfId="737" xr:uid="{30065616-3F57-4E1B-AA57-26CE3FEBB21A}"/>
    <cellStyle name="40% - Ênfase2 6 2 2" xfId="1340" xr:uid="{9CFF03C7-E4E1-4982-8EB2-58AACDE8208F}"/>
    <cellStyle name="40% - Ênfase2 6 2 2 2" xfId="3192" xr:uid="{AC257AE2-4F6A-480F-9AC3-C008BDB34FE2}"/>
    <cellStyle name="40% - Ênfase2 6 2 3" xfId="2265" xr:uid="{FEE8E860-0A30-4EF5-9D94-DEE7267FB255}"/>
    <cellStyle name="40% - Ênfase2 6 3" xfId="413" xr:uid="{6E91DBF4-24BC-4F4B-93D1-CD2DADAEC318}"/>
    <cellStyle name="40% - Ênfase2 6 3 2" xfId="1756" xr:uid="{D19AE4C4-4C0E-4100-9E12-2C3E4ACE01B9}"/>
    <cellStyle name="40% - Ênfase2 6 3 2 2" xfId="3569" xr:uid="{E1D16CAF-2E3D-43B3-8ED6-FD4CAED4BC3E}"/>
    <cellStyle name="40% - Ênfase2 6 3 3" xfId="2681" xr:uid="{2DB200D4-A3D9-4302-B037-73B8CAC09245}"/>
    <cellStyle name="40% - Ênfase2 6 4" xfId="1018" xr:uid="{C900E839-B87F-4FC0-9FDA-F0F333DCA8F4}"/>
    <cellStyle name="40% - Ênfase2 6 4 2" xfId="2870" xr:uid="{86AAE54E-46F9-4AA2-9423-9AC6E038C9EB}"/>
    <cellStyle name="40% - Ênfase2 6 5" xfId="1943" xr:uid="{E335266F-0362-4E62-BAE9-A310D67C5C70}"/>
    <cellStyle name="40% - Ênfase2 7" xfId="151" xr:uid="{9488F101-49D5-46F3-9F30-967BB007565F}"/>
    <cellStyle name="40% - Ênfase2 7 2" xfId="757" xr:uid="{AD5B9522-66CF-4E2E-B363-0070E1BF2A05}"/>
    <cellStyle name="40% - Ênfase2 7 2 2" xfId="1360" xr:uid="{E04E2D63-755F-462A-8710-AFFF8113ED44}"/>
    <cellStyle name="40% - Ênfase2 7 2 2 2" xfId="3212" xr:uid="{8558D1E1-5360-4200-85DB-28B6D2AF9A03}"/>
    <cellStyle name="40% - Ênfase2 7 2 3" xfId="2285" xr:uid="{1ABC4423-8CD5-4E11-AF47-5912459E978F}"/>
    <cellStyle name="40% - Ênfase2 7 3" xfId="433" xr:uid="{606D5B5E-09DB-44F1-A429-1DD2E5BA6FFA}"/>
    <cellStyle name="40% - Ênfase2 7 3 2" xfId="1781" xr:uid="{1BA72BA1-C65C-4DCF-AB70-965E0D1A4C6B}"/>
    <cellStyle name="40% - Ênfase2 7 3 2 2" xfId="3594" xr:uid="{9DECE45D-2747-4597-AE21-33C06B05CCAB}"/>
    <cellStyle name="40% - Ênfase2 7 3 3" xfId="2706" xr:uid="{DB50EFDD-9465-479C-9C63-160CE4F060CA}"/>
    <cellStyle name="40% - Ênfase2 7 4" xfId="1038" xr:uid="{F50A0AD2-15FC-44B0-8A33-A344E867130F}"/>
    <cellStyle name="40% - Ênfase2 7 4 2" xfId="2890" xr:uid="{2DE075D9-63DD-44A3-A12E-DE599C2BD393}"/>
    <cellStyle name="40% - Ênfase2 7 5" xfId="1963" xr:uid="{83C9E355-D744-4FC5-AEDA-DA023D4FD45E}"/>
    <cellStyle name="40% - Ênfase2 8" xfId="171" xr:uid="{322F19FA-61AB-409D-BE65-249BD740B69C}"/>
    <cellStyle name="40% - Ênfase2 8 2" xfId="777" xr:uid="{D55E5EA5-AA09-4349-AB63-BC7F3A9718B4}"/>
    <cellStyle name="40% - Ênfase2 8 2 2" xfId="1380" xr:uid="{E2634F43-FFEB-420E-8738-1CE45C41BE50}"/>
    <cellStyle name="40% - Ênfase2 8 2 2 2" xfId="3232" xr:uid="{54E677C3-04E9-40A4-A997-6D22A9F69020}"/>
    <cellStyle name="40% - Ênfase2 8 2 3" xfId="2305" xr:uid="{AC47711D-4944-4747-A6E4-68E7741A59E8}"/>
    <cellStyle name="40% - Ênfase2 8 3" xfId="453" xr:uid="{2591C632-E68B-4ADA-A64B-068C2B84BA97}"/>
    <cellStyle name="40% - Ênfase2 8 3 2" xfId="1639" xr:uid="{C9E33CB1-6D91-4C9D-A2A8-199B94A51C0C}"/>
    <cellStyle name="40% - Ênfase2 8 3 2 2" xfId="3491" xr:uid="{79554D93-5FD7-496D-A76D-9E9D399879E1}"/>
    <cellStyle name="40% - Ênfase2 8 3 3" xfId="2564" xr:uid="{3F5C8B6F-EA01-4040-B4C5-46127FC57D05}"/>
    <cellStyle name="40% - Ênfase2 8 4" xfId="1058" xr:uid="{2E8DF9EB-3370-4396-A79C-4FB7078ED0D4}"/>
    <cellStyle name="40% - Ênfase2 8 4 2" xfId="2910" xr:uid="{76183E07-A239-4826-98B7-D640AE3B49F7}"/>
    <cellStyle name="40% - Ênfase2 8 5" xfId="1983" xr:uid="{EF5591B9-BE09-46FB-9FAB-77D15C07AE1C}"/>
    <cellStyle name="40% - Ênfase2 9" xfId="191" xr:uid="{9C7A5921-82C4-4D27-AC9E-04EF1BE0B69F}"/>
    <cellStyle name="40% - Ênfase2 9 2" xfId="797" xr:uid="{A08B68BE-966D-4748-AF33-0F7097A78AF2}"/>
    <cellStyle name="40% - Ênfase2 9 2 2" xfId="1400" xr:uid="{A049CC87-7F9F-4740-8CC6-DAF295F0C7B8}"/>
    <cellStyle name="40% - Ênfase2 9 2 2 2" xfId="3252" xr:uid="{BCBFA4CA-21E4-4F54-BB41-658BCEB68611}"/>
    <cellStyle name="40% - Ênfase2 9 2 3" xfId="2325" xr:uid="{FD7318CB-6EC2-4C5E-98F0-BE8143BA9C22}"/>
    <cellStyle name="40% - Ênfase2 9 3" xfId="473" xr:uid="{E373575A-3F67-4586-83AB-86CA86B1F28F}"/>
    <cellStyle name="40% - Ênfase2 9 3 2" xfId="1803" xr:uid="{626B6F45-B53B-4F49-8BE9-22F39023C151}"/>
    <cellStyle name="40% - Ênfase2 9 3 2 2" xfId="3616" xr:uid="{8D613FF7-4A49-49E6-BFA6-272B32C2054E}"/>
    <cellStyle name="40% - Ênfase2 9 3 3" xfId="2728" xr:uid="{1F4F7925-BCC2-4A60-BA61-B0782A00160B}"/>
    <cellStyle name="40% - Ênfase2 9 4" xfId="1078" xr:uid="{C2C55BC6-10B4-44F6-AD12-775A25AA0EF6}"/>
    <cellStyle name="40% - Ênfase2 9 4 2" xfId="2930" xr:uid="{A8C7D1F5-D8E4-4F97-A6F8-64A7C0DA3507}"/>
    <cellStyle name="40% - Ênfase2 9 5" xfId="2003" xr:uid="{5FC7FE38-BD88-46D1-8E19-93B4AD3ABC94}"/>
    <cellStyle name="40% - Ênfase3" xfId="28" builtinId="39" customBuiltin="1"/>
    <cellStyle name="40% - Ênfase3 10" xfId="215" xr:uid="{7B2950BA-C79B-4275-9D14-DB18EFE4E51E}"/>
    <cellStyle name="40% - Ênfase3 10 2" xfId="821" xr:uid="{77EF0F69-192C-4BF4-AB27-99F774164A3B}"/>
    <cellStyle name="40% - Ênfase3 10 2 2" xfId="1424" xr:uid="{F4CAC10B-44B7-4BEA-B46B-AA3D17376603}"/>
    <cellStyle name="40% - Ênfase3 10 2 2 2" xfId="3276" xr:uid="{DF6514BE-D073-49FF-8CF9-6EEDA3BBBFA6}"/>
    <cellStyle name="40% - Ênfase3 10 2 3" xfId="2349" xr:uid="{CA691282-184E-432E-8E31-31EE8F4AC501}"/>
    <cellStyle name="40% - Ênfase3 10 3" xfId="497" xr:uid="{17F3FBE1-4F92-4EA1-8C78-FDB578B7E921}"/>
    <cellStyle name="40% - Ênfase3 10 3 2" xfId="1614" xr:uid="{121BE612-ED1D-422F-B750-B2E083A23927}"/>
    <cellStyle name="40% - Ênfase3 10 3 2 2" xfId="3466" xr:uid="{6A3B88EF-F15A-46D7-BCE8-EB75F8416DCA}"/>
    <cellStyle name="40% - Ênfase3 10 3 3" xfId="2539" xr:uid="{55936C2B-C0A0-4EAC-B9C0-96DBEA91D879}"/>
    <cellStyle name="40% - Ênfase3 10 4" xfId="1102" xr:uid="{F2F6C4ED-C948-4322-8AC2-8D34989DECE6}"/>
    <cellStyle name="40% - Ênfase3 10 4 2" xfId="2954" xr:uid="{85E1F525-55F0-419D-9CE6-8A84B1BE6220}"/>
    <cellStyle name="40% - Ênfase3 10 5" xfId="2027" xr:uid="{260CD408-FF9B-40E9-845A-26882AAF5119}"/>
    <cellStyle name="40% - Ênfase3 11" xfId="235" xr:uid="{EE03BEA0-5D93-4EB5-AC6B-15739AA6CCD3}"/>
    <cellStyle name="40% - Ênfase3 11 2" xfId="841" xr:uid="{563A7979-98C1-4610-863D-8E07593B9565}"/>
    <cellStyle name="40% - Ênfase3 11 2 2" xfId="1444" xr:uid="{3124C40B-5F6A-446B-80AE-1ADD3AD8342D}"/>
    <cellStyle name="40% - Ênfase3 11 2 2 2" xfId="3296" xr:uid="{17C9B2F3-84FD-48DD-AA71-37C13EA0E70A}"/>
    <cellStyle name="40% - Ênfase3 11 2 3" xfId="2369" xr:uid="{BCB630B6-E48F-45C6-B5AD-0F1A2A71EA54}"/>
    <cellStyle name="40% - Ênfase3 11 3" xfId="517" xr:uid="{1980D4B3-346F-4B92-B155-1B5CBBE2CA00}"/>
    <cellStyle name="40% - Ênfase3 11 3 2" xfId="1734" xr:uid="{A3026C1C-B961-4712-9743-E1570B26A307}"/>
    <cellStyle name="40% - Ênfase3 11 3 2 2" xfId="3547" xr:uid="{AE48763E-EA66-43A9-B866-C574CF4A971D}"/>
    <cellStyle name="40% - Ênfase3 11 3 3" xfId="2659" xr:uid="{9B53532C-8F7E-4D7E-8264-C21538C8F4E6}"/>
    <cellStyle name="40% - Ênfase3 11 4" xfId="1122" xr:uid="{B4F7CD9E-87BD-4368-93B5-E8ACFD2B0D09}"/>
    <cellStyle name="40% - Ênfase3 11 4 2" xfId="2974" xr:uid="{DF59ADB1-0BA7-4C64-B35F-A06033249F62}"/>
    <cellStyle name="40% - Ênfase3 11 5" xfId="2047" xr:uid="{59289491-E5AF-4C85-8A6A-65549230D568}"/>
    <cellStyle name="40% - Ênfase3 12" xfId="255" xr:uid="{21B54C05-8881-4979-BD57-40C38FE54D4C}"/>
    <cellStyle name="40% - Ênfase3 12 2" xfId="861" xr:uid="{A0358CC3-522C-43BD-A033-C59C5D12A3AE}"/>
    <cellStyle name="40% - Ênfase3 12 2 2" xfId="1464" xr:uid="{B3BC950A-FA2B-43C7-926C-1C0B1BF29396}"/>
    <cellStyle name="40% - Ênfase3 12 2 2 2" xfId="3316" xr:uid="{92A78F5E-3A5B-4B91-9F32-6397D343843A}"/>
    <cellStyle name="40% - Ênfase3 12 2 3" xfId="2389" xr:uid="{3A395A97-0421-4C07-A28C-E985B399A04D}"/>
    <cellStyle name="40% - Ênfase3 12 3" xfId="537" xr:uid="{DACDF3B9-92D6-40F2-BBEE-6CF8F72C236F}"/>
    <cellStyle name="40% - Ênfase3 12 3 2" xfId="1646" xr:uid="{69791916-5797-446F-90FA-5650C67314FB}"/>
    <cellStyle name="40% - Ênfase3 12 3 2 2" xfId="3498" xr:uid="{B22C6487-F34A-4FFC-B7E3-90D298499DA7}"/>
    <cellStyle name="40% - Ênfase3 12 3 3" xfId="2571" xr:uid="{51B96B88-08BD-448D-BDE0-E2141071242A}"/>
    <cellStyle name="40% - Ênfase3 12 4" xfId="1142" xr:uid="{3BB0B2BD-8F02-4A0D-9C14-A69F74F6DD01}"/>
    <cellStyle name="40% - Ênfase3 12 4 2" xfId="2994" xr:uid="{4A2E11E9-3CD2-4848-9D43-BACAFDB62B26}"/>
    <cellStyle name="40% - Ênfase3 12 5" xfId="2067" xr:uid="{3C820F6E-DDDB-4A3F-B1BE-D21C726614B8}"/>
    <cellStyle name="40% - Ênfase3 13" xfId="275" xr:uid="{5349ED36-C2FD-4C33-8763-1B968FD79217}"/>
    <cellStyle name="40% - Ênfase3 13 2" xfId="881" xr:uid="{B6557573-9F7B-4471-99E6-464E97DC7EBB}"/>
    <cellStyle name="40% - Ênfase3 13 2 2" xfId="1484" xr:uid="{5A8A3A26-3816-496C-A78A-2748E7501959}"/>
    <cellStyle name="40% - Ênfase3 13 2 2 2" xfId="3336" xr:uid="{143E70E8-271F-4EFF-AF36-DD449993929B}"/>
    <cellStyle name="40% - Ênfase3 13 2 3" xfId="2409" xr:uid="{B7BF6FFC-CAE0-4AAB-962C-5F5CF29842D8}"/>
    <cellStyle name="40% - Ênfase3 13 3" xfId="557" xr:uid="{54FDA111-86AE-4E46-81C3-F43D5A5961B8}"/>
    <cellStyle name="40% - Ênfase3 13 3 2" xfId="1805" xr:uid="{01B6AFB6-AF72-46C6-9A75-EF77E9545B80}"/>
    <cellStyle name="40% - Ênfase3 13 3 2 2" xfId="3618" xr:uid="{0D02AA02-BA43-42E2-AC7A-203E7C59F4C3}"/>
    <cellStyle name="40% - Ênfase3 13 3 3" xfId="2730" xr:uid="{9C7BD1D9-9877-4DA4-8326-9A4E3405BB7C}"/>
    <cellStyle name="40% - Ênfase3 13 4" xfId="1162" xr:uid="{3EECFA28-0909-48B1-B0E3-132520B4EE5A}"/>
    <cellStyle name="40% - Ênfase3 13 4 2" xfId="3014" xr:uid="{48F6F6AF-3815-4648-8089-0653A98BF9A3}"/>
    <cellStyle name="40% - Ênfase3 13 5" xfId="2087" xr:uid="{D1D1FB06-404B-4C45-87AA-A471203C4955}"/>
    <cellStyle name="40% - Ênfase3 14" xfId="295" xr:uid="{DC89AD65-D6BF-4363-BE1F-8C2522C1625B}"/>
    <cellStyle name="40% - Ênfase3 14 2" xfId="901" xr:uid="{49BD2BF3-1872-4643-A10C-AF479C06A226}"/>
    <cellStyle name="40% - Ênfase3 14 2 2" xfId="1504" xr:uid="{488294A3-5F17-4370-9D57-B745EF95E2D1}"/>
    <cellStyle name="40% - Ênfase3 14 2 2 2" xfId="3356" xr:uid="{140FBF72-8305-4258-A2DD-4425830495DD}"/>
    <cellStyle name="40% - Ênfase3 14 2 3" xfId="2429" xr:uid="{1E0E4F3D-0133-40BA-82D0-2F0C4E5176FF}"/>
    <cellStyle name="40% - Ênfase3 14 3" xfId="577" xr:uid="{2DE52B29-70B1-431E-9674-F93F153EEA05}"/>
    <cellStyle name="40% - Ênfase3 14 3 2" xfId="1636" xr:uid="{A39487CB-1368-4347-98E6-DE51EDB51B5D}"/>
    <cellStyle name="40% - Ênfase3 14 3 2 2" xfId="3488" xr:uid="{BD8DD030-D94A-4072-9354-F8148C031615}"/>
    <cellStyle name="40% - Ênfase3 14 3 3" xfId="2561" xr:uid="{0511DD0C-D761-4520-A699-114D08F5E9DB}"/>
    <cellStyle name="40% - Ênfase3 14 4" xfId="1182" xr:uid="{D7E8019D-3159-4CF9-A534-059353DCB17D}"/>
    <cellStyle name="40% - Ênfase3 14 4 2" xfId="3034" xr:uid="{7E079D20-09D5-4483-9E2F-80FF64924E5B}"/>
    <cellStyle name="40% - Ênfase3 14 5" xfId="2107" xr:uid="{6B6B5933-6539-4142-A519-04517C9BCE7B}"/>
    <cellStyle name="40% - Ênfase3 15" xfId="597" xr:uid="{F92E4B15-1A2B-45F7-808A-F4828BDE162F}"/>
    <cellStyle name="40% - Ênfase3 15 2" xfId="1660" xr:uid="{A712D2EC-6580-4DE7-BB75-4296621FA4F1}"/>
    <cellStyle name="40% - Ênfase3 15 2 2" xfId="2585" xr:uid="{776965F8-2798-48EC-ACAF-48AE321F9C0A}"/>
    <cellStyle name="40% - Ênfase3 15 3" xfId="1202" xr:uid="{6BEE969D-EB68-4C1D-AC2B-2F02638D421D}"/>
    <cellStyle name="40% - Ênfase3 15 3 2" xfId="3054" xr:uid="{5B76E7D4-3D41-4C30-BA97-F7ACF2BFDB21}"/>
    <cellStyle name="40% - Ênfase3 15 4" xfId="2127" xr:uid="{57EA633F-1D07-42C5-B97A-8E74D8710A1F}"/>
    <cellStyle name="40% - Ênfase3 16" xfId="617" xr:uid="{1F85710B-4598-40FE-8B03-13F6280D322A}"/>
    <cellStyle name="40% - Ênfase3 16 2" xfId="1680" xr:uid="{E9934B70-9EE9-4D96-848F-C8B0A5352709}"/>
    <cellStyle name="40% - Ênfase3 16 2 2" xfId="2605" xr:uid="{432C41B8-4CFC-4DE4-859F-76791F74A35A}"/>
    <cellStyle name="40% - Ênfase3 16 3" xfId="1222" xr:uid="{CE1BC5AC-4914-4246-9EC5-F68F387DB625}"/>
    <cellStyle name="40% - Ênfase3 16 3 2" xfId="3074" xr:uid="{E93ADFFA-EE01-414D-86F6-F9F9E5F41004}"/>
    <cellStyle name="40% - Ênfase3 16 4" xfId="2147" xr:uid="{5F94C517-203D-4E91-93E8-59D136A32C36}"/>
    <cellStyle name="40% - Ênfase3 17" xfId="637" xr:uid="{5E1C5C8E-B275-40C0-A531-092AC96EA4CA}"/>
    <cellStyle name="40% - Ênfase3 17 2" xfId="1241" xr:uid="{A25C1905-56BD-451D-AFD8-DF7DBF4410C9}"/>
    <cellStyle name="40% - Ênfase3 17 2 2" xfId="3093" xr:uid="{648206A4-CA4B-4210-8E3C-4B5590677117}"/>
    <cellStyle name="40% - Ênfase3 17 3" xfId="2166" xr:uid="{F407F9D7-884E-4D48-9232-EFE65CB099F3}"/>
    <cellStyle name="40% - Ênfase3 18" xfId="314" xr:uid="{B0E48346-8A45-482A-962A-59B94A4C1068}"/>
    <cellStyle name="40% - Ênfase3 18 2" xfId="1730" xr:uid="{ADB5124A-41FD-42F5-849C-98EBF5DC80FD}"/>
    <cellStyle name="40% - Ênfase3 18 2 2" xfId="3543" xr:uid="{FB01C859-9CFE-4789-91EB-302D7050D314}"/>
    <cellStyle name="40% - Ênfase3 18 3" xfId="2655" xr:uid="{184D8CB5-200D-45B5-8822-6DFAE3C7DEE0}"/>
    <cellStyle name="40% - Ênfase3 19" xfId="919" xr:uid="{D48BCC58-623E-4A3A-A8C1-B4AE95AA8E7C}"/>
    <cellStyle name="40% - Ênfase3 19 2" xfId="2771" xr:uid="{7A51E1B6-DA5F-4CF8-901F-4D52F74CF942}"/>
    <cellStyle name="40% - Ênfase3 2" xfId="54" xr:uid="{34317D80-D37B-4264-A086-BE1C059579B9}"/>
    <cellStyle name="40% - Ênfase3 2 2" xfId="660" xr:uid="{16CB0DB2-915F-4FE1-A73F-5AD39989A7B0}"/>
    <cellStyle name="40% - Ênfase3 2 2 2" xfId="1263" xr:uid="{B5A8EE10-69E8-450F-8A02-88958EE280EF}"/>
    <cellStyle name="40% - Ênfase3 2 2 2 2" xfId="3115" xr:uid="{73D177ED-54A3-4FC9-82E9-9322D3C5A146}"/>
    <cellStyle name="40% - Ênfase3 2 2 3" xfId="2188" xr:uid="{F080EBA3-AF71-492E-B1D0-756C4157A2A0}"/>
    <cellStyle name="40% - Ênfase3 2 3" xfId="336" xr:uid="{72E8AA0F-1CDD-425E-A320-C3735A7721CB}"/>
    <cellStyle name="40% - Ênfase3 2 3 2" xfId="1581" xr:uid="{F781DAAA-F69C-474A-9D7F-23EE4A68E708}"/>
    <cellStyle name="40% - Ênfase3 2 3 2 2" xfId="3433" xr:uid="{A1B966D6-0F1A-43FC-8E1C-B03BDCDDD29F}"/>
    <cellStyle name="40% - Ênfase3 2 3 3" xfId="2506" xr:uid="{26D7DC75-6B6C-4CDB-A39A-3E288CCC5795}"/>
    <cellStyle name="40% - Ênfase3 2 4" xfId="941" xr:uid="{5D5B2D28-50EC-4168-B7AA-D85C8C8BEBC0}"/>
    <cellStyle name="40% - Ênfase3 2 4 2" xfId="2793" xr:uid="{B5D38058-692F-4561-A258-D8E7071257AB}"/>
    <cellStyle name="40% - Ênfase3 2 5" xfId="1866" xr:uid="{42DE38E8-B863-40C6-86C1-6DB460C77E4C}"/>
    <cellStyle name="40% - Ênfase3 20" xfId="1844" xr:uid="{744C9644-FF10-493B-8EEB-EEE0359D7407}"/>
    <cellStyle name="40% - Ênfase3 3" xfId="72" xr:uid="{BCB17C80-884F-4856-8166-1E3985A808C6}"/>
    <cellStyle name="40% - Ênfase3 3 2" xfId="678" xr:uid="{57695811-6A0C-45F9-AB8A-51EA5454E9E9}"/>
    <cellStyle name="40% - Ênfase3 3 2 2" xfId="1281" xr:uid="{98BA04AD-00B9-43D1-9A47-4CCB453AE9AF}"/>
    <cellStyle name="40% - Ênfase3 3 2 2 2" xfId="3133" xr:uid="{A08AB593-F42A-4BBB-85C7-59100C60D6B9}"/>
    <cellStyle name="40% - Ênfase3 3 2 3" xfId="2206" xr:uid="{AD8108F3-8083-45BE-B417-C22BFC35C7B4}"/>
    <cellStyle name="40% - Ênfase3 3 3" xfId="354" xr:uid="{704E0533-BF38-4516-84AD-13F90ECB2A95}"/>
    <cellStyle name="40% - Ênfase3 3 3 2" xfId="1556" xr:uid="{FD088353-21CB-4958-BE8E-3B55CAF578B1}"/>
    <cellStyle name="40% - Ênfase3 3 3 2 2" xfId="3408" xr:uid="{65B7CBA5-AFE7-4966-AECF-E24AECA68542}"/>
    <cellStyle name="40% - Ênfase3 3 3 3" xfId="2481" xr:uid="{42988D47-3168-4901-B3D5-3586A53C6D33}"/>
    <cellStyle name="40% - Ênfase3 3 4" xfId="959" xr:uid="{6F905736-519B-4988-84AA-56CEA269E6C7}"/>
    <cellStyle name="40% - Ênfase3 3 4 2" xfId="2811" xr:uid="{4CACCA96-F603-4719-845C-3E6C261078E7}"/>
    <cellStyle name="40% - Ênfase3 3 5" xfId="1884" xr:uid="{F34C2288-76D3-4856-B8BF-7E06AD1FBE43}"/>
    <cellStyle name="40% - Ênfase3 4" xfId="94" xr:uid="{EAF29AC3-DCCE-4060-A3E7-0C267F3948CC}"/>
    <cellStyle name="40% - Ênfase3 4 2" xfId="700" xr:uid="{7B40216D-D3C9-4DD9-A82D-A0FD3CE8BF8A}"/>
    <cellStyle name="40% - Ênfase3 4 2 2" xfId="1303" xr:uid="{8C9D62BA-3BF4-4CC3-8A58-5BD66CA1C2E5}"/>
    <cellStyle name="40% - Ênfase3 4 2 2 2" xfId="3155" xr:uid="{08BC1B8A-A2A1-4EB2-B1EA-D91294CE5F36}"/>
    <cellStyle name="40% - Ênfase3 4 2 3" xfId="2228" xr:uid="{0D743BD9-FE8B-4A21-B3BA-28EC55B75419}"/>
    <cellStyle name="40% - Ênfase3 4 3" xfId="376" xr:uid="{263BE12C-2C1C-4946-8239-3271EB616D37}"/>
    <cellStyle name="40% - Ênfase3 4 3 2" xfId="1598" xr:uid="{AA1130AE-D5EC-49BE-8E2B-3E9E29ABF488}"/>
    <cellStyle name="40% - Ênfase3 4 3 2 2" xfId="3450" xr:uid="{3A039240-42B7-40B7-9A86-9F19694AC022}"/>
    <cellStyle name="40% - Ênfase3 4 3 3" xfId="2523" xr:uid="{A09EF084-EB2A-4F31-AB20-EAFEFF1CD4B3}"/>
    <cellStyle name="40% - Ênfase3 4 4" xfId="981" xr:uid="{6B510901-7FED-461D-AF56-182904FD3DF2}"/>
    <cellStyle name="40% - Ênfase3 4 4 2" xfId="2833" xr:uid="{8661EB29-7E33-412F-9AA3-E9578D7424F7}"/>
    <cellStyle name="40% - Ênfase3 4 5" xfId="1906" xr:uid="{C008FB22-3B3D-459A-803C-2C877586A679}"/>
    <cellStyle name="40% - Ênfase3 5" xfId="114" xr:uid="{6112C47A-3371-45A9-8A42-E3F39071E8D0}"/>
    <cellStyle name="40% - Ênfase3 5 2" xfId="720" xr:uid="{87183952-AA17-427D-A79B-14F9F0CB8937}"/>
    <cellStyle name="40% - Ênfase3 5 2 2" xfId="1323" xr:uid="{55F0EDB5-A619-41C6-A4C6-3413695CF214}"/>
    <cellStyle name="40% - Ênfase3 5 2 2 2" xfId="3175" xr:uid="{B32BE920-405E-4334-A913-DF1D31F40C82}"/>
    <cellStyle name="40% - Ênfase3 5 2 3" xfId="2248" xr:uid="{D396B66D-A85B-43C7-8642-41DDB5D48041}"/>
    <cellStyle name="40% - Ênfase3 5 3" xfId="396" xr:uid="{6768EAE8-0F42-4147-B3BC-10E96AFE12E5}"/>
    <cellStyle name="40% - Ênfase3 5 3 2" xfId="1628" xr:uid="{66C12775-3831-44BC-AD76-C4E9DB69E7CD}"/>
    <cellStyle name="40% - Ênfase3 5 3 2 2" xfId="3480" xr:uid="{5D44E5F8-13A5-49D4-9D01-F998725AFD21}"/>
    <cellStyle name="40% - Ênfase3 5 3 3" xfId="2553" xr:uid="{6DC56D05-CECC-428B-B460-0751E23EB66B}"/>
    <cellStyle name="40% - Ênfase3 5 4" xfId="1001" xr:uid="{27F19163-62F7-4553-8A77-12A5CB1FD516}"/>
    <cellStyle name="40% - Ênfase3 5 4 2" xfId="2853" xr:uid="{56A933A5-B301-4393-9D2B-651285B6C830}"/>
    <cellStyle name="40% - Ênfase3 5 5" xfId="1926" xr:uid="{8E90B370-9118-49B6-9828-2280373D7E6E}"/>
    <cellStyle name="40% - Ênfase3 6" xfId="134" xr:uid="{32799108-BE8D-4F88-BAF7-00EA9CCC1C05}"/>
    <cellStyle name="40% - Ênfase3 6 2" xfId="740" xr:uid="{C95F9784-115E-4468-B345-98FA99DA6A17}"/>
    <cellStyle name="40% - Ênfase3 6 2 2" xfId="1343" xr:uid="{A7842269-8D51-422D-A318-C7D19CEACD9C}"/>
    <cellStyle name="40% - Ênfase3 6 2 2 2" xfId="3195" xr:uid="{A1F727B3-1294-4E47-A535-DC33AE361C92}"/>
    <cellStyle name="40% - Ênfase3 6 2 3" xfId="2268" xr:uid="{FA6D1C23-155C-413F-B5C0-69F1CE15F3CB}"/>
    <cellStyle name="40% - Ênfase3 6 3" xfId="416" xr:uid="{97A09E15-6368-4673-A680-2F843D9EFA1C}"/>
    <cellStyle name="40% - Ênfase3 6 3 2" xfId="1612" xr:uid="{4F08F30C-2372-4D16-B6B7-E627C94B707F}"/>
    <cellStyle name="40% - Ênfase3 6 3 2 2" xfId="3464" xr:uid="{793FD655-311B-4853-A604-7258C9893C62}"/>
    <cellStyle name="40% - Ênfase3 6 3 3" xfId="2537" xr:uid="{3BD155CD-E207-4D2E-B56C-725D3FD0A4C7}"/>
    <cellStyle name="40% - Ênfase3 6 4" xfId="1021" xr:uid="{79BAB026-4C98-4E46-A86E-BC539E6686C4}"/>
    <cellStyle name="40% - Ênfase3 6 4 2" xfId="2873" xr:uid="{FD91DAE6-C694-4073-B740-AAFB83B5EE32}"/>
    <cellStyle name="40% - Ênfase3 6 5" xfId="1946" xr:uid="{23D5B173-70B9-4821-BAA6-322FB9A4CA07}"/>
    <cellStyle name="40% - Ênfase3 7" xfId="154" xr:uid="{8F1CA208-CD53-4686-BB26-3849A5722201}"/>
    <cellStyle name="40% - Ênfase3 7 2" xfId="760" xr:uid="{80A2E249-7E13-4446-89A0-9C87B09805DB}"/>
    <cellStyle name="40% - Ênfase3 7 2 2" xfId="1363" xr:uid="{9B96518F-8595-4E27-B9D4-DB774EE14D40}"/>
    <cellStyle name="40% - Ênfase3 7 2 2 2" xfId="3215" xr:uid="{0856B327-9A98-406E-AE08-9CCB44E82228}"/>
    <cellStyle name="40% - Ênfase3 7 2 3" xfId="2288" xr:uid="{908AF98B-D275-4803-832D-C1AD9CBAD8DE}"/>
    <cellStyle name="40% - Ênfase3 7 3" xfId="436" xr:uid="{712B7FC9-6952-436C-9C2F-2B66EF0E77E4}"/>
    <cellStyle name="40% - Ênfase3 7 3 2" xfId="1532" xr:uid="{2C050D82-61AC-40FB-9F38-AE58A44DC936}"/>
    <cellStyle name="40% - Ênfase3 7 3 2 2" xfId="3384" xr:uid="{477CAFEE-3DDA-4243-B3DB-2EA3A0B34DBD}"/>
    <cellStyle name="40% - Ênfase3 7 3 3" xfId="2457" xr:uid="{135EF3AD-9569-4809-9FBF-4779AAD7EBF9}"/>
    <cellStyle name="40% - Ênfase3 7 4" xfId="1041" xr:uid="{FFBA2E24-8DD9-48F5-93B8-73F6B1FFF38B}"/>
    <cellStyle name="40% - Ênfase3 7 4 2" xfId="2893" xr:uid="{489C9799-4E7C-4164-9C34-23ECD1E63A84}"/>
    <cellStyle name="40% - Ênfase3 7 5" xfId="1966" xr:uid="{AD67B28C-8226-471B-A0EC-138555CDD26B}"/>
    <cellStyle name="40% - Ênfase3 8" xfId="174" xr:uid="{C8335F2E-481F-40DE-B066-D7315C466635}"/>
    <cellStyle name="40% - Ênfase3 8 2" xfId="780" xr:uid="{7D29644B-CEF9-42F0-9427-B6828EAF85DE}"/>
    <cellStyle name="40% - Ênfase3 8 2 2" xfId="1383" xr:uid="{566D211C-4959-4082-B5F3-8F9F78678150}"/>
    <cellStyle name="40% - Ênfase3 8 2 2 2" xfId="3235" xr:uid="{CAA28A04-9176-4976-813D-91CB59BEA9D8}"/>
    <cellStyle name="40% - Ênfase3 8 2 3" xfId="2308" xr:uid="{79641B53-F693-42B7-8F90-83EAAB1EF1A4}"/>
    <cellStyle name="40% - Ênfase3 8 3" xfId="456" xr:uid="{76D649E9-100F-4666-91FD-919A0B79B822}"/>
    <cellStyle name="40% - Ênfase3 8 3 2" xfId="1759" xr:uid="{8B18D3C9-ADA6-4462-A1AA-C19BDCFC9BF3}"/>
    <cellStyle name="40% - Ênfase3 8 3 2 2" xfId="3572" xr:uid="{833B64BA-C521-4512-AF50-F3C96CBAC090}"/>
    <cellStyle name="40% - Ênfase3 8 3 3" xfId="2684" xr:uid="{A7C7CC1E-4201-41D3-9B76-60B63A805E0A}"/>
    <cellStyle name="40% - Ênfase3 8 4" xfId="1061" xr:uid="{C4DDEF47-55AB-4BE9-90FB-192A506A4DBF}"/>
    <cellStyle name="40% - Ênfase3 8 4 2" xfId="2913" xr:uid="{2E5109ED-B8C2-4CD4-A575-197B169C20A8}"/>
    <cellStyle name="40% - Ênfase3 8 5" xfId="1986" xr:uid="{BF5E1302-50CD-4CE2-8382-700CEC4A0152}"/>
    <cellStyle name="40% - Ênfase3 9" xfId="194" xr:uid="{EDC21DFE-441E-4F4F-B57F-B7562C633459}"/>
    <cellStyle name="40% - Ênfase3 9 2" xfId="800" xr:uid="{4539B764-8A68-484B-B9AD-7248C83FB55D}"/>
    <cellStyle name="40% - Ênfase3 9 2 2" xfId="1403" xr:uid="{EB4C952B-1DB8-4918-9263-5663355B4689}"/>
    <cellStyle name="40% - Ênfase3 9 2 2 2" xfId="3255" xr:uid="{B4C4D383-BB26-44A3-9BFD-BAEAFAFC3106}"/>
    <cellStyle name="40% - Ênfase3 9 2 3" xfId="2328" xr:uid="{E55CC854-52C2-4BA5-A175-7D7D41664E54}"/>
    <cellStyle name="40% - Ênfase3 9 3" xfId="476" xr:uid="{950C17AB-98AC-4AD7-AF4B-657211E62594}"/>
    <cellStyle name="40% - Ênfase3 9 3 2" xfId="1703" xr:uid="{C07C5B27-EBB0-46B5-AA7B-50484CB782BB}"/>
    <cellStyle name="40% - Ênfase3 9 3 2 2" xfId="3516" xr:uid="{668E2ACF-3703-49C4-B509-83E6A67769CC}"/>
    <cellStyle name="40% - Ênfase3 9 3 3" xfId="2628" xr:uid="{C9672E80-5AA7-41D9-BF1F-77A4BF464E82}"/>
    <cellStyle name="40% - Ênfase3 9 4" xfId="1081" xr:uid="{0DCC36AC-4125-4E7B-9504-96AD704A6E27}"/>
    <cellStyle name="40% - Ênfase3 9 4 2" xfId="2933" xr:uid="{10B090B0-411B-4764-A36D-06B7293F2CF0}"/>
    <cellStyle name="40% - Ênfase3 9 5" xfId="2006" xr:uid="{F9DD441C-1435-4356-ABF9-BAA8E696DE64}"/>
    <cellStyle name="40% - Ênfase4" xfId="32" builtinId="43" customBuiltin="1"/>
    <cellStyle name="40% - Ênfase4 10" xfId="218" xr:uid="{4C5DCF16-8044-4D68-B5BD-5BF8E5FB4FF9}"/>
    <cellStyle name="40% - Ênfase4 10 2" xfId="824" xr:uid="{2A34730E-6179-40A2-8E16-8F36BC1A4925}"/>
    <cellStyle name="40% - Ênfase4 10 2 2" xfId="1427" xr:uid="{A4C0346E-914F-446F-93C3-A601B1403CF0}"/>
    <cellStyle name="40% - Ênfase4 10 2 2 2" xfId="3279" xr:uid="{94A558D0-4471-4EDA-9D8F-168AE5A7F3C9}"/>
    <cellStyle name="40% - Ênfase4 10 2 3" xfId="2352" xr:uid="{7B4BFDA7-2CC8-4709-9AD8-36F2C5960334}"/>
    <cellStyle name="40% - Ênfase4 10 3" xfId="500" xr:uid="{251151C2-B603-46D4-A7DC-EA3C09201B28}"/>
    <cellStyle name="40% - Ênfase4 10 3 2" xfId="1540" xr:uid="{D7C975A1-BB33-49F1-932F-F3D074866A30}"/>
    <cellStyle name="40% - Ênfase4 10 3 2 2" xfId="3392" xr:uid="{2524A030-9EF1-4869-810C-4A35DE76F92B}"/>
    <cellStyle name="40% - Ênfase4 10 3 3" xfId="2465" xr:uid="{F06125C6-90A5-4D64-86C5-4E74D8858BEA}"/>
    <cellStyle name="40% - Ênfase4 10 4" xfId="1105" xr:uid="{7F4C1C56-BDB9-4549-A9DA-46FE9114111F}"/>
    <cellStyle name="40% - Ênfase4 10 4 2" xfId="2957" xr:uid="{FFCF7413-3334-47A0-85CC-C017BB089F45}"/>
    <cellStyle name="40% - Ênfase4 10 5" xfId="2030" xr:uid="{688AD284-5113-4F1F-B128-60044B405374}"/>
    <cellStyle name="40% - Ênfase4 11" xfId="238" xr:uid="{97AD8C1D-12AA-4D03-A71B-378BB9CF42AF}"/>
    <cellStyle name="40% - Ênfase4 11 2" xfId="844" xr:uid="{9327DCEA-23AA-4031-8894-3818A424F3CD}"/>
    <cellStyle name="40% - Ênfase4 11 2 2" xfId="1447" xr:uid="{101486E0-340B-4EC4-AB97-22DFCC9AC962}"/>
    <cellStyle name="40% - Ênfase4 11 2 2 2" xfId="3299" xr:uid="{E9806F0E-5E48-4DE7-B7F6-B53899939525}"/>
    <cellStyle name="40% - Ênfase4 11 2 3" xfId="2372" xr:uid="{8C165ECE-CA2B-4806-9D7A-42A74BBF9410}"/>
    <cellStyle name="40% - Ênfase4 11 3" xfId="520" xr:uid="{72B8B376-3397-4E16-B63F-ED5E5510DECD}"/>
    <cellStyle name="40% - Ênfase4 11 3 2" xfId="1707" xr:uid="{892E518F-3FEB-489E-B71A-5945D2BD48D3}"/>
    <cellStyle name="40% - Ênfase4 11 3 2 2" xfId="3520" xr:uid="{892AC9EE-7C7E-40A4-8850-493BC213F267}"/>
    <cellStyle name="40% - Ênfase4 11 3 3" xfId="2632" xr:uid="{7AE80A9F-BDE9-4ECB-981A-3E9D963E6D9D}"/>
    <cellStyle name="40% - Ênfase4 11 4" xfId="1125" xr:uid="{054D9715-D46F-4CA8-A6AB-E36F8C2F7D6B}"/>
    <cellStyle name="40% - Ênfase4 11 4 2" xfId="2977" xr:uid="{6A387791-AEDF-46CE-BF59-3D29189D5B4C}"/>
    <cellStyle name="40% - Ênfase4 11 5" xfId="2050" xr:uid="{D5E3F43C-56E6-43BC-9823-12A2C08D0CC8}"/>
    <cellStyle name="40% - Ênfase4 12" xfId="258" xr:uid="{53A0DC36-80AD-4001-B80A-D82A894B152A}"/>
    <cellStyle name="40% - Ênfase4 12 2" xfId="864" xr:uid="{9F2D4102-D92B-4694-AF2B-67610D4BB7F7}"/>
    <cellStyle name="40% - Ênfase4 12 2 2" xfId="1467" xr:uid="{5DCD3CC4-FA3C-4508-B46C-2D8B5EB607E9}"/>
    <cellStyle name="40% - Ênfase4 12 2 2 2" xfId="3319" xr:uid="{4B67C267-DE08-46E1-B84F-A64DC310E30C}"/>
    <cellStyle name="40% - Ênfase4 12 2 3" xfId="2392" xr:uid="{A6A1640B-70E4-438C-8152-E193735D1EE4}"/>
    <cellStyle name="40% - Ênfase4 12 3" xfId="540" xr:uid="{22D81E99-1A6B-40FA-A9D5-9C5609CAA311}"/>
    <cellStyle name="40% - Ênfase4 12 3 2" xfId="1831" xr:uid="{04CF6D76-05D1-438A-B7D4-72767B2915F0}"/>
    <cellStyle name="40% - Ênfase4 12 3 2 2" xfId="3644" xr:uid="{78D2C57D-E971-4ACD-9A65-EA2DB108E1C9}"/>
    <cellStyle name="40% - Ênfase4 12 3 3" xfId="2756" xr:uid="{7A2EDF44-133B-4FC7-B81E-0766CE256DD6}"/>
    <cellStyle name="40% - Ênfase4 12 4" xfId="1145" xr:uid="{730E9E9C-9135-4418-8B1C-1B7463ADB6E1}"/>
    <cellStyle name="40% - Ênfase4 12 4 2" xfId="2997" xr:uid="{28183426-BBC9-4735-9C46-D5F047B3198E}"/>
    <cellStyle name="40% - Ênfase4 12 5" xfId="2070" xr:uid="{A2F33915-04EA-4DA8-9133-CE2838A75B96}"/>
    <cellStyle name="40% - Ênfase4 13" xfId="278" xr:uid="{7F8BCE78-F0B6-4989-919B-8443D7432171}"/>
    <cellStyle name="40% - Ênfase4 13 2" xfId="884" xr:uid="{0FFFA6DF-0466-401F-8301-0BB842A6642A}"/>
    <cellStyle name="40% - Ênfase4 13 2 2" xfId="1487" xr:uid="{F8561576-E8B3-4D5E-91D5-09BCCAEA9E35}"/>
    <cellStyle name="40% - Ênfase4 13 2 2 2" xfId="3339" xr:uid="{843269E9-7A39-4D28-A51A-BB71CB438045}"/>
    <cellStyle name="40% - Ênfase4 13 2 3" xfId="2412" xr:uid="{E4FDCB58-9DA9-417A-B548-C862123D3808}"/>
    <cellStyle name="40% - Ênfase4 13 3" xfId="560" xr:uid="{F53BBB8A-28D4-49FA-B804-300D3A49526E}"/>
    <cellStyle name="40% - Ênfase4 13 3 2" xfId="1743" xr:uid="{E175A468-D7A3-426F-878C-7D1DC679BC09}"/>
    <cellStyle name="40% - Ênfase4 13 3 2 2" xfId="3556" xr:uid="{C274E1D7-29C4-432A-BEA2-17F7115FF9C1}"/>
    <cellStyle name="40% - Ênfase4 13 3 3" xfId="2668" xr:uid="{DF4D2A0B-3B54-4052-9FAC-99DC0BB1D916}"/>
    <cellStyle name="40% - Ênfase4 13 4" xfId="1165" xr:uid="{CBAF71AF-FAB8-41CA-9316-A7CB5E538A70}"/>
    <cellStyle name="40% - Ênfase4 13 4 2" xfId="3017" xr:uid="{FB57D45F-C5C7-45D0-87C3-ECAF8A38236D}"/>
    <cellStyle name="40% - Ênfase4 13 5" xfId="2090" xr:uid="{68BC8F12-7109-41FA-BB0E-BE83DEA60CB5}"/>
    <cellStyle name="40% - Ênfase4 14" xfId="298" xr:uid="{D1D72439-0E56-42C8-83FE-DA37C8331CDC}"/>
    <cellStyle name="40% - Ênfase4 14 2" xfId="904" xr:uid="{CE21CB7B-30FB-4FE8-922F-3221134D8CFF}"/>
    <cellStyle name="40% - Ênfase4 14 2 2" xfId="1507" xr:uid="{2309C551-785B-4ED5-BFAE-43BDD0DB090B}"/>
    <cellStyle name="40% - Ênfase4 14 2 2 2" xfId="3359" xr:uid="{E8F48DA8-C56E-4797-A4A7-FFE6476774A4}"/>
    <cellStyle name="40% - Ênfase4 14 2 3" xfId="2432" xr:uid="{8E6BA340-8647-4796-A8B3-5CDB96818D5A}"/>
    <cellStyle name="40% - Ênfase4 14 3" xfId="580" xr:uid="{9BB37E7B-4930-44D0-9C9D-DC57DF4A9B61}"/>
    <cellStyle name="40% - Ênfase4 14 3 2" xfId="1788" xr:uid="{C18BEBA7-81E2-4B46-BB6B-85446B529729}"/>
    <cellStyle name="40% - Ênfase4 14 3 2 2" xfId="3601" xr:uid="{0B0B3BDB-A29D-408F-9A47-2DFC5C8D96D6}"/>
    <cellStyle name="40% - Ênfase4 14 3 3" xfId="2713" xr:uid="{8735747E-30E1-47F5-945F-E4CEC62D4286}"/>
    <cellStyle name="40% - Ênfase4 14 4" xfId="1185" xr:uid="{B99E4CAD-20CC-4329-B8E4-BDC582AAA427}"/>
    <cellStyle name="40% - Ênfase4 14 4 2" xfId="3037" xr:uid="{7D7863CE-344B-492D-9655-090B2CFE676E}"/>
    <cellStyle name="40% - Ênfase4 14 5" xfId="2110" xr:uid="{F60AF272-C54A-4BC3-BCDA-9BF737C5E135}"/>
    <cellStyle name="40% - Ênfase4 15" xfId="600" xr:uid="{388EA917-7A66-474E-91C8-71EF07AD5BFD}"/>
    <cellStyle name="40% - Ênfase4 15 2" xfId="1663" xr:uid="{9892F748-5D27-42B2-B69B-F552AD1F92DE}"/>
    <cellStyle name="40% - Ênfase4 15 2 2" xfId="2588" xr:uid="{87B02B90-CC98-4DA3-8EC7-DC672D4863FB}"/>
    <cellStyle name="40% - Ênfase4 15 3" xfId="1205" xr:uid="{16DD2611-756C-4921-B30B-51C80A731748}"/>
    <cellStyle name="40% - Ênfase4 15 3 2" xfId="3057" xr:uid="{FDDB5F23-1F8C-42AB-8A03-4FDB7F3E7C9C}"/>
    <cellStyle name="40% - Ênfase4 15 4" xfId="2130" xr:uid="{3478F878-989D-40B9-925A-AD5D54064A91}"/>
    <cellStyle name="40% - Ênfase4 16" xfId="620" xr:uid="{69960F01-D289-40E5-952F-0BC1DC4CA4E6}"/>
    <cellStyle name="40% - Ênfase4 16 2" xfId="1683" xr:uid="{E9B0037B-6C5F-41F9-8171-6C07E8A80645}"/>
    <cellStyle name="40% - Ênfase4 16 2 2" xfId="2608" xr:uid="{18CFB41F-ECC8-4F26-B6A6-BDDAF3683B69}"/>
    <cellStyle name="40% - Ênfase4 16 3" xfId="1225" xr:uid="{A0AA7256-EC0B-4F14-BCC3-234449C4CADF}"/>
    <cellStyle name="40% - Ênfase4 16 3 2" xfId="3077" xr:uid="{063412F6-2C69-4068-8BE2-E4D6C91F8731}"/>
    <cellStyle name="40% - Ênfase4 16 4" xfId="2150" xr:uid="{7E4F7DC2-78EE-4F88-9202-67AC9C1C9225}"/>
    <cellStyle name="40% - Ênfase4 17" xfId="640" xr:uid="{4FA3A290-7F11-4361-8282-0CE870B0D265}"/>
    <cellStyle name="40% - Ênfase4 17 2" xfId="1244" xr:uid="{65B0342C-0379-4F55-B9FA-FCB430BEBFE2}"/>
    <cellStyle name="40% - Ênfase4 17 2 2" xfId="3096" xr:uid="{734A53B1-05EB-43F4-9D04-08156B1452C1}"/>
    <cellStyle name="40% - Ênfase4 17 3" xfId="2169" xr:uid="{7E87A448-3DB3-43DA-8C51-FFDFA7AE3F51}"/>
    <cellStyle name="40% - Ênfase4 18" xfId="317" xr:uid="{F11119B1-0D7A-4CCE-8E35-CCB8CB84E690}"/>
    <cellStyle name="40% - Ênfase4 18 2" xfId="1613" xr:uid="{DC109D07-E74A-4ECB-84BF-8374BD733BC1}"/>
    <cellStyle name="40% - Ênfase4 18 2 2" xfId="3465" xr:uid="{AEB57835-FA95-4446-ACC2-A8BD3CABEBF9}"/>
    <cellStyle name="40% - Ênfase4 18 3" xfId="2538" xr:uid="{077C1927-5AF0-426F-AE4C-861DC929FE38}"/>
    <cellStyle name="40% - Ênfase4 19" xfId="922" xr:uid="{2AD63B87-6B6B-4427-9434-34EFADC2DED8}"/>
    <cellStyle name="40% - Ênfase4 19 2" xfId="2774" xr:uid="{33A8BFD0-8D1D-4628-809C-92D4C71C89E5}"/>
    <cellStyle name="40% - Ênfase4 2" xfId="57" xr:uid="{9B4947D8-F219-410D-850C-C8C694E1741D}"/>
    <cellStyle name="40% - Ênfase4 2 2" xfId="663" xr:uid="{EB00EB99-10DE-4CC4-910B-BFE21D0334F8}"/>
    <cellStyle name="40% - Ênfase4 2 2 2" xfId="1266" xr:uid="{4DF0BFDB-D9E5-455B-AD7C-6FFD75DCB069}"/>
    <cellStyle name="40% - Ênfase4 2 2 2 2" xfId="3118" xr:uid="{D9F3D067-D915-435A-BCA6-8FE71AABA5F2}"/>
    <cellStyle name="40% - Ênfase4 2 2 3" xfId="2191" xr:uid="{DBA53361-99FD-4E06-A63C-7CE19D954F27}"/>
    <cellStyle name="40% - Ênfase4 2 3" xfId="339" xr:uid="{DE388013-247E-4B4A-B957-4F08B58B40EC}"/>
    <cellStyle name="40% - Ênfase4 2 3 2" xfId="1828" xr:uid="{4AF98760-3375-4092-920C-0D7EF032A69E}"/>
    <cellStyle name="40% - Ênfase4 2 3 2 2" xfId="3641" xr:uid="{090C7BDE-0F90-446E-AE60-2156B4608664}"/>
    <cellStyle name="40% - Ênfase4 2 3 3" xfId="2753" xr:uid="{5B4EA9A5-996C-446F-B632-935CC36A0E73}"/>
    <cellStyle name="40% - Ênfase4 2 4" xfId="944" xr:uid="{B83D380E-69F9-40A0-B3DD-F30FE4430039}"/>
    <cellStyle name="40% - Ênfase4 2 4 2" xfId="2796" xr:uid="{EE5F280C-9B95-4DB9-B45A-035A250523CE}"/>
    <cellStyle name="40% - Ênfase4 2 5" xfId="1869" xr:uid="{51950831-588C-4DBE-A803-14DD918FA327}"/>
    <cellStyle name="40% - Ênfase4 20" xfId="1847" xr:uid="{4689A0CF-7710-454B-8842-4F2E6EC68213}"/>
    <cellStyle name="40% - Ênfase4 3" xfId="75" xr:uid="{AC141FA4-8539-484C-AC36-5921559B6067}"/>
    <cellStyle name="40% - Ênfase4 3 2" xfId="681" xr:uid="{09ED7B9E-0909-4BE3-8C89-173B2E489A44}"/>
    <cellStyle name="40% - Ênfase4 3 2 2" xfId="1284" xr:uid="{87C79D1B-5072-455E-A7C0-D0F841BD27DE}"/>
    <cellStyle name="40% - Ênfase4 3 2 2 2" xfId="3136" xr:uid="{FFC4D0BD-BAF0-48BA-A00F-1EFF538F24AD}"/>
    <cellStyle name="40% - Ênfase4 3 2 3" xfId="2209" xr:uid="{FC5C0501-3D8D-4F04-9341-44CCED437761}"/>
    <cellStyle name="40% - Ênfase4 3 3" xfId="357" xr:uid="{1D4A5FF2-4BFA-49C3-B049-79A448C64EC7}"/>
    <cellStyle name="40% - Ênfase4 3 3 2" xfId="1693" xr:uid="{38B1B852-B517-409F-9223-8B1F82A83B68}"/>
    <cellStyle name="40% - Ênfase4 3 3 2 2" xfId="3506" xr:uid="{9B1C9BB5-D7ED-407D-91C2-885BFA04EDB8}"/>
    <cellStyle name="40% - Ênfase4 3 3 3" xfId="2618" xr:uid="{A5754504-F42B-4B28-A7B1-1E03BB6744E6}"/>
    <cellStyle name="40% - Ênfase4 3 4" xfId="962" xr:uid="{C3AD9B88-AF25-4FFB-B2CF-4E55EBF60D6D}"/>
    <cellStyle name="40% - Ênfase4 3 4 2" xfId="2814" xr:uid="{5288F7BD-A02C-49C6-A424-AA5F72621C97}"/>
    <cellStyle name="40% - Ênfase4 3 5" xfId="1887" xr:uid="{652B0F9D-C829-4C04-80B0-6116D8C2D542}"/>
    <cellStyle name="40% - Ênfase4 4" xfId="97" xr:uid="{485579B7-F151-4B69-8AA5-1ACFDF79AFB5}"/>
    <cellStyle name="40% - Ênfase4 4 2" xfId="703" xr:uid="{204968C1-AEE8-42D6-B934-691F94F90795}"/>
    <cellStyle name="40% - Ênfase4 4 2 2" xfId="1306" xr:uid="{46A8F269-6939-476A-A1BE-F78751C6037B}"/>
    <cellStyle name="40% - Ênfase4 4 2 2 2" xfId="3158" xr:uid="{B27D1B34-70EB-45B5-A0F7-6EAE12FDE086}"/>
    <cellStyle name="40% - Ênfase4 4 2 3" xfId="2231" xr:uid="{269802C7-7C0C-487B-9022-070BB1A048E7}"/>
    <cellStyle name="40% - Ênfase4 4 3" xfId="379" xr:uid="{1C0AAD4E-0FC4-4B10-BBD3-FBFEE60B9E6C}"/>
    <cellStyle name="40% - Ênfase4 4 3 2" xfId="1713" xr:uid="{044BC02A-8634-4954-BAA9-EB588D56487D}"/>
    <cellStyle name="40% - Ênfase4 4 3 2 2" xfId="3526" xr:uid="{90BF06F4-43E8-4AEC-BCBE-916EBFEDFF15}"/>
    <cellStyle name="40% - Ênfase4 4 3 3" xfId="2638" xr:uid="{632BE191-13C2-4A14-9E90-E5CBCA3360E9}"/>
    <cellStyle name="40% - Ênfase4 4 4" xfId="984" xr:uid="{6C9CAA0E-5411-4CD0-9BF8-0BF803F10DBC}"/>
    <cellStyle name="40% - Ênfase4 4 4 2" xfId="2836" xr:uid="{9DC40A5C-8DF0-4D61-B682-8AB47F9A3B91}"/>
    <cellStyle name="40% - Ênfase4 4 5" xfId="1909" xr:uid="{ED8CA35C-AC74-4482-90B2-492E58A0F0D1}"/>
    <cellStyle name="40% - Ênfase4 5" xfId="117" xr:uid="{A4900EBD-3656-4EF4-92BF-393A121BB979}"/>
    <cellStyle name="40% - Ênfase4 5 2" xfId="723" xr:uid="{08185879-9CFE-4ED3-BDB9-B7EC1B80D9FA}"/>
    <cellStyle name="40% - Ênfase4 5 2 2" xfId="1326" xr:uid="{B4B29736-127E-4921-B0C8-3D1113DD2BB5}"/>
    <cellStyle name="40% - Ênfase4 5 2 2 2" xfId="3178" xr:uid="{F4D26FF3-E480-419D-8567-1ABD5F067206}"/>
    <cellStyle name="40% - Ênfase4 5 2 3" xfId="2251" xr:uid="{31EE27F5-3A4E-4A89-B435-6BFE7F411EB2}"/>
    <cellStyle name="40% - Ênfase4 5 3" xfId="399" xr:uid="{367273DD-4C90-4354-B62C-C0F3DC256E1A}"/>
    <cellStyle name="40% - Ênfase4 5 3 2" xfId="1638" xr:uid="{F3A35638-633A-46F8-AE9E-AB2F7DA5EB6F}"/>
    <cellStyle name="40% - Ênfase4 5 3 2 2" xfId="3490" xr:uid="{08E511CF-30BE-4C50-A25D-856E1031DE1A}"/>
    <cellStyle name="40% - Ênfase4 5 3 3" xfId="2563" xr:uid="{54C4204E-6C00-4217-A9FC-439009A89059}"/>
    <cellStyle name="40% - Ênfase4 5 4" xfId="1004" xr:uid="{5689F15B-DE29-4A84-9611-922103BF58F0}"/>
    <cellStyle name="40% - Ênfase4 5 4 2" xfId="2856" xr:uid="{4F5455C3-84F0-4351-A7B7-075CCF62137D}"/>
    <cellStyle name="40% - Ênfase4 5 5" xfId="1929" xr:uid="{184B694D-4FA6-4760-80C3-E1D5967774D8}"/>
    <cellStyle name="40% - Ênfase4 6" xfId="137" xr:uid="{651C839C-C3DE-4228-A5E4-71AF152D76E4}"/>
    <cellStyle name="40% - Ênfase4 6 2" xfId="743" xr:uid="{54444599-5505-42FB-982B-56133ABE5221}"/>
    <cellStyle name="40% - Ênfase4 6 2 2" xfId="1346" xr:uid="{8171FC23-4AE3-4CC9-989B-B0C29D4703F8}"/>
    <cellStyle name="40% - Ênfase4 6 2 2 2" xfId="3198" xr:uid="{CA9F0691-9298-4571-9DA1-970EC444E261}"/>
    <cellStyle name="40% - Ênfase4 6 2 3" xfId="2271" xr:uid="{A2CD2479-E044-4E26-813B-F5A5E1D69615}"/>
    <cellStyle name="40% - Ênfase4 6 3" xfId="419" xr:uid="{D49C4984-8F5E-43E2-9830-2EB7BB2276E3}"/>
    <cellStyle name="40% - Ênfase4 6 3 2" xfId="1620" xr:uid="{FB34647F-6B2F-4136-8686-B1A8D2ECECE1}"/>
    <cellStyle name="40% - Ênfase4 6 3 2 2" xfId="3472" xr:uid="{82C94996-7CCF-4026-B6C4-C32E0BBCA033}"/>
    <cellStyle name="40% - Ênfase4 6 3 3" xfId="2545" xr:uid="{52580E59-DA03-46BC-9386-C337F71FB2DE}"/>
    <cellStyle name="40% - Ênfase4 6 4" xfId="1024" xr:uid="{8FD920FE-672D-4300-9AF5-D5D28CAAC000}"/>
    <cellStyle name="40% - Ênfase4 6 4 2" xfId="2876" xr:uid="{24488CF5-0259-4187-B0BF-6652197C9400}"/>
    <cellStyle name="40% - Ênfase4 6 5" xfId="1949" xr:uid="{D29F7817-3BCB-4684-9D20-1C3C680FDE7D}"/>
    <cellStyle name="40% - Ênfase4 7" xfId="157" xr:uid="{95949C3C-F007-4BC7-8070-CC7A36B28F9E}"/>
    <cellStyle name="40% - Ênfase4 7 2" xfId="763" xr:uid="{A625E3CE-9215-4499-AD12-631F1508FBA7}"/>
    <cellStyle name="40% - Ênfase4 7 2 2" xfId="1366" xr:uid="{038212E9-C9D7-4712-81B8-EF1C864B0222}"/>
    <cellStyle name="40% - Ênfase4 7 2 2 2" xfId="3218" xr:uid="{E613AFD2-180E-4E9F-B0CA-29F8229E7AA8}"/>
    <cellStyle name="40% - Ênfase4 7 2 3" xfId="2291" xr:uid="{155788C3-B997-4812-9535-9231BFA2EC67}"/>
    <cellStyle name="40% - Ênfase4 7 3" xfId="439" xr:uid="{680D3569-70B5-4C5D-B48E-863D9CC535F2}"/>
    <cellStyle name="40% - Ênfase4 7 3 2" xfId="1812" xr:uid="{E3AABEE7-C91C-4273-A6A2-AE5460F76A6D}"/>
    <cellStyle name="40% - Ênfase4 7 3 2 2" xfId="3625" xr:uid="{6405964D-9691-4D92-97D6-5630E3B2328D}"/>
    <cellStyle name="40% - Ênfase4 7 3 3" xfId="2737" xr:uid="{F3B8462B-2FDC-499E-B00B-D6A7A1EC03C3}"/>
    <cellStyle name="40% - Ênfase4 7 4" xfId="1044" xr:uid="{134A87F9-8C2B-4CB7-BEDB-5AD03FE95CDC}"/>
    <cellStyle name="40% - Ênfase4 7 4 2" xfId="2896" xr:uid="{ECDDABAA-A7D9-46A3-96DA-7CB8DE05A6F1}"/>
    <cellStyle name="40% - Ênfase4 7 5" xfId="1969" xr:uid="{95A584FF-1838-403D-A716-7971849686BB}"/>
    <cellStyle name="40% - Ênfase4 8" xfId="177" xr:uid="{CD2EC6BB-2A43-4A95-8D26-BE82EC96F66A}"/>
    <cellStyle name="40% - Ênfase4 8 2" xfId="783" xr:uid="{CB96F359-B117-4734-ACBD-2BF485196C13}"/>
    <cellStyle name="40% - Ênfase4 8 2 2" xfId="1386" xr:uid="{E1198440-73FD-4BE8-A870-DB76CDF70CC9}"/>
    <cellStyle name="40% - Ênfase4 8 2 2 2" xfId="3238" xr:uid="{31C459CA-E5B8-4528-9C53-0AE73F973C29}"/>
    <cellStyle name="40% - Ênfase4 8 2 3" xfId="2311" xr:uid="{BBF1413B-02F2-420F-88CA-BDBB6A88BDAB}"/>
    <cellStyle name="40% - Ênfase4 8 3" xfId="459" xr:uid="{C9212DD7-85C7-41F7-932E-029745A4F02B}"/>
    <cellStyle name="40% - Ênfase4 8 3 2" xfId="1548" xr:uid="{10C37AFE-3B16-4637-9836-15749980887E}"/>
    <cellStyle name="40% - Ênfase4 8 3 2 2" xfId="3400" xr:uid="{8A947631-08B5-4AC1-BCA1-E0F1CFFF946C}"/>
    <cellStyle name="40% - Ênfase4 8 3 3" xfId="2473" xr:uid="{FA8CCFDB-87A3-4FCF-92D8-54E485377C15}"/>
    <cellStyle name="40% - Ênfase4 8 4" xfId="1064" xr:uid="{58B3B0CE-2BDC-4F4D-AA58-6D260FD10E0D}"/>
    <cellStyle name="40% - Ênfase4 8 4 2" xfId="2916" xr:uid="{9B729F1B-65BD-43DA-98E8-6516B1365754}"/>
    <cellStyle name="40% - Ênfase4 8 5" xfId="1989" xr:uid="{D6FD6157-AF8E-4004-94C4-E8C324B1A2AD}"/>
    <cellStyle name="40% - Ênfase4 9" xfId="197" xr:uid="{1B39F0AD-5E0F-4FF2-BA2B-9BBB05C14069}"/>
    <cellStyle name="40% - Ênfase4 9 2" xfId="803" xr:uid="{EDAB8CE8-E368-467D-8DD1-B504CA7A2704}"/>
    <cellStyle name="40% - Ênfase4 9 2 2" xfId="1406" xr:uid="{824CB933-039C-4E91-A304-C00229115B3C}"/>
    <cellStyle name="40% - Ênfase4 9 2 2 2" xfId="3258" xr:uid="{FC2A2AEE-0C26-4B68-95DB-6608D03772CE}"/>
    <cellStyle name="40% - Ênfase4 9 2 3" xfId="2331" xr:uid="{20CFABFB-F4E0-4C48-932A-A91C9AF5A62E}"/>
    <cellStyle name="40% - Ênfase4 9 3" xfId="479" xr:uid="{1BEA24AC-1D60-4E91-A8D8-96C8B367968A}"/>
    <cellStyle name="40% - Ênfase4 9 3 2" xfId="1819" xr:uid="{54981670-1B4E-4D88-B81D-4CCF63C31C95}"/>
    <cellStyle name="40% - Ênfase4 9 3 2 2" xfId="3632" xr:uid="{CF75DB84-CFCE-428A-9CBD-D025907FAB42}"/>
    <cellStyle name="40% - Ênfase4 9 3 3" xfId="2744" xr:uid="{F30A90E3-8B47-43D2-9504-28139799EE9C}"/>
    <cellStyle name="40% - Ênfase4 9 4" xfId="1084" xr:uid="{AFFCACEF-7D90-4567-BD52-73A4B4392113}"/>
    <cellStyle name="40% - Ênfase4 9 4 2" xfId="2936" xr:uid="{5686263B-2E9E-4181-B3F0-C6E520226A45}"/>
    <cellStyle name="40% - Ênfase4 9 5" xfId="2009" xr:uid="{2314AC7E-9DCD-4DBC-BD4C-C2B4F12259E8}"/>
    <cellStyle name="40% - Ênfase5" xfId="36" builtinId="47" customBuiltin="1"/>
    <cellStyle name="40% - Ênfase5 10" xfId="221" xr:uid="{E102B7CF-802C-4346-8854-CB20C2338BDA}"/>
    <cellStyle name="40% - Ênfase5 10 2" xfId="827" xr:uid="{F2003989-996B-4F52-A81C-667AB3B72966}"/>
    <cellStyle name="40% - Ênfase5 10 2 2" xfId="1430" xr:uid="{AC17CBA0-B5B7-4F97-93C9-EAA8C4C98058}"/>
    <cellStyle name="40% - Ênfase5 10 2 2 2" xfId="3282" xr:uid="{84DD1857-3974-4CC2-95B5-65CA896E69B8}"/>
    <cellStyle name="40% - Ênfase5 10 2 3" xfId="2355" xr:uid="{B1BE0323-A89F-4DCE-94C4-3E00CFF93A7B}"/>
    <cellStyle name="40% - Ênfase5 10 3" xfId="503" xr:uid="{8DE3DDB3-E9B1-4013-90E7-005DFB26F50B}"/>
    <cellStyle name="40% - Ênfase5 10 3 2" xfId="1627" xr:uid="{55B62045-876C-4712-A17E-9F588C0AA06A}"/>
    <cellStyle name="40% - Ênfase5 10 3 2 2" xfId="3479" xr:uid="{AD5F22DE-548F-4994-9D2B-28A943F4B970}"/>
    <cellStyle name="40% - Ênfase5 10 3 3" xfId="2552" xr:uid="{564B0104-766D-46BA-A83B-FB7D99D49765}"/>
    <cellStyle name="40% - Ênfase5 10 4" xfId="1108" xr:uid="{7A3A2203-CAD1-48CA-85EB-3059F0FD7BC4}"/>
    <cellStyle name="40% - Ênfase5 10 4 2" xfId="2960" xr:uid="{63FF0F64-71ED-4B21-89F2-71351623D32E}"/>
    <cellStyle name="40% - Ênfase5 10 5" xfId="2033" xr:uid="{F38E1794-0DE2-431C-B08E-9F99E2371963}"/>
    <cellStyle name="40% - Ênfase5 11" xfId="241" xr:uid="{FFDC3CA6-579C-4442-9354-72FCED3157A6}"/>
    <cellStyle name="40% - Ênfase5 11 2" xfId="847" xr:uid="{34302548-C7D9-4652-BFDA-9C26C09AFFB5}"/>
    <cellStyle name="40% - Ênfase5 11 2 2" xfId="1450" xr:uid="{D3E0DDFE-C013-43BB-8C44-4473A9602A3C}"/>
    <cellStyle name="40% - Ênfase5 11 2 2 2" xfId="3302" xr:uid="{B6A36465-9A3D-46CF-B7D4-65C860A3F9D0}"/>
    <cellStyle name="40% - Ênfase5 11 2 3" xfId="2375" xr:uid="{4429DA40-CAD2-466C-A89E-0CB36CE95DBA}"/>
    <cellStyle name="40% - Ênfase5 11 3" xfId="523" xr:uid="{306B1098-2F65-4A89-AE48-C63F8CE04993}"/>
    <cellStyle name="40% - Ênfase5 11 3 2" xfId="1593" xr:uid="{25662A5B-935B-4668-B052-97E882569C6E}"/>
    <cellStyle name="40% - Ênfase5 11 3 2 2" xfId="3445" xr:uid="{D1E58259-6DBC-4183-9FA6-535263B0D0E1}"/>
    <cellStyle name="40% - Ênfase5 11 3 3" xfId="2518" xr:uid="{F013CFF0-93A2-4CA1-B59E-E7E032E25157}"/>
    <cellStyle name="40% - Ênfase5 11 4" xfId="1128" xr:uid="{B3E15A4C-3CD1-4C72-8769-94258E9A05DC}"/>
    <cellStyle name="40% - Ênfase5 11 4 2" xfId="2980" xr:uid="{FE0B774C-3F0F-4AB2-8517-36A7B9674CE2}"/>
    <cellStyle name="40% - Ênfase5 11 5" xfId="2053" xr:uid="{714D9C53-EE5E-48D1-B466-A69EE03C3FB9}"/>
    <cellStyle name="40% - Ênfase5 12" xfId="261" xr:uid="{FED181A1-3FA0-4CB2-A401-4824AB7D069A}"/>
    <cellStyle name="40% - Ênfase5 12 2" xfId="867" xr:uid="{E288E33B-0EB8-4EE2-AE6D-B4A9BCBD010C}"/>
    <cellStyle name="40% - Ênfase5 12 2 2" xfId="1470" xr:uid="{DCF5D399-884B-4AD6-AD09-C36D5B86BD62}"/>
    <cellStyle name="40% - Ênfase5 12 2 2 2" xfId="3322" xr:uid="{74927223-5B85-4F6F-B1AD-1562B3ED073F}"/>
    <cellStyle name="40% - Ênfase5 12 2 3" xfId="2395" xr:uid="{8FB45962-AE00-4193-97DF-B255BC8E5D78}"/>
    <cellStyle name="40% - Ênfase5 12 3" xfId="543" xr:uid="{742C43BD-41C2-463C-BB5D-EA398A179941}"/>
    <cellStyle name="40% - Ênfase5 12 3 2" xfId="1834" xr:uid="{06717A43-6121-49DC-82E1-9BD533178E01}"/>
    <cellStyle name="40% - Ênfase5 12 3 2 2" xfId="3647" xr:uid="{1E8965B2-721C-4A7F-B2C3-D145A3AE63A5}"/>
    <cellStyle name="40% - Ênfase5 12 3 3" xfId="2759" xr:uid="{805033D8-5ACF-46D9-AF84-6D03EF233160}"/>
    <cellStyle name="40% - Ênfase5 12 4" xfId="1148" xr:uid="{81F3B638-25AA-4FB4-987E-30FD47FFE0C7}"/>
    <cellStyle name="40% - Ênfase5 12 4 2" xfId="3000" xr:uid="{BB339D9F-CE21-4BCC-8E85-341B1A3E85E7}"/>
    <cellStyle name="40% - Ênfase5 12 5" xfId="2073" xr:uid="{BF141FE8-ED33-4F29-BD8D-6BFB595C4848}"/>
    <cellStyle name="40% - Ênfase5 13" xfId="281" xr:uid="{86CC2E29-B840-468B-964E-B8D0466B974A}"/>
    <cellStyle name="40% - Ênfase5 13 2" xfId="887" xr:uid="{B86561B6-FC05-44D3-BA04-9DD9D95F9DA2}"/>
    <cellStyle name="40% - Ênfase5 13 2 2" xfId="1490" xr:uid="{D3A817FC-F0A9-4905-87E6-9BA029F8CFE1}"/>
    <cellStyle name="40% - Ênfase5 13 2 2 2" xfId="3342" xr:uid="{B1E664DD-ECA6-42FD-8A0E-519B9AEFE45E}"/>
    <cellStyle name="40% - Ênfase5 13 2 3" xfId="2415" xr:uid="{A46ABFC0-98EE-48A6-9D82-5A1BBFAD980D}"/>
    <cellStyle name="40% - Ênfase5 13 3" xfId="563" xr:uid="{001A92C9-7A0B-4C03-B6C9-C8101E5D72BC}"/>
    <cellStyle name="40% - Ênfase5 13 3 2" xfId="1719" xr:uid="{B877F4EF-C977-4C9C-A0E4-305E97EA29B4}"/>
    <cellStyle name="40% - Ênfase5 13 3 2 2" xfId="3532" xr:uid="{8055D8C9-A2CF-4ADF-8904-BFEE1E30B217}"/>
    <cellStyle name="40% - Ênfase5 13 3 3" xfId="2644" xr:uid="{B0DE4F30-9511-4BAD-A6ED-D49052A1E6B7}"/>
    <cellStyle name="40% - Ênfase5 13 4" xfId="1168" xr:uid="{48F0D97F-6D18-4FCA-A1EF-F3AEDA680B77}"/>
    <cellStyle name="40% - Ênfase5 13 4 2" xfId="3020" xr:uid="{A09785B5-C9FA-4178-8C1C-2252ED75D79E}"/>
    <cellStyle name="40% - Ênfase5 13 5" xfId="2093" xr:uid="{38F9129E-CEB2-4726-BD2D-7FD0EDD705B0}"/>
    <cellStyle name="40% - Ênfase5 14" xfId="301" xr:uid="{7577470F-7704-476D-A530-06FC9942416F}"/>
    <cellStyle name="40% - Ênfase5 14 2" xfId="907" xr:uid="{CDDBA2D1-E7EF-4014-9CED-B3F8E42C80B7}"/>
    <cellStyle name="40% - Ênfase5 14 2 2" xfId="1510" xr:uid="{678C5F46-7787-4CA2-9B65-0BF581764767}"/>
    <cellStyle name="40% - Ênfase5 14 2 2 2" xfId="3362" xr:uid="{F5E7B63D-9F7F-490E-9096-A5832E69447E}"/>
    <cellStyle name="40% - Ênfase5 14 2 3" xfId="2435" xr:uid="{32D570B0-0D24-48FA-988E-BE02814C312B}"/>
    <cellStyle name="40% - Ênfase5 14 3" xfId="583" xr:uid="{F4F719C7-1121-45A8-A199-A77D6597C683}"/>
    <cellStyle name="40% - Ênfase5 14 3 2" xfId="1527" xr:uid="{9BA022A9-BB60-4240-9433-65C1EFDE5236}"/>
    <cellStyle name="40% - Ênfase5 14 3 2 2" xfId="3379" xr:uid="{52FF01A5-E9FD-45D2-BFD8-51F38F5D50F3}"/>
    <cellStyle name="40% - Ênfase5 14 3 3" xfId="2452" xr:uid="{3EC33566-8D5A-4903-8DDE-357A62E17D90}"/>
    <cellStyle name="40% - Ênfase5 14 4" xfId="1188" xr:uid="{8699075F-8D86-4DFC-A1A9-4109FD455E3E}"/>
    <cellStyle name="40% - Ênfase5 14 4 2" xfId="3040" xr:uid="{6793F721-7328-444A-8579-27938775D4FF}"/>
    <cellStyle name="40% - Ênfase5 14 5" xfId="2113" xr:uid="{FCF5A907-EC22-4E9E-AC45-0B88DA380ACB}"/>
    <cellStyle name="40% - Ênfase5 15" xfId="603" xr:uid="{C8D8FE50-C8FD-4328-A49C-D0CCBFDE6E94}"/>
    <cellStyle name="40% - Ênfase5 15 2" xfId="1666" xr:uid="{67008D15-405C-4A05-A7E2-5F64A8A712E5}"/>
    <cellStyle name="40% - Ênfase5 15 2 2" xfId="2591" xr:uid="{32566E03-1870-4D4A-B2C0-5D5353A521EA}"/>
    <cellStyle name="40% - Ênfase5 15 3" xfId="1208" xr:uid="{73D62864-4F92-4BD9-A056-D96F2284A3DC}"/>
    <cellStyle name="40% - Ênfase5 15 3 2" xfId="3060" xr:uid="{AD0CBB8E-B196-432C-B853-53901497B48C}"/>
    <cellStyle name="40% - Ênfase5 15 4" xfId="2133" xr:uid="{49A99C25-CBDE-400F-80C2-5E7037A182D8}"/>
    <cellStyle name="40% - Ênfase5 16" xfId="623" xr:uid="{27CE4E98-D844-4330-BB80-E2661DC81AFF}"/>
    <cellStyle name="40% - Ênfase5 16 2" xfId="1686" xr:uid="{F622B07C-9B58-4E60-B5D3-81AD99CE1E27}"/>
    <cellStyle name="40% - Ênfase5 16 2 2" xfId="2611" xr:uid="{F735190B-94A0-4956-A954-DE29726AD86E}"/>
    <cellStyle name="40% - Ênfase5 16 3" xfId="1228" xr:uid="{B43EC7AD-E156-43DE-AF43-6DBA0351DD16}"/>
    <cellStyle name="40% - Ênfase5 16 3 2" xfId="3080" xr:uid="{36FC9ED1-607E-427E-B9B6-0FB0C6875B45}"/>
    <cellStyle name="40% - Ênfase5 16 4" xfId="2153" xr:uid="{7A038CBD-B02F-47D5-B2E5-21C29EA3DFEA}"/>
    <cellStyle name="40% - Ênfase5 17" xfId="643" xr:uid="{E5A31F49-41F9-45A8-B808-9F12EE8628EE}"/>
    <cellStyle name="40% - Ênfase5 17 2" xfId="1247" xr:uid="{4327749A-548D-413E-AAF4-FBEFA2CD9E7F}"/>
    <cellStyle name="40% - Ênfase5 17 2 2" xfId="3099" xr:uid="{3AD09E27-7331-42CF-972B-B8B95EBDEEBF}"/>
    <cellStyle name="40% - Ênfase5 17 3" xfId="2172" xr:uid="{DC7B74E6-DC5C-48E4-936A-5DCFB63CA325}"/>
    <cellStyle name="40% - Ênfase5 18" xfId="320" xr:uid="{320A00A1-E812-48C6-88BE-EB26B094C108}"/>
    <cellStyle name="40% - Ênfase5 18 2" xfId="1518" xr:uid="{F02C3600-C8D9-4BBA-A4A2-661FDC89EE16}"/>
    <cellStyle name="40% - Ênfase5 18 2 2" xfId="3370" xr:uid="{09AC9019-2612-4F61-8DEE-7DFE41439AAD}"/>
    <cellStyle name="40% - Ênfase5 18 3" xfId="2443" xr:uid="{63F71793-6CFE-4078-8C84-6DA2FFB6B7CA}"/>
    <cellStyle name="40% - Ênfase5 19" xfId="925" xr:uid="{8AAFD829-C860-4488-AD25-02CEE16A451A}"/>
    <cellStyle name="40% - Ênfase5 19 2" xfId="2777" xr:uid="{E095F64D-43F5-41EA-B516-8B29D96A2C60}"/>
    <cellStyle name="40% - Ênfase5 2" xfId="60" xr:uid="{299C899E-474D-4783-9B7F-2B76C82931F3}"/>
    <cellStyle name="40% - Ênfase5 2 2" xfId="666" xr:uid="{CD6000C5-6359-495A-B670-84C59F115911}"/>
    <cellStyle name="40% - Ênfase5 2 2 2" xfId="1269" xr:uid="{DA0A76F4-1156-4E47-B6EB-4FBCA396A0CC}"/>
    <cellStyle name="40% - Ênfase5 2 2 2 2" xfId="3121" xr:uid="{3769772F-5BEB-4354-8353-2DF1EB5607C4}"/>
    <cellStyle name="40% - Ênfase5 2 2 3" xfId="2194" xr:uid="{49957A5A-AE5D-4CDD-8F9A-12944F64F8D8}"/>
    <cellStyle name="40% - Ênfase5 2 3" xfId="342" xr:uid="{931A2A0D-8AE2-4EE0-9E07-2CFBEFA8C499}"/>
    <cellStyle name="40% - Ênfase5 2 3 2" xfId="1519" xr:uid="{2CFB8AC7-5200-4931-91DB-5E918761B89F}"/>
    <cellStyle name="40% - Ênfase5 2 3 2 2" xfId="3371" xr:uid="{D822107E-B6F5-41A4-953D-B5A1DDE86D52}"/>
    <cellStyle name="40% - Ênfase5 2 3 3" xfId="2444" xr:uid="{8E4097F5-9536-4BEE-A16E-5CC715122E42}"/>
    <cellStyle name="40% - Ênfase5 2 4" xfId="947" xr:uid="{24BFE45D-3874-4948-89BC-C2F05739B761}"/>
    <cellStyle name="40% - Ênfase5 2 4 2" xfId="2799" xr:uid="{42D2F19F-8879-495C-8856-8615F0DC9B82}"/>
    <cellStyle name="40% - Ênfase5 2 5" xfId="1872" xr:uid="{74E802F2-C74B-4572-9531-EB94848B6B25}"/>
    <cellStyle name="40% - Ênfase5 20" xfId="1850" xr:uid="{FAFFE1D5-2FB7-482A-88E5-1C2E40FDFDA6}"/>
    <cellStyle name="40% - Ênfase5 3" xfId="78" xr:uid="{5DDDD063-A30F-4197-B28A-582864D9286A}"/>
    <cellStyle name="40% - Ênfase5 3 2" xfId="684" xr:uid="{3D415646-A022-41CA-B380-71896B04C237}"/>
    <cellStyle name="40% - Ênfase5 3 2 2" xfId="1287" xr:uid="{140F1EBD-7B20-4C09-8DCE-85C76ED44F2C}"/>
    <cellStyle name="40% - Ênfase5 3 2 2 2" xfId="3139" xr:uid="{4A3E067D-4A32-46D8-A833-27EAD60BE19F}"/>
    <cellStyle name="40% - Ênfase5 3 2 3" xfId="2212" xr:uid="{BEF75038-B7E4-43C3-976C-1FD7BD2E50E9}"/>
    <cellStyle name="40% - Ênfase5 3 3" xfId="360" xr:uid="{90B3B40D-BDEC-4E1A-95BA-0B2BC339CD23}"/>
    <cellStyle name="40% - Ênfase5 3 3 2" xfId="1578" xr:uid="{8C9417C9-D90C-4317-86C1-BC71AA28D4FD}"/>
    <cellStyle name="40% - Ênfase5 3 3 2 2" xfId="3430" xr:uid="{CE8C453C-5B68-4EF7-8E0E-211C83CC397E}"/>
    <cellStyle name="40% - Ênfase5 3 3 3" xfId="2503" xr:uid="{22C568B1-92A3-4225-88EA-8E8668AD58AF}"/>
    <cellStyle name="40% - Ênfase5 3 4" xfId="965" xr:uid="{A45DA86B-1F57-404E-9D7D-85BD4F4267B1}"/>
    <cellStyle name="40% - Ênfase5 3 4 2" xfId="2817" xr:uid="{F59B04E0-14F7-4036-BC13-B9A568CC7028}"/>
    <cellStyle name="40% - Ênfase5 3 5" xfId="1890" xr:uid="{C4A41F2D-065E-4CDF-AC1F-FED29F7E91E4}"/>
    <cellStyle name="40% - Ênfase5 4" xfId="100" xr:uid="{9B160DB7-3AD2-46F1-836D-9A55BE4CD1CF}"/>
    <cellStyle name="40% - Ênfase5 4 2" xfId="706" xr:uid="{7841B4F1-FEF9-4189-A828-DD2AD4F40996}"/>
    <cellStyle name="40% - Ênfase5 4 2 2" xfId="1309" xr:uid="{DC60C7A8-062F-4B23-82B6-338C3F85E4FC}"/>
    <cellStyle name="40% - Ênfase5 4 2 2 2" xfId="3161" xr:uid="{96D4318A-14F4-4FB6-A3D6-1DF602829C96}"/>
    <cellStyle name="40% - Ênfase5 4 2 3" xfId="2234" xr:uid="{436356CF-BF52-4513-BD61-4C606DCF9EF6}"/>
    <cellStyle name="40% - Ênfase5 4 3" xfId="382" xr:uid="{552F5D78-295F-4AD5-B901-105017535A9E}"/>
    <cellStyle name="40% - Ênfase5 4 3 2" xfId="1738" xr:uid="{DC578504-969D-45C6-885C-0D42AB69F5D6}"/>
    <cellStyle name="40% - Ênfase5 4 3 2 2" xfId="3551" xr:uid="{92997D84-675E-4578-BC5E-85224CFDD794}"/>
    <cellStyle name="40% - Ênfase5 4 3 3" xfId="2663" xr:uid="{1D8F177B-BB0F-421F-BBC7-5A7A3EC1155D}"/>
    <cellStyle name="40% - Ênfase5 4 4" xfId="987" xr:uid="{41507F1A-093F-4E19-B12C-51B336CA2625}"/>
    <cellStyle name="40% - Ênfase5 4 4 2" xfId="2839" xr:uid="{19600672-267B-4E27-8881-DB8278A68A2A}"/>
    <cellStyle name="40% - Ênfase5 4 5" xfId="1912" xr:uid="{3E1CBF60-8208-47E4-AA2D-D478395AF8F5}"/>
    <cellStyle name="40% - Ênfase5 5" xfId="120" xr:uid="{01976F6C-26A0-468A-B1CC-E5FBDC4198EF}"/>
    <cellStyle name="40% - Ênfase5 5 2" xfId="726" xr:uid="{67086F17-7E44-4FE0-80A1-C1E12FE3F13F}"/>
    <cellStyle name="40% - Ênfase5 5 2 2" xfId="1329" xr:uid="{E764FFFB-45E1-4C80-8891-54037232B7BB}"/>
    <cellStyle name="40% - Ênfase5 5 2 2 2" xfId="3181" xr:uid="{8C140E78-5C12-4093-ADEA-69284040D70A}"/>
    <cellStyle name="40% - Ênfase5 5 2 3" xfId="2254" xr:uid="{AAF990F2-A0E4-4D99-B820-2AEE4FEB6A59}"/>
    <cellStyle name="40% - Ênfase5 5 3" xfId="402" xr:uid="{2650EAB0-B436-415B-8C46-5E13A69CCD52}"/>
    <cellStyle name="40% - Ênfase5 5 3 2" xfId="1816" xr:uid="{8AC2BF3F-C3C6-49A2-BEE5-D53C2951EAE4}"/>
    <cellStyle name="40% - Ênfase5 5 3 2 2" xfId="3629" xr:uid="{C9CA0167-EF29-4FCC-B010-695A22F0D9E2}"/>
    <cellStyle name="40% - Ênfase5 5 3 3" xfId="2741" xr:uid="{41129A59-6CF6-4F46-A407-9650DCE6FC3F}"/>
    <cellStyle name="40% - Ênfase5 5 4" xfId="1007" xr:uid="{9E5CDE3B-5648-431E-B38A-A2E60BDCCB80}"/>
    <cellStyle name="40% - Ênfase5 5 4 2" xfId="2859" xr:uid="{2B374800-2246-4B57-A465-2E629FDE1D0C}"/>
    <cellStyle name="40% - Ênfase5 5 5" xfId="1932" xr:uid="{73B5246C-B654-440C-9041-C752A7FD5AFC}"/>
    <cellStyle name="40% - Ênfase5 6" xfId="140" xr:uid="{E6D0A73A-E93E-41F8-93A3-47FA05EB1DCD}"/>
    <cellStyle name="40% - Ênfase5 6 2" xfId="746" xr:uid="{E519D6D2-E9E5-49F2-AC37-3B027C5205CF}"/>
    <cellStyle name="40% - Ênfase5 6 2 2" xfId="1349" xr:uid="{46866774-CD4A-49C6-9822-6FEFED66B53E}"/>
    <cellStyle name="40% - Ênfase5 6 2 2 2" xfId="3201" xr:uid="{B9553A1F-3D36-4355-8C7E-AB76F11FB112}"/>
    <cellStyle name="40% - Ênfase5 6 2 3" xfId="2274" xr:uid="{C622AB55-B83F-455B-B6EE-C9F593856B83}"/>
    <cellStyle name="40% - Ênfase5 6 3" xfId="422" xr:uid="{6AB8EA0A-DB5E-4C28-865D-3D853BB6EC8A}"/>
    <cellStyle name="40% - Ênfase5 6 3 2" xfId="1728" xr:uid="{1E93785D-43C3-48D2-B89F-C074C88E0B7C}"/>
    <cellStyle name="40% - Ênfase5 6 3 2 2" xfId="3541" xr:uid="{C9EFB6C4-244F-4F3C-A78B-8410FC17486F}"/>
    <cellStyle name="40% - Ênfase5 6 3 3" xfId="2653" xr:uid="{D25D02CD-B568-4590-885B-4FCCB373F859}"/>
    <cellStyle name="40% - Ênfase5 6 4" xfId="1027" xr:uid="{BE4654D0-51F0-41A3-901F-A4A062752E2A}"/>
    <cellStyle name="40% - Ênfase5 6 4 2" xfId="2879" xr:uid="{1D12FFA7-129A-424D-B0F6-2C26F106FDF3}"/>
    <cellStyle name="40% - Ênfase5 6 5" xfId="1952" xr:uid="{F9A3D05D-B629-4174-940E-69B703392437}"/>
    <cellStyle name="40% - Ênfase5 7" xfId="160" xr:uid="{F71EE162-91EB-4252-8857-BF3840203376}"/>
    <cellStyle name="40% - Ênfase5 7 2" xfId="766" xr:uid="{91D039D5-7858-43F3-8DE0-BFF11D33A8F8}"/>
    <cellStyle name="40% - Ênfase5 7 2 2" xfId="1369" xr:uid="{D05E3979-1574-4B91-9FFA-9994BED19D7F}"/>
    <cellStyle name="40% - Ênfase5 7 2 2 2" xfId="3221" xr:uid="{080DDDCE-FDB7-497A-A063-524419257C76}"/>
    <cellStyle name="40% - Ênfase5 7 2 3" xfId="2294" xr:uid="{7369FE65-20D4-4368-A221-565BBA052B43}"/>
    <cellStyle name="40% - Ênfase5 7 3" xfId="442" xr:uid="{52B48089-5446-4A64-9188-265AB15BC37A}"/>
    <cellStyle name="40% - Ênfase5 7 3 2" xfId="1585" xr:uid="{173918BD-24F6-4B4D-9985-2A9208FA96D3}"/>
    <cellStyle name="40% - Ênfase5 7 3 2 2" xfId="3437" xr:uid="{FB1B4848-C05E-4452-864F-04FA899CBCC9}"/>
    <cellStyle name="40% - Ênfase5 7 3 3" xfId="2510" xr:uid="{6F14A776-B3D6-43CE-B633-B685274ABAF7}"/>
    <cellStyle name="40% - Ênfase5 7 4" xfId="1047" xr:uid="{7561D513-B7D2-4F67-8905-685C1EF02B93}"/>
    <cellStyle name="40% - Ênfase5 7 4 2" xfId="2899" xr:uid="{0939B030-A015-4954-BF53-C816AB999042}"/>
    <cellStyle name="40% - Ênfase5 7 5" xfId="1972" xr:uid="{AE4E471B-751D-470E-80AE-3F0F783FDC70}"/>
    <cellStyle name="40% - Ênfase5 8" xfId="180" xr:uid="{52B89739-CF7D-4221-921E-16386432C73F}"/>
    <cellStyle name="40% - Ênfase5 8 2" xfId="786" xr:uid="{EF2F0DBC-A156-4D76-B222-B18D9A6BF0C1}"/>
    <cellStyle name="40% - Ênfase5 8 2 2" xfId="1389" xr:uid="{6E16BFAD-BA1E-499E-A166-A0A71DCD2F0C}"/>
    <cellStyle name="40% - Ênfase5 8 2 2 2" xfId="3241" xr:uid="{BA9392A1-CCC4-41BD-B611-8B45A6257C34}"/>
    <cellStyle name="40% - Ênfase5 8 2 3" xfId="2314" xr:uid="{EABA89B0-C674-420C-833E-8E00C3FEDF88}"/>
    <cellStyle name="40% - Ênfase5 8 3" xfId="462" xr:uid="{AADBC78E-9896-42FE-98B2-80ED31C62D46}"/>
    <cellStyle name="40% - Ênfase5 8 3 2" xfId="1785" xr:uid="{499CC4FB-3CD5-41E1-A777-1AFFE35EE09D}"/>
    <cellStyle name="40% - Ênfase5 8 3 2 2" xfId="3598" xr:uid="{E00EABF9-179F-4DFB-A30E-375E92D51F23}"/>
    <cellStyle name="40% - Ênfase5 8 3 3" xfId="2710" xr:uid="{49EB5375-D6A2-4056-8E98-A68A1C807441}"/>
    <cellStyle name="40% - Ênfase5 8 4" xfId="1067" xr:uid="{6F5D6C2A-2D05-45A0-B602-4DBB74295BE1}"/>
    <cellStyle name="40% - Ênfase5 8 4 2" xfId="2919" xr:uid="{1ED21E53-AB83-472A-B6F4-FE9D94EB58F3}"/>
    <cellStyle name="40% - Ênfase5 8 5" xfId="1992" xr:uid="{26C1F7B8-52B9-4CAC-9AFC-A8D5BB516477}"/>
    <cellStyle name="40% - Ênfase5 9" xfId="200" xr:uid="{6DE0675C-0399-4002-9163-BE467FA1458D}"/>
    <cellStyle name="40% - Ênfase5 9 2" xfId="806" xr:uid="{5EABEE5F-12F3-4B7F-B1C6-73D0D53FD44D}"/>
    <cellStyle name="40% - Ênfase5 9 2 2" xfId="1409" xr:uid="{7280B18D-DCD3-4E70-80C5-298F02DCD201}"/>
    <cellStyle name="40% - Ênfase5 9 2 2 2" xfId="3261" xr:uid="{7C16DBBA-6B92-490D-9188-D8B53C2946F6}"/>
    <cellStyle name="40% - Ênfase5 9 2 3" xfId="2334" xr:uid="{9FC53F92-A838-48D6-B727-26D786A24983}"/>
    <cellStyle name="40% - Ênfase5 9 3" xfId="482" xr:uid="{FEAA185C-B239-4E50-934A-1DE29A599DBF}"/>
    <cellStyle name="40% - Ênfase5 9 3 2" xfId="1725" xr:uid="{B3715C24-F195-410C-84BD-AE267DF76967}"/>
    <cellStyle name="40% - Ênfase5 9 3 2 2" xfId="3538" xr:uid="{958F9DD3-989C-4832-97F8-32B5A73FBF1D}"/>
    <cellStyle name="40% - Ênfase5 9 3 3" xfId="2650" xr:uid="{6478219D-B76A-4974-938B-FF8C1DA2C8E3}"/>
    <cellStyle name="40% - Ênfase5 9 4" xfId="1087" xr:uid="{94781B61-79DE-4CF0-93D9-90B218AC1378}"/>
    <cellStyle name="40% - Ênfase5 9 4 2" xfId="2939" xr:uid="{3DE87DF4-6446-40F3-A0ED-7048C3563BDD}"/>
    <cellStyle name="40% - Ênfase5 9 5" xfId="2012" xr:uid="{EFF051CE-1057-45EC-9C55-9A82D94203CA}"/>
    <cellStyle name="40% - Ênfase6" xfId="40" builtinId="51" customBuiltin="1"/>
    <cellStyle name="40% - Ênfase6 10" xfId="224" xr:uid="{AB8D4560-C289-498F-A106-7359AF1A578A}"/>
    <cellStyle name="40% - Ênfase6 10 2" xfId="830" xr:uid="{E5E2EBCC-112F-49D2-BAAC-F4D2A3355FF2}"/>
    <cellStyle name="40% - Ênfase6 10 2 2" xfId="1433" xr:uid="{4CA1E3A1-8393-49E5-919E-442000D1F6E0}"/>
    <cellStyle name="40% - Ênfase6 10 2 2 2" xfId="3285" xr:uid="{5F0C5B81-AE1E-417C-ADC2-872FC1A1D132}"/>
    <cellStyle name="40% - Ênfase6 10 2 3" xfId="2358" xr:uid="{E865CEA9-9FC1-4B90-B3E0-61567A460ED6}"/>
    <cellStyle name="40% - Ênfase6 10 3" xfId="506" xr:uid="{56601354-EE0C-46E7-8428-BCBAE1EB3A89}"/>
    <cellStyle name="40% - Ênfase6 10 3 2" xfId="1611" xr:uid="{399F69F8-3FEC-4C72-A142-63A764E36D16}"/>
    <cellStyle name="40% - Ênfase6 10 3 2 2" xfId="3463" xr:uid="{B2DC6BDD-8220-4CD3-A39D-089670CD9F28}"/>
    <cellStyle name="40% - Ênfase6 10 3 3" xfId="2536" xr:uid="{7FB42498-981D-46C9-BE36-28FCD5F4F8C8}"/>
    <cellStyle name="40% - Ênfase6 10 4" xfId="1111" xr:uid="{1700E37D-246F-429E-9768-BD9F62D53B04}"/>
    <cellStyle name="40% - Ênfase6 10 4 2" xfId="2963" xr:uid="{7D86FE1B-73D3-436E-A164-A4D4D94B3AF5}"/>
    <cellStyle name="40% - Ênfase6 10 5" xfId="2036" xr:uid="{B897C729-A06C-44AF-93DB-B0E0BB074EA1}"/>
    <cellStyle name="40% - Ênfase6 11" xfId="244" xr:uid="{1D944349-5AA6-4FE3-A0CB-75D05BAA154E}"/>
    <cellStyle name="40% - Ênfase6 11 2" xfId="850" xr:uid="{68EDA78F-7D41-4653-BD9E-B688C3538E22}"/>
    <cellStyle name="40% - Ênfase6 11 2 2" xfId="1453" xr:uid="{561CFE1A-69BE-4A7B-93A7-CE02CCA71217}"/>
    <cellStyle name="40% - Ênfase6 11 2 2 2" xfId="3305" xr:uid="{39CF98A3-1537-4A10-A723-575115D99D96}"/>
    <cellStyle name="40% - Ênfase6 11 2 3" xfId="2378" xr:uid="{454CA0E8-7855-4042-AACF-E7B6BC0AD737}"/>
    <cellStyle name="40% - Ênfase6 11 3" xfId="526" xr:uid="{49150952-DF0A-44C7-82E4-CB33966E2608}"/>
    <cellStyle name="40% - Ênfase6 11 3 2" xfId="1608" xr:uid="{9FC86FA0-B945-486F-A396-EEF9115DE942}"/>
    <cellStyle name="40% - Ênfase6 11 3 2 2" xfId="3460" xr:uid="{F8D20590-3C5B-49CE-8986-94C484FD2D49}"/>
    <cellStyle name="40% - Ênfase6 11 3 3" xfId="2533" xr:uid="{86CBE16C-00E3-4442-BE91-276884559079}"/>
    <cellStyle name="40% - Ênfase6 11 4" xfId="1131" xr:uid="{33428723-5E71-4DEB-83F2-7E3432DB06F4}"/>
    <cellStyle name="40% - Ênfase6 11 4 2" xfId="2983" xr:uid="{93416E1A-EF23-438E-A172-75E95C9B6A4D}"/>
    <cellStyle name="40% - Ênfase6 11 5" xfId="2056" xr:uid="{288BC69F-388E-481E-AB3F-B6F642EDA0D2}"/>
    <cellStyle name="40% - Ênfase6 12" xfId="264" xr:uid="{181F9801-1B03-4EDD-9BB6-914C4D4916EF}"/>
    <cellStyle name="40% - Ênfase6 12 2" xfId="870" xr:uid="{83DD030E-CA68-4E6C-8404-4C20CF0DD340}"/>
    <cellStyle name="40% - Ênfase6 12 2 2" xfId="1473" xr:uid="{F6E44768-1AFB-4E1C-909D-DDB3A28E432B}"/>
    <cellStyle name="40% - Ênfase6 12 2 2 2" xfId="3325" xr:uid="{9FF2B23D-188D-453E-BF76-6F737E1FB05D}"/>
    <cellStyle name="40% - Ênfase6 12 2 3" xfId="2398" xr:uid="{AEB16863-C134-4FB6-8633-A25A44FFDC30}"/>
    <cellStyle name="40% - Ênfase6 12 3" xfId="546" xr:uid="{E70489D5-475B-4096-9400-4FEA61E0A708}"/>
    <cellStyle name="40% - Ênfase6 12 3 2" xfId="1715" xr:uid="{DB2E5401-F2E8-4CC8-A0F5-6F95D3C812AD}"/>
    <cellStyle name="40% - Ênfase6 12 3 2 2" xfId="3528" xr:uid="{B07AD9A8-F6C9-47D9-9835-AA239CBB30DE}"/>
    <cellStyle name="40% - Ênfase6 12 3 3" xfId="2640" xr:uid="{F48A5436-5F4F-428D-A2DE-EB05B7FC18E8}"/>
    <cellStyle name="40% - Ênfase6 12 4" xfId="1151" xr:uid="{76FAF974-C8E4-4886-BFD4-E5FB51608BC6}"/>
    <cellStyle name="40% - Ênfase6 12 4 2" xfId="3003" xr:uid="{BBC3B902-F780-46E3-9F11-3E26C2794E6C}"/>
    <cellStyle name="40% - Ênfase6 12 5" xfId="2076" xr:uid="{3D7CB08C-4E34-4A4A-B73B-DD869166C4DF}"/>
    <cellStyle name="40% - Ênfase6 13" xfId="284" xr:uid="{6A805904-30CB-4DB1-A30E-F16A927FF205}"/>
    <cellStyle name="40% - Ênfase6 13 2" xfId="890" xr:uid="{1C900440-6D36-434A-8674-E7FDF07C4643}"/>
    <cellStyle name="40% - Ênfase6 13 2 2" xfId="1493" xr:uid="{F685AFF6-D617-4CAE-A096-948BF02A3084}"/>
    <cellStyle name="40% - Ênfase6 13 2 2 2" xfId="3345" xr:uid="{8E9ACFC2-48BF-4F1D-8069-7879AE0D5DBD}"/>
    <cellStyle name="40% - Ênfase6 13 2 3" xfId="2418" xr:uid="{3ABBA85C-D392-45FC-B42E-6B2E39FAC817}"/>
    <cellStyle name="40% - Ênfase6 13 3" xfId="566" xr:uid="{58B0414F-92ED-4360-BC34-77B7E304F42F}"/>
    <cellStyle name="40% - Ênfase6 13 3 2" xfId="1605" xr:uid="{4CDB86BC-96F8-4041-A8D7-AC25B1564771}"/>
    <cellStyle name="40% - Ênfase6 13 3 2 2" xfId="3457" xr:uid="{B1E4B6A4-0138-4532-99A1-CD536700D49F}"/>
    <cellStyle name="40% - Ênfase6 13 3 3" xfId="2530" xr:uid="{76B67875-B171-449B-ACCB-7437FEE036D2}"/>
    <cellStyle name="40% - Ênfase6 13 4" xfId="1171" xr:uid="{B2A961F4-8599-47B1-8E29-F4CBB4CCBBBA}"/>
    <cellStyle name="40% - Ênfase6 13 4 2" xfId="3023" xr:uid="{6CD4C139-442F-4DDE-907A-10E0054039CF}"/>
    <cellStyle name="40% - Ênfase6 13 5" xfId="2096" xr:uid="{3D843A3E-D894-4EE9-86C5-1ECC3B84F43B}"/>
    <cellStyle name="40% - Ênfase6 14" xfId="304" xr:uid="{FB631DFF-5853-4CFC-A011-276DD21B7DA2}"/>
    <cellStyle name="40% - Ênfase6 14 2" xfId="910" xr:uid="{A75266F6-6320-4302-867C-D5D5E5103760}"/>
    <cellStyle name="40% - Ênfase6 14 2 2" xfId="1513" xr:uid="{FC24E5BC-11B8-4050-9C42-843A18FE86D8}"/>
    <cellStyle name="40% - Ênfase6 14 2 2 2" xfId="3365" xr:uid="{939AA648-5CB4-4C5B-B08C-AB758353194F}"/>
    <cellStyle name="40% - Ênfase6 14 2 3" xfId="2438" xr:uid="{44B82FD7-484D-46CC-A352-B83D1FCAEBF4}"/>
    <cellStyle name="40% - Ênfase6 14 3" xfId="586" xr:uid="{0E4251F7-825E-4482-B6A7-14A035DFB82E}"/>
    <cellStyle name="40% - Ênfase6 14 3 2" xfId="1523" xr:uid="{F4F73DAD-C568-4B7E-9959-1A7B979E1698}"/>
    <cellStyle name="40% - Ênfase6 14 3 2 2" xfId="3375" xr:uid="{E4CFA7A3-8817-41B2-A3F8-3D70252464D2}"/>
    <cellStyle name="40% - Ênfase6 14 3 3" xfId="2448" xr:uid="{7CEE663E-2C42-4CD2-B5D6-6907C2BBF056}"/>
    <cellStyle name="40% - Ênfase6 14 4" xfId="1191" xr:uid="{3A8B6F5E-673F-4754-947D-65F3EB8A1080}"/>
    <cellStyle name="40% - Ênfase6 14 4 2" xfId="3043" xr:uid="{6723D427-7617-46CD-8A37-0073BEFEF3F4}"/>
    <cellStyle name="40% - Ênfase6 14 5" xfId="2116" xr:uid="{5ADC6885-45C8-434D-AE36-811C593DA1B6}"/>
    <cellStyle name="40% - Ênfase6 15" xfId="606" xr:uid="{6A5E6F2E-7227-40E6-9C27-EFEA3AAB9E10}"/>
    <cellStyle name="40% - Ênfase6 15 2" xfId="1669" xr:uid="{50BB46F2-F9C7-40F5-97EC-B11097AE9B51}"/>
    <cellStyle name="40% - Ênfase6 15 2 2" xfId="2594" xr:uid="{9239EC67-0921-481D-A126-50FC8A2F97EE}"/>
    <cellStyle name="40% - Ênfase6 15 3" xfId="1211" xr:uid="{21D58DE4-A7A8-46A2-B2B5-2CE0364E8C7B}"/>
    <cellStyle name="40% - Ênfase6 15 3 2" xfId="3063" xr:uid="{AF1984D8-3DD5-4A35-A237-F3D695C42876}"/>
    <cellStyle name="40% - Ênfase6 15 4" xfId="2136" xr:uid="{5F4B0050-55BC-4B50-AB40-8B4EB97329DD}"/>
    <cellStyle name="40% - Ênfase6 16" xfId="626" xr:uid="{528FFBF3-16BC-439E-A485-35B43A1B993C}"/>
    <cellStyle name="40% - Ênfase6 16 2" xfId="1689" xr:uid="{5AAFCA0C-82EB-43B5-8B18-240E6904E990}"/>
    <cellStyle name="40% - Ênfase6 16 2 2" xfId="2614" xr:uid="{46911FCD-B0DD-42E1-B9A0-8B5C662A5C2D}"/>
    <cellStyle name="40% - Ênfase6 16 3" xfId="1231" xr:uid="{9F2EA102-B724-4143-9269-6CAFC410049B}"/>
    <cellStyle name="40% - Ênfase6 16 3 2" xfId="3083" xr:uid="{471ABEF1-2EF9-41F8-8AEE-35E64B8060BD}"/>
    <cellStyle name="40% - Ênfase6 16 4" xfId="2156" xr:uid="{2561AC99-2482-4573-993E-E7EA92A02C09}"/>
    <cellStyle name="40% - Ênfase6 17" xfId="646" xr:uid="{B45C06E6-D3F4-4B3D-9E57-706A5924BD4B}"/>
    <cellStyle name="40% - Ênfase6 17 2" xfId="1250" xr:uid="{4547F9C0-7E56-411B-9125-EAD9AD8C466C}"/>
    <cellStyle name="40% - Ênfase6 17 2 2" xfId="3102" xr:uid="{91580801-665D-4300-AF78-B7976950B7B6}"/>
    <cellStyle name="40% - Ênfase6 17 3" xfId="2175" xr:uid="{C05AED4E-6670-4ABB-B2B7-ED43DC8E801B}"/>
    <cellStyle name="40% - Ênfase6 18" xfId="323" xr:uid="{73A3B3A0-E4DA-44F7-8DF9-FB3559557BC5}"/>
    <cellStyle name="40% - Ênfase6 18 2" xfId="1698" xr:uid="{04B2B18B-E8CE-4248-A63E-3867B6DAEAE8}"/>
    <cellStyle name="40% - Ênfase6 18 2 2" xfId="3511" xr:uid="{55D1B5B0-74C3-406A-B788-ECB24FDEB4B6}"/>
    <cellStyle name="40% - Ênfase6 18 3" xfId="2623" xr:uid="{A1CA3B51-0BCD-4D8C-A9DA-74DCB70FE6FA}"/>
    <cellStyle name="40% - Ênfase6 19" xfId="928" xr:uid="{95D56721-F3C7-4943-BBE5-7DB680E1C5E0}"/>
    <cellStyle name="40% - Ênfase6 19 2" xfId="2780" xr:uid="{65A6BF0D-A61A-4571-BD02-C86360E0694F}"/>
    <cellStyle name="40% - Ênfase6 2" xfId="63" xr:uid="{8E841718-0617-4B1B-B43C-1EB740D159D6}"/>
    <cellStyle name="40% - Ênfase6 2 2" xfId="669" xr:uid="{D46A129E-667A-4FD1-B291-120D07539D02}"/>
    <cellStyle name="40% - Ênfase6 2 2 2" xfId="1272" xr:uid="{A599656E-15E5-4A85-AE90-0B7E3AF21E32}"/>
    <cellStyle name="40% - Ênfase6 2 2 2 2" xfId="3124" xr:uid="{2F8E51DC-F40B-44E0-B307-5E765F6695B7}"/>
    <cellStyle name="40% - Ênfase6 2 2 3" xfId="2197" xr:uid="{A5ACAA2B-7442-42D0-9ECF-0F3191E48D34}"/>
    <cellStyle name="40% - Ênfase6 2 3" xfId="345" xr:uid="{23490D30-0862-476B-8156-9B9F883FB307}"/>
    <cellStyle name="40% - Ênfase6 2 3 2" xfId="1701" xr:uid="{7CA94E66-9669-4993-B70E-C510693561EB}"/>
    <cellStyle name="40% - Ênfase6 2 3 2 2" xfId="3514" xr:uid="{6B80C7FC-D91F-4920-AF84-B1C20562E886}"/>
    <cellStyle name="40% - Ênfase6 2 3 3" xfId="2626" xr:uid="{6C9534C9-E7EB-4419-94F4-B28A5ABFBE34}"/>
    <cellStyle name="40% - Ênfase6 2 4" xfId="950" xr:uid="{AB435E26-A6D4-460B-8903-6B9E1D5EF943}"/>
    <cellStyle name="40% - Ênfase6 2 4 2" xfId="2802" xr:uid="{C23FA21D-5440-4546-A462-BA2845F91110}"/>
    <cellStyle name="40% - Ênfase6 2 5" xfId="1875" xr:uid="{C26D95C1-8D44-4DF4-8B35-53FBDF6399C2}"/>
    <cellStyle name="40% - Ênfase6 20" xfId="1853" xr:uid="{AD2A79E2-471E-4561-B71E-7ADACD7967AB}"/>
    <cellStyle name="40% - Ênfase6 3" xfId="81" xr:uid="{A6B2B891-4D55-47CA-9822-03A59391FAB2}"/>
    <cellStyle name="40% - Ênfase6 3 2" xfId="687" xr:uid="{C5D1611B-3171-463B-9BB4-3577115EF466}"/>
    <cellStyle name="40% - Ênfase6 3 2 2" xfId="1290" xr:uid="{A77D7F09-2429-4921-A4AF-01F75E1A0EC0}"/>
    <cellStyle name="40% - Ênfase6 3 2 2 2" xfId="3142" xr:uid="{F274A36F-3BD6-484E-8CAE-AB109DF12AE1}"/>
    <cellStyle name="40% - Ênfase6 3 2 3" xfId="2215" xr:uid="{747C4864-20F0-460F-872F-2A8D8F5443B7}"/>
    <cellStyle name="40% - Ênfase6 3 3" xfId="363" xr:uid="{60BEDFEB-3732-452F-A491-969274EF1515}"/>
    <cellStyle name="40% - Ênfase6 3 3 2" xfId="1530" xr:uid="{8EF2B39D-0104-4019-8D04-2FD13FB88A11}"/>
    <cellStyle name="40% - Ênfase6 3 3 2 2" xfId="3382" xr:uid="{B994E64E-8BD8-417D-A1D9-DEEF9C864B0A}"/>
    <cellStyle name="40% - Ênfase6 3 3 3" xfId="2455" xr:uid="{6AAA71EB-94C8-4C30-8388-42C84C10A146}"/>
    <cellStyle name="40% - Ênfase6 3 4" xfId="968" xr:uid="{6DD28198-93A7-432C-BA03-895BC633295C}"/>
    <cellStyle name="40% - Ênfase6 3 4 2" xfId="2820" xr:uid="{B71B753B-21C3-4B11-9DF1-058D322161F2}"/>
    <cellStyle name="40% - Ênfase6 3 5" xfId="1893" xr:uid="{840C450C-BBB3-4D49-BFA7-FC04DCBE2837}"/>
    <cellStyle name="40% - Ênfase6 4" xfId="103" xr:uid="{F585B17B-D5D8-4572-BC6F-B6357DDE609D}"/>
    <cellStyle name="40% - Ênfase6 4 2" xfId="709" xr:uid="{D3836CD8-3921-466C-9772-A19F1889B8BA}"/>
    <cellStyle name="40% - Ênfase6 4 2 2" xfId="1312" xr:uid="{BB5B9FFA-3EED-487D-9472-FC89C288480B}"/>
    <cellStyle name="40% - Ênfase6 4 2 2 2" xfId="3164" xr:uid="{B13D0FFE-EA33-4896-BC0E-F96D3205B436}"/>
    <cellStyle name="40% - Ênfase6 4 2 3" xfId="2237" xr:uid="{EDF18D71-F9CF-4E3D-BA4E-8076C85DE639}"/>
    <cellStyle name="40% - Ênfase6 4 3" xfId="385" xr:uid="{4401A785-2ABE-457D-8412-BECFFA91CB8B}"/>
    <cellStyle name="40% - Ênfase6 4 3 2" xfId="1622" xr:uid="{2B5BDD8B-9472-49F3-B6E9-60532592EA0A}"/>
    <cellStyle name="40% - Ênfase6 4 3 2 2" xfId="3474" xr:uid="{78231355-8E37-4AAC-8785-022844BC4FA2}"/>
    <cellStyle name="40% - Ênfase6 4 3 3" xfId="2547" xr:uid="{027EEA8C-F3CF-4039-A3B3-B3A0E6AD8422}"/>
    <cellStyle name="40% - Ênfase6 4 4" xfId="990" xr:uid="{94BA4C7E-F564-49D6-9482-E3E67630C1F8}"/>
    <cellStyle name="40% - Ênfase6 4 4 2" xfId="2842" xr:uid="{F7AE4282-50F9-48D5-A3E1-EDD2BA678902}"/>
    <cellStyle name="40% - Ênfase6 4 5" xfId="1915" xr:uid="{93177675-8B86-484E-9AE2-F1A1FA0BEB3B}"/>
    <cellStyle name="40% - Ênfase6 5" xfId="123" xr:uid="{00BAE5A6-DA56-445D-90A8-E600CF66896D}"/>
    <cellStyle name="40% - Ênfase6 5 2" xfId="729" xr:uid="{2C4312E6-F243-467D-B6BF-F750563B099E}"/>
    <cellStyle name="40% - Ênfase6 5 2 2" xfId="1332" xr:uid="{BB0F257C-75C5-4A91-9972-B6E943EE4DE8}"/>
    <cellStyle name="40% - Ênfase6 5 2 2 2" xfId="3184" xr:uid="{7719141F-070C-4E43-8C3F-28507AE93085}"/>
    <cellStyle name="40% - Ênfase6 5 2 3" xfId="2257" xr:uid="{1468E94A-1A26-4B50-B005-A17385E16603}"/>
    <cellStyle name="40% - Ênfase6 5 3" xfId="405" xr:uid="{7FE97531-E3D6-430C-B85D-082204B98621}"/>
    <cellStyle name="40% - Ênfase6 5 3 2" xfId="1709" xr:uid="{1C5A61EE-C3DC-4A9E-892D-CB9E4EF23C09}"/>
    <cellStyle name="40% - Ênfase6 5 3 2 2" xfId="3522" xr:uid="{A7314D2B-D66D-4324-90DF-D2B331B1EB3D}"/>
    <cellStyle name="40% - Ênfase6 5 3 3" xfId="2634" xr:uid="{7EF09A29-BD53-4984-8C18-EC1412D04674}"/>
    <cellStyle name="40% - Ênfase6 5 4" xfId="1010" xr:uid="{1998CC76-4A33-4CC2-BD21-AFBD9C5C6454}"/>
    <cellStyle name="40% - Ênfase6 5 4 2" xfId="2862" xr:uid="{7B621902-929A-47C8-B7EF-0F4B9E21CD94}"/>
    <cellStyle name="40% - Ênfase6 5 5" xfId="1935" xr:uid="{64598618-C961-418D-A671-F5A1AB009B9D}"/>
    <cellStyle name="40% - Ênfase6 6" xfId="143" xr:uid="{3C28A8B2-46A5-4B82-BC3C-084C0A10C4D6}"/>
    <cellStyle name="40% - Ênfase6 6 2" xfId="749" xr:uid="{756B1F3B-60E3-42E5-8E85-7A65506F8F91}"/>
    <cellStyle name="40% - Ênfase6 6 2 2" xfId="1352" xr:uid="{C61CCB7B-4290-429E-B700-69784B61B958}"/>
    <cellStyle name="40% - Ênfase6 6 2 2 2" xfId="3204" xr:uid="{5967A2B3-EF26-4CB2-9634-F596427F61E1}"/>
    <cellStyle name="40% - Ênfase6 6 2 3" xfId="2277" xr:uid="{9515F36C-246B-4F43-A7FA-180A87298955}"/>
    <cellStyle name="40% - Ênfase6 6 3" xfId="425" xr:uid="{108FCEB2-8061-4806-BEA1-DFDD08D2C68C}"/>
    <cellStyle name="40% - Ênfase6 6 3 2" xfId="1621" xr:uid="{F19E80BC-7E5B-4F93-AEF5-4E15086787D7}"/>
    <cellStyle name="40% - Ênfase6 6 3 2 2" xfId="3473" xr:uid="{D1F2CD6F-B8BB-4879-B745-8ED943E80999}"/>
    <cellStyle name="40% - Ênfase6 6 3 3" xfId="2546" xr:uid="{7E5077D8-3D58-408C-833C-24F7247279DB}"/>
    <cellStyle name="40% - Ênfase6 6 4" xfId="1030" xr:uid="{6F0E0836-F1D3-4DD6-BC02-CCAEE582D019}"/>
    <cellStyle name="40% - Ênfase6 6 4 2" xfId="2882" xr:uid="{E4531191-41DC-41BA-B796-A74C505986A5}"/>
    <cellStyle name="40% - Ênfase6 6 5" xfId="1955" xr:uid="{F5B2720B-D16F-4296-9546-ABA0D9E79C61}"/>
    <cellStyle name="40% - Ênfase6 7" xfId="163" xr:uid="{0265A171-9FC7-4CA7-A6FC-D41FE81DA173}"/>
    <cellStyle name="40% - Ênfase6 7 2" xfId="769" xr:uid="{CC1A861A-9745-4E57-AC22-8E35F5585A3C}"/>
    <cellStyle name="40% - Ênfase6 7 2 2" xfId="1372" xr:uid="{7F1163AC-EC47-479A-AD7F-71D7C05D8A65}"/>
    <cellStyle name="40% - Ênfase6 7 2 2 2" xfId="3224" xr:uid="{FA3A536B-36D5-410E-895F-68F9CE35E2DA}"/>
    <cellStyle name="40% - Ênfase6 7 2 3" xfId="2297" xr:uid="{60439CDC-4BD8-4FE1-8E87-3CE1890B158C}"/>
    <cellStyle name="40% - Ênfase6 7 3" xfId="445" xr:uid="{17876BD6-8F97-49A7-938C-484171D672AA}"/>
    <cellStyle name="40% - Ênfase6 7 3 2" xfId="1521" xr:uid="{E080BD5D-1933-43AC-AE68-A18DAB2053C8}"/>
    <cellStyle name="40% - Ênfase6 7 3 2 2" xfId="3373" xr:uid="{561EEC2E-190E-4110-84AE-DE62D520D053}"/>
    <cellStyle name="40% - Ênfase6 7 3 3" xfId="2446" xr:uid="{4F821125-B806-4E02-B47F-9B8C47B9945B}"/>
    <cellStyle name="40% - Ênfase6 7 4" xfId="1050" xr:uid="{476C81B8-46AF-4955-8824-E52126A87E04}"/>
    <cellStyle name="40% - Ênfase6 7 4 2" xfId="2902" xr:uid="{EFC9E25D-7938-45AC-8354-0E1E0736C670}"/>
    <cellStyle name="40% - Ênfase6 7 5" xfId="1975" xr:uid="{BFB05A96-2018-4C11-9FD8-0F8EDE8D7AA1}"/>
    <cellStyle name="40% - Ênfase6 8" xfId="183" xr:uid="{DE66FFAA-AF05-4FF6-9088-A4663B4DC342}"/>
    <cellStyle name="40% - Ênfase6 8 2" xfId="789" xr:uid="{189A58A6-4D01-4C29-B45C-9C7507F52DBF}"/>
    <cellStyle name="40% - Ênfase6 8 2 2" xfId="1392" xr:uid="{A15D8146-7D54-4D7F-A4A6-4EF54AE59F97}"/>
    <cellStyle name="40% - Ênfase6 8 2 2 2" xfId="3244" xr:uid="{89856C68-7416-4769-8725-299F7712961F}"/>
    <cellStyle name="40% - Ênfase6 8 2 3" xfId="2317" xr:uid="{B944342E-AA27-469D-AE16-DBE7C682A7D3}"/>
    <cellStyle name="40% - Ênfase6 8 3" xfId="465" xr:uid="{B77877AC-95B0-4E22-8BE4-6D0B56D8C0E4}"/>
    <cellStyle name="40% - Ênfase6 8 3 2" xfId="1648" xr:uid="{DA5ABEC6-EEDE-42D0-95B9-4FF000D2F14D}"/>
    <cellStyle name="40% - Ênfase6 8 3 2 2" xfId="3500" xr:uid="{80C50083-02AA-4F49-BDDE-2FE3CA76ADA4}"/>
    <cellStyle name="40% - Ênfase6 8 3 3" xfId="2573" xr:uid="{1E2909E1-C2F5-498F-B8F7-FAC5FDFF6CAE}"/>
    <cellStyle name="40% - Ênfase6 8 4" xfId="1070" xr:uid="{3D021E77-BA74-4BF3-9E19-FD797D4B0CC6}"/>
    <cellStyle name="40% - Ênfase6 8 4 2" xfId="2922" xr:uid="{98C1DDD8-B32E-4721-B8AC-27DF08369D6B}"/>
    <cellStyle name="40% - Ênfase6 8 5" xfId="1995" xr:uid="{D5FF9847-3B57-41D5-9BE7-CC1F84429B2E}"/>
    <cellStyle name="40% - Ênfase6 9" xfId="203" xr:uid="{537BE0FA-7370-4085-87EB-73CB69EB7787}"/>
    <cellStyle name="40% - Ênfase6 9 2" xfId="809" xr:uid="{470030FB-483F-465F-94FB-AFDBCDCE0734}"/>
    <cellStyle name="40% - Ênfase6 9 2 2" xfId="1412" xr:uid="{780C676F-9167-4C20-9664-968A354118BB}"/>
    <cellStyle name="40% - Ênfase6 9 2 2 2" xfId="3264" xr:uid="{871D39DC-4219-40CF-9229-129F59D5BA20}"/>
    <cellStyle name="40% - Ênfase6 9 2 3" xfId="2337" xr:uid="{6D126BF4-85B6-4BB5-B241-8E8DAB5871BA}"/>
    <cellStyle name="40% - Ênfase6 9 3" xfId="485" xr:uid="{F634DC9A-21B3-4DC8-8BC0-C8E66D1BC47C}"/>
    <cellStyle name="40% - Ênfase6 9 3 2" xfId="1528" xr:uid="{57318FB8-1469-4E5C-9A01-AD36A4D06D49}"/>
    <cellStyle name="40% - Ênfase6 9 3 2 2" xfId="3380" xr:uid="{7ED70B60-683A-4ADC-BA84-D52D44A97684}"/>
    <cellStyle name="40% - Ênfase6 9 3 3" xfId="2453" xr:uid="{AB92B65A-ED6B-4373-BE02-C8763A3B5E3B}"/>
    <cellStyle name="40% - Ênfase6 9 4" xfId="1090" xr:uid="{7AAF60FC-CF92-439F-8521-1766FC973FE4}"/>
    <cellStyle name="40% - Ênfase6 9 4 2" xfId="2942" xr:uid="{9D2EC218-5038-492C-BFAA-7C4CEC5653AD}"/>
    <cellStyle name="40% - Ênfase6 9 5" xfId="2015" xr:uid="{7A8F136F-38AE-40EB-ADB2-A3CF5D88A86E}"/>
    <cellStyle name="60% - Ênfase1" xfId="21" builtinId="32" customBuiltin="1"/>
    <cellStyle name="60% - Ênfase1 10" xfId="210" xr:uid="{04C0ECD6-3432-440F-9F1F-CAA5458782C3}"/>
    <cellStyle name="60% - Ênfase1 10 2" xfId="816" xr:uid="{8C4AD702-6B6E-43F1-AE6B-230BCF29E9FF}"/>
    <cellStyle name="60% - Ênfase1 10 2 2" xfId="1419" xr:uid="{3A4B9726-0977-4AC9-A7D5-3B76DC1155C1}"/>
    <cellStyle name="60% - Ênfase1 10 2 2 2" xfId="3271" xr:uid="{E06BB622-36D9-412C-B938-D26B5906CC35}"/>
    <cellStyle name="60% - Ênfase1 10 2 3" xfId="2344" xr:uid="{3EE7C833-E5C8-4A89-85BD-05B34BE5785F}"/>
    <cellStyle name="60% - Ênfase1 10 3" xfId="492" xr:uid="{F0251DC3-51B0-4FB3-B7FE-F67F28C244F0}"/>
    <cellStyle name="60% - Ênfase1 10 3 2" xfId="1797" xr:uid="{58FE00E1-8B85-42A2-B80B-770BB7363078}"/>
    <cellStyle name="60% - Ênfase1 10 3 2 2" xfId="3610" xr:uid="{F92D0649-3EC7-4ABA-BCB7-DBFF80375CF8}"/>
    <cellStyle name="60% - Ênfase1 10 3 3" xfId="2722" xr:uid="{F71F094A-32DA-4777-9C01-650949BAFDFF}"/>
    <cellStyle name="60% - Ênfase1 10 4" xfId="1097" xr:uid="{95402B2A-E5AA-4F17-8C97-FD0E0A76480F}"/>
    <cellStyle name="60% - Ênfase1 10 4 2" xfId="2949" xr:uid="{0BA50A12-FC2E-497D-994F-1B24B16A2847}"/>
    <cellStyle name="60% - Ênfase1 10 5" xfId="2022" xr:uid="{BFCBF05E-112F-45BD-99A4-523E06A5D5C3}"/>
    <cellStyle name="60% - Ênfase1 11" xfId="230" xr:uid="{5D24BB91-F4DC-4D43-A70D-12B3B9C697F4}"/>
    <cellStyle name="60% - Ênfase1 11 2" xfId="836" xr:uid="{33A16C53-174C-4806-AEAD-035DC50B5156}"/>
    <cellStyle name="60% - Ênfase1 11 2 2" xfId="1439" xr:uid="{0D33AF01-ACDB-4F2A-9F7C-487B912B6D08}"/>
    <cellStyle name="60% - Ênfase1 11 2 2 2" xfId="3291" xr:uid="{4974F785-64DB-4F66-BB4E-2E65A46F23ED}"/>
    <cellStyle name="60% - Ênfase1 11 2 3" xfId="2364" xr:uid="{46ECC747-99D0-4BB4-BFDC-040BE5D0537E}"/>
    <cellStyle name="60% - Ênfase1 11 3" xfId="512" xr:uid="{B9641640-EE78-423C-B08C-863C0B6AD530}"/>
    <cellStyle name="60% - Ênfase1 11 3 2" xfId="1830" xr:uid="{80DB3863-7107-40AF-A38E-1F63B40753D3}"/>
    <cellStyle name="60% - Ênfase1 11 3 2 2" xfId="3643" xr:uid="{B3EE5DD0-F112-4DA1-AD29-37DF9B0E2273}"/>
    <cellStyle name="60% - Ênfase1 11 3 3" xfId="2755" xr:uid="{36D90140-7573-4C7D-8776-377D68C62F27}"/>
    <cellStyle name="60% - Ênfase1 11 4" xfId="1117" xr:uid="{8BD9B7B9-7BE3-4290-A3DE-C845C19F6137}"/>
    <cellStyle name="60% - Ênfase1 11 4 2" xfId="2969" xr:uid="{EB6699E3-2BD1-41BD-99C4-8CF07F750273}"/>
    <cellStyle name="60% - Ênfase1 11 5" xfId="2042" xr:uid="{303EDD9D-B42B-49EC-8687-8E1E904C6BD4}"/>
    <cellStyle name="60% - Ênfase1 12" xfId="250" xr:uid="{9C6B97D1-A895-4B9C-84FE-13545FE666C8}"/>
    <cellStyle name="60% - Ênfase1 12 2" xfId="856" xr:uid="{D3495A0A-8993-4A17-8048-059F79310649}"/>
    <cellStyle name="60% - Ênfase1 12 2 2" xfId="1459" xr:uid="{83F504DC-22FE-436B-A8E8-0BDAA7A0B059}"/>
    <cellStyle name="60% - Ênfase1 12 2 2 2" xfId="3311" xr:uid="{8DF3C276-1E2B-4585-A362-D1B79E8AA0E5}"/>
    <cellStyle name="60% - Ênfase1 12 2 3" xfId="2384" xr:uid="{C2F73EA8-5032-4181-A15D-F7CAE40654BE}"/>
    <cellStyle name="60% - Ênfase1 12 3" xfId="532" xr:uid="{C087FC6E-8B95-405A-9A69-A34C705A3B0D}"/>
    <cellStyle name="60% - Ênfase1 12 3 2" xfId="1625" xr:uid="{59353AA5-A890-40A0-9C4C-47415DADB0FB}"/>
    <cellStyle name="60% - Ênfase1 12 3 2 2" xfId="3477" xr:uid="{908836D5-5A5F-4F1A-9F72-EA43C64CCEA1}"/>
    <cellStyle name="60% - Ênfase1 12 3 3" xfId="2550" xr:uid="{9D2A55B6-C351-4106-B608-2F2AB60EDC26}"/>
    <cellStyle name="60% - Ênfase1 12 4" xfId="1137" xr:uid="{0AA1D5EE-FD86-446F-98A8-8F614E500F0B}"/>
    <cellStyle name="60% - Ênfase1 12 4 2" xfId="2989" xr:uid="{674FF835-CA98-4128-8A2D-2ACD95F90D3A}"/>
    <cellStyle name="60% - Ênfase1 12 5" xfId="2062" xr:uid="{642A6E8A-D92A-4717-91ED-7A45D7BC2D6A}"/>
    <cellStyle name="60% - Ênfase1 13" xfId="270" xr:uid="{1BD1A391-99C3-4396-A67F-9AA6A1131442}"/>
    <cellStyle name="60% - Ênfase1 13 2" xfId="876" xr:uid="{6EBEED4C-233C-4A20-A37D-7136356198FA}"/>
    <cellStyle name="60% - Ênfase1 13 2 2" xfId="1479" xr:uid="{8E057C3D-1C15-4D91-AE34-886E1BCA0701}"/>
    <cellStyle name="60% - Ênfase1 13 2 2 2" xfId="3331" xr:uid="{C4613F48-7423-4344-86B4-BB0C0F36F70F}"/>
    <cellStyle name="60% - Ênfase1 13 2 3" xfId="2404" xr:uid="{E0BED0AE-E3BA-4145-9218-50BC6EA351C5}"/>
    <cellStyle name="60% - Ênfase1 13 3" xfId="552" xr:uid="{375CDFF7-2C30-48F2-8724-7FE6E44AF9EB}"/>
    <cellStyle name="60% - Ênfase1 13 3 2" xfId="1524" xr:uid="{B470CB5F-EB26-4FFC-971A-4556E960C1A6}"/>
    <cellStyle name="60% - Ênfase1 13 3 2 2" xfId="3376" xr:uid="{6A159774-90CA-4687-A5B8-653332B40A11}"/>
    <cellStyle name="60% - Ênfase1 13 3 3" xfId="2449" xr:uid="{A2B2AE71-C916-45DC-9A33-12602D3018DC}"/>
    <cellStyle name="60% - Ênfase1 13 4" xfId="1157" xr:uid="{A030C7BE-932A-478F-843D-8791D439D401}"/>
    <cellStyle name="60% - Ênfase1 13 4 2" xfId="3009" xr:uid="{321CC0C5-250E-4BA2-AA86-079DCAA3280E}"/>
    <cellStyle name="60% - Ênfase1 13 5" xfId="2082" xr:uid="{03B1B8FF-CF77-4EC8-B7E0-D7DD05833461}"/>
    <cellStyle name="60% - Ênfase1 14" xfId="290" xr:uid="{B65CE55F-6500-40C8-8A7C-30AAEF1875BB}"/>
    <cellStyle name="60% - Ênfase1 14 2" xfId="896" xr:uid="{4AF23AC8-E82B-43A8-AA5B-8CAA57EB6C12}"/>
    <cellStyle name="60% - Ênfase1 14 2 2" xfId="1499" xr:uid="{80788FF7-C720-4FDE-854D-D13C71C326FF}"/>
    <cellStyle name="60% - Ênfase1 14 2 2 2" xfId="3351" xr:uid="{BED25709-6342-4F45-8007-806C16B2C9E8}"/>
    <cellStyle name="60% - Ênfase1 14 2 3" xfId="2424" xr:uid="{CEE33C2F-D6A3-4840-A012-05BD905662CA}"/>
    <cellStyle name="60% - Ênfase1 14 3" xfId="572" xr:uid="{7446CF0D-F095-4029-9902-8FE60D4B0DEC}"/>
    <cellStyle name="60% - Ênfase1 14 3 2" xfId="1538" xr:uid="{FD5802F1-577F-46F0-BE0C-4394D369E44F}"/>
    <cellStyle name="60% - Ênfase1 14 3 2 2" xfId="3390" xr:uid="{A4A4F907-E6A7-4595-B06C-D13FB2DE74EF}"/>
    <cellStyle name="60% - Ênfase1 14 3 3" xfId="2463" xr:uid="{716E46E1-0913-41EA-9A0A-C6B3ACCDBC65}"/>
    <cellStyle name="60% - Ênfase1 14 4" xfId="1177" xr:uid="{7E0CB194-991B-4ADA-A3FB-E62605746484}"/>
    <cellStyle name="60% - Ênfase1 14 4 2" xfId="3029" xr:uid="{AA0A7704-E160-42AA-B2D8-BF14D04E8E33}"/>
    <cellStyle name="60% - Ênfase1 14 5" xfId="2102" xr:uid="{63595649-041D-46B5-9FD9-AAE3767BF6CC}"/>
    <cellStyle name="60% - Ênfase1 15" xfId="592" xr:uid="{AF3BDEEB-2121-4171-9D5F-461F9383AD2D}"/>
    <cellStyle name="60% - Ênfase1 15 2" xfId="1655" xr:uid="{C0966570-6625-4AB1-A085-1CEA81E1579A}"/>
    <cellStyle name="60% - Ênfase1 15 2 2" xfId="2580" xr:uid="{BCEDEA11-CBA4-46A4-B5B9-D6956C04F9B4}"/>
    <cellStyle name="60% - Ênfase1 15 3" xfId="1197" xr:uid="{5A01C301-8229-44FD-AB2F-5BD4620B3360}"/>
    <cellStyle name="60% - Ênfase1 15 3 2" xfId="3049" xr:uid="{8508570D-86EA-4F69-9316-F9544BA6EF02}"/>
    <cellStyle name="60% - Ênfase1 15 4" xfId="2122" xr:uid="{E4977A9C-0114-4800-B120-CF12F498425D}"/>
    <cellStyle name="60% - Ênfase1 16" xfId="612" xr:uid="{141EFF5B-19B3-446B-9459-DF01FA32CFE4}"/>
    <cellStyle name="60% - Ênfase1 16 2" xfId="1675" xr:uid="{414B91A8-A062-40FF-9300-3E4782744621}"/>
    <cellStyle name="60% - Ênfase1 16 2 2" xfId="2600" xr:uid="{AA6ED20D-3F38-4DB6-BA11-B965695F91A4}"/>
    <cellStyle name="60% - Ênfase1 16 3" xfId="1217" xr:uid="{B11174E3-3BEA-4383-9300-B425177F96D7}"/>
    <cellStyle name="60% - Ênfase1 16 3 2" xfId="3069" xr:uid="{558A952F-4AA9-4672-8B56-033DCEA9CD96}"/>
    <cellStyle name="60% - Ênfase1 16 4" xfId="2142" xr:uid="{DF0C675E-8C3E-45AC-97CB-16A95DE5EAAD}"/>
    <cellStyle name="60% - Ênfase1 17" xfId="632" xr:uid="{2990D00B-394C-459F-A5B8-35A3613E3DA9}"/>
    <cellStyle name="60% - Ênfase1 17 2" xfId="1236" xr:uid="{F1BF89C6-2FAD-43DD-87EA-D98254DCB487}"/>
    <cellStyle name="60% - Ênfase1 17 2 2" xfId="3088" xr:uid="{F0BC789A-9995-47EA-BFF7-440868B15D8B}"/>
    <cellStyle name="60% - Ênfase1 17 3" xfId="2161" xr:uid="{F882A2AA-2678-437F-B3A4-5D7C67C7F8A6}"/>
    <cellStyle name="60% - Ênfase1 18" xfId="309" xr:uid="{21EFBE81-A528-411B-A263-4FC1E25A0E09}"/>
    <cellStyle name="60% - Ênfase1 18 2" xfId="1732" xr:uid="{144E9B35-A5BE-4C00-A236-A587801CFE9D}"/>
    <cellStyle name="60% - Ênfase1 18 2 2" xfId="3545" xr:uid="{2D3E05D0-D130-40A7-A637-3F3413D6EB3F}"/>
    <cellStyle name="60% - Ênfase1 18 3" xfId="2657" xr:uid="{9DAB37EE-04DD-4D61-AB27-38CF1147D177}"/>
    <cellStyle name="60% - Ênfase1 19" xfId="914" xr:uid="{10610F0C-4A66-4775-B77B-3B8EE1C1413C}"/>
    <cellStyle name="60% - Ênfase1 19 2" xfId="2766" xr:uid="{7FB6C82E-28C5-48D0-BA1B-F1853C8F777C}"/>
    <cellStyle name="60% - Ênfase1 2" xfId="49" xr:uid="{1B978E0D-68A3-4F50-A782-E9373DE8EAAA}"/>
    <cellStyle name="60% - Ênfase1 2 2" xfId="655" xr:uid="{2D2C8636-DC85-4167-8CBF-9E0641B01235}"/>
    <cellStyle name="60% - Ênfase1 2 2 2" xfId="1258" xr:uid="{3EAB4D1B-F8A5-4FD3-ABCD-EA1D45E1C77E}"/>
    <cellStyle name="60% - Ênfase1 2 2 2 2" xfId="3110" xr:uid="{565D3E43-7622-4915-849A-09F10C66E66A}"/>
    <cellStyle name="60% - Ênfase1 2 2 3" xfId="2183" xr:uid="{2470770C-1315-464E-BC02-7257690D4911}"/>
    <cellStyle name="60% - Ênfase1 2 3" xfId="331" xr:uid="{A1FB1E99-0678-4A44-9D01-5A0CA9A46038}"/>
    <cellStyle name="60% - Ênfase1 2 3 2" xfId="1542" xr:uid="{6CB40189-6D12-4DB5-9753-328459443EA4}"/>
    <cellStyle name="60% - Ênfase1 2 3 2 2" xfId="3394" xr:uid="{B0605400-145E-4A15-B8DD-473C9E08980B}"/>
    <cellStyle name="60% - Ênfase1 2 3 3" xfId="2467" xr:uid="{626CE178-1326-4E28-969B-ED9A4A561514}"/>
    <cellStyle name="60% - Ênfase1 2 4" xfId="936" xr:uid="{1B8B3CD0-40F3-45B7-A70B-A2C337D48CEA}"/>
    <cellStyle name="60% - Ênfase1 2 4 2" xfId="2788" xr:uid="{2C3B3EF7-706D-4E3F-A479-C277AD76564A}"/>
    <cellStyle name="60% - Ênfase1 2 5" xfId="1861" xr:uid="{7379247C-086B-40B4-B907-7EAB22E58CA3}"/>
    <cellStyle name="60% - Ênfase1 20" xfId="1839" xr:uid="{C767C60F-2815-4B35-A832-49E4D05EFFF0}"/>
    <cellStyle name="60% - Ênfase1 3" xfId="67" xr:uid="{375A8313-0BEB-423C-8F6A-CA1E1AA6EC74}"/>
    <cellStyle name="60% - Ênfase1 3 2" xfId="673" xr:uid="{B0C8E2BF-A286-4580-BE9D-9306E57F1E36}"/>
    <cellStyle name="60% - Ênfase1 3 2 2" xfId="1276" xr:uid="{A1F3DEEE-E62D-4A66-ADEC-14BEA1B74754}"/>
    <cellStyle name="60% - Ênfase1 3 2 2 2" xfId="3128" xr:uid="{90A78692-5F96-4282-9FEC-6C4CA67893FC}"/>
    <cellStyle name="60% - Ênfase1 3 2 3" xfId="2201" xr:uid="{5819C583-EF67-4E25-95E5-111068FCADED}"/>
    <cellStyle name="60% - Ênfase1 3 3" xfId="349" xr:uid="{2370C168-1D0B-4745-B6EF-BF494F204A4B}"/>
    <cellStyle name="60% - Ênfase1 3 3 2" xfId="1624" xr:uid="{477561AF-5317-4367-8494-4404F86F9F53}"/>
    <cellStyle name="60% - Ênfase1 3 3 2 2" xfId="3476" xr:uid="{2DB7A98E-ECB8-422B-AAAE-8D1296A94F50}"/>
    <cellStyle name="60% - Ênfase1 3 3 3" xfId="2549" xr:uid="{79DBE8F0-D588-4BED-9C6A-A6EF9ACCF1A3}"/>
    <cellStyle name="60% - Ênfase1 3 4" xfId="954" xr:uid="{54B4A317-2552-47DE-89E5-515FDF4BF2B4}"/>
    <cellStyle name="60% - Ênfase1 3 4 2" xfId="2806" xr:uid="{6DE9A626-C2DD-431D-B496-5DA341AACEF2}"/>
    <cellStyle name="60% - Ênfase1 3 5" xfId="1879" xr:uid="{CCA74D41-8F90-46D2-9EC7-6E8E15185E6B}"/>
    <cellStyle name="60% - Ênfase1 4" xfId="89" xr:uid="{0739D21B-0BFC-40A6-BDD7-4319C7598550}"/>
    <cellStyle name="60% - Ênfase1 4 2" xfId="695" xr:uid="{7DEA0A11-1653-485A-96FC-8744BCCF3B7E}"/>
    <cellStyle name="60% - Ênfase1 4 2 2" xfId="1298" xr:uid="{5E7EAD75-1CF0-41E1-BDAD-74EA8E231BE0}"/>
    <cellStyle name="60% - Ênfase1 4 2 2 2" xfId="3150" xr:uid="{51876025-461F-450F-B845-BD528AAE37A1}"/>
    <cellStyle name="60% - Ênfase1 4 2 3" xfId="2223" xr:uid="{17EA542F-4110-47B6-B592-F8BB92FEE926}"/>
    <cellStyle name="60% - Ênfase1 4 3" xfId="371" xr:uid="{EEC588B3-4D11-431F-BC82-51AFF4F21688}"/>
    <cellStyle name="60% - Ênfase1 4 3 2" xfId="1811" xr:uid="{9ADA63F8-3FFD-43B3-B88E-796A6BE3B933}"/>
    <cellStyle name="60% - Ênfase1 4 3 2 2" xfId="3624" xr:uid="{F28DCCC4-D52E-425E-8E91-454535474095}"/>
    <cellStyle name="60% - Ênfase1 4 3 3" xfId="2736" xr:uid="{573130B6-FF15-479F-8154-580938DBE4F2}"/>
    <cellStyle name="60% - Ênfase1 4 4" xfId="976" xr:uid="{1AB1AF9E-F008-4F38-BEA7-1767C5E22A4B}"/>
    <cellStyle name="60% - Ênfase1 4 4 2" xfId="2828" xr:uid="{7BA1EA86-ABF6-44BC-A1C2-9FC160D8660F}"/>
    <cellStyle name="60% - Ênfase1 4 5" xfId="1901" xr:uid="{92A5D87B-E263-4701-BEC0-B778F5D6433D}"/>
    <cellStyle name="60% - Ênfase1 5" xfId="109" xr:uid="{2F528672-70D5-4EFA-B7D1-0EBDBEE0CB65}"/>
    <cellStyle name="60% - Ênfase1 5 2" xfId="715" xr:uid="{186747E1-C279-4EE2-9349-03442FA3CAE0}"/>
    <cellStyle name="60% - Ênfase1 5 2 2" xfId="1318" xr:uid="{0C1BAAB4-935F-44E0-A344-3D845D58ECD0}"/>
    <cellStyle name="60% - Ênfase1 5 2 2 2" xfId="3170" xr:uid="{2F9BE2C7-61BC-4B41-A951-6C8883B6FA75}"/>
    <cellStyle name="60% - Ênfase1 5 2 3" xfId="2243" xr:uid="{10EA01E1-1129-4224-BBC6-671C4921BDDF}"/>
    <cellStyle name="60% - Ênfase1 5 3" xfId="391" xr:uid="{2D1B1597-3CFE-497F-8014-968C14FED19D}"/>
    <cellStyle name="60% - Ênfase1 5 3 2" xfId="1599" xr:uid="{A30BD979-5140-453B-A36F-F53D248A6501}"/>
    <cellStyle name="60% - Ênfase1 5 3 2 2" xfId="3451" xr:uid="{D7C19E8C-3F1A-4AA1-BD5F-47115E4952D4}"/>
    <cellStyle name="60% - Ênfase1 5 3 3" xfId="2524" xr:uid="{E561A536-5D8D-444B-A5ED-29530FF32795}"/>
    <cellStyle name="60% - Ênfase1 5 4" xfId="996" xr:uid="{66D612DE-A2FD-4112-8656-7309D3CC3F14}"/>
    <cellStyle name="60% - Ênfase1 5 4 2" xfId="2848" xr:uid="{0A5BAFF2-0688-4A30-BDEC-509CC75BAEFD}"/>
    <cellStyle name="60% - Ênfase1 5 5" xfId="1921" xr:uid="{D08E5F36-F04B-4E64-85B6-ACD9A3A44C4A}"/>
    <cellStyle name="60% - Ênfase1 6" xfId="129" xr:uid="{2954CB06-35F2-4726-A373-604EAC8498A5}"/>
    <cellStyle name="60% - Ênfase1 6 2" xfId="735" xr:uid="{EA9479C0-0A5C-404B-9F68-C42B9B9B09F6}"/>
    <cellStyle name="60% - Ênfase1 6 2 2" xfId="1338" xr:uid="{28049ED7-58A8-492B-9464-94F9FF6A0459}"/>
    <cellStyle name="60% - Ênfase1 6 2 2 2" xfId="3190" xr:uid="{54064CEE-3C0D-4829-9990-F2BB14E9DCD4}"/>
    <cellStyle name="60% - Ênfase1 6 2 3" xfId="2263" xr:uid="{7CE96259-F699-4FD6-A017-9131CF5C3F56}"/>
    <cellStyle name="60% - Ênfase1 6 3" xfId="411" xr:uid="{4D4896A3-6D44-4390-8B42-66847D8046BC}"/>
    <cellStyle name="60% - Ênfase1 6 3 2" xfId="1567" xr:uid="{14926C7B-4D18-4FDD-BA77-D7AD4DB28465}"/>
    <cellStyle name="60% - Ênfase1 6 3 2 2" xfId="3419" xr:uid="{5CCB042A-615E-485A-9E35-F5261A438C43}"/>
    <cellStyle name="60% - Ênfase1 6 3 3" xfId="2492" xr:uid="{8A99BEC6-6D29-4942-B0E7-A0DDC700EDC3}"/>
    <cellStyle name="60% - Ênfase1 6 4" xfId="1016" xr:uid="{F1137AAB-7A8F-4360-A57F-15DC724E96BB}"/>
    <cellStyle name="60% - Ênfase1 6 4 2" xfId="2868" xr:uid="{FCB22872-96C1-4EBD-A0DA-C5DB1DA772AA}"/>
    <cellStyle name="60% - Ênfase1 6 5" xfId="1941" xr:uid="{99C9A8C2-D0CE-426A-881E-8A7D81FC6247}"/>
    <cellStyle name="60% - Ênfase1 7" xfId="149" xr:uid="{C375077F-8826-400B-BF8F-07804DD5C1C6}"/>
    <cellStyle name="60% - Ênfase1 7 2" xfId="755" xr:uid="{3411938F-B6A7-488A-BA14-F1DF8E54348A}"/>
    <cellStyle name="60% - Ênfase1 7 2 2" xfId="1358" xr:uid="{7FE75BA9-575C-408F-BE65-A647791E6928}"/>
    <cellStyle name="60% - Ênfase1 7 2 2 2" xfId="3210" xr:uid="{7E5298F8-EBE8-464E-9A76-5259BAF9879C}"/>
    <cellStyle name="60% - Ênfase1 7 2 3" xfId="2283" xr:uid="{D0147F39-71DE-4F15-8F13-65424B843EF9}"/>
    <cellStyle name="60% - Ênfase1 7 3" xfId="431" xr:uid="{F581E834-BAE6-4A2D-96F0-BE2FB350612D}"/>
    <cellStyle name="60% - Ênfase1 7 3 2" xfId="1634" xr:uid="{2ACE9A47-B3F5-4D47-9AFA-D74A9D912143}"/>
    <cellStyle name="60% - Ênfase1 7 3 2 2" xfId="3486" xr:uid="{53933154-CF72-4E89-A77C-3E6E665A0C77}"/>
    <cellStyle name="60% - Ênfase1 7 3 3" xfId="2559" xr:uid="{CE27F43A-8209-4DB9-B900-05DEE1C5C9C2}"/>
    <cellStyle name="60% - Ênfase1 7 4" xfId="1036" xr:uid="{795DDB67-9041-402F-88C8-4F37D537521D}"/>
    <cellStyle name="60% - Ênfase1 7 4 2" xfId="2888" xr:uid="{B4983EBA-EBDB-4B72-B347-3879BF6D65EF}"/>
    <cellStyle name="60% - Ênfase1 7 5" xfId="1961" xr:uid="{D2770897-7144-48FC-A46D-30DD51F3CF55}"/>
    <cellStyle name="60% - Ênfase1 8" xfId="169" xr:uid="{8BC7AED0-1394-45AC-8366-EC11A52F79CF}"/>
    <cellStyle name="60% - Ênfase1 8 2" xfId="775" xr:uid="{4ADCA263-070E-4BCB-ABA0-6747CA5CA37B}"/>
    <cellStyle name="60% - Ênfase1 8 2 2" xfId="1378" xr:uid="{2B04D729-E56F-4BD4-9942-01F7289B5A53}"/>
    <cellStyle name="60% - Ênfase1 8 2 2 2" xfId="3230" xr:uid="{A7EA433E-B205-45C1-B7F0-75117E4962E7}"/>
    <cellStyle name="60% - Ênfase1 8 2 3" xfId="2303" xr:uid="{2C2562B4-51BA-45BD-84FD-22105287E91C}"/>
    <cellStyle name="60% - Ênfase1 8 3" xfId="451" xr:uid="{B31219A4-EF13-40AE-9E42-5330DC65207B}"/>
    <cellStyle name="60% - Ênfase1 8 3 2" xfId="1749" xr:uid="{152BCFE0-09B9-40B4-89FB-0665031774CA}"/>
    <cellStyle name="60% - Ênfase1 8 3 2 2" xfId="3562" xr:uid="{C63ED201-571B-4DD9-8914-B501182C16BB}"/>
    <cellStyle name="60% - Ênfase1 8 3 3" xfId="2674" xr:uid="{C0D210BC-B5CC-4E28-954A-FD7155AD97B7}"/>
    <cellStyle name="60% - Ênfase1 8 4" xfId="1056" xr:uid="{6B66B902-91C6-4EDD-AED5-A6828D1434CE}"/>
    <cellStyle name="60% - Ênfase1 8 4 2" xfId="2908" xr:uid="{24E931A5-F1B1-44D4-A217-740A400449F9}"/>
    <cellStyle name="60% - Ênfase1 8 5" xfId="1981" xr:uid="{23E7F2D8-10B1-4F76-8BF0-2DA554CF4586}"/>
    <cellStyle name="60% - Ênfase1 9" xfId="189" xr:uid="{C9B1557A-23EE-4D84-85E9-4F1FD983E66B}"/>
    <cellStyle name="60% - Ênfase1 9 2" xfId="795" xr:uid="{07B145E5-BA2B-49D9-8D17-A553CC78CB20}"/>
    <cellStyle name="60% - Ênfase1 9 2 2" xfId="1398" xr:uid="{5E553E11-7B62-4E83-9C2D-9B6614034ED3}"/>
    <cellStyle name="60% - Ênfase1 9 2 2 2" xfId="3250" xr:uid="{39A04989-DB96-428E-BF91-5EDF7B343CE6}"/>
    <cellStyle name="60% - Ênfase1 9 2 3" xfId="2323" xr:uid="{E5EFD736-D979-46EF-B1F2-8A3A7B935583}"/>
    <cellStyle name="60% - Ênfase1 9 3" xfId="471" xr:uid="{C12418A5-5B8A-48B4-8C91-4D9727A54104}"/>
    <cellStyle name="60% - Ênfase1 9 3 2" xfId="1535" xr:uid="{8F420F19-B3CC-44A8-95C3-17F7D7F5D9A7}"/>
    <cellStyle name="60% - Ênfase1 9 3 2 2" xfId="3387" xr:uid="{D3D46C02-C830-42DD-8C8E-CA0CB1589453}"/>
    <cellStyle name="60% - Ênfase1 9 3 3" xfId="2460" xr:uid="{87852BE4-894D-47A1-BACF-0024B0CD0E04}"/>
    <cellStyle name="60% - Ênfase1 9 4" xfId="1076" xr:uid="{80F30F06-0DAB-4817-8F6E-800A4C433928}"/>
    <cellStyle name="60% - Ênfase1 9 4 2" xfId="2928" xr:uid="{E85B0D38-C5CD-4A8C-A2F2-228DFBA7CEF6}"/>
    <cellStyle name="60% - Ênfase1 9 5" xfId="2001" xr:uid="{79C65451-5FFE-462C-AF5D-876798545EAF}"/>
    <cellStyle name="60% - Ênfase2" xfId="25" builtinId="36" customBuiltin="1"/>
    <cellStyle name="60% - Ênfase2 10" xfId="213" xr:uid="{7A8371DE-F3AC-4F9D-A85D-45941461D2D1}"/>
    <cellStyle name="60% - Ênfase2 10 2" xfId="819" xr:uid="{F0157E35-39E0-400F-82D8-724AC976F781}"/>
    <cellStyle name="60% - Ênfase2 10 2 2" xfId="1422" xr:uid="{9E4C3754-FDEB-42CB-9A29-F343FCB2751D}"/>
    <cellStyle name="60% - Ênfase2 10 2 2 2" xfId="3274" xr:uid="{9F7D01DB-35E6-4630-B6C2-63D84DDFC14C}"/>
    <cellStyle name="60% - Ênfase2 10 2 3" xfId="2347" xr:uid="{3440B2F2-60D7-4DEF-90B7-B979B640990F}"/>
    <cellStyle name="60% - Ênfase2 10 3" xfId="495" xr:uid="{7D8F4AD7-9B44-4A7B-B7FD-DAF23A0AE4F7}"/>
    <cellStyle name="60% - Ênfase2 10 3 2" xfId="1571" xr:uid="{DD76CB5C-0082-4189-970C-35BED7D08F20}"/>
    <cellStyle name="60% - Ênfase2 10 3 2 2" xfId="3423" xr:uid="{E5EE0202-D7BD-497B-B8E5-CDCDB6219612}"/>
    <cellStyle name="60% - Ênfase2 10 3 3" xfId="2496" xr:uid="{F433C60A-E941-406D-BFA2-315DA433E837}"/>
    <cellStyle name="60% - Ênfase2 10 4" xfId="1100" xr:uid="{CD3EB239-F774-46A6-9122-216658FDFF25}"/>
    <cellStyle name="60% - Ênfase2 10 4 2" xfId="2952" xr:uid="{E0ECFC71-24D2-42CF-9573-0F57B3B42442}"/>
    <cellStyle name="60% - Ênfase2 10 5" xfId="2025" xr:uid="{A7E52405-4522-4DE9-AA8A-522ED6EAABE2}"/>
    <cellStyle name="60% - Ênfase2 11" xfId="233" xr:uid="{82870B6D-7E45-40E8-97DC-BE535545823F}"/>
    <cellStyle name="60% - Ênfase2 11 2" xfId="839" xr:uid="{32459212-1491-4886-B99F-3531055EB7EE}"/>
    <cellStyle name="60% - Ênfase2 11 2 2" xfId="1442" xr:uid="{BAB7EF09-53DD-4897-9A19-67FA3EB6EFD9}"/>
    <cellStyle name="60% - Ênfase2 11 2 2 2" xfId="3294" xr:uid="{BAD6DBA9-3CE1-4385-82D2-10D90062209B}"/>
    <cellStyle name="60% - Ênfase2 11 2 3" xfId="2367" xr:uid="{9F55CCE6-13DA-427F-A581-983BE16886EC}"/>
    <cellStyle name="60% - Ênfase2 11 3" xfId="515" xr:uid="{D6D46FBD-A7D8-4AF1-BDFD-A8DE4DE3A166}"/>
    <cellStyle name="60% - Ênfase2 11 3 2" xfId="1727" xr:uid="{33565FE1-2676-4E70-8692-31B03FE16DA8}"/>
    <cellStyle name="60% - Ênfase2 11 3 2 2" xfId="3540" xr:uid="{06AB2BA7-6ADB-435D-88A4-9C3A463C9D02}"/>
    <cellStyle name="60% - Ênfase2 11 3 3" xfId="2652" xr:uid="{1EA0042A-3ECF-4571-A2B9-7FC329F1D5D0}"/>
    <cellStyle name="60% - Ênfase2 11 4" xfId="1120" xr:uid="{FD76A501-7D57-40EB-8A12-0B82D7DF96FE}"/>
    <cellStyle name="60% - Ênfase2 11 4 2" xfId="2972" xr:uid="{2EBAF29C-4ED9-4E8C-B1DB-472D4AC5DD32}"/>
    <cellStyle name="60% - Ênfase2 11 5" xfId="2045" xr:uid="{63795BDD-7E61-4686-B83C-ED80C54FA581}"/>
    <cellStyle name="60% - Ênfase2 12" xfId="253" xr:uid="{8B9924CB-13CC-496E-8765-A4386CEAD30F}"/>
    <cellStyle name="60% - Ênfase2 12 2" xfId="859" xr:uid="{07DE1340-0B0B-4349-AE18-0CBE640EF042}"/>
    <cellStyle name="60% - Ênfase2 12 2 2" xfId="1462" xr:uid="{64336478-BD32-42B4-907E-F6AFC8023844}"/>
    <cellStyle name="60% - Ênfase2 12 2 2 2" xfId="3314" xr:uid="{3168A115-466E-413A-ADA7-06C71F52BD92}"/>
    <cellStyle name="60% - Ênfase2 12 2 3" xfId="2387" xr:uid="{390C4BD8-1D56-41E4-ABF2-0FA879C7B4AD}"/>
    <cellStyle name="60% - Ênfase2 12 3" xfId="535" xr:uid="{2DBB1C61-2F54-4748-8032-8E352D496F65}"/>
    <cellStyle name="60% - Ênfase2 12 3 2" xfId="1697" xr:uid="{30E2401E-ABF5-47BA-A73E-F2313F7ADA5A}"/>
    <cellStyle name="60% - Ênfase2 12 3 2 2" xfId="3510" xr:uid="{AA322F71-4DC3-4508-A158-C0B4D7B4051F}"/>
    <cellStyle name="60% - Ênfase2 12 3 3" xfId="2622" xr:uid="{DED9A642-22CC-4F0C-8F98-C07B90C96D87}"/>
    <cellStyle name="60% - Ênfase2 12 4" xfId="1140" xr:uid="{CC6B3A3A-DE66-4017-A0D4-CEC8A34BC04C}"/>
    <cellStyle name="60% - Ênfase2 12 4 2" xfId="2992" xr:uid="{31DB85AA-51A1-45C6-AA65-EBC8DD40A1C6}"/>
    <cellStyle name="60% - Ênfase2 12 5" xfId="2065" xr:uid="{F9FABA9B-E5B9-40E7-825D-CCD37187F6CA}"/>
    <cellStyle name="60% - Ênfase2 13" xfId="273" xr:uid="{A7330128-2C8E-428A-9122-2A9F0DDE6F89}"/>
    <cellStyle name="60% - Ênfase2 13 2" xfId="879" xr:uid="{15F48659-749E-4FF6-B0D5-A39A2047F431}"/>
    <cellStyle name="60% - Ênfase2 13 2 2" xfId="1482" xr:uid="{9145E473-8D30-4EE4-9B16-137C3E1018EB}"/>
    <cellStyle name="60% - Ênfase2 13 2 2 2" xfId="3334" xr:uid="{4EBAA838-DBF5-454E-A982-616918D1592E}"/>
    <cellStyle name="60% - Ênfase2 13 2 3" xfId="2407" xr:uid="{D2FD6303-7292-45B1-AF0E-B29EAF89D132}"/>
    <cellStyle name="60% - Ênfase2 13 3" xfId="555" xr:uid="{337CFAEF-BAA2-428F-828A-45DA7FE3A310}"/>
    <cellStyle name="60% - Ênfase2 13 3 2" xfId="1712" xr:uid="{0C9E089A-3F24-4F60-8539-39B0A1C0625E}"/>
    <cellStyle name="60% - Ênfase2 13 3 2 2" xfId="3525" xr:uid="{E7D5F665-3C2D-439D-BDCD-ED6EC5505F4D}"/>
    <cellStyle name="60% - Ênfase2 13 3 3" xfId="2637" xr:uid="{7C29F8E4-8012-4A65-A8EF-3A95EAA3035D}"/>
    <cellStyle name="60% - Ênfase2 13 4" xfId="1160" xr:uid="{757651C7-ADC5-47BF-8365-AEDE646259DD}"/>
    <cellStyle name="60% - Ênfase2 13 4 2" xfId="3012" xr:uid="{D5BB185D-66E2-4D54-901D-AD6759397658}"/>
    <cellStyle name="60% - Ênfase2 13 5" xfId="2085" xr:uid="{4B98FA9E-5CD8-497B-874E-782B3931FC7F}"/>
    <cellStyle name="60% - Ênfase2 14" xfId="293" xr:uid="{C9618BB4-3055-4E00-919B-70594187B952}"/>
    <cellStyle name="60% - Ênfase2 14 2" xfId="899" xr:uid="{3A9EEF98-CF3C-40D9-BDFE-F604711A951A}"/>
    <cellStyle name="60% - Ênfase2 14 2 2" xfId="1502" xr:uid="{570CF9BE-7C30-4C88-98EB-D5C431F28EE7}"/>
    <cellStyle name="60% - Ênfase2 14 2 2 2" xfId="3354" xr:uid="{D94975B2-AA3A-4D73-A3CD-9522E8CFDD00}"/>
    <cellStyle name="60% - Ênfase2 14 2 3" xfId="2427" xr:uid="{1E5A2A5A-41A1-4C0F-A905-BA105F3B3D76}"/>
    <cellStyle name="60% - Ênfase2 14 3" xfId="575" xr:uid="{B6919ABA-8157-47EE-B49D-9C0F80D001F3}"/>
    <cellStyle name="60% - Ênfase2 14 3 2" xfId="1778" xr:uid="{CFD7B483-E891-487D-ABEE-642CD73BB376}"/>
    <cellStyle name="60% - Ênfase2 14 3 2 2" xfId="3591" xr:uid="{5543AC35-C729-413F-92B7-AD41A9044F29}"/>
    <cellStyle name="60% - Ênfase2 14 3 3" xfId="2703" xr:uid="{6476C234-549A-4D3D-94A7-55C565DAF3ED}"/>
    <cellStyle name="60% - Ênfase2 14 4" xfId="1180" xr:uid="{0F1F50D7-81AC-49EC-ACCE-EC5819C341A4}"/>
    <cellStyle name="60% - Ênfase2 14 4 2" xfId="3032" xr:uid="{13CBB73F-E557-4A62-A605-6EC9DC093231}"/>
    <cellStyle name="60% - Ênfase2 14 5" xfId="2105" xr:uid="{B4A47318-689E-413F-9535-5015C8945763}"/>
    <cellStyle name="60% - Ênfase2 15" xfId="595" xr:uid="{D70F095F-3B62-4BAC-8849-08F3508351AD}"/>
    <cellStyle name="60% - Ênfase2 15 2" xfId="1658" xr:uid="{22D26A50-2E43-4279-90F7-D135ECC0872A}"/>
    <cellStyle name="60% - Ênfase2 15 2 2" xfId="2583" xr:uid="{7B0E7CA9-F63A-471D-87D8-182AD6AEC5AD}"/>
    <cellStyle name="60% - Ênfase2 15 3" xfId="1200" xr:uid="{29290A0F-6B17-4910-95C9-96B68B6C11DB}"/>
    <cellStyle name="60% - Ênfase2 15 3 2" xfId="3052" xr:uid="{156B8E3D-C03A-40AF-8BA3-8E0F1F16C6AE}"/>
    <cellStyle name="60% - Ênfase2 15 4" xfId="2125" xr:uid="{57153DFD-419F-4709-9532-EB393CDAA9A3}"/>
    <cellStyle name="60% - Ênfase2 16" xfId="615" xr:uid="{A0A94DEA-ED8E-4B99-B38A-8BFC188C3310}"/>
    <cellStyle name="60% - Ênfase2 16 2" xfId="1678" xr:uid="{99F59C9B-0BC2-4FB9-93C1-B5B2E5D2BC87}"/>
    <cellStyle name="60% - Ênfase2 16 2 2" xfId="2603" xr:uid="{660BC1DE-CAC1-4B75-B6CB-AD5A1D38550E}"/>
    <cellStyle name="60% - Ênfase2 16 3" xfId="1220" xr:uid="{3B632C4B-35EF-437D-B5F2-3DD9511D73C5}"/>
    <cellStyle name="60% - Ênfase2 16 3 2" xfId="3072" xr:uid="{B2DA7C04-6337-4E8B-A696-9C64F264F496}"/>
    <cellStyle name="60% - Ênfase2 16 4" xfId="2145" xr:uid="{E4A9F1D8-A974-4387-A1B3-C9B2A2C3936D}"/>
    <cellStyle name="60% - Ênfase2 17" xfId="635" xr:uid="{E88B9806-0F50-44F5-9C2F-12476D925441}"/>
    <cellStyle name="60% - Ênfase2 17 2" xfId="1239" xr:uid="{A37D8BBE-824B-4607-B710-04F450A8ED1F}"/>
    <cellStyle name="60% - Ênfase2 17 2 2" xfId="3091" xr:uid="{24A9A3F3-9A04-40F3-B045-C3970706CE37}"/>
    <cellStyle name="60% - Ênfase2 17 3" xfId="2164" xr:uid="{8C8601B9-0B47-4E69-AA6C-9A560CB1CDD7}"/>
    <cellStyle name="60% - Ênfase2 18" xfId="312" xr:uid="{5F48BE4F-3DAA-45B2-B59C-077169E75F59}"/>
    <cellStyle name="60% - Ênfase2 18 2" xfId="1602" xr:uid="{FDC47C76-1F0A-4D67-A077-EB7068B812D0}"/>
    <cellStyle name="60% - Ênfase2 18 2 2" xfId="3454" xr:uid="{4CB3C848-D4AD-4095-BC57-820E9F8ED3EB}"/>
    <cellStyle name="60% - Ênfase2 18 3" xfId="2527" xr:uid="{F832D578-281C-4FBF-9020-6620ABF0C43B}"/>
    <cellStyle name="60% - Ênfase2 19" xfId="917" xr:uid="{A348F299-908D-4DF6-AC5F-16F3580C7959}"/>
    <cellStyle name="60% - Ênfase2 19 2" xfId="2769" xr:uid="{E485780B-85C4-4AD1-8406-5374B60B668D}"/>
    <cellStyle name="60% - Ênfase2 2" xfId="52" xr:uid="{395C6812-6D64-42F6-A463-B04090A5FA33}"/>
    <cellStyle name="60% - Ênfase2 2 2" xfId="658" xr:uid="{7D610D18-655C-4ADB-B659-D8F9B4D9E730}"/>
    <cellStyle name="60% - Ênfase2 2 2 2" xfId="1261" xr:uid="{9539BF48-1734-4634-B1B2-8FEF3DD0E749}"/>
    <cellStyle name="60% - Ênfase2 2 2 2 2" xfId="3113" xr:uid="{C8F01EFE-1BA6-42EE-9D35-446D1C4B4E1D}"/>
    <cellStyle name="60% - Ênfase2 2 2 3" xfId="2186" xr:uid="{968CF8D0-9536-449E-90C0-F18430DAE94F}"/>
    <cellStyle name="60% - Ênfase2 2 3" xfId="334" xr:uid="{3BCEEE36-6D8E-46AE-BBB9-8BA9E524F548}"/>
    <cellStyle name="60% - Ênfase2 2 3 2" xfId="1765" xr:uid="{B8F658EE-D024-426A-881C-FD5049EC0A5A}"/>
    <cellStyle name="60% - Ênfase2 2 3 2 2" xfId="3578" xr:uid="{28822876-05CB-433A-88E4-B9018DAE60B4}"/>
    <cellStyle name="60% - Ênfase2 2 3 3" xfId="2690" xr:uid="{ECE12B8E-4DF5-482D-918A-E62C244496A8}"/>
    <cellStyle name="60% - Ênfase2 2 4" xfId="939" xr:uid="{830FE0D5-989E-47C1-BA1A-038FA16060C5}"/>
    <cellStyle name="60% - Ênfase2 2 4 2" xfId="2791" xr:uid="{23B35DED-990C-4225-BFFD-0213184F0EBC}"/>
    <cellStyle name="60% - Ênfase2 2 5" xfId="1864" xr:uid="{BA220098-B5DC-4C63-B18C-4AA6FD5CADCB}"/>
    <cellStyle name="60% - Ênfase2 20" xfId="1842" xr:uid="{4274E36B-E41D-41E4-BA4E-C84DB93E5C33}"/>
    <cellStyle name="60% - Ênfase2 3" xfId="70" xr:uid="{848083EA-6AD3-48FF-AA03-622F16A52CA0}"/>
    <cellStyle name="60% - Ênfase2 3 2" xfId="676" xr:uid="{4A005360-64A9-4306-B56D-C7ED5C57A5A1}"/>
    <cellStyle name="60% - Ênfase2 3 2 2" xfId="1279" xr:uid="{36D8D521-1567-44E8-9E08-9317E4B93B32}"/>
    <cellStyle name="60% - Ênfase2 3 2 2 2" xfId="3131" xr:uid="{92DF6DBB-6D18-4A1B-88CA-F951803C65DC}"/>
    <cellStyle name="60% - Ênfase2 3 2 3" xfId="2204" xr:uid="{194AF837-4A95-4A8F-8A3C-37C1ECEE0C6F}"/>
    <cellStyle name="60% - Ênfase2 3 3" xfId="352" xr:uid="{0B264DFC-B82B-4CD3-8E35-3F5E4B92005F}"/>
    <cellStyle name="60% - Ênfase2 3 3 2" xfId="1576" xr:uid="{19783745-BB83-4765-A758-4E35664A54D1}"/>
    <cellStyle name="60% - Ênfase2 3 3 2 2" xfId="3428" xr:uid="{BC05028F-426D-4B87-85B8-AE28C35B4E9A}"/>
    <cellStyle name="60% - Ênfase2 3 3 3" xfId="2501" xr:uid="{25D1D9B8-696B-486B-817E-00B281AD95B2}"/>
    <cellStyle name="60% - Ênfase2 3 4" xfId="957" xr:uid="{806C2E89-EC83-41FB-B52D-00E9DE7CF852}"/>
    <cellStyle name="60% - Ênfase2 3 4 2" xfId="2809" xr:uid="{7673470E-3B7C-4F52-AE65-0A4997997EF1}"/>
    <cellStyle name="60% - Ênfase2 3 5" xfId="1882" xr:uid="{7123A9CA-7F5F-4051-BAA8-76110FA0D837}"/>
    <cellStyle name="60% - Ênfase2 4" xfId="92" xr:uid="{3F4C9724-3532-4F5E-8CD7-828F58B35322}"/>
    <cellStyle name="60% - Ênfase2 4 2" xfId="698" xr:uid="{9B86511A-F582-4B10-9752-503A434FA876}"/>
    <cellStyle name="60% - Ênfase2 4 2 2" xfId="1301" xr:uid="{0C05E494-E8D2-4C66-8634-5B0DC102AD1F}"/>
    <cellStyle name="60% - Ênfase2 4 2 2 2" xfId="3153" xr:uid="{250BF981-6CC9-483E-B4AB-C23769B8CE17}"/>
    <cellStyle name="60% - Ênfase2 4 2 3" xfId="2226" xr:uid="{8E989026-F403-4EE5-BD53-F2CB09604BF3}"/>
    <cellStyle name="60% - Ênfase2 4 3" xfId="374" xr:uid="{85971ED3-0AD1-4C7F-84FD-7DE2411A9465}"/>
    <cellStyle name="60% - Ênfase2 4 3 2" xfId="1809" xr:uid="{444BAD06-D096-4FD3-BCAB-F35AAD327B20}"/>
    <cellStyle name="60% - Ênfase2 4 3 2 2" xfId="3622" xr:uid="{88092E82-CDD4-4431-8AC1-8B410BFE9F63}"/>
    <cellStyle name="60% - Ênfase2 4 3 3" xfId="2734" xr:uid="{F5337F7A-A1E9-4748-9FCF-921978B8A1F8}"/>
    <cellStyle name="60% - Ênfase2 4 4" xfId="979" xr:uid="{FB3CD81B-44C2-4A3D-9E7E-581C882EEA02}"/>
    <cellStyle name="60% - Ênfase2 4 4 2" xfId="2831" xr:uid="{BD385CAF-7C89-4244-9D81-8394BE55DC53}"/>
    <cellStyle name="60% - Ênfase2 4 5" xfId="1904" xr:uid="{43E1151A-D8CD-429E-9C6D-E8E8DFA73C9B}"/>
    <cellStyle name="60% - Ênfase2 5" xfId="112" xr:uid="{4B2C688B-269F-40B7-A993-0D84F8D7EB67}"/>
    <cellStyle name="60% - Ênfase2 5 2" xfId="718" xr:uid="{494E6C18-9964-4140-8AAB-46CF5176F1D3}"/>
    <cellStyle name="60% - Ênfase2 5 2 2" xfId="1321" xr:uid="{43C2B436-7066-427A-BB7F-1F47003D61EA}"/>
    <cellStyle name="60% - Ênfase2 5 2 2 2" xfId="3173" xr:uid="{DA9D8721-2EB0-41E6-B8E7-F55CF872D3C0}"/>
    <cellStyle name="60% - Ênfase2 5 2 3" xfId="2246" xr:uid="{35C075C3-1B78-4FF6-8E91-078993ED4253}"/>
    <cellStyle name="60% - Ênfase2 5 3" xfId="394" xr:uid="{54E7EC54-28E8-4CBA-A955-AFCB587BB3FB}"/>
    <cellStyle name="60% - Ênfase2 5 3 2" xfId="1549" xr:uid="{557AB8E8-BE2A-4067-8486-93C5F6E37E1A}"/>
    <cellStyle name="60% - Ênfase2 5 3 2 2" xfId="3401" xr:uid="{8661BEE9-6453-4B2F-88D7-0A800A85794A}"/>
    <cellStyle name="60% - Ênfase2 5 3 3" xfId="2474" xr:uid="{C5185950-2C8C-49B9-90B0-C5D5312613DA}"/>
    <cellStyle name="60% - Ênfase2 5 4" xfId="999" xr:uid="{9E78E13B-AEF1-4639-9BD1-0531250E609D}"/>
    <cellStyle name="60% - Ênfase2 5 4 2" xfId="2851" xr:uid="{0A2E6335-F616-4FA1-94FC-FE9FC78C36AF}"/>
    <cellStyle name="60% - Ênfase2 5 5" xfId="1924" xr:uid="{525BED69-E934-4E23-A89C-73603CC84FF9}"/>
    <cellStyle name="60% - Ênfase2 6" xfId="132" xr:uid="{3AB2F68D-C880-4FA6-BD55-BFC91073B093}"/>
    <cellStyle name="60% - Ênfase2 6 2" xfId="738" xr:uid="{22B3B5B8-41C6-49FE-88B5-A244F0725F58}"/>
    <cellStyle name="60% - Ênfase2 6 2 2" xfId="1341" xr:uid="{7517AD94-CDB9-4AE6-9DD7-1529DDD01C17}"/>
    <cellStyle name="60% - Ênfase2 6 2 2 2" xfId="3193" xr:uid="{84743B86-9325-483B-A67D-28A56B503E91}"/>
    <cellStyle name="60% - Ênfase2 6 2 3" xfId="2266" xr:uid="{F617409E-EDEF-4D6C-8B99-04DE57442DE5}"/>
    <cellStyle name="60% - Ênfase2 6 3" xfId="414" xr:uid="{71A3989A-B68B-46C1-831A-EBDC30F47EE0}"/>
    <cellStyle name="60% - Ênfase2 6 3 2" xfId="1543" xr:uid="{2AE6A6EF-3C7D-420E-96E5-9D1320787F7D}"/>
    <cellStyle name="60% - Ênfase2 6 3 2 2" xfId="3395" xr:uid="{4BC8554D-05DC-4D32-BE2A-D82818E969F3}"/>
    <cellStyle name="60% - Ênfase2 6 3 3" xfId="2468" xr:uid="{D1D7896B-18C6-4B07-A05D-31271C37D5CC}"/>
    <cellStyle name="60% - Ênfase2 6 4" xfId="1019" xr:uid="{5029F1D6-1F21-4ACB-BE6F-ECC0466CF75A}"/>
    <cellStyle name="60% - Ênfase2 6 4 2" xfId="2871" xr:uid="{50881E12-5A40-4348-9E3A-B6F090B5FEFF}"/>
    <cellStyle name="60% - Ênfase2 6 5" xfId="1944" xr:uid="{C51B0080-7A5C-4638-A2AD-585D6261345D}"/>
    <cellStyle name="60% - Ênfase2 7" xfId="152" xr:uid="{F1E8DDC8-E5C1-4BEF-B3FA-91B4B11EE5C8}"/>
    <cellStyle name="60% - Ênfase2 7 2" xfId="758" xr:uid="{F65AB2A7-A57B-4F12-8BF3-C84540D00A5C}"/>
    <cellStyle name="60% - Ênfase2 7 2 2" xfId="1361" xr:uid="{1D474D05-FA54-46EA-B2B4-7ADCE10C35B8}"/>
    <cellStyle name="60% - Ênfase2 7 2 2 2" xfId="3213" xr:uid="{DB55C05B-88BE-4D32-93ED-52CEE5EA9F23}"/>
    <cellStyle name="60% - Ênfase2 7 2 3" xfId="2286" xr:uid="{17261DCC-A198-481E-84DA-F9C5F3B9978A}"/>
    <cellStyle name="60% - Ênfase2 7 3" xfId="434" xr:uid="{4A424225-5F3A-4EDC-9D04-36FC0F33D14E}"/>
    <cellStyle name="60% - Ênfase2 7 3 2" xfId="1558" xr:uid="{643A151A-2994-4C4A-AF2A-E1BC0C2F0522}"/>
    <cellStyle name="60% - Ênfase2 7 3 2 2" xfId="3410" xr:uid="{A7017333-095F-42E2-BC86-7813D8288C99}"/>
    <cellStyle name="60% - Ênfase2 7 3 3" xfId="2483" xr:uid="{049432B6-AF4D-41FF-B5FA-C9E3EEFE7687}"/>
    <cellStyle name="60% - Ênfase2 7 4" xfId="1039" xr:uid="{41142BDF-5B68-44B5-9020-0C7D285D72EC}"/>
    <cellStyle name="60% - Ênfase2 7 4 2" xfId="2891" xr:uid="{C91EAF50-0A96-4292-8E19-403CA4BDBA5E}"/>
    <cellStyle name="60% - Ênfase2 7 5" xfId="1964" xr:uid="{CCDE04D4-75FF-4B0D-A3BF-0317080ED938}"/>
    <cellStyle name="60% - Ênfase2 8" xfId="172" xr:uid="{7C5CCDBE-D161-4A55-B486-262698C71E06}"/>
    <cellStyle name="60% - Ênfase2 8 2" xfId="778" xr:uid="{5E1745BC-968F-4E27-B983-60A0EFABDB09}"/>
    <cellStyle name="60% - Ênfase2 8 2 2" xfId="1381" xr:uid="{DBA487A3-93F5-406D-A08A-A1104EBC5105}"/>
    <cellStyle name="60% - Ênfase2 8 2 2 2" xfId="3233" xr:uid="{CD966583-12B5-4EB7-BCE8-019CF307A92D}"/>
    <cellStyle name="60% - Ênfase2 8 2 3" xfId="2306" xr:uid="{B4DB396E-D29C-4CE1-99BB-BCB98E4D5B8A}"/>
    <cellStyle name="60% - Ênfase2 8 3" xfId="454" xr:uid="{7610B1AC-A2E0-44DE-8B0B-D14F874FA4B0}"/>
    <cellStyle name="60% - Ênfase2 8 3 2" xfId="1726" xr:uid="{E7C6A90D-E80F-4BA3-AF9B-A3FF6BF429A2}"/>
    <cellStyle name="60% - Ênfase2 8 3 2 2" xfId="3539" xr:uid="{EBDD75BF-2180-473A-961B-4B6655AA3EE0}"/>
    <cellStyle name="60% - Ênfase2 8 3 3" xfId="2651" xr:uid="{5D4FD40C-EC84-4F86-8E8B-CAC3AA43941B}"/>
    <cellStyle name="60% - Ênfase2 8 4" xfId="1059" xr:uid="{DAEAEE83-9F9D-476E-ACF9-05B5C5FBD4AD}"/>
    <cellStyle name="60% - Ênfase2 8 4 2" xfId="2911" xr:uid="{3F4CF61F-7A14-4A6E-9CAB-AF68F90773C8}"/>
    <cellStyle name="60% - Ênfase2 8 5" xfId="1984" xr:uid="{C5DA468C-CF3C-41F7-826F-3E90A69EBD90}"/>
    <cellStyle name="60% - Ênfase2 9" xfId="192" xr:uid="{52152B8E-4872-4EF9-B18B-E190C61CCCE2}"/>
    <cellStyle name="60% - Ênfase2 9 2" xfId="798" xr:uid="{BD06D832-9241-4C61-A3F1-802FC14BE7FB}"/>
    <cellStyle name="60% - Ênfase2 9 2 2" xfId="1401" xr:uid="{19F9FE81-B0A8-42A9-8784-D6CBF7AA966F}"/>
    <cellStyle name="60% - Ênfase2 9 2 2 2" xfId="3253" xr:uid="{A744A1F3-0D58-475D-A8ED-AA8DAAAB5F7B}"/>
    <cellStyle name="60% - Ênfase2 9 2 3" xfId="2326" xr:uid="{15AF1FAA-7175-4DF8-96EC-6A8F4945A81C}"/>
    <cellStyle name="60% - Ênfase2 9 3" xfId="474" xr:uid="{1B0C023B-3AAC-4F19-9943-3B9A686D1BE9}"/>
    <cellStyle name="60% - Ênfase2 9 3 2" xfId="1647" xr:uid="{DB1853CC-BDA6-4DF7-98EC-D4E96AD88217}"/>
    <cellStyle name="60% - Ênfase2 9 3 2 2" xfId="3499" xr:uid="{6FCC22A2-86A2-49A2-8379-B82F52020B0B}"/>
    <cellStyle name="60% - Ênfase2 9 3 3" xfId="2572" xr:uid="{E997E187-91F4-48F4-A89F-FB1CFAE83DBB}"/>
    <cellStyle name="60% - Ênfase2 9 4" xfId="1079" xr:uid="{E561871D-2725-428B-B825-00F4611739F4}"/>
    <cellStyle name="60% - Ênfase2 9 4 2" xfId="2931" xr:uid="{6A7EE0F4-205A-44B5-B2E3-138CA5895F7D}"/>
    <cellStyle name="60% - Ênfase2 9 5" xfId="2004" xr:uid="{9ADC9785-EF53-4A78-9280-EABF7341BEC9}"/>
    <cellStyle name="60% - Ênfase3" xfId="29" builtinId="40" customBuiltin="1"/>
    <cellStyle name="60% - Ênfase3 10" xfId="216" xr:uid="{51B97314-EED9-418F-8A16-D4FF858252FE}"/>
    <cellStyle name="60% - Ênfase3 10 2" xfId="822" xr:uid="{E418B34F-A904-4BC7-B895-752F108C90AE}"/>
    <cellStyle name="60% - Ênfase3 10 2 2" xfId="1425" xr:uid="{BBDFF6E2-318C-47E1-9F07-5FF2E2F94B58}"/>
    <cellStyle name="60% - Ênfase3 10 2 2 2" xfId="3277" xr:uid="{CD476EEC-8C1A-4D14-A7DE-06851E88D16A}"/>
    <cellStyle name="60% - Ênfase3 10 2 3" xfId="2350" xr:uid="{AA75DFB9-CFFF-4DC7-B1DD-1D35FB5B0CEA}"/>
    <cellStyle name="60% - Ênfase3 10 3" xfId="498" xr:uid="{F5B84353-6953-464F-95C6-29AEE07FA04B}"/>
    <cellStyle name="60% - Ênfase3 10 3 2" xfId="1617" xr:uid="{9367E880-387A-4113-B62F-BCEDF4A53277}"/>
    <cellStyle name="60% - Ênfase3 10 3 2 2" xfId="3469" xr:uid="{5A407BD2-759D-4502-8E10-B741A09448EE}"/>
    <cellStyle name="60% - Ênfase3 10 3 3" xfId="2542" xr:uid="{D013F200-A6BE-4543-940D-78F762454958}"/>
    <cellStyle name="60% - Ênfase3 10 4" xfId="1103" xr:uid="{33C812A5-2332-4A4B-AF09-3D5047C471EC}"/>
    <cellStyle name="60% - Ênfase3 10 4 2" xfId="2955" xr:uid="{D496393E-D2EA-4DB3-8D91-DA6049AC58A4}"/>
    <cellStyle name="60% - Ênfase3 10 5" xfId="2028" xr:uid="{E679CABA-60CC-4F58-9C5B-5BFD4F9AAF6E}"/>
    <cellStyle name="60% - Ênfase3 11" xfId="236" xr:uid="{DE5CA8F0-1A54-421D-8650-739145ACFD2B}"/>
    <cellStyle name="60% - Ênfase3 11 2" xfId="842" xr:uid="{572479E4-6F02-453A-8FA1-EF380FD165C0}"/>
    <cellStyle name="60% - Ênfase3 11 2 2" xfId="1445" xr:uid="{325ED80C-5E1C-4A9A-85A0-A62629B7C893}"/>
    <cellStyle name="60% - Ênfase3 11 2 2 2" xfId="3297" xr:uid="{DA70605C-AE16-4331-B32E-00E3F894974F}"/>
    <cellStyle name="60% - Ênfase3 11 2 3" xfId="2370" xr:uid="{AC87B736-23FE-4CBB-9040-F1E32FD7D9F0}"/>
    <cellStyle name="60% - Ênfase3 11 3" xfId="518" xr:uid="{E5171F97-B468-4240-BB76-F9372879D21D}"/>
    <cellStyle name="60% - Ênfase3 11 3 2" xfId="1699" xr:uid="{6E315F0B-B18F-4E6B-B207-FC46D8F13295}"/>
    <cellStyle name="60% - Ênfase3 11 3 2 2" xfId="3512" xr:uid="{07D5D8A8-A7CC-47D2-A53F-324302F952CE}"/>
    <cellStyle name="60% - Ênfase3 11 3 3" xfId="2624" xr:uid="{B9DB9C90-BB4C-413A-A57C-332ED169A737}"/>
    <cellStyle name="60% - Ênfase3 11 4" xfId="1123" xr:uid="{CB05AE4C-7C58-4ABF-BEC4-28C480D5AA0F}"/>
    <cellStyle name="60% - Ênfase3 11 4 2" xfId="2975" xr:uid="{A343893A-7F8B-4C20-820D-3435FAC8D4DA}"/>
    <cellStyle name="60% - Ênfase3 11 5" xfId="2048" xr:uid="{A3A49356-E0AD-4E5B-A44E-EBD2C2DCE0D7}"/>
    <cellStyle name="60% - Ênfase3 12" xfId="256" xr:uid="{BF24A514-CB36-40B5-A68B-E0944CC4C3F1}"/>
    <cellStyle name="60% - Ênfase3 12 2" xfId="862" xr:uid="{6900E96C-E3C2-471C-BD87-E04080531E42}"/>
    <cellStyle name="60% - Ênfase3 12 2 2" xfId="1465" xr:uid="{11CB8190-D281-4B0E-9D59-BED7E9704D16}"/>
    <cellStyle name="60% - Ênfase3 12 2 2 2" xfId="3317" xr:uid="{EAF7D010-C399-4C12-94AE-594FE69AD1F0}"/>
    <cellStyle name="60% - Ênfase3 12 2 3" xfId="2390" xr:uid="{C5D16EC4-AFFD-44CB-9A95-0B997E1494FB}"/>
    <cellStyle name="60% - Ênfase3 12 3" xfId="538" xr:uid="{ACD0D896-B37A-4205-AF8B-25E9D4B2DEFE}"/>
    <cellStyle name="60% - Ênfase3 12 3 2" xfId="1777" xr:uid="{7BF4153D-69A4-4C53-B5F5-D00A01668E55}"/>
    <cellStyle name="60% - Ênfase3 12 3 2 2" xfId="3590" xr:uid="{51C7A40C-36B6-415A-AEB1-DA5D25AAA982}"/>
    <cellStyle name="60% - Ênfase3 12 3 3" xfId="2702" xr:uid="{09120E4E-96F9-4092-86DC-52902EFDDFB2}"/>
    <cellStyle name="60% - Ênfase3 12 4" xfId="1143" xr:uid="{F488A74A-5E32-4A23-ABD6-BD41FBCE18F1}"/>
    <cellStyle name="60% - Ênfase3 12 4 2" xfId="2995" xr:uid="{48629AA9-3AA0-434C-864B-AF3391FC706E}"/>
    <cellStyle name="60% - Ênfase3 12 5" xfId="2068" xr:uid="{21F8E19C-C384-4E36-8693-2431B19E9707}"/>
    <cellStyle name="60% - Ênfase3 13" xfId="276" xr:uid="{C71BE05C-D54F-405A-A7FD-E35E7C6937C6}"/>
    <cellStyle name="60% - Ênfase3 13 2" xfId="882" xr:uid="{F1EFFBA7-A980-4BDA-A9D0-A302EEDD1983}"/>
    <cellStyle name="60% - Ênfase3 13 2 2" xfId="1485" xr:uid="{970B318D-0215-4789-83D8-5505C5963CAF}"/>
    <cellStyle name="60% - Ênfase3 13 2 2 2" xfId="3337" xr:uid="{DBB81AAA-FFF0-40B8-94FD-B7FB6F96C2F3}"/>
    <cellStyle name="60% - Ênfase3 13 2 3" xfId="2410" xr:uid="{7AFD0152-4780-4F65-AB19-B1988C98A92E}"/>
    <cellStyle name="60% - Ênfase3 13 3" xfId="558" xr:uid="{2B4AB216-143D-45CA-834B-51C24BAEAAE9}"/>
    <cellStyle name="60% - Ênfase3 13 3 2" xfId="1615" xr:uid="{14255495-9D4C-4522-A9C9-8C2737C996C6}"/>
    <cellStyle name="60% - Ênfase3 13 3 2 2" xfId="3467" xr:uid="{AB0CBCFE-6FCE-4296-B7C2-1CC3566997F2}"/>
    <cellStyle name="60% - Ênfase3 13 3 3" xfId="2540" xr:uid="{C1A44E9F-BCCD-4DFA-B982-8B6028EDB069}"/>
    <cellStyle name="60% - Ênfase3 13 4" xfId="1163" xr:uid="{659D2859-CB75-4B3A-8BF6-8CF84EAE8C8C}"/>
    <cellStyle name="60% - Ênfase3 13 4 2" xfId="3015" xr:uid="{2B79016B-3B85-44DD-BB80-B31CCF3809A3}"/>
    <cellStyle name="60% - Ênfase3 13 5" xfId="2088" xr:uid="{FC855A7F-9714-4F0B-8735-2E96B1B784A1}"/>
    <cellStyle name="60% - Ênfase3 14" xfId="296" xr:uid="{29CB97CD-6019-4939-88D0-DB16BA922804}"/>
    <cellStyle name="60% - Ênfase3 14 2" xfId="902" xr:uid="{A794903C-2A9D-450F-9416-A9FD3E44102D}"/>
    <cellStyle name="60% - Ênfase3 14 2 2" xfId="1505" xr:uid="{FBF3EA9D-32AE-4F4F-AA6E-C345D4F4EA23}"/>
    <cellStyle name="60% - Ênfase3 14 2 2 2" xfId="3357" xr:uid="{D72DEB18-249B-443A-9522-86AB8BCB66E3}"/>
    <cellStyle name="60% - Ênfase3 14 2 3" xfId="2430" xr:uid="{710CB214-B5CF-4F7B-9E7E-969B27C17F35}"/>
    <cellStyle name="60% - Ênfase3 14 3" xfId="578" xr:uid="{2360C725-B80F-4EA9-9565-22000B628544}"/>
    <cellStyle name="60% - Ênfase3 14 3 2" xfId="1771" xr:uid="{F3FFFF44-3843-4EF7-888F-673D892C9AD6}"/>
    <cellStyle name="60% - Ênfase3 14 3 2 2" xfId="3584" xr:uid="{BB58F63B-E87D-4ECA-8C46-36A015BDCA8E}"/>
    <cellStyle name="60% - Ênfase3 14 3 3" xfId="2696" xr:uid="{CBACDD7C-8B57-49D9-93DE-C0BB3F8EE61B}"/>
    <cellStyle name="60% - Ênfase3 14 4" xfId="1183" xr:uid="{3D6B63B2-47F9-4D08-BBF5-8719275434AF}"/>
    <cellStyle name="60% - Ênfase3 14 4 2" xfId="3035" xr:uid="{B9DFDDCB-1DD2-4718-8175-4CC15F361969}"/>
    <cellStyle name="60% - Ênfase3 14 5" xfId="2108" xr:uid="{E9EF8B5E-0AED-4482-99E6-A612F635C0D4}"/>
    <cellStyle name="60% - Ênfase3 15" xfId="598" xr:uid="{428D2FDF-8C58-4C5F-84B1-C58DA0009819}"/>
    <cellStyle name="60% - Ênfase3 15 2" xfId="1661" xr:uid="{DF563159-6BD2-4201-8E49-55CC31D08CCD}"/>
    <cellStyle name="60% - Ênfase3 15 2 2" xfId="2586" xr:uid="{72EEB8A5-05C9-4B8E-B565-27133AE23802}"/>
    <cellStyle name="60% - Ênfase3 15 3" xfId="1203" xr:uid="{AD2B2EFC-4FC0-466F-B817-752A82D07F7F}"/>
    <cellStyle name="60% - Ênfase3 15 3 2" xfId="3055" xr:uid="{4D22264A-EC62-431E-8DF9-35574FF98DB3}"/>
    <cellStyle name="60% - Ênfase3 15 4" xfId="2128" xr:uid="{12E8A481-1B34-4F3B-AA24-D17C65486A4F}"/>
    <cellStyle name="60% - Ênfase3 16" xfId="618" xr:uid="{9E7084C1-432B-4797-B24A-183792898541}"/>
    <cellStyle name="60% - Ênfase3 16 2" xfId="1681" xr:uid="{8A4F3A52-15FE-462D-B1A6-71AB93B00DD3}"/>
    <cellStyle name="60% - Ênfase3 16 2 2" xfId="2606" xr:uid="{C05521F7-BCDC-49E0-8675-643ADC95F114}"/>
    <cellStyle name="60% - Ênfase3 16 3" xfId="1223" xr:uid="{1F0E858B-E879-4750-BA86-DFA31077063A}"/>
    <cellStyle name="60% - Ênfase3 16 3 2" xfId="3075" xr:uid="{C0C26CD6-C6EF-4559-ACF0-F736270A2732}"/>
    <cellStyle name="60% - Ênfase3 16 4" xfId="2148" xr:uid="{A9C289BA-10A3-498E-AE0B-5B1ADB1E2BBA}"/>
    <cellStyle name="60% - Ênfase3 17" xfId="638" xr:uid="{76A58A2A-9997-47AD-8ED0-B9E090264681}"/>
    <cellStyle name="60% - Ênfase3 17 2" xfId="1242" xr:uid="{120DDD63-67FA-402A-B04D-1AEF216AF41B}"/>
    <cellStyle name="60% - Ênfase3 17 2 2" xfId="3094" xr:uid="{CD3618F3-80E9-41F9-A069-344687670A14}"/>
    <cellStyle name="60% - Ênfase3 17 3" xfId="2167" xr:uid="{BE32F112-3A39-4621-9432-34B50A786FAD}"/>
    <cellStyle name="60% - Ênfase3 18" xfId="315" xr:uid="{A9F291FA-F4AE-438D-BC96-607188AFF5B7}"/>
    <cellStyle name="60% - Ênfase3 18 2" xfId="1575" xr:uid="{C628FC65-F49D-4B25-A3D4-39025CBBFF36}"/>
    <cellStyle name="60% - Ênfase3 18 2 2" xfId="3427" xr:uid="{167763C7-9AA6-418E-8CC8-074A3C7669A9}"/>
    <cellStyle name="60% - Ênfase3 18 3" xfId="2500" xr:uid="{66ACF517-47A3-4064-8A40-E3017C8AA12C}"/>
    <cellStyle name="60% - Ênfase3 19" xfId="920" xr:uid="{C02CD745-2389-40CE-BA32-7E1DA8B587EB}"/>
    <cellStyle name="60% - Ênfase3 19 2" xfId="2772" xr:uid="{CA279B10-FB2C-4C6E-B8F9-DA605DA74C20}"/>
    <cellStyle name="60% - Ênfase3 2" xfId="55" xr:uid="{5B6C368A-A7F2-4CE5-88D1-89F021B55105}"/>
    <cellStyle name="60% - Ênfase3 2 2" xfId="661" xr:uid="{1C501AA9-EB43-4480-AE74-E91D0302D2A6}"/>
    <cellStyle name="60% - Ênfase3 2 2 2" xfId="1264" xr:uid="{D2139FD9-1CF1-44C6-8FE7-897B636F26FF}"/>
    <cellStyle name="60% - Ênfase3 2 2 2 2" xfId="3116" xr:uid="{705346CD-A1FD-4EF6-804A-B95579BEB83A}"/>
    <cellStyle name="60% - Ênfase3 2 2 3" xfId="2189" xr:uid="{82F06866-5E55-44D4-9709-4D907DA9DC17}"/>
    <cellStyle name="60% - Ênfase3 2 3" xfId="337" xr:uid="{AD6EA950-BD26-4F80-B645-B22A83FA0F7D}"/>
    <cellStyle name="60% - Ênfase3 2 3 2" xfId="1793" xr:uid="{E0AE96AC-0C34-45A1-89A8-B9EBE0081E74}"/>
    <cellStyle name="60% - Ênfase3 2 3 2 2" xfId="3606" xr:uid="{F8D3A111-47CF-42E0-860A-D109B5FFF0E9}"/>
    <cellStyle name="60% - Ênfase3 2 3 3" xfId="2718" xr:uid="{7C8A1AD6-237F-4B34-BBC3-AD1FD28DF4C3}"/>
    <cellStyle name="60% - Ênfase3 2 4" xfId="942" xr:uid="{DB780499-507A-4E1E-9DEF-DA3326E88084}"/>
    <cellStyle name="60% - Ênfase3 2 4 2" xfId="2794" xr:uid="{49399777-AE6C-41BD-BAAF-28A608311A10}"/>
    <cellStyle name="60% - Ênfase3 2 5" xfId="1867" xr:uid="{7E99110D-1C32-4E90-BFED-1164DBD0089C}"/>
    <cellStyle name="60% - Ênfase3 20" xfId="1845" xr:uid="{52F3EBE0-E2A2-4193-9771-D850C21F6AAE}"/>
    <cellStyle name="60% - Ênfase3 3" xfId="73" xr:uid="{CE627780-97EB-43F6-847F-5DFE3B2D58C8}"/>
    <cellStyle name="60% - Ênfase3 3 2" xfId="679" xr:uid="{31A981C0-C7C1-4716-BD37-54DA48AA3F00}"/>
    <cellStyle name="60% - Ênfase3 3 2 2" xfId="1282" xr:uid="{610B46E3-B172-4D1A-B99D-1AB5C174F4FC}"/>
    <cellStyle name="60% - Ênfase3 3 2 2 2" xfId="3134" xr:uid="{77764B9B-4A24-4988-B3AF-D3C2E3BF8AF8}"/>
    <cellStyle name="60% - Ênfase3 3 2 3" xfId="2207" xr:uid="{C5B6BBA2-5170-4AC6-BF4D-F972D97F77FB}"/>
    <cellStyle name="60% - Ênfase3 3 3" xfId="355" xr:uid="{38E44676-0ED2-498E-BBFB-0C77F7A19383}"/>
    <cellStyle name="60% - Ênfase3 3 3 2" xfId="1584" xr:uid="{E410F790-3197-43E2-80C9-1F797B778C62}"/>
    <cellStyle name="60% - Ênfase3 3 3 2 2" xfId="3436" xr:uid="{5723179A-B55E-4720-BE3E-346B437388E9}"/>
    <cellStyle name="60% - Ênfase3 3 3 3" xfId="2509" xr:uid="{24633B5D-C529-455A-BA5D-01E404C632A5}"/>
    <cellStyle name="60% - Ênfase3 3 4" xfId="960" xr:uid="{59711E5B-B357-4714-8A70-14692E53EF6C}"/>
    <cellStyle name="60% - Ênfase3 3 4 2" xfId="2812" xr:uid="{655AD7CE-8A9C-421E-BEDB-B1D72B0729A3}"/>
    <cellStyle name="60% - Ênfase3 3 5" xfId="1885" xr:uid="{F5FD4F77-C033-4518-8916-F3A26D9ACB88}"/>
    <cellStyle name="60% - Ênfase3 4" xfId="95" xr:uid="{DCC1ED50-36BB-4006-85C6-96C878333965}"/>
    <cellStyle name="60% - Ênfase3 4 2" xfId="701" xr:uid="{BE96547C-02E3-4811-B90D-33E1FD09478D}"/>
    <cellStyle name="60% - Ênfase3 4 2 2" xfId="1304" xr:uid="{8BB57229-2F98-4486-AE48-4C147E904096}"/>
    <cellStyle name="60% - Ênfase3 4 2 2 2" xfId="3156" xr:uid="{8339E90E-38B3-4012-93F2-6C2AF8EAD084}"/>
    <cellStyle name="60% - Ênfase3 4 2 3" xfId="2229" xr:uid="{A33A39E9-68A5-47C6-8012-6B2127A63297}"/>
    <cellStyle name="60% - Ênfase3 4 3" xfId="377" xr:uid="{D6575659-1D5B-4D1D-A975-B0FC4B191510}"/>
    <cellStyle name="60% - Ênfase3 4 3 2" xfId="1564" xr:uid="{3ECAA16B-CC03-4F0B-9C4E-B79280C91B50}"/>
    <cellStyle name="60% - Ênfase3 4 3 2 2" xfId="3416" xr:uid="{D8B354E9-A441-424B-9A51-72105E970CAF}"/>
    <cellStyle name="60% - Ênfase3 4 3 3" xfId="2489" xr:uid="{01735294-C755-4003-9414-EF7010CBB073}"/>
    <cellStyle name="60% - Ênfase3 4 4" xfId="982" xr:uid="{B8A0B1AC-31B8-47AF-9ACB-626B19EF072E}"/>
    <cellStyle name="60% - Ênfase3 4 4 2" xfId="2834" xr:uid="{773D3924-F4F6-4F10-B8F9-D3F8F4C11693}"/>
    <cellStyle name="60% - Ênfase3 4 5" xfId="1907" xr:uid="{A44D6AD3-D1CD-4F0C-B6C4-14595A7EE591}"/>
    <cellStyle name="60% - Ênfase3 5" xfId="115" xr:uid="{12B9041F-C33B-4BEE-8B0B-04025EDC0411}"/>
    <cellStyle name="60% - Ênfase3 5 2" xfId="721" xr:uid="{B30DC1FF-B5F9-46B8-9209-534C82A8B291}"/>
    <cellStyle name="60% - Ênfase3 5 2 2" xfId="1324" xr:uid="{2B75CC7A-C6F5-4BD3-A23E-949D10DA5984}"/>
    <cellStyle name="60% - Ênfase3 5 2 2 2" xfId="3176" xr:uid="{904E5C92-BFA6-455C-B836-F1DE9890DFE5}"/>
    <cellStyle name="60% - Ênfase3 5 2 3" xfId="2249" xr:uid="{A8A0B683-2755-4489-8581-730BFBD1FCF4}"/>
    <cellStyle name="60% - Ênfase3 5 3" xfId="397" xr:uid="{529BD588-A9BB-4646-824A-68E09CCA97B6}"/>
    <cellStyle name="60% - Ênfase3 5 3 2" xfId="1768" xr:uid="{3D293133-27A9-419F-8996-D9E6FBD2F6BE}"/>
    <cellStyle name="60% - Ênfase3 5 3 2 2" xfId="3581" xr:uid="{40C1A9B0-0FC5-47F6-8D9C-538ED883F0A6}"/>
    <cellStyle name="60% - Ênfase3 5 3 3" xfId="2693" xr:uid="{30EF3CA7-2749-4E35-83C4-0CBFAF26F5D4}"/>
    <cellStyle name="60% - Ênfase3 5 4" xfId="1002" xr:uid="{1D06F52B-2B3C-4BEF-BDA8-725371F7E5C2}"/>
    <cellStyle name="60% - Ênfase3 5 4 2" xfId="2854" xr:uid="{731F6E6F-02BD-47DC-94D4-C8FEBD6D4CF2}"/>
    <cellStyle name="60% - Ênfase3 5 5" xfId="1927" xr:uid="{04C024B3-F188-4B61-8414-D556D5F915A7}"/>
    <cellStyle name="60% - Ênfase3 6" xfId="135" xr:uid="{D8CD0E5C-B925-4931-99EC-2695A11CEBCD}"/>
    <cellStyle name="60% - Ênfase3 6 2" xfId="741" xr:uid="{8C26215B-AC70-4818-BE3B-AC770119BD2F}"/>
    <cellStyle name="60% - Ênfase3 6 2 2" xfId="1344" xr:uid="{B5E80838-D9CB-4B4C-80C8-535F11D9A9FC}"/>
    <cellStyle name="60% - Ênfase3 6 2 2 2" xfId="3196" xr:uid="{30A0FB68-3E0A-4BF6-B961-0ED58CC09DD3}"/>
    <cellStyle name="60% - Ênfase3 6 2 3" xfId="2269" xr:uid="{EBD8A000-29C6-447D-A577-65FAD9A3F187}"/>
    <cellStyle name="60% - Ênfase3 6 3" xfId="417" xr:uid="{016EE718-EDAF-48C4-BDC9-8AC78C87D2CB}"/>
    <cellStyle name="60% - Ênfase3 6 3 2" xfId="1813" xr:uid="{58E9F276-E879-4D87-B057-026482C1AEA1}"/>
    <cellStyle name="60% - Ênfase3 6 3 2 2" xfId="3626" xr:uid="{D54AC44A-E350-47A8-9980-B00E4B4DF5A2}"/>
    <cellStyle name="60% - Ênfase3 6 3 3" xfId="2738" xr:uid="{87B423C8-0C0C-4409-9895-5D049152BFA2}"/>
    <cellStyle name="60% - Ênfase3 6 4" xfId="1022" xr:uid="{507872CF-A410-48F7-ACC7-BBA582F3B6C6}"/>
    <cellStyle name="60% - Ênfase3 6 4 2" xfId="2874" xr:uid="{B672F0AB-E287-4A84-9B8C-60B87ED9D4C0}"/>
    <cellStyle name="60% - Ênfase3 6 5" xfId="1947" xr:uid="{5710AF70-0996-49F9-AE56-642403D13AED}"/>
    <cellStyle name="60% - Ênfase3 7" xfId="155" xr:uid="{242E6469-A7E9-44BC-B4B2-CB8B3F746801}"/>
    <cellStyle name="60% - Ênfase3 7 2" xfId="761" xr:uid="{8FBE49C9-0108-4E0A-A7B3-55AA38C4BC61}"/>
    <cellStyle name="60% - Ênfase3 7 2 2" xfId="1364" xr:uid="{CE142531-9D75-4A1F-A776-C332F6DD11CF}"/>
    <cellStyle name="60% - Ênfase3 7 2 2 2" xfId="3216" xr:uid="{E63987B3-7415-4F94-99D1-526561BE08A8}"/>
    <cellStyle name="60% - Ênfase3 7 2 3" xfId="2289" xr:uid="{F4A73F1E-9958-42E0-97EF-749920CDDCBC}"/>
    <cellStyle name="60% - Ênfase3 7 3" xfId="437" xr:uid="{E66AD9F2-77EC-4E7E-8635-5243F46704D7}"/>
    <cellStyle name="60% - Ênfase3 7 3 2" xfId="1722" xr:uid="{799839F7-A955-4CAC-90B5-643A43676277}"/>
    <cellStyle name="60% - Ênfase3 7 3 2 2" xfId="3535" xr:uid="{9E7828A6-4EB3-422B-97BB-5642AAA93DD1}"/>
    <cellStyle name="60% - Ênfase3 7 3 3" xfId="2647" xr:uid="{8A2EF360-A736-450A-9106-A87A33FF89DD}"/>
    <cellStyle name="60% - Ênfase3 7 4" xfId="1042" xr:uid="{8243ED29-EAA0-48F7-8175-13CC1A8D0A42}"/>
    <cellStyle name="60% - Ênfase3 7 4 2" xfId="2894" xr:uid="{D9890F15-3DD0-4523-9E4F-41823000A75E}"/>
    <cellStyle name="60% - Ênfase3 7 5" xfId="1967" xr:uid="{489E4D20-D34A-4376-8A9A-DD2A1EC91EA3}"/>
    <cellStyle name="60% - Ênfase3 8" xfId="175" xr:uid="{B914FF16-2AA1-44F0-A026-685C29054B15}"/>
    <cellStyle name="60% - Ênfase3 8 2" xfId="781" xr:uid="{1349EDC6-8200-475A-97B9-38F56EFCC04C}"/>
    <cellStyle name="60% - Ênfase3 8 2 2" xfId="1384" xr:uid="{A5608A13-6EFB-4342-8957-DB1D2B04F05A}"/>
    <cellStyle name="60% - Ênfase3 8 2 2 2" xfId="3236" xr:uid="{CD9CB58B-F533-4051-BF32-8EAEF1F72F0B}"/>
    <cellStyle name="60% - Ênfase3 8 2 3" xfId="2309" xr:uid="{98EFAF3C-0879-4326-ACB9-C6677DA55C56}"/>
    <cellStyle name="60% - Ênfase3 8 3" xfId="457" xr:uid="{CB3F813E-A86E-4DFC-A621-770223D985B7}"/>
    <cellStyle name="60% - Ênfase3 8 3 2" xfId="1645" xr:uid="{988CE292-0DC9-4174-B736-02CFAB384923}"/>
    <cellStyle name="60% - Ênfase3 8 3 2 2" xfId="3497" xr:uid="{25ED0F2C-AB37-4D66-9379-132A1D89622A}"/>
    <cellStyle name="60% - Ênfase3 8 3 3" xfId="2570" xr:uid="{5D3329D3-9855-443C-874B-66658205948D}"/>
    <cellStyle name="60% - Ênfase3 8 4" xfId="1062" xr:uid="{FA40CD26-D6FB-4C6B-B6BC-FE4E47A7B812}"/>
    <cellStyle name="60% - Ênfase3 8 4 2" xfId="2914" xr:uid="{1BA7ACAC-B0D3-4ADE-AA6E-6B46C89B5771}"/>
    <cellStyle name="60% - Ênfase3 8 5" xfId="1987" xr:uid="{6743D7BD-82D9-4D97-8FC7-9376D9D521CD}"/>
    <cellStyle name="60% - Ênfase3 9" xfId="195" xr:uid="{D61B79C6-2484-46A7-86ED-66E385A97474}"/>
    <cellStyle name="60% - Ênfase3 9 2" xfId="801" xr:uid="{4E871F91-CE42-44E6-91DA-C0E898214407}"/>
    <cellStyle name="60% - Ênfase3 9 2 2" xfId="1404" xr:uid="{2639A878-A5B6-4261-9A3B-7CBA924988D5}"/>
    <cellStyle name="60% - Ênfase3 9 2 2 2" xfId="3256" xr:uid="{2688BEEB-2B6B-4BF9-8DC6-728197419775}"/>
    <cellStyle name="60% - Ênfase3 9 2 3" xfId="2329" xr:uid="{68A54204-292E-4A5C-86FB-DD309949CC44}"/>
    <cellStyle name="60% - Ênfase3 9 3" xfId="477" xr:uid="{4C5BF3BF-440B-4CA5-8300-D393498CBEE2}"/>
    <cellStyle name="60% - Ênfase3 9 3 2" xfId="1607" xr:uid="{CFA8EF13-3B25-43C7-8E05-96C98BD07406}"/>
    <cellStyle name="60% - Ênfase3 9 3 2 2" xfId="3459" xr:uid="{FE2A741E-B1CC-4192-BF41-0C9ADDC5A001}"/>
    <cellStyle name="60% - Ênfase3 9 3 3" xfId="2532" xr:uid="{0E77973F-AF92-4710-84A7-98AC79D79382}"/>
    <cellStyle name="60% - Ênfase3 9 4" xfId="1082" xr:uid="{2C4B1F16-2991-41B6-A020-A2CBC6FF025C}"/>
    <cellStyle name="60% - Ênfase3 9 4 2" xfId="2934" xr:uid="{59DDB718-2A12-41A1-8A9B-364EDB6CBCF3}"/>
    <cellStyle name="60% - Ênfase3 9 5" xfId="2007" xr:uid="{AAFAF170-4FA9-4BE1-AA13-DFCEC4A59131}"/>
    <cellStyle name="60% - Ênfase4" xfId="33" builtinId="44" customBuiltin="1"/>
    <cellStyle name="60% - Ênfase4 10" xfId="219" xr:uid="{E8FCF993-DFF6-484E-A1CF-C5917D10BC37}"/>
    <cellStyle name="60% - Ênfase4 10 2" xfId="825" xr:uid="{98D00DDE-57C5-4471-9CD1-3AB6B8C273A7}"/>
    <cellStyle name="60% - Ênfase4 10 2 2" xfId="1428" xr:uid="{AB4844D3-22DB-4D38-8AC5-B03F9A285538}"/>
    <cellStyle name="60% - Ênfase4 10 2 2 2" xfId="3280" xr:uid="{83B5184F-F525-43C1-9289-F086AEDFFFA5}"/>
    <cellStyle name="60% - Ênfase4 10 2 3" xfId="2353" xr:uid="{04EF73C3-CCE8-4C12-B899-9A33073FD493}"/>
    <cellStyle name="60% - Ênfase4 10 3" xfId="501" xr:uid="{6F4E6F8D-C529-4BE5-AF11-E426608227E8}"/>
    <cellStyle name="60% - Ênfase4 10 3 2" xfId="1764" xr:uid="{0CC752E5-3774-4880-938E-AB30C4756C7A}"/>
    <cellStyle name="60% - Ênfase4 10 3 2 2" xfId="3577" xr:uid="{69BAB7C4-5B62-43F6-B006-E7750DE4036B}"/>
    <cellStyle name="60% - Ênfase4 10 3 3" xfId="2689" xr:uid="{6D353469-5A7C-40C8-8EB6-5C329BD7651B}"/>
    <cellStyle name="60% - Ênfase4 10 4" xfId="1106" xr:uid="{ABF1434A-8139-49E1-9947-59CAEEADE663}"/>
    <cellStyle name="60% - Ênfase4 10 4 2" xfId="2958" xr:uid="{B2765B4F-CB7A-4A7A-8625-AEBE185373A2}"/>
    <cellStyle name="60% - Ênfase4 10 5" xfId="2031" xr:uid="{BF5E2FFC-8796-4A5D-9E70-82FCB1B95361}"/>
    <cellStyle name="60% - Ênfase4 11" xfId="239" xr:uid="{4D21577C-773B-4718-8CFC-37C6C35B113F}"/>
    <cellStyle name="60% - Ênfase4 11 2" xfId="845" xr:uid="{B9020397-F7AC-4517-92E3-5594430924D6}"/>
    <cellStyle name="60% - Ênfase4 11 2 2" xfId="1448" xr:uid="{6B7748E3-57DE-4F0F-8866-ABBDDAF6DF47}"/>
    <cellStyle name="60% - Ênfase4 11 2 2 2" xfId="3300" xr:uid="{3F10E387-B3D1-4F38-B421-6495787215C1}"/>
    <cellStyle name="60% - Ênfase4 11 2 3" xfId="2373" xr:uid="{58A6B8F9-467A-44B1-BCBF-254B3EF1A591}"/>
    <cellStyle name="60% - Ênfase4 11 3" xfId="521" xr:uid="{F9B77D91-5A7F-4774-B17A-A33F39C4DDC5}"/>
    <cellStyle name="60% - Ênfase4 11 3 2" xfId="1791" xr:uid="{FAD088C7-D215-41C8-8AC1-D463DE314D5C}"/>
    <cellStyle name="60% - Ênfase4 11 3 2 2" xfId="3604" xr:uid="{6FD05FCF-DD2E-459B-8E01-054004D27590}"/>
    <cellStyle name="60% - Ênfase4 11 3 3" xfId="2716" xr:uid="{9960E4DD-92D3-4364-8F33-C15423AEECFA}"/>
    <cellStyle name="60% - Ênfase4 11 4" xfId="1126" xr:uid="{9DB903C8-3040-45AA-AB6C-4C73B6A070DE}"/>
    <cellStyle name="60% - Ênfase4 11 4 2" xfId="2978" xr:uid="{FFE823CA-01AF-4E1A-972F-77B461650960}"/>
    <cellStyle name="60% - Ênfase4 11 5" xfId="2051" xr:uid="{07D4CE9B-96C6-48E1-B21D-8E78C59C0129}"/>
    <cellStyle name="60% - Ênfase4 12" xfId="259" xr:uid="{5096662E-A2DF-48A4-8695-86FD1A3CDA70}"/>
    <cellStyle name="60% - Ênfase4 12 2" xfId="865" xr:uid="{FBA3E9B6-44AA-4F74-A5C9-C6717448A413}"/>
    <cellStyle name="60% - Ênfase4 12 2 2" xfId="1468" xr:uid="{AF2283F1-1BC5-488B-B194-FB0B952BD03F}"/>
    <cellStyle name="60% - Ênfase4 12 2 2 2" xfId="3320" xr:uid="{C0361947-C277-4EE0-AFC5-A403DB483326}"/>
    <cellStyle name="60% - Ênfase4 12 2 3" xfId="2393" xr:uid="{5615E042-6B12-4D95-AD42-3CD3FE53874F}"/>
    <cellStyle name="60% - Ênfase4 12 3" xfId="541" xr:uid="{10B68ADC-202F-4D19-9100-E43BA8653563}"/>
    <cellStyle name="60% - Ênfase4 12 3 2" xfId="1534" xr:uid="{DE321F5C-194F-4B42-8C04-91196E966E24}"/>
    <cellStyle name="60% - Ênfase4 12 3 2 2" xfId="3386" xr:uid="{422F4AC1-70D6-414E-8D7C-C8ACE334742D}"/>
    <cellStyle name="60% - Ênfase4 12 3 3" xfId="2459" xr:uid="{D0486989-E5D5-4682-95B3-798DE264F96B}"/>
    <cellStyle name="60% - Ênfase4 12 4" xfId="1146" xr:uid="{67649AF8-7372-41F2-8E04-8A3795EA2B2D}"/>
    <cellStyle name="60% - Ênfase4 12 4 2" xfId="2998" xr:uid="{D3736643-D7B0-46C1-A381-99AE39731992}"/>
    <cellStyle name="60% - Ênfase4 12 5" xfId="2071" xr:uid="{B5BA9B1E-E71A-41A5-8AF2-9606DFF03017}"/>
    <cellStyle name="60% - Ênfase4 13" xfId="279" xr:uid="{89E79749-3452-4F74-A904-C643C7B6B9EE}"/>
    <cellStyle name="60% - Ênfase4 13 2" xfId="885" xr:uid="{3A8000C5-BA5C-4CF7-AA95-B348F1DD7173}"/>
    <cellStyle name="60% - Ênfase4 13 2 2" xfId="1488" xr:uid="{141184C7-C74E-48FF-92E0-F37BC9E142A5}"/>
    <cellStyle name="60% - Ênfase4 13 2 2 2" xfId="3340" xr:uid="{136AAF91-34C8-4355-B516-57B91F9776C9}"/>
    <cellStyle name="60% - Ênfase4 13 2 3" xfId="2413" xr:uid="{05C027DA-73E7-4104-BDC0-4AA3D86102A2}"/>
    <cellStyle name="60% - Ênfase4 13 3" xfId="561" xr:uid="{EE6DB8B3-EAC2-4D04-B369-687E872B61FE}"/>
    <cellStyle name="60% - Ênfase4 13 3 2" xfId="1589" xr:uid="{5D12F113-525C-41E7-B07F-92963E77AD47}"/>
    <cellStyle name="60% - Ênfase4 13 3 2 2" xfId="3441" xr:uid="{7E491C86-12BB-46C2-80A1-0CB2C149049E}"/>
    <cellStyle name="60% - Ênfase4 13 3 3" xfId="2514" xr:uid="{1D7F2412-DD1A-49C5-A2D3-C2F0BF8F3470}"/>
    <cellStyle name="60% - Ênfase4 13 4" xfId="1166" xr:uid="{159580DA-6402-41B1-BC38-07468BBD23B0}"/>
    <cellStyle name="60% - Ênfase4 13 4 2" xfId="3018" xr:uid="{F7F33343-30FE-49C1-BAFC-F668151DC624}"/>
    <cellStyle name="60% - Ênfase4 13 5" xfId="2091" xr:uid="{0063D503-9F45-497D-8428-4695A4D930F3}"/>
    <cellStyle name="60% - Ênfase4 14" xfId="299" xr:uid="{B9872F01-8628-48D0-BE74-C9B723073C3E}"/>
    <cellStyle name="60% - Ênfase4 14 2" xfId="905" xr:uid="{221B660E-F467-4D9C-AA09-274F7FCD48E0}"/>
    <cellStyle name="60% - Ênfase4 14 2 2" xfId="1508" xr:uid="{208BEAD6-5C0D-4BF1-9B1F-83068EBAA337}"/>
    <cellStyle name="60% - Ênfase4 14 2 2 2" xfId="3360" xr:uid="{1AF7E583-5D69-41CB-B3BE-0BB1B84C3663}"/>
    <cellStyle name="60% - Ênfase4 14 2 3" xfId="2433" xr:uid="{87AFCC81-8F0C-4F25-BAF4-60FDEA9B342B}"/>
    <cellStyle name="60% - Ênfase4 14 3" xfId="581" xr:uid="{A13E0FA6-F43B-4175-8A3F-7A85B45EDDB3}"/>
    <cellStyle name="60% - Ênfase4 14 3 2" xfId="1708" xr:uid="{CF302358-CDF2-49BE-9088-51BD8927712D}"/>
    <cellStyle name="60% - Ênfase4 14 3 2 2" xfId="3521" xr:uid="{26F1B2B7-7B75-494D-919D-8E0D823E8482}"/>
    <cellStyle name="60% - Ênfase4 14 3 3" xfId="2633" xr:uid="{ED7EF103-1971-49D2-B826-5999B5F9A215}"/>
    <cellStyle name="60% - Ênfase4 14 4" xfId="1186" xr:uid="{82BF99AB-DAB6-4ED8-9FF2-5D8860F4507E}"/>
    <cellStyle name="60% - Ênfase4 14 4 2" xfId="3038" xr:uid="{AF07EB61-0B9A-4FAA-A43D-23403677483A}"/>
    <cellStyle name="60% - Ênfase4 14 5" xfId="2111" xr:uid="{A97695BB-FE9F-40FA-BF22-A2E26570B4F9}"/>
    <cellStyle name="60% - Ênfase4 15" xfId="601" xr:uid="{EBBE06FF-5136-4C1D-AAF8-F8B2FFFCD875}"/>
    <cellStyle name="60% - Ênfase4 15 2" xfId="1664" xr:uid="{FC5D65E9-407C-4C5A-9447-64E017352CD4}"/>
    <cellStyle name="60% - Ênfase4 15 2 2" xfId="2589" xr:uid="{6D21E05A-82D4-4E2F-83C6-B0233EF02573}"/>
    <cellStyle name="60% - Ênfase4 15 3" xfId="1206" xr:uid="{2CC76374-F2E5-4DE8-BDA8-0A6C56DEC8FA}"/>
    <cellStyle name="60% - Ênfase4 15 3 2" xfId="3058" xr:uid="{77C5B749-2113-4B94-9B6B-10EB90373516}"/>
    <cellStyle name="60% - Ênfase4 15 4" xfId="2131" xr:uid="{9DED660B-EEBA-4163-B109-793E8A9B5D66}"/>
    <cellStyle name="60% - Ênfase4 16" xfId="621" xr:uid="{D4F5D006-B34F-4989-8730-1A0A8B9AB41B}"/>
    <cellStyle name="60% - Ênfase4 16 2" xfId="1684" xr:uid="{8ECCB943-CB32-4465-9212-72D2AE4DC00A}"/>
    <cellStyle name="60% - Ênfase4 16 2 2" xfId="2609" xr:uid="{6FB8F28C-26CC-4E5D-8E64-C6ABE0BDD07F}"/>
    <cellStyle name="60% - Ênfase4 16 3" xfId="1226" xr:uid="{1F4367BA-B2E8-46D1-8132-371A47F94C20}"/>
    <cellStyle name="60% - Ênfase4 16 3 2" xfId="3078" xr:uid="{74B40531-CBCA-425F-9E90-E00D79400C05}"/>
    <cellStyle name="60% - Ênfase4 16 4" xfId="2151" xr:uid="{1A75C3DB-31A6-496C-80F1-9A7F73BDA737}"/>
    <cellStyle name="60% - Ênfase4 17" xfId="641" xr:uid="{8B73B7FC-4A94-4C9E-AAB7-461A2A9A0EDA}"/>
    <cellStyle name="60% - Ênfase4 17 2" xfId="1245" xr:uid="{EDB33451-2250-446A-9389-66E14EA5804C}"/>
    <cellStyle name="60% - Ênfase4 17 2 2" xfId="3097" xr:uid="{CB3046FA-C84C-4437-B7CF-154C7B4B9A44}"/>
    <cellStyle name="60% - Ênfase4 17 3" xfId="2170" xr:uid="{A53C09FC-BDD1-4ECD-8C79-EDE29B7043D3}"/>
    <cellStyle name="60% - Ênfase4 18" xfId="318" xr:uid="{E9B747C6-6B87-4797-8459-A59DE308D231}"/>
    <cellStyle name="60% - Ênfase4 18 2" xfId="1559" xr:uid="{0A9DC9FE-46EF-4F90-96C6-86899486413A}"/>
    <cellStyle name="60% - Ênfase4 18 2 2" xfId="3411" xr:uid="{F86ACEA4-08F8-45B4-B649-2DB89FA0F9F1}"/>
    <cellStyle name="60% - Ênfase4 18 3" xfId="2484" xr:uid="{99734247-1350-4E47-B20C-83E7475012F3}"/>
    <cellStyle name="60% - Ênfase4 19" xfId="923" xr:uid="{B4036DD8-38AE-4B5D-90A6-86DF19DF43E9}"/>
    <cellStyle name="60% - Ênfase4 19 2" xfId="2775" xr:uid="{A2AA175F-F599-43B2-96A9-7ED20CBD4B6D}"/>
    <cellStyle name="60% - Ênfase4 2" xfId="58" xr:uid="{ED86A1F8-FF71-4BF9-93C1-2F5F6BE0B7F6}"/>
    <cellStyle name="60% - Ênfase4 2 2" xfId="664" xr:uid="{B25B4A57-6904-49E9-B885-8F424D4CFA2F}"/>
    <cellStyle name="60% - Ênfase4 2 2 2" xfId="1267" xr:uid="{0FFEEBAE-9BA9-4699-96FC-F9BFC3802218}"/>
    <cellStyle name="60% - Ênfase4 2 2 2 2" xfId="3119" xr:uid="{EC0875BC-8BD2-4550-A35E-7BE4D0AEB313}"/>
    <cellStyle name="60% - Ênfase4 2 2 3" xfId="2192" xr:uid="{9FD8E859-FA06-45FD-B644-7D7182436586}"/>
    <cellStyle name="60% - Ênfase4 2 3" xfId="340" xr:uid="{E1BABF6C-2B4F-4C05-B9AC-D79F2B56BBD7}"/>
    <cellStyle name="60% - Ênfase4 2 3 2" xfId="1766" xr:uid="{326C3013-9871-456E-91C1-81415F469261}"/>
    <cellStyle name="60% - Ênfase4 2 3 2 2" xfId="3579" xr:uid="{E50B899D-6B03-43C3-B231-2F0DFC2E8441}"/>
    <cellStyle name="60% - Ênfase4 2 3 3" xfId="2691" xr:uid="{88EFF111-3248-4F3E-AFA8-564B53666024}"/>
    <cellStyle name="60% - Ênfase4 2 4" xfId="945" xr:uid="{E72D5BB5-9177-4891-ACFA-28174AFA7005}"/>
    <cellStyle name="60% - Ênfase4 2 4 2" xfId="2797" xr:uid="{33ECC860-450E-49E2-B57B-97152F245249}"/>
    <cellStyle name="60% - Ênfase4 2 5" xfId="1870" xr:uid="{2960E198-B238-4176-837C-90CCFF49F743}"/>
    <cellStyle name="60% - Ênfase4 20" xfId="1848" xr:uid="{B17627C4-E3DF-4E93-9529-8F8E7FF06F4A}"/>
    <cellStyle name="60% - Ênfase4 3" xfId="76" xr:uid="{FD8EB090-FA22-41E9-8C51-58D6B5D47C01}"/>
    <cellStyle name="60% - Ênfase4 3 2" xfId="682" xr:uid="{374615C5-B8C8-4FFD-BFAF-2F79A1B99FA6}"/>
    <cellStyle name="60% - Ênfase4 3 2 2" xfId="1285" xr:uid="{B821C28B-C280-4657-B08E-B5C9517AAB96}"/>
    <cellStyle name="60% - Ênfase4 3 2 2 2" xfId="3137" xr:uid="{86C70D10-A0FB-48D4-A3D5-6995CCCA780D}"/>
    <cellStyle name="60% - Ênfase4 3 2 3" xfId="2210" xr:uid="{F24B08C9-D0DA-4022-8842-25E8ED4C3681}"/>
    <cellStyle name="60% - Ênfase4 3 3" xfId="358" xr:uid="{0ECF8254-E61D-4FC8-AF40-B17F31C44605}"/>
    <cellStyle name="60% - Ênfase4 3 3 2" xfId="1757" xr:uid="{73AD0E70-F10A-4DD2-989E-4F22966176A2}"/>
    <cellStyle name="60% - Ênfase4 3 3 2 2" xfId="3570" xr:uid="{5BDB3BDA-C420-4851-A7D6-188B77C6049F}"/>
    <cellStyle name="60% - Ênfase4 3 3 3" xfId="2682" xr:uid="{2212F59F-9FCC-496F-B8F1-4F3121D8B44D}"/>
    <cellStyle name="60% - Ênfase4 3 4" xfId="963" xr:uid="{997C8CC1-B8E6-43FB-ADFF-B4C240013DAE}"/>
    <cellStyle name="60% - Ênfase4 3 4 2" xfId="2815" xr:uid="{2F70CBF8-C1B5-493F-AD6B-EB8A8D9B765D}"/>
    <cellStyle name="60% - Ênfase4 3 5" xfId="1888" xr:uid="{851C9FBB-2BF0-4D96-A4A1-6C16458A6474}"/>
    <cellStyle name="60% - Ênfase4 4" xfId="98" xr:uid="{322AB64E-0B80-4765-8DEA-9FF9E6A8B894}"/>
    <cellStyle name="60% - Ênfase4 4 2" xfId="704" xr:uid="{7203A931-A703-4975-8EE6-DC7A4F25FCE1}"/>
    <cellStyle name="60% - Ênfase4 4 2 2" xfId="1307" xr:uid="{032F678C-3117-40FD-B2C5-17452C398CA6}"/>
    <cellStyle name="60% - Ênfase4 4 2 2 2" xfId="3159" xr:uid="{370D6C67-087A-48D8-B1F7-CF0203616648}"/>
    <cellStyle name="60% - Ênfase4 4 2 3" xfId="2232" xr:uid="{A4941E9E-0E75-4878-8139-CAEDC80891FF}"/>
    <cellStyle name="60% - Ênfase4 4 3" xfId="380" xr:uid="{839DB3DE-B050-447A-9BB4-65F6D18EECD2}"/>
    <cellStyle name="60% - Ênfase4 4 3 2" xfId="1822" xr:uid="{39B27520-C261-479E-BD9C-73E51F16E243}"/>
    <cellStyle name="60% - Ênfase4 4 3 2 2" xfId="3635" xr:uid="{C2CB5E8C-F623-44AB-8273-3E37A5C2EA10}"/>
    <cellStyle name="60% - Ênfase4 4 3 3" xfId="2747" xr:uid="{88D0E044-C4F9-4BCC-86B6-18019FF1FC27}"/>
    <cellStyle name="60% - Ênfase4 4 4" xfId="985" xr:uid="{D3E071D7-2F7D-434E-A756-DE337271C14E}"/>
    <cellStyle name="60% - Ênfase4 4 4 2" xfId="2837" xr:uid="{BF2D5498-5BE8-4CCD-A80C-D2209B2D08A0}"/>
    <cellStyle name="60% - Ênfase4 4 5" xfId="1910" xr:uid="{CE22A96D-64F9-42D2-87A0-B157E025DE4F}"/>
    <cellStyle name="60% - Ênfase4 5" xfId="118" xr:uid="{9F996B77-2DC5-4F39-87D0-E2752DEFF60B}"/>
    <cellStyle name="60% - Ênfase4 5 2" xfId="724" xr:uid="{D2EAB337-947B-466D-84B2-166C64953770}"/>
    <cellStyle name="60% - Ênfase4 5 2 2" xfId="1327" xr:uid="{C874A6E3-0E27-44C0-A570-3B67CF83193F}"/>
    <cellStyle name="60% - Ênfase4 5 2 2 2" xfId="3179" xr:uid="{B014493F-7E3F-4532-B9C5-42415E0E2F39}"/>
    <cellStyle name="60% - Ênfase4 5 2 3" xfId="2252" xr:uid="{29684AC6-268B-49DF-A3B1-01F75450373A}"/>
    <cellStyle name="60% - Ênfase4 5 3" xfId="400" xr:uid="{72F44A54-1182-444F-835D-017AD7F60A03}"/>
    <cellStyle name="60% - Ênfase4 5 3 2" xfId="1557" xr:uid="{2C996493-9C6C-4C29-B570-D1F1911C258E}"/>
    <cellStyle name="60% - Ênfase4 5 3 2 2" xfId="3409" xr:uid="{8A1EB73F-6CEE-4681-87CA-972870FC6820}"/>
    <cellStyle name="60% - Ênfase4 5 3 3" xfId="2482" xr:uid="{018F5395-2149-4528-BB86-D4524610423F}"/>
    <cellStyle name="60% - Ênfase4 5 4" xfId="1005" xr:uid="{71B744E3-A85C-4C0E-98E7-4564FD569DDF}"/>
    <cellStyle name="60% - Ênfase4 5 4 2" xfId="2857" xr:uid="{0173DE07-F002-45E2-BE30-A07ED98B3D4F}"/>
    <cellStyle name="60% - Ênfase4 5 5" xfId="1930" xr:uid="{34860D9A-DC1D-467A-8045-D9790AAC5E0D}"/>
    <cellStyle name="60% - Ênfase4 6" xfId="138" xr:uid="{FA0EF99F-E918-4FC4-84BA-423CA76A6ABA}"/>
    <cellStyle name="60% - Ênfase4 6 2" xfId="744" xr:uid="{C2667093-CC8F-4DAD-9BA1-841595FCD326}"/>
    <cellStyle name="60% - Ênfase4 6 2 2" xfId="1347" xr:uid="{408585F3-A036-4CAA-B2E3-073E48D81537}"/>
    <cellStyle name="60% - Ênfase4 6 2 2 2" xfId="3199" xr:uid="{EA318593-126F-4F63-9515-0D8662B6C329}"/>
    <cellStyle name="60% - Ênfase4 6 2 3" xfId="2272" xr:uid="{3DC55FE1-A370-4EF6-803D-D7751502DB94}"/>
    <cellStyle name="60% - Ênfase4 6 3" xfId="420" xr:uid="{E50E44C9-6334-4648-A7C7-523605F1CF1F}"/>
    <cellStyle name="60% - Ênfase4 6 3 2" xfId="1724" xr:uid="{3A8765B6-6135-4718-8B96-E119F4945333}"/>
    <cellStyle name="60% - Ênfase4 6 3 2 2" xfId="3537" xr:uid="{22F8817B-B115-4558-8667-8C379EB3C3D6}"/>
    <cellStyle name="60% - Ênfase4 6 3 3" xfId="2649" xr:uid="{998A48DF-76D4-4B03-A98D-1E73E40E4164}"/>
    <cellStyle name="60% - Ênfase4 6 4" xfId="1025" xr:uid="{39CFF0EF-74AB-441B-A129-00C857496BC5}"/>
    <cellStyle name="60% - Ênfase4 6 4 2" xfId="2877" xr:uid="{C3B1227A-7704-4D28-8869-B8FBF2FB9BCA}"/>
    <cellStyle name="60% - Ênfase4 6 5" xfId="1950" xr:uid="{9051E5E0-D208-45AB-B6A1-5CF1117387ED}"/>
    <cellStyle name="60% - Ênfase4 7" xfId="158" xr:uid="{3A6EE53B-99EF-453F-8439-E9D7567644F9}"/>
    <cellStyle name="60% - Ênfase4 7 2" xfId="764" xr:uid="{5B72C95D-5FA7-47B0-8F21-7563BAD46285}"/>
    <cellStyle name="60% - Ênfase4 7 2 2" xfId="1367" xr:uid="{ED23583C-2A04-43DA-8B68-FA39B3807A39}"/>
    <cellStyle name="60% - Ênfase4 7 2 2 2" xfId="3219" xr:uid="{716D757B-DC62-4D98-BE5E-B7DEE0E75985}"/>
    <cellStyle name="60% - Ênfase4 7 2 3" xfId="2292" xr:uid="{F0F053F4-C9C0-4C16-830C-6069FC57A577}"/>
    <cellStyle name="60% - Ênfase4 7 3" xfId="440" xr:uid="{83EE2E88-C183-4743-9782-6C1F734E639D}"/>
    <cellStyle name="60% - Ênfase4 7 3 2" xfId="1630" xr:uid="{795B564A-EA3E-430C-9244-15100DAB3BDE}"/>
    <cellStyle name="60% - Ênfase4 7 3 2 2" xfId="3482" xr:uid="{8E4254A0-1C77-451D-9F82-168C9D8C6468}"/>
    <cellStyle name="60% - Ênfase4 7 3 3" xfId="2555" xr:uid="{51EF86EB-A96F-4CE9-9869-5A5BE6068B19}"/>
    <cellStyle name="60% - Ênfase4 7 4" xfId="1045" xr:uid="{40A6B335-A289-4D4B-BC54-89C40AD0CF09}"/>
    <cellStyle name="60% - Ênfase4 7 4 2" xfId="2897" xr:uid="{8855C1E7-BDEE-45CA-A4C2-033F2B1DA655}"/>
    <cellStyle name="60% - Ênfase4 7 5" xfId="1970" xr:uid="{F718BF13-B1FB-4431-94E2-A1E67FD32E3B}"/>
    <cellStyle name="60% - Ênfase4 8" xfId="178" xr:uid="{BF85FC86-BE09-4052-8CCE-2ECF4C68A91A}"/>
    <cellStyle name="60% - Ênfase4 8 2" xfId="784" xr:uid="{A793E10F-93B3-4ADA-A422-8A51F7AFEF5F}"/>
    <cellStyle name="60% - Ênfase4 8 2 2" xfId="1387" xr:uid="{9ED06C6E-62B7-4CF9-A670-A43C98448E9B}"/>
    <cellStyle name="60% - Ênfase4 8 2 2 2" xfId="3239" xr:uid="{9F4C4923-61E4-463A-9F7D-93F5F3B5302C}"/>
    <cellStyle name="60% - Ênfase4 8 2 3" xfId="2312" xr:uid="{20A4E11D-D0CA-426B-BA9E-B45C6BCA7879}"/>
    <cellStyle name="60% - Ênfase4 8 3" xfId="460" xr:uid="{4072B9BE-2C46-4F0A-9C1A-8C4C090DD35E}"/>
    <cellStyle name="60% - Ênfase4 8 3 2" xfId="1825" xr:uid="{CB30AFFD-CE0E-4DE4-8929-6A1C756970A2}"/>
    <cellStyle name="60% - Ênfase4 8 3 2 2" xfId="3638" xr:uid="{3EC6654B-DD02-4283-9719-37CFDC218139}"/>
    <cellStyle name="60% - Ênfase4 8 3 3" xfId="2750" xr:uid="{98E626E0-618C-46A9-960A-12D9F8987FB2}"/>
    <cellStyle name="60% - Ênfase4 8 4" xfId="1065" xr:uid="{66962CED-4413-40B7-BC28-FAD800433D93}"/>
    <cellStyle name="60% - Ênfase4 8 4 2" xfId="2917" xr:uid="{B0E79311-57EE-431F-88BF-230B9047139C}"/>
    <cellStyle name="60% - Ênfase4 8 5" xfId="1990" xr:uid="{2DE25F95-FEDB-4FB0-9D6A-B4C3D3DA563C}"/>
    <cellStyle name="60% - Ênfase4 9" xfId="198" xr:uid="{A7C2DD66-EAE2-47AA-855F-CC0FFB5929CA}"/>
    <cellStyle name="60% - Ênfase4 9 2" xfId="804" xr:uid="{2D515840-A540-4F2B-99D4-101CEA5595E9}"/>
    <cellStyle name="60% - Ênfase4 9 2 2" xfId="1407" xr:uid="{D4DD4F4E-00C3-47E3-9917-6723FDD6FC46}"/>
    <cellStyle name="60% - Ênfase4 9 2 2 2" xfId="3259" xr:uid="{2C4324D9-B9F7-45E9-9848-D854893ECD6D}"/>
    <cellStyle name="60% - Ênfase4 9 2 3" xfId="2332" xr:uid="{028CCA22-632D-4052-87DF-73B04A581E40}"/>
    <cellStyle name="60% - Ênfase4 9 3" xfId="480" xr:uid="{05A3110B-92B7-4CCF-B8B0-99FEA8CE3EB1}"/>
    <cellStyle name="60% - Ênfase4 9 3 2" xfId="1702" xr:uid="{C7256C94-D135-45D8-83D0-10DA5EBCC4D8}"/>
    <cellStyle name="60% - Ênfase4 9 3 2 2" xfId="3515" xr:uid="{67719C26-4AE6-4239-AF83-67CB3ACDF848}"/>
    <cellStyle name="60% - Ênfase4 9 3 3" xfId="2627" xr:uid="{9E44553A-490D-451C-ACAB-53EB5B812586}"/>
    <cellStyle name="60% - Ênfase4 9 4" xfId="1085" xr:uid="{681BECCD-55BE-4026-AD1E-AA381C8BD7EA}"/>
    <cellStyle name="60% - Ênfase4 9 4 2" xfId="2937" xr:uid="{739203FA-D31A-4791-AB63-218AC4F5314C}"/>
    <cellStyle name="60% - Ênfase4 9 5" xfId="2010" xr:uid="{CED8FE66-9239-412A-AAD5-35545883A386}"/>
    <cellStyle name="60% - Ênfase5" xfId="37" builtinId="48" customBuiltin="1"/>
    <cellStyle name="60% - Ênfase5 10" xfId="222" xr:uid="{01CDF56A-FAF2-4458-B0F8-92FD84D1A799}"/>
    <cellStyle name="60% - Ênfase5 10 2" xfId="828" xr:uid="{9BEE1B1F-07C5-409E-99C2-676440D5E3D6}"/>
    <cellStyle name="60% - Ênfase5 10 2 2" xfId="1431" xr:uid="{B5060569-AAF5-41F4-A25D-B039BACE45B0}"/>
    <cellStyle name="60% - Ênfase5 10 2 2 2" xfId="3283" xr:uid="{3E0E32C3-562A-47CA-A5FA-A0FA1BDF5F4C}"/>
    <cellStyle name="60% - Ênfase5 10 2 3" xfId="2356" xr:uid="{8CC4CF7E-FF63-40F4-93EB-2AB4474F71D5}"/>
    <cellStyle name="60% - Ênfase5 10 3" xfId="504" xr:uid="{EF306F99-23C9-4EC6-9EE8-AA6170DBF082}"/>
    <cellStyle name="60% - Ênfase5 10 3 2" xfId="1786" xr:uid="{61D6185F-C766-49E4-ACA2-F12BBFF215D6}"/>
    <cellStyle name="60% - Ênfase5 10 3 2 2" xfId="3599" xr:uid="{B1090DCF-3EA5-481F-B24C-D96584FE053A}"/>
    <cellStyle name="60% - Ênfase5 10 3 3" xfId="2711" xr:uid="{AF50E7FE-4956-4B22-B4E2-FF04459BCEEA}"/>
    <cellStyle name="60% - Ênfase5 10 4" xfId="1109" xr:uid="{CAD486E7-AB1C-4AA0-B182-1CE733743EE4}"/>
    <cellStyle name="60% - Ênfase5 10 4 2" xfId="2961" xr:uid="{2AC472BE-5624-47A9-BDDB-8C3D72C58550}"/>
    <cellStyle name="60% - Ênfase5 10 5" xfId="2034" xr:uid="{7C52B56B-90EF-4F7C-AF49-5CC147A09DB5}"/>
    <cellStyle name="60% - Ênfase5 11" xfId="242" xr:uid="{66445083-5951-49C5-BEDF-AE7930A05A58}"/>
    <cellStyle name="60% - Ênfase5 11 2" xfId="848" xr:uid="{4B71480E-963B-413A-9E24-E9DB6C669E29}"/>
    <cellStyle name="60% - Ênfase5 11 2 2" xfId="1451" xr:uid="{533CDA37-F224-49F4-9811-A89566CF1598}"/>
    <cellStyle name="60% - Ênfase5 11 2 2 2" xfId="3303" xr:uid="{7FA6EEFE-A9E4-42B3-AA7F-608FE4A35694}"/>
    <cellStyle name="60% - Ênfase5 11 2 3" xfId="2376" xr:uid="{5BC05199-2718-4993-A243-9FC726AB089F}"/>
    <cellStyle name="60% - Ênfase5 11 3" xfId="524" xr:uid="{9CED15E0-F219-414B-A6D4-BC5F9F79D5D0}"/>
    <cellStyle name="60% - Ênfase5 11 3 2" xfId="1515" xr:uid="{8775CA32-B9FD-49CF-94F9-386F2DCCD216}"/>
    <cellStyle name="60% - Ênfase5 11 3 2 2" xfId="3367" xr:uid="{4428C5BB-5101-435A-B24D-99B0093573C2}"/>
    <cellStyle name="60% - Ênfase5 11 3 3" xfId="2440" xr:uid="{D3F099BC-2865-4B1B-9F06-C84FD279047F}"/>
    <cellStyle name="60% - Ênfase5 11 4" xfId="1129" xr:uid="{BDA31D3B-857B-4629-A671-FFA0B7DC943C}"/>
    <cellStyle name="60% - Ênfase5 11 4 2" xfId="2981" xr:uid="{9B4E56C0-D9BA-4BDE-B5C2-31BFF97A05B5}"/>
    <cellStyle name="60% - Ênfase5 11 5" xfId="2054" xr:uid="{1BC0E08F-AE6E-4200-A922-F4381B149D83}"/>
    <cellStyle name="60% - Ênfase5 12" xfId="262" xr:uid="{8361F9C8-ECA7-49FB-810E-9D3010B5F1C5}"/>
    <cellStyle name="60% - Ênfase5 12 2" xfId="868" xr:uid="{8ABEE8EA-BFF9-4505-B94B-5FFED9395CD4}"/>
    <cellStyle name="60% - Ênfase5 12 2 2" xfId="1471" xr:uid="{314CCBC6-FDA2-46A1-B214-82D841D49B88}"/>
    <cellStyle name="60% - Ênfase5 12 2 2 2" xfId="3323" xr:uid="{0DF55608-C25E-42DD-A967-FD4EBB4931D4}"/>
    <cellStyle name="60% - Ênfase5 12 2 3" xfId="2396" xr:uid="{8D1B8815-CA3E-47FA-8E12-D78E3B904513}"/>
    <cellStyle name="60% - Ênfase5 12 3" xfId="544" xr:uid="{4A32F9D2-D3CF-4833-89B6-038AF8262267}"/>
    <cellStyle name="60% - Ênfase5 12 3 2" xfId="1821" xr:uid="{F4F5736B-2D1E-413E-B035-3E9353CF7196}"/>
    <cellStyle name="60% - Ênfase5 12 3 2 2" xfId="3634" xr:uid="{FB49D669-C04A-4DD3-B2EB-BE13BC729EAE}"/>
    <cellStyle name="60% - Ênfase5 12 3 3" xfId="2746" xr:uid="{02578041-47A3-46AE-B8D9-8224F355C918}"/>
    <cellStyle name="60% - Ênfase5 12 4" xfId="1149" xr:uid="{B055E865-F1D5-4421-A742-A0070B09CD87}"/>
    <cellStyle name="60% - Ênfase5 12 4 2" xfId="3001" xr:uid="{23F749F9-995E-488D-A40D-A41EE2798F8B}"/>
    <cellStyle name="60% - Ênfase5 12 5" xfId="2074" xr:uid="{1B5471BF-1A7C-41C6-A413-91E4911888D1}"/>
    <cellStyle name="60% - Ênfase5 13" xfId="282" xr:uid="{DBBD619F-8F8A-4B77-B1F5-7C837BA740B1}"/>
    <cellStyle name="60% - Ênfase5 13 2" xfId="888" xr:uid="{68A5631C-A614-402E-9EF7-34ED01299F7B}"/>
    <cellStyle name="60% - Ênfase5 13 2 2" xfId="1491" xr:uid="{36D7D1E2-7AB7-49AE-8CAA-8B82218D855C}"/>
    <cellStyle name="60% - Ênfase5 13 2 2 2" xfId="3343" xr:uid="{325C01DB-60C1-4B5C-80E3-26C89F4F64A5}"/>
    <cellStyle name="60% - Ênfase5 13 2 3" xfId="2416" xr:uid="{99242283-ABD6-4F26-B462-E556FD66342B}"/>
    <cellStyle name="60% - Ênfase5 13 3" xfId="564" xr:uid="{785BD54B-0004-4072-834D-10BD8867F24E}"/>
    <cellStyle name="60% - Ênfase5 13 3 2" xfId="1783" xr:uid="{2B026D36-45E8-4837-BB65-C5E87D151DF7}"/>
    <cellStyle name="60% - Ênfase5 13 3 2 2" xfId="3596" xr:uid="{30C9014C-A526-4722-B145-A0B6EFF3F37A}"/>
    <cellStyle name="60% - Ênfase5 13 3 3" xfId="2708" xr:uid="{85F74334-C04E-4ACB-A505-17EA6A28902A}"/>
    <cellStyle name="60% - Ênfase5 13 4" xfId="1169" xr:uid="{9F4ADC36-2016-4EEA-BE1C-E2D9E0C6CCA8}"/>
    <cellStyle name="60% - Ênfase5 13 4 2" xfId="3021" xr:uid="{B0A99FEF-8AB2-4A5D-8C6D-89296781E812}"/>
    <cellStyle name="60% - Ênfase5 13 5" xfId="2094" xr:uid="{DCEB4436-260E-4893-9B5E-D0D40A4949DF}"/>
    <cellStyle name="60% - Ênfase5 14" xfId="302" xr:uid="{6118ECB9-353D-4CA5-B095-81F6E0CFB315}"/>
    <cellStyle name="60% - Ênfase5 14 2" xfId="908" xr:uid="{A5AF0D6E-9FF5-481A-9809-8BE09B4F69D9}"/>
    <cellStyle name="60% - Ênfase5 14 2 2" xfId="1511" xr:uid="{8426A059-B0F4-4F3A-BF89-12D6ED565B25}"/>
    <cellStyle name="60% - Ênfase5 14 2 2 2" xfId="3363" xr:uid="{7E0C6E11-0F7B-4E82-BE2E-B38B46011DDC}"/>
    <cellStyle name="60% - Ênfase5 14 2 3" xfId="2436" xr:uid="{F06DE1F3-709C-4F24-998D-AC06B16E31A9}"/>
    <cellStyle name="60% - Ênfase5 14 3" xfId="584" xr:uid="{6E810FA5-4811-4877-88BD-233DFE33B283}"/>
    <cellStyle name="60% - Ênfase5 14 3 2" xfId="1580" xr:uid="{105EC0CC-2B2B-4AFF-8364-0F8972A4C40A}"/>
    <cellStyle name="60% - Ênfase5 14 3 2 2" xfId="3432" xr:uid="{9A6B44FA-76B2-47DC-9AD7-31B63F9E23FC}"/>
    <cellStyle name="60% - Ênfase5 14 3 3" xfId="2505" xr:uid="{56F68EFD-0B75-4D33-B907-E778454D4515}"/>
    <cellStyle name="60% - Ênfase5 14 4" xfId="1189" xr:uid="{AC7A60A2-27BD-4F23-88D9-6EEE4A4E6924}"/>
    <cellStyle name="60% - Ênfase5 14 4 2" xfId="3041" xr:uid="{88A47F4D-4C41-4646-8384-4F48B5573959}"/>
    <cellStyle name="60% - Ênfase5 14 5" xfId="2114" xr:uid="{CDAFF7D4-8264-4EBE-9066-41154BC2D3C1}"/>
    <cellStyle name="60% - Ênfase5 15" xfId="604" xr:uid="{AB03FBEB-E249-459E-8A02-35EABBD3BF7C}"/>
    <cellStyle name="60% - Ênfase5 15 2" xfId="1667" xr:uid="{D5FE8D01-4795-4D9A-ADF9-6C058D1B01A0}"/>
    <cellStyle name="60% - Ênfase5 15 2 2" xfId="2592" xr:uid="{BBF4E145-163D-431D-82ED-1903E11DFD0F}"/>
    <cellStyle name="60% - Ênfase5 15 3" xfId="1209" xr:uid="{CA4306A9-1E55-4200-BE0A-6DB008454D00}"/>
    <cellStyle name="60% - Ênfase5 15 3 2" xfId="3061" xr:uid="{6065CFE9-1494-4609-938A-A701438ACC54}"/>
    <cellStyle name="60% - Ênfase5 15 4" xfId="2134" xr:uid="{7985BDC4-477D-4980-B0AF-CA4E0F67FB86}"/>
    <cellStyle name="60% - Ênfase5 16" xfId="624" xr:uid="{6C1189BD-D88D-4D3F-9CD5-524B3B155677}"/>
    <cellStyle name="60% - Ênfase5 16 2" xfId="1687" xr:uid="{65DCA010-7CBC-401B-A4FE-2157471B4404}"/>
    <cellStyle name="60% - Ênfase5 16 2 2" xfId="2612" xr:uid="{2CCCDFAB-20EB-4FCA-A623-D990E2C5C9E7}"/>
    <cellStyle name="60% - Ênfase5 16 3" xfId="1229" xr:uid="{E8B032B7-8A49-46C5-B8C9-50F48B079705}"/>
    <cellStyle name="60% - Ênfase5 16 3 2" xfId="3081" xr:uid="{595B1384-7CA4-4FEA-A7BE-26412B3AA6C8}"/>
    <cellStyle name="60% - Ênfase5 16 4" xfId="2154" xr:uid="{F15DBE62-5B3A-49A6-8B8D-34F1B8A1ECD5}"/>
    <cellStyle name="60% - Ênfase5 17" xfId="644" xr:uid="{6A0CE33B-C440-4C0E-BB99-588AAE32467D}"/>
    <cellStyle name="60% - Ênfase5 17 2" xfId="1248" xr:uid="{A091A6BB-DCF9-434A-B1C3-CC198EACBC09}"/>
    <cellStyle name="60% - Ênfase5 17 2 2" xfId="3100" xr:uid="{7FB300CA-E0BE-4C17-A522-C069361E4051}"/>
    <cellStyle name="60% - Ênfase5 17 3" xfId="2173" xr:uid="{49EC1529-D6EB-417B-8C6A-628385279305}"/>
    <cellStyle name="60% - Ênfase5 18" xfId="321" xr:uid="{C2EBCEA6-F27F-4993-99A6-828D6A15164A}"/>
    <cellStyle name="60% - Ênfase5 18 2" xfId="1604" xr:uid="{D7185241-594A-48A4-98E8-10F8AB17200C}"/>
    <cellStyle name="60% - Ênfase5 18 2 2" xfId="3456" xr:uid="{44839978-0648-4E4F-8956-3EBC85D68798}"/>
    <cellStyle name="60% - Ênfase5 18 3" xfId="2529" xr:uid="{3862229C-3CAC-4969-9E2E-595BB01E7715}"/>
    <cellStyle name="60% - Ênfase5 19" xfId="926" xr:uid="{46BAC999-D4A9-43F2-81A0-93A477DA210A}"/>
    <cellStyle name="60% - Ênfase5 19 2" xfId="2778" xr:uid="{7FEFBF6E-BCDA-4786-8358-41C644E3389A}"/>
    <cellStyle name="60% - Ênfase5 2" xfId="61" xr:uid="{9082DAA8-F484-4183-8CD1-92F66CB47A83}"/>
    <cellStyle name="60% - Ênfase5 2 2" xfId="667" xr:uid="{4633810D-379E-4CE8-A1E3-4171E3EE958C}"/>
    <cellStyle name="60% - Ênfase5 2 2 2" xfId="1270" xr:uid="{CE556AA3-1292-4689-AA39-D0F51083C21F}"/>
    <cellStyle name="60% - Ênfase5 2 2 2 2" xfId="3122" xr:uid="{19CB1DB6-742D-4CDB-9291-5D2BF60A3B36}"/>
    <cellStyle name="60% - Ênfase5 2 2 3" xfId="2195" xr:uid="{534B3323-1FBB-4698-83B7-1423A0A12ECB}"/>
    <cellStyle name="60% - Ênfase5 2 3" xfId="343" xr:uid="{EED1B034-A807-43E6-9B5F-BCA6EFE824F1}"/>
    <cellStyle name="60% - Ênfase5 2 3 2" xfId="1550" xr:uid="{1936B3EF-85EF-4837-9C75-250E6BADDFC4}"/>
    <cellStyle name="60% - Ênfase5 2 3 2 2" xfId="3402" xr:uid="{85445439-7240-4249-9389-9182510910FA}"/>
    <cellStyle name="60% - Ênfase5 2 3 3" xfId="2475" xr:uid="{BB92D816-C7CB-40C8-966B-3A39DEF475C7}"/>
    <cellStyle name="60% - Ênfase5 2 4" xfId="948" xr:uid="{4E052555-3890-42B8-9F2A-F647552F12C2}"/>
    <cellStyle name="60% - Ênfase5 2 4 2" xfId="2800" xr:uid="{E81C7A85-6298-42A5-9365-FC00FD28965D}"/>
    <cellStyle name="60% - Ênfase5 2 5" xfId="1873" xr:uid="{DE063A60-D658-4CE7-877A-D5F7D2FDD9BB}"/>
    <cellStyle name="60% - Ênfase5 20" xfId="1851" xr:uid="{33F0407F-7EEC-4DD5-AF92-1FF9694E8B03}"/>
    <cellStyle name="60% - Ênfase5 3" xfId="79" xr:uid="{6685BCC8-EF4F-434A-8A81-30906C0A313F}"/>
    <cellStyle name="60% - Ênfase5 3 2" xfId="685" xr:uid="{BBD3DCFF-CA67-4C1D-8C75-49FCA17CD6D9}"/>
    <cellStyle name="60% - Ênfase5 3 2 2" xfId="1288" xr:uid="{97BDA636-A91E-4ED9-A846-288C91D5E866}"/>
    <cellStyle name="60% - Ênfase5 3 2 2 2" xfId="3140" xr:uid="{530A9590-D8BE-4A2D-A4FF-DA2324265BE6}"/>
    <cellStyle name="60% - Ênfase5 3 2 3" xfId="2213" xr:uid="{16B61189-88FD-4631-BD67-0C40049C2AB2}"/>
    <cellStyle name="60% - Ênfase5 3 3" xfId="361" xr:uid="{4F1C3913-4989-4270-B999-DF5C0BB9CA7D}"/>
    <cellStyle name="60% - Ênfase5 3 3 2" xfId="1817" xr:uid="{42CDDEF9-0023-42FA-9D2D-77087A5E0FC1}"/>
    <cellStyle name="60% - Ênfase5 3 3 2 2" xfId="3630" xr:uid="{6FB74E40-251C-4D5A-9F93-830A74762A63}"/>
    <cellStyle name="60% - Ênfase5 3 3 3" xfId="2742" xr:uid="{03CF9EDC-167B-4011-80EB-735D555FAF9D}"/>
    <cellStyle name="60% - Ênfase5 3 4" xfId="966" xr:uid="{F798C0C0-533F-4D4D-8E4C-164E45E8B710}"/>
    <cellStyle name="60% - Ênfase5 3 4 2" xfId="2818" xr:uid="{A7E8CB62-01A4-4E00-8E57-1D0379B9C2F9}"/>
    <cellStyle name="60% - Ênfase5 3 5" xfId="1891" xr:uid="{D26018E8-3016-4F99-84F4-B2FC5FDD6FA1}"/>
    <cellStyle name="60% - Ênfase5 4" xfId="101" xr:uid="{F19694B1-21BC-4927-B643-F7F6135FA689}"/>
    <cellStyle name="60% - Ênfase5 4 2" xfId="707" xr:uid="{C2E4273A-E460-45F0-9E68-5A239F0BAEF1}"/>
    <cellStyle name="60% - Ênfase5 4 2 2" xfId="1310" xr:uid="{7FF3F368-A7BE-4CC5-9107-2D938DC024DA}"/>
    <cellStyle name="60% - Ênfase5 4 2 2 2" xfId="3162" xr:uid="{4D23AA43-B957-413B-B1AE-68CE5AB1AE1F}"/>
    <cellStyle name="60% - Ênfase5 4 2 3" xfId="2235" xr:uid="{E6B403C3-98A7-4066-9A61-A47E789C2BC2}"/>
    <cellStyle name="60% - Ênfase5 4 3" xfId="383" xr:uid="{8BEC1412-B3F4-4A2C-ACEB-AA54067A758E}"/>
    <cellStyle name="60% - Ênfase5 4 3 2" xfId="1641" xr:uid="{3B8B4CE5-3F09-4B87-9F62-DC42AE0AC469}"/>
    <cellStyle name="60% - Ênfase5 4 3 2 2" xfId="3493" xr:uid="{70EDEF98-E13C-4530-9FE2-7932D7037C5B}"/>
    <cellStyle name="60% - Ênfase5 4 3 3" xfId="2566" xr:uid="{F17E55DA-0099-4334-9754-20251CA34B16}"/>
    <cellStyle name="60% - Ênfase5 4 4" xfId="988" xr:uid="{C99D0F39-C06D-4216-B614-D59F72664883}"/>
    <cellStyle name="60% - Ênfase5 4 4 2" xfId="2840" xr:uid="{63A43ED9-3B37-474C-83F9-B956F3124F59}"/>
    <cellStyle name="60% - Ênfase5 4 5" xfId="1913" xr:uid="{22082AE9-31CD-4572-B049-BA99241961FD}"/>
    <cellStyle name="60% - Ênfase5 5" xfId="121" xr:uid="{CCB7DBBA-5A81-4799-A018-0FA0275419EB}"/>
    <cellStyle name="60% - Ênfase5 5 2" xfId="727" xr:uid="{7E2D0C1A-E43C-4760-A5AE-CA68B300E2E5}"/>
    <cellStyle name="60% - Ênfase5 5 2 2" xfId="1330" xr:uid="{13DDA1C1-A9BA-4DCA-A661-7B83F877193A}"/>
    <cellStyle name="60% - Ênfase5 5 2 2 2" xfId="3182" xr:uid="{B61F2C83-C129-422E-9DD3-EFF23EC3F366}"/>
    <cellStyle name="60% - Ênfase5 5 2 3" xfId="2255" xr:uid="{FE888A5A-682A-4C96-ACC5-1E9D4864B10E}"/>
    <cellStyle name="60% - Ênfase5 5 3" xfId="403" xr:uid="{30949281-03A6-438D-9A60-7582C0D5EA9E}"/>
    <cellStyle name="60% - Ênfase5 5 3 2" xfId="1798" xr:uid="{D3AC19F0-0388-4B67-A66E-DEB30C7B9932}"/>
    <cellStyle name="60% - Ênfase5 5 3 2 2" xfId="3611" xr:uid="{0798EC01-6E32-449F-9845-87D9D2EEED8B}"/>
    <cellStyle name="60% - Ênfase5 5 3 3" xfId="2723" xr:uid="{33019FA0-88BB-4554-B166-11EFEDCBCF19}"/>
    <cellStyle name="60% - Ênfase5 5 4" xfId="1008" xr:uid="{CA6C0F80-51B8-4395-A3FE-C08AE2D83855}"/>
    <cellStyle name="60% - Ênfase5 5 4 2" xfId="2860" xr:uid="{CCB51A95-BAAE-44DA-96DF-C06FD16AD066}"/>
    <cellStyle name="60% - Ênfase5 5 5" xfId="1933" xr:uid="{B249C901-7E10-4F0D-9EB8-81A3221CDA28}"/>
    <cellStyle name="60% - Ênfase5 6" xfId="141" xr:uid="{3171C594-2517-4D22-BF59-12B0DBFFE0AE}"/>
    <cellStyle name="60% - Ênfase5 6 2" xfId="747" xr:uid="{2C61943A-5AD2-40A5-AFBF-3458D43CE14C}"/>
    <cellStyle name="60% - Ênfase5 6 2 2" xfId="1350" xr:uid="{1DA00F49-C65C-4264-BFB0-2F3B69CCE950}"/>
    <cellStyle name="60% - Ênfase5 6 2 2 2" xfId="3202" xr:uid="{4B1C7993-C4F4-4E63-BC65-1B1B2E4B9E10}"/>
    <cellStyle name="60% - Ênfase5 6 2 3" xfId="2275" xr:uid="{7564C36B-D8FC-4630-8795-C9050D7E34C7}"/>
    <cellStyle name="60% - Ênfase5 6 3" xfId="423" xr:uid="{8ACE7D79-477C-41E9-9DE8-4E9F0F0D9308}"/>
    <cellStyle name="60% - Ênfase5 6 3 2" xfId="1526" xr:uid="{F553AF06-1B59-41EB-AEB4-4DC543B01631}"/>
    <cellStyle name="60% - Ênfase5 6 3 2 2" xfId="3378" xr:uid="{D067837E-6CC9-4F3B-9FE6-57F2E409650C}"/>
    <cellStyle name="60% - Ênfase5 6 3 3" xfId="2451" xr:uid="{3BE5BBED-3ACD-417B-B32D-4E947B2A1E81}"/>
    <cellStyle name="60% - Ênfase5 6 4" xfId="1028" xr:uid="{3024CF35-053A-4757-B7D0-E31A9C72E219}"/>
    <cellStyle name="60% - Ênfase5 6 4 2" xfId="2880" xr:uid="{B766D555-3BEC-4534-8E01-DD67EB865A42}"/>
    <cellStyle name="60% - Ênfase5 6 5" xfId="1953" xr:uid="{F6111528-C68B-46C4-9BE3-F51ABB7AF068}"/>
    <cellStyle name="60% - Ênfase5 7" xfId="161" xr:uid="{E5618465-1DC6-4B8C-9B8F-1B3FD13379BB}"/>
    <cellStyle name="60% - Ênfase5 7 2" xfId="767" xr:uid="{BDEC2C9D-ED5F-43D8-BC04-6C5F81A77D51}"/>
    <cellStyle name="60% - Ênfase5 7 2 2" xfId="1370" xr:uid="{3B4CA467-682F-4DC5-BFA0-467E0FA2BC4A}"/>
    <cellStyle name="60% - Ênfase5 7 2 2 2" xfId="3222" xr:uid="{F777E533-9D1B-40A4-8D1D-4F4C761DE9E8}"/>
    <cellStyle name="60% - Ênfase5 7 2 3" xfId="2295" xr:uid="{3475CD4D-9368-4E97-974C-620785619B65}"/>
    <cellStyle name="60% - Ênfase5 7 3" xfId="443" xr:uid="{FFE3C0FF-4114-4C5A-B50E-8650249D9018}"/>
    <cellStyle name="60% - Ênfase5 7 3 2" xfId="1577" xr:uid="{9BAE1DDB-C5D5-404B-AA02-7BD3A229CDCB}"/>
    <cellStyle name="60% - Ênfase5 7 3 2 2" xfId="3429" xr:uid="{D5D49E27-3AE5-46CB-9D80-D7F849794D3F}"/>
    <cellStyle name="60% - Ênfase5 7 3 3" xfId="2502" xr:uid="{158E2753-B1B9-4CA3-A435-A0AE6E5377D3}"/>
    <cellStyle name="60% - Ênfase5 7 4" xfId="1048" xr:uid="{82047A58-F24E-440D-9B8C-8BA85032C093}"/>
    <cellStyle name="60% - Ênfase5 7 4 2" xfId="2900" xr:uid="{5F075A68-46BB-4F78-91B4-3012E4B4FB01}"/>
    <cellStyle name="60% - Ênfase5 7 5" xfId="1973" xr:uid="{A0A0E576-C98F-488D-BD9F-7CF484C253D2}"/>
    <cellStyle name="60% - Ênfase5 8" xfId="181" xr:uid="{566F5B9E-47DE-423D-9D3E-823EE514EB98}"/>
    <cellStyle name="60% - Ênfase5 8 2" xfId="787" xr:uid="{5C58A014-DE10-49EC-AB7A-E3D8CD219B6A}"/>
    <cellStyle name="60% - Ênfase5 8 2 2" xfId="1390" xr:uid="{A08F2B7E-BED3-4715-A8FE-338B30DED768}"/>
    <cellStyle name="60% - Ênfase5 8 2 2 2" xfId="3242" xr:uid="{2837CCAC-F358-4249-A8A4-819945453493}"/>
    <cellStyle name="60% - Ênfase5 8 2 3" xfId="2315" xr:uid="{3FEFF9E8-E8F6-4096-9927-5E6CB9253ED3}"/>
    <cellStyle name="60% - Ênfase5 8 3" xfId="463" xr:uid="{1F6AE067-2E22-4B5A-8AB8-368C39BC7068}"/>
    <cellStyle name="60% - Ênfase5 8 3 2" xfId="1642" xr:uid="{CADA07AC-77D5-4FD8-A943-9B339023D7FD}"/>
    <cellStyle name="60% - Ênfase5 8 3 2 2" xfId="3494" xr:uid="{13C74C8E-378A-4632-9BB9-20C5B5F38512}"/>
    <cellStyle name="60% - Ênfase5 8 3 3" xfId="2567" xr:uid="{A22127A9-DDA6-4373-BE5E-FB65E802DE22}"/>
    <cellStyle name="60% - Ênfase5 8 4" xfId="1068" xr:uid="{BB5BC8EE-43ED-413F-A334-86AA3F5B908D}"/>
    <cellStyle name="60% - Ênfase5 8 4 2" xfId="2920" xr:uid="{95122776-8B5B-4834-BFF2-85F14B40F1EC}"/>
    <cellStyle name="60% - Ênfase5 8 5" xfId="1993" xr:uid="{F03D0003-4E79-41C7-A812-87E8DBDDA945}"/>
    <cellStyle name="60% - Ênfase5 9" xfId="201" xr:uid="{0846DF20-96F2-4394-A9EB-9D1512F3A634}"/>
    <cellStyle name="60% - Ênfase5 9 2" xfId="807" xr:uid="{FC660D86-A112-4431-BEEA-993CF0E557CD}"/>
    <cellStyle name="60% - Ênfase5 9 2 2" xfId="1410" xr:uid="{C4B9E711-46BD-4447-85E9-2A0337E6411F}"/>
    <cellStyle name="60% - Ênfase5 9 2 2 2" xfId="3262" xr:uid="{3E240994-F2D3-4F0A-ACCB-627ED074AE84}"/>
    <cellStyle name="60% - Ênfase5 9 2 3" xfId="2335" xr:uid="{A8D0506E-1E51-48E3-BCE2-B97E8B39AA0F}"/>
    <cellStyle name="60% - Ênfase5 9 3" xfId="483" xr:uid="{B50E526E-8E07-480B-92FF-6DF587CE01BF}"/>
    <cellStyle name="60% - Ênfase5 9 3 2" xfId="1815" xr:uid="{4FADB338-DB5F-44B8-BA30-0F89C4147203}"/>
    <cellStyle name="60% - Ênfase5 9 3 2 2" xfId="3628" xr:uid="{6790F0DB-4889-44BE-9265-318FED7BDFD2}"/>
    <cellStyle name="60% - Ênfase5 9 3 3" xfId="2740" xr:uid="{B1D709F8-5AF2-42DB-AB85-B9E6846556CF}"/>
    <cellStyle name="60% - Ênfase5 9 4" xfId="1088" xr:uid="{8E1C35CA-176E-4157-BFE7-A5638E033AB8}"/>
    <cellStyle name="60% - Ênfase5 9 4 2" xfId="2940" xr:uid="{BDAAC21A-18BD-4778-BE4D-6D8A16A58231}"/>
    <cellStyle name="60% - Ênfase5 9 5" xfId="2013" xr:uid="{C7059E45-E747-469F-9840-7D23E5B4421A}"/>
    <cellStyle name="60% - Ênfase6" xfId="41" builtinId="52" customBuiltin="1"/>
    <cellStyle name="60% - Ênfase6 10" xfId="225" xr:uid="{01A99B50-7964-4CB2-8B33-435718B4DDF1}"/>
    <cellStyle name="60% - Ênfase6 10 2" xfId="831" xr:uid="{E006DE61-03B7-41AB-81A2-80B7F2AB453D}"/>
    <cellStyle name="60% - Ênfase6 10 2 2" xfId="1434" xr:uid="{6EED136F-0B48-4E91-A3C6-B68159DFA66A}"/>
    <cellStyle name="60% - Ênfase6 10 2 2 2" xfId="3286" xr:uid="{E7103CDA-176F-4B42-9CCD-AE34B2FD3EF3}"/>
    <cellStyle name="60% - Ênfase6 10 2 3" xfId="2359" xr:uid="{EA9B989C-AA28-4602-9660-5AA0F6B8411E}"/>
    <cellStyle name="60% - Ênfase6 10 3" xfId="507" xr:uid="{2701D0AF-EBE6-4E8E-B356-6AD86C9ACB82}"/>
    <cellStyle name="60% - Ênfase6 10 3 2" xfId="1776" xr:uid="{3967B6FD-19FB-4DDA-B0AB-8655F60DD875}"/>
    <cellStyle name="60% - Ênfase6 10 3 2 2" xfId="3589" xr:uid="{96E0BA95-1B54-4C01-AC94-A3962D308449}"/>
    <cellStyle name="60% - Ênfase6 10 3 3" xfId="2701" xr:uid="{AA3295B8-CDFC-49FC-850A-140881238FC5}"/>
    <cellStyle name="60% - Ênfase6 10 4" xfId="1112" xr:uid="{878CBAFD-6774-45B4-836B-BC54CE8A9DCB}"/>
    <cellStyle name="60% - Ênfase6 10 4 2" xfId="2964" xr:uid="{D1667164-58FE-4790-856F-EFB5D6E572FD}"/>
    <cellStyle name="60% - Ênfase6 10 5" xfId="2037" xr:uid="{5F82BAE7-7F5F-471C-823F-0854F493E216}"/>
    <cellStyle name="60% - Ênfase6 11" xfId="245" xr:uid="{89856CB8-B537-47FB-A09B-1DDE91DBF022}"/>
    <cellStyle name="60% - Ênfase6 11 2" xfId="851" xr:uid="{DEFEC9C7-E369-45B9-9289-A59DB1556E0B}"/>
    <cellStyle name="60% - Ênfase6 11 2 2" xfId="1454" xr:uid="{9673D228-D9FD-440D-90D4-D1F0416C9A5B}"/>
    <cellStyle name="60% - Ênfase6 11 2 2 2" xfId="3306" xr:uid="{6B2889A8-333B-4957-A8ED-67F75547622B}"/>
    <cellStyle name="60% - Ênfase6 11 2 3" xfId="2379" xr:uid="{49EE7689-DC07-47BF-95C9-6E1BFF73AF85}"/>
    <cellStyle name="60% - Ênfase6 11 3" xfId="527" xr:uid="{143C7669-10BF-4E41-BB7E-D7715712CAA7}"/>
    <cellStyle name="60% - Ênfase6 11 3 2" xfId="1779" xr:uid="{0677549B-E5DD-4D86-B8ED-38756B88F665}"/>
    <cellStyle name="60% - Ênfase6 11 3 2 2" xfId="3592" xr:uid="{53E4A927-65D1-4E28-A3C5-F63933820563}"/>
    <cellStyle name="60% - Ênfase6 11 3 3" xfId="2704" xr:uid="{F71EAB1F-6029-477B-8BD2-A594F4771D3E}"/>
    <cellStyle name="60% - Ênfase6 11 4" xfId="1132" xr:uid="{B7CACD09-378D-4443-9262-E9C0C774CDBA}"/>
    <cellStyle name="60% - Ênfase6 11 4 2" xfId="2984" xr:uid="{985A65B4-2A6E-4E64-87B9-E7DBAF2767E8}"/>
    <cellStyle name="60% - Ênfase6 11 5" xfId="2057" xr:uid="{3A2EC064-5D9B-4896-A808-2F9102650F0B}"/>
    <cellStyle name="60% - Ênfase6 12" xfId="265" xr:uid="{450A59B4-DC9A-4265-81A4-176F7E476130}"/>
    <cellStyle name="60% - Ênfase6 12 2" xfId="871" xr:uid="{96B9F6EC-C2AA-435A-AE1B-978CD632897A}"/>
    <cellStyle name="60% - Ênfase6 12 2 2" xfId="1474" xr:uid="{18A70626-6593-44C5-825F-08E21B3FFEBC}"/>
    <cellStyle name="60% - Ênfase6 12 2 2 2" xfId="3326" xr:uid="{6CB06155-660C-419B-847B-8029B051DE5F}"/>
    <cellStyle name="60% - Ênfase6 12 2 3" xfId="2399" xr:uid="{A6B07BF7-ADD2-4FA1-93AA-13A856CDD8DB}"/>
    <cellStyle name="60% - Ênfase6 12 3" xfId="547" xr:uid="{6867069C-64BB-49B6-AED8-DC05F65BC0AC}"/>
    <cellStyle name="60% - Ênfase6 12 3 2" xfId="1649" xr:uid="{3DA757D2-8F89-446B-B031-0E49B3627344}"/>
    <cellStyle name="60% - Ênfase6 12 3 2 2" xfId="3501" xr:uid="{3E3E6457-25BC-4032-8263-AE4D867898CD}"/>
    <cellStyle name="60% - Ênfase6 12 3 3" xfId="2574" xr:uid="{122CB980-73A1-4E6B-8BF6-916A5174B268}"/>
    <cellStyle name="60% - Ênfase6 12 4" xfId="1152" xr:uid="{319F698C-22C3-4464-9338-C389FCA3FB61}"/>
    <cellStyle name="60% - Ênfase6 12 4 2" xfId="3004" xr:uid="{4B239554-8EE5-4B73-AA3E-F7611E7A3875}"/>
    <cellStyle name="60% - Ênfase6 12 5" xfId="2077" xr:uid="{12222B21-E3B6-49A3-B6C8-DC43B97B81A3}"/>
    <cellStyle name="60% - Ênfase6 13" xfId="285" xr:uid="{1F220838-F3B0-40B5-BDAE-9E75CA6A3A0F}"/>
    <cellStyle name="60% - Ênfase6 13 2" xfId="891" xr:uid="{575FC7EC-65AB-40CB-AF25-8A6C12198725}"/>
    <cellStyle name="60% - Ênfase6 13 2 2" xfId="1494" xr:uid="{F0436893-817B-405B-B175-C683724B6A55}"/>
    <cellStyle name="60% - Ênfase6 13 2 2 2" xfId="3346" xr:uid="{F5746479-4950-433B-8A1B-D4BB9DDCCECE}"/>
    <cellStyle name="60% - Ênfase6 13 2 3" xfId="2419" xr:uid="{47F323FB-B6D9-4FA4-9165-7201BBE2D02B}"/>
    <cellStyle name="60% - Ênfase6 13 3" xfId="567" xr:uid="{6AB2EB67-6341-4F56-8D4E-EC24984FE211}"/>
    <cellStyle name="60% - Ênfase6 13 3 2" xfId="1711" xr:uid="{5920FC75-75F6-4470-BC2B-A6E6A827F52A}"/>
    <cellStyle name="60% - Ênfase6 13 3 2 2" xfId="3524" xr:uid="{87BC8549-8CCB-49FD-8ECF-8244E84A4634}"/>
    <cellStyle name="60% - Ênfase6 13 3 3" xfId="2636" xr:uid="{63F7AA35-F9DB-4BA4-8A9D-ED7F5AD06532}"/>
    <cellStyle name="60% - Ênfase6 13 4" xfId="1172" xr:uid="{E4CC063F-FB93-480B-8206-55D6DA3FDF3A}"/>
    <cellStyle name="60% - Ênfase6 13 4 2" xfId="3024" xr:uid="{70BC0C93-1B33-483F-960C-32EC0176A104}"/>
    <cellStyle name="60% - Ênfase6 13 5" xfId="2097" xr:uid="{488F0DD5-0C4A-4FD9-9564-9CB6B8EAF0CD}"/>
    <cellStyle name="60% - Ênfase6 14" xfId="305" xr:uid="{55384C32-71C1-41B8-9A3F-716381FEF7C8}"/>
    <cellStyle name="60% - Ênfase6 14 2" xfId="911" xr:uid="{6710AB44-5DBC-4E41-99BA-A5C86F04C143}"/>
    <cellStyle name="60% - Ênfase6 14 2 2" xfId="1514" xr:uid="{319376F7-0279-46EF-992A-431BED8E18B4}"/>
    <cellStyle name="60% - Ênfase6 14 2 2 2" xfId="3366" xr:uid="{66E41792-52E4-4C12-9825-12778A682E01}"/>
    <cellStyle name="60% - Ênfase6 14 2 3" xfId="2439" xr:uid="{6DDA5A2B-390E-402E-8017-61A5235DD1C0}"/>
    <cellStyle name="60% - Ênfase6 14 3" xfId="587" xr:uid="{E52C9EC9-A7A2-4572-8B94-1138CB7CA70F}"/>
    <cellStyle name="60% - Ênfase6 14 3 2" xfId="1566" xr:uid="{8FEA3EB6-80EC-4412-A83F-F7788508E343}"/>
    <cellStyle name="60% - Ênfase6 14 3 2 2" xfId="3418" xr:uid="{D1A6B355-9DE1-4E38-ACE0-2AAB73E7DD00}"/>
    <cellStyle name="60% - Ênfase6 14 3 3" xfId="2491" xr:uid="{E7AACF1B-B361-4602-8BDB-0EEDD1F5C9B3}"/>
    <cellStyle name="60% - Ênfase6 14 4" xfId="1192" xr:uid="{D3E8B96E-0AE4-41C8-9AE8-E77D75DB52CA}"/>
    <cellStyle name="60% - Ênfase6 14 4 2" xfId="3044" xr:uid="{A04A2F1D-765A-43F4-8541-9CAE528C8125}"/>
    <cellStyle name="60% - Ênfase6 14 5" xfId="2117" xr:uid="{F4AC19C3-22C3-4470-947A-813A106210CA}"/>
    <cellStyle name="60% - Ênfase6 15" xfId="607" xr:uid="{F71D9B2E-D5F9-4F4E-9664-93BE7AD773E4}"/>
    <cellStyle name="60% - Ênfase6 15 2" xfId="1670" xr:uid="{DAF4F434-F51B-46CB-BBB0-7A1DAAA57596}"/>
    <cellStyle name="60% - Ênfase6 15 2 2" xfId="2595" xr:uid="{6F8F4A82-85AE-4A8B-8E87-F97C2CFC1133}"/>
    <cellStyle name="60% - Ênfase6 15 3" xfId="1212" xr:uid="{B84BBAC0-1CEC-4805-A8EB-46F3ACD6C5B3}"/>
    <cellStyle name="60% - Ênfase6 15 3 2" xfId="3064" xr:uid="{D45703A0-221A-4868-A636-59B103BFA683}"/>
    <cellStyle name="60% - Ênfase6 15 4" xfId="2137" xr:uid="{AA4AB98B-0CF0-4A25-A6F9-7B9F6E51282D}"/>
    <cellStyle name="60% - Ênfase6 16" xfId="627" xr:uid="{D94FEBAE-0337-46AF-B294-D8284B2C6E23}"/>
    <cellStyle name="60% - Ênfase6 16 2" xfId="1690" xr:uid="{6CF887E6-B829-484D-B095-B9068CA69231}"/>
    <cellStyle name="60% - Ênfase6 16 2 2" xfId="2615" xr:uid="{F3F180E7-DD7E-4423-BC6C-2696AFB44A24}"/>
    <cellStyle name="60% - Ênfase6 16 3" xfId="1232" xr:uid="{B8E403DE-16F6-458B-8D8D-329D670E45F3}"/>
    <cellStyle name="60% - Ênfase6 16 3 2" xfId="3084" xr:uid="{BBDFDDEB-D211-4FCC-B1A3-6DEDF1D97C36}"/>
    <cellStyle name="60% - Ênfase6 16 4" xfId="2157" xr:uid="{491F2E27-523B-40F5-A0EF-BBFF2B62B36E}"/>
    <cellStyle name="60% - Ênfase6 17" xfId="647" xr:uid="{11650B38-034E-4417-B607-9EEE4D19E71B}"/>
    <cellStyle name="60% - Ênfase6 17 2" xfId="1251" xr:uid="{C2590897-BD4C-4877-B090-77317B8B8618}"/>
    <cellStyle name="60% - Ênfase6 17 2 2" xfId="3103" xr:uid="{DF80740D-A9E2-4F1A-B399-4C64D1AA65D4}"/>
    <cellStyle name="60% - Ênfase6 17 3" xfId="2176" xr:uid="{DE2E35AB-74B4-467D-9A5C-8055B9A1B263}"/>
    <cellStyle name="60% - Ênfase6 18" xfId="324" xr:uid="{9EDB95C9-E6E5-490E-89A5-B42988CE7A5A}"/>
    <cellStyle name="60% - Ênfase6 18 2" xfId="1739" xr:uid="{844B7299-5A66-4FB8-A51A-0EB02735ECC0}"/>
    <cellStyle name="60% - Ênfase6 18 2 2" xfId="3552" xr:uid="{497FC19E-F724-4C05-97A1-CB18403DF392}"/>
    <cellStyle name="60% - Ênfase6 18 3" xfId="2664" xr:uid="{4EF94972-28DF-4D94-B23E-DD1CD9BF3FA8}"/>
    <cellStyle name="60% - Ênfase6 19" xfId="929" xr:uid="{B05F1FA4-B12E-477D-B126-BA6930CD66BE}"/>
    <cellStyle name="60% - Ênfase6 19 2" xfId="2781" xr:uid="{CB0E3844-6F6B-4A6C-A568-74DBD8099632}"/>
    <cellStyle name="60% - Ênfase6 2" xfId="64" xr:uid="{8CD7B364-2EC8-4CBE-86C6-BB859D0FBB58}"/>
    <cellStyle name="60% - Ênfase6 2 2" xfId="670" xr:uid="{8B078E26-AC9C-4D3B-B1FB-DABE5C052628}"/>
    <cellStyle name="60% - Ênfase6 2 2 2" xfId="1273" xr:uid="{0535351C-B0CF-4B7C-8E69-0708D83627F8}"/>
    <cellStyle name="60% - Ênfase6 2 2 2 2" xfId="3125" xr:uid="{A9C54BEA-2417-4636-91B6-4DCF42640E13}"/>
    <cellStyle name="60% - Ênfase6 2 2 3" xfId="2198" xr:uid="{863BA95F-F44E-45B6-9969-A37FBA014C6D}"/>
    <cellStyle name="60% - Ênfase6 2 3" xfId="346" xr:uid="{080B7E39-7E9F-4131-A0F8-71494C99D99B}"/>
    <cellStyle name="60% - Ênfase6 2 3 2" xfId="1591" xr:uid="{F6D6BB22-9520-4B69-9F62-045B18FF960A}"/>
    <cellStyle name="60% - Ênfase6 2 3 2 2" xfId="3443" xr:uid="{3E574765-3FC1-49C4-8503-4ADF7DBBCB36}"/>
    <cellStyle name="60% - Ênfase6 2 3 3" xfId="2516" xr:uid="{6430CFEB-AF88-43AF-8C3E-67F348EAC69E}"/>
    <cellStyle name="60% - Ênfase6 2 4" xfId="951" xr:uid="{D9710052-1A22-46B4-8F17-C377F603963A}"/>
    <cellStyle name="60% - Ênfase6 2 4 2" xfId="2803" xr:uid="{BAD1180E-3C4C-4FF4-B3A8-4E4BA8B73467}"/>
    <cellStyle name="60% - Ênfase6 2 5" xfId="1876" xr:uid="{503FC3A3-5451-4B67-8539-D09C983EF7F8}"/>
    <cellStyle name="60% - Ênfase6 20" xfId="1854" xr:uid="{1E6EA5D1-A68C-4D35-8CA8-7811DE7DF630}"/>
    <cellStyle name="60% - Ênfase6 3" xfId="82" xr:uid="{6A7AC104-6670-4EC4-ADCB-BE92FA13E8D2}"/>
    <cellStyle name="60% - Ênfase6 3 2" xfId="688" xr:uid="{49E2866D-9809-41A7-9A66-DB264267D3A9}"/>
    <cellStyle name="60% - Ênfase6 3 2 2" xfId="1291" xr:uid="{3AD46832-0B7F-4155-9997-AD82F2A5B054}"/>
    <cellStyle name="60% - Ênfase6 3 2 2 2" xfId="3143" xr:uid="{345319AB-364C-4B36-971E-6AF521566410}"/>
    <cellStyle name="60% - Ênfase6 3 2 3" xfId="2216" xr:uid="{6D3858B9-5730-48D6-B595-1BBAAC4FECF9}"/>
    <cellStyle name="60% - Ênfase6 3 3" xfId="364" xr:uid="{93545CB2-C273-4A17-AAFB-BC0E399BB244}"/>
    <cellStyle name="60% - Ênfase6 3 3 2" xfId="1832" xr:uid="{DFAF3C80-31B6-4809-804A-8B0080797EA5}"/>
    <cellStyle name="60% - Ênfase6 3 3 2 2" xfId="3645" xr:uid="{3B4EFE1D-4B55-454F-A0F2-5874F2466D40}"/>
    <cellStyle name="60% - Ênfase6 3 3 3" xfId="2757" xr:uid="{9144A04D-B29C-432C-847A-4CA15B577276}"/>
    <cellStyle name="60% - Ênfase6 3 4" xfId="969" xr:uid="{8D3D52C7-7F1C-4E58-A2CA-907B3B884202}"/>
    <cellStyle name="60% - Ênfase6 3 4 2" xfId="2821" xr:uid="{8DA66920-87A2-4689-BB73-0D3FC6A805FF}"/>
    <cellStyle name="60% - Ênfase6 3 5" xfId="1894" xr:uid="{FD28A6E6-028C-404A-8B9B-B9B7D0C4A39F}"/>
    <cellStyle name="60% - Ênfase6 4" xfId="104" xr:uid="{D147BD1A-6F53-4F9F-9912-C6C9875F7BA3}"/>
    <cellStyle name="60% - Ênfase6 4 2" xfId="710" xr:uid="{981D222D-2539-44AB-B5F5-6B4403981248}"/>
    <cellStyle name="60% - Ênfase6 4 2 2" xfId="1313" xr:uid="{6C51FD70-1445-4017-B486-811D7B551D6B}"/>
    <cellStyle name="60% - Ênfase6 4 2 2 2" xfId="3165" xr:uid="{5791CC8A-5842-4168-A023-63AC43E445F0}"/>
    <cellStyle name="60% - Ênfase6 4 2 3" xfId="2238" xr:uid="{BCB28E40-B485-4A79-8431-D2189A3CC6F2}"/>
    <cellStyle name="60% - Ênfase6 4 3" xfId="386" xr:uid="{DDB08616-351E-4F18-9A94-33107747499F}"/>
    <cellStyle name="60% - Ênfase6 4 3 2" xfId="1583" xr:uid="{27F24DE2-12AA-4980-A0FB-E4D4316C4530}"/>
    <cellStyle name="60% - Ênfase6 4 3 2 2" xfId="3435" xr:uid="{D6858053-5F63-4171-A624-F17AB76A5F35}"/>
    <cellStyle name="60% - Ênfase6 4 3 3" xfId="2508" xr:uid="{41FA9069-149C-4E1F-8780-984A6168DBD3}"/>
    <cellStyle name="60% - Ênfase6 4 4" xfId="991" xr:uid="{C3FE494C-09FC-40E9-BC3F-DAA80E38F799}"/>
    <cellStyle name="60% - Ênfase6 4 4 2" xfId="2843" xr:uid="{713BCB46-2737-489B-AF95-48CF9FA079BD}"/>
    <cellStyle name="60% - Ênfase6 4 5" xfId="1916" xr:uid="{017B7930-0116-4A08-833B-F2BDF86B2907}"/>
    <cellStyle name="60% - Ênfase6 5" xfId="124" xr:uid="{BDB74E1A-5538-4034-83C8-CEEB685EDBB9}"/>
    <cellStyle name="60% - Ênfase6 5 2" xfId="730" xr:uid="{12436612-394C-45BB-A6C2-CBCEEDAACCEE}"/>
    <cellStyle name="60% - Ênfase6 5 2 2" xfId="1333" xr:uid="{9EB00BED-73A5-4E49-AB71-CAA95FF5192C}"/>
    <cellStyle name="60% - Ênfase6 5 2 2 2" xfId="3185" xr:uid="{0FB6C8EC-67BB-4724-8E65-A148DFC3C7D7}"/>
    <cellStyle name="60% - Ênfase6 5 2 3" xfId="2258" xr:uid="{B014CDAA-51D0-4F3A-93C3-70D867EC1079}"/>
    <cellStyle name="60% - Ênfase6 5 3" xfId="406" xr:uid="{55A1C3ED-FD99-460A-ACCA-BEBB1CE3DB04}"/>
    <cellStyle name="60% - Ênfase6 5 3 2" xfId="1736" xr:uid="{948CA513-06BE-48EF-A29B-D809AF0E03BB}"/>
    <cellStyle name="60% - Ênfase6 5 3 2 2" xfId="3549" xr:uid="{96284664-4678-4FAC-A001-6AC00BD594B9}"/>
    <cellStyle name="60% - Ênfase6 5 3 3" xfId="2661" xr:uid="{5B778D93-5213-404F-854F-A2EF7E67BA6B}"/>
    <cellStyle name="60% - Ênfase6 5 4" xfId="1011" xr:uid="{D29EAD97-8CC0-4735-8404-363F048DDDBD}"/>
    <cellStyle name="60% - Ênfase6 5 4 2" xfId="2863" xr:uid="{9A3AD40C-7D16-4537-BD22-402DD9DD7935}"/>
    <cellStyle name="60% - Ênfase6 5 5" xfId="1936" xr:uid="{DB5ABF4A-B732-4A16-A3EC-793DDB7F14B4}"/>
    <cellStyle name="60% - Ênfase6 6" xfId="144" xr:uid="{EFB37A44-694A-4974-AF5B-09E47116CA90}"/>
    <cellStyle name="60% - Ênfase6 6 2" xfId="750" xr:uid="{A28E63DA-1281-4A2E-895C-D641B1705E84}"/>
    <cellStyle name="60% - Ênfase6 6 2 2" xfId="1353" xr:uid="{590ED896-AE7A-4A45-B300-44981D4DBF62}"/>
    <cellStyle name="60% - Ênfase6 6 2 2 2" xfId="3205" xr:uid="{BE22699B-DA69-4F51-ADBE-EADF7C91232E}"/>
    <cellStyle name="60% - Ênfase6 6 2 3" xfId="2278" xr:uid="{709D3B19-825C-4D47-9837-737237014F88}"/>
    <cellStyle name="60% - Ênfase6 6 3" xfId="426" xr:uid="{082DC916-8417-424E-B859-906DFC5F1F29}"/>
    <cellStyle name="60% - Ênfase6 6 3 2" xfId="1774" xr:uid="{3DE38E63-A8D9-491D-92CE-DE2B704C2AEB}"/>
    <cellStyle name="60% - Ênfase6 6 3 2 2" xfId="3587" xr:uid="{45DC1ECA-0C23-4CEE-95DC-D16A88B0A0F3}"/>
    <cellStyle name="60% - Ênfase6 6 3 3" xfId="2699" xr:uid="{998CF28C-4A18-4538-825B-0B455D9E0A58}"/>
    <cellStyle name="60% - Ênfase6 6 4" xfId="1031" xr:uid="{C7867F24-3814-4541-A8AD-ED143272F320}"/>
    <cellStyle name="60% - Ênfase6 6 4 2" xfId="2883" xr:uid="{56ED5C4F-CB47-4A0B-8D3B-3C9FB64D00B7}"/>
    <cellStyle name="60% - Ênfase6 6 5" xfId="1956" xr:uid="{AE5F7EC1-FF05-4B3C-84F7-AA037708B178}"/>
    <cellStyle name="60% - Ênfase6 7" xfId="164" xr:uid="{207A0BA8-AA79-4E2E-98CE-FD519B02AF8D}"/>
    <cellStyle name="60% - Ênfase6 7 2" xfId="770" xr:uid="{BC197265-E932-48E1-8E69-C4D05AF554AA}"/>
    <cellStyle name="60% - Ênfase6 7 2 2" xfId="1373" xr:uid="{E8517688-D6C4-426B-9CFC-4A1644962E72}"/>
    <cellStyle name="60% - Ênfase6 7 2 2 2" xfId="3225" xr:uid="{C7B42ACF-4D3C-4D72-84E3-AAE3AEC00DB4}"/>
    <cellStyle name="60% - Ênfase6 7 2 3" xfId="2298" xr:uid="{596618BD-8935-4BBB-A2F2-2F99213002E1}"/>
    <cellStyle name="60% - Ênfase6 7 3" xfId="446" xr:uid="{CA9225A4-9D43-499F-838C-0E1C4D8FB4D3}"/>
    <cellStyle name="60% - Ênfase6 7 3 2" xfId="1729" xr:uid="{67E2845F-6649-46C1-B6D1-BB33A4B52592}"/>
    <cellStyle name="60% - Ênfase6 7 3 2 2" xfId="3542" xr:uid="{0A3FF320-FCE1-413C-A318-9B64293B4B3D}"/>
    <cellStyle name="60% - Ênfase6 7 3 3" xfId="2654" xr:uid="{6824A3E9-FC4A-48A1-A2F1-EBFE1E210099}"/>
    <cellStyle name="60% - Ênfase6 7 4" xfId="1051" xr:uid="{8E785F21-2420-4747-AEA9-18D5D7794B2A}"/>
    <cellStyle name="60% - Ênfase6 7 4 2" xfId="2903" xr:uid="{5B0F9D2C-7551-4794-9035-E638E4665E1A}"/>
    <cellStyle name="60% - Ênfase6 7 5" xfId="1976" xr:uid="{96919558-ABE7-4BCE-9D6C-CD6697A9CFFF}"/>
    <cellStyle name="60% - Ênfase6 8" xfId="184" xr:uid="{3058F36B-A2FD-4BA3-9EBE-D2537874A396}"/>
    <cellStyle name="60% - Ênfase6 8 2" xfId="790" xr:uid="{2368118E-D538-488C-B37E-4EBD7F4C05E5}"/>
    <cellStyle name="60% - Ênfase6 8 2 2" xfId="1393" xr:uid="{445F4C77-8C8E-4713-9253-B7D0D31FF96E}"/>
    <cellStyle name="60% - Ênfase6 8 2 2 2" xfId="3245" xr:uid="{6FC8FA22-7022-4DEA-B12E-C5A45C47703A}"/>
    <cellStyle name="60% - Ênfase6 8 2 3" xfId="2318" xr:uid="{E4ABACD5-5C8D-4C25-B5BF-078D859FC9EE}"/>
    <cellStyle name="60% - Ênfase6 8 3" xfId="466" xr:uid="{DAB174F4-07E3-4189-AC2E-76522173E17D}"/>
    <cellStyle name="60% - Ênfase6 8 3 2" xfId="1565" xr:uid="{09569B6E-428D-4B5B-AEDA-B14ADE90C3EA}"/>
    <cellStyle name="60% - Ênfase6 8 3 2 2" xfId="3417" xr:uid="{E4239AA7-B0A9-4B2A-A7EE-E540EDCF8030}"/>
    <cellStyle name="60% - Ênfase6 8 3 3" xfId="2490" xr:uid="{56D86371-C934-4D81-BB31-814321B6E9BD}"/>
    <cellStyle name="60% - Ênfase6 8 4" xfId="1071" xr:uid="{11400FF7-6034-4CBA-9410-2ED7C2FB2F85}"/>
    <cellStyle name="60% - Ênfase6 8 4 2" xfId="2923" xr:uid="{BC6EE999-7823-414C-8AEE-2365C4E2200B}"/>
    <cellStyle name="60% - Ênfase6 8 5" xfId="1996" xr:uid="{ABAB4DBD-F89B-48D8-AE37-16E0FAA14594}"/>
    <cellStyle name="60% - Ênfase6 9" xfId="204" xr:uid="{C85EC72B-5563-48CD-925A-282CBBF5EE50}"/>
    <cellStyle name="60% - Ênfase6 9 2" xfId="810" xr:uid="{3D3DF609-09DB-456C-AB24-4317C7280B72}"/>
    <cellStyle name="60% - Ênfase6 9 2 2" xfId="1413" xr:uid="{AD8E303F-8CA6-45EC-9D91-AB4ACD985F6F}"/>
    <cellStyle name="60% - Ênfase6 9 2 2 2" xfId="3265" xr:uid="{89085F03-AF79-4DB1-AA8B-58EACE51E3A3}"/>
    <cellStyle name="60% - Ênfase6 9 2 3" xfId="2338" xr:uid="{78BEB77D-E431-4904-9DBE-CCEEF1A809D4}"/>
    <cellStyle name="60% - Ênfase6 9 3" xfId="486" xr:uid="{D50CEE2E-7306-4FAD-A69C-5804D8BC4906}"/>
    <cellStyle name="60% - Ênfase6 9 3 2" xfId="1810" xr:uid="{37007731-B3C1-4F8A-9FF1-91C6B1ACF2C8}"/>
    <cellStyle name="60% - Ênfase6 9 3 2 2" xfId="3623" xr:uid="{3DB54B20-482F-4573-9FBC-5033D5609D4F}"/>
    <cellStyle name="60% - Ênfase6 9 3 3" xfId="2735" xr:uid="{AB5AD145-3143-43FD-877D-F2533FC5514C}"/>
    <cellStyle name="60% - Ênfase6 9 4" xfId="1091" xr:uid="{721689C6-DEC5-4FC3-ACC4-C7F37B87D55D}"/>
    <cellStyle name="60% - Ênfase6 9 4 2" xfId="2943" xr:uid="{4A9592F2-AB83-4719-9778-EF69F45AF54A}"/>
    <cellStyle name="60% - Ênfase6 9 5" xfId="2016" xr:uid="{A6FE5587-5F27-4073-8AC6-0F05ED578CA1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5" xr:uid="{C358B1E8-6321-4A56-A04C-2BBCA7DE998D}"/>
    <cellStyle name="Moeda 2 2" xfId="811" xr:uid="{04BF5AE7-4C52-4C0B-B968-27BE137ECF8E}"/>
    <cellStyle name="Moeda 2 2 2" xfId="1836" xr:uid="{0001ED41-B4C8-4A29-802E-3BC6B5A334AE}"/>
    <cellStyle name="Moeda 2 2 2 2" xfId="3649" xr:uid="{DD0086DD-6118-4E16-ADDC-C4C594A3CC9C}"/>
    <cellStyle name="Moeda 2 2 3" xfId="2761" xr:uid="{D5E3CC3C-3AF2-4F0F-8767-387327801B58}"/>
    <cellStyle name="Moeda 2 3" xfId="1414" xr:uid="{E18A11C7-0BA6-4464-B54D-B9FBCF8A0A24}"/>
    <cellStyle name="Moeda 2 3 2" xfId="3266" xr:uid="{C54F4AB2-CEED-4DB8-89E0-D822D5AAD322}"/>
    <cellStyle name="Moeda 2 4" xfId="2339" xr:uid="{636AB726-2EA3-44A5-86B3-BB84F927F040}"/>
    <cellStyle name="Moeda 3" xfId="629" xr:uid="{B1BFCDC7-A72B-432D-A8F1-A94B5773C2C7}"/>
    <cellStyle name="Moeda 3 2" xfId="1233" xr:uid="{17E9CBD4-67B9-448C-8A93-84AFB648914C}"/>
    <cellStyle name="Moeda 3 2 2" xfId="3085" xr:uid="{C3C25C0C-4285-44CA-9A70-ABA45121601D}"/>
    <cellStyle name="Moeda 3 3" xfId="2158" xr:uid="{E5D8CEAE-F977-48BF-A614-F6898B13EEA7}"/>
    <cellStyle name="Moeda 4" xfId="487" xr:uid="{2EB8865E-E2B5-4DEA-BE4B-5F28CE28507E}"/>
    <cellStyle name="Moeda 4 2" xfId="1609" xr:uid="{4C2CF24D-E450-442B-B372-4845345A59C3}"/>
    <cellStyle name="Moeda 4 2 2" xfId="3461" xr:uid="{BA71DB8D-BBD8-4F36-93F4-7F1B81B60952}"/>
    <cellStyle name="Moeda 4 3" xfId="2534" xr:uid="{D1695CDA-8D65-4BC8-ABD8-7207CBE90E91}"/>
    <cellStyle name="Moeda 5" xfId="1092" xr:uid="{825002CC-6326-4646-8669-9F227DCB3449}"/>
    <cellStyle name="Moeda 5 2" xfId="2944" xr:uid="{6206E047-D0D2-44AB-87CE-376BF94F2B9A}"/>
    <cellStyle name="Moeda 6" xfId="2762" xr:uid="{FF68B8DE-F5DD-4AB3-9D71-8E5C51A6BFDC}"/>
    <cellStyle name="Moeda 7" xfId="2017" xr:uid="{4B297EE6-1FE0-4B43-AB8D-AAC13FEC47E6}"/>
    <cellStyle name="Neutro" xfId="9" builtinId="28" customBuiltin="1"/>
    <cellStyle name="Normal" xfId="0" builtinId="0"/>
    <cellStyle name="Normal 10" xfId="206" xr:uid="{52EA8688-6ABA-4B27-BCF4-85A44BB10618}"/>
    <cellStyle name="Normal 10 2" xfId="812" xr:uid="{719DF5A5-CC09-4DE7-ABCD-93C6CDB7390A}"/>
    <cellStyle name="Normal 10 2 2" xfId="1415" xr:uid="{343EA8FA-37D1-4E91-BD19-7F6B13AA729E}"/>
    <cellStyle name="Normal 10 2 2 2" xfId="3267" xr:uid="{FA23F90C-F025-4C2C-AC73-87664B6BE509}"/>
    <cellStyle name="Normal 10 2 3" xfId="2340" xr:uid="{8B3BCAE1-0726-4327-B7B5-5C0288C29628}"/>
    <cellStyle name="Normal 10 3" xfId="488" xr:uid="{3131942F-234D-48C2-82DF-02A388749FAB}"/>
    <cellStyle name="Normal 10 3 2" xfId="1695" xr:uid="{3BAB2BFD-AF21-4092-99B9-429059F99EF1}"/>
    <cellStyle name="Normal 10 3 2 2" xfId="3508" xr:uid="{E8962B94-6D14-4F4A-AC06-80142999C4D1}"/>
    <cellStyle name="Normal 10 3 3" xfId="2620" xr:uid="{11B480C6-74F9-4D1B-AB4B-8A9623C529DC}"/>
    <cellStyle name="Normal 10 4" xfId="1093" xr:uid="{FE7715F2-289C-429A-9653-94BB4E0D837D}"/>
    <cellStyle name="Normal 10 4 2" xfId="2945" xr:uid="{F75D653A-CB31-487D-8C29-DB151C0A4CCE}"/>
    <cellStyle name="Normal 10 5" xfId="2018" xr:uid="{979D6D1C-D5F3-46B0-9A59-6C8AA3DF6EB4}"/>
    <cellStyle name="Normal 11" xfId="226" xr:uid="{A24BD1A0-2FCB-4B94-A3C1-1D6D2361AC60}"/>
    <cellStyle name="Normal 11 2" xfId="832" xr:uid="{BDA17EAB-CCFF-4EFE-8995-308569C1C453}"/>
    <cellStyle name="Normal 11 2 2" xfId="1435" xr:uid="{95A1D00B-41A5-46E9-98C3-7656134B778A}"/>
    <cellStyle name="Normal 11 2 2 2" xfId="3287" xr:uid="{F433C396-6A22-4FCF-B4BB-E1EB2D5ADA71}"/>
    <cellStyle name="Normal 11 2 3" xfId="2360" xr:uid="{073D886B-EDED-4691-BE5A-1C1111153B64}"/>
    <cellStyle name="Normal 11 3" xfId="508" xr:uid="{F2DBA547-A24A-4FFF-9F7A-7CCFAF712EAE}"/>
    <cellStyle name="Normal 11 3 2" xfId="1750" xr:uid="{EE306929-2B97-48CB-9A87-666E5AF3F84A}"/>
    <cellStyle name="Normal 11 3 2 2" xfId="3563" xr:uid="{06682BE0-62CC-425F-AB06-EC8D54FE4797}"/>
    <cellStyle name="Normal 11 3 3" xfId="2675" xr:uid="{474D0A94-DAA9-45FB-943D-E55EB33E10DE}"/>
    <cellStyle name="Normal 11 4" xfId="1113" xr:uid="{4B75BC05-B609-47E1-BA04-9B1C114C3DC4}"/>
    <cellStyle name="Normal 11 4 2" xfId="2965" xr:uid="{08AA2664-36AF-4766-9735-54ECEB107F7C}"/>
    <cellStyle name="Normal 11 5" xfId="2038" xr:uid="{640F88F6-7E1C-47A8-884C-E104179A9DA4}"/>
    <cellStyle name="Normal 12" xfId="246" xr:uid="{8286CE3E-B487-4D18-9225-164EA4DF7A81}"/>
    <cellStyle name="Normal 12 2" xfId="852" xr:uid="{B109D0DC-8952-4D2C-852C-6A0607ADD227}"/>
    <cellStyle name="Normal 12 2 2" xfId="1455" xr:uid="{4014FC7A-A07D-48E7-B8CB-666D4476EA27}"/>
    <cellStyle name="Normal 12 2 2 2" xfId="3307" xr:uid="{F7F116B9-ECC3-4A07-8611-55BAB9F825B0}"/>
    <cellStyle name="Normal 12 2 3" xfId="2380" xr:uid="{A7907DBB-200E-4341-83F0-C378EF2A88C4}"/>
    <cellStyle name="Normal 12 3" xfId="528" xr:uid="{3DB32697-6338-41D6-85EE-4D48BEDF4ED7}"/>
    <cellStyle name="Normal 12 3 2" xfId="1733" xr:uid="{0693719D-5786-4B35-A336-3DF03743E392}"/>
    <cellStyle name="Normal 12 3 2 2" xfId="3546" xr:uid="{DABF65AE-ED0A-4BBC-BDCA-1C682EB88BC9}"/>
    <cellStyle name="Normal 12 3 3" xfId="2658" xr:uid="{290E2107-9512-44B9-9BF3-468A424A6EF0}"/>
    <cellStyle name="Normal 12 4" xfId="1133" xr:uid="{BDB8DFFE-9A05-4CEE-8F7C-EBEB114DBF45}"/>
    <cellStyle name="Normal 12 4 2" xfId="2985" xr:uid="{EC2030EC-2948-4577-98E5-0B4B271711ED}"/>
    <cellStyle name="Normal 12 5" xfId="2058" xr:uid="{126134B5-C975-44C8-B0D5-B3DBF1D235D0}"/>
    <cellStyle name="Normal 13" xfId="266" xr:uid="{1271FFD7-90A6-46A3-8696-71EF5D0D6E8A}"/>
    <cellStyle name="Normal 13 2" xfId="872" xr:uid="{626EB6C4-2E2D-4E89-B160-AF35DCF91755}"/>
    <cellStyle name="Normal 13 2 2" xfId="1475" xr:uid="{A7EC8E44-C909-4D5B-9EE7-6D03CAA4E276}"/>
    <cellStyle name="Normal 13 2 2 2" xfId="3327" xr:uid="{85E4E86F-126B-4103-9DDC-70F571298CC8}"/>
    <cellStyle name="Normal 13 2 3" xfId="2400" xr:uid="{10018E62-6210-4EE6-B86E-76E3BCE0894E}"/>
    <cellStyle name="Normal 13 3" xfId="548" xr:uid="{9D4F3F79-31FE-438A-90B7-7841570ED940}"/>
    <cellStyle name="Normal 13 3 2" xfId="1579" xr:uid="{CFAF4004-4272-4C95-A67F-D6076E70DB9B}"/>
    <cellStyle name="Normal 13 3 2 2" xfId="3431" xr:uid="{1281AF68-E6EC-4614-95E1-4A410A6D2A45}"/>
    <cellStyle name="Normal 13 3 3" xfId="2504" xr:uid="{7AAB7B6E-8498-4EAA-A82E-996057CE3406}"/>
    <cellStyle name="Normal 13 4" xfId="1153" xr:uid="{5BBB839E-E2BA-4E8A-9299-47E7B2DB0695}"/>
    <cellStyle name="Normal 13 4 2" xfId="3005" xr:uid="{B03F2813-234F-4819-BDDD-D2FBA0C39A92}"/>
    <cellStyle name="Normal 13 5" xfId="2078" xr:uid="{CA8A4D3B-8821-4F86-B032-F21BA00F60BF}"/>
    <cellStyle name="Normal 14" xfId="286" xr:uid="{C12884F1-AFE4-47F2-AE46-471EA1046DF6}"/>
    <cellStyle name="Normal 14 2" xfId="892" xr:uid="{019E9F45-753E-43A3-9A08-CEF91BD5CDD2}"/>
    <cellStyle name="Normal 14 2 2" xfId="1495" xr:uid="{38313C51-D900-418B-8A7A-B31550A3FF72}"/>
    <cellStyle name="Normal 14 2 2 2" xfId="3347" xr:uid="{7F811A07-FE66-4D8D-BA12-70ED3819E215}"/>
    <cellStyle name="Normal 14 2 3" xfId="2420" xr:uid="{F5A3D9B1-88F4-4990-9003-941BC5582D1A}"/>
    <cellStyle name="Normal 14 3" xfId="568" xr:uid="{137F51E8-0294-4BF9-84A1-631353926072}"/>
    <cellStyle name="Normal 14 3 2" xfId="1529" xr:uid="{2F1BDE2C-1C7B-4D50-82D1-DE6B6236D5E1}"/>
    <cellStyle name="Normal 14 3 2 2" xfId="3381" xr:uid="{A737E654-67B9-4A7C-89FE-2B2E4F013099}"/>
    <cellStyle name="Normal 14 3 3" xfId="2454" xr:uid="{F0AFB4A5-EE13-42B4-8D96-3C7257A8BE7E}"/>
    <cellStyle name="Normal 14 4" xfId="1173" xr:uid="{29B48E3F-BE6A-4CF4-8E26-B553756D9FB2}"/>
    <cellStyle name="Normal 14 4 2" xfId="3025" xr:uid="{5795A64C-05E9-422A-9F43-10C948CB7B4E}"/>
    <cellStyle name="Normal 14 5" xfId="2098" xr:uid="{C90A0426-A83E-4BC0-91C8-509250F0704F}"/>
    <cellStyle name="Normal 15" xfId="42" xr:uid="{AD793E29-C3B8-42B2-8CE8-34F41C7C44EC}"/>
    <cellStyle name="Normal 15 2" xfId="648" xr:uid="{2889E66B-CB0B-476E-A6E4-7179944ABE65}"/>
    <cellStyle name="Normal 15 3" xfId="588" xr:uid="{D6F07341-AC0C-48DE-83B1-E499C234350F}"/>
    <cellStyle name="Normal 15 3 2" xfId="1651" xr:uid="{8B0C9EAA-F9FF-4A85-B59F-1B5099D407C4}"/>
    <cellStyle name="Normal 15 3 2 2" xfId="3503" xr:uid="{75CD6D88-386F-4452-905E-0395BBC81FCC}"/>
    <cellStyle name="Normal 15 3 3" xfId="2576" xr:uid="{8B667070-8338-4E41-80CD-18B49F05D603}"/>
    <cellStyle name="Normal 15 4" xfId="1193" xr:uid="{D4D5645C-9689-49AD-B108-526B018AFBB7}"/>
    <cellStyle name="Normal 15 4 2" xfId="3045" xr:uid="{8CD23715-BB22-42D3-8300-215D64B31A88}"/>
    <cellStyle name="Normal 15 5" xfId="2118" xr:uid="{4E0741F9-2082-4556-9955-E55A3060F690}"/>
    <cellStyle name="Normal 16" xfId="608" xr:uid="{C7286E5F-F2A7-4715-91BF-F126D0CD098D}"/>
    <cellStyle name="Normal 16 2" xfId="1671" xr:uid="{BCECC0C6-1751-4906-89B7-2CE54F72E2E1}"/>
    <cellStyle name="Normal 16 2 2" xfId="2596" xr:uid="{A9833B1E-D1AA-42DE-82CD-32617E34B36A}"/>
    <cellStyle name="Normal 16 3" xfId="1213" xr:uid="{BA6C4435-3CB7-44F0-8C7D-BFCE2FE14F78}"/>
    <cellStyle name="Normal 16 3 2" xfId="3065" xr:uid="{BC01435B-A6C4-4421-A8FD-D20ACB592003}"/>
    <cellStyle name="Normal 16 4" xfId="2138" xr:uid="{15E52CB0-14C5-4887-A58F-80059C626EA2}"/>
    <cellStyle name="Normal 17" xfId="628" xr:uid="{F79F9B41-3A63-4E4B-BAE0-7247CCE16E0E}"/>
    <cellStyle name="Normal 18" xfId="306" xr:uid="{0C9EC187-A426-4B0A-83BE-5A5B8CD3C21C}"/>
    <cellStyle name="Normal 19" xfId="2763" xr:uid="{A1B4905A-3000-4B5B-97E3-1A025C393BF9}"/>
    <cellStyle name="Normal 2" xfId="43" xr:uid="{D9D5843D-53D9-4FE9-A127-F7FB1393AC7F}"/>
    <cellStyle name="Normal 2 2" xfId="83" xr:uid="{1326CB81-CE8E-45D3-BACD-C3FEA76E6A23}"/>
    <cellStyle name="Normal 2 2 2" xfId="689" xr:uid="{21FC1B28-F0F2-4818-BC70-0A6C2731FF28}"/>
    <cellStyle name="Normal 2 2 2 2" xfId="1292" xr:uid="{731655FB-8817-4C8C-B173-CECCC60B3E6C}"/>
    <cellStyle name="Normal 2 2 2 2 2" xfId="3144" xr:uid="{6DB0965A-3D41-4956-AE49-FAB6AF3A3E3E}"/>
    <cellStyle name="Normal 2 2 2 3" xfId="2217" xr:uid="{E528DE2C-3309-4054-BF65-BCF0B7C09C8F}"/>
    <cellStyle name="Normal 2 2 3" xfId="365" xr:uid="{15ED2303-89ED-4474-99B2-869D9E01E164}"/>
    <cellStyle name="Normal 2 2 3 2" xfId="1619" xr:uid="{0788AACB-7753-427F-861D-E8CEE622B336}"/>
    <cellStyle name="Normal 2 2 3 2 2" xfId="3471" xr:uid="{8A390539-F9FC-4803-91DF-953909EA8C48}"/>
    <cellStyle name="Normal 2 2 3 3" xfId="2544" xr:uid="{DCADBC7C-A056-4E3D-A735-214F8C62D415}"/>
    <cellStyle name="Normal 2 2 4" xfId="970" xr:uid="{ECF787B5-BF4F-4FAB-8BD8-EFBFCAB2C884}"/>
    <cellStyle name="Normal 2 2 4 2" xfId="2822" xr:uid="{7FD7F840-00B4-4E77-A4D1-C7E9B7C87941}"/>
    <cellStyle name="Normal 2 2 5" xfId="1895" xr:uid="{0A7C270A-B6F5-4988-A9AF-2BD6F34467EF}"/>
    <cellStyle name="Normal 2 3" xfId="649" xr:uid="{2CFC7E5A-8BF4-4FCD-9425-37E4C9B6A23C}"/>
    <cellStyle name="Normal 2 3 2" xfId="1252" xr:uid="{FB7231DD-1E67-43CC-958F-2B7258518933}"/>
    <cellStyle name="Normal 2 3 2 2" xfId="3104" xr:uid="{1492BEEB-D983-4EE1-9F26-E6028E6D9BE3}"/>
    <cellStyle name="Normal 2 3 3" xfId="2177" xr:uid="{3EC90885-AD6F-4D4C-854C-75DD97E29689}"/>
    <cellStyle name="Normal 2 4" xfId="325" xr:uid="{F4B5C27C-EE82-4A02-954A-96B1FC0BFCB8}"/>
    <cellStyle name="Normal 2 4 2" xfId="1696" xr:uid="{F93E1438-24FB-40E9-B499-7D6B90FC12B3}"/>
    <cellStyle name="Normal 2 4 2 2" xfId="3509" xr:uid="{2C569F47-BF7C-482A-A975-A8A065983158}"/>
    <cellStyle name="Normal 2 4 3" xfId="2621" xr:uid="{AC9B7461-76E1-4743-B631-262641116569}"/>
    <cellStyle name="Normal 2 5" xfId="930" xr:uid="{3DDE6217-2CA6-430C-81F8-4C111B641DD5}"/>
    <cellStyle name="Normal 2 5 2" xfId="2782" xr:uid="{365446CA-385C-4BF0-B9A0-5C0E81DFCC3A}"/>
    <cellStyle name="Normal 2 6" xfId="1855" xr:uid="{DF21EEB1-73BD-445D-A6AB-436246E4DE4E}"/>
    <cellStyle name="Normal 3" xfId="45" xr:uid="{9ECCD3D0-3993-4A51-A741-4D3024879ABB}"/>
    <cellStyle name="Normal 3 2" xfId="651" xr:uid="{FA54A73A-EEB0-447D-8F13-41860B7E0E17}"/>
    <cellStyle name="Normal 3 2 2" xfId="1254" xr:uid="{501DFF57-73BA-4F5F-9065-43BEF55C80E3}"/>
    <cellStyle name="Normal 3 2 2 2" xfId="3106" xr:uid="{67D4F345-B778-4D6B-8E0F-6D633DED07F3}"/>
    <cellStyle name="Normal 3 2 3" xfId="2179" xr:uid="{68F0E395-301D-42D3-8D1B-63664F1275ED}"/>
    <cellStyle name="Normal 3 3" xfId="327" xr:uid="{FE89BE18-C7B6-4F36-9B51-D5C74AA9CE4E}"/>
    <cellStyle name="Normal 3 3 2" xfId="1775" xr:uid="{26919B35-DC86-45CC-9421-671CB5454589}"/>
    <cellStyle name="Normal 3 3 2 2" xfId="3588" xr:uid="{A1BA8B15-C98F-4993-865A-A4CEDCCB45E3}"/>
    <cellStyle name="Normal 3 3 3" xfId="2700" xr:uid="{377925BA-D1C8-4913-8904-8B715EA27BEA}"/>
    <cellStyle name="Normal 3 4" xfId="932" xr:uid="{A4518AA3-0B4A-4C4C-9CDB-C216282C27F8}"/>
    <cellStyle name="Normal 3 4 2" xfId="2784" xr:uid="{8C2602E3-4D55-4B9F-B843-C01E3A1198BB}"/>
    <cellStyle name="Normal 3 5" xfId="1857" xr:uid="{CAE06799-83FA-4245-B75A-BF92A6607E90}"/>
    <cellStyle name="Normal 4" xfId="85" xr:uid="{02878D3A-0A77-4041-9535-119EBE97DC6B}"/>
    <cellStyle name="Normal 4 2" xfId="691" xr:uid="{6866C87D-7013-4FC4-BE68-806C8DC668E4}"/>
    <cellStyle name="Normal 4 2 2" xfId="1294" xr:uid="{3E11D59E-1BF3-4961-9F99-5C33D77B1A9F}"/>
    <cellStyle name="Normal 4 2 2 2" xfId="3146" xr:uid="{0FF50C7F-9886-47B4-AC5B-4337987394CD}"/>
    <cellStyle name="Normal 4 2 3" xfId="2219" xr:uid="{23A36ADC-E5C0-4322-884F-CF88CA6092A6}"/>
    <cellStyle name="Normal 4 3" xfId="367" xr:uid="{8E6BB195-3B44-4135-98B3-F1F7F728B303}"/>
    <cellStyle name="Normal 4 3 2" xfId="1716" xr:uid="{2CE1986B-746A-481C-955A-2D9C14A62FE5}"/>
    <cellStyle name="Normal 4 3 2 2" xfId="3529" xr:uid="{6ADDCE9E-7FE5-4637-B55D-49DF1EC62535}"/>
    <cellStyle name="Normal 4 3 3" xfId="2641" xr:uid="{E7DE6E84-0371-4AEC-BED8-609BDC2180D6}"/>
    <cellStyle name="Normal 4 4" xfId="972" xr:uid="{9020D08B-0F18-411A-8C85-0AA923664CAD}"/>
    <cellStyle name="Normal 4 4 2" xfId="2824" xr:uid="{C3594061-C353-40F8-816D-94F09401A92B}"/>
    <cellStyle name="Normal 4 5" xfId="1897" xr:uid="{F17DEC98-910A-4A1E-8C56-5462B43029E1}"/>
    <cellStyle name="Normal 5" xfId="105" xr:uid="{8131EDB7-9782-4620-8BDF-11EB038AD75F}"/>
    <cellStyle name="Normal 5 2" xfId="711" xr:uid="{13A4FBB5-BB9C-46BA-A424-15763950397A}"/>
    <cellStyle name="Normal 5 2 2" xfId="1314" xr:uid="{78B0626B-5F6E-427A-95C6-DEDB88903101}"/>
    <cellStyle name="Normal 5 2 2 2" xfId="3166" xr:uid="{B2B44ADE-9777-4DD3-A1FB-2434CB02A813}"/>
    <cellStyle name="Normal 5 2 3" xfId="2239" xr:uid="{E1732A52-2E30-4316-9CE1-BFECDE071A32}"/>
    <cellStyle name="Normal 5 3" xfId="387" xr:uid="{95663632-16D4-436C-B183-B39A6345A0EA}"/>
    <cellStyle name="Normal 5 3 2" xfId="1650" xr:uid="{885D637D-EAAD-4DE5-876F-D27822B1CF36}"/>
    <cellStyle name="Normal 5 3 2 2" xfId="3502" xr:uid="{A9F74E5F-27C3-4598-990F-2D3017284B42}"/>
    <cellStyle name="Normal 5 3 3" xfId="2575" xr:uid="{727F7DD7-C491-4A6A-923E-F24CB36C42D6}"/>
    <cellStyle name="Normal 5 4" xfId="992" xr:uid="{E225C3B9-16F8-49E8-A80C-323169761A93}"/>
    <cellStyle name="Normal 5 4 2" xfId="2844" xr:uid="{4AB3E9D7-60A8-4A8D-BCED-794794AD8086}"/>
    <cellStyle name="Normal 5 5" xfId="1917" xr:uid="{2725FB8E-EFEE-4F0A-8D54-5E0C80707810}"/>
    <cellStyle name="Normal 6" xfId="125" xr:uid="{C5AD32DA-A85E-4DD0-9170-F0F29D0D7D58}"/>
    <cellStyle name="Normal 6 2" xfId="731" xr:uid="{FC95916D-E86F-4BC5-BF6D-89E1276F484A}"/>
    <cellStyle name="Normal 6 2 2" xfId="1334" xr:uid="{71E6799D-9506-4FE3-A3FB-0D650730DC9A}"/>
    <cellStyle name="Normal 6 2 2 2" xfId="3186" xr:uid="{4D0C18B7-1B8A-41A3-AE0D-5D3D1BC27C3D}"/>
    <cellStyle name="Normal 6 2 3" xfId="2259" xr:uid="{A07512B1-1A71-479F-A5F8-BAA144005C9F}"/>
    <cellStyle name="Normal 6 3" xfId="407" xr:uid="{0258D161-1822-487B-ABA2-D79CF30D1267}"/>
    <cellStyle name="Normal 6 3 2" xfId="1780" xr:uid="{D56ECCA0-18E4-4F0C-9389-2DA43053D819}"/>
    <cellStyle name="Normal 6 3 2 2" xfId="3593" xr:uid="{2D267065-4785-4064-B96D-D4552C854354}"/>
    <cellStyle name="Normal 6 3 3" xfId="2705" xr:uid="{FDE2B151-0720-4DAC-8A00-3CBC593AE8C1}"/>
    <cellStyle name="Normal 6 4" xfId="1012" xr:uid="{AA792E8F-109D-449A-8B42-BC9C296096BA}"/>
    <cellStyle name="Normal 6 4 2" xfId="2864" xr:uid="{B2784681-1954-40DB-95F5-3B07B3C87463}"/>
    <cellStyle name="Normal 6 5" xfId="1937" xr:uid="{109E2981-50D6-4A6E-8B50-1FD0FD3846E2}"/>
    <cellStyle name="Normal 7" xfId="145" xr:uid="{329A46D1-1DF4-4342-8806-B640A3779777}"/>
    <cellStyle name="Normal 7 2" xfId="751" xr:uid="{D49E99F3-9347-4132-A84C-E860378A2A13}"/>
    <cellStyle name="Normal 7 2 2" xfId="1354" xr:uid="{E0DBE11F-D74D-4F87-A62B-D5632B94448C}"/>
    <cellStyle name="Normal 7 2 2 2" xfId="3206" xr:uid="{DC0EF679-4751-4CEA-83A8-B4FD4237CE02}"/>
    <cellStyle name="Normal 7 2 3" xfId="2279" xr:uid="{8A66D583-A615-4957-B57B-3B2CA9A1BD7A}"/>
    <cellStyle name="Normal 7 3" xfId="427" xr:uid="{8E10B45A-AE54-4B67-B4FC-BEDC5EB5FA51}"/>
    <cellStyle name="Normal 7 3 2" xfId="1804" xr:uid="{98E4E695-34D3-4142-B2B7-CFD297050636}"/>
    <cellStyle name="Normal 7 3 2 2" xfId="3617" xr:uid="{F19E9B31-A017-4C5C-9B89-F73C5E4EE1CA}"/>
    <cellStyle name="Normal 7 3 3" xfId="2729" xr:uid="{C130585D-4388-494A-B0DC-82FA7A0D2CE3}"/>
    <cellStyle name="Normal 7 4" xfId="1032" xr:uid="{CDC4513E-3BB3-469B-91B9-81A260661F38}"/>
    <cellStyle name="Normal 7 4 2" xfId="2884" xr:uid="{538A5B1B-A13D-459C-AB74-1F15F6DDB075}"/>
    <cellStyle name="Normal 7 5" xfId="1957" xr:uid="{3836AF32-4054-4477-A913-F2E0F1CB9492}"/>
    <cellStyle name="Normal 8" xfId="165" xr:uid="{39EE5707-61AF-49B3-A8FA-6915AE4FA7AC}"/>
    <cellStyle name="Normal 8 2" xfId="771" xr:uid="{0BD42B9F-81F4-4822-BB43-4FA720B9B5D5}"/>
    <cellStyle name="Normal 8 2 2" xfId="1374" xr:uid="{51AF47B5-150B-403C-BBEA-76D43DBBB1F6}"/>
    <cellStyle name="Normal 8 2 2 2" xfId="3226" xr:uid="{56F9C362-7188-48FD-AB15-E172ACE6880F}"/>
    <cellStyle name="Normal 8 2 3" xfId="2299" xr:uid="{2E13ABD4-B810-4FB1-97F6-0AC8D9FBE4E9}"/>
    <cellStyle name="Normal 8 3" xfId="447" xr:uid="{31E917EC-9FB2-4180-A6F2-E96D3C28F7BB}"/>
    <cellStyle name="Normal 8 3 2" xfId="1758" xr:uid="{50DBB081-A059-4D73-8486-71152233B131}"/>
    <cellStyle name="Normal 8 3 2 2" xfId="3571" xr:uid="{ACE1A436-6B22-44AB-9F83-F35AEBF5BACE}"/>
    <cellStyle name="Normal 8 3 3" xfId="2683" xr:uid="{429DDE36-B255-4042-B6AF-EE57E02FE228}"/>
    <cellStyle name="Normal 8 4" xfId="1052" xr:uid="{EC2719A3-CBC0-43F3-A2FA-234E400173E0}"/>
    <cellStyle name="Normal 8 4 2" xfId="2904" xr:uid="{4FC2108D-A26A-4B9B-9486-328287F65656}"/>
    <cellStyle name="Normal 8 5" xfId="1977" xr:uid="{155D673F-43AE-483C-BE97-891B946734C1}"/>
    <cellStyle name="Normal 9" xfId="185" xr:uid="{FCFC8B46-E911-4524-A969-5BFE48910E9F}"/>
    <cellStyle name="Normal 9 2" xfId="791" xr:uid="{37E6ADD4-33C7-44EB-9671-686111CF8BEF}"/>
    <cellStyle name="Normal 9 2 2" xfId="1394" xr:uid="{EE6FF826-B2D7-452E-BFCE-4EAC95EC78F3}"/>
    <cellStyle name="Normal 9 2 2 2" xfId="3246" xr:uid="{4839A114-5050-4837-BF1D-719C21615429}"/>
    <cellStyle name="Normal 9 2 3" xfId="2319" xr:uid="{75D07AF1-B48C-4732-8C6D-0BD4487B5480}"/>
    <cellStyle name="Normal 9 3" xfId="467" xr:uid="{F25A183E-384C-4BB1-B6B4-A4B60EBEFCFD}"/>
    <cellStyle name="Normal 9 3 2" xfId="1773" xr:uid="{F2944BEE-0859-4813-957D-ABE49A2A838B}"/>
    <cellStyle name="Normal 9 3 2 2" xfId="3586" xr:uid="{C35B0D7E-C48B-4915-9F89-EA3CD9FC203F}"/>
    <cellStyle name="Normal 9 3 3" xfId="2698" xr:uid="{08F17456-06DE-4D38-87C6-E4B7E892B623}"/>
    <cellStyle name="Normal 9 4" xfId="1072" xr:uid="{8BAB4BB5-CA58-403C-9B33-0976CBB907F4}"/>
    <cellStyle name="Normal 9 4 2" xfId="2924" xr:uid="{3A406444-25C1-4B0D-BCB5-02D9DC384E6E}"/>
    <cellStyle name="Normal 9 5" xfId="1997" xr:uid="{EF8E42E8-EE60-4D16-B985-50F18F030C2F}"/>
    <cellStyle name="Nota 10" xfId="207" xr:uid="{F28D267C-7869-42C7-BB48-2C6B23114D07}"/>
    <cellStyle name="Nota 10 2" xfId="813" xr:uid="{F4B94B1E-6BBC-47B3-826A-DA7880E2E44F}"/>
    <cellStyle name="Nota 10 2 2" xfId="1416" xr:uid="{2D12DA2F-72CA-4D06-8D43-27AC8A3D687D}"/>
    <cellStyle name="Nota 10 2 2 2" xfId="3268" xr:uid="{0AE6A892-EED4-42C8-843C-12208DB1E36B}"/>
    <cellStyle name="Nota 10 2 3" xfId="2341" xr:uid="{1A40BA0C-A241-4B0C-B56C-8332CB042B55}"/>
    <cellStyle name="Nota 10 3" xfId="489" xr:uid="{96F75B7A-5682-4AE8-8792-85D1A27BFC80}"/>
    <cellStyle name="Nota 10 3 2" xfId="1560" xr:uid="{82FABE61-55B4-4011-A70A-C988BC8A24A4}"/>
    <cellStyle name="Nota 10 3 2 2" xfId="3412" xr:uid="{E3CF9B1B-3F18-4E42-8B17-2F2BC0612933}"/>
    <cellStyle name="Nota 10 3 3" xfId="2485" xr:uid="{7A613487-34F0-4498-882B-B315D2C84A2E}"/>
    <cellStyle name="Nota 10 4" xfId="1094" xr:uid="{FDBE98F9-C143-43F8-A660-4246902ACBFA}"/>
    <cellStyle name="Nota 10 4 2" xfId="2946" xr:uid="{BF8F7F12-93FD-4D7B-B0DA-823679419BAC}"/>
    <cellStyle name="Nota 10 5" xfId="2019" xr:uid="{953D803D-2322-451D-A37B-B35D1200F91F}"/>
    <cellStyle name="Nota 11" xfId="227" xr:uid="{B6EDEC0D-6D6C-43F7-BCA7-38251031E852}"/>
    <cellStyle name="Nota 11 2" xfId="833" xr:uid="{E05F1743-7649-44C6-B5D0-4DDA7F4EECAB}"/>
    <cellStyle name="Nota 11 2 2" xfId="1436" xr:uid="{D74DD230-5456-469E-A0EE-8CF2E8ED899B}"/>
    <cellStyle name="Nota 11 2 2 2" xfId="3288" xr:uid="{DDCA5326-F142-49F1-95B7-4E0942042605}"/>
    <cellStyle name="Nota 11 2 3" xfId="2361" xr:uid="{54D1060D-8795-4F2F-989F-3A457C9EAF53}"/>
    <cellStyle name="Nota 11 3" xfId="509" xr:uid="{14EF967D-5FFD-4DAD-8FE2-F11F84CE6955}"/>
    <cellStyle name="Nota 11 3 2" xfId="1723" xr:uid="{009C8450-7BEC-44C7-9D7F-B9D0D90E25A3}"/>
    <cellStyle name="Nota 11 3 2 2" xfId="3536" xr:uid="{16258B52-2AFF-45D9-8E7B-1F7A73586018}"/>
    <cellStyle name="Nota 11 3 3" xfId="2648" xr:uid="{76377BB2-41B8-49BF-8EED-DAAA2ED5FDB2}"/>
    <cellStyle name="Nota 11 4" xfId="1114" xr:uid="{1F35C3CC-A611-49EE-AC51-178898DD99B8}"/>
    <cellStyle name="Nota 11 4 2" xfId="2966" xr:uid="{16CA4EE9-9F4A-4CE3-BD77-A7C0376811A2}"/>
    <cellStyle name="Nota 11 5" xfId="2039" xr:uid="{62917E06-02B5-416D-A217-C4BB2B4648C9}"/>
    <cellStyle name="Nota 12" xfId="247" xr:uid="{3772FFA9-FDA9-434B-A42B-5268D862B818}"/>
    <cellStyle name="Nota 12 2" xfId="853" xr:uid="{DF22951E-1906-42E7-8760-3EF5CCB12CA4}"/>
    <cellStyle name="Nota 12 2 2" xfId="1456" xr:uid="{995C9776-B417-4593-9CC8-ACF4A6566AC9}"/>
    <cellStyle name="Nota 12 2 2 2" xfId="3308" xr:uid="{5ECDE0B3-8829-44E7-9F47-CDE91E023C9F}"/>
    <cellStyle name="Nota 12 2 3" xfId="2381" xr:uid="{2528A6F8-BDF0-40B7-AC6D-26856E694D80}"/>
    <cellStyle name="Nota 12 3" xfId="529" xr:uid="{F5A0D180-7DF7-4BEE-89C8-60ABA8F85030}"/>
    <cellStyle name="Nota 12 3 2" xfId="1561" xr:uid="{66F6913B-DA1C-4154-80B3-5047F9D52479}"/>
    <cellStyle name="Nota 12 3 2 2" xfId="3413" xr:uid="{095F3A7B-8A4C-48BE-831C-558726564F93}"/>
    <cellStyle name="Nota 12 3 3" xfId="2486" xr:uid="{21F9B816-175A-40C0-AF16-C1384EAF1B3E}"/>
    <cellStyle name="Nota 12 4" xfId="1134" xr:uid="{AF9E94C3-0227-4D46-87EF-7D309D556A26}"/>
    <cellStyle name="Nota 12 4 2" xfId="2986" xr:uid="{FE1E1A61-E957-44EE-801F-FF09E631101E}"/>
    <cellStyle name="Nota 12 5" xfId="2059" xr:uid="{D8088018-CDA2-4CB2-9875-6BCB3C85E9B7}"/>
    <cellStyle name="Nota 13" xfId="267" xr:uid="{8006A443-A720-4F6C-A168-990EB483FFB7}"/>
    <cellStyle name="Nota 13 2" xfId="873" xr:uid="{6834AC77-7081-4312-BE09-A22C163D5ED5}"/>
    <cellStyle name="Nota 13 2 2" xfId="1476" xr:uid="{03749827-F931-4F91-B3FD-2CD651790423}"/>
    <cellStyle name="Nota 13 2 2 2" xfId="3328" xr:uid="{AE971985-B3CE-4CA2-995E-8F4C69C505E8}"/>
    <cellStyle name="Nota 13 2 3" xfId="2401" xr:uid="{58D2FF75-0C77-4753-8F12-EFE35E0EDE27}"/>
    <cellStyle name="Nota 13 3" xfId="549" xr:uid="{9EAEEBD0-39A0-4E7C-BD74-63F96A7DCFD4}"/>
    <cellStyle name="Nota 13 3 2" xfId="1799" xr:uid="{7E3B7631-5512-49C2-9290-09D6D6D4BC0B}"/>
    <cellStyle name="Nota 13 3 2 2" xfId="3612" xr:uid="{DCF0118F-2B9D-4D9F-81BC-4ECC851B4672}"/>
    <cellStyle name="Nota 13 3 3" xfId="2724" xr:uid="{6D20535E-FAAE-4D6C-A58A-913C2F533C4C}"/>
    <cellStyle name="Nota 13 4" xfId="1154" xr:uid="{60A2DB97-1151-4665-B0FA-F00A69F47A9B}"/>
    <cellStyle name="Nota 13 4 2" xfId="3006" xr:uid="{4491F586-53BD-4195-942E-7166BAE8EC34}"/>
    <cellStyle name="Nota 13 5" xfId="2079" xr:uid="{C7B37248-7B74-42AD-A73B-DE3A140207F8}"/>
    <cellStyle name="Nota 14" xfId="287" xr:uid="{3D82CC99-035B-4E1D-885F-A5FCC514E2C8}"/>
    <cellStyle name="Nota 14 2" xfId="893" xr:uid="{B6CEA656-27BF-4898-9A2F-E6EA67A9121F}"/>
    <cellStyle name="Nota 14 2 2" xfId="1496" xr:uid="{E13E6BE0-4BC8-4D9F-A3A9-BCB92DEE74BF}"/>
    <cellStyle name="Nota 14 2 2 2" xfId="3348" xr:uid="{AEEF82A3-DADE-4E21-BFC0-415A2B80EC12}"/>
    <cellStyle name="Nota 14 2 3" xfId="2421" xr:uid="{BACA67A7-5A01-4593-A6A5-C00DA28C4B94}"/>
    <cellStyle name="Nota 14 3" xfId="569" xr:uid="{D6F7BA52-BC25-4614-A3E0-2D4B60271D90}"/>
    <cellStyle name="Nota 14 3 2" xfId="1787" xr:uid="{5AEBD01B-0D6A-4DF2-B99E-F1DE05379A25}"/>
    <cellStyle name="Nota 14 3 2 2" xfId="3600" xr:uid="{FBDFEF43-A43E-4B16-9C2B-7A8653F8BCA5}"/>
    <cellStyle name="Nota 14 3 3" xfId="2712" xr:uid="{215B8393-EFDD-4753-A4DE-4CE0BB9E1480}"/>
    <cellStyle name="Nota 14 4" xfId="1174" xr:uid="{74D80C52-83F3-44E9-ADFD-AA60B0028C60}"/>
    <cellStyle name="Nota 14 4 2" xfId="3026" xr:uid="{0E73F5A2-F749-4E12-8372-D7C436CCCEF2}"/>
    <cellStyle name="Nota 14 5" xfId="2099" xr:uid="{DDE22055-EF7C-4AE0-A6FE-F4E5D42C5A0C}"/>
    <cellStyle name="Nota 15" xfId="589" xr:uid="{A55D8985-8470-4B42-AD4D-FAD37C91B0CD}"/>
    <cellStyle name="Nota 15 2" xfId="1652" xr:uid="{52964F5E-2C0B-455A-83D8-F7E2F01A147A}"/>
    <cellStyle name="Nota 15 2 2" xfId="2577" xr:uid="{2C87B29D-6272-402C-8A35-92C5F419D0D1}"/>
    <cellStyle name="Nota 15 3" xfId="1194" xr:uid="{B7387EE3-70E7-473B-990C-31622CC3FC32}"/>
    <cellStyle name="Nota 15 3 2" xfId="3046" xr:uid="{8F0B6389-222C-41D8-9DE8-A34B8CD0345D}"/>
    <cellStyle name="Nota 15 4" xfId="2119" xr:uid="{6938586D-0A5A-4A28-BA86-DAE81E9539F8}"/>
    <cellStyle name="Nota 16" xfId="609" xr:uid="{B5570CEF-A6B0-4C20-906E-7D3134779D2D}"/>
    <cellStyle name="Nota 16 2" xfId="1672" xr:uid="{D17899E7-610E-4EE5-8DEE-0F2C9B7B8A4C}"/>
    <cellStyle name="Nota 16 2 2" xfId="2597" xr:uid="{9BE53931-0676-4FA0-9C37-967C5D2DF91C}"/>
    <cellStyle name="Nota 16 3" xfId="1214" xr:uid="{BA7F77C1-63A5-4C69-BAA3-69EB30B29D09}"/>
    <cellStyle name="Nota 16 3 2" xfId="3066" xr:uid="{8DEEF008-652D-4192-90B5-8CB983AAA990}"/>
    <cellStyle name="Nota 16 4" xfId="2139" xr:uid="{98880E19-F6E3-417E-8E45-9F0ED6DE8B4F}"/>
    <cellStyle name="Nota 2" xfId="44" xr:uid="{2BA39D1D-93C3-4A30-9A50-5D1747E745AD}"/>
    <cellStyle name="Nota 2 2" xfId="84" xr:uid="{8AF55E36-D1C5-43A2-ADAB-64859DE2D9AD}"/>
    <cellStyle name="Nota 2 2 2" xfId="690" xr:uid="{ACBAE632-26D3-406E-8CEE-36C67AD9E88F}"/>
    <cellStyle name="Nota 2 2 2 2" xfId="1293" xr:uid="{06E1078C-BDE7-4DE5-88DC-0085FFDBD6F2}"/>
    <cellStyle name="Nota 2 2 2 2 2" xfId="3145" xr:uid="{B748CC4E-BE0B-4483-B12A-C40A86579CC8}"/>
    <cellStyle name="Nota 2 2 2 3" xfId="2218" xr:uid="{3F7F196B-CEFC-4848-A8A7-26ABFC789983}"/>
    <cellStyle name="Nota 2 2 3" xfId="366" xr:uid="{CC4FFD06-ED86-40DF-98CC-6C270206F5BA}"/>
    <cellStyle name="Nota 2 2 3 2" xfId="1563" xr:uid="{AF316874-5961-4C8C-BBB3-D4A4757A4D15}"/>
    <cellStyle name="Nota 2 2 3 2 2" xfId="3415" xr:uid="{2DF18021-988A-4B19-B29A-22BCDC6F20B5}"/>
    <cellStyle name="Nota 2 2 3 3" xfId="2488" xr:uid="{29E4D474-DAA0-4590-8F0A-2F3E59371725}"/>
    <cellStyle name="Nota 2 2 4" xfId="971" xr:uid="{0D2FB7B7-CE70-4B94-B742-77159C822821}"/>
    <cellStyle name="Nota 2 2 4 2" xfId="2823" xr:uid="{34F47A31-AC54-4581-8EBF-1E41C39E986F}"/>
    <cellStyle name="Nota 2 2 5" xfId="1896" xr:uid="{617B6163-8B11-4188-8114-0E54E8175BE4}"/>
    <cellStyle name="Nota 2 3" xfId="650" xr:uid="{AA0036DD-E535-4CDF-A4E5-0712E5F22FB6}"/>
    <cellStyle name="Nota 2 3 2" xfId="1253" xr:uid="{86DA5A45-5CDE-456C-9477-A3D7B905F5A7}"/>
    <cellStyle name="Nota 2 3 2 2" xfId="3105" xr:uid="{8307D874-0577-4518-9A8D-D7043F7F83A3}"/>
    <cellStyle name="Nota 2 3 3" xfId="2178" xr:uid="{A748DEE4-C0D5-464A-86A1-3A16B2716742}"/>
    <cellStyle name="Nota 2 4" xfId="326" xr:uid="{87AAC3C7-FB10-4B30-96C5-BA32CD39CD1B}"/>
    <cellStyle name="Nota 2 4 2" xfId="1587" xr:uid="{948A61BA-8D62-416B-BCAA-00940965F37A}"/>
    <cellStyle name="Nota 2 4 2 2" xfId="3439" xr:uid="{FEEDFEC4-5E34-43ED-B3B8-E818F952B3BD}"/>
    <cellStyle name="Nota 2 4 3" xfId="2512" xr:uid="{AB05E4E8-EEEC-4FB0-A02B-04B020AA31F5}"/>
    <cellStyle name="Nota 2 5" xfId="931" xr:uid="{E1FF3AC1-E75B-44CA-B1D8-288B88C7E44C}"/>
    <cellStyle name="Nota 2 5 2" xfId="2783" xr:uid="{0C93CFF0-1E27-4333-ABE6-F9FE50398D2E}"/>
    <cellStyle name="Nota 2 6" xfId="1856" xr:uid="{DF3F9403-F851-4717-8F47-0D1044C3C2A2}"/>
    <cellStyle name="Nota 3" xfId="46" xr:uid="{F9C3B7A1-34E8-4C21-96ED-0350B14E1BAF}"/>
    <cellStyle name="Nota 3 2" xfId="652" xr:uid="{426E39B1-CF2D-49D6-917F-1B889BE5B304}"/>
    <cellStyle name="Nota 3 2 2" xfId="1255" xr:uid="{09B93275-1E5F-4420-92D7-B269B1FBD56F}"/>
    <cellStyle name="Nota 3 2 2 2" xfId="3107" xr:uid="{A091416B-635E-4D76-BD58-3727D1A5871A}"/>
    <cellStyle name="Nota 3 2 3" xfId="2180" xr:uid="{96575C90-C9A6-4FF2-BE7F-49700441105E}"/>
    <cellStyle name="Nota 3 3" xfId="328" xr:uid="{13ED8B5F-CCBF-472D-9E3F-46D9EA6156AA}"/>
    <cellStyle name="Nota 3 3 2" xfId="1568" xr:uid="{798A2F71-9D22-47EB-9410-E6561BC7332D}"/>
    <cellStyle name="Nota 3 3 2 2" xfId="3420" xr:uid="{7AEFDD04-0FC5-4836-AEFD-2B4E692707EB}"/>
    <cellStyle name="Nota 3 3 3" xfId="2493" xr:uid="{083C4E06-2175-4678-A74A-2CC36A4AB062}"/>
    <cellStyle name="Nota 3 4" xfId="933" xr:uid="{F5E88E33-FBCE-45D4-B17E-31A2613963D2}"/>
    <cellStyle name="Nota 3 4 2" xfId="2785" xr:uid="{CE495E8C-8575-4335-B297-101D058D426A}"/>
    <cellStyle name="Nota 3 5" xfId="1858" xr:uid="{903B6CC3-0A7F-42CD-B805-2DCC5CA80ADF}"/>
    <cellStyle name="Nota 4" xfId="86" xr:uid="{89E827D9-AFB6-4BFB-85B4-9F8B4EC3D64B}"/>
    <cellStyle name="Nota 4 2" xfId="692" xr:uid="{4596A705-B5DF-485B-BE6F-64357CC63757}"/>
    <cellStyle name="Nota 4 2 2" xfId="1295" xr:uid="{FA546978-2F14-4A53-BDCC-B5ED5E433812}"/>
    <cellStyle name="Nota 4 2 2 2" xfId="3147" xr:uid="{36A77666-2EB3-43FD-BA95-A6C7FD6A5EF0}"/>
    <cellStyle name="Nota 4 2 3" xfId="2220" xr:uid="{04912C3C-93DA-4E68-A779-F70A5B27B761}"/>
    <cellStyle name="Nota 4 3" xfId="368" xr:uid="{35BA2C3A-5F68-4148-B24F-F65F4BE7D5E7}"/>
    <cellStyle name="Nota 4 3 2" xfId="1547" xr:uid="{5842682D-B89D-4A7A-987A-C6A0E202804C}"/>
    <cellStyle name="Nota 4 3 2 2" xfId="3399" xr:uid="{2BA46C97-C737-4C0B-8745-C47BCD1E774C}"/>
    <cellStyle name="Nota 4 3 3" xfId="2472" xr:uid="{3D860D58-9F99-4EAA-AE29-965AC8996EB4}"/>
    <cellStyle name="Nota 4 4" xfId="973" xr:uid="{8C67F07E-59F4-40F0-BD59-2F35AE0CB60B}"/>
    <cellStyle name="Nota 4 4 2" xfId="2825" xr:uid="{098FE8B9-8420-4899-8B1A-9B7383BCEF37}"/>
    <cellStyle name="Nota 4 5" xfId="1898" xr:uid="{4CD16D79-EBE4-4494-B9FD-DB369DA99F87}"/>
    <cellStyle name="Nota 5" xfId="106" xr:uid="{49DC13EA-0598-41BB-A1B9-14D10152CD35}"/>
    <cellStyle name="Nota 5 2" xfId="712" xr:uid="{09F7681C-6A2C-4D90-A5CB-9C97D3A3BA1C}"/>
    <cellStyle name="Nota 5 2 2" xfId="1315" xr:uid="{4798F2B4-41C7-4EAF-91E4-5F58682A2DA6}"/>
    <cellStyle name="Nota 5 2 2 2" xfId="3167" xr:uid="{B7A71011-83CA-40FF-BAF9-4D4A09015988}"/>
    <cellStyle name="Nota 5 2 3" xfId="2240" xr:uid="{50BBDF84-9C7D-4D67-A868-CF68AA8C94B9}"/>
    <cellStyle name="Nota 5 3" xfId="388" xr:uid="{EEF01C48-5D31-4A03-8439-A0829BC86424}"/>
    <cellStyle name="Nota 5 3 2" xfId="1537" xr:uid="{414F5EE3-C962-4A23-93B3-5B89207E32BD}"/>
    <cellStyle name="Nota 5 3 2 2" xfId="3389" xr:uid="{7661B821-5F92-4037-81B3-710966E3B027}"/>
    <cellStyle name="Nota 5 3 3" xfId="2462" xr:uid="{8C1DEB96-EAE8-41A0-9BC4-78A194FC46D2}"/>
    <cellStyle name="Nota 5 4" xfId="993" xr:uid="{56624690-506C-409C-B9DA-FDAB3535DBAF}"/>
    <cellStyle name="Nota 5 4 2" xfId="2845" xr:uid="{2DF5D107-EE68-4477-AAAE-F25BF9F5D1FC}"/>
    <cellStyle name="Nota 5 5" xfId="1918" xr:uid="{03512FFE-FA13-4C89-8531-986DE16E107E}"/>
    <cellStyle name="Nota 6" xfId="126" xr:uid="{DFDB2A70-1052-4902-9D9F-1B8C1819077F}"/>
    <cellStyle name="Nota 6 2" xfId="732" xr:uid="{B2ECB32B-E4AF-4426-B1BB-9539E8F2398C}"/>
    <cellStyle name="Nota 6 2 2" xfId="1335" xr:uid="{22D10C88-7C0F-4570-9F1C-A1BF7E58BE1E}"/>
    <cellStyle name="Nota 6 2 2 2" xfId="3187" xr:uid="{3A061632-6087-418D-9002-737C6CA6BA8A}"/>
    <cellStyle name="Nota 6 2 3" xfId="2260" xr:uid="{1CD38B7B-379B-4E04-BE1D-C6A31DE4BA06}"/>
    <cellStyle name="Nota 6 3" xfId="408" xr:uid="{8F8D4B6C-510F-46BA-8638-DC3CCF242C8F}"/>
    <cellStyle name="Nota 6 3 2" xfId="1808" xr:uid="{30F40675-A42C-4BEF-B0E1-2F35332DAEC2}"/>
    <cellStyle name="Nota 6 3 2 2" xfId="3621" xr:uid="{515D28B0-64AA-47CB-97D9-E0BBAF3B4A3E}"/>
    <cellStyle name="Nota 6 3 3" xfId="2733" xr:uid="{7859A0DB-45F6-4222-8536-72071D6A7C92}"/>
    <cellStyle name="Nota 6 4" xfId="1013" xr:uid="{5CE73F38-6D6A-42A9-88DC-C7D88D2D6A2C}"/>
    <cellStyle name="Nota 6 4 2" xfId="2865" xr:uid="{E577AEEB-AC66-4D5B-A6A9-20488A3FEEC3}"/>
    <cellStyle name="Nota 6 5" xfId="1938" xr:uid="{4B44E422-B75B-4044-8BC4-F2D3AE36003F}"/>
    <cellStyle name="Nota 7" xfId="146" xr:uid="{E9C9B1AA-F508-4A3C-A98D-5019AD2029EC}"/>
    <cellStyle name="Nota 7 2" xfId="752" xr:uid="{AAA3A243-44A3-41A1-B0DD-13AE2DED5CC7}"/>
    <cellStyle name="Nota 7 2 2" xfId="1355" xr:uid="{D97039BC-9538-4487-B972-5AF57A4AA973}"/>
    <cellStyle name="Nota 7 2 2 2" xfId="3207" xr:uid="{977B0675-BBF4-438A-8B7D-82902DD599AD}"/>
    <cellStyle name="Nota 7 2 3" xfId="2280" xr:uid="{79443F56-4246-4BC6-9639-E8BD0B15AFF2}"/>
    <cellStyle name="Nota 7 3" xfId="428" xr:uid="{7A90A0C4-4298-4E28-86A3-16B359A93AC2}"/>
    <cellStyle name="Nota 7 3 2" xfId="1700" xr:uid="{4763C652-E130-4296-936A-0BDF08F10CA9}"/>
    <cellStyle name="Nota 7 3 2 2" xfId="3513" xr:uid="{C2E32A43-E225-4C85-A1E0-FDF505F98A67}"/>
    <cellStyle name="Nota 7 3 3" xfId="2625" xr:uid="{CB4462D9-819B-4CC6-A42D-7BB7FB65F040}"/>
    <cellStyle name="Nota 7 4" xfId="1033" xr:uid="{989BCB13-C0F3-46F7-865F-8E457CBCA673}"/>
    <cellStyle name="Nota 7 4 2" xfId="2885" xr:uid="{954ED0EA-02BE-4A54-A5E1-F30F5603E864}"/>
    <cellStyle name="Nota 7 5" xfId="1958" xr:uid="{9386E181-9675-46D1-BD59-896B56A44246}"/>
    <cellStyle name="Nota 8" xfId="166" xr:uid="{A409477E-3567-4402-BF7E-8D0793745BD2}"/>
    <cellStyle name="Nota 8 2" xfId="772" xr:uid="{5090A927-D3CB-476B-BA74-F3B27BEAE2F6}"/>
    <cellStyle name="Nota 8 2 2" xfId="1375" xr:uid="{9F069689-98EB-4D4E-8BED-142DEB1601C7}"/>
    <cellStyle name="Nota 8 2 2 2" xfId="3227" xr:uid="{0071207E-4994-45AA-8BBA-88F05B56CB6F}"/>
    <cellStyle name="Nota 8 2 3" xfId="2300" xr:uid="{9E8DBEA0-B6F9-4090-A283-8BF8C5A48E46}"/>
    <cellStyle name="Nota 8 3" xfId="448" xr:uid="{A16ADF80-CE84-4806-9AB6-6D314B141320}"/>
    <cellStyle name="Nota 8 3 2" xfId="1545" xr:uid="{501B7DA3-1213-4395-A6C1-E21464A925EC}"/>
    <cellStyle name="Nota 8 3 2 2" xfId="3397" xr:uid="{395557A9-6BB6-4E44-9779-860F312115D8}"/>
    <cellStyle name="Nota 8 3 3" xfId="2470" xr:uid="{F95D1692-6EF9-49E9-AB5B-8AAFDFE0BC29}"/>
    <cellStyle name="Nota 8 4" xfId="1053" xr:uid="{02BFC272-D1B7-41FA-BEE1-CC4F0EC587BE}"/>
    <cellStyle name="Nota 8 4 2" xfId="2905" xr:uid="{BBB1C3A2-7E71-4801-8404-B8CF0909C4BA}"/>
    <cellStyle name="Nota 8 5" xfId="1978" xr:uid="{F3212D74-6ABD-40F5-91B2-AF10B1CBA117}"/>
    <cellStyle name="Nota 9" xfId="186" xr:uid="{836242BB-66E9-4099-A805-8A77927BEBC6}"/>
    <cellStyle name="Nota 9 2" xfId="792" xr:uid="{61585616-4C6C-46ED-A01C-7D239D4989A7}"/>
    <cellStyle name="Nota 9 2 2" xfId="1395" xr:uid="{CA74B163-C13A-4A9E-95D7-FAD2C7DEDD20}"/>
    <cellStyle name="Nota 9 2 2 2" xfId="3247" xr:uid="{03129CF2-4CC2-4C93-9536-971D9F67DB98}"/>
    <cellStyle name="Nota 9 2 3" xfId="2320" xr:uid="{A45F933D-85AA-401B-9193-BC29BBE597B0}"/>
    <cellStyle name="Nota 9 3" xfId="468" xr:uid="{F8D965CC-313E-49A7-900D-C6FBF12C34F2}"/>
    <cellStyle name="Nota 9 3 2" xfId="1574" xr:uid="{460D00B8-C046-410E-82F3-78CF9A55E0E5}"/>
    <cellStyle name="Nota 9 3 2 2" xfId="3426" xr:uid="{557D0B98-83CE-442E-B062-B38E0D1A9800}"/>
    <cellStyle name="Nota 9 3 3" xfId="2499" xr:uid="{CBF4FCFA-2156-4B98-A895-B756876260A5}"/>
    <cellStyle name="Nota 9 4" xfId="1073" xr:uid="{8AA7F144-D713-40F8-8236-DDA05998DADD}"/>
    <cellStyle name="Nota 9 4 2" xfId="2925" xr:uid="{E4DCBDB7-30E2-419C-8370-5808F9D60657}"/>
    <cellStyle name="Nota 9 5" xfId="1998" xr:uid="{0A785791-0797-4C48-9CC9-16460CF3BAD1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arfood-my.sharepoint.com/personal/matheus_freitas_marfoods_com_br/Documents/&#193;rea%20de%20Trabalho/projeto_recuperacao/Painel%20CRM%20-%20Maio.xlsx" TargetMode="External"/><Relationship Id="rId1" Type="http://schemas.openxmlformats.org/officeDocument/2006/relationships/externalLinkPath" Target="Painel%20CRM%20-%20Ma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inel Geral"/>
      <sheetName val="Ariane"/>
      <sheetName val="Camila"/>
      <sheetName val="Cristielen"/>
      <sheetName val="Natália"/>
      <sheetName val="Tatiana"/>
      <sheetName val="Planilha1"/>
    </sheetNames>
    <sheetDataSet>
      <sheetData sheetId="0"/>
      <sheetData sheetId="1">
        <row r="14">
          <cell r="AD14">
            <v>5442.9000000000005</v>
          </cell>
        </row>
      </sheetData>
      <sheetData sheetId="2">
        <row r="23">
          <cell r="AD23">
            <v>9273.0999999999985</v>
          </cell>
        </row>
      </sheetData>
      <sheetData sheetId="3">
        <row r="14">
          <cell r="AD14">
            <v>1383.5</v>
          </cell>
        </row>
      </sheetData>
      <sheetData sheetId="4">
        <row r="14">
          <cell r="AE14">
            <v>5803.8099999999995</v>
          </cell>
        </row>
      </sheetData>
      <sheetData sheetId="5">
        <row r="19">
          <cell r="AD19">
            <v>6278.1299999999992</v>
          </cell>
        </row>
      </sheetData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B28A1A93-5AC4-489D-B206-F060AFB24AB5}"/>
  <namedSheetView name="Exibir2" id="{B50C5215-93C7-48DF-B841-E5B22AD87D8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Franciele Lohse" id="{44369FFA-F47C-4A66-A745-03C574EFFD0D}" userId="S::franciele.lohse@marfoods.com.br::655332e4-4eb5-4e7c-95f5-cfe539a10a5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3" dT="2026-06-25T11:21:47.98" personId="{44369FFA-F47C-4A66-A745-03C574EFFD0D}" id="{110EB2BA-EE12-4A9C-93B2-C753A07193CE}">
    <text>Alta demanda não gerou tarefas.</text>
  </threadedComment>
  <threadedComment ref="R35" dT="2026-06-11T03:52:53.34" personId="{44369FFA-F47C-4A66-A745-03C574EFFD0D}" id="{596ABB47-70D4-46F5-A058-C2D8FC71DA00}">
    <text>Ausente neste dia, motivo: saúde/filho.</text>
  </threadedComment>
  <threadedComment ref="T35" dT="2026-06-11T03:52:53.34" personId="{44369FFA-F47C-4A66-A745-03C574EFFD0D}" id="{12217CA1-EE75-466D-8AC1-B512AF571836}">
    <text>Ausente neste dia, motivo: saúde/filho.</text>
  </threadedComment>
  <threadedComment ref="V35" dT="2026-06-11T03:52:53.34" personId="{44369FFA-F47C-4A66-A745-03C574EFFD0D}" id="{4A1C36D5-D063-4B03-A1E3-F9A60A439D30}">
    <text>Ausente neste dia, motivo: saúde/filho.</text>
  </threadedComment>
  <threadedComment ref="X35" dT="2026-06-11T03:52:53.34" personId="{44369FFA-F47C-4A66-A745-03C574EFFD0D}" id="{ADC094F8-93F0-4C7A-9967-253DC3480842}">
    <text>Ausente neste dia, motivo: saúde/filho.</text>
  </threadedComment>
  <threadedComment ref="Z35" dT="2026-06-11T03:52:53.34" personId="{44369FFA-F47C-4A66-A745-03C574EFFD0D}" id="{3AFBAA46-DA48-43CC-A985-16F12C06064C}">
    <text>Ausente neste dia, motivo: saúde/filho.</text>
  </threadedComment>
  <threadedComment ref="AB35" dT="2026-06-11T03:52:53.34" personId="{44369FFA-F47C-4A66-A745-03C574EFFD0D}" id="{94A9765C-382E-41B7-B3FE-188F1629B79C}">
    <text>Ausente neste dia, motivo: saúde/filho.</text>
  </threadedComment>
  <threadedComment ref="AD35" dT="2026-06-11T03:52:53.34" personId="{44369FFA-F47C-4A66-A745-03C574EFFD0D}" id="{3C82105C-9F43-428D-A71B-E102B2635881}">
    <text>Ausente neste dia, motivo: saúde/filho.</text>
  </threadedComment>
  <threadedComment ref="AF35" dT="2026-06-11T03:52:53.34" personId="{44369FFA-F47C-4A66-A745-03C574EFFD0D}" id="{08A637E7-8E81-4229-B448-3015AF2A88CC}">
    <text>Ausente neste dia, motivo: saúde/filho.</text>
  </threadedComment>
  <threadedComment ref="F36" dT="2026-06-05T01:40:50.67" personId="{44369FFA-F47C-4A66-A745-03C574EFFD0D}" id="{6900338A-6CA0-497B-B2EF-5A255D172477}">
    <text>Focou em finalizar tarefas pendentes.</text>
  </threadedComment>
  <threadedComment ref="H36" dT="2026-06-05T01:40:50.67" personId="{44369FFA-F47C-4A66-A745-03C574EFFD0D}" id="{D9644057-1701-4477-AEA5-AF092045E589}">
    <text>Focou em finalizar tarefas pendentes.</text>
  </threadedComment>
  <threadedComment ref="J36" dT="2026-06-05T01:40:50.67" personId="{44369FFA-F47C-4A66-A745-03C574EFFD0D}" id="{79F78E51-A178-4AE7-8B42-DA6DAFFEEE30}">
    <text>Focou em finalizar tarefas pendentes.</text>
  </threadedComment>
  <threadedComment ref="AP36" dT="2026-06-26T19:55:25.23" personId="{44369FFA-F47C-4A66-A745-03C574EFFD0D}" id="{657A8C87-DC61-4A23-8D1C-2D38D5F1BE12}">
    <text xml:space="preserve">Folga 26/6
</text>
  </threadedComment>
  <threadedComment ref="R37" dT="2026-06-11T03:53:22.47" personId="{44369FFA-F47C-4A66-A745-03C574EFFD0D}" id="{EF276022-B394-4A52-8308-51345081745B}">
    <text>Volume intenso na sua carteira de clientes.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114A-6DDC-4501-BCF8-C8423F966AE5}">
  <sheetPr>
    <tabColor theme="8" tint="-0.249977111117893"/>
  </sheetPr>
  <dimension ref="A2:AR47"/>
  <sheetViews>
    <sheetView workbookViewId="0">
      <selection activeCell="O6" sqref="O6"/>
    </sheetView>
  </sheetViews>
  <sheetFormatPr defaultColWidth="9.109375" defaultRowHeight="12"/>
  <cols>
    <col min="1" max="1" width="31.109375" style="187" customWidth="1"/>
    <col min="2" max="2" width="6.44140625" style="227" customWidth="1"/>
    <col min="3" max="3" width="8.33203125" style="187" customWidth="1"/>
    <col min="4" max="4" width="9.109375" style="187"/>
    <col min="5" max="5" width="8.44140625" style="187" customWidth="1"/>
    <col min="6" max="6" width="9.109375" style="187"/>
    <col min="7" max="7" width="10.33203125" style="187" customWidth="1"/>
    <col min="8" max="9" width="10.6640625" style="187" customWidth="1"/>
    <col min="10" max="10" width="12.33203125" style="187" customWidth="1"/>
    <col min="11" max="20" width="10.6640625" style="187" customWidth="1"/>
    <col min="21" max="16384" width="9.109375" style="187"/>
  </cols>
  <sheetData>
    <row r="2" spans="1:44">
      <c r="A2" s="184"/>
      <c r="B2" s="185"/>
      <c r="C2" s="184"/>
      <c r="D2" s="184"/>
      <c r="E2" s="259">
        <v>1</v>
      </c>
      <c r="F2" s="259"/>
      <c r="G2" s="259">
        <v>2</v>
      </c>
      <c r="H2" s="259"/>
      <c r="I2" s="259">
        <v>6</v>
      </c>
      <c r="J2" s="259"/>
      <c r="K2" s="259">
        <v>7</v>
      </c>
      <c r="L2" s="259"/>
      <c r="M2" s="259">
        <v>8</v>
      </c>
      <c r="N2" s="259"/>
      <c r="O2" s="259">
        <v>9</v>
      </c>
      <c r="P2" s="259"/>
      <c r="Q2" s="259">
        <v>10</v>
      </c>
      <c r="R2" s="259"/>
      <c r="S2" s="259">
        <v>13</v>
      </c>
      <c r="T2" s="259"/>
      <c r="U2" s="259">
        <v>14</v>
      </c>
      <c r="V2" s="259"/>
      <c r="W2" s="259">
        <v>15</v>
      </c>
      <c r="X2" s="259"/>
      <c r="Y2" s="259">
        <v>16</v>
      </c>
      <c r="Z2" s="259"/>
      <c r="AA2" s="259">
        <v>17</v>
      </c>
      <c r="AB2" s="259"/>
      <c r="AC2" s="259">
        <v>20</v>
      </c>
      <c r="AD2" s="259"/>
      <c r="AE2" s="255">
        <v>22</v>
      </c>
      <c r="AF2" s="255"/>
      <c r="AG2" s="255">
        <v>23</v>
      </c>
      <c r="AH2" s="255"/>
      <c r="AI2" s="255">
        <v>24</v>
      </c>
      <c r="AJ2" s="255"/>
      <c r="AK2" s="255">
        <v>27</v>
      </c>
      <c r="AL2" s="255"/>
      <c r="AM2" s="255">
        <v>28</v>
      </c>
      <c r="AN2" s="255"/>
      <c r="AO2" s="255">
        <v>29</v>
      </c>
      <c r="AP2" s="255"/>
      <c r="AQ2" s="255">
        <v>30</v>
      </c>
      <c r="AR2" s="255"/>
    </row>
    <row r="3" spans="1:44">
      <c r="A3" s="188" t="s">
        <v>1</v>
      </c>
      <c r="B3" s="188" t="s">
        <v>2</v>
      </c>
      <c r="C3" s="188" t="s">
        <v>3</v>
      </c>
      <c r="D3" s="189" t="s">
        <v>4</v>
      </c>
      <c r="E3" s="190" t="s">
        <v>2</v>
      </c>
      <c r="F3" s="191" t="s">
        <v>5</v>
      </c>
      <c r="G3" s="190" t="s">
        <v>2</v>
      </c>
      <c r="H3" s="191" t="s">
        <v>5</v>
      </c>
      <c r="I3" s="190" t="s">
        <v>2</v>
      </c>
      <c r="J3" s="191" t="s">
        <v>5</v>
      </c>
      <c r="K3" s="190" t="s">
        <v>2</v>
      </c>
      <c r="L3" s="191" t="s">
        <v>5</v>
      </c>
      <c r="M3" s="190" t="s">
        <v>2</v>
      </c>
      <c r="N3" s="191" t="s">
        <v>5</v>
      </c>
      <c r="O3" s="190" t="s">
        <v>2</v>
      </c>
      <c r="P3" s="191" t="s">
        <v>5</v>
      </c>
      <c r="Q3" s="190" t="s">
        <v>2</v>
      </c>
      <c r="R3" s="191" t="s">
        <v>5</v>
      </c>
      <c r="S3" s="190" t="s">
        <v>2</v>
      </c>
      <c r="T3" s="191" t="s">
        <v>5</v>
      </c>
      <c r="U3" s="190" t="s">
        <v>2</v>
      </c>
      <c r="V3" s="191" t="s">
        <v>5</v>
      </c>
      <c r="W3" s="190" t="s">
        <v>2</v>
      </c>
      <c r="X3" s="191" t="s">
        <v>5</v>
      </c>
      <c r="Y3" s="190" t="s">
        <v>2</v>
      </c>
      <c r="Z3" s="191" t="s">
        <v>5</v>
      </c>
      <c r="AA3" s="190" t="s">
        <v>2</v>
      </c>
      <c r="AB3" s="191" t="s">
        <v>5</v>
      </c>
      <c r="AC3" s="190" t="s">
        <v>2</v>
      </c>
      <c r="AD3" s="191" t="s">
        <v>5</v>
      </c>
      <c r="AE3" s="190" t="s">
        <v>2</v>
      </c>
      <c r="AF3" s="191" t="s">
        <v>5</v>
      </c>
      <c r="AG3" s="190" t="s">
        <v>2</v>
      </c>
      <c r="AH3" s="191" t="s">
        <v>5</v>
      </c>
      <c r="AI3" s="190" t="s">
        <v>2</v>
      </c>
      <c r="AJ3" s="191" t="s">
        <v>5</v>
      </c>
      <c r="AK3" s="190" t="s">
        <v>2</v>
      </c>
      <c r="AL3" s="191" t="s">
        <v>5</v>
      </c>
      <c r="AM3" s="190" t="s">
        <v>2</v>
      </c>
      <c r="AN3" s="191" t="s">
        <v>5</v>
      </c>
      <c r="AO3" s="190" t="s">
        <v>2</v>
      </c>
      <c r="AP3" s="191" t="s">
        <v>5</v>
      </c>
      <c r="AQ3" s="190" t="s">
        <v>2</v>
      </c>
      <c r="AR3" s="191" t="s">
        <v>5</v>
      </c>
    </row>
    <row r="4" spans="1:44">
      <c r="A4" s="192" t="s">
        <v>55</v>
      </c>
      <c r="B4" s="193">
        <v>72</v>
      </c>
      <c r="C4" s="193">
        <f>F4+H4+J4+L4+N4+P4+R4+T4+V4+X4+Z4+AB4+AD4+AF4+AH4+AJ4+AL4+AN4+AP4+AR4</f>
        <v>20</v>
      </c>
      <c r="D4" s="194">
        <f t="shared" ref="D4:D9" si="0">C4/B4</f>
        <v>0.27777777777777779</v>
      </c>
      <c r="E4" s="195">
        <v>4</v>
      </c>
      <c r="F4" s="195">
        <v>2</v>
      </c>
      <c r="G4" s="195">
        <v>4</v>
      </c>
      <c r="H4" s="195">
        <v>0</v>
      </c>
      <c r="I4" s="195">
        <v>4</v>
      </c>
      <c r="J4" s="195">
        <v>0</v>
      </c>
      <c r="K4" s="195">
        <v>4</v>
      </c>
      <c r="L4" s="195">
        <v>0</v>
      </c>
      <c r="M4" s="195">
        <v>4</v>
      </c>
      <c r="N4" s="195">
        <v>0</v>
      </c>
      <c r="O4" s="195">
        <v>4</v>
      </c>
      <c r="P4" s="195">
        <v>2</v>
      </c>
      <c r="Q4" s="195">
        <v>4</v>
      </c>
      <c r="R4" s="195">
        <v>0</v>
      </c>
      <c r="S4" s="195">
        <v>4</v>
      </c>
      <c r="T4" s="195">
        <v>0</v>
      </c>
      <c r="U4" s="195">
        <v>4</v>
      </c>
      <c r="V4" s="195">
        <v>1</v>
      </c>
      <c r="W4" s="195">
        <v>4</v>
      </c>
      <c r="X4" s="195">
        <v>0</v>
      </c>
      <c r="Y4" s="195">
        <v>4</v>
      </c>
      <c r="Z4" s="195">
        <v>3</v>
      </c>
      <c r="AA4" s="195">
        <v>4</v>
      </c>
      <c r="AB4" s="195">
        <v>0</v>
      </c>
      <c r="AC4" s="195">
        <v>4</v>
      </c>
      <c r="AD4" s="195">
        <v>1</v>
      </c>
      <c r="AE4" s="195">
        <v>4</v>
      </c>
      <c r="AF4" s="196">
        <v>3</v>
      </c>
      <c r="AG4" s="195">
        <v>4</v>
      </c>
      <c r="AH4" s="195">
        <v>1</v>
      </c>
      <c r="AI4" s="195">
        <v>4</v>
      </c>
      <c r="AJ4" s="195">
        <v>0</v>
      </c>
      <c r="AK4" s="195">
        <v>4</v>
      </c>
      <c r="AL4" s="195">
        <v>3</v>
      </c>
      <c r="AM4" s="195">
        <v>4</v>
      </c>
      <c r="AN4" s="195">
        <v>2</v>
      </c>
      <c r="AO4" s="195">
        <v>4</v>
      </c>
      <c r="AP4" s="195">
        <v>2</v>
      </c>
      <c r="AQ4" s="195">
        <v>4</v>
      </c>
      <c r="AR4" s="195">
        <v>0</v>
      </c>
    </row>
    <row r="5" spans="1:44">
      <c r="A5" s="192" t="s">
        <v>6</v>
      </c>
      <c r="B5" s="193">
        <v>39</v>
      </c>
      <c r="C5" s="193">
        <f t="shared" ref="C5:C8" si="1">F5+H5+J5+L5+N5+P5+R5+T5+V5+X5+Z5+AB5+AD5+AF5+AH5+AJ5+AL5+AN5+AP5+AR5</f>
        <v>11</v>
      </c>
      <c r="D5" s="194">
        <f t="shared" si="0"/>
        <v>0.28205128205128205</v>
      </c>
      <c r="E5" s="195">
        <v>2</v>
      </c>
      <c r="F5" s="195">
        <v>0</v>
      </c>
      <c r="G5" s="195">
        <v>2</v>
      </c>
      <c r="H5" s="195">
        <v>0</v>
      </c>
      <c r="I5" s="195">
        <v>2</v>
      </c>
      <c r="J5" s="195">
        <v>0</v>
      </c>
      <c r="K5" s="195">
        <v>2</v>
      </c>
      <c r="L5" s="195">
        <v>0</v>
      </c>
      <c r="M5" s="195">
        <v>2</v>
      </c>
      <c r="N5" s="195">
        <v>0</v>
      </c>
      <c r="O5" s="195">
        <v>2</v>
      </c>
      <c r="P5" s="195">
        <v>0</v>
      </c>
      <c r="Q5" s="195">
        <v>2</v>
      </c>
      <c r="R5" s="195">
        <v>0</v>
      </c>
      <c r="S5" s="195">
        <v>2</v>
      </c>
      <c r="T5" s="195">
        <v>1</v>
      </c>
      <c r="U5" s="195">
        <v>2</v>
      </c>
      <c r="V5" s="195">
        <v>0</v>
      </c>
      <c r="W5" s="195">
        <v>2</v>
      </c>
      <c r="X5" s="195">
        <v>1</v>
      </c>
      <c r="Y5" s="195">
        <v>2</v>
      </c>
      <c r="Z5" s="195">
        <v>4</v>
      </c>
      <c r="AA5" s="195">
        <v>2</v>
      </c>
      <c r="AB5" s="195">
        <v>0</v>
      </c>
      <c r="AC5" s="195">
        <v>2</v>
      </c>
      <c r="AD5" s="195">
        <v>1</v>
      </c>
      <c r="AE5" s="195">
        <v>2</v>
      </c>
      <c r="AF5" s="196">
        <v>1</v>
      </c>
      <c r="AG5" s="195">
        <v>2</v>
      </c>
      <c r="AH5" s="195">
        <v>1</v>
      </c>
      <c r="AI5" s="195">
        <v>2</v>
      </c>
      <c r="AJ5" s="195">
        <v>0</v>
      </c>
      <c r="AK5" s="195">
        <v>2</v>
      </c>
      <c r="AL5" s="195">
        <v>1</v>
      </c>
      <c r="AM5" s="195">
        <v>2</v>
      </c>
      <c r="AN5" s="195">
        <v>1</v>
      </c>
      <c r="AO5" s="195">
        <v>2</v>
      </c>
      <c r="AP5" s="195">
        <v>0</v>
      </c>
      <c r="AQ5" s="195">
        <v>2</v>
      </c>
      <c r="AR5" s="195">
        <v>0</v>
      </c>
    </row>
    <row r="6" spans="1:44">
      <c r="A6" s="192" t="s">
        <v>7</v>
      </c>
      <c r="B6" s="193">
        <v>44</v>
      </c>
      <c r="C6" s="193">
        <f t="shared" si="1"/>
        <v>3</v>
      </c>
      <c r="D6" s="194">
        <f t="shared" si="0"/>
        <v>6.8181818181818177E-2</v>
      </c>
      <c r="E6" s="195">
        <v>3</v>
      </c>
      <c r="F6" s="195">
        <v>0</v>
      </c>
      <c r="G6" s="195">
        <v>3</v>
      </c>
      <c r="H6" s="195">
        <v>0</v>
      </c>
      <c r="I6" s="195">
        <v>3</v>
      </c>
      <c r="J6" s="195">
        <v>0</v>
      </c>
      <c r="K6" s="195">
        <v>3</v>
      </c>
      <c r="L6" s="195">
        <v>0</v>
      </c>
      <c r="M6" s="195">
        <v>3</v>
      </c>
      <c r="N6" s="195">
        <v>0</v>
      </c>
      <c r="O6" s="195">
        <v>3</v>
      </c>
      <c r="P6" s="195">
        <v>0</v>
      </c>
      <c r="Q6" s="195">
        <v>3</v>
      </c>
      <c r="R6" s="195">
        <v>0</v>
      </c>
      <c r="S6" s="195">
        <v>3</v>
      </c>
      <c r="T6" s="195">
        <v>0</v>
      </c>
      <c r="U6" s="195">
        <v>3</v>
      </c>
      <c r="V6" s="195">
        <v>0</v>
      </c>
      <c r="W6" s="195">
        <v>3</v>
      </c>
      <c r="X6" s="195">
        <v>0</v>
      </c>
      <c r="Y6" s="195">
        <v>3</v>
      </c>
      <c r="Z6" s="195">
        <v>1</v>
      </c>
      <c r="AA6" s="195">
        <v>3</v>
      </c>
      <c r="AB6" s="195">
        <v>0</v>
      </c>
      <c r="AC6" s="195">
        <v>3</v>
      </c>
      <c r="AD6" s="195">
        <v>0</v>
      </c>
      <c r="AE6" s="195">
        <v>3</v>
      </c>
      <c r="AF6" s="196">
        <v>0</v>
      </c>
      <c r="AG6" s="195">
        <v>3</v>
      </c>
      <c r="AH6" s="195">
        <v>0</v>
      </c>
      <c r="AI6" s="195">
        <v>3</v>
      </c>
      <c r="AJ6" s="195">
        <v>1</v>
      </c>
      <c r="AK6" s="195">
        <v>3</v>
      </c>
      <c r="AL6" s="195">
        <v>0</v>
      </c>
      <c r="AM6" s="195">
        <v>3</v>
      </c>
      <c r="AN6" s="195">
        <v>1</v>
      </c>
      <c r="AO6" s="195">
        <v>3</v>
      </c>
      <c r="AP6" s="195">
        <v>0</v>
      </c>
      <c r="AQ6" s="195">
        <v>3</v>
      </c>
      <c r="AR6" s="195">
        <v>0</v>
      </c>
    </row>
    <row r="7" spans="1:44">
      <c r="A7" s="192" t="s">
        <v>9</v>
      </c>
      <c r="B7" s="193">
        <v>37</v>
      </c>
      <c r="C7" s="193">
        <f t="shared" si="1"/>
        <v>17</v>
      </c>
      <c r="D7" s="194">
        <f t="shared" si="0"/>
        <v>0.45945945945945948</v>
      </c>
      <c r="E7" s="195">
        <v>2</v>
      </c>
      <c r="F7" s="195">
        <v>0</v>
      </c>
      <c r="G7" s="195">
        <v>2</v>
      </c>
      <c r="H7" s="195">
        <v>0</v>
      </c>
      <c r="I7" s="195">
        <v>2</v>
      </c>
      <c r="J7" s="195">
        <v>1</v>
      </c>
      <c r="K7" s="195">
        <v>2</v>
      </c>
      <c r="L7" s="195">
        <v>0</v>
      </c>
      <c r="M7" s="195">
        <v>2</v>
      </c>
      <c r="N7" s="195">
        <v>0</v>
      </c>
      <c r="O7" s="195">
        <v>2</v>
      </c>
      <c r="P7" s="195">
        <v>2</v>
      </c>
      <c r="Q7" s="195">
        <v>2</v>
      </c>
      <c r="R7" s="195">
        <v>2</v>
      </c>
      <c r="S7" s="195">
        <v>2</v>
      </c>
      <c r="T7" s="195">
        <v>1</v>
      </c>
      <c r="U7" s="195">
        <v>2</v>
      </c>
      <c r="V7" s="195">
        <v>1</v>
      </c>
      <c r="W7" s="195">
        <v>2</v>
      </c>
      <c r="X7" s="195">
        <v>1</v>
      </c>
      <c r="Y7" s="195">
        <v>2</v>
      </c>
      <c r="Z7" s="195">
        <v>0</v>
      </c>
      <c r="AA7" s="195">
        <v>2</v>
      </c>
      <c r="AB7" s="195">
        <v>0</v>
      </c>
      <c r="AC7" s="195">
        <v>2</v>
      </c>
      <c r="AD7" s="195">
        <v>0</v>
      </c>
      <c r="AE7" s="195">
        <v>2</v>
      </c>
      <c r="AF7" s="196">
        <v>1</v>
      </c>
      <c r="AG7" s="195">
        <v>2</v>
      </c>
      <c r="AH7" s="195">
        <v>1</v>
      </c>
      <c r="AI7" s="195">
        <v>2</v>
      </c>
      <c r="AJ7" s="195">
        <v>1</v>
      </c>
      <c r="AK7" s="195">
        <v>2</v>
      </c>
      <c r="AL7" s="195">
        <v>1</v>
      </c>
      <c r="AM7" s="195">
        <v>2</v>
      </c>
      <c r="AN7" s="195">
        <v>5</v>
      </c>
      <c r="AO7" s="195">
        <v>2</v>
      </c>
      <c r="AP7" s="195">
        <v>0</v>
      </c>
      <c r="AQ7" s="195">
        <v>2</v>
      </c>
      <c r="AR7" s="195">
        <v>0</v>
      </c>
    </row>
    <row r="8" spans="1:44">
      <c r="A8" s="192" t="s">
        <v>10</v>
      </c>
      <c r="B8" s="193">
        <v>22</v>
      </c>
      <c r="C8" s="193">
        <f t="shared" si="1"/>
        <v>22</v>
      </c>
      <c r="D8" s="194">
        <f t="shared" si="0"/>
        <v>1</v>
      </c>
      <c r="E8" s="195">
        <v>2</v>
      </c>
      <c r="F8" s="195">
        <v>0</v>
      </c>
      <c r="G8" s="195">
        <v>2</v>
      </c>
      <c r="H8" s="195">
        <v>1</v>
      </c>
      <c r="I8" s="195">
        <v>1</v>
      </c>
      <c r="J8" s="195">
        <v>0</v>
      </c>
      <c r="K8" s="195">
        <v>1</v>
      </c>
      <c r="L8" s="195">
        <v>3</v>
      </c>
      <c r="M8" s="195">
        <v>1</v>
      </c>
      <c r="N8" s="195">
        <v>2</v>
      </c>
      <c r="O8" s="195">
        <v>1</v>
      </c>
      <c r="P8" s="195">
        <v>1</v>
      </c>
      <c r="Q8" s="195">
        <v>1</v>
      </c>
      <c r="R8" s="195">
        <v>1</v>
      </c>
      <c r="S8" s="195">
        <v>1</v>
      </c>
      <c r="T8" s="195">
        <v>3</v>
      </c>
      <c r="U8" s="195">
        <v>1</v>
      </c>
      <c r="V8" s="195">
        <v>0</v>
      </c>
      <c r="W8" s="195">
        <v>1</v>
      </c>
      <c r="X8" s="195">
        <v>2</v>
      </c>
      <c r="Y8" s="195">
        <v>1</v>
      </c>
      <c r="Z8" s="195">
        <v>0</v>
      </c>
      <c r="AA8" s="195">
        <v>1</v>
      </c>
      <c r="AB8" s="195">
        <v>0</v>
      </c>
      <c r="AC8" s="195">
        <v>1</v>
      </c>
      <c r="AD8" s="195">
        <v>3</v>
      </c>
      <c r="AE8" s="195">
        <v>1</v>
      </c>
      <c r="AF8" s="196">
        <v>1</v>
      </c>
      <c r="AG8" s="195">
        <v>1</v>
      </c>
      <c r="AH8" s="196">
        <v>1</v>
      </c>
      <c r="AI8" s="195">
        <v>1</v>
      </c>
      <c r="AJ8" s="196">
        <v>0</v>
      </c>
      <c r="AK8" s="195">
        <v>1</v>
      </c>
      <c r="AL8" s="196">
        <v>2</v>
      </c>
      <c r="AM8" s="195">
        <v>1</v>
      </c>
      <c r="AN8" s="196">
        <v>1</v>
      </c>
      <c r="AO8" s="195">
        <v>1</v>
      </c>
      <c r="AP8" s="196">
        <v>1</v>
      </c>
      <c r="AQ8" s="195">
        <v>1</v>
      </c>
      <c r="AR8" s="196">
        <v>0</v>
      </c>
    </row>
    <row r="9" spans="1:44">
      <c r="A9" s="197" t="s">
        <v>11</v>
      </c>
      <c r="B9" s="198">
        <f>SUM(B4:B8)</f>
        <v>214</v>
      </c>
      <c r="C9" s="198">
        <f>SUM(C4:C8)</f>
        <v>73</v>
      </c>
      <c r="D9" s="199">
        <f t="shared" si="0"/>
        <v>0.34112149532710279</v>
      </c>
      <c r="E9" s="186">
        <f>SUM(E4:E8)</f>
        <v>13</v>
      </c>
      <c r="F9" s="186">
        <f>SUM(F4:F8)</f>
        <v>2</v>
      </c>
      <c r="G9" s="186">
        <f>SUM(G4:G8)</f>
        <v>13</v>
      </c>
      <c r="H9" s="186">
        <f t="shared" ref="H9:Z9" si="2">SUM(H4:H8)</f>
        <v>1</v>
      </c>
      <c r="I9" s="186">
        <f t="shared" si="2"/>
        <v>12</v>
      </c>
      <c r="J9" s="186">
        <f t="shared" si="2"/>
        <v>1</v>
      </c>
      <c r="K9" s="186">
        <f t="shared" si="2"/>
        <v>12</v>
      </c>
      <c r="L9" s="186">
        <f t="shared" si="2"/>
        <v>3</v>
      </c>
      <c r="M9" s="186">
        <f t="shared" si="2"/>
        <v>12</v>
      </c>
      <c r="N9" s="186">
        <f t="shared" si="2"/>
        <v>2</v>
      </c>
      <c r="O9" s="186">
        <f t="shared" si="2"/>
        <v>12</v>
      </c>
      <c r="P9" s="186">
        <f t="shared" si="2"/>
        <v>5</v>
      </c>
      <c r="Q9" s="186">
        <f t="shared" si="2"/>
        <v>12</v>
      </c>
      <c r="R9" s="186">
        <f t="shared" si="2"/>
        <v>3</v>
      </c>
      <c r="S9" s="186">
        <f t="shared" si="2"/>
        <v>12</v>
      </c>
      <c r="T9" s="186">
        <f t="shared" si="2"/>
        <v>5</v>
      </c>
      <c r="U9" s="186">
        <f t="shared" si="2"/>
        <v>12</v>
      </c>
      <c r="V9" s="186">
        <f t="shared" si="2"/>
        <v>2</v>
      </c>
      <c r="W9" s="186">
        <f t="shared" si="2"/>
        <v>12</v>
      </c>
      <c r="X9" s="186">
        <f t="shared" si="2"/>
        <v>4</v>
      </c>
      <c r="Y9" s="186">
        <f t="shared" si="2"/>
        <v>12</v>
      </c>
      <c r="Z9" s="186">
        <f t="shared" si="2"/>
        <v>8</v>
      </c>
      <c r="AA9" s="186">
        <f>SUM(AA4:AA8)</f>
        <v>12</v>
      </c>
      <c r="AB9" s="186">
        <f t="shared" ref="AB9:AD9" si="3">SUM(AB4:AB8)</f>
        <v>0</v>
      </c>
      <c r="AC9" s="186">
        <f>SUM(AC4:AC8)</f>
        <v>12</v>
      </c>
      <c r="AD9" s="186">
        <f t="shared" si="3"/>
        <v>5</v>
      </c>
      <c r="AE9" s="186">
        <f>SUM(AE4:AE8)</f>
        <v>12</v>
      </c>
      <c r="AF9" s="186">
        <f t="shared" ref="AF9:AH9" si="4">SUM(AF4:AF8)</f>
        <v>6</v>
      </c>
      <c r="AG9" s="186">
        <f>SUM(AG4:AG8)</f>
        <v>12</v>
      </c>
      <c r="AH9" s="186">
        <f t="shared" si="4"/>
        <v>4</v>
      </c>
      <c r="AI9" s="186">
        <f>SUM(AI4:AI8)</f>
        <v>12</v>
      </c>
      <c r="AJ9" s="186">
        <f t="shared" ref="AJ9:AL9" si="5">SUM(AJ4:AJ8)</f>
        <v>2</v>
      </c>
      <c r="AK9" s="186">
        <f>SUM(AK4:AK8)</f>
        <v>12</v>
      </c>
      <c r="AL9" s="186">
        <f t="shared" si="5"/>
        <v>7</v>
      </c>
      <c r="AM9" s="186">
        <f>SUM(AM4:AM8)</f>
        <v>12</v>
      </c>
      <c r="AN9" s="186">
        <f t="shared" ref="AN9" si="6">SUM(AN4:AN8)</f>
        <v>10</v>
      </c>
      <c r="AO9" s="186">
        <f>SUM(AO4:AO8)</f>
        <v>12</v>
      </c>
      <c r="AP9" s="186">
        <f>SUM(AP4:AP8)</f>
        <v>3</v>
      </c>
      <c r="AQ9" s="186">
        <f>SUM(AQ4:AQ8)</f>
        <v>12</v>
      </c>
      <c r="AR9" s="186">
        <f t="shared" ref="AR9" si="7">SUM(AR4:AR8)</f>
        <v>0</v>
      </c>
    </row>
    <row r="10" spans="1:44" s="184" customFormat="1">
      <c r="A10" s="37" t="s">
        <v>12</v>
      </c>
      <c r="B10" s="39">
        <f>C9+G25</f>
        <v>243</v>
      </c>
      <c r="C10" s="200"/>
      <c r="D10" s="201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</row>
    <row r="11" spans="1:44">
      <c r="A11" s="37" t="s">
        <v>13</v>
      </c>
      <c r="B11" s="39">
        <f>B10-B9</f>
        <v>29</v>
      </c>
      <c r="C11" s="202"/>
    </row>
    <row r="13" spans="1:44" ht="12.6" thickBot="1">
      <c r="B13" s="256" t="s">
        <v>337</v>
      </c>
      <c r="C13" s="257"/>
      <c r="D13" s="257"/>
      <c r="E13" s="257"/>
      <c r="F13" s="257"/>
      <c r="G13" s="258"/>
    </row>
    <row r="14" spans="1:44">
      <c r="A14" s="203" t="s">
        <v>14</v>
      </c>
      <c r="B14" s="204" t="s">
        <v>55</v>
      </c>
      <c r="C14" s="205" t="s">
        <v>6</v>
      </c>
      <c r="D14" s="205" t="s">
        <v>7</v>
      </c>
      <c r="E14" s="205" t="s">
        <v>9</v>
      </c>
      <c r="F14" s="205" t="s">
        <v>10</v>
      </c>
      <c r="G14" s="205" t="s">
        <v>11</v>
      </c>
      <c r="N14" s="206"/>
      <c r="O14" s="206"/>
      <c r="P14" s="206"/>
      <c r="Q14" s="206"/>
      <c r="R14" s="206"/>
      <c r="S14" s="206"/>
      <c r="T14" s="206"/>
      <c r="U14" s="206"/>
      <c r="V14" s="206"/>
      <c r="W14" s="206"/>
      <c r="X14" s="206"/>
    </row>
    <row r="15" spans="1:44" ht="15" customHeight="1">
      <c r="A15" s="207" t="s">
        <v>15</v>
      </c>
      <c r="B15" s="208">
        <v>3</v>
      </c>
      <c r="C15" s="208">
        <v>1</v>
      </c>
      <c r="D15" s="208">
        <v>1</v>
      </c>
      <c r="E15" s="208">
        <v>6</v>
      </c>
      <c r="F15" s="208">
        <v>11</v>
      </c>
      <c r="G15" s="209">
        <f>SUM(B15:F15)</f>
        <v>22</v>
      </c>
      <c r="K15" s="210"/>
      <c r="L15" s="211"/>
    </row>
    <row r="16" spans="1:44" ht="15" customHeight="1">
      <c r="A16" s="207" t="s">
        <v>16</v>
      </c>
      <c r="B16" s="208">
        <v>2</v>
      </c>
      <c r="C16" s="208">
        <v>3</v>
      </c>
      <c r="D16" s="208">
        <v>0</v>
      </c>
      <c r="E16" s="208">
        <v>10</v>
      </c>
      <c r="F16" s="208">
        <v>6</v>
      </c>
      <c r="G16" s="209">
        <f>SUM(B16:F16)</f>
        <v>21</v>
      </c>
      <c r="K16" s="212" t="s">
        <v>338</v>
      </c>
      <c r="L16" s="212"/>
      <c r="M16" s="213"/>
    </row>
    <row r="17" spans="1:16" ht="15" customHeight="1">
      <c r="A17" s="207" t="s">
        <v>17</v>
      </c>
      <c r="B17" s="208">
        <v>36</v>
      </c>
      <c r="C17" s="208">
        <v>0</v>
      </c>
      <c r="D17" s="208">
        <v>1</v>
      </c>
      <c r="E17" s="208">
        <v>0</v>
      </c>
      <c r="F17" s="208">
        <v>2</v>
      </c>
      <c r="G17" s="209">
        <f>SUM(B17:F17)</f>
        <v>39</v>
      </c>
      <c r="J17" s="214"/>
      <c r="K17" s="215"/>
    </row>
    <row r="18" spans="1:16" ht="15" customHeight="1">
      <c r="A18" s="207" t="s">
        <v>18</v>
      </c>
      <c r="B18" s="208">
        <v>0</v>
      </c>
      <c r="C18" s="208">
        <v>1</v>
      </c>
      <c r="D18" s="208">
        <v>0</v>
      </c>
      <c r="E18" s="208">
        <v>0</v>
      </c>
      <c r="F18" s="208">
        <v>2</v>
      </c>
      <c r="G18" s="209">
        <f>SUM(B18:F18)</f>
        <v>3</v>
      </c>
    </row>
    <row r="19" spans="1:16" ht="15" customHeight="1">
      <c r="A19" s="204" t="s">
        <v>19</v>
      </c>
      <c r="B19" s="204" t="s">
        <v>55</v>
      </c>
      <c r="C19" s="205" t="s">
        <v>6</v>
      </c>
      <c r="D19" s="205" t="s">
        <v>7</v>
      </c>
      <c r="E19" s="205" t="s">
        <v>9</v>
      </c>
      <c r="F19" s="205" t="s">
        <v>10</v>
      </c>
      <c r="G19" s="205" t="s">
        <v>11</v>
      </c>
      <c r="K19" s="216"/>
    </row>
    <row r="20" spans="1:16" ht="15" customHeight="1">
      <c r="A20" s="207" t="s">
        <v>51</v>
      </c>
      <c r="B20" s="208">
        <v>238</v>
      </c>
      <c r="C20" s="208">
        <v>181</v>
      </c>
      <c r="D20" s="208">
        <v>241</v>
      </c>
      <c r="E20" s="208">
        <v>149</v>
      </c>
      <c r="F20" s="217">
        <v>85</v>
      </c>
      <c r="G20" s="209">
        <f t="shared" ref="G20:G28" si="8">SUM(B20:F20)</f>
        <v>894</v>
      </c>
      <c r="K20" s="216"/>
      <c r="P20" s="54"/>
    </row>
    <row r="21" spans="1:16" ht="15" customHeight="1">
      <c r="A21" s="207" t="s">
        <v>21</v>
      </c>
      <c r="B21" s="208">
        <v>62</v>
      </c>
      <c r="C21" s="208">
        <v>40</v>
      </c>
      <c r="D21" s="208">
        <v>25</v>
      </c>
      <c r="E21" s="208">
        <v>44</v>
      </c>
      <c r="F21" s="217">
        <v>27</v>
      </c>
      <c r="G21" s="209">
        <f t="shared" si="8"/>
        <v>198</v>
      </c>
      <c r="J21" s="214"/>
      <c r="K21" s="216"/>
      <c r="L21" s="211"/>
    </row>
    <row r="22" spans="1:16" s="219" customFormat="1" ht="15" customHeight="1">
      <c r="A22" s="207" t="s">
        <v>22</v>
      </c>
      <c r="B22" s="208">
        <v>25</v>
      </c>
      <c r="C22" s="208">
        <v>7</v>
      </c>
      <c r="D22" s="208">
        <v>5</v>
      </c>
      <c r="E22" s="208">
        <v>15</v>
      </c>
      <c r="F22" s="217">
        <v>12</v>
      </c>
      <c r="G22" s="209">
        <f t="shared" si="8"/>
        <v>64</v>
      </c>
      <c r="H22" s="218"/>
      <c r="K22" s="216"/>
    </row>
    <row r="23" spans="1:16" ht="15" customHeight="1">
      <c r="A23" s="207" t="s">
        <v>73</v>
      </c>
      <c r="B23" s="208">
        <v>4</v>
      </c>
      <c r="C23" s="208">
        <v>0</v>
      </c>
      <c r="D23" s="208">
        <v>0</v>
      </c>
      <c r="E23" s="208">
        <v>0</v>
      </c>
      <c r="F23" s="217">
        <v>0</v>
      </c>
      <c r="G23" s="209">
        <f t="shared" si="8"/>
        <v>4</v>
      </c>
      <c r="K23" s="216"/>
    </row>
    <row r="24" spans="1:16" ht="15" customHeight="1">
      <c r="A24" s="207" t="s">
        <v>23</v>
      </c>
      <c r="B24" s="208">
        <v>8</v>
      </c>
      <c r="C24" s="208">
        <v>3</v>
      </c>
      <c r="D24" s="208">
        <v>17</v>
      </c>
      <c r="E24" s="208">
        <v>6</v>
      </c>
      <c r="F24" s="217">
        <v>3</v>
      </c>
      <c r="G24" s="209">
        <f t="shared" si="8"/>
        <v>37</v>
      </c>
    </row>
    <row r="25" spans="1:16" ht="15" customHeight="1">
      <c r="A25" s="207" t="s">
        <v>24</v>
      </c>
      <c r="B25" s="208">
        <v>62</v>
      </c>
      <c r="C25" s="208">
        <v>34</v>
      </c>
      <c r="D25" s="208">
        <v>18</v>
      </c>
      <c r="E25" s="208">
        <v>34</v>
      </c>
      <c r="F25" s="217">
        <v>22</v>
      </c>
      <c r="G25" s="209">
        <f>SUM(B25:F25)</f>
        <v>170</v>
      </c>
      <c r="H25" s="214" t="s">
        <v>339</v>
      </c>
    </row>
    <row r="26" spans="1:16" ht="15" customHeight="1">
      <c r="A26" s="207" t="s">
        <v>25</v>
      </c>
      <c r="B26" s="208">
        <v>25</v>
      </c>
      <c r="C26" s="208">
        <v>10</v>
      </c>
      <c r="D26" s="208">
        <v>2</v>
      </c>
      <c r="E26" s="208">
        <v>18</v>
      </c>
      <c r="F26" s="217">
        <v>2</v>
      </c>
      <c r="G26" s="209">
        <f t="shared" si="8"/>
        <v>57</v>
      </c>
      <c r="H26" s="214" t="s">
        <v>339</v>
      </c>
    </row>
    <row r="27" spans="1:16" ht="15" customHeight="1">
      <c r="A27" s="207" t="s">
        <v>26</v>
      </c>
      <c r="B27" s="208">
        <v>3</v>
      </c>
      <c r="C27" s="208">
        <v>2</v>
      </c>
      <c r="D27" s="208">
        <v>2</v>
      </c>
      <c r="E27" s="208">
        <v>5</v>
      </c>
      <c r="F27" s="217">
        <v>8</v>
      </c>
      <c r="G27" s="209">
        <f t="shared" si="8"/>
        <v>20</v>
      </c>
      <c r="H27" s="214" t="s">
        <v>339</v>
      </c>
    </row>
    <row r="28" spans="1:16" ht="15" customHeight="1">
      <c r="A28" s="207" t="s">
        <v>340</v>
      </c>
      <c r="B28" s="196">
        <v>20</v>
      </c>
      <c r="C28" s="220">
        <v>11</v>
      </c>
      <c r="D28" s="220">
        <v>3</v>
      </c>
      <c r="E28" s="220">
        <v>17</v>
      </c>
      <c r="F28" s="221">
        <v>22</v>
      </c>
      <c r="G28" s="209">
        <f t="shared" si="8"/>
        <v>73</v>
      </c>
    </row>
    <row r="29" spans="1:16" ht="15" customHeight="1">
      <c r="A29" s="207" t="s">
        <v>341</v>
      </c>
      <c r="B29" s="222">
        <v>373</v>
      </c>
      <c r="C29" s="223">
        <v>249</v>
      </c>
      <c r="D29" s="223">
        <v>333</v>
      </c>
      <c r="E29" s="223">
        <v>307</v>
      </c>
      <c r="F29" s="224">
        <v>179</v>
      </c>
      <c r="G29" s="209">
        <f>SUM(B29:F29)</f>
        <v>1441</v>
      </c>
    </row>
    <row r="30" spans="1:16">
      <c r="A30" s="225" t="s">
        <v>11</v>
      </c>
      <c r="B30" s="226">
        <f>SUM(B15:B27)</f>
        <v>468</v>
      </c>
      <c r="C30" s="226">
        <f>SUM(C15:C27)</f>
        <v>282</v>
      </c>
      <c r="D30" s="226">
        <f>SUM(D15:D29)</f>
        <v>648</v>
      </c>
      <c r="E30" s="226">
        <f>SUM(E15:E27)</f>
        <v>287</v>
      </c>
      <c r="F30" s="226">
        <f>SUM(F15:F27)</f>
        <v>180</v>
      </c>
      <c r="G30" s="227"/>
    </row>
    <row r="33" spans="1:26" ht="12.6" thickBot="1">
      <c r="A33" s="256" t="s">
        <v>342</v>
      </c>
      <c r="B33" s="257"/>
      <c r="C33" s="257"/>
      <c r="D33" s="258"/>
      <c r="E33" s="259">
        <v>15</v>
      </c>
      <c r="F33" s="259"/>
      <c r="G33" s="259">
        <v>16</v>
      </c>
      <c r="H33" s="259"/>
      <c r="I33" s="259">
        <v>17</v>
      </c>
      <c r="J33" s="259"/>
      <c r="K33" s="259">
        <v>20</v>
      </c>
      <c r="L33" s="259"/>
      <c r="M33" s="255">
        <v>22</v>
      </c>
      <c r="N33" s="255"/>
      <c r="O33" s="255">
        <v>23</v>
      </c>
      <c r="P33" s="255"/>
      <c r="Q33" s="255">
        <v>24</v>
      </c>
      <c r="R33" s="255"/>
      <c r="S33" s="255">
        <v>27</v>
      </c>
      <c r="T33" s="255"/>
      <c r="U33" s="255">
        <v>28</v>
      </c>
      <c r="V33" s="255"/>
      <c r="W33" s="255">
        <v>29</v>
      </c>
      <c r="X33" s="255"/>
      <c r="Y33" s="255">
        <v>30</v>
      </c>
      <c r="Z33" s="255"/>
    </row>
    <row r="34" spans="1:26">
      <c r="A34" s="228" t="s">
        <v>1</v>
      </c>
      <c r="B34" s="228" t="s">
        <v>2</v>
      </c>
      <c r="C34" s="228" t="s">
        <v>3</v>
      </c>
      <c r="D34" s="229" t="s">
        <v>4</v>
      </c>
      <c r="E34" s="190" t="s">
        <v>2</v>
      </c>
      <c r="F34" s="191" t="s">
        <v>5</v>
      </c>
      <c r="G34" s="190" t="s">
        <v>2</v>
      </c>
      <c r="H34" s="191" t="s">
        <v>5</v>
      </c>
      <c r="I34" s="190" t="s">
        <v>2</v>
      </c>
      <c r="J34" s="191" t="s">
        <v>5</v>
      </c>
      <c r="K34" s="190" t="s">
        <v>2</v>
      </c>
      <c r="L34" s="191" t="s">
        <v>5</v>
      </c>
      <c r="M34" s="190" t="s">
        <v>2</v>
      </c>
      <c r="N34" s="191" t="s">
        <v>5</v>
      </c>
      <c r="O34" s="190" t="s">
        <v>2</v>
      </c>
      <c r="P34" s="191" t="s">
        <v>5</v>
      </c>
      <c r="Q34" s="190" t="s">
        <v>2</v>
      </c>
      <c r="R34" s="191" t="s">
        <v>5</v>
      </c>
      <c r="S34" s="190" t="s">
        <v>2</v>
      </c>
      <c r="T34" s="191" t="s">
        <v>5</v>
      </c>
      <c r="U34" s="190" t="s">
        <v>2</v>
      </c>
      <c r="V34" s="191" t="s">
        <v>5</v>
      </c>
      <c r="W34" s="190" t="s">
        <v>2</v>
      </c>
      <c r="X34" s="191" t="s">
        <v>5</v>
      </c>
      <c r="Y34" s="190" t="s">
        <v>2</v>
      </c>
      <c r="Z34" s="191" t="s">
        <v>5</v>
      </c>
    </row>
    <row r="35" spans="1:26">
      <c r="A35" s="192" t="s">
        <v>55</v>
      </c>
      <c r="B35" s="230">
        <v>360</v>
      </c>
      <c r="C35" s="230">
        <f>F35+H35+J35+L35+N35+P35+R35+T35+V35+X35+Z35</f>
        <v>295</v>
      </c>
      <c r="D35" s="231">
        <f t="shared" ref="D35:D40" si="9">C35/B35</f>
        <v>0.81944444444444442</v>
      </c>
      <c r="E35" s="195">
        <v>33</v>
      </c>
      <c r="F35" s="195">
        <v>33</v>
      </c>
      <c r="G35" s="195">
        <v>33</v>
      </c>
      <c r="H35" s="195">
        <v>32</v>
      </c>
      <c r="I35" s="195">
        <v>33</v>
      </c>
      <c r="J35" s="195">
        <v>0</v>
      </c>
      <c r="K35" s="195">
        <v>33</v>
      </c>
      <c r="L35" s="195">
        <v>33</v>
      </c>
      <c r="M35" s="195">
        <v>33</v>
      </c>
      <c r="N35" s="195">
        <v>33</v>
      </c>
      <c r="O35" s="195">
        <v>33</v>
      </c>
      <c r="P35" s="195">
        <v>0</v>
      </c>
      <c r="Q35" s="195">
        <v>33</v>
      </c>
      <c r="R35" s="195">
        <v>0</v>
      </c>
      <c r="S35" s="195">
        <v>33</v>
      </c>
      <c r="T35" s="195">
        <v>32</v>
      </c>
      <c r="U35" s="195">
        <v>33</v>
      </c>
      <c r="V35" s="195">
        <v>31</v>
      </c>
      <c r="W35" s="195">
        <v>33</v>
      </c>
      <c r="X35" s="195">
        <v>31</v>
      </c>
      <c r="Y35" s="195">
        <v>33</v>
      </c>
      <c r="Z35" s="195">
        <v>70</v>
      </c>
    </row>
    <row r="36" spans="1:26">
      <c r="A36" s="192" t="s">
        <v>6</v>
      </c>
      <c r="B36" s="230">
        <v>197</v>
      </c>
      <c r="C36" s="230">
        <f t="shared" ref="C36:C39" si="10">F36+H36+J36+L36+N36+P36+R36+T36+V36+X36+Z36</f>
        <v>185</v>
      </c>
      <c r="D36" s="231">
        <f t="shared" si="9"/>
        <v>0.93908629441624369</v>
      </c>
      <c r="E36" s="195">
        <v>18</v>
      </c>
      <c r="F36" s="195">
        <v>7</v>
      </c>
      <c r="G36" s="195">
        <v>18</v>
      </c>
      <c r="H36" s="195">
        <v>14</v>
      </c>
      <c r="I36" s="195">
        <v>18</v>
      </c>
      <c r="J36" s="195">
        <v>2</v>
      </c>
      <c r="K36" s="195">
        <v>18</v>
      </c>
      <c r="L36" s="195">
        <v>20</v>
      </c>
      <c r="M36" s="195">
        <v>18</v>
      </c>
      <c r="N36" s="195">
        <v>23</v>
      </c>
      <c r="O36" s="195">
        <v>18</v>
      </c>
      <c r="P36" s="195">
        <v>1</v>
      </c>
      <c r="Q36" s="195">
        <v>18</v>
      </c>
      <c r="R36" s="196">
        <v>31</v>
      </c>
      <c r="S36" s="195">
        <v>18</v>
      </c>
      <c r="T36" s="195">
        <v>16</v>
      </c>
      <c r="U36" s="195">
        <v>18</v>
      </c>
      <c r="V36" s="195">
        <v>18</v>
      </c>
      <c r="W36" s="195">
        <v>18</v>
      </c>
      <c r="X36" s="195">
        <v>23</v>
      </c>
      <c r="Y36" s="195">
        <v>18</v>
      </c>
      <c r="Z36" s="195">
        <v>30</v>
      </c>
    </row>
    <row r="37" spans="1:26">
      <c r="A37" s="192" t="s">
        <v>7</v>
      </c>
      <c r="B37" s="230">
        <v>218</v>
      </c>
      <c r="C37" s="230">
        <f t="shared" si="10"/>
        <v>218</v>
      </c>
      <c r="D37" s="231">
        <f t="shared" si="9"/>
        <v>1</v>
      </c>
      <c r="E37" s="195">
        <v>20</v>
      </c>
      <c r="F37" s="195">
        <v>20</v>
      </c>
      <c r="G37" s="195">
        <v>20</v>
      </c>
      <c r="H37" s="195">
        <v>26</v>
      </c>
      <c r="I37" s="195">
        <v>20</v>
      </c>
      <c r="J37" s="195">
        <v>22</v>
      </c>
      <c r="K37" s="195">
        <v>20</v>
      </c>
      <c r="L37" s="195">
        <v>21</v>
      </c>
      <c r="M37" s="195">
        <v>20</v>
      </c>
      <c r="N37" s="195">
        <v>25</v>
      </c>
      <c r="O37" s="195">
        <v>20</v>
      </c>
      <c r="P37" s="195">
        <v>20</v>
      </c>
      <c r="Q37" s="195">
        <v>20</v>
      </c>
      <c r="R37" s="196">
        <v>26</v>
      </c>
      <c r="S37" s="195">
        <v>20</v>
      </c>
      <c r="T37" s="195">
        <v>12</v>
      </c>
      <c r="U37" s="195">
        <v>20</v>
      </c>
      <c r="V37" s="195">
        <v>22</v>
      </c>
      <c r="W37" s="195">
        <v>20</v>
      </c>
      <c r="X37" s="195">
        <v>23</v>
      </c>
      <c r="Y37" s="195">
        <v>20</v>
      </c>
      <c r="Z37" s="195">
        <v>1</v>
      </c>
    </row>
    <row r="38" spans="1:26">
      <c r="A38" s="192" t="s">
        <v>9</v>
      </c>
      <c r="B38" s="230">
        <v>187</v>
      </c>
      <c r="C38" s="230">
        <f t="shared" si="10"/>
        <v>190</v>
      </c>
      <c r="D38" s="231">
        <f t="shared" si="9"/>
        <v>1.0160427807486632</v>
      </c>
      <c r="E38" s="195">
        <v>17</v>
      </c>
      <c r="F38" s="195">
        <v>20</v>
      </c>
      <c r="G38" s="195">
        <v>17</v>
      </c>
      <c r="H38" s="195">
        <v>17</v>
      </c>
      <c r="I38" s="195">
        <v>17</v>
      </c>
      <c r="J38" s="195">
        <v>12</v>
      </c>
      <c r="K38" s="195">
        <v>17</v>
      </c>
      <c r="L38" s="195">
        <v>0</v>
      </c>
      <c r="M38" s="195">
        <v>17</v>
      </c>
      <c r="N38" s="195">
        <v>17</v>
      </c>
      <c r="O38" s="195">
        <v>17</v>
      </c>
      <c r="P38" s="195">
        <v>23</v>
      </c>
      <c r="Q38" s="195">
        <v>17</v>
      </c>
      <c r="R38" s="196">
        <v>20</v>
      </c>
      <c r="S38" s="195">
        <v>17</v>
      </c>
      <c r="T38" s="195">
        <v>23</v>
      </c>
      <c r="U38" s="195">
        <v>17</v>
      </c>
      <c r="V38" s="195">
        <v>20</v>
      </c>
      <c r="W38" s="195">
        <v>17</v>
      </c>
      <c r="X38" s="195">
        <v>19</v>
      </c>
      <c r="Y38" s="195">
        <v>17</v>
      </c>
      <c r="Z38" s="195">
        <v>19</v>
      </c>
    </row>
    <row r="39" spans="1:26">
      <c r="A39" s="192" t="s">
        <v>10</v>
      </c>
      <c r="B39" s="230">
        <v>112</v>
      </c>
      <c r="C39" s="230">
        <f t="shared" si="10"/>
        <v>115</v>
      </c>
      <c r="D39" s="231">
        <f t="shared" si="9"/>
        <v>1.0267857142857142</v>
      </c>
      <c r="E39" s="195">
        <v>12</v>
      </c>
      <c r="F39" s="195">
        <v>12</v>
      </c>
      <c r="G39" s="195">
        <v>12</v>
      </c>
      <c r="H39" s="195">
        <v>13</v>
      </c>
      <c r="I39" s="195">
        <v>13</v>
      </c>
      <c r="J39" s="195">
        <v>0</v>
      </c>
      <c r="K39" s="195">
        <v>12</v>
      </c>
      <c r="L39" s="195">
        <v>1</v>
      </c>
      <c r="M39" s="195">
        <v>12</v>
      </c>
      <c r="N39" s="195">
        <v>4</v>
      </c>
      <c r="O39" s="195">
        <v>12</v>
      </c>
      <c r="P39" s="195">
        <v>15</v>
      </c>
      <c r="Q39" s="195">
        <v>12</v>
      </c>
      <c r="R39" s="196">
        <v>32</v>
      </c>
      <c r="S39" s="195">
        <v>12</v>
      </c>
      <c r="T39" s="195">
        <v>4</v>
      </c>
      <c r="U39" s="195">
        <v>12</v>
      </c>
      <c r="V39" s="195">
        <v>2</v>
      </c>
      <c r="W39" s="195">
        <v>12</v>
      </c>
      <c r="X39" s="195">
        <v>28</v>
      </c>
      <c r="Y39" s="195">
        <v>12</v>
      </c>
      <c r="Z39" s="195">
        <v>4</v>
      </c>
    </row>
    <row r="40" spans="1:26">
      <c r="A40" s="186" t="s">
        <v>11</v>
      </c>
      <c r="B40" s="186">
        <f>SUM(B35:B39)</f>
        <v>1074</v>
      </c>
      <c r="C40" s="186">
        <f>SUM(C35:C39)</f>
        <v>1003</v>
      </c>
      <c r="D40" s="232">
        <f t="shared" si="9"/>
        <v>0.93389199255121047</v>
      </c>
      <c r="E40" s="186">
        <f t="shared" ref="E40:Z40" si="11">SUM(E35:E39)</f>
        <v>100</v>
      </c>
      <c r="F40" s="186">
        <f t="shared" si="11"/>
        <v>92</v>
      </c>
      <c r="G40" s="186">
        <f t="shared" si="11"/>
        <v>100</v>
      </c>
      <c r="H40" s="186">
        <f t="shared" si="11"/>
        <v>102</v>
      </c>
      <c r="I40" s="186">
        <f t="shared" si="11"/>
        <v>101</v>
      </c>
      <c r="J40" s="186">
        <f t="shared" si="11"/>
        <v>36</v>
      </c>
      <c r="K40" s="186">
        <f t="shared" si="11"/>
        <v>100</v>
      </c>
      <c r="L40" s="186">
        <f t="shared" si="11"/>
        <v>75</v>
      </c>
      <c r="M40" s="186">
        <f t="shared" si="11"/>
        <v>100</v>
      </c>
      <c r="N40" s="186">
        <f t="shared" si="11"/>
        <v>102</v>
      </c>
      <c r="O40" s="186">
        <f t="shared" si="11"/>
        <v>100</v>
      </c>
      <c r="P40" s="186">
        <f t="shared" si="11"/>
        <v>59</v>
      </c>
      <c r="Q40" s="186">
        <f t="shared" si="11"/>
        <v>100</v>
      </c>
      <c r="R40" s="186">
        <f t="shared" si="11"/>
        <v>109</v>
      </c>
      <c r="S40" s="186">
        <f t="shared" si="11"/>
        <v>100</v>
      </c>
      <c r="T40" s="186">
        <f t="shared" si="11"/>
        <v>87</v>
      </c>
      <c r="U40" s="186">
        <f t="shared" si="11"/>
        <v>100</v>
      </c>
      <c r="V40" s="186">
        <f t="shared" si="11"/>
        <v>93</v>
      </c>
      <c r="W40" s="186">
        <f t="shared" si="11"/>
        <v>100</v>
      </c>
      <c r="X40" s="186">
        <f t="shared" si="11"/>
        <v>124</v>
      </c>
      <c r="Y40" s="186">
        <f t="shared" si="11"/>
        <v>100</v>
      </c>
      <c r="Z40" s="186">
        <f t="shared" si="11"/>
        <v>124</v>
      </c>
    </row>
    <row r="43" spans="1:26">
      <c r="C43" s="216"/>
      <c r="D43" s="216"/>
    </row>
    <row r="44" spans="1:26">
      <c r="C44" s="216"/>
      <c r="D44" s="216"/>
    </row>
    <row r="45" spans="1:26">
      <c r="C45" s="216"/>
      <c r="D45" s="216"/>
    </row>
    <row r="46" spans="1:26">
      <c r="C46" s="216"/>
      <c r="D46" s="216"/>
    </row>
    <row r="47" spans="1:26">
      <c r="C47" s="216"/>
      <c r="D47" s="216"/>
    </row>
  </sheetData>
  <mergeCells count="33"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O2:AP2"/>
    <mergeCell ref="AQ2:AR2"/>
    <mergeCell ref="B13:G13"/>
    <mergeCell ref="A33:D33"/>
    <mergeCell ref="E33:F33"/>
    <mergeCell ref="G33:H33"/>
    <mergeCell ref="I33:J33"/>
    <mergeCell ref="K33:L33"/>
    <mergeCell ref="M33:N33"/>
    <mergeCell ref="O33:P33"/>
    <mergeCell ref="AC2:AD2"/>
    <mergeCell ref="AE2:AF2"/>
    <mergeCell ref="AG2:AH2"/>
    <mergeCell ref="AI2:AJ2"/>
    <mergeCell ref="AK2:AL2"/>
    <mergeCell ref="AM2:AN2"/>
    <mergeCell ref="Q33:R33"/>
    <mergeCell ref="S33:T33"/>
    <mergeCell ref="U33:V33"/>
    <mergeCell ref="W33:X33"/>
    <mergeCell ref="Y33:Z33"/>
  </mergeCells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38C8-753C-4C9B-AEEF-41D018BDD9AA}">
  <sheetPr>
    <tabColor theme="8" tint="-0.249977111117893"/>
  </sheetPr>
  <dimension ref="A2:AR45"/>
  <sheetViews>
    <sheetView workbookViewId="0">
      <selection activeCell="J22" sqref="J22"/>
    </sheetView>
  </sheetViews>
  <sheetFormatPr defaultColWidth="9.109375" defaultRowHeight="12"/>
  <cols>
    <col min="1" max="1" width="31.109375" style="30" customWidth="1"/>
    <col min="2" max="2" width="6.44140625" style="37" customWidth="1"/>
    <col min="3" max="3" width="8.33203125" style="30" customWidth="1"/>
    <col min="4" max="4" width="9.109375" style="30"/>
    <col min="5" max="5" width="8.44140625" style="30" customWidth="1"/>
    <col min="6" max="6" width="9.109375" style="30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16384" width="9.109375" style="30"/>
  </cols>
  <sheetData>
    <row r="2" spans="1:44" ht="12.6" thickBot="1"/>
    <row r="3" spans="1:44" ht="12.6" thickBot="1">
      <c r="A3" s="265" t="s">
        <v>343</v>
      </c>
      <c r="B3" s="266"/>
      <c r="C3" s="266"/>
      <c r="D3" s="267"/>
      <c r="E3" s="270">
        <v>4</v>
      </c>
      <c r="F3" s="269"/>
      <c r="G3" s="261">
        <v>5</v>
      </c>
      <c r="H3" s="261"/>
      <c r="I3" s="261">
        <v>6</v>
      </c>
      <c r="J3" s="261"/>
      <c r="K3" s="261">
        <v>7</v>
      </c>
      <c r="L3" s="261"/>
      <c r="M3" s="261">
        <v>8</v>
      </c>
      <c r="N3" s="261"/>
      <c r="O3" s="261">
        <v>11</v>
      </c>
      <c r="P3" s="261"/>
      <c r="Q3" s="260">
        <v>12</v>
      </c>
      <c r="R3" s="260"/>
      <c r="S3" s="260">
        <v>13</v>
      </c>
      <c r="T3" s="260"/>
      <c r="U3" s="260">
        <v>14</v>
      </c>
      <c r="V3" s="260"/>
      <c r="W3" s="260">
        <v>15</v>
      </c>
      <c r="X3" s="260"/>
      <c r="Y3" s="261">
        <v>18</v>
      </c>
      <c r="Z3" s="261"/>
      <c r="AA3" s="261">
        <v>19</v>
      </c>
      <c r="AB3" s="261"/>
      <c r="AC3" s="260">
        <v>20</v>
      </c>
      <c r="AD3" s="260"/>
      <c r="AE3" s="260">
        <v>21</v>
      </c>
      <c r="AF3" s="260"/>
      <c r="AG3" s="260">
        <v>22</v>
      </c>
      <c r="AH3" s="260"/>
      <c r="AI3" s="260">
        <v>25</v>
      </c>
      <c r="AJ3" s="260"/>
      <c r="AK3" s="260">
        <v>26</v>
      </c>
      <c r="AL3" s="260"/>
      <c r="AM3" s="260">
        <v>27</v>
      </c>
      <c r="AN3" s="260"/>
      <c r="AO3" s="260">
        <v>28</v>
      </c>
      <c r="AP3" s="260"/>
      <c r="AQ3" s="260">
        <v>29</v>
      </c>
      <c r="AR3" s="260"/>
    </row>
    <row r="4" spans="1:44">
      <c r="A4" s="234" t="s">
        <v>1</v>
      </c>
      <c r="B4" s="234" t="s">
        <v>2</v>
      </c>
      <c r="C4" s="234" t="s">
        <v>3</v>
      </c>
      <c r="D4" s="235" t="s">
        <v>4</v>
      </c>
      <c r="E4" s="236" t="s">
        <v>2</v>
      </c>
      <c r="F4" s="237" t="s">
        <v>5</v>
      </c>
      <c r="G4" s="236" t="s">
        <v>2</v>
      </c>
      <c r="H4" s="237" t="s">
        <v>5</v>
      </c>
      <c r="I4" s="236" t="s">
        <v>2</v>
      </c>
      <c r="J4" s="237" t="s">
        <v>5</v>
      </c>
      <c r="K4" s="236" t="s">
        <v>2</v>
      </c>
      <c r="L4" s="237" t="s">
        <v>5</v>
      </c>
      <c r="M4" s="236" t="s">
        <v>2</v>
      </c>
      <c r="N4" s="237" t="s">
        <v>5</v>
      </c>
      <c r="O4" s="236" t="s">
        <v>2</v>
      </c>
      <c r="P4" s="237" t="s">
        <v>5</v>
      </c>
      <c r="Q4" s="236" t="s">
        <v>2</v>
      </c>
      <c r="R4" s="237" t="s">
        <v>5</v>
      </c>
      <c r="S4" s="236" t="s">
        <v>2</v>
      </c>
      <c r="T4" s="237" t="s">
        <v>5</v>
      </c>
      <c r="U4" s="236" t="s">
        <v>2</v>
      </c>
      <c r="V4" s="237" t="s">
        <v>5</v>
      </c>
      <c r="W4" s="236" t="s">
        <v>2</v>
      </c>
      <c r="X4" s="237" t="s">
        <v>5</v>
      </c>
      <c r="Y4" s="236" t="s">
        <v>2</v>
      </c>
      <c r="Z4" s="237" t="s">
        <v>5</v>
      </c>
      <c r="AA4" s="236" t="s">
        <v>2</v>
      </c>
      <c r="AB4" s="237" t="s">
        <v>5</v>
      </c>
      <c r="AC4" s="236" t="s">
        <v>2</v>
      </c>
      <c r="AD4" s="237" t="s">
        <v>5</v>
      </c>
      <c r="AE4" s="236" t="s">
        <v>2</v>
      </c>
      <c r="AF4" s="237" t="s">
        <v>5</v>
      </c>
      <c r="AG4" s="236" t="s">
        <v>2</v>
      </c>
      <c r="AH4" s="237" t="s">
        <v>5</v>
      </c>
      <c r="AI4" s="236" t="s">
        <v>2</v>
      </c>
      <c r="AJ4" s="237" t="s">
        <v>5</v>
      </c>
      <c r="AK4" s="236" t="s">
        <v>2</v>
      </c>
      <c r="AL4" s="237" t="s">
        <v>5</v>
      </c>
      <c r="AM4" s="236" t="s">
        <v>2</v>
      </c>
      <c r="AN4" s="237" t="s">
        <v>5</v>
      </c>
      <c r="AO4" s="236" t="s">
        <v>2</v>
      </c>
      <c r="AP4" s="237" t="s">
        <v>5</v>
      </c>
      <c r="AQ4" s="236" t="s">
        <v>2</v>
      </c>
      <c r="AR4" s="237" t="s">
        <v>5</v>
      </c>
    </row>
    <row r="5" spans="1:44">
      <c r="A5" s="238" t="s">
        <v>6</v>
      </c>
      <c r="B5" s="31">
        <f>E5+G5+I5+K5+M5+O5+Q5+S5+U5+W5+Y5+AA5+AC5+AE5+AG5+AI5+AK5+AM5+AO5+AQ5</f>
        <v>30</v>
      </c>
      <c r="C5" s="31">
        <f>F5+H5+J5+L5+N5+P5+R5+T5+V5+X5+Z5+AB5+AD5+AF5+AH5+AJ5+AL5+AN5+AP5+AR5</f>
        <v>10</v>
      </c>
      <c r="D5" s="32">
        <f>C5/B5</f>
        <v>0.33333333333333331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1</v>
      </c>
      <c r="M5" s="33">
        <v>1</v>
      </c>
      <c r="N5" s="33">
        <v>0</v>
      </c>
      <c r="O5" s="33">
        <v>1</v>
      </c>
      <c r="P5" s="33">
        <v>0</v>
      </c>
      <c r="Q5" s="33">
        <v>1</v>
      </c>
      <c r="R5" s="33">
        <v>0</v>
      </c>
      <c r="S5" s="33">
        <v>1</v>
      </c>
      <c r="T5" s="33">
        <v>0</v>
      </c>
      <c r="U5" s="33">
        <v>1</v>
      </c>
      <c r="V5" s="33">
        <v>0</v>
      </c>
      <c r="W5" s="33">
        <v>1</v>
      </c>
      <c r="X5" s="33">
        <v>1</v>
      </c>
      <c r="Y5" s="33">
        <v>2</v>
      </c>
      <c r="Z5" s="33">
        <v>0</v>
      </c>
      <c r="AA5" s="33">
        <v>2</v>
      </c>
      <c r="AB5" s="33">
        <v>0</v>
      </c>
      <c r="AC5" s="33">
        <v>2</v>
      </c>
      <c r="AD5" s="239">
        <v>2</v>
      </c>
      <c r="AE5" s="33">
        <v>2</v>
      </c>
      <c r="AF5" s="33">
        <v>1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1</v>
      </c>
      <c r="AM5" s="33">
        <v>2</v>
      </c>
      <c r="AN5" s="33">
        <v>1</v>
      </c>
      <c r="AO5" s="33">
        <v>2</v>
      </c>
      <c r="AP5" s="33">
        <v>1</v>
      </c>
      <c r="AQ5" s="33">
        <v>2</v>
      </c>
      <c r="AR5" s="33">
        <v>0</v>
      </c>
    </row>
    <row r="6" spans="1:44">
      <c r="A6" s="238" t="s">
        <v>8</v>
      </c>
      <c r="B6" s="31">
        <f t="shared" ref="B6:C9" si="0">E6+G6+I6+K6+M6+O6+Q6+S6+U6+W6+Y6+AA6+AC6+AE6+AG6+AI6+AK6+AM6+AO6+AQ6</f>
        <v>26</v>
      </c>
      <c r="C6" s="31">
        <f t="shared" si="0"/>
        <v>3</v>
      </c>
      <c r="D6" s="32">
        <f>C6/B6</f>
        <v>0.11538461538461539</v>
      </c>
      <c r="E6" s="33">
        <v>1</v>
      </c>
      <c r="F6" s="33">
        <v>0</v>
      </c>
      <c r="G6" s="33">
        <v>1</v>
      </c>
      <c r="H6" s="33">
        <v>0</v>
      </c>
      <c r="I6" s="33">
        <v>1</v>
      </c>
      <c r="J6" s="33">
        <v>0</v>
      </c>
      <c r="K6" s="33">
        <v>1</v>
      </c>
      <c r="L6" s="33">
        <v>0</v>
      </c>
      <c r="M6" s="33">
        <v>1</v>
      </c>
      <c r="N6" s="33">
        <v>0</v>
      </c>
      <c r="O6" s="33">
        <v>1</v>
      </c>
      <c r="P6" s="33">
        <v>0</v>
      </c>
      <c r="Q6" s="33">
        <v>1</v>
      </c>
      <c r="R6" s="33">
        <v>0</v>
      </c>
      <c r="S6" s="33">
        <v>1</v>
      </c>
      <c r="T6" s="33">
        <v>0</v>
      </c>
      <c r="U6" s="33">
        <v>1</v>
      </c>
      <c r="V6" s="33">
        <v>0</v>
      </c>
      <c r="W6" s="33">
        <v>1</v>
      </c>
      <c r="X6" s="33">
        <v>0</v>
      </c>
      <c r="Y6" s="33">
        <v>1</v>
      </c>
      <c r="Z6" s="33">
        <v>0</v>
      </c>
      <c r="AA6" s="33">
        <v>1</v>
      </c>
      <c r="AB6" s="33">
        <v>0</v>
      </c>
      <c r="AC6" s="33">
        <v>1</v>
      </c>
      <c r="AD6" s="239">
        <v>1</v>
      </c>
      <c r="AE6" s="33">
        <v>1</v>
      </c>
      <c r="AF6" s="33">
        <v>0</v>
      </c>
      <c r="AG6" s="33">
        <v>2</v>
      </c>
      <c r="AH6" s="33">
        <v>1</v>
      </c>
      <c r="AI6" s="33">
        <v>2</v>
      </c>
      <c r="AJ6" s="33">
        <v>0</v>
      </c>
      <c r="AK6" s="33">
        <v>2</v>
      </c>
      <c r="AL6" s="33">
        <v>0</v>
      </c>
      <c r="AM6" s="33">
        <v>2</v>
      </c>
      <c r="AN6" s="33">
        <v>0</v>
      </c>
      <c r="AO6" s="33">
        <v>2</v>
      </c>
      <c r="AP6" s="33">
        <v>0</v>
      </c>
      <c r="AQ6" s="33">
        <v>2</v>
      </c>
      <c r="AR6" s="33">
        <v>1</v>
      </c>
    </row>
    <row r="7" spans="1:44">
      <c r="A7" s="238" t="s">
        <v>7</v>
      </c>
      <c r="B7" s="31">
        <f t="shared" si="0"/>
        <v>50</v>
      </c>
      <c r="C7" s="31">
        <f t="shared" si="0"/>
        <v>18</v>
      </c>
      <c r="D7" s="32">
        <f>C7/B7</f>
        <v>0.36</v>
      </c>
      <c r="E7" s="33">
        <v>2</v>
      </c>
      <c r="F7" s="239">
        <v>2</v>
      </c>
      <c r="G7" s="33">
        <v>2</v>
      </c>
      <c r="H7" s="239">
        <v>3</v>
      </c>
      <c r="I7" s="33">
        <v>2</v>
      </c>
      <c r="J7" s="239">
        <v>1</v>
      </c>
      <c r="K7" s="33">
        <v>2</v>
      </c>
      <c r="L7" s="239">
        <v>2</v>
      </c>
      <c r="M7" s="33">
        <v>2</v>
      </c>
      <c r="N7" s="239">
        <v>3</v>
      </c>
      <c r="O7" s="33">
        <v>2</v>
      </c>
      <c r="P7" s="33">
        <v>0</v>
      </c>
      <c r="Q7" s="33">
        <v>2</v>
      </c>
      <c r="R7" s="33">
        <v>0</v>
      </c>
      <c r="S7" s="33">
        <v>2</v>
      </c>
      <c r="T7" s="33">
        <v>2</v>
      </c>
      <c r="U7" s="33">
        <v>2</v>
      </c>
      <c r="V7" s="33">
        <v>0</v>
      </c>
      <c r="W7" s="33">
        <v>2</v>
      </c>
      <c r="X7" s="33">
        <v>0</v>
      </c>
      <c r="Y7" s="33">
        <v>3</v>
      </c>
      <c r="Z7" s="33">
        <v>0</v>
      </c>
      <c r="AA7" s="33">
        <v>3</v>
      </c>
      <c r="AB7" s="33">
        <v>0</v>
      </c>
      <c r="AC7" s="33">
        <v>3</v>
      </c>
      <c r="AD7" s="239">
        <v>0</v>
      </c>
      <c r="AE7" s="33">
        <v>3</v>
      </c>
      <c r="AF7" s="33">
        <v>1</v>
      </c>
      <c r="AG7" s="33">
        <v>3</v>
      </c>
      <c r="AH7" s="33">
        <v>1</v>
      </c>
      <c r="AI7" s="33">
        <v>3</v>
      </c>
      <c r="AJ7" s="33">
        <v>0</v>
      </c>
      <c r="AK7" s="33">
        <v>3</v>
      </c>
      <c r="AL7" s="33">
        <v>1</v>
      </c>
      <c r="AM7" s="33">
        <v>3</v>
      </c>
      <c r="AN7" s="33">
        <v>0</v>
      </c>
      <c r="AO7" s="33">
        <v>3</v>
      </c>
      <c r="AP7" s="33">
        <v>2</v>
      </c>
      <c r="AQ7" s="33">
        <v>3</v>
      </c>
      <c r="AR7" s="33">
        <v>0</v>
      </c>
    </row>
    <row r="8" spans="1:44">
      <c r="A8" s="238" t="s">
        <v>9</v>
      </c>
      <c r="B8" s="31">
        <f t="shared" si="0"/>
        <v>33</v>
      </c>
      <c r="C8" s="31">
        <f t="shared" si="0"/>
        <v>9</v>
      </c>
      <c r="D8" s="32">
        <f>C8/B8</f>
        <v>0.27272727272727271</v>
      </c>
      <c r="E8" s="33">
        <v>2</v>
      </c>
      <c r="F8" s="239">
        <v>1</v>
      </c>
      <c r="G8" s="33">
        <v>2</v>
      </c>
      <c r="H8" s="239">
        <v>0</v>
      </c>
      <c r="I8" s="33">
        <v>2</v>
      </c>
      <c r="J8" s="239">
        <v>1</v>
      </c>
      <c r="K8" s="33">
        <v>2</v>
      </c>
      <c r="L8" s="239">
        <v>0</v>
      </c>
      <c r="M8" s="33">
        <v>2</v>
      </c>
      <c r="N8" s="239">
        <v>0</v>
      </c>
      <c r="O8" s="33">
        <v>2</v>
      </c>
      <c r="P8" s="239">
        <v>0</v>
      </c>
      <c r="Q8" s="33">
        <v>2</v>
      </c>
      <c r="R8" s="239">
        <v>1</v>
      </c>
      <c r="S8" s="33">
        <v>2</v>
      </c>
      <c r="T8" s="33">
        <v>0</v>
      </c>
      <c r="U8" s="33">
        <v>2</v>
      </c>
      <c r="V8" s="33">
        <v>0</v>
      </c>
      <c r="W8" s="33">
        <v>2</v>
      </c>
      <c r="X8" s="33">
        <v>0</v>
      </c>
      <c r="Y8" s="33">
        <v>2</v>
      </c>
      <c r="Z8" s="33">
        <v>0</v>
      </c>
      <c r="AA8" s="33">
        <v>2</v>
      </c>
      <c r="AB8" s="33">
        <v>0</v>
      </c>
      <c r="AC8" s="33">
        <v>2</v>
      </c>
      <c r="AD8" s="239">
        <v>0</v>
      </c>
      <c r="AE8" s="33">
        <v>1</v>
      </c>
      <c r="AF8" s="33">
        <v>0</v>
      </c>
      <c r="AG8" s="33">
        <v>1</v>
      </c>
      <c r="AH8" s="33">
        <v>0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1</v>
      </c>
      <c r="AO8" s="33">
        <v>1</v>
      </c>
      <c r="AP8" s="33">
        <v>1</v>
      </c>
      <c r="AQ8" s="33">
        <v>1</v>
      </c>
      <c r="AR8" s="33">
        <v>2</v>
      </c>
    </row>
    <row r="9" spans="1:44">
      <c r="A9" s="238" t="s">
        <v>10</v>
      </c>
      <c r="B9" s="31">
        <f t="shared" si="0"/>
        <v>23</v>
      </c>
      <c r="C9" s="31">
        <f t="shared" si="0"/>
        <v>14</v>
      </c>
      <c r="D9" s="32">
        <f>C9/B9</f>
        <v>0.60869565217391308</v>
      </c>
      <c r="E9" s="33">
        <v>1</v>
      </c>
      <c r="F9" s="33">
        <v>0</v>
      </c>
      <c r="G9" s="33">
        <v>1</v>
      </c>
      <c r="H9" s="33">
        <v>0</v>
      </c>
      <c r="I9" s="33">
        <v>1</v>
      </c>
      <c r="J9" s="33">
        <v>0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0</v>
      </c>
      <c r="Q9" s="33">
        <v>1</v>
      </c>
      <c r="R9" s="33">
        <v>2</v>
      </c>
      <c r="S9" s="33">
        <v>1</v>
      </c>
      <c r="T9" s="33">
        <v>0</v>
      </c>
      <c r="U9" s="33">
        <v>1</v>
      </c>
      <c r="V9" s="33">
        <v>0</v>
      </c>
      <c r="W9" s="33">
        <v>1</v>
      </c>
      <c r="X9" s="33">
        <v>1</v>
      </c>
      <c r="Y9" s="33">
        <v>1</v>
      </c>
      <c r="Z9" s="33">
        <v>0</v>
      </c>
      <c r="AA9" s="33">
        <v>1</v>
      </c>
      <c r="AB9" s="33">
        <v>2</v>
      </c>
      <c r="AC9" s="33">
        <v>1</v>
      </c>
      <c r="AD9" s="239">
        <v>0</v>
      </c>
      <c r="AE9" s="33">
        <v>1</v>
      </c>
      <c r="AF9" s="239">
        <v>1</v>
      </c>
      <c r="AG9" s="33">
        <v>1</v>
      </c>
      <c r="AH9" s="239">
        <v>3</v>
      </c>
      <c r="AI9" s="33">
        <v>1</v>
      </c>
      <c r="AJ9" s="239">
        <v>0</v>
      </c>
      <c r="AK9" s="33">
        <v>1</v>
      </c>
      <c r="AL9" s="239">
        <v>1</v>
      </c>
      <c r="AM9" s="33">
        <v>2</v>
      </c>
      <c r="AN9" s="239">
        <v>0</v>
      </c>
      <c r="AO9" s="33">
        <v>2</v>
      </c>
      <c r="AP9" s="239">
        <v>0</v>
      </c>
      <c r="AQ9" s="33">
        <v>2</v>
      </c>
      <c r="AR9" s="239">
        <v>3</v>
      </c>
    </row>
    <row r="10" spans="1:44">
      <c r="A10" s="240" t="s">
        <v>11</v>
      </c>
      <c r="B10" s="241">
        <f>SUM(B5:B9)</f>
        <v>162</v>
      </c>
      <c r="C10" s="241">
        <f>SUM(C5:C9)</f>
        <v>54</v>
      </c>
      <c r="D10" s="242">
        <f t="shared" ref="D10" si="1">C10/B10</f>
        <v>0.33333333333333331</v>
      </c>
      <c r="E10" s="233">
        <f>SUM(E5:E9)</f>
        <v>7</v>
      </c>
      <c r="F10" s="233">
        <f>SUM(F5:F9)</f>
        <v>3</v>
      </c>
      <c r="G10" s="233">
        <f>SUM(G5:G9)</f>
        <v>7</v>
      </c>
      <c r="H10" s="233">
        <f>SUM(H5:H9)</f>
        <v>5</v>
      </c>
      <c r="I10" s="233">
        <f t="shared" ref="I10:X10" si="2">SUM(I5:I9)</f>
        <v>7</v>
      </c>
      <c r="J10" s="233">
        <f t="shared" si="2"/>
        <v>2</v>
      </c>
      <c r="K10" s="233">
        <f t="shared" si="2"/>
        <v>7</v>
      </c>
      <c r="L10" s="233">
        <f t="shared" si="2"/>
        <v>4</v>
      </c>
      <c r="M10" s="233">
        <f t="shared" si="2"/>
        <v>7</v>
      </c>
      <c r="N10" s="233">
        <f t="shared" si="2"/>
        <v>3</v>
      </c>
      <c r="O10" s="233">
        <f t="shared" si="2"/>
        <v>7</v>
      </c>
      <c r="P10" s="233">
        <f t="shared" si="2"/>
        <v>0</v>
      </c>
      <c r="Q10" s="233">
        <f t="shared" si="2"/>
        <v>7</v>
      </c>
      <c r="R10" s="233">
        <f t="shared" si="2"/>
        <v>3</v>
      </c>
      <c r="S10" s="233">
        <f t="shared" si="2"/>
        <v>7</v>
      </c>
      <c r="T10" s="233">
        <f t="shared" si="2"/>
        <v>2</v>
      </c>
      <c r="U10" s="233">
        <f t="shared" si="2"/>
        <v>7</v>
      </c>
      <c r="V10" s="233">
        <f t="shared" si="2"/>
        <v>0</v>
      </c>
      <c r="W10" s="233">
        <f t="shared" si="2"/>
        <v>7</v>
      </c>
      <c r="X10" s="233">
        <f t="shared" si="2"/>
        <v>2</v>
      </c>
      <c r="Y10" s="233">
        <f>SUM(Y5:Y9)</f>
        <v>9</v>
      </c>
      <c r="Z10" s="233">
        <f t="shared" ref="Z10:AB10" si="3">SUM(Z5:Z9)</f>
        <v>0</v>
      </c>
      <c r="AA10" s="233">
        <f>SUM(AA5:AA9)</f>
        <v>9</v>
      </c>
      <c r="AB10" s="233">
        <f t="shared" si="3"/>
        <v>2</v>
      </c>
      <c r="AC10" s="233">
        <f>SUM(AC5:AC9)</f>
        <v>9</v>
      </c>
      <c r="AD10" s="233">
        <f t="shared" ref="AD10:AF10" si="4">SUM(AD5:AD9)</f>
        <v>3</v>
      </c>
      <c r="AE10" s="233">
        <f>SUM(AE5:AE9)</f>
        <v>8</v>
      </c>
      <c r="AF10" s="233">
        <f t="shared" si="4"/>
        <v>3</v>
      </c>
      <c r="AG10" s="233">
        <f>SUM(AG5:AG9)</f>
        <v>9</v>
      </c>
      <c r="AH10" s="233">
        <f t="shared" ref="AH10:AJ10" si="5">SUM(AH5:AH9)</f>
        <v>5</v>
      </c>
      <c r="AI10" s="233">
        <f>SUM(AI5:AI9)</f>
        <v>9</v>
      </c>
      <c r="AJ10" s="233">
        <f t="shared" si="5"/>
        <v>1</v>
      </c>
      <c r="AK10" s="233">
        <f>SUM(AK5:AK9)</f>
        <v>9</v>
      </c>
      <c r="AL10" s="233">
        <f t="shared" ref="AL10" si="6">SUM(AL5:AL9)</f>
        <v>4</v>
      </c>
      <c r="AM10" s="233">
        <f>SUM(AM5:AM9)</f>
        <v>10</v>
      </c>
      <c r="AN10" s="233">
        <f>SUM(AN5:AN9)</f>
        <v>2</v>
      </c>
      <c r="AO10" s="233">
        <f>SUM(AO5:AO9)</f>
        <v>10</v>
      </c>
      <c r="AP10" s="233">
        <f t="shared" ref="AP10:AR10" si="7">SUM(AP5:AP9)</f>
        <v>4</v>
      </c>
      <c r="AQ10" s="233">
        <f>SUM(AQ5:AQ9)</f>
        <v>10</v>
      </c>
      <c r="AR10" s="233">
        <f t="shared" si="7"/>
        <v>6</v>
      </c>
    </row>
    <row r="11" spans="1:44">
      <c r="A11" s="48" t="s">
        <v>344</v>
      </c>
      <c r="B11" s="243">
        <f>C10+G25</f>
        <v>147</v>
      </c>
      <c r="C11" s="39"/>
    </row>
    <row r="12" spans="1:44">
      <c r="A12" s="48" t="s">
        <v>345</v>
      </c>
      <c r="B12" s="243">
        <f>B10-B11</f>
        <v>15</v>
      </c>
      <c r="C12" s="39"/>
    </row>
    <row r="14" spans="1:44" ht="12.75" customHeight="1" thickBot="1">
      <c r="A14" s="262" t="s">
        <v>346</v>
      </c>
      <c r="B14" s="263"/>
      <c r="C14" s="263"/>
      <c r="D14" s="263"/>
      <c r="E14" s="263"/>
      <c r="F14" s="263"/>
      <c r="G14" s="264"/>
    </row>
    <row r="15" spans="1:44">
      <c r="A15" s="244" t="s">
        <v>14</v>
      </c>
      <c r="B15" s="244" t="s">
        <v>6</v>
      </c>
      <c r="C15" s="244" t="s">
        <v>7</v>
      </c>
      <c r="D15" s="244" t="s">
        <v>8</v>
      </c>
      <c r="E15" s="244" t="s">
        <v>9</v>
      </c>
      <c r="F15" s="244" t="s">
        <v>10</v>
      </c>
      <c r="G15" s="244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4" ht="15" customHeight="1">
      <c r="A16" s="245" t="s">
        <v>15</v>
      </c>
      <c r="B16" s="246">
        <v>11</v>
      </c>
      <c r="C16" s="246">
        <v>0</v>
      </c>
      <c r="D16" s="246">
        <v>0</v>
      </c>
      <c r="E16" s="246">
        <v>40</v>
      </c>
      <c r="F16" s="246">
        <v>3</v>
      </c>
      <c r="G16" s="247">
        <f>SUM(B16:F16)</f>
        <v>54</v>
      </c>
      <c r="H16" s="50"/>
      <c r="J16" s="49"/>
      <c r="K16" s="41"/>
      <c r="L16" s="42"/>
    </row>
    <row r="17" spans="1:44" ht="15" customHeight="1">
      <c r="A17" s="245" t="s">
        <v>16</v>
      </c>
      <c r="B17" s="246">
        <v>7</v>
      </c>
      <c r="C17" s="246">
        <v>0</v>
      </c>
      <c r="D17" s="246">
        <v>0</v>
      </c>
      <c r="E17" s="246">
        <v>0</v>
      </c>
      <c r="F17" s="246">
        <v>2</v>
      </c>
      <c r="G17" s="247">
        <f>SUM(B17:F17)</f>
        <v>9</v>
      </c>
      <c r="H17" s="50"/>
      <c r="K17" s="41"/>
    </row>
    <row r="18" spans="1:44" ht="15" customHeight="1">
      <c r="A18" s="245" t="s">
        <v>17</v>
      </c>
      <c r="B18" s="246">
        <v>3</v>
      </c>
      <c r="C18" s="246">
        <v>0</v>
      </c>
      <c r="D18" s="246">
        <v>0</v>
      </c>
      <c r="E18" s="246">
        <v>0</v>
      </c>
      <c r="F18" s="246">
        <v>4</v>
      </c>
      <c r="G18" s="247">
        <f>SUM(B18:F18)</f>
        <v>7</v>
      </c>
      <c r="H18" s="50"/>
      <c r="J18" s="49"/>
      <c r="K18" s="248"/>
      <c r="M18" s="49"/>
      <c r="P18" s="49"/>
    </row>
    <row r="19" spans="1:44" ht="15" customHeight="1">
      <c r="A19" s="245" t="s">
        <v>18</v>
      </c>
      <c r="B19" s="246">
        <v>0</v>
      </c>
      <c r="C19" s="246">
        <v>0</v>
      </c>
      <c r="D19" s="246">
        <v>0</v>
      </c>
      <c r="E19" s="246">
        <v>0</v>
      </c>
      <c r="F19" s="246">
        <v>0</v>
      </c>
      <c r="G19" s="247">
        <f>SUM(B19:F19)</f>
        <v>0</v>
      </c>
      <c r="H19" s="50"/>
    </row>
    <row r="20" spans="1:44" ht="15" customHeight="1">
      <c r="A20" s="249" t="s">
        <v>19</v>
      </c>
      <c r="B20" s="244" t="s">
        <v>6</v>
      </c>
      <c r="C20" s="244" t="s">
        <v>7</v>
      </c>
      <c r="D20" s="244" t="s">
        <v>8</v>
      </c>
      <c r="E20" s="244" t="s">
        <v>9</v>
      </c>
      <c r="F20" s="244" t="s">
        <v>10</v>
      </c>
      <c r="G20" s="244" t="s">
        <v>11</v>
      </c>
    </row>
    <row r="21" spans="1:44" ht="15" customHeight="1">
      <c r="A21" s="245" t="s">
        <v>51</v>
      </c>
      <c r="B21" s="246">
        <v>188</v>
      </c>
      <c r="C21" s="246">
        <v>346</v>
      </c>
      <c r="D21" s="246">
        <v>279</v>
      </c>
      <c r="E21" s="246">
        <v>179</v>
      </c>
      <c r="F21" s="246">
        <v>125</v>
      </c>
      <c r="G21" s="247">
        <f t="shared" ref="G21:G27" si="8">SUM(B21:F21)</f>
        <v>1117</v>
      </c>
    </row>
    <row r="22" spans="1:44" ht="15" customHeight="1">
      <c r="A22" s="245" t="s">
        <v>21</v>
      </c>
      <c r="B22" s="246">
        <v>40</v>
      </c>
      <c r="C22" s="246">
        <v>79</v>
      </c>
      <c r="D22" s="246">
        <v>27</v>
      </c>
      <c r="E22" s="246">
        <v>53</v>
      </c>
      <c r="F22" s="246">
        <v>45</v>
      </c>
      <c r="G22" s="247">
        <f t="shared" si="8"/>
        <v>244</v>
      </c>
      <c r="J22" s="40"/>
      <c r="K22" s="41"/>
      <c r="L22" s="42"/>
    </row>
    <row r="23" spans="1:44" s="38" customFormat="1" ht="15" customHeight="1">
      <c r="A23" s="245" t="s">
        <v>22</v>
      </c>
      <c r="B23" s="246">
        <v>7</v>
      </c>
      <c r="C23" s="246">
        <v>1</v>
      </c>
      <c r="D23" s="246">
        <v>8</v>
      </c>
      <c r="E23" s="246">
        <v>1</v>
      </c>
      <c r="F23" s="246">
        <v>3</v>
      </c>
      <c r="G23" s="247">
        <f t="shared" si="8"/>
        <v>20</v>
      </c>
      <c r="H23" s="43"/>
    </row>
    <row r="24" spans="1:44" ht="15" customHeight="1">
      <c r="A24" s="245" t="s">
        <v>23</v>
      </c>
      <c r="B24" s="246">
        <v>1</v>
      </c>
      <c r="C24" s="246">
        <v>5</v>
      </c>
      <c r="D24" s="246">
        <v>7</v>
      </c>
      <c r="E24" s="246">
        <v>0</v>
      </c>
      <c r="F24" s="246">
        <v>4</v>
      </c>
      <c r="G24" s="247">
        <f t="shared" si="8"/>
        <v>17</v>
      </c>
    </row>
    <row r="25" spans="1:44" ht="15" customHeight="1">
      <c r="A25" s="245" t="s">
        <v>24</v>
      </c>
      <c r="B25" s="246">
        <v>19</v>
      </c>
      <c r="C25" s="246">
        <v>44</v>
      </c>
      <c r="D25" s="246">
        <v>12</v>
      </c>
      <c r="E25" s="246">
        <v>8</v>
      </c>
      <c r="F25" s="246">
        <v>10</v>
      </c>
      <c r="G25" s="247">
        <f>SUM(B25:F25)</f>
        <v>93</v>
      </c>
      <c r="H25" s="40"/>
    </row>
    <row r="26" spans="1:44" ht="15" customHeight="1">
      <c r="A26" s="245" t="s">
        <v>25</v>
      </c>
      <c r="B26" s="246">
        <v>2</v>
      </c>
      <c r="C26" s="246">
        <v>0</v>
      </c>
      <c r="D26" s="246">
        <v>38</v>
      </c>
      <c r="E26" s="246">
        <v>6</v>
      </c>
      <c r="F26" s="246">
        <v>4</v>
      </c>
      <c r="G26" s="247">
        <f t="shared" si="8"/>
        <v>50</v>
      </c>
      <c r="H26" s="48"/>
    </row>
    <row r="27" spans="1:44" ht="15" customHeight="1">
      <c r="A27" s="245" t="s">
        <v>26</v>
      </c>
      <c r="B27" s="246">
        <v>2</v>
      </c>
      <c r="C27" s="246">
        <v>6</v>
      </c>
      <c r="D27" s="246">
        <v>4</v>
      </c>
      <c r="E27" s="246">
        <v>0</v>
      </c>
      <c r="F27" s="246">
        <v>2</v>
      </c>
      <c r="G27" s="247">
        <f t="shared" si="8"/>
        <v>14</v>
      </c>
      <c r="H27" s="40"/>
    </row>
    <row r="28" spans="1:44">
      <c r="A28" s="250" t="s">
        <v>11</v>
      </c>
      <c r="B28" s="251">
        <f>SUM(B16:B27)</f>
        <v>280</v>
      </c>
      <c r="C28" s="251">
        <f>SUM(C16:C27)</f>
        <v>481</v>
      </c>
      <c r="D28" s="251">
        <f>SUM(D16:D27)</f>
        <v>375</v>
      </c>
      <c r="E28" s="251">
        <f>SUM(E16:E27)</f>
        <v>287</v>
      </c>
      <c r="F28" s="251">
        <f>SUM(F16:F27)</f>
        <v>202</v>
      </c>
      <c r="G28" s="37"/>
    </row>
    <row r="31" spans="1:44" ht="12.6" thickBot="1">
      <c r="A31" s="265" t="s">
        <v>347</v>
      </c>
      <c r="B31" s="266"/>
      <c r="C31" s="266"/>
      <c r="D31" s="267"/>
      <c r="E31" s="268">
        <v>4</v>
      </c>
      <c r="F31" s="269"/>
      <c r="G31" s="261">
        <v>5</v>
      </c>
      <c r="H31" s="261"/>
      <c r="I31" s="261">
        <v>6</v>
      </c>
      <c r="J31" s="261"/>
      <c r="K31" s="261">
        <v>7</v>
      </c>
      <c r="L31" s="261"/>
      <c r="M31" s="261">
        <v>8</v>
      </c>
      <c r="N31" s="261"/>
      <c r="O31" s="261">
        <v>11</v>
      </c>
      <c r="P31" s="261"/>
      <c r="Q31" s="260">
        <v>12</v>
      </c>
      <c r="R31" s="260"/>
      <c r="S31" s="260">
        <v>13</v>
      </c>
      <c r="T31" s="260"/>
      <c r="U31" s="260">
        <v>14</v>
      </c>
      <c r="V31" s="260"/>
      <c r="W31" s="260">
        <v>15</v>
      </c>
      <c r="X31" s="260"/>
      <c r="Y31" s="261">
        <v>18</v>
      </c>
      <c r="Z31" s="261"/>
      <c r="AA31" s="261">
        <v>19</v>
      </c>
      <c r="AB31" s="261"/>
      <c r="AC31" s="260">
        <v>20</v>
      </c>
      <c r="AD31" s="260"/>
      <c r="AE31" s="260">
        <v>21</v>
      </c>
      <c r="AF31" s="260"/>
      <c r="AG31" s="260">
        <v>22</v>
      </c>
      <c r="AH31" s="260"/>
      <c r="AI31" s="260">
        <v>25</v>
      </c>
      <c r="AJ31" s="260"/>
      <c r="AK31" s="260">
        <v>26</v>
      </c>
      <c r="AL31" s="260"/>
      <c r="AM31" s="260">
        <v>27</v>
      </c>
      <c r="AN31" s="260"/>
      <c r="AO31" s="260">
        <v>28</v>
      </c>
      <c r="AP31" s="260"/>
      <c r="AQ31" s="260">
        <v>29</v>
      </c>
      <c r="AR31" s="260"/>
    </row>
    <row r="32" spans="1:44">
      <c r="A32" s="252" t="s">
        <v>1</v>
      </c>
      <c r="B32" s="252" t="s">
        <v>2</v>
      </c>
      <c r="C32" s="252" t="s">
        <v>3</v>
      </c>
      <c r="D32" s="253" t="s">
        <v>4</v>
      </c>
      <c r="E32" s="236" t="s">
        <v>2</v>
      </c>
      <c r="F32" s="237" t="s">
        <v>5</v>
      </c>
      <c r="G32" s="236" t="s">
        <v>2</v>
      </c>
      <c r="H32" s="237" t="s">
        <v>5</v>
      </c>
      <c r="I32" s="236" t="s">
        <v>2</v>
      </c>
      <c r="J32" s="237" t="s">
        <v>5</v>
      </c>
      <c r="K32" s="236" t="s">
        <v>2</v>
      </c>
      <c r="L32" s="237" t="s">
        <v>5</v>
      </c>
      <c r="M32" s="236" t="s">
        <v>2</v>
      </c>
      <c r="N32" s="237" t="s">
        <v>5</v>
      </c>
      <c r="O32" s="236" t="s">
        <v>2</v>
      </c>
      <c r="P32" s="237" t="s">
        <v>5</v>
      </c>
      <c r="Q32" s="236" t="s">
        <v>2</v>
      </c>
      <c r="R32" s="237" t="s">
        <v>5</v>
      </c>
      <c r="S32" s="236" t="s">
        <v>2</v>
      </c>
      <c r="T32" s="237" t="s">
        <v>5</v>
      </c>
      <c r="U32" s="236" t="s">
        <v>2</v>
      </c>
      <c r="V32" s="237" t="s">
        <v>5</v>
      </c>
      <c r="W32" s="236" t="s">
        <v>2</v>
      </c>
      <c r="X32" s="237" t="s">
        <v>5</v>
      </c>
      <c r="Y32" s="236" t="s">
        <v>2</v>
      </c>
      <c r="Z32" s="237" t="s">
        <v>5</v>
      </c>
      <c r="AA32" s="236" t="s">
        <v>2</v>
      </c>
      <c r="AB32" s="237" t="s">
        <v>5</v>
      </c>
      <c r="AC32" s="236" t="s">
        <v>2</v>
      </c>
      <c r="AD32" s="237" t="s">
        <v>5</v>
      </c>
      <c r="AE32" s="236" t="s">
        <v>2</v>
      </c>
      <c r="AF32" s="237" t="s">
        <v>5</v>
      </c>
      <c r="AG32" s="236" t="s">
        <v>2</v>
      </c>
      <c r="AH32" s="237" t="s">
        <v>5</v>
      </c>
      <c r="AI32" s="236" t="s">
        <v>2</v>
      </c>
      <c r="AJ32" s="237" t="s">
        <v>5</v>
      </c>
      <c r="AK32" s="236" t="s">
        <v>2</v>
      </c>
      <c r="AL32" s="237" t="s">
        <v>5</v>
      </c>
      <c r="AM32" s="236" t="s">
        <v>2</v>
      </c>
      <c r="AN32" s="237" t="s">
        <v>5</v>
      </c>
      <c r="AO32" s="236" t="s">
        <v>2</v>
      </c>
      <c r="AP32" s="237" t="s">
        <v>5</v>
      </c>
      <c r="AQ32" s="236" t="s">
        <v>2</v>
      </c>
      <c r="AR32" s="237" t="s">
        <v>5</v>
      </c>
    </row>
    <row r="33" spans="1:44">
      <c r="A33" s="238" t="s">
        <v>6</v>
      </c>
      <c r="B33" s="35">
        <f>E33+G33+I33+K33+M33+O33+Q33+S33+U33+W33+Y33+AA33+AC33+AE33+AG33+AI33+AK33+AM33+AO33+AQ33</f>
        <v>299</v>
      </c>
      <c r="C33" s="35">
        <f>F33+H33+J33+L33+N33+P33+R33+T33+V33+X33+Z33+AB33+AD33+AF33+AH33+AJ33+AL33+AN33+AP33+AR33</f>
        <v>275</v>
      </c>
      <c r="D33" s="36">
        <f t="shared" ref="D33:D37" si="9">C33/B33</f>
        <v>0.91973244147157196</v>
      </c>
      <c r="E33" s="33">
        <v>15</v>
      </c>
      <c r="F33" s="33">
        <v>2</v>
      </c>
      <c r="G33" s="33">
        <v>15</v>
      </c>
      <c r="H33" s="33">
        <v>0</v>
      </c>
      <c r="I33" s="33">
        <v>15</v>
      </c>
      <c r="J33" s="33">
        <v>1</v>
      </c>
      <c r="K33" s="33">
        <v>15</v>
      </c>
      <c r="L33" s="33">
        <v>0</v>
      </c>
      <c r="M33" s="33">
        <v>15</v>
      </c>
      <c r="N33" s="33">
        <v>7</v>
      </c>
      <c r="O33" s="33">
        <v>15</v>
      </c>
      <c r="P33" s="33">
        <v>1</v>
      </c>
      <c r="Q33" s="33">
        <v>15</v>
      </c>
      <c r="R33" s="33">
        <v>13</v>
      </c>
      <c r="S33" s="33">
        <v>15</v>
      </c>
      <c r="T33" s="33">
        <v>22</v>
      </c>
      <c r="U33" s="33">
        <v>15</v>
      </c>
      <c r="V33" s="33">
        <v>6</v>
      </c>
      <c r="W33" s="33">
        <v>15</v>
      </c>
      <c r="X33" s="33">
        <v>31</v>
      </c>
      <c r="Y33" s="33">
        <v>15</v>
      </c>
      <c r="Z33" s="33">
        <v>31</v>
      </c>
      <c r="AA33" s="33">
        <v>15</v>
      </c>
      <c r="AB33" s="33">
        <f>40/2</f>
        <v>20</v>
      </c>
      <c r="AC33" s="33">
        <v>15</v>
      </c>
      <c r="AD33" s="33">
        <v>20</v>
      </c>
      <c r="AE33" s="33">
        <v>15</v>
      </c>
      <c r="AF33" s="33">
        <v>12</v>
      </c>
      <c r="AG33" s="33">
        <v>15</v>
      </c>
      <c r="AH33" s="33">
        <v>6</v>
      </c>
      <c r="AI33" s="33">
        <v>15</v>
      </c>
      <c r="AJ33" s="33">
        <v>19</v>
      </c>
      <c r="AK33" s="33">
        <v>15</v>
      </c>
      <c r="AL33" s="33">
        <v>24</v>
      </c>
      <c r="AM33" s="33">
        <v>15</v>
      </c>
      <c r="AN33" s="33">
        <v>9</v>
      </c>
      <c r="AO33" s="33">
        <v>15</v>
      </c>
      <c r="AP33" s="33">
        <v>4</v>
      </c>
      <c r="AQ33" s="33">
        <v>14</v>
      </c>
      <c r="AR33" s="33">
        <v>47</v>
      </c>
    </row>
    <row r="34" spans="1:44">
      <c r="A34" s="238" t="s">
        <v>8</v>
      </c>
      <c r="B34" s="35">
        <f t="shared" ref="B34:C37" si="10">E34+G34+I34+K34+M34+O34+Q34+S34+U34+W34+Y34+AA34+AC34+AE34+AG34+AI34+AK34+AM34+AO34+AQ34</f>
        <v>257</v>
      </c>
      <c r="C34" s="35">
        <f t="shared" si="10"/>
        <v>344</v>
      </c>
      <c r="D34" s="36">
        <f t="shared" si="9"/>
        <v>1.33852140077821</v>
      </c>
      <c r="E34" s="33">
        <v>13</v>
      </c>
      <c r="F34" s="33">
        <v>0</v>
      </c>
      <c r="G34" s="33">
        <v>13</v>
      </c>
      <c r="H34" s="33">
        <v>0</v>
      </c>
      <c r="I34" s="33">
        <v>13</v>
      </c>
      <c r="J34" s="33">
        <v>0</v>
      </c>
      <c r="K34" s="33">
        <v>13</v>
      </c>
      <c r="L34" s="33">
        <v>2</v>
      </c>
      <c r="M34" s="33">
        <v>13</v>
      </c>
      <c r="N34" s="33">
        <v>1</v>
      </c>
      <c r="O34" s="33">
        <v>13</v>
      </c>
      <c r="P34" s="33">
        <v>2</v>
      </c>
      <c r="Q34" s="33">
        <v>13</v>
      </c>
      <c r="R34" s="239">
        <v>15</v>
      </c>
      <c r="S34" s="33">
        <v>13</v>
      </c>
      <c r="T34" s="33">
        <v>18</v>
      </c>
      <c r="U34" s="33">
        <v>13</v>
      </c>
      <c r="V34" s="33">
        <v>24</v>
      </c>
      <c r="W34" s="33">
        <v>13</v>
      </c>
      <c r="X34" s="33">
        <v>29</v>
      </c>
      <c r="Y34" s="33">
        <v>13</v>
      </c>
      <c r="Z34" s="33">
        <v>28</v>
      </c>
      <c r="AA34" s="33">
        <v>13</v>
      </c>
      <c r="AB34" s="33">
        <v>4</v>
      </c>
      <c r="AC34" s="33">
        <v>13</v>
      </c>
      <c r="AD34" s="33">
        <v>20</v>
      </c>
      <c r="AE34" s="33">
        <v>13</v>
      </c>
      <c r="AF34" s="33">
        <v>30</v>
      </c>
      <c r="AG34" s="33">
        <v>13</v>
      </c>
      <c r="AH34" s="33">
        <v>42</v>
      </c>
      <c r="AI34" s="33">
        <v>13</v>
      </c>
      <c r="AJ34" s="33">
        <v>39</v>
      </c>
      <c r="AK34" s="33">
        <v>13</v>
      </c>
      <c r="AL34" s="33">
        <v>51</v>
      </c>
      <c r="AM34" s="33">
        <v>13</v>
      </c>
      <c r="AN34" s="33">
        <v>20</v>
      </c>
      <c r="AO34" s="33">
        <v>10</v>
      </c>
      <c r="AP34" s="33">
        <v>0</v>
      </c>
      <c r="AQ34" s="33">
        <v>13</v>
      </c>
      <c r="AR34" s="33">
        <v>19</v>
      </c>
    </row>
    <row r="35" spans="1:44">
      <c r="A35" s="238" t="s">
        <v>7</v>
      </c>
      <c r="B35" s="35">
        <f>E35+G35+I35+K35+M35+O35+Q35+S35+U35+W35+Y35+AA35+AC35+AE35+AG35+AI35+AK35+AM35+AO35+AQ35</f>
        <v>508</v>
      </c>
      <c r="C35" s="35">
        <f>F35+H35+J35+L35+N35+P35+R35+T35+V35+X35+Z35+AB35+AD35+AF35+AH35+AJ35+AL35+AN35+AP35+AR35</f>
        <v>510</v>
      </c>
      <c r="D35" s="36">
        <f t="shared" si="9"/>
        <v>1.0039370078740157</v>
      </c>
      <c r="E35" s="33">
        <v>33</v>
      </c>
      <c r="F35" s="33">
        <v>0</v>
      </c>
      <c r="G35" s="33">
        <v>25</v>
      </c>
      <c r="H35" s="33">
        <v>0</v>
      </c>
      <c r="I35" s="33">
        <v>25</v>
      </c>
      <c r="J35" s="33">
        <v>4</v>
      </c>
      <c r="K35" s="33">
        <v>25</v>
      </c>
      <c r="L35" s="33">
        <v>6</v>
      </c>
      <c r="M35" s="33">
        <v>25</v>
      </c>
      <c r="N35" s="33">
        <v>14</v>
      </c>
      <c r="O35" s="33">
        <v>25</v>
      </c>
      <c r="P35" s="33">
        <v>11</v>
      </c>
      <c r="Q35" s="33">
        <v>25</v>
      </c>
      <c r="R35" s="239">
        <v>4</v>
      </c>
      <c r="S35" s="33">
        <v>25</v>
      </c>
      <c r="T35" s="33">
        <v>26</v>
      </c>
      <c r="U35" s="33">
        <v>25</v>
      </c>
      <c r="V35" s="33">
        <v>12</v>
      </c>
      <c r="W35" s="33">
        <v>25</v>
      </c>
      <c r="X35" s="33">
        <v>38</v>
      </c>
      <c r="Y35" s="33">
        <v>25</v>
      </c>
      <c r="Z35" s="33">
        <v>20</v>
      </c>
      <c r="AA35" s="33">
        <v>25</v>
      </c>
      <c r="AB35" s="33">
        <v>7</v>
      </c>
      <c r="AC35" s="33">
        <v>25</v>
      </c>
      <c r="AD35" s="33">
        <v>10</v>
      </c>
      <c r="AE35" s="33">
        <v>25</v>
      </c>
      <c r="AF35" s="33">
        <v>32</v>
      </c>
      <c r="AG35" s="33">
        <v>25</v>
      </c>
      <c r="AH35" s="33">
        <v>41</v>
      </c>
      <c r="AI35" s="33">
        <v>25</v>
      </c>
      <c r="AJ35" s="33">
        <v>57</v>
      </c>
      <c r="AK35" s="33">
        <v>25</v>
      </c>
      <c r="AL35" s="33">
        <v>60</v>
      </c>
      <c r="AM35" s="33">
        <v>25</v>
      </c>
      <c r="AN35" s="33">
        <v>60</v>
      </c>
      <c r="AO35" s="33">
        <v>25</v>
      </c>
      <c r="AP35" s="33">
        <v>62</v>
      </c>
      <c r="AQ35" s="33">
        <v>25</v>
      </c>
      <c r="AR35" s="33">
        <v>46</v>
      </c>
    </row>
    <row r="36" spans="1:44">
      <c r="A36" s="238" t="s">
        <v>9</v>
      </c>
      <c r="B36" s="35">
        <f t="shared" si="10"/>
        <v>326</v>
      </c>
      <c r="C36" s="35">
        <f>F36+H36+J36+L36+N36+P36+R36+T36+V36+X36+Z36+AB36+AD36+AF36+AH36+AJ36+AL36+AN36+AP36+AR36</f>
        <v>331</v>
      </c>
      <c r="D36" s="36">
        <f t="shared" si="9"/>
        <v>1.0153374233128833</v>
      </c>
      <c r="E36" s="33">
        <v>22</v>
      </c>
      <c r="F36" s="33">
        <v>31</v>
      </c>
      <c r="G36" s="33">
        <v>16</v>
      </c>
      <c r="H36" s="33">
        <v>24</v>
      </c>
      <c r="I36" s="33">
        <v>16</v>
      </c>
      <c r="J36" s="33">
        <v>5</v>
      </c>
      <c r="K36" s="33">
        <v>16</v>
      </c>
      <c r="L36" s="33">
        <v>7</v>
      </c>
      <c r="M36" s="33">
        <v>16</v>
      </c>
      <c r="N36" s="33">
        <v>28</v>
      </c>
      <c r="O36" s="33">
        <v>16</v>
      </c>
      <c r="P36" s="33">
        <v>16</v>
      </c>
      <c r="Q36" s="33">
        <v>16</v>
      </c>
      <c r="R36" s="239">
        <v>1</v>
      </c>
      <c r="S36" s="33">
        <v>16</v>
      </c>
      <c r="T36" s="33">
        <v>25</v>
      </c>
      <c r="U36" s="33">
        <v>16</v>
      </c>
      <c r="V36" s="33">
        <v>14</v>
      </c>
      <c r="W36" s="33">
        <v>16</v>
      </c>
      <c r="X36" s="33">
        <v>5</v>
      </c>
      <c r="Y36" s="33">
        <v>16</v>
      </c>
      <c r="Z36" s="33">
        <v>17</v>
      </c>
      <c r="AA36" s="33">
        <v>16</v>
      </c>
      <c r="AB36" s="33">
        <v>0</v>
      </c>
      <c r="AC36" s="33">
        <v>16</v>
      </c>
      <c r="AD36" s="33">
        <v>0</v>
      </c>
      <c r="AE36" s="33">
        <v>16</v>
      </c>
      <c r="AF36" s="33">
        <v>0</v>
      </c>
      <c r="AG36" s="33">
        <v>16</v>
      </c>
      <c r="AH36" s="33">
        <v>0</v>
      </c>
      <c r="AI36" s="33">
        <v>16</v>
      </c>
      <c r="AJ36" s="33">
        <v>31</v>
      </c>
      <c r="AK36" s="33">
        <v>16</v>
      </c>
      <c r="AL36" s="33">
        <v>40</v>
      </c>
      <c r="AM36" s="33">
        <v>16</v>
      </c>
      <c r="AN36" s="33">
        <v>32</v>
      </c>
      <c r="AO36" s="33">
        <v>16</v>
      </c>
      <c r="AP36" s="33">
        <v>30</v>
      </c>
      <c r="AQ36" s="33">
        <v>16</v>
      </c>
      <c r="AR36" s="33">
        <v>25</v>
      </c>
    </row>
    <row r="37" spans="1:44">
      <c r="A37" s="238" t="s">
        <v>10</v>
      </c>
      <c r="B37" s="35">
        <f t="shared" si="10"/>
        <v>233</v>
      </c>
      <c r="C37" s="35">
        <f>F37+H37+J37+L37+N37+P37+R37+T37+V37+X37+Z37+AB37+AD37+AF37+AH37+AJ37+AL37+AN37+AP37+AR37</f>
        <v>241</v>
      </c>
      <c r="D37" s="36">
        <f t="shared" si="9"/>
        <v>1.0343347639484979</v>
      </c>
      <c r="E37" s="33">
        <v>12</v>
      </c>
      <c r="F37" s="33">
        <v>0</v>
      </c>
      <c r="G37" s="33">
        <v>12</v>
      </c>
      <c r="H37" s="33">
        <v>1</v>
      </c>
      <c r="I37" s="33">
        <v>12</v>
      </c>
      <c r="J37" s="33">
        <v>1</v>
      </c>
      <c r="K37" s="33">
        <v>12</v>
      </c>
      <c r="L37" s="33">
        <v>8</v>
      </c>
      <c r="M37" s="33">
        <v>12</v>
      </c>
      <c r="N37" s="33">
        <v>3</v>
      </c>
      <c r="O37" s="33">
        <v>12</v>
      </c>
      <c r="P37" s="33">
        <v>0</v>
      </c>
      <c r="Q37" s="33">
        <v>12</v>
      </c>
      <c r="R37" s="239">
        <v>21</v>
      </c>
      <c r="S37" s="33">
        <v>12</v>
      </c>
      <c r="T37" s="33">
        <v>11</v>
      </c>
      <c r="U37" s="33">
        <v>12</v>
      </c>
      <c r="V37" s="33">
        <v>19</v>
      </c>
      <c r="W37" s="33">
        <v>12</v>
      </c>
      <c r="X37" s="33">
        <v>1</v>
      </c>
      <c r="Y37" s="33">
        <v>12</v>
      </c>
      <c r="Z37" s="33">
        <v>29</v>
      </c>
      <c r="AA37" s="33">
        <v>12</v>
      </c>
      <c r="AB37" s="33">
        <v>6</v>
      </c>
      <c r="AC37" s="33">
        <v>12</v>
      </c>
      <c r="AD37" s="33">
        <v>1</v>
      </c>
      <c r="AE37" s="33">
        <v>12</v>
      </c>
      <c r="AF37" s="33">
        <v>3</v>
      </c>
      <c r="AG37" s="33">
        <v>12</v>
      </c>
      <c r="AH37" s="33">
        <v>35</v>
      </c>
      <c r="AI37" s="33">
        <v>12</v>
      </c>
      <c r="AJ37" s="33">
        <v>36</v>
      </c>
      <c r="AK37" s="33">
        <v>12</v>
      </c>
      <c r="AL37" s="33">
        <v>26</v>
      </c>
      <c r="AM37" s="33">
        <v>12</v>
      </c>
      <c r="AN37" s="33">
        <v>20</v>
      </c>
      <c r="AO37" s="33">
        <v>12</v>
      </c>
      <c r="AP37" s="33">
        <v>16</v>
      </c>
      <c r="AQ37" s="33">
        <v>5</v>
      </c>
      <c r="AR37" s="33">
        <v>4</v>
      </c>
    </row>
    <row r="38" spans="1:44">
      <c r="A38" s="233" t="s">
        <v>11</v>
      </c>
      <c r="B38" s="233">
        <f>SUM(B33:B37)</f>
        <v>1623</v>
      </c>
      <c r="C38" s="233">
        <f>SUM(C33:C37)</f>
        <v>1701</v>
      </c>
      <c r="D38" s="254">
        <f>C38/B38</f>
        <v>1.0480591497227356</v>
      </c>
      <c r="E38" s="233">
        <f t="shared" ref="E38:AR38" si="11">SUM(E33:E37)</f>
        <v>95</v>
      </c>
      <c r="F38" s="233">
        <f t="shared" si="11"/>
        <v>33</v>
      </c>
      <c r="G38" s="233">
        <f t="shared" si="11"/>
        <v>81</v>
      </c>
      <c r="H38" s="233">
        <f t="shared" si="11"/>
        <v>25</v>
      </c>
      <c r="I38" s="233">
        <f t="shared" si="11"/>
        <v>81</v>
      </c>
      <c r="J38" s="233">
        <f t="shared" si="11"/>
        <v>11</v>
      </c>
      <c r="K38" s="233">
        <f t="shared" si="11"/>
        <v>81</v>
      </c>
      <c r="L38" s="233">
        <f t="shared" si="11"/>
        <v>23</v>
      </c>
      <c r="M38" s="233">
        <f t="shared" si="11"/>
        <v>81</v>
      </c>
      <c r="N38" s="233">
        <f t="shared" si="11"/>
        <v>53</v>
      </c>
      <c r="O38" s="233">
        <f t="shared" si="11"/>
        <v>81</v>
      </c>
      <c r="P38" s="233">
        <f t="shared" si="11"/>
        <v>30</v>
      </c>
      <c r="Q38" s="233">
        <f t="shared" si="11"/>
        <v>81</v>
      </c>
      <c r="R38" s="233">
        <f t="shared" si="11"/>
        <v>54</v>
      </c>
      <c r="S38" s="233">
        <f t="shared" si="11"/>
        <v>81</v>
      </c>
      <c r="T38" s="233">
        <f t="shared" si="11"/>
        <v>102</v>
      </c>
      <c r="U38" s="233">
        <f>SUM(U33:U37)</f>
        <v>81</v>
      </c>
      <c r="V38" s="233">
        <f t="shared" si="11"/>
        <v>75</v>
      </c>
      <c r="W38" s="233">
        <f t="shared" si="11"/>
        <v>81</v>
      </c>
      <c r="X38" s="233">
        <f t="shared" si="11"/>
        <v>104</v>
      </c>
      <c r="Y38" s="233">
        <f t="shared" si="11"/>
        <v>81</v>
      </c>
      <c r="Z38" s="233">
        <f t="shared" si="11"/>
        <v>125</v>
      </c>
      <c r="AA38" s="233">
        <f t="shared" si="11"/>
        <v>81</v>
      </c>
      <c r="AB38" s="233">
        <f t="shared" si="11"/>
        <v>37</v>
      </c>
      <c r="AC38" s="233">
        <f t="shared" si="11"/>
        <v>81</v>
      </c>
      <c r="AD38" s="233">
        <f t="shared" si="11"/>
        <v>51</v>
      </c>
      <c r="AE38" s="233">
        <f t="shared" si="11"/>
        <v>81</v>
      </c>
      <c r="AF38" s="233">
        <f t="shared" si="11"/>
        <v>77</v>
      </c>
      <c r="AG38" s="233">
        <f t="shared" si="11"/>
        <v>81</v>
      </c>
      <c r="AH38" s="233">
        <f t="shared" si="11"/>
        <v>124</v>
      </c>
      <c r="AI38" s="233">
        <f t="shared" si="11"/>
        <v>81</v>
      </c>
      <c r="AJ38" s="233">
        <f t="shared" si="11"/>
        <v>182</v>
      </c>
      <c r="AK38" s="233">
        <f t="shared" si="11"/>
        <v>81</v>
      </c>
      <c r="AL38" s="233">
        <f t="shared" si="11"/>
        <v>201</v>
      </c>
      <c r="AM38" s="233">
        <f t="shared" si="11"/>
        <v>81</v>
      </c>
      <c r="AN38" s="233">
        <f t="shared" si="11"/>
        <v>141</v>
      </c>
      <c r="AO38" s="233">
        <f t="shared" si="11"/>
        <v>78</v>
      </c>
      <c r="AP38" s="233">
        <f t="shared" si="11"/>
        <v>112</v>
      </c>
      <c r="AQ38" s="233">
        <f t="shared" si="11"/>
        <v>73</v>
      </c>
      <c r="AR38" s="233">
        <f t="shared" si="11"/>
        <v>141</v>
      </c>
    </row>
    <row r="41" spans="1:44">
      <c r="C41" s="216" t="s">
        <v>8</v>
      </c>
      <c r="D41" s="30">
        <f>[1]Cristielen!AD14</f>
        <v>1383.5</v>
      </c>
    </row>
    <row r="42" spans="1:44">
      <c r="C42" s="216" t="s">
        <v>6</v>
      </c>
      <c r="D42" s="30">
        <f>[1]Ariane!AD14</f>
        <v>5442.9000000000005</v>
      </c>
    </row>
    <row r="43" spans="1:44">
      <c r="C43" s="216" t="s">
        <v>7</v>
      </c>
      <c r="D43" s="30">
        <f>[1]Camila!AD23</f>
        <v>9273.0999999999985</v>
      </c>
    </row>
    <row r="44" spans="1:44">
      <c r="C44" s="216" t="s">
        <v>56</v>
      </c>
      <c r="D44" s="30">
        <f>[1]Natália!AE14</f>
        <v>5803.8099999999995</v>
      </c>
    </row>
    <row r="45" spans="1:44">
      <c r="C45" s="216" t="s">
        <v>119</v>
      </c>
      <c r="D45" s="30">
        <f>[1]Tatiana!AD19</f>
        <v>6278.1299999999992</v>
      </c>
    </row>
  </sheetData>
  <mergeCells count="43">
    <mergeCell ref="M3:N3"/>
    <mergeCell ref="A3:D3"/>
    <mergeCell ref="E3:F3"/>
    <mergeCell ref="G3:H3"/>
    <mergeCell ref="I3:J3"/>
    <mergeCell ref="K3:L3"/>
    <mergeCell ref="AK3:AL3"/>
    <mergeCell ref="O3:P3"/>
    <mergeCell ref="Q3:R3"/>
    <mergeCell ref="S3:T3"/>
    <mergeCell ref="U3:V3"/>
    <mergeCell ref="W3:X3"/>
    <mergeCell ref="Y3:Z3"/>
    <mergeCell ref="Y31:Z31"/>
    <mergeCell ref="AM3:AN3"/>
    <mergeCell ref="AO3:AP3"/>
    <mergeCell ref="AQ3:AR3"/>
    <mergeCell ref="A14:G14"/>
    <mergeCell ref="A31:D31"/>
    <mergeCell ref="E31:F31"/>
    <mergeCell ref="G31:H31"/>
    <mergeCell ref="I31:J31"/>
    <mergeCell ref="K31:L31"/>
    <mergeCell ref="M31:N31"/>
    <mergeCell ref="AA3:AB3"/>
    <mergeCell ref="AC3:AD3"/>
    <mergeCell ref="AE3:AF3"/>
    <mergeCell ref="AG3:AH3"/>
    <mergeCell ref="AI3:AJ3"/>
    <mergeCell ref="O31:P31"/>
    <mergeCell ref="Q31:R31"/>
    <mergeCell ref="S31:T31"/>
    <mergeCell ref="U31:V31"/>
    <mergeCell ref="W31:X31"/>
    <mergeCell ref="AM31:AN31"/>
    <mergeCell ref="AO31:AP31"/>
    <mergeCell ref="AQ31:AR31"/>
    <mergeCell ref="AA31:AB31"/>
    <mergeCell ref="AC31:AD31"/>
    <mergeCell ref="AE31:AF31"/>
    <mergeCell ref="AG31:AH31"/>
    <mergeCell ref="AI31:AJ31"/>
    <mergeCell ref="AK31:AL31"/>
  </mergeCell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193-6EB5-458E-8649-7C8C2DEAE0BB}">
  <sheetPr>
    <tabColor theme="8" tint="-0.249977111117893"/>
  </sheetPr>
  <dimension ref="A2:AT46"/>
  <sheetViews>
    <sheetView showGridLines="0" topLeftCell="A6" workbookViewId="0">
      <pane xSplit="1" topLeftCell="B1" activePane="topRight" state="frozen"/>
      <selection pane="topRight" activeCell="H42" sqref="H42:I46"/>
    </sheetView>
  </sheetViews>
  <sheetFormatPr defaultColWidth="9.109375" defaultRowHeight="12"/>
  <cols>
    <col min="1" max="1" width="31.109375" style="30" customWidth="1"/>
    <col min="2" max="2" width="6.44140625" style="37" customWidth="1"/>
    <col min="3" max="3" width="8.33203125" style="30" customWidth="1"/>
    <col min="4" max="4" width="9.109375" style="30" customWidth="1"/>
    <col min="5" max="5" width="8.44140625" style="30" customWidth="1"/>
    <col min="6" max="6" width="9.109375" style="30" customWidth="1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53" width="9.109375" style="30" customWidth="1"/>
    <col min="54" max="16384" width="9.109375" style="30"/>
  </cols>
  <sheetData>
    <row r="2" spans="1:46" ht="12.6" thickBot="1"/>
    <row r="3" spans="1:46" ht="12.6" thickBot="1">
      <c r="A3" s="273" t="s">
        <v>0</v>
      </c>
      <c r="B3" s="274"/>
      <c r="C3" s="274"/>
      <c r="D3" s="274"/>
      <c r="E3" s="279">
        <v>1</v>
      </c>
      <c r="F3" s="278"/>
      <c r="G3" s="277">
        <v>2</v>
      </c>
      <c r="H3" s="278"/>
      <c r="I3" s="277">
        <v>3</v>
      </c>
      <c r="J3" s="278"/>
      <c r="K3" s="277">
        <v>5</v>
      </c>
      <c r="L3" s="278"/>
      <c r="M3" s="277">
        <v>8</v>
      </c>
      <c r="N3" s="278"/>
      <c r="O3" s="277">
        <v>9</v>
      </c>
      <c r="P3" s="278"/>
      <c r="Q3" s="275">
        <v>10</v>
      </c>
      <c r="R3" s="276"/>
      <c r="S3" s="275">
        <v>11</v>
      </c>
      <c r="T3" s="276"/>
      <c r="U3" s="275">
        <v>12</v>
      </c>
      <c r="V3" s="276"/>
      <c r="W3" s="275">
        <v>15</v>
      </c>
      <c r="X3" s="276"/>
      <c r="Y3" s="277">
        <v>16</v>
      </c>
      <c r="Z3" s="278"/>
      <c r="AA3" s="277">
        <v>17</v>
      </c>
      <c r="AB3" s="278"/>
      <c r="AC3" s="275">
        <v>18</v>
      </c>
      <c r="AD3" s="276"/>
      <c r="AE3" s="275">
        <v>19</v>
      </c>
      <c r="AF3" s="276"/>
      <c r="AG3" s="275">
        <v>22</v>
      </c>
      <c r="AH3" s="276"/>
      <c r="AI3" s="275">
        <v>23</v>
      </c>
      <c r="AJ3" s="276"/>
      <c r="AK3" s="275">
        <v>24</v>
      </c>
      <c r="AL3" s="276"/>
      <c r="AM3" s="275">
        <v>25</v>
      </c>
      <c r="AN3" s="276"/>
      <c r="AO3" s="275">
        <v>26</v>
      </c>
      <c r="AP3" s="276"/>
      <c r="AQ3" s="275">
        <v>29</v>
      </c>
      <c r="AR3" s="276"/>
      <c r="AS3" s="275">
        <v>30</v>
      </c>
      <c r="AT3" s="276"/>
    </row>
    <row r="4" spans="1:46">
      <c r="A4" s="140" t="s">
        <v>1</v>
      </c>
      <c r="B4" s="140" t="s">
        <v>2</v>
      </c>
      <c r="C4" s="140" t="s">
        <v>3</v>
      </c>
      <c r="D4" s="141" t="s">
        <v>4</v>
      </c>
      <c r="E4" s="142" t="s">
        <v>2</v>
      </c>
      <c r="F4" s="143" t="s">
        <v>5</v>
      </c>
      <c r="G4" s="142" t="s">
        <v>2</v>
      </c>
      <c r="H4" s="143" t="s">
        <v>5</v>
      </c>
      <c r="I4" s="142" t="s">
        <v>2</v>
      </c>
      <c r="J4" s="143" t="s">
        <v>5</v>
      </c>
      <c r="K4" s="142" t="s">
        <v>2</v>
      </c>
      <c r="L4" s="143" t="s">
        <v>5</v>
      </c>
      <c r="M4" s="142" t="s">
        <v>2</v>
      </c>
      <c r="N4" s="143" t="s">
        <v>5</v>
      </c>
      <c r="O4" s="142" t="s">
        <v>2</v>
      </c>
      <c r="P4" s="143" t="s">
        <v>5</v>
      </c>
      <c r="Q4" s="142" t="s">
        <v>2</v>
      </c>
      <c r="R4" s="143" t="s">
        <v>5</v>
      </c>
      <c r="S4" s="142" t="s">
        <v>2</v>
      </c>
      <c r="T4" s="143" t="s">
        <v>5</v>
      </c>
      <c r="U4" s="142" t="s">
        <v>2</v>
      </c>
      <c r="V4" s="143" t="s">
        <v>5</v>
      </c>
      <c r="W4" s="142" t="s">
        <v>2</v>
      </c>
      <c r="X4" s="143" t="s">
        <v>5</v>
      </c>
      <c r="Y4" s="142" t="s">
        <v>2</v>
      </c>
      <c r="Z4" s="143" t="s">
        <v>5</v>
      </c>
      <c r="AA4" s="142" t="s">
        <v>2</v>
      </c>
      <c r="AB4" s="143" t="s">
        <v>5</v>
      </c>
      <c r="AC4" s="142" t="s">
        <v>2</v>
      </c>
      <c r="AD4" s="143" t="s">
        <v>5</v>
      </c>
      <c r="AE4" s="142" t="s">
        <v>2</v>
      </c>
      <c r="AF4" s="143" t="s">
        <v>5</v>
      </c>
      <c r="AG4" s="142" t="s">
        <v>2</v>
      </c>
      <c r="AH4" s="143" t="s">
        <v>5</v>
      </c>
      <c r="AI4" s="142" t="s">
        <v>2</v>
      </c>
      <c r="AJ4" s="143" t="s">
        <v>5</v>
      </c>
      <c r="AK4" s="142" t="s">
        <v>2</v>
      </c>
      <c r="AL4" s="143" t="s">
        <v>5</v>
      </c>
      <c r="AM4" s="142" t="s">
        <v>2</v>
      </c>
      <c r="AN4" s="143" t="s">
        <v>5</v>
      </c>
      <c r="AO4" s="142" t="s">
        <v>2</v>
      </c>
      <c r="AP4" s="143" t="s">
        <v>5</v>
      </c>
      <c r="AQ4" s="142" t="s">
        <v>2</v>
      </c>
      <c r="AR4" s="143" t="s">
        <v>5</v>
      </c>
      <c r="AS4" s="142" t="s">
        <v>2</v>
      </c>
      <c r="AT4" s="143" t="s">
        <v>5</v>
      </c>
    </row>
    <row r="5" spans="1:46">
      <c r="A5" s="144" t="s">
        <v>6</v>
      </c>
      <c r="B5" s="31">
        <v>31</v>
      </c>
      <c r="C5" s="31">
        <v>15</v>
      </c>
      <c r="D5" s="32">
        <v>0.48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3</v>
      </c>
      <c r="M5" s="33">
        <v>1</v>
      </c>
      <c r="N5" s="33">
        <v>0</v>
      </c>
      <c r="O5" s="33">
        <v>1</v>
      </c>
      <c r="P5" s="33">
        <v>1</v>
      </c>
      <c r="Q5" s="33">
        <v>1</v>
      </c>
      <c r="R5" s="33">
        <v>0</v>
      </c>
      <c r="S5" s="33">
        <v>1</v>
      </c>
      <c r="T5" s="33">
        <v>1</v>
      </c>
      <c r="U5" s="33">
        <v>1</v>
      </c>
      <c r="V5" s="33">
        <v>0</v>
      </c>
      <c r="W5" s="33">
        <v>1</v>
      </c>
      <c r="X5" s="33">
        <v>1</v>
      </c>
      <c r="Y5" s="33">
        <v>1</v>
      </c>
      <c r="Z5" s="33">
        <v>1</v>
      </c>
      <c r="AA5" s="33">
        <v>2</v>
      </c>
      <c r="AB5" s="33">
        <v>0</v>
      </c>
      <c r="AC5" s="33">
        <v>2</v>
      </c>
      <c r="AD5" s="117">
        <v>1</v>
      </c>
      <c r="AE5" s="33">
        <v>2</v>
      </c>
      <c r="AF5" s="33">
        <v>0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0</v>
      </c>
      <c r="AM5" s="33">
        <v>2</v>
      </c>
      <c r="AN5" s="33">
        <v>0</v>
      </c>
      <c r="AO5" s="33">
        <v>2</v>
      </c>
      <c r="AP5" s="33">
        <v>3</v>
      </c>
      <c r="AQ5" s="33">
        <v>2</v>
      </c>
      <c r="AR5" s="33">
        <v>1</v>
      </c>
      <c r="AS5" s="33">
        <v>2</v>
      </c>
      <c r="AT5" s="33">
        <v>1</v>
      </c>
    </row>
    <row r="6" spans="1:46">
      <c r="A6" s="144" t="s">
        <v>7</v>
      </c>
      <c r="B6" s="31">
        <v>48</v>
      </c>
      <c r="C6" s="31">
        <v>21</v>
      </c>
      <c r="D6" s="32">
        <v>0.44</v>
      </c>
      <c r="E6" s="33">
        <v>3</v>
      </c>
      <c r="F6" s="117">
        <v>0</v>
      </c>
      <c r="G6" s="33">
        <v>3</v>
      </c>
      <c r="H6" s="33">
        <v>0</v>
      </c>
      <c r="I6" s="33">
        <v>3</v>
      </c>
      <c r="J6" s="33">
        <v>0</v>
      </c>
      <c r="K6" s="33">
        <v>3</v>
      </c>
      <c r="L6" s="117">
        <v>3</v>
      </c>
      <c r="M6" s="33">
        <v>3</v>
      </c>
      <c r="N6" s="117">
        <v>1</v>
      </c>
      <c r="O6" s="33">
        <v>3</v>
      </c>
      <c r="P6" s="33">
        <v>0</v>
      </c>
      <c r="Q6" s="33">
        <v>3</v>
      </c>
      <c r="R6" s="33">
        <v>0</v>
      </c>
      <c r="S6" s="33">
        <v>3</v>
      </c>
      <c r="T6" s="33">
        <v>1</v>
      </c>
      <c r="U6" s="33">
        <v>3</v>
      </c>
      <c r="V6" s="33">
        <v>2</v>
      </c>
      <c r="W6" s="33">
        <v>3</v>
      </c>
      <c r="X6" s="33">
        <v>0</v>
      </c>
      <c r="Y6" s="33">
        <v>3</v>
      </c>
      <c r="Z6" s="33">
        <v>0</v>
      </c>
      <c r="AA6" s="33">
        <v>3</v>
      </c>
      <c r="AB6" s="33">
        <v>1</v>
      </c>
      <c r="AC6" s="33">
        <v>2</v>
      </c>
      <c r="AD6" s="117">
        <v>5</v>
      </c>
      <c r="AE6" s="33">
        <v>1</v>
      </c>
      <c r="AF6" s="33">
        <v>2</v>
      </c>
      <c r="AG6" s="33">
        <v>1</v>
      </c>
      <c r="AH6" s="33">
        <v>0</v>
      </c>
      <c r="AI6" s="33">
        <v>1</v>
      </c>
      <c r="AJ6" s="33">
        <v>0</v>
      </c>
      <c r="AK6" s="33">
        <v>1</v>
      </c>
      <c r="AL6" s="33">
        <v>1</v>
      </c>
      <c r="AM6" s="33">
        <v>1</v>
      </c>
      <c r="AN6" s="33">
        <v>1</v>
      </c>
      <c r="AO6" s="33">
        <v>1</v>
      </c>
      <c r="AP6" s="33">
        <v>4</v>
      </c>
      <c r="AQ6" s="33">
        <v>1</v>
      </c>
      <c r="AR6" s="33">
        <v>0</v>
      </c>
      <c r="AS6" s="33">
        <v>1</v>
      </c>
      <c r="AT6" s="33">
        <v>0</v>
      </c>
    </row>
    <row r="7" spans="1:46">
      <c r="A7" s="144" t="s">
        <v>8</v>
      </c>
      <c r="B7" s="31">
        <v>25</v>
      </c>
      <c r="C7" s="31">
        <v>5</v>
      </c>
      <c r="D7" s="32">
        <v>0.2</v>
      </c>
      <c r="E7" s="33">
        <v>1</v>
      </c>
      <c r="F7" s="33">
        <v>0</v>
      </c>
      <c r="G7" s="33">
        <v>1</v>
      </c>
      <c r="H7" s="33">
        <v>0</v>
      </c>
      <c r="I7" s="33">
        <v>1</v>
      </c>
      <c r="J7" s="33">
        <v>0</v>
      </c>
      <c r="K7" s="33">
        <v>1</v>
      </c>
      <c r="L7" s="33">
        <v>1</v>
      </c>
      <c r="M7" s="33">
        <v>1</v>
      </c>
      <c r="N7" s="33">
        <v>0</v>
      </c>
      <c r="O7" s="33">
        <v>1</v>
      </c>
      <c r="P7" s="33">
        <v>0</v>
      </c>
      <c r="Q7" s="33">
        <v>1</v>
      </c>
      <c r="R7" s="33">
        <v>0</v>
      </c>
      <c r="S7" s="33">
        <v>1</v>
      </c>
      <c r="T7" s="33">
        <v>0</v>
      </c>
      <c r="U7" s="33">
        <v>1</v>
      </c>
      <c r="V7" s="33">
        <v>1</v>
      </c>
      <c r="W7" s="33">
        <v>1</v>
      </c>
      <c r="X7" s="33">
        <v>0</v>
      </c>
      <c r="Y7" s="33">
        <v>1</v>
      </c>
      <c r="Z7" s="33">
        <v>0</v>
      </c>
      <c r="AA7" s="33">
        <v>1</v>
      </c>
      <c r="AB7" s="33">
        <v>0</v>
      </c>
      <c r="AC7" s="33">
        <v>1</v>
      </c>
      <c r="AD7" s="117">
        <v>0</v>
      </c>
      <c r="AE7" s="33">
        <v>1</v>
      </c>
      <c r="AF7" s="33">
        <v>0</v>
      </c>
      <c r="AG7" s="33">
        <v>1</v>
      </c>
      <c r="AH7" s="33">
        <v>0</v>
      </c>
      <c r="AI7" s="33">
        <v>1</v>
      </c>
      <c r="AJ7" s="33">
        <v>0</v>
      </c>
      <c r="AK7" s="33">
        <v>1</v>
      </c>
      <c r="AL7" s="33">
        <v>2</v>
      </c>
      <c r="AM7" s="33">
        <v>2</v>
      </c>
      <c r="AN7" s="33">
        <v>0</v>
      </c>
      <c r="AO7" s="33">
        <v>2</v>
      </c>
      <c r="AP7" s="33">
        <v>1</v>
      </c>
      <c r="AQ7" s="33">
        <v>2</v>
      </c>
      <c r="AR7" s="33">
        <v>0</v>
      </c>
      <c r="AS7" s="33">
        <v>2</v>
      </c>
      <c r="AT7" s="33">
        <v>0</v>
      </c>
    </row>
    <row r="8" spans="1:46">
      <c r="A8" s="144" t="s">
        <v>9</v>
      </c>
      <c r="B8" s="31">
        <v>30</v>
      </c>
      <c r="C8" s="31">
        <v>27</v>
      </c>
      <c r="D8" s="32">
        <v>0.9</v>
      </c>
      <c r="E8" s="33">
        <v>2</v>
      </c>
      <c r="F8" s="117">
        <v>0</v>
      </c>
      <c r="G8" s="33">
        <v>2</v>
      </c>
      <c r="H8" s="33">
        <v>0</v>
      </c>
      <c r="I8" s="33">
        <v>2</v>
      </c>
      <c r="J8" s="33">
        <v>2</v>
      </c>
      <c r="K8" s="33">
        <v>2</v>
      </c>
      <c r="L8" s="117">
        <v>1</v>
      </c>
      <c r="M8" s="33">
        <v>2</v>
      </c>
      <c r="N8" s="117">
        <v>0</v>
      </c>
      <c r="O8" s="33">
        <v>2</v>
      </c>
      <c r="P8" s="117">
        <v>1</v>
      </c>
      <c r="Q8" s="33">
        <v>2</v>
      </c>
      <c r="R8" s="117">
        <v>3</v>
      </c>
      <c r="S8" s="33">
        <v>2</v>
      </c>
      <c r="T8" s="33">
        <v>4</v>
      </c>
      <c r="U8" s="33">
        <v>2</v>
      </c>
      <c r="V8" s="33">
        <v>0</v>
      </c>
      <c r="W8" s="33">
        <v>1</v>
      </c>
      <c r="X8" s="33">
        <v>0</v>
      </c>
      <c r="Y8" s="33">
        <v>1</v>
      </c>
      <c r="Z8" s="33">
        <v>0</v>
      </c>
      <c r="AA8" s="33">
        <v>1</v>
      </c>
      <c r="AB8" s="33">
        <v>2</v>
      </c>
      <c r="AC8" s="33">
        <v>1</v>
      </c>
      <c r="AD8" s="117">
        <v>1</v>
      </c>
      <c r="AE8" s="33">
        <v>1</v>
      </c>
      <c r="AF8" s="33">
        <v>1</v>
      </c>
      <c r="AG8" s="33">
        <v>1</v>
      </c>
      <c r="AH8" s="33">
        <v>1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3</v>
      </c>
      <c r="AO8" s="33">
        <v>1</v>
      </c>
      <c r="AP8" s="33">
        <v>2</v>
      </c>
      <c r="AQ8" s="33">
        <v>1</v>
      </c>
      <c r="AR8" s="33">
        <v>0</v>
      </c>
      <c r="AS8" s="33">
        <v>1</v>
      </c>
      <c r="AT8" s="33">
        <v>4</v>
      </c>
    </row>
    <row r="9" spans="1:46">
      <c r="A9" s="144" t="s">
        <v>10</v>
      </c>
      <c r="B9" s="31">
        <v>25</v>
      </c>
      <c r="C9" s="31">
        <v>20</v>
      </c>
      <c r="D9" s="32">
        <v>0.8</v>
      </c>
      <c r="E9" s="33">
        <v>1</v>
      </c>
      <c r="F9" s="33">
        <v>1</v>
      </c>
      <c r="G9" s="33">
        <v>1</v>
      </c>
      <c r="H9" s="33">
        <v>0</v>
      </c>
      <c r="I9" s="33">
        <v>1</v>
      </c>
      <c r="J9" s="33">
        <v>1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3</v>
      </c>
      <c r="Q9" s="33">
        <v>1</v>
      </c>
      <c r="R9" s="33">
        <v>1</v>
      </c>
      <c r="S9" s="33">
        <v>1</v>
      </c>
      <c r="T9" s="33">
        <v>2</v>
      </c>
      <c r="U9" s="33">
        <v>1</v>
      </c>
      <c r="V9" s="33">
        <v>1</v>
      </c>
      <c r="W9" s="33">
        <v>1</v>
      </c>
      <c r="X9" s="33">
        <v>1</v>
      </c>
      <c r="Y9" s="33">
        <v>1</v>
      </c>
      <c r="Z9" s="33">
        <v>1</v>
      </c>
      <c r="AA9" s="33">
        <v>1</v>
      </c>
      <c r="AB9" s="33">
        <v>0</v>
      </c>
      <c r="AC9" s="33">
        <v>1</v>
      </c>
      <c r="AD9" s="117">
        <v>2</v>
      </c>
      <c r="AE9" s="33">
        <v>1</v>
      </c>
      <c r="AF9" s="33">
        <v>2</v>
      </c>
      <c r="AG9" s="33">
        <v>1</v>
      </c>
      <c r="AH9" s="33">
        <v>0</v>
      </c>
      <c r="AI9" s="33">
        <v>1</v>
      </c>
      <c r="AJ9" s="33">
        <v>0</v>
      </c>
      <c r="AK9" s="33">
        <v>1</v>
      </c>
      <c r="AL9" s="33">
        <v>0</v>
      </c>
      <c r="AM9" s="33">
        <v>2</v>
      </c>
      <c r="AN9" s="33">
        <v>1</v>
      </c>
      <c r="AO9" s="33">
        <v>2</v>
      </c>
      <c r="AP9" s="33">
        <v>1</v>
      </c>
      <c r="AQ9" s="33">
        <v>2</v>
      </c>
      <c r="AR9" s="33">
        <v>0</v>
      </c>
      <c r="AS9" s="33">
        <v>2</v>
      </c>
      <c r="AT9" s="33">
        <v>2</v>
      </c>
    </row>
    <row r="10" spans="1:46">
      <c r="A10" s="145" t="s">
        <v>11</v>
      </c>
      <c r="B10" s="146">
        <v>159</v>
      </c>
      <c r="C10" s="146">
        <v>88</v>
      </c>
      <c r="D10" s="147">
        <v>0.55000000000000004</v>
      </c>
      <c r="E10" s="148">
        <v>8</v>
      </c>
      <c r="F10" s="148">
        <v>1</v>
      </c>
      <c r="G10" s="148">
        <v>8</v>
      </c>
      <c r="H10" s="148">
        <v>2</v>
      </c>
      <c r="I10" s="148">
        <v>8</v>
      </c>
      <c r="J10" s="148">
        <v>3</v>
      </c>
      <c r="K10" s="148">
        <v>8</v>
      </c>
      <c r="L10" s="148">
        <v>9</v>
      </c>
      <c r="M10" s="148">
        <v>8</v>
      </c>
      <c r="N10" s="148">
        <v>1</v>
      </c>
      <c r="O10" s="148">
        <v>8</v>
      </c>
      <c r="P10" s="148">
        <v>5</v>
      </c>
      <c r="Q10" s="148">
        <v>8</v>
      </c>
      <c r="R10" s="148">
        <v>4</v>
      </c>
      <c r="S10" s="148">
        <v>8</v>
      </c>
      <c r="T10" s="148">
        <v>8</v>
      </c>
      <c r="U10" s="148">
        <v>8</v>
      </c>
      <c r="V10" s="148">
        <v>4</v>
      </c>
      <c r="W10" s="148">
        <v>7</v>
      </c>
      <c r="X10" s="148">
        <v>2</v>
      </c>
      <c r="Y10" s="148">
        <v>7</v>
      </c>
      <c r="Z10" s="148">
        <v>2</v>
      </c>
      <c r="AA10" s="148">
        <v>8</v>
      </c>
      <c r="AB10" s="148">
        <v>3</v>
      </c>
      <c r="AC10" s="148">
        <v>7</v>
      </c>
      <c r="AD10" s="148">
        <v>9</v>
      </c>
      <c r="AE10" s="148">
        <v>6</v>
      </c>
      <c r="AF10" s="148">
        <v>5</v>
      </c>
      <c r="AG10" s="148">
        <v>6</v>
      </c>
      <c r="AH10" s="148">
        <v>1</v>
      </c>
      <c r="AI10" s="148">
        <v>6</v>
      </c>
      <c r="AJ10" s="148">
        <v>1</v>
      </c>
      <c r="AK10" s="148">
        <v>6</v>
      </c>
      <c r="AL10" s="148">
        <v>4</v>
      </c>
      <c r="AM10" s="148">
        <v>8</v>
      </c>
      <c r="AN10" s="148">
        <v>5</v>
      </c>
      <c r="AO10" s="148">
        <v>8</v>
      </c>
      <c r="AP10" s="148">
        <v>11</v>
      </c>
      <c r="AQ10" s="148">
        <v>8</v>
      </c>
      <c r="AR10" s="148">
        <v>1</v>
      </c>
      <c r="AS10" s="148">
        <v>8</v>
      </c>
      <c r="AT10" s="148">
        <v>7</v>
      </c>
    </row>
    <row r="11" spans="1:46">
      <c r="A11" s="53" t="s">
        <v>12</v>
      </c>
      <c r="B11" s="54">
        <v>218</v>
      </c>
      <c r="C11" s="39"/>
    </row>
    <row r="12" spans="1:46">
      <c r="A12" s="53" t="s">
        <v>13</v>
      </c>
      <c r="B12" s="54">
        <v>59</v>
      </c>
      <c r="C12" s="39"/>
    </row>
    <row r="13" spans="1:46" ht="12.6" thickBot="1"/>
    <row r="14" spans="1:46" ht="12.75" customHeight="1" thickBot="1">
      <c r="A14" s="271" t="s">
        <v>117</v>
      </c>
      <c r="B14" s="272"/>
      <c r="C14" s="272"/>
      <c r="D14" s="272"/>
      <c r="E14" s="272"/>
      <c r="F14" s="272"/>
      <c r="G14" s="272"/>
    </row>
    <row r="15" spans="1:46">
      <c r="A15" s="149" t="s">
        <v>14</v>
      </c>
      <c r="B15" s="149" t="s">
        <v>6</v>
      </c>
      <c r="C15" s="149" t="s">
        <v>7</v>
      </c>
      <c r="D15" s="149" t="s">
        <v>8</v>
      </c>
      <c r="E15" s="149" t="s">
        <v>9</v>
      </c>
      <c r="F15" s="149" t="s">
        <v>10</v>
      </c>
      <c r="G15" s="149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6" ht="15" customHeight="1">
      <c r="A16" s="150" t="s">
        <v>15</v>
      </c>
      <c r="B16" s="116">
        <v>35</v>
      </c>
      <c r="C16" s="102">
        <v>0</v>
      </c>
      <c r="D16" s="102">
        <v>0</v>
      </c>
      <c r="E16" s="102">
        <v>11</v>
      </c>
      <c r="F16" s="102">
        <v>6</v>
      </c>
      <c r="G16" s="151">
        <v>52</v>
      </c>
      <c r="H16" s="50"/>
      <c r="J16" s="49"/>
      <c r="K16" s="41"/>
      <c r="L16" s="42"/>
    </row>
    <row r="17" spans="1:46" ht="15" customHeight="1">
      <c r="A17" s="150" t="s">
        <v>16</v>
      </c>
      <c r="B17" s="116">
        <v>9</v>
      </c>
      <c r="C17" s="102">
        <v>0</v>
      </c>
      <c r="D17" s="102">
        <v>0</v>
      </c>
      <c r="E17" s="102">
        <v>0</v>
      </c>
      <c r="F17" s="102">
        <v>8</v>
      </c>
      <c r="G17" s="151">
        <v>17</v>
      </c>
      <c r="H17" s="50"/>
      <c r="K17" s="41"/>
    </row>
    <row r="18" spans="1:46" ht="15" customHeight="1">
      <c r="A18" s="150" t="s">
        <v>17</v>
      </c>
      <c r="B18" s="116">
        <v>4</v>
      </c>
      <c r="C18" s="102">
        <v>0</v>
      </c>
      <c r="D18" s="102">
        <v>0</v>
      </c>
      <c r="E18" s="102">
        <v>0</v>
      </c>
      <c r="F18" s="102">
        <v>3</v>
      </c>
      <c r="G18" s="151">
        <v>7</v>
      </c>
      <c r="H18" s="50"/>
      <c r="I18" s="41" t="s">
        <v>118</v>
      </c>
      <c r="J18" s="49"/>
      <c r="K18" s="41"/>
      <c r="M18" s="49"/>
      <c r="P18" s="49"/>
    </row>
    <row r="19" spans="1:46" ht="15" customHeight="1">
      <c r="A19" s="150" t="s">
        <v>18</v>
      </c>
      <c r="B19" s="116">
        <v>1</v>
      </c>
      <c r="C19" s="102">
        <v>0</v>
      </c>
      <c r="D19" s="102">
        <v>0</v>
      </c>
      <c r="E19" s="102">
        <v>0</v>
      </c>
      <c r="F19" s="102">
        <v>1</v>
      </c>
      <c r="G19" s="151">
        <v>2</v>
      </c>
      <c r="H19" s="50"/>
      <c r="I19" s="40"/>
    </row>
    <row r="20" spans="1:46" ht="15" customHeight="1">
      <c r="A20" s="152" t="s">
        <v>19</v>
      </c>
      <c r="B20" s="149" t="s">
        <v>6</v>
      </c>
      <c r="C20" s="149" t="s">
        <v>7</v>
      </c>
      <c r="D20" s="149" t="s">
        <v>8</v>
      </c>
      <c r="E20" s="149" t="s">
        <v>9</v>
      </c>
      <c r="F20" s="149" t="s">
        <v>10</v>
      </c>
      <c r="G20" s="149" t="s">
        <v>11</v>
      </c>
    </row>
    <row r="21" spans="1:46" ht="15" customHeight="1">
      <c r="A21" s="150" t="s">
        <v>20</v>
      </c>
      <c r="B21" s="87">
        <v>180</v>
      </c>
      <c r="C21" s="102">
        <v>530</v>
      </c>
      <c r="D21" s="87">
        <v>352</v>
      </c>
      <c r="E21" s="102">
        <v>197</v>
      </c>
      <c r="F21" s="102">
        <v>139</v>
      </c>
      <c r="G21" s="151">
        <v>1398</v>
      </c>
    </row>
    <row r="22" spans="1:46" ht="15" customHeight="1">
      <c r="A22" s="150" t="s">
        <v>21</v>
      </c>
      <c r="B22" s="117">
        <v>29</v>
      </c>
      <c r="C22" s="102">
        <v>75</v>
      </c>
      <c r="D22" s="117">
        <v>33</v>
      </c>
      <c r="E22" s="102">
        <v>69</v>
      </c>
      <c r="F22" s="102">
        <v>64</v>
      </c>
      <c r="G22" s="151">
        <v>270</v>
      </c>
      <c r="H22" s="30">
        <v>0.80740740700000002</v>
      </c>
      <c r="J22" s="40"/>
      <c r="K22" s="41"/>
      <c r="L22" s="42"/>
    </row>
    <row r="23" spans="1:46" s="38" customFormat="1" ht="15" customHeight="1">
      <c r="A23" s="150" t="s">
        <v>22</v>
      </c>
      <c r="B23" s="87">
        <v>0</v>
      </c>
      <c r="C23" s="102">
        <v>0</v>
      </c>
      <c r="D23" s="87">
        <v>1</v>
      </c>
      <c r="E23" s="102">
        <v>6</v>
      </c>
      <c r="F23" s="102">
        <v>7</v>
      </c>
      <c r="G23" s="151">
        <v>14</v>
      </c>
      <c r="H23" s="43"/>
    </row>
    <row r="24" spans="1:46" ht="15" customHeight="1">
      <c r="A24" s="150" t="s">
        <v>23</v>
      </c>
      <c r="B24" s="87">
        <v>1</v>
      </c>
      <c r="C24" s="102">
        <v>0</v>
      </c>
      <c r="D24" s="87">
        <v>3</v>
      </c>
      <c r="E24" s="102">
        <v>2</v>
      </c>
      <c r="F24" s="102">
        <v>9</v>
      </c>
      <c r="G24" s="151">
        <v>15</v>
      </c>
    </row>
    <row r="25" spans="1:46" ht="15" customHeight="1">
      <c r="A25" s="150" t="s">
        <v>24</v>
      </c>
      <c r="B25" s="87">
        <v>35</v>
      </c>
      <c r="C25" s="102">
        <v>42</v>
      </c>
      <c r="D25" s="87">
        <v>15</v>
      </c>
      <c r="E25" s="102">
        <v>14</v>
      </c>
      <c r="F25" s="102">
        <v>24</v>
      </c>
      <c r="G25" s="151">
        <v>130</v>
      </c>
      <c r="H25" s="40"/>
    </row>
    <row r="26" spans="1:46" ht="15" customHeight="1">
      <c r="A26" s="150" t="s">
        <v>25</v>
      </c>
      <c r="B26" s="87">
        <v>2</v>
      </c>
      <c r="C26" s="102">
        <v>0</v>
      </c>
      <c r="D26" s="87">
        <v>4</v>
      </c>
      <c r="E26" s="102">
        <v>15</v>
      </c>
      <c r="F26" s="102">
        <v>10</v>
      </c>
      <c r="G26" s="151">
        <v>31</v>
      </c>
      <c r="H26" s="48"/>
    </row>
    <row r="27" spans="1:46" ht="15" customHeight="1">
      <c r="A27" s="150" t="s">
        <v>26</v>
      </c>
      <c r="B27" s="87">
        <v>3</v>
      </c>
      <c r="C27" s="102">
        <v>0</v>
      </c>
      <c r="D27" s="87">
        <v>0</v>
      </c>
      <c r="E27" s="102">
        <v>4</v>
      </c>
      <c r="F27" s="102">
        <v>5</v>
      </c>
      <c r="G27" s="151">
        <v>12</v>
      </c>
      <c r="H27" s="40"/>
    </row>
    <row r="28" spans="1:46">
      <c r="A28" s="153" t="s">
        <v>11</v>
      </c>
      <c r="B28" s="139">
        <v>299</v>
      </c>
      <c r="C28" s="139">
        <v>647</v>
      </c>
      <c r="D28" s="139">
        <v>408</v>
      </c>
      <c r="E28" s="139">
        <v>318</v>
      </c>
      <c r="F28" s="139">
        <v>276</v>
      </c>
      <c r="G28" s="37"/>
    </row>
    <row r="30" spans="1:46" ht="12.6" thickBot="1"/>
    <row r="31" spans="1:46" ht="12.6" thickBot="1">
      <c r="A31" s="273" t="s">
        <v>27</v>
      </c>
      <c r="B31" s="274"/>
      <c r="C31" s="274"/>
      <c r="D31" s="280"/>
      <c r="E31" s="281">
        <v>1</v>
      </c>
      <c r="F31" s="278"/>
      <c r="G31" s="277">
        <v>2</v>
      </c>
      <c r="H31" s="278"/>
      <c r="I31" s="277">
        <v>3</v>
      </c>
      <c r="J31" s="278"/>
      <c r="K31" s="277">
        <v>5</v>
      </c>
      <c r="L31" s="278"/>
      <c r="M31" s="277">
        <v>8</v>
      </c>
      <c r="N31" s="278"/>
      <c r="O31" s="277">
        <v>9</v>
      </c>
      <c r="P31" s="278"/>
      <c r="Q31" s="275">
        <v>10</v>
      </c>
      <c r="R31" s="276"/>
      <c r="S31" s="275">
        <v>11</v>
      </c>
      <c r="T31" s="276"/>
      <c r="U31" s="275">
        <v>12</v>
      </c>
      <c r="V31" s="276"/>
      <c r="W31" s="275">
        <v>15</v>
      </c>
      <c r="X31" s="276"/>
      <c r="Y31" s="277">
        <v>16</v>
      </c>
      <c r="Z31" s="278"/>
      <c r="AA31" s="277">
        <v>17</v>
      </c>
      <c r="AB31" s="278"/>
      <c r="AC31" s="275">
        <v>18</v>
      </c>
      <c r="AD31" s="276"/>
      <c r="AE31" s="275">
        <v>19</v>
      </c>
      <c r="AF31" s="276"/>
      <c r="AG31" s="275">
        <v>22</v>
      </c>
      <c r="AH31" s="276"/>
      <c r="AI31" s="275">
        <v>23</v>
      </c>
      <c r="AJ31" s="276"/>
      <c r="AK31" s="275">
        <v>24</v>
      </c>
      <c r="AL31" s="276"/>
      <c r="AM31" s="275">
        <v>25</v>
      </c>
      <c r="AN31" s="276"/>
      <c r="AO31" s="275">
        <v>26</v>
      </c>
      <c r="AP31" s="276"/>
      <c r="AQ31" s="275">
        <v>29</v>
      </c>
      <c r="AR31" s="276"/>
      <c r="AS31" s="275">
        <v>30</v>
      </c>
      <c r="AT31" s="276"/>
    </row>
    <row r="32" spans="1:46">
      <c r="A32" s="154" t="s">
        <v>1</v>
      </c>
      <c r="B32" s="154" t="s">
        <v>2</v>
      </c>
      <c r="C32" s="154" t="s">
        <v>3</v>
      </c>
      <c r="D32" s="155" t="s">
        <v>4</v>
      </c>
      <c r="E32" s="142" t="s">
        <v>2</v>
      </c>
      <c r="F32" s="143" t="s">
        <v>5</v>
      </c>
      <c r="G32" s="142" t="s">
        <v>2</v>
      </c>
      <c r="H32" s="143" t="s">
        <v>5</v>
      </c>
      <c r="I32" s="142" t="s">
        <v>2</v>
      </c>
      <c r="J32" s="143" t="s">
        <v>5</v>
      </c>
      <c r="K32" s="142" t="s">
        <v>2</v>
      </c>
      <c r="L32" s="143" t="s">
        <v>5</v>
      </c>
      <c r="M32" s="142" t="s">
        <v>2</v>
      </c>
      <c r="N32" s="143" t="s">
        <v>5</v>
      </c>
      <c r="O32" s="142" t="s">
        <v>2</v>
      </c>
      <c r="P32" s="143" t="s">
        <v>5</v>
      </c>
      <c r="Q32" s="142" t="s">
        <v>2</v>
      </c>
      <c r="R32" s="143" t="s">
        <v>5</v>
      </c>
      <c r="S32" s="142" t="s">
        <v>2</v>
      </c>
      <c r="T32" s="143" t="s">
        <v>5</v>
      </c>
      <c r="U32" s="142" t="s">
        <v>2</v>
      </c>
      <c r="V32" s="143" t="s">
        <v>5</v>
      </c>
      <c r="W32" s="142" t="s">
        <v>2</v>
      </c>
      <c r="X32" s="143" t="s">
        <v>5</v>
      </c>
      <c r="Y32" s="142" t="s">
        <v>2</v>
      </c>
      <c r="Z32" s="143" t="s">
        <v>5</v>
      </c>
      <c r="AA32" s="142" t="s">
        <v>2</v>
      </c>
      <c r="AB32" s="143" t="s">
        <v>5</v>
      </c>
      <c r="AC32" s="142" t="s">
        <v>2</v>
      </c>
      <c r="AD32" s="143" t="s">
        <v>5</v>
      </c>
      <c r="AE32" s="142" t="s">
        <v>2</v>
      </c>
      <c r="AF32" s="143" t="s">
        <v>5</v>
      </c>
      <c r="AG32" s="142" t="s">
        <v>2</v>
      </c>
      <c r="AH32" s="143" t="s">
        <v>5</v>
      </c>
      <c r="AI32" s="142" t="s">
        <v>2</v>
      </c>
      <c r="AJ32" s="143" t="s">
        <v>5</v>
      </c>
      <c r="AK32" s="142" t="s">
        <v>2</v>
      </c>
      <c r="AL32" s="143" t="s">
        <v>5</v>
      </c>
      <c r="AM32" s="142" t="s">
        <v>2</v>
      </c>
      <c r="AN32" s="143" t="s">
        <v>5</v>
      </c>
      <c r="AO32" s="142" t="s">
        <v>2</v>
      </c>
      <c r="AP32" s="143" t="s">
        <v>5</v>
      </c>
      <c r="AQ32" s="142" t="s">
        <v>2</v>
      </c>
      <c r="AR32" s="143" t="s">
        <v>5</v>
      </c>
      <c r="AS32" s="142" t="s">
        <v>2</v>
      </c>
      <c r="AT32" s="143" t="s">
        <v>5</v>
      </c>
    </row>
    <row r="33" spans="1:46">
      <c r="A33" s="144" t="s">
        <v>6</v>
      </c>
      <c r="B33" s="35">
        <v>350</v>
      </c>
      <c r="C33" s="35">
        <v>332</v>
      </c>
      <c r="D33" s="36">
        <v>0.95</v>
      </c>
      <c r="E33" s="33">
        <v>17</v>
      </c>
      <c r="F33" s="33">
        <v>0</v>
      </c>
      <c r="G33" s="33">
        <v>17</v>
      </c>
      <c r="H33" s="33">
        <v>0</v>
      </c>
      <c r="I33" s="33">
        <v>17</v>
      </c>
      <c r="J33" s="33">
        <v>13</v>
      </c>
      <c r="K33" s="33">
        <v>17</v>
      </c>
      <c r="L33" s="33">
        <v>8</v>
      </c>
      <c r="M33" s="33">
        <v>17</v>
      </c>
      <c r="N33" s="33">
        <v>3</v>
      </c>
      <c r="O33" s="33">
        <v>17</v>
      </c>
      <c r="P33" s="33">
        <v>33</v>
      </c>
      <c r="Q33" s="33">
        <v>17</v>
      </c>
      <c r="R33" s="33">
        <v>10</v>
      </c>
      <c r="S33" s="33">
        <v>17</v>
      </c>
      <c r="T33" s="33">
        <v>10</v>
      </c>
      <c r="U33" s="33">
        <v>17</v>
      </c>
      <c r="V33" s="33">
        <v>12</v>
      </c>
      <c r="W33" s="33">
        <v>17</v>
      </c>
      <c r="X33" s="33">
        <v>12</v>
      </c>
      <c r="Y33" s="33">
        <v>17</v>
      </c>
      <c r="Z33" s="33">
        <v>11</v>
      </c>
      <c r="AA33" s="33">
        <v>17</v>
      </c>
      <c r="AB33" s="33">
        <v>10</v>
      </c>
      <c r="AC33" s="33">
        <v>17</v>
      </c>
      <c r="AD33" s="33">
        <v>0</v>
      </c>
      <c r="AE33" s="33">
        <v>17</v>
      </c>
      <c r="AF33" s="33">
        <v>3</v>
      </c>
      <c r="AG33" s="33">
        <v>16</v>
      </c>
      <c r="AH33" s="33">
        <v>40</v>
      </c>
      <c r="AI33" s="33">
        <v>16</v>
      </c>
      <c r="AJ33" s="33">
        <v>30</v>
      </c>
      <c r="AK33" s="33">
        <v>16</v>
      </c>
      <c r="AL33" s="33">
        <v>0</v>
      </c>
      <c r="AM33" s="33">
        <v>16</v>
      </c>
      <c r="AN33" s="33">
        <v>47</v>
      </c>
      <c r="AO33" s="33">
        <v>16</v>
      </c>
      <c r="AP33" s="33">
        <v>54</v>
      </c>
      <c r="AQ33" s="33">
        <v>16</v>
      </c>
      <c r="AR33" s="33">
        <v>36</v>
      </c>
      <c r="AS33" s="33">
        <v>16</v>
      </c>
      <c r="AT33" s="33"/>
    </row>
    <row r="34" spans="1:46">
      <c r="A34" s="144" t="s">
        <v>7</v>
      </c>
      <c r="B34" s="35">
        <v>350</v>
      </c>
      <c r="C34" s="35">
        <v>325</v>
      </c>
      <c r="D34" s="36">
        <v>0.93</v>
      </c>
      <c r="E34" s="33">
        <v>17</v>
      </c>
      <c r="F34" s="33">
        <v>0</v>
      </c>
      <c r="G34" s="33">
        <v>17</v>
      </c>
      <c r="H34" s="33">
        <v>0</v>
      </c>
      <c r="I34" s="33">
        <v>17</v>
      </c>
      <c r="J34" s="33">
        <v>12</v>
      </c>
      <c r="K34" s="33">
        <v>17</v>
      </c>
      <c r="L34" s="33">
        <v>20</v>
      </c>
      <c r="M34" s="33">
        <v>17</v>
      </c>
      <c r="N34" s="33">
        <v>20</v>
      </c>
      <c r="O34" s="33">
        <v>17</v>
      </c>
      <c r="P34" s="33">
        <v>21</v>
      </c>
      <c r="Q34" s="33">
        <v>17</v>
      </c>
      <c r="R34" s="33">
        <v>14</v>
      </c>
      <c r="S34" s="33">
        <v>17</v>
      </c>
      <c r="T34" s="33">
        <v>25</v>
      </c>
      <c r="U34" s="33">
        <v>17</v>
      </c>
      <c r="V34" s="33">
        <v>20</v>
      </c>
      <c r="W34" s="33">
        <v>17</v>
      </c>
      <c r="X34" s="33">
        <v>10</v>
      </c>
      <c r="Y34" s="33">
        <v>17</v>
      </c>
      <c r="Z34" s="33">
        <v>20</v>
      </c>
      <c r="AA34" s="33">
        <v>17</v>
      </c>
      <c r="AB34" s="33">
        <v>12</v>
      </c>
      <c r="AC34" s="33">
        <v>17</v>
      </c>
      <c r="AD34" s="33">
        <v>8</v>
      </c>
      <c r="AE34" s="33">
        <v>17</v>
      </c>
      <c r="AF34" s="33">
        <v>20</v>
      </c>
      <c r="AG34" s="33">
        <v>16</v>
      </c>
      <c r="AH34" s="33">
        <v>20</v>
      </c>
      <c r="AI34" s="33">
        <v>16</v>
      </c>
      <c r="AJ34" s="33">
        <v>20</v>
      </c>
      <c r="AK34" s="33">
        <v>16</v>
      </c>
      <c r="AL34" s="33">
        <v>20</v>
      </c>
      <c r="AM34" s="33">
        <v>16</v>
      </c>
      <c r="AN34" s="33">
        <v>13</v>
      </c>
      <c r="AO34" s="33">
        <v>16</v>
      </c>
      <c r="AP34" s="33">
        <v>20</v>
      </c>
      <c r="AQ34" s="33">
        <v>16</v>
      </c>
      <c r="AR34" s="33">
        <v>30</v>
      </c>
      <c r="AS34" s="33">
        <v>16</v>
      </c>
      <c r="AT34" s="33"/>
    </row>
    <row r="35" spans="1:46" ht="11.4" customHeight="1">
      <c r="A35" s="144" t="s">
        <v>8</v>
      </c>
      <c r="B35" s="35">
        <v>350</v>
      </c>
      <c r="C35" s="35">
        <v>312</v>
      </c>
      <c r="D35" s="36">
        <v>0.89</v>
      </c>
      <c r="E35" s="33">
        <v>17</v>
      </c>
      <c r="F35" s="33">
        <v>20</v>
      </c>
      <c r="G35" s="33">
        <v>17</v>
      </c>
      <c r="H35" s="33">
        <v>23</v>
      </c>
      <c r="I35" s="33">
        <v>17</v>
      </c>
      <c r="J35" s="33">
        <v>4</v>
      </c>
      <c r="K35" s="33">
        <v>17</v>
      </c>
      <c r="L35" s="33">
        <v>14</v>
      </c>
      <c r="M35" s="33">
        <v>17</v>
      </c>
      <c r="N35" s="33">
        <v>29</v>
      </c>
      <c r="O35" s="33">
        <v>17</v>
      </c>
      <c r="P35" s="33">
        <v>8</v>
      </c>
      <c r="Q35" s="33">
        <v>17</v>
      </c>
      <c r="R35" s="33">
        <v>0</v>
      </c>
      <c r="S35" s="33">
        <v>17</v>
      </c>
      <c r="T35" s="33">
        <v>0</v>
      </c>
      <c r="U35" s="33">
        <v>17</v>
      </c>
      <c r="V35" s="33">
        <v>0</v>
      </c>
      <c r="W35" s="33">
        <v>17</v>
      </c>
      <c r="X35" s="33">
        <v>0</v>
      </c>
      <c r="Y35" s="33">
        <v>17</v>
      </c>
      <c r="Z35" s="33">
        <v>0</v>
      </c>
      <c r="AA35" s="33">
        <v>17</v>
      </c>
      <c r="AB35" s="33">
        <v>0</v>
      </c>
      <c r="AC35" s="33">
        <v>17</v>
      </c>
      <c r="AD35" s="33">
        <v>0</v>
      </c>
      <c r="AE35" s="33">
        <v>17</v>
      </c>
      <c r="AF35" s="33">
        <v>0</v>
      </c>
      <c r="AG35" s="33">
        <v>16</v>
      </c>
      <c r="AH35" s="33">
        <v>21</v>
      </c>
      <c r="AI35" s="33">
        <v>16</v>
      </c>
      <c r="AJ35" s="33">
        <v>16</v>
      </c>
      <c r="AK35" s="33">
        <v>16</v>
      </c>
      <c r="AL35" s="33">
        <v>62</v>
      </c>
      <c r="AM35" s="33">
        <v>16</v>
      </c>
      <c r="AN35" s="33">
        <v>35</v>
      </c>
      <c r="AO35" s="33">
        <v>16</v>
      </c>
      <c r="AP35" s="33">
        <v>40</v>
      </c>
      <c r="AQ35" s="33">
        <v>16</v>
      </c>
      <c r="AR35" s="33">
        <v>40</v>
      </c>
      <c r="AS35" s="33">
        <v>16</v>
      </c>
      <c r="AT35" s="33"/>
    </row>
    <row r="36" spans="1:46">
      <c r="A36" s="144" t="s">
        <v>9</v>
      </c>
      <c r="B36" s="35">
        <v>350</v>
      </c>
      <c r="C36" s="35">
        <v>385</v>
      </c>
      <c r="D36" s="36">
        <v>1.1000000000000001</v>
      </c>
      <c r="E36" s="33">
        <v>17</v>
      </c>
      <c r="F36" s="33">
        <v>0</v>
      </c>
      <c r="G36" s="33">
        <v>17</v>
      </c>
      <c r="H36" s="33">
        <v>0</v>
      </c>
      <c r="I36" s="33">
        <v>17</v>
      </c>
      <c r="J36" s="33">
        <v>0</v>
      </c>
      <c r="K36" s="33">
        <v>17</v>
      </c>
      <c r="L36" s="33">
        <v>30</v>
      </c>
      <c r="M36" s="33">
        <v>17</v>
      </c>
      <c r="N36" s="33">
        <v>30</v>
      </c>
      <c r="O36" s="33">
        <v>17</v>
      </c>
      <c r="P36" s="33">
        <v>25</v>
      </c>
      <c r="Q36" s="33">
        <v>17</v>
      </c>
      <c r="R36" s="33">
        <v>13</v>
      </c>
      <c r="S36" s="33">
        <v>17</v>
      </c>
      <c r="T36" s="33">
        <v>20</v>
      </c>
      <c r="U36" s="33">
        <v>17</v>
      </c>
      <c r="V36" s="33">
        <v>41</v>
      </c>
      <c r="W36" s="33">
        <v>17</v>
      </c>
      <c r="X36" s="33">
        <v>24</v>
      </c>
      <c r="Y36" s="33">
        <v>17</v>
      </c>
      <c r="Z36" s="33">
        <v>23</v>
      </c>
      <c r="AA36" s="33">
        <v>17</v>
      </c>
      <c r="AB36" s="33">
        <v>21</v>
      </c>
      <c r="AC36" s="33">
        <v>17</v>
      </c>
      <c r="AD36" s="33">
        <v>18</v>
      </c>
      <c r="AE36" s="33">
        <v>17</v>
      </c>
      <c r="AF36" s="33">
        <v>20</v>
      </c>
      <c r="AG36" s="33">
        <v>16</v>
      </c>
      <c r="AH36" s="33">
        <v>24</v>
      </c>
      <c r="AI36" s="33">
        <v>16</v>
      </c>
      <c r="AJ36" s="33">
        <v>24</v>
      </c>
      <c r="AK36" s="33">
        <v>16</v>
      </c>
      <c r="AL36" s="33">
        <v>24</v>
      </c>
      <c r="AM36" s="33">
        <v>16</v>
      </c>
      <c r="AN36" s="33">
        <v>19</v>
      </c>
      <c r="AO36" s="33">
        <v>16</v>
      </c>
      <c r="AP36" s="33">
        <v>0</v>
      </c>
      <c r="AQ36" s="33">
        <v>16</v>
      </c>
      <c r="AR36" s="33">
        <v>29</v>
      </c>
      <c r="AS36" s="33">
        <v>16</v>
      </c>
      <c r="AT36" s="33"/>
    </row>
    <row r="37" spans="1:46">
      <c r="A37" s="144" t="s">
        <v>10</v>
      </c>
      <c r="B37" s="35">
        <v>350</v>
      </c>
      <c r="C37" s="35">
        <v>251</v>
      </c>
      <c r="D37" s="36">
        <v>0.72</v>
      </c>
      <c r="E37" s="33">
        <v>17</v>
      </c>
      <c r="F37" s="33">
        <v>12</v>
      </c>
      <c r="G37" s="33">
        <v>17</v>
      </c>
      <c r="H37" s="33">
        <v>8</v>
      </c>
      <c r="I37" s="33">
        <v>17</v>
      </c>
      <c r="J37" s="33">
        <v>10</v>
      </c>
      <c r="K37" s="33">
        <v>17</v>
      </c>
      <c r="L37" s="33">
        <v>7</v>
      </c>
      <c r="M37" s="33">
        <v>17</v>
      </c>
      <c r="N37" s="33">
        <v>13</v>
      </c>
      <c r="O37" s="33">
        <v>17</v>
      </c>
      <c r="P37" s="33">
        <v>2</v>
      </c>
      <c r="Q37" s="33">
        <v>17</v>
      </c>
      <c r="R37" s="33">
        <v>0</v>
      </c>
      <c r="S37" s="33">
        <v>17</v>
      </c>
      <c r="T37" s="33">
        <v>3</v>
      </c>
      <c r="U37" s="33">
        <v>17</v>
      </c>
      <c r="V37" s="33">
        <v>12</v>
      </c>
      <c r="W37" s="33">
        <v>17</v>
      </c>
      <c r="X37" s="33">
        <v>15</v>
      </c>
      <c r="Y37" s="33">
        <v>17</v>
      </c>
      <c r="Z37" s="33">
        <v>24</v>
      </c>
      <c r="AA37" s="33">
        <v>17</v>
      </c>
      <c r="AB37" s="33">
        <v>6</v>
      </c>
      <c r="AC37" s="33">
        <v>17</v>
      </c>
      <c r="AD37" s="33">
        <v>11</v>
      </c>
      <c r="AE37" s="33">
        <v>17</v>
      </c>
      <c r="AF37" s="33">
        <v>12</v>
      </c>
      <c r="AG37" s="33">
        <v>16</v>
      </c>
      <c r="AH37" s="33">
        <v>18</v>
      </c>
      <c r="AI37" s="33">
        <v>16</v>
      </c>
      <c r="AJ37" s="33">
        <v>11</v>
      </c>
      <c r="AK37" s="33">
        <v>16</v>
      </c>
      <c r="AL37" s="33">
        <v>23</v>
      </c>
      <c r="AM37" s="33">
        <v>16</v>
      </c>
      <c r="AN37" s="33">
        <v>34</v>
      </c>
      <c r="AO37" s="33">
        <v>16</v>
      </c>
      <c r="AP37" s="33">
        <v>20</v>
      </c>
      <c r="AQ37" s="33">
        <v>16</v>
      </c>
      <c r="AR37" s="33">
        <v>10</v>
      </c>
      <c r="AS37" s="33">
        <v>16</v>
      </c>
      <c r="AT37" s="33"/>
    </row>
    <row r="38" spans="1:46">
      <c r="A38" s="148" t="s">
        <v>11</v>
      </c>
      <c r="B38" s="148">
        <v>1750</v>
      </c>
      <c r="C38" s="148">
        <v>1605</v>
      </c>
      <c r="D38" s="156">
        <v>0.92</v>
      </c>
      <c r="E38" s="148">
        <v>85</v>
      </c>
      <c r="F38" s="148">
        <v>32</v>
      </c>
      <c r="G38" s="148">
        <v>85</v>
      </c>
      <c r="H38" s="148">
        <v>31</v>
      </c>
      <c r="I38" s="148">
        <v>85</v>
      </c>
      <c r="J38" s="148">
        <v>39</v>
      </c>
      <c r="K38" s="148">
        <v>85</v>
      </c>
      <c r="L38" s="148">
        <v>79</v>
      </c>
      <c r="M38" s="148">
        <v>85</v>
      </c>
      <c r="N38" s="148">
        <v>95</v>
      </c>
      <c r="O38" s="148">
        <v>85</v>
      </c>
      <c r="P38" s="148">
        <v>89</v>
      </c>
      <c r="Q38" s="148">
        <v>85</v>
      </c>
      <c r="R38" s="148">
        <v>37</v>
      </c>
      <c r="S38" s="148">
        <v>85</v>
      </c>
      <c r="T38" s="148">
        <v>58</v>
      </c>
      <c r="U38" s="148">
        <v>85</v>
      </c>
      <c r="V38" s="148">
        <v>85</v>
      </c>
      <c r="W38" s="148">
        <v>85</v>
      </c>
      <c r="X38" s="148">
        <v>61</v>
      </c>
      <c r="Y38" s="148">
        <v>85</v>
      </c>
      <c r="Z38" s="148">
        <v>78</v>
      </c>
      <c r="AA38" s="148">
        <v>85</v>
      </c>
      <c r="AB38" s="148">
        <v>49</v>
      </c>
      <c r="AC38" s="148">
        <v>85</v>
      </c>
      <c r="AD38" s="148">
        <v>37</v>
      </c>
      <c r="AE38" s="148">
        <v>85</v>
      </c>
      <c r="AF38" s="148">
        <v>55</v>
      </c>
      <c r="AG38" s="148">
        <v>80</v>
      </c>
      <c r="AH38" s="148">
        <v>123</v>
      </c>
      <c r="AI38" s="148">
        <v>80</v>
      </c>
      <c r="AJ38" s="148">
        <v>101</v>
      </c>
      <c r="AK38" s="148">
        <v>80</v>
      </c>
      <c r="AL38" s="148">
        <v>129</v>
      </c>
      <c r="AM38" s="148">
        <v>80</v>
      </c>
      <c r="AN38" s="148">
        <v>148</v>
      </c>
      <c r="AO38" s="148">
        <v>80</v>
      </c>
      <c r="AP38" s="148">
        <v>134</v>
      </c>
      <c r="AQ38" s="148">
        <v>80</v>
      </c>
      <c r="AR38" s="148">
        <v>145</v>
      </c>
      <c r="AS38" s="148">
        <v>80</v>
      </c>
      <c r="AT38" s="148">
        <v>0</v>
      </c>
    </row>
    <row r="42" spans="1:46">
      <c r="H42" s="88"/>
    </row>
    <row r="43" spans="1:46">
      <c r="H43" s="88"/>
    </row>
    <row r="44" spans="1:46">
      <c r="H44" s="88"/>
    </row>
    <row r="45" spans="1:46">
      <c r="H45" s="88"/>
    </row>
    <row r="46" spans="1:46">
      <c r="H46" s="88"/>
    </row>
  </sheetData>
  <mergeCells count="45">
    <mergeCell ref="AS3:AT3"/>
    <mergeCell ref="AS31:AT31"/>
    <mergeCell ref="AQ3:AR3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O3:AP3"/>
    <mergeCell ref="Y3:Z3"/>
    <mergeCell ref="AM3:AN3"/>
    <mergeCell ref="AK3:AL3"/>
    <mergeCell ref="AI3:AJ3"/>
    <mergeCell ref="O3:P3"/>
    <mergeCell ref="U31:V31"/>
    <mergeCell ref="S31:T31"/>
    <mergeCell ref="Q3:R3"/>
    <mergeCell ref="S3:T3"/>
    <mergeCell ref="U3:V3"/>
    <mergeCell ref="AE3:AF3"/>
    <mergeCell ref="AG3:AH3"/>
    <mergeCell ref="AC3:AD3"/>
    <mergeCell ref="AA3:AB3"/>
    <mergeCell ref="Q31:R31"/>
    <mergeCell ref="A14:G14"/>
    <mergeCell ref="A3:D3"/>
    <mergeCell ref="W3:X3"/>
    <mergeCell ref="M31:N31"/>
    <mergeCell ref="E3:F3"/>
    <mergeCell ref="G3:H3"/>
    <mergeCell ref="I3:J3"/>
    <mergeCell ref="K3:L3"/>
    <mergeCell ref="M3:N3"/>
    <mergeCell ref="K31:L31"/>
    <mergeCell ref="W31:X31"/>
    <mergeCell ref="A31:D31"/>
    <mergeCell ref="E31:F31"/>
    <mergeCell ref="G31:H31"/>
    <mergeCell ref="I31:J31"/>
    <mergeCell ref="O31:P3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5B6C-8CD2-470A-ADB0-1122532A6334}">
  <sheetPr>
    <tabColor theme="5" tint="-0.249977111117893"/>
  </sheetPr>
  <dimension ref="B2:L64"/>
  <sheetViews>
    <sheetView tabSelected="1" zoomScaleNormal="100" workbookViewId="0">
      <selection activeCell="H13" sqref="H13"/>
    </sheetView>
  </sheetViews>
  <sheetFormatPr defaultRowHeight="13.2"/>
  <cols>
    <col min="2" max="2" width="43.44140625" bestFit="1" customWidth="1"/>
    <col min="3" max="3" width="14.33203125" bestFit="1" customWidth="1"/>
    <col min="4" max="4" width="13.33203125" bestFit="1" customWidth="1"/>
    <col min="5" max="5" width="12.21875" bestFit="1" customWidth="1"/>
    <col min="6" max="6" width="20.6640625" bestFit="1" customWidth="1"/>
    <col min="7" max="7" width="14" customWidth="1"/>
    <col min="8" max="8" width="14.88671875" bestFit="1" customWidth="1"/>
    <col min="9" max="9" width="13.44140625" bestFit="1" customWidth="1"/>
    <col min="11" max="11" width="13" bestFit="1" customWidth="1"/>
    <col min="14" max="14" width="13.44140625" bestFit="1" customWidth="1"/>
  </cols>
  <sheetData>
    <row r="2" spans="2:5">
      <c r="B2" s="64" t="s">
        <v>96</v>
      </c>
    </row>
    <row r="3" spans="2:5">
      <c r="B3" s="55" t="s">
        <v>78</v>
      </c>
      <c r="C3" s="56" t="s">
        <v>79</v>
      </c>
      <c r="D3" s="56" t="s">
        <v>80</v>
      </c>
      <c r="E3" s="56" t="s">
        <v>81</v>
      </c>
    </row>
    <row r="4" spans="2:5">
      <c r="B4" s="65" t="s">
        <v>82</v>
      </c>
      <c r="C4" s="56">
        <v>243</v>
      </c>
      <c r="D4" s="56">
        <v>147</v>
      </c>
      <c r="E4" s="56">
        <v>229</v>
      </c>
    </row>
    <row r="5" spans="2:5">
      <c r="B5" s="57" t="s">
        <v>83</v>
      </c>
      <c r="C5" s="58">
        <v>29</v>
      </c>
      <c r="D5" s="58">
        <v>-15</v>
      </c>
      <c r="E5" s="58">
        <v>70</v>
      </c>
    </row>
    <row r="6" spans="2:5">
      <c r="B6" s="57" t="s">
        <v>84</v>
      </c>
      <c r="C6" s="59">
        <v>1074</v>
      </c>
      <c r="D6" s="59">
        <v>1623</v>
      </c>
      <c r="E6" s="59">
        <v>1750</v>
      </c>
    </row>
    <row r="7" spans="2:5">
      <c r="B7" s="57" t="s">
        <v>85</v>
      </c>
      <c r="C7" s="59">
        <v>1003</v>
      </c>
      <c r="D7" s="59">
        <v>1701</v>
      </c>
      <c r="E7" s="61">
        <v>1657</v>
      </c>
    </row>
    <row r="8" spans="2:5">
      <c r="B8" s="65" t="s">
        <v>105</v>
      </c>
      <c r="C8" s="60">
        <v>0.93</v>
      </c>
      <c r="D8" s="60">
        <v>1.05</v>
      </c>
      <c r="E8" s="60">
        <v>0.95</v>
      </c>
    </row>
    <row r="9" spans="2:5">
      <c r="B9" s="65" t="s">
        <v>102</v>
      </c>
      <c r="C9" s="59">
        <v>214</v>
      </c>
      <c r="D9" s="59">
        <v>162</v>
      </c>
      <c r="E9" s="59">
        <v>159</v>
      </c>
    </row>
    <row r="10" spans="2:5">
      <c r="B10" s="65" t="s">
        <v>103</v>
      </c>
      <c r="C10" s="59">
        <v>73</v>
      </c>
      <c r="D10" s="59">
        <v>54</v>
      </c>
      <c r="E10" s="59">
        <v>91</v>
      </c>
    </row>
    <row r="11" spans="2:5">
      <c r="B11" s="65" t="s">
        <v>104</v>
      </c>
      <c r="C11" s="60">
        <v>0.34</v>
      </c>
      <c r="D11" s="60">
        <v>0.33</v>
      </c>
      <c r="E11" s="60">
        <v>0.55000000000000004</v>
      </c>
    </row>
    <row r="12" spans="2:5">
      <c r="B12" s="61" t="s">
        <v>86</v>
      </c>
      <c r="C12" s="62">
        <f>SUMIFS('FATURAMENTO RECUPERACAO'!D:D,'FATURAMENTO RECUPERACAO'!E:E,"Abril")</f>
        <v>96648.237490999993</v>
      </c>
      <c r="D12" s="62">
        <f>SUMIFS('FATURAMENTO RECUPERACAO'!D:D,'FATURAMENTO RECUPERACAO'!E:E,"Maio")</f>
        <v>30682.985000000001</v>
      </c>
      <c r="E12" s="62">
        <f>SUMIFS('FATURAMENTO RECUPERACAO'!D:D,'FATURAMENTO RECUPERACAO'!E:E,"Junho")</f>
        <v>8711.02</v>
      </c>
    </row>
    <row r="14" spans="2:5">
      <c r="B14" s="64" t="s">
        <v>106</v>
      </c>
    </row>
    <row r="15" spans="2:5">
      <c r="B15" s="61" t="s">
        <v>87</v>
      </c>
      <c r="C15" s="66" t="s">
        <v>88</v>
      </c>
      <c r="D15" s="61" t="s">
        <v>89</v>
      </c>
    </row>
    <row r="16" spans="2:5">
      <c r="B16" s="61" t="s">
        <v>79</v>
      </c>
      <c r="C16" s="61">
        <v>243</v>
      </c>
      <c r="D16" s="61" t="s">
        <v>90</v>
      </c>
    </row>
    <row r="17" spans="2:12">
      <c r="B17" s="61" t="s">
        <v>80</v>
      </c>
      <c r="C17" s="61">
        <v>147</v>
      </c>
      <c r="D17" s="63">
        <v>-0.4</v>
      </c>
    </row>
    <row r="18" spans="2:12">
      <c r="B18" s="61" t="s">
        <v>81</v>
      </c>
      <c r="C18" s="61">
        <v>229</v>
      </c>
      <c r="D18" s="63">
        <v>0.56000000000000005</v>
      </c>
    </row>
    <row r="20" spans="2:12">
      <c r="B20" s="64" t="s">
        <v>97</v>
      </c>
      <c r="H20" s="64" t="s">
        <v>107</v>
      </c>
    </row>
    <row r="21" spans="2:12">
      <c r="B21" s="61" t="s">
        <v>87</v>
      </c>
      <c r="C21" s="61" t="s">
        <v>2</v>
      </c>
      <c r="D21" s="61" t="s">
        <v>3</v>
      </c>
      <c r="E21" s="61" t="s">
        <v>4</v>
      </c>
      <c r="F21" s="61" t="s">
        <v>91</v>
      </c>
      <c r="H21" s="61" t="s">
        <v>87</v>
      </c>
      <c r="I21" s="61" t="s">
        <v>2</v>
      </c>
      <c r="J21" s="61" t="s">
        <v>3</v>
      </c>
      <c r="K21" s="61" t="s">
        <v>4</v>
      </c>
      <c r="L21" s="61" t="s">
        <v>91</v>
      </c>
    </row>
    <row r="22" spans="2:12">
      <c r="B22" s="61" t="s">
        <v>79</v>
      </c>
      <c r="C22" s="61">
        <v>1074</v>
      </c>
      <c r="D22" s="61">
        <v>1003</v>
      </c>
      <c r="E22" s="63">
        <v>0.93</v>
      </c>
      <c r="F22" s="61" t="s">
        <v>92</v>
      </c>
      <c r="H22" s="61" t="s">
        <v>79</v>
      </c>
      <c r="I22" s="61">
        <v>214</v>
      </c>
      <c r="J22" s="61">
        <v>73</v>
      </c>
      <c r="K22" s="60">
        <v>0.34</v>
      </c>
      <c r="L22" s="61" t="s">
        <v>92</v>
      </c>
    </row>
    <row r="23" spans="2:12">
      <c r="B23" s="61" t="s">
        <v>80</v>
      </c>
      <c r="C23" s="61">
        <v>1623</v>
      </c>
      <c r="D23" s="61">
        <v>1701</v>
      </c>
      <c r="E23" s="63">
        <v>1.05</v>
      </c>
      <c r="F23" s="61" t="s">
        <v>93</v>
      </c>
      <c r="H23" s="61" t="s">
        <v>80</v>
      </c>
      <c r="I23" s="61">
        <v>162</v>
      </c>
      <c r="J23" s="61">
        <v>54</v>
      </c>
      <c r="K23" s="60">
        <v>0.33</v>
      </c>
      <c r="L23" s="61" t="s">
        <v>92</v>
      </c>
    </row>
    <row r="24" spans="2:12">
      <c r="B24" s="61" t="s">
        <v>81</v>
      </c>
      <c r="C24" s="61">
        <v>1750</v>
      </c>
      <c r="D24" s="61">
        <v>1657</v>
      </c>
      <c r="E24" s="63">
        <v>0.95</v>
      </c>
      <c r="F24" s="61" t="s">
        <v>92</v>
      </c>
      <c r="H24" s="61" t="s">
        <v>81</v>
      </c>
      <c r="I24" s="61">
        <v>159</v>
      </c>
      <c r="J24" s="61">
        <v>91</v>
      </c>
      <c r="K24" s="60">
        <v>0.55000000000000004</v>
      </c>
      <c r="L24" s="61" t="s">
        <v>92</v>
      </c>
    </row>
    <row r="26" spans="2:12">
      <c r="B26" s="64" t="s">
        <v>98</v>
      </c>
    </row>
    <row r="27" spans="2:12">
      <c r="B27" s="61" t="s">
        <v>1</v>
      </c>
      <c r="C27" s="61" t="s">
        <v>79</v>
      </c>
      <c r="D27" s="61" t="s">
        <v>80</v>
      </c>
      <c r="E27" s="61" t="s">
        <v>81</v>
      </c>
      <c r="F27" s="61" t="s">
        <v>11</v>
      </c>
    </row>
    <row r="28" spans="2:12">
      <c r="B28" s="61" t="s">
        <v>55</v>
      </c>
      <c r="C28" s="62">
        <f>SUMIFS('FATURAMENTO RECUPERACAO'!D:D,'FATURAMENTO RECUPERACAO'!A:A,B28,'FATURAMENTO RECUPERACAO'!E:E,"Abril")</f>
        <v>8881.9274910000004</v>
      </c>
      <c r="D28" s="183">
        <f>SUMIFS('FATURAMENTO RECUPERACAO'!D:D,'FATURAMENTO RECUPERACAO'!A:A,B28,'FATURAMENTO RECUPERACAO'!E:E,"Maio")</f>
        <v>0</v>
      </c>
      <c r="E28" s="61">
        <f>SUMIFS('FATURAMENTO RECUPERACAO'!D:D,'FATURAMENTO RECUPERACAO'!A:A,B28,'FATURAMENTO RECUPERACAO'!E:E,"Junho")</f>
        <v>0</v>
      </c>
      <c r="F28" s="62">
        <f>SUM(C28:E28)</f>
        <v>8881.9274910000004</v>
      </c>
    </row>
    <row r="29" spans="2:12">
      <c r="B29" s="61" t="s">
        <v>6</v>
      </c>
      <c r="C29" s="62">
        <f>SUMIFS('FATURAMENTO RECUPERACAO'!D:D,'FATURAMENTO RECUPERACAO'!A:A,B29,'FATURAMENTO RECUPERACAO'!E:E,"Abril")</f>
        <v>14368.270000000004</v>
      </c>
      <c r="D29" s="183">
        <f>SUMIFS('FATURAMENTO RECUPERACAO'!D:D,'FATURAMENTO RECUPERACAO'!A:A,B29,'FATURAMENTO RECUPERACAO'!E:E,"Maio")</f>
        <v>5323.0600020000011</v>
      </c>
      <c r="E29" s="61">
        <f>SUMIFS('FATURAMENTO RECUPERACAO'!D:D,'FATURAMENTO RECUPERACAO'!A:A,B29,'FATURAMENTO RECUPERACAO'!E:E,"Junho")</f>
        <v>2660.8</v>
      </c>
      <c r="F29" s="62">
        <f t="shared" ref="F29:F33" si="0">SUM(C29:E29)</f>
        <v>22352.130002000005</v>
      </c>
    </row>
    <row r="30" spans="2:12">
      <c r="B30" s="61" t="s">
        <v>7</v>
      </c>
      <c r="C30" s="62">
        <f>SUMIFS('FATURAMENTO RECUPERACAO'!D:D,'FATURAMENTO RECUPERACAO'!A:A,B30,'FATURAMENTO RECUPERACAO'!E:E,"Abril")</f>
        <v>1344.6200000000001</v>
      </c>
      <c r="D30" s="183">
        <f>SUMIFS('FATURAMENTO RECUPERACAO'!D:D,'FATURAMENTO RECUPERACAO'!A:A,B30,'FATURAMENTO RECUPERACAO'!E:E,"Maio")</f>
        <v>10823.154999999999</v>
      </c>
      <c r="E30" s="61">
        <f>SUMIFS('FATURAMENTO RECUPERACAO'!D:D,'FATURAMENTO RECUPERACAO'!A:A,B30,'FATURAMENTO RECUPERACAO'!E:E,"Junho")</f>
        <v>1947.7400000000002</v>
      </c>
      <c r="F30" s="62">
        <f t="shared" si="0"/>
        <v>14115.514999999999</v>
      </c>
    </row>
    <row r="31" spans="2:12">
      <c r="B31" s="61" t="s">
        <v>8</v>
      </c>
      <c r="C31" s="62">
        <f>SUMIFS('FATURAMENTO RECUPERACAO'!D:D,'FATURAMENTO RECUPERACAO'!A:A,B31,'FATURAMENTO RECUPERACAO'!E:E,"Abril")</f>
        <v>0</v>
      </c>
      <c r="D31" s="183">
        <f>SUMIFS('FATURAMENTO RECUPERACAO'!D:D,'FATURAMENTO RECUPERACAO'!A:A,B31,'FATURAMENTO RECUPERACAO'!E:E,"Maio")</f>
        <v>1370.55</v>
      </c>
      <c r="E31" s="61">
        <f>SUMIFS('FATURAMENTO RECUPERACAO'!D:D,'FATURAMENTO RECUPERACAO'!A:A,B31,'FATURAMENTO RECUPERACAO'!E:E,"Junho")</f>
        <v>309.64999999999998</v>
      </c>
      <c r="F31" s="62">
        <f t="shared" si="0"/>
        <v>1680.1999999999998</v>
      </c>
    </row>
    <row r="32" spans="2:12">
      <c r="B32" s="66" t="s">
        <v>56</v>
      </c>
      <c r="C32" s="62">
        <f>SUMIFS('FATURAMENTO RECUPERACAO'!D:D,'FATURAMENTO RECUPERACAO'!A:A,B32,'FATURAMENTO RECUPERACAO'!E:E,"Abril")</f>
        <v>31780.950000000004</v>
      </c>
      <c r="D32" s="183">
        <f>SUMIFS('FATURAMENTO RECUPERACAO'!D:D,'FATURAMENTO RECUPERACAO'!A:A,B32,'FATURAMENTO RECUPERACAO'!E:E,"Maio")</f>
        <v>5969.51</v>
      </c>
      <c r="E32" s="61">
        <f>SUMIFS('FATURAMENTO RECUPERACAO'!D:D,'FATURAMENTO RECUPERACAO'!A:A,B32,'FATURAMENTO RECUPERACAO'!E:E,"Junho")</f>
        <v>1560.3799999999999</v>
      </c>
      <c r="F32" s="62">
        <f t="shared" si="0"/>
        <v>39310.840000000004</v>
      </c>
    </row>
    <row r="33" spans="2:11">
      <c r="B33" s="61" t="s">
        <v>10</v>
      </c>
      <c r="C33" s="62">
        <f>SUMIFS('FATURAMENTO RECUPERACAO'!D:D,'FATURAMENTO RECUPERACAO'!A:A,B33,'FATURAMENTO RECUPERACAO'!E:E,"Abril")</f>
        <v>40272.470000000008</v>
      </c>
      <c r="D33" s="183">
        <f>SUMIFS('FATURAMENTO RECUPERACAO'!D:D,'FATURAMENTO RECUPERACAO'!A:A,B33,'FATURAMENTO RECUPERACAO'!E:E,"Maio")</f>
        <v>7196.7099980000012</v>
      </c>
      <c r="E33" s="61">
        <f>SUMIFS('FATURAMENTO RECUPERACAO'!D:D,'FATURAMENTO RECUPERACAO'!A:A,B33,'FATURAMENTO RECUPERACAO'!E:E,"Junho")</f>
        <v>2232.4499999999998</v>
      </c>
      <c r="F33" s="62">
        <f t="shared" si="0"/>
        <v>49701.629998000004</v>
      </c>
    </row>
    <row r="35" spans="2:11">
      <c r="B35" s="79" t="s">
        <v>109</v>
      </c>
      <c r="F35" s="80" t="s">
        <v>111</v>
      </c>
      <c r="I35" s="80" t="s">
        <v>112</v>
      </c>
    </row>
    <row r="36" spans="2:11">
      <c r="B36" s="78" t="s">
        <v>110</v>
      </c>
      <c r="C36" s="66" t="s">
        <v>113</v>
      </c>
      <c r="D36" s="66" t="s">
        <v>114</v>
      </c>
      <c r="E36" s="66" t="s">
        <v>4</v>
      </c>
      <c r="F36" s="66" t="s">
        <v>113</v>
      </c>
      <c r="G36" s="66" t="s">
        <v>114</v>
      </c>
      <c r="H36" s="66" t="s">
        <v>4</v>
      </c>
      <c r="I36" s="66" t="s">
        <v>113</v>
      </c>
      <c r="J36" s="66" t="s">
        <v>114</v>
      </c>
      <c r="K36" s="66" t="s">
        <v>4</v>
      </c>
    </row>
    <row r="37" spans="2:11">
      <c r="B37" s="67" t="s">
        <v>55</v>
      </c>
      <c r="C37" s="68">
        <v>72</v>
      </c>
      <c r="D37" s="68">
        <v>20</v>
      </c>
      <c r="E37" s="69">
        <v>0.28000000000000003</v>
      </c>
      <c r="F37" s="75">
        <v>30</v>
      </c>
      <c r="G37" s="75">
        <v>10</v>
      </c>
      <c r="H37" s="76">
        <v>0.33</v>
      </c>
      <c r="I37" s="68"/>
      <c r="J37" s="68"/>
      <c r="K37" s="69"/>
    </row>
    <row r="38" spans="2:11">
      <c r="B38" s="67" t="s">
        <v>6</v>
      </c>
      <c r="C38" s="68">
        <v>39</v>
      </c>
      <c r="D38" s="68">
        <v>11</v>
      </c>
      <c r="E38" s="69">
        <v>0.28000000000000003</v>
      </c>
      <c r="F38" s="77"/>
      <c r="G38" s="77"/>
      <c r="H38" s="77"/>
      <c r="I38" s="68">
        <v>31</v>
      </c>
      <c r="J38" s="68">
        <v>16</v>
      </c>
      <c r="K38" s="69">
        <v>0.5161</v>
      </c>
    </row>
    <row r="39" spans="2:11">
      <c r="B39" s="67" t="s">
        <v>7</v>
      </c>
      <c r="C39" s="68">
        <v>44</v>
      </c>
      <c r="D39" s="68">
        <v>3</v>
      </c>
      <c r="E39" s="69">
        <v>7.0000000000000007E-2</v>
      </c>
      <c r="F39" s="75">
        <v>50</v>
      </c>
      <c r="G39" s="75">
        <v>18</v>
      </c>
      <c r="H39" s="76">
        <v>0.36</v>
      </c>
      <c r="I39" s="68">
        <v>48</v>
      </c>
      <c r="J39" s="68">
        <v>21</v>
      </c>
      <c r="K39" s="69">
        <v>0.4375</v>
      </c>
    </row>
    <row r="40" spans="2:11">
      <c r="B40" s="67" t="s">
        <v>9</v>
      </c>
      <c r="C40" s="68">
        <v>37</v>
      </c>
      <c r="D40" s="68">
        <v>17</v>
      </c>
      <c r="E40" s="69">
        <v>0.46</v>
      </c>
      <c r="F40" s="75">
        <v>33</v>
      </c>
      <c r="G40" s="75">
        <v>9</v>
      </c>
      <c r="H40" s="76">
        <v>0.27</v>
      </c>
      <c r="I40" s="68">
        <v>30</v>
      </c>
      <c r="J40" s="68">
        <v>27</v>
      </c>
      <c r="K40" s="69">
        <v>0.9</v>
      </c>
    </row>
    <row r="41" spans="2:11">
      <c r="B41" s="67" t="s">
        <v>10</v>
      </c>
      <c r="C41" s="68">
        <v>22</v>
      </c>
      <c r="D41" s="68">
        <v>22</v>
      </c>
      <c r="E41" s="69">
        <v>1</v>
      </c>
      <c r="F41" s="75">
        <v>23</v>
      </c>
      <c r="G41" s="75">
        <v>14</v>
      </c>
      <c r="H41" s="76">
        <v>0.61</v>
      </c>
      <c r="I41" s="68">
        <v>25</v>
      </c>
      <c r="J41" s="68">
        <v>20</v>
      </c>
      <c r="K41" s="69">
        <v>0.8</v>
      </c>
    </row>
    <row r="42" spans="2:11">
      <c r="B42" s="70" t="s">
        <v>8</v>
      </c>
      <c r="C42" s="61"/>
      <c r="D42" s="61"/>
      <c r="E42" s="61"/>
      <c r="F42" s="75">
        <v>26</v>
      </c>
      <c r="G42" s="75">
        <v>3</v>
      </c>
      <c r="H42" s="76">
        <v>0.12</v>
      </c>
      <c r="I42" s="68">
        <v>25</v>
      </c>
      <c r="J42" s="68">
        <v>7</v>
      </c>
      <c r="K42" s="69">
        <v>0.28000000000000003</v>
      </c>
    </row>
    <row r="43" spans="2:11">
      <c r="B43" s="71" t="s">
        <v>11</v>
      </c>
      <c r="C43" s="71">
        <v>214</v>
      </c>
      <c r="D43" s="71">
        <v>73</v>
      </c>
      <c r="E43" s="72">
        <v>0.34</v>
      </c>
      <c r="F43" s="73">
        <v>162</v>
      </c>
      <c r="G43" s="73">
        <v>54</v>
      </c>
      <c r="H43" s="74">
        <v>0.33</v>
      </c>
      <c r="I43" s="71">
        <v>159</v>
      </c>
      <c r="J43" s="71">
        <v>91</v>
      </c>
      <c r="K43" s="72">
        <v>0.57230000000000003</v>
      </c>
    </row>
    <row r="45" spans="2:11">
      <c r="B45" s="64" t="s">
        <v>99</v>
      </c>
    </row>
    <row r="46" spans="2:11">
      <c r="B46" s="61" t="s">
        <v>94</v>
      </c>
      <c r="C46" s="61" t="s">
        <v>1</v>
      </c>
      <c r="D46" s="61" t="s">
        <v>36</v>
      </c>
    </row>
    <row r="47" spans="2:11">
      <c r="B47" s="61">
        <v>1</v>
      </c>
      <c r="C47" s="61" t="s">
        <v>10</v>
      </c>
      <c r="D47" s="62">
        <f>F33</f>
        <v>49701.629998000004</v>
      </c>
    </row>
    <row r="48" spans="2:11">
      <c r="B48" s="61">
        <v>2</v>
      </c>
      <c r="C48" s="61" t="s">
        <v>9</v>
      </c>
      <c r="D48" s="62">
        <f>F32</f>
        <v>39310.840000000004</v>
      </c>
    </row>
    <row r="49" spans="2:4">
      <c r="B49" s="61">
        <v>3</v>
      </c>
      <c r="C49" s="61" t="s">
        <v>6</v>
      </c>
      <c r="D49" s="62">
        <f>F29</f>
        <v>22352.130002000005</v>
      </c>
    </row>
    <row r="50" spans="2:4">
      <c r="B50" s="61">
        <v>4</v>
      </c>
      <c r="C50" s="61" t="s">
        <v>7</v>
      </c>
      <c r="D50" s="62">
        <f>F30</f>
        <v>14115.514999999999</v>
      </c>
    </row>
    <row r="51" spans="2:4">
      <c r="B51" s="61">
        <v>5</v>
      </c>
      <c r="C51" s="61" t="s">
        <v>55</v>
      </c>
      <c r="D51" s="62">
        <f>F28</f>
        <v>8881.9274910000004</v>
      </c>
    </row>
    <row r="52" spans="2:4">
      <c r="B52" s="61">
        <v>6</v>
      </c>
      <c r="C52" s="61" t="s">
        <v>8</v>
      </c>
      <c r="D52" s="62">
        <f>F31</f>
        <v>1680.1999999999998</v>
      </c>
    </row>
    <row r="54" spans="2:4">
      <c r="B54" s="64" t="s">
        <v>100</v>
      </c>
    </row>
    <row r="55" spans="2:4">
      <c r="B55" s="61" t="s">
        <v>87</v>
      </c>
      <c r="C55" s="61" t="s">
        <v>36</v>
      </c>
      <c r="D55" s="61" t="s">
        <v>89</v>
      </c>
    </row>
    <row r="56" spans="2:4">
      <c r="B56" s="61" t="s">
        <v>79</v>
      </c>
      <c r="C56" s="62">
        <f>SUM(C28:C33)</f>
        <v>96648.237491000007</v>
      </c>
      <c r="D56" s="61" t="s">
        <v>90</v>
      </c>
    </row>
    <row r="57" spans="2:4">
      <c r="B57" s="61" t="s">
        <v>80</v>
      </c>
      <c r="C57" s="62">
        <f>SUM(D28:D33)</f>
        <v>30682.985000000004</v>
      </c>
      <c r="D57" s="166">
        <v>-0.6825</v>
      </c>
    </row>
    <row r="58" spans="2:4">
      <c r="B58" s="61" t="s">
        <v>81</v>
      </c>
      <c r="C58" s="62">
        <f>SUM(E28:E33)</f>
        <v>8711.02</v>
      </c>
      <c r="D58" s="167">
        <v>-0.71609999999999996</v>
      </c>
    </row>
    <row r="60" spans="2:4">
      <c r="B60" s="64" t="s">
        <v>101</v>
      </c>
    </row>
    <row r="61" spans="2:4">
      <c r="B61" s="61" t="s">
        <v>78</v>
      </c>
      <c r="C61" s="61" t="s">
        <v>95</v>
      </c>
    </row>
    <row r="62" spans="2:4">
      <c r="B62" s="61" t="s">
        <v>82</v>
      </c>
      <c r="C62" s="61">
        <f>SUM(C16:C18)</f>
        <v>619</v>
      </c>
    </row>
    <row r="63" spans="2:4">
      <c r="B63" s="61" t="s">
        <v>86</v>
      </c>
      <c r="C63" s="161">
        <f>SUM('FATURAMENTO RECUPERACAO'!D:D)</f>
        <v>136042.24249100004</v>
      </c>
    </row>
    <row r="64" spans="2:4">
      <c r="B64" s="66" t="s">
        <v>108</v>
      </c>
      <c r="C64" s="61">
        <f>SUM(J22:J24)</f>
        <v>218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89EE-7A7A-4DD1-9FE6-736B949DBD92}">
  <sheetPr>
    <tabColor theme="7"/>
    <outlinePr summaryBelow="0" summaryRight="0"/>
  </sheetPr>
  <dimension ref="A1:AK964"/>
  <sheetViews>
    <sheetView showGridLines="0" zoomScaleNormal="100" workbookViewId="0">
      <selection activeCell="AC9" sqref="AC9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3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7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J1" s="89"/>
    </row>
    <row r="2" spans="1:37" ht="13.2">
      <c r="A2" s="88"/>
      <c r="B2" s="88"/>
      <c r="C2" s="285" t="s">
        <v>28</v>
      </c>
      <c r="D2" s="286"/>
      <c r="E2" s="286"/>
      <c r="F2" s="287"/>
      <c r="G2" s="285" t="s">
        <v>29</v>
      </c>
      <c r="H2" s="286"/>
      <c r="I2" s="286"/>
      <c r="J2" s="286"/>
      <c r="K2" s="287"/>
      <c r="L2" s="285" t="s">
        <v>30</v>
      </c>
      <c r="M2" s="286"/>
      <c r="N2" s="286"/>
      <c r="O2" s="286"/>
      <c r="P2" s="287"/>
      <c r="Q2" s="285" t="s">
        <v>31</v>
      </c>
      <c r="R2" s="286"/>
      <c r="S2" s="286"/>
      <c r="T2" s="286"/>
      <c r="U2" s="287"/>
      <c r="V2" s="285" t="s">
        <v>32</v>
      </c>
      <c r="W2" s="286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  <c r="AJ2" s="92"/>
    </row>
    <row r="3" spans="1:37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2"/>
      <c r="Y3" s="283"/>
      <c r="Z3" s="88"/>
      <c r="AA3" s="87">
        <v>1</v>
      </c>
      <c r="AB3" s="93">
        <v>39905</v>
      </c>
      <c r="AC3" s="93" t="s">
        <v>145</v>
      </c>
      <c r="AD3" s="94">
        <v>46059</v>
      </c>
      <c r="AE3" s="93">
        <v>395.94</v>
      </c>
      <c r="AF3" s="94">
        <v>46298</v>
      </c>
      <c r="AG3" s="93" t="s">
        <v>40</v>
      </c>
      <c r="AH3" s="93">
        <v>84</v>
      </c>
    </row>
    <row r="4" spans="1:37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35214</v>
      </c>
      <c r="AC4" s="93" t="s">
        <v>146</v>
      </c>
      <c r="AD4" s="94">
        <v>46059</v>
      </c>
      <c r="AE4" s="93">
        <v>536.37</v>
      </c>
      <c r="AF4" s="94">
        <v>46085</v>
      </c>
      <c r="AG4" s="93" t="s">
        <v>45</v>
      </c>
      <c r="AH4" s="93">
        <v>60</v>
      </c>
    </row>
    <row r="5" spans="1:37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2</v>
      </c>
      <c r="O5" s="102">
        <v>2</v>
      </c>
      <c r="P5" s="103">
        <v>2</v>
      </c>
      <c r="Q5" s="101">
        <v>2</v>
      </c>
      <c r="R5" s="102">
        <v>2</v>
      </c>
      <c r="S5" s="102">
        <v>2</v>
      </c>
      <c r="T5" s="102">
        <v>2</v>
      </c>
      <c r="U5" s="103">
        <v>2</v>
      </c>
      <c r="V5" s="51">
        <v>2</v>
      </c>
      <c r="W5" s="103">
        <v>2</v>
      </c>
      <c r="X5" s="104">
        <v>31</v>
      </c>
      <c r="Y5" s="88"/>
      <c r="Z5" s="88"/>
      <c r="AA5" s="87">
        <v>3</v>
      </c>
      <c r="AB5" s="93">
        <v>26900</v>
      </c>
      <c r="AC5" s="93" t="s">
        <v>147</v>
      </c>
      <c r="AD5" s="94">
        <v>46148</v>
      </c>
      <c r="AE5" s="93">
        <v>450.42</v>
      </c>
      <c r="AF5" s="94">
        <v>46096</v>
      </c>
      <c r="AG5" s="93" t="s">
        <v>6</v>
      </c>
      <c r="AH5" s="93">
        <v>82</v>
      </c>
    </row>
    <row r="6" spans="1:37" ht="13.8" thickBot="1">
      <c r="A6" s="88"/>
      <c r="B6" s="100" t="s">
        <v>46</v>
      </c>
      <c r="C6" s="105">
        <v>0</v>
      </c>
      <c r="D6" s="106">
        <v>2</v>
      </c>
      <c r="E6" s="106">
        <v>0</v>
      </c>
      <c r="F6" s="107">
        <v>3</v>
      </c>
      <c r="G6" s="105">
        <v>0</v>
      </c>
      <c r="H6" s="106">
        <v>1</v>
      </c>
      <c r="I6" s="106">
        <v>0</v>
      </c>
      <c r="J6" s="106">
        <v>1</v>
      </c>
      <c r="K6" s="107">
        <v>0</v>
      </c>
      <c r="L6" s="105">
        <v>1</v>
      </c>
      <c r="M6" s="106">
        <v>1</v>
      </c>
      <c r="N6" s="106">
        <v>0</v>
      </c>
      <c r="O6" s="106">
        <v>1</v>
      </c>
      <c r="P6" s="107">
        <v>0</v>
      </c>
      <c r="Q6" s="105">
        <v>0</v>
      </c>
      <c r="R6" s="106">
        <v>0</v>
      </c>
      <c r="S6" s="106">
        <v>0</v>
      </c>
      <c r="T6" s="106">
        <v>0</v>
      </c>
      <c r="U6" s="107">
        <v>3</v>
      </c>
      <c r="V6" s="105">
        <v>1</v>
      </c>
      <c r="W6" s="107">
        <v>2</v>
      </c>
      <c r="X6" s="104">
        <v>16</v>
      </c>
      <c r="Y6" s="108">
        <v>-15</v>
      </c>
      <c r="Z6" s="88"/>
      <c r="AA6" s="87">
        <v>4</v>
      </c>
      <c r="AB6" s="93">
        <v>25286</v>
      </c>
      <c r="AC6" s="93" t="s">
        <v>148</v>
      </c>
      <c r="AD6" s="94">
        <v>46148</v>
      </c>
      <c r="AE6" s="93">
        <v>1339.6</v>
      </c>
      <c r="AF6" s="94">
        <v>46057</v>
      </c>
      <c r="AG6" s="93" t="s">
        <v>47</v>
      </c>
      <c r="AH6" s="93">
        <v>64</v>
      </c>
    </row>
    <row r="7" spans="1:37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93">
        <v>29748</v>
      </c>
      <c r="AC7" s="93" t="s">
        <v>149</v>
      </c>
      <c r="AD7" s="94">
        <v>46148</v>
      </c>
      <c r="AE7" s="93">
        <v>429.34</v>
      </c>
      <c r="AF7" s="94">
        <v>46129</v>
      </c>
      <c r="AG7" s="93" t="s">
        <v>6</v>
      </c>
      <c r="AH7" s="93">
        <v>49</v>
      </c>
    </row>
    <row r="8" spans="1:37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41967</v>
      </c>
      <c r="AC8" s="93" t="s">
        <v>150</v>
      </c>
      <c r="AD8" s="94">
        <v>46271</v>
      </c>
      <c r="AE8" s="93">
        <v>177.86</v>
      </c>
      <c r="AF8" s="94">
        <v>46098</v>
      </c>
      <c r="AG8" s="93" t="s">
        <v>48</v>
      </c>
      <c r="AH8" s="93">
        <v>84</v>
      </c>
    </row>
    <row r="9" spans="1:37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111">
        <v>7</v>
      </c>
      <c r="AB9" s="110">
        <v>40914</v>
      </c>
      <c r="AC9" s="110" t="s">
        <v>151</v>
      </c>
      <c r="AD9" s="112">
        <v>46332</v>
      </c>
      <c r="AE9" s="110">
        <v>9588</v>
      </c>
      <c r="AF9" s="112">
        <v>46145</v>
      </c>
      <c r="AG9" s="110" t="s">
        <v>6</v>
      </c>
      <c r="AH9" s="110">
        <v>98</v>
      </c>
    </row>
    <row r="10" spans="1:37" ht="13.2">
      <c r="A10" s="88"/>
      <c r="B10" s="97" t="s">
        <v>15</v>
      </c>
      <c r="C10" s="102">
        <v>47</v>
      </c>
      <c r="D10" s="102"/>
      <c r="E10" s="102">
        <v>46</v>
      </c>
      <c r="F10" s="2">
        <v>43</v>
      </c>
      <c r="G10" s="2">
        <v>43</v>
      </c>
      <c r="H10" s="102">
        <v>16</v>
      </c>
      <c r="I10" s="102">
        <v>16</v>
      </c>
      <c r="J10" s="102">
        <v>21</v>
      </c>
      <c r="K10" s="102"/>
      <c r="L10" s="113">
        <v>12</v>
      </c>
      <c r="M10" s="102">
        <v>29</v>
      </c>
      <c r="N10" s="102">
        <v>29</v>
      </c>
      <c r="O10" s="102"/>
      <c r="P10" s="102">
        <v>32</v>
      </c>
      <c r="Q10" s="102">
        <v>8</v>
      </c>
      <c r="R10" s="114">
        <v>37</v>
      </c>
      <c r="S10" s="81">
        <v>38</v>
      </c>
      <c r="T10" s="115">
        <v>37</v>
      </c>
      <c r="U10" s="116">
        <v>35</v>
      </c>
      <c r="V10" s="102">
        <v>25</v>
      </c>
      <c r="W10" s="102"/>
      <c r="X10" s="88"/>
      <c r="Y10" s="88"/>
      <c r="Z10" s="88"/>
      <c r="AA10" s="87">
        <v>8</v>
      </c>
      <c r="AB10" s="93">
        <v>44581</v>
      </c>
      <c r="AC10" s="93" t="s">
        <v>152</v>
      </c>
      <c r="AD10" s="94">
        <v>46188</v>
      </c>
      <c r="AE10" s="93">
        <v>228.74</v>
      </c>
      <c r="AF10" s="94">
        <v>46126</v>
      </c>
      <c r="AG10" s="93" t="s">
        <v>50</v>
      </c>
      <c r="AH10" s="93">
        <v>62</v>
      </c>
    </row>
    <row r="11" spans="1:37" ht="13.2">
      <c r="A11" s="88"/>
      <c r="B11" s="97" t="s">
        <v>16</v>
      </c>
      <c r="C11" s="102">
        <v>9</v>
      </c>
      <c r="D11" s="102"/>
      <c r="E11" s="102">
        <v>9</v>
      </c>
      <c r="F11" s="2">
        <v>7</v>
      </c>
      <c r="G11" s="2">
        <v>7</v>
      </c>
      <c r="H11" s="102">
        <v>7</v>
      </c>
      <c r="I11" s="102">
        <v>7</v>
      </c>
      <c r="J11" s="102">
        <v>7</v>
      </c>
      <c r="K11" s="102"/>
      <c r="L11" s="113">
        <v>10</v>
      </c>
      <c r="M11" s="102">
        <v>10</v>
      </c>
      <c r="N11" s="102">
        <v>10</v>
      </c>
      <c r="O11" s="102"/>
      <c r="P11" s="102">
        <v>11</v>
      </c>
      <c r="Q11" s="102">
        <v>12</v>
      </c>
      <c r="R11" s="114">
        <v>11</v>
      </c>
      <c r="S11" s="81">
        <v>9</v>
      </c>
      <c r="T11" s="115">
        <v>9</v>
      </c>
      <c r="U11" s="116">
        <v>9</v>
      </c>
      <c r="V11" s="102">
        <v>6</v>
      </c>
      <c r="W11" s="102"/>
      <c r="X11" s="88"/>
      <c r="Y11" s="88"/>
      <c r="Z11" s="88"/>
      <c r="AA11" s="111">
        <v>9</v>
      </c>
      <c r="AB11" s="110">
        <v>43131</v>
      </c>
      <c r="AC11" s="110" t="s">
        <v>153</v>
      </c>
      <c r="AD11" s="112">
        <v>46189</v>
      </c>
      <c r="AE11" s="110">
        <v>397.3</v>
      </c>
      <c r="AF11" s="112">
        <v>46237</v>
      </c>
      <c r="AG11" s="110" t="s">
        <v>6</v>
      </c>
      <c r="AH11" s="110">
        <v>100</v>
      </c>
    </row>
    <row r="12" spans="1:37" ht="13.2">
      <c r="A12" s="88"/>
      <c r="B12" s="97" t="s">
        <v>17</v>
      </c>
      <c r="C12" s="102">
        <v>5</v>
      </c>
      <c r="D12" s="102"/>
      <c r="E12" s="102">
        <v>5</v>
      </c>
      <c r="F12" s="2">
        <v>3</v>
      </c>
      <c r="G12" s="2">
        <v>3</v>
      </c>
      <c r="H12" s="102">
        <v>4</v>
      </c>
      <c r="I12" s="102">
        <v>4</v>
      </c>
      <c r="J12" s="102">
        <v>4</v>
      </c>
      <c r="K12" s="102"/>
      <c r="L12" s="113">
        <v>6</v>
      </c>
      <c r="M12" s="102">
        <v>7</v>
      </c>
      <c r="N12" s="102">
        <v>7</v>
      </c>
      <c r="O12" s="102"/>
      <c r="P12" s="102">
        <v>5</v>
      </c>
      <c r="Q12" s="102">
        <v>3</v>
      </c>
      <c r="R12" s="114">
        <v>3</v>
      </c>
      <c r="S12" s="81">
        <v>2</v>
      </c>
      <c r="T12" s="115">
        <v>2</v>
      </c>
      <c r="U12" s="116">
        <v>4</v>
      </c>
      <c r="V12" s="102">
        <v>4</v>
      </c>
      <c r="W12" s="102"/>
      <c r="X12" s="88"/>
      <c r="Y12" s="88"/>
      <c r="Z12" s="88"/>
      <c r="AA12" s="111">
        <v>10</v>
      </c>
      <c r="AB12" s="110">
        <v>27411</v>
      </c>
      <c r="AC12" s="110" t="s">
        <v>154</v>
      </c>
      <c r="AD12" s="112">
        <v>46191</v>
      </c>
      <c r="AE12" s="110">
        <v>179.43</v>
      </c>
      <c r="AF12" s="112">
        <v>46298</v>
      </c>
      <c r="AG12" s="110" t="s">
        <v>6</v>
      </c>
      <c r="AH12" s="110">
        <v>100</v>
      </c>
      <c r="AK12">
        <v>0.2</v>
      </c>
    </row>
    <row r="13" spans="1:37" ht="13.2">
      <c r="A13" s="88"/>
      <c r="B13" s="97" t="s">
        <v>18</v>
      </c>
      <c r="C13" s="102">
        <v>0</v>
      </c>
      <c r="D13" s="102"/>
      <c r="E13" s="102">
        <v>0</v>
      </c>
      <c r="F13" s="2">
        <v>3</v>
      </c>
      <c r="G13" s="2">
        <v>3</v>
      </c>
      <c r="H13" s="102">
        <v>2</v>
      </c>
      <c r="I13" s="102">
        <v>2</v>
      </c>
      <c r="J13" s="102">
        <v>1</v>
      </c>
      <c r="K13" s="102"/>
      <c r="L13" s="113">
        <v>2</v>
      </c>
      <c r="M13" s="102">
        <v>1</v>
      </c>
      <c r="N13" s="102">
        <v>0</v>
      </c>
      <c r="O13" s="102"/>
      <c r="P13" s="102">
        <v>2</v>
      </c>
      <c r="Q13" s="102">
        <v>0</v>
      </c>
      <c r="R13" s="114">
        <v>0</v>
      </c>
      <c r="S13" s="81">
        <v>3</v>
      </c>
      <c r="T13" s="115">
        <v>2</v>
      </c>
      <c r="U13" s="116">
        <v>1</v>
      </c>
      <c r="V13" s="102">
        <v>1</v>
      </c>
      <c r="W13" s="102"/>
      <c r="X13" s="88"/>
      <c r="Y13" s="88"/>
      <c r="Z13" s="88"/>
      <c r="AA13" s="87">
        <v>11</v>
      </c>
      <c r="AB13" s="93">
        <v>36248</v>
      </c>
      <c r="AC13" s="93" t="s">
        <v>155</v>
      </c>
      <c r="AD13" s="94">
        <v>46199</v>
      </c>
      <c r="AE13" s="93">
        <v>264.39</v>
      </c>
      <c r="AF13" s="94">
        <v>46147</v>
      </c>
      <c r="AG13" s="93" t="s">
        <v>40</v>
      </c>
      <c r="AH13" s="93">
        <v>52</v>
      </c>
    </row>
    <row r="14" spans="1:37" ht="13.2">
      <c r="A14" s="88"/>
      <c r="B14" s="97" t="s">
        <v>51</v>
      </c>
      <c r="C14" s="102">
        <v>185</v>
      </c>
      <c r="D14" s="102"/>
      <c r="E14" s="102">
        <v>177</v>
      </c>
      <c r="F14" s="2">
        <v>177</v>
      </c>
      <c r="G14" s="2">
        <v>177</v>
      </c>
      <c r="H14" s="113">
        <v>214</v>
      </c>
      <c r="I14" s="102">
        <v>213</v>
      </c>
      <c r="J14" s="102">
        <v>213</v>
      </c>
      <c r="K14" s="102"/>
      <c r="L14" s="113">
        <v>204</v>
      </c>
      <c r="M14" s="102">
        <v>187</v>
      </c>
      <c r="N14" s="102">
        <v>187</v>
      </c>
      <c r="O14" s="102"/>
      <c r="P14" s="102">
        <v>190</v>
      </c>
      <c r="Q14" s="102">
        <v>216</v>
      </c>
      <c r="R14" s="114">
        <v>216</v>
      </c>
      <c r="S14" s="81">
        <v>223</v>
      </c>
      <c r="T14" s="115">
        <v>198</v>
      </c>
      <c r="U14" s="87">
        <v>180</v>
      </c>
      <c r="V14" s="102">
        <v>189</v>
      </c>
      <c r="W14" s="102"/>
      <c r="X14" s="88"/>
      <c r="Y14" s="88"/>
      <c r="Z14" s="88"/>
      <c r="AA14" s="87">
        <v>12</v>
      </c>
      <c r="AB14" s="93">
        <v>2425</v>
      </c>
      <c r="AC14" s="93" t="s">
        <v>156</v>
      </c>
      <c r="AD14" s="94">
        <v>46199</v>
      </c>
      <c r="AE14" s="93">
        <v>546.6</v>
      </c>
      <c r="AF14" s="94">
        <v>46128</v>
      </c>
      <c r="AG14" s="93" t="s">
        <v>40</v>
      </c>
      <c r="AH14" s="93">
        <v>71</v>
      </c>
    </row>
    <row r="15" spans="1:37" ht="13.2">
      <c r="A15" s="88"/>
      <c r="B15" s="97" t="s">
        <v>52</v>
      </c>
      <c r="C15" s="102">
        <v>40</v>
      </c>
      <c r="D15" s="102"/>
      <c r="E15" s="102">
        <v>33</v>
      </c>
      <c r="F15" s="2">
        <v>34</v>
      </c>
      <c r="G15" s="2">
        <v>34</v>
      </c>
      <c r="H15" s="102">
        <v>37</v>
      </c>
      <c r="I15" s="102">
        <v>37</v>
      </c>
      <c r="J15" s="102">
        <v>37</v>
      </c>
      <c r="K15" s="102"/>
      <c r="L15" s="113">
        <v>36</v>
      </c>
      <c r="M15" s="102">
        <v>35</v>
      </c>
      <c r="N15" s="102">
        <v>35</v>
      </c>
      <c r="O15" s="102"/>
      <c r="P15" s="102">
        <v>35</v>
      </c>
      <c r="Q15" s="102">
        <v>35</v>
      </c>
      <c r="R15" s="114">
        <v>35</v>
      </c>
      <c r="S15" s="81">
        <v>35</v>
      </c>
      <c r="T15" s="115">
        <v>32</v>
      </c>
      <c r="U15" s="117">
        <v>29</v>
      </c>
      <c r="V15" s="102">
        <v>29</v>
      </c>
      <c r="W15" s="102"/>
      <c r="X15" s="88"/>
      <c r="Y15" s="88"/>
      <c r="Z15" s="88"/>
      <c r="AA15" s="87">
        <v>13</v>
      </c>
      <c r="AB15" s="118">
        <v>24254</v>
      </c>
      <c r="AC15" s="118" t="s">
        <v>157</v>
      </c>
      <c r="AD15" s="94">
        <v>46199</v>
      </c>
      <c r="AE15" s="93">
        <v>400.81</v>
      </c>
      <c r="AF15" s="94">
        <v>46129</v>
      </c>
      <c r="AG15" s="93" t="s">
        <v>116</v>
      </c>
      <c r="AH15" s="52">
        <v>70</v>
      </c>
    </row>
    <row r="16" spans="1:37" ht="13.2">
      <c r="A16" s="88"/>
      <c r="B16" s="97" t="s">
        <v>22</v>
      </c>
      <c r="C16" s="102">
        <v>0</v>
      </c>
      <c r="D16" s="102"/>
      <c r="E16" s="102">
        <v>0</v>
      </c>
      <c r="F16" s="2">
        <v>0</v>
      </c>
      <c r="G16" s="2">
        <v>0</v>
      </c>
      <c r="H16" s="102">
        <v>0</v>
      </c>
      <c r="I16" s="102">
        <v>0</v>
      </c>
      <c r="J16" s="102">
        <v>0</v>
      </c>
      <c r="K16" s="102"/>
      <c r="L16" s="113">
        <v>0</v>
      </c>
      <c r="M16" s="102">
        <v>0</v>
      </c>
      <c r="N16" s="102">
        <v>0</v>
      </c>
      <c r="O16" s="102"/>
      <c r="P16" s="102">
        <v>0</v>
      </c>
      <c r="Q16" s="102">
        <v>0</v>
      </c>
      <c r="R16" s="114">
        <v>0</v>
      </c>
      <c r="S16" s="81">
        <v>0</v>
      </c>
      <c r="T16" s="115">
        <v>0</v>
      </c>
      <c r="U16" s="87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42652</v>
      </c>
      <c r="AC16" s="93" t="s">
        <v>158</v>
      </c>
      <c r="AD16" s="94">
        <v>46202</v>
      </c>
      <c r="AE16" s="93">
        <v>221.73</v>
      </c>
      <c r="AF16" s="94">
        <v>46239</v>
      </c>
      <c r="AG16" s="93" t="s">
        <v>6</v>
      </c>
      <c r="AH16" s="93">
        <v>52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1</v>
      </c>
      <c r="I17" s="102">
        <v>1</v>
      </c>
      <c r="J17" s="102">
        <v>1</v>
      </c>
      <c r="K17" s="102"/>
      <c r="L17" s="113">
        <v>1</v>
      </c>
      <c r="M17" s="102">
        <v>1</v>
      </c>
      <c r="N17" s="102">
        <v>1</v>
      </c>
      <c r="O17" s="102"/>
      <c r="P17" s="102">
        <v>1</v>
      </c>
      <c r="Q17" s="102">
        <v>1</v>
      </c>
      <c r="R17" s="114">
        <v>1</v>
      </c>
      <c r="S17" s="81">
        <v>1</v>
      </c>
      <c r="T17" s="115">
        <v>1</v>
      </c>
      <c r="U17" s="87">
        <v>1</v>
      </c>
      <c r="V17" s="102">
        <v>1</v>
      </c>
      <c r="W17" s="102"/>
      <c r="X17" s="88"/>
      <c r="Y17" s="88"/>
      <c r="Z17" s="88"/>
      <c r="AA17" s="87">
        <v>15</v>
      </c>
      <c r="AB17" s="93">
        <v>30292</v>
      </c>
      <c r="AC17" s="93" t="s">
        <v>159</v>
      </c>
      <c r="AD17" s="94">
        <v>46029</v>
      </c>
      <c r="AE17" s="93">
        <v>1797</v>
      </c>
      <c r="AF17" s="94">
        <v>46142</v>
      </c>
      <c r="AG17" s="93" t="s">
        <v>6</v>
      </c>
      <c r="AH17" s="93">
        <v>61</v>
      </c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2">
        <v>1</v>
      </c>
      <c r="G18" s="2">
        <v>1</v>
      </c>
      <c r="H18" s="102">
        <v>3</v>
      </c>
      <c r="I18" s="102">
        <v>4</v>
      </c>
      <c r="J18" s="102">
        <v>4</v>
      </c>
      <c r="K18" s="102"/>
      <c r="L18" s="113">
        <v>4</v>
      </c>
      <c r="M18" s="102">
        <v>4</v>
      </c>
      <c r="N18" s="102">
        <v>4</v>
      </c>
      <c r="O18" s="102"/>
      <c r="P18" s="102">
        <v>4</v>
      </c>
      <c r="Q18" s="102">
        <v>5</v>
      </c>
      <c r="R18" s="114">
        <v>5</v>
      </c>
      <c r="S18" s="81">
        <v>7</v>
      </c>
      <c r="T18" s="115">
        <v>31</v>
      </c>
      <c r="U18" s="87">
        <v>35</v>
      </c>
      <c r="V18" s="102">
        <v>36</v>
      </c>
      <c r="W18" s="102"/>
      <c r="X18" s="88"/>
      <c r="Y18" s="88"/>
      <c r="Z18" s="88"/>
      <c r="AA18" s="87">
        <v>16</v>
      </c>
      <c r="AB18" s="93">
        <v>39127</v>
      </c>
      <c r="AC18" s="93" t="s">
        <v>160</v>
      </c>
      <c r="AD18" s="94">
        <v>46029</v>
      </c>
      <c r="AE18" s="93">
        <v>180.15</v>
      </c>
      <c r="AF18" s="94">
        <v>46239</v>
      </c>
      <c r="AG18" s="93" t="s">
        <v>6</v>
      </c>
      <c r="AH18" s="93">
        <v>52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0</v>
      </c>
      <c r="H19" s="102">
        <v>0</v>
      </c>
      <c r="I19" s="102">
        <v>0</v>
      </c>
      <c r="J19" s="102">
        <v>0</v>
      </c>
      <c r="K19" s="102"/>
      <c r="L19" s="113">
        <v>0</v>
      </c>
      <c r="M19" s="102">
        <v>0</v>
      </c>
      <c r="N19" s="102">
        <v>0</v>
      </c>
      <c r="O19" s="102"/>
      <c r="P19" s="102">
        <v>2</v>
      </c>
      <c r="Q19" s="102">
        <v>2</v>
      </c>
      <c r="R19" s="114">
        <v>2</v>
      </c>
      <c r="S19" s="81">
        <v>2</v>
      </c>
      <c r="T19" s="115">
        <v>2</v>
      </c>
      <c r="U19" s="87">
        <v>2</v>
      </c>
      <c r="V19" s="102">
        <v>2</v>
      </c>
      <c r="W19" s="102"/>
      <c r="X19" s="88"/>
      <c r="Y19" s="88"/>
      <c r="Z19" s="88"/>
      <c r="AA19" s="88"/>
      <c r="AE19" s="119">
        <v>17133.68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1</v>
      </c>
      <c r="I20" s="102">
        <v>1</v>
      </c>
      <c r="J20" s="102">
        <v>1</v>
      </c>
      <c r="K20" s="102"/>
      <c r="L20" s="113">
        <v>1</v>
      </c>
      <c r="M20" s="102">
        <v>1</v>
      </c>
      <c r="N20" s="102">
        <v>1</v>
      </c>
      <c r="O20" s="102"/>
      <c r="P20" s="102">
        <v>1</v>
      </c>
      <c r="Q20" s="102">
        <v>1</v>
      </c>
      <c r="R20" s="114">
        <v>1</v>
      </c>
      <c r="S20" s="81">
        <v>1</v>
      </c>
      <c r="T20" s="115">
        <v>2</v>
      </c>
      <c r="U20" s="87">
        <v>3</v>
      </c>
      <c r="V20" s="102">
        <v>5</v>
      </c>
      <c r="W20" s="102"/>
      <c r="X20" s="88"/>
      <c r="Y20" s="88"/>
      <c r="Z20" s="88"/>
      <c r="AA20" s="88"/>
    </row>
    <row r="21" spans="1:34" ht="13.2">
      <c r="A21" s="88"/>
      <c r="B21" s="109" t="s">
        <v>11</v>
      </c>
      <c r="C21" s="109">
        <v>286</v>
      </c>
      <c r="D21" s="109">
        <v>0</v>
      </c>
      <c r="E21" s="109">
        <v>271</v>
      </c>
      <c r="F21" s="109">
        <v>268</v>
      </c>
      <c r="G21" s="109">
        <v>268</v>
      </c>
      <c r="H21" s="109">
        <v>285</v>
      </c>
      <c r="I21" s="109">
        <v>285</v>
      </c>
      <c r="J21" s="109">
        <v>289</v>
      </c>
      <c r="K21" s="109">
        <v>0</v>
      </c>
      <c r="L21" s="109">
        <v>276</v>
      </c>
      <c r="M21" s="109">
        <v>275</v>
      </c>
      <c r="N21" s="109">
        <v>274</v>
      </c>
      <c r="O21" s="109">
        <v>0</v>
      </c>
      <c r="P21" s="109">
        <v>283</v>
      </c>
      <c r="Q21" s="109">
        <v>283</v>
      </c>
      <c r="R21" s="109">
        <v>311</v>
      </c>
      <c r="S21" s="109">
        <v>321</v>
      </c>
      <c r="T21" s="109">
        <v>316</v>
      </c>
      <c r="U21" s="109">
        <v>299</v>
      </c>
      <c r="V21" s="109">
        <v>298</v>
      </c>
      <c r="W21" s="109">
        <v>0</v>
      </c>
      <c r="X21" s="88"/>
      <c r="Y21" s="88"/>
      <c r="Z21" s="88"/>
      <c r="AA21" s="88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13</v>
      </c>
      <c r="F25" s="87">
        <v>8</v>
      </c>
      <c r="G25" s="87">
        <v>3</v>
      </c>
      <c r="H25" s="87">
        <v>33</v>
      </c>
      <c r="I25" s="87" t="s">
        <v>54</v>
      </c>
      <c r="J25" s="87" t="s">
        <v>54</v>
      </c>
      <c r="K25" s="87" t="s">
        <v>54</v>
      </c>
      <c r="L25" s="87" t="s">
        <v>54</v>
      </c>
      <c r="M25" s="87">
        <v>11</v>
      </c>
      <c r="N25" s="87" t="s">
        <v>54</v>
      </c>
      <c r="O25" s="87" t="s">
        <v>54</v>
      </c>
      <c r="P25" s="87">
        <v>3</v>
      </c>
      <c r="Q25" s="87">
        <v>40</v>
      </c>
      <c r="R25" s="87">
        <v>30</v>
      </c>
      <c r="S25" s="87">
        <v>0</v>
      </c>
      <c r="T25" s="87">
        <v>47</v>
      </c>
      <c r="U25" s="87">
        <v>54</v>
      </c>
      <c r="V25" s="87">
        <v>36</v>
      </c>
      <c r="W25" s="87">
        <v>38</v>
      </c>
      <c r="X25" s="81">
        <v>316</v>
      </c>
      <c r="Y25" s="108">
        <v>-34</v>
      </c>
      <c r="Z25" s="88"/>
      <c r="AA25" s="88"/>
    </row>
    <row r="26" spans="1:34" ht="13.2">
      <c r="A26" s="88"/>
      <c r="B26" s="9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88"/>
      <c r="Y26" s="88"/>
      <c r="Z26" s="88"/>
      <c r="AA26" s="88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284"/>
      <c r="Y27" s="284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  <row r="964" spans="1:27" ht="13.2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88"/>
    </row>
  </sheetData>
  <mergeCells count="7">
    <mergeCell ref="X3:Y3"/>
    <mergeCell ref="X27:Y27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22EE-2BFA-4431-8337-DB37E4B7A50D}">
  <sheetPr>
    <tabColor rgb="FF00B050"/>
    <outlinePr summaryBelow="0" summaryRight="0"/>
  </sheetPr>
  <dimension ref="A1:AH963"/>
  <sheetViews>
    <sheetView showGridLines="0" topLeftCell="H1" zoomScaleNormal="100" workbookViewId="0">
      <selection activeCell="AA1" sqref="AA1:AD25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2.33203125" style="3" bestFit="1" customWidth="1"/>
    <col min="30" max="30" width="13.44140625" style="3" customWidth="1"/>
    <col min="31" max="31" width="12.6640625" style="3"/>
    <col min="32" max="32" width="16" style="3" bestFit="1" customWidth="1"/>
    <col min="33" max="34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34" ht="13.2">
      <c r="A2" s="88"/>
      <c r="B2" s="88"/>
      <c r="C2" s="285" t="s">
        <v>28</v>
      </c>
      <c r="D2" s="286"/>
      <c r="E2" s="286"/>
      <c r="F2" s="287"/>
      <c r="G2" s="285" t="s">
        <v>29</v>
      </c>
      <c r="H2" s="286"/>
      <c r="I2" s="286"/>
      <c r="J2" s="286"/>
      <c r="K2" s="287"/>
      <c r="L2" s="285" t="s">
        <v>30</v>
      </c>
      <c r="M2" s="286"/>
      <c r="N2" s="286"/>
      <c r="O2" s="286"/>
      <c r="P2" s="287"/>
      <c r="Q2" s="285" t="s">
        <v>31</v>
      </c>
      <c r="R2" s="286"/>
      <c r="S2" s="286"/>
      <c r="T2" s="286"/>
      <c r="U2" s="287"/>
      <c r="V2" s="285" t="s">
        <v>32</v>
      </c>
      <c r="W2" s="286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2"/>
      <c r="Y3" s="283"/>
      <c r="Z3" s="88"/>
      <c r="AA3" s="87">
        <v>1</v>
      </c>
      <c r="AB3" s="93">
        <v>23621</v>
      </c>
      <c r="AC3" s="93" t="s">
        <v>122</v>
      </c>
      <c r="AD3" s="94">
        <v>46148</v>
      </c>
      <c r="AE3" s="93">
        <v>273.19</v>
      </c>
      <c r="AF3" s="94">
        <v>46099</v>
      </c>
      <c r="AG3" s="93" t="s">
        <v>55</v>
      </c>
      <c r="AH3" s="52">
        <v>79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44106</v>
      </c>
      <c r="AC4" s="93" t="s">
        <v>123</v>
      </c>
      <c r="AD4" s="94">
        <v>46148</v>
      </c>
      <c r="AE4" s="93">
        <v>588.66</v>
      </c>
      <c r="AF4" s="94">
        <v>46101</v>
      </c>
      <c r="AG4" s="93" t="s">
        <v>55</v>
      </c>
      <c r="AH4" s="52">
        <v>77</v>
      </c>
    </row>
    <row r="5" spans="1:34" ht="13.2">
      <c r="A5" s="88"/>
      <c r="B5" s="100" t="s">
        <v>2</v>
      </c>
      <c r="C5" s="101">
        <v>3</v>
      </c>
      <c r="D5" s="102">
        <v>3</v>
      </c>
      <c r="E5" s="102">
        <v>3</v>
      </c>
      <c r="F5" s="103">
        <v>3</v>
      </c>
      <c r="G5" s="101">
        <v>3</v>
      </c>
      <c r="H5" s="102">
        <v>3</v>
      </c>
      <c r="I5" s="102">
        <v>3</v>
      </c>
      <c r="J5" s="102">
        <v>3</v>
      </c>
      <c r="K5" s="103">
        <v>3</v>
      </c>
      <c r="L5" s="101">
        <v>3</v>
      </c>
      <c r="M5" s="102">
        <v>3</v>
      </c>
      <c r="N5" s="102">
        <v>3</v>
      </c>
      <c r="O5" s="102">
        <v>2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3</v>
      </c>
      <c r="X5" s="104">
        <v>48</v>
      </c>
      <c r="Y5" s="88"/>
      <c r="Z5" s="88"/>
      <c r="AA5" s="87">
        <v>3</v>
      </c>
      <c r="AB5" s="93">
        <v>44364</v>
      </c>
      <c r="AC5" s="93" t="s">
        <v>124</v>
      </c>
      <c r="AD5" s="94">
        <v>46148</v>
      </c>
      <c r="AE5" s="93">
        <v>653.28</v>
      </c>
      <c r="AF5" s="94">
        <v>46057</v>
      </c>
      <c r="AG5" s="93" t="s">
        <v>55</v>
      </c>
      <c r="AH5" s="52">
        <v>64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3</v>
      </c>
      <c r="G6" s="105">
        <v>1</v>
      </c>
      <c r="H6" s="106">
        <v>0</v>
      </c>
      <c r="I6" s="106">
        <v>0</v>
      </c>
      <c r="J6" s="106">
        <v>1</v>
      </c>
      <c r="K6" s="107">
        <v>2</v>
      </c>
      <c r="L6" s="105">
        <v>0</v>
      </c>
      <c r="M6" s="106">
        <v>0</v>
      </c>
      <c r="N6" s="106">
        <v>1</v>
      </c>
      <c r="O6" s="106">
        <v>5</v>
      </c>
      <c r="P6" s="107">
        <v>2</v>
      </c>
      <c r="Q6" s="105">
        <v>0</v>
      </c>
      <c r="R6" s="106">
        <v>0</v>
      </c>
      <c r="S6" s="106">
        <v>1</v>
      </c>
      <c r="T6" s="106">
        <v>1</v>
      </c>
      <c r="U6" s="107">
        <v>4</v>
      </c>
      <c r="V6" s="105"/>
      <c r="W6" s="107"/>
      <c r="X6" s="104">
        <v>21</v>
      </c>
      <c r="Y6" s="108">
        <v>-27</v>
      </c>
      <c r="Z6" s="88"/>
      <c r="AA6" s="122">
        <v>4</v>
      </c>
      <c r="AB6" s="123">
        <v>29622</v>
      </c>
      <c r="AC6" s="123" t="s">
        <v>125</v>
      </c>
      <c r="AD6" s="124">
        <v>46240</v>
      </c>
      <c r="AE6" s="121">
        <v>415.4</v>
      </c>
      <c r="AF6" s="124">
        <v>45804</v>
      </c>
      <c r="AG6" s="121" t="s">
        <v>56</v>
      </c>
      <c r="AH6" s="121">
        <v>377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23">
        <v>40214</v>
      </c>
      <c r="AC7" s="123" t="s">
        <v>126</v>
      </c>
      <c r="AD7" s="124">
        <v>46332</v>
      </c>
      <c r="AE7" s="121">
        <v>245.45</v>
      </c>
      <c r="AF7" s="124">
        <v>46080</v>
      </c>
      <c r="AG7" s="121" t="s">
        <v>55</v>
      </c>
      <c r="AH7" s="121">
        <v>104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16902</v>
      </c>
      <c r="AC8" s="93" t="s">
        <v>127</v>
      </c>
      <c r="AD8" s="94">
        <v>46362</v>
      </c>
      <c r="AE8" s="93">
        <v>168.9</v>
      </c>
      <c r="AF8" s="94">
        <v>46135</v>
      </c>
      <c r="AG8" s="93" t="s">
        <v>55</v>
      </c>
      <c r="AH8" s="52">
        <v>50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93">
        <v>43912</v>
      </c>
      <c r="AC9" s="93" t="s">
        <v>128</v>
      </c>
      <c r="AD9" s="94">
        <v>46362</v>
      </c>
      <c r="AE9" s="93">
        <v>564.9</v>
      </c>
      <c r="AF9" s="94">
        <v>46057</v>
      </c>
      <c r="AG9" s="93" t="s">
        <v>55</v>
      </c>
      <c r="AH9" s="52">
        <v>71</v>
      </c>
    </row>
    <row r="10" spans="1:34" ht="13.2">
      <c r="A10" s="88"/>
      <c r="B10" s="97" t="s">
        <v>15</v>
      </c>
      <c r="C10" s="102">
        <v>54</v>
      </c>
      <c r="D10" s="102"/>
      <c r="E10" s="102">
        <v>45</v>
      </c>
      <c r="F10" s="2">
        <v>51</v>
      </c>
      <c r="G10" s="2">
        <v>51</v>
      </c>
      <c r="H10" s="102">
        <v>31</v>
      </c>
      <c r="I10" s="102">
        <v>27</v>
      </c>
      <c r="J10" s="102">
        <v>10</v>
      </c>
      <c r="K10" s="102">
        <v>20</v>
      </c>
      <c r="L10" s="113">
        <v>0</v>
      </c>
      <c r="M10" s="102">
        <v>10</v>
      </c>
      <c r="N10" s="102">
        <v>0</v>
      </c>
      <c r="O10" s="102"/>
      <c r="P10" s="102">
        <v>0</v>
      </c>
      <c r="Q10" s="102">
        <v>0</v>
      </c>
      <c r="R10" s="114">
        <v>26</v>
      </c>
      <c r="S10" s="81">
        <v>3</v>
      </c>
      <c r="T10" s="115">
        <v>0</v>
      </c>
      <c r="U10" s="102">
        <v>0</v>
      </c>
      <c r="V10" s="102">
        <v>0</v>
      </c>
      <c r="W10" s="102"/>
      <c r="X10" s="88"/>
      <c r="Y10" s="88"/>
      <c r="Z10" s="88"/>
      <c r="AA10" s="87">
        <v>8</v>
      </c>
      <c r="AB10" s="118">
        <v>44200</v>
      </c>
      <c r="AC10" s="118" t="s">
        <v>129</v>
      </c>
      <c r="AD10" s="94">
        <v>46190</v>
      </c>
      <c r="AE10" s="93">
        <v>203.45</v>
      </c>
      <c r="AF10" s="94">
        <v>46139</v>
      </c>
      <c r="AG10" s="93" t="s">
        <v>55</v>
      </c>
      <c r="AH10" s="52">
        <v>51</v>
      </c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2">
        <v>1</v>
      </c>
      <c r="G11" s="2">
        <v>1</v>
      </c>
      <c r="H11" s="102">
        <v>1</v>
      </c>
      <c r="I11" s="102">
        <v>0</v>
      </c>
      <c r="J11" s="102">
        <v>0</v>
      </c>
      <c r="K11" s="102">
        <v>0</v>
      </c>
      <c r="L11" s="113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02">
        <v>0</v>
      </c>
      <c r="V11" s="102">
        <v>0</v>
      </c>
      <c r="W11" s="102"/>
      <c r="X11" s="88"/>
      <c r="Y11" s="88"/>
      <c r="Z11" s="88"/>
      <c r="AA11" s="122">
        <v>9</v>
      </c>
      <c r="AB11" s="123">
        <v>36451</v>
      </c>
      <c r="AC11" s="123" t="s">
        <v>130</v>
      </c>
      <c r="AD11" s="124">
        <v>46191</v>
      </c>
      <c r="AE11" s="121">
        <v>398.24</v>
      </c>
      <c r="AF11" s="124">
        <v>46358</v>
      </c>
      <c r="AG11" s="121" t="s">
        <v>57</v>
      </c>
      <c r="AH11" s="121">
        <v>126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0</v>
      </c>
      <c r="I12" s="102">
        <v>0</v>
      </c>
      <c r="J12" s="102">
        <v>0</v>
      </c>
      <c r="K12" s="102">
        <v>0</v>
      </c>
      <c r="L12" s="113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02">
        <v>0</v>
      </c>
      <c r="V12" s="102">
        <v>0</v>
      </c>
      <c r="W12" s="102"/>
      <c r="X12" s="88"/>
      <c r="Y12" s="88"/>
      <c r="Z12" s="88"/>
      <c r="AA12" s="87">
        <v>10</v>
      </c>
      <c r="AB12" s="93">
        <v>42285</v>
      </c>
      <c r="AC12" s="93" t="s">
        <v>131</v>
      </c>
      <c r="AD12" s="94">
        <v>46191</v>
      </c>
      <c r="AE12" s="93">
        <v>1277</v>
      </c>
      <c r="AF12" s="94">
        <v>46026</v>
      </c>
      <c r="AG12" s="93" t="s">
        <v>58</v>
      </c>
      <c r="AH12" s="52">
        <v>78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>
        <v>0</v>
      </c>
      <c r="L13" s="113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02">
        <v>0</v>
      </c>
      <c r="V13" s="102">
        <v>0</v>
      </c>
      <c r="W13" s="102"/>
      <c r="X13" s="88"/>
      <c r="Y13" s="88"/>
      <c r="Z13" s="88"/>
      <c r="AA13" s="87">
        <v>11</v>
      </c>
      <c r="AB13" s="93">
        <v>38884</v>
      </c>
      <c r="AC13" s="93" t="s">
        <v>132</v>
      </c>
      <c r="AD13" s="94">
        <v>46191</v>
      </c>
      <c r="AE13" s="93">
        <v>278.36</v>
      </c>
      <c r="AF13" s="94">
        <v>46129</v>
      </c>
      <c r="AG13" s="93" t="s">
        <v>55</v>
      </c>
      <c r="AH13" s="52">
        <v>62</v>
      </c>
    </row>
    <row r="14" spans="1:34" ht="13.2">
      <c r="A14" s="88"/>
      <c r="B14" s="97" t="s">
        <v>51</v>
      </c>
      <c r="C14" s="102">
        <v>345</v>
      </c>
      <c r="D14" s="102"/>
      <c r="E14" s="102">
        <v>351</v>
      </c>
      <c r="F14" s="2">
        <v>356</v>
      </c>
      <c r="G14" s="2">
        <v>356</v>
      </c>
      <c r="H14" s="113">
        <v>371</v>
      </c>
      <c r="I14" s="102">
        <v>409</v>
      </c>
      <c r="J14" s="102">
        <v>422</v>
      </c>
      <c r="K14" s="102">
        <v>421</v>
      </c>
      <c r="L14" s="113">
        <v>707</v>
      </c>
      <c r="M14" s="102">
        <v>457</v>
      </c>
      <c r="N14" s="102">
        <v>464</v>
      </c>
      <c r="O14" s="102"/>
      <c r="P14" s="102">
        <v>482</v>
      </c>
      <c r="Q14" s="102">
        <v>472</v>
      </c>
      <c r="R14" s="114">
        <v>490</v>
      </c>
      <c r="S14" s="81">
        <v>507</v>
      </c>
      <c r="T14" s="115">
        <v>511</v>
      </c>
      <c r="U14" s="102">
        <v>530</v>
      </c>
      <c r="V14" s="102">
        <v>530</v>
      </c>
      <c r="W14" s="102"/>
      <c r="X14" s="88"/>
      <c r="Y14" s="88"/>
      <c r="Z14" s="88"/>
      <c r="AA14" s="87">
        <v>12</v>
      </c>
      <c r="AB14" s="118">
        <v>45080</v>
      </c>
      <c r="AC14" s="118" t="s">
        <v>133</v>
      </c>
      <c r="AD14" s="125">
        <v>46191</v>
      </c>
      <c r="AE14" s="93">
        <v>164.75</v>
      </c>
      <c r="AF14" s="94">
        <v>46142</v>
      </c>
      <c r="AG14" s="93" t="s">
        <v>59</v>
      </c>
      <c r="AH14" s="52">
        <v>49</v>
      </c>
    </row>
    <row r="15" spans="1:34" ht="13.2">
      <c r="A15" s="88"/>
      <c r="B15" s="97" t="s">
        <v>52</v>
      </c>
      <c r="C15" s="102">
        <v>79</v>
      </c>
      <c r="D15" s="102"/>
      <c r="E15" s="102">
        <v>79</v>
      </c>
      <c r="F15" s="2">
        <v>79</v>
      </c>
      <c r="G15" s="2">
        <v>79</v>
      </c>
      <c r="H15" s="102">
        <v>79</v>
      </c>
      <c r="I15" s="102">
        <v>79</v>
      </c>
      <c r="J15" s="102">
        <v>79</v>
      </c>
      <c r="K15" s="102">
        <v>78</v>
      </c>
      <c r="L15" s="113">
        <v>102</v>
      </c>
      <c r="M15" s="102">
        <v>76</v>
      </c>
      <c r="N15" s="102">
        <v>75</v>
      </c>
      <c r="O15" s="102"/>
      <c r="P15" s="102">
        <v>75</v>
      </c>
      <c r="Q15" s="102">
        <v>74</v>
      </c>
      <c r="R15" s="114">
        <v>76</v>
      </c>
      <c r="S15" s="81">
        <v>77</v>
      </c>
      <c r="T15" s="115">
        <v>78</v>
      </c>
      <c r="U15" s="102">
        <v>75</v>
      </c>
      <c r="V15" s="102">
        <v>75</v>
      </c>
      <c r="W15" s="102"/>
      <c r="X15" s="88"/>
      <c r="Y15" s="88"/>
      <c r="Z15" s="88"/>
      <c r="AA15" s="87">
        <v>13</v>
      </c>
      <c r="AB15" s="118">
        <v>31636</v>
      </c>
      <c r="AC15" s="118" t="s">
        <v>134</v>
      </c>
      <c r="AD15" s="125">
        <v>46191</v>
      </c>
      <c r="AE15" s="93">
        <v>287.23</v>
      </c>
      <c r="AF15" s="94">
        <v>46126</v>
      </c>
      <c r="AG15" s="93" t="s">
        <v>55</v>
      </c>
      <c r="AH15" s="52">
        <v>65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102">
        <v>0</v>
      </c>
      <c r="H16" s="102">
        <v>0</v>
      </c>
      <c r="I16" s="102">
        <v>0</v>
      </c>
      <c r="J16" s="102">
        <v>0</v>
      </c>
      <c r="K16" s="102">
        <v>0</v>
      </c>
      <c r="L16" s="113">
        <v>1</v>
      </c>
      <c r="M16" s="102">
        <v>0</v>
      </c>
      <c r="N16" s="102">
        <v>1</v>
      </c>
      <c r="O16" s="102"/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102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42559</v>
      </c>
      <c r="AC16" s="93" t="s">
        <v>135</v>
      </c>
      <c r="AD16" s="94">
        <v>46192</v>
      </c>
      <c r="AE16" s="93">
        <v>484.4</v>
      </c>
      <c r="AF16" s="94">
        <v>46136</v>
      </c>
      <c r="AG16" s="93" t="s">
        <v>55</v>
      </c>
      <c r="AH16" s="52">
        <v>56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102">
        <v>0</v>
      </c>
      <c r="G17" s="102">
        <v>0</v>
      </c>
      <c r="H17" s="102">
        <v>0</v>
      </c>
      <c r="I17" s="102">
        <v>0</v>
      </c>
      <c r="J17" s="102">
        <v>0</v>
      </c>
      <c r="K17" s="102">
        <v>0</v>
      </c>
      <c r="L17" s="113">
        <v>2</v>
      </c>
      <c r="M17" s="102">
        <v>0</v>
      </c>
      <c r="N17" s="102">
        <v>0</v>
      </c>
      <c r="O17" s="102"/>
      <c r="P17" s="102">
        <v>0</v>
      </c>
      <c r="Q17" s="102">
        <v>0</v>
      </c>
      <c r="R17" s="114">
        <v>0</v>
      </c>
      <c r="S17" s="81">
        <v>0</v>
      </c>
      <c r="T17" s="115">
        <v>0</v>
      </c>
      <c r="U17" s="102">
        <v>0</v>
      </c>
      <c r="V17" s="102">
        <v>0</v>
      </c>
      <c r="W17" s="102"/>
      <c r="X17" s="88"/>
      <c r="Y17" s="88"/>
      <c r="Z17" s="88"/>
      <c r="AA17" s="122">
        <v>15</v>
      </c>
      <c r="AB17" s="123">
        <v>29084</v>
      </c>
      <c r="AC17" s="123" t="s">
        <v>136</v>
      </c>
      <c r="AD17" s="124">
        <v>46192</v>
      </c>
      <c r="AE17" s="121">
        <v>201.15</v>
      </c>
      <c r="AF17" s="124">
        <v>46038</v>
      </c>
      <c r="AG17" s="121" t="s">
        <v>55</v>
      </c>
      <c r="AH17" s="121">
        <v>154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102">
        <v>0</v>
      </c>
      <c r="G18" s="102">
        <v>0</v>
      </c>
      <c r="H18" s="102">
        <v>0</v>
      </c>
      <c r="I18" s="102">
        <v>2</v>
      </c>
      <c r="J18" s="102">
        <v>6</v>
      </c>
      <c r="K18" s="102">
        <v>6</v>
      </c>
      <c r="L18" s="113">
        <v>12</v>
      </c>
      <c r="M18" s="102">
        <v>13</v>
      </c>
      <c r="N18" s="102">
        <v>14</v>
      </c>
      <c r="O18" s="102"/>
      <c r="P18" s="102">
        <v>16</v>
      </c>
      <c r="Q18" s="102">
        <v>25</v>
      </c>
      <c r="R18" s="114">
        <v>25</v>
      </c>
      <c r="S18" s="81">
        <v>26</v>
      </c>
      <c r="T18" s="115">
        <v>26</v>
      </c>
      <c r="U18" s="102">
        <v>41</v>
      </c>
      <c r="V18" s="102">
        <v>41</v>
      </c>
      <c r="W18" s="102"/>
      <c r="X18" s="88"/>
      <c r="Y18" s="88"/>
      <c r="Z18" s="88"/>
      <c r="AA18" s="122">
        <v>16</v>
      </c>
      <c r="AB18" s="123">
        <v>41123</v>
      </c>
      <c r="AC18" s="123" t="s">
        <v>137</v>
      </c>
      <c r="AD18" s="124">
        <v>46197</v>
      </c>
      <c r="AE18" s="121">
        <v>629.9</v>
      </c>
      <c r="AF18" s="124">
        <v>46003</v>
      </c>
      <c r="AG18" s="121" t="s">
        <v>55</v>
      </c>
      <c r="AH18" s="121">
        <v>194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102">
        <v>0</v>
      </c>
      <c r="H19" s="102">
        <v>0</v>
      </c>
      <c r="I19" s="102">
        <v>0</v>
      </c>
      <c r="J19" s="102">
        <v>0</v>
      </c>
      <c r="K19" s="102">
        <v>0</v>
      </c>
      <c r="L19" s="113">
        <v>3</v>
      </c>
      <c r="M19" s="102">
        <v>0</v>
      </c>
      <c r="N19" s="102">
        <v>0</v>
      </c>
      <c r="O19" s="102"/>
      <c r="P19" s="102">
        <v>0</v>
      </c>
      <c r="Q19" s="102">
        <v>0</v>
      </c>
      <c r="R19" s="114">
        <v>0</v>
      </c>
      <c r="S19" s="81">
        <v>0</v>
      </c>
      <c r="T19" s="115">
        <v>0</v>
      </c>
      <c r="U19" s="102">
        <v>0</v>
      </c>
      <c r="V19" s="102">
        <v>0</v>
      </c>
      <c r="W19" s="102"/>
      <c r="X19" s="88"/>
      <c r="Y19" s="88"/>
      <c r="Z19" s="88"/>
      <c r="AA19" s="122">
        <v>17</v>
      </c>
      <c r="AB19" s="123">
        <v>38358</v>
      </c>
      <c r="AC19" s="123" t="s">
        <v>138</v>
      </c>
      <c r="AD19" s="124">
        <v>46198</v>
      </c>
      <c r="AE19" s="121">
        <v>163.25</v>
      </c>
      <c r="AF19" s="124">
        <v>46072</v>
      </c>
      <c r="AG19" s="121" t="s">
        <v>55</v>
      </c>
      <c r="AH19" s="121">
        <v>126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102">
        <v>0</v>
      </c>
      <c r="H20" s="102">
        <v>0</v>
      </c>
      <c r="I20" s="102">
        <v>0</v>
      </c>
      <c r="J20" s="102">
        <v>0</v>
      </c>
      <c r="K20" s="102">
        <v>0</v>
      </c>
      <c r="L20" s="113">
        <v>0</v>
      </c>
      <c r="M20" s="102">
        <v>0</v>
      </c>
      <c r="N20" s="102">
        <v>0</v>
      </c>
      <c r="O20" s="102"/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102">
        <v>0</v>
      </c>
      <c r="V20" s="102">
        <v>0</v>
      </c>
      <c r="W20" s="102"/>
      <c r="X20" s="88"/>
      <c r="Y20" s="88"/>
      <c r="Z20" s="88"/>
      <c r="AA20" s="87">
        <v>18</v>
      </c>
      <c r="AB20" s="118">
        <v>30929</v>
      </c>
      <c r="AC20" s="118" t="s">
        <v>139</v>
      </c>
      <c r="AD20" s="94">
        <v>46199</v>
      </c>
      <c r="AE20" s="93">
        <v>1258</v>
      </c>
      <c r="AF20" s="94">
        <v>46239</v>
      </c>
      <c r="AG20" s="93" t="s">
        <v>7</v>
      </c>
      <c r="AH20" s="52">
        <v>49</v>
      </c>
    </row>
    <row r="21" spans="1:34" ht="13.2">
      <c r="A21" s="88"/>
      <c r="B21" s="109" t="s">
        <v>11</v>
      </c>
      <c r="C21" s="109">
        <v>478</v>
      </c>
      <c r="D21" s="109">
        <v>0</v>
      </c>
      <c r="E21" s="109">
        <v>475</v>
      </c>
      <c r="F21" s="109">
        <v>487</v>
      </c>
      <c r="G21" s="109">
        <v>487</v>
      </c>
      <c r="H21" s="109">
        <v>482</v>
      </c>
      <c r="I21" s="109">
        <v>517</v>
      </c>
      <c r="J21" s="109">
        <v>517</v>
      </c>
      <c r="K21" s="109">
        <v>525</v>
      </c>
      <c r="L21" s="109">
        <v>827</v>
      </c>
      <c r="M21" s="109">
        <v>556</v>
      </c>
      <c r="N21" s="109">
        <v>554</v>
      </c>
      <c r="O21" s="109">
        <v>0</v>
      </c>
      <c r="P21" s="109">
        <v>574</v>
      </c>
      <c r="Q21" s="109">
        <v>572</v>
      </c>
      <c r="R21" s="109">
        <v>618</v>
      </c>
      <c r="S21" s="109">
        <v>614</v>
      </c>
      <c r="T21" s="109">
        <v>616</v>
      </c>
      <c r="U21" s="109">
        <v>646</v>
      </c>
      <c r="V21" s="109">
        <v>646</v>
      </c>
      <c r="W21" s="109">
        <v>0</v>
      </c>
      <c r="X21" s="88"/>
      <c r="Y21" s="88"/>
      <c r="Z21" s="88"/>
      <c r="AA21" s="87">
        <v>19</v>
      </c>
      <c r="AB21" s="118">
        <v>28933</v>
      </c>
      <c r="AC21" s="118" t="s">
        <v>140</v>
      </c>
      <c r="AD21" s="94">
        <v>46199</v>
      </c>
      <c r="AE21" s="93">
        <v>471.98</v>
      </c>
      <c r="AF21" s="94">
        <v>46239</v>
      </c>
      <c r="AG21" s="93" t="s">
        <v>7</v>
      </c>
      <c r="AH21" s="52">
        <v>49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18">
        <v>38139</v>
      </c>
      <c r="AC22" s="118" t="s">
        <v>141</v>
      </c>
      <c r="AD22" s="94">
        <v>46199</v>
      </c>
      <c r="AE22" s="93">
        <v>183.75</v>
      </c>
      <c r="AF22" s="94">
        <v>46239</v>
      </c>
      <c r="AG22" s="93" t="s">
        <v>60</v>
      </c>
      <c r="AH22" s="52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7">
        <v>21</v>
      </c>
      <c r="AB23" s="118">
        <v>34343</v>
      </c>
      <c r="AC23" s="118" t="s">
        <v>142</v>
      </c>
      <c r="AD23" s="94">
        <v>46199</v>
      </c>
      <c r="AE23" s="93">
        <v>504.17</v>
      </c>
      <c r="AF23" s="94">
        <v>46239</v>
      </c>
      <c r="AG23" s="93" t="s">
        <v>7</v>
      </c>
      <c r="AH23" s="52">
        <v>49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63" t="s">
        <v>120</v>
      </c>
      <c r="AB24" s="164">
        <v>25853</v>
      </c>
      <c r="AC24" s="164" t="s">
        <v>143</v>
      </c>
      <c r="AD24" s="165">
        <v>46029</v>
      </c>
      <c r="AE24" s="162">
        <v>389.9</v>
      </c>
      <c r="AF24" s="165">
        <v>46147</v>
      </c>
      <c r="AG24" s="162" t="s">
        <v>7</v>
      </c>
      <c r="AH24" s="162">
        <v>56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12</v>
      </c>
      <c r="F25" s="87">
        <v>20</v>
      </c>
      <c r="G25" s="87">
        <v>20</v>
      </c>
      <c r="H25" s="87">
        <v>21</v>
      </c>
      <c r="I25" s="87">
        <v>14</v>
      </c>
      <c r="J25" s="87">
        <v>25</v>
      </c>
      <c r="K25" s="87">
        <v>20</v>
      </c>
      <c r="L25" s="87">
        <v>10</v>
      </c>
      <c r="M25" s="87">
        <v>20</v>
      </c>
      <c r="N25" s="87">
        <v>0</v>
      </c>
      <c r="O25" s="87">
        <v>20</v>
      </c>
      <c r="P25" s="87">
        <v>20</v>
      </c>
      <c r="Q25" s="87">
        <v>20</v>
      </c>
      <c r="R25" s="87">
        <v>20</v>
      </c>
      <c r="S25" s="87">
        <v>20</v>
      </c>
      <c r="T25" s="87">
        <v>13</v>
      </c>
      <c r="U25" s="87">
        <v>20</v>
      </c>
      <c r="V25" s="87">
        <v>30</v>
      </c>
      <c r="W25" s="87">
        <v>25</v>
      </c>
      <c r="X25" s="81">
        <v>350</v>
      </c>
      <c r="Y25" s="108">
        <v>0</v>
      </c>
      <c r="Z25" s="88"/>
      <c r="AA25" s="87"/>
      <c r="AB25" s="118"/>
      <c r="AC25" s="118"/>
      <c r="AD25" s="93"/>
      <c r="AE25" s="93"/>
      <c r="AF25" s="93"/>
      <c r="AG25" s="93"/>
      <c r="AH25" s="52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4"/>
      <c r="Y26" s="284"/>
      <c r="Z26" s="88"/>
      <c r="AA26" s="88"/>
      <c r="AE26" s="119">
        <v>5231.58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7CB6-8F18-4755-A69F-B8D03F8EE2D4}">
  <sheetPr>
    <tabColor rgb="FF00B050"/>
    <outlinePr summaryBelow="0" summaryRight="0"/>
  </sheetPr>
  <dimension ref="A1:AH963"/>
  <sheetViews>
    <sheetView showGridLines="0" topLeftCell="J1" zoomScaleNormal="100" workbookViewId="0">
      <selection activeCell="AC10" sqref="AC10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4.886718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5" t="s">
        <v>28</v>
      </c>
      <c r="D2" s="286"/>
      <c r="E2" s="286"/>
      <c r="F2" s="287"/>
      <c r="G2" s="285" t="s">
        <v>29</v>
      </c>
      <c r="H2" s="286"/>
      <c r="I2" s="286"/>
      <c r="J2" s="286"/>
      <c r="K2" s="287"/>
      <c r="L2" s="285" t="s">
        <v>30</v>
      </c>
      <c r="M2" s="286"/>
      <c r="N2" s="286"/>
      <c r="O2" s="286"/>
      <c r="P2" s="287"/>
      <c r="Q2" s="285" t="s">
        <v>31</v>
      </c>
      <c r="R2" s="286"/>
      <c r="S2" s="286"/>
      <c r="T2" s="286"/>
      <c r="U2" s="287"/>
      <c r="V2" s="285" t="s">
        <v>32</v>
      </c>
      <c r="W2" s="286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2"/>
      <c r="Y3" s="283"/>
      <c r="Z3" s="88"/>
      <c r="AA3" s="122">
        <v>1</v>
      </c>
      <c r="AB3" s="157">
        <v>26746</v>
      </c>
      <c r="AC3" s="157" t="s">
        <v>161</v>
      </c>
      <c r="AD3" s="158">
        <v>46148</v>
      </c>
      <c r="AE3" s="157">
        <v>309.64999999999998</v>
      </c>
      <c r="AF3" s="158">
        <v>46175</v>
      </c>
      <c r="AG3" s="157" t="s">
        <v>61</v>
      </c>
      <c r="AH3" s="157">
        <v>119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42957</v>
      </c>
      <c r="AC4" s="129" t="s">
        <v>162</v>
      </c>
      <c r="AD4" s="130">
        <v>46362</v>
      </c>
      <c r="AE4" s="129">
        <v>169.73</v>
      </c>
      <c r="AF4" s="130">
        <v>46136</v>
      </c>
      <c r="AG4" s="129" t="s">
        <v>7</v>
      </c>
      <c r="AH4" s="131">
        <v>49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29236</v>
      </c>
      <c r="AC5" s="129" t="s">
        <v>163</v>
      </c>
      <c r="AD5" s="130">
        <v>46197</v>
      </c>
      <c r="AE5" s="129">
        <v>718.11</v>
      </c>
      <c r="AF5" s="130">
        <v>46136</v>
      </c>
      <c r="AG5" s="129" t="s">
        <v>7</v>
      </c>
      <c r="AH5" s="131">
        <v>61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1</v>
      </c>
      <c r="G6" s="105">
        <v>0</v>
      </c>
      <c r="H6" s="106">
        <v>0</v>
      </c>
      <c r="I6" s="106">
        <v>0</v>
      </c>
      <c r="J6" s="106">
        <v>0</v>
      </c>
      <c r="K6" s="107">
        <v>1</v>
      </c>
      <c r="L6" s="105">
        <v>0</v>
      </c>
      <c r="M6" s="106">
        <v>0</v>
      </c>
      <c r="N6" s="106">
        <v>0</v>
      </c>
      <c r="O6" s="106">
        <v>0</v>
      </c>
      <c r="P6" s="107">
        <v>0</v>
      </c>
      <c r="Q6" s="105">
        <v>0</v>
      </c>
      <c r="R6" s="106">
        <v>0</v>
      </c>
      <c r="S6" s="106">
        <v>2</v>
      </c>
      <c r="T6" s="106">
        <v>0</v>
      </c>
      <c r="U6" s="107">
        <v>1</v>
      </c>
      <c r="V6" s="105">
        <v>0</v>
      </c>
      <c r="W6" s="107">
        <v>2</v>
      </c>
      <c r="X6" s="104">
        <v>7</v>
      </c>
      <c r="Y6" s="108">
        <v>-18</v>
      </c>
      <c r="Z6" s="88"/>
      <c r="AA6" s="87">
        <v>4</v>
      </c>
      <c r="AB6" s="129">
        <v>44928</v>
      </c>
      <c r="AC6" s="129" t="s">
        <v>164</v>
      </c>
      <c r="AD6" s="130">
        <v>46197</v>
      </c>
      <c r="AE6" s="129">
        <v>217.28</v>
      </c>
      <c r="AF6" s="130">
        <v>46178</v>
      </c>
      <c r="AG6" s="129" t="s">
        <v>8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32">
        <v>38149</v>
      </c>
      <c r="AC7" s="132" t="s">
        <v>165</v>
      </c>
      <c r="AD7" s="133">
        <v>46199</v>
      </c>
      <c r="AE7" s="132">
        <v>220.74</v>
      </c>
      <c r="AF7" s="133">
        <v>46176</v>
      </c>
      <c r="AG7" s="132" t="s">
        <v>62</v>
      </c>
      <c r="AH7" s="132">
        <v>112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7</v>
      </c>
      <c r="AB8" s="129">
        <v>27148</v>
      </c>
      <c r="AC8" s="129" t="s">
        <v>166</v>
      </c>
      <c r="AD8" s="130">
        <v>46029</v>
      </c>
      <c r="AE8" s="129">
        <v>161.75</v>
      </c>
      <c r="AF8" s="130">
        <v>46129</v>
      </c>
      <c r="AG8" s="129" t="s">
        <v>8</v>
      </c>
      <c r="AH8" s="131">
        <v>75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6</v>
      </c>
      <c r="AB9" s="129">
        <v>34645</v>
      </c>
      <c r="AC9" s="129" t="s">
        <v>167</v>
      </c>
      <c r="AD9" s="130">
        <v>46029</v>
      </c>
      <c r="AE9" s="129">
        <v>175.75</v>
      </c>
      <c r="AF9" s="130">
        <v>46140</v>
      </c>
      <c r="AG9" s="129" t="s">
        <v>59</v>
      </c>
      <c r="AH9" s="131">
        <v>64</v>
      </c>
    </row>
    <row r="10" spans="1:34" ht="13.2">
      <c r="A10" s="88"/>
      <c r="B10" s="97" t="s">
        <v>15</v>
      </c>
      <c r="C10" s="102">
        <v>5</v>
      </c>
      <c r="D10" s="102"/>
      <c r="E10" s="102">
        <v>0</v>
      </c>
      <c r="F10" s="102">
        <v>0</v>
      </c>
      <c r="G10" s="102">
        <v>0</v>
      </c>
      <c r="H10" s="102">
        <v>0</v>
      </c>
      <c r="I10" s="102">
        <v>0</v>
      </c>
      <c r="J10" s="102">
        <v>0</v>
      </c>
      <c r="K10" s="102">
        <v>0</v>
      </c>
      <c r="L10" s="113"/>
      <c r="M10" s="102">
        <v>0</v>
      </c>
      <c r="N10" s="102">
        <v>16</v>
      </c>
      <c r="O10" s="102">
        <v>16</v>
      </c>
      <c r="P10" s="102">
        <v>16</v>
      </c>
      <c r="Q10" s="102">
        <v>0</v>
      </c>
      <c r="R10" s="114">
        <v>17</v>
      </c>
      <c r="S10" s="81">
        <v>1</v>
      </c>
      <c r="T10" s="115">
        <v>0</v>
      </c>
      <c r="U10" s="116">
        <v>0</v>
      </c>
      <c r="V10" s="116">
        <v>0</v>
      </c>
      <c r="W10" s="102"/>
      <c r="X10" s="88"/>
      <c r="Y10" s="88"/>
      <c r="Z10" s="88"/>
      <c r="AA10" s="87"/>
      <c r="AB10" s="129"/>
      <c r="AC10" s="129"/>
      <c r="AD10" s="129"/>
      <c r="AE10" s="129"/>
      <c r="AF10" s="129"/>
      <c r="AG10" s="129"/>
      <c r="AH10" s="131"/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102">
        <v>0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13"/>
      <c r="M11" s="102">
        <v>0</v>
      </c>
      <c r="N11" s="102">
        <v>0</v>
      </c>
      <c r="O11" s="102">
        <v>0</v>
      </c>
      <c r="P11" s="102">
        <v>0</v>
      </c>
      <c r="Q11" s="102">
        <v>1</v>
      </c>
      <c r="R11" s="114">
        <v>1</v>
      </c>
      <c r="S11" s="81">
        <v>0</v>
      </c>
      <c r="T11" s="115">
        <v>0</v>
      </c>
      <c r="U11" s="116">
        <v>0</v>
      </c>
      <c r="V11" s="116">
        <v>0</v>
      </c>
      <c r="W11" s="102"/>
      <c r="X11" s="88"/>
      <c r="Y11" s="88"/>
      <c r="Z11" s="88"/>
      <c r="AA11" s="87"/>
      <c r="AB11" s="159"/>
      <c r="AC11" s="159"/>
      <c r="AD11" s="159"/>
      <c r="AE11" s="129"/>
      <c r="AF11" s="129"/>
      <c r="AG11" s="129"/>
      <c r="AH11" s="131"/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102">
        <v>0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13"/>
      <c r="M12" s="102">
        <v>0</v>
      </c>
      <c r="N12" s="102">
        <v>0</v>
      </c>
      <c r="O12" s="102">
        <v>0</v>
      </c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16">
        <v>0</v>
      </c>
      <c r="W12" s="102"/>
      <c r="X12" s="88"/>
      <c r="Y12" s="88"/>
      <c r="Z12" s="88"/>
      <c r="AA12" s="87"/>
      <c r="AB12" s="159"/>
      <c r="AC12" s="159"/>
      <c r="AD12" s="159"/>
      <c r="AE12" s="129"/>
      <c r="AF12" s="129"/>
      <c r="AG12" s="129"/>
      <c r="AH12" s="131"/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102">
        <v>0</v>
      </c>
      <c r="G13" s="102">
        <v>0</v>
      </c>
      <c r="H13" s="102">
        <v>0</v>
      </c>
      <c r="I13" s="102">
        <v>0</v>
      </c>
      <c r="J13" s="102">
        <v>0</v>
      </c>
      <c r="K13" s="102">
        <v>0</v>
      </c>
      <c r="L13" s="113"/>
      <c r="M13" s="102">
        <v>0</v>
      </c>
      <c r="N13" s="102">
        <v>0</v>
      </c>
      <c r="O13" s="102">
        <v>0</v>
      </c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16">
        <v>0</v>
      </c>
      <c r="W13" s="102"/>
      <c r="X13" s="88"/>
      <c r="Y13" s="88"/>
      <c r="Z13" s="88"/>
      <c r="AA13" s="87"/>
      <c r="AB13" s="159"/>
      <c r="AC13" s="159"/>
      <c r="AD13" s="159"/>
      <c r="AE13" s="129"/>
      <c r="AF13" s="129"/>
      <c r="AG13" s="129"/>
      <c r="AH13" s="131"/>
    </row>
    <row r="14" spans="1:34" ht="13.2">
      <c r="A14" s="88"/>
      <c r="B14" s="97" t="s">
        <v>51</v>
      </c>
      <c r="C14" s="102">
        <v>291</v>
      </c>
      <c r="D14" s="102"/>
      <c r="E14" s="102">
        <v>295</v>
      </c>
      <c r="F14" s="102">
        <v>295</v>
      </c>
      <c r="G14" s="2">
        <v>295</v>
      </c>
      <c r="H14" s="113">
        <v>307</v>
      </c>
      <c r="I14" s="102">
        <v>307</v>
      </c>
      <c r="J14" s="102">
        <v>307</v>
      </c>
      <c r="K14" s="102">
        <v>307</v>
      </c>
      <c r="L14" s="113"/>
      <c r="M14" s="102">
        <v>39</v>
      </c>
      <c r="N14" s="102">
        <v>307</v>
      </c>
      <c r="O14" s="102">
        <v>307</v>
      </c>
      <c r="P14" s="102">
        <v>307</v>
      </c>
      <c r="Q14" s="102">
        <v>321</v>
      </c>
      <c r="R14" s="114">
        <v>333</v>
      </c>
      <c r="S14" s="81">
        <v>343</v>
      </c>
      <c r="T14" s="115">
        <v>335</v>
      </c>
      <c r="U14" s="87">
        <v>352</v>
      </c>
      <c r="V14" s="102">
        <v>350</v>
      </c>
      <c r="W14" s="102"/>
      <c r="X14" s="88"/>
      <c r="Y14" s="88"/>
      <c r="Z14" s="88"/>
      <c r="AA14" s="128"/>
      <c r="AB14" s="128"/>
      <c r="AC14" s="128"/>
      <c r="AD14" s="128"/>
      <c r="AE14" s="138">
        <v>1973.01</v>
      </c>
      <c r="AF14" s="128"/>
      <c r="AG14" s="128"/>
      <c r="AH14" s="127"/>
    </row>
    <row r="15" spans="1:34" ht="13.2">
      <c r="A15" s="88"/>
      <c r="B15" s="97" t="s">
        <v>52</v>
      </c>
      <c r="C15" s="102">
        <v>30</v>
      </c>
      <c r="D15" s="102"/>
      <c r="E15" s="102">
        <v>30</v>
      </c>
      <c r="F15" s="102">
        <v>30</v>
      </c>
      <c r="G15" s="2">
        <v>29</v>
      </c>
      <c r="H15" s="102">
        <v>31</v>
      </c>
      <c r="I15" s="102">
        <v>31</v>
      </c>
      <c r="J15" s="102">
        <v>31</v>
      </c>
      <c r="K15" s="102">
        <v>31</v>
      </c>
      <c r="L15" s="113"/>
      <c r="M15" s="102">
        <v>5</v>
      </c>
      <c r="N15" s="102">
        <v>31</v>
      </c>
      <c r="O15" s="102">
        <v>31</v>
      </c>
      <c r="P15" s="102">
        <v>31</v>
      </c>
      <c r="Q15" s="102">
        <v>31</v>
      </c>
      <c r="R15" s="114">
        <v>32</v>
      </c>
      <c r="S15" s="81">
        <v>32</v>
      </c>
      <c r="T15" s="115">
        <v>33</v>
      </c>
      <c r="U15" s="117">
        <v>33</v>
      </c>
      <c r="V15" s="102">
        <v>32</v>
      </c>
      <c r="W15" s="102"/>
      <c r="X15" s="88"/>
      <c r="Y15" s="88"/>
      <c r="Z15" s="88"/>
      <c r="AA15" s="88"/>
      <c r="AB15" s="128"/>
      <c r="AC15" s="128"/>
      <c r="AD15" s="128"/>
      <c r="AE15" s="128"/>
      <c r="AF15" s="128"/>
      <c r="AG15" s="128"/>
      <c r="AH15" s="127"/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2">
        <v>0</v>
      </c>
      <c r="H16" s="102">
        <v>1</v>
      </c>
      <c r="I16" s="102">
        <v>1</v>
      </c>
      <c r="J16" s="102">
        <v>1</v>
      </c>
      <c r="K16" s="102">
        <v>1</v>
      </c>
      <c r="L16" s="113"/>
      <c r="M16" s="102">
        <v>0</v>
      </c>
      <c r="N16" s="102">
        <v>1</v>
      </c>
      <c r="O16" s="102">
        <v>1</v>
      </c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87">
        <v>1</v>
      </c>
      <c r="V16" s="102">
        <v>1</v>
      </c>
      <c r="W16" s="102"/>
      <c r="X16" s="88"/>
      <c r="Y16" s="88"/>
      <c r="Z16" s="88"/>
      <c r="AA16" s="88"/>
      <c r="AB16" s="128"/>
      <c r="AC16" s="128"/>
      <c r="AD16" s="128"/>
      <c r="AE16" s="128"/>
      <c r="AF16" s="128"/>
      <c r="AG16" s="128"/>
      <c r="AH16" s="127"/>
    </row>
    <row r="17" spans="1:34" ht="13.2">
      <c r="A17" s="88"/>
      <c r="B17" s="97" t="s">
        <v>23</v>
      </c>
      <c r="C17" s="102">
        <v>0</v>
      </c>
      <c r="D17" s="102"/>
      <c r="E17" s="102">
        <v>1</v>
      </c>
      <c r="F17" s="102">
        <v>1</v>
      </c>
      <c r="G17" s="2">
        <v>1</v>
      </c>
      <c r="H17" s="102">
        <v>2</v>
      </c>
      <c r="I17" s="102">
        <v>2</v>
      </c>
      <c r="J17" s="102">
        <v>2</v>
      </c>
      <c r="K17" s="102">
        <v>2</v>
      </c>
      <c r="L17" s="113"/>
      <c r="M17" s="102">
        <v>0</v>
      </c>
      <c r="N17" s="102">
        <v>2</v>
      </c>
      <c r="O17" s="102">
        <v>2</v>
      </c>
      <c r="P17" s="102">
        <v>2</v>
      </c>
      <c r="Q17" s="102">
        <v>2</v>
      </c>
      <c r="R17" s="114">
        <v>2</v>
      </c>
      <c r="S17" s="81">
        <v>3</v>
      </c>
      <c r="T17" s="115">
        <v>3</v>
      </c>
      <c r="U17" s="87">
        <v>3</v>
      </c>
      <c r="V17" s="102">
        <v>3</v>
      </c>
      <c r="W17" s="102"/>
      <c r="X17" s="88"/>
      <c r="Y17" s="88"/>
      <c r="Z17" s="88"/>
      <c r="AA17" s="88"/>
      <c r="AB17" s="128"/>
      <c r="AC17" s="128"/>
      <c r="AD17" s="128"/>
      <c r="AE17" s="128"/>
      <c r="AF17" s="128"/>
      <c r="AG17" s="128"/>
      <c r="AH17" s="127"/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102">
        <v>1</v>
      </c>
      <c r="G18" s="2">
        <v>1</v>
      </c>
      <c r="H18" s="102">
        <v>1</v>
      </c>
      <c r="I18" s="102">
        <v>1</v>
      </c>
      <c r="J18" s="102">
        <v>1</v>
      </c>
      <c r="K18" s="102">
        <v>1</v>
      </c>
      <c r="L18" s="113"/>
      <c r="M18" s="102">
        <v>0</v>
      </c>
      <c r="N18" s="102">
        <v>1</v>
      </c>
      <c r="O18" s="102">
        <v>1</v>
      </c>
      <c r="P18" s="102">
        <v>1</v>
      </c>
      <c r="Q18" s="102">
        <v>1</v>
      </c>
      <c r="R18" s="114">
        <v>2</v>
      </c>
      <c r="S18" s="81">
        <v>5</v>
      </c>
      <c r="T18" s="115">
        <v>10</v>
      </c>
      <c r="U18" s="87">
        <v>15</v>
      </c>
      <c r="V18" s="102">
        <v>18</v>
      </c>
      <c r="W18" s="102"/>
      <c r="X18" s="88"/>
      <c r="Y18" s="88"/>
      <c r="Z18" s="88"/>
      <c r="AA18" s="88"/>
      <c r="AB18" s="128"/>
      <c r="AC18" s="128"/>
      <c r="AD18" s="128"/>
      <c r="AE18" s="128"/>
      <c r="AF18" s="128"/>
      <c r="AG18" s="128"/>
      <c r="AH18" s="127"/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2">
        <v>0</v>
      </c>
      <c r="H19" s="102">
        <v>3</v>
      </c>
      <c r="I19" s="102">
        <v>3</v>
      </c>
      <c r="J19" s="102">
        <v>3</v>
      </c>
      <c r="K19" s="102">
        <v>3</v>
      </c>
      <c r="L19" s="113"/>
      <c r="M19" s="102">
        <v>0</v>
      </c>
      <c r="N19" s="102">
        <v>3</v>
      </c>
      <c r="O19" s="102">
        <v>3</v>
      </c>
      <c r="P19" s="102">
        <v>3</v>
      </c>
      <c r="Q19" s="102">
        <v>4</v>
      </c>
      <c r="R19" s="114">
        <v>4</v>
      </c>
      <c r="S19" s="81">
        <v>4</v>
      </c>
      <c r="T19" s="115">
        <v>4</v>
      </c>
      <c r="U19" s="87">
        <v>4</v>
      </c>
      <c r="V19" s="102">
        <v>4</v>
      </c>
      <c r="W19" s="102"/>
      <c r="X19" s="88"/>
      <c r="Y19" s="88"/>
      <c r="Z19" s="88"/>
      <c r="AA19" s="88"/>
      <c r="AB19" s="128"/>
      <c r="AC19" s="128"/>
      <c r="AD19" s="128"/>
      <c r="AE19" s="128"/>
      <c r="AF19" s="128"/>
      <c r="AG19" s="128"/>
      <c r="AH19" s="127"/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2">
        <v>0</v>
      </c>
      <c r="H20" s="102">
        <v>0</v>
      </c>
      <c r="I20" s="102">
        <v>0</v>
      </c>
      <c r="J20" s="102">
        <v>0</v>
      </c>
      <c r="K20" s="102">
        <v>0</v>
      </c>
      <c r="L20" s="113"/>
      <c r="M20" s="102">
        <v>0</v>
      </c>
      <c r="N20" s="102">
        <v>0</v>
      </c>
      <c r="O20" s="102">
        <v>0</v>
      </c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87">
        <v>0</v>
      </c>
      <c r="V20" s="102">
        <v>0</v>
      </c>
      <c r="W20" s="102"/>
      <c r="X20" s="88"/>
      <c r="Y20" s="88"/>
      <c r="Z20" s="88"/>
      <c r="AA20" s="88"/>
      <c r="AB20" s="128"/>
      <c r="AC20" s="128"/>
      <c r="AD20" s="128"/>
      <c r="AE20" s="128"/>
      <c r="AF20" s="128"/>
      <c r="AG20" s="128"/>
      <c r="AH20" s="127"/>
    </row>
    <row r="21" spans="1:34" ht="13.2">
      <c r="A21" s="88"/>
      <c r="B21" s="109" t="s">
        <v>11</v>
      </c>
      <c r="C21" s="109">
        <v>326</v>
      </c>
      <c r="D21" s="109">
        <v>0</v>
      </c>
      <c r="E21" s="109">
        <v>327</v>
      </c>
      <c r="F21" s="109">
        <v>326</v>
      </c>
      <c r="G21" s="109">
        <v>325</v>
      </c>
      <c r="H21" s="109">
        <v>345</v>
      </c>
      <c r="I21" s="109">
        <v>345</v>
      </c>
      <c r="J21" s="109">
        <v>345</v>
      </c>
      <c r="K21" s="109">
        <v>345</v>
      </c>
      <c r="L21" s="109">
        <v>0</v>
      </c>
      <c r="M21" s="109">
        <v>44</v>
      </c>
      <c r="N21" s="109">
        <v>361</v>
      </c>
      <c r="O21" s="109">
        <v>361</v>
      </c>
      <c r="P21" s="109">
        <v>361</v>
      </c>
      <c r="Q21" s="109">
        <v>361</v>
      </c>
      <c r="R21" s="109">
        <v>392</v>
      </c>
      <c r="S21" s="109">
        <v>389</v>
      </c>
      <c r="T21" s="109">
        <v>386</v>
      </c>
      <c r="U21" s="109">
        <v>408</v>
      </c>
      <c r="V21" s="109">
        <v>408</v>
      </c>
      <c r="W21" s="109">
        <v>0</v>
      </c>
      <c r="X21" s="88"/>
      <c r="Y21" s="88"/>
      <c r="Z21" s="88"/>
      <c r="AA21" s="88"/>
      <c r="AB21" s="128"/>
      <c r="AC21" s="128"/>
      <c r="AD21" s="128"/>
      <c r="AE21" s="128"/>
      <c r="AF21" s="128"/>
      <c r="AG21" s="128"/>
      <c r="AH21" s="127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128"/>
      <c r="AC22" s="128"/>
      <c r="AD22" s="128"/>
      <c r="AE22" s="128"/>
      <c r="AF22" s="128"/>
      <c r="AG22" s="128"/>
      <c r="AH22" s="127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  <c r="AB23" s="128"/>
      <c r="AC23" s="128"/>
      <c r="AD23" s="128"/>
      <c r="AE23" s="128"/>
      <c r="AF23" s="128"/>
      <c r="AG23" s="128"/>
      <c r="AH23" s="12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  <c r="AB24" s="128"/>
      <c r="AC24" s="128"/>
      <c r="AD24" s="128"/>
      <c r="AE24" s="128"/>
      <c r="AF24" s="128"/>
      <c r="AG24" s="128"/>
      <c r="AH24" s="127"/>
    </row>
    <row r="25" spans="1:34" ht="13.2">
      <c r="A25" s="88"/>
      <c r="B25" s="81" t="s">
        <v>115</v>
      </c>
      <c r="C25" s="87">
        <v>20</v>
      </c>
      <c r="D25" s="87">
        <v>23</v>
      </c>
      <c r="E25" s="87">
        <v>4</v>
      </c>
      <c r="F25" s="87">
        <v>14</v>
      </c>
      <c r="G25" s="87">
        <v>29</v>
      </c>
      <c r="H25" s="87">
        <v>8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21</v>
      </c>
      <c r="R25" s="87">
        <v>16</v>
      </c>
      <c r="S25" s="87">
        <v>62</v>
      </c>
      <c r="T25" s="87">
        <v>35</v>
      </c>
      <c r="U25" s="87">
        <v>40</v>
      </c>
      <c r="V25" s="87">
        <v>40</v>
      </c>
      <c r="W25" s="87"/>
      <c r="X25" s="81">
        <v>312</v>
      </c>
      <c r="Y25" s="108">
        <v>-38</v>
      </c>
      <c r="Z25" s="88"/>
      <c r="AA25" s="88"/>
      <c r="AB25" s="128"/>
      <c r="AC25" s="128"/>
      <c r="AD25" s="128"/>
      <c r="AE25" s="128"/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8"/>
      <c r="Y26" s="288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A423B-0350-4096-8FA9-3F65019560E7}">
  <sheetPr>
    <tabColor rgb="FF00B050"/>
    <outlinePr summaryBelow="0" summaryRight="0"/>
  </sheetPr>
  <dimension ref="A1:AH960"/>
  <sheetViews>
    <sheetView showGridLines="0" topLeftCell="C1" zoomScaleNormal="100" workbookViewId="0">
      <selection activeCell="AB16" sqref="AB16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60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5" t="s">
        <v>28</v>
      </c>
      <c r="D2" s="286"/>
      <c r="E2" s="286"/>
      <c r="F2" s="287"/>
      <c r="G2" s="285" t="s">
        <v>29</v>
      </c>
      <c r="H2" s="286"/>
      <c r="I2" s="286"/>
      <c r="J2" s="286"/>
      <c r="K2" s="287"/>
      <c r="L2" s="285" t="s">
        <v>30</v>
      </c>
      <c r="M2" s="286"/>
      <c r="N2" s="286"/>
      <c r="O2" s="286"/>
      <c r="P2" s="287"/>
      <c r="Q2" s="285" t="s">
        <v>31</v>
      </c>
      <c r="R2" s="286"/>
      <c r="S2" s="286"/>
      <c r="T2" s="286"/>
      <c r="U2" s="287"/>
      <c r="V2" s="285" t="s">
        <v>32</v>
      </c>
      <c r="W2" s="286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2"/>
      <c r="Y3" s="283"/>
      <c r="Z3" s="88"/>
      <c r="AA3" s="87">
        <v>1</v>
      </c>
      <c r="AB3" s="129">
        <v>33463</v>
      </c>
      <c r="AC3" s="129" t="s">
        <v>168</v>
      </c>
      <c r="AD3" s="130">
        <v>46087</v>
      </c>
      <c r="AE3" s="129">
        <v>745.8</v>
      </c>
      <c r="AF3" s="130">
        <v>46106</v>
      </c>
      <c r="AG3" s="129" t="s">
        <v>56</v>
      </c>
      <c r="AH3" s="131">
        <v>70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42936</v>
      </c>
      <c r="AC4" s="129" t="s">
        <v>169</v>
      </c>
      <c r="AD4" s="130">
        <v>46087</v>
      </c>
      <c r="AE4" s="129">
        <v>183.75</v>
      </c>
      <c r="AF4" s="130">
        <v>46112</v>
      </c>
      <c r="AG4" s="129" t="s">
        <v>56</v>
      </c>
      <c r="AH4" s="131">
        <v>64</v>
      </c>
    </row>
    <row r="5" spans="1:34" ht="13.2">
      <c r="A5" s="88"/>
      <c r="B5" s="100" t="s">
        <v>2</v>
      </c>
      <c r="C5" s="101">
        <v>2</v>
      </c>
      <c r="D5" s="102">
        <v>2</v>
      </c>
      <c r="E5" s="102">
        <v>2</v>
      </c>
      <c r="F5" s="103">
        <v>2</v>
      </c>
      <c r="G5" s="101">
        <v>2</v>
      </c>
      <c r="H5" s="102">
        <v>2</v>
      </c>
      <c r="I5" s="102">
        <v>2</v>
      </c>
      <c r="J5" s="102">
        <v>2</v>
      </c>
      <c r="K5" s="103">
        <v>2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1</v>
      </c>
      <c r="X5" s="104">
        <v>30</v>
      </c>
      <c r="Y5" s="88"/>
      <c r="Z5" s="88"/>
      <c r="AA5" s="87">
        <v>3</v>
      </c>
      <c r="AB5" s="129">
        <v>30921</v>
      </c>
      <c r="AC5" s="129" t="s">
        <v>170</v>
      </c>
      <c r="AD5" s="130">
        <v>46148</v>
      </c>
      <c r="AE5" s="129">
        <v>210.65</v>
      </c>
      <c r="AF5" s="130">
        <v>46099</v>
      </c>
      <c r="AG5" s="129" t="s">
        <v>56</v>
      </c>
      <c r="AH5" s="131">
        <v>79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2</v>
      </c>
      <c r="F6" s="107">
        <v>1</v>
      </c>
      <c r="G6" s="105">
        <v>0</v>
      </c>
      <c r="H6" s="106">
        <v>1</v>
      </c>
      <c r="I6" s="106">
        <v>3</v>
      </c>
      <c r="J6" s="106">
        <v>4</v>
      </c>
      <c r="K6" s="107">
        <v>0</v>
      </c>
      <c r="L6" s="105">
        <v>0</v>
      </c>
      <c r="M6" s="106">
        <v>0</v>
      </c>
      <c r="N6" s="106">
        <v>2</v>
      </c>
      <c r="O6" s="106">
        <v>1</v>
      </c>
      <c r="P6" s="107">
        <v>1</v>
      </c>
      <c r="Q6" s="105">
        <v>1</v>
      </c>
      <c r="R6" s="106">
        <v>1</v>
      </c>
      <c r="S6" s="106">
        <v>1</v>
      </c>
      <c r="T6" s="106">
        <v>3</v>
      </c>
      <c r="U6" s="107">
        <v>2</v>
      </c>
      <c r="V6" s="105">
        <v>0</v>
      </c>
      <c r="W6" s="107">
        <v>4</v>
      </c>
      <c r="X6" s="104">
        <v>27</v>
      </c>
      <c r="Y6" s="108">
        <v>-3</v>
      </c>
      <c r="Z6" s="88"/>
      <c r="AA6" s="87">
        <v>4</v>
      </c>
      <c r="AB6" s="129">
        <v>12165</v>
      </c>
      <c r="AC6" s="129" t="s">
        <v>171</v>
      </c>
      <c r="AD6" s="130">
        <v>46271</v>
      </c>
      <c r="AE6" s="129">
        <v>420.18</v>
      </c>
      <c r="AF6" s="130">
        <v>46127</v>
      </c>
      <c r="AG6" s="129" t="s">
        <v>56</v>
      </c>
      <c r="AH6" s="131">
        <v>55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28192</v>
      </c>
      <c r="AC7" s="129" t="s">
        <v>172</v>
      </c>
      <c r="AD7" s="130">
        <v>46301</v>
      </c>
      <c r="AE7" s="129">
        <v>264.45</v>
      </c>
      <c r="AF7" s="130">
        <v>46238</v>
      </c>
      <c r="AG7" s="129" t="s">
        <v>56</v>
      </c>
      <c r="AH7" s="131">
        <v>63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129">
        <v>37151</v>
      </c>
      <c r="AC8" s="129" t="s">
        <v>173</v>
      </c>
      <c r="AD8" s="130">
        <v>46301</v>
      </c>
      <c r="AE8" s="129">
        <v>411.74</v>
      </c>
      <c r="AF8" s="130">
        <v>46099</v>
      </c>
      <c r="AG8" s="129" t="s">
        <v>56</v>
      </c>
      <c r="AH8" s="131">
        <v>84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44572</v>
      </c>
      <c r="AC9" s="129" t="s">
        <v>174</v>
      </c>
      <c r="AD9" s="130">
        <v>46301</v>
      </c>
      <c r="AE9" s="129">
        <v>391.55</v>
      </c>
      <c r="AF9" s="130">
        <v>46103</v>
      </c>
      <c r="AG9" s="129" t="s">
        <v>56</v>
      </c>
      <c r="AH9" s="131">
        <v>80</v>
      </c>
    </row>
    <row r="10" spans="1:34" ht="13.2">
      <c r="A10" s="88"/>
      <c r="B10" s="97" t="s">
        <v>15</v>
      </c>
      <c r="C10" s="102">
        <v>50</v>
      </c>
      <c r="D10" s="102"/>
      <c r="E10" s="102">
        <v>50</v>
      </c>
      <c r="F10" s="2">
        <v>26</v>
      </c>
      <c r="G10" s="2">
        <v>26</v>
      </c>
      <c r="H10" s="102">
        <v>2</v>
      </c>
      <c r="I10" s="102">
        <v>0</v>
      </c>
      <c r="J10" s="102">
        <v>0</v>
      </c>
      <c r="K10" s="102"/>
      <c r="L10" s="102">
        <v>0</v>
      </c>
      <c r="M10" s="102">
        <v>10</v>
      </c>
      <c r="N10" s="102">
        <v>9</v>
      </c>
      <c r="O10" s="102"/>
      <c r="P10" s="102">
        <v>0</v>
      </c>
      <c r="Q10" s="102">
        <v>0</v>
      </c>
      <c r="R10" s="114">
        <v>14</v>
      </c>
      <c r="S10" s="81">
        <v>11</v>
      </c>
      <c r="T10" s="115">
        <v>0</v>
      </c>
      <c r="U10" s="116">
        <v>8</v>
      </c>
      <c r="V10" s="102">
        <v>1</v>
      </c>
      <c r="W10" s="102"/>
      <c r="X10" s="88"/>
      <c r="Y10" s="88"/>
      <c r="Z10" s="88"/>
      <c r="AA10" s="87">
        <v>8</v>
      </c>
      <c r="AB10" s="129">
        <v>601</v>
      </c>
      <c r="AC10" s="129" t="s">
        <v>175</v>
      </c>
      <c r="AD10" s="130">
        <v>46332</v>
      </c>
      <c r="AE10" s="129">
        <v>819.5</v>
      </c>
      <c r="AF10" s="130">
        <v>46238</v>
      </c>
      <c r="AG10" s="129" t="s">
        <v>56</v>
      </c>
      <c r="AH10" s="131">
        <v>64</v>
      </c>
    </row>
    <row r="11" spans="1:34" ht="13.2">
      <c r="A11" s="88"/>
      <c r="B11" s="97" t="s">
        <v>16</v>
      </c>
      <c r="C11" s="102">
        <v>14</v>
      </c>
      <c r="D11" s="102"/>
      <c r="E11" s="102">
        <v>14</v>
      </c>
      <c r="F11" s="2">
        <v>7</v>
      </c>
      <c r="G11" s="2">
        <v>4</v>
      </c>
      <c r="H11" s="102">
        <v>0</v>
      </c>
      <c r="I11" s="102">
        <v>0</v>
      </c>
      <c r="J11" s="102">
        <v>0</v>
      </c>
      <c r="K11" s="102"/>
      <c r="L11" s="102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16">
        <v>0</v>
      </c>
      <c r="V11" s="102">
        <v>0</v>
      </c>
      <c r="W11" s="102"/>
      <c r="X11" s="88"/>
      <c r="Y11" s="88"/>
      <c r="Z11" s="88"/>
      <c r="AA11" s="87">
        <v>9</v>
      </c>
      <c r="AB11" s="129">
        <v>32604</v>
      </c>
      <c r="AC11" s="129" t="s">
        <v>176</v>
      </c>
      <c r="AD11" s="130">
        <v>46332</v>
      </c>
      <c r="AE11" s="129">
        <v>183.35</v>
      </c>
      <c r="AF11" s="130">
        <v>46112</v>
      </c>
      <c r="AG11" s="129" t="s">
        <v>56</v>
      </c>
      <c r="AH11" s="131">
        <v>72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1</v>
      </c>
      <c r="I12" s="102">
        <v>0</v>
      </c>
      <c r="J12" s="102">
        <v>0</v>
      </c>
      <c r="K12" s="102"/>
      <c r="L12" s="102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02">
        <v>0</v>
      </c>
      <c r="W12" s="102"/>
      <c r="X12" s="88"/>
      <c r="Y12" s="88"/>
      <c r="Z12" s="88"/>
      <c r="AA12" s="87">
        <v>10</v>
      </c>
      <c r="AB12" s="129">
        <v>30889</v>
      </c>
      <c r="AC12" s="129" t="s">
        <v>177</v>
      </c>
      <c r="AD12" s="130">
        <v>46332</v>
      </c>
      <c r="AE12" s="129">
        <v>994.8</v>
      </c>
      <c r="AF12" s="130">
        <v>46136</v>
      </c>
      <c r="AG12" s="129" t="s">
        <v>56</v>
      </c>
      <c r="AH12" s="131">
        <v>48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/>
      <c r="L13" s="102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02">
        <v>0</v>
      </c>
      <c r="W13" s="102"/>
      <c r="X13" s="88"/>
      <c r="Y13" s="88"/>
      <c r="Z13" s="88"/>
      <c r="AA13" s="87">
        <v>11</v>
      </c>
      <c r="AB13" s="129">
        <v>20583</v>
      </c>
      <c r="AC13" s="129" t="s">
        <v>178</v>
      </c>
      <c r="AD13" s="130">
        <v>46332</v>
      </c>
      <c r="AE13" s="129">
        <v>1658</v>
      </c>
      <c r="AF13" s="130">
        <v>46127</v>
      </c>
      <c r="AG13" s="129" t="s">
        <v>56</v>
      </c>
      <c r="AH13" s="131">
        <v>57</v>
      </c>
    </row>
    <row r="14" spans="1:34" ht="13.2">
      <c r="A14" s="88"/>
      <c r="B14" s="97" t="s">
        <v>51</v>
      </c>
      <c r="C14" s="102">
        <v>147</v>
      </c>
      <c r="D14" s="102"/>
      <c r="E14" s="102">
        <v>120</v>
      </c>
      <c r="F14" s="2">
        <v>141</v>
      </c>
      <c r="G14" s="2">
        <v>143</v>
      </c>
      <c r="H14" s="113">
        <v>169</v>
      </c>
      <c r="I14" s="102">
        <v>169</v>
      </c>
      <c r="J14" s="102">
        <v>167</v>
      </c>
      <c r="K14" s="102"/>
      <c r="L14" s="113">
        <v>169</v>
      </c>
      <c r="M14" s="102">
        <v>170</v>
      </c>
      <c r="N14" s="102">
        <v>167</v>
      </c>
      <c r="O14" s="102"/>
      <c r="P14" s="102">
        <v>177</v>
      </c>
      <c r="Q14" s="102">
        <v>173</v>
      </c>
      <c r="R14" s="114">
        <v>179</v>
      </c>
      <c r="S14" s="81">
        <v>187</v>
      </c>
      <c r="T14" s="115">
        <v>193</v>
      </c>
      <c r="U14" s="87">
        <v>193</v>
      </c>
      <c r="V14" s="102">
        <v>201</v>
      </c>
      <c r="W14" s="102"/>
      <c r="X14" s="88"/>
      <c r="Y14" s="88"/>
      <c r="Z14" s="88"/>
      <c r="AA14" s="87">
        <v>12</v>
      </c>
      <c r="AB14" s="129">
        <v>21387</v>
      </c>
      <c r="AC14" s="129" t="s">
        <v>179</v>
      </c>
      <c r="AD14" s="130">
        <v>46190</v>
      </c>
      <c r="AE14" s="129">
        <v>239.95</v>
      </c>
      <c r="AF14" s="130">
        <v>46134</v>
      </c>
      <c r="AG14" s="129" t="s">
        <v>56</v>
      </c>
      <c r="AH14" s="131">
        <v>56</v>
      </c>
    </row>
    <row r="15" spans="1:34" ht="13.2">
      <c r="A15" s="88"/>
      <c r="B15" s="97" t="s">
        <v>52</v>
      </c>
      <c r="C15" s="102">
        <v>47</v>
      </c>
      <c r="D15" s="102"/>
      <c r="E15" s="102">
        <v>45</v>
      </c>
      <c r="F15" s="2">
        <v>49</v>
      </c>
      <c r="G15" s="2">
        <v>49</v>
      </c>
      <c r="H15" s="102">
        <v>63</v>
      </c>
      <c r="I15" s="102">
        <v>62</v>
      </c>
      <c r="J15" s="102">
        <v>62</v>
      </c>
      <c r="K15" s="102"/>
      <c r="L15" s="113">
        <v>62</v>
      </c>
      <c r="M15" s="102">
        <v>65</v>
      </c>
      <c r="N15" s="102">
        <v>66</v>
      </c>
      <c r="O15" s="102"/>
      <c r="P15" s="102">
        <v>68</v>
      </c>
      <c r="Q15" s="102">
        <v>68</v>
      </c>
      <c r="R15" s="114">
        <v>70</v>
      </c>
      <c r="S15" s="81">
        <v>69</v>
      </c>
      <c r="T15" s="115">
        <v>69</v>
      </c>
      <c r="U15" s="117">
        <v>69</v>
      </c>
      <c r="V15" s="102">
        <v>70</v>
      </c>
      <c r="W15" s="102"/>
      <c r="X15" s="88"/>
      <c r="Y15" s="88"/>
      <c r="Z15" s="88"/>
      <c r="AA15" s="122">
        <v>13</v>
      </c>
      <c r="AB15" s="132">
        <v>35547</v>
      </c>
      <c r="AC15" s="132" t="s">
        <v>180</v>
      </c>
      <c r="AD15" s="133">
        <v>46190</v>
      </c>
      <c r="AE15" s="132">
        <v>207.34</v>
      </c>
      <c r="AF15" s="133">
        <v>46045</v>
      </c>
      <c r="AG15" s="132" t="s">
        <v>56</v>
      </c>
      <c r="AH15" s="132">
        <v>145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2">
        <v>1</v>
      </c>
      <c r="G16" s="2">
        <v>1</v>
      </c>
      <c r="H16" s="102">
        <v>4</v>
      </c>
      <c r="I16" s="102">
        <v>4</v>
      </c>
      <c r="J16" s="102">
        <v>4</v>
      </c>
      <c r="K16" s="102"/>
      <c r="L16" s="113">
        <v>5</v>
      </c>
      <c r="M16" s="102">
        <v>6</v>
      </c>
      <c r="N16" s="102">
        <v>6</v>
      </c>
      <c r="O16" s="102"/>
      <c r="P16" s="102">
        <v>6</v>
      </c>
      <c r="Q16" s="102">
        <v>5</v>
      </c>
      <c r="R16" s="114">
        <v>6</v>
      </c>
      <c r="S16" s="81">
        <v>6</v>
      </c>
      <c r="T16" s="115">
        <v>6</v>
      </c>
      <c r="U16" s="87">
        <v>6</v>
      </c>
      <c r="V16" s="102">
        <v>6</v>
      </c>
      <c r="W16" s="102"/>
      <c r="X16" s="88"/>
      <c r="Y16" s="88"/>
      <c r="Z16" s="88"/>
      <c r="AA16" s="87">
        <v>14</v>
      </c>
      <c r="AB16" s="129">
        <v>42774</v>
      </c>
      <c r="AC16" s="129" t="s">
        <v>181</v>
      </c>
      <c r="AD16" s="130">
        <v>46191</v>
      </c>
      <c r="AE16" s="129">
        <v>829</v>
      </c>
      <c r="AF16" s="130">
        <v>46057</v>
      </c>
      <c r="AG16" s="129" t="s">
        <v>63</v>
      </c>
      <c r="AH16" s="131">
        <v>77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0</v>
      </c>
      <c r="I17" s="102">
        <v>0</v>
      </c>
      <c r="J17" s="102">
        <v>1</v>
      </c>
      <c r="K17" s="102"/>
      <c r="L17" s="113">
        <v>1</v>
      </c>
      <c r="M17" s="102">
        <v>2</v>
      </c>
      <c r="N17" s="102">
        <v>2</v>
      </c>
      <c r="O17" s="102"/>
      <c r="P17" s="102">
        <v>2</v>
      </c>
      <c r="Q17" s="102">
        <v>2</v>
      </c>
      <c r="R17" s="114">
        <v>2</v>
      </c>
      <c r="S17" s="81">
        <v>2</v>
      </c>
      <c r="T17" s="115">
        <v>2</v>
      </c>
      <c r="U17" s="87">
        <v>2</v>
      </c>
      <c r="V17" s="102">
        <v>3</v>
      </c>
      <c r="W17" s="102"/>
      <c r="X17" s="88"/>
      <c r="Y17" s="88"/>
      <c r="Z17" s="88"/>
      <c r="AA17" s="87">
        <v>15</v>
      </c>
      <c r="AB17" s="129">
        <v>38903</v>
      </c>
      <c r="AC17" s="129" t="s">
        <v>182</v>
      </c>
      <c r="AD17" s="130">
        <v>46192</v>
      </c>
      <c r="AE17" s="129">
        <v>617</v>
      </c>
      <c r="AF17" s="130">
        <v>46269</v>
      </c>
      <c r="AG17" s="129" t="s">
        <v>56</v>
      </c>
      <c r="AH17" s="131">
        <v>71</v>
      </c>
    </row>
    <row r="18" spans="1:34" ht="13.2">
      <c r="A18" s="88"/>
      <c r="B18" s="97" t="s">
        <v>24</v>
      </c>
      <c r="C18" s="102">
        <v>0</v>
      </c>
      <c r="D18" s="102"/>
      <c r="E18" s="102">
        <v>8</v>
      </c>
      <c r="F18" s="2">
        <v>8</v>
      </c>
      <c r="G18" s="2">
        <v>8</v>
      </c>
      <c r="H18" s="102">
        <v>8</v>
      </c>
      <c r="I18" s="102">
        <v>8</v>
      </c>
      <c r="J18" s="102">
        <v>9</v>
      </c>
      <c r="K18" s="102"/>
      <c r="L18" s="113">
        <v>9</v>
      </c>
      <c r="M18" s="102">
        <v>10</v>
      </c>
      <c r="N18" s="102">
        <v>11</v>
      </c>
      <c r="O18" s="102"/>
      <c r="P18" s="102">
        <v>11</v>
      </c>
      <c r="Q18" s="102">
        <v>13</v>
      </c>
      <c r="R18" s="102">
        <v>13</v>
      </c>
      <c r="S18" s="81">
        <v>13</v>
      </c>
      <c r="T18" s="115">
        <v>13</v>
      </c>
      <c r="U18" s="87">
        <v>13</v>
      </c>
      <c r="V18" s="102">
        <v>15</v>
      </c>
      <c r="W18" s="102"/>
      <c r="X18" s="88"/>
      <c r="Y18" s="88"/>
      <c r="Z18" s="88"/>
      <c r="AA18" s="122">
        <v>16</v>
      </c>
      <c r="AB18" s="132">
        <v>10376</v>
      </c>
      <c r="AC18" s="132" t="s">
        <v>183</v>
      </c>
      <c r="AD18" s="133">
        <v>46195</v>
      </c>
      <c r="AE18" s="132">
        <v>892.99</v>
      </c>
      <c r="AF18" s="133">
        <v>45756</v>
      </c>
      <c r="AG18" s="132" t="s">
        <v>10</v>
      </c>
      <c r="AH18" s="132">
        <v>291</v>
      </c>
    </row>
    <row r="19" spans="1:34" ht="13.2">
      <c r="A19" s="88"/>
      <c r="B19" s="97" t="s">
        <v>25</v>
      </c>
      <c r="C19" s="102">
        <v>0</v>
      </c>
      <c r="D19" s="102"/>
      <c r="E19" s="102">
        <v>1</v>
      </c>
      <c r="F19" s="2">
        <v>7</v>
      </c>
      <c r="G19" s="2">
        <v>7</v>
      </c>
      <c r="H19" s="102">
        <v>9</v>
      </c>
      <c r="I19" s="102">
        <v>10</v>
      </c>
      <c r="J19" s="102">
        <v>10</v>
      </c>
      <c r="K19" s="102"/>
      <c r="L19" s="113">
        <v>10</v>
      </c>
      <c r="M19" s="102">
        <v>12</v>
      </c>
      <c r="N19" s="102">
        <v>13</v>
      </c>
      <c r="O19" s="102"/>
      <c r="P19" s="102">
        <v>13</v>
      </c>
      <c r="Q19" s="102">
        <v>13</v>
      </c>
      <c r="R19" s="114">
        <v>14</v>
      </c>
      <c r="S19" s="81">
        <v>14</v>
      </c>
      <c r="T19" s="115">
        <v>15</v>
      </c>
      <c r="U19" s="87">
        <v>15</v>
      </c>
      <c r="V19" s="102">
        <v>18</v>
      </c>
      <c r="W19" s="102"/>
      <c r="X19" s="88"/>
      <c r="Y19" s="88"/>
      <c r="Z19" s="88"/>
      <c r="AA19" s="87">
        <v>17</v>
      </c>
      <c r="AB19" s="129">
        <v>41363</v>
      </c>
      <c r="AC19" s="129" t="s">
        <v>184</v>
      </c>
      <c r="AD19" s="130">
        <v>46196</v>
      </c>
      <c r="AE19" s="129">
        <v>536.6</v>
      </c>
      <c r="AF19" s="130">
        <v>46135</v>
      </c>
      <c r="AG19" s="129" t="s">
        <v>56</v>
      </c>
      <c r="AH19" s="131">
        <v>61</v>
      </c>
    </row>
    <row r="20" spans="1:34" ht="13.2">
      <c r="A20" s="88"/>
      <c r="B20" s="97" t="s">
        <v>26</v>
      </c>
      <c r="C20" s="102">
        <v>0</v>
      </c>
      <c r="D20" s="102"/>
      <c r="E20" s="102">
        <v>1</v>
      </c>
      <c r="F20" s="2">
        <v>2</v>
      </c>
      <c r="G20" s="2">
        <v>2</v>
      </c>
      <c r="H20" s="102">
        <v>3</v>
      </c>
      <c r="I20" s="102">
        <v>3</v>
      </c>
      <c r="J20" s="102">
        <v>3</v>
      </c>
      <c r="K20" s="102"/>
      <c r="L20" s="113">
        <v>3</v>
      </c>
      <c r="M20" s="102">
        <v>3</v>
      </c>
      <c r="N20" s="102">
        <v>3</v>
      </c>
      <c r="O20" s="102"/>
      <c r="P20" s="102">
        <v>3</v>
      </c>
      <c r="Q20" s="102">
        <v>3</v>
      </c>
      <c r="R20" s="114">
        <v>3</v>
      </c>
      <c r="S20" s="81">
        <v>3</v>
      </c>
      <c r="T20" s="115">
        <v>4</v>
      </c>
      <c r="U20" s="87">
        <v>4</v>
      </c>
      <c r="V20" s="102">
        <v>4</v>
      </c>
      <c r="W20" s="102"/>
      <c r="X20" s="88"/>
      <c r="Y20" s="88"/>
      <c r="Z20" s="88"/>
      <c r="AA20" s="87">
        <v>18</v>
      </c>
      <c r="AB20" s="129">
        <v>40966</v>
      </c>
      <c r="AC20" s="129" t="s">
        <v>185</v>
      </c>
      <c r="AD20" s="130">
        <v>46197</v>
      </c>
      <c r="AE20" s="129">
        <v>497.4</v>
      </c>
      <c r="AF20" s="130">
        <v>46239</v>
      </c>
      <c r="AG20" s="129" t="s">
        <v>56</v>
      </c>
      <c r="AH20" s="131">
        <v>47</v>
      </c>
    </row>
    <row r="21" spans="1:34" ht="13.2">
      <c r="A21" s="88"/>
      <c r="B21" s="109" t="s">
        <v>11</v>
      </c>
      <c r="C21" s="109">
        <v>258</v>
      </c>
      <c r="D21" s="109">
        <v>0</v>
      </c>
      <c r="E21" s="109">
        <v>239</v>
      </c>
      <c r="F21" s="109">
        <v>241</v>
      </c>
      <c r="G21" s="109">
        <v>240</v>
      </c>
      <c r="H21" s="109">
        <v>259</v>
      </c>
      <c r="I21" s="109">
        <v>256</v>
      </c>
      <c r="J21" s="109">
        <v>256</v>
      </c>
      <c r="K21" s="109">
        <v>0</v>
      </c>
      <c r="L21" s="109">
        <v>259</v>
      </c>
      <c r="M21" s="109">
        <v>278</v>
      </c>
      <c r="N21" s="109">
        <v>277</v>
      </c>
      <c r="O21" s="109">
        <v>0</v>
      </c>
      <c r="P21" s="109">
        <v>280</v>
      </c>
      <c r="Q21" s="109">
        <v>277</v>
      </c>
      <c r="R21" s="109">
        <v>301</v>
      </c>
      <c r="S21" s="109">
        <v>305</v>
      </c>
      <c r="T21" s="109">
        <v>302</v>
      </c>
      <c r="U21" s="109">
        <v>310</v>
      </c>
      <c r="V21" s="109">
        <v>318</v>
      </c>
      <c r="W21" s="109">
        <v>0</v>
      </c>
      <c r="X21" s="88"/>
      <c r="Y21" s="88"/>
      <c r="Z21" s="88"/>
      <c r="AA21" s="87">
        <v>19</v>
      </c>
      <c r="AB21" s="129">
        <v>33732</v>
      </c>
      <c r="AC21" s="129" t="s">
        <v>186</v>
      </c>
      <c r="AD21" s="130">
        <v>46198</v>
      </c>
      <c r="AE21" s="129">
        <v>587.41</v>
      </c>
      <c r="AF21" s="130">
        <v>46135</v>
      </c>
      <c r="AG21" s="129" t="s">
        <v>56</v>
      </c>
      <c r="AH21" s="131">
        <v>63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29">
        <v>43985</v>
      </c>
      <c r="AC22" s="129" t="s">
        <v>187</v>
      </c>
      <c r="AD22" s="130">
        <v>46198</v>
      </c>
      <c r="AE22" s="129">
        <v>331.04</v>
      </c>
      <c r="AF22" s="130">
        <v>46208</v>
      </c>
      <c r="AG22" s="129" t="s">
        <v>56</v>
      </c>
      <c r="AH22" s="131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122">
        <v>21</v>
      </c>
      <c r="AB23" s="132">
        <v>26794</v>
      </c>
      <c r="AC23" s="132" t="s">
        <v>188</v>
      </c>
      <c r="AD23" s="133">
        <v>46198</v>
      </c>
      <c r="AE23" s="132">
        <v>631.20000000000005</v>
      </c>
      <c r="AF23" s="133">
        <v>44866</v>
      </c>
      <c r="AG23" s="132" t="s">
        <v>62</v>
      </c>
      <c r="AH23" s="132">
        <v>1626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22">
        <v>22</v>
      </c>
      <c r="AB24" s="132">
        <v>41617</v>
      </c>
      <c r="AC24" s="132" t="s">
        <v>189</v>
      </c>
      <c r="AD24" s="133">
        <v>46199</v>
      </c>
      <c r="AE24" s="132">
        <v>4653.17</v>
      </c>
      <c r="AF24" s="133">
        <v>46157</v>
      </c>
      <c r="AG24" s="132" t="s">
        <v>56</v>
      </c>
      <c r="AH24" s="132">
        <v>42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0</v>
      </c>
      <c r="F25" s="87">
        <v>30</v>
      </c>
      <c r="G25" s="87">
        <v>30</v>
      </c>
      <c r="H25" s="87">
        <v>25</v>
      </c>
      <c r="I25" s="87">
        <v>13</v>
      </c>
      <c r="J25" s="87">
        <v>20</v>
      </c>
      <c r="K25" s="87">
        <v>41</v>
      </c>
      <c r="L25" s="87">
        <v>24</v>
      </c>
      <c r="M25" s="87">
        <v>23</v>
      </c>
      <c r="N25" s="87">
        <v>21</v>
      </c>
      <c r="O25" s="87">
        <v>18</v>
      </c>
      <c r="P25" s="87">
        <v>20</v>
      </c>
      <c r="Q25" s="87">
        <v>24</v>
      </c>
      <c r="R25" s="87">
        <v>24</v>
      </c>
      <c r="S25" s="87">
        <v>24</v>
      </c>
      <c r="T25" s="87">
        <v>19</v>
      </c>
      <c r="U25" s="87">
        <v>0</v>
      </c>
      <c r="V25" s="87">
        <v>30</v>
      </c>
      <c r="W25" s="87">
        <v>0</v>
      </c>
      <c r="X25" s="81">
        <v>386</v>
      </c>
      <c r="Y25" s="108">
        <v>36</v>
      </c>
      <c r="Z25" s="88"/>
      <c r="AA25" s="87">
        <v>23</v>
      </c>
      <c r="AB25" s="129">
        <v>20012</v>
      </c>
      <c r="AC25" s="129" t="s">
        <v>190</v>
      </c>
      <c r="AD25" s="130">
        <v>46199</v>
      </c>
      <c r="AE25" s="129">
        <v>173</v>
      </c>
      <c r="AF25" s="130">
        <v>46129</v>
      </c>
      <c r="AG25" s="129" t="s">
        <v>56</v>
      </c>
      <c r="AH25" s="131">
        <v>70</v>
      </c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8"/>
      <c r="Y26" s="288"/>
      <c r="Z26" s="88"/>
      <c r="AA26" s="126">
        <v>24</v>
      </c>
      <c r="AB26" s="134">
        <v>31923</v>
      </c>
      <c r="AC26" s="134" t="s">
        <v>191</v>
      </c>
      <c r="AD26" s="135">
        <v>46203</v>
      </c>
      <c r="AE26" s="134">
        <v>714.78</v>
      </c>
      <c r="AF26" s="135">
        <v>46147</v>
      </c>
      <c r="AG26" s="134" t="s">
        <v>56</v>
      </c>
      <c r="AH26" s="136">
        <v>56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7">
        <v>25</v>
      </c>
      <c r="AB27" s="129">
        <v>41105</v>
      </c>
      <c r="AC27" s="129" t="s">
        <v>192</v>
      </c>
      <c r="AD27" s="130">
        <v>46203</v>
      </c>
      <c r="AE27" s="129">
        <v>1058</v>
      </c>
      <c r="AF27" s="130">
        <v>46141</v>
      </c>
      <c r="AG27" s="129" t="s">
        <v>56</v>
      </c>
      <c r="AH27" s="131">
        <v>62</v>
      </c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7">
        <v>26</v>
      </c>
      <c r="AB28" s="129">
        <v>37503</v>
      </c>
      <c r="AC28" s="129" t="s">
        <v>193</v>
      </c>
      <c r="AD28" s="130">
        <v>46203</v>
      </c>
      <c r="AE28" s="129">
        <v>943.5</v>
      </c>
      <c r="AF28" s="130">
        <v>46156</v>
      </c>
      <c r="AG28" s="129" t="s">
        <v>59</v>
      </c>
      <c r="AH28" s="131">
        <v>47</v>
      </c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1">
        <v>27</v>
      </c>
      <c r="AB29" s="131">
        <v>38526</v>
      </c>
      <c r="AC29" s="131" t="s">
        <v>194</v>
      </c>
      <c r="AD29" s="130">
        <v>46029</v>
      </c>
      <c r="AE29" s="131">
        <v>187.85</v>
      </c>
      <c r="AF29" s="160">
        <v>46239</v>
      </c>
      <c r="AG29" s="129" t="s">
        <v>121</v>
      </c>
      <c r="AH29" s="131">
        <v>54</v>
      </c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38">
        <v>19384</v>
      </c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AFD5-4A59-419D-BEC5-C68D6BB30D6D}">
  <sheetPr>
    <tabColor theme="7"/>
    <outlinePr summaryBelow="0" summaryRight="0"/>
  </sheetPr>
  <dimension ref="A1:AH963"/>
  <sheetViews>
    <sheetView showGridLines="0" topLeftCell="F1" zoomScaleNormal="100" workbookViewId="0">
      <selection activeCell="M12" sqref="M12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53.1093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5" t="s">
        <v>28</v>
      </c>
      <c r="D2" s="286"/>
      <c r="E2" s="286"/>
      <c r="F2" s="287"/>
      <c r="G2" s="285" t="s">
        <v>29</v>
      </c>
      <c r="H2" s="286"/>
      <c r="I2" s="286"/>
      <c r="J2" s="286"/>
      <c r="K2" s="287"/>
      <c r="L2" s="285" t="s">
        <v>30</v>
      </c>
      <c r="M2" s="286"/>
      <c r="N2" s="286"/>
      <c r="O2" s="286"/>
      <c r="P2" s="287"/>
      <c r="Q2" s="285" t="s">
        <v>31</v>
      </c>
      <c r="R2" s="286"/>
      <c r="S2" s="286"/>
      <c r="T2" s="286"/>
      <c r="U2" s="287"/>
      <c r="V2" s="285" t="s">
        <v>32</v>
      </c>
      <c r="W2" s="286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2"/>
      <c r="Y3" s="283"/>
      <c r="Z3" s="88"/>
      <c r="AA3" s="87">
        <v>1</v>
      </c>
      <c r="AB3" s="129">
        <v>40650</v>
      </c>
      <c r="AC3" s="129" t="s">
        <v>195</v>
      </c>
      <c r="AD3" s="130">
        <v>46028</v>
      </c>
      <c r="AE3" s="129">
        <v>343.01</v>
      </c>
      <c r="AF3" s="130">
        <v>46126</v>
      </c>
      <c r="AG3" s="129" t="s">
        <v>10</v>
      </c>
      <c r="AH3" s="131">
        <v>48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43357</v>
      </c>
      <c r="AC4" s="129" t="s">
        <v>196</v>
      </c>
      <c r="AD4" s="130">
        <v>46087</v>
      </c>
      <c r="AE4" s="129">
        <v>441.99</v>
      </c>
      <c r="AF4" s="130">
        <v>46128</v>
      </c>
      <c r="AG4" s="129" t="s">
        <v>10</v>
      </c>
      <c r="AH4" s="131">
        <v>48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43013</v>
      </c>
      <c r="AC5" s="129" t="s">
        <v>197</v>
      </c>
      <c r="AD5" s="130">
        <v>46148</v>
      </c>
      <c r="AE5" s="129">
        <v>533.70000000000005</v>
      </c>
      <c r="AF5" s="130">
        <v>46126</v>
      </c>
      <c r="AG5" s="129" t="s">
        <v>10</v>
      </c>
      <c r="AH5" s="131">
        <v>52</v>
      </c>
    </row>
    <row r="6" spans="1:34" ht="13.8" thickBot="1">
      <c r="A6" s="88"/>
      <c r="B6" s="100" t="s">
        <v>46</v>
      </c>
      <c r="C6" s="105">
        <v>1</v>
      </c>
      <c r="D6" s="106">
        <v>0</v>
      </c>
      <c r="E6" s="106">
        <v>1</v>
      </c>
      <c r="F6" s="107">
        <v>1</v>
      </c>
      <c r="G6" s="105">
        <v>0</v>
      </c>
      <c r="H6" s="106">
        <v>3</v>
      </c>
      <c r="I6" s="106">
        <v>1</v>
      </c>
      <c r="J6" s="106">
        <v>2</v>
      </c>
      <c r="K6" s="107">
        <v>1</v>
      </c>
      <c r="L6" s="105">
        <v>1</v>
      </c>
      <c r="M6" s="106">
        <v>1</v>
      </c>
      <c r="N6" s="106">
        <v>0</v>
      </c>
      <c r="O6" s="106">
        <v>2</v>
      </c>
      <c r="P6" s="107">
        <v>2</v>
      </c>
      <c r="Q6" s="105">
        <v>0</v>
      </c>
      <c r="R6" s="106">
        <v>0</v>
      </c>
      <c r="S6" s="106">
        <v>0</v>
      </c>
      <c r="T6" s="106">
        <v>1</v>
      </c>
      <c r="U6" s="107">
        <v>1</v>
      </c>
      <c r="V6" s="105"/>
      <c r="W6" s="107">
        <v>2</v>
      </c>
      <c r="X6" s="104">
        <v>20</v>
      </c>
      <c r="Y6" s="108">
        <v>-5</v>
      </c>
      <c r="Z6" s="88"/>
      <c r="AA6" s="87">
        <v>4</v>
      </c>
      <c r="AB6" s="129">
        <v>38936</v>
      </c>
      <c r="AC6" s="129" t="s">
        <v>198</v>
      </c>
      <c r="AD6" s="130">
        <v>46271</v>
      </c>
      <c r="AE6" s="129">
        <v>179.85</v>
      </c>
      <c r="AF6" s="130">
        <v>46133</v>
      </c>
      <c r="AG6" s="129" t="s">
        <v>64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7546</v>
      </c>
      <c r="AC7" s="129" t="s">
        <v>199</v>
      </c>
      <c r="AD7" s="130">
        <v>46271</v>
      </c>
      <c r="AE7" s="129">
        <v>369.95</v>
      </c>
      <c r="AF7" s="130">
        <v>46135</v>
      </c>
      <c r="AG7" s="129" t="s">
        <v>10</v>
      </c>
      <c r="AH7" s="131">
        <v>47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122">
        <v>6</v>
      </c>
      <c r="AB8" s="132">
        <v>34899</v>
      </c>
      <c r="AC8" s="132" t="s">
        <v>200</v>
      </c>
      <c r="AD8" s="133">
        <v>46271</v>
      </c>
      <c r="AE8" s="132">
        <v>363.95</v>
      </c>
      <c r="AF8" s="133">
        <v>46071</v>
      </c>
      <c r="AG8" s="132" t="s">
        <v>10</v>
      </c>
      <c r="AH8" s="132">
        <v>111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25124</v>
      </c>
      <c r="AC9" s="129" t="s">
        <v>201</v>
      </c>
      <c r="AD9" s="130">
        <v>46301</v>
      </c>
      <c r="AE9" s="129">
        <v>349.55</v>
      </c>
      <c r="AF9" s="130">
        <v>46134</v>
      </c>
      <c r="AG9" s="129" t="s">
        <v>10</v>
      </c>
      <c r="AH9" s="131">
        <v>49</v>
      </c>
    </row>
    <row r="10" spans="1:34" ht="13.2">
      <c r="A10" s="88"/>
      <c r="B10" s="97" t="s">
        <v>15</v>
      </c>
      <c r="C10" s="102">
        <v>15</v>
      </c>
      <c r="D10" s="102"/>
      <c r="E10" s="102">
        <v>8</v>
      </c>
      <c r="F10" s="2">
        <v>9</v>
      </c>
      <c r="G10" s="2">
        <v>5</v>
      </c>
      <c r="H10" s="102">
        <v>7</v>
      </c>
      <c r="I10" s="102">
        <v>7</v>
      </c>
      <c r="J10" s="102">
        <v>8</v>
      </c>
      <c r="K10" s="102"/>
      <c r="L10" s="113">
        <v>1</v>
      </c>
      <c r="M10" s="102">
        <v>13</v>
      </c>
      <c r="N10" s="102">
        <v>13</v>
      </c>
      <c r="O10" s="102"/>
      <c r="P10" s="102">
        <v>14</v>
      </c>
      <c r="Q10" s="102">
        <v>13</v>
      </c>
      <c r="R10" s="114">
        <v>5</v>
      </c>
      <c r="S10" s="81">
        <v>7</v>
      </c>
      <c r="T10" s="115">
        <v>7</v>
      </c>
      <c r="U10" s="116">
        <v>13</v>
      </c>
      <c r="V10" s="102">
        <v>6</v>
      </c>
      <c r="W10" s="102"/>
      <c r="X10" s="88"/>
      <c r="Y10" s="88"/>
      <c r="Z10" s="88"/>
      <c r="AA10" s="87">
        <v>8</v>
      </c>
      <c r="AB10" s="129">
        <v>25071</v>
      </c>
      <c r="AC10" s="129" t="s">
        <v>202</v>
      </c>
      <c r="AD10" s="130">
        <v>46332</v>
      </c>
      <c r="AE10" s="129">
        <v>211.05</v>
      </c>
      <c r="AF10" s="130">
        <v>46269</v>
      </c>
      <c r="AG10" s="129" t="s">
        <v>10</v>
      </c>
      <c r="AH10" s="131">
        <v>63</v>
      </c>
    </row>
    <row r="11" spans="1:34" ht="13.2">
      <c r="A11" s="88"/>
      <c r="B11" s="97" t="s">
        <v>16</v>
      </c>
      <c r="C11" s="102">
        <v>4</v>
      </c>
      <c r="D11" s="102"/>
      <c r="E11" s="102">
        <v>4</v>
      </c>
      <c r="F11" s="2">
        <v>2</v>
      </c>
      <c r="G11" s="2">
        <v>2</v>
      </c>
      <c r="H11" s="102">
        <v>4</v>
      </c>
      <c r="I11" s="102">
        <v>4</v>
      </c>
      <c r="J11" s="102">
        <v>4</v>
      </c>
      <c r="K11" s="102"/>
      <c r="L11" s="113">
        <v>3</v>
      </c>
      <c r="M11" s="102">
        <v>3</v>
      </c>
      <c r="N11" s="102">
        <v>3</v>
      </c>
      <c r="O11" s="102"/>
      <c r="P11" s="102">
        <v>3</v>
      </c>
      <c r="Q11" s="102">
        <v>4</v>
      </c>
      <c r="R11" s="114">
        <v>1</v>
      </c>
      <c r="S11" s="81">
        <v>2</v>
      </c>
      <c r="T11" s="115">
        <v>2</v>
      </c>
      <c r="U11" s="116">
        <v>2</v>
      </c>
      <c r="V11" s="102">
        <v>8</v>
      </c>
      <c r="W11" s="102"/>
      <c r="X11" s="88"/>
      <c r="Y11" s="88"/>
      <c r="Z11" s="88"/>
      <c r="AA11" s="122">
        <v>9</v>
      </c>
      <c r="AB11" s="132">
        <v>40561</v>
      </c>
      <c r="AC11" s="132" t="s">
        <v>203</v>
      </c>
      <c r="AD11" s="133">
        <v>46332</v>
      </c>
      <c r="AE11" s="132">
        <v>7224.1</v>
      </c>
      <c r="AF11" s="133">
        <v>46079</v>
      </c>
      <c r="AG11" s="132" t="s">
        <v>10</v>
      </c>
      <c r="AH11" s="132">
        <v>105</v>
      </c>
    </row>
    <row r="12" spans="1:34" ht="13.2">
      <c r="A12" s="88"/>
      <c r="B12" s="97" t="s">
        <v>17</v>
      </c>
      <c r="C12" s="102">
        <v>4</v>
      </c>
      <c r="D12" s="102"/>
      <c r="E12" s="102">
        <v>4</v>
      </c>
      <c r="F12" s="2">
        <v>2</v>
      </c>
      <c r="G12" s="2">
        <v>2</v>
      </c>
      <c r="H12" s="102">
        <v>3</v>
      </c>
      <c r="I12" s="102">
        <v>3</v>
      </c>
      <c r="J12" s="102">
        <v>3</v>
      </c>
      <c r="K12" s="102"/>
      <c r="L12" s="113">
        <v>2</v>
      </c>
      <c r="M12" s="102">
        <v>2</v>
      </c>
      <c r="N12" s="102">
        <v>3</v>
      </c>
      <c r="O12" s="102"/>
      <c r="P12" s="102">
        <v>2</v>
      </c>
      <c r="Q12" s="102">
        <v>3</v>
      </c>
      <c r="R12" s="114">
        <v>1</v>
      </c>
      <c r="S12" s="81">
        <v>3</v>
      </c>
      <c r="T12" s="115">
        <v>2</v>
      </c>
      <c r="U12" s="116">
        <v>2</v>
      </c>
      <c r="V12" s="102">
        <v>3</v>
      </c>
      <c r="W12" s="102"/>
      <c r="X12" s="88"/>
      <c r="Y12" s="88"/>
      <c r="Z12" s="88"/>
      <c r="AA12" s="87">
        <v>10</v>
      </c>
      <c r="AB12" s="129">
        <v>44255</v>
      </c>
      <c r="AC12" s="129" t="s">
        <v>204</v>
      </c>
      <c r="AD12" s="130">
        <v>46362</v>
      </c>
      <c r="AE12" s="129">
        <v>380.76</v>
      </c>
      <c r="AF12" s="130">
        <v>46128</v>
      </c>
      <c r="AG12" s="129" t="s">
        <v>65</v>
      </c>
      <c r="AH12" s="131">
        <v>57</v>
      </c>
    </row>
    <row r="13" spans="1:34" ht="13.2">
      <c r="A13" s="88"/>
      <c r="B13" s="97" t="s">
        <v>18</v>
      </c>
      <c r="C13" s="102">
        <v>1</v>
      </c>
      <c r="D13" s="102"/>
      <c r="E13" s="102">
        <v>1</v>
      </c>
      <c r="F13" s="2">
        <v>4</v>
      </c>
      <c r="G13" s="2">
        <v>4</v>
      </c>
      <c r="H13" s="102">
        <v>1</v>
      </c>
      <c r="I13" s="102">
        <v>1</v>
      </c>
      <c r="J13" s="102">
        <v>0</v>
      </c>
      <c r="K13" s="102"/>
      <c r="L13" s="113">
        <v>2</v>
      </c>
      <c r="M13" s="102">
        <v>2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1</v>
      </c>
      <c r="T13" s="115">
        <v>2</v>
      </c>
      <c r="U13" s="116">
        <v>2</v>
      </c>
      <c r="V13" s="102">
        <v>1</v>
      </c>
      <c r="W13" s="102"/>
      <c r="X13" s="88"/>
      <c r="Y13" s="88"/>
      <c r="Z13" s="88"/>
      <c r="AA13" s="87">
        <v>11</v>
      </c>
      <c r="AB13" s="129">
        <v>44062</v>
      </c>
      <c r="AC13" s="129" t="s">
        <v>205</v>
      </c>
      <c r="AD13" s="130">
        <v>46188</v>
      </c>
      <c r="AE13" s="129">
        <v>275.35000000000002</v>
      </c>
      <c r="AF13" s="130">
        <v>46139</v>
      </c>
      <c r="AG13" s="129" t="s">
        <v>10</v>
      </c>
      <c r="AH13" s="131">
        <v>49</v>
      </c>
    </row>
    <row r="14" spans="1:34" ht="13.2">
      <c r="A14" s="88"/>
      <c r="B14" s="97" t="s">
        <v>51</v>
      </c>
      <c r="C14" s="102">
        <v>131</v>
      </c>
      <c r="D14" s="102"/>
      <c r="E14" s="102">
        <v>130</v>
      </c>
      <c r="F14" s="2">
        <v>130</v>
      </c>
      <c r="G14" s="2">
        <v>132</v>
      </c>
      <c r="H14" s="113">
        <v>135</v>
      </c>
      <c r="I14" s="102">
        <v>135</v>
      </c>
      <c r="J14" s="102">
        <v>135</v>
      </c>
      <c r="K14" s="102"/>
      <c r="L14" s="113">
        <v>136</v>
      </c>
      <c r="M14" s="102">
        <v>144</v>
      </c>
      <c r="N14" s="102">
        <v>142</v>
      </c>
      <c r="O14" s="102"/>
      <c r="P14" s="102">
        <v>139</v>
      </c>
      <c r="Q14" s="102">
        <v>138</v>
      </c>
      <c r="R14" s="114">
        <v>137</v>
      </c>
      <c r="S14" s="81">
        <v>145</v>
      </c>
      <c r="T14" s="115">
        <v>136</v>
      </c>
      <c r="U14" s="87">
        <v>136</v>
      </c>
      <c r="V14" s="102">
        <v>128</v>
      </c>
      <c r="W14" s="102"/>
      <c r="X14" s="88"/>
      <c r="Y14" s="88"/>
      <c r="Z14" s="88"/>
      <c r="AA14" s="87">
        <v>12</v>
      </c>
      <c r="AB14" s="129">
        <v>38812</v>
      </c>
      <c r="AC14" s="129" t="s">
        <v>206</v>
      </c>
      <c r="AD14" s="130">
        <v>46189</v>
      </c>
      <c r="AE14" s="129">
        <v>238.95</v>
      </c>
      <c r="AF14" s="130">
        <v>46057</v>
      </c>
      <c r="AG14" s="129" t="s">
        <v>10</v>
      </c>
      <c r="AH14" s="131">
        <v>75</v>
      </c>
    </row>
    <row r="15" spans="1:34" ht="13.2">
      <c r="A15" s="88"/>
      <c r="B15" s="97" t="s">
        <v>52</v>
      </c>
      <c r="C15" s="102">
        <v>49</v>
      </c>
      <c r="D15" s="102"/>
      <c r="E15" s="102">
        <v>48</v>
      </c>
      <c r="F15" s="2">
        <v>46</v>
      </c>
      <c r="G15" s="2">
        <v>47</v>
      </c>
      <c r="H15" s="102">
        <v>52</v>
      </c>
      <c r="I15" s="102">
        <v>52</v>
      </c>
      <c r="J15" s="102">
        <v>51</v>
      </c>
      <c r="K15" s="102"/>
      <c r="L15" s="113">
        <v>53</v>
      </c>
      <c r="M15" s="102">
        <v>55</v>
      </c>
      <c r="N15" s="102">
        <v>56</v>
      </c>
      <c r="O15" s="102"/>
      <c r="P15" s="102">
        <v>56</v>
      </c>
      <c r="Q15" s="102">
        <v>56</v>
      </c>
      <c r="R15" s="114">
        <v>58</v>
      </c>
      <c r="S15" s="81">
        <v>58</v>
      </c>
      <c r="T15" s="115">
        <v>61</v>
      </c>
      <c r="U15" s="117">
        <v>63</v>
      </c>
      <c r="V15" s="102">
        <v>69</v>
      </c>
      <c r="W15" s="102"/>
      <c r="X15" s="88"/>
      <c r="Y15" s="88"/>
      <c r="Z15" s="88"/>
      <c r="AA15" s="87">
        <v>13</v>
      </c>
      <c r="AB15" s="129">
        <v>39732</v>
      </c>
      <c r="AC15" s="129" t="s">
        <v>207</v>
      </c>
      <c r="AD15" s="130">
        <v>46191</v>
      </c>
      <c r="AE15" s="129">
        <v>221.45</v>
      </c>
      <c r="AF15" s="130">
        <v>46106</v>
      </c>
      <c r="AG15" s="129" t="s">
        <v>66</v>
      </c>
      <c r="AH15" s="131">
        <v>85</v>
      </c>
    </row>
    <row r="16" spans="1:34" ht="13.2">
      <c r="A16" s="88"/>
      <c r="B16" s="97" t="s">
        <v>22</v>
      </c>
      <c r="C16" s="102">
        <v>0</v>
      </c>
      <c r="D16" s="102"/>
      <c r="E16" s="102">
        <v>1</v>
      </c>
      <c r="F16" s="2">
        <v>2</v>
      </c>
      <c r="G16" s="2">
        <v>2</v>
      </c>
      <c r="H16" s="102">
        <v>3</v>
      </c>
      <c r="I16" s="102">
        <v>3</v>
      </c>
      <c r="J16" s="102">
        <v>3</v>
      </c>
      <c r="K16" s="102"/>
      <c r="L16" s="113">
        <v>3</v>
      </c>
      <c r="M16" s="102">
        <v>3</v>
      </c>
      <c r="N16" s="102">
        <v>3</v>
      </c>
      <c r="O16" s="102"/>
      <c r="P16" s="102">
        <v>3</v>
      </c>
      <c r="Q16" s="102">
        <v>3</v>
      </c>
      <c r="R16" s="114">
        <v>4</v>
      </c>
      <c r="S16" s="81">
        <v>5</v>
      </c>
      <c r="T16" s="115">
        <v>6</v>
      </c>
      <c r="U16" s="87">
        <v>7</v>
      </c>
      <c r="V16" s="102">
        <v>7</v>
      </c>
      <c r="W16" s="102"/>
      <c r="X16" s="88"/>
      <c r="Y16" s="88"/>
      <c r="Z16" s="88"/>
      <c r="AA16" s="87">
        <v>14</v>
      </c>
      <c r="AB16" s="129">
        <v>35511</v>
      </c>
      <c r="AC16" s="129" t="s">
        <v>208</v>
      </c>
      <c r="AD16" s="130">
        <v>46191</v>
      </c>
      <c r="AE16" s="129">
        <v>413.4</v>
      </c>
      <c r="AF16" s="130">
        <v>46269</v>
      </c>
      <c r="AG16" s="129" t="s">
        <v>10</v>
      </c>
      <c r="AH16" s="131">
        <v>70</v>
      </c>
    </row>
    <row r="17" spans="1:34" ht="13.2">
      <c r="A17" s="88"/>
      <c r="B17" s="97" t="s">
        <v>23</v>
      </c>
      <c r="C17" s="102">
        <v>0</v>
      </c>
      <c r="D17" s="102"/>
      <c r="E17" s="102">
        <v>6</v>
      </c>
      <c r="F17" s="2">
        <v>6</v>
      </c>
      <c r="G17" s="2">
        <v>6</v>
      </c>
      <c r="H17" s="102">
        <v>7</v>
      </c>
      <c r="I17" s="102">
        <v>7</v>
      </c>
      <c r="J17" s="102">
        <v>7</v>
      </c>
      <c r="K17" s="102"/>
      <c r="L17" s="113">
        <v>7</v>
      </c>
      <c r="M17" s="102">
        <v>8</v>
      </c>
      <c r="N17" s="102">
        <v>8</v>
      </c>
      <c r="O17" s="102"/>
      <c r="P17" s="102">
        <v>8</v>
      </c>
      <c r="Q17" s="102">
        <v>8</v>
      </c>
      <c r="R17" s="114">
        <v>8</v>
      </c>
      <c r="S17" s="81">
        <v>8</v>
      </c>
      <c r="T17" s="115">
        <v>8</v>
      </c>
      <c r="U17" s="87">
        <v>9</v>
      </c>
      <c r="V17" s="102">
        <v>10</v>
      </c>
      <c r="W17" s="102"/>
      <c r="X17" s="88"/>
      <c r="Y17" s="88"/>
      <c r="Z17" s="88"/>
      <c r="AA17" s="87">
        <v>15</v>
      </c>
      <c r="AB17" s="129">
        <v>29827</v>
      </c>
      <c r="AC17" s="129" t="s">
        <v>209</v>
      </c>
      <c r="AD17" s="130">
        <v>46192</v>
      </c>
      <c r="AE17" s="129">
        <v>265.14999999999998</v>
      </c>
      <c r="AF17" s="130">
        <v>46135</v>
      </c>
      <c r="AG17" s="129" t="s">
        <v>10</v>
      </c>
      <c r="AH17" s="131">
        <v>57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2">
        <v>1</v>
      </c>
      <c r="G18" s="2">
        <v>1</v>
      </c>
      <c r="H18" s="102">
        <v>1</v>
      </c>
      <c r="I18" s="102">
        <v>1</v>
      </c>
      <c r="J18" s="102">
        <v>1</v>
      </c>
      <c r="K18" s="102"/>
      <c r="L18" s="113">
        <v>3</v>
      </c>
      <c r="M18" s="102">
        <v>5</v>
      </c>
      <c r="N18" s="102">
        <v>6</v>
      </c>
      <c r="O18" s="102"/>
      <c r="P18" s="102">
        <v>14</v>
      </c>
      <c r="Q18" s="102">
        <v>15</v>
      </c>
      <c r="R18" s="114">
        <v>16</v>
      </c>
      <c r="S18" s="81">
        <v>19</v>
      </c>
      <c r="T18" s="115">
        <v>23</v>
      </c>
      <c r="U18" s="87">
        <v>24</v>
      </c>
      <c r="V18" s="102">
        <v>28</v>
      </c>
      <c r="W18" s="102"/>
      <c r="X18" s="88"/>
      <c r="Y18" s="88"/>
      <c r="Z18" s="88"/>
      <c r="AA18" s="87">
        <v>16</v>
      </c>
      <c r="AB18" s="129">
        <v>32789</v>
      </c>
      <c r="AC18" s="129" t="s">
        <v>210</v>
      </c>
      <c r="AD18" s="130">
        <v>46192</v>
      </c>
      <c r="AE18" s="129">
        <v>501.46</v>
      </c>
      <c r="AF18" s="130">
        <v>46107</v>
      </c>
      <c r="AG18" s="129" t="s">
        <v>10</v>
      </c>
      <c r="AH18" s="131">
        <v>85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1</v>
      </c>
      <c r="H19" s="102">
        <v>2</v>
      </c>
      <c r="I19" s="102">
        <v>2</v>
      </c>
      <c r="J19" s="102">
        <v>2</v>
      </c>
      <c r="K19" s="102"/>
      <c r="L19" s="113">
        <v>2</v>
      </c>
      <c r="M19" s="102">
        <v>4</v>
      </c>
      <c r="N19" s="102">
        <v>4</v>
      </c>
      <c r="O19" s="102"/>
      <c r="P19" s="102">
        <v>5</v>
      </c>
      <c r="Q19" s="102">
        <v>5</v>
      </c>
      <c r="R19" s="114">
        <v>5</v>
      </c>
      <c r="S19" s="81">
        <v>11</v>
      </c>
      <c r="T19" s="115">
        <v>10</v>
      </c>
      <c r="U19" s="87">
        <v>9</v>
      </c>
      <c r="V19" s="102">
        <v>11</v>
      </c>
      <c r="W19" s="102"/>
      <c r="X19" s="88"/>
      <c r="Y19" s="88"/>
      <c r="Z19" s="88"/>
      <c r="AA19" s="126">
        <v>17</v>
      </c>
      <c r="AB19" s="134">
        <v>43804</v>
      </c>
      <c r="AC19" s="134" t="s">
        <v>211</v>
      </c>
      <c r="AD19" s="135">
        <v>46198</v>
      </c>
      <c r="AE19" s="134">
        <v>300.68</v>
      </c>
      <c r="AF19" s="135">
        <v>46128</v>
      </c>
      <c r="AG19" s="134" t="s">
        <v>10</v>
      </c>
      <c r="AH19" s="136">
        <v>70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0</v>
      </c>
      <c r="I20" s="102">
        <v>0</v>
      </c>
      <c r="J20" s="102">
        <v>0</v>
      </c>
      <c r="K20" s="102"/>
      <c r="L20" s="113">
        <v>0</v>
      </c>
      <c r="M20" s="102">
        <v>2</v>
      </c>
      <c r="N20" s="102">
        <v>2</v>
      </c>
      <c r="O20" s="102"/>
      <c r="P20" s="102">
        <v>3</v>
      </c>
      <c r="Q20" s="102">
        <v>3</v>
      </c>
      <c r="R20" s="114">
        <v>3</v>
      </c>
      <c r="S20" s="81">
        <v>4</v>
      </c>
      <c r="T20" s="115">
        <v>4</v>
      </c>
      <c r="U20" s="87">
        <v>5</v>
      </c>
      <c r="V20" s="102">
        <v>5</v>
      </c>
      <c r="W20" s="102"/>
      <c r="X20" s="88"/>
      <c r="Y20" s="88"/>
      <c r="Z20" s="88"/>
      <c r="AA20" s="87">
        <v>18</v>
      </c>
      <c r="AB20" s="129">
        <v>13483</v>
      </c>
      <c r="AC20" s="129" t="s">
        <v>212</v>
      </c>
      <c r="AD20" s="130">
        <v>46199</v>
      </c>
      <c r="AE20" s="129">
        <v>179.85</v>
      </c>
      <c r="AF20" s="130">
        <v>46135</v>
      </c>
      <c r="AG20" s="129" t="s">
        <v>10</v>
      </c>
      <c r="AH20" s="131">
        <v>64</v>
      </c>
    </row>
    <row r="21" spans="1:34" ht="13.2">
      <c r="A21" s="88"/>
      <c r="B21" s="109" t="s">
        <v>11</v>
      </c>
      <c r="C21" s="109">
        <v>204</v>
      </c>
      <c r="D21" s="109">
        <v>0</v>
      </c>
      <c r="E21" s="109">
        <v>202</v>
      </c>
      <c r="F21" s="109">
        <v>201</v>
      </c>
      <c r="G21" s="109">
        <v>200</v>
      </c>
      <c r="H21" s="109">
        <v>215</v>
      </c>
      <c r="I21" s="109">
        <v>215</v>
      </c>
      <c r="J21" s="109">
        <v>214</v>
      </c>
      <c r="K21" s="109">
        <v>0</v>
      </c>
      <c r="L21" s="109">
        <v>212</v>
      </c>
      <c r="M21" s="109">
        <v>241</v>
      </c>
      <c r="N21" s="109">
        <v>240</v>
      </c>
      <c r="O21" s="109">
        <v>0</v>
      </c>
      <c r="P21" s="109">
        <v>247</v>
      </c>
      <c r="Q21" s="109">
        <v>248</v>
      </c>
      <c r="R21" s="109">
        <v>238</v>
      </c>
      <c r="S21" s="109">
        <v>263</v>
      </c>
      <c r="T21" s="109">
        <v>261</v>
      </c>
      <c r="U21" s="109">
        <v>272</v>
      </c>
      <c r="V21" s="109">
        <v>276</v>
      </c>
      <c r="W21" s="109">
        <v>0</v>
      </c>
      <c r="X21" s="88"/>
      <c r="Y21" s="88"/>
      <c r="Z21" s="88"/>
      <c r="AA21" s="122">
        <v>19</v>
      </c>
      <c r="AB21" s="132">
        <v>42832</v>
      </c>
      <c r="AC21" s="132" t="s">
        <v>213</v>
      </c>
      <c r="AD21" s="133">
        <v>46203</v>
      </c>
      <c r="AE21" s="132">
        <v>253.61</v>
      </c>
      <c r="AF21" s="133">
        <v>46108</v>
      </c>
      <c r="AG21" s="132" t="s">
        <v>10</v>
      </c>
      <c r="AH21" s="132">
        <v>95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122">
        <v>20</v>
      </c>
      <c r="AB22" s="132">
        <v>39094</v>
      </c>
      <c r="AC22" s="132" t="s">
        <v>214</v>
      </c>
      <c r="AD22" s="133">
        <v>46203</v>
      </c>
      <c r="AE22" s="132">
        <v>177.74</v>
      </c>
      <c r="AF22" s="133">
        <v>46359</v>
      </c>
      <c r="AG22" s="132" t="s">
        <v>10</v>
      </c>
      <c r="AH22" s="132">
        <v>110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1"/>
      <c r="AB23" s="131"/>
      <c r="AC23" s="131"/>
      <c r="AD23" s="131"/>
      <c r="AE23" s="131"/>
      <c r="AF23" s="131"/>
      <c r="AG23" s="131"/>
      <c r="AH23" s="13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1"/>
      <c r="AB24" s="131"/>
      <c r="AC24" s="131"/>
      <c r="AD24" s="131"/>
      <c r="AE24" s="131"/>
      <c r="AF24" s="131"/>
      <c r="AG24" s="131"/>
      <c r="AH24" s="137"/>
    </row>
    <row r="25" spans="1:34" ht="13.2">
      <c r="A25" s="88"/>
      <c r="B25" s="81" t="s">
        <v>115</v>
      </c>
      <c r="C25" s="87">
        <v>12</v>
      </c>
      <c r="D25" s="87">
        <v>8</v>
      </c>
      <c r="E25" s="87">
        <v>10</v>
      </c>
      <c r="F25" s="87">
        <v>7</v>
      </c>
      <c r="G25" s="87">
        <v>13</v>
      </c>
      <c r="H25" s="87">
        <v>2</v>
      </c>
      <c r="I25" s="87">
        <v>0</v>
      </c>
      <c r="J25" s="87">
        <v>3</v>
      </c>
      <c r="K25" s="87">
        <v>12</v>
      </c>
      <c r="L25" s="87">
        <v>15</v>
      </c>
      <c r="M25" s="87">
        <v>24</v>
      </c>
      <c r="N25" s="87">
        <v>6</v>
      </c>
      <c r="O25" s="87">
        <v>11</v>
      </c>
      <c r="P25" s="87">
        <v>12</v>
      </c>
      <c r="Q25" s="87">
        <v>18</v>
      </c>
      <c r="R25" s="87">
        <v>11</v>
      </c>
      <c r="S25" s="87">
        <v>23</v>
      </c>
      <c r="T25" s="87">
        <v>34</v>
      </c>
      <c r="U25" s="87">
        <v>34</v>
      </c>
      <c r="V25" s="87">
        <v>10</v>
      </c>
      <c r="W25" s="87">
        <v>28</v>
      </c>
      <c r="X25" s="81">
        <v>293</v>
      </c>
      <c r="Y25" s="108">
        <v>-57</v>
      </c>
      <c r="Z25" s="88"/>
      <c r="AA25" s="88"/>
      <c r="AB25" s="128"/>
      <c r="AC25" s="128"/>
      <c r="AD25" s="128"/>
      <c r="AE25" s="138">
        <v>13225.55</v>
      </c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8"/>
      <c r="Y26" s="288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7CC1-DCA0-4745-851E-B67F8CA3B2F2}">
  <sheetPr>
    <tabColor rgb="FFC00000"/>
  </sheetPr>
  <dimension ref="A1:F221"/>
  <sheetViews>
    <sheetView workbookViewId="0">
      <selection activeCell="G1" sqref="G1:K1048576"/>
    </sheetView>
  </sheetViews>
  <sheetFormatPr defaultRowHeight="13.2"/>
  <cols>
    <col min="1" max="1" width="15.44140625" style="173" bestFit="1" customWidth="1"/>
    <col min="2" max="2" width="10.109375" style="173" bestFit="1" customWidth="1"/>
    <col min="3" max="3" width="45.5546875" style="173" bestFit="1" customWidth="1"/>
    <col min="4" max="4" width="14.33203125" style="182" bestFit="1" customWidth="1"/>
    <col min="5" max="5" width="13.6640625" style="173" customWidth="1"/>
    <col min="6" max="16384" width="8.88671875" style="173"/>
  </cols>
  <sheetData>
    <row r="1" spans="1:6" ht="14.4">
      <c r="A1" s="177" t="s">
        <v>335</v>
      </c>
      <c r="B1" s="177" t="s">
        <v>334</v>
      </c>
      <c r="C1" s="177" t="s">
        <v>215</v>
      </c>
      <c r="D1" s="178" t="s">
        <v>332</v>
      </c>
      <c r="E1" s="177" t="s">
        <v>333</v>
      </c>
      <c r="F1" s="175"/>
    </row>
    <row r="2" spans="1:6" ht="14.4">
      <c r="A2" s="174" t="s">
        <v>6</v>
      </c>
      <c r="B2" s="168">
        <v>29748</v>
      </c>
      <c r="C2" s="168" t="s">
        <v>149</v>
      </c>
      <c r="D2" s="179">
        <v>1092.0500000000002</v>
      </c>
      <c r="E2" s="174" t="s">
        <v>79</v>
      </c>
      <c r="F2" s="175"/>
    </row>
    <row r="3" spans="1:6" ht="14.4">
      <c r="A3" s="174" t="s">
        <v>6</v>
      </c>
      <c r="B3" s="168">
        <v>29748</v>
      </c>
      <c r="C3" s="168" t="s">
        <v>149</v>
      </c>
      <c r="D3" s="179">
        <v>662.71</v>
      </c>
      <c r="E3" s="174" t="s">
        <v>81</v>
      </c>
      <c r="F3" s="175"/>
    </row>
    <row r="4" spans="1:6" ht="14.4">
      <c r="A4" s="174" t="s">
        <v>55</v>
      </c>
      <c r="B4" s="170">
        <v>44200</v>
      </c>
      <c r="C4" s="170" t="s">
        <v>129</v>
      </c>
      <c r="D4" s="180">
        <v>211.97</v>
      </c>
      <c r="E4" s="174" t="s">
        <v>79</v>
      </c>
      <c r="F4" s="175"/>
    </row>
    <row r="5" spans="1:6" ht="14.4">
      <c r="A5" s="174" t="s">
        <v>7</v>
      </c>
      <c r="B5" s="168">
        <v>27148</v>
      </c>
      <c r="C5" s="168" t="s">
        <v>166</v>
      </c>
      <c r="D5" s="179">
        <v>199.77</v>
      </c>
      <c r="E5" s="174" t="s">
        <v>79</v>
      </c>
      <c r="F5" s="175"/>
    </row>
    <row r="6" spans="1:6" ht="14.4">
      <c r="A6" s="174" t="s">
        <v>7</v>
      </c>
      <c r="B6" s="168">
        <v>25853</v>
      </c>
      <c r="C6" s="168" t="s">
        <v>143</v>
      </c>
      <c r="D6" s="179">
        <v>437.4</v>
      </c>
      <c r="E6" s="174" t="s">
        <v>80</v>
      </c>
      <c r="F6" s="175"/>
    </row>
    <row r="7" spans="1:6" ht="14.4">
      <c r="A7" s="174" t="s">
        <v>7</v>
      </c>
      <c r="B7" s="169">
        <v>44200</v>
      </c>
      <c r="C7" s="168" t="s">
        <v>129</v>
      </c>
      <c r="D7" s="179">
        <v>0</v>
      </c>
      <c r="E7" s="174" t="s">
        <v>81</v>
      </c>
      <c r="F7" s="175"/>
    </row>
    <row r="8" spans="1:6" ht="14.4">
      <c r="A8" s="174" t="s">
        <v>7</v>
      </c>
      <c r="B8" s="169">
        <v>25853</v>
      </c>
      <c r="C8" s="168" t="s">
        <v>143</v>
      </c>
      <c r="D8" s="179">
        <v>0</v>
      </c>
      <c r="E8" s="174" t="s">
        <v>81</v>
      </c>
      <c r="F8" s="175"/>
    </row>
    <row r="9" spans="1:6" ht="14.4">
      <c r="A9" s="174" t="s">
        <v>56</v>
      </c>
      <c r="B9" s="170">
        <v>601</v>
      </c>
      <c r="C9" s="170" t="s">
        <v>175</v>
      </c>
      <c r="D9" s="180">
        <v>713.69</v>
      </c>
      <c r="E9" s="174" t="s">
        <v>79</v>
      </c>
      <c r="F9" s="175"/>
    </row>
    <row r="10" spans="1:6" ht="14.4">
      <c r="A10" s="174" t="s">
        <v>56</v>
      </c>
      <c r="B10" s="170">
        <v>38903</v>
      </c>
      <c r="C10" s="170" t="s">
        <v>182</v>
      </c>
      <c r="D10" s="180">
        <v>1398</v>
      </c>
      <c r="E10" s="174" t="s">
        <v>79</v>
      </c>
      <c r="F10" s="175"/>
    </row>
    <row r="11" spans="1:6" ht="14.4">
      <c r="A11" s="174" t="s">
        <v>56</v>
      </c>
      <c r="B11" s="170">
        <v>41617</v>
      </c>
      <c r="C11" s="170" t="s">
        <v>189</v>
      </c>
      <c r="D11" s="180">
        <v>2608.5200000000004</v>
      </c>
      <c r="E11" s="174" t="s">
        <v>79</v>
      </c>
      <c r="F11" s="175"/>
    </row>
    <row r="12" spans="1:6" ht="14.4">
      <c r="A12" s="174" t="s">
        <v>56</v>
      </c>
      <c r="B12" s="170">
        <v>41105</v>
      </c>
      <c r="C12" s="170" t="s">
        <v>192</v>
      </c>
      <c r="D12" s="180">
        <v>869</v>
      </c>
      <c r="E12" s="174" t="s">
        <v>79</v>
      </c>
      <c r="F12" s="175"/>
    </row>
    <row r="13" spans="1:6" ht="14.4">
      <c r="A13" s="174" t="s">
        <v>56</v>
      </c>
      <c r="B13" s="170">
        <v>601</v>
      </c>
      <c r="C13" s="170" t="s">
        <v>175</v>
      </c>
      <c r="D13" s="180">
        <v>0</v>
      </c>
      <c r="E13" s="174" t="s">
        <v>81</v>
      </c>
      <c r="F13" s="175"/>
    </row>
    <row r="14" spans="1:6" ht="14.4">
      <c r="A14" s="174" t="s">
        <v>56</v>
      </c>
      <c r="B14" s="170">
        <v>38903</v>
      </c>
      <c r="C14" s="170" t="s">
        <v>182</v>
      </c>
      <c r="D14" s="180">
        <v>0</v>
      </c>
      <c r="E14" s="174" t="s">
        <v>81</v>
      </c>
      <c r="F14" s="175"/>
    </row>
    <row r="15" spans="1:6" ht="14.4">
      <c r="A15" s="174" t="s">
        <v>56</v>
      </c>
      <c r="B15" s="170">
        <v>41617</v>
      </c>
      <c r="C15" s="170" t="s">
        <v>189</v>
      </c>
      <c r="D15" s="180">
        <v>0</v>
      </c>
      <c r="E15" s="174" t="s">
        <v>81</v>
      </c>
      <c r="F15" s="175"/>
    </row>
    <row r="16" spans="1:6" ht="14.4">
      <c r="A16" s="174" t="s">
        <v>56</v>
      </c>
      <c r="B16" s="170">
        <v>41105</v>
      </c>
      <c r="C16" s="170" t="s">
        <v>192</v>
      </c>
      <c r="D16" s="180">
        <v>0</v>
      </c>
      <c r="E16" s="174" t="s">
        <v>81</v>
      </c>
      <c r="F16" s="175"/>
    </row>
    <row r="17" spans="1:6" ht="14.4">
      <c r="A17" s="174" t="s">
        <v>10</v>
      </c>
      <c r="B17" s="172">
        <v>40650</v>
      </c>
      <c r="C17" s="172" t="s">
        <v>195</v>
      </c>
      <c r="D17" s="179">
        <v>694.83999999999992</v>
      </c>
      <c r="E17" s="174" t="s">
        <v>79</v>
      </c>
      <c r="F17" s="175"/>
    </row>
    <row r="18" spans="1:6" ht="14.4">
      <c r="A18" s="174" t="s">
        <v>10</v>
      </c>
      <c r="B18" s="172">
        <v>43357</v>
      </c>
      <c r="C18" s="172" t="s">
        <v>196</v>
      </c>
      <c r="D18" s="179">
        <v>843.18000000000006</v>
      </c>
      <c r="E18" s="174" t="s">
        <v>79</v>
      </c>
      <c r="F18" s="175"/>
    </row>
    <row r="19" spans="1:6" ht="14.4">
      <c r="A19" s="174" t="s">
        <v>10</v>
      </c>
      <c r="B19" s="172">
        <v>13483</v>
      </c>
      <c r="C19" s="172" t="s">
        <v>212</v>
      </c>
      <c r="D19" s="179">
        <v>177.9</v>
      </c>
      <c r="E19" s="174" t="s">
        <v>79</v>
      </c>
      <c r="F19" s="175"/>
    </row>
    <row r="20" spans="1:6" ht="14.4">
      <c r="A20" s="174" t="s">
        <v>10</v>
      </c>
      <c r="B20" s="172">
        <v>44062</v>
      </c>
      <c r="C20" s="172" t="s">
        <v>205</v>
      </c>
      <c r="D20" s="179">
        <v>325.31</v>
      </c>
      <c r="E20" s="174" t="s">
        <v>79</v>
      </c>
      <c r="F20" s="175"/>
    </row>
    <row r="21" spans="1:6" ht="14.4">
      <c r="A21" s="174" t="s">
        <v>10</v>
      </c>
      <c r="B21" s="168">
        <v>40650</v>
      </c>
      <c r="C21" s="172" t="s">
        <v>195</v>
      </c>
      <c r="D21" s="179">
        <v>343.01</v>
      </c>
      <c r="E21" s="174" t="s">
        <v>81</v>
      </c>
      <c r="F21" s="175"/>
    </row>
    <row r="22" spans="1:6" ht="14.4">
      <c r="A22" s="174" t="s">
        <v>10</v>
      </c>
      <c r="B22" s="168">
        <v>43357</v>
      </c>
      <c r="C22" s="172" t="s">
        <v>196</v>
      </c>
      <c r="D22" s="179">
        <v>441.99</v>
      </c>
      <c r="E22" s="174" t="s">
        <v>81</v>
      </c>
      <c r="F22" s="175"/>
    </row>
    <row r="23" spans="1:6" ht="14.4">
      <c r="A23" s="174" t="s">
        <v>10</v>
      </c>
      <c r="B23" s="168">
        <v>44062</v>
      </c>
      <c r="C23" s="172" t="s">
        <v>205</v>
      </c>
      <c r="D23" s="179">
        <v>0</v>
      </c>
      <c r="E23" s="174" t="s">
        <v>81</v>
      </c>
      <c r="F23" s="175"/>
    </row>
    <row r="24" spans="1:6" ht="14.4">
      <c r="A24" s="174" t="s">
        <v>10</v>
      </c>
      <c r="B24" s="168">
        <v>13483</v>
      </c>
      <c r="C24" s="172" t="s">
        <v>212</v>
      </c>
      <c r="D24" s="179">
        <v>0</v>
      </c>
      <c r="E24" s="174" t="s">
        <v>81</v>
      </c>
      <c r="F24" s="175"/>
    </row>
    <row r="25" spans="1:6" ht="14.4">
      <c r="A25" s="174" t="s">
        <v>8</v>
      </c>
      <c r="B25" s="170">
        <v>27148</v>
      </c>
      <c r="C25" s="170" t="s">
        <v>166</v>
      </c>
      <c r="D25" s="180">
        <v>0</v>
      </c>
      <c r="E25" s="174" t="s">
        <v>81</v>
      </c>
      <c r="F25" s="175"/>
    </row>
    <row r="26" spans="1:6" ht="14.4">
      <c r="A26" s="174" t="s">
        <v>6</v>
      </c>
      <c r="B26" s="168">
        <v>18928</v>
      </c>
      <c r="C26" s="168" t="s">
        <v>216</v>
      </c>
      <c r="D26" s="179">
        <v>1453.3500000000001</v>
      </c>
      <c r="E26" s="174" t="s">
        <v>79</v>
      </c>
      <c r="F26" s="175"/>
    </row>
    <row r="27" spans="1:6" ht="14.4">
      <c r="A27" s="174" t="s">
        <v>6</v>
      </c>
      <c r="B27" s="168">
        <v>38768</v>
      </c>
      <c r="C27" s="168" t="s">
        <v>220</v>
      </c>
      <c r="D27" s="179">
        <v>639.08000000000004</v>
      </c>
      <c r="E27" s="174" t="s">
        <v>79</v>
      </c>
      <c r="F27" s="175"/>
    </row>
    <row r="28" spans="1:6" ht="14.4">
      <c r="A28" s="174" t="s">
        <v>6</v>
      </c>
      <c r="B28" s="168">
        <v>14601</v>
      </c>
      <c r="C28" s="168" t="s">
        <v>230</v>
      </c>
      <c r="D28" s="179">
        <v>1710.3200000000002</v>
      </c>
      <c r="E28" s="174" t="s">
        <v>79</v>
      </c>
      <c r="F28" s="175"/>
    </row>
    <row r="29" spans="1:6" ht="14.4">
      <c r="A29" s="174" t="s">
        <v>6</v>
      </c>
      <c r="B29" s="168">
        <v>16103</v>
      </c>
      <c r="C29" s="168" t="s">
        <v>235</v>
      </c>
      <c r="D29" s="179">
        <v>4199.7300000000005</v>
      </c>
      <c r="E29" s="174" t="s">
        <v>79</v>
      </c>
      <c r="F29" s="175"/>
    </row>
    <row r="30" spans="1:6" ht="14.4">
      <c r="A30" s="174" t="s">
        <v>6</v>
      </c>
      <c r="B30" s="168">
        <v>31596</v>
      </c>
      <c r="C30" s="168" t="s">
        <v>240</v>
      </c>
      <c r="D30" s="179">
        <v>2485</v>
      </c>
      <c r="E30" s="174" t="s">
        <v>79</v>
      </c>
      <c r="F30" s="175"/>
    </row>
    <row r="31" spans="1:6" ht="14.4">
      <c r="A31" s="174" t="s">
        <v>6</v>
      </c>
      <c r="B31" s="168">
        <v>20275</v>
      </c>
      <c r="C31" s="168" t="s">
        <v>244</v>
      </c>
      <c r="D31" s="179">
        <v>405.45000000000005</v>
      </c>
      <c r="E31" s="174" t="s">
        <v>79</v>
      </c>
      <c r="F31" s="175"/>
    </row>
    <row r="32" spans="1:6" ht="14.4">
      <c r="A32" s="174" t="s">
        <v>6</v>
      </c>
      <c r="B32" s="168">
        <v>39891</v>
      </c>
      <c r="C32" s="168" t="s">
        <v>249</v>
      </c>
      <c r="D32" s="179">
        <v>892.33</v>
      </c>
      <c r="E32" s="174" t="s">
        <v>79</v>
      </c>
      <c r="F32" s="175"/>
    </row>
    <row r="33" spans="1:6" ht="14.4">
      <c r="A33" s="174" t="s">
        <v>6</v>
      </c>
      <c r="B33" s="169">
        <v>40172</v>
      </c>
      <c r="C33" s="168" t="s">
        <v>254</v>
      </c>
      <c r="D33" s="179">
        <v>424.29999999999995</v>
      </c>
      <c r="E33" s="174" t="s">
        <v>79</v>
      </c>
      <c r="F33" s="175"/>
    </row>
    <row r="34" spans="1:6" ht="14.4">
      <c r="A34" s="174" t="s">
        <v>6</v>
      </c>
      <c r="B34" s="169">
        <v>39761</v>
      </c>
      <c r="C34" s="168" t="s">
        <v>258</v>
      </c>
      <c r="D34" s="179">
        <v>309.95</v>
      </c>
      <c r="E34" s="174" t="s">
        <v>79</v>
      </c>
      <c r="F34" s="175"/>
    </row>
    <row r="35" spans="1:6" ht="14.4">
      <c r="A35" s="174" t="s">
        <v>6</v>
      </c>
      <c r="B35" s="169">
        <v>2738</v>
      </c>
      <c r="C35" s="168" t="s">
        <v>263</v>
      </c>
      <c r="D35" s="179">
        <v>756.71</v>
      </c>
      <c r="E35" s="174" t="s">
        <v>79</v>
      </c>
      <c r="F35" s="175"/>
    </row>
    <row r="36" spans="1:6" ht="14.4">
      <c r="A36" s="174" t="s">
        <v>6</v>
      </c>
      <c r="B36" s="168">
        <v>2010</v>
      </c>
      <c r="C36" s="168" t="s">
        <v>267</v>
      </c>
      <c r="D36" s="179">
        <v>248.95</v>
      </c>
      <c r="E36" s="174" t="s">
        <v>80</v>
      </c>
      <c r="F36" s="175"/>
    </row>
    <row r="37" spans="1:6" ht="14.4">
      <c r="A37" s="174" t="s">
        <v>6</v>
      </c>
      <c r="B37" s="168">
        <v>34261</v>
      </c>
      <c r="C37" s="168" t="s">
        <v>272</v>
      </c>
      <c r="D37" s="179">
        <v>344.45</v>
      </c>
      <c r="E37" s="174" t="s">
        <v>80</v>
      </c>
      <c r="F37" s="175"/>
    </row>
    <row r="38" spans="1:6" ht="14.4">
      <c r="A38" s="174" t="s">
        <v>6</v>
      </c>
      <c r="B38" s="168">
        <v>32987</v>
      </c>
      <c r="C38" s="168" t="s">
        <v>276</v>
      </c>
      <c r="D38" s="179">
        <v>685.40000000000009</v>
      </c>
      <c r="E38" s="174" t="s">
        <v>80</v>
      </c>
      <c r="F38" s="175"/>
    </row>
    <row r="39" spans="1:6" ht="14.4">
      <c r="A39" s="174" t="s">
        <v>6</v>
      </c>
      <c r="B39" s="168">
        <v>18344</v>
      </c>
      <c r="C39" s="168" t="s">
        <v>281</v>
      </c>
      <c r="D39" s="179">
        <v>1968</v>
      </c>
      <c r="E39" s="174" t="s">
        <v>80</v>
      </c>
      <c r="F39" s="175"/>
    </row>
    <row r="40" spans="1:6" ht="14.4">
      <c r="A40" s="174" t="s">
        <v>6</v>
      </c>
      <c r="B40" s="168">
        <v>7029</v>
      </c>
      <c r="C40" s="168" t="s">
        <v>286</v>
      </c>
      <c r="D40" s="179">
        <v>775.97</v>
      </c>
      <c r="E40" s="174" t="s">
        <v>80</v>
      </c>
      <c r="F40" s="175"/>
    </row>
    <row r="41" spans="1:6" ht="14.4">
      <c r="A41" s="174" t="s">
        <v>6</v>
      </c>
      <c r="B41" s="168">
        <v>1346</v>
      </c>
      <c r="C41" s="168" t="s">
        <v>290</v>
      </c>
      <c r="D41" s="179">
        <v>441.59000000000003</v>
      </c>
      <c r="E41" s="174" t="s">
        <v>80</v>
      </c>
      <c r="F41" s="175"/>
    </row>
    <row r="42" spans="1:6" ht="14.4">
      <c r="A42" s="174" t="s">
        <v>6</v>
      </c>
      <c r="B42" s="168">
        <v>33080</v>
      </c>
      <c r="C42" s="168" t="s">
        <v>294</v>
      </c>
      <c r="D42" s="179">
        <v>208.26000000000002</v>
      </c>
      <c r="E42" s="174" t="s">
        <v>80</v>
      </c>
      <c r="F42" s="175"/>
    </row>
    <row r="43" spans="1:6" ht="14.4">
      <c r="A43" s="174" t="s">
        <v>6</v>
      </c>
      <c r="B43" s="168">
        <v>42836</v>
      </c>
      <c r="C43" s="168" t="s">
        <v>298</v>
      </c>
      <c r="D43" s="179">
        <v>179.75</v>
      </c>
      <c r="E43" s="174" t="s">
        <v>80</v>
      </c>
      <c r="F43" s="175"/>
    </row>
    <row r="44" spans="1:6" ht="14.4">
      <c r="A44" s="174" t="s">
        <v>6</v>
      </c>
      <c r="B44" s="169">
        <v>40921</v>
      </c>
      <c r="C44" s="168" t="s">
        <v>302</v>
      </c>
      <c r="D44" s="179">
        <v>251.40000199999997</v>
      </c>
      <c r="E44" s="174" t="s">
        <v>80</v>
      </c>
      <c r="F44" s="175"/>
    </row>
    <row r="45" spans="1:6" ht="14.4">
      <c r="A45" s="174" t="s">
        <v>6</v>
      </c>
      <c r="B45" s="169">
        <v>43346</v>
      </c>
      <c r="C45" s="168" t="s">
        <v>307</v>
      </c>
      <c r="D45" s="179">
        <v>219.29000000000002</v>
      </c>
      <c r="E45" s="174" t="s">
        <v>80</v>
      </c>
      <c r="F45" s="175"/>
    </row>
    <row r="46" spans="1:6" ht="14.4">
      <c r="A46" s="174" t="s">
        <v>6</v>
      </c>
      <c r="B46" s="168">
        <v>39905</v>
      </c>
      <c r="C46" s="168" t="s">
        <v>145</v>
      </c>
      <c r="D46" s="179">
        <v>395.94</v>
      </c>
      <c r="E46" s="174" t="s">
        <v>81</v>
      </c>
      <c r="F46" s="175"/>
    </row>
    <row r="47" spans="1:6" ht="14.4">
      <c r="A47" s="174" t="s">
        <v>6</v>
      </c>
      <c r="B47" s="168">
        <v>35214</v>
      </c>
      <c r="C47" s="168" t="s">
        <v>146</v>
      </c>
      <c r="D47" s="179">
        <v>536.37</v>
      </c>
      <c r="E47" s="174" t="s">
        <v>81</v>
      </c>
      <c r="F47" s="175"/>
    </row>
    <row r="48" spans="1:6" ht="14.4">
      <c r="A48" s="174" t="s">
        <v>6</v>
      </c>
      <c r="B48" s="168">
        <v>26900</v>
      </c>
      <c r="C48" s="168" t="s">
        <v>147</v>
      </c>
      <c r="D48" s="179">
        <v>450.41999999999996</v>
      </c>
      <c r="E48" s="174" t="s">
        <v>81</v>
      </c>
      <c r="F48" s="175"/>
    </row>
    <row r="49" spans="1:6" ht="14.4">
      <c r="A49" s="174" t="s">
        <v>6</v>
      </c>
      <c r="B49" s="168">
        <v>25286</v>
      </c>
      <c r="C49" s="168" t="s">
        <v>148</v>
      </c>
      <c r="D49" s="179">
        <v>437.5</v>
      </c>
      <c r="E49" s="174" t="s">
        <v>81</v>
      </c>
      <c r="F49" s="175"/>
    </row>
    <row r="50" spans="1:6" ht="14.4">
      <c r="A50" s="174" t="s">
        <v>6</v>
      </c>
      <c r="B50" s="168">
        <v>41967</v>
      </c>
      <c r="C50" s="168" t="s">
        <v>150</v>
      </c>
      <c r="D50" s="179">
        <v>177.86</v>
      </c>
      <c r="E50" s="174" t="s">
        <v>81</v>
      </c>
      <c r="F50" s="175"/>
    </row>
    <row r="51" spans="1:6" ht="14.4">
      <c r="A51" s="174" t="s">
        <v>6</v>
      </c>
      <c r="B51" s="168">
        <v>40914</v>
      </c>
      <c r="C51" s="168" t="s">
        <v>151</v>
      </c>
      <c r="D51" s="179">
        <v>0</v>
      </c>
      <c r="E51" s="174" t="s">
        <v>81</v>
      </c>
      <c r="F51" s="175"/>
    </row>
    <row r="52" spans="1:6" ht="14.4">
      <c r="A52" s="174" t="s">
        <v>6</v>
      </c>
      <c r="B52" s="168">
        <v>44581</v>
      </c>
      <c r="C52" s="168" t="s">
        <v>152</v>
      </c>
      <c r="D52" s="179">
        <v>0</v>
      </c>
      <c r="E52" s="174" t="s">
        <v>81</v>
      </c>
      <c r="F52" s="175"/>
    </row>
    <row r="53" spans="1:6" ht="14.4">
      <c r="A53" s="174" t="s">
        <v>6</v>
      </c>
      <c r="B53" s="168">
        <v>43131</v>
      </c>
      <c r="C53" s="168" t="s">
        <v>153</v>
      </c>
      <c r="D53" s="179">
        <v>0</v>
      </c>
      <c r="E53" s="174" t="s">
        <v>81</v>
      </c>
      <c r="F53" s="175"/>
    </row>
    <row r="54" spans="1:6" ht="14.4">
      <c r="A54" s="174" t="s">
        <v>6</v>
      </c>
      <c r="B54" s="168">
        <v>27411</v>
      </c>
      <c r="C54" s="168" t="s">
        <v>154</v>
      </c>
      <c r="D54" s="179">
        <v>0</v>
      </c>
      <c r="E54" s="174" t="s">
        <v>81</v>
      </c>
      <c r="F54" s="175"/>
    </row>
    <row r="55" spans="1:6" ht="14.4">
      <c r="A55" s="174" t="s">
        <v>6</v>
      </c>
      <c r="B55" s="168">
        <v>36248</v>
      </c>
      <c r="C55" s="168" t="s">
        <v>155</v>
      </c>
      <c r="D55" s="179">
        <v>0</v>
      </c>
      <c r="E55" s="174" t="s">
        <v>81</v>
      </c>
      <c r="F55" s="175"/>
    </row>
    <row r="56" spans="1:6" ht="14.4">
      <c r="A56" s="174" t="s">
        <v>6</v>
      </c>
      <c r="B56" s="168">
        <v>2425</v>
      </c>
      <c r="C56" s="168" t="s">
        <v>156</v>
      </c>
      <c r="D56" s="179">
        <v>0</v>
      </c>
      <c r="E56" s="174" t="s">
        <v>81</v>
      </c>
      <c r="F56" s="175"/>
    </row>
    <row r="57" spans="1:6" ht="14.4">
      <c r="A57" s="174" t="s">
        <v>6</v>
      </c>
      <c r="B57" s="169">
        <v>24254</v>
      </c>
      <c r="C57" s="168" t="s">
        <v>157</v>
      </c>
      <c r="D57" s="179">
        <v>0</v>
      </c>
      <c r="E57" s="174" t="s">
        <v>81</v>
      </c>
      <c r="F57" s="175"/>
    </row>
    <row r="58" spans="1:6" ht="14.4">
      <c r="A58" s="174" t="s">
        <v>6</v>
      </c>
      <c r="B58" s="168">
        <v>42652</v>
      </c>
      <c r="C58" s="168" t="s">
        <v>158</v>
      </c>
      <c r="D58" s="179">
        <v>0</v>
      </c>
      <c r="E58" s="174" t="s">
        <v>81</v>
      </c>
      <c r="F58" s="175"/>
    </row>
    <row r="59" spans="1:6" ht="14.4">
      <c r="A59" s="174" t="s">
        <v>6</v>
      </c>
      <c r="B59" s="168">
        <v>30292</v>
      </c>
      <c r="C59" s="168" t="s">
        <v>159</v>
      </c>
      <c r="D59" s="179">
        <v>0</v>
      </c>
      <c r="E59" s="174" t="s">
        <v>81</v>
      </c>
      <c r="F59" s="175"/>
    </row>
    <row r="60" spans="1:6" ht="14.4">
      <c r="A60" s="174" t="s">
        <v>6</v>
      </c>
      <c r="B60" s="168">
        <v>39127</v>
      </c>
      <c r="C60" s="168" t="s">
        <v>160</v>
      </c>
      <c r="D60" s="179">
        <v>0</v>
      </c>
      <c r="E60" s="174" t="s">
        <v>81</v>
      </c>
      <c r="F60" s="175"/>
    </row>
    <row r="61" spans="1:6" ht="14.4">
      <c r="A61" s="174" t="s">
        <v>55</v>
      </c>
      <c r="B61" s="170">
        <v>36533</v>
      </c>
      <c r="C61" s="170" t="s">
        <v>217</v>
      </c>
      <c r="D61" s="180">
        <v>556.29999999999995</v>
      </c>
      <c r="E61" s="174" t="s">
        <v>79</v>
      </c>
      <c r="F61" s="175"/>
    </row>
    <row r="62" spans="1:6" ht="14.4">
      <c r="A62" s="174" t="s">
        <v>55</v>
      </c>
      <c r="B62" s="170">
        <v>28847</v>
      </c>
      <c r="C62" s="170" t="s">
        <v>221</v>
      </c>
      <c r="D62" s="180">
        <v>283.45999999999998</v>
      </c>
      <c r="E62" s="174" t="s">
        <v>79</v>
      </c>
      <c r="F62" s="175"/>
    </row>
    <row r="63" spans="1:6" ht="14.4">
      <c r="A63" s="174" t="s">
        <v>55</v>
      </c>
      <c r="B63" s="170">
        <v>42096</v>
      </c>
      <c r="C63" s="170" t="s">
        <v>226</v>
      </c>
      <c r="D63" s="180">
        <v>274.86</v>
      </c>
      <c r="E63" s="174" t="s">
        <v>79</v>
      </c>
      <c r="F63" s="175"/>
    </row>
    <row r="64" spans="1:6" ht="14.4">
      <c r="A64" s="174" t="s">
        <v>55</v>
      </c>
      <c r="B64" s="170">
        <v>40022</v>
      </c>
      <c r="C64" s="170" t="s">
        <v>231</v>
      </c>
      <c r="D64" s="180">
        <v>472.57</v>
      </c>
      <c r="E64" s="174" t="s">
        <v>79</v>
      </c>
      <c r="F64" s="175"/>
    </row>
    <row r="65" spans="1:6" ht="14.4">
      <c r="A65" s="174" t="s">
        <v>55</v>
      </c>
      <c r="B65" s="170">
        <v>44147</v>
      </c>
      <c r="C65" s="170" t="s">
        <v>236</v>
      </c>
      <c r="D65" s="180">
        <v>792.59999999999991</v>
      </c>
      <c r="E65" s="174" t="s">
        <v>79</v>
      </c>
      <c r="F65" s="175"/>
    </row>
    <row r="66" spans="1:6" ht="14.4">
      <c r="A66" s="174" t="s">
        <v>55</v>
      </c>
      <c r="B66" s="170">
        <v>39060</v>
      </c>
      <c r="C66" s="170" t="s">
        <v>241</v>
      </c>
      <c r="D66" s="180">
        <v>419.28</v>
      </c>
      <c r="E66" s="174" t="s">
        <v>79</v>
      </c>
      <c r="F66" s="175"/>
    </row>
    <row r="67" spans="1:6" ht="14.4">
      <c r="A67" s="174" t="s">
        <v>55</v>
      </c>
      <c r="B67" s="170">
        <v>28765</v>
      </c>
      <c r="C67" s="170" t="s">
        <v>245</v>
      </c>
      <c r="D67" s="180">
        <v>175.84219999999999</v>
      </c>
      <c r="E67" s="174" t="s">
        <v>79</v>
      </c>
      <c r="F67" s="175"/>
    </row>
    <row r="68" spans="1:6" ht="14.4">
      <c r="A68" s="174" t="s">
        <v>55</v>
      </c>
      <c r="B68" s="170">
        <v>40926</v>
      </c>
      <c r="C68" s="170" t="s">
        <v>250</v>
      </c>
      <c r="D68" s="180">
        <v>885.55</v>
      </c>
      <c r="E68" s="174" t="s">
        <v>79</v>
      </c>
      <c r="F68" s="175"/>
    </row>
    <row r="69" spans="1:6" ht="14.4">
      <c r="A69" s="174" t="s">
        <v>55</v>
      </c>
      <c r="B69" s="170">
        <v>42963</v>
      </c>
      <c r="C69" s="170" t="s">
        <v>255</v>
      </c>
      <c r="D69" s="180">
        <v>231.22</v>
      </c>
      <c r="E69" s="174" t="s">
        <v>79</v>
      </c>
      <c r="F69" s="175"/>
    </row>
    <row r="70" spans="1:6" ht="14.4">
      <c r="A70" s="174" t="s">
        <v>55</v>
      </c>
      <c r="B70" s="170">
        <v>37910</v>
      </c>
      <c r="C70" s="170" t="s">
        <v>259</v>
      </c>
      <c r="D70" s="180">
        <v>170.38</v>
      </c>
      <c r="E70" s="174" t="s">
        <v>79</v>
      </c>
      <c r="F70" s="175"/>
    </row>
    <row r="71" spans="1:6" ht="14.4">
      <c r="A71" s="174" t="s">
        <v>55</v>
      </c>
      <c r="B71" s="170">
        <v>34545</v>
      </c>
      <c r="C71" s="170" t="s">
        <v>264</v>
      </c>
      <c r="D71" s="180">
        <v>247.60999999999999</v>
      </c>
      <c r="E71" s="174" t="s">
        <v>79</v>
      </c>
      <c r="F71" s="175"/>
    </row>
    <row r="72" spans="1:6" ht="14.4">
      <c r="A72" s="174" t="s">
        <v>55</v>
      </c>
      <c r="B72" s="170">
        <v>44138</v>
      </c>
      <c r="C72" s="170" t="s">
        <v>268</v>
      </c>
      <c r="D72" s="180">
        <v>158.69</v>
      </c>
      <c r="E72" s="174" t="s">
        <v>79</v>
      </c>
      <c r="F72" s="175"/>
    </row>
    <row r="73" spans="1:6" ht="14.4">
      <c r="A73" s="174" t="s">
        <v>55</v>
      </c>
      <c r="B73" s="170">
        <v>28819</v>
      </c>
      <c r="C73" s="170" t="s">
        <v>273</v>
      </c>
      <c r="D73" s="180">
        <v>748.83</v>
      </c>
      <c r="E73" s="174" t="s">
        <v>79</v>
      </c>
      <c r="F73" s="175"/>
    </row>
    <row r="74" spans="1:6" ht="14.4">
      <c r="A74" s="174" t="s">
        <v>55</v>
      </c>
      <c r="B74" s="170">
        <v>44049</v>
      </c>
      <c r="C74" s="170" t="s">
        <v>277</v>
      </c>
      <c r="D74" s="180">
        <v>317.54529500000001</v>
      </c>
      <c r="E74" s="174" t="s">
        <v>79</v>
      </c>
      <c r="F74" s="175"/>
    </row>
    <row r="75" spans="1:6" ht="14.4">
      <c r="A75" s="174" t="s">
        <v>55</v>
      </c>
      <c r="B75" s="170">
        <v>37577</v>
      </c>
      <c r="C75" s="170" t="s">
        <v>282</v>
      </c>
      <c r="D75" s="180">
        <v>537.43999599999995</v>
      </c>
      <c r="E75" s="174" t="s">
        <v>79</v>
      </c>
      <c r="F75" s="175"/>
    </row>
    <row r="76" spans="1:6" ht="14.4">
      <c r="A76" s="174" t="s">
        <v>55</v>
      </c>
      <c r="B76" s="170">
        <v>42647</v>
      </c>
      <c r="C76" s="170" t="s">
        <v>291</v>
      </c>
      <c r="D76" s="180">
        <v>1372.1899999999998</v>
      </c>
      <c r="E76" s="174" t="s">
        <v>79</v>
      </c>
      <c r="F76" s="175"/>
    </row>
    <row r="77" spans="1:6" ht="14.4">
      <c r="A77" s="174" t="s">
        <v>55</v>
      </c>
      <c r="B77" s="170">
        <v>39622</v>
      </c>
      <c r="C77" s="170" t="s">
        <v>295</v>
      </c>
      <c r="D77" s="180">
        <v>537.65</v>
      </c>
      <c r="E77" s="174" t="s">
        <v>79</v>
      </c>
      <c r="F77" s="175"/>
    </row>
    <row r="78" spans="1:6" ht="14.4">
      <c r="A78" s="174" t="s">
        <v>55</v>
      </c>
      <c r="B78" s="170">
        <v>42629</v>
      </c>
      <c r="C78" s="170" t="s">
        <v>299</v>
      </c>
      <c r="D78" s="180">
        <v>259.58</v>
      </c>
      <c r="E78" s="174" t="s">
        <v>79</v>
      </c>
      <c r="F78" s="175"/>
    </row>
    <row r="79" spans="1:6" ht="14.4">
      <c r="A79" s="174" t="s">
        <v>55</v>
      </c>
      <c r="B79" s="170">
        <v>38600</v>
      </c>
      <c r="C79" s="170" t="s">
        <v>303</v>
      </c>
      <c r="D79" s="180">
        <v>228.36</v>
      </c>
      <c r="E79" s="174" t="s">
        <v>79</v>
      </c>
      <c r="F79" s="175"/>
    </row>
    <row r="80" spans="1:6" ht="14.4">
      <c r="A80" s="174" t="s">
        <v>7</v>
      </c>
      <c r="B80" s="168">
        <v>43494</v>
      </c>
      <c r="C80" s="168" t="s">
        <v>222</v>
      </c>
      <c r="D80" s="179">
        <v>167.45999999999998</v>
      </c>
      <c r="E80" s="174" t="s">
        <v>79</v>
      </c>
      <c r="F80" s="175"/>
    </row>
    <row r="81" spans="1:6" ht="14.4">
      <c r="A81" s="174" t="s">
        <v>7</v>
      </c>
      <c r="B81" s="168">
        <v>12978</v>
      </c>
      <c r="C81" s="168" t="s">
        <v>227</v>
      </c>
      <c r="D81" s="179">
        <v>977.3900000000001</v>
      </c>
      <c r="E81" s="174" t="s">
        <v>79</v>
      </c>
      <c r="F81" s="175"/>
    </row>
    <row r="82" spans="1:6" ht="14.4">
      <c r="A82" s="174" t="s">
        <v>7</v>
      </c>
      <c r="B82" s="168">
        <v>41737</v>
      </c>
      <c r="C82" s="168" t="s">
        <v>232</v>
      </c>
      <c r="D82" s="179">
        <v>307.36</v>
      </c>
      <c r="E82" s="174" t="s">
        <v>80</v>
      </c>
      <c r="F82" s="175"/>
    </row>
    <row r="83" spans="1:6" ht="14.4">
      <c r="A83" s="174" t="s">
        <v>7</v>
      </c>
      <c r="B83" s="169">
        <v>43104</v>
      </c>
      <c r="C83" s="168" t="s">
        <v>237</v>
      </c>
      <c r="D83" s="179">
        <v>212.34</v>
      </c>
      <c r="E83" s="174" t="s">
        <v>80</v>
      </c>
      <c r="F83" s="175"/>
    </row>
    <row r="84" spans="1:6" ht="14.4">
      <c r="A84" s="174" t="s">
        <v>7</v>
      </c>
      <c r="B84" s="169">
        <v>41723</v>
      </c>
      <c r="C84" s="168" t="s">
        <v>246</v>
      </c>
      <c r="D84" s="179">
        <v>201.58</v>
      </c>
      <c r="E84" s="174" t="s">
        <v>80</v>
      </c>
      <c r="F84" s="175"/>
    </row>
    <row r="85" spans="1:6" ht="14.4">
      <c r="A85" s="174" t="s">
        <v>7</v>
      </c>
      <c r="B85" s="169">
        <v>41854</v>
      </c>
      <c r="C85" s="168" t="s">
        <v>251</v>
      </c>
      <c r="D85" s="179">
        <v>156.91</v>
      </c>
      <c r="E85" s="174" t="s">
        <v>80</v>
      </c>
      <c r="F85" s="175"/>
    </row>
    <row r="86" spans="1:6" ht="14.4">
      <c r="A86" s="174" t="s">
        <v>7</v>
      </c>
      <c r="B86" s="168">
        <v>41885</v>
      </c>
      <c r="C86" s="168" t="s">
        <v>256</v>
      </c>
      <c r="D86" s="179">
        <v>1165.8800000000001</v>
      </c>
      <c r="E86" s="174" t="s">
        <v>80</v>
      </c>
      <c r="F86" s="175"/>
    </row>
    <row r="87" spans="1:6" ht="14.4">
      <c r="A87" s="174" t="s">
        <v>7</v>
      </c>
      <c r="B87" s="168">
        <v>38862</v>
      </c>
      <c r="C87" s="168" t="s">
        <v>260</v>
      </c>
      <c r="D87" s="179">
        <v>2598.8749999999995</v>
      </c>
      <c r="E87" s="174" t="s">
        <v>80</v>
      </c>
      <c r="F87" s="175"/>
    </row>
    <row r="88" spans="1:6" ht="14.4">
      <c r="A88" s="174" t="s">
        <v>7</v>
      </c>
      <c r="B88" s="169">
        <v>42939</v>
      </c>
      <c r="C88" s="168" t="s">
        <v>265</v>
      </c>
      <c r="D88" s="179">
        <v>237.75000000000003</v>
      </c>
      <c r="E88" s="174" t="s">
        <v>80</v>
      </c>
      <c r="F88" s="175"/>
    </row>
    <row r="89" spans="1:6" ht="14.4">
      <c r="A89" s="174" t="s">
        <v>7</v>
      </c>
      <c r="B89" s="168">
        <v>40109</v>
      </c>
      <c r="C89" s="168" t="s">
        <v>269</v>
      </c>
      <c r="D89" s="179">
        <v>682.44</v>
      </c>
      <c r="E89" s="174" t="s">
        <v>80</v>
      </c>
      <c r="F89" s="175"/>
    </row>
    <row r="90" spans="1:6" ht="14.4">
      <c r="A90" s="174" t="s">
        <v>7</v>
      </c>
      <c r="B90" s="168">
        <v>38623</v>
      </c>
      <c r="C90" s="168" t="s">
        <v>274</v>
      </c>
      <c r="D90" s="179">
        <v>674.28</v>
      </c>
      <c r="E90" s="174" t="s">
        <v>80</v>
      </c>
      <c r="F90" s="175"/>
    </row>
    <row r="91" spans="1:6" ht="14.4">
      <c r="A91" s="174" t="s">
        <v>7</v>
      </c>
      <c r="B91" s="168">
        <v>26858</v>
      </c>
      <c r="C91" s="168" t="s">
        <v>278</v>
      </c>
      <c r="D91" s="179">
        <v>937.91000000000008</v>
      </c>
      <c r="E91" s="174" t="s">
        <v>80</v>
      </c>
      <c r="F91" s="175"/>
    </row>
    <row r="92" spans="1:6" ht="14.4">
      <c r="A92" s="174" t="s">
        <v>7</v>
      </c>
      <c r="B92" s="168">
        <v>41808</v>
      </c>
      <c r="C92" s="168" t="s">
        <v>283</v>
      </c>
      <c r="D92" s="179">
        <v>1194.4199999999998</v>
      </c>
      <c r="E92" s="174" t="s">
        <v>80</v>
      </c>
      <c r="F92" s="175"/>
    </row>
    <row r="93" spans="1:6" ht="14.4">
      <c r="A93" s="174" t="s">
        <v>7</v>
      </c>
      <c r="B93" s="168">
        <v>41370</v>
      </c>
      <c r="C93" s="168" t="s">
        <v>287</v>
      </c>
      <c r="D93" s="179">
        <v>426.37</v>
      </c>
      <c r="E93" s="174" t="s">
        <v>80</v>
      </c>
      <c r="F93" s="175"/>
    </row>
    <row r="94" spans="1:6" ht="14.4">
      <c r="A94" s="174" t="s">
        <v>7</v>
      </c>
      <c r="B94" s="168">
        <v>34303</v>
      </c>
      <c r="C94" s="168" t="s">
        <v>292</v>
      </c>
      <c r="D94" s="179">
        <v>264.64999999999998</v>
      </c>
      <c r="E94" s="174" t="s">
        <v>80</v>
      </c>
      <c r="F94" s="175"/>
    </row>
    <row r="95" spans="1:6" ht="14.4">
      <c r="A95" s="174" t="s">
        <v>7</v>
      </c>
      <c r="B95" s="168">
        <v>34219</v>
      </c>
      <c r="C95" s="168" t="s">
        <v>296</v>
      </c>
      <c r="D95" s="179">
        <v>249.12</v>
      </c>
      <c r="E95" s="174" t="s">
        <v>80</v>
      </c>
      <c r="F95" s="175"/>
    </row>
    <row r="96" spans="1:6" ht="14.4">
      <c r="A96" s="174" t="s">
        <v>7</v>
      </c>
      <c r="B96" s="168">
        <v>43992</v>
      </c>
      <c r="C96" s="168" t="s">
        <v>300</v>
      </c>
      <c r="D96" s="179">
        <v>172.55</v>
      </c>
      <c r="E96" s="174" t="s">
        <v>80</v>
      </c>
      <c r="F96" s="175"/>
    </row>
    <row r="97" spans="1:6" ht="14.4">
      <c r="A97" s="174" t="s">
        <v>7</v>
      </c>
      <c r="B97" s="168">
        <v>34349</v>
      </c>
      <c r="C97" s="168" t="s">
        <v>304</v>
      </c>
      <c r="D97" s="179">
        <v>404.5</v>
      </c>
      <c r="E97" s="174" t="s">
        <v>80</v>
      </c>
      <c r="F97" s="175"/>
    </row>
    <row r="98" spans="1:6" ht="14.4">
      <c r="A98" s="174" t="s">
        <v>7</v>
      </c>
      <c r="B98" s="168">
        <v>30281</v>
      </c>
      <c r="C98" s="168" t="s">
        <v>308</v>
      </c>
      <c r="D98" s="179">
        <v>498.82</v>
      </c>
      <c r="E98" s="174" t="s">
        <v>80</v>
      </c>
      <c r="F98" s="175"/>
    </row>
    <row r="99" spans="1:6" ht="14.4">
      <c r="A99" s="174" t="s">
        <v>7</v>
      </c>
      <c r="B99" s="168">
        <v>23621</v>
      </c>
      <c r="C99" s="168" t="s">
        <v>122</v>
      </c>
      <c r="D99" s="179">
        <v>273.19</v>
      </c>
      <c r="E99" s="174" t="s">
        <v>81</v>
      </c>
      <c r="F99" s="175"/>
    </row>
    <row r="100" spans="1:6" ht="14.4">
      <c r="A100" s="174" t="s">
        <v>7</v>
      </c>
      <c r="B100" s="168">
        <v>44106</v>
      </c>
      <c r="C100" s="168" t="s">
        <v>123</v>
      </c>
      <c r="D100" s="179">
        <v>588.66000000000008</v>
      </c>
      <c r="E100" s="174" t="s">
        <v>81</v>
      </c>
      <c r="F100" s="175"/>
    </row>
    <row r="101" spans="1:6" ht="14.4">
      <c r="A101" s="174" t="s">
        <v>7</v>
      </c>
      <c r="B101" s="168">
        <v>44364</v>
      </c>
      <c r="C101" s="168" t="s">
        <v>124</v>
      </c>
      <c r="D101" s="179">
        <v>670.49</v>
      </c>
      <c r="E101" s="174" t="s">
        <v>81</v>
      </c>
      <c r="F101" s="175"/>
    </row>
    <row r="102" spans="1:6" ht="14.4">
      <c r="A102" s="174" t="s">
        <v>7</v>
      </c>
      <c r="B102" s="169">
        <v>29622</v>
      </c>
      <c r="C102" s="168" t="s">
        <v>125</v>
      </c>
      <c r="D102" s="179">
        <v>415.4</v>
      </c>
      <c r="E102" s="174" t="s">
        <v>81</v>
      </c>
      <c r="F102" s="175"/>
    </row>
    <row r="103" spans="1:6" ht="14.4">
      <c r="A103" s="174" t="s">
        <v>7</v>
      </c>
      <c r="B103" s="169">
        <v>40214</v>
      </c>
      <c r="C103" s="168" t="s">
        <v>126</v>
      </c>
      <c r="D103" s="179">
        <v>0</v>
      </c>
      <c r="E103" s="174" t="s">
        <v>81</v>
      </c>
      <c r="F103" s="175"/>
    </row>
    <row r="104" spans="1:6" ht="14.4">
      <c r="A104" s="174" t="s">
        <v>7</v>
      </c>
      <c r="B104" s="168">
        <v>16902</v>
      </c>
      <c r="C104" s="168" t="s">
        <v>127</v>
      </c>
      <c r="D104" s="179">
        <v>0</v>
      </c>
      <c r="E104" s="174" t="s">
        <v>81</v>
      </c>
      <c r="F104" s="175"/>
    </row>
    <row r="105" spans="1:6" ht="14.4">
      <c r="A105" s="174" t="s">
        <v>7</v>
      </c>
      <c r="B105" s="168">
        <v>43912</v>
      </c>
      <c r="C105" s="168" t="s">
        <v>128</v>
      </c>
      <c r="D105" s="179">
        <v>0</v>
      </c>
      <c r="E105" s="174" t="s">
        <v>81</v>
      </c>
      <c r="F105" s="175"/>
    </row>
    <row r="106" spans="1:6" ht="14.4">
      <c r="A106" s="174" t="s">
        <v>7</v>
      </c>
      <c r="B106" s="169">
        <v>36451</v>
      </c>
      <c r="C106" s="168" t="s">
        <v>130</v>
      </c>
      <c r="D106" s="179">
        <v>0</v>
      </c>
      <c r="E106" s="174" t="s">
        <v>81</v>
      </c>
      <c r="F106" s="175"/>
    </row>
    <row r="107" spans="1:6" ht="14.4">
      <c r="A107" s="174" t="s">
        <v>7</v>
      </c>
      <c r="B107" s="168">
        <v>42285</v>
      </c>
      <c r="C107" s="168" t="s">
        <v>131</v>
      </c>
      <c r="D107" s="179">
        <v>0</v>
      </c>
      <c r="E107" s="174" t="s">
        <v>81</v>
      </c>
      <c r="F107" s="175"/>
    </row>
    <row r="108" spans="1:6" ht="14.4">
      <c r="A108" s="174" t="s">
        <v>7</v>
      </c>
      <c r="B108" s="168">
        <v>38884</v>
      </c>
      <c r="C108" s="168" t="s">
        <v>132</v>
      </c>
      <c r="D108" s="179">
        <v>0</v>
      </c>
      <c r="E108" s="174" t="s">
        <v>81</v>
      </c>
      <c r="F108" s="175"/>
    </row>
    <row r="109" spans="1:6" ht="14.4">
      <c r="A109" s="174" t="s">
        <v>7</v>
      </c>
      <c r="B109" s="169">
        <v>45080</v>
      </c>
      <c r="C109" s="168" t="s">
        <v>133</v>
      </c>
      <c r="D109" s="179">
        <v>0</v>
      </c>
      <c r="E109" s="174" t="s">
        <v>81</v>
      </c>
      <c r="F109" s="175"/>
    </row>
    <row r="110" spans="1:6" ht="14.4">
      <c r="A110" s="174" t="s">
        <v>7</v>
      </c>
      <c r="B110" s="169">
        <v>31636</v>
      </c>
      <c r="C110" s="168" t="s">
        <v>134</v>
      </c>
      <c r="D110" s="179">
        <v>0</v>
      </c>
      <c r="E110" s="174" t="s">
        <v>81</v>
      </c>
      <c r="F110" s="175"/>
    </row>
    <row r="111" spans="1:6" ht="14.4">
      <c r="A111" s="174" t="s">
        <v>7</v>
      </c>
      <c r="B111" s="168">
        <v>42559</v>
      </c>
      <c r="C111" s="168" t="s">
        <v>135</v>
      </c>
      <c r="D111" s="179">
        <v>0</v>
      </c>
      <c r="E111" s="174" t="s">
        <v>81</v>
      </c>
      <c r="F111" s="175"/>
    </row>
    <row r="112" spans="1:6" ht="14.4">
      <c r="A112" s="174" t="s">
        <v>7</v>
      </c>
      <c r="B112" s="169">
        <v>29084</v>
      </c>
      <c r="C112" s="168" t="s">
        <v>136</v>
      </c>
      <c r="D112" s="179">
        <v>0</v>
      </c>
      <c r="E112" s="174" t="s">
        <v>81</v>
      </c>
      <c r="F112" s="175"/>
    </row>
    <row r="113" spans="1:6" ht="14.4">
      <c r="A113" s="174" t="s">
        <v>7</v>
      </c>
      <c r="B113" s="169">
        <v>41123</v>
      </c>
      <c r="C113" s="168" t="s">
        <v>137</v>
      </c>
      <c r="D113" s="179">
        <v>0</v>
      </c>
      <c r="E113" s="174" t="s">
        <v>81</v>
      </c>
      <c r="F113" s="175"/>
    </row>
    <row r="114" spans="1:6" ht="14.4">
      <c r="A114" s="174" t="s">
        <v>7</v>
      </c>
      <c r="B114" s="169">
        <v>38358</v>
      </c>
      <c r="C114" s="168" t="s">
        <v>138</v>
      </c>
      <c r="D114" s="179">
        <v>0</v>
      </c>
      <c r="E114" s="174" t="s">
        <v>81</v>
      </c>
      <c r="F114" s="175"/>
    </row>
    <row r="115" spans="1:6" ht="14.4">
      <c r="A115" s="174" t="s">
        <v>7</v>
      </c>
      <c r="B115" s="169">
        <v>30929</v>
      </c>
      <c r="C115" s="168" t="s">
        <v>139</v>
      </c>
      <c r="D115" s="179">
        <v>0</v>
      </c>
      <c r="E115" s="174" t="s">
        <v>81</v>
      </c>
      <c r="F115" s="175"/>
    </row>
    <row r="116" spans="1:6" ht="14.4">
      <c r="A116" s="174" t="s">
        <v>7</v>
      </c>
      <c r="B116" s="169">
        <v>28933</v>
      </c>
      <c r="C116" s="168" t="s">
        <v>140</v>
      </c>
      <c r="D116" s="179">
        <v>0</v>
      </c>
      <c r="E116" s="174" t="s">
        <v>81</v>
      </c>
      <c r="F116" s="175"/>
    </row>
    <row r="117" spans="1:6" ht="14.4">
      <c r="A117" s="174" t="s">
        <v>7</v>
      </c>
      <c r="B117" s="169">
        <v>38139</v>
      </c>
      <c r="C117" s="168" t="s">
        <v>141</v>
      </c>
      <c r="D117" s="179">
        <v>0</v>
      </c>
      <c r="E117" s="174" t="s">
        <v>81</v>
      </c>
      <c r="F117" s="175"/>
    </row>
    <row r="118" spans="1:6" ht="14.4">
      <c r="A118" s="174" t="s">
        <v>7</v>
      </c>
      <c r="B118" s="169">
        <v>34343</v>
      </c>
      <c r="C118" s="168" t="s">
        <v>142</v>
      </c>
      <c r="D118" s="179">
        <v>0</v>
      </c>
      <c r="E118" s="174" t="s">
        <v>81</v>
      </c>
      <c r="F118" s="175"/>
    </row>
    <row r="119" spans="1:6" ht="14.4">
      <c r="A119" s="174" t="s">
        <v>56</v>
      </c>
      <c r="B119" s="170">
        <v>40237</v>
      </c>
      <c r="C119" s="170" t="s">
        <v>223</v>
      </c>
      <c r="D119" s="180">
        <v>784.45</v>
      </c>
      <c r="E119" s="174" t="s">
        <v>79</v>
      </c>
      <c r="F119" s="175"/>
    </row>
    <row r="120" spans="1:6" ht="14.4">
      <c r="A120" s="174" t="s">
        <v>56</v>
      </c>
      <c r="B120" s="170">
        <v>43855</v>
      </c>
      <c r="C120" s="170" t="s">
        <v>233</v>
      </c>
      <c r="D120" s="180">
        <v>908.8</v>
      </c>
      <c r="E120" s="174" t="s">
        <v>79</v>
      </c>
      <c r="F120" s="175"/>
    </row>
    <row r="121" spans="1:6" ht="14.4">
      <c r="A121" s="174" t="s">
        <v>56</v>
      </c>
      <c r="B121" s="170">
        <v>41142</v>
      </c>
      <c r="C121" s="170" t="s">
        <v>238</v>
      </c>
      <c r="D121" s="180">
        <v>291.34999999999997</v>
      </c>
      <c r="E121" s="174" t="s">
        <v>79</v>
      </c>
      <c r="F121" s="175"/>
    </row>
    <row r="122" spans="1:6" ht="14.4">
      <c r="A122" s="174" t="s">
        <v>56</v>
      </c>
      <c r="B122" s="170">
        <v>43286</v>
      </c>
      <c r="C122" s="170" t="s">
        <v>242</v>
      </c>
      <c r="D122" s="180">
        <v>1737.96</v>
      </c>
      <c r="E122" s="174" t="s">
        <v>79</v>
      </c>
      <c r="F122" s="175"/>
    </row>
    <row r="123" spans="1:6" ht="14.4">
      <c r="A123" s="174" t="s">
        <v>56</v>
      </c>
      <c r="B123" s="170">
        <v>35902</v>
      </c>
      <c r="C123" s="170" t="s">
        <v>247</v>
      </c>
      <c r="D123" s="180">
        <v>509.02</v>
      </c>
      <c r="E123" s="174" t="s">
        <v>79</v>
      </c>
      <c r="F123" s="175"/>
    </row>
    <row r="124" spans="1:6" ht="14.4">
      <c r="A124" s="174" t="s">
        <v>56</v>
      </c>
      <c r="B124" s="170">
        <v>41418</v>
      </c>
      <c r="C124" s="170" t="s">
        <v>252</v>
      </c>
      <c r="D124" s="180">
        <v>1130.1999999999998</v>
      </c>
      <c r="E124" s="174" t="s">
        <v>79</v>
      </c>
      <c r="F124" s="175"/>
    </row>
    <row r="125" spans="1:6" ht="14.4">
      <c r="A125" s="174" t="s">
        <v>56</v>
      </c>
      <c r="B125" s="170">
        <v>18415</v>
      </c>
      <c r="C125" s="170" t="s">
        <v>261</v>
      </c>
      <c r="D125" s="180">
        <v>183.75</v>
      </c>
      <c r="E125" s="174" t="s">
        <v>79</v>
      </c>
      <c r="F125" s="175"/>
    </row>
    <row r="126" spans="1:6" ht="14.4">
      <c r="A126" s="174" t="s">
        <v>56</v>
      </c>
      <c r="B126" s="170">
        <v>44270</v>
      </c>
      <c r="C126" s="170" t="s">
        <v>266</v>
      </c>
      <c r="D126" s="180">
        <v>857.62999999999988</v>
      </c>
      <c r="E126" s="174" t="s">
        <v>79</v>
      </c>
      <c r="F126" s="175"/>
    </row>
    <row r="127" spans="1:6" ht="14.4">
      <c r="A127" s="174" t="s">
        <v>56</v>
      </c>
      <c r="B127" s="170">
        <v>44093</v>
      </c>
      <c r="C127" s="170" t="s">
        <v>270</v>
      </c>
      <c r="D127" s="180">
        <v>17371.710000000003</v>
      </c>
      <c r="E127" s="174" t="s">
        <v>79</v>
      </c>
      <c r="F127" s="175"/>
    </row>
    <row r="128" spans="1:6" ht="14.4">
      <c r="A128" s="174" t="s">
        <v>56</v>
      </c>
      <c r="B128" s="170">
        <v>44345</v>
      </c>
      <c r="C128" s="170" t="s">
        <v>275</v>
      </c>
      <c r="D128" s="180">
        <v>910.91</v>
      </c>
      <c r="E128" s="174" t="s">
        <v>79</v>
      </c>
      <c r="F128" s="175"/>
    </row>
    <row r="129" spans="1:6" ht="14.4">
      <c r="A129" s="174" t="s">
        <v>56</v>
      </c>
      <c r="B129" s="170">
        <v>32009</v>
      </c>
      <c r="C129" s="170" t="s">
        <v>279</v>
      </c>
      <c r="D129" s="180">
        <v>1039.3599999999999</v>
      </c>
      <c r="E129" s="174" t="s">
        <v>79</v>
      </c>
      <c r="F129" s="175"/>
    </row>
    <row r="130" spans="1:6" ht="14.4">
      <c r="A130" s="174" t="s">
        <v>56</v>
      </c>
      <c r="B130" s="170">
        <v>41058</v>
      </c>
      <c r="C130" s="170" t="s">
        <v>284</v>
      </c>
      <c r="D130" s="180">
        <v>195.95</v>
      </c>
      <c r="E130" s="174" t="s">
        <v>79</v>
      </c>
      <c r="F130" s="175"/>
    </row>
    <row r="131" spans="1:6" ht="14.4">
      <c r="A131" s="174" t="s">
        <v>56</v>
      </c>
      <c r="B131" s="170">
        <v>40984</v>
      </c>
      <c r="C131" s="170" t="s">
        <v>288</v>
      </c>
      <c r="D131" s="180">
        <v>270.64999999999998</v>
      </c>
      <c r="E131" s="174" t="s">
        <v>79</v>
      </c>
      <c r="F131" s="175"/>
    </row>
    <row r="132" spans="1:6" ht="14.4">
      <c r="A132" s="174" t="s">
        <v>56</v>
      </c>
      <c r="B132" s="170">
        <v>41276</v>
      </c>
      <c r="C132" s="170" t="s">
        <v>297</v>
      </c>
      <c r="D132" s="180">
        <v>322.64999999999998</v>
      </c>
      <c r="E132" s="174" t="s">
        <v>80</v>
      </c>
      <c r="F132" s="175"/>
    </row>
    <row r="133" spans="1:6" ht="14.4">
      <c r="A133" s="174" t="s">
        <v>56</v>
      </c>
      <c r="B133" s="170">
        <v>28233</v>
      </c>
      <c r="C133" s="170" t="s">
        <v>301</v>
      </c>
      <c r="D133" s="180">
        <v>297.58999999999997</v>
      </c>
      <c r="E133" s="174" t="s">
        <v>80</v>
      </c>
      <c r="F133" s="175"/>
    </row>
    <row r="134" spans="1:6" ht="14.4">
      <c r="A134" s="174" t="s">
        <v>56</v>
      </c>
      <c r="B134" s="170">
        <v>29080</v>
      </c>
      <c r="C134" s="170" t="s">
        <v>305</v>
      </c>
      <c r="D134" s="180">
        <v>729.87</v>
      </c>
      <c r="E134" s="174" t="s">
        <v>80</v>
      </c>
      <c r="F134" s="175"/>
    </row>
    <row r="135" spans="1:6" ht="14.4">
      <c r="A135" s="174" t="s">
        <v>56</v>
      </c>
      <c r="B135" s="170">
        <v>31627</v>
      </c>
      <c r="C135" s="170" t="s">
        <v>309</v>
      </c>
      <c r="D135" s="180">
        <v>338.95000000000005</v>
      </c>
      <c r="E135" s="174" t="s">
        <v>80</v>
      </c>
      <c r="F135" s="175"/>
    </row>
    <row r="136" spans="1:6" ht="14.4">
      <c r="A136" s="174" t="s">
        <v>56</v>
      </c>
      <c r="B136" s="170">
        <v>37802</v>
      </c>
      <c r="C136" s="170" t="s">
        <v>311</v>
      </c>
      <c r="D136" s="180">
        <v>414.5</v>
      </c>
      <c r="E136" s="174" t="s">
        <v>80</v>
      </c>
      <c r="F136" s="175"/>
    </row>
    <row r="137" spans="1:6" ht="14.4">
      <c r="A137" s="174" t="s">
        <v>56</v>
      </c>
      <c r="B137" s="170">
        <v>35203</v>
      </c>
      <c r="C137" s="170" t="s">
        <v>313</v>
      </c>
      <c r="D137" s="180">
        <v>458.59</v>
      </c>
      <c r="E137" s="174" t="s">
        <v>80</v>
      </c>
      <c r="F137" s="175"/>
    </row>
    <row r="138" spans="1:6" ht="14.4">
      <c r="A138" s="174" t="s">
        <v>56</v>
      </c>
      <c r="B138" s="170">
        <v>33755</v>
      </c>
      <c r="C138" s="170" t="s">
        <v>315</v>
      </c>
      <c r="D138" s="180">
        <v>226.86</v>
      </c>
      <c r="E138" s="174" t="s">
        <v>80</v>
      </c>
      <c r="F138" s="175"/>
    </row>
    <row r="139" spans="1:6" ht="14.4">
      <c r="A139" s="174" t="s">
        <v>56</v>
      </c>
      <c r="B139" s="170">
        <v>41377</v>
      </c>
      <c r="C139" s="170" t="s">
        <v>317</v>
      </c>
      <c r="D139" s="180">
        <v>1173.5</v>
      </c>
      <c r="E139" s="174" t="s">
        <v>80</v>
      </c>
      <c r="F139" s="175"/>
    </row>
    <row r="140" spans="1:6" ht="14.4">
      <c r="A140" s="174" t="s">
        <v>56</v>
      </c>
      <c r="B140" s="170">
        <v>41645</v>
      </c>
      <c r="C140" s="170" t="s">
        <v>319</v>
      </c>
      <c r="D140" s="180">
        <v>2007</v>
      </c>
      <c r="E140" s="174" t="s">
        <v>80</v>
      </c>
      <c r="F140" s="175"/>
    </row>
    <row r="141" spans="1:6" ht="14.4">
      <c r="A141" s="174" t="s">
        <v>56</v>
      </c>
      <c r="B141" s="170">
        <v>33463</v>
      </c>
      <c r="C141" s="170" t="s">
        <v>168</v>
      </c>
      <c r="D141" s="180">
        <v>745.8</v>
      </c>
      <c r="E141" s="174" t="s">
        <v>81</v>
      </c>
      <c r="F141" s="175"/>
    </row>
    <row r="142" spans="1:6" ht="14.4">
      <c r="A142" s="174" t="s">
        <v>56</v>
      </c>
      <c r="B142" s="170">
        <v>42936</v>
      </c>
      <c r="C142" s="170" t="s">
        <v>169</v>
      </c>
      <c r="D142" s="180">
        <v>183.75</v>
      </c>
      <c r="E142" s="174" t="s">
        <v>81</v>
      </c>
      <c r="F142" s="175"/>
    </row>
    <row r="143" spans="1:6" ht="14.4">
      <c r="A143" s="174" t="s">
        <v>56</v>
      </c>
      <c r="B143" s="170">
        <v>30921</v>
      </c>
      <c r="C143" s="170" t="s">
        <v>170</v>
      </c>
      <c r="D143" s="180">
        <v>210.64999999999998</v>
      </c>
      <c r="E143" s="174" t="s">
        <v>81</v>
      </c>
      <c r="F143" s="175"/>
    </row>
    <row r="144" spans="1:6" ht="14.4">
      <c r="A144" s="174" t="s">
        <v>56</v>
      </c>
      <c r="B144" s="170">
        <v>12165</v>
      </c>
      <c r="C144" s="170" t="s">
        <v>171</v>
      </c>
      <c r="D144" s="180">
        <v>420.18</v>
      </c>
      <c r="E144" s="174" t="s">
        <v>81</v>
      </c>
      <c r="F144" s="175"/>
    </row>
    <row r="145" spans="1:6" ht="14.4">
      <c r="A145" s="174" t="s">
        <v>56</v>
      </c>
      <c r="B145" s="170">
        <v>28192</v>
      </c>
      <c r="C145" s="170" t="s">
        <v>172</v>
      </c>
      <c r="D145" s="180">
        <v>0</v>
      </c>
      <c r="E145" s="174" t="s">
        <v>81</v>
      </c>
      <c r="F145" s="175"/>
    </row>
    <row r="146" spans="1:6" ht="14.4">
      <c r="A146" s="174" t="s">
        <v>56</v>
      </c>
      <c r="B146" s="170">
        <v>37151</v>
      </c>
      <c r="C146" s="170" t="s">
        <v>173</v>
      </c>
      <c r="D146" s="180">
        <v>0</v>
      </c>
      <c r="E146" s="174" t="s">
        <v>81</v>
      </c>
      <c r="F146" s="175"/>
    </row>
    <row r="147" spans="1:6" ht="14.4">
      <c r="A147" s="174" t="s">
        <v>56</v>
      </c>
      <c r="B147" s="170">
        <v>44572</v>
      </c>
      <c r="C147" s="170" t="s">
        <v>174</v>
      </c>
      <c r="D147" s="180">
        <v>0</v>
      </c>
      <c r="E147" s="174" t="s">
        <v>81</v>
      </c>
      <c r="F147" s="175"/>
    </row>
    <row r="148" spans="1:6" ht="14.4">
      <c r="A148" s="174" t="s">
        <v>56</v>
      </c>
      <c r="B148" s="170">
        <v>32604</v>
      </c>
      <c r="C148" s="170" t="s">
        <v>176</v>
      </c>
      <c r="D148" s="180">
        <v>0</v>
      </c>
      <c r="E148" s="174" t="s">
        <v>81</v>
      </c>
      <c r="F148" s="175"/>
    </row>
    <row r="149" spans="1:6" ht="14.4">
      <c r="A149" s="174" t="s">
        <v>56</v>
      </c>
      <c r="B149" s="170">
        <v>30889</v>
      </c>
      <c r="C149" s="170" t="s">
        <v>177</v>
      </c>
      <c r="D149" s="180">
        <v>0</v>
      </c>
      <c r="E149" s="174" t="s">
        <v>81</v>
      </c>
      <c r="F149" s="175"/>
    </row>
    <row r="150" spans="1:6" ht="14.4">
      <c r="A150" s="174" t="s">
        <v>56</v>
      </c>
      <c r="B150" s="170">
        <v>20583</v>
      </c>
      <c r="C150" s="170" t="s">
        <v>178</v>
      </c>
      <c r="D150" s="180">
        <v>0</v>
      </c>
      <c r="E150" s="174" t="s">
        <v>81</v>
      </c>
      <c r="F150" s="175"/>
    </row>
    <row r="151" spans="1:6" ht="14.4">
      <c r="A151" s="174" t="s">
        <v>56</v>
      </c>
      <c r="B151" s="170">
        <v>21387</v>
      </c>
      <c r="C151" s="170" t="s">
        <v>179</v>
      </c>
      <c r="D151" s="180">
        <v>0</v>
      </c>
      <c r="E151" s="174" t="s">
        <v>81</v>
      </c>
      <c r="F151" s="175"/>
    </row>
    <row r="152" spans="1:6" ht="14.4">
      <c r="A152" s="174" t="s">
        <v>56</v>
      </c>
      <c r="B152" s="170">
        <v>35547</v>
      </c>
      <c r="C152" s="170" t="s">
        <v>180</v>
      </c>
      <c r="D152" s="180">
        <v>0</v>
      </c>
      <c r="E152" s="174" t="s">
        <v>81</v>
      </c>
      <c r="F152" s="175"/>
    </row>
    <row r="153" spans="1:6" ht="14.4">
      <c r="A153" s="174" t="s">
        <v>56</v>
      </c>
      <c r="B153" s="170">
        <v>42774</v>
      </c>
      <c r="C153" s="170" t="s">
        <v>181</v>
      </c>
      <c r="D153" s="180">
        <v>0</v>
      </c>
      <c r="E153" s="174" t="s">
        <v>81</v>
      </c>
      <c r="F153" s="175"/>
    </row>
    <row r="154" spans="1:6" ht="14.4">
      <c r="A154" s="174" t="s">
        <v>56</v>
      </c>
      <c r="B154" s="170">
        <v>10376</v>
      </c>
      <c r="C154" s="170" t="s">
        <v>183</v>
      </c>
      <c r="D154" s="180">
        <v>0</v>
      </c>
      <c r="E154" s="174" t="s">
        <v>81</v>
      </c>
      <c r="F154" s="175"/>
    </row>
    <row r="155" spans="1:6" ht="14.4">
      <c r="A155" s="174" t="s">
        <v>56</v>
      </c>
      <c r="B155" s="170">
        <v>41363</v>
      </c>
      <c r="C155" s="170" t="s">
        <v>184</v>
      </c>
      <c r="D155" s="180">
        <v>0</v>
      </c>
      <c r="E155" s="174" t="s">
        <v>81</v>
      </c>
      <c r="F155" s="175"/>
    </row>
    <row r="156" spans="1:6" ht="14.4">
      <c r="A156" s="174" t="s">
        <v>56</v>
      </c>
      <c r="B156" s="170">
        <v>40966</v>
      </c>
      <c r="C156" s="170" t="s">
        <v>185</v>
      </c>
      <c r="D156" s="180">
        <v>0</v>
      </c>
      <c r="E156" s="174" t="s">
        <v>81</v>
      </c>
      <c r="F156" s="175"/>
    </row>
    <row r="157" spans="1:6" ht="14.4">
      <c r="A157" s="174" t="s">
        <v>56</v>
      </c>
      <c r="B157" s="170">
        <v>33732</v>
      </c>
      <c r="C157" s="170" t="s">
        <v>186</v>
      </c>
      <c r="D157" s="180">
        <v>0</v>
      </c>
      <c r="E157" s="174" t="s">
        <v>81</v>
      </c>
      <c r="F157" s="175"/>
    </row>
    <row r="158" spans="1:6" ht="14.4">
      <c r="A158" s="174" t="s">
        <v>56</v>
      </c>
      <c r="B158" s="170">
        <v>43985</v>
      </c>
      <c r="C158" s="170" t="s">
        <v>187</v>
      </c>
      <c r="D158" s="180">
        <v>0</v>
      </c>
      <c r="E158" s="174" t="s">
        <v>81</v>
      </c>
      <c r="F158" s="175"/>
    </row>
    <row r="159" spans="1:6" ht="14.4">
      <c r="A159" s="174" t="s">
        <v>56</v>
      </c>
      <c r="B159" s="170">
        <v>26794</v>
      </c>
      <c r="C159" s="170" t="s">
        <v>336</v>
      </c>
      <c r="D159" s="180">
        <v>0</v>
      </c>
      <c r="E159" s="174" t="s">
        <v>81</v>
      </c>
      <c r="F159" s="175"/>
    </row>
    <row r="160" spans="1:6" ht="14.4">
      <c r="A160" s="174" t="s">
        <v>56</v>
      </c>
      <c r="B160" s="170">
        <v>20012</v>
      </c>
      <c r="C160" s="170" t="s">
        <v>190</v>
      </c>
      <c r="D160" s="180">
        <v>0</v>
      </c>
      <c r="E160" s="174" t="s">
        <v>81</v>
      </c>
      <c r="F160" s="175"/>
    </row>
    <row r="161" spans="1:6" ht="14.4">
      <c r="A161" s="174" t="s">
        <v>56</v>
      </c>
      <c r="B161" s="170">
        <v>31923</v>
      </c>
      <c r="C161" s="170" t="s">
        <v>191</v>
      </c>
      <c r="D161" s="180">
        <v>0</v>
      </c>
      <c r="E161" s="174" t="s">
        <v>81</v>
      </c>
      <c r="F161" s="175"/>
    </row>
    <row r="162" spans="1:6" ht="14.4">
      <c r="A162" s="174" t="s">
        <v>56</v>
      </c>
      <c r="B162" s="170">
        <v>37503</v>
      </c>
      <c r="C162" s="170" t="s">
        <v>193</v>
      </c>
      <c r="D162" s="180">
        <v>0</v>
      </c>
      <c r="E162" s="174" t="s">
        <v>81</v>
      </c>
      <c r="F162" s="175"/>
    </row>
    <row r="163" spans="1:6" ht="14.4">
      <c r="A163" s="174" t="s">
        <v>56</v>
      </c>
      <c r="B163" s="171">
        <v>39901</v>
      </c>
      <c r="C163" s="170" t="s">
        <v>331</v>
      </c>
      <c r="D163" s="180">
        <v>0</v>
      </c>
      <c r="E163" s="174" t="s">
        <v>81</v>
      </c>
      <c r="F163" s="175"/>
    </row>
    <row r="164" spans="1:6" ht="14.4">
      <c r="A164" s="174" t="s">
        <v>10</v>
      </c>
      <c r="B164" s="172">
        <v>19384</v>
      </c>
      <c r="C164" s="172" t="s">
        <v>218</v>
      </c>
      <c r="D164" s="179">
        <v>505.89</v>
      </c>
      <c r="E164" s="174" t="s">
        <v>79</v>
      </c>
      <c r="F164" s="175"/>
    </row>
    <row r="165" spans="1:6" ht="14.4">
      <c r="A165" s="174" t="s">
        <v>10</v>
      </c>
      <c r="B165" s="172">
        <v>20828</v>
      </c>
      <c r="C165" s="172" t="s">
        <v>224</v>
      </c>
      <c r="D165" s="179">
        <v>3904.49</v>
      </c>
      <c r="E165" s="174" t="s">
        <v>79</v>
      </c>
      <c r="F165" s="175"/>
    </row>
    <row r="166" spans="1:6" ht="14.4">
      <c r="A166" s="174" t="s">
        <v>10</v>
      </c>
      <c r="B166" s="172">
        <v>22815</v>
      </c>
      <c r="C166" s="172" t="s">
        <v>228</v>
      </c>
      <c r="D166" s="179">
        <v>334</v>
      </c>
      <c r="E166" s="174" t="s">
        <v>79</v>
      </c>
      <c r="F166" s="175"/>
    </row>
    <row r="167" spans="1:6" ht="14.4">
      <c r="A167" s="174" t="s">
        <v>10</v>
      </c>
      <c r="B167" s="172">
        <v>31798</v>
      </c>
      <c r="C167" s="172" t="s">
        <v>234</v>
      </c>
      <c r="D167" s="179">
        <v>1628.3500000000001</v>
      </c>
      <c r="E167" s="174" t="s">
        <v>79</v>
      </c>
      <c r="F167" s="175"/>
    </row>
    <row r="168" spans="1:6" ht="14.4">
      <c r="A168" s="174" t="s">
        <v>10</v>
      </c>
      <c r="B168" s="172">
        <v>31563</v>
      </c>
      <c r="C168" s="172" t="s">
        <v>239</v>
      </c>
      <c r="D168" s="179">
        <v>471.28</v>
      </c>
      <c r="E168" s="174" t="s">
        <v>79</v>
      </c>
      <c r="F168" s="175"/>
    </row>
    <row r="169" spans="1:6" ht="14.4">
      <c r="A169" s="174" t="s">
        <v>10</v>
      </c>
      <c r="B169" s="172">
        <v>42602</v>
      </c>
      <c r="C169" s="172" t="s">
        <v>243</v>
      </c>
      <c r="D169" s="179">
        <v>267.45</v>
      </c>
      <c r="E169" s="174" t="s">
        <v>79</v>
      </c>
      <c r="F169" s="175"/>
    </row>
    <row r="170" spans="1:6" ht="14.4">
      <c r="A170" s="174" t="s">
        <v>10</v>
      </c>
      <c r="B170" s="172">
        <v>39205</v>
      </c>
      <c r="C170" s="172" t="s">
        <v>248</v>
      </c>
      <c r="D170" s="179">
        <v>748.49</v>
      </c>
      <c r="E170" s="174" t="s">
        <v>79</v>
      </c>
      <c r="F170" s="175"/>
    </row>
    <row r="171" spans="1:6" ht="14.4">
      <c r="A171" s="174" t="s">
        <v>10</v>
      </c>
      <c r="B171" s="172">
        <v>29964</v>
      </c>
      <c r="C171" s="172" t="s">
        <v>253</v>
      </c>
      <c r="D171" s="179">
        <v>622.4</v>
      </c>
      <c r="E171" s="174" t="s">
        <v>79</v>
      </c>
      <c r="F171" s="175"/>
    </row>
    <row r="172" spans="1:6" ht="14.4">
      <c r="A172" s="174" t="s">
        <v>10</v>
      </c>
      <c r="B172" s="172">
        <v>35076</v>
      </c>
      <c r="C172" s="172" t="s">
        <v>257</v>
      </c>
      <c r="D172" s="179">
        <v>402.1</v>
      </c>
      <c r="E172" s="174" t="s">
        <v>79</v>
      </c>
      <c r="F172" s="175"/>
    </row>
    <row r="173" spans="1:6" ht="14.4">
      <c r="A173" s="174" t="s">
        <v>10</v>
      </c>
      <c r="B173" s="172">
        <v>36972</v>
      </c>
      <c r="C173" s="172" t="s">
        <v>262</v>
      </c>
      <c r="D173" s="179">
        <v>2113.44</v>
      </c>
      <c r="E173" s="174" t="s">
        <v>79</v>
      </c>
      <c r="F173" s="175"/>
    </row>
    <row r="174" spans="1:6" ht="14.4">
      <c r="A174" s="174" t="s">
        <v>10</v>
      </c>
      <c r="B174" s="172">
        <v>41852</v>
      </c>
      <c r="C174" s="172" t="s">
        <v>271</v>
      </c>
      <c r="D174" s="179">
        <v>542.57000000000005</v>
      </c>
      <c r="E174" s="174" t="s">
        <v>79</v>
      </c>
      <c r="F174" s="175"/>
    </row>
    <row r="175" spans="1:6" ht="14.4">
      <c r="A175" s="174" t="s">
        <v>10</v>
      </c>
      <c r="B175" s="172">
        <v>41862</v>
      </c>
      <c r="C175" s="172" t="s">
        <v>280</v>
      </c>
      <c r="D175" s="179">
        <v>385.39</v>
      </c>
      <c r="E175" s="174" t="s">
        <v>79</v>
      </c>
      <c r="F175" s="175"/>
    </row>
    <row r="176" spans="1:6" ht="14.4">
      <c r="A176" s="174" t="s">
        <v>10</v>
      </c>
      <c r="B176" s="172">
        <v>41235</v>
      </c>
      <c r="C176" s="172" t="s">
        <v>285</v>
      </c>
      <c r="D176" s="179">
        <v>1582.7800000000002</v>
      </c>
      <c r="E176" s="174" t="s">
        <v>79</v>
      </c>
      <c r="F176" s="175"/>
    </row>
    <row r="177" spans="1:6" ht="14.4">
      <c r="A177" s="174" t="s">
        <v>10</v>
      </c>
      <c r="B177" s="168">
        <v>27813</v>
      </c>
      <c r="C177" s="172" t="s">
        <v>289</v>
      </c>
      <c r="D177" s="179">
        <v>20887.939999999999</v>
      </c>
      <c r="E177" s="174" t="s">
        <v>79</v>
      </c>
      <c r="F177" s="175"/>
    </row>
    <row r="178" spans="1:6" ht="14.4">
      <c r="A178" s="174" t="s">
        <v>10</v>
      </c>
      <c r="B178" s="172">
        <v>10095</v>
      </c>
      <c r="C178" s="172" t="s">
        <v>293</v>
      </c>
      <c r="D178" s="179">
        <v>789</v>
      </c>
      <c r="E178" s="174" t="s">
        <v>79</v>
      </c>
      <c r="F178" s="175"/>
    </row>
    <row r="179" spans="1:6" ht="14.4">
      <c r="A179" s="174" t="s">
        <v>10</v>
      </c>
      <c r="B179" s="172">
        <v>32981</v>
      </c>
      <c r="C179" s="172" t="s">
        <v>306</v>
      </c>
      <c r="D179" s="179">
        <v>1346.9</v>
      </c>
      <c r="E179" s="174" t="s">
        <v>79</v>
      </c>
      <c r="F179" s="175"/>
    </row>
    <row r="180" spans="1:6" ht="14.4">
      <c r="A180" s="174" t="s">
        <v>10</v>
      </c>
      <c r="B180" s="172">
        <v>28492</v>
      </c>
      <c r="C180" s="172" t="s">
        <v>310</v>
      </c>
      <c r="D180" s="179">
        <v>1225.19</v>
      </c>
      <c r="E180" s="174" t="s">
        <v>79</v>
      </c>
      <c r="F180" s="175"/>
    </row>
    <row r="181" spans="1:6" ht="14.4">
      <c r="A181" s="174" t="s">
        <v>10</v>
      </c>
      <c r="B181" s="172">
        <v>30067</v>
      </c>
      <c r="C181" s="172" t="s">
        <v>312</v>
      </c>
      <c r="D181" s="179">
        <v>473.58000000000004</v>
      </c>
      <c r="E181" s="174" t="s">
        <v>79</v>
      </c>
      <c r="F181" s="175"/>
    </row>
    <row r="182" spans="1:6" ht="14.4">
      <c r="A182" s="174" t="s">
        <v>10</v>
      </c>
      <c r="B182" s="168">
        <v>42952</v>
      </c>
      <c r="C182" s="172" t="s">
        <v>314</v>
      </c>
      <c r="D182" s="179">
        <v>295.14</v>
      </c>
      <c r="E182" s="174" t="s">
        <v>80</v>
      </c>
      <c r="F182" s="175"/>
    </row>
    <row r="183" spans="1:6" ht="14.4">
      <c r="A183" s="174" t="s">
        <v>10</v>
      </c>
      <c r="B183" s="168">
        <v>28593</v>
      </c>
      <c r="C183" s="172" t="s">
        <v>316</v>
      </c>
      <c r="D183" s="179">
        <v>433.5</v>
      </c>
      <c r="E183" s="174" t="s">
        <v>80</v>
      </c>
      <c r="F183" s="175"/>
    </row>
    <row r="184" spans="1:6" ht="14.4">
      <c r="A184" s="174" t="s">
        <v>10</v>
      </c>
      <c r="B184" s="168">
        <v>6805</v>
      </c>
      <c r="C184" s="172" t="s">
        <v>318</v>
      </c>
      <c r="D184" s="179">
        <v>533.70000000000005</v>
      </c>
      <c r="E184" s="174" t="s">
        <v>80</v>
      </c>
      <c r="F184" s="175"/>
    </row>
    <row r="185" spans="1:6" ht="14.4">
      <c r="A185" s="174" t="s">
        <v>10</v>
      </c>
      <c r="B185" s="168">
        <v>40979</v>
      </c>
      <c r="C185" s="172" t="s">
        <v>320</v>
      </c>
      <c r="D185" s="179">
        <v>1520.96</v>
      </c>
      <c r="E185" s="174" t="s">
        <v>80</v>
      </c>
      <c r="F185" s="175"/>
    </row>
    <row r="186" spans="1:6" ht="14.4">
      <c r="A186" s="174" t="s">
        <v>10</v>
      </c>
      <c r="B186" s="168">
        <v>44665</v>
      </c>
      <c r="C186" s="172" t="s">
        <v>321</v>
      </c>
      <c r="D186" s="179">
        <v>241.86999999999998</v>
      </c>
      <c r="E186" s="174" t="s">
        <v>80</v>
      </c>
      <c r="F186" s="175"/>
    </row>
    <row r="187" spans="1:6" ht="14.4">
      <c r="A187" s="174" t="s">
        <v>10</v>
      </c>
      <c r="B187" s="168">
        <v>27076</v>
      </c>
      <c r="C187" s="172" t="s">
        <v>322</v>
      </c>
      <c r="D187" s="179">
        <v>198.95</v>
      </c>
      <c r="E187" s="174" t="s">
        <v>80</v>
      </c>
      <c r="F187" s="175"/>
    </row>
    <row r="188" spans="1:6" ht="14.4">
      <c r="A188" s="174" t="s">
        <v>10</v>
      </c>
      <c r="B188" s="169">
        <v>37882</v>
      </c>
      <c r="C188" s="172" t="s">
        <v>323</v>
      </c>
      <c r="D188" s="179">
        <v>778.79999800000007</v>
      </c>
      <c r="E188" s="174" t="s">
        <v>80</v>
      </c>
      <c r="F188" s="175"/>
    </row>
    <row r="189" spans="1:6" ht="14.4">
      <c r="A189" s="174" t="s">
        <v>10</v>
      </c>
      <c r="B189" s="168">
        <v>27660</v>
      </c>
      <c r="C189" s="172" t="s">
        <v>324</v>
      </c>
      <c r="D189" s="179">
        <v>249.45</v>
      </c>
      <c r="E189" s="174" t="s">
        <v>80</v>
      </c>
      <c r="F189" s="175"/>
    </row>
    <row r="190" spans="1:6" ht="14.4">
      <c r="A190" s="174" t="s">
        <v>10</v>
      </c>
      <c r="B190" s="168">
        <v>15850</v>
      </c>
      <c r="C190" s="172" t="s">
        <v>325</v>
      </c>
      <c r="D190" s="179">
        <v>1172.02</v>
      </c>
      <c r="E190" s="174" t="s">
        <v>80</v>
      </c>
      <c r="F190" s="175"/>
    </row>
    <row r="191" spans="1:6" ht="14.4">
      <c r="A191" s="174" t="s">
        <v>10</v>
      </c>
      <c r="B191" s="169">
        <v>24421</v>
      </c>
      <c r="C191" s="172" t="s">
        <v>326</v>
      </c>
      <c r="D191" s="179">
        <v>266.85000000000002</v>
      </c>
      <c r="E191" s="174" t="s">
        <v>80</v>
      </c>
      <c r="F191" s="175"/>
    </row>
    <row r="192" spans="1:6" ht="14.4">
      <c r="A192" s="174" t="s">
        <v>10</v>
      </c>
      <c r="B192" s="169">
        <v>43917</v>
      </c>
      <c r="C192" s="172" t="s">
        <v>327</v>
      </c>
      <c r="D192" s="179">
        <v>402.5</v>
      </c>
      <c r="E192" s="174" t="s">
        <v>80</v>
      </c>
      <c r="F192" s="175"/>
    </row>
    <row r="193" spans="1:6" ht="14.4">
      <c r="A193" s="174" t="s">
        <v>10</v>
      </c>
      <c r="B193" s="169">
        <v>37969</v>
      </c>
      <c r="C193" s="172" t="s">
        <v>328</v>
      </c>
      <c r="D193" s="179">
        <v>320.25</v>
      </c>
      <c r="E193" s="174" t="s">
        <v>80</v>
      </c>
      <c r="F193" s="175"/>
    </row>
    <row r="194" spans="1:6" ht="14.4">
      <c r="A194" s="174" t="s">
        <v>10</v>
      </c>
      <c r="B194" s="169">
        <v>31917</v>
      </c>
      <c r="C194" s="172" t="s">
        <v>329</v>
      </c>
      <c r="D194" s="179">
        <v>278</v>
      </c>
      <c r="E194" s="174" t="s">
        <v>80</v>
      </c>
      <c r="F194" s="175"/>
    </row>
    <row r="195" spans="1:6" ht="14.4">
      <c r="A195" s="174" t="s">
        <v>10</v>
      </c>
      <c r="B195" s="169">
        <v>28556</v>
      </c>
      <c r="C195" s="172" t="s">
        <v>330</v>
      </c>
      <c r="D195" s="179">
        <v>504.72</v>
      </c>
      <c r="E195" s="174" t="s">
        <v>80</v>
      </c>
      <c r="F195" s="175"/>
    </row>
    <row r="196" spans="1:6" ht="14.4">
      <c r="A196" s="174" t="s">
        <v>10</v>
      </c>
      <c r="B196" s="168">
        <v>43013</v>
      </c>
      <c r="C196" s="172" t="s">
        <v>197</v>
      </c>
      <c r="D196" s="179">
        <v>533.70000000000005</v>
      </c>
      <c r="E196" s="174" t="s">
        <v>81</v>
      </c>
      <c r="F196" s="175"/>
    </row>
    <row r="197" spans="1:6" ht="14.4">
      <c r="A197" s="174" t="s">
        <v>10</v>
      </c>
      <c r="B197" s="168">
        <v>38936</v>
      </c>
      <c r="C197" s="172" t="s">
        <v>198</v>
      </c>
      <c r="D197" s="179">
        <v>179.85</v>
      </c>
      <c r="E197" s="174" t="s">
        <v>81</v>
      </c>
      <c r="F197" s="175"/>
    </row>
    <row r="198" spans="1:6" ht="14.4">
      <c r="A198" s="174" t="s">
        <v>10</v>
      </c>
      <c r="B198" s="168">
        <v>7546</v>
      </c>
      <c r="C198" s="172" t="s">
        <v>199</v>
      </c>
      <c r="D198" s="179">
        <v>369.95</v>
      </c>
      <c r="E198" s="174" t="s">
        <v>81</v>
      </c>
      <c r="F198" s="175"/>
    </row>
    <row r="199" spans="1:6" ht="14.4">
      <c r="A199" s="174" t="s">
        <v>10</v>
      </c>
      <c r="B199" s="168">
        <v>34899</v>
      </c>
      <c r="C199" s="172" t="s">
        <v>200</v>
      </c>
      <c r="D199" s="179">
        <v>363.95</v>
      </c>
      <c r="E199" s="174" t="s">
        <v>81</v>
      </c>
      <c r="F199" s="175"/>
    </row>
    <row r="200" spans="1:6" ht="14.4">
      <c r="A200" s="174" t="s">
        <v>10</v>
      </c>
      <c r="B200" s="168">
        <v>25124</v>
      </c>
      <c r="C200" s="172" t="s">
        <v>201</v>
      </c>
      <c r="D200" s="179">
        <v>0</v>
      </c>
      <c r="E200" s="174" t="s">
        <v>81</v>
      </c>
      <c r="F200" s="175"/>
    </row>
    <row r="201" spans="1:6" ht="14.4">
      <c r="A201" s="174" t="s">
        <v>10</v>
      </c>
      <c r="B201" s="168">
        <v>25071</v>
      </c>
      <c r="C201" s="172" t="s">
        <v>202</v>
      </c>
      <c r="D201" s="179">
        <v>0</v>
      </c>
      <c r="E201" s="174" t="s">
        <v>81</v>
      </c>
      <c r="F201" s="175"/>
    </row>
    <row r="202" spans="1:6" ht="14.4">
      <c r="A202" s="174" t="s">
        <v>10</v>
      </c>
      <c r="B202" s="168">
        <v>40561</v>
      </c>
      <c r="C202" s="172" t="s">
        <v>203</v>
      </c>
      <c r="D202" s="179">
        <v>0</v>
      </c>
      <c r="E202" s="174" t="s">
        <v>81</v>
      </c>
      <c r="F202" s="175"/>
    </row>
    <row r="203" spans="1:6" ht="14.4">
      <c r="A203" s="174" t="s">
        <v>10</v>
      </c>
      <c r="B203" s="168">
        <v>44255</v>
      </c>
      <c r="C203" s="172" t="s">
        <v>204</v>
      </c>
      <c r="D203" s="179">
        <v>0</v>
      </c>
      <c r="E203" s="174" t="s">
        <v>81</v>
      </c>
      <c r="F203" s="175"/>
    </row>
    <row r="204" spans="1:6" ht="14.4">
      <c r="A204" s="174" t="s">
        <v>10</v>
      </c>
      <c r="B204" s="168">
        <v>38812</v>
      </c>
      <c r="C204" s="172" t="s">
        <v>206</v>
      </c>
      <c r="D204" s="179">
        <v>0</v>
      </c>
      <c r="E204" s="174" t="s">
        <v>81</v>
      </c>
      <c r="F204" s="175"/>
    </row>
    <row r="205" spans="1:6" ht="14.4">
      <c r="A205" s="174" t="s">
        <v>10</v>
      </c>
      <c r="B205" s="168">
        <v>39732</v>
      </c>
      <c r="C205" s="172" t="s">
        <v>207</v>
      </c>
      <c r="D205" s="179">
        <v>0</v>
      </c>
      <c r="E205" s="174" t="s">
        <v>81</v>
      </c>
      <c r="F205" s="175"/>
    </row>
    <row r="206" spans="1:6" ht="14.4">
      <c r="A206" s="174" t="s">
        <v>10</v>
      </c>
      <c r="B206" s="168">
        <v>35511</v>
      </c>
      <c r="C206" s="172" t="s">
        <v>208</v>
      </c>
      <c r="D206" s="179">
        <v>0</v>
      </c>
      <c r="E206" s="174" t="s">
        <v>81</v>
      </c>
      <c r="F206" s="175"/>
    </row>
    <row r="207" spans="1:6" ht="14.4">
      <c r="A207" s="174" t="s">
        <v>10</v>
      </c>
      <c r="B207" s="168">
        <v>29827</v>
      </c>
      <c r="C207" s="172" t="s">
        <v>209</v>
      </c>
      <c r="D207" s="179">
        <v>0</v>
      </c>
      <c r="E207" s="174" t="s">
        <v>81</v>
      </c>
      <c r="F207" s="175"/>
    </row>
    <row r="208" spans="1:6" ht="14.4">
      <c r="A208" s="174" t="s">
        <v>10</v>
      </c>
      <c r="B208" s="168">
        <v>32789</v>
      </c>
      <c r="C208" s="172" t="s">
        <v>210</v>
      </c>
      <c r="D208" s="179">
        <v>0</v>
      </c>
      <c r="E208" s="174" t="s">
        <v>81</v>
      </c>
      <c r="F208" s="175"/>
    </row>
    <row r="209" spans="1:6" ht="14.4">
      <c r="A209" s="174" t="s">
        <v>10</v>
      </c>
      <c r="B209" s="168">
        <v>43804</v>
      </c>
      <c r="C209" s="172" t="s">
        <v>211</v>
      </c>
      <c r="D209" s="179">
        <v>0</v>
      </c>
      <c r="E209" s="174" t="s">
        <v>81</v>
      </c>
      <c r="F209" s="175"/>
    </row>
    <row r="210" spans="1:6" ht="14.4">
      <c r="A210" s="174" t="s">
        <v>10</v>
      </c>
      <c r="B210" s="168">
        <v>42832</v>
      </c>
      <c r="C210" s="172" t="s">
        <v>213</v>
      </c>
      <c r="D210" s="179">
        <v>0</v>
      </c>
      <c r="E210" s="174" t="s">
        <v>81</v>
      </c>
      <c r="F210" s="175"/>
    </row>
    <row r="211" spans="1:6" ht="14.4">
      <c r="A211" s="174" t="s">
        <v>10</v>
      </c>
      <c r="B211" s="168">
        <v>39094</v>
      </c>
      <c r="C211" s="172" t="s">
        <v>214</v>
      </c>
      <c r="D211" s="179">
        <v>0</v>
      </c>
      <c r="E211" s="174" t="s">
        <v>81</v>
      </c>
      <c r="F211" s="175"/>
    </row>
    <row r="212" spans="1:6" ht="14.4">
      <c r="A212" s="174" t="s">
        <v>8</v>
      </c>
      <c r="B212" s="170">
        <v>40184</v>
      </c>
      <c r="C212" s="170" t="s">
        <v>219</v>
      </c>
      <c r="D212" s="180">
        <v>294</v>
      </c>
      <c r="E212" s="174" t="s">
        <v>80</v>
      </c>
      <c r="F212" s="175"/>
    </row>
    <row r="213" spans="1:6" ht="14.4">
      <c r="A213" s="174" t="s">
        <v>8</v>
      </c>
      <c r="B213" s="170">
        <v>43333</v>
      </c>
      <c r="C213" s="170" t="s">
        <v>225</v>
      </c>
      <c r="D213" s="180">
        <v>231.55</v>
      </c>
      <c r="E213" s="174" t="s">
        <v>80</v>
      </c>
      <c r="F213" s="175"/>
    </row>
    <row r="214" spans="1:6" ht="14.4">
      <c r="A214" s="174" t="s">
        <v>8</v>
      </c>
      <c r="B214" s="170">
        <v>41630</v>
      </c>
      <c r="C214" s="170" t="s">
        <v>229</v>
      </c>
      <c r="D214" s="180">
        <v>845</v>
      </c>
      <c r="E214" s="174" t="s">
        <v>80</v>
      </c>
      <c r="F214" s="175"/>
    </row>
    <row r="215" spans="1:6" ht="14.4">
      <c r="A215" s="174" t="s">
        <v>8</v>
      </c>
      <c r="B215" s="170">
        <v>26746</v>
      </c>
      <c r="C215" s="170" t="s">
        <v>161</v>
      </c>
      <c r="D215" s="180">
        <v>309.64999999999998</v>
      </c>
      <c r="E215" s="174" t="s">
        <v>81</v>
      </c>
      <c r="F215" s="175"/>
    </row>
    <row r="216" spans="1:6" ht="14.4">
      <c r="A216" s="174" t="s">
        <v>8</v>
      </c>
      <c r="B216" s="170">
        <v>42957</v>
      </c>
      <c r="C216" s="170" t="s">
        <v>162</v>
      </c>
      <c r="D216" s="180">
        <v>0</v>
      </c>
      <c r="E216" s="174" t="s">
        <v>81</v>
      </c>
      <c r="F216" s="175"/>
    </row>
    <row r="217" spans="1:6" ht="14.4">
      <c r="A217" s="174" t="s">
        <v>8</v>
      </c>
      <c r="B217" s="170">
        <v>29236</v>
      </c>
      <c r="C217" s="170" t="s">
        <v>163</v>
      </c>
      <c r="D217" s="180">
        <v>0</v>
      </c>
      <c r="E217" s="174" t="s">
        <v>81</v>
      </c>
      <c r="F217" s="175"/>
    </row>
    <row r="218" spans="1:6" ht="14.4">
      <c r="A218" s="174" t="s">
        <v>8</v>
      </c>
      <c r="B218" s="170">
        <v>44928</v>
      </c>
      <c r="C218" s="170" t="s">
        <v>164</v>
      </c>
      <c r="D218" s="180">
        <v>0</v>
      </c>
      <c r="E218" s="174" t="s">
        <v>81</v>
      </c>
      <c r="F218" s="175"/>
    </row>
    <row r="219" spans="1:6" ht="14.4">
      <c r="A219" s="174" t="s">
        <v>8</v>
      </c>
      <c r="B219" s="170">
        <v>38149</v>
      </c>
      <c r="C219" s="170" t="s">
        <v>165</v>
      </c>
      <c r="D219" s="180">
        <v>0</v>
      </c>
      <c r="E219" s="174" t="s">
        <v>81</v>
      </c>
      <c r="F219" s="175"/>
    </row>
    <row r="220" spans="1:6" ht="14.4">
      <c r="A220" s="174" t="s">
        <v>8</v>
      </c>
      <c r="B220" s="170">
        <v>34645</v>
      </c>
      <c r="C220" s="170" t="s">
        <v>167</v>
      </c>
      <c r="D220" s="180">
        <v>0</v>
      </c>
      <c r="E220" s="174" t="s">
        <v>81</v>
      </c>
      <c r="F220" s="175"/>
    </row>
    <row r="221" spans="1:6">
      <c r="A221" s="176"/>
      <c r="B221" s="176"/>
      <c r="C221" s="176"/>
      <c r="D221" s="181"/>
      <c r="E221" s="176"/>
    </row>
  </sheetData>
  <autoFilter ref="A1:E220" xr:uid="{70F87CC1-DCA0-4745-851E-B67F8CA3B2F2}"/>
  <phoneticPr fontId="57" type="noConversion"/>
  <conditionalFormatting sqref="B1:B1048576">
    <cfRule type="duplicateValues" dxfId="0" priority="4"/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8288-4445-457C-80C2-A9DB2D26F43A}">
  <dimension ref="A1:M32"/>
  <sheetViews>
    <sheetView showGridLines="0" topLeftCell="A12" workbookViewId="0">
      <selection activeCell="A7" sqref="A7:A10"/>
    </sheetView>
  </sheetViews>
  <sheetFormatPr defaultRowHeight="13.2"/>
  <cols>
    <col min="1" max="1" width="20" customWidth="1"/>
    <col min="2" max="2" width="28.109375" customWidth="1"/>
    <col min="9" max="9" width="9.109375" style="28"/>
    <col min="13" max="13" width="22" customWidth="1"/>
  </cols>
  <sheetData>
    <row r="1" spans="1:13">
      <c r="B1" s="11" t="s">
        <v>67</v>
      </c>
    </row>
    <row r="5" spans="1:13">
      <c r="A5" s="296" t="s">
        <v>68</v>
      </c>
      <c r="C5" t="s">
        <v>55</v>
      </c>
      <c r="D5" t="s">
        <v>6</v>
      </c>
      <c r="E5" t="s">
        <v>7</v>
      </c>
      <c r="F5" t="s">
        <v>56</v>
      </c>
      <c r="G5" t="s">
        <v>10</v>
      </c>
    </row>
    <row r="6" spans="1:13">
      <c r="A6" s="297"/>
      <c r="B6" s="16" t="s">
        <v>49</v>
      </c>
      <c r="C6" s="17">
        <v>8</v>
      </c>
      <c r="D6" s="17">
        <v>8</v>
      </c>
      <c r="E6" s="17">
        <v>8</v>
      </c>
      <c r="F6" s="17">
        <v>8</v>
      </c>
      <c r="G6" s="17">
        <v>8</v>
      </c>
      <c r="H6" s="17" t="s">
        <v>11</v>
      </c>
    </row>
    <row r="7" spans="1:13">
      <c r="A7" s="289" t="s">
        <v>69</v>
      </c>
      <c r="B7" s="44" t="s">
        <v>15</v>
      </c>
      <c r="C7" s="14">
        <v>146</v>
      </c>
      <c r="D7" s="14">
        <v>85</v>
      </c>
      <c r="E7" s="14">
        <v>79</v>
      </c>
      <c r="F7" s="14">
        <v>67</v>
      </c>
      <c r="G7" s="14">
        <v>41</v>
      </c>
      <c r="H7" s="24">
        <f>SUM(C7:G7)</f>
        <v>418</v>
      </c>
      <c r="I7" s="295">
        <f>SUM(H7:H10)</f>
        <v>944</v>
      </c>
    </row>
    <row r="8" spans="1:13">
      <c r="A8" s="290"/>
      <c r="B8" s="45" t="s">
        <v>16</v>
      </c>
      <c r="C8" s="12">
        <v>100</v>
      </c>
      <c r="D8" s="12">
        <v>47</v>
      </c>
      <c r="E8" s="12">
        <v>53</v>
      </c>
      <c r="F8" s="12">
        <v>59</v>
      </c>
      <c r="G8" s="12">
        <v>43</v>
      </c>
      <c r="H8" s="25">
        <f t="shared" ref="H8:H15" si="0">SUM(C8:G8)</f>
        <v>302</v>
      </c>
      <c r="I8" s="293"/>
    </row>
    <row r="9" spans="1:13">
      <c r="A9" s="290"/>
      <c r="B9" s="45" t="s">
        <v>17</v>
      </c>
      <c r="C9" s="12">
        <v>53</v>
      </c>
      <c r="D9" s="12">
        <v>47</v>
      </c>
      <c r="E9" s="12">
        <v>38</v>
      </c>
      <c r="F9" s="12">
        <v>41</v>
      </c>
      <c r="G9" s="12">
        <v>24</v>
      </c>
      <c r="H9" s="25">
        <f t="shared" si="0"/>
        <v>203</v>
      </c>
      <c r="I9" s="293"/>
    </row>
    <row r="10" spans="1:13">
      <c r="A10" s="298"/>
      <c r="B10" s="46" t="s">
        <v>18</v>
      </c>
      <c r="C10" s="19">
        <v>0</v>
      </c>
      <c r="D10" s="19">
        <v>0</v>
      </c>
      <c r="E10" s="19">
        <v>21</v>
      </c>
      <c r="F10" s="19">
        <v>0</v>
      </c>
      <c r="G10" s="19">
        <v>0</v>
      </c>
      <c r="H10" s="27">
        <f t="shared" si="0"/>
        <v>21</v>
      </c>
      <c r="I10" s="294"/>
      <c r="L10" s="292" t="s">
        <v>70</v>
      </c>
      <c r="M10" s="292"/>
    </row>
    <row r="11" spans="1:13">
      <c r="A11" s="289" t="s">
        <v>71</v>
      </c>
      <c r="B11" s="44" t="s">
        <v>51</v>
      </c>
      <c r="C11" s="18">
        <v>4</v>
      </c>
      <c r="D11" s="18">
        <v>10</v>
      </c>
      <c r="E11" s="18">
        <v>20</v>
      </c>
      <c r="F11" s="18">
        <v>15</v>
      </c>
      <c r="G11" s="18">
        <v>2</v>
      </c>
      <c r="H11" s="24">
        <f t="shared" si="0"/>
        <v>51</v>
      </c>
      <c r="I11" s="293">
        <f>SUM(H11:H15)</f>
        <v>129</v>
      </c>
      <c r="L11" s="4" t="s">
        <v>1</v>
      </c>
      <c r="M11" s="4" t="s">
        <v>3</v>
      </c>
    </row>
    <row r="12" spans="1:13">
      <c r="A12" s="290"/>
      <c r="B12" s="45" t="s">
        <v>52</v>
      </c>
      <c r="C12" s="13">
        <v>27</v>
      </c>
      <c r="D12" s="12">
        <v>8</v>
      </c>
      <c r="E12" s="12">
        <v>5</v>
      </c>
      <c r="F12" s="12">
        <v>7</v>
      </c>
      <c r="G12" s="12">
        <v>6</v>
      </c>
      <c r="H12" s="25">
        <f t="shared" si="0"/>
        <v>53</v>
      </c>
      <c r="I12" s="293"/>
      <c r="L12" s="45" t="s">
        <v>55</v>
      </c>
      <c r="M12" s="2">
        <v>8</v>
      </c>
    </row>
    <row r="13" spans="1:13">
      <c r="A13" s="290"/>
      <c r="B13" s="45" t="s">
        <v>72</v>
      </c>
      <c r="C13" s="13">
        <v>7</v>
      </c>
      <c r="D13" s="12">
        <v>2</v>
      </c>
      <c r="E13" s="12">
        <v>0</v>
      </c>
      <c r="F13" s="12">
        <v>3</v>
      </c>
      <c r="G13" s="12">
        <v>8</v>
      </c>
      <c r="H13" s="25">
        <f t="shared" si="0"/>
        <v>20</v>
      </c>
      <c r="I13" s="293"/>
      <c r="L13" s="45" t="s">
        <v>6</v>
      </c>
      <c r="M13" s="2">
        <v>5</v>
      </c>
    </row>
    <row r="14" spans="1:13">
      <c r="A14" s="290"/>
      <c r="B14" s="45" t="s">
        <v>73</v>
      </c>
      <c r="C14" s="13">
        <v>3</v>
      </c>
      <c r="D14" s="12">
        <v>0</v>
      </c>
      <c r="E14" s="12">
        <v>0</v>
      </c>
      <c r="F14" s="12">
        <v>0</v>
      </c>
      <c r="G14" s="12">
        <v>0</v>
      </c>
      <c r="H14" s="25">
        <f t="shared" si="0"/>
        <v>3</v>
      </c>
      <c r="I14" s="293"/>
      <c r="L14" s="45" t="s">
        <v>7</v>
      </c>
      <c r="M14" s="2">
        <v>2</v>
      </c>
    </row>
    <row r="15" spans="1:13">
      <c r="A15" s="291"/>
      <c r="B15" s="47" t="s">
        <v>23</v>
      </c>
      <c r="C15" s="15">
        <v>0</v>
      </c>
      <c r="D15" s="15">
        <v>0</v>
      </c>
      <c r="E15" s="15">
        <v>2</v>
      </c>
      <c r="F15" s="15">
        <v>0</v>
      </c>
      <c r="G15" s="15">
        <v>0</v>
      </c>
      <c r="H15" s="26">
        <f t="shared" si="0"/>
        <v>2</v>
      </c>
      <c r="I15" s="294"/>
      <c r="L15" s="45" t="s">
        <v>9</v>
      </c>
      <c r="M15" s="2">
        <v>9</v>
      </c>
    </row>
    <row r="16" spans="1:13">
      <c r="C16" s="10">
        <f>SUM(C7:C15)</f>
        <v>340</v>
      </c>
      <c r="D16" s="10">
        <f>SUM(D7:D15)</f>
        <v>199</v>
      </c>
      <c r="E16" s="10">
        <f>SUM(E7:E15)</f>
        <v>218</v>
      </c>
      <c r="F16" s="10">
        <f>SUM(F7:F15)</f>
        <v>192</v>
      </c>
      <c r="G16" s="10">
        <f>SUM(G7:G15)</f>
        <v>124</v>
      </c>
      <c r="H16">
        <f>SUM(C16:G16)</f>
        <v>1073</v>
      </c>
      <c r="L16" s="45" t="s">
        <v>10</v>
      </c>
      <c r="M16" s="2">
        <v>15</v>
      </c>
    </row>
    <row r="17" spans="1:13">
      <c r="L17" s="5" t="s">
        <v>11</v>
      </c>
      <c r="M17" s="1">
        <v>39</v>
      </c>
    </row>
    <row r="19" spans="1:13">
      <c r="A19" s="296" t="s">
        <v>74</v>
      </c>
      <c r="C19" t="s">
        <v>55</v>
      </c>
      <c r="D19" t="s">
        <v>6</v>
      </c>
      <c r="E19" t="s">
        <v>7</v>
      </c>
      <c r="F19" t="s">
        <v>56</v>
      </c>
      <c r="G19" t="s">
        <v>10</v>
      </c>
    </row>
    <row r="20" spans="1:13">
      <c r="A20" s="297"/>
      <c r="B20" s="8" t="s">
        <v>49</v>
      </c>
      <c r="C20" s="9">
        <v>17</v>
      </c>
      <c r="D20" s="9">
        <v>17</v>
      </c>
      <c r="E20" s="9">
        <v>17</v>
      </c>
      <c r="F20" s="9">
        <v>17</v>
      </c>
      <c r="G20" s="9">
        <v>17</v>
      </c>
      <c r="H20" s="17" t="s">
        <v>11</v>
      </c>
      <c r="L20" s="292" t="s">
        <v>75</v>
      </c>
      <c r="M20" s="292"/>
    </row>
    <row r="21" spans="1:13">
      <c r="A21" s="289" t="s">
        <v>76</v>
      </c>
      <c r="B21" s="44" t="s">
        <v>15</v>
      </c>
      <c r="C21" s="20">
        <v>156</v>
      </c>
      <c r="D21" s="20">
        <v>96</v>
      </c>
      <c r="E21" s="20">
        <v>83</v>
      </c>
      <c r="F21" s="20">
        <v>83</v>
      </c>
      <c r="G21" s="20">
        <v>54</v>
      </c>
      <c r="H21" s="24">
        <f>SUM(C21:G21)</f>
        <v>472</v>
      </c>
      <c r="I21" s="295">
        <f>SUM(H21:H24)</f>
        <v>808</v>
      </c>
      <c r="L21" s="29" t="s">
        <v>1</v>
      </c>
      <c r="M21" s="29" t="s">
        <v>2</v>
      </c>
    </row>
    <row r="22" spans="1:13">
      <c r="A22" s="290"/>
      <c r="B22" s="45" t="s">
        <v>16</v>
      </c>
      <c r="C22" s="7">
        <v>48</v>
      </c>
      <c r="D22" s="7">
        <v>59</v>
      </c>
      <c r="E22" s="7">
        <v>4</v>
      </c>
      <c r="F22" s="7">
        <v>15</v>
      </c>
      <c r="G22" s="7">
        <v>13</v>
      </c>
      <c r="H22" s="25">
        <f t="shared" ref="H22:H29" si="1">SUM(C22:G22)</f>
        <v>139</v>
      </c>
      <c r="I22" s="293"/>
      <c r="L22" s="45" t="s">
        <v>55</v>
      </c>
      <c r="M22" s="12">
        <v>360</v>
      </c>
    </row>
    <row r="23" spans="1:13">
      <c r="A23" s="290"/>
      <c r="B23" s="45" t="s">
        <v>17</v>
      </c>
      <c r="C23" s="7">
        <v>95</v>
      </c>
      <c r="D23" s="7">
        <v>11</v>
      </c>
      <c r="E23" s="7">
        <v>24</v>
      </c>
      <c r="F23" s="7">
        <v>31</v>
      </c>
      <c r="G23" s="7">
        <v>24</v>
      </c>
      <c r="H23" s="25">
        <f t="shared" si="1"/>
        <v>185</v>
      </c>
      <c r="I23" s="293"/>
      <c r="L23" s="45" t="s">
        <v>6</v>
      </c>
      <c r="M23" s="12">
        <v>197</v>
      </c>
    </row>
    <row r="24" spans="1:13">
      <c r="A24" s="298"/>
      <c r="B24" s="46" t="s">
        <v>18</v>
      </c>
      <c r="C24" s="23">
        <v>1</v>
      </c>
      <c r="D24" s="23">
        <v>0</v>
      </c>
      <c r="E24" s="23">
        <v>8</v>
      </c>
      <c r="F24" s="23">
        <v>0</v>
      </c>
      <c r="G24" s="23">
        <v>3</v>
      </c>
      <c r="H24" s="27">
        <f t="shared" si="1"/>
        <v>12</v>
      </c>
      <c r="I24" s="294"/>
      <c r="L24" s="45" t="s">
        <v>7</v>
      </c>
      <c r="M24" s="12">
        <v>218</v>
      </c>
    </row>
    <row r="25" spans="1:13">
      <c r="A25" s="289" t="s">
        <v>71</v>
      </c>
      <c r="B25" s="44" t="s">
        <v>51</v>
      </c>
      <c r="C25" s="22">
        <v>65</v>
      </c>
      <c r="D25" s="22">
        <v>47</v>
      </c>
      <c r="E25" s="22">
        <v>120</v>
      </c>
      <c r="F25" s="20">
        <v>56</v>
      </c>
      <c r="G25" s="20">
        <v>28</v>
      </c>
      <c r="H25" s="24">
        <f t="shared" si="1"/>
        <v>316</v>
      </c>
      <c r="I25" s="293">
        <f>SUM(H25:H29)</f>
        <v>546</v>
      </c>
      <c r="L25" s="45" t="s">
        <v>9</v>
      </c>
      <c r="M25" s="12">
        <v>187</v>
      </c>
    </row>
    <row r="26" spans="1:13">
      <c r="A26" s="290"/>
      <c r="B26" s="45" t="s">
        <v>52</v>
      </c>
      <c r="C26" s="7">
        <v>37</v>
      </c>
      <c r="D26" s="7">
        <v>17</v>
      </c>
      <c r="E26" s="7">
        <v>9</v>
      </c>
      <c r="F26" s="7">
        <v>15</v>
      </c>
      <c r="G26" s="7">
        <v>19</v>
      </c>
      <c r="H26" s="25">
        <f t="shared" si="1"/>
        <v>97</v>
      </c>
      <c r="I26" s="293"/>
      <c r="L26" s="45" t="s">
        <v>10</v>
      </c>
      <c r="M26" s="12">
        <v>112</v>
      </c>
    </row>
    <row r="27" spans="1:13">
      <c r="A27" s="290"/>
      <c r="B27" s="45" t="s">
        <v>72</v>
      </c>
      <c r="C27" s="7">
        <v>45</v>
      </c>
      <c r="D27" s="7">
        <v>13</v>
      </c>
      <c r="E27" s="7">
        <v>16</v>
      </c>
      <c r="F27" s="7">
        <v>19</v>
      </c>
      <c r="G27" s="7">
        <v>15</v>
      </c>
      <c r="H27" s="25">
        <f t="shared" si="1"/>
        <v>108</v>
      </c>
      <c r="I27" s="293"/>
      <c r="L27" s="6" t="s">
        <v>11</v>
      </c>
      <c r="M27" s="6">
        <f>SUM(M22:M26)</f>
        <v>1074</v>
      </c>
    </row>
    <row r="28" spans="1:13">
      <c r="A28" s="290"/>
      <c r="B28" s="45" t="s">
        <v>73</v>
      </c>
      <c r="C28" s="7">
        <v>4</v>
      </c>
      <c r="D28" s="7">
        <v>0</v>
      </c>
      <c r="E28" s="7">
        <v>1</v>
      </c>
      <c r="F28" s="7">
        <v>1</v>
      </c>
      <c r="G28" s="7">
        <v>1</v>
      </c>
      <c r="H28" s="25">
        <f t="shared" si="1"/>
        <v>7</v>
      </c>
      <c r="I28" s="293"/>
    </row>
    <row r="29" spans="1:13">
      <c r="A29" s="291"/>
      <c r="B29" s="47" t="s">
        <v>23</v>
      </c>
      <c r="C29" s="21">
        <v>5</v>
      </c>
      <c r="D29" s="21">
        <v>1</v>
      </c>
      <c r="E29" s="21">
        <v>10</v>
      </c>
      <c r="F29" s="21">
        <v>2</v>
      </c>
      <c r="G29" s="21">
        <v>0</v>
      </c>
      <c r="H29" s="26">
        <f t="shared" si="1"/>
        <v>18</v>
      </c>
      <c r="I29" s="294"/>
    </row>
    <row r="30" spans="1:13">
      <c r="C30" s="10">
        <f>SUM(C21:C29)</f>
        <v>456</v>
      </c>
      <c r="D30" s="10">
        <f>SUM(D21:D29)</f>
        <v>244</v>
      </c>
      <c r="E30" s="10">
        <f>SUM(E21:E29)</f>
        <v>275</v>
      </c>
      <c r="F30" s="10">
        <f>SUM(F21:F29)</f>
        <v>222</v>
      </c>
      <c r="G30" s="10">
        <f>SUM(G21:G29)</f>
        <v>157</v>
      </c>
      <c r="H30">
        <f>SUM(C30:G30)</f>
        <v>1354</v>
      </c>
    </row>
    <row r="32" spans="1:13">
      <c r="G32" s="11" t="s">
        <v>77</v>
      </c>
      <c r="H32" s="11">
        <f>H30-H16</f>
        <v>281</v>
      </c>
    </row>
  </sheetData>
  <mergeCells count="12">
    <mergeCell ref="A5:A6"/>
    <mergeCell ref="A19:A20"/>
    <mergeCell ref="A7:A10"/>
    <mergeCell ref="A11:A15"/>
    <mergeCell ref="A21:A24"/>
    <mergeCell ref="A25:A29"/>
    <mergeCell ref="L10:M10"/>
    <mergeCell ref="I11:I15"/>
    <mergeCell ref="I25:I29"/>
    <mergeCell ref="I7:I10"/>
    <mergeCell ref="I21:I24"/>
    <mergeCell ref="L20:M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Painel Geral - Abril</vt:lpstr>
      <vt:lpstr>Painel Geral - Maio </vt:lpstr>
      <vt:lpstr>Painel Geral - Junho</vt:lpstr>
      <vt:lpstr>EVOLUCAO DOS MESES</vt:lpstr>
      <vt:lpstr>Ariane</vt:lpstr>
      <vt:lpstr>Camila</vt:lpstr>
      <vt:lpstr>Cristielen</vt:lpstr>
      <vt:lpstr>Natalia</vt:lpstr>
      <vt:lpstr>Tatiana</vt:lpstr>
      <vt:lpstr>FATURAMENTO RECUPERACAO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</dc:creator>
  <cp:keywords/>
  <dc:description/>
  <cp:lastModifiedBy>Matheus de Freitas Echevarria</cp:lastModifiedBy>
  <cp:revision/>
  <dcterms:created xsi:type="dcterms:W3CDTF">2026-04-08T19:12:46Z</dcterms:created>
  <dcterms:modified xsi:type="dcterms:W3CDTF">2026-07-05T15:25:55Z</dcterms:modified>
  <cp:category/>
  <cp:contentStatus/>
</cp:coreProperties>
</file>
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projeto_recuperacao/"/>
    </mc:Choice>
  </mc:AlternateContent>
  <xr:revisionPtr revIDLastSave="58" documentId="8_{8E0FE364-25CB-463E-85D6-47CE8031AF55}" xr6:coauthVersionLast="47" xr6:coauthVersionMax="47" xr10:uidLastSave="{200B4275-B744-4B5F-991A-7DF04C3C78B7}"/>
  <bookViews>
    <workbookView xWindow="-108" yWindow="-108" windowWidth="23256" windowHeight="12456" firstSheet="2" activeTab="3" xr2:uid="{00000000-000D-0000-FFFF-FFFF00000000}"/>
  </bookViews>
  <sheets>
    <sheet name="Painel Geral - Abril" sheetId="22" r:id="rId1"/>
    <sheet name="Painel Geral - Maio " sheetId="23" r:id="rId2"/>
    <sheet name="Painel Geral - Junho" sheetId="10" r:id="rId3"/>
    <sheet name="EVOLUCAO DOS MESES" sheetId="20" r:id="rId4"/>
    <sheet name="Ariane" sheetId="14" state="hidden" r:id="rId5"/>
    <sheet name="Camila" sheetId="16" state="hidden" r:id="rId6"/>
    <sheet name="Cristielen" sheetId="17" state="hidden" r:id="rId7"/>
    <sheet name="Natalia" sheetId="18" state="hidden" r:id="rId8"/>
    <sheet name="Tatiana" sheetId="19" state="hidden" r:id="rId9"/>
    <sheet name="Painel Geral - Julho" sheetId="24" r:id="rId10"/>
    <sheet name="FATURAMENTO RECUPERACAO" sheetId="21" r:id="rId11"/>
    <sheet name="Planilha1" sheetId="11" state="hidden" r:id="rId12"/>
  </sheets>
  <definedNames>
    <definedName name="_xlnm._FilterDatabase" localSheetId="4" hidden="1">Ariane!$AA$2:$AH$2</definedName>
    <definedName name="_xlnm._FilterDatabase" localSheetId="5" hidden="1">Camila!$AA$2:$AH$2</definedName>
    <definedName name="_xlnm._FilterDatabase" localSheetId="6" hidden="1">Cristielen!$AA$2:$AH$2</definedName>
    <definedName name="_xlnm._FilterDatabase" localSheetId="10" hidden="1">'FATURAMENTO RECUPERACAO'!$A$1:$E$220</definedName>
    <definedName name="_xlnm._FilterDatabase" localSheetId="7" hidden="1">Natalia!$AA$2:$AH$2</definedName>
    <definedName name="_xlnm._FilterDatabase" localSheetId="2" hidden="1">'Painel Geral - Junho'!#REF!</definedName>
    <definedName name="_xlnm._FilterDatabase" localSheetId="8" hidden="1">Tatiana!$AA$2:$AH$2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20" l="1"/>
  <c r="C66" i="20"/>
  <c r="M46" i="20"/>
  <c r="L46" i="20"/>
  <c r="K40" i="20"/>
  <c r="K41" i="20"/>
  <c r="K42" i="20"/>
  <c r="K43" i="20"/>
  <c r="K45" i="20"/>
  <c r="K46" i="20"/>
  <c r="H46" i="20"/>
  <c r="H41" i="20"/>
  <c r="H42" i="20"/>
  <c r="H43" i="20"/>
  <c r="H45" i="20"/>
  <c r="H39" i="20"/>
  <c r="G46" i="20"/>
  <c r="F46" i="20"/>
  <c r="C46" i="20"/>
  <c r="E46" i="20" s="1"/>
  <c r="D46" i="20"/>
  <c r="E40" i="20"/>
  <c r="E41" i="20"/>
  <c r="E42" i="20"/>
  <c r="E43" i="20"/>
  <c r="E39" i="20"/>
  <c r="K24" i="20"/>
  <c r="K25" i="20"/>
  <c r="K26" i="20"/>
  <c r="K23" i="20"/>
  <c r="J26" i="20"/>
  <c r="J25" i="20"/>
  <c r="J24" i="20"/>
  <c r="J23" i="20"/>
  <c r="E26" i="20"/>
  <c r="E24" i="20"/>
  <c r="E25" i="20"/>
  <c r="E23" i="20"/>
  <c r="D26" i="20"/>
  <c r="D25" i="20"/>
  <c r="D24" i="20"/>
  <c r="D23" i="20"/>
  <c r="C26" i="20"/>
  <c r="C25" i="20"/>
  <c r="C24" i="20"/>
  <c r="C23" i="20"/>
  <c r="D17" i="20"/>
  <c r="D18" i="20"/>
  <c r="D19" i="20"/>
  <c r="C19" i="20"/>
  <c r="C18" i="20"/>
  <c r="C17" i="20"/>
  <c r="C16" i="20"/>
  <c r="C11" i="20"/>
  <c r="D11" i="20"/>
  <c r="E11" i="20"/>
  <c r="F11" i="20"/>
  <c r="C8" i="20"/>
  <c r="D8" i="20"/>
  <c r="E8" i="20"/>
  <c r="F8" i="20"/>
  <c r="N40" i="20"/>
  <c r="N41" i="20"/>
  <c r="N42" i="20"/>
  <c r="N43" i="20"/>
  <c r="N44" i="20"/>
  <c r="N45" i="20"/>
  <c r="N46" i="20"/>
  <c r="N39" i="20"/>
  <c r="F34" i="20"/>
  <c r="F30" i="20"/>
  <c r="C10" i="10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C37" i="23"/>
  <c r="D37" i="23" s="1"/>
  <c r="B37" i="23"/>
  <c r="C36" i="23"/>
  <c r="D36" i="23" s="1"/>
  <c r="B36" i="23"/>
  <c r="C35" i="23"/>
  <c r="D35" i="23" s="1"/>
  <c r="B35" i="23"/>
  <c r="C34" i="23"/>
  <c r="D34" i="23" s="1"/>
  <c r="B34" i="23"/>
  <c r="AB33" i="23"/>
  <c r="AB38" i="23" s="1"/>
  <c r="B33" i="23"/>
  <c r="B38" i="23" s="1"/>
  <c r="F28" i="23"/>
  <c r="E28" i="23"/>
  <c r="D28" i="23"/>
  <c r="C28" i="23"/>
  <c r="B28" i="23"/>
  <c r="G27" i="23"/>
  <c r="G26" i="23"/>
  <c r="G25" i="23"/>
  <c r="G24" i="23"/>
  <c r="G23" i="23"/>
  <c r="G22" i="23"/>
  <c r="G21" i="23"/>
  <c r="G19" i="23"/>
  <c r="G18" i="23"/>
  <c r="G17" i="23"/>
  <c r="G16" i="23"/>
  <c r="AR10" i="23"/>
  <c r="AQ10" i="23"/>
  <c r="AP10" i="23"/>
  <c r="AO10" i="23"/>
  <c r="AN10" i="23"/>
  <c r="AM10" i="23"/>
  <c r="AL10" i="23"/>
  <c r="AK10" i="23"/>
  <c r="AJ10" i="23"/>
  <c r="AI10" i="23"/>
  <c r="AH10" i="23"/>
  <c r="AG10" i="23"/>
  <c r="AF10" i="23"/>
  <c r="AE10" i="23"/>
  <c r="AD10" i="23"/>
  <c r="AC10" i="23"/>
  <c r="AB10" i="23"/>
  <c r="AA10" i="23"/>
  <c r="Z10" i="23"/>
  <c r="Y10" i="23"/>
  <c r="X10" i="23"/>
  <c r="W10" i="23"/>
  <c r="V10" i="23"/>
  <c r="U10" i="23"/>
  <c r="T10" i="23"/>
  <c r="S10" i="23"/>
  <c r="R10" i="23"/>
  <c r="Q10" i="23"/>
  <c r="P10" i="23"/>
  <c r="O10" i="23"/>
  <c r="N10" i="23"/>
  <c r="M10" i="23"/>
  <c r="L10" i="23"/>
  <c r="K10" i="23"/>
  <c r="J10" i="23"/>
  <c r="I10" i="23"/>
  <c r="H10" i="23"/>
  <c r="G10" i="23"/>
  <c r="F10" i="23"/>
  <c r="E10" i="23"/>
  <c r="C9" i="23"/>
  <c r="D9" i="23" s="1"/>
  <c r="B9" i="23"/>
  <c r="C8" i="23"/>
  <c r="B8" i="23"/>
  <c r="D8" i="23" s="1"/>
  <c r="C7" i="23"/>
  <c r="D7" i="23" s="1"/>
  <c r="B7" i="23"/>
  <c r="C6" i="23"/>
  <c r="D6" i="23" s="1"/>
  <c r="B6" i="23"/>
  <c r="B10" i="23" s="1"/>
  <c r="C5" i="23"/>
  <c r="C10" i="23" s="1"/>
  <c r="B5" i="23"/>
  <c r="E12" i="20" l="1"/>
  <c r="F31" i="20"/>
  <c r="F32" i="20"/>
  <c r="F35" i="20"/>
  <c r="F33" i="20"/>
  <c r="F12" i="20"/>
  <c r="D10" i="23"/>
  <c r="B11" i="23"/>
  <c r="B12" i="23"/>
  <c r="D5" i="23"/>
  <c r="C33" i="23"/>
  <c r="C62" i="20" l="1"/>
  <c r="D33" i="23"/>
  <c r="C38" i="23"/>
  <c r="D38" i="23" s="1"/>
  <c r="Z40" i="22" l="1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B40" i="22"/>
  <c r="C39" i="22"/>
  <c r="D39" i="22" s="1"/>
  <c r="C38" i="22"/>
  <c r="D38" i="22" s="1"/>
  <c r="C37" i="22"/>
  <c r="D37" i="22" s="1"/>
  <c r="C36" i="22"/>
  <c r="D36" i="22" s="1"/>
  <c r="C35" i="22"/>
  <c r="D35" i="22" s="1"/>
  <c r="F30" i="22"/>
  <c r="E30" i="22"/>
  <c r="D30" i="22"/>
  <c r="C30" i="22"/>
  <c r="B30" i="22"/>
  <c r="G29" i="22"/>
  <c r="G28" i="22"/>
  <c r="G27" i="22"/>
  <c r="G26" i="22"/>
  <c r="G25" i="22"/>
  <c r="G24" i="22"/>
  <c r="G23" i="22"/>
  <c r="G22" i="22"/>
  <c r="G21" i="22"/>
  <c r="G20" i="22"/>
  <c r="G18" i="22"/>
  <c r="G17" i="22"/>
  <c r="G16" i="22"/>
  <c r="G15" i="22"/>
  <c r="AR9" i="22"/>
  <c r="AQ9" i="22"/>
  <c r="AP9" i="22"/>
  <c r="AO9" i="22"/>
  <c r="AN9" i="22"/>
  <c r="AM9" i="22"/>
  <c r="AL9" i="22"/>
  <c r="AK9" i="22"/>
  <c r="AJ9" i="22"/>
  <c r="AI9" i="22"/>
  <c r="AH9" i="22"/>
  <c r="AG9" i="22"/>
  <c r="AF9" i="22"/>
  <c r="AE9" i="22"/>
  <c r="AD9" i="22"/>
  <c r="AC9" i="22"/>
  <c r="AB9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B9" i="22"/>
  <c r="C8" i="22"/>
  <c r="D8" i="22" s="1"/>
  <c r="C7" i="22"/>
  <c r="D7" i="22" s="1"/>
  <c r="C6" i="22"/>
  <c r="D6" i="22" s="1"/>
  <c r="C5" i="22"/>
  <c r="D5" i="22" s="1"/>
  <c r="C4" i="22"/>
  <c r="C9" i="22" l="1"/>
  <c r="B10" i="22"/>
  <c r="B11" i="22" s="1"/>
  <c r="D9" i="22"/>
  <c r="C40" i="22"/>
  <c r="D40" i="22" s="1"/>
  <c r="D4" i="22"/>
  <c r="E31" i="20" l="1"/>
  <c r="E32" i="20"/>
  <c r="B46" i="10" s="1"/>
  <c r="E33" i="20"/>
  <c r="B47" i="10" s="1"/>
  <c r="E34" i="20"/>
  <c r="B48" i="10" s="1"/>
  <c r="E35" i="20"/>
  <c r="B49" i="10" s="1"/>
  <c r="E30" i="20"/>
  <c r="B44" i="10" s="1"/>
  <c r="D31" i="20"/>
  <c r="D32" i="20"/>
  <c r="D33" i="20"/>
  <c r="D34" i="20"/>
  <c r="D35" i="20"/>
  <c r="D30" i="20"/>
  <c r="C30" i="20"/>
  <c r="C32" i="20"/>
  <c r="C33" i="20"/>
  <c r="B47" i="22" s="1"/>
  <c r="C34" i="20"/>
  <c r="C35" i="20"/>
  <c r="C31" i="20"/>
  <c r="C67" i="20"/>
  <c r="B2" i="10"/>
  <c r="D12" i="20"/>
  <c r="B2" i="23" s="1"/>
  <c r="C12" i="20"/>
  <c r="M27" i="11"/>
  <c r="H22" i="11"/>
  <c r="H23" i="11"/>
  <c r="H24" i="11"/>
  <c r="H25" i="11"/>
  <c r="H26" i="11"/>
  <c r="H27" i="11"/>
  <c r="H28" i="11"/>
  <c r="H29" i="11"/>
  <c r="H21" i="11"/>
  <c r="I21" i="11" s="1"/>
  <c r="H8" i="11"/>
  <c r="H9" i="11"/>
  <c r="H10" i="11"/>
  <c r="H11" i="11"/>
  <c r="H12" i="11"/>
  <c r="H13" i="11"/>
  <c r="H14" i="11"/>
  <c r="H15" i="11"/>
  <c r="H7" i="11"/>
  <c r="I7" i="11" s="1"/>
  <c r="G30" i="11"/>
  <c r="F30" i="11"/>
  <c r="E30" i="11"/>
  <c r="D30" i="11"/>
  <c r="C30" i="11"/>
  <c r="H30" i="11" s="1"/>
  <c r="G16" i="11"/>
  <c r="F16" i="11"/>
  <c r="E16" i="11"/>
  <c r="D16" i="11"/>
  <c r="C16" i="11"/>
  <c r="H16" i="11" s="1"/>
  <c r="B45" i="10" l="1"/>
  <c r="B50" i="10" s="1"/>
  <c r="G34" i="20"/>
  <c r="D51" i="20" s="1"/>
  <c r="G33" i="20"/>
  <c r="D55" i="20" s="1"/>
  <c r="B44" i="22"/>
  <c r="G30" i="20"/>
  <c r="D54" i="20" s="1"/>
  <c r="B45" i="22"/>
  <c r="G31" i="20"/>
  <c r="D52" i="20" s="1"/>
  <c r="B46" i="22"/>
  <c r="G32" i="20"/>
  <c r="D53" i="20" s="1"/>
  <c r="B49" i="22"/>
  <c r="G35" i="20"/>
  <c r="D50" i="20" s="1"/>
  <c r="B44" i="23"/>
  <c r="B46" i="23"/>
  <c r="B45" i="23"/>
  <c r="B49" i="23"/>
  <c r="B48" i="23"/>
  <c r="B47" i="23"/>
  <c r="B48" i="22"/>
  <c r="C60" i="20"/>
  <c r="C61" i="20"/>
  <c r="C59" i="20"/>
  <c r="H32" i="11"/>
  <c r="I11" i="11"/>
  <c r="I25" i="11"/>
  <c r="D61" i="20" l="1"/>
  <c r="D62" i="20"/>
  <c r="D60" i="20"/>
  <c r="B50" i="22"/>
  <c r="B50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tc={92AF0188-AF8F-437A-93FF-6CE35FF3AE8F}</author>
    <author>tc={87EEC17F-A377-4E73-9CA5-B2853704F35E}</author>
    <author>tc={1DA4D6C7-11D4-4C9E-9ADF-338040561A3A}</author>
    <author>tc={EDA04156-2E47-4289-9E90-416D04A8D72E}</author>
  </authors>
  <commentList>
    <comment ref="P35" authorId="0" shapeId="0" xr:uid="{46BBF290-91AC-4A16-9CFB-E2AA280B97B9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R35" authorId="1" shapeId="0" xr:uid="{5DE4189D-88C1-44EA-92FF-3E565367D328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Estava ausente no dia 23-4 quinta-feira</t>
        </r>
      </text>
    </comment>
    <comment ref="P36" authorId="2" shapeId="0" xr:uid="{75E3887D-9584-4F4F-86AF-7F4139A39ECC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Por conta da ausência da Anna, não conseguiu dar atenção do CRM. Ocorreu muitos problemas nas entregas da Anna em 23-4.</t>
        </r>
      </text>
    </comment>
    <comment ref="L38" authorId="3" shapeId="0" xr:uid="{4DBB6E04-12C5-438D-9D08-51CE0C16D3AD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Está de Folga em 20-4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tc={9621AC28-801A-4D64-99C7-91F18B3BDB75}</author>
    <author>tc={33BE1FFB-FDDA-4B3F-A8F8-624EEEC3628D}</author>
    <author>tc={6A847DE1-0ABF-44DC-96BE-84A355F46E97}</author>
    <author>tc={82B99570-C34F-4015-ABF4-6182A222862F}</author>
    <author>tc={136442F3-B454-45C5-8C5F-1BF912BCE939}</author>
  </authors>
  <commentList>
    <comment ref="AP34" authorId="0" shapeId="0" xr:uid="{B3C231E9-9D3C-4C7F-B603-23C47E53E8E2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outra lista, mas conseguiu bater a sua meta de contatos.</t>
        </r>
      </text>
    </comment>
    <comment ref="AB36" authorId="1" shapeId="0" xr:uid="{0D576315-861A-4171-B7C5-A2226A2AF5E7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D36" authorId="2" shapeId="0" xr:uid="{A5AB28C5-E76B-462B-B81F-531DDF5B6403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F36" authorId="3" shapeId="0" xr:uid="{53AECE93-147B-4B3C-A7F7-E69120F3BCFF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  <comment ref="AH36" authorId="4" shapeId="0" xr:uid="{2E205A84-B166-44D7-8FD0-96C9E61DCC16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tc={110EB2BA-EE12-4A9C-93B2-C753A07193CE}</author>
    <author>tc={596ABB47-70D4-46F5-A058-C2D8FC71DA00}</author>
    <author>tc={12217CA1-EE75-466D-8AC1-B512AF571836}</author>
    <author>tc={4A1C36D5-D063-4B03-A1E3-F9A60A439D30}</author>
    <author>tc={ADC094F8-93F0-4C7A-9967-253DC3480842}</author>
    <author>tc={3AFBAA46-DA48-43CC-A985-16F12C06064C}</author>
    <author>tc={94A9765C-382E-41B7-B3FE-188F1629B79C}</author>
    <author>tc={3C82105C-9F43-428D-A71B-E102B2635881}</author>
    <author>tc={08A637E7-8E81-4229-B448-3015AF2A88CC}</author>
    <author>tc={6900338A-6CA0-497B-B2EF-5A255D172477}</author>
    <author>tc={D9644057-1701-4477-AEA5-AF092045E589}</author>
    <author>tc={79F78E51-A178-4AE7-8B42-DA6DAFFEEE30}</author>
    <author>tc={657A8C87-DC61-4A23-8D1C-2D38D5F1BE12}</author>
    <author>tc={EF276022-B394-4A52-8308-51345081745B}</author>
  </authors>
  <commentList>
    <comment ref="AL33" authorId="0" shapeId="0" xr:uid="{110EB2BA-EE12-4A9C-93B2-C753A07193CE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Alta demanda não gerou tarefas.</t>
        </r>
      </text>
    </comment>
    <comment ref="R35" authorId="1" shapeId="0" xr:uid="{596ABB47-70D4-46F5-A058-C2D8FC71DA00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T35" authorId="2" shapeId="0" xr:uid="{12217CA1-EE75-466D-8AC1-B512AF571836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V35" authorId="3" shapeId="0" xr:uid="{4A1C36D5-D063-4B03-A1E3-F9A60A439D30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X35" authorId="4" shapeId="0" xr:uid="{ADC094F8-93F0-4C7A-9967-253DC3480842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Z35" authorId="5" shapeId="0" xr:uid="{3AFBAA46-DA48-43CC-A985-16F12C06064C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B35" authorId="6" shapeId="0" xr:uid="{94A9765C-382E-41B7-B3FE-188F1629B79C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D35" authorId="7" shapeId="0" xr:uid="{3C82105C-9F43-428D-A71B-E102B2635881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AF35" authorId="8" shapeId="0" xr:uid="{08A637E7-8E81-4229-B448-3015AF2A88CC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Ausente neste dia, motivo: saúde/filho.</t>
        </r>
      </text>
    </comment>
    <comment ref="F36" authorId="9" shapeId="0" xr:uid="{6900338A-6CA0-497B-B2EF-5A255D172477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H36" authorId="10" shapeId="0" xr:uid="{D9644057-1701-4477-AEA5-AF092045E589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J36" authorId="11" shapeId="0" xr:uid="{79F78E51-A178-4AE7-8B42-DA6DAFFEEE30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Focou em finalizar tarefas pendentes.</t>
        </r>
      </text>
    </comment>
    <comment ref="AP36" authorId="12" shapeId="0" xr:uid="{657A8C87-DC61-4A23-8D1C-2D38D5F1BE12}">
      <text>
        <r>
          <rPr>
            <sz val="10"/>
            <color rgb="FF000000"/>
            <rFont val="Arial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Folga 26/6
</t>
        </r>
      </text>
    </comment>
    <comment ref="R37" authorId="13" shapeId="0" xr:uid="{EF276022-B394-4A52-8308-51345081745B}">
      <text>
        <r>
          <rPr>
            <sz val="10"/>
            <color rgb="FF000000"/>
            <rFont val="Arial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Volume intenso na sua carteira de clientes.</t>
        </r>
      </text>
    </comment>
  </commentList>
</comments>
</file>

<file path=xl/sharedStrings.xml><?xml version="1.0" encoding="utf-8"?>
<sst xmlns="http://schemas.openxmlformats.org/spreadsheetml/2006/main" count="1919" uniqueCount="375">
  <si>
    <t>META RECUPERAÇÃO</t>
  </si>
  <si>
    <t>Profissional</t>
  </si>
  <si>
    <t>Meta</t>
  </si>
  <si>
    <t>Realizado</t>
  </si>
  <si>
    <t>%</t>
  </si>
  <si>
    <t>Real</t>
  </si>
  <si>
    <t>Ariane</t>
  </si>
  <si>
    <t>Camila</t>
  </si>
  <si>
    <t>Cristielen</t>
  </si>
  <si>
    <t>Natália</t>
  </si>
  <si>
    <t>Tatiana</t>
  </si>
  <si>
    <t>Total</t>
  </si>
  <si>
    <t>Conversão Total (Televendas + RCA)</t>
  </si>
  <si>
    <t>Excedente</t>
  </si>
  <si>
    <t>Faixa de Inatividade</t>
  </si>
  <si>
    <t>45 a 59 Risco</t>
  </si>
  <si>
    <t>60 a 74 Atenção</t>
  </si>
  <si>
    <t>75 a 84 Crítico</t>
  </si>
  <si>
    <t>85 a 90 Urgente</t>
  </si>
  <si>
    <t>Motivos</t>
  </si>
  <si>
    <t>Não atendeu/Não retornou</t>
  </si>
  <si>
    <t>Contatos Efetivo</t>
  </si>
  <si>
    <t>Baixado/Outros</t>
  </si>
  <si>
    <t>Ativo por temporada</t>
  </si>
  <si>
    <t>Conversão / Venda RCA Externo</t>
  </si>
  <si>
    <t>Telefone incorreto</t>
  </si>
  <si>
    <t>Problema Financeiro</t>
  </si>
  <si>
    <t xml:space="preserve">META CONTATOS </t>
  </si>
  <si>
    <t>Semana 1</t>
  </si>
  <si>
    <t>Semana 2</t>
  </si>
  <si>
    <t>Semana 3</t>
  </si>
  <si>
    <t>Semana 4</t>
  </si>
  <si>
    <t>Semana 5</t>
  </si>
  <si>
    <t>Qtdade</t>
  </si>
  <si>
    <t>ID:</t>
  </si>
  <si>
    <t>Nova Venda</t>
  </si>
  <si>
    <t>Valor</t>
  </si>
  <si>
    <t>Penultima venda</t>
  </si>
  <si>
    <t>RCA</t>
  </si>
  <si>
    <t>Prazo</t>
  </si>
  <si>
    <t>Moacir</t>
  </si>
  <si>
    <t>Meta Conversão</t>
  </si>
  <si>
    <t>s</t>
  </si>
  <si>
    <t>t</t>
  </si>
  <si>
    <t>q</t>
  </si>
  <si>
    <t>Lauren</t>
  </si>
  <si>
    <t>Conversão</t>
  </si>
  <si>
    <t>André</t>
  </si>
  <si>
    <t>Henrique</t>
  </si>
  <si>
    <t>Item</t>
  </si>
  <si>
    <t>Douglas</t>
  </si>
  <si>
    <t>Não atendeu</t>
  </si>
  <si>
    <t>Contato Efetivo</t>
  </si>
  <si>
    <t>Meta Contato</t>
  </si>
  <si>
    <t>P</t>
  </si>
  <si>
    <t>Anna</t>
  </si>
  <si>
    <t>Natalia</t>
  </si>
  <si>
    <t>Larissa</t>
  </si>
  <si>
    <t>Rose</t>
  </si>
  <si>
    <t>Franciele</t>
  </si>
  <si>
    <t>Jairo</t>
  </si>
  <si>
    <t>Eduarda</t>
  </si>
  <si>
    <t>Elisiane</t>
  </si>
  <si>
    <t>Renata</t>
  </si>
  <si>
    <t>Andreia</t>
  </si>
  <si>
    <t>Evandro</t>
  </si>
  <si>
    <t>Ulisses</t>
  </si>
  <si>
    <t>Comparação do dia 8 para 17/4</t>
  </si>
  <si>
    <t>POSIÇÃO 8/4</t>
  </si>
  <si>
    <t>Entrou</t>
  </si>
  <si>
    <t>META CONVERSÃO FEITA</t>
  </si>
  <si>
    <t>Foi trabalhado</t>
  </si>
  <si>
    <t>Baixado Bloqueado/Prob Financeiro</t>
  </si>
  <si>
    <t>Pedido Mínimo</t>
  </si>
  <si>
    <t>POSIÇÃO 17/4</t>
  </si>
  <si>
    <t>META LIGAÇÃO/MENSAGEM</t>
  </si>
  <si>
    <t>Ataulizou entrou</t>
  </si>
  <si>
    <t>NOVOS</t>
  </si>
  <si>
    <t>Indicador</t>
  </si>
  <si>
    <t>Abril</t>
  </si>
  <si>
    <t>Maio</t>
  </si>
  <si>
    <t>Junho</t>
  </si>
  <si>
    <t>Conversões Totais</t>
  </si>
  <si>
    <t>Excedente / GAP</t>
  </si>
  <si>
    <t>Meta de Contatos</t>
  </si>
  <si>
    <t>Contatos Realizados</t>
  </si>
  <si>
    <t>Valor Recuperado</t>
  </si>
  <si>
    <t>Mês</t>
  </si>
  <si>
    <t>Conversões</t>
  </si>
  <si>
    <t>Variação</t>
  </si>
  <si>
    <t>-</t>
  </si>
  <si>
    <t>Atingiu?</t>
  </si>
  <si>
    <t>Não</t>
  </si>
  <si>
    <t>Sim</t>
  </si>
  <si>
    <t>Posição</t>
  </si>
  <si>
    <t>Resultado</t>
  </si>
  <si>
    <t>RESUMO</t>
  </si>
  <si>
    <t>CONTATOS</t>
  </si>
  <si>
    <t>VALOR RECUPERADO POR MÊS</t>
  </si>
  <si>
    <t>RANKING FINANCEIRO DO TRIMESTRE</t>
  </si>
  <si>
    <t>EVOLUÇÃO FINANCEIRA</t>
  </si>
  <si>
    <t>RESUMO DO TRIMESTRE</t>
  </si>
  <si>
    <t>Meta de Clientes Recuperados</t>
  </si>
  <si>
    <t>Realizado de Clientes Recuperados</t>
  </si>
  <si>
    <t>% Meta Recuperados</t>
  </si>
  <si>
    <t>% Meta Contato</t>
  </si>
  <si>
    <t>CONVERSÕES ( Tele + RCAs )</t>
  </si>
  <si>
    <t>RECUPERADOS</t>
  </si>
  <si>
    <t>Totais Recuperados</t>
  </si>
  <si>
    <t>RECUPERADOS POR RCA</t>
  </si>
  <si>
    <t>Painel CRM - Abril</t>
  </si>
  <si>
    <t>Painel CRM - Maio</t>
  </si>
  <si>
    <t>Painel CRM - Junho</t>
  </si>
  <si>
    <t>META</t>
  </si>
  <si>
    <t>REAL</t>
  </si>
  <si>
    <r>
      <t xml:space="preserve">Contatos Realizados- </t>
    </r>
    <r>
      <rPr>
        <b/>
        <sz val="8"/>
        <color rgb="FFFF0000"/>
        <rFont val="Arial"/>
        <family val="2"/>
        <scheme val="minor"/>
      </rPr>
      <t>CONTROLE META</t>
    </r>
  </si>
  <si>
    <t>Alexsandro</t>
  </si>
  <si>
    <t>xx</t>
  </si>
  <si>
    <t>Esteio</t>
  </si>
  <si>
    <t>MARCOS OLIVEIRA RODRIGUES</t>
  </si>
  <si>
    <t>47.829.257 CAROLINE DE OLIVEIRA FIGUEIRO</t>
  </si>
  <si>
    <t>ANGELICA DA COSTA SCHUMACHER</t>
  </si>
  <si>
    <t>LUANA DA CUNHA LEGEMANN</t>
  </si>
  <si>
    <t>TAMIRIS MAGALHAES DE OLIVEIRA</t>
  </si>
  <si>
    <t>26.553.758 JOICY BOTELHO MEDEIROS</t>
  </si>
  <si>
    <t>60.588.164 DIELI MARIANO ANTUNES</t>
  </si>
  <si>
    <t>58.961.833 ERICK DA SILVA DUARTE</t>
  </si>
  <si>
    <t>ADAO MESQUITA MENDES</t>
  </si>
  <si>
    <t>ANA MARTINS SODRE</t>
  </si>
  <si>
    <t>COMERCIO SABIO LTDA</t>
  </si>
  <si>
    <t>LUANA POGORZELSKI WEBER</t>
  </si>
  <si>
    <t>CLEONICE SILVA CAMEJO KLOECKNER</t>
  </si>
  <si>
    <t>50.494.223 VIVIANE JACQUES GOMES JARDIM</t>
  </si>
  <si>
    <t>NADIA GOMES BITTENCOURT ZEFERINO</t>
  </si>
  <si>
    <t>P P DE LEON ANAN LTDA</t>
  </si>
  <si>
    <t>PEDRO A VON MUHLEN &amp; CIA LTDA</t>
  </si>
  <si>
    <t>NICK SOUZA FARIAS</t>
  </si>
  <si>
    <t>DALVA SCHEFFER HOMEM</t>
  </si>
  <si>
    <t>JADIANE DE SOUZA MIRANDA</t>
  </si>
  <si>
    <t>CLAUDIO LUIZ ANTONIO DA SILVA</t>
  </si>
  <si>
    <t>ROSELE MEDINA GASQUE</t>
  </si>
  <si>
    <t>CLIENTE</t>
  </si>
  <si>
    <t>58.161.664 SIMONE CARVALHO DA SILVA</t>
  </si>
  <si>
    <t>CATIA MICHELE BONILHA PINTO</t>
  </si>
  <si>
    <t>MARCELO SPALDING SCHUMACHER</t>
  </si>
  <si>
    <t>40.327.341 FABIANO DUTRA MELLO</t>
  </si>
  <si>
    <t>27.694.894 CLAUDETE LAVI MARQUES</t>
  </si>
  <si>
    <t>62.638.466 LUANA TAIS DA ROCHA RIBEIRO</t>
  </si>
  <si>
    <t>PERETTO COMERCIO DE ALIMENTOS LTDA</t>
  </si>
  <si>
    <t>BROTHERS CAFETERIA LTDA</t>
  </si>
  <si>
    <t>63.837.950 LUCAS SANTOS CRUZ</t>
  </si>
  <si>
    <t>CATHERINE OKCHSTEIN KELBERT 78874645015</t>
  </si>
  <si>
    <t>TANIA LIMA DA COSTA 47171812049</t>
  </si>
  <si>
    <t>MOACIR DOMINGOS MOCELLIN</t>
  </si>
  <si>
    <t>SUL BEER BAR LTDA</t>
  </si>
  <si>
    <t>60.267.140 KESIA TELLES RODRIGUES CHAVES</t>
  </si>
  <si>
    <t>JONAS MENDES VIEIRA</t>
  </si>
  <si>
    <t>57.087.406 RODRIGO RAMOS FORTUNATO</t>
  </si>
  <si>
    <t>JULIA MACHADO FERREIRA</t>
  </si>
  <si>
    <t>ROSELENE CARVALHO BIBIANO</t>
  </si>
  <si>
    <t>SINGULAR GOURMET GASTRONOMIA LTDA</t>
  </si>
  <si>
    <t>56.356.834 SABRINA VITORIA OLIVEIRA DA SILVA</t>
  </si>
  <si>
    <t>CAROLAINE MACHADO</t>
  </si>
  <si>
    <t>LUCILENE BATISTA DE OLIVEIRA</t>
  </si>
  <si>
    <t>BRUNO TELLES CAMARGO</t>
  </si>
  <si>
    <t>SCARTEZZINI E GRIEBELER LTDA</t>
  </si>
  <si>
    <t>SANDRO DE OLIVEIRA TORMAN</t>
  </si>
  <si>
    <t>GIOVANA BORTOLOTTI LTDA</t>
  </si>
  <si>
    <t>FABIANE SANTOS CARVALHO</t>
  </si>
  <si>
    <t>EMILENE DA SILVA RAMOS</t>
  </si>
  <si>
    <t>54.188.182 NEUZA MARIA NAZARIO DOS SANTOS</t>
  </si>
  <si>
    <t>DARCIRIO PEREIRA DOS SANTOS JUNIOR</t>
  </si>
  <si>
    <t>DARLEI MOREIRA</t>
  </si>
  <si>
    <t>SCHAEFER SORVETERIA LTDA</t>
  </si>
  <si>
    <t>27.921.852 ANIR JOVENIL FAOTTO</t>
  </si>
  <si>
    <t>VILMAR FRANCISCO DE INHAIA</t>
  </si>
  <si>
    <t>JULIO CESAR VIANA PRATES 43984363087</t>
  </si>
  <si>
    <t>LUCAS WILLIAN DE MOURA MACHADO</t>
  </si>
  <si>
    <t>VIVIANE BASTOS COSTAS</t>
  </si>
  <si>
    <t>53.660.499 MIRTENES GOMES MENEZES</t>
  </si>
  <si>
    <t>ACALENTO NUCLEO DE EDUCACAO INFANTIL LTDA</t>
  </si>
  <si>
    <t>57.081.732 EVELIN EDUARDA SESTHERAIM</t>
  </si>
  <si>
    <t>51.971.735 MONICA CRISTIANE ALVES</t>
  </si>
  <si>
    <t>LISANDRA MARIA LUDWIG</t>
  </si>
  <si>
    <t>62.668.950 ANA PAULA DA SILVA</t>
  </si>
  <si>
    <t/>
  </si>
  <si>
    <t>COMERCIAL DE ALIMENTOS FRANGO NO POTE LIVRAMENTO LTDA</t>
  </si>
  <si>
    <t>CARMEN BORGES</t>
  </si>
  <si>
    <t>TIAGO SANTOS DE PAULA 02799573002</t>
  </si>
  <si>
    <t>12.683.141 CATLEN CHAIANA DA SILVA TEIXE</t>
  </si>
  <si>
    <t>RAFAEL FRANCO DOS SANTOS</t>
  </si>
  <si>
    <t>LANCHONETE VRM LTDA</t>
  </si>
  <si>
    <t>MASTER PIZZA PIZZARIA LTDA</t>
  </si>
  <si>
    <t>62.199.517 CLAUDIMARA VICENTINA DE CARVALHO BEISE</t>
  </si>
  <si>
    <t>46.445.588 MEIRY JANE FARIAS NEGIDIO</t>
  </si>
  <si>
    <t>ROSALINA RIBEIRO GOES VAZZATA 9798472802</t>
  </si>
  <si>
    <t>CASA DI PAOLO GALETO E GRELHADOS BENTO EIRELI</t>
  </si>
  <si>
    <t>RESTAURANTE SAN GENNARO LTDA</t>
  </si>
  <si>
    <t>AIRTON J.C. DE FARIAS</t>
  </si>
  <si>
    <t>JISIANE DA SILVA FONSECA</t>
  </si>
  <si>
    <t>BEAR ICE GELO EM CUBOS LTDA</t>
  </si>
  <si>
    <t>63.126.225 REGIS PEREIRA DE LIMA</t>
  </si>
  <si>
    <t>CAMILA MACHADO ELICKER 00477725066</t>
  </si>
  <si>
    <t>DANIEL JOSE OLIVEIRA DE OLIVEIRA</t>
  </si>
  <si>
    <t>57.953.114 RAFAEL LIMA DE OLIVEIRA</t>
  </si>
  <si>
    <t>LUIZ TORALES</t>
  </si>
  <si>
    <t>JOTANIL COMERCIO DE ALIMENTOS LTDA</t>
  </si>
  <si>
    <t>CRISTIANE TELES VIEIRA LTDA</t>
  </si>
  <si>
    <t>LUIS FERNANDO SILVA HENRIQUE 00868555061</t>
  </si>
  <si>
    <t>JUCA LANCHES LTDA ME</t>
  </si>
  <si>
    <t>14.409.681 FERNANDO LUDWIG DE BITENCOURT</t>
  </si>
  <si>
    <t>JAQUELINE DA SILVA</t>
  </si>
  <si>
    <t>CLIENTES</t>
  </si>
  <si>
    <t>GIULIANO WROBLESKI DE ALMEIDA</t>
  </si>
  <si>
    <t>SIMONE MARIA DA COSTA SOARES 71508686068</t>
  </si>
  <si>
    <t>DORNELLES &amp; DORNELLES LTDA</t>
  </si>
  <si>
    <t>ANA RUTH PEREIRA DA VEIGA</t>
  </si>
  <si>
    <t>RAYSSA VITORIA DE FREITAS SILVA</t>
  </si>
  <si>
    <t>JOCELI MARTINS</t>
  </si>
  <si>
    <t>60.160.620 TATIANE PINHEIRO FURTADO DE OLIVEIRA</t>
  </si>
  <si>
    <t>50.531.220 DOUGLAS CARVALHO GARCIA DA SILVA</t>
  </si>
  <si>
    <t>NATHALIA SOUZA TASSONI</t>
  </si>
  <si>
    <t>62.816.739 TIAGO DA COSTA BORGES</t>
  </si>
  <si>
    <t>VITORIA DA SILVA GUTIERREZ</t>
  </si>
  <si>
    <t>CAFE DA PRAIA RESTAURANTE E CAFETERIA LT</t>
  </si>
  <si>
    <t>DOMENICO FOOD LTDA</t>
  </si>
  <si>
    <t>60.313.027 DIEGO MANOEL DA SILVA</t>
  </si>
  <si>
    <t>MARCELO LIGABUE LANCHES</t>
  </si>
  <si>
    <t>NEIVA TEREZINHA PEREIRA</t>
  </si>
  <si>
    <t>MONICA DIAS DA SILVA</t>
  </si>
  <si>
    <t>KAUE SILVA</t>
  </si>
  <si>
    <t>49.146.914 GIULLIANO BONNEMBERG CAMARGO DA SILVA</t>
  </si>
  <si>
    <t>RAIZ RESTAURANTE LTDA</t>
  </si>
  <si>
    <t>63.201.191 JULIANO SILVA SOUZA</t>
  </si>
  <si>
    <t>63.389.815 TAINARA LOPES MONTEIRO</t>
  </si>
  <si>
    <t>48.380.544 ROZEMERY MARTINS DE SOUZA</t>
  </si>
  <si>
    <t>48.972.716 ADRIANA LUIZA ELSENBACK DA SILVA</t>
  </si>
  <si>
    <t>HOSPITAL BDW POA LTDA</t>
  </si>
  <si>
    <t>ELISANGELA ROSCA MARIANO</t>
  </si>
  <si>
    <t>62.220.880 DIENEFER TAINARA FROS DA LUZ</t>
  </si>
  <si>
    <t>BISTRO GAIA COZINHA CRIATIVA LTDA</t>
  </si>
  <si>
    <t>MARCOS CATAFESTA DA SILVA 29550793087</t>
  </si>
  <si>
    <t>MICHELE FROS ARAUJO 02613129018</t>
  </si>
  <si>
    <t>28.679.102 MANOEL DIEGO MORAIS GAUTERIO</t>
  </si>
  <si>
    <t>ROBERTA GRAZIANE DA SILVA</t>
  </si>
  <si>
    <t>MIATTO CAFE LTDA</t>
  </si>
  <si>
    <t>PITANGA ESCOLA DE EDUCAC?O INFANTIL LTDA</t>
  </si>
  <si>
    <t>JOSIENE SILVA MESQUITA</t>
  </si>
  <si>
    <t>44.571.711 ADRIANA GOMES DE AVILA</t>
  </si>
  <si>
    <t>ANDRE REY MOLLER</t>
  </si>
  <si>
    <t>47.801.176 PAULO ROBERTO VARGAS DE OLIVEIRA</t>
  </si>
  <si>
    <t>LANCHERIA BOM SABOR LTDA</t>
  </si>
  <si>
    <t>40.199.704 GUILHERME PERES LEAL</t>
  </si>
  <si>
    <t>FERNANDA CACERES</t>
  </si>
  <si>
    <t>ALECSANDRO SILVEIRA CRISTOV?O</t>
  </si>
  <si>
    <t>MINIMERCADO PAI E FILHO</t>
  </si>
  <si>
    <t>SARA MADALENA SILVA DE SOUZA</t>
  </si>
  <si>
    <t>MADU FOODS LTDA</t>
  </si>
  <si>
    <t>ARTE EM PAO PADARIA LTDA</t>
  </si>
  <si>
    <t>52.636.111 LUIZ AMPESSAN JUNIOR</t>
  </si>
  <si>
    <t>BAR E LANCHERIA REALEZA EIRELI</t>
  </si>
  <si>
    <t>ANDRESSA VARGAS DE AZEVEDO</t>
  </si>
  <si>
    <t>60.426.891 YSMAEL SIQUEIRA SILVA DA SILVA</t>
  </si>
  <si>
    <t>49.363.694 ANTONIO GELSON DE OLIVEIRA AR</t>
  </si>
  <si>
    <t>CONFEITARIA ZONA SUL LTDA</t>
  </si>
  <si>
    <t>57.274.207 BRUNA NASCIMENTO SILVA</t>
  </si>
  <si>
    <t>ALEXIA PIETRA MEDEIROS</t>
  </si>
  <si>
    <t>DIOVANI DA SILVA</t>
  </si>
  <si>
    <t>LANCHONETE O SANTO LTDA</t>
  </si>
  <si>
    <t>ELDER YURI CUNHA LOPES 04484948095</t>
  </si>
  <si>
    <t>JOSE CARLOS DE OLIVEIRA</t>
  </si>
  <si>
    <t>TALISSON SASSO HOMEM</t>
  </si>
  <si>
    <t>44.109.137 EZEQUIEL DOS SANTOS</t>
  </si>
  <si>
    <t>GONI CONSULTORIA LTDA</t>
  </si>
  <si>
    <t>36.020.214 BRUNA TERESINHA MENDES RENE D</t>
  </si>
  <si>
    <t>DOUGLAS DE MORAES HOMEM</t>
  </si>
  <si>
    <t>CLAUDETE MLLER ENGELMANN</t>
  </si>
  <si>
    <t>ANGELICA BLANGER JORDON</t>
  </si>
  <si>
    <t>ACF COMERCIO DE ALIMENTOS LTDA</t>
  </si>
  <si>
    <t>ANDREW TAROUCO MONTIEL</t>
  </si>
  <si>
    <t>OFICINA DOS SONHOS CASA DE FESTAS LTDA</t>
  </si>
  <si>
    <t>JO?O BATISTA PEREIRA DA SILVA</t>
  </si>
  <si>
    <t>TAFAIEL HENRIQUE DAL CASTEL</t>
  </si>
  <si>
    <t>ASSOCIACAO DE ASSISTENCIA SOCIAL BOM PAS</t>
  </si>
  <si>
    <t>LERIDA KARINA DA COSTA MORAES</t>
  </si>
  <si>
    <t>56.127.975 JOELMA ARAUJO FAGUNDES</t>
  </si>
  <si>
    <t>LUCIANE TERESINHA BORGES 83405240034</t>
  </si>
  <si>
    <t>CABO HORN BAR LTDA</t>
  </si>
  <si>
    <t>63.411.527 LUCIANO GARCIA CARVALHO</t>
  </si>
  <si>
    <t>LAURECI AVILA MASSENA</t>
  </si>
  <si>
    <t>F T M COMERCIO DE BEBIDAS LTDA</t>
  </si>
  <si>
    <t>DIEGO BATISTA MOREIRA</t>
  </si>
  <si>
    <t>ANDREW SILVA DE MELO</t>
  </si>
  <si>
    <t>MIRIAN VERARDI DE SOUZA</t>
  </si>
  <si>
    <t>JANA RICARDO DE PAULA</t>
  </si>
  <si>
    <t>KELLY SOARES BORGES</t>
  </si>
  <si>
    <t>CLAUDIA LISBOA</t>
  </si>
  <si>
    <t>SUZANA MOTTA BRAGA PACHECO</t>
  </si>
  <si>
    <t>EVALDO SOUZA DE OLIVEIRA 66786240097</t>
  </si>
  <si>
    <t>IONE DE FATIMA SANTOS ROSA</t>
  </si>
  <si>
    <t>ELIVONE DA SILVA FORTE</t>
  </si>
  <si>
    <t>ELENICE NOGUEIRA DOMINGUES KONRADT 01936202000</t>
  </si>
  <si>
    <t>TRI INDUSTRIA CAMISETAS &amp; EVENTOS LTDA</t>
  </si>
  <si>
    <t>DAIANE FESTINALLI &amp; CIA LTDA</t>
  </si>
  <si>
    <t>57.732.143 CARINA APARECIDA BORGES</t>
  </si>
  <si>
    <t>CARLA FABIANE DE OLIVEIRA ABREU</t>
  </si>
  <si>
    <t>ELAINE PEREIRA DA SILVA</t>
  </si>
  <si>
    <t>KELLI CRISTINA ARAUJO</t>
  </si>
  <si>
    <t>ORY LAUX &amp; CIA LTDA</t>
  </si>
  <si>
    <t>TIAGO DIAS</t>
  </si>
  <si>
    <t>INDUSTRIA DE ALIMENTOS DU VALLE LTDA</t>
  </si>
  <si>
    <t>ANA CLAUDIA DE SOUZA ANGELO</t>
  </si>
  <si>
    <t>ANDERSON PADILHA DOS SANTOS</t>
  </si>
  <si>
    <t>ANDRE LEANDRO SCHNEIDER</t>
  </si>
  <si>
    <t>49.789.249 CAROLINE DOS SANTOS LUIZ</t>
  </si>
  <si>
    <t>CHURRASCARIA GARFO E BOMBACHA LTDA</t>
  </si>
  <si>
    <t>56.058.941 TAIS COSTA DE OLIVEIRA SILVA</t>
  </si>
  <si>
    <t>BENDITO SABOR LTDA</t>
  </si>
  <si>
    <t>SANDRA MARIA GEHLEN</t>
  </si>
  <si>
    <t>CARLOS EDUARDO SCHMITT</t>
  </si>
  <si>
    <t>LANCHERIA TIA JU LTDA</t>
  </si>
  <si>
    <t>PORTO SUSHI RESTAURANTE LTDA</t>
  </si>
  <si>
    <t>PMA COMERCIO DE BEBIDAS LTDA</t>
  </si>
  <si>
    <t>JULIA SILVA DOS SANTOS</t>
  </si>
  <si>
    <t>LIMAS MERCADO LTDA</t>
  </si>
  <si>
    <t>55.863.802 FRANCIELI RIBEIRO GOSS</t>
  </si>
  <si>
    <t>GISLAINE LOPES 00680937056</t>
  </si>
  <si>
    <t>FIN INDUSTRIA DE ALIMENTOS LTDA</t>
  </si>
  <si>
    <t>JC CENTRO TERAPEUTICO SALVANDO VIDAS LTD</t>
  </si>
  <si>
    <t>FATURAMENTO</t>
  </si>
  <si>
    <t xml:space="preserve">MÊS </t>
  </si>
  <si>
    <t>ID CLIENTE</t>
  </si>
  <si>
    <t>TELEVENDEDORA</t>
  </si>
  <si>
    <t>JULIANE DA SILVA CORRÊA</t>
  </si>
  <si>
    <t>Conversão / Televendas</t>
  </si>
  <si>
    <t>Contatos Realizados (Não conta pra meta)</t>
  </si>
  <si>
    <t>META CONTATOS - DETERMINADA DE 15 À 30/04</t>
  </si>
  <si>
    <t>META POSITIVAÇÃO</t>
  </si>
  <si>
    <t>conversão total (Televendas + RCA)</t>
  </si>
  <si>
    <t>GAP</t>
  </si>
  <si>
    <t>META CONTATOS - DETERMINADA DE 04/05 À 29/05</t>
  </si>
  <si>
    <r>
      <t xml:space="preserve">DADOS DO DIA - </t>
    </r>
    <r>
      <rPr>
        <b/>
        <i/>
        <sz val="11"/>
        <color rgb="FF000000"/>
        <rFont val="Calibri"/>
        <family val="2"/>
      </rPr>
      <t>PAINEL CONSOLIDADO</t>
    </r>
  </si>
  <si>
    <t>TOTAL DO MÊS</t>
  </si>
  <si>
    <t>Ariane - POA</t>
  </si>
  <si>
    <t>Camila - SUL</t>
  </si>
  <si>
    <t>Cristielen - VALE DOS SINOS</t>
  </si>
  <si>
    <t>Tatiana - SERRA</t>
  </si>
  <si>
    <t>Tatiana - LITORAL</t>
  </si>
  <si>
    <r>
      <t xml:space="preserve">DADOS DO DIA 13/07/2025 - </t>
    </r>
    <r>
      <rPr>
        <b/>
        <i/>
        <sz val="11"/>
        <color rgb="FF000000"/>
        <rFont val="Calibri"/>
        <family val="2"/>
      </rPr>
      <t>PAINEL CONSOLIDADO</t>
    </r>
  </si>
  <si>
    <t>POA</t>
  </si>
  <si>
    <t>SUL</t>
  </si>
  <si>
    <t>VALE DOS SINOS</t>
  </si>
  <si>
    <t>SERRA</t>
  </si>
  <si>
    <t>LITORAL</t>
  </si>
  <si>
    <t>90 a 104</t>
  </si>
  <si>
    <t>Julho</t>
  </si>
  <si>
    <t>41.437.772 HIGOR ECHEVARRIA DA SILVA</t>
  </si>
  <si>
    <t>THAIS DE SOUZA POSE</t>
  </si>
  <si>
    <t>Tatiana - Litoral</t>
  </si>
  <si>
    <t>MARIA MARTINA ROCHA</t>
  </si>
  <si>
    <t>64.747.266 RICARDO ANDRE DOS SANTOS JUNIOR</t>
  </si>
  <si>
    <t>64.556.231 ANGELITA XAVIER DA SILVA</t>
  </si>
  <si>
    <t>LUCAS SOARES HOMEM</t>
  </si>
  <si>
    <t>MIGUEL ALVES DE SOUZA</t>
  </si>
  <si>
    <t>FLORICA FLOR E CAFE LTDA</t>
  </si>
  <si>
    <t>JOAO PEDRO ROSTAND UMPIERRE</t>
  </si>
  <si>
    <t>ANDRESSA DUMMER DA SILVA</t>
  </si>
  <si>
    <t>61.400.475 VITORIA DOS REIS DA SILVA</t>
  </si>
  <si>
    <t>KARINA DE SOUZA LIMA</t>
  </si>
  <si>
    <t>CASSIANE DE SOUZA FIGUEIRA</t>
  </si>
  <si>
    <t>65.032.606 ANA CAROLINA DILLENBURG NAZARIO</t>
  </si>
  <si>
    <t>RUAN BITTENCOURT</t>
  </si>
  <si>
    <t>59.185.770 ISRAEL ZIMMERMANN</t>
  </si>
  <si>
    <t>SABOR DA SERRA GASTRONOMIA LTDA</t>
  </si>
  <si>
    <t>SILVANA TOMAZ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</si>
</sst>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76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Arial"/>
      <family val="2"/>
      <scheme val="minor"/>
    </font>
    <font>
      <sz val="8"/>
      <color theme="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8"/>
      <color rgb="FFFF0000"/>
      <name val="Arial"/>
      <family val="2"/>
      <scheme val="minor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rgb="FF000000"/>
      <name val="Calibri"/>
      <family val="2"/>
    </font>
    <font>
      <sz val="8"/>
      <color rgb="FF000000"/>
      <name val="Calibri"/>
      <family val="2"/>
    </font>
    <font>
      <b/>
      <sz val="9"/>
      <color rgb="FFFF0000"/>
      <name val="Calibri"/>
      <family val="2"/>
    </font>
    <font>
      <b/>
      <sz val="14"/>
      <color rgb="FFFF0000"/>
      <name val="Calibri"/>
      <family val="2"/>
    </font>
    <font>
      <sz val="14"/>
      <color rgb="FF000000"/>
      <name val="Calibri"/>
      <family val="2"/>
    </font>
    <font>
      <b/>
      <sz val="18"/>
      <color rgb="FFFF0000"/>
      <name val="Calibri"/>
      <family val="2"/>
    </font>
    <font>
      <b/>
      <sz val="8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9"/>
      <color rgb="FF000000"/>
      <name val="Calibri"/>
      <family val="2"/>
    </font>
    <font>
      <sz val="9"/>
      <name val="Calibri"/>
      <family val="2"/>
    </font>
    <font>
      <sz val="9"/>
      <color rgb="FFFFFFFF"/>
      <name val="Calibri"/>
      <family val="2"/>
    </font>
    <font>
      <sz val="8"/>
      <color rgb="FF242424"/>
      <name val="Segoe UI"/>
      <family val="2"/>
    </font>
    <font>
      <sz val="9"/>
      <color rgb="FFFFFFFF"/>
      <name val="Calibri"/>
      <family val="2"/>
    </font>
    <font>
      <sz val="10"/>
      <color rgb="FFFFFFFF"/>
      <name val="Arial"/>
      <family val="2"/>
      <scheme val="minor"/>
    </font>
    <font>
      <sz val="8"/>
      <color rgb="FFFFFFFF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8"/>
      <color rgb="FF000000"/>
      <name val="Arial"/>
      <family val="2"/>
      <scheme val="minor"/>
    </font>
    <font>
      <b/>
      <sz val="8"/>
      <color rgb="FFFFFFFF"/>
      <name val="Arial"/>
      <family val="2"/>
      <scheme val="minor"/>
    </font>
    <font>
      <b/>
      <sz val="9"/>
      <color rgb="FFFFFFFF"/>
      <name val="Calibri"/>
      <family val="2"/>
    </font>
    <font>
      <sz val="10"/>
      <color rgb="FF000000"/>
      <name val="Arial"/>
      <family val="2"/>
      <scheme val="minor"/>
    </font>
    <font>
      <sz val="18"/>
      <color theme="3"/>
      <name val="Arial"/>
      <family val="2"/>
      <scheme val="major"/>
    </font>
    <font>
      <b/>
      <sz val="15"/>
      <color theme="3"/>
      <name val="Arial"/>
      <family val="2"/>
      <scheme val="minor"/>
    </font>
    <font>
      <b/>
      <sz val="13"/>
      <color theme="3"/>
      <name val="Arial"/>
      <family val="2"/>
      <scheme val="minor"/>
    </font>
    <font>
      <b/>
      <sz val="11"/>
      <color theme="3"/>
      <name val="Arial"/>
      <family val="2"/>
      <scheme val="minor"/>
    </font>
    <font>
      <sz val="11"/>
      <color rgb="FF006100"/>
      <name val="Arial"/>
      <family val="2"/>
      <scheme val="minor"/>
    </font>
    <font>
      <sz val="11"/>
      <color rgb="FF9C0006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color rgb="FF3F3F76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rgb="FFFA7D00"/>
      <name val="Arial"/>
      <family val="2"/>
      <scheme val="minor"/>
    </font>
    <font>
      <sz val="11"/>
      <color rgb="FFFA7D00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i/>
      <sz val="11"/>
      <color rgb="FF7F7F7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1"/>
      <name val="Calibri"/>
      <family val="2"/>
    </font>
    <font>
      <sz val="11"/>
      <name val="Calibri"/>
      <family val="2"/>
    </font>
    <font>
      <sz val="8"/>
      <name val="Arial"/>
      <family val="2"/>
      <scheme val="minor"/>
    </font>
    <font>
      <b/>
      <sz val="11"/>
      <name val="Calibri"/>
      <family val="2"/>
    </font>
    <font>
      <sz val="9"/>
      <color theme="0"/>
      <name val="Calibri"/>
      <family val="2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sz val="8"/>
      <color rgb="FF000000"/>
      <name val="Calibri"/>
      <family val="2"/>
    </font>
    <font>
      <b/>
      <sz val="9"/>
      <color rgb="FF000000"/>
      <name val="Calibri"/>
      <family val="2"/>
    </font>
    <font>
      <sz val="8"/>
      <color theme="1"/>
      <name val="Arial"/>
      <family val="2"/>
      <scheme val="minor"/>
    </font>
    <font>
      <b/>
      <sz val="9"/>
      <color rgb="FFFF0000"/>
      <name val="Calibri"/>
      <family val="2"/>
    </font>
    <font>
      <sz val="9"/>
      <color theme="0"/>
      <name val="Calibri"/>
      <family val="2"/>
    </font>
    <font>
      <b/>
      <sz val="9"/>
      <color theme="0"/>
      <name val="Calibri"/>
      <family val="2"/>
    </font>
    <font>
      <sz val="9"/>
      <color theme="1"/>
      <name val="Calibri"/>
      <family val="2"/>
    </font>
    <font>
      <b/>
      <sz val="8"/>
      <color rgb="FFFF0000"/>
      <name val="Calibri"/>
      <family val="2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6"/>
      <color rgb="FFFF0000"/>
      <name val="Calibri"/>
      <family val="2"/>
    </font>
    <font>
      <sz val="10"/>
      <color rgb="FF000000"/>
      <name val="Arial"/>
      <family val="2"/>
    </font>
    <font>
      <b/>
      <sz val="9"/>
      <name val="Calibri"/>
      <family val="2"/>
    </font>
    <font>
      <sz val="10"/>
      <color rgb="FF000000"/>
      <name val="Arial"/>
      <scheme val="minor"/>
    </font>
    <font>
      <sz val="11"/>
      <name val="Calibri"/>
      <charset val="1"/>
    </font>
  </fonts>
  <fills count="60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134F5C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93D93"/>
        <bgColor rgb="FF000000"/>
      </patternFill>
    </fill>
    <fill>
      <patternFill patternType="solid">
        <fgColor rgb="FF093D93"/>
        <bgColor rgb="FF666666"/>
      </patternFill>
    </fill>
    <fill>
      <patternFill patternType="solid">
        <fgColor rgb="FF093D93"/>
        <bgColor rgb="FF134F5C"/>
      </patternFill>
    </fill>
    <fill>
      <patternFill patternType="solid">
        <fgColor rgb="FFFFFFFF"/>
        <bgColor rgb="FF000000"/>
      </patternFill>
    </fill>
    <fill>
      <patternFill patternType="solid">
        <fgColor rgb="FFFBBC04"/>
        <bgColor rgb="FF000000"/>
      </patternFill>
    </fill>
    <fill>
      <patternFill patternType="solid">
        <fgColor rgb="FFEA4335"/>
        <bgColor rgb="FF000000"/>
      </patternFill>
    </fill>
    <fill>
      <patternFill patternType="solid">
        <fgColor rgb="FFFDE49B"/>
        <bgColor rgb="FF000000"/>
      </patternFill>
    </fill>
    <fill>
      <patternFill patternType="solid">
        <fgColor rgb="FFFEF2CD"/>
        <bgColor rgb="FF000000"/>
      </patternFill>
    </fill>
    <fill>
      <patternFill patternType="solid">
        <fgColor rgb="FF4285F4"/>
        <bgColor rgb="FF000000"/>
      </patternFill>
    </fill>
    <fill>
      <patternFill patternType="solid">
        <fgColor rgb="FFFF6D01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6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/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/>
      <bottom style="dash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 style="dotted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/>
      <top/>
      <bottom style="dashed">
        <color rgb="FF000000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dashed">
        <color rgb="FF000000"/>
      </left>
      <right/>
      <top style="dashed">
        <color rgb="FF000000"/>
      </top>
      <bottom style="dashed">
        <color rgb="FF000000"/>
      </bottom>
      <diagonal/>
    </border>
  </borders>
  <cellStyleXfs count="7279">
    <xf numFmtId="0" fontId="0" fillId="0" borderId="0"/>
    <xf numFmtId="44" fontId="35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51" applyNumberFormat="0" applyFill="0" applyAlignment="0" applyProtection="0"/>
    <xf numFmtId="0" fontId="38" fillId="0" borderId="52" applyNumberFormat="0" applyFill="0" applyAlignment="0" applyProtection="0"/>
    <xf numFmtId="0" fontId="39" fillId="0" borderId="53" applyNumberFormat="0" applyFill="0" applyAlignment="0" applyProtection="0"/>
    <xf numFmtId="0" fontId="39" fillId="0" borderId="0" applyNumberFormat="0" applyFill="0" applyBorder="0" applyAlignment="0" applyProtection="0"/>
    <xf numFmtId="0" fontId="40" fillId="19" borderId="0" applyNumberFormat="0" applyBorder="0" applyAlignment="0" applyProtection="0"/>
    <xf numFmtId="0" fontId="41" fillId="20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54" applyNumberFormat="0" applyAlignment="0" applyProtection="0"/>
    <xf numFmtId="0" fontId="44" fillId="23" borderId="55" applyNumberFormat="0" applyAlignment="0" applyProtection="0"/>
    <xf numFmtId="0" fontId="45" fillId="23" borderId="54" applyNumberFormat="0" applyAlignment="0" applyProtection="0"/>
    <xf numFmtId="0" fontId="46" fillId="0" borderId="56" applyNumberFormat="0" applyFill="0" applyAlignment="0" applyProtection="0"/>
    <xf numFmtId="0" fontId="47" fillId="24" borderId="57" applyNumberFormat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59" applyNumberFormat="0" applyFill="0" applyAlignment="0" applyProtection="0"/>
    <xf numFmtId="0" fontId="51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1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1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1" fillId="38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1" fillId="42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1" fillId="46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2" fillId="0" borderId="0"/>
    <xf numFmtId="0" fontId="5" fillId="0" borderId="0"/>
    <xf numFmtId="0" fontId="5" fillId="25" borderId="58" applyNumberFormat="0" applyFont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44" fontId="52" fillId="0" borderId="0" applyFont="0" applyFill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" fillId="0" borderId="0"/>
    <xf numFmtId="0" fontId="5" fillId="25" borderId="58" applyNumberFormat="0" applyFont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5" borderId="0" applyNumberFormat="0" applyBorder="0" applyAlignment="0" applyProtection="0"/>
    <xf numFmtId="0" fontId="5" fillId="36" borderId="0" applyNumberFormat="0" applyBorder="0" applyAlignment="0" applyProtection="0"/>
    <xf numFmtId="0" fontId="5" fillId="37" borderId="0" applyNumberFormat="0" applyBorder="0" applyAlignment="0" applyProtection="0"/>
    <xf numFmtId="0" fontId="5" fillId="39" borderId="0" applyNumberFormat="0" applyBorder="0" applyAlignment="0" applyProtection="0"/>
    <xf numFmtId="0" fontId="5" fillId="40" borderId="0" applyNumberFormat="0" applyBorder="0" applyAlignment="0" applyProtection="0"/>
    <xf numFmtId="0" fontId="5" fillId="41" borderId="0" applyNumberFormat="0" applyBorder="0" applyAlignment="0" applyProtection="0"/>
    <xf numFmtId="0" fontId="5" fillId="43" borderId="0" applyNumberFormat="0" applyBorder="0" applyAlignment="0" applyProtection="0"/>
    <xf numFmtId="0" fontId="5" fillId="44" borderId="0" applyNumberFormat="0" applyBorder="0" applyAlignment="0" applyProtection="0"/>
    <xf numFmtId="0" fontId="5" fillId="45" borderId="0" applyNumberFormat="0" applyBorder="0" applyAlignment="0" applyProtection="0"/>
    <xf numFmtId="0" fontId="5" fillId="47" borderId="0" applyNumberFormat="0" applyBorder="0" applyAlignment="0" applyProtection="0"/>
    <xf numFmtId="0" fontId="5" fillId="48" borderId="0" applyNumberFormat="0" applyBorder="0" applyAlignment="0" applyProtection="0"/>
    <xf numFmtId="0" fontId="5" fillId="49" borderId="0" applyNumberFormat="0" applyBorder="0" applyAlignment="0" applyProtection="0"/>
    <xf numFmtId="0" fontId="53" fillId="0" borderId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44" fontId="53" fillId="0" borderId="0" applyFont="0" applyFill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35" fillId="0" borderId="0"/>
    <xf numFmtId="44" fontId="35" fillId="0" borderId="0" applyFont="0" applyFill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52" fillId="0" borderId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44" fontId="52" fillId="0" borderId="0" applyFont="0" applyFill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0" borderId="0"/>
    <xf numFmtId="0" fontId="4" fillId="25" borderId="58" applyNumberFormat="0" applyFont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4" fillId="37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4" fillId="41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7" borderId="0" applyNumberFormat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3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35" fillId="0" borderId="0" applyFont="0" applyFill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44" fontId="52" fillId="0" borderId="0" applyFont="0" applyFill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45" borderId="0" applyNumberFormat="0" applyBorder="0" applyAlignment="0" applyProtection="0"/>
    <xf numFmtId="0" fontId="3" fillId="35" borderId="0" applyNumberFormat="0" applyBorder="0" applyAlignment="0" applyProtection="0"/>
    <xf numFmtId="0" fontId="3" fillId="35" borderId="0" applyNumberFormat="0" applyBorder="0" applyAlignment="0" applyProtection="0"/>
    <xf numFmtId="0" fontId="3" fillId="44" borderId="0" applyNumberFormat="0" applyBorder="0" applyAlignment="0" applyProtection="0"/>
    <xf numFmtId="0" fontId="3" fillId="44" borderId="0" applyNumberFormat="0" applyBorder="0" applyAlignment="0" applyProtection="0"/>
    <xf numFmtId="0" fontId="3" fillId="31" borderId="0" applyNumberFormat="0" applyBorder="0" applyAlignment="0" applyProtection="0"/>
    <xf numFmtId="0" fontId="3" fillId="48" borderId="0" applyNumberFormat="0" applyBorder="0" applyAlignment="0" applyProtection="0"/>
    <xf numFmtId="0" fontId="3" fillId="27" borderId="0" applyNumberFormat="0" applyBorder="0" applyAlignment="0" applyProtection="0"/>
    <xf numFmtId="0" fontId="3" fillId="48" borderId="0" applyNumberFormat="0" applyBorder="0" applyAlignment="0" applyProtection="0"/>
    <xf numFmtId="0" fontId="3" fillId="29" borderId="0" applyNumberFormat="0" applyBorder="0" applyAlignment="0" applyProtection="0"/>
    <xf numFmtId="0" fontId="3" fillId="28" borderId="0" applyNumberFormat="0" applyBorder="0" applyAlignment="0" applyProtection="0"/>
    <xf numFmtId="0" fontId="3" fillId="45" borderId="0" applyNumberFormat="0" applyBorder="0" applyAlignment="0" applyProtection="0"/>
    <xf numFmtId="0" fontId="3" fillId="44" borderId="0" applyNumberFormat="0" applyBorder="0" applyAlignment="0" applyProtection="0"/>
    <xf numFmtId="0" fontId="3" fillId="48" borderId="0" applyNumberFormat="0" applyBorder="0" applyAlignment="0" applyProtection="0"/>
    <xf numFmtId="0" fontId="3" fillId="0" borderId="0"/>
    <xf numFmtId="0" fontId="3" fillId="48" borderId="0" applyNumberFormat="0" applyBorder="0" applyAlignment="0" applyProtection="0"/>
    <xf numFmtId="0" fontId="3" fillId="47" borderId="0" applyNumberFormat="0" applyBorder="0" applyAlignment="0" applyProtection="0"/>
    <xf numFmtId="0" fontId="3" fillId="36" borderId="0" applyNumberFormat="0" applyBorder="0" applyAlignment="0" applyProtection="0"/>
    <xf numFmtId="0" fontId="3" fillId="35" borderId="0" applyNumberFormat="0" applyBorder="0" applyAlignment="0" applyProtection="0"/>
    <xf numFmtId="0" fontId="3" fillId="41" borderId="0" applyNumberFormat="0" applyBorder="0" applyAlignment="0" applyProtection="0"/>
    <xf numFmtId="0" fontId="3" fillId="29" borderId="0" applyNumberFormat="0" applyBorder="0" applyAlignment="0" applyProtection="0"/>
    <xf numFmtId="0" fontId="3" fillId="32" borderId="0" applyNumberFormat="0" applyBorder="0" applyAlignment="0" applyProtection="0"/>
    <xf numFmtId="0" fontId="3" fillId="25" borderId="58" applyNumberFormat="0" applyFont="0" applyAlignment="0" applyProtection="0"/>
    <xf numFmtId="0" fontId="3" fillId="29" borderId="0" applyNumberFormat="0" applyBorder="0" applyAlignment="0" applyProtection="0"/>
    <xf numFmtId="0" fontId="3" fillId="35" borderId="0" applyNumberFormat="0" applyBorder="0" applyAlignment="0" applyProtection="0"/>
    <xf numFmtId="0" fontId="3" fillId="40" borderId="0" applyNumberFormat="0" applyBorder="0" applyAlignment="0" applyProtection="0"/>
    <xf numFmtId="0" fontId="3" fillId="3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39" borderId="0" applyNumberFormat="0" applyBorder="0" applyAlignment="0" applyProtection="0"/>
    <xf numFmtId="0" fontId="3" fillId="25" borderId="58" applyNumberFormat="0" applyFont="0" applyAlignment="0" applyProtection="0"/>
    <xf numFmtId="0" fontId="3" fillId="43" borderId="0" applyNumberFormat="0" applyBorder="0" applyAlignment="0" applyProtection="0"/>
    <xf numFmtId="0" fontId="3" fillId="25" borderId="58" applyNumberFormat="0" applyFont="0" applyAlignment="0" applyProtection="0"/>
    <xf numFmtId="0" fontId="3" fillId="40" borderId="0" applyNumberFormat="0" applyBorder="0" applyAlignment="0" applyProtection="0"/>
    <xf numFmtId="0" fontId="3" fillId="33" borderId="0" applyNumberFormat="0" applyBorder="0" applyAlignment="0" applyProtection="0"/>
    <xf numFmtId="0" fontId="3" fillId="45" borderId="0" applyNumberFormat="0" applyBorder="0" applyAlignment="0" applyProtection="0"/>
    <xf numFmtId="0" fontId="3" fillId="35" borderId="0" applyNumberFormat="0" applyBorder="0" applyAlignment="0" applyProtection="0"/>
    <xf numFmtId="0" fontId="3" fillId="43" borderId="0" applyNumberFormat="0" applyBorder="0" applyAlignment="0" applyProtection="0"/>
    <xf numFmtId="0" fontId="3" fillId="27" borderId="0" applyNumberFormat="0" applyBorder="0" applyAlignment="0" applyProtection="0"/>
    <xf numFmtId="0" fontId="3" fillId="35" borderId="0" applyNumberFormat="0" applyBorder="0" applyAlignment="0" applyProtection="0"/>
    <xf numFmtId="0" fontId="3" fillId="39" borderId="0" applyNumberFormat="0" applyBorder="0" applyAlignment="0" applyProtection="0"/>
    <xf numFmtId="0" fontId="3" fillId="36" borderId="0" applyNumberFormat="0" applyBorder="0" applyAlignment="0" applyProtection="0"/>
    <xf numFmtId="0" fontId="3" fillId="41" borderId="0" applyNumberFormat="0" applyBorder="0" applyAlignment="0" applyProtection="0"/>
    <xf numFmtId="0" fontId="3" fillId="33" borderId="0" applyNumberFormat="0" applyBorder="0" applyAlignment="0" applyProtection="0"/>
    <xf numFmtId="0" fontId="3" fillId="41" borderId="0" applyNumberFormat="0" applyBorder="0" applyAlignment="0" applyProtection="0"/>
    <xf numFmtId="0" fontId="3" fillId="25" borderId="58" applyNumberFormat="0" applyFont="0" applyAlignment="0" applyProtection="0"/>
    <xf numFmtId="0" fontId="3" fillId="25" borderId="58" applyNumberFormat="0" applyFont="0" applyAlignment="0" applyProtection="0"/>
    <xf numFmtId="0" fontId="3" fillId="31" borderId="0" applyNumberFormat="0" applyBorder="0" applyAlignment="0" applyProtection="0"/>
    <xf numFmtId="0" fontId="3" fillId="25" borderId="58" applyNumberFormat="0" applyFont="0" applyAlignment="0" applyProtection="0"/>
    <xf numFmtId="0" fontId="3" fillId="37" borderId="0" applyNumberFormat="0" applyBorder="0" applyAlignment="0" applyProtection="0"/>
    <xf numFmtId="0" fontId="3" fillId="49" borderId="0" applyNumberFormat="0" applyBorder="0" applyAlignment="0" applyProtection="0"/>
    <xf numFmtId="0" fontId="3" fillId="49" borderId="0" applyNumberFormat="0" applyBorder="0" applyAlignment="0" applyProtection="0"/>
    <xf numFmtId="0" fontId="3" fillId="29" borderId="0" applyNumberFormat="0" applyBorder="0" applyAlignment="0" applyProtection="0"/>
    <xf numFmtId="0" fontId="3" fillId="25" borderId="58" applyNumberFormat="0" applyFont="0" applyAlignment="0" applyProtection="0"/>
    <xf numFmtId="0" fontId="3" fillId="31" borderId="0" applyNumberFormat="0" applyBorder="0" applyAlignment="0" applyProtection="0"/>
    <xf numFmtId="0" fontId="3" fillId="27" borderId="0" applyNumberFormat="0" applyBorder="0" applyAlignment="0" applyProtection="0"/>
    <xf numFmtId="0" fontId="3" fillId="33" borderId="0" applyNumberFormat="0" applyBorder="0" applyAlignment="0" applyProtection="0"/>
    <xf numFmtId="0" fontId="3" fillId="31" borderId="0" applyNumberFormat="0" applyBorder="0" applyAlignment="0" applyProtection="0"/>
    <xf numFmtId="0" fontId="3" fillId="47" borderId="0" applyNumberFormat="0" applyBorder="0" applyAlignment="0" applyProtection="0"/>
    <xf numFmtId="0" fontId="3" fillId="25" borderId="58" applyNumberFormat="0" applyFont="0" applyAlignment="0" applyProtection="0"/>
    <xf numFmtId="0" fontId="3" fillId="37" borderId="0" applyNumberFormat="0" applyBorder="0" applyAlignment="0" applyProtection="0"/>
    <xf numFmtId="0" fontId="3" fillId="33" borderId="0" applyNumberFormat="0" applyBorder="0" applyAlignment="0" applyProtection="0"/>
    <xf numFmtId="0" fontId="3" fillId="45" borderId="0" applyNumberFormat="0" applyBorder="0" applyAlignment="0" applyProtection="0"/>
    <xf numFmtId="0" fontId="3" fillId="44" borderId="0" applyNumberFormat="0" applyBorder="0" applyAlignment="0" applyProtection="0"/>
    <xf numFmtId="0" fontId="3" fillId="0" borderId="0"/>
    <xf numFmtId="0" fontId="3" fillId="45" borderId="0" applyNumberFormat="0" applyBorder="0" applyAlignment="0" applyProtection="0"/>
    <xf numFmtId="0" fontId="3" fillId="36" borderId="0" applyNumberFormat="0" applyBorder="0" applyAlignment="0" applyProtection="0"/>
    <xf numFmtId="0" fontId="3" fillId="31" borderId="0" applyNumberFormat="0" applyBorder="0" applyAlignment="0" applyProtection="0"/>
    <xf numFmtId="0" fontId="3" fillId="49" borderId="0" applyNumberFormat="0" applyBorder="0" applyAlignment="0" applyProtection="0"/>
    <xf numFmtId="0" fontId="3" fillId="37" borderId="0" applyNumberFormat="0" applyBorder="0" applyAlignment="0" applyProtection="0"/>
    <xf numFmtId="0" fontId="3" fillId="44" borderId="0" applyNumberFormat="0" applyBorder="0" applyAlignment="0" applyProtection="0"/>
    <xf numFmtId="0" fontId="3" fillId="47" borderId="0" applyNumberFormat="0" applyBorder="0" applyAlignment="0" applyProtection="0"/>
    <xf numFmtId="0" fontId="3" fillId="25" borderId="58" applyNumberFormat="0" applyFont="0" applyAlignment="0" applyProtection="0"/>
    <xf numFmtId="0" fontId="3" fillId="39" borderId="0" applyNumberFormat="0" applyBorder="0" applyAlignment="0" applyProtection="0"/>
    <xf numFmtId="0" fontId="3" fillId="41" borderId="0" applyNumberFormat="0" applyBorder="0" applyAlignment="0" applyProtection="0"/>
    <xf numFmtId="0" fontId="3" fillId="39" borderId="0" applyNumberFormat="0" applyBorder="0" applyAlignment="0" applyProtection="0"/>
    <xf numFmtId="0" fontId="3" fillId="49" borderId="0" applyNumberFormat="0" applyBorder="0" applyAlignment="0" applyProtection="0"/>
    <xf numFmtId="0" fontId="3" fillId="32" borderId="0" applyNumberFormat="0" applyBorder="0" applyAlignment="0" applyProtection="0"/>
    <xf numFmtId="0" fontId="3" fillId="44" borderId="0" applyNumberFormat="0" applyBorder="0" applyAlignment="0" applyProtection="0"/>
    <xf numFmtId="0" fontId="3" fillId="35" borderId="0" applyNumberFormat="0" applyBorder="0" applyAlignment="0" applyProtection="0"/>
    <xf numFmtId="0" fontId="3" fillId="47" borderId="0" applyNumberFormat="0" applyBorder="0" applyAlignment="0" applyProtection="0"/>
    <xf numFmtId="0" fontId="3" fillId="39" borderId="0" applyNumberFormat="0" applyBorder="0" applyAlignment="0" applyProtection="0"/>
    <xf numFmtId="0" fontId="3" fillId="43" borderId="0" applyNumberFormat="0" applyBorder="0" applyAlignment="0" applyProtection="0"/>
    <xf numFmtId="0" fontId="3" fillId="36" borderId="0" applyNumberFormat="0" applyBorder="0" applyAlignment="0" applyProtection="0"/>
    <xf numFmtId="0" fontId="3" fillId="29" borderId="0" applyNumberFormat="0" applyBorder="0" applyAlignment="0" applyProtection="0"/>
    <xf numFmtId="0" fontId="3" fillId="28" borderId="0" applyNumberFormat="0" applyBorder="0" applyAlignment="0" applyProtection="0"/>
    <xf numFmtId="0" fontId="3" fillId="28" borderId="0" applyNumberFormat="0" applyBorder="0" applyAlignment="0" applyProtection="0"/>
    <xf numFmtId="0" fontId="3" fillId="33" borderId="0" applyNumberFormat="0" applyBorder="0" applyAlignment="0" applyProtection="0"/>
    <xf numFmtId="0" fontId="3" fillId="47" borderId="0" applyNumberFormat="0" applyBorder="0" applyAlignment="0" applyProtection="0"/>
    <xf numFmtId="0" fontId="3" fillId="45" borderId="0" applyNumberFormat="0" applyBorder="0" applyAlignment="0" applyProtection="0"/>
    <xf numFmtId="0" fontId="3" fillId="48" borderId="0" applyNumberFormat="0" applyBorder="0" applyAlignment="0" applyProtection="0"/>
    <xf numFmtId="0" fontId="3" fillId="27" borderId="0" applyNumberFormat="0" applyBorder="0" applyAlignment="0" applyProtection="0"/>
    <xf numFmtId="0" fontId="3" fillId="37" borderId="0" applyNumberFormat="0" applyBorder="0" applyAlignment="0" applyProtection="0"/>
    <xf numFmtId="0" fontId="3" fillId="48" borderId="0" applyNumberFormat="0" applyBorder="0" applyAlignment="0" applyProtection="0"/>
    <xf numFmtId="44" fontId="53" fillId="0" borderId="0" applyFont="0" applyFill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36" borderId="0" applyNumberFormat="0" applyBorder="0" applyAlignment="0" applyProtection="0"/>
    <xf numFmtId="0" fontId="3" fillId="40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47" borderId="0" applyNumberFormat="0" applyBorder="0" applyAlignment="0" applyProtection="0"/>
    <xf numFmtId="0" fontId="3" fillId="37" borderId="0" applyNumberFormat="0" applyBorder="0" applyAlignment="0" applyProtection="0"/>
    <xf numFmtId="0" fontId="3" fillId="43" borderId="0" applyNumberFormat="0" applyBorder="0" applyAlignment="0" applyProtection="0"/>
    <xf numFmtId="0" fontId="3" fillId="0" borderId="0"/>
    <xf numFmtId="0" fontId="3" fillId="40" borderId="0" applyNumberFormat="0" applyBorder="0" applyAlignment="0" applyProtection="0"/>
    <xf numFmtId="0" fontId="3" fillId="48" borderId="0" applyNumberFormat="0" applyBorder="0" applyAlignment="0" applyProtection="0"/>
    <xf numFmtId="0" fontId="3" fillId="48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29" borderId="0" applyNumberFormat="0" applyBorder="0" applyAlignment="0" applyProtection="0"/>
    <xf numFmtId="0" fontId="3" fillId="28" borderId="0" applyNumberFormat="0" applyBorder="0" applyAlignment="0" applyProtection="0"/>
    <xf numFmtId="0" fontId="3" fillId="44" borderId="0" applyNumberFormat="0" applyBorder="0" applyAlignment="0" applyProtection="0"/>
    <xf numFmtId="0" fontId="3" fillId="36" borderId="0" applyNumberFormat="0" applyBorder="0" applyAlignment="0" applyProtection="0"/>
    <xf numFmtId="0" fontId="3" fillId="43" borderId="0" applyNumberFormat="0" applyBorder="0" applyAlignment="0" applyProtection="0"/>
    <xf numFmtId="0" fontId="3" fillId="41" borderId="0" applyNumberFormat="0" applyBorder="0" applyAlignment="0" applyProtection="0"/>
    <xf numFmtId="0" fontId="3" fillId="28" borderId="0" applyNumberFormat="0" applyBorder="0" applyAlignment="0" applyProtection="0"/>
    <xf numFmtId="0" fontId="3" fillId="39" borderId="0" applyNumberFormat="0" applyBorder="0" applyAlignment="0" applyProtection="0"/>
    <xf numFmtId="0" fontId="3" fillId="32" borderId="0" applyNumberFormat="0" applyBorder="0" applyAlignment="0" applyProtection="0"/>
    <xf numFmtId="0" fontId="3" fillId="29" borderId="0" applyNumberFormat="0" applyBorder="0" applyAlignment="0" applyProtection="0"/>
    <xf numFmtId="0" fontId="3" fillId="27" borderId="0" applyNumberFormat="0" applyBorder="0" applyAlignment="0" applyProtection="0"/>
    <xf numFmtId="0" fontId="3" fillId="36" borderId="0" applyNumberFormat="0" applyBorder="0" applyAlignment="0" applyProtection="0"/>
    <xf numFmtId="0" fontId="3" fillId="35" borderId="0" applyNumberFormat="0" applyBorder="0" applyAlignment="0" applyProtection="0"/>
    <xf numFmtId="0" fontId="3" fillId="40" borderId="0" applyNumberFormat="0" applyBorder="0" applyAlignment="0" applyProtection="0"/>
    <xf numFmtId="0" fontId="3" fillId="32" borderId="0" applyNumberFormat="0" applyBorder="0" applyAlignment="0" applyProtection="0"/>
    <xf numFmtId="0" fontId="3" fillId="43" borderId="0" applyNumberFormat="0" applyBorder="0" applyAlignment="0" applyProtection="0"/>
    <xf numFmtId="0" fontId="3" fillId="45" borderId="0" applyNumberFormat="0" applyBorder="0" applyAlignment="0" applyProtection="0"/>
    <xf numFmtId="0" fontId="3" fillId="45" borderId="0" applyNumberFormat="0" applyBorder="0" applyAlignment="0" applyProtection="0"/>
    <xf numFmtId="0" fontId="3" fillId="32" borderId="0" applyNumberFormat="0" applyBorder="0" applyAlignment="0" applyProtection="0"/>
    <xf numFmtId="0" fontId="3" fillId="32" borderId="0" applyNumberFormat="0" applyBorder="0" applyAlignment="0" applyProtection="0"/>
    <xf numFmtId="0" fontId="3" fillId="37" borderId="0" applyNumberFormat="0" applyBorder="0" applyAlignment="0" applyProtection="0"/>
    <xf numFmtId="0" fontId="3" fillId="36" borderId="0" applyNumberFormat="0" applyBorder="0" applyAlignment="0" applyProtection="0"/>
    <xf numFmtId="0" fontId="3" fillId="33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25" borderId="58" applyNumberFormat="0" applyFont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3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47" borderId="0" applyNumberFormat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28" borderId="0" applyNumberFormat="0" applyBorder="0" applyAlignment="0" applyProtection="0"/>
    <xf numFmtId="0" fontId="3" fillId="27" borderId="0" applyNumberFormat="0" applyBorder="0" applyAlignment="0" applyProtection="0"/>
    <xf numFmtId="0" fontId="3" fillId="40" borderId="0" applyNumberFormat="0" applyBorder="0" applyAlignment="0" applyProtection="0"/>
    <xf numFmtId="0" fontId="3" fillId="32" borderId="0" applyNumberFormat="0" applyBorder="0" applyAlignment="0" applyProtection="0"/>
    <xf numFmtId="0" fontId="3" fillId="0" borderId="0"/>
    <xf numFmtId="0" fontId="3" fillId="0" borderId="0"/>
    <xf numFmtId="0" fontId="3" fillId="33" borderId="0" applyNumberFormat="0" applyBorder="0" applyAlignment="0" applyProtection="0"/>
    <xf numFmtId="0" fontId="3" fillId="48" borderId="0" applyNumberFormat="0" applyBorder="0" applyAlignment="0" applyProtection="0"/>
    <xf numFmtId="0" fontId="3" fillId="37" borderId="0" applyNumberFormat="0" applyBorder="0" applyAlignment="0" applyProtection="0"/>
    <xf numFmtId="0" fontId="3" fillId="25" borderId="58" applyNumberFormat="0" applyFont="0" applyAlignment="0" applyProtection="0"/>
    <xf numFmtId="0" fontId="3" fillId="48" borderId="0" applyNumberFormat="0" applyBorder="0" applyAlignment="0" applyProtection="0"/>
    <xf numFmtId="0" fontId="3" fillId="41" borderId="0" applyNumberFormat="0" applyBorder="0" applyAlignment="0" applyProtection="0"/>
    <xf numFmtId="0" fontId="3" fillId="36" borderId="0" applyNumberFormat="0" applyBorder="0" applyAlignment="0" applyProtection="0"/>
    <xf numFmtId="0" fontId="3" fillId="32" borderId="0" applyNumberFormat="0" applyBorder="0" applyAlignment="0" applyProtection="0"/>
    <xf numFmtId="0" fontId="3" fillId="32" borderId="0" applyNumberFormat="0" applyBorder="0" applyAlignment="0" applyProtection="0"/>
    <xf numFmtId="0" fontId="3" fillId="28" borderId="0" applyNumberFormat="0" applyBorder="0" applyAlignment="0" applyProtection="0"/>
    <xf numFmtId="0" fontId="3" fillId="40" borderId="0" applyNumberFormat="0" applyBorder="0" applyAlignment="0" applyProtection="0"/>
    <xf numFmtId="0" fontId="3" fillId="41" borderId="0" applyNumberFormat="0" applyBorder="0" applyAlignment="0" applyProtection="0"/>
    <xf numFmtId="0" fontId="3" fillId="48" borderId="0" applyNumberFormat="0" applyBorder="0" applyAlignment="0" applyProtection="0"/>
    <xf numFmtId="0" fontId="3" fillId="43" borderId="0" applyNumberFormat="0" applyBorder="0" applyAlignment="0" applyProtection="0"/>
    <xf numFmtId="0" fontId="3" fillId="49" borderId="0" applyNumberFormat="0" applyBorder="0" applyAlignment="0" applyProtection="0"/>
    <xf numFmtId="0" fontId="3" fillId="33" borderId="0" applyNumberFormat="0" applyBorder="0" applyAlignment="0" applyProtection="0"/>
    <xf numFmtId="0" fontId="3" fillId="40" borderId="0" applyNumberFormat="0" applyBorder="0" applyAlignment="0" applyProtection="0"/>
    <xf numFmtId="0" fontId="3" fillId="39" borderId="0" applyNumberFormat="0" applyBorder="0" applyAlignment="0" applyProtection="0"/>
    <xf numFmtId="0" fontId="3" fillId="48" borderId="0" applyNumberFormat="0" applyBorder="0" applyAlignment="0" applyProtection="0"/>
    <xf numFmtId="0" fontId="3" fillId="0" borderId="0"/>
    <xf numFmtId="0" fontId="3" fillId="39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39" borderId="0" applyNumberFormat="0" applyBorder="0" applyAlignment="0" applyProtection="0"/>
    <xf numFmtId="0" fontId="3" fillId="47" borderId="0" applyNumberFormat="0" applyBorder="0" applyAlignment="0" applyProtection="0"/>
    <xf numFmtId="0" fontId="3" fillId="37" borderId="0" applyNumberFormat="0" applyBorder="0" applyAlignment="0" applyProtection="0"/>
    <xf numFmtId="0" fontId="3" fillId="25" borderId="58" applyNumberFormat="0" applyFont="0" applyAlignment="0" applyProtection="0"/>
    <xf numFmtId="0" fontId="3" fillId="41" borderId="0" applyNumberFormat="0" applyBorder="0" applyAlignment="0" applyProtection="0"/>
    <xf numFmtId="0" fontId="3" fillId="44" borderId="0" applyNumberFormat="0" applyBorder="0" applyAlignment="0" applyProtection="0"/>
    <xf numFmtId="0" fontId="3" fillId="33" borderId="0" applyNumberFormat="0" applyBorder="0" applyAlignment="0" applyProtection="0"/>
    <xf numFmtId="0" fontId="3" fillId="33" borderId="0" applyNumberFormat="0" applyBorder="0" applyAlignment="0" applyProtection="0"/>
    <xf numFmtId="0" fontId="3" fillId="44" borderId="0" applyNumberFormat="0" applyBorder="0" applyAlignment="0" applyProtection="0"/>
    <xf numFmtId="0" fontId="3" fillId="49" borderId="0" applyNumberFormat="0" applyBorder="0" applyAlignment="0" applyProtection="0"/>
    <xf numFmtId="0" fontId="3" fillId="36" borderId="0" applyNumberFormat="0" applyBorder="0" applyAlignment="0" applyProtection="0"/>
    <xf numFmtId="0" fontId="3" fillId="43" borderId="0" applyNumberFormat="0" applyBorder="0" applyAlignment="0" applyProtection="0"/>
    <xf numFmtId="0" fontId="3" fillId="29" borderId="0" applyNumberFormat="0" applyBorder="0" applyAlignment="0" applyProtection="0"/>
    <xf numFmtId="0" fontId="3" fillId="0" borderId="0"/>
    <xf numFmtId="0" fontId="3" fillId="36" borderId="0" applyNumberFormat="0" applyBorder="0" applyAlignment="0" applyProtection="0"/>
    <xf numFmtId="0" fontId="3" fillId="28" borderId="0" applyNumberFormat="0" applyBorder="0" applyAlignment="0" applyProtection="0"/>
    <xf numFmtId="0" fontId="3" fillId="49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9" borderId="0" applyNumberFormat="0" applyBorder="0" applyAlignment="0" applyProtection="0"/>
    <xf numFmtId="0" fontId="3" fillId="31" borderId="0" applyNumberFormat="0" applyBorder="0" applyAlignment="0" applyProtection="0"/>
    <xf numFmtId="0" fontId="3" fillId="47" borderId="0" applyNumberFormat="0" applyBorder="0" applyAlignment="0" applyProtection="0"/>
    <xf numFmtId="0" fontId="3" fillId="39" borderId="0" applyNumberFormat="0" applyBorder="0" applyAlignment="0" applyProtection="0"/>
    <xf numFmtId="0" fontId="3" fillId="40" borderId="0" applyNumberFormat="0" applyBorder="0" applyAlignment="0" applyProtection="0"/>
    <xf numFmtId="0" fontId="3" fillId="47" borderId="0" applyNumberFormat="0" applyBorder="0" applyAlignment="0" applyProtection="0"/>
    <xf numFmtId="0" fontId="3" fillId="43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9" borderId="0" applyNumberFormat="0" applyBorder="0" applyAlignment="0" applyProtection="0"/>
    <xf numFmtId="0" fontId="3" fillId="29" borderId="0" applyNumberFormat="0" applyBorder="0" applyAlignment="0" applyProtection="0"/>
    <xf numFmtId="0" fontId="3" fillId="0" borderId="0"/>
    <xf numFmtId="0" fontId="3" fillId="28" borderId="0" applyNumberFormat="0" applyBorder="0" applyAlignment="0" applyProtection="0"/>
    <xf numFmtId="0" fontId="3" fillId="39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41" borderId="0" applyNumberFormat="0" applyBorder="0" applyAlignment="0" applyProtection="0"/>
    <xf numFmtId="0" fontId="3" fillId="0" borderId="0"/>
    <xf numFmtId="0" fontId="3" fillId="36" borderId="0" applyNumberFormat="0" applyBorder="0" applyAlignment="0" applyProtection="0"/>
    <xf numFmtId="0" fontId="3" fillId="35" borderId="0" applyNumberFormat="0" applyBorder="0" applyAlignment="0" applyProtection="0"/>
    <xf numFmtId="0" fontId="3" fillId="28" borderId="0" applyNumberFormat="0" applyBorder="0" applyAlignment="0" applyProtection="0"/>
    <xf numFmtId="0" fontId="3" fillId="47" borderId="0" applyNumberFormat="0" applyBorder="0" applyAlignment="0" applyProtection="0"/>
    <xf numFmtId="0" fontId="3" fillId="28" borderId="0" applyNumberFormat="0" applyBorder="0" applyAlignment="0" applyProtection="0"/>
    <xf numFmtId="0" fontId="3" fillId="41" borderId="0" applyNumberFormat="0" applyBorder="0" applyAlignment="0" applyProtection="0"/>
    <xf numFmtId="0" fontId="3" fillId="33" borderId="0" applyNumberFormat="0" applyBorder="0" applyAlignment="0" applyProtection="0"/>
    <xf numFmtId="0" fontId="3" fillId="41" borderId="0" applyNumberFormat="0" applyBorder="0" applyAlignment="0" applyProtection="0"/>
    <xf numFmtId="0" fontId="3" fillId="28" borderId="0" applyNumberFormat="0" applyBorder="0" applyAlignment="0" applyProtection="0"/>
    <xf numFmtId="0" fontId="3" fillId="37" borderId="0" applyNumberFormat="0" applyBorder="0" applyAlignment="0" applyProtection="0"/>
    <xf numFmtId="0" fontId="3" fillId="27" borderId="0" applyNumberFormat="0" applyBorder="0" applyAlignment="0" applyProtection="0"/>
    <xf numFmtId="0" fontId="3" fillId="47" borderId="0" applyNumberFormat="0" applyBorder="0" applyAlignment="0" applyProtection="0"/>
    <xf numFmtId="0" fontId="3" fillId="37" borderId="0" applyNumberFormat="0" applyBorder="0" applyAlignment="0" applyProtection="0"/>
    <xf numFmtId="0" fontId="3" fillId="43" borderId="0" applyNumberFormat="0" applyBorder="0" applyAlignment="0" applyProtection="0"/>
    <xf numFmtId="0" fontId="3" fillId="0" borderId="0"/>
    <xf numFmtId="0" fontId="3" fillId="49" borderId="0" applyNumberFormat="0" applyBorder="0" applyAlignment="0" applyProtection="0"/>
    <xf numFmtId="0" fontId="3" fillId="0" borderId="0"/>
    <xf numFmtId="0" fontId="3" fillId="49" borderId="0" applyNumberFormat="0" applyBorder="0" applyAlignment="0" applyProtection="0"/>
    <xf numFmtId="0" fontId="3" fillId="37" borderId="0" applyNumberFormat="0" applyBorder="0" applyAlignment="0" applyProtection="0"/>
    <xf numFmtId="0" fontId="3" fillId="33" borderId="0" applyNumberFormat="0" applyBorder="0" applyAlignment="0" applyProtection="0"/>
    <xf numFmtId="0" fontId="3" fillId="49" borderId="0" applyNumberFormat="0" applyBorder="0" applyAlignment="0" applyProtection="0"/>
    <xf numFmtId="0" fontId="3" fillId="0" borderId="0"/>
    <xf numFmtId="0" fontId="3" fillId="32" borderId="0" applyNumberFormat="0" applyBorder="0" applyAlignment="0" applyProtection="0"/>
    <xf numFmtId="0" fontId="3" fillId="35" borderId="0" applyNumberFormat="0" applyBorder="0" applyAlignment="0" applyProtection="0"/>
    <xf numFmtId="0" fontId="3" fillId="45" borderId="0" applyNumberFormat="0" applyBorder="0" applyAlignment="0" applyProtection="0"/>
    <xf numFmtId="0" fontId="3" fillId="43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25" borderId="58" applyNumberFormat="0" applyFont="0" applyAlignment="0" applyProtection="0"/>
    <xf numFmtId="0" fontId="3" fillId="40" borderId="0" applyNumberFormat="0" applyBorder="0" applyAlignment="0" applyProtection="0"/>
    <xf numFmtId="0" fontId="3" fillId="47" borderId="0" applyNumberFormat="0" applyBorder="0" applyAlignment="0" applyProtection="0"/>
    <xf numFmtId="0" fontId="3" fillId="27" borderId="0" applyNumberFormat="0" applyBorder="0" applyAlignment="0" applyProtection="0"/>
    <xf numFmtId="0" fontId="3" fillId="41" borderId="0" applyNumberFormat="0" applyBorder="0" applyAlignment="0" applyProtection="0"/>
    <xf numFmtId="0" fontId="3" fillId="43" borderId="0" applyNumberFormat="0" applyBorder="0" applyAlignment="0" applyProtection="0"/>
    <xf numFmtId="0" fontId="3" fillId="37" borderId="0" applyNumberFormat="0" applyBorder="0" applyAlignment="0" applyProtection="0"/>
    <xf numFmtId="0" fontId="3" fillId="47" borderId="0" applyNumberFormat="0" applyBorder="0" applyAlignment="0" applyProtection="0"/>
    <xf numFmtId="0" fontId="3" fillId="32" borderId="0" applyNumberFormat="0" applyBorder="0" applyAlignment="0" applyProtection="0"/>
    <xf numFmtId="0" fontId="3" fillId="35" borderId="0" applyNumberFormat="0" applyBorder="0" applyAlignment="0" applyProtection="0"/>
    <xf numFmtId="0" fontId="3" fillId="29" borderId="0" applyNumberFormat="0" applyBorder="0" applyAlignment="0" applyProtection="0"/>
    <xf numFmtId="0" fontId="3" fillId="45" borderId="0" applyNumberFormat="0" applyBorder="0" applyAlignment="0" applyProtection="0"/>
    <xf numFmtId="0" fontId="3" fillId="25" borderId="58" applyNumberFormat="0" applyFont="0" applyAlignment="0" applyProtection="0"/>
    <xf numFmtId="0" fontId="3" fillId="35" borderId="0" applyNumberFormat="0" applyBorder="0" applyAlignment="0" applyProtection="0"/>
    <xf numFmtId="0" fontId="3" fillId="31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0" borderId="0"/>
    <xf numFmtId="0" fontId="3" fillId="36" borderId="0" applyNumberFormat="0" applyBorder="0" applyAlignment="0" applyProtection="0"/>
    <xf numFmtId="0" fontId="3" fillId="27" borderId="0" applyNumberFormat="0" applyBorder="0" applyAlignment="0" applyProtection="0"/>
    <xf numFmtId="0" fontId="3" fillId="27" borderId="0" applyNumberFormat="0" applyBorder="0" applyAlignment="0" applyProtection="0"/>
    <xf numFmtId="0" fontId="3" fillId="25" borderId="58" applyNumberFormat="0" applyFont="0" applyAlignment="0" applyProtection="0"/>
    <xf numFmtId="0" fontId="3" fillId="33" borderId="0" applyNumberFormat="0" applyBorder="0" applyAlignment="0" applyProtection="0"/>
    <xf numFmtId="0" fontId="3" fillId="49" borderId="0" applyNumberFormat="0" applyBorder="0" applyAlignment="0" applyProtection="0"/>
    <xf numFmtId="0" fontId="3" fillId="29" borderId="0" applyNumberFormat="0" applyBorder="0" applyAlignment="0" applyProtection="0"/>
    <xf numFmtId="0" fontId="3" fillId="40" borderId="0" applyNumberFormat="0" applyBorder="0" applyAlignment="0" applyProtection="0"/>
    <xf numFmtId="0" fontId="3" fillId="37" borderId="0" applyNumberFormat="0" applyBorder="0" applyAlignment="0" applyProtection="0"/>
    <xf numFmtId="0" fontId="3" fillId="27" borderId="0" applyNumberFormat="0" applyBorder="0" applyAlignment="0" applyProtection="0"/>
    <xf numFmtId="0" fontId="3" fillId="45" borderId="0" applyNumberFormat="0" applyBorder="0" applyAlignment="0" applyProtection="0"/>
    <xf numFmtId="0" fontId="3" fillId="44" borderId="0" applyNumberFormat="0" applyBorder="0" applyAlignment="0" applyProtection="0"/>
    <xf numFmtId="0" fontId="3" fillId="45" borderId="0" applyNumberFormat="0" applyBorder="0" applyAlignment="0" applyProtection="0"/>
    <xf numFmtId="0" fontId="3" fillId="35" borderId="0" applyNumberFormat="0" applyBorder="0" applyAlignment="0" applyProtection="0"/>
    <xf numFmtId="0" fontId="3" fillId="40" borderId="0" applyNumberFormat="0" applyBorder="0" applyAlignment="0" applyProtection="0"/>
    <xf numFmtId="0" fontId="3" fillId="31" borderId="0" applyNumberFormat="0" applyBorder="0" applyAlignment="0" applyProtection="0"/>
    <xf numFmtId="0" fontId="3" fillId="45" borderId="0" applyNumberFormat="0" applyBorder="0" applyAlignment="0" applyProtection="0"/>
    <xf numFmtId="0" fontId="3" fillId="41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41" borderId="0" applyNumberFormat="0" applyBorder="0" applyAlignment="0" applyProtection="0"/>
    <xf numFmtId="0" fontId="3" fillId="39" borderId="0" applyNumberFormat="0" applyBorder="0" applyAlignment="0" applyProtection="0"/>
    <xf numFmtId="0" fontId="3" fillId="27" borderId="0" applyNumberFormat="0" applyBorder="0" applyAlignment="0" applyProtection="0"/>
    <xf numFmtId="0" fontId="3" fillId="40" borderId="0" applyNumberFormat="0" applyBorder="0" applyAlignment="0" applyProtection="0"/>
    <xf numFmtId="0" fontId="3" fillId="27" borderId="0" applyNumberFormat="0" applyBorder="0" applyAlignment="0" applyProtection="0"/>
    <xf numFmtId="0" fontId="3" fillId="29" borderId="0" applyNumberFormat="0" applyBorder="0" applyAlignment="0" applyProtection="0"/>
    <xf numFmtId="0" fontId="3" fillId="40" borderId="0" applyNumberFormat="0" applyBorder="0" applyAlignment="0" applyProtection="0"/>
    <xf numFmtId="0" fontId="3" fillId="49" borderId="0" applyNumberFormat="0" applyBorder="0" applyAlignment="0" applyProtection="0"/>
    <xf numFmtId="0" fontId="3" fillId="32" borderId="0" applyNumberFormat="0" applyBorder="0" applyAlignment="0" applyProtection="0"/>
    <xf numFmtId="0" fontId="3" fillId="44" borderId="0" applyNumberFormat="0" applyBorder="0" applyAlignment="0" applyProtection="0"/>
    <xf numFmtId="0" fontId="3" fillId="39" borderId="0" applyNumberFormat="0" applyBorder="0" applyAlignment="0" applyProtection="0"/>
    <xf numFmtId="44" fontId="52" fillId="0" borderId="0" applyFont="0" applyFill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3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35" fillId="0" borderId="0" applyFont="0" applyFill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2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1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48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48" borderId="0" applyNumberFormat="0" applyBorder="0" applyAlignment="0" applyProtection="0"/>
    <xf numFmtId="0" fontId="2" fillId="4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1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25" borderId="58" applyNumberFormat="0" applyFont="0" applyAlignment="0" applyProtection="0"/>
    <xf numFmtId="0" fontId="2" fillId="29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39" borderId="0" applyNumberFormat="0" applyBorder="0" applyAlignment="0" applyProtection="0"/>
    <xf numFmtId="0" fontId="2" fillId="25" borderId="58" applyNumberFormat="0" applyFont="0" applyAlignment="0" applyProtection="0"/>
    <xf numFmtId="0" fontId="2" fillId="43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3" borderId="0" applyNumberFormat="0" applyBorder="0" applyAlignment="0" applyProtection="0"/>
    <xf numFmtId="0" fontId="2" fillId="27" borderId="0" applyNumberFormat="0" applyBorder="0" applyAlignment="0" applyProtection="0"/>
    <xf numFmtId="0" fontId="2" fillId="35" borderId="0" applyNumberFormat="0" applyBorder="0" applyAlignment="0" applyProtection="0"/>
    <xf numFmtId="0" fontId="2" fillId="39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5" borderId="58" applyNumberFormat="0" applyFont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49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7" borderId="0" applyNumberFormat="0" applyBorder="0" applyAlignment="0" applyProtection="0"/>
    <xf numFmtId="0" fontId="2" fillId="33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0" borderId="0"/>
    <xf numFmtId="0" fontId="2" fillId="45" borderId="0" applyNumberFormat="0" applyBorder="0" applyAlignment="0" applyProtection="0"/>
    <xf numFmtId="0" fontId="2" fillId="36" borderId="0" applyNumberFormat="0" applyBorder="0" applyAlignment="0" applyProtection="0"/>
    <xf numFmtId="0" fontId="2" fillId="31" borderId="0" applyNumberFormat="0" applyBorder="0" applyAlignment="0" applyProtection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44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5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36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3" borderId="0" applyNumberFormat="0" applyBorder="0" applyAlignment="0" applyProtection="0"/>
    <xf numFmtId="0" fontId="2" fillId="47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37" borderId="0" applyNumberFormat="0" applyBorder="0" applyAlignment="0" applyProtection="0"/>
    <xf numFmtId="0" fontId="2" fillId="48" borderId="0" applyNumberFormat="0" applyBorder="0" applyAlignment="0" applyProtection="0"/>
    <xf numFmtId="44" fontId="53" fillId="0" borderId="0" applyFont="0" applyFill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36" borderId="0" applyNumberFormat="0" applyBorder="0" applyAlignment="0" applyProtection="0"/>
    <xf numFmtId="0" fontId="2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0" borderId="0" applyNumberFormat="0" applyBorder="0" applyAlignment="0" applyProtection="0"/>
    <xf numFmtId="0" fontId="2" fillId="48" borderId="0" applyNumberFormat="0" applyBorder="0" applyAlignment="0" applyProtection="0"/>
    <xf numFmtId="0" fontId="2" fillId="48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4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2" borderId="0" applyNumberFormat="0" applyBorder="0" applyAlignment="0" applyProtection="0"/>
    <xf numFmtId="0" fontId="2" fillId="29" borderId="0" applyNumberFormat="0" applyBorder="0" applyAlignment="0" applyProtection="0"/>
    <xf numFmtId="0" fontId="2" fillId="2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43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7" borderId="0" applyNumberFormat="0" applyBorder="0" applyAlignment="0" applyProtection="0"/>
    <xf numFmtId="0" fontId="2" fillId="36" borderId="0" applyNumberFormat="0" applyBorder="0" applyAlignment="0" applyProtection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8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8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28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8" borderId="0" applyNumberFormat="0" applyBorder="0" applyAlignment="0" applyProtection="0"/>
    <xf numFmtId="0" fontId="2" fillId="43" borderId="0" applyNumberFormat="0" applyBorder="0" applyAlignment="0" applyProtection="0"/>
    <xf numFmtId="0" fontId="2" fillId="49" borderId="0" applyNumberFormat="0" applyBorder="0" applyAlignment="0" applyProtection="0"/>
    <xf numFmtId="0" fontId="2" fillId="33" borderId="0" applyNumberFormat="0" applyBorder="0" applyAlignment="0" applyProtection="0"/>
    <xf numFmtId="0" fontId="2" fillId="40" borderId="0" applyNumberFormat="0" applyBorder="0" applyAlignment="0" applyProtection="0"/>
    <xf numFmtId="0" fontId="2" fillId="39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8" borderId="0" applyNumberFormat="0" applyBorder="0" applyAlignment="0" applyProtection="0"/>
    <xf numFmtId="0" fontId="2" fillId="4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43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9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28" borderId="0" applyNumberFormat="0" applyBorder="0" applyAlignment="0" applyProtection="0"/>
    <xf numFmtId="0" fontId="2" fillId="4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45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27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35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5" borderId="58" applyNumberFormat="0" applyFont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1" borderId="0" applyNumberFormat="0" applyBorder="0" applyAlignment="0" applyProtection="0"/>
    <xf numFmtId="0" fontId="2" fillId="45" borderId="0" applyNumberFormat="0" applyBorder="0" applyAlignment="0" applyProtection="0"/>
    <xf numFmtId="0" fontId="2" fillId="41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27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44" fontId="52" fillId="0" borderId="0" applyFont="0" applyFill="0" applyBorder="0" applyAlignment="0" applyProtection="0"/>
    <xf numFmtId="44" fontId="53" fillId="0" borderId="0" applyFont="0" applyFill="0" applyBorder="0" applyAlignment="0" applyProtection="0"/>
    <xf numFmtId="0" fontId="53" fillId="0" borderId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3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35" fillId="0" borderId="0" applyFont="0" applyFill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44" fontId="52" fillId="0" borderId="0" applyFont="0" applyFill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25" borderId="58" applyNumberFormat="0" applyFont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35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1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48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48" borderId="0" applyNumberFormat="0" applyBorder="0" applyAlignment="0" applyProtection="0"/>
    <xf numFmtId="0" fontId="2" fillId="4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1" borderId="0" applyNumberFormat="0" applyBorder="0" applyAlignment="0" applyProtection="0"/>
    <xf numFmtId="0" fontId="2" fillId="29" borderId="0" applyNumberFormat="0" applyBorder="0" applyAlignment="0" applyProtection="0"/>
    <xf numFmtId="0" fontId="2" fillId="32" borderId="0" applyNumberFormat="0" applyBorder="0" applyAlignment="0" applyProtection="0"/>
    <xf numFmtId="0" fontId="2" fillId="25" borderId="58" applyNumberFormat="0" applyFont="0" applyAlignment="0" applyProtection="0"/>
    <xf numFmtId="0" fontId="2" fillId="29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39" borderId="0" applyNumberFormat="0" applyBorder="0" applyAlignment="0" applyProtection="0"/>
    <xf numFmtId="0" fontId="2" fillId="25" borderId="58" applyNumberFormat="0" applyFont="0" applyAlignment="0" applyProtection="0"/>
    <xf numFmtId="0" fontId="2" fillId="43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3" borderId="0" applyNumberFormat="0" applyBorder="0" applyAlignment="0" applyProtection="0"/>
    <xf numFmtId="0" fontId="2" fillId="27" borderId="0" applyNumberFormat="0" applyBorder="0" applyAlignment="0" applyProtection="0"/>
    <xf numFmtId="0" fontId="2" fillId="35" borderId="0" applyNumberFormat="0" applyBorder="0" applyAlignment="0" applyProtection="0"/>
    <xf numFmtId="0" fontId="2" fillId="39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5" borderId="58" applyNumberFormat="0" applyFont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49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25" borderId="58" applyNumberFormat="0" applyFont="0" applyAlignment="0" applyProtection="0"/>
    <xf numFmtId="0" fontId="2" fillId="31" borderId="0" applyNumberFormat="0" applyBorder="0" applyAlignment="0" applyProtection="0"/>
    <xf numFmtId="0" fontId="2" fillId="27" borderId="0" applyNumberFormat="0" applyBorder="0" applyAlignment="0" applyProtection="0"/>
    <xf numFmtId="0" fontId="2" fillId="33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0" borderId="0"/>
    <xf numFmtId="0" fontId="2" fillId="45" borderId="0" applyNumberFormat="0" applyBorder="0" applyAlignment="0" applyProtection="0"/>
    <xf numFmtId="0" fontId="2" fillId="36" borderId="0" applyNumberFormat="0" applyBorder="0" applyAlignment="0" applyProtection="0"/>
    <xf numFmtId="0" fontId="2" fillId="31" borderId="0" applyNumberFormat="0" applyBorder="0" applyAlignment="0" applyProtection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44" borderId="0" applyNumberFormat="0" applyBorder="0" applyAlignment="0" applyProtection="0"/>
    <xf numFmtId="0" fontId="2" fillId="47" borderId="0" applyNumberFormat="0" applyBorder="0" applyAlignment="0" applyProtection="0"/>
    <xf numFmtId="0" fontId="2" fillId="25" borderId="58" applyNumberFormat="0" applyFont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5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36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28" borderId="0" applyNumberFormat="0" applyBorder="0" applyAlignment="0" applyProtection="0"/>
    <xf numFmtId="0" fontId="2" fillId="33" borderId="0" applyNumberFormat="0" applyBorder="0" applyAlignment="0" applyProtection="0"/>
    <xf numFmtId="0" fontId="2" fillId="47" borderId="0" applyNumberFormat="0" applyBorder="0" applyAlignment="0" applyProtection="0"/>
    <xf numFmtId="0" fontId="2" fillId="45" borderId="0" applyNumberFormat="0" applyBorder="0" applyAlignment="0" applyProtection="0"/>
    <xf numFmtId="0" fontId="2" fillId="48" borderId="0" applyNumberFormat="0" applyBorder="0" applyAlignment="0" applyProtection="0"/>
    <xf numFmtId="0" fontId="2" fillId="27" borderId="0" applyNumberFormat="0" applyBorder="0" applyAlignment="0" applyProtection="0"/>
    <xf numFmtId="0" fontId="2" fillId="37" borderId="0" applyNumberFormat="0" applyBorder="0" applyAlignment="0" applyProtection="0"/>
    <xf numFmtId="0" fontId="2" fillId="48" borderId="0" applyNumberFormat="0" applyBorder="0" applyAlignment="0" applyProtection="0"/>
    <xf numFmtId="44" fontId="53" fillId="0" borderId="0" applyFont="0" applyFill="0" applyBorder="0" applyAlignment="0" applyProtection="0"/>
    <xf numFmtId="0" fontId="2" fillId="47" borderId="0" applyNumberFormat="0" applyBorder="0" applyAlignment="0" applyProtection="0"/>
    <xf numFmtId="0" fontId="2" fillId="48" borderId="0" applyNumberFormat="0" applyBorder="0" applyAlignment="0" applyProtection="0"/>
    <xf numFmtId="0" fontId="2" fillId="36" borderId="0" applyNumberFormat="0" applyBorder="0" applyAlignment="0" applyProtection="0"/>
    <xf numFmtId="0" fontId="2" fillId="40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0" borderId="0" applyNumberFormat="0" applyBorder="0" applyAlignment="0" applyProtection="0"/>
    <xf numFmtId="0" fontId="2" fillId="48" borderId="0" applyNumberFormat="0" applyBorder="0" applyAlignment="0" applyProtection="0"/>
    <xf numFmtId="0" fontId="2" fillId="48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29" borderId="0" applyNumberFormat="0" applyBorder="0" applyAlignment="0" applyProtection="0"/>
    <xf numFmtId="0" fontId="2" fillId="28" borderId="0" applyNumberFormat="0" applyBorder="0" applyAlignment="0" applyProtection="0"/>
    <xf numFmtId="0" fontId="2" fillId="44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2" borderId="0" applyNumberFormat="0" applyBorder="0" applyAlignment="0" applyProtection="0"/>
    <xf numFmtId="0" fontId="2" fillId="29" borderId="0" applyNumberFormat="0" applyBorder="0" applyAlignment="0" applyProtection="0"/>
    <xf numFmtId="0" fontId="2" fillId="27" borderId="0" applyNumberFormat="0" applyBorder="0" applyAlignment="0" applyProtection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43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37" borderId="0" applyNumberFormat="0" applyBorder="0" applyAlignment="0" applyProtection="0"/>
    <xf numFmtId="0" fontId="2" fillId="36" borderId="0" applyNumberFormat="0" applyBorder="0" applyAlignment="0" applyProtection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0" borderId="0"/>
    <xf numFmtId="0" fontId="2" fillId="28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33" borderId="0" applyNumberFormat="0" applyBorder="0" applyAlignment="0" applyProtection="0"/>
    <xf numFmtId="0" fontId="2" fillId="48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8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2" borderId="0" applyNumberFormat="0" applyBorder="0" applyAlignment="0" applyProtection="0"/>
    <xf numFmtId="0" fontId="2" fillId="32" borderId="0" applyNumberFormat="0" applyBorder="0" applyAlignment="0" applyProtection="0"/>
    <xf numFmtId="0" fontId="2" fillId="28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8" borderId="0" applyNumberFormat="0" applyBorder="0" applyAlignment="0" applyProtection="0"/>
    <xf numFmtId="0" fontId="2" fillId="43" borderId="0" applyNumberFormat="0" applyBorder="0" applyAlignment="0" applyProtection="0"/>
    <xf numFmtId="0" fontId="2" fillId="49" borderId="0" applyNumberFormat="0" applyBorder="0" applyAlignment="0" applyProtection="0"/>
    <xf numFmtId="0" fontId="2" fillId="33" borderId="0" applyNumberFormat="0" applyBorder="0" applyAlignment="0" applyProtection="0"/>
    <xf numFmtId="0" fontId="2" fillId="40" borderId="0" applyNumberFormat="0" applyBorder="0" applyAlignment="0" applyProtection="0"/>
    <xf numFmtId="0" fontId="2" fillId="39" borderId="0" applyNumberFormat="0" applyBorder="0" applyAlignment="0" applyProtection="0"/>
    <xf numFmtId="0" fontId="2" fillId="48" borderId="0" applyNumberFormat="0" applyBorder="0" applyAlignment="0" applyProtection="0"/>
    <xf numFmtId="0" fontId="2" fillId="0" borderId="0"/>
    <xf numFmtId="0" fontId="2" fillId="3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25" borderId="58" applyNumberFormat="0" applyFont="0" applyAlignment="0" applyProtection="0"/>
    <xf numFmtId="0" fontId="2" fillId="41" borderId="0" applyNumberFormat="0" applyBorder="0" applyAlignment="0" applyProtection="0"/>
    <xf numFmtId="0" fontId="2" fillId="44" borderId="0" applyNumberFormat="0" applyBorder="0" applyAlignment="0" applyProtection="0"/>
    <xf numFmtId="0" fontId="2" fillId="33" borderId="0" applyNumberFormat="0" applyBorder="0" applyAlignment="0" applyProtection="0"/>
    <xf numFmtId="0" fontId="2" fillId="3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6" borderId="0" applyNumberFormat="0" applyBorder="0" applyAlignment="0" applyProtection="0"/>
    <xf numFmtId="0" fontId="2" fillId="43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8" borderId="0" applyNumberFormat="0" applyBorder="0" applyAlignment="0" applyProtection="0"/>
    <xf numFmtId="0" fontId="2" fillId="49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9" borderId="0" applyNumberFormat="0" applyBorder="0" applyAlignment="0" applyProtection="0"/>
    <xf numFmtId="0" fontId="2" fillId="31" borderId="0" applyNumberFormat="0" applyBorder="0" applyAlignment="0" applyProtection="0"/>
    <xf numFmtId="0" fontId="2" fillId="47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43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9" borderId="0" applyNumberFormat="0" applyBorder="0" applyAlignment="0" applyProtection="0"/>
    <xf numFmtId="0" fontId="2" fillId="29" borderId="0" applyNumberFormat="0" applyBorder="0" applyAlignment="0" applyProtection="0"/>
    <xf numFmtId="0" fontId="2" fillId="0" borderId="0"/>
    <xf numFmtId="0" fontId="2" fillId="28" borderId="0" applyNumberFormat="0" applyBorder="0" applyAlignment="0" applyProtection="0"/>
    <xf numFmtId="0" fontId="2" fillId="39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35" borderId="0" applyNumberFormat="0" applyBorder="0" applyAlignment="0" applyProtection="0"/>
    <xf numFmtId="0" fontId="2" fillId="28" borderId="0" applyNumberFormat="0" applyBorder="0" applyAlignment="0" applyProtection="0"/>
    <xf numFmtId="0" fontId="2" fillId="4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28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0" borderId="0"/>
    <xf numFmtId="0" fontId="2" fillId="49" borderId="0" applyNumberFormat="0" applyBorder="0" applyAlignment="0" applyProtection="0"/>
    <xf numFmtId="0" fontId="2" fillId="37" borderId="0" applyNumberFormat="0" applyBorder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0" borderId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45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40" borderId="0" applyNumberFormat="0" applyBorder="0" applyAlignment="0" applyProtection="0"/>
    <xf numFmtId="0" fontId="2" fillId="47" borderId="0" applyNumberFormat="0" applyBorder="0" applyAlignment="0" applyProtection="0"/>
    <xf numFmtId="0" fontId="2" fillId="27" borderId="0" applyNumberFormat="0" applyBorder="0" applyAlignment="0" applyProtection="0"/>
    <xf numFmtId="0" fontId="2" fillId="41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47" borderId="0" applyNumberFormat="0" applyBorder="0" applyAlignment="0" applyProtection="0"/>
    <xf numFmtId="0" fontId="2" fillId="32" borderId="0" applyNumberFormat="0" applyBorder="0" applyAlignment="0" applyProtection="0"/>
    <xf numFmtId="0" fontId="2" fillId="35" borderId="0" applyNumberFormat="0" applyBorder="0" applyAlignment="0" applyProtection="0"/>
    <xf numFmtId="0" fontId="2" fillId="29" borderId="0" applyNumberFormat="0" applyBorder="0" applyAlignment="0" applyProtection="0"/>
    <xf numFmtId="0" fontId="2" fillId="45" borderId="0" applyNumberFormat="0" applyBorder="0" applyAlignment="0" applyProtection="0"/>
    <xf numFmtId="0" fontId="2" fillId="25" borderId="58" applyNumberFormat="0" applyFont="0" applyAlignment="0" applyProtection="0"/>
    <xf numFmtId="0" fontId="2" fillId="35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36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5" borderId="58" applyNumberFormat="0" applyFont="0" applyAlignment="0" applyProtection="0"/>
    <xf numFmtId="0" fontId="2" fillId="33" borderId="0" applyNumberFormat="0" applyBorder="0" applyAlignment="0" applyProtection="0"/>
    <xf numFmtId="0" fontId="2" fillId="49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37" borderId="0" applyNumberFormat="0" applyBorder="0" applyAlignment="0" applyProtection="0"/>
    <xf numFmtId="0" fontId="2" fillId="27" borderId="0" applyNumberFormat="0" applyBorder="0" applyAlignment="0" applyProtection="0"/>
    <xf numFmtId="0" fontId="2" fillId="45" borderId="0" applyNumberFormat="0" applyBorder="0" applyAlignment="0" applyProtection="0"/>
    <xf numFmtId="0" fontId="2" fillId="44" borderId="0" applyNumberFormat="0" applyBorder="0" applyAlignment="0" applyProtection="0"/>
    <xf numFmtId="0" fontId="2" fillId="45" borderId="0" applyNumberFormat="0" applyBorder="0" applyAlignment="0" applyProtection="0"/>
    <xf numFmtId="0" fontId="2" fillId="35" borderId="0" applyNumberFormat="0" applyBorder="0" applyAlignment="0" applyProtection="0"/>
    <xf numFmtId="0" fontId="2" fillId="40" borderId="0" applyNumberFormat="0" applyBorder="0" applyAlignment="0" applyProtection="0"/>
    <xf numFmtId="0" fontId="2" fillId="31" borderId="0" applyNumberFormat="0" applyBorder="0" applyAlignment="0" applyProtection="0"/>
    <xf numFmtId="0" fontId="2" fillId="45" borderId="0" applyNumberFormat="0" applyBorder="0" applyAlignment="0" applyProtection="0"/>
    <xf numFmtId="0" fontId="2" fillId="41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27" borderId="0" applyNumberFormat="0" applyBorder="0" applyAlignment="0" applyProtection="0"/>
    <xf numFmtId="0" fontId="2" fillId="40" borderId="0" applyNumberFormat="0" applyBorder="0" applyAlignment="0" applyProtection="0"/>
    <xf numFmtId="0" fontId="2" fillId="27" borderId="0" applyNumberFormat="0" applyBorder="0" applyAlignment="0" applyProtection="0"/>
    <xf numFmtId="0" fontId="2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9" borderId="0" applyNumberFormat="0" applyBorder="0" applyAlignment="0" applyProtection="0"/>
    <xf numFmtId="0" fontId="2" fillId="32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44" fontId="52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75" fillId="0" borderId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74" fillId="0" borderId="0"/>
    <xf numFmtId="44" fontId="23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2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52" fillId="0" borderId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2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23" fillId="0" borderId="0"/>
    <xf numFmtId="44" fontId="23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2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2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23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2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2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2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2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23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2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2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2" fillId="0" borderId="0" applyFont="0" applyFill="0" applyBorder="0" applyAlignment="0" applyProtection="0"/>
    <xf numFmtId="44" fontId="52" fillId="0" borderId="0" applyFont="0" applyFill="0" applyBorder="0" applyAlignment="0" applyProtection="0"/>
    <xf numFmtId="0" fontId="52" fillId="0" borderId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2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23" fillId="0" borderId="0" applyFont="0" applyFill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44" fontId="52" fillId="0" borderId="0" applyFont="0" applyFill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25" borderId="58" applyNumberFormat="0" applyFont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48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48" borderId="0" applyNumberFormat="0" applyBorder="0" applyAlignment="0" applyProtection="0"/>
    <xf numFmtId="0" fontId="1" fillId="4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1" borderId="0" applyNumberFormat="0" applyBorder="0" applyAlignment="0" applyProtection="0"/>
    <xf numFmtId="0" fontId="1" fillId="29" borderId="0" applyNumberFormat="0" applyBorder="0" applyAlignment="0" applyProtection="0"/>
    <xf numFmtId="0" fontId="1" fillId="32" borderId="0" applyNumberFormat="0" applyBorder="0" applyAlignment="0" applyProtection="0"/>
    <xf numFmtId="0" fontId="1" fillId="25" borderId="58" applyNumberFormat="0" applyFont="0" applyAlignment="0" applyProtection="0"/>
    <xf numFmtId="0" fontId="1" fillId="29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39" borderId="0" applyNumberFormat="0" applyBorder="0" applyAlignment="0" applyProtection="0"/>
    <xf numFmtId="0" fontId="1" fillId="25" borderId="58" applyNumberFormat="0" applyFont="0" applyAlignment="0" applyProtection="0"/>
    <xf numFmtId="0" fontId="1" fillId="43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3" borderId="0" applyNumberFormat="0" applyBorder="0" applyAlignment="0" applyProtection="0"/>
    <xf numFmtId="0" fontId="1" fillId="27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5" borderId="58" applyNumberFormat="0" applyFont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49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25" borderId="58" applyNumberFormat="0" applyFont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33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0" borderId="0"/>
    <xf numFmtId="0" fontId="1" fillId="45" borderId="0" applyNumberFormat="0" applyBorder="0" applyAlignment="0" applyProtection="0"/>
    <xf numFmtId="0" fontId="1" fillId="36" borderId="0" applyNumberFormat="0" applyBorder="0" applyAlignment="0" applyProtection="0"/>
    <xf numFmtId="0" fontId="1" fillId="31" borderId="0" applyNumberFormat="0" applyBorder="0" applyAlignment="0" applyProtection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44" borderId="0" applyNumberFormat="0" applyBorder="0" applyAlignment="0" applyProtection="0"/>
    <xf numFmtId="0" fontId="1" fillId="47" borderId="0" applyNumberFormat="0" applyBorder="0" applyAlignment="0" applyProtection="0"/>
    <xf numFmtId="0" fontId="1" fillId="25" borderId="58" applyNumberFormat="0" applyFont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5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36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3" borderId="0" applyNumberFormat="0" applyBorder="0" applyAlignment="0" applyProtection="0"/>
    <xf numFmtId="0" fontId="1" fillId="47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48" borderId="0" applyNumberFormat="0" applyBorder="0" applyAlignment="0" applyProtection="0"/>
    <xf numFmtId="44" fontId="52" fillId="0" borderId="0" applyFont="0" applyFill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0" borderId="0" applyNumberFormat="0" applyBorder="0" applyAlignment="0" applyProtection="0"/>
    <xf numFmtId="0" fontId="1" fillId="48" borderId="0" applyNumberFormat="0" applyBorder="0" applyAlignment="0" applyProtection="0"/>
    <xf numFmtId="0" fontId="1" fillId="48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29" borderId="0" applyNumberFormat="0" applyBorder="0" applyAlignment="0" applyProtection="0"/>
    <xf numFmtId="0" fontId="1" fillId="28" borderId="0" applyNumberFormat="0" applyBorder="0" applyAlignment="0" applyProtection="0"/>
    <xf numFmtId="0" fontId="1" fillId="44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2" borderId="0" applyNumberFormat="0" applyBorder="0" applyAlignment="0" applyProtection="0"/>
    <xf numFmtId="0" fontId="1" fillId="29" borderId="0" applyNumberFormat="0" applyBorder="0" applyAlignment="0" applyProtection="0"/>
    <xf numFmtId="0" fontId="1" fillId="27" borderId="0" applyNumberFormat="0" applyBorder="0" applyAlignment="0" applyProtection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43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7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0" borderId="0"/>
    <xf numFmtId="0" fontId="1" fillId="28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48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8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8" borderId="0" applyNumberFormat="0" applyBorder="0" applyAlignment="0" applyProtection="0"/>
    <xf numFmtId="0" fontId="1" fillId="43" borderId="0" applyNumberFormat="0" applyBorder="0" applyAlignment="0" applyProtection="0"/>
    <xf numFmtId="0" fontId="1" fillId="49" borderId="0" applyNumberFormat="0" applyBorder="0" applyAlignment="0" applyProtection="0"/>
    <xf numFmtId="0" fontId="1" fillId="33" borderId="0" applyNumberFormat="0" applyBorder="0" applyAlignment="0" applyProtection="0"/>
    <xf numFmtId="0" fontId="1" fillId="40" borderId="0" applyNumberFormat="0" applyBorder="0" applyAlignment="0" applyProtection="0"/>
    <xf numFmtId="0" fontId="1" fillId="39" borderId="0" applyNumberFormat="0" applyBorder="0" applyAlignment="0" applyProtection="0"/>
    <xf numFmtId="0" fontId="1" fillId="48" borderId="0" applyNumberFormat="0" applyBorder="0" applyAlignment="0" applyProtection="0"/>
    <xf numFmtId="0" fontId="1" fillId="0" borderId="0"/>
    <xf numFmtId="0" fontId="1" fillId="3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25" borderId="58" applyNumberFormat="0" applyFont="0" applyAlignment="0" applyProtection="0"/>
    <xf numFmtId="0" fontId="1" fillId="41" borderId="0" applyNumberFormat="0" applyBorder="0" applyAlignment="0" applyProtection="0"/>
    <xf numFmtId="0" fontId="1" fillId="4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43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8" borderId="0" applyNumberFormat="0" applyBorder="0" applyAlignment="0" applyProtection="0"/>
    <xf numFmtId="0" fontId="1" fillId="49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9" borderId="0" applyNumberFormat="0" applyBorder="0" applyAlignment="0" applyProtection="0"/>
    <xf numFmtId="0" fontId="1" fillId="31" borderId="0" applyNumberFormat="0" applyBorder="0" applyAlignment="0" applyProtection="0"/>
    <xf numFmtId="0" fontId="1" fillId="47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43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9" borderId="0" applyNumberFormat="0" applyBorder="0" applyAlignment="0" applyProtection="0"/>
    <xf numFmtId="0" fontId="1" fillId="29" borderId="0" applyNumberFormat="0" applyBorder="0" applyAlignment="0" applyProtection="0"/>
    <xf numFmtId="0" fontId="1" fillId="0" borderId="0"/>
    <xf numFmtId="0" fontId="1" fillId="28" borderId="0" applyNumberFormat="0" applyBorder="0" applyAlignment="0" applyProtection="0"/>
    <xf numFmtId="0" fontId="1" fillId="39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35" borderId="0" applyNumberFormat="0" applyBorder="0" applyAlignment="0" applyProtection="0"/>
    <xf numFmtId="0" fontId="1" fillId="28" borderId="0" applyNumberFormat="0" applyBorder="0" applyAlignment="0" applyProtection="0"/>
    <xf numFmtId="0" fontId="1" fillId="4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28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0" borderId="0"/>
    <xf numFmtId="0" fontId="1" fillId="49" borderId="0" applyNumberFormat="0" applyBorder="0" applyAlignment="0" applyProtection="0"/>
    <xf numFmtId="0" fontId="1" fillId="37" borderId="0" applyNumberFormat="0" applyBorder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0" borderId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45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40" borderId="0" applyNumberFormat="0" applyBorder="0" applyAlignment="0" applyProtection="0"/>
    <xf numFmtId="0" fontId="1" fillId="47" borderId="0" applyNumberFormat="0" applyBorder="0" applyAlignment="0" applyProtection="0"/>
    <xf numFmtId="0" fontId="1" fillId="27" borderId="0" applyNumberFormat="0" applyBorder="0" applyAlignment="0" applyProtection="0"/>
    <xf numFmtId="0" fontId="1" fillId="41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47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29" borderId="0" applyNumberFormat="0" applyBorder="0" applyAlignment="0" applyProtection="0"/>
    <xf numFmtId="0" fontId="1" fillId="45" borderId="0" applyNumberFormat="0" applyBorder="0" applyAlignment="0" applyProtection="0"/>
    <xf numFmtId="0" fontId="1" fillId="25" borderId="58" applyNumberFormat="0" applyFont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36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5" borderId="58" applyNumberFormat="0" applyFont="0" applyAlignment="0" applyProtection="0"/>
    <xf numFmtId="0" fontId="1" fillId="33" borderId="0" applyNumberFormat="0" applyBorder="0" applyAlignment="0" applyProtection="0"/>
    <xf numFmtId="0" fontId="1" fillId="49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45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40" borderId="0" applyNumberFormat="0" applyBorder="0" applyAlignment="0" applyProtection="0"/>
    <xf numFmtId="0" fontId="1" fillId="31" borderId="0" applyNumberFormat="0" applyBorder="0" applyAlignment="0" applyProtection="0"/>
    <xf numFmtId="0" fontId="1" fillId="45" borderId="0" applyNumberFormat="0" applyBorder="0" applyAlignment="0" applyProtection="0"/>
    <xf numFmtId="0" fontId="1" fillId="41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40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9" borderId="0" applyNumberFormat="0" applyBorder="0" applyAlignment="0" applyProtection="0"/>
    <xf numFmtId="0" fontId="1" fillId="32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44" fontId="52" fillId="0" borderId="0" applyFont="0" applyFill="0" applyBorder="0" applyAlignment="0" applyProtection="0"/>
    <xf numFmtId="9" fontId="23" fillId="0" borderId="0" applyFont="0" applyFill="0" applyBorder="0" applyAlignment="0" applyProtection="0"/>
  </cellStyleXfs>
  <cellXfs count="318">
    <xf numFmtId="0" fontId="0" fillId="0" borderId="0" xfId="0"/>
    <xf numFmtId="0" fontId="9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9" fillId="3" borderId="4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8" fillId="3" borderId="21" xfId="0" applyFont="1" applyFill="1" applyBorder="1" applyAlignment="1">
      <alignment horizontal="center"/>
    </xf>
    <xf numFmtId="0" fontId="9" fillId="4" borderId="21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0" fillId="6" borderId="0" xfId="0" applyFill="1"/>
    <xf numFmtId="0" fontId="7" fillId="0" borderId="2" xfId="0" applyFont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8" fillId="3" borderId="16" xfId="0" applyFont="1" applyFill="1" applyBorder="1" applyAlignment="1">
      <alignment horizontal="center"/>
    </xf>
    <xf numFmtId="0" fontId="9" fillId="4" borderId="16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0" fillId="0" borderId="10" xfId="0" applyBorder="1"/>
    <xf numFmtId="0" fontId="0" fillId="0" borderId="17" xfId="0" applyBorder="1"/>
    <xf numFmtId="0" fontId="0" fillId="0" borderId="28" xfId="0" applyBorder="1"/>
    <xf numFmtId="0" fontId="0" fillId="0" borderId="29" xfId="0" applyBorder="1"/>
    <xf numFmtId="0" fontId="0" fillId="0" borderId="0" xfId="0" applyAlignment="1">
      <alignment horizontal="center" vertical="center"/>
    </xf>
    <xf numFmtId="0" fontId="9" fillId="3" borderId="31" xfId="0" applyFont="1" applyFill="1" applyBorder="1" applyAlignment="1">
      <alignment horizontal="center"/>
    </xf>
    <xf numFmtId="0" fontId="13" fillId="0" borderId="0" xfId="0" applyFont="1"/>
    <xf numFmtId="0" fontId="14" fillId="0" borderId="1" xfId="0" applyFont="1" applyBorder="1" applyAlignment="1">
      <alignment horizontal="center"/>
    </xf>
    <xf numFmtId="9" fontId="14" fillId="0" borderId="5" xfId="0" applyNumberFormat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4" fillId="0" borderId="2" xfId="0" applyFont="1" applyBorder="1" applyAlignment="1">
      <alignment horizontal="center"/>
    </xf>
    <xf numFmtId="9" fontId="14" fillId="0" borderId="2" xfId="0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0" fontId="16" fillId="0" borderId="0" xfId="0" applyFont="1" applyAlignment="1">
      <alignment horizont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17" fillId="0" borderId="0" xfId="0" applyFont="1" applyAlignment="1">
      <alignment vertical="center"/>
    </xf>
    <xf numFmtId="0" fontId="6" fillId="2" borderId="9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20" fillId="0" borderId="0" xfId="0" applyFont="1"/>
    <xf numFmtId="0" fontId="13" fillId="0" borderId="41" xfId="0" applyFont="1" applyBorder="1" applyAlignment="1">
      <alignment vertical="center"/>
    </xf>
    <xf numFmtId="0" fontId="7" fillId="0" borderId="35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5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48" xfId="0" applyFont="1" applyBorder="1" applyAlignment="1">
      <alignment horizontal="center" vertical="center" wrapText="1"/>
    </xf>
    <xf numFmtId="0" fontId="22" fillId="0" borderId="48" xfId="0" applyFont="1" applyBorder="1" applyAlignment="1">
      <alignment horizontal="right" vertical="center" wrapText="1"/>
    </xf>
    <xf numFmtId="0" fontId="0" fillId="0" borderId="48" xfId="0" applyBorder="1" applyAlignment="1">
      <alignment vertical="center" wrapText="1"/>
    </xf>
    <xf numFmtId="0" fontId="0" fillId="0" borderId="48" xfId="0" applyBorder="1" applyAlignment="1">
      <alignment horizontal="right" vertical="center" wrapText="1"/>
    </xf>
    <xf numFmtId="3" fontId="0" fillId="0" borderId="48" xfId="0" applyNumberFormat="1" applyBorder="1" applyAlignment="1">
      <alignment horizontal="right" vertical="center" wrapText="1"/>
    </xf>
    <xf numFmtId="0" fontId="0" fillId="0" borderId="48" xfId="0" applyBorder="1"/>
    <xf numFmtId="8" fontId="0" fillId="0" borderId="48" xfId="0" applyNumberFormat="1" applyBorder="1"/>
    <xf numFmtId="0" fontId="11" fillId="7" borderId="0" xfId="0" applyFont="1" applyFill="1"/>
    <xf numFmtId="0" fontId="23" fillId="0" borderId="48" xfId="0" applyFont="1" applyBorder="1" applyAlignment="1">
      <alignment vertical="center" wrapText="1"/>
    </xf>
    <xf numFmtId="0" fontId="23" fillId="0" borderId="48" xfId="0" applyFont="1" applyBorder="1"/>
    <xf numFmtId="0" fontId="24" fillId="2" borderId="48" xfId="0" applyFont="1" applyFill="1" applyBorder="1" applyAlignment="1">
      <alignment horizontal="center"/>
    </xf>
    <xf numFmtId="0" fontId="25" fillId="0" borderId="48" xfId="0" applyFont="1" applyBorder="1" applyAlignment="1">
      <alignment horizontal="center"/>
    </xf>
    <xf numFmtId="0" fontId="13" fillId="2" borderId="48" xfId="0" applyFont="1" applyFill="1" applyBorder="1" applyAlignment="1">
      <alignment horizontal="center"/>
    </xf>
    <xf numFmtId="0" fontId="26" fillId="8" borderId="48" xfId="0" applyFont="1" applyFill="1" applyBorder="1" applyAlignment="1">
      <alignment horizontal="center"/>
    </xf>
    <xf numFmtId="0" fontId="28" fillId="8" borderId="48" xfId="0" applyFont="1" applyFill="1" applyBorder="1" applyAlignment="1">
      <alignment horizontal="center"/>
    </xf>
    <xf numFmtId="0" fontId="14" fillId="7" borderId="48" xfId="0" applyFont="1" applyFill="1" applyBorder="1" applyAlignment="1">
      <alignment horizontal="center"/>
    </xf>
    <xf numFmtId="0" fontId="27" fillId="7" borderId="48" xfId="0" applyFont="1" applyFill="1" applyBorder="1"/>
    <xf numFmtId="0" fontId="11" fillId="7" borderId="49" xfId="0" applyFont="1" applyFill="1" applyBorder="1"/>
    <xf numFmtId="0" fontId="27" fillId="7" borderId="49" xfId="0" applyFont="1" applyFill="1" applyBorder="1"/>
    <xf numFmtId="0" fontId="10" fillId="0" borderId="2" xfId="0" applyFont="1" applyBorder="1" applyAlignment="1">
      <alignment horizontal="center"/>
    </xf>
    <xf numFmtId="0" fontId="29" fillId="9" borderId="2" xfId="0" applyFont="1" applyFill="1" applyBorder="1" applyAlignment="1">
      <alignment horizontal="center"/>
    </xf>
    <xf numFmtId="0" fontId="30" fillId="10" borderId="35" xfId="0" applyFont="1" applyFill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0" fontId="30" fillId="10" borderId="36" xfId="0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0" fontId="10" fillId="11" borderId="2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31" fillId="0" borderId="0" xfId="0" applyFont="1"/>
    <xf numFmtId="0" fontId="32" fillId="0" borderId="0" xfId="0" applyFont="1" applyAlignment="1">
      <alignment horizontal="center"/>
    </xf>
    <xf numFmtId="0" fontId="11" fillId="12" borderId="2" xfId="0" applyFont="1" applyFill="1" applyBorder="1" applyAlignment="1">
      <alignment horizontal="center"/>
    </xf>
    <xf numFmtId="0" fontId="0" fillId="11" borderId="0" xfId="0" applyFill="1"/>
    <xf numFmtId="0" fontId="0" fillId="11" borderId="2" xfId="0" applyFill="1" applyBorder="1" applyAlignment="1">
      <alignment horizontal="center"/>
    </xf>
    <xf numFmtId="14" fontId="0" fillId="11" borderId="2" xfId="0" applyNumberFormat="1" applyFill="1" applyBorder="1" applyAlignment="1">
      <alignment horizontal="center"/>
    </xf>
    <xf numFmtId="0" fontId="29" fillId="9" borderId="7" xfId="0" applyFont="1" applyFill="1" applyBorder="1" applyAlignment="1">
      <alignment horizontal="center"/>
    </xf>
    <xf numFmtId="0" fontId="10" fillId="2" borderId="35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10" fillId="2" borderId="36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0" fillId="0" borderId="35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37" xfId="0" applyFont="1" applyBorder="1" applyAlignment="1">
      <alignment horizontal="center"/>
    </xf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33" fillId="13" borderId="0" xfId="0" applyFont="1" applyFill="1" applyAlignment="1">
      <alignment horizontal="center"/>
    </xf>
    <xf numFmtId="0" fontId="29" fillId="8" borderId="1" xfId="0" applyFont="1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10" fillId="14" borderId="2" xfId="0" applyFont="1" applyFill="1" applyBorder="1" applyAlignment="1">
      <alignment horizontal="center"/>
    </xf>
    <xf numFmtId="14" fontId="0" fillId="14" borderId="2" xfId="0" applyNumberFormat="1" applyFill="1" applyBorder="1" applyAlignment="1">
      <alignment horizontal="center"/>
    </xf>
    <xf numFmtId="0" fontId="10" fillId="11" borderId="1" xfId="0" applyFont="1" applyFill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33" xfId="0" applyFont="1" applyBorder="1" applyAlignment="1">
      <alignment horizontal="center"/>
    </xf>
    <xf numFmtId="0" fontId="10" fillId="11" borderId="33" xfId="0" applyFont="1" applyFill="1" applyBorder="1" applyAlignment="1">
      <alignment horizontal="center"/>
    </xf>
    <xf numFmtId="0" fontId="13" fillId="11" borderId="2" xfId="0" applyFont="1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0" xfId="0" applyFill="1" applyAlignment="1">
      <alignment horizontal="center"/>
    </xf>
    <xf numFmtId="0" fontId="10" fillId="11" borderId="0" xfId="0" applyFont="1" applyFill="1" applyAlignment="1">
      <alignment horizontal="center"/>
    </xf>
    <xf numFmtId="0" fontId="0" fillId="15" borderId="2" xfId="0" applyFill="1" applyBorder="1" applyAlignment="1">
      <alignment horizontal="center"/>
    </xf>
    <xf numFmtId="0" fontId="10" fillId="15" borderId="2" xfId="0" applyFont="1" applyFill="1" applyBorder="1" applyAlignment="1">
      <alignment horizontal="center"/>
    </xf>
    <xf numFmtId="0" fontId="0" fillId="15" borderId="2" xfId="0" applyFill="1" applyBorder="1" applyAlignment="1">
      <alignment horizontal="center" wrapText="1"/>
    </xf>
    <xf numFmtId="14" fontId="0" fillId="15" borderId="2" xfId="0" applyNumberFormat="1" applyFill="1" applyBorder="1" applyAlignment="1">
      <alignment horizontal="center"/>
    </xf>
    <xf numFmtId="14" fontId="0" fillId="11" borderId="2" xfId="0" applyNumberFormat="1" applyFill="1" applyBorder="1" applyAlignment="1">
      <alignment horizontal="center" wrapText="1"/>
    </xf>
    <xf numFmtId="0" fontId="10" fillId="11" borderId="16" xfId="0" applyFont="1" applyFill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/>
    </xf>
    <xf numFmtId="0" fontId="23" fillId="11" borderId="2" xfId="0" applyFont="1" applyFill="1" applyBorder="1" applyAlignment="1">
      <alignment horizontal="center"/>
    </xf>
    <xf numFmtId="14" fontId="23" fillId="11" borderId="2" xfId="0" applyNumberFormat="1" applyFont="1" applyFill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15" borderId="2" xfId="0" applyFont="1" applyFill="1" applyBorder="1" applyAlignment="1">
      <alignment horizontal="center"/>
    </xf>
    <xf numFmtId="14" fontId="23" fillId="15" borderId="2" xfId="0" applyNumberFormat="1" applyFont="1" applyFill="1" applyBorder="1" applyAlignment="1">
      <alignment horizontal="center"/>
    </xf>
    <xf numFmtId="0" fontId="23" fillId="11" borderId="16" xfId="0" applyFont="1" applyFill="1" applyBorder="1" applyAlignment="1">
      <alignment horizontal="center"/>
    </xf>
    <xf numFmtId="14" fontId="23" fillId="11" borderId="16" xfId="0" applyNumberFormat="1" applyFont="1" applyFill="1" applyBorder="1" applyAlignment="1">
      <alignment horizontal="center"/>
    </xf>
    <xf numFmtId="0" fontId="23" fillId="0" borderId="16" xfId="0" applyFont="1" applyBorder="1" applyAlignment="1">
      <alignment horizontal="center"/>
    </xf>
    <xf numFmtId="0" fontId="23" fillId="0" borderId="2" xfId="0" applyFont="1" applyBorder="1"/>
    <xf numFmtId="0" fontId="23" fillId="11" borderId="0" xfId="0" applyFont="1" applyFill="1" applyAlignment="1">
      <alignment horizontal="center"/>
    </xf>
    <xf numFmtId="0" fontId="28" fillId="8" borderId="0" xfId="0" applyFont="1" applyFill="1" applyAlignment="1">
      <alignment horizontal="center"/>
    </xf>
    <xf numFmtId="0" fontId="28" fillId="8" borderId="43" xfId="0" applyFont="1" applyFill="1" applyBorder="1" applyAlignment="1">
      <alignment horizontal="center"/>
    </xf>
    <xf numFmtId="0" fontId="28" fillId="8" borderId="44" xfId="0" applyFont="1" applyFill="1" applyBorder="1" applyAlignment="1">
      <alignment horizontal="center"/>
    </xf>
    <xf numFmtId="0" fontId="28" fillId="16" borderId="2" xfId="0" applyFont="1" applyFill="1" applyBorder="1" applyAlignment="1">
      <alignment horizontal="center"/>
    </xf>
    <xf numFmtId="0" fontId="28" fillId="17" borderId="2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0" fontId="28" fillId="8" borderId="3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9" fontId="28" fillId="8" borderId="5" xfId="0" applyNumberFormat="1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34" fillId="8" borderId="15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/>
    </xf>
    <xf numFmtId="0" fontId="34" fillId="8" borderId="15" xfId="0" applyFont="1" applyFill="1" applyBorder="1" applyAlignment="1">
      <alignment horizontal="center" vertical="center" wrapText="1"/>
    </xf>
    <xf numFmtId="0" fontId="34" fillId="8" borderId="14" xfId="0" applyFont="1" applyFill="1" applyBorder="1" applyAlignment="1">
      <alignment horizontal="center" vertical="center"/>
    </xf>
    <xf numFmtId="0" fontId="28" fillId="8" borderId="31" xfId="0" applyFont="1" applyFill="1" applyBorder="1" applyAlignment="1">
      <alignment horizontal="center"/>
    </xf>
    <xf numFmtId="0" fontId="28" fillId="8" borderId="32" xfId="0" applyFont="1" applyFill="1" applyBorder="1" applyAlignment="1">
      <alignment horizontal="center"/>
    </xf>
    <xf numFmtId="9" fontId="28" fillId="8" borderId="2" xfId="0" applyNumberFormat="1" applyFont="1" applyFill="1" applyBorder="1" applyAlignment="1">
      <alignment horizontal="center"/>
    </xf>
    <xf numFmtId="0" fontId="23" fillId="14" borderId="2" xfId="0" applyFont="1" applyFill="1" applyBorder="1" applyAlignment="1">
      <alignment horizontal="center"/>
    </xf>
    <xf numFmtId="14" fontId="23" fillId="14" borderId="2" xfId="0" applyNumberFormat="1" applyFont="1" applyFill="1" applyBorder="1" applyAlignment="1">
      <alignment horizontal="center"/>
    </xf>
    <xf numFmtId="0" fontId="23" fillId="11" borderId="2" xfId="0" applyFont="1" applyFill="1" applyBorder="1" applyAlignment="1">
      <alignment horizontal="center" wrapText="1"/>
    </xf>
    <xf numFmtId="14" fontId="23" fillId="0" borderId="2" xfId="0" applyNumberFormat="1" applyFont="1" applyBorder="1" applyAlignment="1">
      <alignment horizontal="center"/>
    </xf>
    <xf numFmtId="44" fontId="0" fillId="0" borderId="48" xfId="0" applyNumberFormat="1" applyBorder="1"/>
    <xf numFmtId="0" fontId="0" fillId="13" borderId="2" xfId="0" applyFill="1" applyBorder="1" applyAlignment="1">
      <alignment horizontal="center"/>
    </xf>
    <xf numFmtId="0" fontId="10" fillId="13" borderId="2" xfId="0" applyFont="1" applyFill="1" applyBorder="1" applyAlignment="1">
      <alignment horizontal="center"/>
    </xf>
    <xf numFmtId="0" fontId="0" fillId="13" borderId="2" xfId="0" applyFill="1" applyBorder="1" applyAlignment="1">
      <alignment horizontal="center" wrapText="1"/>
    </xf>
    <xf numFmtId="14" fontId="0" fillId="13" borderId="2" xfId="0" applyNumberFormat="1" applyFill="1" applyBorder="1" applyAlignment="1">
      <alignment horizontal="center"/>
    </xf>
    <xf numFmtId="0" fontId="0" fillId="5" borderId="60" xfId="0" applyFill="1" applyBorder="1" applyAlignment="1">
      <alignment horizontal="center"/>
    </xf>
    <xf numFmtId="0" fontId="0" fillId="5" borderId="61" xfId="0" applyFill="1" applyBorder="1" applyAlignment="1">
      <alignment horizontal="center"/>
    </xf>
    <xf numFmtId="44" fontId="0" fillId="5" borderId="60" xfId="1" applyFont="1" applyFill="1" applyBorder="1" applyAlignment="1">
      <alignment horizontal="center"/>
    </xf>
    <xf numFmtId="44" fontId="0" fillId="0" borderId="48" xfId="1" applyFont="1" applyBorder="1"/>
    <xf numFmtId="0" fontId="24" fillId="5" borderId="0" xfId="0" applyFont="1" applyFill="1"/>
    <xf numFmtId="0" fontId="56" fillId="3" borderId="2" xfId="0" applyFont="1" applyFill="1" applyBorder="1" applyAlignment="1">
      <alignment horizontal="center"/>
    </xf>
    <xf numFmtId="0" fontId="24" fillId="0" borderId="0" xfId="0" applyFont="1"/>
    <xf numFmtId="0" fontId="56" fillId="3" borderId="4" xfId="0" applyFont="1" applyFill="1" applyBorder="1" applyAlignment="1">
      <alignment horizontal="center"/>
    </xf>
    <xf numFmtId="0" fontId="56" fillId="3" borderId="62" xfId="0" applyFont="1" applyFill="1" applyBorder="1" applyAlignment="1">
      <alignment horizontal="center"/>
    </xf>
    <xf numFmtId="0" fontId="56" fillId="51" borderId="2" xfId="0" applyFont="1" applyFill="1" applyBorder="1" applyAlignment="1">
      <alignment horizontal="center"/>
    </xf>
    <xf numFmtId="0" fontId="56" fillId="54" borderId="2" xfId="0" applyFont="1" applyFill="1" applyBorder="1" applyAlignment="1">
      <alignment horizontal="center"/>
    </xf>
    <xf numFmtId="0" fontId="58" fillId="2" borderId="2" xfId="0" applyFont="1" applyFill="1" applyBorder="1" applyAlignment="1">
      <alignment horizontal="center"/>
    </xf>
    <xf numFmtId="0" fontId="25" fillId="0" borderId="1" xfId="0" applyFont="1" applyBorder="1" applyAlignment="1">
      <alignment horizontal="center"/>
    </xf>
    <xf numFmtId="9" fontId="25" fillId="0" borderId="5" xfId="0" applyNumberFormat="1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5" borderId="2" xfId="0" applyFont="1" applyFill="1" applyBorder="1" applyAlignment="1">
      <alignment horizontal="center"/>
    </xf>
    <xf numFmtId="0" fontId="56" fillId="3" borderId="3" xfId="0" applyFont="1" applyFill="1" applyBorder="1" applyAlignment="1">
      <alignment horizontal="center"/>
    </xf>
    <xf numFmtId="0" fontId="56" fillId="3" borderId="1" xfId="0" applyFont="1" applyFill="1" applyBorder="1" applyAlignment="1">
      <alignment horizontal="center"/>
    </xf>
    <xf numFmtId="9" fontId="56" fillId="3" borderId="5" xfId="0" applyNumberFormat="1" applyFont="1" applyFill="1" applyBorder="1" applyAlignment="1">
      <alignment horizontal="center"/>
    </xf>
    <xf numFmtId="0" fontId="56" fillId="5" borderId="0" xfId="0" applyFont="1" applyFill="1" applyAlignment="1">
      <alignment horizontal="center"/>
    </xf>
    <xf numFmtId="9" fontId="56" fillId="5" borderId="0" xfId="0" applyNumberFormat="1" applyFont="1" applyFill="1" applyAlignment="1">
      <alignment horizontal="center"/>
    </xf>
    <xf numFmtId="0" fontId="59" fillId="0" borderId="0" xfId="0" applyFont="1" applyAlignment="1">
      <alignment horizontal="center"/>
    </xf>
    <xf numFmtId="0" fontId="57" fillId="3" borderId="16" xfId="0" applyFont="1" applyFill="1" applyBorder="1" applyAlignment="1">
      <alignment horizontal="center" vertical="center"/>
    </xf>
    <xf numFmtId="0" fontId="57" fillId="3" borderId="15" xfId="0" applyFont="1" applyFill="1" applyBorder="1" applyAlignment="1">
      <alignment horizontal="center" vertical="center" wrapText="1"/>
    </xf>
    <xf numFmtId="0" fontId="57" fillId="3" borderId="15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55" borderId="2" xfId="0" applyFont="1" applyFill="1" applyBorder="1" applyAlignment="1">
      <alignment horizontal="center" vertical="center"/>
    </xf>
    <xf numFmtId="0" fontId="61" fillId="0" borderId="1" xfId="0" applyFont="1" applyBorder="1" applyAlignment="1">
      <alignment horizontal="center"/>
    </xf>
    <xf numFmtId="0" fontId="24" fillId="55" borderId="2" xfId="0" applyFont="1" applyFill="1" applyBorder="1" applyAlignment="1">
      <alignment horizontal="center"/>
    </xf>
    <xf numFmtId="0" fontId="62" fillId="0" borderId="0" xfId="0" applyFont="1"/>
    <xf numFmtId="0" fontId="61" fillId="0" borderId="0" xfId="0" applyFont="1" applyAlignment="1">
      <alignment horizontal="center"/>
    </xf>
    <xf numFmtId="0" fontId="61" fillId="0" borderId="5" xfId="0" applyFont="1" applyBorder="1" applyAlignment="1">
      <alignment horizontal="center"/>
    </xf>
    <xf numFmtId="0" fontId="6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58" fillId="0" borderId="2" xfId="0" applyFont="1" applyBorder="1" applyAlignment="1">
      <alignment horizontal="center"/>
    </xf>
    <xf numFmtId="0" fontId="58" fillId="0" borderId="17" xfId="0" applyFont="1" applyBorder="1" applyAlignment="1">
      <alignment horizontal="center"/>
    </xf>
    <xf numFmtId="0" fontId="61" fillId="5" borderId="2" xfId="0" applyFont="1" applyFill="1" applyBorder="1" applyAlignment="1">
      <alignment horizontal="center"/>
    </xf>
    <xf numFmtId="0" fontId="61" fillId="0" borderId="2" xfId="0" applyFont="1" applyBorder="1" applyAlignment="1">
      <alignment horizontal="center"/>
    </xf>
    <xf numFmtId="0" fontId="61" fillId="0" borderId="17" xfId="0" applyFont="1" applyBorder="1" applyAlignment="1">
      <alignment horizontal="center"/>
    </xf>
    <xf numFmtId="0" fontId="57" fillId="3" borderId="14" xfId="0" applyFont="1" applyFill="1" applyBorder="1" applyAlignment="1">
      <alignment horizontal="center" vertical="center"/>
    </xf>
    <xf numFmtId="0" fontId="56" fillId="3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0" fontId="56" fillId="3" borderId="31" xfId="0" applyFont="1" applyFill="1" applyBorder="1" applyAlignment="1">
      <alignment horizontal="center"/>
    </xf>
    <xf numFmtId="0" fontId="56" fillId="3" borderId="32" xfId="0" applyFont="1" applyFill="1" applyBorder="1" applyAlignment="1">
      <alignment horizontal="center"/>
    </xf>
    <xf numFmtId="0" fontId="25" fillId="0" borderId="2" xfId="0" applyFont="1" applyBorder="1" applyAlignment="1">
      <alignment horizontal="center"/>
    </xf>
    <xf numFmtId="9" fontId="25" fillId="0" borderId="2" xfId="0" applyNumberFormat="1" applyFont="1" applyBorder="1" applyAlignment="1">
      <alignment horizontal="center"/>
    </xf>
    <xf numFmtId="9" fontId="56" fillId="3" borderId="2" xfId="0" applyNumberFormat="1" applyFont="1" applyFill="1" applyBorder="1" applyAlignment="1">
      <alignment horizontal="center"/>
    </xf>
    <xf numFmtId="0" fontId="63" fillId="3" borderId="2" xfId="0" applyFont="1" applyFill="1" applyBorder="1" applyAlignment="1">
      <alignment horizontal="center"/>
    </xf>
    <xf numFmtId="0" fontId="63" fillId="3" borderId="43" xfId="0" applyFont="1" applyFill="1" applyBorder="1" applyAlignment="1">
      <alignment horizontal="center"/>
    </xf>
    <xf numFmtId="0" fontId="63" fillId="3" borderId="44" xfId="0" applyFont="1" applyFill="1" applyBorder="1" applyAlignment="1">
      <alignment horizontal="center"/>
    </xf>
    <xf numFmtId="0" fontId="63" fillId="51" borderId="2" xfId="0" applyFont="1" applyFill="1" applyBorder="1" applyAlignment="1">
      <alignment horizontal="center"/>
    </xf>
    <xf numFmtId="0" fontId="63" fillId="54" borderId="2" xfId="0" applyFont="1" applyFill="1" applyBorder="1" applyAlignment="1">
      <alignment horizontal="center"/>
    </xf>
    <xf numFmtId="0" fontId="65" fillId="2" borderId="2" xfId="0" applyFont="1" applyFill="1" applyBorder="1" applyAlignment="1">
      <alignment horizontal="center"/>
    </xf>
    <xf numFmtId="0" fontId="13" fillId="5" borderId="2" xfId="0" applyFont="1" applyFill="1" applyBorder="1" applyAlignment="1">
      <alignment horizontal="center"/>
    </xf>
    <xf numFmtId="0" fontId="63" fillId="3" borderId="3" xfId="0" applyFont="1" applyFill="1" applyBorder="1" applyAlignment="1">
      <alignment horizontal="center"/>
    </xf>
    <xf numFmtId="0" fontId="63" fillId="3" borderId="1" xfId="0" applyFont="1" applyFill="1" applyBorder="1" applyAlignment="1">
      <alignment horizontal="center"/>
    </xf>
    <xf numFmtId="9" fontId="63" fillId="3" borderId="5" xfId="0" applyNumberFormat="1" applyFont="1" applyFill="1" applyBorder="1" applyAlignment="1">
      <alignment horizontal="center"/>
    </xf>
    <xf numFmtId="0" fontId="66" fillId="0" borderId="0" xfId="0" applyFont="1" applyAlignment="1">
      <alignment horizontal="center"/>
    </xf>
    <xf numFmtId="0" fontId="64" fillId="3" borderId="15" xfId="0" applyFont="1" applyFill="1" applyBorder="1" applyAlignment="1">
      <alignment horizontal="center" vertical="center"/>
    </xf>
    <xf numFmtId="0" fontId="13" fillId="55" borderId="2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3" fillId="55" borderId="2" xfId="0" applyFont="1" applyFill="1" applyBorder="1" applyAlignment="1">
      <alignment horizontal="center"/>
    </xf>
    <xf numFmtId="2" fontId="69" fillId="0" borderId="0" xfId="0" applyNumberFormat="1" applyFont="1"/>
    <xf numFmtId="0" fontId="64" fillId="3" borderId="15" xfId="0" applyFont="1" applyFill="1" applyBorder="1" applyAlignment="1">
      <alignment horizontal="center" vertical="center" wrapText="1"/>
    </xf>
    <xf numFmtId="0" fontId="64" fillId="3" borderId="14" xfId="0" applyFont="1" applyFill="1" applyBorder="1" applyAlignment="1">
      <alignment horizontal="center" vertical="center"/>
    </xf>
    <xf numFmtId="0" fontId="63" fillId="3" borderId="0" xfId="0" applyFont="1" applyFill="1" applyAlignment="1">
      <alignment horizontal="center"/>
    </xf>
    <xf numFmtId="0" fontId="63" fillId="3" borderId="31" xfId="0" applyFont="1" applyFill="1" applyBorder="1" applyAlignment="1">
      <alignment horizontal="center"/>
    </xf>
    <xf numFmtId="0" fontId="63" fillId="3" borderId="32" xfId="0" applyFont="1" applyFill="1" applyBorder="1" applyAlignment="1">
      <alignment horizontal="center"/>
    </xf>
    <xf numFmtId="9" fontId="63" fillId="3" borderId="2" xfId="0" applyNumberFormat="1" applyFont="1" applyFill="1" applyBorder="1" applyAlignment="1">
      <alignment horizontal="center"/>
    </xf>
    <xf numFmtId="8" fontId="13" fillId="0" borderId="0" xfId="0" applyNumberFormat="1" applyFont="1" applyAlignment="1">
      <alignment horizontal="center"/>
    </xf>
    <xf numFmtId="8" fontId="13" fillId="0" borderId="0" xfId="0" applyNumberFormat="1" applyFont="1"/>
    <xf numFmtId="44" fontId="13" fillId="0" borderId="0" xfId="0" applyNumberFormat="1" applyFont="1"/>
    <xf numFmtId="44" fontId="23" fillId="0" borderId="48" xfId="1" applyFont="1" applyBorder="1"/>
    <xf numFmtId="0" fontId="71" fillId="0" borderId="0" xfId="0" applyFont="1"/>
    <xf numFmtId="0" fontId="13" fillId="18" borderId="15" xfId="0" applyFont="1" applyFill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11" borderId="2" xfId="0" applyFont="1" applyFill="1" applyBorder="1" applyAlignment="1">
      <alignment horizontal="center"/>
    </xf>
    <xf numFmtId="9" fontId="14" fillId="11" borderId="2" xfId="0" applyNumberFormat="1" applyFont="1" applyFill="1" applyBorder="1" applyAlignment="1">
      <alignment horizontal="center"/>
    </xf>
    <xf numFmtId="0" fontId="13" fillId="11" borderId="0" xfId="0" applyFont="1" applyFill="1"/>
    <xf numFmtId="0" fontId="25" fillId="7" borderId="48" xfId="0" applyFont="1" applyFill="1" applyBorder="1" applyAlignment="1">
      <alignment horizontal="center"/>
    </xf>
    <xf numFmtId="9" fontId="26" fillId="8" borderId="48" xfId="3650" applyFont="1" applyFill="1" applyBorder="1" applyAlignment="1">
      <alignment horizontal="center"/>
    </xf>
    <xf numFmtId="9" fontId="22" fillId="58" borderId="48" xfId="0" applyNumberFormat="1" applyFont="1" applyFill="1" applyBorder="1" applyAlignment="1">
      <alignment horizontal="right" vertical="center" wrapText="1"/>
    </xf>
    <xf numFmtId="0" fontId="0" fillId="5" borderId="48" xfId="0" applyFill="1" applyBorder="1"/>
    <xf numFmtId="0" fontId="0" fillId="5" borderId="48" xfId="0" applyFill="1" applyBorder="1" applyAlignment="1">
      <alignment horizontal="right" vertical="center" wrapText="1"/>
    </xf>
    <xf numFmtId="9" fontId="0" fillId="0" borderId="48" xfId="3650" applyFont="1" applyBorder="1"/>
    <xf numFmtId="9" fontId="0" fillId="0" borderId="48" xfId="3650" applyFont="1" applyBorder="1" applyAlignment="1">
      <alignment horizontal="right"/>
    </xf>
    <xf numFmtId="3" fontId="0" fillId="0" borderId="48" xfId="0" applyNumberFormat="1" applyBorder="1"/>
    <xf numFmtId="9" fontId="11" fillId="58" borderId="48" xfId="0" applyNumberFormat="1" applyFont="1" applyFill="1" applyBorder="1"/>
    <xf numFmtId="9" fontId="11" fillId="58" borderId="48" xfId="3650" applyFont="1" applyFill="1" applyBorder="1"/>
    <xf numFmtId="3" fontId="23" fillId="0" borderId="48" xfId="0" applyNumberFormat="1" applyFont="1" applyBorder="1" applyAlignment="1">
      <alignment horizontal="right" vertical="center" wrapText="1"/>
    </xf>
    <xf numFmtId="0" fontId="0" fillId="0" borderId="48" xfId="0" applyBorder="1" applyAlignment="1">
      <alignment horizontal="center"/>
    </xf>
    <xf numFmtId="9" fontId="25" fillId="58" borderId="48" xfId="0" applyNumberFormat="1" applyFont="1" applyFill="1" applyBorder="1" applyAlignment="1">
      <alignment horizontal="center"/>
    </xf>
    <xf numFmtId="9" fontId="73" fillId="58" borderId="48" xfId="0" applyNumberFormat="1" applyFont="1" applyFill="1" applyBorder="1" applyAlignment="1">
      <alignment horizontal="center"/>
    </xf>
    <xf numFmtId="9" fontId="34" fillId="8" borderId="48" xfId="3650" applyFont="1" applyFill="1" applyBorder="1" applyAlignment="1">
      <alignment horizontal="center"/>
    </xf>
    <xf numFmtId="0" fontId="0" fillId="7" borderId="48" xfId="0" applyFill="1" applyBorder="1" applyAlignment="1">
      <alignment horizontal="center"/>
    </xf>
    <xf numFmtId="9" fontId="25" fillId="59" borderId="48" xfId="0" applyNumberFormat="1" applyFont="1" applyFill="1" applyBorder="1" applyAlignment="1">
      <alignment horizontal="center"/>
    </xf>
    <xf numFmtId="0" fontId="0" fillId="59" borderId="48" xfId="0" applyFill="1" applyBorder="1"/>
    <xf numFmtId="10" fontId="23" fillId="59" borderId="48" xfId="0" applyNumberFormat="1" applyFont="1" applyFill="1" applyBorder="1"/>
    <xf numFmtId="0" fontId="72" fillId="11" borderId="48" xfId="3670" applyFont="1" applyFill="1" applyBorder="1" applyAlignment="1">
      <alignment horizontal="center"/>
    </xf>
    <xf numFmtId="0" fontId="52" fillId="0" borderId="48" xfId="3670" applyFont="1" applyBorder="1"/>
    <xf numFmtId="0" fontId="72" fillId="56" borderId="48" xfId="3670" applyFont="1" applyFill="1" applyBorder="1" applyAlignment="1">
      <alignment horizontal="center"/>
    </xf>
    <xf numFmtId="0" fontId="52" fillId="57" borderId="48" xfId="3670" applyFont="1" applyFill="1" applyBorder="1"/>
    <xf numFmtId="0" fontId="74" fillId="0" borderId="48" xfId="3670" applyBorder="1"/>
    <xf numFmtId="0" fontId="52" fillId="0" borderId="48" xfId="3935" applyBorder="1" applyAlignment="1">
      <alignment horizontal="center"/>
    </xf>
    <xf numFmtId="0" fontId="55" fillId="53" borderId="48" xfId="3935" applyFont="1" applyFill="1" applyBorder="1" applyAlignment="1">
      <alignment horizontal="center"/>
    </xf>
    <xf numFmtId="44" fontId="55" fillId="53" borderId="48" xfId="3671" applyFont="1" applyFill="1" applyBorder="1" applyAlignment="1">
      <alignment horizontal="center"/>
    </xf>
    <xf numFmtId="0" fontId="72" fillId="50" borderId="48" xfId="3935" applyFont="1" applyFill="1" applyBorder="1" applyAlignment="1">
      <alignment horizontal="center"/>
    </xf>
    <xf numFmtId="0" fontId="72" fillId="52" borderId="48" xfId="3935" applyFont="1" applyFill="1" applyBorder="1" applyAlignment="1">
      <alignment horizontal="center"/>
    </xf>
    <xf numFmtId="0" fontId="72" fillId="7" borderId="48" xfId="3935" applyFont="1" applyFill="1" applyBorder="1" applyAlignment="1">
      <alignment horizontal="center"/>
    </xf>
    <xf numFmtId="0" fontId="72" fillId="50" borderId="48" xfId="3935" applyFont="1" applyFill="1" applyBorder="1" applyAlignment="1">
      <alignment horizontal="center" wrapText="1"/>
    </xf>
    <xf numFmtId="0" fontId="52" fillId="57" borderId="48" xfId="3935" applyFill="1" applyBorder="1" applyAlignment="1">
      <alignment horizontal="center"/>
    </xf>
    <xf numFmtId="0" fontId="72" fillId="57" borderId="48" xfId="3935" applyFont="1" applyFill="1" applyBorder="1" applyAlignment="1">
      <alignment horizontal="center"/>
    </xf>
    <xf numFmtId="0" fontId="72" fillId="56" borderId="48" xfId="3935" applyFont="1" applyFill="1" applyBorder="1" applyAlignment="1">
      <alignment horizontal="center"/>
    </xf>
    <xf numFmtId="44" fontId="52" fillId="7" borderId="48" xfId="3671" applyFont="1" applyFill="1" applyBorder="1" applyAlignment="1">
      <alignment horizontal="center"/>
    </xf>
    <xf numFmtId="44" fontId="52" fillId="57" borderId="48" xfId="3671" applyFont="1" applyFill="1" applyBorder="1" applyAlignment="1">
      <alignment horizontal="center"/>
    </xf>
    <xf numFmtId="0" fontId="15" fillId="6" borderId="11" xfId="0" applyFont="1" applyFill="1" applyBorder="1" applyAlignment="1">
      <alignment horizontal="center"/>
    </xf>
    <xf numFmtId="0" fontId="15" fillId="6" borderId="12" xfId="0" applyFont="1" applyFill="1" applyBorder="1" applyAlignment="1">
      <alignment horizontal="center"/>
    </xf>
    <xf numFmtId="0" fontId="15" fillId="6" borderId="13" xfId="0" applyFont="1" applyFill="1" applyBorder="1" applyAlignment="1">
      <alignment horizontal="center"/>
    </xf>
    <xf numFmtId="0" fontId="67" fillId="6" borderId="11" xfId="0" applyFont="1" applyFill="1" applyBorder="1" applyAlignment="1">
      <alignment horizontal="center"/>
    </xf>
    <xf numFmtId="0" fontId="67" fillId="6" borderId="12" xfId="0" applyFont="1" applyFill="1" applyBorder="1" applyAlignment="1">
      <alignment horizontal="center"/>
    </xf>
    <xf numFmtId="0" fontId="67" fillId="6" borderId="13" xfId="0" applyFont="1" applyFill="1" applyBorder="1" applyAlignment="1">
      <alignment horizontal="center"/>
    </xf>
    <xf numFmtId="0" fontId="57" fillId="3" borderId="2" xfId="0" applyFont="1" applyFill="1" applyBorder="1" applyAlignment="1">
      <alignment horizontal="center"/>
    </xf>
    <xf numFmtId="0" fontId="60" fillId="6" borderId="11" xfId="0" applyFont="1" applyFill="1" applyBorder="1" applyAlignment="1">
      <alignment horizontal="center"/>
    </xf>
    <xf numFmtId="0" fontId="60" fillId="6" borderId="12" xfId="0" applyFont="1" applyFill="1" applyBorder="1" applyAlignment="1">
      <alignment horizontal="center"/>
    </xf>
    <xf numFmtId="0" fontId="60" fillId="6" borderId="13" xfId="0" applyFont="1" applyFill="1" applyBorder="1" applyAlignment="1">
      <alignment horizontal="center"/>
    </xf>
    <xf numFmtId="0" fontId="56" fillId="3" borderId="2" xfId="0" applyFont="1" applyFill="1" applyBorder="1" applyAlignment="1">
      <alignment horizontal="center"/>
    </xf>
    <xf numFmtId="0" fontId="64" fillId="3" borderId="2" xfId="0" applyFont="1" applyFill="1" applyBorder="1" applyAlignment="1">
      <alignment horizontal="center"/>
    </xf>
    <xf numFmtId="0" fontId="63" fillId="3" borderId="2" xfId="0" applyFont="1" applyFill="1" applyBorder="1" applyAlignment="1">
      <alignment horizontal="center"/>
    </xf>
    <xf numFmtId="0" fontId="63" fillId="3" borderId="40" xfId="0" applyFont="1" applyFill="1" applyBorder="1" applyAlignment="1">
      <alignment horizontal="center"/>
    </xf>
    <xf numFmtId="0" fontId="63" fillId="3" borderId="34" xfId="0" applyFont="1" applyFill="1" applyBorder="1" applyAlignment="1">
      <alignment horizontal="center"/>
    </xf>
    <xf numFmtId="0" fontId="63" fillId="3" borderId="42" xfId="0" applyFont="1" applyFill="1" applyBorder="1" applyAlignment="1">
      <alignment horizontal="center"/>
    </xf>
    <xf numFmtId="0" fontId="15" fillId="12" borderId="11" xfId="0" applyFont="1" applyFill="1" applyBorder="1" applyAlignment="1">
      <alignment horizontal="center"/>
    </xf>
    <xf numFmtId="0" fontId="15" fillId="12" borderId="12" xfId="0" applyFont="1" applyFill="1" applyBorder="1" applyAlignment="1">
      <alignment horizontal="center"/>
    </xf>
    <xf numFmtId="0" fontId="34" fillId="8" borderId="17" xfId="0" applyFont="1" applyFill="1" applyBorder="1" applyAlignment="1">
      <alignment horizontal="center"/>
    </xf>
    <xf numFmtId="0" fontId="34" fillId="8" borderId="34" xfId="0" applyFont="1" applyFill="1" applyBorder="1" applyAlignment="1">
      <alignment horizontal="center"/>
    </xf>
    <xf numFmtId="0" fontId="28" fillId="8" borderId="17" xfId="0" applyFont="1" applyFill="1" applyBorder="1" applyAlignment="1">
      <alignment horizontal="center"/>
    </xf>
    <xf numFmtId="0" fontId="28" fillId="8" borderId="34" xfId="0" applyFont="1" applyFill="1" applyBorder="1" applyAlignment="1">
      <alignment horizontal="center"/>
    </xf>
    <xf numFmtId="0" fontId="28" fillId="8" borderId="42" xfId="0" applyFont="1" applyFill="1" applyBorder="1" applyAlignment="1">
      <alignment horizontal="center"/>
    </xf>
    <xf numFmtId="0" fontId="15" fillId="12" borderId="13" xfId="0" applyFont="1" applyFill="1" applyBorder="1" applyAlignment="1">
      <alignment horizontal="center"/>
    </xf>
    <xf numFmtId="0" fontId="28" fillId="8" borderId="40" xfId="0" applyFont="1" applyFill="1" applyBorder="1" applyAlignment="1">
      <alignment horizontal="center"/>
    </xf>
    <xf numFmtId="0" fontId="10" fillId="0" borderId="50" xfId="0" applyFont="1" applyBorder="1"/>
    <xf numFmtId="0" fontId="10" fillId="0" borderId="0" xfId="0" applyFont="1"/>
    <xf numFmtId="0" fontId="0" fillId="0" borderId="0" xfId="0"/>
    <xf numFmtId="0" fontId="32" fillId="12" borderId="45" xfId="0" applyFont="1" applyFill="1" applyBorder="1" applyAlignment="1">
      <alignment horizontal="center"/>
    </xf>
    <xf numFmtId="0" fontId="32" fillId="12" borderId="46" xfId="0" applyFont="1" applyFill="1" applyBorder="1" applyAlignment="1">
      <alignment horizontal="center"/>
    </xf>
    <xf numFmtId="0" fontId="32" fillId="12" borderId="47" xfId="0" applyFont="1" applyFill="1" applyBorder="1" applyAlignment="1">
      <alignment horizontal="center"/>
    </xf>
    <xf numFmtId="0" fontId="23" fillId="0" borderId="0" xfId="0" applyFont="1"/>
    <xf numFmtId="0" fontId="70" fillId="12" borderId="11" xfId="0" applyFont="1" applyFill="1" applyBorder="1" applyAlignment="1">
      <alignment horizontal="center"/>
    </xf>
    <xf numFmtId="0" fontId="70" fillId="12" borderId="12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30" xfId="0" applyFill="1" applyBorder="1" applyAlignment="1">
      <alignment horizontal="center"/>
    </xf>
    <xf numFmtId="0" fontId="0" fillId="0" borderId="24" xfId="0" applyBorder="1" applyAlignment="1">
      <alignment horizontal="center"/>
    </xf>
  </cellXfs>
  <cellStyles count="7279">
    <cellStyle name="20% - Ênfase1" xfId="19" builtinId="30" customBuiltin="1"/>
    <cellStyle name="20% - Ênfase1 10" xfId="208" xr:uid="{03F3DDFE-B458-4B3A-95E4-88076EE1643A}"/>
    <cellStyle name="20% - Ênfase1 10 2" xfId="814" xr:uid="{A71D94BF-7D49-402C-B6CA-14657A068BA3}"/>
    <cellStyle name="20% - Ênfase1 10 2 2" xfId="1417" xr:uid="{FC3726ED-3142-49C6-B600-E1DDA6F9014B}"/>
    <cellStyle name="20% - Ênfase1 10 2 2 2" xfId="3269" xr:uid="{1DEAE129-B7CF-426B-B03B-8231F214E1C1}"/>
    <cellStyle name="20% - Ênfase1 10 2 2 2 2" xfId="6897" xr:uid="{08F83769-F25E-47F1-AAA5-8B64C05A4186}"/>
    <cellStyle name="20% - Ênfase1 10 2 2 3" xfId="5045" xr:uid="{46B630ED-D688-499A-A857-4F0834905684}"/>
    <cellStyle name="20% - Ênfase1 10 2 3" xfId="2342" xr:uid="{48A46E64-D245-4705-9033-E88BD37D5BE8}"/>
    <cellStyle name="20% - Ênfase1 10 2 3 2" xfId="5970" xr:uid="{6A52626C-0BF9-4795-8EDD-7DC6BC042F7B}"/>
    <cellStyle name="20% - Ênfase1 10 2 4" xfId="4442" xr:uid="{FAD0B15D-D471-48CD-81F9-09C38F9DBEC3}"/>
    <cellStyle name="20% - Ênfase1 10 3" xfId="490" xr:uid="{77526AE8-A8BD-464E-BB22-69356F9DD250}"/>
    <cellStyle name="20% - Ênfase1 10 3 2" xfId="1553" xr:uid="{1F7B9CFF-A6DA-4832-AF6C-9F2C5AA16B6F}"/>
    <cellStyle name="20% - Ênfase1 10 3 2 2" xfId="3405" xr:uid="{DACA99E5-74F9-4FF8-B6D3-513CAF6CBF65}"/>
    <cellStyle name="20% - Ênfase1 10 3 2 2 2" xfId="7033" xr:uid="{7E5ECFDB-251F-4DA0-B287-8C02A4256C97}"/>
    <cellStyle name="20% - Ênfase1 10 3 2 3" xfId="5181" xr:uid="{FF9306DB-F9A4-4C0E-BED1-1EB2897F0448}"/>
    <cellStyle name="20% - Ênfase1 10 3 3" xfId="2478" xr:uid="{45C1D1BA-09D1-45A3-A069-B5C8D238763F}"/>
    <cellStyle name="20% - Ênfase1 10 3 3 2" xfId="6106" xr:uid="{BF4D5509-633D-428D-9D24-322240FBFB38}"/>
    <cellStyle name="20% - Ênfase1 10 3 4" xfId="4119" xr:uid="{E6DE7425-9E0D-4300-AEED-DCAF95AFDB85}"/>
    <cellStyle name="20% - Ênfase1 10 4" xfId="1095" xr:uid="{16717D80-AA5F-46B3-A8F0-7C3B7A35E92E}"/>
    <cellStyle name="20% - Ênfase1 10 4 2" xfId="2947" xr:uid="{C12BD4B6-C957-445C-8542-14620FCCA5FA}"/>
    <cellStyle name="20% - Ênfase1 10 4 2 2" xfId="6575" xr:uid="{B0BE5E22-D135-4C85-B5D3-43302CAA6EA7}"/>
    <cellStyle name="20% - Ênfase1 10 4 3" xfId="4723" xr:uid="{559C95DD-A7C4-4D73-90EB-CBF27F4377C6}"/>
    <cellStyle name="20% - Ênfase1 10 5" xfId="2020" xr:uid="{29CC4243-54BB-45F6-B7F9-C8A9E8F81542}"/>
    <cellStyle name="20% - Ênfase1 10 5 2" xfId="5648" xr:uid="{3E1FA645-567C-49C9-A5F7-4B5FF398DF3F}"/>
    <cellStyle name="20% - Ênfase1 10 6" xfId="3837" xr:uid="{60EF9F31-5B1F-40C5-ABDA-BCBB4160C2C0}"/>
    <cellStyle name="20% - Ênfase1 11" xfId="228" xr:uid="{CE0BDD4E-E245-4BDC-B394-3A87B44FDCA2}"/>
    <cellStyle name="20% - Ênfase1 11 2" xfId="834" xr:uid="{C77DE7D9-2502-45EC-A102-97F3DF086178}"/>
    <cellStyle name="20% - Ênfase1 11 2 2" xfId="1437" xr:uid="{6A86EADF-1529-45A0-A4B5-00B70DAAE3E8}"/>
    <cellStyle name="20% - Ênfase1 11 2 2 2" xfId="3289" xr:uid="{AC48F143-2BF8-474A-B974-53ABBD64478D}"/>
    <cellStyle name="20% - Ênfase1 11 2 2 2 2" xfId="6917" xr:uid="{A65C169E-E3A2-429F-9321-0C19D2AE8CB4}"/>
    <cellStyle name="20% - Ênfase1 11 2 2 3" xfId="5065" xr:uid="{FD9C8E85-1B4E-47A5-984F-F08C80670E30}"/>
    <cellStyle name="20% - Ênfase1 11 2 3" xfId="2362" xr:uid="{98F15237-5747-4161-8649-C77D4C4F68B2}"/>
    <cellStyle name="20% - Ênfase1 11 2 3 2" xfId="5990" xr:uid="{4256458E-D5A2-4CE4-BA62-75EB912B0F1D}"/>
    <cellStyle name="20% - Ênfase1 11 2 4" xfId="4462" xr:uid="{F592498A-3CCE-4C6C-9F3D-62B4F85CE28D}"/>
    <cellStyle name="20% - Ênfase1 11 3" xfId="510" xr:uid="{8CA777E6-025C-4F1F-A56B-FF6E561FE342}"/>
    <cellStyle name="20% - Ênfase1 11 3 2" xfId="1823" xr:uid="{8FF9AF24-F539-4000-92C0-34E1210E1162}"/>
    <cellStyle name="20% - Ênfase1 11 3 2 2" xfId="3636" xr:uid="{B80B38C7-B61C-4BCE-946C-E50B537298FB}"/>
    <cellStyle name="20% - Ênfase1 11 3 2 2 2" xfId="7264" xr:uid="{E3EEEDD1-6855-4C16-8700-CAF4A4F3DFF2}"/>
    <cellStyle name="20% - Ênfase1 11 3 2 3" xfId="5451" xr:uid="{B0808826-D52A-49C8-9C88-F1D4FC173060}"/>
    <cellStyle name="20% - Ênfase1 11 3 3" xfId="2748" xr:uid="{AB989906-A0C4-4682-9CA6-547B5BA3FF71}"/>
    <cellStyle name="20% - Ênfase1 11 3 3 2" xfId="6376" xr:uid="{2E6D77C2-F82C-4CA6-A021-78C7F3414356}"/>
    <cellStyle name="20% - Ênfase1 11 3 4" xfId="4139" xr:uid="{F70BBBEE-984B-432B-B36B-D11665C0E6E1}"/>
    <cellStyle name="20% - Ênfase1 11 4" xfId="1115" xr:uid="{1A4F5B85-421A-4658-8359-E4E8A142F5C9}"/>
    <cellStyle name="20% - Ênfase1 11 4 2" xfId="2967" xr:uid="{84FA4234-6643-442E-85A2-91A827290EB6}"/>
    <cellStyle name="20% - Ênfase1 11 4 2 2" xfId="6595" xr:uid="{A3D5205B-D3DB-44FF-9AED-372E91CE82D7}"/>
    <cellStyle name="20% - Ênfase1 11 4 3" xfId="4743" xr:uid="{CF73D990-77E1-4106-BB5D-E1FCF630554D}"/>
    <cellStyle name="20% - Ênfase1 11 5" xfId="2040" xr:uid="{95FE37D6-79F9-4E86-969E-B7B108F6B148}"/>
    <cellStyle name="20% - Ênfase1 11 5 2" xfId="5668" xr:uid="{992C3031-79B5-4D95-AA77-447794EAFAB8}"/>
    <cellStyle name="20% - Ênfase1 11 6" xfId="3857" xr:uid="{D2964DC5-6E7E-471C-8BBE-8E14BDCAC56A}"/>
    <cellStyle name="20% - Ênfase1 12" xfId="248" xr:uid="{5260C8F4-16B1-4607-8E73-E30A7A9C7AD4}"/>
    <cellStyle name="20% - Ênfase1 12 2" xfId="854" xr:uid="{2DD29298-FA61-4233-88A4-9A7F95583CB8}"/>
    <cellStyle name="20% - Ênfase1 12 2 2" xfId="1457" xr:uid="{D836AAA3-F2C7-4E9B-8E74-EB1470FAABA6}"/>
    <cellStyle name="20% - Ênfase1 12 2 2 2" xfId="3309" xr:uid="{B80D853B-5352-46C5-9D99-FCD938B0235E}"/>
    <cellStyle name="20% - Ênfase1 12 2 2 2 2" xfId="6937" xr:uid="{877194E7-AC83-4A40-80A4-FE25BC7DA1AA}"/>
    <cellStyle name="20% - Ênfase1 12 2 2 3" xfId="5085" xr:uid="{8FE19936-FAC4-4B85-A910-CF74446335D3}"/>
    <cellStyle name="20% - Ênfase1 12 2 3" xfId="2382" xr:uid="{33EDE8C8-D51C-410F-84FC-850AFEBE7BFF}"/>
    <cellStyle name="20% - Ênfase1 12 2 3 2" xfId="6010" xr:uid="{30A68EDB-E6CD-4104-9A11-1CB18ABDD70B}"/>
    <cellStyle name="20% - Ênfase1 12 2 4" xfId="4482" xr:uid="{DFB7266C-611F-4EC1-82C0-65534485A380}"/>
    <cellStyle name="20% - Ênfase1 12 3" xfId="530" xr:uid="{1C96FD0A-5E51-4397-B941-66743537465F}"/>
    <cellStyle name="20% - Ênfase1 12 3 2" xfId="1522" xr:uid="{63AF3F52-C1E4-4A76-92FE-0D8412B5E8DE}"/>
    <cellStyle name="20% - Ênfase1 12 3 2 2" xfId="3374" xr:uid="{B940353A-B8FD-4AB1-9262-F80A4959C93F}"/>
    <cellStyle name="20% - Ênfase1 12 3 2 2 2" xfId="7002" xr:uid="{BA975E06-5B3E-4508-8E6B-51150A5B0E0B}"/>
    <cellStyle name="20% - Ênfase1 12 3 2 3" xfId="5150" xr:uid="{D56D439A-7745-44EA-9A7E-CF584E3E31F2}"/>
    <cellStyle name="20% - Ênfase1 12 3 3" xfId="2447" xr:uid="{CE5AB464-DDA2-4F9D-884D-B7DAB60C61DB}"/>
    <cellStyle name="20% - Ênfase1 12 3 3 2" xfId="6075" xr:uid="{DDFE1539-B319-4845-9596-93FC47CEF021}"/>
    <cellStyle name="20% - Ênfase1 12 3 4" xfId="4159" xr:uid="{83C9F044-2990-4B56-B6CC-158976DD2EB5}"/>
    <cellStyle name="20% - Ênfase1 12 4" xfId="1135" xr:uid="{C8197006-D599-4DD2-A105-587F233D49E4}"/>
    <cellStyle name="20% - Ênfase1 12 4 2" xfId="2987" xr:uid="{6159BD9D-72AC-4F3D-9862-F701A10C9AAB}"/>
    <cellStyle name="20% - Ênfase1 12 4 2 2" xfId="6615" xr:uid="{7366BEDF-4248-4030-974C-06BF6EC87AE3}"/>
    <cellStyle name="20% - Ênfase1 12 4 3" xfId="4763" xr:uid="{3370C144-FB7F-4027-9279-CDEB525A701B}"/>
    <cellStyle name="20% - Ênfase1 12 5" xfId="2060" xr:uid="{36AF58DF-1C3E-4E93-BBC1-7C7B3A2C5CD5}"/>
    <cellStyle name="20% - Ênfase1 12 5 2" xfId="5688" xr:uid="{21CA6DD3-7D25-49D1-9FCB-B57C5711AC2B}"/>
    <cellStyle name="20% - Ênfase1 12 6" xfId="3877" xr:uid="{6A2AA7BB-EDD3-4E9C-B81B-619A04D1A1E0}"/>
    <cellStyle name="20% - Ênfase1 13" xfId="268" xr:uid="{64DD8187-813D-49CF-8957-FD62A314E152}"/>
    <cellStyle name="20% - Ênfase1 13 2" xfId="874" xr:uid="{F6F128EC-C968-4A78-9518-244B612396F6}"/>
    <cellStyle name="20% - Ênfase1 13 2 2" xfId="1477" xr:uid="{593A3251-3F3A-47FA-BE73-CD6A7F580F7D}"/>
    <cellStyle name="20% - Ênfase1 13 2 2 2" xfId="3329" xr:uid="{2BF6A226-A3C2-4CD2-AAFB-34F1709B2878}"/>
    <cellStyle name="20% - Ênfase1 13 2 2 2 2" xfId="6957" xr:uid="{BB278228-C84A-4FAC-90FE-129822838AF9}"/>
    <cellStyle name="20% - Ênfase1 13 2 2 3" xfId="5105" xr:uid="{278F55D6-3615-47BD-BDB5-FCD49B501B50}"/>
    <cellStyle name="20% - Ênfase1 13 2 3" xfId="2402" xr:uid="{ED3F5CF4-D0C7-4BDC-97BD-1109B8B8D4D3}"/>
    <cellStyle name="20% - Ênfase1 13 2 3 2" xfId="6030" xr:uid="{4F40E461-5921-4E87-8EB0-22F8089BE27E}"/>
    <cellStyle name="20% - Ênfase1 13 2 4" xfId="4502" xr:uid="{B2D24311-6405-48E0-A5E6-5E75D4E06B1D}"/>
    <cellStyle name="20% - Ênfase1 13 3" xfId="550" xr:uid="{335C648C-E0B6-45A3-B8E3-353F71DF34CA}"/>
    <cellStyle name="20% - Ênfase1 13 3 2" xfId="1827" xr:uid="{6ED8F859-0EF7-434C-A418-9D473CAB6851}"/>
    <cellStyle name="20% - Ênfase1 13 3 2 2" xfId="3640" xr:uid="{CA29B7EB-905D-4BCA-8933-2BAA1D744D9E}"/>
    <cellStyle name="20% - Ênfase1 13 3 2 2 2" xfId="7268" xr:uid="{89DCFEEA-92B5-4158-8116-14E88C026F5D}"/>
    <cellStyle name="20% - Ênfase1 13 3 2 3" xfId="5455" xr:uid="{4DF1DC61-CD45-4115-8D79-2054ED26685C}"/>
    <cellStyle name="20% - Ênfase1 13 3 3" xfId="2752" xr:uid="{AC266DDA-E7F8-4BBC-9FB3-040E925A908A}"/>
    <cellStyle name="20% - Ênfase1 13 3 3 2" xfId="6380" xr:uid="{0B904530-DEDC-4C47-9B90-5215059E1CB6}"/>
    <cellStyle name="20% - Ênfase1 13 3 4" xfId="4179" xr:uid="{5C810E22-72FB-4C15-8BC0-B7749AFC1690}"/>
    <cellStyle name="20% - Ênfase1 13 4" xfId="1155" xr:uid="{5AF761A3-EB62-4377-9BD3-F45140F16AFE}"/>
    <cellStyle name="20% - Ênfase1 13 4 2" xfId="3007" xr:uid="{1485EB70-8E07-4D1E-8E1A-8BFE4F44CE0E}"/>
    <cellStyle name="20% - Ênfase1 13 4 2 2" xfId="6635" xr:uid="{D7DB2BDA-8AF1-4181-A631-01FEAC6D5C1E}"/>
    <cellStyle name="20% - Ênfase1 13 4 3" xfId="4783" xr:uid="{2A27D969-0F9E-447C-B669-A3063CD42A7A}"/>
    <cellStyle name="20% - Ênfase1 13 5" xfId="2080" xr:uid="{4CB15E8B-3B86-4FE3-909E-D30646208B0D}"/>
    <cellStyle name="20% - Ênfase1 13 5 2" xfId="5708" xr:uid="{DA9355E5-75D7-41E6-818F-8F091A5C7AE5}"/>
    <cellStyle name="20% - Ênfase1 13 6" xfId="3897" xr:uid="{F88EE844-DBCA-4B9C-8E38-1E00F2BC672D}"/>
    <cellStyle name="20% - Ênfase1 14" xfId="288" xr:uid="{D9368D2D-6CF5-4A7D-A3B7-18F560D126C1}"/>
    <cellStyle name="20% - Ênfase1 14 2" xfId="894" xr:uid="{9B52CEC8-68E9-432C-A2BE-510A551C87F6}"/>
    <cellStyle name="20% - Ênfase1 14 2 2" xfId="1497" xr:uid="{D142F549-8C1A-437D-A6F9-23EFE6443519}"/>
    <cellStyle name="20% - Ênfase1 14 2 2 2" xfId="3349" xr:uid="{1538B8D8-CF4A-4F9A-951A-55ACFE99A6CA}"/>
    <cellStyle name="20% - Ênfase1 14 2 2 2 2" xfId="6977" xr:uid="{85D8A4E5-3E65-42D7-9501-6364EFE3560E}"/>
    <cellStyle name="20% - Ênfase1 14 2 2 3" xfId="5125" xr:uid="{40248E9F-8079-42AA-9C94-F5915A0BC735}"/>
    <cellStyle name="20% - Ênfase1 14 2 3" xfId="2422" xr:uid="{69952AE3-7983-4BD0-8AA1-8F4A8F595F97}"/>
    <cellStyle name="20% - Ênfase1 14 2 3 2" xfId="6050" xr:uid="{DC17451A-E0B4-4E00-8316-48D052433F70}"/>
    <cellStyle name="20% - Ênfase1 14 2 4" xfId="4522" xr:uid="{B4192C85-3977-4141-AD82-3E95C4179D63}"/>
    <cellStyle name="20% - Ênfase1 14 3" xfId="570" xr:uid="{377B537B-8F38-420E-A894-CE4825762BFC}"/>
    <cellStyle name="20% - Ênfase1 14 3 2" xfId="1807" xr:uid="{12D86FE0-92B7-4BA0-A026-B6B021A97030}"/>
    <cellStyle name="20% - Ênfase1 14 3 2 2" xfId="3620" xr:uid="{FC202C97-580F-43C5-B1C5-F393B201D6D4}"/>
    <cellStyle name="20% - Ênfase1 14 3 2 2 2" xfId="7248" xr:uid="{CD5339FC-8468-4813-B9B9-6CDBE85DF792}"/>
    <cellStyle name="20% - Ênfase1 14 3 2 3" xfId="5435" xr:uid="{380BF575-968F-486E-9C77-77BBDB8B44AD}"/>
    <cellStyle name="20% - Ênfase1 14 3 3" xfId="2732" xr:uid="{95B9C122-4F83-4FE4-ADE6-04442562A17E}"/>
    <cellStyle name="20% - Ênfase1 14 3 3 2" xfId="6360" xr:uid="{811F4F12-C9CA-42B6-94E8-0B80D886B667}"/>
    <cellStyle name="20% - Ênfase1 14 3 4" xfId="4199" xr:uid="{90087DB5-73EC-49D8-9B22-E0FFD880F90A}"/>
    <cellStyle name="20% - Ênfase1 14 4" xfId="1175" xr:uid="{E7198352-B7B7-4577-AB94-B3F0F62C8E5D}"/>
    <cellStyle name="20% - Ênfase1 14 4 2" xfId="3027" xr:uid="{77AB31AE-CE01-49A0-9F69-76633B99BFF6}"/>
    <cellStyle name="20% - Ênfase1 14 4 2 2" xfId="6655" xr:uid="{2793A552-69FC-4A46-AFF4-66D0A2E709DB}"/>
    <cellStyle name="20% - Ênfase1 14 4 3" xfId="4803" xr:uid="{6F5BEF28-7B38-445D-AF0E-EC946C2FAD2A}"/>
    <cellStyle name="20% - Ênfase1 14 5" xfId="2100" xr:uid="{F8C535C9-118F-4DCB-8C76-D375BC3DD127}"/>
    <cellStyle name="20% - Ênfase1 14 5 2" xfId="5728" xr:uid="{3F91CD74-2696-442B-A6B3-8C59AFAA7F5C}"/>
    <cellStyle name="20% - Ênfase1 14 6" xfId="3917" xr:uid="{E10DADCE-AFBA-454E-B60D-97155A992A59}"/>
    <cellStyle name="20% - Ênfase1 15" xfId="590" xr:uid="{5AE35A5D-C228-44D1-940B-987767311555}"/>
    <cellStyle name="20% - Ênfase1 15 2" xfId="1653" xr:uid="{9BFF61E5-D11C-40E4-97D0-B9A678FFEF5C}"/>
    <cellStyle name="20% - Ênfase1 15 2 2" xfId="2578" xr:uid="{37AC77D0-2B4B-4591-AEE4-D4C83931D505}"/>
    <cellStyle name="20% - Ênfase1 15 2 2 2" xfId="6206" xr:uid="{2A2E4263-684C-4B93-A7BC-B9CF9FA276EB}"/>
    <cellStyle name="20% - Ênfase1 15 2 3" xfId="5281" xr:uid="{2D4A378F-3DE3-4265-B0C7-806BCA00DAB9}"/>
    <cellStyle name="20% - Ênfase1 15 3" xfId="1195" xr:uid="{0E684CD6-49FA-4665-826C-3F862CF72156}"/>
    <cellStyle name="20% - Ênfase1 15 3 2" xfId="3047" xr:uid="{F22585C4-EA47-4AFA-8198-EA03B7A11595}"/>
    <cellStyle name="20% - Ênfase1 15 3 2 2" xfId="6675" xr:uid="{8C174749-79D0-4E95-92C0-324A5CBC2594}"/>
    <cellStyle name="20% - Ênfase1 15 3 3" xfId="4823" xr:uid="{D5A87F1A-A0EF-4040-9D79-DBF465BB5ADD}"/>
    <cellStyle name="20% - Ênfase1 15 4" xfId="2120" xr:uid="{9C447012-BCBC-4A1B-BDBC-9814AF196281}"/>
    <cellStyle name="20% - Ênfase1 15 4 2" xfId="5748" xr:uid="{D7A65B92-0681-4F71-8F9E-065F532F2E2E}"/>
    <cellStyle name="20% - Ênfase1 15 5" xfId="4219" xr:uid="{310D55FE-D81A-4CE8-A8EE-FF68FD758449}"/>
    <cellStyle name="20% - Ênfase1 16" xfId="610" xr:uid="{A2324834-F3CE-4A90-B0CC-438962118533}"/>
    <cellStyle name="20% - Ênfase1 16 2" xfId="1673" xr:uid="{8C41ECDD-2F18-4DDC-97CB-37EE7F77BB1B}"/>
    <cellStyle name="20% - Ênfase1 16 2 2" xfId="2598" xr:uid="{4591BBBC-0A20-4C2A-A5E8-A838FA35A208}"/>
    <cellStyle name="20% - Ênfase1 16 2 2 2" xfId="6226" xr:uid="{7B66C49E-A1D6-42AB-9B70-CA6B4B5C0BF2}"/>
    <cellStyle name="20% - Ênfase1 16 2 3" xfId="5301" xr:uid="{50B9CF3B-94D3-41F9-B331-0C8369C9DE90}"/>
    <cellStyle name="20% - Ênfase1 16 3" xfId="1215" xr:uid="{012AD039-0514-4A25-BEB4-C4BA960F7977}"/>
    <cellStyle name="20% - Ênfase1 16 3 2" xfId="3067" xr:uid="{36A8C98E-EA2C-4B49-A86B-2C9DC1816A81}"/>
    <cellStyle name="20% - Ênfase1 16 3 2 2" xfId="6695" xr:uid="{52C1AC14-8C52-44EF-BD00-9300A42A59E7}"/>
    <cellStyle name="20% - Ênfase1 16 3 3" xfId="4843" xr:uid="{4EC75C0A-B3AF-4F3F-B3EE-FA72C6E69388}"/>
    <cellStyle name="20% - Ênfase1 16 4" xfId="2140" xr:uid="{237410EC-9B1F-4E8B-8E42-8674A198C819}"/>
    <cellStyle name="20% - Ênfase1 16 4 2" xfId="5768" xr:uid="{FB97A7B0-1B26-4CE4-BF90-A4764EFFC286}"/>
    <cellStyle name="20% - Ênfase1 16 5" xfId="4239" xr:uid="{59D6AFAB-55DF-49AA-AEBF-FA034F5F8881}"/>
    <cellStyle name="20% - Ênfase1 17" xfId="630" xr:uid="{D5F1ABDA-0C0C-4713-AFE3-1B8189352B0B}"/>
    <cellStyle name="20% - Ênfase1 17 2" xfId="1234" xr:uid="{116FEE59-37BC-49F7-B993-24367DF8A08A}"/>
    <cellStyle name="20% - Ênfase1 17 2 2" xfId="3086" xr:uid="{045D22D3-1F34-481B-A103-0212D58FBC30}"/>
    <cellStyle name="20% - Ênfase1 17 2 2 2" xfId="6714" xr:uid="{85525F56-7084-42AC-A1E7-915D48C4A16E}"/>
    <cellStyle name="20% - Ênfase1 17 2 3" xfId="4862" xr:uid="{0F881B33-FBD6-4B24-87EE-D884A1283A8A}"/>
    <cellStyle name="20% - Ênfase1 17 3" xfId="2159" xr:uid="{A662C668-CDA9-4004-BA5A-A40366B854DC}"/>
    <cellStyle name="20% - Ênfase1 17 3 2" xfId="5787" xr:uid="{3F28A41F-F195-4E7F-BCEB-1C813DB64BC2}"/>
    <cellStyle name="20% - Ênfase1 17 4" xfId="4259" xr:uid="{ABC43090-10FA-484F-8DB4-D4BED3A10F8E}"/>
    <cellStyle name="20% - Ênfase1 18" xfId="307" xr:uid="{46C01D40-8EEB-4CF1-A966-B713A9615991}"/>
    <cellStyle name="20% - Ênfase1 18 2" xfId="1570" xr:uid="{899A758C-76FE-4C0E-A813-0419A3AE5F52}"/>
    <cellStyle name="20% - Ênfase1 18 2 2" xfId="3422" xr:uid="{36ECD6A6-369F-4C3A-8A8C-2AD3960811D6}"/>
    <cellStyle name="20% - Ênfase1 18 2 2 2" xfId="7050" xr:uid="{9AADC5C8-524A-441E-AE6A-D9171DDC81F8}"/>
    <cellStyle name="20% - Ênfase1 18 2 3" xfId="5198" xr:uid="{FD959628-CDA7-4347-AE7F-08E7208F61BB}"/>
    <cellStyle name="20% - Ênfase1 18 3" xfId="2495" xr:uid="{90FD0C01-28B3-4840-A3CE-E90B2D893EB0}"/>
    <cellStyle name="20% - Ênfase1 18 3 2" xfId="6123" xr:uid="{7668786F-F759-4113-ACCC-59917E2538B5}"/>
    <cellStyle name="20% - Ênfase1 18 4" xfId="3936" xr:uid="{A419EF9D-D9FA-48AE-B7E4-81EF97234F35}"/>
    <cellStyle name="20% - Ênfase1 19" xfId="912" xr:uid="{F72AEC7E-225E-4C98-98A7-B212FD9D2A43}"/>
    <cellStyle name="20% - Ênfase1 19 2" xfId="2764" xr:uid="{29F7FCC3-2FD6-4358-9F8A-804D03D10980}"/>
    <cellStyle name="20% - Ênfase1 19 2 2" xfId="6392" xr:uid="{6FF22F3B-8B2F-4753-AEDA-6E4C3C3A6CB6}"/>
    <cellStyle name="20% - Ênfase1 19 3" xfId="4540" xr:uid="{EB05CC42-018B-4A38-9D66-31B7008DA868}"/>
    <cellStyle name="20% - Ênfase1 2" xfId="47" xr:uid="{111972F4-A8FD-48EA-A93B-9C7DB990AF72}"/>
    <cellStyle name="20% - Ênfase1 2 2" xfId="653" xr:uid="{C9C0E7DB-FA15-4977-93A4-0696BB5CC0AF}"/>
    <cellStyle name="20% - Ênfase1 2 2 2" xfId="1256" xr:uid="{91541286-E687-4EBE-967B-A7AC6E19DB47}"/>
    <cellStyle name="20% - Ênfase1 2 2 2 2" xfId="3108" xr:uid="{4C7B56C8-77CD-4AB0-B69C-F0E96DAE0F29}"/>
    <cellStyle name="20% - Ênfase1 2 2 2 2 2" xfId="6736" xr:uid="{8247BF85-1AB0-41A3-9029-43528D832897}"/>
    <cellStyle name="20% - Ênfase1 2 2 2 3" xfId="4884" xr:uid="{A5359892-8F74-4E35-BBDE-798BAC5AF276}"/>
    <cellStyle name="20% - Ênfase1 2 2 3" xfId="2181" xr:uid="{B37B59D5-77A3-48F2-A3C7-2D9A640328A8}"/>
    <cellStyle name="20% - Ênfase1 2 2 3 2" xfId="5809" xr:uid="{85DF3317-1B50-45E3-8888-8ABDA6B54F94}"/>
    <cellStyle name="20% - Ênfase1 2 2 4" xfId="4281" xr:uid="{AE766D92-444C-479E-8471-0C8EA01A4694}"/>
    <cellStyle name="20% - Ênfase1 2 3" xfId="329" xr:uid="{655C18EB-7584-4DF8-9FA5-81962BB0EC06}"/>
    <cellStyle name="20% - Ênfase1 2 3 2" xfId="1692" xr:uid="{4368DC6A-9269-4235-A61D-C81FA434949D}"/>
    <cellStyle name="20% - Ênfase1 2 3 2 2" xfId="3505" xr:uid="{A0D53A23-20C9-4B9A-880B-8452F03C08D7}"/>
    <cellStyle name="20% - Ênfase1 2 3 2 2 2" xfId="7133" xr:uid="{54F1F884-D602-4426-AF95-5CE9982AB406}"/>
    <cellStyle name="20% - Ênfase1 2 3 2 3" xfId="5320" xr:uid="{5D32466D-8834-462A-B635-46A8EC42B8C7}"/>
    <cellStyle name="20% - Ênfase1 2 3 3" xfId="2617" xr:uid="{77CE99D5-D2B3-46DD-B0C9-2238A29415FE}"/>
    <cellStyle name="20% - Ênfase1 2 3 3 2" xfId="6245" xr:uid="{B5E44BB6-3A08-456E-B747-99D4B0E8B344}"/>
    <cellStyle name="20% - Ênfase1 2 3 4" xfId="3958" xr:uid="{957E9316-D1B5-4A36-8263-8A88C62F5123}"/>
    <cellStyle name="20% - Ênfase1 2 4" xfId="934" xr:uid="{BD799812-2A36-4357-A750-DE1E6ADDC014}"/>
    <cellStyle name="20% - Ênfase1 2 4 2" xfId="2786" xr:uid="{265B1287-3E0E-4B4E-9CFD-CC50C9829A5C}"/>
    <cellStyle name="20% - Ênfase1 2 4 2 2" xfId="6414" xr:uid="{0FC2740A-0EBF-4A01-BD94-2CBC765F8AC7}"/>
    <cellStyle name="20% - Ênfase1 2 4 3" xfId="4562" xr:uid="{6C0098D5-6BC0-40F0-BCC0-DBC58E889557}"/>
    <cellStyle name="20% - Ênfase1 2 5" xfId="1859" xr:uid="{1E18D5A8-D861-4C3D-B3C8-BF2AFDFBF9D2}"/>
    <cellStyle name="20% - Ênfase1 2 5 2" xfId="5487" xr:uid="{53ADF2A7-D2F9-4844-A772-771943108AF6}"/>
    <cellStyle name="20% - Ênfase1 2 6" xfId="3676" xr:uid="{6259A30C-1148-4D47-AB42-A902EE93500C}"/>
    <cellStyle name="20% - Ênfase1 20" xfId="1837" xr:uid="{5EE3349C-FF42-4BFE-AF03-96D88775F2CE}"/>
    <cellStyle name="20% - Ênfase1 20 2" xfId="5465" xr:uid="{F5D3814D-77A2-4E3F-86CE-442D15387392}"/>
    <cellStyle name="20% - Ênfase1 21" xfId="3652" xr:uid="{0BAC75AA-E789-4596-8BE7-2DBABE323182}"/>
    <cellStyle name="20% - Ênfase1 3" xfId="65" xr:uid="{934CE407-E40F-458D-8E89-39A32828614A}"/>
    <cellStyle name="20% - Ênfase1 3 2" xfId="671" xr:uid="{6A84FE43-97CE-40C4-8441-B833979C2D37}"/>
    <cellStyle name="20% - Ênfase1 3 2 2" xfId="1274" xr:uid="{5E6CCFA6-A89C-4F46-ADE2-0D8C5C278719}"/>
    <cellStyle name="20% - Ênfase1 3 2 2 2" xfId="3126" xr:uid="{FA59EDC5-D3D7-4794-904B-D20286ED2D35}"/>
    <cellStyle name="20% - Ênfase1 3 2 2 2 2" xfId="6754" xr:uid="{FE6891E9-4225-4554-B8B7-738F189FCDF5}"/>
    <cellStyle name="20% - Ênfase1 3 2 2 3" xfId="4902" xr:uid="{8C5198E2-4546-407B-9386-4127C0DEA429}"/>
    <cellStyle name="20% - Ênfase1 3 2 3" xfId="2199" xr:uid="{12A190D4-A79D-4082-B70F-33D4758D1905}"/>
    <cellStyle name="20% - Ênfase1 3 2 3 2" xfId="5827" xr:uid="{C7695384-2C2C-4226-A401-27C4B4755186}"/>
    <cellStyle name="20% - Ênfase1 3 2 4" xfId="4299" xr:uid="{AEB9AFA3-DA36-48F6-A720-9BCA9D40E8C6}"/>
    <cellStyle name="20% - Ênfase1 3 3" xfId="347" xr:uid="{F8E88433-8DC3-4F60-9392-F5E1724A85DB}"/>
    <cellStyle name="20% - Ênfase1 3 3 2" xfId="1829" xr:uid="{1B7A61BD-616A-4A10-B72C-D03B361D1BB3}"/>
    <cellStyle name="20% - Ênfase1 3 3 2 2" xfId="3642" xr:uid="{AE7C018F-0488-4D22-8CB3-2B3E862C121F}"/>
    <cellStyle name="20% - Ênfase1 3 3 2 2 2" xfId="7270" xr:uid="{8101F287-B0C1-4702-B24F-B51BF8F55F2D}"/>
    <cellStyle name="20% - Ênfase1 3 3 2 3" xfId="5457" xr:uid="{EB39958D-5A16-4864-AD44-671A3FE15189}"/>
    <cellStyle name="20% - Ênfase1 3 3 3" xfId="2754" xr:uid="{3C372EF0-8260-49E7-A460-91B0AB683BB3}"/>
    <cellStyle name="20% - Ênfase1 3 3 3 2" xfId="6382" xr:uid="{2FE463FE-2F87-49DA-B022-622850AFF3C3}"/>
    <cellStyle name="20% - Ênfase1 3 3 4" xfId="3976" xr:uid="{F0E855A5-7B65-48ED-B25F-E569FFC66A29}"/>
    <cellStyle name="20% - Ênfase1 3 4" xfId="952" xr:uid="{135FE03D-8758-4034-8174-8F723A765E9C}"/>
    <cellStyle name="20% - Ênfase1 3 4 2" xfId="2804" xr:uid="{6C9BCB10-E6C0-4C3A-BFD0-0FE6F006916A}"/>
    <cellStyle name="20% - Ênfase1 3 4 2 2" xfId="6432" xr:uid="{5949D8A7-1F80-4A26-B6F1-A788B91CEBAE}"/>
    <cellStyle name="20% - Ênfase1 3 4 3" xfId="4580" xr:uid="{A91A93B2-E6B9-4F25-9D6C-4D9FDA9572D9}"/>
    <cellStyle name="20% - Ênfase1 3 5" xfId="1877" xr:uid="{CB78E80C-F43C-4189-975D-23636A28BD95}"/>
    <cellStyle name="20% - Ênfase1 3 5 2" xfId="5505" xr:uid="{4BB29104-B37D-4BBF-A4EB-8A825EFE078D}"/>
    <cellStyle name="20% - Ênfase1 3 6" xfId="3694" xr:uid="{A33893BA-E255-4019-B7B5-AD14CF359531}"/>
    <cellStyle name="20% - Ênfase1 4" xfId="87" xr:uid="{4F7F7515-BBE9-45E1-BFEC-D9D9B980A4C8}"/>
    <cellStyle name="20% - Ênfase1 4 2" xfId="693" xr:uid="{52BF4ABB-E280-4E93-A161-EE6DB62E9696}"/>
    <cellStyle name="20% - Ênfase1 4 2 2" xfId="1296" xr:uid="{BE83D0FF-8C1A-4DE3-B841-30240DD7B77B}"/>
    <cellStyle name="20% - Ênfase1 4 2 2 2" xfId="3148" xr:uid="{8F60C802-B2E9-4501-B872-678FA32E2C84}"/>
    <cellStyle name="20% - Ênfase1 4 2 2 2 2" xfId="6776" xr:uid="{C15ED149-B847-42E8-9229-EFD769285CCE}"/>
    <cellStyle name="20% - Ênfase1 4 2 2 3" xfId="4924" xr:uid="{8DEEC077-2A72-49F8-B53F-350DC996F0B2}"/>
    <cellStyle name="20% - Ênfase1 4 2 3" xfId="2221" xr:uid="{8B1DB475-235D-44A3-8DC1-34E79AB586C1}"/>
    <cellStyle name="20% - Ênfase1 4 2 3 2" xfId="5849" xr:uid="{FEEC376D-D718-412E-AC96-2B110721AF7D}"/>
    <cellStyle name="20% - Ênfase1 4 2 4" xfId="4321" xr:uid="{4178751F-0713-4C86-94B5-D70C0179517B}"/>
    <cellStyle name="20% - Ênfase1 4 3" xfId="369" xr:uid="{4F343FE0-1C13-473C-AF32-3F770B4F1B77}"/>
    <cellStyle name="20% - Ênfase1 4 3 2" xfId="1790" xr:uid="{F33534B0-E2D9-47E9-8DFC-FC3E7B68F87A}"/>
    <cellStyle name="20% - Ênfase1 4 3 2 2" xfId="3603" xr:uid="{61E3B603-9B28-402F-BE63-CAA4955B4CA8}"/>
    <cellStyle name="20% - Ênfase1 4 3 2 2 2" xfId="7231" xr:uid="{5491DDCD-D657-4591-9DA9-C84F2AFA09D6}"/>
    <cellStyle name="20% - Ênfase1 4 3 2 3" xfId="5418" xr:uid="{E85D7CEC-3BD4-4252-9415-8E69DBAE915A}"/>
    <cellStyle name="20% - Ênfase1 4 3 3" xfId="2715" xr:uid="{BB33B709-A182-4179-8865-35B790E75F0D}"/>
    <cellStyle name="20% - Ênfase1 4 3 3 2" xfId="6343" xr:uid="{C96DB8A7-551B-4089-98A1-0014D84B6F13}"/>
    <cellStyle name="20% - Ênfase1 4 3 4" xfId="3998" xr:uid="{8FECB8C3-975C-4F8F-B966-04ACC26C651E}"/>
    <cellStyle name="20% - Ênfase1 4 4" xfId="974" xr:uid="{05DA0B45-04A2-4400-B615-ECD0A6BC99A1}"/>
    <cellStyle name="20% - Ênfase1 4 4 2" xfId="2826" xr:uid="{7E33F2FB-AD45-4351-85DB-DE3E0DC589BC}"/>
    <cellStyle name="20% - Ênfase1 4 4 2 2" xfId="6454" xr:uid="{80196DED-E6C1-4E70-923E-0D0C91E80349}"/>
    <cellStyle name="20% - Ênfase1 4 4 3" xfId="4602" xr:uid="{BD5EAC9C-57BC-47C3-A21C-39308B9AC545}"/>
    <cellStyle name="20% - Ênfase1 4 5" xfId="1899" xr:uid="{C18E7A05-7B34-4A41-A8F7-DC4AB6E15B15}"/>
    <cellStyle name="20% - Ênfase1 4 5 2" xfId="5527" xr:uid="{FD6D8A32-2C95-48C5-94C4-ADA0AB3695EF}"/>
    <cellStyle name="20% - Ênfase1 4 6" xfId="3716" xr:uid="{3898A6FD-41D3-41D9-A664-13BE5C80E6FC}"/>
    <cellStyle name="20% - Ênfase1 5" xfId="107" xr:uid="{38CE0385-BD62-43B8-B532-836725856649}"/>
    <cellStyle name="20% - Ênfase1 5 2" xfId="713" xr:uid="{E9819724-A1F1-4369-91C3-F1BB1A6CAEF4}"/>
    <cellStyle name="20% - Ênfase1 5 2 2" xfId="1316" xr:uid="{59915B28-95A3-4597-8809-614F302B0E44}"/>
    <cellStyle name="20% - Ênfase1 5 2 2 2" xfId="3168" xr:uid="{F155CA5B-8375-4CF1-9F22-B62EDA2E99AA}"/>
    <cellStyle name="20% - Ênfase1 5 2 2 2 2" xfId="6796" xr:uid="{BAEB8FAC-E887-4D46-A10F-173811C979F0}"/>
    <cellStyle name="20% - Ênfase1 5 2 2 3" xfId="4944" xr:uid="{65344B98-9F20-4B52-9CD5-AA3449AE24B6}"/>
    <cellStyle name="20% - Ênfase1 5 2 3" xfId="2241" xr:uid="{C2837627-BA2B-43DF-A51C-81666E38F0D7}"/>
    <cellStyle name="20% - Ênfase1 5 2 3 2" xfId="5869" xr:uid="{A9F6E336-0A0E-4AA6-922C-C3EDED161CFA}"/>
    <cellStyle name="20% - Ênfase1 5 2 4" xfId="4341" xr:uid="{7E5EB13A-8B9F-42D7-9917-6270E6CC634D}"/>
    <cellStyle name="20% - Ênfase1 5 3" xfId="389" xr:uid="{9ECA69CF-EFEC-4464-AEF3-824918E3754E}"/>
    <cellStyle name="20% - Ênfase1 5 3 2" xfId="1635" xr:uid="{0EE215F4-1DAE-404D-B0DC-CEA48614A324}"/>
    <cellStyle name="20% - Ênfase1 5 3 2 2" xfId="3487" xr:uid="{9B9703FE-2AA8-422E-B22D-F665D6279010}"/>
    <cellStyle name="20% - Ênfase1 5 3 2 2 2" xfId="7115" xr:uid="{83D3697C-7408-44CC-BA3E-171013E11626}"/>
    <cellStyle name="20% - Ênfase1 5 3 2 3" xfId="5263" xr:uid="{1500FCE4-DEE8-4D8E-97BC-99A8A0E78357}"/>
    <cellStyle name="20% - Ênfase1 5 3 3" xfId="2560" xr:uid="{4EBB888F-B023-4EBB-A9EE-D1112E6FF18E}"/>
    <cellStyle name="20% - Ênfase1 5 3 3 2" xfId="6188" xr:uid="{A244167F-5EDA-4EB0-A7A5-02005B26C0E8}"/>
    <cellStyle name="20% - Ênfase1 5 3 4" xfId="4018" xr:uid="{9C660D12-E84D-4A21-8670-462FA54E0BA8}"/>
    <cellStyle name="20% - Ênfase1 5 4" xfId="994" xr:uid="{CA2613A7-E60C-4A63-83F9-545D6F83B290}"/>
    <cellStyle name="20% - Ênfase1 5 4 2" xfId="2846" xr:uid="{B2208CB7-6D0C-4953-9C4D-EB1353CC1628}"/>
    <cellStyle name="20% - Ênfase1 5 4 2 2" xfId="6474" xr:uid="{CA93DBC3-16BC-4F49-8FC0-8B9A6FEDB4F5}"/>
    <cellStyle name="20% - Ênfase1 5 4 3" xfId="4622" xr:uid="{17210D95-1E1C-432E-A21E-A46D52EBB857}"/>
    <cellStyle name="20% - Ênfase1 5 5" xfId="1919" xr:uid="{9BDC47B6-FDD9-47C0-98A2-79F5212663D7}"/>
    <cellStyle name="20% - Ênfase1 5 5 2" xfId="5547" xr:uid="{C116BE50-BB84-4A5A-A0FA-E6E1C7D17B44}"/>
    <cellStyle name="20% - Ênfase1 5 6" xfId="3736" xr:uid="{D38F8484-B21F-4AC2-84D5-05EE33C5EFE4}"/>
    <cellStyle name="20% - Ênfase1 6" xfId="127" xr:uid="{31626FB4-FF64-4F23-916A-FFFE0F894E06}"/>
    <cellStyle name="20% - Ênfase1 6 2" xfId="733" xr:uid="{5A50A511-952A-4805-8BA9-4C1200E38ECE}"/>
    <cellStyle name="20% - Ênfase1 6 2 2" xfId="1336" xr:uid="{C6416DCC-B3D7-42B9-9384-815E5839CCD0}"/>
    <cellStyle name="20% - Ênfase1 6 2 2 2" xfId="3188" xr:uid="{216D297D-37CB-4E14-B118-37BEDE0AEB01}"/>
    <cellStyle name="20% - Ênfase1 6 2 2 2 2" xfId="6816" xr:uid="{7C971C6F-4281-4573-B9ED-59F002DB639C}"/>
    <cellStyle name="20% - Ênfase1 6 2 2 3" xfId="4964" xr:uid="{DFA5861E-B1DE-41A9-9127-6B30BAB1B146}"/>
    <cellStyle name="20% - Ênfase1 6 2 3" xfId="2261" xr:uid="{C48C759F-4563-4620-A1FA-716EF0FE1DE1}"/>
    <cellStyle name="20% - Ênfase1 6 2 3 2" xfId="5889" xr:uid="{C9C30761-A779-4D28-B368-0A185F489074}"/>
    <cellStyle name="20% - Ênfase1 6 2 4" xfId="4361" xr:uid="{89579404-6727-4BC1-9A61-07D05B24E1C6}"/>
    <cellStyle name="20% - Ênfase1 6 3" xfId="409" xr:uid="{A2905DE5-459A-40D2-ADF3-02EC83651BA5}"/>
    <cellStyle name="20% - Ênfase1 6 3 2" xfId="1806" xr:uid="{ECFB0006-EB48-4A1E-9736-8979AE10FB40}"/>
    <cellStyle name="20% - Ênfase1 6 3 2 2" xfId="3619" xr:uid="{8EF410B3-5ECB-44CB-B02B-A641925ACEDC}"/>
    <cellStyle name="20% - Ênfase1 6 3 2 2 2" xfId="7247" xr:uid="{4C0850C9-90E0-4970-B191-CC9D0974132F}"/>
    <cellStyle name="20% - Ênfase1 6 3 2 3" xfId="5434" xr:uid="{764AC973-7451-4464-B43B-45889FB8B017}"/>
    <cellStyle name="20% - Ênfase1 6 3 3" xfId="2731" xr:uid="{B360BBB3-EE21-46DD-B717-22E519388D67}"/>
    <cellStyle name="20% - Ênfase1 6 3 3 2" xfId="6359" xr:uid="{65C36F4E-8807-469B-BB9F-3767473D8871}"/>
    <cellStyle name="20% - Ênfase1 6 3 4" xfId="4038" xr:uid="{1515B6E0-4D90-491F-A291-CBE8960FBA9F}"/>
    <cellStyle name="20% - Ênfase1 6 4" xfId="1014" xr:uid="{017D52B0-6A70-462B-BBD0-82EE04DC1894}"/>
    <cellStyle name="20% - Ênfase1 6 4 2" xfId="2866" xr:uid="{B04554F0-B26B-4137-8013-DF193CE9D12A}"/>
    <cellStyle name="20% - Ênfase1 6 4 2 2" xfId="6494" xr:uid="{922CF9BB-89A4-4E82-8D08-2EF1BB14F461}"/>
    <cellStyle name="20% - Ênfase1 6 4 3" xfId="4642" xr:uid="{97395A68-566E-4FDB-A5EB-C74F67CFF9BB}"/>
    <cellStyle name="20% - Ênfase1 6 5" xfId="1939" xr:uid="{35B6F60E-1C27-4C05-827F-4824E3D5FC1D}"/>
    <cellStyle name="20% - Ênfase1 6 5 2" xfId="5567" xr:uid="{59792587-7D2D-4706-BCA2-C45620B1D211}"/>
    <cellStyle name="20% - Ênfase1 6 6" xfId="3756" xr:uid="{34322CA2-E8DF-4DB6-8C06-34ADF8D5A497}"/>
    <cellStyle name="20% - Ênfase1 7" xfId="147" xr:uid="{448E0D87-FE30-47CE-B834-E195C9B4AE5B}"/>
    <cellStyle name="20% - Ênfase1 7 2" xfId="753" xr:uid="{817498D5-FEF4-4F6A-90A1-53867A5D0EAC}"/>
    <cellStyle name="20% - Ênfase1 7 2 2" xfId="1356" xr:uid="{0D9CFB3E-033D-4CE0-9A01-BC75BF0DF811}"/>
    <cellStyle name="20% - Ênfase1 7 2 2 2" xfId="3208" xr:uid="{99BEF059-382D-411F-BF22-A7E3EF4EDA32}"/>
    <cellStyle name="20% - Ênfase1 7 2 2 2 2" xfId="6836" xr:uid="{DB045EB4-D216-4105-ACE5-BB9C8BF2B799}"/>
    <cellStyle name="20% - Ênfase1 7 2 2 3" xfId="4984" xr:uid="{16168562-13F2-4123-96C2-C45E43EFFDD2}"/>
    <cellStyle name="20% - Ênfase1 7 2 3" xfId="2281" xr:uid="{ECDFFFF0-8E97-4CCB-AD40-335550846F32}"/>
    <cellStyle name="20% - Ênfase1 7 2 3 2" xfId="5909" xr:uid="{CE09746B-2DB7-4585-BBBA-EF3AAAD39004}"/>
    <cellStyle name="20% - Ênfase1 7 2 4" xfId="4381" xr:uid="{EEE83E5C-F53B-4EE9-8121-992A0522B62A}"/>
    <cellStyle name="20% - Ênfase1 7 3" xfId="429" xr:uid="{9F763770-0199-4265-886F-FC7E20D275AF}"/>
    <cellStyle name="20% - Ênfase1 7 3 2" xfId="1814" xr:uid="{B6903566-207C-4086-AF47-6062B153529D}"/>
    <cellStyle name="20% - Ênfase1 7 3 2 2" xfId="3627" xr:uid="{48AEE28B-7FA9-4177-AA22-7BA8A8B05ECB}"/>
    <cellStyle name="20% - Ênfase1 7 3 2 2 2" xfId="7255" xr:uid="{AEE1B66F-B476-4DD8-B0DB-1F489784190B}"/>
    <cellStyle name="20% - Ênfase1 7 3 2 3" xfId="5442" xr:uid="{733CC659-9CCF-4964-BDDF-B9893F9877BA}"/>
    <cellStyle name="20% - Ênfase1 7 3 3" xfId="2739" xr:uid="{2B94AA7B-A262-4349-B01D-0D00A36877BB}"/>
    <cellStyle name="20% - Ênfase1 7 3 3 2" xfId="6367" xr:uid="{C83096CD-5162-4758-A173-DA4E3C8EB6C7}"/>
    <cellStyle name="20% - Ênfase1 7 3 4" xfId="4058" xr:uid="{314315BF-4952-46FF-B761-0ABFA57BF7BC}"/>
    <cellStyle name="20% - Ênfase1 7 4" xfId="1034" xr:uid="{E21D5DCE-E2FD-4463-B81C-68332F943738}"/>
    <cellStyle name="20% - Ênfase1 7 4 2" xfId="2886" xr:uid="{B22B3D01-3BB1-444D-B4EC-D26536538C30}"/>
    <cellStyle name="20% - Ênfase1 7 4 2 2" xfId="6514" xr:uid="{2C82F026-3A53-472F-93C1-A8C3739FCEE1}"/>
    <cellStyle name="20% - Ênfase1 7 4 3" xfId="4662" xr:uid="{CE4224E5-5E41-47CC-9CB8-EF1A56CF808A}"/>
    <cellStyle name="20% - Ênfase1 7 5" xfId="1959" xr:uid="{DBF39433-FCA7-4929-AE0D-3A75685762A8}"/>
    <cellStyle name="20% - Ênfase1 7 5 2" xfId="5587" xr:uid="{D591352D-F6FB-45A4-B87C-47669AD87C83}"/>
    <cellStyle name="20% - Ênfase1 7 6" xfId="3776" xr:uid="{D7898815-BE34-4048-92E9-F25D2454CCBF}"/>
    <cellStyle name="20% - Ênfase1 8" xfId="167" xr:uid="{C102F080-F8C0-4C84-96B5-5E51D4466399}"/>
    <cellStyle name="20% - Ênfase1 8 2" xfId="773" xr:uid="{168CEA90-29CA-4993-B8C1-802D139934ED}"/>
    <cellStyle name="20% - Ênfase1 8 2 2" xfId="1376" xr:uid="{A77E11E3-4FE5-40AD-B73F-FC0D36077EEE}"/>
    <cellStyle name="20% - Ênfase1 8 2 2 2" xfId="3228" xr:uid="{E485E557-ADC8-40D3-9D67-A847B3FB83F3}"/>
    <cellStyle name="20% - Ênfase1 8 2 2 2 2" xfId="6856" xr:uid="{54321351-AAB4-46AD-971F-1DBC9E3F2BD0}"/>
    <cellStyle name="20% - Ênfase1 8 2 2 3" xfId="5004" xr:uid="{E50A8E7C-1F28-455B-A409-3034C380E8B5}"/>
    <cellStyle name="20% - Ênfase1 8 2 3" xfId="2301" xr:uid="{13D71DED-E6B1-4361-A680-ADE6F30CBE5B}"/>
    <cellStyle name="20% - Ênfase1 8 2 3 2" xfId="5929" xr:uid="{5AA26140-8E5A-4D2C-8872-BF19C4022742}"/>
    <cellStyle name="20% - Ênfase1 8 2 4" xfId="4401" xr:uid="{092AB38D-CFC7-46FC-A396-384C4360FB08}"/>
    <cellStyle name="20% - Ênfase1 8 3" xfId="449" xr:uid="{858A7E23-FAD7-4B03-85D8-D8416D528835}"/>
    <cellStyle name="20% - Ênfase1 8 3 2" xfId="1769" xr:uid="{4DF87247-F49C-4BD0-A8DB-CF045712138A}"/>
    <cellStyle name="20% - Ênfase1 8 3 2 2" xfId="3582" xr:uid="{C879A0E3-9114-448A-9FE5-757CB101F009}"/>
    <cellStyle name="20% - Ênfase1 8 3 2 2 2" xfId="7210" xr:uid="{28C23661-CB33-4357-A413-1FA1BBBA1C04}"/>
    <cellStyle name="20% - Ênfase1 8 3 2 3" xfId="5397" xr:uid="{D5C1DB28-882D-48D1-9C0F-5AC82905CB31}"/>
    <cellStyle name="20% - Ênfase1 8 3 3" xfId="2694" xr:uid="{6A6F5B38-FCC2-45C5-9011-C14C3118BF5C}"/>
    <cellStyle name="20% - Ênfase1 8 3 3 2" xfId="6322" xr:uid="{2A36BF04-E63E-46E7-B158-AD161B85D122}"/>
    <cellStyle name="20% - Ênfase1 8 3 4" xfId="4078" xr:uid="{7CBA9A3F-1E41-4FFB-93D6-6ABB81FE3E90}"/>
    <cellStyle name="20% - Ênfase1 8 4" xfId="1054" xr:uid="{D1AEDDB6-A4A8-4D54-8CD6-52E32794E15D}"/>
    <cellStyle name="20% - Ênfase1 8 4 2" xfId="2906" xr:uid="{FFDFAA78-E0EC-40CA-94A2-2F6A64762293}"/>
    <cellStyle name="20% - Ênfase1 8 4 2 2" xfId="6534" xr:uid="{D85F06C0-1B27-42D3-B458-E8B74A3DD9B4}"/>
    <cellStyle name="20% - Ênfase1 8 4 3" xfId="4682" xr:uid="{10D843F8-D627-4E06-A26F-CCBBEDCCE51C}"/>
    <cellStyle name="20% - Ênfase1 8 5" xfId="1979" xr:uid="{562CCDAD-63AA-405B-B6D3-7A84D050391F}"/>
    <cellStyle name="20% - Ênfase1 8 5 2" xfId="5607" xr:uid="{AF73DCD1-5E9D-4DFB-80A5-C5D9B606D9EE}"/>
    <cellStyle name="20% - Ênfase1 8 6" xfId="3796" xr:uid="{A4CDC9F9-2E2F-4504-B3AE-3254D175651C}"/>
    <cellStyle name="20% - Ênfase1 9" xfId="187" xr:uid="{330140E1-7B54-4DA0-9C95-71961980FB8A}"/>
    <cellStyle name="20% - Ênfase1 9 2" xfId="793" xr:uid="{FE0FBDEA-1288-4CCB-B0A7-11EF2AF9CABC}"/>
    <cellStyle name="20% - Ênfase1 9 2 2" xfId="1396" xr:uid="{523A26B6-2687-48C0-9DE0-319B33E975AE}"/>
    <cellStyle name="20% - Ênfase1 9 2 2 2" xfId="3248" xr:uid="{2E9B2BF1-B866-4D0F-9593-069B8E792AF3}"/>
    <cellStyle name="20% - Ênfase1 9 2 2 2 2" xfId="6876" xr:uid="{688AC875-5C3F-405A-8113-58E79D61DF72}"/>
    <cellStyle name="20% - Ênfase1 9 2 2 3" xfId="5024" xr:uid="{B220745D-27D7-45B4-B2D3-D7910AD7DA31}"/>
    <cellStyle name="20% - Ênfase1 9 2 3" xfId="2321" xr:uid="{CE707952-046D-4197-868F-C7883C5A37D9}"/>
    <cellStyle name="20% - Ênfase1 9 2 3 2" xfId="5949" xr:uid="{338F35DB-FC82-4463-90F8-75C711E75C18}"/>
    <cellStyle name="20% - Ênfase1 9 2 4" xfId="4421" xr:uid="{17E9804A-55AE-4205-BBFE-A36EDBB766EE}"/>
    <cellStyle name="20% - Ênfase1 9 3" xfId="469" xr:uid="{8FBC3053-4993-4700-85B3-8803B0CD60A7}"/>
    <cellStyle name="20% - Ênfase1 9 3 2" xfId="1606" xr:uid="{0BBA2A61-FCA4-4CD7-B67F-B8A3A8EDA967}"/>
    <cellStyle name="20% - Ênfase1 9 3 2 2" xfId="3458" xr:uid="{6AE49DFF-4BCA-4F1D-B4C2-D51A41929EF3}"/>
    <cellStyle name="20% - Ênfase1 9 3 2 2 2" xfId="7086" xr:uid="{C547F819-5F2F-4F34-A753-827128ACACBD}"/>
    <cellStyle name="20% - Ênfase1 9 3 2 3" xfId="5234" xr:uid="{D25928FF-10B5-4B0D-BF41-A292D6F1E550}"/>
    <cellStyle name="20% - Ênfase1 9 3 3" xfId="2531" xr:uid="{4E49A616-7766-4D99-8556-9727C251512D}"/>
    <cellStyle name="20% - Ênfase1 9 3 3 2" xfId="6159" xr:uid="{5DCF92AE-1BBF-4678-B0FA-1F71FD3D0827}"/>
    <cellStyle name="20% - Ênfase1 9 3 4" xfId="4098" xr:uid="{A94A31DA-B1D8-4459-BDAE-C844023F566A}"/>
    <cellStyle name="20% - Ênfase1 9 4" xfId="1074" xr:uid="{4EC110AF-C230-4D36-B89A-16E8BBF4F19A}"/>
    <cellStyle name="20% - Ênfase1 9 4 2" xfId="2926" xr:uid="{28ED0B4F-6362-407F-BF87-7F72F4FBAF95}"/>
    <cellStyle name="20% - Ênfase1 9 4 2 2" xfId="6554" xr:uid="{FA6E63CA-7A27-4CD9-83CD-887AE46EC376}"/>
    <cellStyle name="20% - Ênfase1 9 4 3" xfId="4702" xr:uid="{08BE8C04-0D0C-471A-9F07-8A2B17F2B8D4}"/>
    <cellStyle name="20% - Ênfase1 9 5" xfId="1999" xr:uid="{D3949164-1AE2-4CE4-88A8-8FB98541BE13}"/>
    <cellStyle name="20% - Ênfase1 9 5 2" xfId="5627" xr:uid="{E0821738-BB29-4A5C-8EE5-56BFCB6FDBDB}"/>
    <cellStyle name="20% - Ênfase1 9 6" xfId="3816" xr:uid="{138EC350-84DA-4ACB-8DA4-6ABBB133B46D}"/>
    <cellStyle name="20% - Ênfase2" xfId="23" builtinId="34" customBuiltin="1"/>
    <cellStyle name="20% - Ênfase2 10" xfId="211" xr:uid="{02D9761D-E9B2-491D-9C9A-D0AB7D3DAF0D}"/>
    <cellStyle name="20% - Ênfase2 10 2" xfId="817" xr:uid="{725D6760-6839-4D6A-A905-6828A364A8E9}"/>
    <cellStyle name="20% - Ênfase2 10 2 2" xfId="1420" xr:uid="{5DBCF773-B03F-4260-9589-21B67C985B18}"/>
    <cellStyle name="20% - Ênfase2 10 2 2 2" xfId="3272" xr:uid="{05BB0187-4468-4E3A-BDEA-12AEC7FD19CF}"/>
    <cellStyle name="20% - Ênfase2 10 2 2 2 2" xfId="6900" xr:uid="{B91E1EE7-0307-49F4-99ED-4E4DF349D6CE}"/>
    <cellStyle name="20% - Ênfase2 10 2 2 3" xfId="5048" xr:uid="{6AEA664A-E553-4BE1-8917-300C2D644F54}"/>
    <cellStyle name="20% - Ênfase2 10 2 3" xfId="2345" xr:uid="{F764E6BC-177A-4D67-88EF-7D594C351357}"/>
    <cellStyle name="20% - Ênfase2 10 2 3 2" xfId="5973" xr:uid="{64B27EA5-B593-4EDE-B333-3821D862882C}"/>
    <cellStyle name="20% - Ênfase2 10 2 4" xfId="4445" xr:uid="{E38EFAE3-75EA-4B38-A03F-CD52D8B8D95F}"/>
    <cellStyle name="20% - Ênfase2 10 3" xfId="493" xr:uid="{031B737A-03FB-429D-ABF6-475D34046042}"/>
    <cellStyle name="20% - Ênfase2 10 3 2" xfId="1755" xr:uid="{4ECF64BC-07DD-42A9-A4C3-E22639672A62}"/>
    <cellStyle name="20% - Ênfase2 10 3 2 2" xfId="3568" xr:uid="{B2D09352-78DC-487C-921D-EDE3BA799B5F}"/>
    <cellStyle name="20% - Ênfase2 10 3 2 2 2" xfId="7196" xr:uid="{BDA0B5F1-34F5-4D21-B11B-134A2404AEF4}"/>
    <cellStyle name="20% - Ênfase2 10 3 2 3" xfId="5383" xr:uid="{A49400BD-AC41-4C46-BD09-0881596B88BC}"/>
    <cellStyle name="20% - Ênfase2 10 3 3" xfId="2680" xr:uid="{94B95052-B6F1-41A0-BBCC-79D6813C6724}"/>
    <cellStyle name="20% - Ênfase2 10 3 3 2" xfId="6308" xr:uid="{C8F7DB37-CB95-47A8-B37E-0870AF5D3629}"/>
    <cellStyle name="20% - Ênfase2 10 3 4" xfId="4122" xr:uid="{1A1E67E9-CF88-429E-919F-EAC3A80100EF}"/>
    <cellStyle name="20% - Ênfase2 10 4" xfId="1098" xr:uid="{23B7F8BD-95A6-484C-861B-D662F8E524FF}"/>
    <cellStyle name="20% - Ênfase2 10 4 2" xfId="2950" xr:uid="{682FF402-C412-4369-B112-CED0E6B44AAC}"/>
    <cellStyle name="20% - Ênfase2 10 4 2 2" xfId="6578" xr:uid="{3D213BFF-8BBA-40C3-91BE-9C3C56E5B858}"/>
    <cellStyle name="20% - Ênfase2 10 4 3" xfId="4726" xr:uid="{8000CB9D-34DD-479D-9D3F-C12F94CC0990}"/>
    <cellStyle name="20% - Ênfase2 10 5" xfId="2023" xr:uid="{FC62C89D-9AC4-48AC-BC0B-0664F90891F0}"/>
    <cellStyle name="20% - Ênfase2 10 5 2" xfId="5651" xr:uid="{B80C384B-5938-4323-87BE-3B93DDB16AF8}"/>
    <cellStyle name="20% - Ênfase2 10 6" xfId="3840" xr:uid="{6A9D6A33-5F05-4174-8A4E-705869F1B5FA}"/>
    <cellStyle name="20% - Ênfase2 11" xfId="231" xr:uid="{A5505092-035C-4F71-A7F5-959A26FFBB83}"/>
    <cellStyle name="20% - Ênfase2 11 2" xfId="837" xr:uid="{DF7D7F84-A9D8-40D5-BDC2-9B3F148E7D37}"/>
    <cellStyle name="20% - Ênfase2 11 2 2" xfId="1440" xr:uid="{46B8EC39-11B6-412D-8925-BA43A306F1C5}"/>
    <cellStyle name="20% - Ênfase2 11 2 2 2" xfId="3292" xr:uid="{6AC134AE-5D72-481A-8677-5C966CF1E152}"/>
    <cellStyle name="20% - Ênfase2 11 2 2 2 2" xfId="6920" xr:uid="{1DACF4E7-D93E-4A5C-B265-0D60678D7CF4}"/>
    <cellStyle name="20% - Ênfase2 11 2 2 3" xfId="5068" xr:uid="{9B44B3BE-724C-4BED-A1D8-06CAC9A41756}"/>
    <cellStyle name="20% - Ênfase2 11 2 3" xfId="2365" xr:uid="{3593FB7B-D3EA-4B6A-B820-504D4F321901}"/>
    <cellStyle name="20% - Ênfase2 11 2 3 2" xfId="5993" xr:uid="{3E35E307-9C3C-49BF-9E72-6EC580114515}"/>
    <cellStyle name="20% - Ênfase2 11 2 4" xfId="4465" xr:uid="{38547995-B1BF-42CD-92DA-A76F4CF9307F}"/>
    <cellStyle name="20% - Ênfase2 11 3" xfId="513" xr:uid="{4324D326-8D4F-417D-A9FE-12D641A360C8}"/>
    <cellStyle name="20% - Ênfase2 11 3 2" xfId="1740" xr:uid="{4FBAF9CE-C1A3-4C47-8975-3445F2BC7FEF}"/>
    <cellStyle name="20% - Ênfase2 11 3 2 2" xfId="3553" xr:uid="{85BD1088-69CE-4876-864F-3CFAE9F1E11A}"/>
    <cellStyle name="20% - Ênfase2 11 3 2 2 2" xfId="7181" xr:uid="{AE476087-92B3-401E-BE67-14A4AC4F5140}"/>
    <cellStyle name="20% - Ênfase2 11 3 2 3" xfId="5368" xr:uid="{C38443BE-FC13-4503-88B1-87EDBF1E5ABD}"/>
    <cellStyle name="20% - Ênfase2 11 3 3" xfId="2665" xr:uid="{B6C09872-7D7A-4431-A7ED-89EB58FF5288}"/>
    <cellStyle name="20% - Ênfase2 11 3 3 2" xfId="6293" xr:uid="{0311B398-BFF2-4F9C-8AF0-2E318D426586}"/>
    <cellStyle name="20% - Ênfase2 11 3 4" xfId="4142" xr:uid="{AD9C3E53-0D84-494D-9031-CDCBD1032CF1}"/>
    <cellStyle name="20% - Ênfase2 11 4" xfId="1118" xr:uid="{A1109F1A-F95B-410D-A0AA-6DBB5B572392}"/>
    <cellStyle name="20% - Ênfase2 11 4 2" xfId="2970" xr:uid="{E6955CE3-A14C-4285-A0A3-BF3CE5EFD048}"/>
    <cellStyle name="20% - Ênfase2 11 4 2 2" xfId="6598" xr:uid="{5974E631-475A-40A3-BA95-F670F61DD38B}"/>
    <cellStyle name="20% - Ênfase2 11 4 3" xfId="4746" xr:uid="{747E9211-7A06-465C-BE63-C8809B4A2406}"/>
    <cellStyle name="20% - Ênfase2 11 5" xfId="2043" xr:uid="{C28716F1-2F20-45D2-9475-FF7AAB2AA76E}"/>
    <cellStyle name="20% - Ênfase2 11 5 2" xfId="5671" xr:uid="{3C5F1910-3EAA-4D2E-81C3-790387CC957A}"/>
    <cellStyle name="20% - Ênfase2 11 6" xfId="3860" xr:uid="{2238425E-AD63-4A15-9FF3-A99FDEC8D3A1}"/>
    <cellStyle name="20% - Ênfase2 12" xfId="251" xr:uid="{0733B38F-9EAA-4DEA-B238-4FA77961D289}"/>
    <cellStyle name="20% - Ênfase2 12 2" xfId="857" xr:uid="{EDF5DD9B-FA1D-4580-8494-BE0343FECEA4}"/>
    <cellStyle name="20% - Ênfase2 12 2 2" xfId="1460" xr:uid="{58215169-9D2D-4D01-BFA5-45B9BD537BAF}"/>
    <cellStyle name="20% - Ênfase2 12 2 2 2" xfId="3312" xr:uid="{62F8F7D9-AA0E-431D-B8E1-13B1C5207561}"/>
    <cellStyle name="20% - Ênfase2 12 2 2 2 2" xfId="6940" xr:uid="{ECAC17EC-0F51-4609-8A77-3D61AA9A5DBE}"/>
    <cellStyle name="20% - Ênfase2 12 2 2 3" xfId="5088" xr:uid="{87932A17-62FA-4983-BD37-DB983231F4DC}"/>
    <cellStyle name="20% - Ênfase2 12 2 3" xfId="2385" xr:uid="{6BB00196-A9B8-414C-BA35-8868A8D5925C}"/>
    <cellStyle name="20% - Ênfase2 12 2 3 2" xfId="6013" xr:uid="{5A5E901F-6518-4674-B9AF-070528630B0D}"/>
    <cellStyle name="20% - Ênfase2 12 2 4" xfId="4485" xr:uid="{1FE1962B-9B51-4AF0-B77A-3F767DB5810A}"/>
    <cellStyle name="20% - Ênfase2 12 3" xfId="533" xr:uid="{78513388-EA7D-4C9D-8A37-8FE8FFDC1586}"/>
    <cellStyle name="20% - Ênfase2 12 3 2" xfId="1562" xr:uid="{49C8C1CE-736C-4B06-A5D1-C93925A6E5FE}"/>
    <cellStyle name="20% - Ênfase2 12 3 2 2" xfId="3414" xr:uid="{D6F2A8C9-04F5-4643-B24C-102D89210A98}"/>
    <cellStyle name="20% - Ênfase2 12 3 2 2 2" xfId="7042" xr:uid="{8313793C-0399-4688-B0B2-F9251089985E}"/>
    <cellStyle name="20% - Ênfase2 12 3 2 3" xfId="5190" xr:uid="{8EA8DC25-BB7E-4800-AC03-13617259F45F}"/>
    <cellStyle name="20% - Ênfase2 12 3 3" xfId="2487" xr:uid="{DE03AA70-D91F-4826-AAC7-D4225E374069}"/>
    <cellStyle name="20% - Ênfase2 12 3 3 2" xfId="6115" xr:uid="{B90D7E01-8DCA-482E-AA10-AB964C3593B8}"/>
    <cellStyle name="20% - Ênfase2 12 3 4" xfId="4162" xr:uid="{1506176B-DA05-48C6-86B4-87BC4B2539A3}"/>
    <cellStyle name="20% - Ênfase2 12 4" xfId="1138" xr:uid="{DDD0FB9F-BA3B-43EE-BD7E-76D16BD08852}"/>
    <cellStyle name="20% - Ênfase2 12 4 2" xfId="2990" xr:uid="{B2108026-549D-49A7-925A-2F6E16E96A17}"/>
    <cellStyle name="20% - Ênfase2 12 4 2 2" xfId="6618" xr:uid="{404D1BE5-7352-494D-9AA7-DDF305842248}"/>
    <cellStyle name="20% - Ênfase2 12 4 3" xfId="4766" xr:uid="{D6BAD319-E6CE-4034-8913-565FD2D3E205}"/>
    <cellStyle name="20% - Ênfase2 12 5" xfId="2063" xr:uid="{FD27F0FB-ED8C-4D66-8EC7-A8EBE5681812}"/>
    <cellStyle name="20% - Ênfase2 12 5 2" xfId="5691" xr:uid="{EA6F9CB8-7624-493A-8AD5-0CD7557DF2E2}"/>
    <cellStyle name="20% - Ênfase2 12 6" xfId="3880" xr:uid="{07F2E22E-5B8E-4488-98D0-BFC0BABF0E6A}"/>
    <cellStyle name="20% - Ênfase2 13" xfId="271" xr:uid="{39D92AD9-12C9-4B41-A1FC-555641A00009}"/>
    <cellStyle name="20% - Ênfase2 13 2" xfId="877" xr:uid="{02EC85BC-E425-43A3-A9C3-8C4A5E885E08}"/>
    <cellStyle name="20% - Ênfase2 13 2 2" xfId="1480" xr:uid="{F55C3AB1-3E6B-4BF9-95C9-7C4AD0A3C341}"/>
    <cellStyle name="20% - Ênfase2 13 2 2 2" xfId="3332" xr:uid="{9D5F99E7-AFC7-4732-9F7B-FF67C995FBA1}"/>
    <cellStyle name="20% - Ênfase2 13 2 2 2 2" xfId="6960" xr:uid="{CB7405DD-F062-4B10-A1F7-EE4AA0175D85}"/>
    <cellStyle name="20% - Ênfase2 13 2 2 3" xfId="5108" xr:uid="{168C8DA8-5C81-4E31-AD28-237499AD3EFA}"/>
    <cellStyle name="20% - Ênfase2 13 2 3" xfId="2405" xr:uid="{079C5370-2697-4375-8DA4-437E73ECE74A}"/>
    <cellStyle name="20% - Ênfase2 13 2 3 2" xfId="6033" xr:uid="{A621DEC2-85B7-4AD6-824B-3D40C6DA714F}"/>
    <cellStyle name="20% - Ênfase2 13 2 4" xfId="4505" xr:uid="{644A1F44-8E50-49F9-B8F6-8064FA6469A4}"/>
    <cellStyle name="20% - Ênfase2 13 3" xfId="553" xr:uid="{59A16CFD-ECD0-4909-9343-B40FB3F83B2F}"/>
    <cellStyle name="20% - Ênfase2 13 3 2" xfId="1802" xr:uid="{C31777C3-D895-45BD-B5DF-9EC075773ED0}"/>
    <cellStyle name="20% - Ênfase2 13 3 2 2" xfId="3615" xr:uid="{32E966D3-8000-4250-9C20-2388DA6FFDC5}"/>
    <cellStyle name="20% - Ênfase2 13 3 2 2 2" xfId="7243" xr:uid="{2272432B-7CAC-4424-97D0-8BAD621C2435}"/>
    <cellStyle name="20% - Ênfase2 13 3 2 3" xfId="5430" xr:uid="{E601379C-E5FA-46CC-8CB0-C251423950AA}"/>
    <cellStyle name="20% - Ênfase2 13 3 3" xfId="2727" xr:uid="{0AFA847D-836A-49D7-B31D-F71074B31ECD}"/>
    <cellStyle name="20% - Ênfase2 13 3 3 2" xfId="6355" xr:uid="{216E6AE3-7F0F-45F8-A9B8-A7EEE3B6AFAE}"/>
    <cellStyle name="20% - Ênfase2 13 3 4" xfId="4182" xr:uid="{9CBFF651-60B2-4A1D-8CC0-A8CE6CBE40E7}"/>
    <cellStyle name="20% - Ênfase2 13 4" xfId="1158" xr:uid="{5A9FDD29-BFC6-40FC-8038-8A0FB5913BAD}"/>
    <cellStyle name="20% - Ênfase2 13 4 2" xfId="3010" xr:uid="{7F3DE363-172B-493A-91C3-F4CD727C310D}"/>
    <cellStyle name="20% - Ênfase2 13 4 2 2" xfId="6638" xr:uid="{0DF0617F-3FA9-42C5-8EE8-6B6A71990B38}"/>
    <cellStyle name="20% - Ênfase2 13 4 3" xfId="4786" xr:uid="{03C5ADCC-DC7E-4059-BA86-70628E32ED17}"/>
    <cellStyle name="20% - Ênfase2 13 5" xfId="2083" xr:uid="{F224A3B6-8850-4791-AB94-98407E70B1D4}"/>
    <cellStyle name="20% - Ênfase2 13 5 2" xfId="5711" xr:uid="{A97CBBF9-D408-49C4-871C-E40E9EE53710}"/>
    <cellStyle name="20% - Ênfase2 13 6" xfId="3900" xr:uid="{1CF7B1B2-90A0-43E9-961D-546012195478}"/>
    <cellStyle name="20% - Ênfase2 14" xfId="291" xr:uid="{E9D1B6F2-92EF-4249-8763-AB4D32134F3A}"/>
    <cellStyle name="20% - Ênfase2 14 2" xfId="897" xr:uid="{413D0E09-1256-4C46-B98C-EC34C318AA49}"/>
    <cellStyle name="20% - Ênfase2 14 2 2" xfId="1500" xr:uid="{0F225D0E-C8A5-4B52-B2F4-BE59BAC273EB}"/>
    <cellStyle name="20% - Ênfase2 14 2 2 2" xfId="3352" xr:uid="{943BCDE0-E757-425F-BF64-3241A1B52AE0}"/>
    <cellStyle name="20% - Ênfase2 14 2 2 2 2" xfId="6980" xr:uid="{6B352D7A-9F4B-4AAF-A1E8-33A66F5B2FCE}"/>
    <cellStyle name="20% - Ênfase2 14 2 2 3" xfId="5128" xr:uid="{B3D5164F-5F14-4184-8CB7-D8485BCDA168}"/>
    <cellStyle name="20% - Ênfase2 14 2 3" xfId="2425" xr:uid="{97ED949F-011D-4466-8AA9-C57585E115BD}"/>
    <cellStyle name="20% - Ênfase2 14 2 3 2" xfId="6053" xr:uid="{A96CB798-B4D6-4B61-B1C7-60BEA3D156B3}"/>
    <cellStyle name="20% - Ênfase2 14 2 4" xfId="4525" xr:uid="{E82910D2-62F5-4178-8587-3E5D2A298163}"/>
    <cellStyle name="20% - Ênfase2 14 3" xfId="573" xr:uid="{9CB8DAC4-54BC-4E1F-96CE-154EDB38AF89}"/>
    <cellStyle name="20% - Ênfase2 14 3 2" xfId="1520" xr:uid="{D97C6D29-EA8D-4329-85BA-B12FA19F5E57}"/>
    <cellStyle name="20% - Ênfase2 14 3 2 2" xfId="3372" xr:uid="{C0F3F482-B66E-4945-B3F6-DBDDD081F757}"/>
    <cellStyle name="20% - Ênfase2 14 3 2 2 2" xfId="7000" xr:uid="{E1790D64-E1D9-42DB-8758-524C2F945DBB}"/>
    <cellStyle name="20% - Ênfase2 14 3 2 3" xfId="5148" xr:uid="{EC4F3267-52D3-4CC0-BC9E-C41B85239379}"/>
    <cellStyle name="20% - Ênfase2 14 3 3" xfId="2445" xr:uid="{2608D903-00BD-4940-8F50-BF3BFA056B3E}"/>
    <cellStyle name="20% - Ênfase2 14 3 3 2" xfId="6073" xr:uid="{3BED770C-BA76-414B-BB05-5813665E9536}"/>
    <cellStyle name="20% - Ênfase2 14 3 4" xfId="4202" xr:uid="{1E1C0C2D-5547-4656-80FE-01B0A20D1B4D}"/>
    <cellStyle name="20% - Ênfase2 14 4" xfId="1178" xr:uid="{643729F6-E5EE-406D-978B-8B56D1A1088C}"/>
    <cellStyle name="20% - Ênfase2 14 4 2" xfId="3030" xr:uid="{C8D9448F-F39A-46E5-9FF1-6CA64353AF2E}"/>
    <cellStyle name="20% - Ênfase2 14 4 2 2" xfId="6658" xr:uid="{7D76F832-D5E0-458C-A2BC-3F2B91E98680}"/>
    <cellStyle name="20% - Ênfase2 14 4 3" xfId="4806" xr:uid="{10F38D6F-65D1-41D2-93B3-1FDCD8ADDAFA}"/>
    <cellStyle name="20% - Ênfase2 14 5" xfId="2103" xr:uid="{E32B27D3-1A38-4B52-B0BE-CD18B7353571}"/>
    <cellStyle name="20% - Ênfase2 14 5 2" xfId="5731" xr:uid="{B6EDC677-A078-4A45-8243-8EB622410A30}"/>
    <cellStyle name="20% - Ênfase2 14 6" xfId="3920" xr:uid="{E9987C59-49D3-4324-8322-1D2D219864EE}"/>
    <cellStyle name="20% - Ênfase2 15" xfId="593" xr:uid="{A6A261AA-B956-43AB-94C6-26505F5FAC89}"/>
    <cellStyle name="20% - Ênfase2 15 2" xfId="1656" xr:uid="{26A45383-7D17-4A32-98F6-EED289AF95FB}"/>
    <cellStyle name="20% - Ênfase2 15 2 2" xfId="2581" xr:uid="{5DFA7E82-334A-4B88-87A9-E0FAB50B49D9}"/>
    <cellStyle name="20% - Ênfase2 15 2 2 2" xfId="6209" xr:uid="{ABA7F395-C0BA-4225-BA9A-87324D5EBFE9}"/>
    <cellStyle name="20% - Ênfase2 15 2 3" xfId="5284" xr:uid="{F6613E02-4476-46B8-A253-8DFF431029B4}"/>
    <cellStyle name="20% - Ênfase2 15 3" xfId="1198" xr:uid="{829E49F0-E63E-4851-8609-B60E251B4635}"/>
    <cellStyle name="20% - Ênfase2 15 3 2" xfId="3050" xr:uid="{9B1BA0DF-A445-4441-9A7A-66CFE142CF82}"/>
    <cellStyle name="20% - Ênfase2 15 3 2 2" xfId="6678" xr:uid="{B5D5D942-E95D-44AE-9F6B-0075236E04A1}"/>
    <cellStyle name="20% - Ênfase2 15 3 3" xfId="4826" xr:uid="{AD8330D1-C026-49A7-914C-6179229D92AF}"/>
    <cellStyle name="20% - Ênfase2 15 4" xfId="2123" xr:uid="{E87FCE3D-224F-42FA-90D1-1A5DC4A0C115}"/>
    <cellStyle name="20% - Ênfase2 15 4 2" xfId="5751" xr:uid="{24E375D7-1070-4695-9754-728D072B490A}"/>
    <cellStyle name="20% - Ênfase2 15 5" xfId="4222" xr:uid="{1F6B2E58-C4E2-4ACE-B39E-F40C1D0E5CD0}"/>
    <cellStyle name="20% - Ênfase2 16" xfId="613" xr:uid="{FFD4CACD-E9B8-4EF4-B782-67BFB211A698}"/>
    <cellStyle name="20% - Ênfase2 16 2" xfId="1676" xr:uid="{0C2C8789-A0F3-4216-B885-F42AA550405B}"/>
    <cellStyle name="20% - Ênfase2 16 2 2" xfId="2601" xr:uid="{AD16A36A-2BA1-47E8-A4EF-0664B159DC6F}"/>
    <cellStyle name="20% - Ênfase2 16 2 2 2" xfId="6229" xr:uid="{04801995-6465-473C-8FF9-2F6559D4DA81}"/>
    <cellStyle name="20% - Ênfase2 16 2 3" xfId="5304" xr:uid="{89D4CEAD-B92B-4FC0-B21D-C0F409435415}"/>
    <cellStyle name="20% - Ênfase2 16 3" xfId="1218" xr:uid="{FF97C699-BCA7-4C99-A319-B59DB34A9B50}"/>
    <cellStyle name="20% - Ênfase2 16 3 2" xfId="3070" xr:uid="{B9BAF459-C6FB-4A5B-9593-CE737B9B79ED}"/>
    <cellStyle name="20% - Ênfase2 16 3 2 2" xfId="6698" xr:uid="{78C9F188-9974-4559-B278-00DA4E72CCA0}"/>
    <cellStyle name="20% - Ênfase2 16 3 3" xfId="4846" xr:uid="{E684573F-B171-459E-B732-15F0940DFBCE}"/>
    <cellStyle name="20% - Ênfase2 16 4" xfId="2143" xr:uid="{63707C5F-5FEE-4F7A-B644-0FC47116127C}"/>
    <cellStyle name="20% - Ênfase2 16 4 2" xfId="5771" xr:uid="{43517D9D-9340-484E-B180-6FD3CABA0DDC}"/>
    <cellStyle name="20% - Ênfase2 16 5" xfId="4242" xr:uid="{7661B115-971E-470D-8AF7-53467D433726}"/>
    <cellStyle name="20% - Ênfase2 17" xfId="633" xr:uid="{BC94BCC6-4395-434D-9E0C-86EB6332C826}"/>
    <cellStyle name="20% - Ênfase2 17 2" xfId="1237" xr:uid="{315C44DA-5445-4BAE-99DF-CEE874B427F8}"/>
    <cellStyle name="20% - Ênfase2 17 2 2" xfId="3089" xr:uid="{2E1233CE-616C-49DF-8845-7BF4BEBE26B9}"/>
    <cellStyle name="20% - Ênfase2 17 2 2 2" xfId="6717" xr:uid="{056E182B-113C-4BBC-9EF3-C84AE3C8F866}"/>
    <cellStyle name="20% - Ênfase2 17 2 3" xfId="4865" xr:uid="{FA4AC68A-1720-4E72-8942-9D16DFCED591}"/>
    <cellStyle name="20% - Ênfase2 17 3" xfId="2162" xr:uid="{32533072-AF85-4866-A32A-927B5D34EB3E}"/>
    <cellStyle name="20% - Ênfase2 17 3 2" xfId="5790" xr:uid="{930FA395-949D-47B9-B121-7ABC45A70519}"/>
    <cellStyle name="20% - Ênfase2 17 4" xfId="4262" xr:uid="{853B3AFD-1065-4FF1-A74B-E14247F5A29D}"/>
    <cellStyle name="20% - Ênfase2 18" xfId="310" xr:uid="{0D4E1D39-80FB-44CC-BDED-81D2D98F81CA}"/>
    <cellStyle name="20% - Ênfase2 18 2" xfId="1753" xr:uid="{001B9887-DB92-4B74-A4A9-32FA994B151D}"/>
    <cellStyle name="20% - Ênfase2 18 2 2" xfId="3566" xr:uid="{196CC3BF-491C-46A2-B39C-E4358D853A0E}"/>
    <cellStyle name="20% - Ênfase2 18 2 2 2" xfId="7194" xr:uid="{2CCA9FE4-78C7-4064-AB4B-990D7152E5DC}"/>
    <cellStyle name="20% - Ênfase2 18 2 3" xfId="5381" xr:uid="{5E877678-EE78-4E94-97F1-0232B8DA99DB}"/>
    <cellStyle name="20% - Ênfase2 18 3" xfId="2678" xr:uid="{259A2A29-D94A-4AB0-B180-E4A9CB2D0EB8}"/>
    <cellStyle name="20% - Ênfase2 18 3 2" xfId="6306" xr:uid="{9DF05C8F-ACCF-4FE6-9CE0-3F205AD76A63}"/>
    <cellStyle name="20% - Ênfase2 18 4" xfId="3939" xr:uid="{64B10D2C-1A9D-47ED-B9BD-121108FB57AE}"/>
    <cellStyle name="20% - Ênfase2 19" xfId="915" xr:uid="{95A7A71D-446E-40BF-8B65-EB21B324A488}"/>
    <cellStyle name="20% - Ênfase2 19 2" xfId="2767" xr:uid="{BEBB0E74-2FB3-4086-BE85-BA8BAA8AECA8}"/>
    <cellStyle name="20% - Ênfase2 19 2 2" xfId="6395" xr:uid="{AB4FEE92-257A-49CB-A654-9739216825E8}"/>
    <cellStyle name="20% - Ênfase2 19 3" xfId="4543" xr:uid="{F957C405-47D6-4821-9380-C7409CF827B8}"/>
    <cellStyle name="20% - Ênfase2 2" xfId="50" xr:uid="{1D0AB4F5-BD54-42D7-8DE9-48E1A00A7369}"/>
    <cellStyle name="20% - Ênfase2 2 2" xfId="656" xr:uid="{F289D022-7E18-4CD0-B21A-0E6F957405AA}"/>
    <cellStyle name="20% - Ênfase2 2 2 2" xfId="1259" xr:uid="{65ACAAA3-3D3B-40F6-8108-95A6178758B8}"/>
    <cellStyle name="20% - Ênfase2 2 2 2 2" xfId="3111" xr:uid="{9B9A7184-22BF-4EE5-A92C-24C34B6A4481}"/>
    <cellStyle name="20% - Ênfase2 2 2 2 2 2" xfId="6739" xr:uid="{99E06C56-044D-4FC2-8245-59ABB60C2094}"/>
    <cellStyle name="20% - Ênfase2 2 2 2 3" xfId="4887" xr:uid="{BC2EA125-6CEA-4292-91CA-D645BD38EE7E}"/>
    <cellStyle name="20% - Ênfase2 2 2 3" xfId="2184" xr:uid="{DB967659-3905-4478-8E50-281C52EC6FCD}"/>
    <cellStyle name="20% - Ênfase2 2 2 3 2" xfId="5812" xr:uid="{516E5616-0105-4E7F-B99B-66CD0B048C7B}"/>
    <cellStyle name="20% - Ênfase2 2 2 4" xfId="4284" xr:uid="{9AB1B85B-1709-4751-AFCD-961CED6F5E5B}"/>
    <cellStyle name="20% - Ênfase2 2 3" xfId="332" xr:uid="{8438B473-6C77-4CEB-B29E-9E5FB2D4C9CD}"/>
    <cellStyle name="20% - Ênfase2 2 3 2" xfId="1582" xr:uid="{227D52BC-86BC-4DBA-BE91-F0F8694AFCCF}"/>
    <cellStyle name="20% - Ênfase2 2 3 2 2" xfId="3434" xr:uid="{026416B5-F062-4E3C-ABCC-B3F978D820B7}"/>
    <cellStyle name="20% - Ênfase2 2 3 2 2 2" xfId="7062" xr:uid="{30809681-B833-456F-A9C2-C1E6A7BE9EAF}"/>
    <cellStyle name="20% - Ênfase2 2 3 2 3" xfId="5210" xr:uid="{3CD86B78-7AE0-42C7-B641-703D0E049964}"/>
    <cellStyle name="20% - Ênfase2 2 3 3" xfId="2507" xr:uid="{CFE5E4AC-83CF-4208-88B1-8C2EDACF0151}"/>
    <cellStyle name="20% - Ênfase2 2 3 3 2" xfId="6135" xr:uid="{3254889F-F7CD-4926-B45A-306004380045}"/>
    <cellStyle name="20% - Ênfase2 2 3 4" xfId="3961" xr:uid="{EFCD1FF7-9B0B-4D78-A1ED-6B8A962975E6}"/>
    <cellStyle name="20% - Ênfase2 2 4" xfId="937" xr:uid="{16A1B849-1910-49F1-90E8-FC2EB56A6037}"/>
    <cellStyle name="20% - Ênfase2 2 4 2" xfId="2789" xr:uid="{059508BE-7CB8-450F-AC96-372FA3FC1C03}"/>
    <cellStyle name="20% - Ênfase2 2 4 2 2" xfId="6417" xr:uid="{01B19541-37F2-4B29-BEF3-52F5202E1736}"/>
    <cellStyle name="20% - Ênfase2 2 4 3" xfId="4565" xr:uid="{1313B657-336B-414A-9D3B-0A812B0C03D3}"/>
    <cellStyle name="20% - Ênfase2 2 5" xfId="1862" xr:uid="{D889CB6D-72E6-42C4-8E06-ACE241B93AA1}"/>
    <cellStyle name="20% - Ênfase2 2 5 2" xfId="5490" xr:uid="{572B25AF-3C54-4CD9-8B61-622224E5CDBA}"/>
    <cellStyle name="20% - Ênfase2 2 6" xfId="3679" xr:uid="{DD5A3B07-143B-4E02-B383-236DE8DCF2CE}"/>
    <cellStyle name="20% - Ênfase2 20" xfId="1840" xr:uid="{FDC9587C-9986-4184-B264-A7944AC76F50}"/>
    <cellStyle name="20% - Ênfase2 20 2" xfId="5468" xr:uid="{6EEA8BD6-E606-4A91-B938-7052A41B89A6}"/>
    <cellStyle name="20% - Ênfase2 21" xfId="3655" xr:uid="{B8BB4F7C-E11A-4F1E-9B39-FEC735AAA685}"/>
    <cellStyle name="20% - Ênfase2 3" xfId="68" xr:uid="{1E54899E-F1C9-40F6-BF78-9A1011BBD5F7}"/>
    <cellStyle name="20% - Ênfase2 3 2" xfId="674" xr:uid="{7CA97794-72E8-4F7C-A880-66C1424CFE67}"/>
    <cellStyle name="20% - Ênfase2 3 2 2" xfId="1277" xr:uid="{F2FCAFE8-81C2-476F-8667-DB9F1293BAE2}"/>
    <cellStyle name="20% - Ênfase2 3 2 2 2" xfId="3129" xr:uid="{677FDE05-2654-4DDD-8E48-C02435C8900C}"/>
    <cellStyle name="20% - Ênfase2 3 2 2 2 2" xfId="6757" xr:uid="{DA16487C-3C89-4FC1-8EB6-507E4BE488B3}"/>
    <cellStyle name="20% - Ênfase2 3 2 2 3" xfId="4905" xr:uid="{7F128D5A-040B-49B5-AE46-9DBA681436CB}"/>
    <cellStyle name="20% - Ênfase2 3 2 3" xfId="2202" xr:uid="{D2F41DF2-5D9C-4B16-9AC5-33BF3783D284}"/>
    <cellStyle name="20% - Ênfase2 3 2 3 2" xfId="5830" xr:uid="{1E3538CC-2388-466B-B613-144FF55D1DF7}"/>
    <cellStyle name="20% - Ênfase2 3 2 4" xfId="4302" xr:uid="{2CBF631D-004D-44C5-9990-461A4C8DCFA6}"/>
    <cellStyle name="20% - Ênfase2 3 3" xfId="350" xr:uid="{7DA09FA3-2E12-4514-8556-BBE8C55A5EE0}"/>
    <cellStyle name="20% - Ênfase2 3 3 2" xfId="1569" xr:uid="{50C2E05B-DA3F-4F9B-998F-487456782AD5}"/>
    <cellStyle name="20% - Ênfase2 3 3 2 2" xfId="3421" xr:uid="{B7AC334F-B245-4AD0-8BCC-C856657E65E7}"/>
    <cellStyle name="20% - Ênfase2 3 3 2 2 2" xfId="7049" xr:uid="{38AF1524-0269-41FD-85EE-64267ED64903}"/>
    <cellStyle name="20% - Ênfase2 3 3 2 3" xfId="5197" xr:uid="{D6EE0C8E-093B-413D-8AFC-12A70FF325B8}"/>
    <cellStyle name="20% - Ênfase2 3 3 3" xfId="2494" xr:uid="{2BA54356-C7B5-41D8-A79B-435CCFA0D1A2}"/>
    <cellStyle name="20% - Ênfase2 3 3 3 2" xfId="6122" xr:uid="{FDF59968-AC4C-4397-95FA-550EE3BE4AC6}"/>
    <cellStyle name="20% - Ênfase2 3 3 4" xfId="3979" xr:uid="{2223AE99-652D-4F47-ADD4-500056D7B383}"/>
    <cellStyle name="20% - Ênfase2 3 4" xfId="955" xr:uid="{702A51A6-132A-4319-84DA-45001EAFCE33}"/>
    <cellStyle name="20% - Ênfase2 3 4 2" xfId="2807" xr:uid="{D3AB25B8-D354-43CB-B5B9-B7485D192ECA}"/>
    <cellStyle name="20% - Ênfase2 3 4 2 2" xfId="6435" xr:uid="{3ECD2D04-5BE1-43DF-A991-547250D0E2C3}"/>
    <cellStyle name="20% - Ênfase2 3 4 3" xfId="4583" xr:uid="{FE9B7D92-D4D6-4C40-B12B-076AE49A1544}"/>
    <cellStyle name="20% - Ênfase2 3 5" xfId="1880" xr:uid="{810C77C7-D615-4D14-943F-D7C9A63F1A8F}"/>
    <cellStyle name="20% - Ênfase2 3 5 2" xfId="5508" xr:uid="{8C256A81-8A5B-4A92-A78D-E630F1E999FF}"/>
    <cellStyle name="20% - Ênfase2 3 6" xfId="3697" xr:uid="{F23A3F7F-306F-432C-BAAD-83BF8DAEE592}"/>
    <cellStyle name="20% - Ênfase2 4" xfId="90" xr:uid="{FFB4D482-EEAD-423A-BEC7-45D4ECD7B444}"/>
    <cellStyle name="20% - Ênfase2 4 2" xfId="696" xr:uid="{C71DD0E9-8759-4E9A-9212-DC184834534D}"/>
    <cellStyle name="20% - Ênfase2 4 2 2" xfId="1299" xr:uid="{5E709FB4-7A2F-40C6-B49E-0AFD643C4F51}"/>
    <cellStyle name="20% - Ênfase2 4 2 2 2" xfId="3151" xr:uid="{FCF0E30C-7FFC-41AF-9814-A55655F9A94A}"/>
    <cellStyle name="20% - Ênfase2 4 2 2 2 2" xfId="6779" xr:uid="{56D315ED-01A4-4BC5-BC57-C79EB7929FEF}"/>
    <cellStyle name="20% - Ênfase2 4 2 2 3" xfId="4927" xr:uid="{023EE1C7-2BB7-47FD-B59E-37C05E295818}"/>
    <cellStyle name="20% - Ênfase2 4 2 3" xfId="2224" xr:uid="{C317ABFD-EF66-47CE-A125-E6911B120413}"/>
    <cellStyle name="20% - Ênfase2 4 2 3 2" xfId="5852" xr:uid="{C7F7B9DE-8553-48CF-AD39-6ED29CF3D4F9}"/>
    <cellStyle name="20% - Ênfase2 4 2 4" xfId="4324" xr:uid="{42DFAACC-7C8E-4769-AD3B-204AE93681AC}"/>
    <cellStyle name="20% - Ênfase2 4 3" xfId="372" xr:uid="{65304694-327C-49CE-BCCE-78744182710B}"/>
    <cellStyle name="20% - Ênfase2 4 3 2" xfId="1754" xr:uid="{B5D8C967-D93F-42A9-9522-760BD8D4401E}"/>
    <cellStyle name="20% - Ênfase2 4 3 2 2" xfId="3567" xr:uid="{837109B7-D454-42CB-9916-9F61A31C3DD8}"/>
    <cellStyle name="20% - Ênfase2 4 3 2 2 2" xfId="7195" xr:uid="{975B6232-4DE1-4594-9946-13F23C92321B}"/>
    <cellStyle name="20% - Ênfase2 4 3 2 3" xfId="5382" xr:uid="{E3EE9B50-08CB-4A27-9617-756F5EAA71E5}"/>
    <cellStyle name="20% - Ênfase2 4 3 3" xfId="2679" xr:uid="{9A585AA1-47A1-4BBC-99FC-687F1ED29073}"/>
    <cellStyle name="20% - Ênfase2 4 3 3 2" xfId="6307" xr:uid="{69010D95-F59E-4683-A368-80B39973920D}"/>
    <cellStyle name="20% - Ênfase2 4 3 4" xfId="4001" xr:uid="{1B791964-8A18-4D45-B312-729C14A281FA}"/>
    <cellStyle name="20% - Ênfase2 4 4" xfId="977" xr:uid="{01131E99-40E8-4F51-B3BB-E5153E541F35}"/>
    <cellStyle name="20% - Ênfase2 4 4 2" xfId="2829" xr:uid="{4BFAE506-46DC-48A9-BE0E-7D476699AD42}"/>
    <cellStyle name="20% - Ênfase2 4 4 2 2" xfId="6457" xr:uid="{23428111-E292-4B8D-AD4B-D5878A309E07}"/>
    <cellStyle name="20% - Ênfase2 4 4 3" xfId="4605" xr:uid="{CCA282AD-17FB-4C99-9660-5062948BFED4}"/>
    <cellStyle name="20% - Ênfase2 4 5" xfId="1902" xr:uid="{CF961A7D-4554-481F-AF9D-95A92E10CFF9}"/>
    <cellStyle name="20% - Ênfase2 4 5 2" xfId="5530" xr:uid="{6A10B6BB-1ECD-451E-AA96-C6D54D82386A}"/>
    <cellStyle name="20% - Ênfase2 4 6" xfId="3719" xr:uid="{8DD4EB63-C20E-4217-AC3C-FCB1B8CB4C39}"/>
    <cellStyle name="20% - Ênfase2 5" xfId="110" xr:uid="{2D7AB08D-C519-4C21-A3B8-F3EED46454DB}"/>
    <cellStyle name="20% - Ênfase2 5 2" xfId="716" xr:uid="{B7DBBA89-0830-4A3B-A8FA-D7DA1069D4F6}"/>
    <cellStyle name="20% - Ênfase2 5 2 2" xfId="1319" xr:uid="{2CFE0174-A527-413E-AB1A-3AE187A04F0B}"/>
    <cellStyle name="20% - Ênfase2 5 2 2 2" xfId="3171" xr:uid="{D25F6FC5-8F1B-46FD-9D03-4876CB7762CC}"/>
    <cellStyle name="20% - Ênfase2 5 2 2 2 2" xfId="6799" xr:uid="{F1D5C0F6-7C20-4D14-9693-BAF3EA3AFFFE}"/>
    <cellStyle name="20% - Ênfase2 5 2 2 3" xfId="4947" xr:uid="{B111511F-C5B5-445B-B466-346927C98AF9}"/>
    <cellStyle name="20% - Ênfase2 5 2 3" xfId="2244" xr:uid="{4AAF4BCE-DF19-4D34-8C46-6C3CE6B09FAC}"/>
    <cellStyle name="20% - Ênfase2 5 2 3 2" xfId="5872" xr:uid="{282033E2-BDB1-4DFE-AEDC-42F6456E6831}"/>
    <cellStyle name="20% - Ênfase2 5 2 4" xfId="4344" xr:uid="{3D4D6734-14CB-4D11-9DD1-6B584967D7FE}"/>
    <cellStyle name="20% - Ênfase2 5 3" xfId="392" xr:uid="{EAFF609D-B466-4E61-B4A2-AC631844C340}"/>
    <cellStyle name="20% - Ênfase2 5 3 2" xfId="1747" xr:uid="{2ADF75A8-3309-4B39-A35A-13A6F6ED4934}"/>
    <cellStyle name="20% - Ênfase2 5 3 2 2" xfId="3560" xr:uid="{BE9D9FE9-F7C4-4875-8440-989442D30880}"/>
    <cellStyle name="20% - Ênfase2 5 3 2 2 2" xfId="7188" xr:uid="{125F9D59-0336-40E0-BB3E-148274E832E9}"/>
    <cellStyle name="20% - Ênfase2 5 3 2 3" xfId="5375" xr:uid="{ECF5D2B3-A896-4823-9A3C-C8B52ED9141D}"/>
    <cellStyle name="20% - Ênfase2 5 3 3" xfId="2672" xr:uid="{230EB1AD-62F6-4333-BF35-E1F757A46FF0}"/>
    <cellStyle name="20% - Ênfase2 5 3 3 2" xfId="6300" xr:uid="{84E95444-473A-41EE-938F-139DBDFED79D}"/>
    <cellStyle name="20% - Ênfase2 5 3 4" xfId="4021" xr:uid="{369C9E9E-0E2D-45DF-8637-7B8F1DED45F2}"/>
    <cellStyle name="20% - Ênfase2 5 4" xfId="997" xr:uid="{CF2DA218-0816-4025-869B-982ED5486807}"/>
    <cellStyle name="20% - Ênfase2 5 4 2" xfId="2849" xr:uid="{56CBDEE1-D47A-499F-A108-30FE4F4E3479}"/>
    <cellStyle name="20% - Ênfase2 5 4 2 2" xfId="6477" xr:uid="{488AE786-672B-4539-B726-0FBF5B05CCCD}"/>
    <cellStyle name="20% - Ênfase2 5 4 3" xfId="4625" xr:uid="{24EDE82A-85E2-47E0-9172-CC7784994959}"/>
    <cellStyle name="20% - Ênfase2 5 5" xfId="1922" xr:uid="{B60120A1-9189-41A9-B48D-F09166E8499D}"/>
    <cellStyle name="20% - Ênfase2 5 5 2" xfId="5550" xr:uid="{3B47F821-2EB7-42FE-BB8F-615EE2D3D912}"/>
    <cellStyle name="20% - Ênfase2 5 6" xfId="3739" xr:uid="{C33109D9-D7BD-43CB-988E-7D94597F073C}"/>
    <cellStyle name="20% - Ênfase2 6" xfId="130" xr:uid="{E58549FE-0F4C-4956-B42D-BF9ECD58548C}"/>
    <cellStyle name="20% - Ênfase2 6 2" xfId="736" xr:uid="{1C27273B-FC97-4C1A-8D7E-25FF262CE74C}"/>
    <cellStyle name="20% - Ênfase2 6 2 2" xfId="1339" xr:uid="{E3626580-12F6-4406-86DA-78D9E64F30F9}"/>
    <cellStyle name="20% - Ênfase2 6 2 2 2" xfId="3191" xr:uid="{2ACBFD7C-2BCB-47F2-8398-C84C5834E4EE}"/>
    <cellStyle name="20% - Ênfase2 6 2 2 2 2" xfId="6819" xr:uid="{785904E3-9C0B-4476-A33C-77942B4237CE}"/>
    <cellStyle name="20% - Ênfase2 6 2 2 3" xfId="4967" xr:uid="{9DA5EDF2-1BCA-49B9-AD5F-1328AC9E854C}"/>
    <cellStyle name="20% - Ênfase2 6 2 3" xfId="2264" xr:uid="{CD149177-B144-4A83-A7FE-07E2DB15BD17}"/>
    <cellStyle name="20% - Ênfase2 6 2 3 2" xfId="5892" xr:uid="{8719EDC6-6A96-4826-A23B-FC327B9EB0BA}"/>
    <cellStyle name="20% - Ênfase2 6 2 4" xfId="4364" xr:uid="{CA42C9C2-8196-49B6-91CF-E430646931B2}"/>
    <cellStyle name="20% - Ênfase2 6 3" xfId="412" xr:uid="{A865FCED-E6B3-47B4-9F5F-BD037605E04C}"/>
    <cellStyle name="20% - Ênfase2 6 3 2" xfId="1801" xr:uid="{B6CD5D06-13FD-4CC3-9662-96A7EA4BC3D5}"/>
    <cellStyle name="20% - Ênfase2 6 3 2 2" xfId="3614" xr:uid="{CCF14B5B-C0B5-47D2-895D-984A276B7FBA}"/>
    <cellStyle name="20% - Ênfase2 6 3 2 2 2" xfId="7242" xr:uid="{E4FB7432-56F9-4AAC-95E9-DA23B84085DE}"/>
    <cellStyle name="20% - Ênfase2 6 3 2 3" xfId="5429" xr:uid="{C65876E3-BB31-4482-BA05-A6E0D1D17FEB}"/>
    <cellStyle name="20% - Ênfase2 6 3 3" xfId="2726" xr:uid="{DC4FEFDC-9A27-425D-81D0-68FB2DF99DF4}"/>
    <cellStyle name="20% - Ênfase2 6 3 3 2" xfId="6354" xr:uid="{266BA5E7-B8DC-430D-AAB5-0C819B4B1EC5}"/>
    <cellStyle name="20% - Ênfase2 6 3 4" xfId="4041" xr:uid="{0DA8510F-1D88-4174-AD2F-E66DBD177604}"/>
    <cellStyle name="20% - Ênfase2 6 4" xfId="1017" xr:uid="{ED48DCDA-8463-4580-B581-D81C95A12563}"/>
    <cellStyle name="20% - Ênfase2 6 4 2" xfId="2869" xr:uid="{E83D32FD-85C3-4FAE-B17E-3A5B5D2A9107}"/>
    <cellStyle name="20% - Ênfase2 6 4 2 2" xfId="6497" xr:uid="{329F9CBB-0D66-4B4A-BCC3-683915C6B4E8}"/>
    <cellStyle name="20% - Ênfase2 6 4 3" xfId="4645" xr:uid="{EEA2CE0A-03B6-44F9-99FB-D8D88E992848}"/>
    <cellStyle name="20% - Ênfase2 6 5" xfId="1942" xr:uid="{0A5B0A27-4D5B-4204-BF65-AD2544A909E1}"/>
    <cellStyle name="20% - Ênfase2 6 5 2" xfId="5570" xr:uid="{46D13461-834B-4E75-A1C8-E32BA39A373F}"/>
    <cellStyle name="20% - Ênfase2 6 6" xfId="3759" xr:uid="{2BDF9974-E91F-4D89-81AF-A874BFC3541C}"/>
    <cellStyle name="20% - Ênfase2 7" xfId="150" xr:uid="{4266AE74-0485-4ADC-A47A-D16066BD83F3}"/>
    <cellStyle name="20% - Ênfase2 7 2" xfId="756" xr:uid="{4001F028-CE7D-46CF-8393-E484BC5FCC7C}"/>
    <cellStyle name="20% - Ênfase2 7 2 2" xfId="1359" xr:uid="{71EE3A9D-5215-4F20-A55D-FFA21040329C}"/>
    <cellStyle name="20% - Ênfase2 7 2 2 2" xfId="3211" xr:uid="{4D9B4EEA-B8F5-42C5-81D9-B8DE67ABBD20}"/>
    <cellStyle name="20% - Ênfase2 7 2 2 2 2" xfId="6839" xr:uid="{AD143B73-AE27-4E77-B4A0-BA3799442ED5}"/>
    <cellStyle name="20% - Ênfase2 7 2 2 3" xfId="4987" xr:uid="{50D90A77-DC81-4B34-8594-8DD3B6752CB8}"/>
    <cellStyle name="20% - Ênfase2 7 2 3" xfId="2284" xr:uid="{13953236-A500-4B97-935F-5B61879D3722}"/>
    <cellStyle name="20% - Ênfase2 7 2 3 2" xfId="5912" xr:uid="{86BCE31C-23A8-4EE0-B02A-D891F23CCF51}"/>
    <cellStyle name="20% - Ênfase2 7 2 4" xfId="4384" xr:uid="{52F741DA-2847-4672-A4A5-4259B0B2B3A0}"/>
    <cellStyle name="20% - Ênfase2 7 3" xfId="432" xr:uid="{D23D0AB7-BC4F-4720-804A-66C224A199FA}"/>
    <cellStyle name="20% - Ênfase2 7 3 2" xfId="1820" xr:uid="{A47CE3DE-2FD9-4F9A-A738-A1A5C6870A00}"/>
    <cellStyle name="20% - Ênfase2 7 3 2 2" xfId="3633" xr:uid="{965816BD-4729-4825-B6A9-3063F8362457}"/>
    <cellStyle name="20% - Ênfase2 7 3 2 2 2" xfId="7261" xr:uid="{EF6CE6A4-8FA3-4656-8F69-E2620BD992CB}"/>
    <cellStyle name="20% - Ênfase2 7 3 2 3" xfId="5448" xr:uid="{B0B548E4-73F2-497B-8E3D-457D58D5233C}"/>
    <cellStyle name="20% - Ênfase2 7 3 3" xfId="2745" xr:uid="{39F66A79-AEFA-414F-B67C-C49505E76841}"/>
    <cellStyle name="20% - Ênfase2 7 3 3 2" xfId="6373" xr:uid="{9385191E-7FA3-49E0-A64C-F21F5BD38B0A}"/>
    <cellStyle name="20% - Ênfase2 7 3 4" xfId="4061" xr:uid="{03FB922F-8FBA-4F17-A093-3CD36BD6AC57}"/>
    <cellStyle name="20% - Ênfase2 7 4" xfId="1037" xr:uid="{01E6EBC7-91D7-4BC6-A954-9ECA82E606A4}"/>
    <cellStyle name="20% - Ênfase2 7 4 2" xfId="2889" xr:uid="{8ABAC480-2E8F-482E-B183-6F69EB3AAB89}"/>
    <cellStyle name="20% - Ênfase2 7 4 2 2" xfId="6517" xr:uid="{0E5A2C4B-EACA-4F39-8EA9-7FBA489913EC}"/>
    <cellStyle name="20% - Ênfase2 7 4 3" xfId="4665" xr:uid="{93B53273-3B2D-4F96-96C4-A56F5644831C}"/>
    <cellStyle name="20% - Ênfase2 7 5" xfId="1962" xr:uid="{3260250F-9D7E-4535-B446-E01068F849A2}"/>
    <cellStyle name="20% - Ênfase2 7 5 2" xfId="5590" xr:uid="{27854AC0-98AE-499A-9840-BEDD4CC020C9}"/>
    <cellStyle name="20% - Ênfase2 7 6" xfId="3779" xr:uid="{996BFAF9-EE6E-4C18-A267-04B457411372}"/>
    <cellStyle name="20% - Ênfase2 8" xfId="170" xr:uid="{BA9D7670-92C0-4AA0-BB03-D49F3C15F89F}"/>
    <cellStyle name="20% - Ênfase2 8 2" xfId="776" xr:uid="{AC7E0B2C-8AEA-4506-AC6F-0BD02B634963}"/>
    <cellStyle name="20% - Ênfase2 8 2 2" xfId="1379" xr:uid="{B37691F1-CE8B-46CE-A314-B31866C6E2B4}"/>
    <cellStyle name="20% - Ênfase2 8 2 2 2" xfId="3231" xr:uid="{F0E7D02F-6983-46F3-AC2A-9E8F0C0C10D3}"/>
    <cellStyle name="20% - Ênfase2 8 2 2 2 2" xfId="6859" xr:uid="{CD0AD605-E74A-4CAD-86AB-034373A0FAAD}"/>
    <cellStyle name="20% - Ênfase2 8 2 2 3" xfId="5007" xr:uid="{90AACBD2-391D-4BB8-9014-36C0722A4451}"/>
    <cellStyle name="20% - Ênfase2 8 2 3" xfId="2304" xr:uid="{A50C3661-A2FA-4C9A-A13B-70BDA55D5A88}"/>
    <cellStyle name="20% - Ênfase2 8 2 3 2" xfId="5932" xr:uid="{D64034BB-233D-42E8-95B3-2658644539C3}"/>
    <cellStyle name="20% - Ênfase2 8 2 4" xfId="4404" xr:uid="{94D96AD0-2518-4072-8BCF-850D8D33EB75}"/>
    <cellStyle name="20% - Ênfase2 8 3" xfId="452" xr:uid="{09EA90A3-FFCA-4093-AC73-31EE45185AF9}"/>
    <cellStyle name="20% - Ênfase2 8 3 2" xfId="1572" xr:uid="{247BE2BE-3C51-404D-8326-C1CB683BC81F}"/>
    <cellStyle name="20% - Ênfase2 8 3 2 2" xfId="3424" xr:uid="{7DA75120-6E6A-4DCA-A292-88B2B0BD9CD8}"/>
    <cellStyle name="20% - Ênfase2 8 3 2 2 2" xfId="7052" xr:uid="{5973BDD7-D3BE-493B-99BE-47B691424AB4}"/>
    <cellStyle name="20% - Ênfase2 8 3 2 3" xfId="5200" xr:uid="{B72E25AE-3AE5-45C7-A831-7CFD39342CCF}"/>
    <cellStyle name="20% - Ênfase2 8 3 3" xfId="2497" xr:uid="{24FDC10B-0109-4E53-BABE-0B19176D1962}"/>
    <cellStyle name="20% - Ênfase2 8 3 3 2" xfId="6125" xr:uid="{BF2DABC6-E394-4835-8FE6-EE3D879BF887}"/>
    <cellStyle name="20% - Ênfase2 8 3 4" xfId="4081" xr:uid="{A27BEF37-F994-467A-BC6D-F86508DB4E95}"/>
    <cellStyle name="20% - Ênfase2 8 4" xfId="1057" xr:uid="{050BA80A-482A-4367-B51D-54AE01D26503}"/>
    <cellStyle name="20% - Ênfase2 8 4 2" xfId="2909" xr:uid="{8D58A026-89CE-4AFF-B251-669F89B1DFD1}"/>
    <cellStyle name="20% - Ênfase2 8 4 2 2" xfId="6537" xr:uid="{288C38CD-5A1E-4F13-A8D7-A932702CB88B}"/>
    <cellStyle name="20% - Ênfase2 8 4 3" xfId="4685" xr:uid="{C762138A-47A7-4B8B-BC44-83E55CE8DEAA}"/>
    <cellStyle name="20% - Ênfase2 8 5" xfId="1982" xr:uid="{C1426429-059F-47BC-83C5-76B134D33E01}"/>
    <cellStyle name="20% - Ênfase2 8 5 2" xfId="5610" xr:uid="{5F46A7C4-3C7F-4A01-A90A-9D0ADD408F64}"/>
    <cellStyle name="20% - Ênfase2 8 6" xfId="3799" xr:uid="{B77EE820-2CA1-4ECD-BFED-DEE6ED08DB18}"/>
    <cellStyle name="20% - Ênfase2 9" xfId="190" xr:uid="{43271D06-EEA7-42EB-B6A0-8BD973F361BB}"/>
    <cellStyle name="20% - Ênfase2 9 2" xfId="796" xr:uid="{56B7FD01-355D-4699-B5E9-EC1FBA53295A}"/>
    <cellStyle name="20% - Ênfase2 9 2 2" xfId="1399" xr:uid="{9A4CB6A0-5045-41FB-AC29-7F9E7F98164D}"/>
    <cellStyle name="20% - Ênfase2 9 2 2 2" xfId="3251" xr:uid="{BE9DF46D-454E-41D6-AB8D-D1C2124DE9D6}"/>
    <cellStyle name="20% - Ênfase2 9 2 2 2 2" xfId="6879" xr:uid="{F1C322E0-14E5-4EB9-8527-1E658E1DB873}"/>
    <cellStyle name="20% - Ênfase2 9 2 2 3" xfId="5027" xr:uid="{00C59E7D-46C7-488A-9007-36F5178E3526}"/>
    <cellStyle name="20% - Ênfase2 9 2 3" xfId="2324" xr:uid="{24516F18-A276-493C-9797-9B65737B9F1E}"/>
    <cellStyle name="20% - Ênfase2 9 2 3 2" xfId="5952" xr:uid="{3E552968-ED47-4309-8B5A-EF1218DB6E4F}"/>
    <cellStyle name="20% - Ênfase2 9 2 4" xfId="4424" xr:uid="{452D2953-0C0A-443B-8D0B-0C8663A2FDAB}"/>
    <cellStyle name="20% - Ênfase2 9 3" xfId="472" xr:uid="{CA8C80B1-3D7E-44B7-A114-765EE3D415C5}"/>
    <cellStyle name="20% - Ênfase2 9 3 2" xfId="1746" xr:uid="{EA820E2B-008D-437F-B4D6-696E0B3DCBF5}"/>
    <cellStyle name="20% - Ênfase2 9 3 2 2" xfId="3559" xr:uid="{7E2BD416-C669-40AF-AE27-CB4B3B91A86A}"/>
    <cellStyle name="20% - Ênfase2 9 3 2 2 2" xfId="7187" xr:uid="{2F47A67B-DBBA-44D1-B90E-0C8B2A87C5DE}"/>
    <cellStyle name="20% - Ênfase2 9 3 2 3" xfId="5374" xr:uid="{E6DAD8A5-BCE0-4A60-A252-D65D4FA9CB97}"/>
    <cellStyle name="20% - Ênfase2 9 3 3" xfId="2671" xr:uid="{C5529E16-3DF8-41CD-B649-12BDA7918F55}"/>
    <cellStyle name="20% - Ênfase2 9 3 3 2" xfId="6299" xr:uid="{30ADBCF2-187F-43F2-A1B3-FFCFB8EC0AE7}"/>
    <cellStyle name="20% - Ênfase2 9 3 4" xfId="4101" xr:uid="{66862E89-4513-459A-AB78-BE52D5CDF40A}"/>
    <cellStyle name="20% - Ênfase2 9 4" xfId="1077" xr:uid="{B91C5CB1-4639-4B1B-B14F-99E5A7418EDD}"/>
    <cellStyle name="20% - Ênfase2 9 4 2" xfId="2929" xr:uid="{C55B95BA-0D52-47B6-BBD9-FE0898716726}"/>
    <cellStyle name="20% - Ênfase2 9 4 2 2" xfId="6557" xr:uid="{9B17F819-1315-42FC-92A1-063C042B0863}"/>
    <cellStyle name="20% - Ênfase2 9 4 3" xfId="4705" xr:uid="{36010632-0889-4658-9C5E-70E668247503}"/>
    <cellStyle name="20% - Ênfase2 9 5" xfId="2002" xr:uid="{310B1523-C1F5-4A66-9075-D8D77479D1CC}"/>
    <cellStyle name="20% - Ênfase2 9 5 2" xfId="5630" xr:uid="{3D6394EE-A00E-42DB-8C4F-5FE914F2309C}"/>
    <cellStyle name="20% - Ênfase2 9 6" xfId="3819" xr:uid="{5B2D49B9-84C4-4C95-A83B-0450322F365D}"/>
    <cellStyle name="20% - Ênfase3" xfId="27" builtinId="38" customBuiltin="1"/>
    <cellStyle name="20% - Ênfase3 10" xfId="214" xr:uid="{B7D8BC10-6B81-4797-B6F1-2708C88B7AB4}"/>
    <cellStyle name="20% - Ênfase3 10 2" xfId="820" xr:uid="{0829B962-7F28-40F0-A34B-8CDE8C2E4CBA}"/>
    <cellStyle name="20% - Ênfase3 10 2 2" xfId="1423" xr:uid="{4935D110-9B13-4561-A488-AFF6ADF8D8E1}"/>
    <cellStyle name="20% - Ênfase3 10 2 2 2" xfId="3275" xr:uid="{8FEFE657-D0DD-40B9-AA25-88A8C423FC7F}"/>
    <cellStyle name="20% - Ênfase3 10 2 2 2 2" xfId="6903" xr:uid="{693572A1-1C5F-4037-9398-CE4D6DB8FE0F}"/>
    <cellStyle name="20% - Ênfase3 10 2 2 3" xfId="5051" xr:uid="{1E600FCF-8383-4330-A342-79BEA4647603}"/>
    <cellStyle name="20% - Ênfase3 10 2 3" xfId="2348" xr:uid="{6DFD5BDC-6096-4FCF-AFDF-E8E97FF03BEC}"/>
    <cellStyle name="20% - Ênfase3 10 2 3 2" xfId="5976" xr:uid="{EE5245E3-3F3A-463C-A251-B42AD6DD0C90}"/>
    <cellStyle name="20% - Ênfase3 10 2 4" xfId="4448" xr:uid="{9B29E877-577E-4DDA-94A6-4F962FD0E135}"/>
    <cellStyle name="20% - Ênfase3 10 3" xfId="496" xr:uid="{33C8B4A7-588E-4196-9B50-6E911F4B21FB}"/>
    <cellStyle name="20% - Ênfase3 10 3 2" xfId="1517" xr:uid="{F97E6EF0-1235-473A-9F60-974AD8F6A3D4}"/>
    <cellStyle name="20% - Ênfase3 10 3 2 2" xfId="3369" xr:uid="{B15C6443-0B36-448F-B83A-0F3C9122974E}"/>
    <cellStyle name="20% - Ênfase3 10 3 2 2 2" xfId="6997" xr:uid="{AC4C6EB3-9816-4B51-BFA3-A8878445AC6C}"/>
    <cellStyle name="20% - Ênfase3 10 3 2 3" xfId="5145" xr:uid="{9E3C6706-96F7-4C38-B3C8-6CD9C00B4554}"/>
    <cellStyle name="20% - Ênfase3 10 3 3" xfId="2442" xr:uid="{693DC628-1673-429F-9C0F-B40A54FE86BA}"/>
    <cellStyle name="20% - Ênfase3 10 3 3 2" xfId="6070" xr:uid="{7675CE5D-B3EF-405A-A03D-8AEB91A18D52}"/>
    <cellStyle name="20% - Ênfase3 10 3 4" xfId="4125" xr:uid="{7994B01B-BFFD-4414-B402-14131E6300F6}"/>
    <cellStyle name="20% - Ênfase3 10 4" xfId="1101" xr:uid="{08143710-5049-406A-A06D-932420BD49C3}"/>
    <cellStyle name="20% - Ênfase3 10 4 2" xfId="2953" xr:uid="{3CB15EE3-096F-4BD2-9B6B-FE75925314E2}"/>
    <cellStyle name="20% - Ênfase3 10 4 2 2" xfId="6581" xr:uid="{BAA205A8-8EE9-4951-8224-1E6D33ABC02B}"/>
    <cellStyle name="20% - Ênfase3 10 4 3" xfId="4729" xr:uid="{CA419883-F387-4DD2-BD7D-AEA88A5493F2}"/>
    <cellStyle name="20% - Ênfase3 10 5" xfId="2026" xr:uid="{4A567D57-4117-4FC7-BEAC-D1F2436957ED}"/>
    <cellStyle name="20% - Ênfase3 10 5 2" xfId="5654" xr:uid="{DC787ECE-2EC9-40D9-AEBC-BCEB5B58014A}"/>
    <cellStyle name="20% - Ênfase3 10 6" xfId="3843" xr:uid="{954ABC7E-AB66-48E1-B559-79E1441B5944}"/>
    <cellStyle name="20% - Ênfase3 11" xfId="234" xr:uid="{69F75B44-B650-4307-9482-19B308050968}"/>
    <cellStyle name="20% - Ênfase3 11 2" xfId="840" xr:uid="{B0367894-3D1E-4688-A71D-A0D0602F2A93}"/>
    <cellStyle name="20% - Ênfase3 11 2 2" xfId="1443" xr:uid="{9BBA35E9-1C08-48DF-8F70-C1A73599B765}"/>
    <cellStyle name="20% - Ênfase3 11 2 2 2" xfId="3295" xr:uid="{52090500-AAAC-478C-BCAD-79C61FCDF41E}"/>
    <cellStyle name="20% - Ênfase3 11 2 2 2 2" xfId="6923" xr:uid="{FCAC7BA6-1FC7-448A-B8D9-DAAE72BEED57}"/>
    <cellStyle name="20% - Ênfase3 11 2 2 3" xfId="5071" xr:uid="{98439425-6E67-488D-9A00-714E281C3BAA}"/>
    <cellStyle name="20% - Ênfase3 11 2 3" xfId="2368" xr:uid="{ACAF6DFA-F6EF-4964-A5B3-7E52BD5F6D62}"/>
    <cellStyle name="20% - Ênfase3 11 2 3 2" xfId="5996" xr:uid="{883B2D68-DF80-45B7-BE4E-6053B548CE4D}"/>
    <cellStyle name="20% - Ênfase3 11 2 4" xfId="4468" xr:uid="{F28BDC5D-87FA-447E-9B29-FCD84F70F485}"/>
    <cellStyle name="20% - Ênfase3 11 3" xfId="516" xr:uid="{C8FB0A3E-F532-4C9B-BD0D-F220C5570EE6}"/>
    <cellStyle name="20% - Ênfase3 11 3 2" xfId="1516" xr:uid="{1890A40F-5629-49BB-82D4-2BB49A51BC43}"/>
    <cellStyle name="20% - Ênfase3 11 3 2 2" xfId="3368" xr:uid="{05F32C51-8822-43C9-A29C-31D90411582F}"/>
    <cellStyle name="20% - Ênfase3 11 3 2 2 2" xfId="6996" xr:uid="{213D35B3-3BD2-467B-BDD9-FE0BC73F63BD}"/>
    <cellStyle name="20% - Ênfase3 11 3 2 3" xfId="5144" xr:uid="{85A8F8EB-435A-49B7-8F4E-16189F479410}"/>
    <cellStyle name="20% - Ênfase3 11 3 3" xfId="2441" xr:uid="{C7288440-A6CB-4ED3-9FEB-AC5967E0554E}"/>
    <cellStyle name="20% - Ênfase3 11 3 3 2" xfId="6069" xr:uid="{5CBC6BBF-0A6B-4FE9-ADE6-C5D8D875B0E5}"/>
    <cellStyle name="20% - Ênfase3 11 3 4" xfId="4145" xr:uid="{75A4732B-1E4D-4BDD-BB26-F7EF3709CF26}"/>
    <cellStyle name="20% - Ênfase3 11 4" xfId="1121" xr:uid="{BAE94379-7C85-4A69-B32E-E9BD66B9E73E}"/>
    <cellStyle name="20% - Ênfase3 11 4 2" xfId="2973" xr:uid="{7B28CA4F-8D24-4387-A798-9CD4FBC69A5C}"/>
    <cellStyle name="20% - Ênfase3 11 4 2 2" xfId="6601" xr:uid="{2AAA395A-08FC-4DA0-84EE-9D231563C74D}"/>
    <cellStyle name="20% - Ênfase3 11 4 3" xfId="4749" xr:uid="{5038C13B-3B97-4708-86A5-E5CFB414AAFD}"/>
    <cellStyle name="20% - Ênfase3 11 5" xfId="2046" xr:uid="{ECB2A48B-6A20-4056-B352-3D8C55751AFD}"/>
    <cellStyle name="20% - Ênfase3 11 5 2" xfId="5674" xr:uid="{B7197AF8-8F66-494D-B4F9-165B675DED03}"/>
    <cellStyle name="20% - Ênfase3 11 6" xfId="3863" xr:uid="{BB8B4473-C1CC-4DE9-B546-CA3830209940}"/>
    <cellStyle name="20% - Ênfase3 12" xfId="254" xr:uid="{E936E8D8-5C09-4106-9D8A-7E071EC101F6}"/>
    <cellStyle name="20% - Ênfase3 12 2" xfId="860" xr:uid="{4062540C-964B-4D4F-888E-FAE164662D69}"/>
    <cellStyle name="20% - Ênfase3 12 2 2" xfId="1463" xr:uid="{7BAB7727-4DD6-4969-B74A-1D74500B4BFC}"/>
    <cellStyle name="20% - Ênfase3 12 2 2 2" xfId="3315" xr:uid="{21C774AE-F969-4CFC-862D-3EA3E9E49CB6}"/>
    <cellStyle name="20% - Ênfase3 12 2 2 2 2" xfId="6943" xr:uid="{E13ACBDB-5FB0-471D-822A-C702C43D37E9}"/>
    <cellStyle name="20% - Ênfase3 12 2 2 3" xfId="5091" xr:uid="{607420DE-2826-4C2C-90A5-89603D10A39C}"/>
    <cellStyle name="20% - Ênfase3 12 2 3" xfId="2388" xr:uid="{5A822285-2C63-44E7-9883-CC01C693788C}"/>
    <cellStyle name="20% - Ênfase3 12 2 3 2" xfId="6016" xr:uid="{377D9707-CF0A-40F7-838F-476850DDEB5D}"/>
    <cellStyle name="20% - Ênfase3 12 2 4" xfId="4488" xr:uid="{4B8A704E-EE07-4DA1-99A0-D5A2DAB38EFA}"/>
    <cellStyle name="20% - Ênfase3 12 3" xfId="536" xr:uid="{9B5331BD-828E-46AA-9EB2-7CC062A628A2}"/>
    <cellStyle name="20% - Ênfase3 12 3 2" xfId="1796" xr:uid="{F2E0A155-CC79-494F-A90A-0C037D96EFE1}"/>
    <cellStyle name="20% - Ênfase3 12 3 2 2" xfId="3609" xr:uid="{3AA1BD35-BEEA-47F5-BC47-A1A836FED728}"/>
    <cellStyle name="20% - Ênfase3 12 3 2 2 2" xfId="7237" xr:uid="{2D921668-1FED-47D0-93C4-760012C04A97}"/>
    <cellStyle name="20% - Ênfase3 12 3 2 3" xfId="5424" xr:uid="{8C482D6A-1A7E-4686-82F0-4143E27D59B2}"/>
    <cellStyle name="20% - Ênfase3 12 3 3" xfId="2721" xr:uid="{4925BF85-D99D-4C5D-99BB-7BC14CC243C5}"/>
    <cellStyle name="20% - Ênfase3 12 3 3 2" xfId="6349" xr:uid="{66E99D47-5E92-41DC-A39E-BC0F0B9E3CE6}"/>
    <cellStyle name="20% - Ênfase3 12 3 4" xfId="4165" xr:uid="{541A9868-8C14-4784-9CD8-AAD03C14984B}"/>
    <cellStyle name="20% - Ênfase3 12 4" xfId="1141" xr:uid="{D8D57321-BCE0-4B61-BD46-7FC671014EA2}"/>
    <cellStyle name="20% - Ênfase3 12 4 2" xfId="2993" xr:uid="{BBE438A5-D88D-4B4C-91AF-115A2DF3958C}"/>
    <cellStyle name="20% - Ênfase3 12 4 2 2" xfId="6621" xr:uid="{9F6C52FE-23A5-4A9C-9F16-42AB2AE0E223}"/>
    <cellStyle name="20% - Ênfase3 12 4 3" xfId="4769" xr:uid="{8D078309-9068-4B40-B3B9-B2B69617EC88}"/>
    <cellStyle name="20% - Ênfase3 12 5" xfId="2066" xr:uid="{6E8B0D40-215C-4523-8229-E1E7B5267317}"/>
    <cellStyle name="20% - Ênfase3 12 5 2" xfId="5694" xr:uid="{BE1EFE80-33C3-44DE-B1F8-BE52EA9B9974}"/>
    <cellStyle name="20% - Ênfase3 12 6" xfId="3883" xr:uid="{C158585A-3E9B-4908-94F6-24381650FD68}"/>
    <cellStyle name="20% - Ênfase3 13" xfId="274" xr:uid="{7972506F-32F3-429A-909C-C77EA3BBF131}"/>
    <cellStyle name="20% - Ênfase3 13 2" xfId="880" xr:uid="{6BC87E14-2C3B-49E5-876A-E7ECC1AC282A}"/>
    <cellStyle name="20% - Ênfase3 13 2 2" xfId="1483" xr:uid="{811235AE-47BA-4DB5-8EBA-F0E65A05BC0C}"/>
    <cellStyle name="20% - Ênfase3 13 2 2 2" xfId="3335" xr:uid="{55D429DC-F29D-46CB-B9A0-D5C26688C789}"/>
    <cellStyle name="20% - Ênfase3 13 2 2 2 2" xfId="6963" xr:uid="{00EF11A9-9984-4642-B308-C0507603B7C6}"/>
    <cellStyle name="20% - Ênfase3 13 2 2 3" xfId="5111" xr:uid="{BEA95E9F-8F21-413C-9D6F-1B0FC04C2A76}"/>
    <cellStyle name="20% - Ênfase3 13 2 3" xfId="2408" xr:uid="{C490EE14-BABC-42A2-8ECF-457DEC57D555}"/>
    <cellStyle name="20% - Ênfase3 13 2 3 2" xfId="6036" xr:uid="{B5BED3A2-0108-4349-99AD-CAC29DA79903}"/>
    <cellStyle name="20% - Ênfase3 13 2 4" xfId="4508" xr:uid="{BB295B14-88ED-4345-893F-3E6F9E84C384}"/>
    <cellStyle name="20% - Ênfase3 13 3" xfId="556" xr:uid="{00005EE5-DD20-4D3D-B36C-3B75EF0D11CC}"/>
    <cellStyle name="20% - Ênfase3 13 3 2" xfId="1551" xr:uid="{498584C4-0ECF-4779-AD9C-DF8E4CAEAA9C}"/>
    <cellStyle name="20% - Ênfase3 13 3 2 2" xfId="3403" xr:uid="{BEA0101B-88B6-4C00-AFD3-0F9FC8611C58}"/>
    <cellStyle name="20% - Ênfase3 13 3 2 2 2" xfId="7031" xr:uid="{F28F4895-2719-4233-B13B-2E2206EFD932}"/>
    <cellStyle name="20% - Ênfase3 13 3 2 3" xfId="5179" xr:uid="{6FF7A2D9-5DB0-4ADE-83D1-0E2A3A4C4CC7}"/>
    <cellStyle name="20% - Ênfase3 13 3 3" xfId="2476" xr:uid="{8354858D-FFD4-4664-AD16-49D08BBB24BB}"/>
    <cellStyle name="20% - Ênfase3 13 3 3 2" xfId="6104" xr:uid="{F945D091-1339-462A-9F01-FB233E60F28C}"/>
    <cellStyle name="20% - Ênfase3 13 3 4" xfId="4185" xr:uid="{4B162BCE-0332-4ED3-8626-4E3668ABDC81}"/>
    <cellStyle name="20% - Ênfase3 13 4" xfId="1161" xr:uid="{8F6F716A-B8A0-429C-915F-C9E16B0F7F24}"/>
    <cellStyle name="20% - Ênfase3 13 4 2" xfId="3013" xr:uid="{9543F5CB-14B5-4A88-9463-806B3E97B7E3}"/>
    <cellStyle name="20% - Ênfase3 13 4 2 2" xfId="6641" xr:uid="{500AF022-C948-4803-A0A5-19598B486455}"/>
    <cellStyle name="20% - Ênfase3 13 4 3" xfId="4789" xr:uid="{0763BAF1-D2C5-4459-971E-A7F48F9937E1}"/>
    <cellStyle name="20% - Ênfase3 13 5" xfId="2086" xr:uid="{18C02636-228B-418E-AE53-D76378F70B59}"/>
    <cellStyle name="20% - Ênfase3 13 5 2" xfId="5714" xr:uid="{F343245A-7A49-4C42-BCBC-8E6C841A94F8}"/>
    <cellStyle name="20% - Ênfase3 13 6" xfId="3903" xr:uid="{9C701510-4A6E-4753-B887-A5CA865770B3}"/>
    <cellStyle name="20% - Ênfase3 14" xfId="294" xr:uid="{9CD1B4E0-7A8A-40E6-A8AE-F51967F2939C}"/>
    <cellStyle name="20% - Ênfase3 14 2" xfId="900" xr:uid="{224F732F-0F8A-4277-A400-FE9C61580140}"/>
    <cellStyle name="20% - Ênfase3 14 2 2" xfId="1503" xr:uid="{A707439C-986D-4F9B-9B9B-F462D373E35D}"/>
    <cellStyle name="20% - Ênfase3 14 2 2 2" xfId="3355" xr:uid="{F05AC124-EED8-4E20-99A5-D13C632C7B34}"/>
    <cellStyle name="20% - Ênfase3 14 2 2 2 2" xfId="6983" xr:uid="{D330A87B-3B99-4859-B999-189FAD056851}"/>
    <cellStyle name="20% - Ênfase3 14 2 2 3" xfId="5131" xr:uid="{CA97F30C-3FE1-4D85-812E-D09E275DB474}"/>
    <cellStyle name="20% - Ênfase3 14 2 3" xfId="2428" xr:uid="{790F4FCF-6CA4-4C8A-8C37-1ECD88AEB0BD}"/>
    <cellStyle name="20% - Ênfase3 14 2 3 2" xfId="6056" xr:uid="{9F8D6C74-05B1-4EA4-B52F-E291D57D2FB1}"/>
    <cellStyle name="20% - Ênfase3 14 2 4" xfId="4528" xr:uid="{A5E5A917-76A5-43CC-B1D2-B1C0B7068CCC}"/>
    <cellStyle name="20% - Ênfase3 14 3" xfId="576" xr:uid="{D5399129-8291-4F24-BAE3-A701131667E9}"/>
    <cellStyle name="20% - Ênfase3 14 3 2" xfId="1539" xr:uid="{70E97CE8-C081-45FA-82B5-50CF6B3649A6}"/>
    <cellStyle name="20% - Ênfase3 14 3 2 2" xfId="3391" xr:uid="{B80C1239-B80C-48D0-B0F7-806F19E33E5F}"/>
    <cellStyle name="20% - Ênfase3 14 3 2 2 2" xfId="7019" xr:uid="{5F8824D6-04CE-4FA8-9436-13B22E21DB0D}"/>
    <cellStyle name="20% - Ênfase3 14 3 2 3" xfId="5167" xr:uid="{16DA4B62-C6AA-4B28-BF5E-3C3EA0F93A67}"/>
    <cellStyle name="20% - Ênfase3 14 3 3" xfId="2464" xr:uid="{3778756E-AA33-4C83-9154-2ADEAD3903DC}"/>
    <cellStyle name="20% - Ênfase3 14 3 3 2" xfId="6092" xr:uid="{0239CFC3-9052-401D-A94A-EB974CBA4BF2}"/>
    <cellStyle name="20% - Ênfase3 14 3 4" xfId="4205" xr:uid="{B7209E07-533E-4C2F-B9EC-77289E4A87CE}"/>
    <cellStyle name="20% - Ênfase3 14 4" xfId="1181" xr:uid="{9519642E-87D4-4F5E-939E-F9C87FB8440D}"/>
    <cellStyle name="20% - Ênfase3 14 4 2" xfId="3033" xr:uid="{B41F2B70-1ED1-48CA-A2A1-DEDAC8613302}"/>
    <cellStyle name="20% - Ênfase3 14 4 2 2" xfId="6661" xr:uid="{494BE5A2-8E90-4CA2-B206-B164150C04B9}"/>
    <cellStyle name="20% - Ênfase3 14 4 3" xfId="4809" xr:uid="{683150D1-525A-4B2C-9343-89C4840791C5}"/>
    <cellStyle name="20% - Ênfase3 14 5" xfId="2106" xr:uid="{9D8E1782-0A20-4964-817E-7B4824B46CE6}"/>
    <cellStyle name="20% - Ênfase3 14 5 2" xfId="5734" xr:uid="{D374C6E8-D73C-4FAF-943E-7B532CDA30BB}"/>
    <cellStyle name="20% - Ênfase3 14 6" xfId="3923" xr:uid="{26855CB9-A725-4393-8DF8-BD3873874542}"/>
    <cellStyle name="20% - Ênfase3 15" xfId="596" xr:uid="{86C0E934-1F2A-4FD3-B488-3C098F8D3CAC}"/>
    <cellStyle name="20% - Ênfase3 15 2" xfId="1659" xr:uid="{58E1DE87-B35F-4715-87D4-41C0757ACBAA}"/>
    <cellStyle name="20% - Ênfase3 15 2 2" xfId="2584" xr:uid="{B02EFD8F-6009-4D8E-9990-B190E2A75C3E}"/>
    <cellStyle name="20% - Ênfase3 15 2 2 2" xfId="6212" xr:uid="{B5F8887A-95FA-4097-A95E-04B109CFB07D}"/>
    <cellStyle name="20% - Ênfase3 15 2 3" xfId="5287" xr:uid="{C24785B6-8D12-4437-839C-B26A08CE5697}"/>
    <cellStyle name="20% - Ênfase3 15 3" xfId="1201" xr:uid="{B72DF659-4434-44FC-A48C-11856AF89BA6}"/>
    <cellStyle name="20% - Ênfase3 15 3 2" xfId="3053" xr:uid="{BD216EAE-FFDB-499F-AFCA-402D160044AF}"/>
    <cellStyle name="20% - Ênfase3 15 3 2 2" xfId="6681" xr:uid="{68766F01-43B1-44EA-9561-A4E15B3FDCC6}"/>
    <cellStyle name="20% - Ênfase3 15 3 3" xfId="4829" xr:uid="{107B2057-8CA4-42FF-8D49-BF9A747920D0}"/>
    <cellStyle name="20% - Ênfase3 15 4" xfId="2126" xr:uid="{A7904D56-CD8D-4970-9CEF-BFB5CD57B611}"/>
    <cellStyle name="20% - Ênfase3 15 4 2" xfId="5754" xr:uid="{98616C2B-3C6E-4612-8271-FE02D7F55FD6}"/>
    <cellStyle name="20% - Ênfase3 15 5" xfId="4225" xr:uid="{9341FC18-6ACE-440B-AD26-B8013DB65B89}"/>
    <cellStyle name="20% - Ênfase3 16" xfId="616" xr:uid="{375935D9-74D5-429D-8B31-CE3DEACC2857}"/>
    <cellStyle name="20% - Ênfase3 16 2" xfId="1679" xr:uid="{B5543729-507C-42FF-AAD5-330710A72B5E}"/>
    <cellStyle name="20% - Ênfase3 16 2 2" xfId="2604" xr:uid="{9E0A1884-B449-4910-9575-E27DF7DBB017}"/>
    <cellStyle name="20% - Ênfase3 16 2 2 2" xfId="6232" xr:uid="{1D67C52E-9C46-472F-B83D-785BEF742459}"/>
    <cellStyle name="20% - Ênfase3 16 2 3" xfId="5307" xr:uid="{379B8835-C8C7-4B34-B740-781C559485A5}"/>
    <cellStyle name="20% - Ênfase3 16 3" xfId="1221" xr:uid="{4CE33BCE-0493-4937-9FB1-E87AFB9E0C37}"/>
    <cellStyle name="20% - Ênfase3 16 3 2" xfId="3073" xr:uid="{CCB31C52-97EF-4BD8-B2A0-03557F9828A3}"/>
    <cellStyle name="20% - Ênfase3 16 3 2 2" xfId="6701" xr:uid="{70C50465-6E9B-4633-8579-EE84C4414639}"/>
    <cellStyle name="20% - Ênfase3 16 3 3" xfId="4849" xr:uid="{D22FF3F5-E04E-4EF9-91CC-8089763F6AA1}"/>
    <cellStyle name="20% - Ênfase3 16 4" xfId="2146" xr:uid="{8F5B9DB5-A27F-43F4-A5B2-1F04E436154A}"/>
    <cellStyle name="20% - Ênfase3 16 4 2" xfId="5774" xr:uid="{0B1217FB-1EE5-413A-8A56-26B638244179}"/>
    <cellStyle name="20% - Ênfase3 16 5" xfId="4245" xr:uid="{97AD7544-5CD0-4B85-B221-A8CA50AAD1DE}"/>
    <cellStyle name="20% - Ênfase3 17" xfId="636" xr:uid="{3FCCFAD4-B444-4780-967B-B17B967761C0}"/>
    <cellStyle name="20% - Ênfase3 17 2" xfId="1240" xr:uid="{0E4099DA-F2EB-4D7A-BD13-7BB6509059CF}"/>
    <cellStyle name="20% - Ênfase3 17 2 2" xfId="3092" xr:uid="{5D830635-D6D4-4250-B906-543BA59B1CF0}"/>
    <cellStyle name="20% - Ênfase3 17 2 2 2" xfId="6720" xr:uid="{C7A972C6-B5F9-44A8-B5D0-480C7922198A}"/>
    <cellStyle name="20% - Ênfase3 17 2 3" xfId="4868" xr:uid="{B0678472-74B3-4C9D-B811-27C7F71526EF}"/>
    <cellStyle name="20% - Ênfase3 17 3" xfId="2165" xr:uid="{A342172C-19DB-46DE-A973-96549A185715}"/>
    <cellStyle name="20% - Ênfase3 17 3 2" xfId="5793" xr:uid="{66C8944D-E3AE-4997-81A1-D585B48F65DB}"/>
    <cellStyle name="20% - Ênfase3 17 4" xfId="4265" xr:uid="{3A0E43D4-1971-4736-9F7F-0598D7BC85A0}"/>
    <cellStyle name="20% - Ênfase3 18" xfId="313" xr:uid="{37A1055D-8745-44C0-80BF-ED75342F82BC}"/>
    <cellStyle name="20% - Ênfase3 18 2" xfId="1594" xr:uid="{317B8118-80FD-4AB4-9467-E561D821B6AA}"/>
    <cellStyle name="20% - Ênfase3 18 2 2" xfId="3446" xr:uid="{2A2AF045-53B8-419E-955F-636D511F89D4}"/>
    <cellStyle name="20% - Ênfase3 18 2 2 2" xfId="7074" xr:uid="{5769D12A-01B6-49C2-BC9A-825861C96C06}"/>
    <cellStyle name="20% - Ênfase3 18 2 3" xfId="5222" xr:uid="{0F333388-286F-4AD9-B3B6-64CB56C1A40C}"/>
    <cellStyle name="20% - Ênfase3 18 3" xfId="2519" xr:uid="{8DD61C58-92A9-434B-9FF8-DBE9458460C9}"/>
    <cellStyle name="20% - Ênfase3 18 3 2" xfId="6147" xr:uid="{1DDB9623-6305-46ED-9705-E0C3FF217985}"/>
    <cellStyle name="20% - Ênfase3 18 4" xfId="3942" xr:uid="{EE1DDAD1-4AB8-48E5-B290-183EBED8BAB2}"/>
    <cellStyle name="20% - Ênfase3 19" xfId="918" xr:uid="{E9C86268-B568-499D-AB00-C63D570AB124}"/>
    <cellStyle name="20% - Ênfase3 19 2" xfId="2770" xr:uid="{9B295645-FBEC-4991-93FB-6A09D77FA70A}"/>
    <cellStyle name="20% - Ênfase3 19 2 2" xfId="6398" xr:uid="{4ADAD238-B4DF-4E77-84F0-06FE9741314F}"/>
    <cellStyle name="20% - Ênfase3 19 3" xfId="4546" xr:uid="{2F3FE7AF-9241-4398-8098-44D37071C0BC}"/>
    <cellStyle name="20% - Ênfase3 2" xfId="53" xr:uid="{AD8A4591-A30C-42C4-BB94-BD4FFEC1BD5E}"/>
    <cellStyle name="20% - Ênfase3 2 2" xfId="659" xr:uid="{C3CFA692-B117-4903-AA91-22AFDAD4434F}"/>
    <cellStyle name="20% - Ênfase3 2 2 2" xfId="1262" xr:uid="{DC62D16F-E9D0-4F93-AB2D-9AEC04A98ECE}"/>
    <cellStyle name="20% - Ênfase3 2 2 2 2" xfId="3114" xr:uid="{01545F15-FB0A-4406-A312-DB46367BD6F6}"/>
    <cellStyle name="20% - Ênfase3 2 2 2 2 2" xfId="6742" xr:uid="{2DEB760D-286B-4005-8648-3C9A553C5E9E}"/>
    <cellStyle name="20% - Ênfase3 2 2 2 3" xfId="4890" xr:uid="{13E17A1F-EB94-4126-B883-07DB929D2B02}"/>
    <cellStyle name="20% - Ênfase3 2 2 3" xfId="2187" xr:uid="{68587CCA-53D6-4AAC-B1CE-5913BF0CDE2D}"/>
    <cellStyle name="20% - Ênfase3 2 2 3 2" xfId="5815" xr:uid="{30F9963A-B088-4272-873E-E6CF7EE86027}"/>
    <cellStyle name="20% - Ênfase3 2 2 4" xfId="4287" xr:uid="{99202D2F-A2D0-4578-A69C-7AF39578E2AF}"/>
    <cellStyle name="20% - Ênfase3 2 3" xfId="335" xr:uid="{85E9D60D-E667-4A96-B15B-E0E074034AED}"/>
    <cellStyle name="20% - Ênfase3 2 3 2" xfId="1554" xr:uid="{6EA24560-D073-4DDD-8FD0-9CC19C899E2C}"/>
    <cellStyle name="20% - Ênfase3 2 3 2 2" xfId="3406" xr:uid="{69B8998D-A598-45DE-9114-EF2548A8DD80}"/>
    <cellStyle name="20% - Ênfase3 2 3 2 2 2" xfId="7034" xr:uid="{B7377827-E28E-4D3A-B8A3-2D443EAF1C29}"/>
    <cellStyle name="20% - Ênfase3 2 3 2 3" xfId="5182" xr:uid="{AFF173D0-C76C-43B3-BB1D-DE7E5CB69E85}"/>
    <cellStyle name="20% - Ênfase3 2 3 3" xfId="2479" xr:uid="{506A13DC-8F31-42C0-812E-AA7D8CE1836B}"/>
    <cellStyle name="20% - Ênfase3 2 3 3 2" xfId="6107" xr:uid="{B2608F09-331A-4DD2-A7DF-A6EDC621A8A0}"/>
    <cellStyle name="20% - Ênfase3 2 3 4" xfId="3964" xr:uid="{B4ED502F-65C1-41C0-9CE0-804F3940397C}"/>
    <cellStyle name="20% - Ênfase3 2 4" xfId="940" xr:uid="{3E3EC23D-14DB-4EEB-80FF-C13A2CE90A04}"/>
    <cellStyle name="20% - Ênfase3 2 4 2" xfId="2792" xr:uid="{8FF23457-75EC-4400-8747-BEBE067290F3}"/>
    <cellStyle name="20% - Ênfase3 2 4 2 2" xfId="6420" xr:uid="{F3CCA9A9-6B0D-4BA7-8F16-B77448042074}"/>
    <cellStyle name="20% - Ênfase3 2 4 3" xfId="4568" xr:uid="{E3C4A979-BA0E-4201-9418-7B8D58B8BDF7}"/>
    <cellStyle name="20% - Ênfase3 2 5" xfId="1865" xr:uid="{8E8619AA-A5EB-4417-9EDC-8E6804677856}"/>
    <cellStyle name="20% - Ênfase3 2 5 2" xfId="5493" xr:uid="{B1B771BC-E60D-42AB-B8EE-472C56859DED}"/>
    <cellStyle name="20% - Ênfase3 2 6" xfId="3682" xr:uid="{260B82B8-BE82-4B7F-A442-EB4FAA5250CC}"/>
    <cellStyle name="20% - Ênfase3 20" xfId="1843" xr:uid="{870DC1DA-D070-4692-822B-3F156B0A204A}"/>
    <cellStyle name="20% - Ênfase3 20 2" xfId="5471" xr:uid="{BD6552D3-B62B-42E4-A298-DE53A8272B2E}"/>
    <cellStyle name="20% - Ênfase3 21" xfId="3658" xr:uid="{18A9DBF2-10F9-4AED-ACF6-E70F010A2816}"/>
    <cellStyle name="20% - Ênfase3 3" xfId="71" xr:uid="{4A958920-3F1F-402A-9FC6-82A60584A6C9}"/>
    <cellStyle name="20% - Ênfase3 3 2" xfId="677" xr:uid="{2BDF1129-75E4-45C7-B0DF-5E8489E835CE}"/>
    <cellStyle name="20% - Ênfase3 3 2 2" xfId="1280" xr:uid="{7903A787-0691-4CD0-950C-05298551BAFD}"/>
    <cellStyle name="20% - Ênfase3 3 2 2 2" xfId="3132" xr:uid="{DB41630E-F532-4399-A0CD-A853FA8B824E}"/>
    <cellStyle name="20% - Ênfase3 3 2 2 2 2" xfId="6760" xr:uid="{FB8260AE-437A-4EBA-943E-E136428559C4}"/>
    <cellStyle name="20% - Ênfase3 3 2 2 3" xfId="4908" xr:uid="{B0FB6A55-E93B-479E-A97B-B18A01D7AFF5}"/>
    <cellStyle name="20% - Ênfase3 3 2 3" xfId="2205" xr:uid="{77376C71-9831-4961-94E8-041626700465}"/>
    <cellStyle name="20% - Ênfase3 3 2 3 2" xfId="5833" xr:uid="{75D92D0F-00BF-407C-A301-2B485C7868B9}"/>
    <cellStyle name="20% - Ênfase3 3 2 4" xfId="4305" xr:uid="{697D48BA-32B4-4337-A42C-135BD62F15CE}"/>
    <cellStyle name="20% - Ênfase3 3 3" xfId="353" xr:uid="{65119A2E-84D1-4810-9FF5-C47E1AE0E2FF}"/>
    <cellStyle name="20% - Ênfase3 3 3 2" xfId="1533" xr:uid="{F00152D3-95F9-46D9-8D63-F205E8D67692}"/>
    <cellStyle name="20% - Ênfase3 3 3 2 2" xfId="3385" xr:uid="{69454D13-8CAC-4627-8DB9-705E44031432}"/>
    <cellStyle name="20% - Ênfase3 3 3 2 2 2" xfId="7013" xr:uid="{AAC59B13-D93E-4833-9900-D3EC60BCA053}"/>
    <cellStyle name="20% - Ênfase3 3 3 2 3" xfId="5161" xr:uid="{1D2D142B-B8EF-437C-9FAF-156C13BAB291}"/>
    <cellStyle name="20% - Ênfase3 3 3 3" xfId="2458" xr:uid="{B4F6C7B0-1027-4104-BECC-9F0364CD3ADC}"/>
    <cellStyle name="20% - Ênfase3 3 3 3 2" xfId="6086" xr:uid="{129FE5B6-F8D4-49EB-BD4A-3910E6A543A6}"/>
    <cellStyle name="20% - Ênfase3 3 3 4" xfId="3982" xr:uid="{2D8284AB-D53C-43D6-879E-9C4C56E56015}"/>
    <cellStyle name="20% - Ênfase3 3 4" xfId="958" xr:uid="{F38F9205-BB62-4C51-90DB-4D33E8BC7ED6}"/>
    <cellStyle name="20% - Ênfase3 3 4 2" xfId="2810" xr:uid="{04EAB957-B595-4A01-BB7C-455C8317AACA}"/>
    <cellStyle name="20% - Ênfase3 3 4 2 2" xfId="6438" xr:uid="{8AFF1FB9-5D1C-42DF-B2B7-AAD303C1F2FE}"/>
    <cellStyle name="20% - Ênfase3 3 4 3" xfId="4586" xr:uid="{65BC48BB-ACB8-4568-93BA-9C5A99DEF156}"/>
    <cellStyle name="20% - Ênfase3 3 5" xfId="1883" xr:uid="{1DD7A278-515F-4815-8C75-BF5AB07469F1}"/>
    <cellStyle name="20% - Ênfase3 3 5 2" xfId="5511" xr:uid="{201880BE-177A-41C1-B379-7C2B10E99CA8}"/>
    <cellStyle name="20% - Ênfase3 3 6" xfId="3700" xr:uid="{63412267-55F7-4FE3-8B31-0182597B1C77}"/>
    <cellStyle name="20% - Ênfase3 4" xfId="93" xr:uid="{3705752C-F04B-47FD-9DCB-59CCD0A694AA}"/>
    <cellStyle name="20% - Ênfase3 4 2" xfId="699" xr:uid="{157E55A5-C2EA-45E3-8454-7FF84015703F}"/>
    <cellStyle name="20% - Ênfase3 4 2 2" xfId="1302" xr:uid="{E3AB79D0-EA95-405B-9011-69B27335752A}"/>
    <cellStyle name="20% - Ênfase3 4 2 2 2" xfId="3154" xr:uid="{83C3D1FC-5E48-4628-847E-3BA5878B6067}"/>
    <cellStyle name="20% - Ênfase3 4 2 2 2 2" xfId="6782" xr:uid="{0B2D1E2C-F3FC-4E26-AACE-D40A1822ACF7}"/>
    <cellStyle name="20% - Ênfase3 4 2 2 3" xfId="4930" xr:uid="{2CAEF2F1-7AFF-4310-BEBC-D388AAB36BDE}"/>
    <cellStyle name="20% - Ênfase3 4 2 3" xfId="2227" xr:uid="{5EEDC3C7-5987-4FC1-B3DE-A5B225501D87}"/>
    <cellStyle name="20% - Ênfase3 4 2 3 2" xfId="5855" xr:uid="{73875008-11E7-4123-B72A-D5DC08C0C220}"/>
    <cellStyle name="20% - Ênfase3 4 2 4" xfId="4327" xr:uid="{F65EAB11-DD97-4866-B0A2-F41EA81BAECF}"/>
    <cellStyle name="20% - Ênfase3 4 3" xfId="375" xr:uid="{36FBEED7-E2C2-4D2B-9E02-74D4473DBE2B}"/>
    <cellStyle name="20% - Ênfase3 4 3 2" xfId="1782" xr:uid="{88233C1E-7643-4FD9-BFE0-FFA0CCE2E61A}"/>
    <cellStyle name="20% - Ênfase3 4 3 2 2" xfId="3595" xr:uid="{F5798EC1-C783-4169-BEB4-72BD279C7DF8}"/>
    <cellStyle name="20% - Ênfase3 4 3 2 2 2" xfId="7223" xr:uid="{35AEDEA4-19EF-4B2A-8F4D-8839A5C9E070}"/>
    <cellStyle name="20% - Ênfase3 4 3 2 3" xfId="5410" xr:uid="{1D693993-59EE-4D7A-B1DF-69513CC70309}"/>
    <cellStyle name="20% - Ênfase3 4 3 3" xfId="2707" xr:uid="{727CF85D-4F02-41D3-8A6E-7061E78AB83C}"/>
    <cellStyle name="20% - Ênfase3 4 3 3 2" xfId="6335" xr:uid="{669B9BAD-EB9E-40AD-B4ED-C9F5A226FE83}"/>
    <cellStyle name="20% - Ênfase3 4 3 4" xfId="4004" xr:uid="{C11AC3A6-68BD-4345-97EB-E65B48FA184C}"/>
    <cellStyle name="20% - Ênfase3 4 4" xfId="980" xr:uid="{03D7F228-DEAA-4BF0-8664-6B7F26F06AF1}"/>
    <cellStyle name="20% - Ênfase3 4 4 2" xfId="2832" xr:uid="{480DF61E-D4EC-4193-91FB-C47F83B2133C}"/>
    <cellStyle name="20% - Ênfase3 4 4 2 2" xfId="6460" xr:uid="{ABA33229-DFE3-4D08-9708-FFA3925EEF0F}"/>
    <cellStyle name="20% - Ênfase3 4 4 3" xfId="4608" xr:uid="{40A62487-903F-48F2-979F-FD378D64B9A7}"/>
    <cellStyle name="20% - Ênfase3 4 5" xfId="1905" xr:uid="{0D0797EE-5B5A-43D4-9333-8FDB75FD5FC8}"/>
    <cellStyle name="20% - Ênfase3 4 5 2" xfId="5533" xr:uid="{F7DF3027-8503-4E1B-B2D5-25497E509F40}"/>
    <cellStyle name="20% - Ênfase3 4 6" xfId="3722" xr:uid="{C931F51B-08E6-4C0D-B791-DA55352391CB}"/>
    <cellStyle name="20% - Ênfase3 5" xfId="113" xr:uid="{2AA8916E-33E3-4625-B3AB-380F452AA5D6}"/>
    <cellStyle name="20% - Ênfase3 5 2" xfId="719" xr:uid="{63A5DFB5-8A54-4106-87B8-EFD22F8D687B}"/>
    <cellStyle name="20% - Ênfase3 5 2 2" xfId="1322" xr:uid="{897CCCBA-D3E9-4D0A-B8AB-B6C573EEF3D3}"/>
    <cellStyle name="20% - Ênfase3 5 2 2 2" xfId="3174" xr:uid="{1A7C8790-45F4-4043-8E2F-D85D2F51E4B1}"/>
    <cellStyle name="20% - Ênfase3 5 2 2 2 2" xfId="6802" xr:uid="{8D6462E3-402B-44C7-9643-42799BF66070}"/>
    <cellStyle name="20% - Ênfase3 5 2 2 3" xfId="4950" xr:uid="{3A4B76DF-2876-425B-B9C0-CAD2D429C5AD}"/>
    <cellStyle name="20% - Ênfase3 5 2 3" xfId="2247" xr:uid="{F567FFA4-3E7B-41A1-A2AF-BEE54F4F3CC3}"/>
    <cellStyle name="20% - Ênfase3 5 2 3 2" xfId="5875" xr:uid="{88B6F162-4F0E-4A88-87ED-021B148F480D}"/>
    <cellStyle name="20% - Ênfase3 5 2 4" xfId="4347" xr:uid="{7553E3F8-A3A5-4347-83AE-F24F075C1218}"/>
    <cellStyle name="20% - Ênfase3 5 3" xfId="395" xr:uid="{F99840E4-E1C9-415C-9412-14E1B1DF69E0}"/>
    <cellStyle name="20% - Ênfase3 5 3 2" xfId="1800" xr:uid="{1976D658-2EE8-4176-BBA7-6346D911C1B9}"/>
    <cellStyle name="20% - Ênfase3 5 3 2 2" xfId="3613" xr:uid="{9012C48D-56EC-475F-BF4B-046F90B13ABC}"/>
    <cellStyle name="20% - Ênfase3 5 3 2 2 2" xfId="7241" xr:uid="{759EB4EE-1CCE-4E03-A75D-F00D84A211EE}"/>
    <cellStyle name="20% - Ênfase3 5 3 2 3" xfId="5428" xr:uid="{EE63ABA2-C639-44C4-B56E-B38285142E92}"/>
    <cellStyle name="20% - Ênfase3 5 3 3" xfId="2725" xr:uid="{4D2B6284-8A4D-4E13-915D-BC0425FADDD4}"/>
    <cellStyle name="20% - Ênfase3 5 3 3 2" xfId="6353" xr:uid="{F0B91034-DA0B-4ABE-BA41-BA8DB053E6E1}"/>
    <cellStyle name="20% - Ênfase3 5 3 4" xfId="4024" xr:uid="{E7372B32-F4A1-4DC1-9F49-2DF6F0C9BCB2}"/>
    <cellStyle name="20% - Ênfase3 5 4" xfId="1000" xr:uid="{9C80D2D0-F331-4BED-BAE5-CDB6D58F5A16}"/>
    <cellStyle name="20% - Ênfase3 5 4 2" xfId="2852" xr:uid="{E1946A94-A580-4CA2-BC5C-3F98134BF563}"/>
    <cellStyle name="20% - Ênfase3 5 4 2 2" xfId="6480" xr:uid="{F49B89AF-01CD-42BB-9FB9-3784183D90C6}"/>
    <cellStyle name="20% - Ênfase3 5 4 3" xfId="4628" xr:uid="{3D7730C2-36FC-4BFE-9B95-C6EDFD16A98F}"/>
    <cellStyle name="20% - Ênfase3 5 5" xfId="1925" xr:uid="{F0832882-9BD1-430D-A3E4-CE7E2405558E}"/>
    <cellStyle name="20% - Ênfase3 5 5 2" xfId="5553" xr:uid="{40BEFE88-EF0D-4B72-AC75-A6E12A620992}"/>
    <cellStyle name="20% - Ênfase3 5 6" xfId="3742" xr:uid="{BF136A3D-B660-49C2-BB5A-AC8CA231D1A9}"/>
    <cellStyle name="20% - Ênfase3 6" xfId="133" xr:uid="{C4523531-48D0-4EF5-92A4-2BF4195D2CA9}"/>
    <cellStyle name="20% - Ênfase3 6 2" xfId="739" xr:uid="{41CB2FB2-053D-40B7-A32D-FCC934126FBD}"/>
    <cellStyle name="20% - Ênfase3 6 2 2" xfId="1342" xr:uid="{C2F6028C-121E-47F9-A8F7-ADED69BDC81E}"/>
    <cellStyle name="20% - Ênfase3 6 2 2 2" xfId="3194" xr:uid="{3448CD53-4E2E-4F62-9D3A-405C8F59016F}"/>
    <cellStyle name="20% - Ênfase3 6 2 2 2 2" xfId="6822" xr:uid="{684185BC-7965-43FC-8303-3F9EFD6D97E5}"/>
    <cellStyle name="20% - Ênfase3 6 2 2 3" xfId="4970" xr:uid="{BD3A015C-8F2D-49B2-94B6-9F505EEEB504}"/>
    <cellStyle name="20% - Ênfase3 6 2 3" xfId="2267" xr:uid="{7A1F097A-3D3D-4130-92DE-CC148E21B7F0}"/>
    <cellStyle name="20% - Ênfase3 6 2 3 2" xfId="5895" xr:uid="{3396384B-D1D4-461D-B46E-BE98675DE2D1}"/>
    <cellStyle name="20% - Ênfase3 6 2 4" xfId="4367" xr:uid="{53F2CB7E-2876-4940-9158-479897107A82}"/>
    <cellStyle name="20% - Ênfase3 6 3" xfId="415" xr:uid="{2CF5411A-ACA8-4B09-A702-DF0A05047259}"/>
    <cellStyle name="20% - Ênfase3 6 3 2" xfId="1760" xr:uid="{941A0F14-A7DA-4D01-9974-AD3B705BA336}"/>
    <cellStyle name="20% - Ênfase3 6 3 2 2" xfId="3573" xr:uid="{4925E53E-7499-436C-BD22-DA703AFCCCC9}"/>
    <cellStyle name="20% - Ênfase3 6 3 2 2 2" xfId="7201" xr:uid="{BE7226FA-48A7-418E-B89D-72B4B9A6C07A}"/>
    <cellStyle name="20% - Ênfase3 6 3 2 3" xfId="5388" xr:uid="{06D0C6AB-B2CB-49EC-B2A7-E0F6BF367831}"/>
    <cellStyle name="20% - Ênfase3 6 3 3" xfId="2685" xr:uid="{199ABF78-5D1D-4A27-8E1F-4FF700C1533F}"/>
    <cellStyle name="20% - Ênfase3 6 3 3 2" xfId="6313" xr:uid="{D5399CD4-6968-4D6E-8A78-03828101A6FA}"/>
    <cellStyle name="20% - Ênfase3 6 3 4" xfId="4044" xr:uid="{BC09C8BB-9560-4EA4-9B85-61126111382A}"/>
    <cellStyle name="20% - Ênfase3 6 4" xfId="1020" xr:uid="{FC098512-BE57-4236-8B2E-0F9778A912A1}"/>
    <cellStyle name="20% - Ênfase3 6 4 2" xfId="2872" xr:uid="{5C720E69-FB8E-4C0E-BEAB-F2A774F08D4D}"/>
    <cellStyle name="20% - Ênfase3 6 4 2 2" xfId="6500" xr:uid="{E4EC4207-7947-4E9D-8453-44A8CD2D9FBB}"/>
    <cellStyle name="20% - Ênfase3 6 4 3" xfId="4648" xr:uid="{A42AC203-87E9-4DC4-AFE6-8E7735D12037}"/>
    <cellStyle name="20% - Ênfase3 6 5" xfId="1945" xr:uid="{D4C1DAE6-BE4C-41D8-BFB4-C907835EF4FB}"/>
    <cellStyle name="20% - Ênfase3 6 5 2" xfId="5573" xr:uid="{2B0CEE18-64C8-4DF6-B5FB-78C683ED232A}"/>
    <cellStyle name="20% - Ênfase3 6 6" xfId="3762" xr:uid="{9A9BE462-80BF-4945-8AFD-411C321EF559}"/>
    <cellStyle name="20% - Ênfase3 7" xfId="153" xr:uid="{20B9617F-53F3-4C3D-A275-227C96CA8B06}"/>
    <cellStyle name="20% - Ênfase3 7 2" xfId="759" xr:uid="{56EC272F-3843-4BB5-A34F-45A4397852BD}"/>
    <cellStyle name="20% - Ênfase3 7 2 2" xfId="1362" xr:uid="{0B4F6198-EEA9-4557-AA79-659558271A04}"/>
    <cellStyle name="20% - Ênfase3 7 2 2 2" xfId="3214" xr:uid="{24659FB6-1A52-4325-9F22-668518752438}"/>
    <cellStyle name="20% - Ênfase3 7 2 2 2 2" xfId="6842" xr:uid="{2CB4A94F-BF1D-4370-8544-BE520F9F0411}"/>
    <cellStyle name="20% - Ênfase3 7 2 2 3" xfId="4990" xr:uid="{0F4CCD7C-4F26-4D3E-98A2-2A2B58CBAC0B}"/>
    <cellStyle name="20% - Ênfase3 7 2 3" xfId="2287" xr:uid="{7570E34D-D267-486D-B0B9-1EDF621AAC98}"/>
    <cellStyle name="20% - Ênfase3 7 2 3 2" xfId="5915" xr:uid="{3BCD4D85-30C8-48E4-A2C4-D684FF57FD77}"/>
    <cellStyle name="20% - Ênfase3 7 2 4" xfId="4387" xr:uid="{508B986C-AB2B-475E-89A2-91E652C7DFAC}"/>
    <cellStyle name="20% - Ênfase3 7 3" xfId="435" xr:uid="{E281BDAA-B533-495B-9628-E67E733DF50B}"/>
    <cellStyle name="20% - Ênfase3 7 3 2" xfId="1818" xr:uid="{45BE74B8-B72D-43E1-91C7-E543E7EC9B73}"/>
    <cellStyle name="20% - Ênfase3 7 3 2 2" xfId="3631" xr:uid="{B0F61278-157E-4F5A-B779-7BB167EA3AA1}"/>
    <cellStyle name="20% - Ênfase3 7 3 2 2 2" xfId="7259" xr:uid="{B781732C-EB12-434D-BE51-DED13F7B5A1A}"/>
    <cellStyle name="20% - Ênfase3 7 3 2 3" xfId="5446" xr:uid="{69B036A1-F2CF-4C9E-A164-FCE05D824D89}"/>
    <cellStyle name="20% - Ênfase3 7 3 3" xfId="2743" xr:uid="{6E4B249E-3FDF-4DBD-831F-69B6E610029E}"/>
    <cellStyle name="20% - Ênfase3 7 3 3 2" xfId="6371" xr:uid="{50B5F546-84C9-487C-9F24-415CD0E0C41A}"/>
    <cellStyle name="20% - Ênfase3 7 3 4" xfId="4064" xr:uid="{A7ED1E0B-4689-4199-9A07-609BAC42D4E6}"/>
    <cellStyle name="20% - Ênfase3 7 4" xfId="1040" xr:uid="{0B9EC411-1E99-4C08-B3CE-4C4219FE7F6C}"/>
    <cellStyle name="20% - Ênfase3 7 4 2" xfId="2892" xr:uid="{B85DA41C-B6CB-40C2-9562-EF2BD995CF60}"/>
    <cellStyle name="20% - Ênfase3 7 4 2 2" xfId="6520" xr:uid="{9CEB9C3C-D1E7-4EA9-80D6-85C91385ABEA}"/>
    <cellStyle name="20% - Ênfase3 7 4 3" xfId="4668" xr:uid="{934CECF1-59D5-4E26-B5B5-2716E923E758}"/>
    <cellStyle name="20% - Ênfase3 7 5" xfId="1965" xr:uid="{F2E9827A-6979-4EC4-969C-485C27BEFB64}"/>
    <cellStyle name="20% - Ênfase3 7 5 2" xfId="5593" xr:uid="{093FB321-B0D6-4571-A67A-484D9B348A43}"/>
    <cellStyle name="20% - Ênfase3 7 6" xfId="3782" xr:uid="{300D004A-CBE9-4929-A213-D39A58DF4B0C}"/>
    <cellStyle name="20% - Ênfase3 8" xfId="173" xr:uid="{51EA8F61-99F4-4046-B895-F2B33DD3A4FF}"/>
    <cellStyle name="20% - Ênfase3 8 2" xfId="779" xr:uid="{97B70783-AA90-49FE-B9D3-8D2DAA7CA26D}"/>
    <cellStyle name="20% - Ênfase3 8 2 2" xfId="1382" xr:uid="{7480859D-E66E-4A61-97D0-1BB55974BDC1}"/>
    <cellStyle name="20% - Ênfase3 8 2 2 2" xfId="3234" xr:uid="{BF37F211-2314-4C16-B982-40272AF6CA4A}"/>
    <cellStyle name="20% - Ênfase3 8 2 2 2 2" xfId="6862" xr:uid="{18F2F9FC-4215-4ECE-9CC0-F615378DFE74}"/>
    <cellStyle name="20% - Ênfase3 8 2 2 3" xfId="5010" xr:uid="{3CAB345A-9A7D-4ED4-954D-512990FEA6D2}"/>
    <cellStyle name="20% - Ênfase3 8 2 3" xfId="2307" xr:uid="{2CEE6654-F59B-4C2C-B988-D7072F74E886}"/>
    <cellStyle name="20% - Ênfase3 8 2 3 2" xfId="5935" xr:uid="{3D30E83E-C62B-4CAE-AA1A-3C03385E03CB}"/>
    <cellStyle name="20% - Ênfase3 8 2 4" xfId="4407" xr:uid="{66609459-84F4-4AE8-89C1-8A16D18B6EF8}"/>
    <cellStyle name="20% - Ênfase3 8 3" xfId="455" xr:uid="{E1B2DD32-EC9D-4C04-9B08-14D65F563ECB}"/>
    <cellStyle name="20% - Ênfase3 8 3 2" xfId="1637" xr:uid="{B36A13A4-A56B-477C-A6E2-8561420F3D01}"/>
    <cellStyle name="20% - Ênfase3 8 3 2 2" xfId="3489" xr:uid="{636FDD0D-9C7E-4C5F-9099-FA1D10FFA191}"/>
    <cellStyle name="20% - Ênfase3 8 3 2 2 2" xfId="7117" xr:uid="{1F1A4B80-277D-4C73-8C03-CFC8852B9D06}"/>
    <cellStyle name="20% - Ênfase3 8 3 2 3" xfId="5265" xr:uid="{80FBF080-7401-4E2D-A211-E6F1AD6B5806}"/>
    <cellStyle name="20% - Ênfase3 8 3 3" xfId="2562" xr:uid="{CB2CD246-3292-4F76-A789-EBC924D5A6E9}"/>
    <cellStyle name="20% - Ênfase3 8 3 3 2" xfId="6190" xr:uid="{A558A9E5-BF4F-4D03-B2C1-881675DB214D}"/>
    <cellStyle name="20% - Ênfase3 8 3 4" xfId="4084" xr:uid="{3E2D98F0-0875-4A1A-800E-7013E646CB57}"/>
    <cellStyle name="20% - Ênfase3 8 4" xfId="1060" xr:uid="{96BE6D6B-977A-4DB5-8756-864F73BF32D3}"/>
    <cellStyle name="20% - Ênfase3 8 4 2" xfId="2912" xr:uid="{916DA1E1-A00D-45D7-9B8A-CB10D7BD1850}"/>
    <cellStyle name="20% - Ênfase3 8 4 2 2" xfId="6540" xr:uid="{E973D57C-2CDC-47BC-AB95-7AA4D1ED49CF}"/>
    <cellStyle name="20% - Ênfase3 8 4 3" xfId="4688" xr:uid="{CA9C1E62-0135-4DAF-BDCA-EF135534DAF2}"/>
    <cellStyle name="20% - Ênfase3 8 5" xfId="1985" xr:uid="{45BC5998-E2B1-4738-AA9A-9C5C1848236C}"/>
    <cellStyle name="20% - Ênfase3 8 5 2" xfId="5613" xr:uid="{B2AB4129-5A14-45BC-9C1B-ABFA1DC6DCD4}"/>
    <cellStyle name="20% - Ênfase3 8 6" xfId="3802" xr:uid="{8186AACB-F3D1-439C-A315-1E4D52501309}"/>
    <cellStyle name="20% - Ênfase3 9" xfId="193" xr:uid="{7193A8B7-CE64-4B9D-8050-A240CBE0426B}"/>
    <cellStyle name="20% - Ênfase3 9 2" xfId="799" xr:uid="{3600FB13-36C9-477E-A943-1FE6AD8D2C1F}"/>
    <cellStyle name="20% - Ênfase3 9 2 2" xfId="1402" xr:uid="{BB0BAA62-A851-49D1-9132-9CE5DF72078A}"/>
    <cellStyle name="20% - Ênfase3 9 2 2 2" xfId="3254" xr:uid="{AD71D7DF-BC50-4D1A-A392-3DDCE7F2886F}"/>
    <cellStyle name="20% - Ênfase3 9 2 2 2 2" xfId="6882" xr:uid="{41DB5D13-614F-42F0-AF6C-E99144A96DD2}"/>
    <cellStyle name="20% - Ênfase3 9 2 2 3" xfId="5030" xr:uid="{72E726B8-D185-45C0-92FE-45C5B55F9770}"/>
    <cellStyle name="20% - Ênfase3 9 2 3" xfId="2327" xr:uid="{FDC993C6-4B83-443F-BF6C-A3794F08B778}"/>
    <cellStyle name="20% - Ênfase3 9 2 3 2" xfId="5955" xr:uid="{04F2F2F2-795A-4720-BC29-45768C74D019}"/>
    <cellStyle name="20% - Ênfase3 9 2 4" xfId="4427" xr:uid="{B0F53402-2D4B-4A6F-A989-46D485EEB03A}"/>
    <cellStyle name="20% - Ênfase3 9 3" xfId="475" xr:uid="{1B57F737-15B6-4276-8B2D-FBCACC2E075D}"/>
    <cellStyle name="20% - Ênfase3 9 3 2" xfId="1541" xr:uid="{5DF2A030-A903-4D2C-BF3F-1AFC18986D4F}"/>
    <cellStyle name="20% - Ênfase3 9 3 2 2" xfId="3393" xr:uid="{0DA042F7-DA26-4FD7-AAF0-C60ED4DAB836}"/>
    <cellStyle name="20% - Ênfase3 9 3 2 2 2" xfId="7021" xr:uid="{3BD1FBBE-3945-48D3-84B5-A1C6923A5257}"/>
    <cellStyle name="20% - Ênfase3 9 3 2 3" xfId="5169" xr:uid="{B45B9224-2040-4611-9174-11CDACE02A56}"/>
    <cellStyle name="20% - Ênfase3 9 3 3" xfId="2466" xr:uid="{2D4932C4-32AC-48DC-ABE2-93A41A2CE683}"/>
    <cellStyle name="20% - Ênfase3 9 3 3 2" xfId="6094" xr:uid="{A554E8A3-6538-44A5-AD8E-E42C8A9DECB0}"/>
    <cellStyle name="20% - Ênfase3 9 3 4" xfId="4104" xr:uid="{C7877869-C3CF-48D2-8FEC-957F9C234571}"/>
    <cellStyle name="20% - Ênfase3 9 4" xfId="1080" xr:uid="{E53A45B0-E03C-4C3F-A6BF-1A4B9AA9A5FE}"/>
    <cellStyle name="20% - Ênfase3 9 4 2" xfId="2932" xr:uid="{6B05E8A4-A5AE-4B57-B2AE-9BA3FAC76875}"/>
    <cellStyle name="20% - Ênfase3 9 4 2 2" xfId="6560" xr:uid="{F6A91826-490A-475B-8056-45026E1CB4A9}"/>
    <cellStyle name="20% - Ênfase3 9 4 3" xfId="4708" xr:uid="{2FB44638-ACA5-4DB7-A7CC-BAE7F98E2324}"/>
    <cellStyle name="20% - Ênfase3 9 5" xfId="2005" xr:uid="{0DF9010A-B968-4986-BFF4-77E469557C80}"/>
    <cellStyle name="20% - Ênfase3 9 5 2" xfId="5633" xr:uid="{1D53038A-AAEC-47B8-AC4B-1ACB50910841}"/>
    <cellStyle name="20% - Ênfase3 9 6" xfId="3822" xr:uid="{96C9A40E-A3DA-4A8C-9E69-CA700A39960D}"/>
    <cellStyle name="20% - Ênfase4" xfId="31" builtinId="42" customBuiltin="1"/>
    <cellStyle name="20% - Ênfase4 10" xfId="217" xr:uid="{F1151F5C-CE6D-47D2-A23B-0167CC02EC78}"/>
    <cellStyle name="20% - Ênfase4 10 2" xfId="823" xr:uid="{047A5B44-A7A5-436A-8C82-29C74EE784E3}"/>
    <cellStyle name="20% - Ênfase4 10 2 2" xfId="1426" xr:uid="{D3C4BCDD-1608-4959-9B19-BEFED90C9D25}"/>
    <cellStyle name="20% - Ênfase4 10 2 2 2" xfId="3278" xr:uid="{ADB55985-C536-4121-B786-04F2ED3E3EED}"/>
    <cellStyle name="20% - Ênfase4 10 2 2 2 2" xfId="6906" xr:uid="{EED857E2-C674-4303-910A-13E3F295E428}"/>
    <cellStyle name="20% - Ênfase4 10 2 2 3" xfId="5054" xr:uid="{D5DA3E32-E65B-413B-98F2-987D8660EE09}"/>
    <cellStyle name="20% - Ênfase4 10 2 3" xfId="2351" xr:uid="{0533FF43-2946-4BDE-9A28-7DCF7582F0A4}"/>
    <cellStyle name="20% - Ênfase4 10 2 3 2" xfId="5979" xr:uid="{3DBE5459-0C87-4735-9E1C-08E18382452F}"/>
    <cellStyle name="20% - Ênfase4 10 2 4" xfId="4451" xr:uid="{D4746F2C-7FCB-47FD-9F4B-7724D6F4B178}"/>
    <cellStyle name="20% - Ênfase4 10 3" xfId="499" xr:uid="{83DEDD61-8816-410F-9BA7-C432A3DB0A26}"/>
    <cellStyle name="20% - Ênfase4 10 3 2" xfId="1714" xr:uid="{7A054FDB-0D77-4A53-97EB-C6B3E899CEEF}"/>
    <cellStyle name="20% - Ênfase4 10 3 2 2" xfId="3527" xr:uid="{5C60C7A2-5A76-47E9-9226-3357AE54B683}"/>
    <cellStyle name="20% - Ênfase4 10 3 2 2 2" xfId="7155" xr:uid="{7AE9F5BB-C30D-4278-80A8-C8D4962E7D4F}"/>
    <cellStyle name="20% - Ênfase4 10 3 2 3" xfId="5342" xr:uid="{1B6EE7CF-BA99-449F-935D-04454E81F8B2}"/>
    <cellStyle name="20% - Ênfase4 10 3 3" xfId="2639" xr:uid="{9C29B6F4-37F6-430C-9F14-D4E642E5E90E}"/>
    <cellStyle name="20% - Ênfase4 10 3 3 2" xfId="6267" xr:uid="{6B303406-F96B-46BD-84E5-8908181C6A41}"/>
    <cellStyle name="20% - Ênfase4 10 3 4" xfId="4128" xr:uid="{8DEF3C37-74C4-4230-B91B-2340CF8F04A2}"/>
    <cellStyle name="20% - Ênfase4 10 4" xfId="1104" xr:uid="{73BF57E0-3DD3-4591-B6FD-AB7127168E4E}"/>
    <cellStyle name="20% - Ênfase4 10 4 2" xfId="2956" xr:uid="{EDFF0CF5-82EC-4127-820E-2415BC887766}"/>
    <cellStyle name="20% - Ênfase4 10 4 2 2" xfId="6584" xr:uid="{842DF72B-0160-4CA6-BE6A-54797CB70A17}"/>
    <cellStyle name="20% - Ênfase4 10 4 3" xfId="4732" xr:uid="{59401104-7778-4C8D-AFB6-F28D17200E5E}"/>
    <cellStyle name="20% - Ênfase4 10 5" xfId="2029" xr:uid="{BC4538C2-636C-44F1-9275-63FED9CF7812}"/>
    <cellStyle name="20% - Ênfase4 10 5 2" xfId="5657" xr:uid="{590D8520-1EF9-49A7-AA74-9E67376E0109}"/>
    <cellStyle name="20% - Ênfase4 10 6" xfId="3846" xr:uid="{7083599A-FB9C-49E2-A6F0-1F18D43581D2}"/>
    <cellStyle name="20% - Ênfase4 11" xfId="237" xr:uid="{2909A310-7B03-4416-98BA-8294E39A3C79}"/>
    <cellStyle name="20% - Ênfase4 11 2" xfId="843" xr:uid="{A83BBDA9-EAA3-4B8C-AA28-3F395BEBE4F7}"/>
    <cellStyle name="20% - Ênfase4 11 2 2" xfId="1446" xr:uid="{E8C35A89-DD4B-4A0F-9DA1-234B1B174EE3}"/>
    <cellStyle name="20% - Ênfase4 11 2 2 2" xfId="3298" xr:uid="{F550C26D-225C-4A8B-BA14-BA55FB096A6C}"/>
    <cellStyle name="20% - Ênfase4 11 2 2 2 2" xfId="6926" xr:uid="{03C21346-66D5-410C-843C-A11EAC50E7F8}"/>
    <cellStyle name="20% - Ênfase4 11 2 2 3" xfId="5074" xr:uid="{CB10F8EB-B5EE-42FC-80F6-CAD89929A307}"/>
    <cellStyle name="20% - Ênfase4 11 2 3" xfId="2371" xr:uid="{73CD207E-2D4B-4FC6-BCBF-E7DB5572C513}"/>
    <cellStyle name="20% - Ênfase4 11 2 3 2" xfId="5999" xr:uid="{A26CBAE8-8D0F-46DC-AAA7-CFBAE029B533}"/>
    <cellStyle name="20% - Ênfase4 11 2 4" xfId="4471" xr:uid="{0E5C7A2F-44EA-464C-A8B7-8FDD5AF2F7B6}"/>
    <cellStyle name="20% - Ênfase4 11 3" xfId="519" xr:uid="{F517CAE1-6B13-4562-B288-B8948D0968B9}"/>
    <cellStyle name="20% - Ênfase4 11 3 2" xfId="1835" xr:uid="{D9710BAD-13D4-4029-AB3B-B7AB4D3D6FB9}"/>
    <cellStyle name="20% - Ênfase4 11 3 2 2" xfId="3648" xr:uid="{14FD90ED-6B58-4966-86C3-B731EADD9383}"/>
    <cellStyle name="20% - Ênfase4 11 3 2 2 2" xfId="7276" xr:uid="{E750B173-76EF-4648-8727-67852AB77F7F}"/>
    <cellStyle name="20% - Ênfase4 11 3 2 3" xfId="5463" xr:uid="{5D56B36F-D164-475C-A03D-C946E64C9F4B}"/>
    <cellStyle name="20% - Ênfase4 11 3 3" xfId="2760" xr:uid="{A446E13F-3571-49AB-8ED9-012C414013C0}"/>
    <cellStyle name="20% - Ênfase4 11 3 3 2" xfId="6388" xr:uid="{2C62BDC0-69C6-42AB-A5C9-5906F3CD7300}"/>
    <cellStyle name="20% - Ênfase4 11 3 4" xfId="4148" xr:uid="{2A9A871A-38BA-4E9F-9489-184840D4701F}"/>
    <cellStyle name="20% - Ênfase4 11 4" xfId="1124" xr:uid="{D374F2F6-7AB4-4E02-83F5-01E829A19893}"/>
    <cellStyle name="20% - Ênfase4 11 4 2" xfId="2976" xr:uid="{6DA155E2-EBCB-4924-BF73-FA68DEBAF6E6}"/>
    <cellStyle name="20% - Ênfase4 11 4 2 2" xfId="6604" xr:uid="{10A89BD9-AF3F-4008-B145-0054CEEAD61A}"/>
    <cellStyle name="20% - Ênfase4 11 4 3" xfId="4752" xr:uid="{989BEBA4-52AD-4459-93AF-ACC71768995C}"/>
    <cellStyle name="20% - Ênfase4 11 5" xfId="2049" xr:uid="{9E146FCD-F439-402B-9652-6FBB194CBE2C}"/>
    <cellStyle name="20% - Ênfase4 11 5 2" xfId="5677" xr:uid="{0470B63E-E572-4237-8687-BFB6E6C50556}"/>
    <cellStyle name="20% - Ênfase4 11 6" xfId="3866" xr:uid="{743DB738-2C20-429E-898F-E8BDBBF91FCB}"/>
    <cellStyle name="20% - Ênfase4 12" xfId="257" xr:uid="{303AE62C-6757-4C58-BC3C-8EDD0CEE8C81}"/>
    <cellStyle name="20% - Ênfase4 12 2" xfId="863" xr:uid="{A607A4C3-1E80-461D-8BCC-9599EDE2AC50}"/>
    <cellStyle name="20% - Ênfase4 12 2 2" xfId="1466" xr:uid="{B880344E-9E45-4271-8A12-A2D2BF33AC0C}"/>
    <cellStyle name="20% - Ênfase4 12 2 2 2" xfId="3318" xr:uid="{CF5ED871-9C07-4EF5-841A-B2C249B6B2C2}"/>
    <cellStyle name="20% - Ênfase4 12 2 2 2 2" xfId="6946" xr:uid="{E0C6F466-CC11-4CD7-B41A-0E503FD8CB22}"/>
    <cellStyle name="20% - Ênfase4 12 2 2 3" xfId="5094" xr:uid="{EB96B43D-0F2D-487F-A17F-A2A54C3EC579}"/>
    <cellStyle name="20% - Ênfase4 12 2 3" xfId="2391" xr:uid="{BE0991C0-FF97-4EB1-BBEA-B5C03AAB7351}"/>
    <cellStyle name="20% - Ênfase4 12 2 3 2" xfId="6019" xr:uid="{25C32B94-FB9F-4311-9AC8-0AF85686C314}"/>
    <cellStyle name="20% - Ênfase4 12 2 4" xfId="4491" xr:uid="{553A5C5A-9073-419E-9E4F-515EDC92D355}"/>
    <cellStyle name="20% - Ênfase4 12 3" xfId="539" xr:uid="{3457310B-41F3-4C36-B325-3E185C901BBF}"/>
    <cellStyle name="20% - Ênfase4 12 3 2" xfId="1752" xr:uid="{B8372B37-E2A5-4369-9D07-6E777AD8DEEB}"/>
    <cellStyle name="20% - Ênfase4 12 3 2 2" xfId="3565" xr:uid="{99B95B35-7019-45D6-88FE-FCFF3172175B}"/>
    <cellStyle name="20% - Ênfase4 12 3 2 2 2" xfId="7193" xr:uid="{78B9CAC5-2562-4A0A-991D-DEAF33FB873C}"/>
    <cellStyle name="20% - Ênfase4 12 3 2 3" xfId="5380" xr:uid="{2D437DBF-E1D5-4FB2-9EE0-61686FB7D76C}"/>
    <cellStyle name="20% - Ênfase4 12 3 3" xfId="2677" xr:uid="{13115E54-02A5-4702-AC90-F803CC6BEB24}"/>
    <cellStyle name="20% - Ênfase4 12 3 3 2" xfId="6305" xr:uid="{4C477E6E-B3DA-4FF5-91AC-90D395F2389C}"/>
    <cellStyle name="20% - Ênfase4 12 3 4" xfId="4168" xr:uid="{B59DC142-FB25-4229-8322-ABD5191FBF06}"/>
    <cellStyle name="20% - Ênfase4 12 4" xfId="1144" xr:uid="{B517C28D-E53F-43C9-9F2A-87B050922501}"/>
    <cellStyle name="20% - Ênfase4 12 4 2" xfId="2996" xr:uid="{20252BCF-2CE3-4103-9AA1-FB2E4FCABBBB}"/>
    <cellStyle name="20% - Ênfase4 12 4 2 2" xfId="6624" xr:uid="{F71A4A17-A77B-4AA7-9F07-98C6B66AFB23}"/>
    <cellStyle name="20% - Ênfase4 12 4 3" xfId="4772" xr:uid="{8F5409EF-D53B-4FF6-BB14-1F44294B1ADE}"/>
    <cellStyle name="20% - Ênfase4 12 5" xfId="2069" xr:uid="{76E17FDD-3F91-4AA9-9DEB-4D03F457A4E8}"/>
    <cellStyle name="20% - Ênfase4 12 5 2" xfId="5697" xr:uid="{2C6F3ABA-BCE9-48B0-911F-5476DE340D51}"/>
    <cellStyle name="20% - Ênfase4 12 6" xfId="3886" xr:uid="{2769A415-7785-4E7C-A1E7-30D3B57C092D}"/>
    <cellStyle name="20% - Ênfase4 13" xfId="277" xr:uid="{666B8B53-9D4B-4D24-85D1-F49C96D13FCB}"/>
    <cellStyle name="20% - Ênfase4 13 2" xfId="883" xr:uid="{079FA675-838C-4926-8A2D-A1406F61E66E}"/>
    <cellStyle name="20% - Ênfase4 13 2 2" xfId="1486" xr:uid="{09B32323-90F2-4E7F-B061-148E53351DDF}"/>
    <cellStyle name="20% - Ênfase4 13 2 2 2" xfId="3338" xr:uid="{A1C6E91B-1EF2-4C47-B29E-4D8010C847C2}"/>
    <cellStyle name="20% - Ênfase4 13 2 2 2 2" xfId="6966" xr:uid="{BE2826BE-E454-46FC-ACA1-2BC1075D55B4}"/>
    <cellStyle name="20% - Ênfase4 13 2 2 3" xfId="5114" xr:uid="{2579D5CB-63C2-4473-BD05-863E088FEBA4}"/>
    <cellStyle name="20% - Ênfase4 13 2 3" xfId="2411" xr:uid="{359DDB93-F242-4472-914D-43696B41831C}"/>
    <cellStyle name="20% - Ênfase4 13 2 3 2" xfId="6039" xr:uid="{6F205539-7379-4A14-8024-AD005E3C6628}"/>
    <cellStyle name="20% - Ênfase4 13 2 4" xfId="4511" xr:uid="{4B706FE7-DDE0-474B-BBD3-1BCDA0E07CC9}"/>
    <cellStyle name="20% - Ênfase4 13 3" xfId="559" xr:uid="{E7DE79CA-61F2-42F6-9D8C-9173E9A0F2C9}"/>
    <cellStyle name="20% - Ênfase4 13 3 2" xfId="1544" xr:uid="{0BC85D78-BAE0-4FC0-88A2-E0E50A4D1A14}"/>
    <cellStyle name="20% - Ênfase4 13 3 2 2" xfId="3396" xr:uid="{00F1BD53-308E-4EA7-A513-40BDF9CB39D8}"/>
    <cellStyle name="20% - Ênfase4 13 3 2 2 2" xfId="7024" xr:uid="{E376B73D-FD0B-4D30-98B4-995535C3F433}"/>
    <cellStyle name="20% - Ênfase4 13 3 2 3" xfId="5172" xr:uid="{BBAD164D-8B60-4F20-AD21-6BE1F33EF099}"/>
    <cellStyle name="20% - Ênfase4 13 3 3" xfId="2469" xr:uid="{1A76E719-B6EE-4BA7-9DD3-3D3A07865324}"/>
    <cellStyle name="20% - Ênfase4 13 3 3 2" xfId="6097" xr:uid="{D7BCFF03-0EFD-4135-997D-01E99DA7681A}"/>
    <cellStyle name="20% - Ênfase4 13 3 4" xfId="4188" xr:uid="{34C628BC-2104-46B9-A299-0E771556B0F0}"/>
    <cellStyle name="20% - Ênfase4 13 4" xfId="1164" xr:uid="{85179A10-1311-4A22-9C55-5957A8BAB03B}"/>
    <cellStyle name="20% - Ênfase4 13 4 2" xfId="3016" xr:uid="{708D04B5-EDCD-4EFF-9D3A-165178B77F8B}"/>
    <cellStyle name="20% - Ênfase4 13 4 2 2" xfId="6644" xr:uid="{AEA5D343-3B00-4D1F-B2AB-64D74A5E8042}"/>
    <cellStyle name="20% - Ênfase4 13 4 3" xfId="4792" xr:uid="{E978716E-DCE3-4F01-98A1-C24117FCB1B3}"/>
    <cellStyle name="20% - Ênfase4 13 5" xfId="2089" xr:uid="{FACCAC91-45C9-4FBB-B1F0-31EAA7756772}"/>
    <cellStyle name="20% - Ênfase4 13 5 2" xfId="5717" xr:uid="{3B53A995-AF58-48F3-BDC7-AB21C9158481}"/>
    <cellStyle name="20% - Ênfase4 13 6" xfId="3906" xr:uid="{2FE70253-F2A1-47B9-A972-B43240D06DAE}"/>
    <cellStyle name="20% - Ênfase4 14" xfId="297" xr:uid="{B711625D-7420-4E0E-9100-D99C57216820}"/>
    <cellStyle name="20% - Ênfase4 14 2" xfId="903" xr:uid="{95B51BD7-46E9-4A80-87EC-797D9D53EA37}"/>
    <cellStyle name="20% - Ênfase4 14 2 2" xfId="1506" xr:uid="{17953B54-6B0D-4B64-B0C4-3891F1468861}"/>
    <cellStyle name="20% - Ênfase4 14 2 2 2" xfId="3358" xr:uid="{704A1B53-C678-469F-AFD1-811718E200F6}"/>
    <cellStyle name="20% - Ênfase4 14 2 2 2 2" xfId="6986" xr:uid="{0566F404-0506-4E18-98E4-6E8517D89533}"/>
    <cellStyle name="20% - Ênfase4 14 2 2 3" xfId="5134" xr:uid="{A697FC1B-668F-44E4-B837-270833AA7618}"/>
    <cellStyle name="20% - Ênfase4 14 2 3" xfId="2431" xr:uid="{D76B62D1-EBEC-4858-9640-83306844FAC7}"/>
    <cellStyle name="20% - Ênfase4 14 2 3 2" xfId="6059" xr:uid="{E18C922A-DEA0-490E-B37B-0D1857457045}"/>
    <cellStyle name="20% - Ênfase4 14 2 4" xfId="4531" xr:uid="{DBEFD5BD-878A-4FF6-998D-ED2F7DD5F543}"/>
    <cellStyle name="20% - Ênfase4 14 3" xfId="579" xr:uid="{F4194E45-A9B1-440A-9A14-643B4F18A2C5}"/>
    <cellStyle name="20% - Ênfase4 14 3 2" xfId="1555" xr:uid="{044ADB2E-35A5-465E-8E08-B0BA520DDB3A}"/>
    <cellStyle name="20% - Ênfase4 14 3 2 2" xfId="3407" xr:uid="{BA859FC0-2F7D-4312-B232-3EA83E6EB10C}"/>
    <cellStyle name="20% - Ênfase4 14 3 2 2 2" xfId="7035" xr:uid="{02D39BBB-46E6-4868-B416-425CECB2C24A}"/>
    <cellStyle name="20% - Ênfase4 14 3 2 3" xfId="5183" xr:uid="{F340298B-AA30-4FAF-BC9D-7046B297B139}"/>
    <cellStyle name="20% - Ênfase4 14 3 3" xfId="2480" xr:uid="{5EEFF5AD-6002-4E16-BE98-4B9A36CAD0DE}"/>
    <cellStyle name="20% - Ênfase4 14 3 3 2" xfId="6108" xr:uid="{54E63762-A74E-4668-848B-A8DD090CF1DC}"/>
    <cellStyle name="20% - Ênfase4 14 3 4" xfId="4208" xr:uid="{BEB61393-890E-40AB-9FFE-B55CD7083206}"/>
    <cellStyle name="20% - Ênfase4 14 4" xfId="1184" xr:uid="{38B190EA-2873-4DD0-91C7-9FBB149F1E19}"/>
    <cellStyle name="20% - Ênfase4 14 4 2" xfId="3036" xr:uid="{B8802A84-DBCB-44F2-882E-B66E9BB362D6}"/>
    <cellStyle name="20% - Ênfase4 14 4 2 2" xfId="6664" xr:uid="{2A53FA67-3106-44B3-A0EC-A222BF0A4A34}"/>
    <cellStyle name="20% - Ênfase4 14 4 3" xfId="4812" xr:uid="{5E37504F-8D29-4FC9-85CA-9296C3580761}"/>
    <cellStyle name="20% - Ênfase4 14 5" xfId="2109" xr:uid="{90CEEF65-9EF2-478C-8A40-3E1C66E348C4}"/>
    <cellStyle name="20% - Ênfase4 14 5 2" xfId="5737" xr:uid="{B71FE459-A02E-4908-BF90-EE84F864A46E}"/>
    <cellStyle name="20% - Ênfase4 14 6" xfId="3926" xr:uid="{E98A4444-C1EF-44ED-87B3-865CADACB222}"/>
    <cellStyle name="20% - Ênfase4 15" xfId="599" xr:uid="{A1636C80-22D4-4103-849A-40FF4627A8E6}"/>
    <cellStyle name="20% - Ênfase4 15 2" xfId="1662" xr:uid="{0358E6B5-F498-41D0-A3A2-3AC810285C10}"/>
    <cellStyle name="20% - Ênfase4 15 2 2" xfId="2587" xr:uid="{6F5725CF-5D19-46F9-BD9C-44753F60FE86}"/>
    <cellStyle name="20% - Ênfase4 15 2 2 2" xfId="6215" xr:uid="{DDE709FF-103B-44DA-80E0-B8534A46B7B6}"/>
    <cellStyle name="20% - Ênfase4 15 2 3" xfId="5290" xr:uid="{14B61A6D-AA01-4F56-8C5A-AD55C1FCA2EC}"/>
    <cellStyle name="20% - Ênfase4 15 3" xfId="1204" xr:uid="{6200188F-A9B4-4691-823F-4ECAC3F0ECB2}"/>
    <cellStyle name="20% - Ênfase4 15 3 2" xfId="3056" xr:uid="{E385F5C0-095C-47B0-B8AD-D14F0BD17E92}"/>
    <cellStyle name="20% - Ênfase4 15 3 2 2" xfId="6684" xr:uid="{0D413176-E188-47EE-9DD7-CED204F60E9F}"/>
    <cellStyle name="20% - Ênfase4 15 3 3" xfId="4832" xr:uid="{7EFEEBC9-3DAE-4317-8E9A-ABDCDE371A38}"/>
    <cellStyle name="20% - Ênfase4 15 4" xfId="2129" xr:uid="{1483A9FA-BE25-4F21-A830-7766E7AD9518}"/>
    <cellStyle name="20% - Ênfase4 15 4 2" xfId="5757" xr:uid="{44F3E426-1654-4523-8EB5-CD269CE2675C}"/>
    <cellStyle name="20% - Ênfase4 15 5" xfId="4228" xr:uid="{6B0FBB33-4CE5-44F8-B6B7-AA276C1779DE}"/>
    <cellStyle name="20% - Ênfase4 16" xfId="619" xr:uid="{162D3797-3E09-450C-B774-4DF53E6BADC4}"/>
    <cellStyle name="20% - Ênfase4 16 2" xfId="1682" xr:uid="{1C4CA091-4829-4F83-8DE2-15605B5CA622}"/>
    <cellStyle name="20% - Ênfase4 16 2 2" xfId="2607" xr:uid="{A0D6784B-6E7F-4DB3-BE30-227D8C5FD098}"/>
    <cellStyle name="20% - Ênfase4 16 2 2 2" xfId="6235" xr:uid="{CBA83D38-580C-4868-9E20-7F75281BF674}"/>
    <cellStyle name="20% - Ênfase4 16 2 3" xfId="5310" xr:uid="{CF252B61-DA37-4AEB-82D2-568AEEF5FE21}"/>
    <cellStyle name="20% - Ênfase4 16 3" xfId="1224" xr:uid="{D04896B4-9B1E-4EC1-B313-1BFE170FFA2F}"/>
    <cellStyle name="20% - Ênfase4 16 3 2" xfId="3076" xr:uid="{E1FED15C-D3D7-409B-B28F-8104F56249B4}"/>
    <cellStyle name="20% - Ênfase4 16 3 2 2" xfId="6704" xr:uid="{1C27A04C-02F8-4E92-B249-76B7767E0C21}"/>
    <cellStyle name="20% - Ênfase4 16 3 3" xfId="4852" xr:uid="{79E7586B-DD35-4CD3-8FE2-E70F09786E03}"/>
    <cellStyle name="20% - Ênfase4 16 4" xfId="2149" xr:uid="{3C1E733A-AFEF-4004-8C82-10827C55A52C}"/>
    <cellStyle name="20% - Ênfase4 16 4 2" xfId="5777" xr:uid="{866FDE4A-4BE5-4543-8B09-E0C5D078EA89}"/>
    <cellStyle name="20% - Ênfase4 16 5" xfId="4248" xr:uid="{9E9F7AC4-DFD0-4B16-96AF-6B1E85A99D0B}"/>
    <cellStyle name="20% - Ênfase4 17" xfId="639" xr:uid="{EF8B0C4C-907E-4049-8954-C03FD03FC264}"/>
    <cellStyle name="20% - Ênfase4 17 2" xfId="1243" xr:uid="{FCF7BCE8-18D0-407C-8641-D9F70E8AD35B}"/>
    <cellStyle name="20% - Ênfase4 17 2 2" xfId="3095" xr:uid="{E2E63AE6-8A99-44F9-BF39-AB75AD5E5EDA}"/>
    <cellStyle name="20% - Ênfase4 17 2 2 2" xfId="6723" xr:uid="{1119D4EB-4742-4747-B64C-CCF9D588C056}"/>
    <cellStyle name="20% - Ênfase4 17 2 3" xfId="4871" xr:uid="{22789F33-0D55-4F97-ACED-D67ECDCD81BE}"/>
    <cellStyle name="20% - Ênfase4 17 3" xfId="2168" xr:uid="{09F9BF54-7C1A-48A0-A055-A5C1F8DB9036}"/>
    <cellStyle name="20% - Ênfase4 17 3 2" xfId="5796" xr:uid="{3E10FB38-F45F-49FF-88F2-27D4E981F554}"/>
    <cellStyle name="20% - Ênfase4 17 4" xfId="4268" xr:uid="{69FCEECC-5845-4127-B54A-DA4DF25D0EF4}"/>
    <cellStyle name="20% - Ênfase4 18" xfId="316" xr:uid="{DDEE68C8-0471-4392-BC80-E15F959C0C4B}"/>
    <cellStyle name="20% - Ênfase4 18 2" xfId="1717" xr:uid="{188B96A1-4CF4-4499-8E7E-63B1EEC7AA73}"/>
    <cellStyle name="20% - Ênfase4 18 2 2" xfId="3530" xr:uid="{C792EB6F-8A24-4ED6-B90A-0FDA64F819B9}"/>
    <cellStyle name="20% - Ênfase4 18 2 2 2" xfId="7158" xr:uid="{47AAAF52-69E5-4A6E-A210-836B56C7B015}"/>
    <cellStyle name="20% - Ênfase4 18 2 3" xfId="5345" xr:uid="{50E0B114-869F-45FD-888D-C5BCD9310426}"/>
    <cellStyle name="20% - Ênfase4 18 3" xfId="2642" xr:uid="{B20A264F-8CF1-4AEA-A34F-B9169E1C4F5B}"/>
    <cellStyle name="20% - Ênfase4 18 3 2" xfId="6270" xr:uid="{1AA80189-13BF-4D13-8D0C-52B3E1D9FE2E}"/>
    <cellStyle name="20% - Ênfase4 18 4" xfId="3945" xr:uid="{144900C5-DBBF-49D2-B362-EA503529E095}"/>
    <cellStyle name="20% - Ênfase4 19" xfId="921" xr:uid="{00EA9B67-567C-4033-BFFD-97258E4FBEDD}"/>
    <cellStyle name="20% - Ênfase4 19 2" xfId="2773" xr:uid="{7BF30325-7D2B-4D5B-9B0D-55E7531393AA}"/>
    <cellStyle name="20% - Ênfase4 19 2 2" xfId="6401" xr:uid="{F337965B-D9E3-4032-803E-F49020EDD8B3}"/>
    <cellStyle name="20% - Ênfase4 19 3" xfId="4549" xr:uid="{411BB753-ABD2-41B5-82F8-8FF5CB438775}"/>
    <cellStyle name="20% - Ênfase4 2" xfId="56" xr:uid="{1EDEF5F3-1C96-45F8-9D63-0B32804DF88A}"/>
    <cellStyle name="20% - Ênfase4 2 2" xfId="662" xr:uid="{3D5E6E59-30F1-4315-BEA9-6C6E28F3A352}"/>
    <cellStyle name="20% - Ênfase4 2 2 2" xfId="1265" xr:uid="{2CE1079E-8729-4C36-BFDC-AFD6799C61E0}"/>
    <cellStyle name="20% - Ênfase4 2 2 2 2" xfId="3117" xr:uid="{E656D38F-541C-413E-9819-6E1ED3B7365D}"/>
    <cellStyle name="20% - Ênfase4 2 2 2 2 2" xfId="6745" xr:uid="{9AFA1474-7C65-4A38-8CFB-173D271A88CA}"/>
    <cellStyle name="20% - Ênfase4 2 2 2 3" xfId="4893" xr:uid="{4FE8B14F-EE96-446F-8908-068C583F3DE1}"/>
    <cellStyle name="20% - Ênfase4 2 2 3" xfId="2190" xr:uid="{06C155FF-9B8D-4672-B491-32DE9535EEF0}"/>
    <cellStyle name="20% - Ênfase4 2 2 3 2" xfId="5818" xr:uid="{07B65BA3-4068-4D06-BBF8-FBD0E210A7AD}"/>
    <cellStyle name="20% - Ênfase4 2 2 4" xfId="4290" xr:uid="{C48B38A3-555A-405C-849E-581373C7FA09}"/>
    <cellStyle name="20% - Ênfase4 2 3" xfId="338" xr:uid="{BB6EC91C-AD11-4857-9291-D399222B633A}"/>
    <cellStyle name="20% - Ênfase4 2 3 2" xfId="1590" xr:uid="{05F7D2BF-3CD1-43D0-9891-07262EE099CE}"/>
    <cellStyle name="20% - Ênfase4 2 3 2 2" xfId="3442" xr:uid="{6B8A7E02-5282-4D45-BF90-8024D8779716}"/>
    <cellStyle name="20% - Ênfase4 2 3 2 2 2" xfId="7070" xr:uid="{103CD8C2-319A-4CA1-9B3A-BF24A8C0D0DA}"/>
    <cellStyle name="20% - Ênfase4 2 3 2 3" xfId="5218" xr:uid="{A667FD71-E930-4F30-9215-738DF9EA18A3}"/>
    <cellStyle name="20% - Ênfase4 2 3 3" xfId="2515" xr:uid="{146C2DED-D4E6-43A3-B662-1902EB435266}"/>
    <cellStyle name="20% - Ênfase4 2 3 3 2" xfId="6143" xr:uid="{BC8C3148-A80A-41E7-8D07-61E449F72258}"/>
    <cellStyle name="20% - Ênfase4 2 3 4" xfId="3967" xr:uid="{00FB966A-3E8B-47FD-A5FF-2BC8D5A847E4}"/>
    <cellStyle name="20% - Ênfase4 2 4" xfId="943" xr:uid="{6C589D63-90DC-4113-BE20-23F919AC3F64}"/>
    <cellStyle name="20% - Ênfase4 2 4 2" xfId="2795" xr:uid="{BF1F97DF-1EB6-47DF-8F82-EA9FEAB30555}"/>
    <cellStyle name="20% - Ênfase4 2 4 2 2" xfId="6423" xr:uid="{260FA566-19E7-40E0-9AAE-C81CE01A4E31}"/>
    <cellStyle name="20% - Ênfase4 2 4 3" xfId="4571" xr:uid="{46D55955-7F52-44E0-BA87-E45C62BF37D2}"/>
    <cellStyle name="20% - Ênfase4 2 5" xfId="1868" xr:uid="{5491F9B0-2041-44CF-BE05-F92F5BDD32A7}"/>
    <cellStyle name="20% - Ênfase4 2 5 2" xfId="5496" xr:uid="{C131C278-6A03-4B3B-B92B-4F44E90FE892}"/>
    <cellStyle name="20% - Ênfase4 2 6" xfId="3685" xr:uid="{A128284D-17FF-4D2F-A580-348301FE39DE}"/>
    <cellStyle name="20% - Ênfase4 20" xfId="1846" xr:uid="{B3664DCB-9832-4B6F-917F-72CDC51C3E79}"/>
    <cellStyle name="20% - Ênfase4 20 2" xfId="5474" xr:uid="{A2660545-609B-4972-BE6B-501AAFF45956}"/>
    <cellStyle name="20% - Ênfase4 21" xfId="3661" xr:uid="{6F26DD5F-1D73-4215-AC83-76B75A112AE9}"/>
    <cellStyle name="20% - Ênfase4 3" xfId="74" xr:uid="{5CA6EEA9-4724-4C27-9ED0-89E896926874}"/>
    <cellStyle name="20% - Ênfase4 3 2" xfId="680" xr:uid="{1235825A-0CBC-44FF-BFEA-71C1D95DB111}"/>
    <cellStyle name="20% - Ênfase4 3 2 2" xfId="1283" xr:uid="{FD84EB55-4462-4361-8EE6-65CB2808917D}"/>
    <cellStyle name="20% - Ênfase4 3 2 2 2" xfId="3135" xr:uid="{9C11AF3E-D669-4F6C-9284-99AA2BF934F3}"/>
    <cellStyle name="20% - Ênfase4 3 2 2 2 2" xfId="6763" xr:uid="{4005A7DA-7DAB-4EE5-857E-73348116D857}"/>
    <cellStyle name="20% - Ênfase4 3 2 2 3" xfId="4911" xr:uid="{EAA5A73C-1C23-45EF-AA2A-21725060D752}"/>
    <cellStyle name="20% - Ênfase4 3 2 3" xfId="2208" xr:uid="{EA480FCE-FC1D-40E8-B550-75708EC857BD}"/>
    <cellStyle name="20% - Ênfase4 3 2 3 2" xfId="5836" xr:uid="{A7249402-45A7-48F6-AB17-51432D0975F6}"/>
    <cellStyle name="20% - Ênfase4 3 2 4" xfId="4308" xr:uid="{86CDE4AB-4888-4B9E-9AE1-FB7A79402620}"/>
    <cellStyle name="20% - Ênfase4 3 3" xfId="356" xr:uid="{1BECAF31-B5A5-458E-ACF2-C8C2C1215D3F}"/>
    <cellStyle name="20% - Ênfase4 3 3 2" xfId="1748" xr:uid="{9853796C-F74A-477E-BA6B-FCB14C11E8FB}"/>
    <cellStyle name="20% - Ênfase4 3 3 2 2" xfId="3561" xr:uid="{B2CFABCB-A5DC-4116-84F9-231ADB8D4F34}"/>
    <cellStyle name="20% - Ênfase4 3 3 2 2 2" xfId="7189" xr:uid="{41130FCA-F0E3-4FA9-A67A-63E76A60D766}"/>
    <cellStyle name="20% - Ênfase4 3 3 2 3" xfId="5376" xr:uid="{EEFF07E1-11FE-4217-8EBC-3D4945EE79FE}"/>
    <cellStyle name="20% - Ênfase4 3 3 3" xfId="2673" xr:uid="{44FED595-628A-4C51-A0EF-ADAEB2B368CE}"/>
    <cellStyle name="20% - Ênfase4 3 3 3 2" xfId="6301" xr:uid="{463BD745-C588-4752-8704-1F444873B1B8}"/>
    <cellStyle name="20% - Ênfase4 3 3 4" xfId="3985" xr:uid="{96AB2BEC-D0DF-4DB7-84A5-050B57CD44FE}"/>
    <cellStyle name="20% - Ênfase4 3 4" xfId="961" xr:uid="{1CE6BC61-37EE-480E-B9FE-7A04D259BECB}"/>
    <cellStyle name="20% - Ênfase4 3 4 2" xfId="2813" xr:uid="{729B81AB-11CD-48DD-944E-60D5F06D5989}"/>
    <cellStyle name="20% - Ênfase4 3 4 2 2" xfId="6441" xr:uid="{027A886A-E5E4-4CBE-9566-9689005C03F8}"/>
    <cellStyle name="20% - Ênfase4 3 4 3" xfId="4589" xr:uid="{C7206ADA-D362-4EEF-BB1A-F56D5E5C3EA6}"/>
    <cellStyle name="20% - Ênfase4 3 5" xfId="1886" xr:uid="{4EBA8F37-250E-443E-A8CE-0969FAA0B85E}"/>
    <cellStyle name="20% - Ênfase4 3 5 2" xfId="5514" xr:uid="{CF4DAB51-A242-4B53-BDD5-C87CE260E823}"/>
    <cellStyle name="20% - Ênfase4 3 6" xfId="3703" xr:uid="{D9A63D54-3051-48FD-9529-AA202E7C9ACC}"/>
    <cellStyle name="20% - Ênfase4 4" xfId="96" xr:uid="{5CD2084E-5323-4C72-B137-2F54D1367C11}"/>
    <cellStyle name="20% - Ênfase4 4 2" xfId="702" xr:uid="{DE3D130F-E001-4D98-88B3-5C4BC4C55B8A}"/>
    <cellStyle name="20% - Ênfase4 4 2 2" xfId="1305" xr:uid="{B58AEB83-F2D7-4CC1-8085-EBA2C2539570}"/>
    <cellStyle name="20% - Ênfase4 4 2 2 2" xfId="3157" xr:uid="{507C27E6-3171-493D-9FC1-28A61A19972B}"/>
    <cellStyle name="20% - Ênfase4 4 2 2 2 2" xfId="6785" xr:uid="{13E034E2-3B6F-40DB-A331-2DBD0D8D7565}"/>
    <cellStyle name="20% - Ênfase4 4 2 2 3" xfId="4933" xr:uid="{CC2FB68A-9371-47C1-B362-774B0CCAF9F9}"/>
    <cellStyle name="20% - Ênfase4 4 2 3" xfId="2230" xr:uid="{88AB19D9-64DA-4EDD-9622-4B02A82C230A}"/>
    <cellStyle name="20% - Ênfase4 4 2 3 2" xfId="5858" xr:uid="{1304F690-68F0-4264-945B-CC741749283F}"/>
    <cellStyle name="20% - Ênfase4 4 2 4" xfId="4330" xr:uid="{0AC63A35-C99D-4ECB-B7F6-175633AE4420}"/>
    <cellStyle name="20% - Ênfase4 4 3" xfId="378" xr:uid="{0F3A5387-ABBE-492B-9CBA-445C745F1ADF}"/>
    <cellStyle name="20% - Ênfase4 4 3 2" xfId="1596" xr:uid="{1F7E803B-FADC-4DAB-84EE-BE6C73A7F537}"/>
    <cellStyle name="20% - Ênfase4 4 3 2 2" xfId="3448" xr:uid="{0F9424C3-F904-4050-9E52-759B6ED69098}"/>
    <cellStyle name="20% - Ênfase4 4 3 2 2 2" xfId="7076" xr:uid="{3BBF7A9D-F237-4CE3-BA95-19521A4A825A}"/>
    <cellStyle name="20% - Ênfase4 4 3 2 3" xfId="5224" xr:uid="{371BC8D2-E29C-4553-A80D-FF352DA77F8B}"/>
    <cellStyle name="20% - Ênfase4 4 3 3" xfId="2521" xr:uid="{C83686BB-6974-4434-9E1C-E4A7EC8039B9}"/>
    <cellStyle name="20% - Ênfase4 4 3 3 2" xfId="6149" xr:uid="{E878DBA5-A215-44A8-98E2-840510EF953D}"/>
    <cellStyle name="20% - Ênfase4 4 3 4" xfId="4007" xr:uid="{CC4A4D7F-FFA2-4502-B5F2-7A823BB95873}"/>
    <cellStyle name="20% - Ênfase4 4 4" xfId="983" xr:uid="{E5AFDF6F-0BFA-4FFF-BCC8-8C102C60EF4B}"/>
    <cellStyle name="20% - Ênfase4 4 4 2" xfId="2835" xr:uid="{BCE884B6-27B5-445E-A592-2E7F6513EDDB}"/>
    <cellStyle name="20% - Ênfase4 4 4 2 2" xfId="6463" xr:uid="{3C6EC111-3BB2-4516-B752-5C9A247CFBDD}"/>
    <cellStyle name="20% - Ênfase4 4 4 3" xfId="4611" xr:uid="{82CC720C-0E03-48B8-912F-1D9EC1322EA2}"/>
    <cellStyle name="20% - Ênfase4 4 5" xfId="1908" xr:uid="{6FF43D39-F77A-4E15-B068-6F0D1F1CEF1B}"/>
    <cellStyle name="20% - Ênfase4 4 5 2" xfId="5536" xr:uid="{B1BD5F56-C09E-4994-B045-C84EA920BC8F}"/>
    <cellStyle name="20% - Ênfase4 4 6" xfId="3725" xr:uid="{1AB86FA9-5CFB-468C-B02C-D68169D0822C}"/>
    <cellStyle name="20% - Ênfase4 5" xfId="116" xr:uid="{A870645B-E53A-4517-94CD-CF8C11EEF5E2}"/>
    <cellStyle name="20% - Ênfase4 5 2" xfId="722" xr:uid="{C5AC6A59-F15B-4AF9-ACDD-FE967901D1BE}"/>
    <cellStyle name="20% - Ênfase4 5 2 2" xfId="1325" xr:uid="{4B4C67AF-C0AD-4EF3-A815-2C067424EE1E}"/>
    <cellStyle name="20% - Ênfase4 5 2 2 2" xfId="3177" xr:uid="{F8A0B129-09DC-4F4A-96C5-6D767CA51B9C}"/>
    <cellStyle name="20% - Ênfase4 5 2 2 2 2" xfId="6805" xr:uid="{DBB87B4E-36E0-4B7A-848D-5A1A85005B70}"/>
    <cellStyle name="20% - Ênfase4 5 2 2 3" xfId="4953" xr:uid="{E2E0193C-C6F0-44AF-8D4B-4F4FEFE9F117}"/>
    <cellStyle name="20% - Ênfase4 5 2 3" xfId="2250" xr:uid="{7B69CBC7-BAA2-4815-BF8B-FB1C24DBC978}"/>
    <cellStyle name="20% - Ênfase4 5 2 3 2" xfId="5878" xr:uid="{52702596-ED0D-4B81-85FE-0B85FCDAB758}"/>
    <cellStyle name="20% - Ênfase4 5 2 4" xfId="4350" xr:uid="{D53F548F-EA99-42D4-B36A-2BD53F78E75F}"/>
    <cellStyle name="20% - Ênfase4 5 3" xfId="398" xr:uid="{8CEEFE5A-04F2-4970-B148-04892CCCA576}"/>
    <cellStyle name="20% - Ênfase4 5 3 2" xfId="1742" xr:uid="{7EF5D68B-87C1-418B-ADC6-D59F08AE0D1C}"/>
    <cellStyle name="20% - Ênfase4 5 3 2 2" xfId="3555" xr:uid="{646D4522-CADB-45D6-9DEB-EBFAE0F7663F}"/>
    <cellStyle name="20% - Ênfase4 5 3 2 2 2" xfId="7183" xr:uid="{1B2CB53F-D09C-4053-AFCC-5B1301A613AA}"/>
    <cellStyle name="20% - Ênfase4 5 3 2 3" xfId="5370" xr:uid="{8445DE3D-5FD0-4611-AA2F-DC1361773306}"/>
    <cellStyle name="20% - Ênfase4 5 3 3" xfId="2667" xr:uid="{D2002397-AC9B-41A0-B50E-DB4EE4FE1810}"/>
    <cellStyle name="20% - Ênfase4 5 3 3 2" xfId="6295" xr:uid="{B5F34C0A-6DB5-4950-B4A7-52F1403037A8}"/>
    <cellStyle name="20% - Ênfase4 5 3 4" xfId="4027" xr:uid="{29DA5176-3BB6-4DE0-B7FD-8019330C27A3}"/>
    <cellStyle name="20% - Ênfase4 5 4" xfId="1003" xr:uid="{F2DA79AC-426E-457C-A171-C24015EB6F90}"/>
    <cellStyle name="20% - Ênfase4 5 4 2" xfId="2855" xr:uid="{7A5A7A42-3C4B-4296-8526-741D2CE68A46}"/>
    <cellStyle name="20% - Ênfase4 5 4 2 2" xfId="6483" xr:uid="{48DBCC5E-6FB9-406A-B9EA-3ED7D456E3AA}"/>
    <cellStyle name="20% - Ênfase4 5 4 3" xfId="4631" xr:uid="{6AF844BA-7D2E-4C2E-82D2-0EB36E5DCCE5}"/>
    <cellStyle name="20% - Ênfase4 5 5" xfId="1928" xr:uid="{DB5C88F5-18FF-4CE8-802B-E56F76B3CB8E}"/>
    <cellStyle name="20% - Ênfase4 5 5 2" xfId="5556" xr:uid="{FE68BA65-9DE5-4B7F-90F5-3DDA443ADA83}"/>
    <cellStyle name="20% - Ênfase4 5 6" xfId="3745" xr:uid="{720947F0-4047-43DE-9790-70426A152073}"/>
    <cellStyle name="20% - Ênfase4 6" xfId="136" xr:uid="{F13A259B-FBC1-4978-B828-83033D60F84C}"/>
    <cellStyle name="20% - Ênfase4 6 2" xfId="742" xr:uid="{3B595303-61C7-41C1-8A13-ED43FDA95F46}"/>
    <cellStyle name="20% - Ênfase4 6 2 2" xfId="1345" xr:uid="{2BD3521F-0AD2-4B14-B5BC-2D46CD211191}"/>
    <cellStyle name="20% - Ênfase4 6 2 2 2" xfId="3197" xr:uid="{702B7677-EE1B-45DA-8CD1-5A16575C9CEF}"/>
    <cellStyle name="20% - Ênfase4 6 2 2 2 2" xfId="6825" xr:uid="{C32593AD-4AAA-4346-8895-5AEE8222C1C7}"/>
    <cellStyle name="20% - Ênfase4 6 2 2 3" xfId="4973" xr:uid="{4476EE8E-13CA-4F21-B701-61FBCB37E54C}"/>
    <cellStyle name="20% - Ênfase4 6 2 3" xfId="2270" xr:uid="{BF622656-FF75-4D89-9517-1FB51FD38EA0}"/>
    <cellStyle name="20% - Ênfase4 6 2 3 2" xfId="5898" xr:uid="{00F3A630-FDF0-4E7C-8525-94B200B0F994}"/>
    <cellStyle name="20% - Ênfase4 6 2 4" xfId="4370" xr:uid="{3578EABC-1EDD-4CF5-A737-7C1B18381E88}"/>
    <cellStyle name="20% - Ênfase4 6 3" xfId="418" xr:uid="{B7C718E7-C405-459F-BDEF-A184078A425E}"/>
    <cellStyle name="20% - Ênfase4 6 3 2" xfId="1588" xr:uid="{D84216D5-65CD-4F79-BB06-C3F79D7EEE8D}"/>
    <cellStyle name="20% - Ênfase4 6 3 2 2" xfId="3440" xr:uid="{3F6230DF-67A1-41B6-A36D-A31EF1B8CE91}"/>
    <cellStyle name="20% - Ênfase4 6 3 2 2 2" xfId="7068" xr:uid="{49E19157-73BD-4818-BDA7-1938C2AD753F}"/>
    <cellStyle name="20% - Ênfase4 6 3 2 3" xfId="5216" xr:uid="{D97B33BA-7AA2-4AF2-A439-3925CBD71859}"/>
    <cellStyle name="20% - Ênfase4 6 3 3" xfId="2513" xr:uid="{0C9726CF-6FAB-4715-A0B1-72D07FC1BBA5}"/>
    <cellStyle name="20% - Ênfase4 6 3 3 2" xfId="6141" xr:uid="{C2CBF781-AC04-4136-8134-0DD977368D95}"/>
    <cellStyle name="20% - Ênfase4 6 3 4" xfId="4047" xr:uid="{4A90A4C4-FF4F-4E0F-89CC-727823920465}"/>
    <cellStyle name="20% - Ênfase4 6 4" xfId="1023" xr:uid="{2A4A3B4C-F79D-4263-974F-D4238F83D5AF}"/>
    <cellStyle name="20% - Ênfase4 6 4 2" xfId="2875" xr:uid="{1A3D3D08-C804-4855-9C93-2CE13E75051A}"/>
    <cellStyle name="20% - Ênfase4 6 4 2 2" xfId="6503" xr:uid="{7FAC4361-34BC-4635-AF0E-F16B8DAF8A7C}"/>
    <cellStyle name="20% - Ênfase4 6 4 3" xfId="4651" xr:uid="{6CE7A3D3-FFCF-4999-99A8-F2777A63FC31}"/>
    <cellStyle name="20% - Ênfase4 6 5" xfId="1948" xr:uid="{31628386-34CA-4952-9BA2-66BD89A2894A}"/>
    <cellStyle name="20% - Ênfase4 6 5 2" xfId="5576" xr:uid="{388812A7-5F31-4E2B-A258-DBF740C1B50F}"/>
    <cellStyle name="20% - Ênfase4 6 6" xfId="3765" xr:uid="{E68EEF7E-E49D-4A4A-8BEB-48E6D7316279}"/>
    <cellStyle name="20% - Ênfase4 7" xfId="156" xr:uid="{CC677621-B8DF-4327-8F15-9327FDC8C207}"/>
    <cellStyle name="20% - Ênfase4 7 2" xfId="762" xr:uid="{174CC804-B3C7-44BD-A3BA-2E1ECFB71533}"/>
    <cellStyle name="20% - Ênfase4 7 2 2" xfId="1365" xr:uid="{676EC7DD-4612-483C-A4E9-A7E08068F604}"/>
    <cellStyle name="20% - Ênfase4 7 2 2 2" xfId="3217" xr:uid="{991E4CF1-929D-49F7-83E7-2611CAE14094}"/>
    <cellStyle name="20% - Ênfase4 7 2 2 2 2" xfId="6845" xr:uid="{CB79934C-0547-4903-BD0B-4E7F698221F5}"/>
    <cellStyle name="20% - Ênfase4 7 2 2 3" xfId="4993" xr:uid="{F9A810B9-4983-4721-AAA9-7C4455ACD71D}"/>
    <cellStyle name="20% - Ênfase4 7 2 3" xfId="2290" xr:uid="{52175F01-952C-4272-852B-112D79DBF463}"/>
    <cellStyle name="20% - Ênfase4 7 2 3 2" xfId="5918" xr:uid="{4B8FD509-EBF5-4FCC-B9F0-AAAF97053E4E}"/>
    <cellStyle name="20% - Ênfase4 7 2 4" xfId="4390" xr:uid="{50FC1FF5-2136-47CD-A720-93BCABE0AD5C}"/>
    <cellStyle name="20% - Ênfase4 7 3" xfId="438" xr:uid="{01062251-F584-4294-AD7D-9526D1168A6D}"/>
    <cellStyle name="20% - Ênfase4 7 3 2" xfId="1826" xr:uid="{402A99B1-7FD6-4DBE-9AE5-9B5D2FAD89C5}"/>
    <cellStyle name="20% - Ênfase4 7 3 2 2" xfId="3639" xr:uid="{16EA46E6-57D4-4512-88D3-43129A137C81}"/>
    <cellStyle name="20% - Ênfase4 7 3 2 2 2" xfId="7267" xr:uid="{FD1451D6-421E-45E6-8EAD-3D832D16EDA2}"/>
    <cellStyle name="20% - Ênfase4 7 3 2 3" xfId="5454" xr:uid="{0AAF4EA7-2BFE-452F-9B92-516303858DC9}"/>
    <cellStyle name="20% - Ênfase4 7 3 3" xfId="2751" xr:uid="{99D25132-0325-49EF-88A1-2BD05DA6174C}"/>
    <cellStyle name="20% - Ênfase4 7 3 3 2" xfId="6379" xr:uid="{ED23A89F-E1FD-49AC-8E58-0764319DAC22}"/>
    <cellStyle name="20% - Ênfase4 7 3 4" xfId="4067" xr:uid="{096C2D63-14B9-4321-84C3-9C8F1AD4AC77}"/>
    <cellStyle name="20% - Ênfase4 7 4" xfId="1043" xr:uid="{13413A05-0406-460B-B5C5-D60D48E55DB3}"/>
    <cellStyle name="20% - Ênfase4 7 4 2" xfId="2895" xr:uid="{185027AB-2916-4495-8CD4-3AD775B2A8C6}"/>
    <cellStyle name="20% - Ênfase4 7 4 2 2" xfId="6523" xr:uid="{2EB4E974-897E-4C36-90B4-B8C4AA1119F3}"/>
    <cellStyle name="20% - Ênfase4 7 4 3" xfId="4671" xr:uid="{50C660EB-9A7E-428F-90AF-F299242E9B39}"/>
    <cellStyle name="20% - Ênfase4 7 5" xfId="1968" xr:uid="{8504B70A-3517-4C4D-AA59-2BA94DC64C04}"/>
    <cellStyle name="20% - Ênfase4 7 5 2" xfId="5596" xr:uid="{C978A42D-4187-48BE-9067-8336F9335045}"/>
    <cellStyle name="20% - Ênfase4 7 6" xfId="3785" xr:uid="{2CFEAA06-F55B-422B-BFB3-E360C763CA69}"/>
    <cellStyle name="20% - Ênfase4 8" xfId="176" xr:uid="{6BFF59DE-6795-43CB-89C5-3596ED0553AF}"/>
    <cellStyle name="20% - Ênfase4 8 2" xfId="782" xr:uid="{DF74451A-6E23-44AA-B512-46D1B176ECF7}"/>
    <cellStyle name="20% - Ênfase4 8 2 2" xfId="1385" xr:uid="{49A05F44-F171-42D1-889B-7770FFEACC56}"/>
    <cellStyle name="20% - Ênfase4 8 2 2 2" xfId="3237" xr:uid="{0078CF3E-888D-475F-880C-3BE5ECC02A46}"/>
    <cellStyle name="20% - Ênfase4 8 2 2 2 2" xfId="6865" xr:uid="{E71A3733-7B36-4B4C-BC02-EAB791D4A8BC}"/>
    <cellStyle name="20% - Ênfase4 8 2 2 3" xfId="5013" xr:uid="{957B20EA-92E4-4169-8981-ABD826B8968C}"/>
    <cellStyle name="20% - Ênfase4 8 2 3" xfId="2310" xr:uid="{4F29BE60-445B-49B8-BCAB-918A48CDFCDB}"/>
    <cellStyle name="20% - Ênfase4 8 2 3 2" xfId="5938" xr:uid="{8645E899-24D3-4778-93CD-F172422B8759}"/>
    <cellStyle name="20% - Ênfase4 8 2 4" xfId="4410" xr:uid="{8C8480EC-10CF-4B5D-AB9F-A744B6EEE72B}"/>
    <cellStyle name="20% - Ênfase4 8 3" xfId="458" xr:uid="{33D6A02E-11DF-45E8-8862-9B014840B349}"/>
    <cellStyle name="20% - Ênfase4 8 3 2" xfId="1632" xr:uid="{E691728C-6FBB-40A6-81F1-3725EF4A42D3}"/>
    <cellStyle name="20% - Ênfase4 8 3 2 2" xfId="3484" xr:uid="{7F143522-586E-4FE9-846D-D2900E392FF5}"/>
    <cellStyle name="20% - Ênfase4 8 3 2 2 2" xfId="7112" xr:uid="{F79F4250-CA36-4B1C-8B23-20FF4C78ADF4}"/>
    <cellStyle name="20% - Ênfase4 8 3 2 3" xfId="5260" xr:uid="{C0C4FD02-C269-42D4-8DEE-9619B3771556}"/>
    <cellStyle name="20% - Ênfase4 8 3 3" xfId="2557" xr:uid="{7167A2E3-A3FB-4D23-A8CB-0422E5D674EB}"/>
    <cellStyle name="20% - Ênfase4 8 3 3 2" xfId="6185" xr:uid="{745C648D-7B40-48C4-A1EA-A3D16AC601D3}"/>
    <cellStyle name="20% - Ênfase4 8 3 4" xfId="4087" xr:uid="{A76DB161-90D0-40B8-ACF6-1D00D7DCA8FD}"/>
    <cellStyle name="20% - Ênfase4 8 4" xfId="1063" xr:uid="{092BDC15-2DFD-41B8-B7C6-48469BDE1256}"/>
    <cellStyle name="20% - Ênfase4 8 4 2" xfId="2915" xr:uid="{E659B383-FF70-4FE0-AC45-A826344147CD}"/>
    <cellStyle name="20% - Ênfase4 8 4 2 2" xfId="6543" xr:uid="{05FF629C-E9C3-4D4B-9FD8-9FD94A556FFD}"/>
    <cellStyle name="20% - Ênfase4 8 4 3" xfId="4691" xr:uid="{4939EA31-8A26-482C-B4AE-A8AC6ED13147}"/>
    <cellStyle name="20% - Ênfase4 8 5" xfId="1988" xr:uid="{C9BE0313-4488-40FB-9CEC-30F29E679312}"/>
    <cellStyle name="20% - Ênfase4 8 5 2" xfId="5616" xr:uid="{8064C42C-FD09-446A-8DD9-F505A2127233}"/>
    <cellStyle name="20% - Ênfase4 8 6" xfId="3805" xr:uid="{A81B4A0D-A324-42F1-A0BE-3B7F8352BC42}"/>
    <cellStyle name="20% - Ênfase4 9" xfId="196" xr:uid="{1C107C3A-3217-4BEC-BF6D-4AE245093A21}"/>
    <cellStyle name="20% - Ênfase4 9 2" xfId="802" xr:uid="{AF3369B3-F0D2-4ACB-8A48-9940F7C455CF}"/>
    <cellStyle name="20% - Ênfase4 9 2 2" xfId="1405" xr:uid="{4AE02500-5718-4BDD-977D-82C897045F44}"/>
    <cellStyle name="20% - Ênfase4 9 2 2 2" xfId="3257" xr:uid="{69F14496-086F-41A4-8F22-2E49BFA9703B}"/>
    <cellStyle name="20% - Ênfase4 9 2 2 2 2" xfId="6885" xr:uid="{C5FC003B-E79D-469E-9E49-47E6197B9540}"/>
    <cellStyle name="20% - Ênfase4 9 2 2 3" xfId="5033" xr:uid="{38F490EA-6BD7-4515-BEF5-5C87650C60AF}"/>
    <cellStyle name="20% - Ênfase4 9 2 3" xfId="2330" xr:uid="{56919C6D-95FA-4AAF-BD1D-389AE533CC5B}"/>
    <cellStyle name="20% - Ênfase4 9 2 3 2" xfId="5958" xr:uid="{4D49CA5D-1589-4280-A670-0A8AB3EC3223}"/>
    <cellStyle name="20% - Ênfase4 9 2 4" xfId="4430" xr:uid="{E4B9CC98-32BC-4E17-95FD-B11C7E0BDB80}"/>
    <cellStyle name="20% - Ênfase4 9 3" xfId="478" xr:uid="{93057E7F-69A9-4723-AF53-81D370BBBE07}"/>
    <cellStyle name="20% - Ênfase4 9 3 2" xfId="1720" xr:uid="{BF8AA26C-1A83-4B09-8EE0-5C27E87BDC0C}"/>
    <cellStyle name="20% - Ênfase4 9 3 2 2" xfId="3533" xr:uid="{A36C1623-3D00-43B4-9373-3F2585AE7375}"/>
    <cellStyle name="20% - Ênfase4 9 3 2 2 2" xfId="7161" xr:uid="{C9F901BE-B092-466D-9BD6-F3CE1A6AC374}"/>
    <cellStyle name="20% - Ênfase4 9 3 2 3" xfId="5348" xr:uid="{EBC7E5A5-4F49-459A-B5B5-9B0597C3E04B}"/>
    <cellStyle name="20% - Ênfase4 9 3 3" xfId="2645" xr:uid="{FF3882D7-039E-49E2-B967-D2695D5B2BED}"/>
    <cellStyle name="20% - Ênfase4 9 3 3 2" xfId="6273" xr:uid="{BF673375-9EB1-4428-AF34-0AF8A8C237F8}"/>
    <cellStyle name="20% - Ênfase4 9 3 4" xfId="4107" xr:uid="{0D546EDF-1120-4512-84C2-A002DF271804}"/>
    <cellStyle name="20% - Ênfase4 9 4" xfId="1083" xr:uid="{C856A1FA-8570-4CDC-BF36-5AB74C9EF3A2}"/>
    <cellStyle name="20% - Ênfase4 9 4 2" xfId="2935" xr:uid="{1B39FF73-D169-4E99-B3C6-7B186640ED92}"/>
    <cellStyle name="20% - Ênfase4 9 4 2 2" xfId="6563" xr:uid="{9572934F-499A-4C30-9104-310249C8202C}"/>
    <cellStyle name="20% - Ênfase4 9 4 3" xfId="4711" xr:uid="{03FCD2D0-7391-4C5E-914D-F248A4FFA83A}"/>
    <cellStyle name="20% - Ênfase4 9 5" xfId="2008" xr:uid="{05087203-4FAC-42D2-823D-84889313E905}"/>
    <cellStyle name="20% - Ênfase4 9 5 2" xfId="5636" xr:uid="{AB9F8AF7-3228-497D-8F2D-8BD12205D890}"/>
    <cellStyle name="20% - Ênfase4 9 6" xfId="3825" xr:uid="{6975E344-8C93-4F96-8400-6057DB8AD859}"/>
    <cellStyle name="20% - Ênfase5" xfId="35" builtinId="46" customBuiltin="1"/>
    <cellStyle name="20% - Ênfase5 10" xfId="220" xr:uid="{E51799A8-9E61-46C8-B8B9-1F1698C2B19A}"/>
    <cellStyle name="20% - Ênfase5 10 2" xfId="826" xr:uid="{2BFA116E-1391-4DC4-917D-10E2C4244E3B}"/>
    <cellStyle name="20% - Ênfase5 10 2 2" xfId="1429" xr:uid="{120FD81C-6A16-4893-8728-DB7FB6461648}"/>
    <cellStyle name="20% - Ênfase5 10 2 2 2" xfId="3281" xr:uid="{7FECC7ED-3A9B-4B4C-92A5-E71CEACE1E1A}"/>
    <cellStyle name="20% - Ênfase5 10 2 2 2 2" xfId="6909" xr:uid="{84A46C11-BE5E-4C98-9DF3-0C70BE83BF02}"/>
    <cellStyle name="20% - Ênfase5 10 2 2 3" xfId="5057" xr:uid="{986D9777-51AC-4FD2-9FD5-268F6B08E0F2}"/>
    <cellStyle name="20% - Ênfase5 10 2 3" xfId="2354" xr:uid="{0A9C4E41-5D25-4B86-A88C-06DB9CF054C9}"/>
    <cellStyle name="20% - Ênfase5 10 2 3 2" xfId="5982" xr:uid="{DE937E7D-848E-4066-BC7E-2B804F963007}"/>
    <cellStyle name="20% - Ênfase5 10 2 4" xfId="4454" xr:uid="{7E13675C-AD30-4647-BC83-82A3C4D86494}"/>
    <cellStyle name="20% - Ênfase5 10 3" xfId="502" xr:uid="{1F845255-6297-467D-9706-F198911A0A58}"/>
    <cellStyle name="20% - Ênfase5 10 3 2" xfId="1710" xr:uid="{2E44FBD4-E12D-4C04-AD25-75B5B3C15626}"/>
    <cellStyle name="20% - Ênfase5 10 3 2 2" xfId="3523" xr:uid="{923AB00F-DBAC-451B-AD31-C3671265C66D}"/>
    <cellStyle name="20% - Ênfase5 10 3 2 2 2" xfId="7151" xr:uid="{68592701-2059-4B12-B012-B95BDE67E9E6}"/>
    <cellStyle name="20% - Ênfase5 10 3 2 3" xfId="5338" xr:uid="{20C3C067-65A4-4EB5-9811-A2C53319964D}"/>
    <cellStyle name="20% - Ênfase5 10 3 3" xfId="2635" xr:uid="{D8E5E49C-DA41-42DB-AE41-4B35D57FBB17}"/>
    <cellStyle name="20% - Ênfase5 10 3 3 2" xfId="6263" xr:uid="{7D50D7C4-82D3-4F05-8005-05A04D84FBF0}"/>
    <cellStyle name="20% - Ênfase5 10 3 4" xfId="4131" xr:uid="{46026193-CE4F-4EEC-81F3-7346A3A1734D}"/>
    <cellStyle name="20% - Ênfase5 10 4" xfId="1107" xr:uid="{9CDDE127-08A0-4E1C-BBD6-DAE11C7D5DBD}"/>
    <cellStyle name="20% - Ênfase5 10 4 2" xfId="2959" xr:uid="{7E2E36E4-53F4-4695-9476-8A9C82FD2755}"/>
    <cellStyle name="20% - Ênfase5 10 4 2 2" xfId="6587" xr:uid="{050825FF-557D-4117-B592-83A92EBC5F50}"/>
    <cellStyle name="20% - Ênfase5 10 4 3" xfId="4735" xr:uid="{4AB1E492-C54A-4DC6-A1C2-0FF42B92BB61}"/>
    <cellStyle name="20% - Ênfase5 10 5" xfId="2032" xr:uid="{179D9065-8360-4788-9A42-D0423E7EE19D}"/>
    <cellStyle name="20% - Ênfase5 10 5 2" xfId="5660" xr:uid="{62369D9C-0A8C-4288-B1EE-2C2231DD0513}"/>
    <cellStyle name="20% - Ênfase5 10 6" xfId="3849" xr:uid="{B911929E-4FC1-4C2E-A056-D9F9AADAB1BE}"/>
    <cellStyle name="20% - Ênfase5 11" xfId="240" xr:uid="{B38FF362-2C86-47A5-A705-657ADFE034C1}"/>
    <cellStyle name="20% - Ênfase5 11 2" xfId="846" xr:uid="{90587341-D5D5-4464-ACD5-39DA870C7FBC}"/>
    <cellStyle name="20% - Ênfase5 11 2 2" xfId="1449" xr:uid="{2A4AE643-D68E-4304-9E93-5E05E2AB7E1A}"/>
    <cellStyle name="20% - Ênfase5 11 2 2 2" xfId="3301" xr:uid="{E40476A3-D1C2-4E6F-8E7A-31F25C285541}"/>
    <cellStyle name="20% - Ênfase5 11 2 2 2 2" xfId="6929" xr:uid="{2354EFE8-8007-40C6-87B3-15F60AD1B671}"/>
    <cellStyle name="20% - Ênfase5 11 2 2 3" xfId="5077" xr:uid="{50EF2E54-ED9C-4D41-85F6-7CAC5272CD09}"/>
    <cellStyle name="20% - Ênfase5 11 2 3" xfId="2374" xr:uid="{8EFE66FD-9E03-4DEA-9863-9BE9643CC493}"/>
    <cellStyle name="20% - Ênfase5 11 2 3 2" xfId="6002" xr:uid="{7112921E-9D1F-4738-874B-A11808DA5B75}"/>
    <cellStyle name="20% - Ênfase5 11 2 4" xfId="4474" xr:uid="{D7B995D9-C2D4-4086-A2BF-39C5DDFA4F21}"/>
    <cellStyle name="20% - Ênfase5 11 3" xfId="522" xr:uid="{E6B9A7DF-DA69-4440-8617-9A44CA9E7B67}"/>
    <cellStyle name="20% - Ênfase5 11 3 2" xfId="1640" xr:uid="{07168DFF-0928-4C78-9BF0-365758C37CAE}"/>
    <cellStyle name="20% - Ênfase5 11 3 2 2" xfId="3492" xr:uid="{F11868B4-6FE4-4451-9A74-188E20A18DF4}"/>
    <cellStyle name="20% - Ênfase5 11 3 2 2 2" xfId="7120" xr:uid="{8E2D7C39-B067-4710-A0E6-473D491116A6}"/>
    <cellStyle name="20% - Ênfase5 11 3 2 3" xfId="5268" xr:uid="{C71F99C7-1928-4D4A-913B-BFE7D4E6B95D}"/>
    <cellStyle name="20% - Ênfase5 11 3 3" xfId="2565" xr:uid="{4A5005F9-95E5-43F3-8E24-D29FF74CE3EB}"/>
    <cellStyle name="20% - Ênfase5 11 3 3 2" xfId="6193" xr:uid="{297F973D-6D3D-4A57-AA34-43844589CFCD}"/>
    <cellStyle name="20% - Ênfase5 11 3 4" xfId="4151" xr:uid="{B8142992-1318-4ACE-907E-77F97D94BBFD}"/>
    <cellStyle name="20% - Ênfase5 11 4" xfId="1127" xr:uid="{3F1FDAC9-75ED-4728-BD9D-5CE7E2A17937}"/>
    <cellStyle name="20% - Ênfase5 11 4 2" xfId="2979" xr:uid="{0D030733-7C70-4CC6-BBAF-BA1A77E9B1AB}"/>
    <cellStyle name="20% - Ênfase5 11 4 2 2" xfId="6607" xr:uid="{D81503FF-EEBE-4F6C-98F7-8137FF24A5A4}"/>
    <cellStyle name="20% - Ênfase5 11 4 3" xfId="4755" xr:uid="{B50C7A93-EC02-4F06-8BF4-A03807A0F0C6}"/>
    <cellStyle name="20% - Ênfase5 11 5" xfId="2052" xr:uid="{9C4B9233-B0A1-4FA2-9351-AE64D7AEAA76}"/>
    <cellStyle name="20% - Ênfase5 11 5 2" xfId="5680" xr:uid="{61913615-D14D-46AC-A420-442842E6EA49}"/>
    <cellStyle name="20% - Ênfase5 11 6" xfId="3869" xr:uid="{58278739-E54B-488D-BC5D-8407ECA428E6}"/>
    <cellStyle name="20% - Ênfase5 12" xfId="260" xr:uid="{00102785-E7C3-4168-8E02-90DB3E715D5A}"/>
    <cellStyle name="20% - Ênfase5 12 2" xfId="866" xr:uid="{1D158B27-BD84-4695-B92A-2DDD08CDA583}"/>
    <cellStyle name="20% - Ênfase5 12 2 2" xfId="1469" xr:uid="{6F50ABDF-4467-473A-A72F-2373445DCB04}"/>
    <cellStyle name="20% - Ênfase5 12 2 2 2" xfId="3321" xr:uid="{884665B5-D8A7-4E94-8FCE-FDADB08E8B1F}"/>
    <cellStyle name="20% - Ênfase5 12 2 2 2 2" xfId="6949" xr:uid="{E29B5ADF-FA64-41CA-888E-4181A0DA8BC6}"/>
    <cellStyle name="20% - Ênfase5 12 2 2 3" xfId="5097" xr:uid="{9CBF9A20-F7BA-4FD5-A277-BAB0F2101D32}"/>
    <cellStyle name="20% - Ênfase5 12 2 3" xfId="2394" xr:uid="{D62D629B-CA3E-4AD8-AD69-1163B1F5C30E}"/>
    <cellStyle name="20% - Ênfase5 12 2 3 2" xfId="6022" xr:uid="{01F5E2B2-3D1C-42D3-BD57-F546645ECE7B}"/>
    <cellStyle name="20% - Ênfase5 12 2 4" xfId="4494" xr:uid="{6A796990-4296-4787-BD45-D7F03EF90F9C}"/>
    <cellStyle name="20% - Ênfase5 12 3" xfId="542" xr:uid="{9FA6A41C-C576-4144-B650-A0115AA4B14B}"/>
    <cellStyle name="20% - Ênfase5 12 3 2" xfId="1618" xr:uid="{975D92C5-1C46-4FD2-9DA6-ACFCAED00189}"/>
    <cellStyle name="20% - Ênfase5 12 3 2 2" xfId="3470" xr:uid="{C7C64292-7D6B-4773-BCA9-988483F38059}"/>
    <cellStyle name="20% - Ênfase5 12 3 2 2 2" xfId="7098" xr:uid="{DEE9BB8F-105E-497A-8251-335392B5BF58}"/>
    <cellStyle name="20% - Ênfase5 12 3 2 3" xfId="5246" xr:uid="{D01F2999-60AB-4C57-BA9A-5E7BA417DF1E}"/>
    <cellStyle name="20% - Ênfase5 12 3 3" xfId="2543" xr:uid="{80EBFE27-C3A9-48F8-8067-909258ED4030}"/>
    <cellStyle name="20% - Ênfase5 12 3 3 2" xfId="6171" xr:uid="{A00654FE-1253-44D1-8A5F-0FCA721FD5B0}"/>
    <cellStyle name="20% - Ênfase5 12 3 4" xfId="4171" xr:uid="{E0555B40-BD98-46D1-B837-52CA71C2F9BF}"/>
    <cellStyle name="20% - Ênfase5 12 4" xfId="1147" xr:uid="{0666B4DA-FE3C-4F32-B320-C05B6D7FFC6D}"/>
    <cellStyle name="20% - Ênfase5 12 4 2" xfId="2999" xr:uid="{5EB15386-52C4-4726-B50C-83006A3C9BD1}"/>
    <cellStyle name="20% - Ênfase5 12 4 2 2" xfId="6627" xr:uid="{22639D36-2065-4DB6-97FD-43D0ED7E35C5}"/>
    <cellStyle name="20% - Ênfase5 12 4 3" xfId="4775" xr:uid="{841C69B5-52F8-420E-B80E-01301BC2C653}"/>
    <cellStyle name="20% - Ênfase5 12 5" xfId="2072" xr:uid="{DC5799FC-C491-4076-B77F-660FE624CCF0}"/>
    <cellStyle name="20% - Ênfase5 12 5 2" xfId="5700" xr:uid="{E569233E-72F6-432E-871E-82535FE037A4}"/>
    <cellStyle name="20% - Ênfase5 12 6" xfId="3889" xr:uid="{8FDBEBB0-59F3-4DE3-B5B3-886354548E66}"/>
    <cellStyle name="20% - Ênfase5 13" xfId="280" xr:uid="{11689850-CFB7-4ED4-A9C5-851056C271F4}"/>
    <cellStyle name="20% - Ênfase5 13 2" xfId="886" xr:uid="{AA2EEDBF-AB9D-49C8-A550-C741F835EA95}"/>
    <cellStyle name="20% - Ênfase5 13 2 2" xfId="1489" xr:uid="{B4006636-8EF0-4D96-A32E-1A0B56698EF4}"/>
    <cellStyle name="20% - Ênfase5 13 2 2 2" xfId="3341" xr:uid="{C9B86CFF-83EE-4BC1-9CDB-329580AA1151}"/>
    <cellStyle name="20% - Ênfase5 13 2 2 2 2" xfId="6969" xr:uid="{BD387743-99B8-4E87-ACD4-17933DDDFD7F}"/>
    <cellStyle name="20% - Ênfase5 13 2 2 3" xfId="5117" xr:uid="{42B639AB-4007-421D-979F-17DF02E2077C}"/>
    <cellStyle name="20% - Ênfase5 13 2 3" xfId="2414" xr:uid="{593621CD-D10B-4B31-B8CB-EB6EFF8BC2D1}"/>
    <cellStyle name="20% - Ênfase5 13 2 3 2" xfId="6042" xr:uid="{116C69B7-C53F-466F-8855-5A0E52957B41}"/>
    <cellStyle name="20% - Ênfase5 13 2 4" xfId="4514" xr:uid="{FBD21405-FEFC-4FD1-BDC4-DBD13FB3EFD5}"/>
    <cellStyle name="20% - Ênfase5 13 3" xfId="562" xr:uid="{BFF98775-6FA3-43AB-8583-A337FFDA3F69}"/>
    <cellStyle name="20% - Ênfase5 13 3 2" xfId="1552" xr:uid="{8D1FB46D-5C9D-4BCA-8CCD-89333C12D03A}"/>
    <cellStyle name="20% - Ênfase5 13 3 2 2" xfId="3404" xr:uid="{DA4D7B0D-6902-4A3B-9E8A-A09C765F125D}"/>
    <cellStyle name="20% - Ênfase5 13 3 2 2 2" xfId="7032" xr:uid="{B5FD74A2-7782-4CBB-A16C-0A16780296E2}"/>
    <cellStyle name="20% - Ênfase5 13 3 2 3" xfId="5180" xr:uid="{3A2E0902-7D26-4FBC-A649-2611B86570B0}"/>
    <cellStyle name="20% - Ênfase5 13 3 3" xfId="2477" xr:uid="{CFF3FF01-1869-4ACB-A7CB-3632B0611DB8}"/>
    <cellStyle name="20% - Ênfase5 13 3 3 2" xfId="6105" xr:uid="{3E745450-295B-4ABA-87EB-E0B46EFB24DD}"/>
    <cellStyle name="20% - Ênfase5 13 3 4" xfId="4191" xr:uid="{F2ACF5D1-1C32-45B2-98C7-D55ADD2245C4}"/>
    <cellStyle name="20% - Ênfase5 13 4" xfId="1167" xr:uid="{F23C1CD6-EB31-4767-BFBE-719EDA606CDD}"/>
    <cellStyle name="20% - Ênfase5 13 4 2" xfId="3019" xr:uid="{DA7C7E07-2D73-46DF-AD8D-F82D0D98DD38}"/>
    <cellStyle name="20% - Ênfase5 13 4 2 2" xfId="6647" xr:uid="{B4D02EFD-AABC-4F2E-9AAB-244CD48D3C06}"/>
    <cellStyle name="20% - Ênfase5 13 4 3" xfId="4795" xr:uid="{A4EF0DD0-23FB-4BC8-B164-6CEC429B8B17}"/>
    <cellStyle name="20% - Ênfase5 13 5" xfId="2092" xr:uid="{76D2BFB6-A77A-4256-B66D-C556DB0E1FCE}"/>
    <cellStyle name="20% - Ênfase5 13 5 2" xfId="5720" xr:uid="{B608C536-9EF6-45A4-ACA7-1AB5390642AB}"/>
    <cellStyle name="20% - Ênfase5 13 6" xfId="3909" xr:uid="{F0FFE55E-69F0-4E55-8744-7292D9B6C3D0}"/>
    <cellStyle name="20% - Ênfase5 14" xfId="300" xr:uid="{68D23ED1-41B4-49E6-97AC-4711077D94D4}"/>
    <cellStyle name="20% - Ênfase5 14 2" xfId="906" xr:uid="{DEC46075-64E8-4EA1-8F9F-59B459ED189E}"/>
    <cellStyle name="20% - Ênfase5 14 2 2" xfId="1509" xr:uid="{C30CA2E0-0733-4935-BB34-E35868B2918D}"/>
    <cellStyle name="20% - Ênfase5 14 2 2 2" xfId="3361" xr:uid="{DC0955F2-73EB-4F24-8CAB-088E7C730946}"/>
    <cellStyle name="20% - Ênfase5 14 2 2 2 2" xfId="6989" xr:uid="{A547FD6A-64AB-474B-89CD-33B75F26C7CD}"/>
    <cellStyle name="20% - Ênfase5 14 2 2 3" xfId="5137" xr:uid="{74467371-1911-43FE-BBA2-AE57147FA929}"/>
    <cellStyle name="20% - Ênfase5 14 2 3" xfId="2434" xr:uid="{6F332873-33DB-4569-A7E8-E4EC5FD17F5D}"/>
    <cellStyle name="20% - Ênfase5 14 2 3 2" xfId="6062" xr:uid="{23EFDAF7-29DF-4004-BBAD-8290781FED6D}"/>
    <cellStyle name="20% - Ênfase5 14 2 4" xfId="4534" xr:uid="{2D3233F8-DCAD-466B-81E7-D7DD316429E0}"/>
    <cellStyle name="20% - Ênfase5 14 3" xfId="582" xr:uid="{E4E245BA-27A6-402D-B50A-05D0BF614A41}"/>
    <cellStyle name="20% - Ênfase5 14 3 2" xfId="1597" xr:uid="{DAEC786D-7C2B-4D10-B3DB-F1F456673034}"/>
    <cellStyle name="20% - Ênfase5 14 3 2 2" xfId="3449" xr:uid="{A5A7E2B3-A6E4-4DAC-A8B0-47656D8B70D4}"/>
    <cellStyle name="20% - Ênfase5 14 3 2 2 2" xfId="7077" xr:uid="{0D73A156-E666-4D63-9ECC-21E7087DD58F}"/>
    <cellStyle name="20% - Ênfase5 14 3 2 3" xfId="5225" xr:uid="{CA7C05C4-389F-4EF3-9332-DAD3FDB5C58F}"/>
    <cellStyle name="20% - Ênfase5 14 3 3" xfId="2522" xr:uid="{AA72790B-E186-4348-BB23-F6CE2EECE3E7}"/>
    <cellStyle name="20% - Ênfase5 14 3 3 2" xfId="6150" xr:uid="{5EC2A6F9-F3C0-4943-9AAB-21EFE4BA7BE9}"/>
    <cellStyle name="20% - Ênfase5 14 3 4" xfId="4211" xr:uid="{165B99EF-3DBC-4B58-88C6-725EE74977FD}"/>
    <cellStyle name="20% - Ênfase5 14 4" xfId="1187" xr:uid="{5C57340A-31B3-4688-8374-2AA47ABD15A4}"/>
    <cellStyle name="20% - Ênfase5 14 4 2" xfId="3039" xr:uid="{97CCA624-C6DD-413C-BB29-8D04AFB7D9E3}"/>
    <cellStyle name="20% - Ênfase5 14 4 2 2" xfId="6667" xr:uid="{292EE314-6764-4A4A-990C-934EE5E1CA8C}"/>
    <cellStyle name="20% - Ênfase5 14 4 3" xfId="4815" xr:uid="{7E19B431-89A7-4D95-BC2F-DA381785CF5D}"/>
    <cellStyle name="20% - Ênfase5 14 5" xfId="2112" xr:uid="{571A9B28-5295-49A9-9954-F4DD5C9688FE}"/>
    <cellStyle name="20% - Ênfase5 14 5 2" xfId="5740" xr:uid="{D9A5DD71-5AEA-4B48-9A6A-00D20756BC72}"/>
    <cellStyle name="20% - Ênfase5 14 6" xfId="3929" xr:uid="{93507663-71AB-4A30-99E8-1D26A5DC1EBA}"/>
    <cellStyle name="20% - Ênfase5 15" xfId="602" xr:uid="{5CCBF429-AF00-4D4C-943C-4508825029FE}"/>
    <cellStyle name="20% - Ênfase5 15 2" xfId="1665" xr:uid="{A4C413BB-2FB7-4205-A1A5-361A518FD871}"/>
    <cellStyle name="20% - Ênfase5 15 2 2" xfId="2590" xr:uid="{0CECEA1A-B330-4F92-B948-AE4C7087CAC7}"/>
    <cellStyle name="20% - Ênfase5 15 2 2 2" xfId="6218" xr:uid="{ECE9C34A-906C-49B5-A369-3E967268FC18}"/>
    <cellStyle name="20% - Ênfase5 15 2 3" xfId="5293" xr:uid="{CBBB7681-4E54-46F2-9B24-BD14FD264C05}"/>
    <cellStyle name="20% - Ênfase5 15 3" xfId="1207" xr:uid="{D3B22A80-618E-4755-B829-D292EF2D0819}"/>
    <cellStyle name="20% - Ênfase5 15 3 2" xfId="3059" xr:uid="{0F6FD035-DE07-42F9-AB37-6BF8B39626CA}"/>
    <cellStyle name="20% - Ênfase5 15 3 2 2" xfId="6687" xr:uid="{CDCD71D8-0B30-4887-9DA2-4D35980BD1DF}"/>
    <cellStyle name="20% - Ênfase5 15 3 3" xfId="4835" xr:uid="{099472B7-5F76-4B88-8B74-CEDE71724DFD}"/>
    <cellStyle name="20% - Ênfase5 15 4" xfId="2132" xr:uid="{43732993-EAB3-4EED-83CD-2E74C0E11D3C}"/>
    <cellStyle name="20% - Ênfase5 15 4 2" xfId="5760" xr:uid="{826471B4-2DC6-4F0C-91C1-597E9450B33E}"/>
    <cellStyle name="20% - Ênfase5 15 5" xfId="4231" xr:uid="{123E6CC2-9073-4B0F-96A7-1E6926926D1C}"/>
    <cellStyle name="20% - Ênfase5 16" xfId="622" xr:uid="{0B671881-D8BD-490A-B287-B94F4AC5B724}"/>
    <cellStyle name="20% - Ênfase5 16 2" xfId="1685" xr:uid="{9412EC41-9B92-4645-A8FE-AD13E517A05E}"/>
    <cellStyle name="20% - Ênfase5 16 2 2" xfId="2610" xr:uid="{A736D815-F553-4165-BFFD-9B5AC1266EB2}"/>
    <cellStyle name="20% - Ênfase5 16 2 2 2" xfId="6238" xr:uid="{B3AACD99-FF50-49F0-B806-D62E4EA5B80D}"/>
    <cellStyle name="20% - Ênfase5 16 2 3" xfId="5313" xr:uid="{DE897B7C-B1B6-48EB-9B3F-F408EB72BC1B}"/>
    <cellStyle name="20% - Ênfase5 16 3" xfId="1227" xr:uid="{CBE5E452-A612-4DF0-A9EA-CA88022C632E}"/>
    <cellStyle name="20% - Ênfase5 16 3 2" xfId="3079" xr:uid="{E3345573-E69B-4B32-9D4C-4E1960E13B21}"/>
    <cellStyle name="20% - Ênfase5 16 3 2 2" xfId="6707" xr:uid="{03A2A4B6-8173-44DF-9878-76E1DE1880EF}"/>
    <cellStyle name="20% - Ênfase5 16 3 3" xfId="4855" xr:uid="{6B3B53D7-2C6E-4384-A650-20DEF0BDC426}"/>
    <cellStyle name="20% - Ênfase5 16 4" xfId="2152" xr:uid="{592923ED-9C3A-42B4-8C0D-06179ED336C3}"/>
    <cellStyle name="20% - Ênfase5 16 4 2" xfId="5780" xr:uid="{D1311033-0D9B-4505-BC2B-11691F6BC7D7}"/>
    <cellStyle name="20% - Ênfase5 16 5" xfId="4251" xr:uid="{22F16916-54F6-4B4A-B994-816DB0CC8AFC}"/>
    <cellStyle name="20% - Ênfase5 17" xfId="642" xr:uid="{2EA1E9C0-088E-49B4-9908-71820978CDDB}"/>
    <cellStyle name="20% - Ênfase5 17 2" xfId="1246" xr:uid="{89C67715-E7B6-4892-AFFC-EE7E84E37C57}"/>
    <cellStyle name="20% - Ênfase5 17 2 2" xfId="3098" xr:uid="{355C70B8-EB54-472A-8E05-ACAFFB20BD64}"/>
    <cellStyle name="20% - Ênfase5 17 2 2 2" xfId="6726" xr:uid="{87AF3E4E-D6FC-47A6-8939-AED181ECA777}"/>
    <cellStyle name="20% - Ênfase5 17 2 3" xfId="4874" xr:uid="{6E4D56CF-673B-4AB5-96AC-2620FADBC636}"/>
    <cellStyle name="20% - Ênfase5 17 3" xfId="2171" xr:uid="{4DAA1AAA-93EC-45D6-A687-49F70ACA740D}"/>
    <cellStyle name="20% - Ênfase5 17 3 2" xfId="5799" xr:uid="{804FC407-2257-4492-B4DD-0A4B9D7446FD}"/>
    <cellStyle name="20% - Ênfase5 17 4" xfId="4271" xr:uid="{944B1AF9-1CFC-4A86-8554-AB4AD3A2E67B}"/>
    <cellStyle name="20% - Ênfase5 18" xfId="319" xr:uid="{38BFBB84-89C9-416C-A5F3-8DDC305A8BF6}"/>
    <cellStyle name="20% - Ênfase5 18 2" xfId="1772" xr:uid="{0DF2E926-8564-43AB-A421-2D34D29609D0}"/>
    <cellStyle name="20% - Ênfase5 18 2 2" xfId="3585" xr:uid="{E69955F0-0366-466B-975A-E3EC9ABFC2C9}"/>
    <cellStyle name="20% - Ênfase5 18 2 2 2" xfId="7213" xr:uid="{BD06F318-8620-44B4-8709-9BD25C2D0CDF}"/>
    <cellStyle name="20% - Ênfase5 18 2 3" xfId="5400" xr:uid="{124F960F-BB83-476D-962B-5D46DBF3B308}"/>
    <cellStyle name="20% - Ênfase5 18 3" xfId="2697" xr:uid="{7728D18D-B61A-4D22-9894-84926A2BA047}"/>
    <cellStyle name="20% - Ênfase5 18 3 2" xfId="6325" xr:uid="{B8EA7EC4-666C-478B-BC90-7BCDDEDCA069}"/>
    <cellStyle name="20% - Ênfase5 18 4" xfId="3948" xr:uid="{C057DA7D-4CF1-45DE-91C2-83D430E0DDBD}"/>
    <cellStyle name="20% - Ênfase5 19" xfId="924" xr:uid="{BCA058B2-EFBE-487D-ABC7-FDCCBAB536DE}"/>
    <cellStyle name="20% - Ênfase5 19 2" xfId="2776" xr:uid="{715FD01C-70A6-406D-8D6B-1B468ED39CBB}"/>
    <cellStyle name="20% - Ênfase5 19 2 2" xfId="6404" xr:uid="{BF8A2F5E-3A82-4D3D-A3AB-6E23011971CF}"/>
    <cellStyle name="20% - Ênfase5 19 3" xfId="4552" xr:uid="{BDD48A25-577A-4F6A-8A5B-C15E58DDF131}"/>
    <cellStyle name="20% - Ênfase5 2" xfId="59" xr:uid="{2EA5F57E-55C4-4F1F-A735-3AB145574709}"/>
    <cellStyle name="20% - Ênfase5 2 2" xfId="665" xr:uid="{7B291522-DC9B-4E13-9562-6A6CAE8AECF9}"/>
    <cellStyle name="20% - Ênfase5 2 2 2" xfId="1268" xr:uid="{3C9BA0C1-A4F8-44C4-B0D6-60FC2DE28B8D}"/>
    <cellStyle name="20% - Ênfase5 2 2 2 2" xfId="3120" xr:uid="{0FB94BA3-4280-461E-808C-CFE7A7C6836C}"/>
    <cellStyle name="20% - Ênfase5 2 2 2 2 2" xfId="6748" xr:uid="{E6CD36E9-7E9D-4EE6-8D42-20E2347E65C3}"/>
    <cellStyle name="20% - Ênfase5 2 2 2 3" xfId="4896" xr:uid="{71CC4138-0012-4D60-A3F1-F374629542CB}"/>
    <cellStyle name="20% - Ênfase5 2 2 3" xfId="2193" xr:uid="{7E52868D-C73B-4E14-BD55-F69A6AA6E1AA}"/>
    <cellStyle name="20% - Ênfase5 2 2 3 2" xfId="5821" xr:uid="{FA6B9B96-230C-4BFD-904A-6CE3EA50CB25}"/>
    <cellStyle name="20% - Ênfase5 2 2 4" xfId="4293" xr:uid="{D532A9CA-DC70-4D1B-BCD5-A285DF9BFBC8}"/>
    <cellStyle name="20% - Ênfase5 2 3" xfId="341" xr:uid="{5A48C3CB-7B77-490D-BD3A-3735E07B5777}"/>
    <cellStyle name="20% - Ênfase5 2 3 2" xfId="1737" xr:uid="{7C1BDACC-C19A-4A6C-A39C-718B20B523B0}"/>
    <cellStyle name="20% - Ênfase5 2 3 2 2" xfId="3550" xr:uid="{24A423E8-3B84-4F8B-A48B-172166887A02}"/>
    <cellStyle name="20% - Ênfase5 2 3 2 2 2" xfId="7178" xr:uid="{3C72B88C-BD31-4BEA-9592-4C925FE918FD}"/>
    <cellStyle name="20% - Ênfase5 2 3 2 3" xfId="5365" xr:uid="{DF9FDCE9-4440-41D8-8ACA-95532BC99837}"/>
    <cellStyle name="20% - Ênfase5 2 3 3" xfId="2662" xr:uid="{5F724480-5AAA-4C25-ADE8-A58944FB6806}"/>
    <cellStyle name="20% - Ênfase5 2 3 3 2" xfId="6290" xr:uid="{5A5BEBEE-D812-41DC-9268-8DDA74B8F5E4}"/>
    <cellStyle name="20% - Ênfase5 2 3 4" xfId="3970" xr:uid="{79E2ADAC-60EC-4F70-AA22-C0EA944F7995}"/>
    <cellStyle name="20% - Ênfase5 2 4" xfId="946" xr:uid="{BBF892AE-3A20-486C-BC7B-C6E7D90545F3}"/>
    <cellStyle name="20% - Ênfase5 2 4 2" xfId="2798" xr:uid="{90C1DA9E-E32E-49F9-970B-A3EB4B15A64B}"/>
    <cellStyle name="20% - Ênfase5 2 4 2 2" xfId="6426" xr:uid="{F62A6684-FD38-47C4-8311-47852D12BAC9}"/>
    <cellStyle name="20% - Ênfase5 2 4 3" xfId="4574" xr:uid="{32BFCBF5-0E69-4F9F-9710-3DE22F11987F}"/>
    <cellStyle name="20% - Ênfase5 2 5" xfId="1871" xr:uid="{70645E8E-A82E-4DB3-BEDE-CE3E92744FD4}"/>
    <cellStyle name="20% - Ênfase5 2 5 2" xfId="5499" xr:uid="{5D391E9A-EB06-498C-886A-276A414ABB29}"/>
    <cellStyle name="20% - Ênfase5 2 6" xfId="3688" xr:uid="{63A35206-F7A3-449B-BC24-E756B5AF0CC0}"/>
    <cellStyle name="20% - Ênfase5 20" xfId="1849" xr:uid="{DE0A008D-7238-4C84-9A38-8BAD97A61940}"/>
    <cellStyle name="20% - Ênfase5 20 2" xfId="5477" xr:uid="{26D1889B-944E-4FF4-8431-D7C33ED42641}"/>
    <cellStyle name="20% - Ênfase5 21" xfId="3664" xr:uid="{3F34D44C-40A3-4998-826F-9F85E4DD022D}"/>
    <cellStyle name="20% - Ênfase5 3" xfId="77" xr:uid="{DC51F1A4-3652-4B17-A70C-DEED1C5BBE51}"/>
    <cellStyle name="20% - Ênfase5 3 2" xfId="683" xr:uid="{C583F2C6-45E0-4520-A48F-7FB581F62DDF}"/>
    <cellStyle name="20% - Ênfase5 3 2 2" xfId="1286" xr:uid="{522D1690-CD9B-48CA-BE2A-7F12E59D611E}"/>
    <cellStyle name="20% - Ênfase5 3 2 2 2" xfId="3138" xr:uid="{C9A09439-61B4-436A-94EA-30557080A141}"/>
    <cellStyle name="20% - Ênfase5 3 2 2 2 2" xfId="6766" xr:uid="{83449A5E-4869-4720-BF0A-F8A51C85F686}"/>
    <cellStyle name="20% - Ênfase5 3 2 2 3" xfId="4914" xr:uid="{040E1D37-A6B0-4F99-894E-10497E5BFD77}"/>
    <cellStyle name="20% - Ênfase5 3 2 3" xfId="2211" xr:uid="{35BF1700-8E87-468F-B1BD-A715EB82FC78}"/>
    <cellStyle name="20% - Ênfase5 3 2 3 2" xfId="5839" xr:uid="{96095DFC-3084-4315-91A8-818BAD247244}"/>
    <cellStyle name="20% - Ênfase5 3 2 4" xfId="4311" xr:uid="{A254425B-20F9-476B-9F56-7E2458E66B4C}"/>
    <cellStyle name="20% - Ênfase5 3 3" xfId="359" xr:uid="{E025A2BD-BCB8-4484-ABDE-7413B1ECF4DC}"/>
    <cellStyle name="20% - Ênfase5 3 3 2" xfId="1784" xr:uid="{B29AF9F5-2258-43DA-A615-8577806B38FD}"/>
    <cellStyle name="20% - Ênfase5 3 3 2 2" xfId="3597" xr:uid="{83E40A65-A5E7-4AE2-966E-C31AB93282F5}"/>
    <cellStyle name="20% - Ênfase5 3 3 2 2 2" xfId="7225" xr:uid="{5BA53044-F202-458F-9F16-17C3BBEBFA4A}"/>
    <cellStyle name="20% - Ênfase5 3 3 2 3" xfId="5412" xr:uid="{3EC11B31-5AC8-46B5-A10A-03129E6CB3DF}"/>
    <cellStyle name="20% - Ênfase5 3 3 3" xfId="2709" xr:uid="{22A7D978-4CFB-432B-83BE-428D2BB23126}"/>
    <cellStyle name="20% - Ênfase5 3 3 3 2" xfId="6337" xr:uid="{90998BE6-CDC7-441C-BB51-7B8D8A730DAA}"/>
    <cellStyle name="20% - Ênfase5 3 3 4" xfId="3988" xr:uid="{E417796D-46E0-4BFB-978F-20254116BEA1}"/>
    <cellStyle name="20% - Ênfase5 3 4" xfId="964" xr:uid="{1909FFFA-F58B-4E3F-88F6-851E2BD9A7F6}"/>
    <cellStyle name="20% - Ênfase5 3 4 2" xfId="2816" xr:uid="{94426EA9-BAC8-44FE-BF00-A2231B63D406}"/>
    <cellStyle name="20% - Ênfase5 3 4 2 2" xfId="6444" xr:uid="{1B7D8450-DBE7-4786-89AA-3CF8D2A0CC7A}"/>
    <cellStyle name="20% - Ênfase5 3 4 3" xfId="4592" xr:uid="{F9D50A65-1420-47EC-A42F-4BA2E3721D5B}"/>
    <cellStyle name="20% - Ênfase5 3 5" xfId="1889" xr:uid="{6B8C7033-3EF8-420D-A447-65B41C3247CF}"/>
    <cellStyle name="20% - Ênfase5 3 5 2" xfId="5517" xr:uid="{4A6CFD39-5485-4466-BE45-5BA91E463125}"/>
    <cellStyle name="20% - Ênfase5 3 6" xfId="3706" xr:uid="{18EFEDB2-9D69-47E6-B655-AD524AE2E1A8}"/>
    <cellStyle name="20% - Ênfase5 4" xfId="99" xr:uid="{6D41EE81-170B-4545-8EA4-4AA805EB898D}"/>
    <cellStyle name="20% - Ênfase5 4 2" xfId="705" xr:uid="{2CDA603B-9CC0-488B-9206-F971DA30B4F8}"/>
    <cellStyle name="20% - Ênfase5 4 2 2" xfId="1308" xr:uid="{CA3F9A41-1DA1-4825-BB38-7234D07F9FB2}"/>
    <cellStyle name="20% - Ênfase5 4 2 2 2" xfId="3160" xr:uid="{3AB21F17-A85A-4376-AA0E-4A8ED08B5EA5}"/>
    <cellStyle name="20% - Ênfase5 4 2 2 2 2" xfId="6788" xr:uid="{76499D70-9D15-4BD7-A29E-F4397B4D7DC3}"/>
    <cellStyle name="20% - Ênfase5 4 2 2 3" xfId="4936" xr:uid="{3D86CB29-242E-42C4-921F-279BE4E488FD}"/>
    <cellStyle name="20% - Ênfase5 4 2 3" xfId="2233" xr:uid="{A723071F-8731-4E99-9CCD-B9B1490EF7FD}"/>
    <cellStyle name="20% - Ênfase5 4 2 3 2" xfId="5861" xr:uid="{6AB97888-542B-4A8B-AAD0-FC8DAF20E669}"/>
    <cellStyle name="20% - Ênfase5 4 2 4" xfId="4333" xr:uid="{7B09A6BA-384E-4EF9-A5CF-917325BFDDA5}"/>
    <cellStyle name="20% - Ênfase5 4 3" xfId="381" xr:uid="{4724A3FB-BFE1-4E90-B62C-072F93D56D2B}"/>
    <cellStyle name="20% - Ênfase5 4 3 2" xfId="1745" xr:uid="{46675A70-7638-4A76-AE1E-EE70BB673913}"/>
    <cellStyle name="20% - Ênfase5 4 3 2 2" xfId="3558" xr:uid="{1428216C-1774-4595-B5CF-160630B1D8F1}"/>
    <cellStyle name="20% - Ênfase5 4 3 2 2 2" xfId="7186" xr:uid="{00DC2B75-7BE7-4EF0-BA10-3994DE8CEC20}"/>
    <cellStyle name="20% - Ênfase5 4 3 2 3" xfId="5373" xr:uid="{7C88548B-CD90-4536-86C5-F949D3585238}"/>
    <cellStyle name="20% - Ênfase5 4 3 3" xfId="2670" xr:uid="{ADA2E756-D47F-4502-AEDD-38D23B1C95D9}"/>
    <cellStyle name="20% - Ênfase5 4 3 3 2" xfId="6298" xr:uid="{513ECF3B-EF2C-4742-81F7-CCD1A6BFAC30}"/>
    <cellStyle name="20% - Ênfase5 4 3 4" xfId="4010" xr:uid="{0BB1E4AA-F65B-403C-A0A5-6B6478EA2595}"/>
    <cellStyle name="20% - Ênfase5 4 4" xfId="986" xr:uid="{E3199C50-17A7-4CDD-A923-917639531932}"/>
    <cellStyle name="20% - Ênfase5 4 4 2" xfId="2838" xr:uid="{0E781629-A8FF-42E3-89CF-C6A958819A81}"/>
    <cellStyle name="20% - Ênfase5 4 4 2 2" xfId="6466" xr:uid="{FF768EAD-3383-4D61-99A7-601FF4753D85}"/>
    <cellStyle name="20% - Ênfase5 4 4 3" xfId="4614" xr:uid="{EC86040A-6537-4B5E-9675-898F8A866F88}"/>
    <cellStyle name="20% - Ênfase5 4 5" xfId="1911" xr:uid="{F15BC985-5B26-44CA-92EE-4A19ACA6169D}"/>
    <cellStyle name="20% - Ênfase5 4 5 2" xfId="5539" xr:uid="{DF3CE561-D592-467A-B539-DDF808DDF5D6}"/>
    <cellStyle name="20% - Ênfase5 4 6" xfId="3728" xr:uid="{73A73448-B33C-4C98-BBBA-E469E3273968}"/>
    <cellStyle name="20% - Ênfase5 5" xfId="119" xr:uid="{85437FC1-D5BF-4E3D-94F6-7208878EBF85}"/>
    <cellStyle name="20% - Ênfase5 5 2" xfId="725" xr:uid="{3CEA99CF-7264-4875-808B-CDCDFA3D9619}"/>
    <cellStyle name="20% - Ênfase5 5 2 2" xfId="1328" xr:uid="{58776E48-7D3C-4425-91F9-C46B4E294D93}"/>
    <cellStyle name="20% - Ênfase5 5 2 2 2" xfId="3180" xr:uid="{207E473F-2603-4361-B216-999571E46CD1}"/>
    <cellStyle name="20% - Ênfase5 5 2 2 2 2" xfId="6808" xr:uid="{082B272F-12F7-48DE-8B3C-53165E0A45AE}"/>
    <cellStyle name="20% - Ênfase5 5 2 2 3" xfId="4956" xr:uid="{F1507044-E242-4BB5-B6DD-74B52F20D2FF}"/>
    <cellStyle name="20% - Ênfase5 5 2 3" xfId="2253" xr:uid="{7BE8F512-CBEF-40E7-AE5D-17148AC99827}"/>
    <cellStyle name="20% - Ênfase5 5 2 3 2" xfId="5881" xr:uid="{069B00C4-5237-4A02-BA2F-824212CE0A48}"/>
    <cellStyle name="20% - Ênfase5 5 2 4" xfId="4353" xr:uid="{541BE1B1-0C94-4C6D-BA49-8A1B50F409F9}"/>
    <cellStyle name="20% - Ênfase5 5 3" xfId="401" xr:uid="{386231BD-43F4-48AA-AFD6-355D3BCE9A17}"/>
    <cellStyle name="20% - Ênfase5 5 3 2" xfId="1718" xr:uid="{154965C7-570A-4139-B7A8-D9FF7D755CFB}"/>
    <cellStyle name="20% - Ênfase5 5 3 2 2" xfId="3531" xr:uid="{B9D0A6B4-F3CE-4BC4-95C0-C1598A3DD5E3}"/>
    <cellStyle name="20% - Ênfase5 5 3 2 2 2" xfId="7159" xr:uid="{D6154AD9-1178-4C96-9352-120AF7EAF35F}"/>
    <cellStyle name="20% - Ênfase5 5 3 2 3" xfId="5346" xr:uid="{0A1586C8-7C71-4AE9-864D-10E43244B141}"/>
    <cellStyle name="20% - Ênfase5 5 3 3" xfId="2643" xr:uid="{74593FFF-6A48-4FE3-BA56-CEE2CE71B33F}"/>
    <cellStyle name="20% - Ênfase5 5 3 3 2" xfId="6271" xr:uid="{39592D00-CBDA-4695-8A08-185C60976DDC}"/>
    <cellStyle name="20% - Ênfase5 5 3 4" xfId="4030" xr:uid="{C7098923-0BA0-4993-9E8B-6E74203A6083}"/>
    <cellStyle name="20% - Ênfase5 5 4" xfId="1006" xr:uid="{632BF4A7-3DEB-4073-A6F4-1188D845AABE}"/>
    <cellStyle name="20% - Ênfase5 5 4 2" xfId="2858" xr:uid="{BEC8EF60-6F54-4C79-9184-92AA8744D4A7}"/>
    <cellStyle name="20% - Ênfase5 5 4 2 2" xfId="6486" xr:uid="{9C810E1C-406F-4FD6-97FC-D3728109A31D}"/>
    <cellStyle name="20% - Ênfase5 5 4 3" xfId="4634" xr:uid="{91FA95F3-D3BD-4DCB-935C-0EE253F3E6C8}"/>
    <cellStyle name="20% - Ênfase5 5 5" xfId="1931" xr:uid="{2B5EB03F-B558-451D-8114-BDE53E8304A2}"/>
    <cellStyle name="20% - Ênfase5 5 5 2" xfId="5559" xr:uid="{A2802D03-766E-4699-8463-8C0ADC272003}"/>
    <cellStyle name="20% - Ênfase5 5 6" xfId="3748" xr:uid="{2AD03492-6AA4-4D49-A8BE-5D71D3A68DD1}"/>
    <cellStyle name="20% - Ênfase5 6" xfId="139" xr:uid="{CEBC864B-3314-4195-851B-C361069920F8}"/>
    <cellStyle name="20% - Ênfase5 6 2" xfId="745" xr:uid="{BDB3D180-8775-4972-99EF-1D62D889066F}"/>
    <cellStyle name="20% - Ênfase5 6 2 2" xfId="1348" xr:uid="{860DA316-5717-4604-8E97-B806F665FCA5}"/>
    <cellStyle name="20% - Ênfase5 6 2 2 2" xfId="3200" xr:uid="{30334A9C-A763-4D12-A044-ECE98F50DCB4}"/>
    <cellStyle name="20% - Ênfase5 6 2 2 2 2" xfId="6828" xr:uid="{6C7CA2DD-FCE3-4F79-8319-5292D90F5C32}"/>
    <cellStyle name="20% - Ênfase5 6 2 2 3" xfId="4976" xr:uid="{A51738C1-0070-44BA-9C4F-357C514228C6}"/>
    <cellStyle name="20% - Ênfase5 6 2 3" xfId="2273" xr:uid="{44911529-2F00-45BF-BCF1-CD826D4EE62B}"/>
    <cellStyle name="20% - Ênfase5 6 2 3 2" xfId="5901" xr:uid="{AE060697-A239-4E75-91A3-30F6CA3E3961}"/>
    <cellStyle name="20% - Ênfase5 6 2 4" xfId="4373" xr:uid="{EE18818C-7D3D-478F-9B8D-7D06355D330C}"/>
    <cellStyle name="20% - Ênfase5 6 3" xfId="421" xr:uid="{DFA2FD53-B78A-4B8D-82B7-6BF4DEA6FBB2}"/>
    <cellStyle name="20% - Ênfase5 6 3 2" xfId="1629" xr:uid="{EE292580-195F-4533-BBF0-73C4C2992686}"/>
    <cellStyle name="20% - Ênfase5 6 3 2 2" xfId="3481" xr:uid="{5E47AB5C-2C60-4DA5-8E2E-4190CD76C8D6}"/>
    <cellStyle name="20% - Ênfase5 6 3 2 2 2" xfId="7109" xr:uid="{D939A7CE-7058-4122-973A-35197D99DE88}"/>
    <cellStyle name="20% - Ênfase5 6 3 2 3" xfId="5257" xr:uid="{4F47E568-BCA6-4FB7-BAB7-0D3FEA2BD976}"/>
    <cellStyle name="20% - Ênfase5 6 3 3" xfId="2554" xr:uid="{B9AC5953-EDE2-4E3B-AD4C-195E2FD08C77}"/>
    <cellStyle name="20% - Ênfase5 6 3 3 2" xfId="6182" xr:uid="{14C6936F-87A0-4029-A4F0-CEF6165E8A96}"/>
    <cellStyle name="20% - Ênfase5 6 3 4" xfId="4050" xr:uid="{69C14241-58CB-431C-A9E2-54E0D450E511}"/>
    <cellStyle name="20% - Ênfase5 6 4" xfId="1026" xr:uid="{DD64B5C1-B4FF-4529-85D7-29378F1D547D}"/>
    <cellStyle name="20% - Ênfase5 6 4 2" xfId="2878" xr:uid="{D282C169-017A-4550-A63F-8087971B1B6A}"/>
    <cellStyle name="20% - Ênfase5 6 4 2 2" xfId="6506" xr:uid="{0CF255A3-E7E8-47AE-9B2A-D425AFEA9521}"/>
    <cellStyle name="20% - Ênfase5 6 4 3" xfId="4654" xr:uid="{882FA9AC-E9E7-466E-81AD-2342ECEA80F1}"/>
    <cellStyle name="20% - Ênfase5 6 5" xfId="1951" xr:uid="{EC2ACD22-EA6C-4942-8D46-A10297AF9656}"/>
    <cellStyle name="20% - Ênfase5 6 5 2" xfId="5579" xr:uid="{A5B26C7C-68B3-4C0B-B373-8A7AF21BDE11}"/>
    <cellStyle name="20% - Ênfase5 6 6" xfId="3768" xr:uid="{E8A70563-7B0F-4222-B8E9-793328ED3D47}"/>
    <cellStyle name="20% - Ênfase5 7" xfId="159" xr:uid="{413C8780-F1E5-414F-8306-1B05270E506F}"/>
    <cellStyle name="20% - Ênfase5 7 2" xfId="765" xr:uid="{9A6A91C7-7256-4DC5-9491-430C133230E5}"/>
    <cellStyle name="20% - Ênfase5 7 2 2" xfId="1368" xr:uid="{34B494D2-94AE-4712-A1CD-70C5E06F709D}"/>
    <cellStyle name="20% - Ênfase5 7 2 2 2" xfId="3220" xr:uid="{A8CA24E2-2764-47BA-A789-D18757E4F3F5}"/>
    <cellStyle name="20% - Ênfase5 7 2 2 2 2" xfId="6848" xr:uid="{40439A2C-2110-491A-BD23-182438149A04}"/>
    <cellStyle name="20% - Ênfase5 7 2 2 3" xfId="4996" xr:uid="{B2B41399-E7D9-4C50-B9F2-592D6B5F90B9}"/>
    <cellStyle name="20% - Ênfase5 7 2 3" xfId="2293" xr:uid="{2AED4BA2-3DB9-4A39-8121-51101AFE1C8B}"/>
    <cellStyle name="20% - Ênfase5 7 2 3 2" xfId="5921" xr:uid="{453AE17B-A977-4918-9525-8BB8BE4E5D06}"/>
    <cellStyle name="20% - Ênfase5 7 2 4" xfId="4393" xr:uid="{37F89DE4-C103-4A2A-98DA-C5E24215FB27}"/>
    <cellStyle name="20% - Ênfase5 7 3" xfId="441" xr:uid="{B563D25B-BDCE-4280-88C5-6847AEDDD959}"/>
    <cellStyle name="20% - Ênfase5 7 3 2" xfId="1792" xr:uid="{7D5B6465-CB64-40FE-AC62-2952168461B5}"/>
    <cellStyle name="20% - Ênfase5 7 3 2 2" xfId="3605" xr:uid="{B0C12E6A-0D11-4D0A-B297-E1879C5C9501}"/>
    <cellStyle name="20% - Ênfase5 7 3 2 2 2" xfId="7233" xr:uid="{896EE007-CFF5-41E7-8B4C-EF7847ACBEEF}"/>
    <cellStyle name="20% - Ênfase5 7 3 2 3" xfId="5420" xr:uid="{D271C475-159D-4390-AC65-AA0EC78D4C1D}"/>
    <cellStyle name="20% - Ênfase5 7 3 3" xfId="2717" xr:uid="{70B85501-6DE8-49DA-8111-61783F80803A}"/>
    <cellStyle name="20% - Ênfase5 7 3 3 2" xfId="6345" xr:uid="{88B0F4A7-F47A-45A3-BEF8-09E30A5455AC}"/>
    <cellStyle name="20% - Ênfase5 7 3 4" xfId="4070" xr:uid="{B98CE729-D411-410E-BBFE-4BEE70A1ABCE}"/>
    <cellStyle name="20% - Ênfase5 7 4" xfId="1046" xr:uid="{8E58D72D-02FC-494E-BA21-3852089B018B}"/>
    <cellStyle name="20% - Ênfase5 7 4 2" xfId="2898" xr:uid="{B0ECFA9B-F385-4E69-813F-9BEFC1A60700}"/>
    <cellStyle name="20% - Ênfase5 7 4 2 2" xfId="6526" xr:uid="{4512542E-127B-469B-835F-06C3460A4FB5}"/>
    <cellStyle name="20% - Ênfase5 7 4 3" xfId="4674" xr:uid="{6AB90F00-979F-406A-A2B2-3985B23DAEB8}"/>
    <cellStyle name="20% - Ênfase5 7 5" xfId="1971" xr:uid="{F77F0C21-6426-45EB-A1F7-7B10B1B417AE}"/>
    <cellStyle name="20% - Ênfase5 7 5 2" xfId="5599" xr:uid="{AFAF0A57-43EC-4AF5-811E-83F5BBABD130}"/>
    <cellStyle name="20% - Ênfase5 7 6" xfId="3788" xr:uid="{B99C2277-56E3-4997-A752-BBC3EC0C177D}"/>
    <cellStyle name="20% - Ênfase5 8" xfId="179" xr:uid="{6594CECF-1551-4F25-B0FF-2A15688EF5D2}"/>
    <cellStyle name="20% - Ênfase5 8 2" xfId="785" xr:uid="{FED10C2A-C564-4BD4-BB5D-F2793ECFE442}"/>
    <cellStyle name="20% - Ênfase5 8 2 2" xfId="1388" xr:uid="{46376FCE-D992-463D-9369-BCB843A6D727}"/>
    <cellStyle name="20% - Ênfase5 8 2 2 2" xfId="3240" xr:uid="{9474867D-E849-4126-9582-1E81B3BB3D01}"/>
    <cellStyle name="20% - Ênfase5 8 2 2 2 2" xfId="6868" xr:uid="{B71E2120-8186-4314-AA8F-0AC2659A3B92}"/>
    <cellStyle name="20% - Ênfase5 8 2 2 3" xfId="5016" xr:uid="{56608D5E-2294-4BB4-B571-0E5A8B7FFE63}"/>
    <cellStyle name="20% - Ênfase5 8 2 3" xfId="2313" xr:uid="{69A955D1-F0B3-4C04-BCFA-A4C4D1BA3047}"/>
    <cellStyle name="20% - Ênfase5 8 2 3 2" xfId="5941" xr:uid="{53ED0854-ACB4-4202-864D-5BCE7642550E}"/>
    <cellStyle name="20% - Ênfase5 8 2 4" xfId="4413" xr:uid="{29990094-4505-4478-9E41-040E70FF20E6}"/>
    <cellStyle name="20% - Ênfase5 8 3" xfId="461" xr:uid="{11B6196B-9E8B-4168-A379-8CA795B5B4F3}"/>
    <cellStyle name="20% - Ênfase5 8 3 2" xfId="1546" xr:uid="{91CB4E97-20ED-4F50-AB90-8A4F5CFE62CD}"/>
    <cellStyle name="20% - Ênfase5 8 3 2 2" xfId="3398" xr:uid="{B1096779-3100-4065-991F-D233BC0834FC}"/>
    <cellStyle name="20% - Ênfase5 8 3 2 2 2" xfId="7026" xr:uid="{6781676B-9236-4BB8-B34C-00DBDB385E6D}"/>
    <cellStyle name="20% - Ênfase5 8 3 2 3" xfId="5174" xr:uid="{C0EA60DB-4FF2-4F7A-B1C9-5D27AEC04EBE}"/>
    <cellStyle name="20% - Ênfase5 8 3 3" xfId="2471" xr:uid="{EBDDFC5B-18B6-4138-9FFA-3AD4D9CE9F96}"/>
    <cellStyle name="20% - Ênfase5 8 3 3 2" xfId="6099" xr:uid="{56E43A4B-930B-4956-A03F-8A5C5C7E254E}"/>
    <cellStyle name="20% - Ênfase5 8 3 4" xfId="4090" xr:uid="{C6106988-BADB-40F3-AA74-AD49A4F594C9}"/>
    <cellStyle name="20% - Ênfase5 8 4" xfId="1066" xr:uid="{B7CF5ED9-AB1D-471F-9CFE-3BD373DC9133}"/>
    <cellStyle name="20% - Ênfase5 8 4 2" xfId="2918" xr:uid="{0ADCD95F-973B-4D5E-A89E-00B45BE3BD1B}"/>
    <cellStyle name="20% - Ênfase5 8 4 2 2" xfId="6546" xr:uid="{0A19E3C6-4136-4769-8B82-AB40BAD4E81A}"/>
    <cellStyle name="20% - Ênfase5 8 4 3" xfId="4694" xr:uid="{5635DE72-9892-4BBB-B025-B1C12E420FF2}"/>
    <cellStyle name="20% - Ênfase5 8 5" xfId="1991" xr:uid="{09BD9020-754A-484B-AF28-4875EEAE3A2C}"/>
    <cellStyle name="20% - Ênfase5 8 5 2" xfId="5619" xr:uid="{D22B192E-EA3A-415E-BEDD-273C3C93AAFF}"/>
    <cellStyle name="20% - Ênfase5 8 6" xfId="3808" xr:uid="{B15583EB-FA5B-42DC-A913-C90125BF34B5}"/>
    <cellStyle name="20% - Ênfase5 9" xfId="199" xr:uid="{11F7D2E1-FDCB-4A1E-A304-9D86068907D8}"/>
    <cellStyle name="20% - Ênfase5 9 2" xfId="805" xr:uid="{502538D0-4A7F-4162-8148-B80C3DE2986E}"/>
    <cellStyle name="20% - Ênfase5 9 2 2" xfId="1408" xr:uid="{BFE7BB04-E56D-49A0-A2F9-7634A1D17CA1}"/>
    <cellStyle name="20% - Ênfase5 9 2 2 2" xfId="3260" xr:uid="{7293FCAB-BAC5-462F-B475-2FBDCF950287}"/>
    <cellStyle name="20% - Ênfase5 9 2 2 2 2" xfId="6888" xr:uid="{5F000933-6013-42EF-88CB-5EEADF7C002B}"/>
    <cellStyle name="20% - Ênfase5 9 2 2 3" xfId="5036" xr:uid="{F1794C7D-B00B-407E-82A6-A9A4DD78FDAA}"/>
    <cellStyle name="20% - Ênfase5 9 2 3" xfId="2333" xr:uid="{D6B50659-E47A-4B15-84A8-E6797D2D513D}"/>
    <cellStyle name="20% - Ênfase5 9 2 3 2" xfId="5961" xr:uid="{C43A3062-3A0D-49A2-B1E5-BEAD1C00D95A}"/>
    <cellStyle name="20% - Ênfase5 9 2 4" xfId="4433" xr:uid="{6E33FFAD-04B3-4589-BFA8-7FAA7DE8A826}"/>
    <cellStyle name="20% - Ênfase5 9 3" xfId="481" xr:uid="{D4FB17CB-7466-44AD-8B13-9C44DA5419C9}"/>
    <cellStyle name="20% - Ênfase5 9 3 2" xfId="1731" xr:uid="{DB2F7D4D-B86D-4CAF-9CF7-E3139B9F614A}"/>
    <cellStyle name="20% - Ênfase5 9 3 2 2" xfId="3544" xr:uid="{3E97EAEC-F4CC-4A56-8E76-91701902DBFB}"/>
    <cellStyle name="20% - Ênfase5 9 3 2 2 2" xfId="7172" xr:uid="{A77416E3-9735-4E20-9478-E64150D0D2B7}"/>
    <cellStyle name="20% - Ênfase5 9 3 2 3" xfId="5359" xr:uid="{1062DEDC-C6D4-4E96-B171-136F0A9DC772}"/>
    <cellStyle name="20% - Ênfase5 9 3 3" xfId="2656" xr:uid="{E03A0708-69DA-4116-917D-58BA6B09A53F}"/>
    <cellStyle name="20% - Ênfase5 9 3 3 2" xfId="6284" xr:uid="{AC68EF62-10B0-442F-AA3A-9AF2F92A8271}"/>
    <cellStyle name="20% - Ênfase5 9 3 4" xfId="4110" xr:uid="{00F36BDE-123D-4289-93AA-E3C403BBC7F4}"/>
    <cellStyle name="20% - Ênfase5 9 4" xfId="1086" xr:uid="{65DFC777-53C8-4C87-8E12-D3CE8BD4C2F5}"/>
    <cellStyle name="20% - Ênfase5 9 4 2" xfId="2938" xr:uid="{900ABACA-0269-4FBD-BF26-CE109A44A9CC}"/>
    <cellStyle name="20% - Ênfase5 9 4 2 2" xfId="6566" xr:uid="{0744C041-68E7-4F86-A301-F35C6AF1A581}"/>
    <cellStyle name="20% - Ênfase5 9 4 3" xfId="4714" xr:uid="{F1F386D2-7CF4-4399-841F-670486BA0A09}"/>
    <cellStyle name="20% - Ênfase5 9 5" xfId="2011" xr:uid="{19F6ECBF-850E-4A84-A2F2-50F47C0C6E0A}"/>
    <cellStyle name="20% - Ênfase5 9 5 2" xfId="5639" xr:uid="{C3677E97-4CD2-49B0-B6D6-2E5B7F293886}"/>
    <cellStyle name="20% - Ênfase5 9 6" xfId="3828" xr:uid="{E821B7E6-D749-4E54-B534-4321FEC3049A}"/>
    <cellStyle name="20% - Ênfase6" xfId="39" builtinId="50" customBuiltin="1"/>
    <cellStyle name="20% - Ênfase6 10" xfId="223" xr:uid="{66A3B2E9-38A2-4A6C-84FA-7BBF2161D586}"/>
    <cellStyle name="20% - Ênfase6 10 2" xfId="829" xr:uid="{5A9BFF8D-6037-4628-BF62-63CA61560002}"/>
    <cellStyle name="20% - Ênfase6 10 2 2" xfId="1432" xr:uid="{0F779A1D-F642-4EF8-B1B5-9C5CB7DC7199}"/>
    <cellStyle name="20% - Ênfase6 10 2 2 2" xfId="3284" xr:uid="{87133181-3B02-412F-AB06-6325A65DA18B}"/>
    <cellStyle name="20% - Ênfase6 10 2 2 2 2" xfId="6912" xr:uid="{DA4C559C-DA66-446F-905B-D2EE5E38A985}"/>
    <cellStyle name="20% - Ênfase6 10 2 2 3" xfId="5060" xr:uid="{B25837DF-788A-4053-9A80-62A056ECEAEA}"/>
    <cellStyle name="20% - Ênfase6 10 2 3" xfId="2357" xr:uid="{6DA981C6-1A9C-491E-B3F0-51FA81CD751D}"/>
    <cellStyle name="20% - Ênfase6 10 2 3 2" xfId="5985" xr:uid="{7285FDBC-870E-4A9B-A0A3-40B23D530B4F}"/>
    <cellStyle name="20% - Ênfase6 10 2 4" xfId="4457" xr:uid="{7B9878E9-47CF-47F4-97B4-7512205C10CA}"/>
    <cellStyle name="20% - Ênfase6 10 3" xfId="505" xr:uid="{52E9B64B-FB69-4DE0-9819-54F9E83B0DF5}"/>
    <cellStyle name="20% - Ênfase6 10 3 2" xfId="1744" xr:uid="{A4CAE074-2FC9-4320-BD10-3936ACFC95E7}"/>
    <cellStyle name="20% - Ênfase6 10 3 2 2" xfId="3557" xr:uid="{03F04B05-1AD6-4215-AE87-A8BD573635CE}"/>
    <cellStyle name="20% - Ênfase6 10 3 2 2 2" xfId="7185" xr:uid="{B19B15D2-ED91-462D-AC55-68AA52B6E786}"/>
    <cellStyle name="20% - Ênfase6 10 3 2 3" xfId="5372" xr:uid="{9773FFC5-76AD-4152-82C4-A7015C74FA12}"/>
    <cellStyle name="20% - Ênfase6 10 3 3" xfId="2669" xr:uid="{9A57C24B-CD13-4EDB-8B3E-F74904C41686}"/>
    <cellStyle name="20% - Ênfase6 10 3 3 2" xfId="6297" xr:uid="{B81E2822-99AB-4AA5-B792-0A4121F1A283}"/>
    <cellStyle name="20% - Ênfase6 10 3 4" xfId="4134" xr:uid="{BED2E919-9B31-4439-BF45-91BA1DC3A23E}"/>
    <cellStyle name="20% - Ênfase6 10 4" xfId="1110" xr:uid="{39A863FE-D56C-4BA2-8313-ACF4113AA48B}"/>
    <cellStyle name="20% - Ênfase6 10 4 2" xfId="2962" xr:uid="{D430FF60-68B0-43A4-9E81-53EAB1766C27}"/>
    <cellStyle name="20% - Ênfase6 10 4 2 2" xfId="6590" xr:uid="{0B42B956-82FB-4F12-9474-174BABD1F4B2}"/>
    <cellStyle name="20% - Ênfase6 10 4 3" xfId="4738" xr:uid="{24E6B617-9634-459D-8F5F-F2C2146D49C1}"/>
    <cellStyle name="20% - Ênfase6 10 5" xfId="2035" xr:uid="{D07E6279-0878-4269-AADC-AF3AED4A9238}"/>
    <cellStyle name="20% - Ênfase6 10 5 2" xfId="5663" xr:uid="{9035C46F-D8C9-48A8-BF2E-B65408FF4BEB}"/>
    <cellStyle name="20% - Ênfase6 10 6" xfId="3852" xr:uid="{53D37480-6F00-41FC-B35E-8A06CE502C44}"/>
    <cellStyle name="20% - Ênfase6 11" xfId="243" xr:uid="{1242967B-162D-4771-8686-384408AF88F8}"/>
    <cellStyle name="20% - Ênfase6 11 2" xfId="849" xr:uid="{AF268A05-6B6B-4E21-BF76-F041138ADEF8}"/>
    <cellStyle name="20% - Ênfase6 11 2 2" xfId="1452" xr:uid="{1E79FDA5-6AF6-4F61-B114-833B9B84A872}"/>
    <cellStyle name="20% - Ênfase6 11 2 2 2" xfId="3304" xr:uid="{3F75325D-E7F5-495C-97E1-D064069191EF}"/>
    <cellStyle name="20% - Ênfase6 11 2 2 2 2" xfId="6932" xr:uid="{5236E5FF-A115-41C7-81B7-A611F069A8DF}"/>
    <cellStyle name="20% - Ênfase6 11 2 2 3" xfId="5080" xr:uid="{844FABBE-733F-447A-BA0A-B2FFB78B60FC}"/>
    <cellStyle name="20% - Ênfase6 11 2 3" xfId="2377" xr:uid="{CB46DC95-363D-475C-A966-6F168A6BBEF8}"/>
    <cellStyle name="20% - Ênfase6 11 2 3 2" xfId="6005" xr:uid="{165DBD90-BF75-48FD-8DA9-98BBBAFC9A81}"/>
    <cellStyle name="20% - Ênfase6 11 2 4" xfId="4477" xr:uid="{4C6B0914-7319-4620-9BB1-2F58CD8842A2}"/>
    <cellStyle name="20% - Ênfase6 11 3" xfId="525" xr:uid="{50BD75AA-C971-4767-9E1C-42D223AA7CE4}"/>
    <cellStyle name="20% - Ênfase6 11 3 2" xfId="1794" xr:uid="{60FF5008-B2DD-46BC-AB1F-07E762D827D1}"/>
    <cellStyle name="20% - Ênfase6 11 3 2 2" xfId="3607" xr:uid="{BE1CE245-4028-43EC-A15A-44C3C9B0C4E0}"/>
    <cellStyle name="20% - Ênfase6 11 3 2 2 2" xfId="7235" xr:uid="{BEB2B32C-35D1-46CF-B214-A161F847DC4A}"/>
    <cellStyle name="20% - Ênfase6 11 3 2 3" xfId="5422" xr:uid="{E9A8F99B-EF91-4DB8-BD2E-E03925058DFA}"/>
    <cellStyle name="20% - Ênfase6 11 3 3" xfId="2719" xr:uid="{AB20010A-AA9A-4D9F-AA55-0E30E6364697}"/>
    <cellStyle name="20% - Ênfase6 11 3 3 2" xfId="6347" xr:uid="{0DF1FB63-D4A4-4C4D-B821-71700A350961}"/>
    <cellStyle name="20% - Ênfase6 11 3 4" xfId="4154" xr:uid="{79F0567F-A5C7-49B2-82B4-793B7C99CEE8}"/>
    <cellStyle name="20% - Ênfase6 11 4" xfId="1130" xr:uid="{E409BF62-C686-4FFA-906C-EDBDDA988519}"/>
    <cellStyle name="20% - Ênfase6 11 4 2" xfId="2982" xr:uid="{901CB8D2-3269-49D4-837C-ED4702B8F157}"/>
    <cellStyle name="20% - Ênfase6 11 4 2 2" xfId="6610" xr:uid="{3DC90EEE-8C3F-4A38-81C3-3F1741FE6DB6}"/>
    <cellStyle name="20% - Ênfase6 11 4 3" xfId="4758" xr:uid="{377FE8F1-B9A4-43DE-B244-AAAD84586FAC}"/>
    <cellStyle name="20% - Ênfase6 11 5" xfId="2055" xr:uid="{451692B6-848F-4410-9911-52FA38500F1A}"/>
    <cellStyle name="20% - Ênfase6 11 5 2" xfId="5683" xr:uid="{A5136745-6955-4A38-9AED-0E97D40E063D}"/>
    <cellStyle name="20% - Ênfase6 11 6" xfId="3872" xr:uid="{ADDA03E3-71F1-49C4-B6BF-F168ECEFCE3D}"/>
    <cellStyle name="20% - Ênfase6 12" xfId="263" xr:uid="{5E296180-046A-4E2D-8377-C3579EAD4EC0}"/>
    <cellStyle name="20% - Ênfase6 12 2" xfId="869" xr:uid="{C6126A95-B5F6-4F4A-96D3-EA4D5BE8BECF}"/>
    <cellStyle name="20% - Ênfase6 12 2 2" xfId="1472" xr:uid="{5C39E28C-197A-4A22-B8C5-33DFF44A89CC}"/>
    <cellStyle name="20% - Ênfase6 12 2 2 2" xfId="3324" xr:uid="{AC3F5A41-15C4-4F87-B2E8-29D9E420F8DC}"/>
    <cellStyle name="20% - Ênfase6 12 2 2 2 2" xfId="6952" xr:uid="{906AE2D7-7307-4F9E-8092-072A8FB4901C}"/>
    <cellStyle name="20% - Ênfase6 12 2 2 3" xfId="5100" xr:uid="{33FDEA4E-CE89-443A-9766-DD3925030F11}"/>
    <cellStyle name="20% - Ênfase6 12 2 3" xfId="2397" xr:uid="{0C75BE94-62B8-4196-AD6A-A047F45DC223}"/>
    <cellStyle name="20% - Ênfase6 12 2 3 2" xfId="6025" xr:uid="{FABD0A43-152C-4313-BD4E-C00B38D752C5}"/>
    <cellStyle name="20% - Ênfase6 12 2 4" xfId="4497" xr:uid="{4126469C-F881-471A-9A1F-A74AE9C2A7A8}"/>
    <cellStyle name="20% - Ênfase6 12 3" xfId="545" xr:uid="{A45F0FBD-74A3-492C-B30E-DCB4918DC9B2}"/>
    <cellStyle name="20% - Ênfase6 12 3 2" xfId="1789" xr:uid="{18FB9375-6B4B-4FD2-A54E-358C11CEFF9C}"/>
    <cellStyle name="20% - Ênfase6 12 3 2 2" xfId="3602" xr:uid="{666C7E7B-FE49-4694-AA10-749A55F5C681}"/>
    <cellStyle name="20% - Ênfase6 12 3 2 2 2" xfId="7230" xr:uid="{803D1F9C-F81C-469F-9607-1168CC7F89C7}"/>
    <cellStyle name="20% - Ênfase6 12 3 2 3" xfId="5417" xr:uid="{FF878F42-E450-417E-A7CA-FF9AE45E8CC6}"/>
    <cellStyle name="20% - Ênfase6 12 3 3" xfId="2714" xr:uid="{72BE6B36-217F-4EFD-990A-2770B6042F18}"/>
    <cellStyle name="20% - Ênfase6 12 3 3 2" xfId="6342" xr:uid="{AC54A222-B9FB-40BC-AAF6-A24F621DF224}"/>
    <cellStyle name="20% - Ênfase6 12 3 4" xfId="4174" xr:uid="{5EA9366B-891E-4F39-9DDD-4EC2F7578E49}"/>
    <cellStyle name="20% - Ênfase6 12 4" xfId="1150" xr:uid="{0ACBDD94-8891-496A-9A8D-4A53DE5A4DAA}"/>
    <cellStyle name="20% - Ênfase6 12 4 2" xfId="3002" xr:uid="{17085C6E-4E15-4D8D-BA17-D156E1171E58}"/>
    <cellStyle name="20% - Ênfase6 12 4 2 2" xfId="6630" xr:uid="{5A594049-BB7E-4E48-97FF-6409C506DB0F}"/>
    <cellStyle name="20% - Ênfase6 12 4 3" xfId="4778" xr:uid="{D2753E37-B756-40C4-BC6E-B9BD1BD50F90}"/>
    <cellStyle name="20% - Ênfase6 12 5" xfId="2075" xr:uid="{285A0EA9-0A40-4F69-84AC-4606E520FC2C}"/>
    <cellStyle name="20% - Ênfase6 12 5 2" xfId="5703" xr:uid="{F5FA98F8-73A1-4B5C-8DD7-3A20A0FDDE60}"/>
    <cellStyle name="20% - Ênfase6 12 6" xfId="3892" xr:uid="{1F722E6C-F204-4093-BA0B-5BBC797F473C}"/>
    <cellStyle name="20% - Ênfase6 13" xfId="283" xr:uid="{72CB5B41-192C-4C13-81F8-6073AD449AEC}"/>
    <cellStyle name="20% - Ênfase6 13 2" xfId="889" xr:uid="{C55B4B46-C69D-4E13-B3B0-A79BA3E3E3C8}"/>
    <cellStyle name="20% - Ênfase6 13 2 2" xfId="1492" xr:uid="{4AD94489-71F9-474B-84BC-865E1E379564}"/>
    <cellStyle name="20% - Ênfase6 13 2 2 2" xfId="3344" xr:uid="{52C230B9-CB7D-416F-A24E-90F3B51AA5E2}"/>
    <cellStyle name="20% - Ênfase6 13 2 2 2 2" xfId="6972" xr:uid="{C501BC5B-84D7-4A6F-8472-994B1E2F1971}"/>
    <cellStyle name="20% - Ênfase6 13 2 2 3" xfId="5120" xr:uid="{0A5CD8E1-3C45-4D7C-A877-07E6E48C969A}"/>
    <cellStyle name="20% - Ênfase6 13 2 3" xfId="2417" xr:uid="{0D73DCC4-E14C-4063-A830-4ABD709CD27D}"/>
    <cellStyle name="20% - Ênfase6 13 2 3 2" xfId="6045" xr:uid="{E59D63A7-3890-4EFC-B428-B0448FE9BEEE}"/>
    <cellStyle name="20% - Ênfase6 13 2 4" xfId="4517" xr:uid="{B562B6D7-1D59-441D-9655-DA8FF66D3F6A}"/>
    <cellStyle name="20% - Ênfase6 13 3" xfId="565" xr:uid="{3B46F0F2-73CB-4620-A0C0-AEC21DE157D4}"/>
    <cellStyle name="20% - Ênfase6 13 3 2" xfId="1741" xr:uid="{758C6E0C-36E1-4D28-8C28-89C48AFA351B}"/>
    <cellStyle name="20% - Ênfase6 13 3 2 2" xfId="3554" xr:uid="{3BEF8A6E-BEA6-4A85-9530-268872B2E60D}"/>
    <cellStyle name="20% - Ênfase6 13 3 2 2 2" xfId="7182" xr:uid="{40FEF7E0-87E3-4ABF-9651-C3A68861E28A}"/>
    <cellStyle name="20% - Ênfase6 13 3 2 3" xfId="5369" xr:uid="{E7874BFC-1F92-4902-93B3-495423A68127}"/>
    <cellStyle name="20% - Ênfase6 13 3 3" xfId="2666" xr:uid="{F7C0E77B-F470-4345-8918-0607DCB51C3C}"/>
    <cellStyle name="20% - Ênfase6 13 3 3 2" xfId="6294" xr:uid="{0AC0A14A-50AB-4E9E-8748-B9C98A50FC78}"/>
    <cellStyle name="20% - Ênfase6 13 3 4" xfId="4194" xr:uid="{4ED67DA3-446A-4B49-806D-5A66F871826A}"/>
    <cellStyle name="20% - Ênfase6 13 4" xfId="1170" xr:uid="{27296227-A7D3-4AAE-B526-2871EFB90489}"/>
    <cellStyle name="20% - Ênfase6 13 4 2" xfId="3022" xr:uid="{FACE5EA9-2B80-40D8-87E1-1474E5F1EF3A}"/>
    <cellStyle name="20% - Ênfase6 13 4 2 2" xfId="6650" xr:uid="{8B95C1E8-45D5-4D3C-AC3A-CF8381446257}"/>
    <cellStyle name="20% - Ênfase6 13 4 3" xfId="4798" xr:uid="{4D8272A2-E3AE-4FD0-9412-0ED218749DCF}"/>
    <cellStyle name="20% - Ênfase6 13 5" xfId="2095" xr:uid="{1AD240F7-2C2A-4EDE-AD69-72A647843989}"/>
    <cellStyle name="20% - Ênfase6 13 5 2" xfId="5723" xr:uid="{80C905FE-DCBD-4494-936E-BBC9CEFEC6BC}"/>
    <cellStyle name="20% - Ênfase6 13 6" xfId="3912" xr:uid="{B189B1D9-9C0A-421E-B2FD-9AA6A64BC514}"/>
    <cellStyle name="20% - Ênfase6 14" xfId="303" xr:uid="{4E5711E0-B20B-4290-9DF0-BB3F54A12BCE}"/>
    <cellStyle name="20% - Ênfase6 14 2" xfId="909" xr:uid="{54951E83-6905-4F27-B70A-5BF0D6CB2855}"/>
    <cellStyle name="20% - Ênfase6 14 2 2" xfId="1512" xr:uid="{ED36616B-548D-4984-B0E7-778163EC8208}"/>
    <cellStyle name="20% - Ênfase6 14 2 2 2" xfId="3364" xr:uid="{EBD2A948-DC8B-4D90-B5DB-5B6D261D3E4F}"/>
    <cellStyle name="20% - Ênfase6 14 2 2 2 2" xfId="6992" xr:uid="{DFFAD3C9-98D7-4A17-A0A8-45DD773210CF}"/>
    <cellStyle name="20% - Ênfase6 14 2 2 3" xfId="5140" xr:uid="{1B2EC098-B013-4E72-8400-B9BA58C5907F}"/>
    <cellStyle name="20% - Ênfase6 14 2 3" xfId="2437" xr:uid="{586DAC0F-F557-43B1-A415-7EBE82AE35B3}"/>
    <cellStyle name="20% - Ênfase6 14 2 3 2" xfId="6065" xr:uid="{A494CEDC-3DD6-4705-BBA3-8205A5B8D67A}"/>
    <cellStyle name="20% - Ênfase6 14 2 4" xfId="4537" xr:uid="{D49F7EBF-B77E-4FE4-9A87-AF3F885F0930}"/>
    <cellStyle name="20% - Ênfase6 14 3" xfId="585" xr:uid="{24DACEA2-9614-424A-97B1-EF344FDDBCCB}"/>
    <cellStyle name="20% - Ênfase6 14 3 2" xfId="1721" xr:uid="{C6F1E689-7949-4ABD-8B5A-D6C6D7B2DA45}"/>
    <cellStyle name="20% - Ênfase6 14 3 2 2" xfId="3534" xr:uid="{8986FB91-DEB4-4FA3-810E-D706859F1EA9}"/>
    <cellStyle name="20% - Ênfase6 14 3 2 2 2" xfId="7162" xr:uid="{BF5CB0CA-81EA-4389-96BF-3647A4DDF04C}"/>
    <cellStyle name="20% - Ênfase6 14 3 2 3" xfId="5349" xr:uid="{76656195-49F5-4FD4-9AC5-F16E4B0D50BC}"/>
    <cellStyle name="20% - Ênfase6 14 3 3" xfId="2646" xr:uid="{0073B367-104F-4295-8DCF-8777AC920F7F}"/>
    <cellStyle name="20% - Ênfase6 14 3 3 2" xfId="6274" xr:uid="{6D2A6308-5D52-4FAB-A971-307D51EDBC73}"/>
    <cellStyle name="20% - Ênfase6 14 3 4" xfId="4214" xr:uid="{5DE3BB64-14BF-4D6E-BA5B-1423B87C490A}"/>
    <cellStyle name="20% - Ênfase6 14 4" xfId="1190" xr:uid="{7F394FB7-9B5A-4E49-945E-01305F743655}"/>
    <cellStyle name="20% - Ênfase6 14 4 2" xfId="3042" xr:uid="{0C068BE1-EBB2-4F1F-B7B3-0E61F4BF9641}"/>
    <cellStyle name="20% - Ênfase6 14 4 2 2" xfId="6670" xr:uid="{B954B89E-1C61-4E1A-969F-10416A635177}"/>
    <cellStyle name="20% - Ênfase6 14 4 3" xfId="4818" xr:uid="{469461BC-5CE3-48B9-842F-F6EF6AE9F6CB}"/>
    <cellStyle name="20% - Ênfase6 14 5" xfId="2115" xr:uid="{03A85B18-0551-4BBB-86E0-54786FCA36FA}"/>
    <cellStyle name="20% - Ênfase6 14 5 2" xfId="5743" xr:uid="{14707657-247E-428E-8DCE-22A91D166FA2}"/>
    <cellStyle name="20% - Ênfase6 14 6" xfId="3932" xr:uid="{641DD791-37C3-40C5-B2EE-B3FC6310D0B9}"/>
    <cellStyle name="20% - Ênfase6 15" xfId="605" xr:uid="{A91557A6-4F2A-487A-802F-F2A1EA86CA6B}"/>
    <cellStyle name="20% - Ênfase6 15 2" xfId="1668" xr:uid="{3B4E8B26-6D48-4E42-8E81-B8ED0BB971B1}"/>
    <cellStyle name="20% - Ênfase6 15 2 2" xfId="2593" xr:uid="{FC06DD48-CF8C-4278-8F13-EF0CEF95E0D6}"/>
    <cellStyle name="20% - Ênfase6 15 2 2 2" xfId="6221" xr:uid="{A3B0FDD3-1F47-405B-94EC-28D699A7E69B}"/>
    <cellStyle name="20% - Ênfase6 15 2 3" xfId="5296" xr:uid="{64A4E4E8-2DE9-43C4-A8FE-DA52A33D9DFB}"/>
    <cellStyle name="20% - Ênfase6 15 3" xfId="1210" xr:uid="{D73F0F2F-E9D7-46ED-A165-0BA5ED068ECC}"/>
    <cellStyle name="20% - Ênfase6 15 3 2" xfId="3062" xr:uid="{50E517C6-9CA0-4657-8E6F-D04112E1BC0A}"/>
    <cellStyle name="20% - Ênfase6 15 3 2 2" xfId="6690" xr:uid="{DA778185-0598-476C-B6D6-AC2F2B06E2CF}"/>
    <cellStyle name="20% - Ênfase6 15 3 3" xfId="4838" xr:uid="{60CDD712-BE3A-4D4B-9621-FB05D4FD1175}"/>
    <cellStyle name="20% - Ênfase6 15 4" xfId="2135" xr:uid="{139EC7C4-0D3B-44C3-9B6A-52B48F1EE396}"/>
    <cellStyle name="20% - Ênfase6 15 4 2" xfId="5763" xr:uid="{E892AAB9-2BEB-44C8-9AE5-2255264A5AF4}"/>
    <cellStyle name="20% - Ênfase6 15 5" xfId="4234" xr:uid="{B2FF83F3-50ED-4DCB-ADE2-FEBD0AFAD63D}"/>
    <cellStyle name="20% - Ênfase6 16" xfId="625" xr:uid="{797DC5AB-6ADE-421F-A4E2-1075B6696514}"/>
    <cellStyle name="20% - Ênfase6 16 2" xfId="1688" xr:uid="{382DEE2D-98A4-41C5-864E-6626A5F6F077}"/>
    <cellStyle name="20% - Ênfase6 16 2 2" xfId="2613" xr:uid="{376B9CE8-758E-4098-9BC0-A8B31FAE0B0B}"/>
    <cellStyle name="20% - Ênfase6 16 2 2 2" xfId="6241" xr:uid="{7522A3A5-C3FD-4515-824B-9FC86E7739DB}"/>
    <cellStyle name="20% - Ênfase6 16 2 3" xfId="5316" xr:uid="{5F0C9F5D-E5EC-4B9E-82F7-B57238467977}"/>
    <cellStyle name="20% - Ênfase6 16 3" xfId="1230" xr:uid="{68EABEA0-E7A4-4B3A-9117-F63CE5E97F6E}"/>
    <cellStyle name="20% - Ênfase6 16 3 2" xfId="3082" xr:uid="{FC09E63E-9788-4359-A068-2B8CDC3985E5}"/>
    <cellStyle name="20% - Ênfase6 16 3 2 2" xfId="6710" xr:uid="{672AC2E7-0738-48A4-92D0-7C797DDAEB6B}"/>
    <cellStyle name="20% - Ênfase6 16 3 3" xfId="4858" xr:uid="{917054FB-B917-4E1C-BECA-42C80D8308B8}"/>
    <cellStyle name="20% - Ênfase6 16 4" xfId="2155" xr:uid="{DCD886E9-A53F-46C0-991C-E884E15D1320}"/>
    <cellStyle name="20% - Ênfase6 16 4 2" xfId="5783" xr:uid="{829C8A7D-B667-4684-BED9-7725C1600B15}"/>
    <cellStyle name="20% - Ênfase6 16 5" xfId="4254" xr:uid="{C6CB5EF2-A3B8-423A-8D99-7DF6BB8E907B}"/>
    <cellStyle name="20% - Ênfase6 17" xfId="645" xr:uid="{3DADD0BF-34E9-4411-822C-D25D66AECB30}"/>
    <cellStyle name="20% - Ênfase6 17 2" xfId="1249" xr:uid="{5DE8FAF7-409F-406D-94C7-5566BE082328}"/>
    <cellStyle name="20% - Ênfase6 17 2 2" xfId="3101" xr:uid="{226423D9-C632-4E67-B257-BABCBD86FF88}"/>
    <cellStyle name="20% - Ênfase6 17 2 2 2" xfId="6729" xr:uid="{14B3158D-2965-4B20-A427-9A3682C983BA}"/>
    <cellStyle name="20% - Ênfase6 17 2 3" xfId="4877" xr:uid="{81CDD0FA-97F6-4DE7-8163-8F273E552DF6}"/>
    <cellStyle name="20% - Ênfase6 17 3" xfId="2174" xr:uid="{83C74066-FF3A-4580-B344-DC30A852C9F4}"/>
    <cellStyle name="20% - Ênfase6 17 3 2" xfId="5802" xr:uid="{877A9199-7F0E-42F3-9535-064F0377A432}"/>
    <cellStyle name="20% - Ênfase6 17 4" xfId="4274" xr:uid="{5FB4B234-E1D1-41C9-B95F-57B7E55AD260}"/>
    <cellStyle name="20% - Ênfase6 18" xfId="322" xr:uid="{549D2126-633F-4A12-9343-8AD9E1BDC199}"/>
    <cellStyle name="20% - Ênfase6 18 2" xfId="1595" xr:uid="{56165515-6496-43A6-A42E-7BE44E24514C}"/>
    <cellStyle name="20% - Ênfase6 18 2 2" xfId="3447" xr:uid="{73D84395-4B08-4995-9300-D56E70A4DA24}"/>
    <cellStyle name="20% - Ênfase6 18 2 2 2" xfId="7075" xr:uid="{777A5204-FB8F-46E8-B354-0D084A2C181A}"/>
    <cellStyle name="20% - Ênfase6 18 2 3" xfId="5223" xr:uid="{4A79B5E1-432F-403D-AEFF-BD1F9E4C1EC5}"/>
    <cellStyle name="20% - Ênfase6 18 3" xfId="2520" xr:uid="{BFA9418A-6D78-4B83-B8EF-7D9AF71FA8E7}"/>
    <cellStyle name="20% - Ênfase6 18 3 2" xfId="6148" xr:uid="{AC89CD47-29B3-45BB-BD49-A2AE131403ED}"/>
    <cellStyle name="20% - Ênfase6 18 4" xfId="3951" xr:uid="{DC5E7DBE-E384-4EEC-B692-F5610202D7E1}"/>
    <cellStyle name="20% - Ênfase6 19" xfId="927" xr:uid="{734144D0-707A-41E8-8147-E3E4561F3DBD}"/>
    <cellStyle name="20% - Ênfase6 19 2" xfId="2779" xr:uid="{4E7D52F8-C8AE-495C-AD8F-E7F768B3DB26}"/>
    <cellStyle name="20% - Ênfase6 19 2 2" xfId="6407" xr:uid="{5BF00ECF-136B-431A-9125-6A783F66F22A}"/>
    <cellStyle name="20% - Ênfase6 19 3" xfId="4555" xr:uid="{30EA91FE-02AB-4EA2-BE4B-A27984A4C8DF}"/>
    <cellStyle name="20% - Ênfase6 2" xfId="62" xr:uid="{1195F3DB-2333-4C70-B53A-E4C198F0C026}"/>
    <cellStyle name="20% - Ênfase6 2 2" xfId="668" xr:uid="{42AFB587-6119-458A-92D1-0E675BBADC05}"/>
    <cellStyle name="20% - Ênfase6 2 2 2" xfId="1271" xr:uid="{BF1F50F3-5CA6-44AF-B7D4-8F0163D6E79E}"/>
    <cellStyle name="20% - Ênfase6 2 2 2 2" xfId="3123" xr:uid="{EA730F5C-6DD8-4338-B526-65F912C73080}"/>
    <cellStyle name="20% - Ênfase6 2 2 2 2 2" xfId="6751" xr:uid="{CDB09729-318A-474A-9C45-0193A4592FCA}"/>
    <cellStyle name="20% - Ênfase6 2 2 2 3" xfId="4899" xr:uid="{DC492D18-918D-43B8-9DDA-60C4983F3348}"/>
    <cellStyle name="20% - Ênfase6 2 2 3" xfId="2196" xr:uid="{F67715DB-2B27-4973-B275-EE45E5835E66}"/>
    <cellStyle name="20% - Ênfase6 2 2 3 2" xfId="5824" xr:uid="{FB665A56-EDE3-42AE-8104-3870F525C278}"/>
    <cellStyle name="20% - Ênfase6 2 2 4" xfId="4296" xr:uid="{02E60DEA-771D-49B1-849B-D79405723C81}"/>
    <cellStyle name="20% - Ênfase6 2 3" xfId="344" xr:uid="{467976A7-10F3-4DEB-BC0C-B9223437B340}"/>
    <cellStyle name="20% - Ênfase6 2 3 2" xfId="1610" xr:uid="{A2867CA7-8B08-4819-B6D7-F60972C97376}"/>
    <cellStyle name="20% - Ênfase6 2 3 2 2" xfId="3462" xr:uid="{D80617A4-0B06-4D5D-B5EB-E96034E467E2}"/>
    <cellStyle name="20% - Ênfase6 2 3 2 2 2" xfId="7090" xr:uid="{C4D8411F-B681-47CF-A4D2-707026502760}"/>
    <cellStyle name="20% - Ênfase6 2 3 2 3" xfId="5238" xr:uid="{B48A26CF-2A04-4FFC-8C67-F3F1429294F8}"/>
    <cellStyle name="20% - Ênfase6 2 3 3" xfId="2535" xr:uid="{A53BFF09-3AD1-4BFD-B1B7-80EA4A8D643F}"/>
    <cellStyle name="20% - Ênfase6 2 3 3 2" xfId="6163" xr:uid="{F93F773E-A734-4418-98F1-071EBC6297BC}"/>
    <cellStyle name="20% - Ênfase6 2 3 4" xfId="3973" xr:uid="{2CFF8736-6F30-4179-A7D3-EAF008125DC8}"/>
    <cellStyle name="20% - Ênfase6 2 4" xfId="949" xr:uid="{4EF626DC-44D8-4C61-8435-BB818D345D5B}"/>
    <cellStyle name="20% - Ênfase6 2 4 2" xfId="2801" xr:uid="{5128EC55-CF75-4483-80B1-29366F00377B}"/>
    <cellStyle name="20% - Ênfase6 2 4 2 2" xfId="6429" xr:uid="{B4ABA260-4011-41BC-882C-BF57E8AC8D7F}"/>
    <cellStyle name="20% - Ênfase6 2 4 3" xfId="4577" xr:uid="{CE5A6D8E-1F51-4195-B8B4-CF13B0005420}"/>
    <cellStyle name="20% - Ênfase6 2 5" xfId="1874" xr:uid="{A2A4433E-1E7A-440F-8214-7DA15AFE7FEE}"/>
    <cellStyle name="20% - Ênfase6 2 5 2" xfId="5502" xr:uid="{86BD45C1-3DED-4748-91A5-CCE81A902B63}"/>
    <cellStyle name="20% - Ênfase6 2 6" xfId="3691" xr:uid="{4ED20F15-86AC-4791-B8CE-3913BA3FA8E0}"/>
    <cellStyle name="20% - Ênfase6 20" xfId="1852" xr:uid="{AFDCD64A-E9D4-4E1D-BF95-D96EF40EC47F}"/>
    <cellStyle name="20% - Ênfase6 20 2" xfId="5480" xr:uid="{E562B8C8-C993-4CC3-B195-E83DEC41ABB7}"/>
    <cellStyle name="20% - Ênfase6 21" xfId="3667" xr:uid="{282AFD88-1F37-4FCF-9150-BE3BA93C5A12}"/>
    <cellStyle name="20% - Ênfase6 3" xfId="80" xr:uid="{D3CBF768-9836-4D97-9B16-36EAC7B3DD80}"/>
    <cellStyle name="20% - Ênfase6 3 2" xfId="686" xr:uid="{91B652A3-E6D4-446C-AA93-ED5FC6CD1D59}"/>
    <cellStyle name="20% - Ênfase6 3 2 2" xfId="1289" xr:uid="{F25A5D1E-911F-4020-8CC1-14042BBDDC2C}"/>
    <cellStyle name="20% - Ênfase6 3 2 2 2" xfId="3141" xr:uid="{BB599CDD-3DAC-42A7-9884-9817A9BF0C4A}"/>
    <cellStyle name="20% - Ênfase6 3 2 2 2 2" xfId="6769" xr:uid="{7EA58C2F-B006-4940-9FEC-8E735889C9F7}"/>
    <cellStyle name="20% - Ênfase6 3 2 2 3" xfId="4917" xr:uid="{8DA50724-D0C1-47F5-8319-ED9D0A88B42E}"/>
    <cellStyle name="20% - Ênfase6 3 2 3" xfId="2214" xr:uid="{17A32698-9EFF-4008-89D4-4EC1398E7F3D}"/>
    <cellStyle name="20% - Ênfase6 3 2 3 2" xfId="5842" xr:uid="{FC6F7379-4A95-47AB-ACF2-FF33BD3BB0AC}"/>
    <cellStyle name="20% - Ênfase6 3 2 4" xfId="4314" xr:uid="{1435AA12-4B98-43D3-B605-DE6405B6EFFC}"/>
    <cellStyle name="20% - Ênfase6 3 3" xfId="362" xr:uid="{CC598543-3947-4976-92EE-A52420180B30}"/>
    <cellStyle name="20% - Ênfase6 3 3 2" xfId="1762" xr:uid="{4BD92F3A-D564-4A60-BBA9-5363AF4997FB}"/>
    <cellStyle name="20% - Ênfase6 3 3 2 2" xfId="3575" xr:uid="{1DE1D14F-334A-42BE-ADD0-14B3A065E7AF}"/>
    <cellStyle name="20% - Ênfase6 3 3 2 2 2" xfId="7203" xr:uid="{8DF387ED-FCE9-4149-BBA5-80CB71F91273}"/>
    <cellStyle name="20% - Ênfase6 3 3 2 3" xfId="5390" xr:uid="{6A6717B0-1964-4EF8-8101-7353ED79ACE9}"/>
    <cellStyle name="20% - Ênfase6 3 3 3" xfId="2687" xr:uid="{368FA13A-ABE6-4BF2-B7DB-99F66E190056}"/>
    <cellStyle name="20% - Ênfase6 3 3 3 2" xfId="6315" xr:uid="{19F1A6C0-8EEF-4849-8D42-744FFCCFF7A0}"/>
    <cellStyle name="20% - Ênfase6 3 3 4" xfId="3991" xr:uid="{22ABE337-968B-4EE4-B4DB-48FEF6D62A35}"/>
    <cellStyle name="20% - Ênfase6 3 4" xfId="967" xr:uid="{7CF598ED-2B0E-4F55-A32B-A8289CF6FAF2}"/>
    <cellStyle name="20% - Ênfase6 3 4 2" xfId="2819" xr:uid="{BD800922-1834-4564-A2F8-E8F096878C56}"/>
    <cellStyle name="20% - Ênfase6 3 4 2 2" xfId="6447" xr:uid="{46548013-19F4-4184-A8ED-B267825B3AF7}"/>
    <cellStyle name="20% - Ênfase6 3 4 3" xfId="4595" xr:uid="{6062C47C-D453-4C25-9BE7-7BC77E81F05C}"/>
    <cellStyle name="20% - Ênfase6 3 5" xfId="1892" xr:uid="{23EC267C-CDEA-4C9A-88C4-0284AF1500C5}"/>
    <cellStyle name="20% - Ênfase6 3 5 2" xfId="5520" xr:uid="{AC2E7979-C8B3-46EC-AA3F-CDBA8DE80E46}"/>
    <cellStyle name="20% - Ênfase6 3 6" xfId="3709" xr:uid="{BF8EE1B4-3411-4B28-89A2-E7FDADDF3332}"/>
    <cellStyle name="20% - Ênfase6 4" xfId="102" xr:uid="{65262CE8-A933-4D30-B430-3442821F7FCD}"/>
    <cellStyle name="20% - Ênfase6 4 2" xfId="708" xr:uid="{F240DE53-D8E7-46A0-9EBE-DCBAF0CDF0CB}"/>
    <cellStyle name="20% - Ênfase6 4 2 2" xfId="1311" xr:uid="{83D32DC6-52CD-43F0-A145-434A744728D2}"/>
    <cellStyle name="20% - Ênfase6 4 2 2 2" xfId="3163" xr:uid="{134B13B3-710A-4E8E-B625-FCB83EFBDB96}"/>
    <cellStyle name="20% - Ênfase6 4 2 2 2 2" xfId="6791" xr:uid="{0631ADB7-E82B-41BD-B7A5-D231EC2DFFCB}"/>
    <cellStyle name="20% - Ênfase6 4 2 2 3" xfId="4939" xr:uid="{69EB7EE0-309C-4847-9882-E0686969BD50}"/>
    <cellStyle name="20% - Ênfase6 4 2 3" xfId="2236" xr:uid="{B2EA9663-4B80-4C2F-9EF8-814F4207DBBA}"/>
    <cellStyle name="20% - Ênfase6 4 2 3 2" xfId="5864" xr:uid="{A013EB36-371F-445F-92B4-CA4D227E9E08}"/>
    <cellStyle name="20% - Ênfase6 4 2 4" xfId="4336" xr:uid="{FA6265F9-4F0C-4A30-AB55-94A4F8C245B9}"/>
    <cellStyle name="20% - Ênfase6 4 3" xfId="384" xr:uid="{E1F3EA79-CCD7-4BAA-9814-74E3336886D1}"/>
    <cellStyle name="20% - Ênfase6 4 3 2" xfId="1586" xr:uid="{4FDE3A49-1BDC-455D-A721-390A618CC25D}"/>
    <cellStyle name="20% - Ênfase6 4 3 2 2" xfId="3438" xr:uid="{88549AE1-2063-43E0-8E70-9F015571208D}"/>
    <cellStyle name="20% - Ênfase6 4 3 2 2 2" xfId="7066" xr:uid="{424C9F45-6BC5-420E-8E8E-8DCA8342C6D4}"/>
    <cellStyle name="20% - Ênfase6 4 3 2 3" xfId="5214" xr:uid="{BE8804D5-DC8D-42F4-821C-E982CA4A8188}"/>
    <cellStyle name="20% - Ênfase6 4 3 3" xfId="2511" xr:uid="{395C44B5-9CF6-494B-A0DF-9B00395323D0}"/>
    <cellStyle name="20% - Ênfase6 4 3 3 2" xfId="6139" xr:uid="{1E589086-7652-406C-9114-0D2D78483A39}"/>
    <cellStyle name="20% - Ênfase6 4 3 4" xfId="4013" xr:uid="{8F083433-4046-4CD2-8DE4-BD6F97D9F9A4}"/>
    <cellStyle name="20% - Ênfase6 4 4" xfId="989" xr:uid="{5BCD71DF-8D4F-4D45-88EC-9045B07DD0BE}"/>
    <cellStyle name="20% - Ênfase6 4 4 2" xfId="2841" xr:uid="{41DBCD30-C1FE-4088-8719-4EE56E7CDC0B}"/>
    <cellStyle name="20% - Ênfase6 4 4 2 2" xfId="6469" xr:uid="{3EA741C1-D617-4DDF-8E7C-93FB03603CD6}"/>
    <cellStyle name="20% - Ênfase6 4 4 3" xfId="4617" xr:uid="{4693C0FD-79D0-4A17-877F-F6D133897520}"/>
    <cellStyle name="20% - Ênfase6 4 5" xfId="1914" xr:uid="{FC4D9C7A-54AC-427A-9339-70D19A0DD3DB}"/>
    <cellStyle name="20% - Ênfase6 4 5 2" xfId="5542" xr:uid="{474126D6-0B3E-45F5-808F-9D33E6B54DDF}"/>
    <cellStyle name="20% - Ênfase6 4 6" xfId="3731" xr:uid="{27205750-FC89-46FE-8783-10429DE89F71}"/>
    <cellStyle name="20% - Ênfase6 5" xfId="122" xr:uid="{50D666E3-B89A-4142-98CE-C88769FD6ADF}"/>
    <cellStyle name="20% - Ênfase6 5 2" xfId="728" xr:uid="{D5FE4EA4-0F99-4FF6-B425-CE4B1AB0FA3F}"/>
    <cellStyle name="20% - Ênfase6 5 2 2" xfId="1331" xr:uid="{40C5E2A9-BF75-440A-A6FE-C83947763F82}"/>
    <cellStyle name="20% - Ênfase6 5 2 2 2" xfId="3183" xr:uid="{B5B980C7-51C1-42AD-8A60-9EADCDE49D2E}"/>
    <cellStyle name="20% - Ênfase6 5 2 2 2 2" xfId="6811" xr:uid="{ED181ABE-D492-4E16-A0B3-EC9CFBB11902}"/>
    <cellStyle name="20% - Ênfase6 5 2 2 3" xfId="4959" xr:uid="{BA29AA3B-5156-4790-B20C-40F819EA67C5}"/>
    <cellStyle name="20% - Ênfase6 5 2 3" xfId="2256" xr:uid="{1C26B5D1-1ED6-417B-9B6E-BBB268181D82}"/>
    <cellStyle name="20% - Ênfase6 5 2 3 2" xfId="5884" xr:uid="{85783A77-DA37-4AE1-9C5D-C7ED0320B545}"/>
    <cellStyle name="20% - Ênfase6 5 2 4" xfId="4356" xr:uid="{29BD72AB-5219-49CB-A5C0-3B453845C164}"/>
    <cellStyle name="20% - Ênfase6 5 3" xfId="404" xr:uid="{16B3A8B8-11E9-4F66-BA4E-2C2A648E4EDA}"/>
    <cellStyle name="20% - Ênfase6 5 3 2" xfId="1603" xr:uid="{55E0BFC1-D23D-46D2-AB29-25BE4F95D571}"/>
    <cellStyle name="20% - Ênfase6 5 3 2 2" xfId="3455" xr:uid="{3951D130-B4D2-42EF-8051-C33FE630A461}"/>
    <cellStyle name="20% - Ênfase6 5 3 2 2 2" xfId="7083" xr:uid="{D22BE4DF-ACAB-4CD2-A421-D38786EFA454}"/>
    <cellStyle name="20% - Ênfase6 5 3 2 3" xfId="5231" xr:uid="{F4DA5530-16B6-44C8-B0F8-6156F1D1DA8D}"/>
    <cellStyle name="20% - Ênfase6 5 3 3" xfId="2528" xr:uid="{BFA2C0A8-60F1-4614-AAD1-8D0A62ED93A1}"/>
    <cellStyle name="20% - Ênfase6 5 3 3 2" xfId="6156" xr:uid="{A0B093BD-EDAB-4FDA-B92E-57F8D82732F1}"/>
    <cellStyle name="20% - Ênfase6 5 3 4" xfId="4033" xr:uid="{C4AA871F-71EC-41AA-A85D-8EA4A09B93A5}"/>
    <cellStyle name="20% - Ênfase6 5 4" xfId="1009" xr:uid="{A14FFB74-CCA9-41E8-BE3C-2477CBBD6170}"/>
    <cellStyle name="20% - Ênfase6 5 4 2" xfId="2861" xr:uid="{C404EFDE-0612-489B-8A1B-37B1F545F28E}"/>
    <cellStyle name="20% - Ênfase6 5 4 2 2" xfId="6489" xr:uid="{C0B74B86-ADB5-4870-9B19-542A2CEADFBA}"/>
    <cellStyle name="20% - Ênfase6 5 4 3" xfId="4637" xr:uid="{516FCFF7-1635-43BF-9011-D852194D779D}"/>
    <cellStyle name="20% - Ênfase6 5 5" xfId="1934" xr:uid="{BF8E7DCF-7150-4A1E-9731-1D9A32918B4E}"/>
    <cellStyle name="20% - Ênfase6 5 5 2" xfId="5562" xr:uid="{3BDAF1A4-4A1B-49B8-8508-74AFA5470F45}"/>
    <cellStyle name="20% - Ênfase6 5 6" xfId="3751" xr:uid="{D951910E-A9CC-440F-8ECE-358B99E98ABF}"/>
    <cellStyle name="20% - Ênfase6 6" xfId="142" xr:uid="{00CE925C-640A-4E04-BCF4-AE7465A5A5B0}"/>
    <cellStyle name="20% - Ênfase6 6 2" xfId="748" xr:uid="{B28F3188-F802-45E1-9740-0FC218093D60}"/>
    <cellStyle name="20% - Ênfase6 6 2 2" xfId="1351" xr:uid="{CC6E84A9-57CC-483D-B09C-1320D9865276}"/>
    <cellStyle name="20% - Ênfase6 6 2 2 2" xfId="3203" xr:uid="{C7B69E6D-82AA-4008-BFEA-D87DAE6D3971}"/>
    <cellStyle name="20% - Ênfase6 6 2 2 2 2" xfId="6831" xr:uid="{15E425D6-C107-48A0-A0B9-3DDAACD74D58}"/>
    <cellStyle name="20% - Ênfase6 6 2 2 3" xfId="4979" xr:uid="{3340B8E8-C2A8-473E-B7CB-9EE0F2A61C20}"/>
    <cellStyle name="20% - Ênfase6 6 2 3" xfId="2276" xr:uid="{46077CF5-E1E0-49CA-84A4-5DDA3962EDE3}"/>
    <cellStyle name="20% - Ênfase6 6 2 3 2" xfId="5904" xr:uid="{067776F2-D00D-4F4B-BF06-CE09335A979A}"/>
    <cellStyle name="20% - Ênfase6 6 2 4" xfId="4376" xr:uid="{C45D45C1-B3C3-475C-B5D8-5B2330A5CE37}"/>
    <cellStyle name="20% - Ênfase6 6 3" xfId="424" xr:uid="{DB5B38CA-6CCF-4B0D-ADB0-3A31FF7FFA12}"/>
    <cellStyle name="20% - Ênfase6 6 3 2" xfId="1616" xr:uid="{3ED49D18-4492-4C63-BFA8-E26FB7190F28}"/>
    <cellStyle name="20% - Ênfase6 6 3 2 2" xfId="3468" xr:uid="{7A66BFDF-0D50-442B-8735-A465AD1B483E}"/>
    <cellStyle name="20% - Ênfase6 6 3 2 2 2" xfId="7096" xr:uid="{CFF7F40E-9C9D-4830-AC9C-0831C64066E3}"/>
    <cellStyle name="20% - Ênfase6 6 3 2 3" xfId="5244" xr:uid="{88DCCA7E-C882-4DEB-BD79-3AEBEB481F31}"/>
    <cellStyle name="20% - Ênfase6 6 3 3" xfId="2541" xr:uid="{585C5BCB-DB72-4CEE-9BEC-0077DD537C0C}"/>
    <cellStyle name="20% - Ênfase6 6 3 3 2" xfId="6169" xr:uid="{EBA55A57-75B1-4C69-8686-E7AA448722F5}"/>
    <cellStyle name="20% - Ênfase6 6 3 4" xfId="4053" xr:uid="{C8684F18-60B7-4E75-97E8-36D8839A3ECF}"/>
    <cellStyle name="20% - Ênfase6 6 4" xfId="1029" xr:uid="{EC2A627E-8A1F-44BD-BA9C-9506B6D009DB}"/>
    <cellStyle name="20% - Ênfase6 6 4 2" xfId="2881" xr:uid="{1EB2318B-6310-4F71-A7BD-5D7C8A997B5C}"/>
    <cellStyle name="20% - Ênfase6 6 4 2 2" xfId="6509" xr:uid="{61313827-0BA5-4AB7-BD4F-56A011C236BB}"/>
    <cellStyle name="20% - Ênfase6 6 4 3" xfId="4657" xr:uid="{E551E5B8-A978-4DC1-81F1-ACDCE5CA3464}"/>
    <cellStyle name="20% - Ênfase6 6 5" xfId="1954" xr:uid="{603584E5-43B7-4FB5-837F-89B9A1103B40}"/>
    <cellStyle name="20% - Ênfase6 6 5 2" xfId="5582" xr:uid="{FA424A9A-F400-4F65-885D-30FF18DB9145}"/>
    <cellStyle name="20% - Ênfase6 6 6" xfId="3771" xr:uid="{5DC4A251-6945-41C8-98CD-9CF464CB7690}"/>
    <cellStyle name="20% - Ênfase6 7" xfId="162" xr:uid="{F44DA96E-B1E5-4D24-B551-5DD9F9629B7B}"/>
    <cellStyle name="20% - Ênfase6 7 2" xfId="768" xr:uid="{7364B9E3-CE88-45A7-A4C0-81089C5010AE}"/>
    <cellStyle name="20% - Ênfase6 7 2 2" xfId="1371" xr:uid="{57F5EC05-F15F-4D67-8503-860D2C6D0BB9}"/>
    <cellStyle name="20% - Ênfase6 7 2 2 2" xfId="3223" xr:uid="{119C0327-1A8B-4D70-8236-201127D168F0}"/>
    <cellStyle name="20% - Ênfase6 7 2 2 2 2" xfId="6851" xr:uid="{40C11659-355F-4148-9B20-CA1207D9005D}"/>
    <cellStyle name="20% - Ênfase6 7 2 2 3" xfId="4999" xr:uid="{FDC3ED11-62AC-4444-9E9C-C80C2AC00C61}"/>
    <cellStyle name="20% - Ênfase6 7 2 3" xfId="2296" xr:uid="{D19940DF-22B6-4ABF-AFE9-27F2DFE37726}"/>
    <cellStyle name="20% - Ênfase6 7 2 3 2" xfId="5924" xr:uid="{C7F08C6D-0EB0-43D2-BFC7-4653F0E185B5}"/>
    <cellStyle name="20% - Ênfase6 7 2 4" xfId="4396" xr:uid="{1FD5EB72-89E2-4851-81D1-ADAC8055029D}"/>
    <cellStyle name="20% - Ênfase6 7 3" xfId="444" xr:uid="{41983B12-1B18-4FA1-A286-F2E050E1A416}"/>
    <cellStyle name="20% - Ênfase6 7 3 2" xfId="1770" xr:uid="{F0C7A352-FFFA-4E40-8B3D-F6A7B52A8DAD}"/>
    <cellStyle name="20% - Ênfase6 7 3 2 2" xfId="3583" xr:uid="{6F926DEE-D6DB-41C4-9759-22D538893F93}"/>
    <cellStyle name="20% - Ênfase6 7 3 2 2 2" xfId="7211" xr:uid="{7D75557A-E86A-4E35-BF11-3A26BE996A37}"/>
    <cellStyle name="20% - Ênfase6 7 3 2 3" xfId="5398" xr:uid="{A1A318F5-6D10-4C15-9ED6-6E3CB44A82A9}"/>
    <cellStyle name="20% - Ênfase6 7 3 3" xfId="2695" xr:uid="{41AF6247-783A-4179-BFC8-C90EA6FCAAE6}"/>
    <cellStyle name="20% - Ênfase6 7 3 3 2" xfId="6323" xr:uid="{B29E1B53-74BC-43AB-AE87-748482FA0073}"/>
    <cellStyle name="20% - Ênfase6 7 3 4" xfId="4073" xr:uid="{0E40D063-9A9D-4F87-8EC2-AEB6F091DF90}"/>
    <cellStyle name="20% - Ênfase6 7 4" xfId="1049" xr:uid="{A8988256-819F-41F7-A7F4-09522900D11D}"/>
    <cellStyle name="20% - Ênfase6 7 4 2" xfId="2901" xr:uid="{30CBF9DF-5BEA-48A4-9502-9B379594CB8A}"/>
    <cellStyle name="20% - Ênfase6 7 4 2 2" xfId="6529" xr:uid="{C4CF2618-E981-499B-90EE-1876909E0383}"/>
    <cellStyle name="20% - Ênfase6 7 4 3" xfId="4677" xr:uid="{54854711-A337-4BF3-9A3D-B77CC0666B75}"/>
    <cellStyle name="20% - Ênfase6 7 5" xfId="1974" xr:uid="{4A4BE94A-7267-44B0-B250-074C970CD54D}"/>
    <cellStyle name="20% - Ênfase6 7 5 2" xfId="5602" xr:uid="{684F5C6F-7316-4F1C-B879-C7518FC7E55B}"/>
    <cellStyle name="20% - Ênfase6 7 6" xfId="3791" xr:uid="{74FD1494-B3EC-44FC-9A8E-FE249C916295}"/>
    <cellStyle name="20% - Ênfase6 8" xfId="182" xr:uid="{59D40456-AC20-48B9-AB28-42F96FC4D66E}"/>
    <cellStyle name="20% - Ênfase6 8 2" xfId="788" xr:uid="{28428FE3-AAF9-4A19-9EE1-D080ED841DF3}"/>
    <cellStyle name="20% - Ênfase6 8 2 2" xfId="1391" xr:uid="{DD1896DB-72FB-4AC0-A924-7F9E00B3C3E8}"/>
    <cellStyle name="20% - Ênfase6 8 2 2 2" xfId="3243" xr:uid="{18E53880-3BC2-437A-A5F9-CD4FD0D5DBF3}"/>
    <cellStyle name="20% - Ênfase6 8 2 2 2 2" xfId="6871" xr:uid="{0E43CF9E-30CA-4096-B874-26B599DD506F}"/>
    <cellStyle name="20% - Ênfase6 8 2 2 3" xfId="5019" xr:uid="{9B305D6C-F4F3-493A-9B0A-3BB8E3C4E0A2}"/>
    <cellStyle name="20% - Ênfase6 8 2 3" xfId="2316" xr:uid="{C8750FFA-EF1D-4129-8E6D-817106A686AE}"/>
    <cellStyle name="20% - Ênfase6 8 2 3 2" xfId="5944" xr:uid="{D051E0C5-1DE2-413F-A9EA-923550ED6013}"/>
    <cellStyle name="20% - Ênfase6 8 2 4" xfId="4416" xr:uid="{DF193978-71B9-4B53-B263-B4EFD4CF6E85}"/>
    <cellStyle name="20% - Ênfase6 8 3" xfId="464" xr:uid="{CB265F74-B198-4981-9C13-4AD8F208F80D}"/>
    <cellStyle name="20% - Ênfase6 8 3 2" xfId="1531" xr:uid="{FA0D4B68-0EAE-4D0A-A5F1-6AC2CE9D8DBC}"/>
    <cellStyle name="20% - Ênfase6 8 3 2 2" xfId="3383" xr:uid="{09B22A11-0A44-40D0-BC32-DAF37DE4F961}"/>
    <cellStyle name="20% - Ênfase6 8 3 2 2 2" xfId="7011" xr:uid="{21FB1CDC-FFE3-4D39-AFFE-B8A72B47B5F8}"/>
    <cellStyle name="20% - Ênfase6 8 3 2 3" xfId="5159" xr:uid="{CF10A3AA-0411-4474-B509-F0D7A301F2FF}"/>
    <cellStyle name="20% - Ênfase6 8 3 3" xfId="2456" xr:uid="{8625DB80-E499-45F8-A392-9D2C80723806}"/>
    <cellStyle name="20% - Ênfase6 8 3 3 2" xfId="6084" xr:uid="{A0188FB7-A761-4B1A-9865-480FB031D279}"/>
    <cellStyle name="20% - Ênfase6 8 3 4" xfId="4093" xr:uid="{257305A7-58A2-471A-871A-2C3835F4DC06}"/>
    <cellStyle name="20% - Ênfase6 8 4" xfId="1069" xr:uid="{E3FAC89D-7C90-4B33-A331-4E5FBC4CAC1F}"/>
    <cellStyle name="20% - Ênfase6 8 4 2" xfId="2921" xr:uid="{E9D04C66-F407-4136-A2ED-F0F56A89A21C}"/>
    <cellStyle name="20% - Ênfase6 8 4 2 2" xfId="6549" xr:uid="{FD3D0993-03A3-47F9-84D7-AE3ABAA977CB}"/>
    <cellStyle name="20% - Ênfase6 8 4 3" xfId="4697" xr:uid="{124D2CD1-4482-4A4B-A45E-5201287E1451}"/>
    <cellStyle name="20% - Ênfase6 8 5" xfId="1994" xr:uid="{D8693091-05D3-48CB-9C50-641660B1BA02}"/>
    <cellStyle name="20% - Ênfase6 8 5 2" xfId="5622" xr:uid="{36A122BE-4732-4C3F-9F1E-F9C9BE04E86A}"/>
    <cellStyle name="20% - Ênfase6 8 6" xfId="3811" xr:uid="{8AC38E3E-4D2A-4173-AE90-D9E64AA645C3}"/>
    <cellStyle name="20% - Ênfase6 9" xfId="202" xr:uid="{170357BE-F822-4FDD-BC67-BCCF39A23C17}"/>
    <cellStyle name="20% - Ênfase6 9 2" xfId="808" xr:uid="{9DC40F45-1323-47FB-A295-8A6EC6750926}"/>
    <cellStyle name="20% - Ênfase6 9 2 2" xfId="1411" xr:uid="{92B75FE8-4F43-49D6-9B23-B07271F70442}"/>
    <cellStyle name="20% - Ênfase6 9 2 2 2" xfId="3263" xr:uid="{62FA5CAF-B062-4C23-B988-6BD18B62B60C}"/>
    <cellStyle name="20% - Ênfase6 9 2 2 2 2" xfId="6891" xr:uid="{38580EAF-A5F3-461D-8EA3-7CEF875244F6}"/>
    <cellStyle name="20% - Ênfase6 9 2 2 3" xfId="5039" xr:uid="{2B6A20B3-D727-4844-9A51-A3AE69F69231}"/>
    <cellStyle name="20% - Ênfase6 9 2 3" xfId="2336" xr:uid="{DD35E7F5-0F51-4E54-854B-D8133D361D99}"/>
    <cellStyle name="20% - Ênfase6 9 2 3 2" xfId="5964" xr:uid="{8774D349-DEAD-4631-B3AA-F28885C308FA}"/>
    <cellStyle name="20% - Ênfase6 9 2 4" xfId="4436" xr:uid="{80646EB8-D03A-4A00-89E1-DA1CAD9ED1E5}"/>
    <cellStyle name="20% - Ênfase6 9 3" xfId="484" xr:uid="{B7F887CE-DBCC-48A2-B4DC-48D5DF23FF65}"/>
    <cellStyle name="20% - Ênfase6 9 3 2" xfId="1573" xr:uid="{5A48E36C-42F6-47BF-B5A5-A8568590D966}"/>
    <cellStyle name="20% - Ênfase6 9 3 2 2" xfId="3425" xr:uid="{13F1DF42-F2E7-4CF9-B2F7-746B65E52D9C}"/>
    <cellStyle name="20% - Ênfase6 9 3 2 2 2" xfId="7053" xr:uid="{38E7148A-6CD1-44C5-901F-601D0A41F999}"/>
    <cellStyle name="20% - Ênfase6 9 3 2 3" xfId="5201" xr:uid="{62ACCD2F-65DF-483E-BC97-13B8EFC0AF9E}"/>
    <cellStyle name="20% - Ênfase6 9 3 3" xfId="2498" xr:uid="{3AC8AB9F-9DAE-407C-B278-757777EAEC8F}"/>
    <cellStyle name="20% - Ênfase6 9 3 3 2" xfId="6126" xr:uid="{F84414EB-6DBA-468E-90DC-BA37CC6F49C9}"/>
    <cellStyle name="20% - Ênfase6 9 3 4" xfId="4113" xr:uid="{A2BD7F44-0B27-4D28-8A7A-DEDF9CEDB576}"/>
    <cellStyle name="20% - Ênfase6 9 4" xfId="1089" xr:uid="{796E3967-A3A3-4558-8ED6-12F95D696F15}"/>
    <cellStyle name="20% - Ênfase6 9 4 2" xfId="2941" xr:uid="{662DB2D2-4CA2-4C55-A9C4-63743A73CA26}"/>
    <cellStyle name="20% - Ênfase6 9 4 2 2" xfId="6569" xr:uid="{3A52039C-B85C-46F6-85DE-FE60949FCCE1}"/>
    <cellStyle name="20% - Ênfase6 9 4 3" xfId="4717" xr:uid="{F14777AC-3545-463E-B1C4-6E5799C93A14}"/>
    <cellStyle name="20% - Ênfase6 9 5" xfId="2014" xr:uid="{DD1F29B1-A4A2-41DE-B753-CDE3AAD73201}"/>
    <cellStyle name="20% - Ênfase6 9 5 2" xfId="5642" xr:uid="{0C1F8AE3-F1A5-4049-8DB3-BD3118A93CAB}"/>
    <cellStyle name="20% - Ênfase6 9 6" xfId="3831" xr:uid="{18BD9FDF-0C55-46F7-B9C7-759B79006A7D}"/>
    <cellStyle name="40% - Ênfase1" xfId="20" builtinId="31" customBuiltin="1"/>
    <cellStyle name="40% - Ênfase1 10" xfId="209" xr:uid="{B114C9DA-43D0-45CB-A1C4-6FB2A0B5763A}"/>
    <cellStyle name="40% - Ênfase1 10 2" xfId="815" xr:uid="{778C75CA-D793-46D8-A549-A045152B345B}"/>
    <cellStyle name="40% - Ênfase1 10 2 2" xfId="1418" xr:uid="{DB2C7C59-20D9-4880-A8C6-9EB5BA8C391E}"/>
    <cellStyle name="40% - Ênfase1 10 2 2 2" xfId="3270" xr:uid="{D893833E-C087-449A-8699-EB30FADE8B6F}"/>
    <cellStyle name="40% - Ênfase1 10 2 2 2 2" xfId="6898" xr:uid="{5799ECA8-2552-48A7-91D4-F6C99AF42A21}"/>
    <cellStyle name="40% - Ênfase1 10 2 2 3" xfId="5046" xr:uid="{12BE0BC7-C032-434E-A065-B5D91B269D6B}"/>
    <cellStyle name="40% - Ênfase1 10 2 3" xfId="2343" xr:uid="{1D982583-1AFF-4B59-A772-155E2D9EB96F}"/>
    <cellStyle name="40% - Ênfase1 10 2 3 2" xfId="5971" xr:uid="{63A0BB73-5AEF-46B6-96F3-CCD937948E2B}"/>
    <cellStyle name="40% - Ênfase1 10 2 4" xfId="4443" xr:uid="{3B63AA10-F7AC-41A0-8974-B21B45D1D554}"/>
    <cellStyle name="40% - Ênfase1 10 3" xfId="491" xr:uid="{995D7FD8-B46B-4C06-9405-33CC1607A0DE}"/>
    <cellStyle name="40% - Ênfase1 10 3 2" xfId="1631" xr:uid="{6E7ED1C2-8331-458D-968D-BE6AE7323775}"/>
    <cellStyle name="40% - Ênfase1 10 3 2 2" xfId="3483" xr:uid="{F8E54A97-43DC-4E83-BAE0-C25683EA551C}"/>
    <cellStyle name="40% - Ênfase1 10 3 2 2 2" xfId="7111" xr:uid="{B85ECDA3-3817-461E-82A7-229C19563F57}"/>
    <cellStyle name="40% - Ênfase1 10 3 2 3" xfId="5259" xr:uid="{5405C834-C425-46B2-90BA-BA18951E0E1D}"/>
    <cellStyle name="40% - Ênfase1 10 3 3" xfId="2556" xr:uid="{7A0F1907-858B-4776-837A-A7743A8B858C}"/>
    <cellStyle name="40% - Ênfase1 10 3 3 2" xfId="6184" xr:uid="{D247ECCF-4981-426E-855D-B4650F83ACD2}"/>
    <cellStyle name="40% - Ênfase1 10 3 4" xfId="4120" xr:uid="{94B0E10C-DB64-4699-AA43-D8729E7B3CC3}"/>
    <cellStyle name="40% - Ênfase1 10 4" xfId="1096" xr:uid="{68F30939-D3BB-4FCB-ADA0-7BA4FAD5FEB8}"/>
    <cellStyle name="40% - Ênfase1 10 4 2" xfId="2948" xr:uid="{870BE642-127B-41A3-BF48-A683331D2B2D}"/>
    <cellStyle name="40% - Ênfase1 10 4 2 2" xfId="6576" xr:uid="{13C5C754-E55A-47E6-A6EA-2A826FD19588}"/>
    <cellStyle name="40% - Ênfase1 10 4 3" xfId="4724" xr:uid="{D8CCAC43-A470-4CEE-9651-87B5229A0477}"/>
    <cellStyle name="40% - Ênfase1 10 5" xfId="2021" xr:uid="{99D02EAC-A819-4484-A5BE-043478A48F27}"/>
    <cellStyle name="40% - Ênfase1 10 5 2" xfId="5649" xr:uid="{7E61126A-C715-4FEC-A624-1A95AEC1A97D}"/>
    <cellStyle name="40% - Ênfase1 10 6" xfId="3838" xr:uid="{56BD0B9E-D02E-42F8-9C8A-DBA8A74E7565}"/>
    <cellStyle name="40% - Ênfase1 11" xfId="229" xr:uid="{3ECB341A-45B1-40B9-8B39-81806F94EA5B}"/>
    <cellStyle name="40% - Ênfase1 11 2" xfId="835" xr:uid="{36D3FD86-6972-4470-BCC6-E5CAD700A05E}"/>
    <cellStyle name="40% - Ênfase1 11 2 2" xfId="1438" xr:uid="{0E6DE728-A235-48D3-A9A8-3FF29B45CF1F}"/>
    <cellStyle name="40% - Ênfase1 11 2 2 2" xfId="3290" xr:uid="{D2DA6253-9FE7-4391-9B96-2213ED88041D}"/>
    <cellStyle name="40% - Ênfase1 11 2 2 2 2" xfId="6918" xr:uid="{DCD360A5-2661-4728-862F-DEC576DC0686}"/>
    <cellStyle name="40% - Ênfase1 11 2 2 3" xfId="5066" xr:uid="{AE27FFAD-8931-476B-B331-AE77D60AA573}"/>
    <cellStyle name="40% - Ênfase1 11 2 3" xfId="2363" xr:uid="{893ADC03-A21C-4736-9AE8-E8390A4B2E51}"/>
    <cellStyle name="40% - Ênfase1 11 2 3 2" xfId="5991" xr:uid="{BE3492F1-7D1B-48B7-93F6-2508B0337655}"/>
    <cellStyle name="40% - Ênfase1 11 2 4" xfId="4463" xr:uid="{A045383E-65A8-4043-A214-7F66CD5ABB5F}"/>
    <cellStyle name="40% - Ênfase1 11 3" xfId="511" xr:uid="{56B79F6A-3FAF-4D5E-9DCC-137CDEBF786B}"/>
    <cellStyle name="40% - Ênfase1 11 3 2" xfId="1691" xr:uid="{5283919E-1ACF-41D7-9363-7F566AF1ACD6}"/>
    <cellStyle name="40% - Ênfase1 11 3 2 2" xfId="3504" xr:uid="{1F8B43C9-FE23-4A86-A737-EEF7E146D062}"/>
    <cellStyle name="40% - Ênfase1 11 3 2 2 2" xfId="7132" xr:uid="{27B6A693-CDDB-43A0-B547-01A98EF5EAD4}"/>
    <cellStyle name="40% - Ênfase1 11 3 2 3" xfId="5319" xr:uid="{0F8375D5-8C61-4B7D-8422-7DC189E133EE}"/>
    <cellStyle name="40% - Ênfase1 11 3 3" xfId="2616" xr:uid="{055833E4-9366-4C2F-9104-F9C3960E127C}"/>
    <cellStyle name="40% - Ênfase1 11 3 3 2" xfId="6244" xr:uid="{2B092809-5DF8-4588-B37D-7771200BA4E1}"/>
    <cellStyle name="40% - Ênfase1 11 3 4" xfId="4140" xr:uid="{C2EC10C9-A97B-404B-A22B-8C878A2EAA07}"/>
    <cellStyle name="40% - Ênfase1 11 4" xfId="1116" xr:uid="{36D0F3E1-BB83-44C5-AA4B-FF817108322F}"/>
    <cellStyle name="40% - Ênfase1 11 4 2" xfId="2968" xr:uid="{951C4BD5-5636-4E4A-96E0-1DBE122BF8EA}"/>
    <cellStyle name="40% - Ênfase1 11 4 2 2" xfId="6596" xr:uid="{D8D22B5E-9229-4242-B5A3-0561D543DAAA}"/>
    <cellStyle name="40% - Ênfase1 11 4 3" xfId="4744" xr:uid="{C9289BAA-DF0A-4E8A-9908-F0A4D339882C}"/>
    <cellStyle name="40% - Ênfase1 11 5" xfId="2041" xr:uid="{247FEA42-6418-4445-8B10-DAE9C7F4A3B8}"/>
    <cellStyle name="40% - Ênfase1 11 5 2" xfId="5669" xr:uid="{32D1BFD8-13FB-42CB-B186-430A4542B721}"/>
    <cellStyle name="40% - Ênfase1 11 6" xfId="3858" xr:uid="{6B0C820C-F01D-4524-A76D-42927A960534}"/>
    <cellStyle name="40% - Ênfase1 12" xfId="249" xr:uid="{2F689C53-3496-465F-928A-ECC8F6F2D3E3}"/>
    <cellStyle name="40% - Ênfase1 12 2" xfId="855" xr:uid="{E4E13D16-6ACB-403E-A86A-8FE746CCD2C2}"/>
    <cellStyle name="40% - Ênfase1 12 2 2" xfId="1458" xr:uid="{21DF4FBA-3E76-463D-8169-2103B1DFDE16}"/>
    <cellStyle name="40% - Ênfase1 12 2 2 2" xfId="3310" xr:uid="{1444D8BE-CF2B-4AB1-840E-FD9FE60D71DE}"/>
    <cellStyle name="40% - Ênfase1 12 2 2 2 2" xfId="6938" xr:uid="{11C41E89-DE5F-4DAA-89E8-AAFCD25627D5}"/>
    <cellStyle name="40% - Ênfase1 12 2 2 3" xfId="5086" xr:uid="{8146CCFE-EB47-4692-AA20-873B8C5FAD75}"/>
    <cellStyle name="40% - Ênfase1 12 2 3" xfId="2383" xr:uid="{9D8B7F1A-98BB-4E76-A77C-23BC4A384127}"/>
    <cellStyle name="40% - Ênfase1 12 2 3 2" xfId="6011" xr:uid="{032BD9FF-449A-4735-BD4F-52AE656DCC16}"/>
    <cellStyle name="40% - Ênfase1 12 2 4" xfId="4483" xr:uid="{50416104-B40A-492B-A1AD-844BBB04D0A2}"/>
    <cellStyle name="40% - Ênfase1 12 3" xfId="531" xr:uid="{16845ECD-2CC7-4C56-9A0F-CC6A4993D6CC}"/>
    <cellStyle name="40% - Ênfase1 12 3 2" xfId="1706" xr:uid="{C513123C-31C0-4874-8D0F-55E0DA060295}"/>
    <cellStyle name="40% - Ênfase1 12 3 2 2" xfId="3519" xr:uid="{B2D4F315-18A5-4F62-ABC6-8BF2E1A4B388}"/>
    <cellStyle name="40% - Ênfase1 12 3 2 2 2" xfId="7147" xr:uid="{BE57F7DB-83CF-4707-82B9-B1F048967B2D}"/>
    <cellStyle name="40% - Ênfase1 12 3 2 3" xfId="5334" xr:uid="{AD51DF98-0651-42A6-B470-EF741CEAC9EE}"/>
    <cellStyle name="40% - Ênfase1 12 3 3" xfId="2631" xr:uid="{3A67FF2C-5D26-477B-A30C-055AD27F79BE}"/>
    <cellStyle name="40% - Ênfase1 12 3 3 2" xfId="6259" xr:uid="{FC287CB7-D745-4BB8-BF44-93A71280C4A2}"/>
    <cellStyle name="40% - Ênfase1 12 3 4" xfId="4160" xr:uid="{ED44BC5F-12EB-4C0F-9E4B-F2DB230AE95C}"/>
    <cellStyle name="40% - Ênfase1 12 4" xfId="1136" xr:uid="{C9B974BA-8C3D-4DCA-B6EC-C548B43164CF}"/>
    <cellStyle name="40% - Ênfase1 12 4 2" xfId="2988" xr:uid="{190E789A-9DC2-4640-8D33-1BD4B6F4A1CF}"/>
    <cellStyle name="40% - Ênfase1 12 4 2 2" xfId="6616" xr:uid="{1CC46383-A0AD-4984-A063-A0A7A227DCAF}"/>
    <cellStyle name="40% - Ênfase1 12 4 3" xfId="4764" xr:uid="{D2B026AC-5A5B-4433-A466-768463A85E8A}"/>
    <cellStyle name="40% - Ênfase1 12 5" xfId="2061" xr:uid="{0A2137CB-76AE-4D9D-84BB-D2B66CC06C05}"/>
    <cellStyle name="40% - Ênfase1 12 5 2" xfId="5689" xr:uid="{D3669149-DE4B-45B3-9746-7C65548795E8}"/>
    <cellStyle name="40% - Ênfase1 12 6" xfId="3878" xr:uid="{ADAC880A-58E3-4918-9949-E119C304930A}"/>
    <cellStyle name="40% - Ênfase1 13" xfId="269" xr:uid="{6B4A6474-E4F9-459F-AC66-E804F3983588}"/>
    <cellStyle name="40% - Ênfase1 13 2" xfId="875" xr:uid="{14ECF224-474E-4122-A0AD-47A4229C065D}"/>
    <cellStyle name="40% - Ênfase1 13 2 2" xfId="1478" xr:uid="{434BBCF2-00DA-47DD-BF02-9DDDEE45A994}"/>
    <cellStyle name="40% - Ênfase1 13 2 2 2" xfId="3330" xr:uid="{96FFFFB4-8626-4915-A379-A8A9CBF97D83}"/>
    <cellStyle name="40% - Ênfase1 13 2 2 2 2" xfId="6958" xr:uid="{A41457CF-A7F0-4987-AB93-8133559AB331}"/>
    <cellStyle name="40% - Ênfase1 13 2 2 3" xfId="5106" xr:uid="{354C4580-B39D-4987-B381-04F5D6AEDDAE}"/>
    <cellStyle name="40% - Ênfase1 13 2 3" xfId="2403" xr:uid="{B2F0A723-EF75-4B81-A6EB-0CCDF66C0DDC}"/>
    <cellStyle name="40% - Ênfase1 13 2 3 2" xfId="6031" xr:uid="{861D4993-C21E-41E0-BE49-676A644D2B01}"/>
    <cellStyle name="40% - Ênfase1 13 2 4" xfId="4503" xr:uid="{ECBEAD62-CCC0-487F-B094-40718D46E042}"/>
    <cellStyle name="40% - Ênfase1 13 3" xfId="551" xr:uid="{C938D9B7-5A72-4E2E-9524-CE74C93D2938}"/>
    <cellStyle name="40% - Ênfase1 13 3 2" xfId="1626" xr:uid="{F2A457C6-F2B1-46E8-A1D6-30781C5B605D}"/>
    <cellStyle name="40% - Ênfase1 13 3 2 2" xfId="3478" xr:uid="{6E754E70-A3BA-4E81-9270-4BF7DCEA7764}"/>
    <cellStyle name="40% - Ênfase1 13 3 2 2 2" xfId="7106" xr:uid="{210D24B1-3452-4BCE-BDCC-F53814CF1548}"/>
    <cellStyle name="40% - Ênfase1 13 3 2 3" xfId="5254" xr:uid="{0F493B2F-21BF-442B-B2DE-55450EEF683B}"/>
    <cellStyle name="40% - Ênfase1 13 3 3" xfId="2551" xr:uid="{2DC310AB-4138-4060-B659-A25D6874AD95}"/>
    <cellStyle name="40% - Ênfase1 13 3 3 2" xfId="6179" xr:uid="{3372867C-7F06-4C34-AAED-50EDE0D036E6}"/>
    <cellStyle name="40% - Ênfase1 13 3 4" xfId="4180" xr:uid="{0FF1CB9B-91D1-4EE2-8160-76E0DE35DC98}"/>
    <cellStyle name="40% - Ênfase1 13 4" xfId="1156" xr:uid="{A1F88DBC-9605-4C39-8719-959E15F2E29B}"/>
    <cellStyle name="40% - Ênfase1 13 4 2" xfId="3008" xr:uid="{005C9529-5D10-4E37-932B-168D002C2A6A}"/>
    <cellStyle name="40% - Ênfase1 13 4 2 2" xfId="6636" xr:uid="{E5C5A4A0-7627-4792-A68B-D9EF7C3C8248}"/>
    <cellStyle name="40% - Ênfase1 13 4 3" xfId="4784" xr:uid="{11D227F0-BEB6-4C16-B051-AE73D581E34F}"/>
    <cellStyle name="40% - Ênfase1 13 5" xfId="2081" xr:uid="{29F1E484-0BDC-4059-8E3F-DBD3B076EF66}"/>
    <cellStyle name="40% - Ênfase1 13 5 2" xfId="5709" xr:uid="{908B1FCA-939A-4286-9D15-1599DA8A760F}"/>
    <cellStyle name="40% - Ênfase1 13 6" xfId="3898" xr:uid="{58FE12E1-7038-4EA2-9BAB-A8A6952F54A4}"/>
    <cellStyle name="40% - Ênfase1 14" xfId="289" xr:uid="{B092D708-E6EB-435C-9757-086D144319C3}"/>
    <cellStyle name="40% - Ênfase1 14 2" xfId="895" xr:uid="{6BBE6961-0E74-4B0A-8B61-BFEE6DC8F7AF}"/>
    <cellStyle name="40% - Ênfase1 14 2 2" xfId="1498" xr:uid="{ACB1F8A7-95D4-4673-A6AB-CB0FEAB75C6D}"/>
    <cellStyle name="40% - Ênfase1 14 2 2 2" xfId="3350" xr:uid="{A47408D5-BF14-454E-9416-73E8D815EE58}"/>
    <cellStyle name="40% - Ênfase1 14 2 2 2 2" xfId="6978" xr:uid="{68361324-17B1-45A4-8E33-FD0C4C92CA36}"/>
    <cellStyle name="40% - Ênfase1 14 2 2 3" xfId="5126" xr:uid="{72120D12-780A-4699-A442-4C3E71E2B6B7}"/>
    <cellStyle name="40% - Ênfase1 14 2 3" xfId="2423" xr:uid="{D985579D-4786-4FCB-9BAD-604375DDC4AE}"/>
    <cellStyle name="40% - Ênfase1 14 2 3 2" xfId="6051" xr:uid="{E0600627-5E25-4DA7-88DE-6648475339A8}"/>
    <cellStyle name="40% - Ênfase1 14 2 4" xfId="4523" xr:uid="{0205E888-D6B9-4464-BA3A-EEC3D5676646}"/>
    <cellStyle name="40% - Ênfase1 14 3" xfId="571" xr:uid="{FC96BA1D-5F5A-436A-B306-19485C7CBA95}"/>
    <cellStyle name="40% - Ênfase1 14 3 2" xfId="1601" xr:uid="{779C17BB-914A-4208-ACAC-8EAB9A5E9610}"/>
    <cellStyle name="40% - Ênfase1 14 3 2 2" xfId="3453" xr:uid="{F8C0699A-D003-42B9-AB37-7DF23D9F7427}"/>
    <cellStyle name="40% - Ênfase1 14 3 2 2 2" xfId="7081" xr:uid="{96CF3FB6-8E79-4C49-ACC2-979C493D6125}"/>
    <cellStyle name="40% - Ênfase1 14 3 2 3" xfId="5229" xr:uid="{92A557C0-4F4A-43BB-9B18-D08A2EBE6BF3}"/>
    <cellStyle name="40% - Ênfase1 14 3 3" xfId="2526" xr:uid="{3E331642-53C4-4644-A641-69CCE8A0EB29}"/>
    <cellStyle name="40% - Ênfase1 14 3 3 2" xfId="6154" xr:uid="{913745C4-2411-4CE7-A612-EC9AEC04212A}"/>
    <cellStyle name="40% - Ênfase1 14 3 4" xfId="4200" xr:uid="{E4CEFA6F-D954-451F-999A-5F518271AFDD}"/>
    <cellStyle name="40% - Ênfase1 14 4" xfId="1176" xr:uid="{2328DD2B-50E6-4356-B1A3-9F57FD808772}"/>
    <cellStyle name="40% - Ênfase1 14 4 2" xfId="3028" xr:uid="{C06C629C-DCA2-4557-89B9-28EFB8FFD136}"/>
    <cellStyle name="40% - Ênfase1 14 4 2 2" xfId="6656" xr:uid="{2EFCDDD1-4174-4628-AB98-1520A8FBC7F6}"/>
    <cellStyle name="40% - Ênfase1 14 4 3" xfId="4804" xr:uid="{4CBE9900-EEB4-467D-959C-7717C4FDE8BB}"/>
    <cellStyle name="40% - Ênfase1 14 5" xfId="2101" xr:uid="{919C4FF4-F352-4FAA-8B29-85C5FCD82E57}"/>
    <cellStyle name="40% - Ênfase1 14 5 2" xfId="5729" xr:uid="{53163F90-5156-41B5-9C70-11596BADF332}"/>
    <cellStyle name="40% - Ênfase1 14 6" xfId="3918" xr:uid="{4943E62C-A5F2-486F-8FBB-102977E9894E}"/>
    <cellStyle name="40% - Ênfase1 15" xfId="591" xr:uid="{68AA2841-DFFC-4DC7-8523-6F67FA15FFAC}"/>
    <cellStyle name="40% - Ênfase1 15 2" xfId="1654" xr:uid="{EB7A9553-22AB-4278-AF59-D326313F1EB1}"/>
    <cellStyle name="40% - Ênfase1 15 2 2" xfId="2579" xr:uid="{369174D7-43F4-459B-BF2D-312EB7E51C6B}"/>
    <cellStyle name="40% - Ênfase1 15 2 2 2" xfId="6207" xr:uid="{AB946583-FD0F-4F3E-A8C7-62D1F7144308}"/>
    <cellStyle name="40% - Ênfase1 15 2 3" xfId="5282" xr:uid="{2822A6BF-E4B9-4CE4-9097-619000A9A9D5}"/>
    <cellStyle name="40% - Ênfase1 15 3" xfId="1196" xr:uid="{5D9B11BB-C4ED-49B6-BD97-1DDE1B192780}"/>
    <cellStyle name="40% - Ênfase1 15 3 2" xfId="3048" xr:uid="{08AFD1BB-43E9-417B-A8E8-DFE501ACFF11}"/>
    <cellStyle name="40% - Ênfase1 15 3 2 2" xfId="6676" xr:uid="{8670CB85-12B1-42DA-9517-9412102F97A9}"/>
    <cellStyle name="40% - Ênfase1 15 3 3" xfId="4824" xr:uid="{174081DE-72B9-42DE-BCFB-720B1920B684}"/>
    <cellStyle name="40% - Ênfase1 15 4" xfId="2121" xr:uid="{F373B314-307C-4381-BCD9-5D4BF37DF464}"/>
    <cellStyle name="40% - Ênfase1 15 4 2" xfId="5749" xr:uid="{7C94A37F-4B74-45DB-B6E6-28A4066F6DB6}"/>
    <cellStyle name="40% - Ênfase1 15 5" xfId="4220" xr:uid="{852116B2-D3DB-4886-8FF7-530B66C9E08F}"/>
    <cellStyle name="40% - Ênfase1 16" xfId="611" xr:uid="{C1A1F1E4-FC1F-4E3F-8A70-55810B75ECE3}"/>
    <cellStyle name="40% - Ênfase1 16 2" xfId="1674" xr:uid="{5071C000-7DA0-49F9-ACCF-A3D5E0822BDC}"/>
    <cellStyle name="40% - Ênfase1 16 2 2" xfId="2599" xr:uid="{CFCB2380-FC66-465A-BD5D-493FF31A25B3}"/>
    <cellStyle name="40% - Ênfase1 16 2 2 2" xfId="6227" xr:uid="{5EE260E1-AE40-41A1-BA31-2B3E5562770C}"/>
    <cellStyle name="40% - Ênfase1 16 2 3" xfId="5302" xr:uid="{5BCF2CE2-A9EC-450F-A2A2-AB2959E24C5C}"/>
    <cellStyle name="40% - Ênfase1 16 3" xfId="1216" xr:uid="{EA45A1D4-6DF6-49DB-B6D1-8F9375B66E36}"/>
    <cellStyle name="40% - Ênfase1 16 3 2" xfId="3068" xr:uid="{B865A84D-6264-408D-8B48-224638CFC70C}"/>
    <cellStyle name="40% - Ênfase1 16 3 2 2" xfId="6696" xr:uid="{80F60E99-FD6A-4D85-8552-55BBFEC93453}"/>
    <cellStyle name="40% - Ênfase1 16 3 3" xfId="4844" xr:uid="{851EBD9A-E86B-4D63-88FC-09993AE3D240}"/>
    <cellStyle name="40% - Ênfase1 16 4" xfId="2141" xr:uid="{2771FB90-35EF-4450-B98F-802DEA51727A}"/>
    <cellStyle name="40% - Ênfase1 16 4 2" xfId="5769" xr:uid="{275426CD-9962-40E3-A337-59F8429610B1}"/>
    <cellStyle name="40% - Ênfase1 16 5" xfId="4240" xr:uid="{0B5CDC69-B410-40C9-AFDC-9FC2C55B543F}"/>
    <cellStyle name="40% - Ênfase1 17" xfId="631" xr:uid="{403CC2BB-4E52-46A7-8442-A99155FFA8DA}"/>
    <cellStyle name="40% - Ênfase1 17 2" xfId="1235" xr:uid="{B9C85878-6D90-44AE-993F-523005391108}"/>
    <cellStyle name="40% - Ênfase1 17 2 2" xfId="3087" xr:uid="{EF6FBAE8-90DD-4AB0-90AB-D08FC81F8CB1}"/>
    <cellStyle name="40% - Ênfase1 17 2 2 2" xfId="6715" xr:uid="{DC2AC4B8-A0CA-4A07-B639-72B3CA723AF2}"/>
    <cellStyle name="40% - Ênfase1 17 2 3" xfId="4863" xr:uid="{6E8DD46C-9288-445D-9996-A09FCD9AB61E}"/>
    <cellStyle name="40% - Ênfase1 17 3" xfId="2160" xr:uid="{BB5D88B0-5643-4D34-9B85-6702992F1AF7}"/>
    <cellStyle name="40% - Ênfase1 17 3 2" xfId="5788" xr:uid="{B2CF65F2-5A39-42F1-BAA8-4F2F4D67BBA8}"/>
    <cellStyle name="40% - Ênfase1 17 4" xfId="4260" xr:uid="{493B259A-EA1D-479B-BC5A-BEFC7BACE31D}"/>
    <cellStyle name="40% - Ênfase1 18" xfId="308" xr:uid="{740FF10C-1D07-45D8-8A41-19EB28B3194D}"/>
    <cellStyle name="40% - Ênfase1 18 2" xfId="1525" xr:uid="{DC7DC3AF-94BA-40BD-A2B7-CAB81F868254}"/>
    <cellStyle name="40% - Ênfase1 18 2 2" xfId="3377" xr:uid="{F4D74921-A6D6-4846-9001-63A61F4E614C}"/>
    <cellStyle name="40% - Ênfase1 18 2 2 2" xfId="7005" xr:uid="{42B065ED-C5AF-4A58-BDE9-FCCBB120D2C2}"/>
    <cellStyle name="40% - Ênfase1 18 2 3" xfId="5153" xr:uid="{E5CC75D9-E7BC-4129-B6EB-3788A9AE05F7}"/>
    <cellStyle name="40% - Ênfase1 18 3" xfId="2450" xr:uid="{28F8C992-B61A-4981-AC43-B462C6C18DE8}"/>
    <cellStyle name="40% - Ênfase1 18 3 2" xfId="6078" xr:uid="{8303AAC2-6FFF-4F77-B7BF-0050989027BB}"/>
    <cellStyle name="40% - Ênfase1 18 4" xfId="3937" xr:uid="{6F53753D-8C27-4F6B-B6E1-3451A12E3CEB}"/>
    <cellStyle name="40% - Ênfase1 19" xfId="913" xr:uid="{CA4215EE-88B4-42D9-B379-6DDD93DC9DA6}"/>
    <cellStyle name="40% - Ênfase1 19 2" xfId="2765" xr:uid="{D130DC29-E13B-469D-8948-19BF1353DE8E}"/>
    <cellStyle name="40% - Ênfase1 19 2 2" xfId="6393" xr:uid="{9AF4FC64-0DF2-49F5-8BB7-8FD0CA43A062}"/>
    <cellStyle name="40% - Ênfase1 19 3" xfId="4541" xr:uid="{6DAD33F9-2BF6-45C2-9DDC-E51FA19A8EC9}"/>
    <cellStyle name="40% - Ênfase1 2" xfId="48" xr:uid="{FEC20DBB-64B3-479F-A11B-717162751A32}"/>
    <cellStyle name="40% - Ênfase1 2 2" xfId="654" xr:uid="{3C0A533B-8260-4464-B58B-89CD443F4E29}"/>
    <cellStyle name="40% - Ênfase1 2 2 2" xfId="1257" xr:uid="{66CFB529-2852-4F67-B02E-16ACF3414F9A}"/>
    <cellStyle name="40% - Ênfase1 2 2 2 2" xfId="3109" xr:uid="{B4562942-EFF1-4542-B80C-33E1A72EE160}"/>
    <cellStyle name="40% - Ênfase1 2 2 2 2 2" xfId="6737" xr:uid="{09D4E284-2CC9-4A06-A29E-290C4D08362D}"/>
    <cellStyle name="40% - Ênfase1 2 2 2 3" xfId="4885" xr:uid="{FBC9D0C1-571B-48A7-813F-B59D3B8805D6}"/>
    <cellStyle name="40% - Ênfase1 2 2 3" xfId="2182" xr:uid="{FDD60BB1-7E94-4F98-8EFD-6E0A39FAA812}"/>
    <cellStyle name="40% - Ênfase1 2 2 3 2" xfId="5810" xr:uid="{7BFFE208-2669-4CDF-810E-4D78B7879D6B}"/>
    <cellStyle name="40% - Ênfase1 2 2 4" xfId="4282" xr:uid="{A31EF300-668A-4AFB-A840-D191D8D0736F}"/>
    <cellStyle name="40% - Ênfase1 2 3" xfId="330" xr:uid="{AABD299E-6398-435A-A47D-AC9A9E5CD165}"/>
    <cellStyle name="40% - Ênfase1 2 3 2" xfId="1735" xr:uid="{1FC4E175-8519-4B0A-BCEB-8F651A5FA3D6}"/>
    <cellStyle name="40% - Ênfase1 2 3 2 2" xfId="3548" xr:uid="{53207AFC-5AB0-4C4B-9028-538CE3C4D7B0}"/>
    <cellStyle name="40% - Ênfase1 2 3 2 2 2" xfId="7176" xr:uid="{3A52A617-511C-446E-B53F-9F75795E6F37}"/>
    <cellStyle name="40% - Ênfase1 2 3 2 3" xfId="5363" xr:uid="{FB6C2C98-0BFE-408F-8CAC-5C0AB4020236}"/>
    <cellStyle name="40% - Ênfase1 2 3 3" xfId="2660" xr:uid="{6AC03908-2E20-4DB6-97B7-181F576FDD52}"/>
    <cellStyle name="40% - Ênfase1 2 3 3 2" xfId="6288" xr:uid="{F68C7675-CFD9-4F24-AF53-3DE540AEEA58}"/>
    <cellStyle name="40% - Ênfase1 2 3 4" xfId="3959" xr:uid="{FAA75E04-A37E-40B1-ACAA-F511A5B24DE8}"/>
    <cellStyle name="40% - Ênfase1 2 4" xfId="935" xr:uid="{92ABFEEA-06A4-47D3-B2FC-201EF8E44DE0}"/>
    <cellStyle name="40% - Ênfase1 2 4 2" xfId="2787" xr:uid="{5DCF4D4A-F78C-450A-AAC2-A141AC593E13}"/>
    <cellStyle name="40% - Ênfase1 2 4 2 2" xfId="6415" xr:uid="{761CF627-2EFD-4B4A-AA79-586B56BDB749}"/>
    <cellStyle name="40% - Ênfase1 2 4 3" xfId="4563" xr:uid="{E4A283A2-70BF-4A24-9A3B-D9B1E60F52EA}"/>
    <cellStyle name="40% - Ênfase1 2 5" xfId="1860" xr:uid="{7EA61AED-48EF-4B14-8C5F-46661ADF61D6}"/>
    <cellStyle name="40% - Ênfase1 2 5 2" xfId="5488" xr:uid="{F0981AEF-E371-472F-90EC-1F7F90AD3D80}"/>
    <cellStyle name="40% - Ênfase1 2 6" xfId="3677" xr:uid="{B4F54D93-6803-4FF5-9802-A409AF2F4D09}"/>
    <cellStyle name="40% - Ênfase1 20" xfId="1838" xr:uid="{75246792-1DA4-42C5-A513-57AF335D70B6}"/>
    <cellStyle name="40% - Ênfase1 20 2" xfId="5466" xr:uid="{48FB97C7-508B-41B1-91C9-A8CC0DE22B78}"/>
    <cellStyle name="40% - Ênfase1 21" xfId="3653" xr:uid="{647527C3-3F6E-4FBA-92C3-FEE1C8D4EC70}"/>
    <cellStyle name="40% - Ênfase1 3" xfId="66" xr:uid="{341E7645-79D8-488F-83C6-EF3210A658B9}"/>
    <cellStyle name="40% - Ênfase1 3 2" xfId="672" xr:uid="{EA414AD1-E3C1-423B-8CBE-AA1400A1D7F9}"/>
    <cellStyle name="40% - Ênfase1 3 2 2" xfId="1275" xr:uid="{2F4D5FD8-9E2E-41E5-98BD-C6B0E151264C}"/>
    <cellStyle name="40% - Ênfase1 3 2 2 2" xfId="3127" xr:uid="{EEFA0C8A-5093-4222-8CB0-00CCDAC72740}"/>
    <cellStyle name="40% - Ênfase1 3 2 2 2 2" xfId="6755" xr:uid="{060DA810-3D61-4F80-B9B0-2FD94A97F1EF}"/>
    <cellStyle name="40% - Ênfase1 3 2 2 3" xfId="4903" xr:uid="{61CB9926-0343-461D-ACA7-E8FCEAE31892}"/>
    <cellStyle name="40% - Ênfase1 3 2 3" xfId="2200" xr:uid="{42DFA9AA-3903-4013-B3DE-109838BB7053}"/>
    <cellStyle name="40% - Ênfase1 3 2 3 2" xfId="5828" xr:uid="{DE39CC6B-6162-4A4B-BBEF-05848FAAAC0E}"/>
    <cellStyle name="40% - Ênfase1 3 2 4" xfId="4300" xr:uid="{986367FB-D9D2-4D08-A4CE-C3779D1CF9E3}"/>
    <cellStyle name="40% - Ênfase1 3 3" xfId="348" xr:uid="{49AB1AD6-2692-4F02-8D5D-5565BFA8A56B}"/>
    <cellStyle name="40% - Ênfase1 3 3 2" xfId="1767" xr:uid="{2598D005-7A36-4B40-BFC3-DDD93E1E0389}"/>
    <cellStyle name="40% - Ênfase1 3 3 2 2" xfId="3580" xr:uid="{F6B70DF7-B21E-4CBF-B48B-283882B6A0E3}"/>
    <cellStyle name="40% - Ênfase1 3 3 2 2 2" xfId="7208" xr:uid="{83AB413A-C1B8-48E3-9A66-1102E0309010}"/>
    <cellStyle name="40% - Ênfase1 3 3 2 3" xfId="5395" xr:uid="{585723C3-56C5-485D-B870-E73CC22DC533}"/>
    <cellStyle name="40% - Ênfase1 3 3 3" xfId="2692" xr:uid="{491150BB-E464-402A-A726-F4790D08BAAE}"/>
    <cellStyle name="40% - Ênfase1 3 3 3 2" xfId="6320" xr:uid="{31022C42-7133-44FB-B983-439E331C831B}"/>
    <cellStyle name="40% - Ênfase1 3 3 4" xfId="3977" xr:uid="{AD68D268-B6F8-4D08-937F-DB9EC5D61BFD}"/>
    <cellStyle name="40% - Ênfase1 3 4" xfId="953" xr:uid="{39339F04-FDD5-44E4-B305-E96305CC9841}"/>
    <cellStyle name="40% - Ênfase1 3 4 2" xfId="2805" xr:uid="{83AEBD74-C1DD-48C0-AC5F-DDB17E0DCCB8}"/>
    <cellStyle name="40% - Ênfase1 3 4 2 2" xfId="6433" xr:uid="{E7F898B8-B8C3-4419-BC34-BBBFFFC10C2E}"/>
    <cellStyle name="40% - Ênfase1 3 4 3" xfId="4581" xr:uid="{978A05EF-49A7-4A60-BF80-BC0D7992D221}"/>
    <cellStyle name="40% - Ênfase1 3 5" xfId="1878" xr:uid="{8F0E58A5-D2C5-4FFA-82F6-DCD3A77DD504}"/>
    <cellStyle name="40% - Ênfase1 3 5 2" xfId="5506" xr:uid="{A8C91B39-CF72-4F83-ADCF-14C3BD4D77E6}"/>
    <cellStyle name="40% - Ênfase1 3 6" xfId="3695" xr:uid="{5469A2D9-58D7-4691-8BD8-20BD33968D1D}"/>
    <cellStyle name="40% - Ênfase1 4" xfId="88" xr:uid="{61C87B42-7388-45B3-AF3D-3E393894E096}"/>
    <cellStyle name="40% - Ênfase1 4 2" xfId="694" xr:uid="{067E3CDF-F57A-4470-9BBD-9CB515FB01F2}"/>
    <cellStyle name="40% - Ênfase1 4 2 2" xfId="1297" xr:uid="{C6595EAD-DE46-4262-86B5-A124AD1CD0BF}"/>
    <cellStyle name="40% - Ênfase1 4 2 2 2" xfId="3149" xr:uid="{6B26282E-11A3-4396-A518-AB4BE41D6E1E}"/>
    <cellStyle name="40% - Ênfase1 4 2 2 2 2" xfId="6777" xr:uid="{BA2C55BD-FDB2-44D0-8C12-DB0EB98FEA56}"/>
    <cellStyle name="40% - Ênfase1 4 2 2 3" xfId="4925" xr:uid="{6F55BF11-BD42-4358-8225-0767D8AE4CC6}"/>
    <cellStyle name="40% - Ênfase1 4 2 3" xfId="2222" xr:uid="{FC1127CD-BF11-46FD-9760-DAA6E269ED9A}"/>
    <cellStyle name="40% - Ênfase1 4 2 3 2" xfId="5850" xr:uid="{DE56EFDE-B09A-4447-8FA1-ED5D5C33ABF6}"/>
    <cellStyle name="40% - Ênfase1 4 2 4" xfId="4322" xr:uid="{308416D0-3D9A-4398-924D-6331ACBA4F1E}"/>
    <cellStyle name="40% - Ênfase1 4 3" xfId="370" xr:uid="{CD443A36-41DF-4EAC-887F-944D72D955A6}"/>
    <cellStyle name="40% - Ênfase1 4 3 2" xfId="1600" xr:uid="{20DAAB99-B69F-4402-829C-BA29D921815C}"/>
    <cellStyle name="40% - Ênfase1 4 3 2 2" xfId="3452" xr:uid="{6E6AB757-9C6A-4F40-B379-8B85B0ACC4D2}"/>
    <cellStyle name="40% - Ênfase1 4 3 2 2 2" xfId="7080" xr:uid="{35F5822C-ED96-452E-8A39-DFD057E7EE65}"/>
    <cellStyle name="40% - Ênfase1 4 3 2 3" xfId="5228" xr:uid="{9BA7BD72-AABB-4296-AA64-786F20C6C76A}"/>
    <cellStyle name="40% - Ênfase1 4 3 3" xfId="2525" xr:uid="{ABB119D4-18E3-46E6-BC7B-BDE4A55B5863}"/>
    <cellStyle name="40% - Ênfase1 4 3 3 2" xfId="6153" xr:uid="{1C8C1F7A-C28B-4372-B3B0-CC932EF423E4}"/>
    <cellStyle name="40% - Ênfase1 4 3 4" xfId="3999" xr:uid="{4846C4F7-82CF-4882-B20E-8EC75121BE4A}"/>
    <cellStyle name="40% - Ênfase1 4 4" xfId="975" xr:uid="{C712BAE1-DE20-4070-93A9-9B4CC70A53F2}"/>
    <cellStyle name="40% - Ênfase1 4 4 2" xfId="2827" xr:uid="{915997CE-A82B-4748-A6BA-4C3BFF2018E8}"/>
    <cellStyle name="40% - Ênfase1 4 4 2 2" xfId="6455" xr:uid="{2BEBA118-7452-4BCC-980C-3BC942CC04EE}"/>
    <cellStyle name="40% - Ênfase1 4 4 3" xfId="4603" xr:uid="{80D38766-A588-4FDC-934E-AD0A2E71C7EA}"/>
    <cellStyle name="40% - Ênfase1 4 5" xfId="1900" xr:uid="{B2E60C9F-52E0-474E-9DB8-9DF72CBC8F67}"/>
    <cellStyle name="40% - Ênfase1 4 5 2" xfId="5528" xr:uid="{551C5CDE-FC2A-495F-AFEB-7698DCDA483D}"/>
    <cellStyle name="40% - Ênfase1 4 6" xfId="3717" xr:uid="{778515C2-0E5B-4973-A33F-120A8B306A4E}"/>
    <cellStyle name="40% - Ênfase1 5" xfId="108" xr:uid="{B8060DD2-21DD-4B98-AEC8-FB914AD6C472}"/>
    <cellStyle name="40% - Ênfase1 5 2" xfId="714" xr:uid="{82452C11-988B-45F8-994A-FB3E492C446E}"/>
    <cellStyle name="40% - Ênfase1 5 2 2" xfId="1317" xr:uid="{C86646D5-58D8-4DE8-9C64-3E7DF59631B2}"/>
    <cellStyle name="40% - Ênfase1 5 2 2 2" xfId="3169" xr:uid="{2DF1D3B0-33FE-4B91-95E0-DAB03E0EA1F2}"/>
    <cellStyle name="40% - Ênfase1 5 2 2 2 2" xfId="6797" xr:uid="{79C3B08E-2C88-4D15-98CA-6373E4F8480E}"/>
    <cellStyle name="40% - Ênfase1 5 2 2 3" xfId="4945" xr:uid="{9E9E5103-0A52-481A-9282-000BB4249D07}"/>
    <cellStyle name="40% - Ênfase1 5 2 3" xfId="2242" xr:uid="{DA5DF6AF-B856-46ED-9126-0FCC7D75EEFB}"/>
    <cellStyle name="40% - Ênfase1 5 2 3 2" xfId="5870" xr:uid="{4FBF2392-06FA-4E1C-9C24-B57AC01F51C4}"/>
    <cellStyle name="40% - Ênfase1 5 2 4" xfId="4342" xr:uid="{01A51A67-CE37-4884-A30F-DE257C051E03}"/>
    <cellStyle name="40% - Ênfase1 5 3" xfId="390" xr:uid="{AE57A2E6-CDDE-440F-BC48-3284B6F0B536}"/>
    <cellStyle name="40% - Ênfase1 5 3 2" xfId="1763" xr:uid="{A77D32B0-5628-4A38-B254-0FA869CA4650}"/>
    <cellStyle name="40% - Ênfase1 5 3 2 2" xfId="3576" xr:uid="{1AB72D4F-B2EB-436B-9CD4-91E3FD0E8AF0}"/>
    <cellStyle name="40% - Ênfase1 5 3 2 2 2" xfId="7204" xr:uid="{AFE61A93-3ABF-4AB4-865F-8125834837F8}"/>
    <cellStyle name="40% - Ênfase1 5 3 2 3" xfId="5391" xr:uid="{A50F994E-CDA0-440C-A768-077265CC7336}"/>
    <cellStyle name="40% - Ênfase1 5 3 3" xfId="2688" xr:uid="{8994226A-0D69-4077-8C75-8E4AEF263E27}"/>
    <cellStyle name="40% - Ênfase1 5 3 3 2" xfId="6316" xr:uid="{8CEA2E6F-99CF-4487-BF4B-517C8031CB01}"/>
    <cellStyle name="40% - Ênfase1 5 3 4" xfId="4019" xr:uid="{2A0DBA02-53D7-4552-9436-BE8C120D645C}"/>
    <cellStyle name="40% - Ênfase1 5 4" xfId="995" xr:uid="{74E0F986-0DFF-4C31-8A93-4EA355732871}"/>
    <cellStyle name="40% - Ênfase1 5 4 2" xfId="2847" xr:uid="{AB70077D-2E73-4D72-AD61-CA7482042D17}"/>
    <cellStyle name="40% - Ênfase1 5 4 2 2" xfId="6475" xr:uid="{A152967D-852D-4D14-A257-ACE4EBB003DB}"/>
    <cellStyle name="40% - Ênfase1 5 4 3" xfId="4623" xr:uid="{481563C1-CBFA-47B7-BB5B-E976E1305AE3}"/>
    <cellStyle name="40% - Ênfase1 5 5" xfId="1920" xr:uid="{376B33A1-583A-4AA9-9631-D0F7C0443895}"/>
    <cellStyle name="40% - Ênfase1 5 5 2" xfId="5548" xr:uid="{35A62AA8-43BC-43FE-B43F-C007F734B6A7}"/>
    <cellStyle name="40% - Ênfase1 5 6" xfId="3737" xr:uid="{CF5CA602-B9B2-4B9D-A9CA-821F17E42EEB}"/>
    <cellStyle name="40% - Ênfase1 6" xfId="128" xr:uid="{A1E767C0-AB93-4A70-9419-4AA904332A58}"/>
    <cellStyle name="40% - Ênfase1 6 2" xfId="734" xr:uid="{D0EC3D76-8487-411C-BD61-BC4088A27E07}"/>
    <cellStyle name="40% - Ênfase1 6 2 2" xfId="1337" xr:uid="{DBB1549C-027A-47F6-A329-0637D6D26BD7}"/>
    <cellStyle name="40% - Ênfase1 6 2 2 2" xfId="3189" xr:uid="{DB8BE930-468A-444E-A32E-EE97A29D7161}"/>
    <cellStyle name="40% - Ênfase1 6 2 2 2 2" xfId="6817" xr:uid="{05C11058-E844-4AE9-8B03-A1BF1F13ADAC}"/>
    <cellStyle name="40% - Ênfase1 6 2 2 3" xfId="4965" xr:uid="{9A9BA23D-B63E-4792-92A4-4EE51024EC22}"/>
    <cellStyle name="40% - Ênfase1 6 2 3" xfId="2262" xr:uid="{EF3586C8-DC1D-4230-9DBA-D80DDC373EA0}"/>
    <cellStyle name="40% - Ênfase1 6 2 3 2" xfId="5890" xr:uid="{6A8241BA-6F2E-4B99-A878-340D5064CCE6}"/>
    <cellStyle name="40% - Ênfase1 6 2 4" xfId="4362" xr:uid="{E48ADA0E-EE59-47DD-8676-02299A859909}"/>
    <cellStyle name="40% - Ênfase1 6 3" xfId="410" xr:uid="{8A35EAF8-5639-4938-95FB-1B8655D49543}"/>
    <cellStyle name="40% - Ênfase1 6 3 2" xfId="1623" xr:uid="{3DE344D0-6B0F-44EC-804C-DF4D5DB1F4CD}"/>
    <cellStyle name="40% - Ênfase1 6 3 2 2" xfId="3475" xr:uid="{7112C83D-03BB-411E-BDB6-DFA941B297E9}"/>
    <cellStyle name="40% - Ênfase1 6 3 2 2 2" xfId="7103" xr:uid="{B2C34BA3-8EBA-439A-9DB9-7CE924EAC6DB}"/>
    <cellStyle name="40% - Ênfase1 6 3 2 3" xfId="5251" xr:uid="{04ECB067-6964-4C8D-A97F-5D2300E0A79D}"/>
    <cellStyle name="40% - Ênfase1 6 3 3" xfId="2548" xr:uid="{DCE32E9C-3594-4537-A3C7-D6F326B543A9}"/>
    <cellStyle name="40% - Ênfase1 6 3 3 2" xfId="6176" xr:uid="{59E29738-C617-4104-A5E6-6C4C35715B07}"/>
    <cellStyle name="40% - Ênfase1 6 3 4" xfId="4039" xr:uid="{C867297A-4E83-48EF-AD4E-B3B44395CDAF}"/>
    <cellStyle name="40% - Ênfase1 6 4" xfId="1015" xr:uid="{7596247B-B0B1-42E8-A6EE-5F5D6CCF6B5D}"/>
    <cellStyle name="40% - Ênfase1 6 4 2" xfId="2867" xr:uid="{536DA353-06CC-46F1-8872-F4B08F30F56B}"/>
    <cellStyle name="40% - Ênfase1 6 4 2 2" xfId="6495" xr:uid="{4DD74090-48F8-4960-B7C1-D0AC637FD6F2}"/>
    <cellStyle name="40% - Ênfase1 6 4 3" xfId="4643" xr:uid="{8AEC7E97-0723-4444-8990-BA55C5AB1A92}"/>
    <cellStyle name="40% - Ênfase1 6 5" xfId="1940" xr:uid="{39ACEDBC-46BA-4F8F-B5C6-3BE1F5B6BAFB}"/>
    <cellStyle name="40% - Ênfase1 6 5 2" xfId="5568" xr:uid="{D8492329-3A47-41B4-A1E3-D4149834E8DA}"/>
    <cellStyle name="40% - Ênfase1 6 6" xfId="3757" xr:uid="{877753F5-CE42-4599-942C-A6C8A1E444C2}"/>
    <cellStyle name="40% - Ênfase1 7" xfId="148" xr:uid="{E4DE5FD4-B149-4B6A-831E-D06B7870152B}"/>
    <cellStyle name="40% - Ênfase1 7 2" xfId="754" xr:uid="{23AB83EE-DD2C-431A-844D-0E7697230C4C}"/>
    <cellStyle name="40% - Ênfase1 7 2 2" xfId="1357" xr:uid="{22E65F5D-A8FA-4B79-AFFE-8E59C0D4EB50}"/>
    <cellStyle name="40% - Ênfase1 7 2 2 2" xfId="3209" xr:uid="{636C844F-7946-4CE4-A098-FBC98914FD60}"/>
    <cellStyle name="40% - Ênfase1 7 2 2 2 2" xfId="6837" xr:uid="{47C4E3DC-10B4-4D7B-800C-860C75F9E673}"/>
    <cellStyle name="40% - Ênfase1 7 2 2 3" xfId="4985" xr:uid="{7EBCF617-E15C-467B-AEB3-F00E584B0A27}"/>
    <cellStyle name="40% - Ênfase1 7 2 3" xfId="2282" xr:uid="{9382B89D-BFE3-4836-A180-483F185EA25E}"/>
    <cellStyle name="40% - Ênfase1 7 2 3 2" xfId="5910" xr:uid="{573F8163-50ED-4F4B-818C-62AA00992DB4}"/>
    <cellStyle name="40% - Ênfase1 7 2 4" xfId="4382" xr:uid="{A8CE5D20-63D4-4BCA-9539-42E3D258BB99}"/>
    <cellStyle name="40% - Ênfase1 7 3" xfId="430" xr:uid="{F14A6310-C7D1-4E68-825D-6EAD19EF84F9}"/>
    <cellStyle name="40% - Ênfase1 7 3 2" xfId="1751" xr:uid="{554127FB-14F7-4EAF-870C-F84173C1FD93}"/>
    <cellStyle name="40% - Ênfase1 7 3 2 2" xfId="3564" xr:uid="{FCB1EAC7-6D29-4F1A-AC64-661B38EAE100}"/>
    <cellStyle name="40% - Ênfase1 7 3 2 2 2" xfId="7192" xr:uid="{F36A1615-D84E-4599-85F1-555371C500CB}"/>
    <cellStyle name="40% - Ênfase1 7 3 2 3" xfId="5379" xr:uid="{61082ADC-5997-414B-BE77-C89C4B6C3CC0}"/>
    <cellStyle name="40% - Ênfase1 7 3 3" xfId="2676" xr:uid="{0C397153-CA8B-41A4-9511-23B10DE21181}"/>
    <cellStyle name="40% - Ênfase1 7 3 3 2" xfId="6304" xr:uid="{D5258C7A-5D37-49AA-9BC9-3A547C938D06}"/>
    <cellStyle name="40% - Ênfase1 7 3 4" xfId="4059" xr:uid="{D31ADC3B-1B48-4F22-ABDB-632DB23B84FB}"/>
    <cellStyle name="40% - Ênfase1 7 4" xfId="1035" xr:uid="{9EA46BF4-449F-4F18-95B3-265DA6DBE4CA}"/>
    <cellStyle name="40% - Ênfase1 7 4 2" xfId="2887" xr:uid="{C6EB6CE3-075E-402C-BE44-27AE8707ACC4}"/>
    <cellStyle name="40% - Ênfase1 7 4 2 2" xfId="6515" xr:uid="{3289D97E-9451-4B11-A541-0F9BE47C6F12}"/>
    <cellStyle name="40% - Ênfase1 7 4 3" xfId="4663" xr:uid="{9FF847D9-7948-41C3-BA51-A689BE23EA14}"/>
    <cellStyle name="40% - Ênfase1 7 5" xfId="1960" xr:uid="{82BD6397-B73C-4BD6-AFC8-57F17A3DD938}"/>
    <cellStyle name="40% - Ênfase1 7 5 2" xfId="5588" xr:uid="{9A016D64-8296-4BEF-9484-BEA540EA8F5E}"/>
    <cellStyle name="40% - Ênfase1 7 6" xfId="3777" xr:uid="{5807EC4A-822C-4A99-9F78-7A992DA34987}"/>
    <cellStyle name="40% - Ênfase1 8" xfId="168" xr:uid="{506C945C-DC56-4CB7-8A60-6D468FB235D0}"/>
    <cellStyle name="40% - Ênfase1 8 2" xfId="774" xr:uid="{64F4079C-3C14-4BAE-8288-78F6A31B2AAB}"/>
    <cellStyle name="40% - Ênfase1 8 2 2" xfId="1377" xr:uid="{4489B5EA-2593-47D1-B729-FB9F51720D64}"/>
    <cellStyle name="40% - Ênfase1 8 2 2 2" xfId="3229" xr:uid="{759FC74C-1ECE-4B9D-AD05-08ADE34B2964}"/>
    <cellStyle name="40% - Ênfase1 8 2 2 2 2" xfId="6857" xr:uid="{0D26681C-E71E-49D2-A951-91447ECE93AC}"/>
    <cellStyle name="40% - Ênfase1 8 2 2 3" xfId="5005" xr:uid="{10208306-FD76-47E5-9A89-F9E82E400257}"/>
    <cellStyle name="40% - Ênfase1 8 2 3" xfId="2302" xr:uid="{EE175BDC-BAD4-4654-BB54-AFCE2944DA3D}"/>
    <cellStyle name="40% - Ênfase1 8 2 3 2" xfId="5930" xr:uid="{4041DD6D-7245-4AA0-A47A-F55914386826}"/>
    <cellStyle name="40% - Ênfase1 8 2 4" xfId="4402" xr:uid="{2FAEA35F-D609-487E-8DED-656C153071B5}"/>
    <cellStyle name="40% - Ênfase1 8 3" xfId="450" xr:uid="{C132E87F-9E8E-4649-A2F0-2304564A5BD2}"/>
    <cellStyle name="40% - Ênfase1 8 3 2" xfId="1761" xr:uid="{40A0B12C-ECA0-4AD7-9705-FB01E328950E}"/>
    <cellStyle name="40% - Ênfase1 8 3 2 2" xfId="3574" xr:uid="{9EB679A6-2952-4E34-889C-D49D34EE33F7}"/>
    <cellStyle name="40% - Ênfase1 8 3 2 2 2" xfId="7202" xr:uid="{463C002C-9018-4B6D-8DFB-FF7AB0AF5314}"/>
    <cellStyle name="40% - Ênfase1 8 3 2 3" xfId="5389" xr:uid="{FA2FCF2B-8371-4F7D-B0D2-A7BFD68B7E63}"/>
    <cellStyle name="40% - Ênfase1 8 3 3" xfId="2686" xr:uid="{0817B136-0134-4BD8-A088-105495D2D2D2}"/>
    <cellStyle name="40% - Ênfase1 8 3 3 2" xfId="6314" xr:uid="{48FC9845-CBC2-46B2-9754-70A636A7CE2A}"/>
    <cellStyle name="40% - Ênfase1 8 3 4" xfId="4079" xr:uid="{786F5D1A-2C18-4970-98A2-976C11E1F9D2}"/>
    <cellStyle name="40% - Ênfase1 8 4" xfId="1055" xr:uid="{DD6751FC-686B-4090-BDBE-675962E24E36}"/>
    <cellStyle name="40% - Ênfase1 8 4 2" xfId="2907" xr:uid="{7C17E439-20C2-4ADB-B767-28868EF340F6}"/>
    <cellStyle name="40% - Ênfase1 8 4 2 2" xfId="6535" xr:uid="{C3F85340-81EE-41EA-BF66-EFB88E52F368}"/>
    <cellStyle name="40% - Ênfase1 8 4 3" xfId="4683" xr:uid="{E32C5FA9-C259-4242-8D02-A11CBA2CAC43}"/>
    <cellStyle name="40% - Ênfase1 8 5" xfId="1980" xr:uid="{13B1BA89-8AE8-40F1-AFB4-48FD38537A08}"/>
    <cellStyle name="40% - Ênfase1 8 5 2" xfId="5608" xr:uid="{E4781C22-C10C-4C46-BBCC-D5776E495226}"/>
    <cellStyle name="40% - Ênfase1 8 6" xfId="3797" xr:uid="{FF67477D-FEFD-4AFF-A1F2-0C709DE146B0}"/>
    <cellStyle name="40% - Ênfase1 9" xfId="188" xr:uid="{5718BE37-9AAF-4386-8681-0D9F98927A80}"/>
    <cellStyle name="40% - Ênfase1 9 2" xfId="794" xr:uid="{6CA6EED3-194B-4F39-92AD-3C28FB3C0421}"/>
    <cellStyle name="40% - Ênfase1 9 2 2" xfId="1397" xr:uid="{B322F014-10AB-4FC8-9ADA-E4072A1111E5}"/>
    <cellStyle name="40% - Ênfase1 9 2 2 2" xfId="3249" xr:uid="{13785C0B-9096-449E-91A5-BCAA2DF9C101}"/>
    <cellStyle name="40% - Ênfase1 9 2 2 2 2" xfId="6877" xr:uid="{A13E7832-3080-4BAB-AB53-960EE921CD6D}"/>
    <cellStyle name="40% - Ênfase1 9 2 2 3" xfId="5025" xr:uid="{7C842FB0-A852-4020-811C-9063EED40FBA}"/>
    <cellStyle name="40% - Ênfase1 9 2 3" xfId="2322" xr:uid="{961262A2-A282-4265-BAF8-69B29F3E7F88}"/>
    <cellStyle name="40% - Ênfase1 9 2 3 2" xfId="5950" xr:uid="{81EBDDF7-DB2E-462E-91A7-6D5B01184A7E}"/>
    <cellStyle name="40% - Ênfase1 9 2 4" xfId="4422" xr:uid="{6EEF5096-4C62-46B7-8156-529C22DB4378}"/>
    <cellStyle name="40% - Ênfase1 9 3" xfId="470" xr:uid="{0663EF77-0C9E-479E-9353-AABB12918F4B}"/>
    <cellStyle name="40% - Ênfase1 9 3 2" xfId="1824" xr:uid="{EE10F588-CD88-4B0E-8153-D793192E7AEA}"/>
    <cellStyle name="40% - Ênfase1 9 3 2 2" xfId="3637" xr:uid="{631CD93A-FB26-4BD6-AADC-5AE26EAA73D1}"/>
    <cellStyle name="40% - Ênfase1 9 3 2 2 2" xfId="7265" xr:uid="{93AE30DC-DC9A-4B6C-8EB5-FA60AA7156DF}"/>
    <cellStyle name="40% - Ênfase1 9 3 2 3" xfId="5452" xr:uid="{1E4821D5-F11B-4450-AA24-E14DC55417A0}"/>
    <cellStyle name="40% - Ênfase1 9 3 3" xfId="2749" xr:uid="{3872AB91-B41A-4396-BE6A-D8DA92372742}"/>
    <cellStyle name="40% - Ênfase1 9 3 3 2" xfId="6377" xr:uid="{31437D90-0BFD-4D57-99DE-3D34DBE1CB71}"/>
    <cellStyle name="40% - Ênfase1 9 3 4" xfId="4099" xr:uid="{9761B5D9-D3DA-4ECD-8396-9A058C07358A}"/>
    <cellStyle name="40% - Ênfase1 9 4" xfId="1075" xr:uid="{3736D986-8609-4567-9766-A1A602F0D489}"/>
    <cellStyle name="40% - Ênfase1 9 4 2" xfId="2927" xr:uid="{120274D4-2766-4A74-A741-8A353A8B4213}"/>
    <cellStyle name="40% - Ênfase1 9 4 2 2" xfId="6555" xr:uid="{686DB3D7-385B-488F-A671-2EB8C4A035B7}"/>
    <cellStyle name="40% - Ênfase1 9 4 3" xfId="4703" xr:uid="{51C18219-F878-45A6-BF56-134783880595}"/>
    <cellStyle name="40% - Ênfase1 9 5" xfId="2000" xr:uid="{2E990A93-46C1-4609-A675-760FDE73FF49}"/>
    <cellStyle name="40% - Ênfase1 9 5 2" xfId="5628" xr:uid="{0B451DFE-8587-4C41-8BB1-390BD86A5AD0}"/>
    <cellStyle name="40% - Ênfase1 9 6" xfId="3817" xr:uid="{5582FFFD-1F12-4C8B-8D79-79ADFA79EA6E}"/>
    <cellStyle name="40% - Ênfase2" xfId="24" builtinId="35" customBuiltin="1"/>
    <cellStyle name="40% - Ênfase2 10" xfId="212" xr:uid="{5AD88108-E246-45AF-AC9E-36525ED7005A}"/>
    <cellStyle name="40% - Ênfase2 10 2" xfId="818" xr:uid="{BBD808B0-65AE-459D-94AD-B2E98E0EC47B}"/>
    <cellStyle name="40% - Ênfase2 10 2 2" xfId="1421" xr:uid="{083D251F-8FA9-4996-9072-4E9EE30EC00C}"/>
    <cellStyle name="40% - Ênfase2 10 2 2 2" xfId="3273" xr:uid="{750C511C-21A9-4576-94BB-9C2F409A0FC7}"/>
    <cellStyle name="40% - Ênfase2 10 2 2 2 2" xfId="6901" xr:uid="{FB9F91BC-6DDF-42DD-AC5E-054762FD08E1}"/>
    <cellStyle name="40% - Ênfase2 10 2 2 3" xfId="5049" xr:uid="{E6018DA5-2617-4357-AB96-3C6E76C8FF34}"/>
    <cellStyle name="40% - Ênfase2 10 2 3" xfId="2346" xr:uid="{D3B4ADD8-97BC-4EBC-99C0-20A0172A6640}"/>
    <cellStyle name="40% - Ênfase2 10 2 3 2" xfId="5974" xr:uid="{0258D670-6496-4B0B-8761-33A291AFAD2F}"/>
    <cellStyle name="40% - Ênfase2 10 2 4" xfId="4446" xr:uid="{3FA35F88-5C9A-4D33-A0AB-CB8F0907A68B}"/>
    <cellStyle name="40% - Ênfase2 10 3" xfId="494" xr:uid="{34FAD5A6-E3BD-4C6A-A700-A543909F10DA}"/>
    <cellStyle name="40% - Ênfase2 10 3 2" xfId="1643" xr:uid="{DADC5343-934A-46E3-A98B-A072901A944E}"/>
    <cellStyle name="40% - Ênfase2 10 3 2 2" xfId="3495" xr:uid="{2BBFA529-5875-40A7-A342-20F6A4DA4D91}"/>
    <cellStyle name="40% - Ênfase2 10 3 2 2 2" xfId="7123" xr:uid="{E30B5F6F-A4E4-4287-BA5D-364CAA6C7BFB}"/>
    <cellStyle name="40% - Ênfase2 10 3 2 3" xfId="5271" xr:uid="{57A93F7B-68E2-49B3-A3AF-8908E9F0222C}"/>
    <cellStyle name="40% - Ênfase2 10 3 3" xfId="2568" xr:uid="{66DC70DB-20BB-4300-BA00-90E89C369E8C}"/>
    <cellStyle name="40% - Ênfase2 10 3 3 2" xfId="6196" xr:uid="{422A847C-D0F0-4D0D-AE14-0358626D50ED}"/>
    <cellStyle name="40% - Ênfase2 10 3 4" xfId="4123" xr:uid="{7EDBF9E9-5E2C-4B7C-A80A-6B3C1D855F6B}"/>
    <cellStyle name="40% - Ênfase2 10 4" xfId="1099" xr:uid="{7C9CD0D1-26C8-4EDA-A63E-29F66ABA44DE}"/>
    <cellStyle name="40% - Ênfase2 10 4 2" xfId="2951" xr:uid="{1061CAC6-9D1C-4E6D-9416-BCFD3A2FE50F}"/>
    <cellStyle name="40% - Ênfase2 10 4 2 2" xfId="6579" xr:uid="{93C55EF9-399D-4A8B-A754-890C15ABE2EB}"/>
    <cellStyle name="40% - Ênfase2 10 4 3" xfId="4727" xr:uid="{FAD198B3-F629-4215-BEC2-5ABC7B2E6FF9}"/>
    <cellStyle name="40% - Ênfase2 10 5" xfId="2024" xr:uid="{F4CF0B9B-043C-4886-A9ED-84D2808E4AA8}"/>
    <cellStyle name="40% - Ênfase2 10 5 2" xfId="5652" xr:uid="{55833856-3FC9-445E-B869-A37B7FC11DE5}"/>
    <cellStyle name="40% - Ênfase2 10 6" xfId="3841" xr:uid="{EAA57C1C-55E2-43FF-AD94-20C02D342905}"/>
    <cellStyle name="40% - Ênfase2 11" xfId="232" xr:uid="{2E080036-1BAE-4576-824B-739D4BDCAA08}"/>
    <cellStyle name="40% - Ênfase2 11 2" xfId="838" xr:uid="{141A0177-8B97-4E61-ADC1-4399F0FC562D}"/>
    <cellStyle name="40% - Ênfase2 11 2 2" xfId="1441" xr:uid="{CC10906C-41F0-4277-991B-EA6BA03EDCB8}"/>
    <cellStyle name="40% - Ênfase2 11 2 2 2" xfId="3293" xr:uid="{5510DB3B-7917-42C4-83D4-002695B91C21}"/>
    <cellStyle name="40% - Ênfase2 11 2 2 2 2" xfId="6921" xr:uid="{CE0AD8B8-D1C7-4464-965E-3CBF6BAFC0FB}"/>
    <cellStyle name="40% - Ênfase2 11 2 2 3" xfId="5069" xr:uid="{8503E47F-F78E-4811-A2D7-6553EF58D26A}"/>
    <cellStyle name="40% - Ênfase2 11 2 3" xfId="2366" xr:uid="{6C911A3D-2404-424D-8253-C78D9289FD90}"/>
    <cellStyle name="40% - Ênfase2 11 2 3 2" xfId="5994" xr:uid="{701BA354-A79D-4001-9A2E-E83DDE4320D0}"/>
    <cellStyle name="40% - Ênfase2 11 2 4" xfId="4466" xr:uid="{3D94CA87-F860-4407-8DC5-9E883B5A6E5A}"/>
    <cellStyle name="40% - Ênfase2 11 3" xfId="514" xr:uid="{9447C148-962A-4349-95C5-BDAAAA9DF1BC}"/>
    <cellStyle name="40% - Ênfase2 11 3 2" xfId="1795" xr:uid="{57B2F448-4F33-433F-934F-C6AE5426FD0E}"/>
    <cellStyle name="40% - Ênfase2 11 3 2 2" xfId="3608" xr:uid="{ABC7ECD9-C97C-40CD-BD3D-502D71BE1B10}"/>
    <cellStyle name="40% - Ênfase2 11 3 2 2 2" xfId="7236" xr:uid="{3849D012-5A9C-4B71-A7EF-AFDB9EF4308A}"/>
    <cellStyle name="40% - Ênfase2 11 3 2 3" xfId="5423" xr:uid="{5D0A9C2B-D8CC-48E5-B9F3-6F8DE224BB86}"/>
    <cellStyle name="40% - Ênfase2 11 3 3" xfId="2720" xr:uid="{A8096062-FDF6-40AF-9F7B-F491D979E59E}"/>
    <cellStyle name="40% - Ênfase2 11 3 3 2" xfId="6348" xr:uid="{6FC2F0CF-D596-4F86-8938-A98935659208}"/>
    <cellStyle name="40% - Ênfase2 11 3 4" xfId="4143" xr:uid="{037B1A28-BEA3-4294-BF68-1423A7134D8B}"/>
    <cellStyle name="40% - Ênfase2 11 4" xfId="1119" xr:uid="{BE22DE02-0D8A-4F67-8383-25EDA293A21D}"/>
    <cellStyle name="40% - Ênfase2 11 4 2" xfId="2971" xr:uid="{DA88D8F9-1423-421A-8C33-64C5137BB22E}"/>
    <cellStyle name="40% - Ênfase2 11 4 2 2" xfId="6599" xr:uid="{EB9D4843-664A-4A1F-9DF1-C4A3E82E2740}"/>
    <cellStyle name="40% - Ênfase2 11 4 3" xfId="4747" xr:uid="{867294CA-3765-4E6B-B9D7-FFC1FE35067C}"/>
    <cellStyle name="40% - Ênfase2 11 5" xfId="2044" xr:uid="{738136C7-48E3-4B7A-8FA2-F90E47E363D9}"/>
    <cellStyle name="40% - Ênfase2 11 5 2" xfId="5672" xr:uid="{95AD6BEE-0B7F-441E-8B00-78444EA16551}"/>
    <cellStyle name="40% - Ênfase2 11 6" xfId="3861" xr:uid="{91253376-0D25-4B98-9CDD-9396A76F7C7E}"/>
    <cellStyle name="40% - Ênfase2 12" xfId="252" xr:uid="{1B17FB0C-C87E-4F34-AAB2-7BBE75752194}"/>
    <cellStyle name="40% - Ênfase2 12 2" xfId="858" xr:uid="{170544A3-44FD-415E-9BCD-B167BB01E15B}"/>
    <cellStyle name="40% - Ênfase2 12 2 2" xfId="1461" xr:uid="{1A717F41-8792-47B4-93CC-DF88E548B1CD}"/>
    <cellStyle name="40% - Ênfase2 12 2 2 2" xfId="3313" xr:uid="{7024EBE3-1F42-492A-8EF8-D5CAAC723527}"/>
    <cellStyle name="40% - Ênfase2 12 2 2 2 2" xfId="6941" xr:uid="{36DCC498-A57B-420C-ACF5-EE9F12C11475}"/>
    <cellStyle name="40% - Ênfase2 12 2 2 3" xfId="5089" xr:uid="{75F57EA4-DD11-449A-B891-96D4E65F4BF2}"/>
    <cellStyle name="40% - Ênfase2 12 2 3" xfId="2386" xr:uid="{2768ED7E-ACF6-4C34-A9E4-E8B6D84F14BF}"/>
    <cellStyle name="40% - Ênfase2 12 2 3 2" xfId="6014" xr:uid="{A9163077-62CD-4B3C-B109-39509537CB83}"/>
    <cellStyle name="40% - Ênfase2 12 2 4" xfId="4486" xr:uid="{5EB63BC4-3027-4965-8CB8-CC62C3EF880F}"/>
    <cellStyle name="40% - Ênfase2 12 3" xfId="534" xr:uid="{B067E8C2-79D3-490A-8A81-80AC7F483DBE}"/>
    <cellStyle name="40% - Ênfase2 12 3 2" xfId="1592" xr:uid="{99D9B058-2610-4D7B-A62A-DA922E25A029}"/>
    <cellStyle name="40% - Ênfase2 12 3 2 2" xfId="3444" xr:uid="{41DE513A-C631-4194-9564-153F39C25FBE}"/>
    <cellStyle name="40% - Ênfase2 12 3 2 2 2" xfId="7072" xr:uid="{992544B7-CFD2-4EBC-ACA9-76233BD48138}"/>
    <cellStyle name="40% - Ênfase2 12 3 2 3" xfId="5220" xr:uid="{4827FE34-E17E-41C9-BD29-87A5C17BAEEB}"/>
    <cellStyle name="40% - Ênfase2 12 3 3" xfId="2517" xr:uid="{20E36BD3-7A8A-45BC-9F68-002663EDF0F9}"/>
    <cellStyle name="40% - Ênfase2 12 3 3 2" xfId="6145" xr:uid="{F9DD5D1B-8ED3-40E5-BF2F-39470E255931}"/>
    <cellStyle name="40% - Ênfase2 12 3 4" xfId="4163" xr:uid="{7B9B70FD-04B3-4800-8CE0-4417F8C3A554}"/>
    <cellStyle name="40% - Ênfase2 12 4" xfId="1139" xr:uid="{BD56048A-C173-42BF-9FD6-DC98644F26F9}"/>
    <cellStyle name="40% - Ênfase2 12 4 2" xfId="2991" xr:uid="{BB3B1092-0C6D-47B8-9C9D-795268AD565D}"/>
    <cellStyle name="40% - Ênfase2 12 4 2 2" xfId="6619" xr:uid="{6BD4B380-520B-46A4-895A-CE9BAA86E8F2}"/>
    <cellStyle name="40% - Ênfase2 12 4 3" xfId="4767" xr:uid="{4040F61D-2A48-4E64-9A6A-D3715E62F5CC}"/>
    <cellStyle name="40% - Ênfase2 12 5" xfId="2064" xr:uid="{6481511C-4BEC-411A-8C2E-537AC8E9D673}"/>
    <cellStyle name="40% - Ênfase2 12 5 2" xfId="5692" xr:uid="{42C1AFE1-39CF-4189-92C7-57C9D4BB86C9}"/>
    <cellStyle name="40% - Ênfase2 12 6" xfId="3881" xr:uid="{8C658FD5-8508-419D-A12F-29094A9B924D}"/>
    <cellStyle name="40% - Ênfase2 13" xfId="272" xr:uid="{977EBEA3-3664-4D04-A664-AE0F2EBAEBAC}"/>
    <cellStyle name="40% - Ênfase2 13 2" xfId="878" xr:uid="{253095E9-D6EF-4501-9DB3-5A20F34601A5}"/>
    <cellStyle name="40% - Ênfase2 13 2 2" xfId="1481" xr:uid="{5B10031D-67CF-4F99-A484-3CF54C5172B3}"/>
    <cellStyle name="40% - Ênfase2 13 2 2 2" xfId="3333" xr:uid="{FBC2C4E5-430D-42DF-AE8D-C97B3795631E}"/>
    <cellStyle name="40% - Ênfase2 13 2 2 2 2" xfId="6961" xr:uid="{3D94E0F1-8D1B-441F-9460-36E8E591D785}"/>
    <cellStyle name="40% - Ênfase2 13 2 2 3" xfId="5109" xr:uid="{3999E6E8-7186-45D9-BF6C-7647CA569B9C}"/>
    <cellStyle name="40% - Ênfase2 13 2 3" xfId="2406" xr:uid="{C55C5768-18D7-431F-B3C1-14E0480302A7}"/>
    <cellStyle name="40% - Ênfase2 13 2 3 2" xfId="6034" xr:uid="{EE83EFCA-3C7C-4055-A18F-5EDE0A5EE343}"/>
    <cellStyle name="40% - Ênfase2 13 2 4" xfId="4506" xr:uid="{EC64BA92-F1DA-47DC-B46E-C5A9AF3C917E}"/>
    <cellStyle name="40% - Ênfase2 13 3" xfId="554" xr:uid="{7A939B4A-32A8-460E-8510-B705677A88D7}"/>
    <cellStyle name="40% - Ênfase2 13 3 2" xfId="1644" xr:uid="{8F176CD7-9B57-482C-9EB3-AE7FE6609A92}"/>
    <cellStyle name="40% - Ênfase2 13 3 2 2" xfId="3496" xr:uid="{F09EF00F-9B56-44AF-A77D-6CA4FEF9484C}"/>
    <cellStyle name="40% - Ênfase2 13 3 2 2 2" xfId="7124" xr:uid="{4F0A1640-FAFF-40F4-8CD0-B11444D9024D}"/>
    <cellStyle name="40% - Ênfase2 13 3 2 3" xfId="5272" xr:uid="{D984EF08-CD14-49A4-8E7C-E0D7F27456A4}"/>
    <cellStyle name="40% - Ênfase2 13 3 3" xfId="2569" xr:uid="{5C48AD27-EAC2-45F7-A779-77D6CDE49348}"/>
    <cellStyle name="40% - Ênfase2 13 3 3 2" xfId="6197" xr:uid="{BB07E2C3-B353-4A69-8DDB-E5C538A19A4A}"/>
    <cellStyle name="40% - Ênfase2 13 3 4" xfId="4183" xr:uid="{B862ECB0-19D4-4CD3-8DDC-7A703DF0499D}"/>
    <cellStyle name="40% - Ênfase2 13 4" xfId="1159" xr:uid="{40FDC481-4763-4BA1-A60C-6E50991DE1A4}"/>
    <cellStyle name="40% - Ênfase2 13 4 2" xfId="3011" xr:uid="{4BBEA346-02DA-4A4A-94EB-42AD17FC6F46}"/>
    <cellStyle name="40% - Ênfase2 13 4 2 2" xfId="6639" xr:uid="{A9DF5924-BA3E-4851-B605-B046EAD5B92D}"/>
    <cellStyle name="40% - Ênfase2 13 4 3" xfId="4787" xr:uid="{BB3F3CF7-9AB8-45FF-AFA5-7B5E719DC30A}"/>
    <cellStyle name="40% - Ênfase2 13 5" xfId="2084" xr:uid="{1BCE7400-C304-44CE-9926-3A3F45A7DBAE}"/>
    <cellStyle name="40% - Ênfase2 13 5 2" xfId="5712" xr:uid="{A434DC0E-B5E7-4B9F-B671-FE9CA726D812}"/>
    <cellStyle name="40% - Ênfase2 13 6" xfId="3901" xr:uid="{E4267ADA-79BD-4BE4-94A5-2704D1724EE9}"/>
    <cellStyle name="40% - Ênfase2 14" xfId="292" xr:uid="{295B4FA6-0D9B-4314-A7BF-5D273D018348}"/>
    <cellStyle name="40% - Ênfase2 14 2" xfId="898" xr:uid="{3F16F211-7F19-419C-BB9E-47135A4623CA}"/>
    <cellStyle name="40% - Ênfase2 14 2 2" xfId="1501" xr:uid="{7031BAAE-F35D-4FB3-A9C6-EC0C16F08AEB}"/>
    <cellStyle name="40% - Ênfase2 14 2 2 2" xfId="3353" xr:uid="{8DC00BA4-AA6A-406F-BCDD-DA63C87D854D}"/>
    <cellStyle name="40% - Ênfase2 14 2 2 2 2" xfId="6981" xr:uid="{D9F0AB04-8C5D-447B-9B91-2CCFACA079CA}"/>
    <cellStyle name="40% - Ênfase2 14 2 2 3" xfId="5129" xr:uid="{08D3E1C7-A591-41BB-9532-E7C1FD098B83}"/>
    <cellStyle name="40% - Ênfase2 14 2 3" xfId="2426" xr:uid="{7B1AA284-270F-4B0F-B0F9-A6B18F12A8E2}"/>
    <cellStyle name="40% - Ênfase2 14 2 3 2" xfId="6054" xr:uid="{CFEAD286-35E5-48CD-8C43-AD1208FC631E}"/>
    <cellStyle name="40% - Ênfase2 14 2 4" xfId="4526" xr:uid="{3D42991F-9A86-42E8-996E-B0238AF5B4D3}"/>
    <cellStyle name="40% - Ênfase2 14 3" xfId="574" xr:uid="{F61010B7-ED6D-4E03-86EA-20CC9A624824}"/>
    <cellStyle name="40% - Ênfase2 14 3 2" xfId="1833" xr:uid="{D6FFB426-18F4-43C1-827C-D9E0704BFE46}"/>
    <cellStyle name="40% - Ênfase2 14 3 2 2" xfId="3646" xr:uid="{4A8D76C7-7899-49EA-BB53-0C1118B5D067}"/>
    <cellStyle name="40% - Ênfase2 14 3 2 2 2" xfId="7274" xr:uid="{96CE3F29-0286-4546-A98C-9793382D3440}"/>
    <cellStyle name="40% - Ênfase2 14 3 2 3" xfId="5461" xr:uid="{F2D56D11-2DAC-45FD-8B0D-CA6F9EEEB070}"/>
    <cellStyle name="40% - Ênfase2 14 3 3" xfId="2758" xr:uid="{C489B6FA-7EB2-4F3E-9B60-3B67F50D125B}"/>
    <cellStyle name="40% - Ênfase2 14 3 3 2" xfId="6386" xr:uid="{20503831-FE9D-4C30-8807-DE403F03F23B}"/>
    <cellStyle name="40% - Ênfase2 14 3 4" xfId="4203" xr:uid="{1E566F64-A52D-4FE8-B99F-5922AB9BA4C1}"/>
    <cellStyle name="40% - Ênfase2 14 4" xfId="1179" xr:uid="{82A0194D-1CB6-45DE-81B5-7857302C25B4}"/>
    <cellStyle name="40% - Ênfase2 14 4 2" xfId="3031" xr:uid="{0CA16FCA-CA44-4053-A7F0-4659F114C304}"/>
    <cellStyle name="40% - Ênfase2 14 4 2 2" xfId="6659" xr:uid="{7DC93D83-6FE3-4494-8D2C-DC728EA01EE0}"/>
    <cellStyle name="40% - Ênfase2 14 4 3" xfId="4807" xr:uid="{FBA11155-3F87-4230-98B7-D7542B5E7097}"/>
    <cellStyle name="40% - Ênfase2 14 5" xfId="2104" xr:uid="{85F4527E-D200-4987-865F-F439B03C5E83}"/>
    <cellStyle name="40% - Ênfase2 14 5 2" xfId="5732" xr:uid="{BB79B225-D4E1-457E-85B9-2A368990E897}"/>
    <cellStyle name="40% - Ênfase2 14 6" xfId="3921" xr:uid="{9002069F-150F-4320-96DF-7CEB23C0FA2B}"/>
    <cellStyle name="40% - Ênfase2 15" xfId="594" xr:uid="{9042D995-A7D8-4788-9178-6504656F32B7}"/>
    <cellStyle name="40% - Ênfase2 15 2" xfId="1657" xr:uid="{4E3EC3D6-E2F2-4D1A-BCAC-DA0609048A72}"/>
    <cellStyle name="40% - Ênfase2 15 2 2" xfId="2582" xr:uid="{5F4017B1-F47F-479B-B648-E8CC090A33CF}"/>
    <cellStyle name="40% - Ênfase2 15 2 2 2" xfId="6210" xr:uid="{5545DC90-4A2E-4997-9AA9-C400E6285CF7}"/>
    <cellStyle name="40% - Ênfase2 15 2 3" xfId="5285" xr:uid="{6DBBA685-5C25-4532-A7F1-7D6AD54DDFB2}"/>
    <cellStyle name="40% - Ênfase2 15 3" xfId="1199" xr:uid="{A333A60D-0F6F-4481-9030-9664020C77B9}"/>
    <cellStyle name="40% - Ênfase2 15 3 2" xfId="3051" xr:uid="{7C7EB86A-8CCF-4547-B17B-ACE473D9C572}"/>
    <cellStyle name="40% - Ênfase2 15 3 2 2" xfId="6679" xr:uid="{0EDA8DCD-DBDD-44F8-A2A1-178CC115A75F}"/>
    <cellStyle name="40% - Ênfase2 15 3 3" xfId="4827" xr:uid="{CADAC94C-6ADA-4E0B-8659-FDBC66E55C34}"/>
    <cellStyle name="40% - Ênfase2 15 4" xfId="2124" xr:uid="{B1788952-89B4-4071-B6DE-843E85C9F87D}"/>
    <cellStyle name="40% - Ênfase2 15 4 2" xfId="5752" xr:uid="{DCA1ABF5-3135-490F-A093-DE2169BB85FD}"/>
    <cellStyle name="40% - Ênfase2 15 5" xfId="4223" xr:uid="{F7B4319D-DE69-4514-A049-AA0C1801FD60}"/>
    <cellStyle name="40% - Ênfase2 16" xfId="614" xr:uid="{7E77E3FE-BA60-4D8E-9678-28A3D90E353F}"/>
    <cellStyle name="40% - Ênfase2 16 2" xfId="1677" xr:uid="{CAA87516-0298-4A53-9969-675FC12C9B36}"/>
    <cellStyle name="40% - Ênfase2 16 2 2" xfId="2602" xr:uid="{9029CEF9-4C87-43E1-B5E0-7CDCACC056A7}"/>
    <cellStyle name="40% - Ênfase2 16 2 2 2" xfId="6230" xr:uid="{67DED2AF-2DA2-4A02-A0A2-AD722A1F45FD}"/>
    <cellStyle name="40% - Ênfase2 16 2 3" xfId="5305" xr:uid="{634796A5-DA2E-48A7-B86E-F995CFE89BBF}"/>
    <cellStyle name="40% - Ênfase2 16 3" xfId="1219" xr:uid="{1E221217-79D9-4F47-9701-8559456ADBBC}"/>
    <cellStyle name="40% - Ênfase2 16 3 2" xfId="3071" xr:uid="{DD916C08-06AE-4F73-8991-A360B38FF70D}"/>
    <cellStyle name="40% - Ênfase2 16 3 2 2" xfId="6699" xr:uid="{AEB64AB7-826F-4FF7-9657-1D6AA7DB879F}"/>
    <cellStyle name="40% - Ênfase2 16 3 3" xfId="4847" xr:uid="{32F1B380-31C5-4086-9FE3-6ACF88514BF3}"/>
    <cellStyle name="40% - Ênfase2 16 4" xfId="2144" xr:uid="{997BB6A3-3A97-407F-8FFB-A900F83720D8}"/>
    <cellStyle name="40% - Ênfase2 16 4 2" xfId="5772" xr:uid="{F43DCF21-8BFA-4681-8EF7-95A7E414DD94}"/>
    <cellStyle name="40% - Ênfase2 16 5" xfId="4243" xr:uid="{92983ECB-60DF-4B41-9E99-3D5A3C65386D}"/>
    <cellStyle name="40% - Ênfase2 17" xfId="634" xr:uid="{A270E103-D8EC-4D48-83D0-DDC616C2A118}"/>
    <cellStyle name="40% - Ênfase2 17 2" xfId="1238" xr:uid="{52CC6D33-FB37-489B-A96F-4B94F3D329D0}"/>
    <cellStyle name="40% - Ênfase2 17 2 2" xfId="3090" xr:uid="{201BA160-A3EA-4A51-A7D5-EC34E3072C6E}"/>
    <cellStyle name="40% - Ênfase2 17 2 2 2" xfId="6718" xr:uid="{ADFEDC5D-7745-4199-B281-F0A7ABDF8D6A}"/>
    <cellStyle name="40% - Ênfase2 17 2 3" xfId="4866" xr:uid="{172F62CA-85EE-443C-9886-19AB7DC56CDD}"/>
    <cellStyle name="40% - Ênfase2 17 3" xfId="2163" xr:uid="{47371AD5-539D-4A95-9EC5-050986D6349A}"/>
    <cellStyle name="40% - Ênfase2 17 3 2" xfId="5791" xr:uid="{C74CB550-F1B4-4E24-9819-01F0917D97D0}"/>
    <cellStyle name="40% - Ênfase2 17 4" xfId="4263" xr:uid="{AD121E13-E333-43A1-9008-C69E71899948}"/>
    <cellStyle name="40% - Ênfase2 18" xfId="311" xr:uid="{F22C00B2-A8C8-4F44-AFEA-4257C3349ED9}"/>
    <cellStyle name="40% - Ênfase2 18 2" xfId="1536" xr:uid="{A6DEF40C-8C1A-4C50-A362-E7AFC253D2CC}"/>
    <cellStyle name="40% - Ênfase2 18 2 2" xfId="3388" xr:uid="{E8DBE2D3-2B4F-43D4-8C76-505DF731ABA3}"/>
    <cellStyle name="40% - Ênfase2 18 2 2 2" xfId="7016" xr:uid="{8465B14B-AA9A-40F0-BC9D-AFE69B16A950}"/>
    <cellStyle name="40% - Ênfase2 18 2 3" xfId="5164" xr:uid="{94BAE798-C52A-4988-8183-FDBCAB4ECDE5}"/>
    <cellStyle name="40% - Ênfase2 18 3" xfId="2461" xr:uid="{C833EE33-BCE2-4BB0-9F87-5DEAD9ADC49C}"/>
    <cellStyle name="40% - Ênfase2 18 3 2" xfId="6089" xr:uid="{A76312D3-E3BE-4863-9220-AFAA49583FCD}"/>
    <cellStyle name="40% - Ênfase2 18 4" xfId="3940" xr:uid="{DE0C58CE-24D3-4064-AA9C-1CB521A550B7}"/>
    <cellStyle name="40% - Ênfase2 19" xfId="916" xr:uid="{359FCC23-F7E4-45CE-B679-EB3774784D9B}"/>
    <cellStyle name="40% - Ênfase2 19 2" xfId="2768" xr:uid="{ED13CB99-2B2C-4F78-A033-F5841B034411}"/>
    <cellStyle name="40% - Ênfase2 19 2 2" xfId="6396" xr:uid="{2720A8F4-6BE5-4C26-BC75-C1520402562C}"/>
    <cellStyle name="40% - Ênfase2 19 3" xfId="4544" xr:uid="{8C5D92B2-56C6-4843-87BE-307051F8DCE7}"/>
    <cellStyle name="40% - Ênfase2 2" xfId="51" xr:uid="{69E0D125-01D2-433D-87BE-2B7DE26755C4}"/>
    <cellStyle name="40% - Ênfase2 2 2" xfId="657" xr:uid="{4C273F2F-183C-407E-9803-2C4290BFDF92}"/>
    <cellStyle name="40% - Ênfase2 2 2 2" xfId="1260" xr:uid="{9DE0D694-07D9-48E3-AD55-D51E417F92C5}"/>
    <cellStyle name="40% - Ênfase2 2 2 2 2" xfId="3112" xr:uid="{C3860A8B-6D51-4EC6-9A59-BE8FF6EDE1A2}"/>
    <cellStyle name="40% - Ênfase2 2 2 2 2 2" xfId="6740" xr:uid="{173A59D6-5CC7-4D1D-992F-6CC94484EEEE}"/>
    <cellStyle name="40% - Ênfase2 2 2 2 3" xfId="4888" xr:uid="{7ACA6104-1E32-44CC-A66F-382B21A6BB86}"/>
    <cellStyle name="40% - Ênfase2 2 2 3" xfId="2185" xr:uid="{FEAD2A23-4989-4970-8A1D-E6B490436910}"/>
    <cellStyle name="40% - Ênfase2 2 2 3 2" xfId="5813" xr:uid="{D87CD4E1-483E-49F5-B9B4-CAB6F6BAF39A}"/>
    <cellStyle name="40% - Ênfase2 2 2 4" xfId="4285" xr:uid="{8E282160-97B8-45AB-A2F1-5BAD04CAB926}"/>
    <cellStyle name="40% - Ênfase2 2 3" xfId="333" xr:uid="{C796E05C-E7C1-42D7-BE58-916D2BAB6083}"/>
    <cellStyle name="40% - Ênfase2 2 3 2" xfId="1694" xr:uid="{F2A00FD5-E24C-4546-99CB-B9C961E31192}"/>
    <cellStyle name="40% - Ênfase2 2 3 2 2" xfId="3507" xr:uid="{97C96F64-6AD5-45F7-A208-7B154DAD9347}"/>
    <cellStyle name="40% - Ênfase2 2 3 2 2 2" xfId="7135" xr:uid="{82B869D9-8FF6-42F9-9705-838F33C4EFF1}"/>
    <cellStyle name="40% - Ênfase2 2 3 2 3" xfId="5322" xr:uid="{2AD1C22D-8081-44F5-A873-687532D39F2B}"/>
    <cellStyle name="40% - Ênfase2 2 3 3" xfId="2619" xr:uid="{E4FBA2B8-F9B2-4C4A-A509-8EDE0A6B7F70}"/>
    <cellStyle name="40% - Ênfase2 2 3 3 2" xfId="6247" xr:uid="{6FA5BCB0-E336-4C29-9F4C-37861C773A98}"/>
    <cellStyle name="40% - Ênfase2 2 3 4" xfId="3962" xr:uid="{C837A950-E009-482F-BE4A-48AEA2EB29D8}"/>
    <cellStyle name="40% - Ênfase2 2 4" xfId="938" xr:uid="{59FBC091-0BA4-496E-934E-4ABC6A5C0893}"/>
    <cellStyle name="40% - Ênfase2 2 4 2" xfId="2790" xr:uid="{929C8DA5-31E3-4022-9188-9B38C7C3FFAF}"/>
    <cellStyle name="40% - Ênfase2 2 4 2 2" xfId="6418" xr:uid="{73BF5318-9146-4444-9508-37D82C00FB36}"/>
    <cellStyle name="40% - Ênfase2 2 4 3" xfId="4566" xr:uid="{008E3471-081B-4A83-A279-FD8BA2C4DFAA}"/>
    <cellStyle name="40% - Ênfase2 2 5" xfId="1863" xr:uid="{8E7C3B75-0383-4E03-983F-E8C379CCAB82}"/>
    <cellStyle name="40% - Ênfase2 2 5 2" xfId="5491" xr:uid="{BD3ECC5C-BADE-44CA-8661-3386CB1F8AEF}"/>
    <cellStyle name="40% - Ênfase2 2 6" xfId="3680" xr:uid="{E238B0FF-7207-490C-A95D-64ADE6D160FC}"/>
    <cellStyle name="40% - Ênfase2 20" xfId="1841" xr:uid="{C4631B14-68EF-45DE-B101-3CF8D5F58F42}"/>
    <cellStyle name="40% - Ênfase2 20 2" xfId="5469" xr:uid="{889A79A7-531B-49F6-BC5F-B51968B49599}"/>
    <cellStyle name="40% - Ênfase2 21" xfId="3656" xr:uid="{50724D0F-B435-4931-A821-448CE5731B28}"/>
    <cellStyle name="40% - Ênfase2 3" xfId="69" xr:uid="{BD512388-C12C-4FAB-8A70-0F0F7520E43F}"/>
    <cellStyle name="40% - Ênfase2 3 2" xfId="675" xr:uid="{88F85DF4-F931-4E82-9213-F9ECBEDA3235}"/>
    <cellStyle name="40% - Ênfase2 3 2 2" xfId="1278" xr:uid="{D612FBEA-4DC4-4D26-94F6-78347283BDFA}"/>
    <cellStyle name="40% - Ênfase2 3 2 2 2" xfId="3130" xr:uid="{F1085EF1-1A0C-4E50-BB51-F77ADE088881}"/>
    <cellStyle name="40% - Ênfase2 3 2 2 2 2" xfId="6758" xr:uid="{6AD3B0BD-9900-4254-99E2-DDF8DA34F820}"/>
    <cellStyle name="40% - Ênfase2 3 2 2 3" xfId="4906" xr:uid="{49679F14-1C2E-40A0-B106-8BD4F4ACFA93}"/>
    <cellStyle name="40% - Ênfase2 3 2 3" xfId="2203" xr:uid="{9BE3E704-3362-4898-B516-B57453A01718}"/>
    <cellStyle name="40% - Ênfase2 3 2 3 2" xfId="5831" xr:uid="{6D597DB8-A404-47B6-BC1C-34215AD7E6F5}"/>
    <cellStyle name="40% - Ênfase2 3 2 4" xfId="4303" xr:uid="{65CBBD2B-D1F9-45FC-97E6-40CD66936A67}"/>
    <cellStyle name="40% - Ênfase2 3 3" xfId="351" xr:uid="{85466066-D928-4C2F-A2DE-0797A0C06B89}"/>
    <cellStyle name="40% - Ênfase2 3 3 2" xfId="1633" xr:uid="{49318F19-2624-4AB4-9F55-AE59564D5D14}"/>
    <cellStyle name="40% - Ênfase2 3 3 2 2" xfId="3485" xr:uid="{6FCDADD6-E120-400D-9C51-847EFBAB4344}"/>
    <cellStyle name="40% - Ênfase2 3 3 2 2 2" xfId="7113" xr:uid="{05CF012B-7DFA-4B38-AACB-5723C982A16B}"/>
    <cellStyle name="40% - Ênfase2 3 3 2 3" xfId="5261" xr:uid="{A8673213-A256-4CD0-A9A8-035E7F42A267}"/>
    <cellStyle name="40% - Ênfase2 3 3 3" xfId="2558" xr:uid="{5A0F7FFA-636F-49F6-A8DB-AC5D7545A0F6}"/>
    <cellStyle name="40% - Ênfase2 3 3 3 2" xfId="6186" xr:uid="{0009734D-6159-4CD2-AC3D-73196ED088DF}"/>
    <cellStyle name="40% - Ênfase2 3 3 4" xfId="3980" xr:uid="{45A877E6-6133-4FB1-9658-69AF0B437BB1}"/>
    <cellStyle name="40% - Ênfase2 3 4" xfId="956" xr:uid="{438255A4-59EA-435A-B50A-CBD4FB9CB5B3}"/>
    <cellStyle name="40% - Ênfase2 3 4 2" xfId="2808" xr:uid="{CFB65ED8-4847-4EAC-92E2-7E2A2F463D9D}"/>
    <cellStyle name="40% - Ênfase2 3 4 2 2" xfId="6436" xr:uid="{2E0EEB5C-EAB8-4730-9F74-17B55B15FA1B}"/>
    <cellStyle name="40% - Ênfase2 3 4 3" xfId="4584" xr:uid="{827AAD4F-440E-41E1-94B7-EA601170975B}"/>
    <cellStyle name="40% - Ênfase2 3 5" xfId="1881" xr:uid="{E49B48AF-C4F1-43B5-BE3C-7D15600E8780}"/>
    <cellStyle name="40% - Ênfase2 3 5 2" xfId="5509" xr:uid="{A7FEBA9B-15BE-4C12-BD1D-10390047DBF3}"/>
    <cellStyle name="40% - Ênfase2 3 6" xfId="3698" xr:uid="{4B71FBE2-1409-4969-9CB6-0D78D7DDE03F}"/>
    <cellStyle name="40% - Ênfase2 4" xfId="91" xr:uid="{632CE022-D767-47BC-9D85-843C74ED8214}"/>
    <cellStyle name="40% - Ênfase2 4 2" xfId="697" xr:uid="{FCBBE97F-2D62-4C81-A9EE-E1B8AA993E8E}"/>
    <cellStyle name="40% - Ênfase2 4 2 2" xfId="1300" xr:uid="{D7604B1F-EAC7-4B01-853B-7E251E43E4E8}"/>
    <cellStyle name="40% - Ênfase2 4 2 2 2" xfId="3152" xr:uid="{BBB81E56-7045-4219-B99F-A6DC2A8379FF}"/>
    <cellStyle name="40% - Ênfase2 4 2 2 2 2" xfId="6780" xr:uid="{152F5F4B-C455-4D32-A96E-471F486AFD90}"/>
    <cellStyle name="40% - Ênfase2 4 2 2 3" xfId="4928" xr:uid="{15DAB998-D19E-41D6-8FF0-E26FCC6B6985}"/>
    <cellStyle name="40% - Ênfase2 4 2 3" xfId="2225" xr:uid="{EC88EDD0-0056-4531-978F-855660E517E0}"/>
    <cellStyle name="40% - Ênfase2 4 2 3 2" xfId="5853" xr:uid="{6AD0745F-46B2-4E82-9959-8F54E9F2C0B9}"/>
    <cellStyle name="40% - Ênfase2 4 2 4" xfId="4325" xr:uid="{75B0E520-7C90-45AC-9EC0-27351EE3B816}"/>
    <cellStyle name="40% - Ênfase2 4 3" xfId="373" xr:uid="{53EDF3A8-1A6A-443B-A6E2-2FF32D75ACA5}"/>
    <cellStyle name="40% - Ênfase2 4 3 2" xfId="1705" xr:uid="{68EE1C77-451F-4E0F-AAAB-49DB91C9F1FB}"/>
    <cellStyle name="40% - Ênfase2 4 3 2 2" xfId="3518" xr:uid="{C9A4329D-04E9-4F5C-A7D9-721817259465}"/>
    <cellStyle name="40% - Ênfase2 4 3 2 2 2" xfId="7146" xr:uid="{BFB71344-F74B-43FB-9853-87608F47BA95}"/>
    <cellStyle name="40% - Ênfase2 4 3 2 3" xfId="5333" xr:uid="{49BBE26B-1F2D-41FC-A99C-D45182CEF986}"/>
    <cellStyle name="40% - Ênfase2 4 3 3" xfId="2630" xr:uid="{A31F876F-B687-4C4F-A67E-442F4BED79EC}"/>
    <cellStyle name="40% - Ênfase2 4 3 3 2" xfId="6258" xr:uid="{5FE73FE7-AAB0-489D-BF41-CF1533D47F74}"/>
    <cellStyle name="40% - Ênfase2 4 3 4" xfId="4002" xr:uid="{38ADD7E3-FF8B-49F6-9C65-E124788FD44D}"/>
    <cellStyle name="40% - Ênfase2 4 4" xfId="978" xr:uid="{5C5FDAE4-C3A6-4F8C-BD41-22EFC4E91C2F}"/>
    <cellStyle name="40% - Ênfase2 4 4 2" xfId="2830" xr:uid="{F644FA5F-EC74-4AAA-A5AB-F7EAE72A9D00}"/>
    <cellStyle name="40% - Ênfase2 4 4 2 2" xfId="6458" xr:uid="{AD8F778B-806C-49C0-9430-80AA26B31F44}"/>
    <cellStyle name="40% - Ênfase2 4 4 3" xfId="4606" xr:uid="{72B72F3C-2938-4E32-917F-AEBAD4D58DA6}"/>
    <cellStyle name="40% - Ênfase2 4 5" xfId="1903" xr:uid="{99B37583-9AC7-4465-BEF5-E56414419C9B}"/>
    <cellStyle name="40% - Ênfase2 4 5 2" xfId="5531" xr:uid="{F225AACC-BCF3-4FA0-91C3-12358C101E0D}"/>
    <cellStyle name="40% - Ênfase2 4 6" xfId="3720" xr:uid="{42BCDE81-E4A3-4507-9E0A-5D98C8BC44FB}"/>
    <cellStyle name="40% - Ênfase2 5" xfId="111" xr:uid="{0BFF451B-5FFC-4D92-A491-B8D058351AA1}"/>
    <cellStyle name="40% - Ênfase2 5 2" xfId="717" xr:uid="{1CF23BD0-89DE-4DD8-9342-4F429F8A23E3}"/>
    <cellStyle name="40% - Ênfase2 5 2 2" xfId="1320" xr:uid="{2505AAC0-D16C-4F7A-AEB7-01EDE93CAC30}"/>
    <cellStyle name="40% - Ênfase2 5 2 2 2" xfId="3172" xr:uid="{6B085880-1827-4F7F-8B6F-D524CE9DC620}"/>
    <cellStyle name="40% - Ênfase2 5 2 2 2 2" xfId="6800" xr:uid="{4648D4D2-BE7A-48F5-B2FF-A01941AF916D}"/>
    <cellStyle name="40% - Ênfase2 5 2 2 3" xfId="4948" xr:uid="{C005782F-3D27-4806-AB45-D0DC6F8EA183}"/>
    <cellStyle name="40% - Ênfase2 5 2 3" xfId="2245" xr:uid="{BFD9FACC-1C81-453C-901C-3DBD9BA266D6}"/>
    <cellStyle name="40% - Ênfase2 5 2 3 2" xfId="5873" xr:uid="{C02A5215-8775-4EE8-BB85-1C03C20D5C29}"/>
    <cellStyle name="40% - Ênfase2 5 2 4" xfId="4345" xr:uid="{3DF701AE-BCA2-4C8F-9E25-75A41D50F65F}"/>
    <cellStyle name="40% - Ênfase2 5 3" xfId="393" xr:uid="{E431D38C-0042-490C-848B-3450362B917B}"/>
    <cellStyle name="40% - Ênfase2 5 3 2" xfId="1704" xr:uid="{06E657EA-C09F-43A9-928A-8F10EB8E5291}"/>
    <cellStyle name="40% - Ênfase2 5 3 2 2" xfId="3517" xr:uid="{CCF5CFA2-69C0-4CDA-98E4-108D090A0A7C}"/>
    <cellStyle name="40% - Ênfase2 5 3 2 2 2" xfId="7145" xr:uid="{33F7D062-2EB6-47A9-89D8-7D57D7722DDF}"/>
    <cellStyle name="40% - Ênfase2 5 3 2 3" xfId="5332" xr:uid="{8827C16D-EE1F-40E3-AEDE-CF11A4BD7654}"/>
    <cellStyle name="40% - Ênfase2 5 3 3" xfId="2629" xr:uid="{7B837951-C9B4-430C-BC93-6D0DD16E26E7}"/>
    <cellStyle name="40% - Ênfase2 5 3 3 2" xfId="6257" xr:uid="{E16CCFA7-C5C9-44BE-8498-1FDFCECAC45A}"/>
    <cellStyle name="40% - Ênfase2 5 3 4" xfId="4022" xr:uid="{898D757C-86F3-4507-941C-411913570253}"/>
    <cellStyle name="40% - Ênfase2 5 4" xfId="998" xr:uid="{F3E1332C-BE91-46C9-ABF6-D54B6B487CED}"/>
    <cellStyle name="40% - Ênfase2 5 4 2" xfId="2850" xr:uid="{036496AB-0E83-4288-9504-1FC8B65BF031}"/>
    <cellStyle name="40% - Ênfase2 5 4 2 2" xfId="6478" xr:uid="{85C7CD04-DC64-4ABD-812B-E376EC683F14}"/>
    <cellStyle name="40% - Ênfase2 5 4 3" xfId="4626" xr:uid="{16B28E89-5A14-43CE-8B57-FAC0745F8292}"/>
    <cellStyle name="40% - Ênfase2 5 5" xfId="1923" xr:uid="{A9C6CBB4-633B-410A-93D5-C06735E21F85}"/>
    <cellStyle name="40% - Ênfase2 5 5 2" xfId="5551" xr:uid="{20077E45-7B1E-450F-AF37-70D4A522A1C6}"/>
    <cellStyle name="40% - Ênfase2 5 6" xfId="3740" xr:uid="{E0E0FEC5-900E-45D5-8E28-7E9C1B9024B0}"/>
    <cellStyle name="40% - Ênfase2 6" xfId="131" xr:uid="{D96A3368-7A26-4A74-8606-49C288E0EC51}"/>
    <cellStyle name="40% - Ênfase2 6 2" xfId="737" xr:uid="{30065616-3F57-4E1B-AA57-26CE3FEBB21A}"/>
    <cellStyle name="40% - Ênfase2 6 2 2" xfId="1340" xr:uid="{9CFF03C7-E4E1-4982-8EB2-58AACDE8208F}"/>
    <cellStyle name="40% - Ênfase2 6 2 2 2" xfId="3192" xr:uid="{AC257AE2-4F6A-480F-9AC3-C008BDB34FE2}"/>
    <cellStyle name="40% - Ênfase2 6 2 2 2 2" xfId="6820" xr:uid="{AFC26728-E277-432E-AABE-D951C3267B37}"/>
    <cellStyle name="40% - Ênfase2 6 2 2 3" xfId="4968" xr:uid="{E72A215A-683F-4A16-B994-5821159683D9}"/>
    <cellStyle name="40% - Ênfase2 6 2 3" xfId="2265" xr:uid="{FEE8E860-0A30-4EF5-9D94-DEE7267FB255}"/>
    <cellStyle name="40% - Ênfase2 6 2 3 2" xfId="5893" xr:uid="{E09598F1-949C-4365-A8B8-4B6514329547}"/>
    <cellStyle name="40% - Ênfase2 6 2 4" xfId="4365" xr:uid="{329D5735-B2A6-4A87-97AE-F485A6CF8946}"/>
    <cellStyle name="40% - Ênfase2 6 3" xfId="413" xr:uid="{6E91DBF4-24BC-4F4B-93D1-CD2DADAEC318}"/>
    <cellStyle name="40% - Ênfase2 6 3 2" xfId="1756" xr:uid="{D19AE4C4-4C0E-4100-9E12-2C3E4ACE01B9}"/>
    <cellStyle name="40% - Ênfase2 6 3 2 2" xfId="3569" xr:uid="{E1D16CAF-2E3D-43B3-8ED6-FD4CAED4BC3E}"/>
    <cellStyle name="40% - Ênfase2 6 3 2 2 2" xfId="7197" xr:uid="{7B353F82-0AA0-4E79-AF43-716CF68D53A7}"/>
    <cellStyle name="40% - Ênfase2 6 3 2 3" xfId="5384" xr:uid="{B98C3FB1-B9C8-4947-BBEA-9F894BA5F965}"/>
    <cellStyle name="40% - Ênfase2 6 3 3" xfId="2681" xr:uid="{2DB200D4-A3D9-4302-B037-73B8CAC09245}"/>
    <cellStyle name="40% - Ênfase2 6 3 3 2" xfId="6309" xr:uid="{495882FB-DFE6-4538-8487-C93C02B87006}"/>
    <cellStyle name="40% - Ênfase2 6 3 4" xfId="4042" xr:uid="{B8439A96-928E-4CB4-A46E-2F000D181253}"/>
    <cellStyle name="40% - Ênfase2 6 4" xfId="1018" xr:uid="{C900E839-B87F-4FC0-9FDA-F0F333DCA8F4}"/>
    <cellStyle name="40% - Ênfase2 6 4 2" xfId="2870" xr:uid="{86AAE54E-46F9-4AA2-9423-9AC6E038C9EB}"/>
    <cellStyle name="40% - Ênfase2 6 4 2 2" xfId="6498" xr:uid="{7BEA6E12-F9FE-4EE7-8F71-92C69D676620}"/>
    <cellStyle name="40% - Ênfase2 6 4 3" xfId="4646" xr:uid="{AE8545A9-4A8C-45C9-9E3E-27CD61E70B3A}"/>
    <cellStyle name="40% - Ênfase2 6 5" xfId="1943" xr:uid="{E335266F-0362-4E62-BAE9-A310D67C5C70}"/>
    <cellStyle name="40% - Ênfase2 6 5 2" xfId="5571" xr:uid="{97A47B60-467F-4A20-89DA-53FB170FF0ED}"/>
    <cellStyle name="40% - Ênfase2 6 6" xfId="3760" xr:uid="{181D06D2-9B79-4DFD-BDC6-DFEEF3F64FE0}"/>
    <cellStyle name="40% - Ênfase2 7" xfId="151" xr:uid="{9488F101-49D5-46F3-9F30-967BB007565F}"/>
    <cellStyle name="40% - Ênfase2 7 2" xfId="757" xr:uid="{AD5B9522-66CF-4E2E-B363-0070E1BF2A05}"/>
    <cellStyle name="40% - Ênfase2 7 2 2" xfId="1360" xr:uid="{E04E2D63-755F-462A-8710-AFFF8113ED44}"/>
    <cellStyle name="40% - Ênfase2 7 2 2 2" xfId="3212" xr:uid="{8558D1E1-5360-4200-85DB-28B6D2AF9A03}"/>
    <cellStyle name="40% - Ênfase2 7 2 2 2 2" xfId="6840" xr:uid="{47ED9EEF-AFD8-4203-A29F-6534CCC76453}"/>
    <cellStyle name="40% - Ênfase2 7 2 2 3" xfId="4988" xr:uid="{3EF5C51D-7E3A-4756-BF28-4C80688D3239}"/>
    <cellStyle name="40% - Ênfase2 7 2 3" xfId="2285" xr:uid="{1ABC4423-8CD5-4E11-AF47-5912459E978F}"/>
    <cellStyle name="40% - Ênfase2 7 2 3 2" xfId="5913" xr:uid="{6AD70233-BE69-4DA4-9152-B1DE8EE2F874}"/>
    <cellStyle name="40% - Ênfase2 7 2 4" xfId="4385" xr:uid="{9A2A3129-C8F0-4412-94A0-4AE34282AC94}"/>
    <cellStyle name="40% - Ênfase2 7 3" xfId="433" xr:uid="{606D5B5E-09DB-44F1-A429-1DD2E5BA6FFA}"/>
    <cellStyle name="40% - Ênfase2 7 3 2" xfId="1781" xr:uid="{1BA72BA1-C65C-4DCF-AB70-965E0D1A4C6B}"/>
    <cellStyle name="40% - Ênfase2 7 3 2 2" xfId="3594" xr:uid="{9DECE45D-2747-4597-AE21-33C06B05CCAB}"/>
    <cellStyle name="40% - Ênfase2 7 3 2 2 2" xfId="7222" xr:uid="{F31563AD-DBA0-4CC5-AE4B-A0F054F88AA0}"/>
    <cellStyle name="40% - Ênfase2 7 3 2 3" xfId="5409" xr:uid="{02265F0B-2B9D-4576-A175-68CECF64441C}"/>
    <cellStyle name="40% - Ênfase2 7 3 3" xfId="2706" xr:uid="{DB50EFDD-9465-479C-9C63-160CE4F060CA}"/>
    <cellStyle name="40% - Ênfase2 7 3 3 2" xfId="6334" xr:uid="{5763F2C1-9F9A-4A65-9790-EA00AE325264}"/>
    <cellStyle name="40% - Ênfase2 7 3 4" xfId="4062" xr:uid="{5A02476C-F680-4D3E-AFD7-E974E08F3B90}"/>
    <cellStyle name="40% - Ênfase2 7 4" xfId="1038" xr:uid="{F50A0AD2-15FC-44B0-8A33-A344E867130F}"/>
    <cellStyle name="40% - Ênfase2 7 4 2" xfId="2890" xr:uid="{2DE075D9-63DD-44A3-A12E-DE599C2BD393}"/>
    <cellStyle name="40% - Ênfase2 7 4 2 2" xfId="6518" xr:uid="{1F7F1720-80B6-4BD7-9BA8-C0087A8EB377}"/>
    <cellStyle name="40% - Ênfase2 7 4 3" xfId="4666" xr:uid="{E9300520-B477-40A3-A30A-42037E821EC8}"/>
    <cellStyle name="40% - Ênfase2 7 5" xfId="1963" xr:uid="{83C9E355-D744-4FC5-AEDA-DA023D4FD45E}"/>
    <cellStyle name="40% - Ênfase2 7 5 2" xfId="5591" xr:uid="{B91056C5-BBC5-4210-A3C7-3744E572A841}"/>
    <cellStyle name="40% - Ênfase2 7 6" xfId="3780" xr:uid="{69CD5042-3EA1-4757-891F-5C65954BA1E4}"/>
    <cellStyle name="40% - Ênfase2 8" xfId="171" xr:uid="{322F19FA-61AB-409D-BE65-249BD740B69C}"/>
    <cellStyle name="40% - Ênfase2 8 2" xfId="777" xr:uid="{D55E5EA5-AA09-4349-AB63-BC7F3A9718B4}"/>
    <cellStyle name="40% - Ênfase2 8 2 2" xfId="1380" xr:uid="{E2634F43-FFEB-420E-8738-1CE45C41BE50}"/>
    <cellStyle name="40% - Ênfase2 8 2 2 2" xfId="3232" xr:uid="{54E677C3-04E9-40A4-A997-6D22A9F69020}"/>
    <cellStyle name="40% - Ênfase2 8 2 2 2 2" xfId="6860" xr:uid="{4FF7F648-9AC7-4BC4-B653-B16EA698C27C}"/>
    <cellStyle name="40% - Ênfase2 8 2 2 3" xfId="5008" xr:uid="{58D68AC5-D99D-46EE-BEAD-EE4DF2B23402}"/>
    <cellStyle name="40% - Ênfase2 8 2 3" xfId="2305" xr:uid="{AC47711D-4944-4747-A6E4-68E7741A59E8}"/>
    <cellStyle name="40% - Ênfase2 8 2 3 2" xfId="5933" xr:uid="{B3E438E7-F4EE-4CE6-AC09-93D18E42169D}"/>
    <cellStyle name="40% - Ênfase2 8 2 4" xfId="4405" xr:uid="{D70C4021-9A6D-4E0C-A209-EA6F1639A149}"/>
    <cellStyle name="40% - Ênfase2 8 3" xfId="453" xr:uid="{2591C632-E68B-4ADA-A64B-068C2B84BA97}"/>
    <cellStyle name="40% - Ênfase2 8 3 2" xfId="1639" xr:uid="{C9E33CB1-6D91-4C9D-A2A8-199B94A51C0C}"/>
    <cellStyle name="40% - Ênfase2 8 3 2 2" xfId="3491" xr:uid="{79554D93-5FD7-496D-A76D-9E9D399879E1}"/>
    <cellStyle name="40% - Ênfase2 8 3 2 2 2" xfId="7119" xr:uid="{F689D3C3-6065-4080-A5E5-163A11404C78}"/>
    <cellStyle name="40% - Ênfase2 8 3 2 3" xfId="5267" xr:uid="{6E81009B-0BD5-4B89-9178-A92DB3BE7B8C}"/>
    <cellStyle name="40% - Ênfase2 8 3 3" xfId="2564" xr:uid="{3F5C8B6F-EA01-4040-B4C5-46127FC57D05}"/>
    <cellStyle name="40% - Ênfase2 8 3 3 2" xfId="6192" xr:uid="{427541F9-6F54-41C4-A41C-8B6BBA195BBF}"/>
    <cellStyle name="40% - Ênfase2 8 3 4" xfId="4082" xr:uid="{175C4FBE-4865-43A1-9E8B-0A1A69E83AE0}"/>
    <cellStyle name="40% - Ênfase2 8 4" xfId="1058" xr:uid="{2E8DF9EB-3370-4396-A79C-4FB7078ED0D4}"/>
    <cellStyle name="40% - Ênfase2 8 4 2" xfId="2910" xr:uid="{76183E07-A239-4826-98B7-D640AE3B49F7}"/>
    <cellStyle name="40% - Ênfase2 8 4 2 2" xfId="6538" xr:uid="{83357EE5-651D-4C4F-B1FF-A61D232E5D9D}"/>
    <cellStyle name="40% - Ênfase2 8 4 3" xfId="4686" xr:uid="{CEA03254-4E81-4FF7-94A8-8ABD8C0B9DDC}"/>
    <cellStyle name="40% - Ênfase2 8 5" xfId="1983" xr:uid="{EF5591B9-BE09-46FB-9FAB-77D15C07AE1C}"/>
    <cellStyle name="40% - Ênfase2 8 5 2" xfId="5611" xr:uid="{6C0B5F53-E3C1-402A-9B0D-BB6D56ABFD80}"/>
    <cellStyle name="40% - Ênfase2 8 6" xfId="3800" xr:uid="{A4253E98-BC88-4C44-B248-72583C7D106A}"/>
    <cellStyle name="40% - Ênfase2 9" xfId="191" xr:uid="{9C7A5921-82C4-4D27-AC9E-04EF1BE0B69F}"/>
    <cellStyle name="40% - Ênfase2 9 2" xfId="797" xr:uid="{A08B68BE-966D-4748-AF33-0F7097A78AF2}"/>
    <cellStyle name="40% - Ênfase2 9 2 2" xfId="1400" xr:uid="{A049CC87-7F9F-4740-8CC6-DAF295F0C7B8}"/>
    <cellStyle name="40% - Ênfase2 9 2 2 2" xfId="3252" xr:uid="{BCBFA4CA-21E4-4F54-BB41-658BCEB68611}"/>
    <cellStyle name="40% - Ênfase2 9 2 2 2 2" xfId="6880" xr:uid="{C53AB9CE-80A6-4D62-BA63-76891FEFA99F}"/>
    <cellStyle name="40% - Ênfase2 9 2 2 3" xfId="5028" xr:uid="{DE60FE41-A4E1-4B3B-9426-9CFCE1B01E6F}"/>
    <cellStyle name="40% - Ênfase2 9 2 3" xfId="2325" xr:uid="{FD7318CB-6EC2-4C5E-98F0-BE8143BA9C22}"/>
    <cellStyle name="40% - Ênfase2 9 2 3 2" xfId="5953" xr:uid="{393CC83F-16DB-4228-8F94-9668AD98524B}"/>
    <cellStyle name="40% - Ênfase2 9 2 4" xfId="4425" xr:uid="{B88171A1-5DF2-4E02-BC6C-F5C00D9C12CF}"/>
    <cellStyle name="40% - Ênfase2 9 3" xfId="473" xr:uid="{E373575A-3F67-4586-83AB-86CA86B1F28F}"/>
    <cellStyle name="40% - Ênfase2 9 3 2" xfId="1803" xr:uid="{626B6F45-B53B-4F49-8BE9-22F39023C151}"/>
    <cellStyle name="40% - Ênfase2 9 3 2 2" xfId="3616" xr:uid="{8D613FF7-4A49-49E6-BFA6-272B32C2054E}"/>
    <cellStyle name="40% - Ênfase2 9 3 2 2 2" xfId="7244" xr:uid="{6D164B1B-8516-4DE9-887F-CA6662BF46B0}"/>
    <cellStyle name="40% - Ênfase2 9 3 2 3" xfId="5431" xr:uid="{A612DC11-1F76-432D-B4E9-9478F458BDCF}"/>
    <cellStyle name="40% - Ênfase2 9 3 3" xfId="2728" xr:uid="{1F4F7925-BCC2-4A60-BA61-B0782A00160B}"/>
    <cellStyle name="40% - Ênfase2 9 3 3 2" xfId="6356" xr:uid="{19F5D2AA-BAF4-4C5B-8CF8-E95C64B1B7D1}"/>
    <cellStyle name="40% - Ênfase2 9 3 4" xfId="4102" xr:uid="{25A47BBB-4FCD-4FC6-9098-056CB3075278}"/>
    <cellStyle name="40% - Ênfase2 9 4" xfId="1078" xr:uid="{C2C55BC6-10B4-44F6-AD12-775A25AA0EF6}"/>
    <cellStyle name="40% - Ênfase2 9 4 2" xfId="2930" xr:uid="{A8C7D1F5-D8E4-4F97-A6F8-64A7C0DA3507}"/>
    <cellStyle name="40% - Ênfase2 9 4 2 2" xfId="6558" xr:uid="{FEA839A8-36F2-47F2-B3EE-8114A17859C1}"/>
    <cellStyle name="40% - Ênfase2 9 4 3" xfId="4706" xr:uid="{F6A82FF6-C0D6-4F80-914C-19F53D2FEEE1}"/>
    <cellStyle name="40% - Ênfase2 9 5" xfId="2003" xr:uid="{5FC7FE38-BD88-46D1-8E19-93B4AD3ABC94}"/>
    <cellStyle name="40% - Ênfase2 9 5 2" xfId="5631" xr:uid="{F9C35F1D-F34F-4882-A3F6-8F356200588F}"/>
    <cellStyle name="40% - Ênfase2 9 6" xfId="3820" xr:uid="{2D46E084-DF46-465A-8D44-D44A773227D1}"/>
    <cellStyle name="40% - Ênfase3" xfId="28" builtinId="39" customBuiltin="1"/>
    <cellStyle name="40% - Ênfase3 10" xfId="215" xr:uid="{7B2950BA-C79B-4275-9D14-DB18EFE4E51E}"/>
    <cellStyle name="40% - Ênfase3 10 2" xfId="821" xr:uid="{77EF0F69-192C-4BF4-AB27-99F774164A3B}"/>
    <cellStyle name="40% - Ênfase3 10 2 2" xfId="1424" xr:uid="{F4CAC10B-44B7-4BEA-B46B-AA3D17376603}"/>
    <cellStyle name="40% - Ênfase3 10 2 2 2" xfId="3276" xr:uid="{DF6514BE-D073-49FF-8CF9-6EEDA3BBBFA6}"/>
    <cellStyle name="40% - Ênfase3 10 2 2 2 2" xfId="6904" xr:uid="{F3747322-8081-45A3-83AC-AC2102D00692}"/>
    <cellStyle name="40% - Ênfase3 10 2 2 3" xfId="5052" xr:uid="{C53D88AF-497B-404C-AE7E-78E57359426C}"/>
    <cellStyle name="40% - Ênfase3 10 2 3" xfId="2349" xr:uid="{CA691282-184E-432E-8E31-31EE8F4AC501}"/>
    <cellStyle name="40% - Ênfase3 10 2 3 2" xfId="5977" xr:uid="{E8742333-4B48-4D4A-A1A2-DCBAECCB9630}"/>
    <cellStyle name="40% - Ênfase3 10 2 4" xfId="4449" xr:uid="{1D880D0D-CF3E-4C72-8CA0-B60060D7008F}"/>
    <cellStyle name="40% - Ênfase3 10 3" xfId="497" xr:uid="{17F3FBE1-4F92-4EA1-8C78-FDB578B7E921}"/>
    <cellStyle name="40% - Ênfase3 10 3 2" xfId="1614" xr:uid="{121BE612-ED1D-422F-B750-B2E083A23927}"/>
    <cellStyle name="40% - Ênfase3 10 3 2 2" xfId="3466" xr:uid="{6A3B88EF-F15A-46D7-BCE8-EB75F8416DCA}"/>
    <cellStyle name="40% - Ênfase3 10 3 2 2 2" xfId="7094" xr:uid="{613E1640-5A72-4F5C-9FC7-32A47180B57A}"/>
    <cellStyle name="40% - Ênfase3 10 3 2 3" xfId="5242" xr:uid="{44E88753-FD53-49D8-B559-A75C1C512AC9}"/>
    <cellStyle name="40% - Ênfase3 10 3 3" xfId="2539" xr:uid="{55936C2B-C0A0-4EAC-B9C0-96DBEA91D879}"/>
    <cellStyle name="40% - Ênfase3 10 3 3 2" xfId="6167" xr:uid="{E7512991-4D47-4621-B172-D10622EEC1CA}"/>
    <cellStyle name="40% - Ênfase3 10 3 4" xfId="4126" xr:uid="{3285206C-597F-42FD-87D3-8B982349ADBC}"/>
    <cellStyle name="40% - Ênfase3 10 4" xfId="1102" xr:uid="{F2F6C4ED-C948-4322-8AC2-8D34989DECE6}"/>
    <cellStyle name="40% - Ênfase3 10 4 2" xfId="2954" xr:uid="{85E1F525-55F0-419D-9CE6-8A84B1BE6220}"/>
    <cellStyle name="40% - Ênfase3 10 4 2 2" xfId="6582" xr:uid="{F8980A94-2D56-4BEB-8506-C852B5164BA5}"/>
    <cellStyle name="40% - Ênfase3 10 4 3" xfId="4730" xr:uid="{EF319E51-9A44-449C-9E12-5F62108C80AA}"/>
    <cellStyle name="40% - Ênfase3 10 5" xfId="2027" xr:uid="{260CD408-FF9B-40E9-845A-26882AAF5119}"/>
    <cellStyle name="40% - Ênfase3 10 5 2" xfId="5655" xr:uid="{3BEC0A23-5B47-4B7B-8B8F-C025D51307C7}"/>
    <cellStyle name="40% - Ênfase3 10 6" xfId="3844" xr:uid="{5A4E3172-4CFA-40D4-95B0-FEAE5A2FD753}"/>
    <cellStyle name="40% - Ênfase3 11" xfId="235" xr:uid="{EE03BEA0-5D93-4EB5-AC6B-15739AA6CCD3}"/>
    <cellStyle name="40% - Ênfase3 11 2" xfId="841" xr:uid="{563A7979-98C1-4610-863D-8E07593B9565}"/>
    <cellStyle name="40% - Ênfase3 11 2 2" xfId="1444" xr:uid="{3124C40B-5F6A-446B-80AE-1ADD3AD8342D}"/>
    <cellStyle name="40% - Ênfase3 11 2 2 2" xfId="3296" xr:uid="{17C9B2F3-84FD-48DD-AA71-37C13EA0E70A}"/>
    <cellStyle name="40% - Ênfase3 11 2 2 2 2" xfId="6924" xr:uid="{7ECC3FB0-75FC-4105-AC46-E145B939EF35}"/>
    <cellStyle name="40% - Ênfase3 11 2 2 3" xfId="5072" xr:uid="{D6E1B311-AE71-4B58-94A7-033F01AA419D}"/>
    <cellStyle name="40% - Ênfase3 11 2 3" xfId="2369" xr:uid="{BCB630B6-E48F-45C6-B5AD-0F1A2A71EA54}"/>
    <cellStyle name="40% - Ênfase3 11 2 3 2" xfId="5997" xr:uid="{2C548839-7FC6-4A34-96EA-62A907AA71C0}"/>
    <cellStyle name="40% - Ênfase3 11 2 4" xfId="4469" xr:uid="{8D89CA8C-FC88-4492-8137-B4D033382C3D}"/>
    <cellStyle name="40% - Ênfase3 11 3" xfId="517" xr:uid="{1980D4B3-346F-4B92-B155-1B5CBBE2CA00}"/>
    <cellStyle name="40% - Ênfase3 11 3 2" xfId="1734" xr:uid="{A3026C1C-B961-4712-9743-E1570B26A307}"/>
    <cellStyle name="40% - Ênfase3 11 3 2 2" xfId="3547" xr:uid="{AE48763E-EA66-43A9-B866-C574CF4A971D}"/>
    <cellStyle name="40% - Ênfase3 11 3 2 2 2" xfId="7175" xr:uid="{14E2CAE5-14E9-43FE-87EA-90CCCF53FFC6}"/>
    <cellStyle name="40% - Ênfase3 11 3 2 3" xfId="5362" xr:uid="{60010601-52EF-4E48-BAFB-605F31E1DBEE}"/>
    <cellStyle name="40% - Ênfase3 11 3 3" xfId="2659" xr:uid="{9B53532C-8F7E-4D7E-8264-C21538C8F4E6}"/>
    <cellStyle name="40% - Ênfase3 11 3 3 2" xfId="6287" xr:uid="{B6328B6C-76A1-4F59-AC33-4299DF7AD534}"/>
    <cellStyle name="40% - Ênfase3 11 3 4" xfId="4146" xr:uid="{4737F1A5-8BBC-46BB-AEEE-8C3EE114BABC}"/>
    <cellStyle name="40% - Ênfase3 11 4" xfId="1122" xr:uid="{B4F7CD9E-87BD-4368-93B5-E8ACFD2B0D09}"/>
    <cellStyle name="40% - Ênfase3 11 4 2" xfId="2974" xr:uid="{DF59ADB1-0BA7-4C64-B35F-A06033249F62}"/>
    <cellStyle name="40% - Ênfase3 11 4 2 2" xfId="6602" xr:uid="{2B3EADE1-4AF7-4177-B1A1-4746F2049DDE}"/>
    <cellStyle name="40% - Ênfase3 11 4 3" xfId="4750" xr:uid="{F90D6BE4-7F0C-49AA-9E89-249C3F1EEB83}"/>
    <cellStyle name="40% - Ênfase3 11 5" xfId="2047" xr:uid="{59289491-E5AF-4C85-8A6A-65549230D568}"/>
    <cellStyle name="40% - Ênfase3 11 5 2" xfId="5675" xr:uid="{529F16EF-6787-45EA-BD05-35DE676B100A}"/>
    <cellStyle name="40% - Ênfase3 11 6" xfId="3864" xr:uid="{57AB38BA-CCC0-4C28-94DB-AB25C3582293}"/>
    <cellStyle name="40% - Ênfase3 12" xfId="255" xr:uid="{21B54C05-8881-4979-BD57-40C38FE54D4C}"/>
    <cellStyle name="40% - Ênfase3 12 2" xfId="861" xr:uid="{A0358CC3-522C-43BD-A033-C59C5D12A3AE}"/>
    <cellStyle name="40% - Ênfase3 12 2 2" xfId="1464" xr:uid="{B3BC950A-FA2B-43C7-926C-1C0B1BF29396}"/>
    <cellStyle name="40% - Ênfase3 12 2 2 2" xfId="3316" xr:uid="{92A78F5E-3A5B-4B91-9F32-6397D343843A}"/>
    <cellStyle name="40% - Ênfase3 12 2 2 2 2" xfId="6944" xr:uid="{2B36E6E8-9FAE-4B1C-A47A-DB4EBA1B8490}"/>
    <cellStyle name="40% - Ênfase3 12 2 2 3" xfId="5092" xr:uid="{C98E0C9F-D09E-465E-94F6-E0EC3167EB3A}"/>
    <cellStyle name="40% - Ênfase3 12 2 3" xfId="2389" xr:uid="{3A395A97-0421-4C07-A28C-E985B399A04D}"/>
    <cellStyle name="40% - Ênfase3 12 2 3 2" xfId="6017" xr:uid="{B95B5F4E-76A5-4181-8D47-8A5CD2ED93DC}"/>
    <cellStyle name="40% - Ênfase3 12 2 4" xfId="4489" xr:uid="{808D6A13-F639-42BA-867E-547CFC1037DE}"/>
    <cellStyle name="40% - Ênfase3 12 3" xfId="537" xr:uid="{DACDF3B9-92D6-40F2-BBEE-6CF8F72C236F}"/>
    <cellStyle name="40% - Ênfase3 12 3 2" xfId="1646" xr:uid="{69791916-5797-446F-90FA-5650C67314FB}"/>
    <cellStyle name="40% - Ênfase3 12 3 2 2" xfId="3498" xr:uid="{B22C6487-F34A-4FFC-B7E3-90D298499DA7}"/>
    <cellStyle name="40% - Ênfase3 12 3 2 2 2" xfId="7126" xr:uid="{6EFFBD56-8EA1-4D1C-839F-D5B3C2C4CAB4}"/>
    <cellStyle name="40% - Ênfase3 12 3 2 3" xfId="5274" xr:uid="{4E36409F-D2A9-448F-A14C-3F4E1B81DEB0}"/>
    <cellStyle name="40% - Ênfase3 12 3 3" xfId="2571" xr:uid="{51B96B88-08BD-448D-BDE0-E2141071242A}"/>
    <cellStyle name="40% - Ênfase3 12 3 3 2" xfId="6199" xr:uid="{74790AB1-CCA8-4D63-AC32-20E208B6827C}"/>
    <cellStyle name="40% - Ênfase3 12 3 4" xfId="4166" xr:uid="{B491838D-B8EB-4CCA-AECE-1DCC142787C6}"/>
    <cellStyle name="40% - Ênfase3 12 4" xfId="1142" xr:uid="{3BB0B2BD-8F02-4A0D-9C14-A69F74F6DD01}"/>
    <cellStyle name="40% - Ênfase3 12 4 2" xfId="2994" xr:uid="{4A2E11E9-3CD2-4848-9D43-BACAFDB62B26}"/>
    <cellStyle name="40% - Ênfase3 12 4 2 2" xfId="6622" xr:uid="{886DA7CC-C6AC-47F8-99C4-079978954A70}"/>
    <cellStyle name="40% - Ênfase3 12 4 3" xfId="4770" xr:uid="{B6EC187F-0E7C-4D5F-AFDB-651204CA91AD}"/>
    <cellStyle name="40% - Ênfase3 12 5" xfId="2067" xr:uid="{3C820F6E-DDDB-4A3F-B1BE-D21C726614B8}"/>
    <cellStyle name="40% - Ênfase3 12 5 2" xfId="5695" xr:uid="{DD8217F6-F3A8-42B2-88ED-D994B404D2A7}"/>
    <cellStyle name="40% - Ênfase3 12 6" xfId="3884" xr:uid="{EB89F75D-CCB5-4D4E-A699-812DEF4EB975}"/>
    <cellStyle name="40% - Ênfase3 13" xfId="275" xr:uid="{5349ED36-C2FD-4C33-8763-1B968FD79217}"/>
    <cellStyle name="40% - Ênfase3 13 2" xfId="881" xr:uid="{B6557573-9F7B-4471-99E6-464E97DC7EBB}"/>
    <cellStyle name="40% - Ênfase3 13 2 2" xfId="1484" xr:uid="{5A8A3A26-3816-496C-A78A-2748E7501959}"/>
    <cellStyle name="40% - Ênfase3 13 2 2 2" xfId="3336" xr:uid="{143E70E8-271F-4EFF-AF36-DD449993929B}"/>
    <cellStyle name="40% - Ênfase3 13 2 2 2 2" xfId="6964" xr:uid="{6DA75C26-B1F1-4A24-8E69-6B0AE396A002}"/>
    <cellStyle name="40% - Ênfase3 13 2 2 3" xfId="5112" xr:uid="{A7B8CEBA-D786-49DA-905E-5E9BFEF326CA}"/>
    <cellStyle name="40% - Ênfase3 13 2 3" xfId="2409" xr:uid="{B7BF6FFC-CAE0-4AAB-962C-5F5CF29842D8}"/>
    <cellStyle name="40% - Ênfase3 13 2 3 2" xfId="6037" xr:uid="{618669C1-A9A6-4581-9BB2-4A50103421D6}"/>
    <cellStyle name="40% - Ênfase3 13 2 4" xfId="4509" xr:uid="{E2795F29-0032-48B2-9F0F-2F7CB27D8E94}"/>
    <cellStyle name="40% - Ênfase3 13 3" xfId="557" xr:uid="{54FDA111-86AE-4E46-81C3-F43D5A5961B8}"/>
    <cellStyle name="40% - Ênfase3 13 3 2" xfId="1805" xr:uid="{01B6AFB6-AF72-46C6-9A75-EF77E9545B80}"/>
    <cellStyle name="40% - Ênfase3 13 3 2 2" xfId="3618" xr:uid="{0D02AA02-BA43-42E2-AC7A-203E7C59F4C3}"/>
    <cellStyle name="40% - Ênfase3 13 3 2 2 2" xfId="7246" xr:uid="{11403E0E-DB70-4D7B-AACD-74B4CBE54D22}"/>
    <cellStyle name="40% - Ênfase3 13 3 2 3" xfId="5433" xr:uid="{9DE68EE2-E03F-4479-B444-5B771E0F6DE7}"/>
    <cellStyle name="40% - Ênfase3 13 3 3" xfId="2730" xr:uid="{9C7BD1D9-9877-4DA4-8326-9A4E3405BB7C}"/>
    <cellStyle name="40% - Ênfase3 13 3 3 2" xfId="6358" xr:uid="{B0565D0B-A9B9-4D47-80CB-6BB37BFD2CDB}"/>
    <cellStyle name="40% - Ênfase3 13 3 4" xfId="4186" xr:uid="{011D599C-4B58-43C5-8121-609895EEAF7F}"/>
    <cellStyle name="40% - Ênfase3 13 4" xfId="1162" xr:uid="{3EECFA28-0909-48B1-B0E3-132520B4EE5A}"/>
    <cellStyle name="40% - Ênfase3 13 4 2" xfId="3014" xr:uid="{48F6F6AF-3815-4648-8089-0653A98BF9A3}"/>
    <cellStyle name="40% - Ênfase3 13 4 2 2" xfId="6642" xr:uid="{B7C6D9CA-BABC-4FDB-9DBA-5471C14A719F}"/>
    <cellStyle name="40% - Ênfase3 13 4 3" xfId="4790" xr:uid="{A53D5A75-BF82-4A2D-9FB3-6205095D31FE}"/>
    <cellStyle name="40% - Ênfase3 13 5" xfId="2087" xr:uid="{D1D1FB06-404B-4C45-87AA-A471203C4955}"/>
    <cellStyle name="40% - Ênfase3 13 5 2" xfId="5715" xr:uid="{BBC8F330-EE13-4FB8-8950-93CFD6178B8C}"/>
    <cellStyle name="40% - Ênfase3 13 6" xfId="3904" xr:uid="{090E65C8-D26B-4A4C-971D-8BE6F9354984}"/>
    <cellStyle name="40% - Ênfase3 14" xfId="295" xr:uid="{DC89AD65-D6BF-4363-BE1F-8C2522C1625B}"/>
    <cellStyle name="40% - Ênfase3 14 2" xfId="901" xr:uid="{49BD2BF3-1872-4643-A10C-AF479C06A226}"/>
    <cellStyle name="40% - Ênfase3 14 2 2" xfId="1504" xr:uid="{488294A3-5F17-4370-9D57-B745EF95E2D1}"/>
    <cellStyle name="40% - Ênfase3 14 2 2 2" xfId="3356" xr:uid="{140FBF72-8305-4258-A2DD-4425830495DD}"/>
    <cellStyle name="40% - Ênfase3 14 2 2 2 2" xfId="6984" xr:uid="{6CDE286C-743B-42F5-A312-C5FADCE16C03}"/>
    <cellStyle name="40% - Ênfase3 14 2 2 3" xfId="5132" xr:uid="{054AFF5C-9062-4D05-83DD-4B83DC37E999}"/>
    <cellStyle name="40% - Ênfase3 14 2 3" xfId="2429" xr:uid="{1E0E4F3D-0133-40BA-82D0-2F0C4E5176FF}"/>
    <cellStyle name="40% - Ênfase3 14 2 3 2" xfId="6057" xr:uid="{54DA13CC-0C84-4FE5-B930-480FA7A11FDA}"/>
    <cellStyle name="40% - Ênfase3 14 2 4" xfId="4529" xr:uid="{BF3BBA40-C5DD-4875-9173-2436D9AD990F}"/>
    <cellStyle name="40% - Ênfase3 14 3" xfId="577" xr:uid="{2DE52B29-70B1-431E-9674-F93F153EEA05}"/>
    <cellStyle name="40% - Ênfase3 14 3 2" xfId="1636" xr:uid="{A39487CB-1368-4347-98E6-DE51EDB51B5D}"/>
    <cellStyle name="40% - Ênfase3 14 3 2 2" xfId="3488" xr:uid="{BD8DD030-D94A-4072-9354-F8148C031615}"/>
    <cellStyle name="40% - Ênfase3 14 3 2 2 2" xfId="7116" xr:uid="{F0E63AC1-D098-4836-8BAC-F1144EDD21F0}"/>
    <cellStyle name="40% - Ênfase3 14 3 2 3" xfId="5264" xr:uid="{196EF518-A63F-4704-A799-30B23EFE94B9}"/>
    <cellStyle name="40% - Ênfase3 14 3 3" xfId="2561" xr:uid="{0511DD0C-D761-4520-A699-114D08F5E9DB}"/>
    <cellStyle name="40% - Ênfase3 14 3 3 2" xfId="6189" xr:uid="{D07193F3-2BE1-43F7-8B8E-D0F27A5FA2CB}"/>
    <cellStyle name="40% - Ênfase3 14 3 4" xfId="4206" xr:uid="{C30D0C07-D82F-4068-80E2-236BDD9A639D}"/>
    <cellStyle name="40% - Ênfase3 14 4" xfId="1182" xr:uid="{D7E8019D-3159-4CF9-A534-059353DCB17D}"/>
    <cellStyle name="40% - Ênfase3 14 4 2" xfId="3034" xr:uid="{7E079D20-09D5-4483-9E2F-80FF64924E5B}"/>
    <cellStyle name="40% - Ênfase3 14 4 2 2" xfId="6662" xr:uid="{BC0A2CF4-13EA-4AF5-9669-BA1676BA00B9}"/>
    <cellStyle name="40% - Ênfase3 14 4 3" xfId="4810" xr:uid="{BDCDA90A-FE4A-4C33-B39D-202B5EA5837C}"/>
    <cellStyle name="40% - Ênfase3 14 5" xfId="2107" xr:uid="{6B6B5933-6539-4142-A519-04517C9BCE7B}"/>
    <cellStyle name="40% - Ênfase3 14 5 2" xfId="5735" xr:uid="{65F25F8F-4AEF-4816-9852-1BA5F1A9C07D}"/>
    <cellStyle name="40% - Ênfase3 14 6" xfId="3924" xr:uid="{37C0F445-1870-4F86-979E-F5B30A47E255}"/>
    <cellStyle name="40% - Ênfase3 15" xfId="597" xr:uid="{F92E4B15-1A2B-45F7-808A-F4828BDE162F}"/>
    <cellStyle name="40% - Ênfase3 15 2" xfId="1660" xr:uid="{A712D2EC-6580-4DE7-BB75-4296621FA4F1}"/>
    <cellStyle name="40% - Ênfase3 15 2 2" xfId="2585" xr:uid="{776965F8-2798-48EC-ACAF-48AE321F9C0A}"/>
    <cellStyle name="40% - Ênfase3 15 2 2 2" xfId="6213" xr:uid="{8F741859-D985-4EEB-A480-0A5DABA11774}"/>
    <cellStyle name="40% - Ênfase3 15 2 3" xfId="5288" xr:uid="{5F93C8EC-07C8-4834-801E-1A7C2B05E246}"/>
    <cellStyle name="40% - Ênfase3 15 3" xfId="1202" xr:uid="{6BEE969D-EB68-4C1D-AC2B-2F02638D421D}"/>
    <cellStyle name="40% - Ênfase3 15 3 2" xfId="3054" xr:uid="{5B76E7D4-3D41-4C30-BA97-F7ACF2BFDB21}"/>
    <cellStyle name="40% - Ênfase3 15 3 2 2" xfId="6682" xr:uid="{9109F957-09BE-47B0-B552-0F472B16FE5F}"/>
    <cellStyle name="40% - Ênfase3 15 3 3" xfId="4830" xr:uid="{ED95F4CF-D719-4E51-AEA9-965C2430F04B}"/>
    <cellStyle name="40% - Ênfase3 15 4" xfId="2127" xr:uid="{57EA633F-1D07-42C5-B97A-8E74D8710A1F}"/>
    <cellStyle name="40% - Ênfase3 15 4 2" xfId="5755" xr:uid="{1746595A-A624-42C3-BE29-383606CFCD37}"/>
    <cellStyle name="40% - Ênfase3 15 5" xfId="4226" xr:uid="{DAAE34B6-ABB8-4EC8-8AD2-01EB789C7904}"/>
    <cellStyle name="40% - Ênfase3 16" xfId="617" xr:uid="{1F85710B-4598-40FE-8B03-13F6280D322A}"/>
    <cellStyle name="40% - Ênfase3 16 2" xfId="1680" xr:uid="{E9934B70-9EE9-4D96-848F-C8B0A5352709}"/>
    <cellStyle name="40% - Ênfase3 16 2 2" xfId="2605" xr:uid="{432C41B8-4CFC-4DE4-859F-76791F74A35A}"/>
    <cellStyle name="40% - Ênfase3 16 2 2 2" xfId="6233" xr:uid="{98BC58AF-4229-43C6-ADE6-0922F46DFDDD}"/>
    <cellStyle name="40% - Ênfase3 16 2 3" xfId="5308" xr:uid="{232ED10B-0149-4928-841A-41CF71CBD65C}"/>
    <cellStyle name="40% - Ênfase3 16 3" xfId="1222" xr:uid="{CE1BC5AC-4914-4246-9EC5-F68F387DB625}"/>
    <cellStyle name="40% - Ênfase3 16 3 2" xfId="3074" xr:uid="{E93ADFFA-EE01-414D-86F6-F9F9E5F41004}"/>
    <cellStyle name="40% - Ênfase3 16 3 2 2" xfId="6702" xr:uid="{21EFFA25-BDE5-4D7F-B2B3-D2C474D269B1}"/>
    <cellStyle name="40% - Ênfase3 16 3 3" xfId="4850" xr:uid="{6F5B87D3-6299-4591-B554-EE76E74550B9}"/>
    <cellStyle name="40% - Ênfase3 16 4" xfId="2147" xr:uid="{5F94C517-203D-4E91-93E8-59D136A32C36}"/>
    <cellStyle name="40% - Ênfase3 16 4 2" xfId="5775" xr:uid="{13BCA2CC-0527-4FAB-A282-DE2C978CBBC9}"/>
    <cellStyle name="40% - Ênfase3 16 5" xfId="4246" xr:uid="{285FAC17-34A2-4A63-9973-03E9E826B689}"/>
    <cellStyle name="40% - Ênfase3 17" xfId="637" xr:uid="{5E1C5C8E-B275-40C0-A531-092AC96EA4CA}"/>
    <cellStyle name="40% - Ênfase3 17 2" xfId="1241" xr:uid="{A25C1905-56BD-451D-AFD8-DF7DBF4410C9}"/>
    <cellStyle name="40% - Ênfase3 17 2 2" xfId="3093" xr:uid="{648206A4-CA4B-4210-8E3C-4B5590677117}"/>
    <cellStyle name="40% - Ênfase3 17 2 2 2" xfId="6721" xr:uid="{007BCEA8-E089-4079-B452-5BF60D77C366}"/>
    <cellStyle name="40% - Ênfase3 17 2 3" xfId="4869" xr:uid="{C5FEFD19-4116-4BDC-ABC1-3C65EE00E850}"/>
    <cellStyle name="40% - Ênfase3 17 3" xfId="2166" xr:uid="{F407F9D7-884E-4D48-9232-EFE65CB099F3}"/>
    <cellStyle name="40% - Ênfase3 17 3 2" xfId="5794" xr:uid="{ACAFF5EF-388D-45BC-8348-283F7F43FE75}"/>
    <cellStyle name="40% - Ênfase3 17 4" xfId="4266" xr:uid="{F8C3A866-1776-42DD-8B1A-7CCE751245BB}"/>
    <cellStyle name="40% - Ênfase3 18" xfId="314" xr:uid="{B0E48346-8A45-482A-962A-59B94A4C1068}"/>
    <cellStyle name="40% - Ênfase3 18 2" xfId="1730" xr:uid="{ADB5124A-41FD-42F5-849C-98EBF5DC80FD}"/>
    <cellStyle name="40% - Ênfase3 18 2 2" xfId="3543" xr:uid="{FB01C859-9CFE-4789-91EB-302D7050D314}"/>
    <cellStyle name="40% - Ênfase3 18 2 2 2" xfId="7171" xr:uid="{547F601C-16DA-4304-80A7-C174138264A7}"/>
    <cellStyle name="40% - Ênfase3 18 2 3" xfId="5358" xr:uid="{BEDB88A8-FD8D-4467-A1F7-4C6FD3B14F7E}"/>
    <cellStyle name="40% - Ênfase3 18 3" xfId="2655" xr:uid="{184D8CB5-200D-45B5-8822-6DFAE3C7DEE0}"/>
    <cellStyle name="40% - Ênfase3 18 3 2" xfId="6283" xr:uid="{8391F113-538F-42C6-8CFA-A21E499D576B}"/>
    <cellStyle name="40% - Ênfase3 18 4" xfId="3943" xr:uid="{0F90E876-9B02-4B04-BA91-DDA5CADE6392}"/>
    <cellStyle name="40% - Ênfase3 19" xfId="919" xr:uid="{D48BCC58-623E-4A3A-A8C1-B4AE95AA8E7C}"/>
    <cellStyle name="40% - Ênfase3 19 2" xfId="2771" xr:uid="{7A51E1B6-DA5F-4CF8-901F-4D52F74CF942}"/>
    <cellStyle name="40% - Ênfase3 19 2 2" xfId="6399" xr:uid="{FAE45C59-D1CF-4E74-856F-274E8E1BA40A}"/>
    <cellStyle name="40% - Ênfase3 19 3" xfId="4547" xr:uid="{54C3832C-00A1-42AF-99B1-90ECA09AAF0F}"/>
    <cellStyle name="40% - Ênfase3 2" xfId="54" xr:uid="{34317D80-D37B-4264-A086-BE1C059579B9}"/>
    <cellStyle name="40% - Ênfase3 2 2" xfId="660" xr:uid="{16CB0DB2-915F-4FE1-A73F-5AD39989A7B0}"/>
    <cellStyle name="40% - Ênfase3 2 2 2" xfId="1263" xr:uid="{B5A8EE10-69E8-450F-8A02-88958EE280EF}"/>
    <cellStyle name="40% - Ênfase3 2 2 2 2" xfId="3115" xr:uid="{73D177ED-54A3-4FC9-82E9-9322D3C5A146}"/>
    <cellStyle name="40% - Ênfase3 2 2 2 2 2" xfId="6743" xr:uid="{5B095A77-5997-43CD-865D-48621403E0AC}"/>
    <cellStyle name="40% - Ênfase3 2 2 2 3" xfId="4891" xr:uid="{04433761-3A07-454E-9AC0-E28283664758}"/>
    <cellStyle name="40% - Ênfase3 2 2 3" xfId="2188" xr:uid="{F080EBA3-AF71-492E-B1D0-756C4157A2A0}"/>
    <cellStyle name="40% - Ênfase3 2 2 3 2" xfId="5816" xr:uid="{14B24F28-222A-49F3-8054-93F6CA53F791}"/>
    <cellStyle name="40% - Ênfase3 2 2 4" xfId="4288" xr:uid="{DD389ECD-A451-4CD7-B4A2-C9184C5EA0AB}"/>
    <cellStyle name="40% - Ênfase3 2 3" xfId="336" xr:uid="{72E8AA0F-1CDD-425E-A320-C3735A7721CB}"/>
    <cellStyle name="40% - Ênfase3 2 3 2" xfId="1581" xr:uid="{F781DAAA-F69C-474A-9D7F-23EE4A68E708}"/>
    <cellStyle name="40% - Ênfase3 2 3 2 2" xfId="3433" xr:uid="{A1B966D6-0F1A-43FC-8E1C-B03BDCDDD29F}"/>
    <cellStyle name="40% - Ênfase3 2 3 2 2 2" xfId="7061" xr:uid="{8814A7A9-B419-418A-A180-FF60536FE634}"/>
    <cellStyle name="40% - Ênfase3 2 3 2 3" xfId="5209" xr:uid="{2E7641C4-1F54-484B-A70D-130D8CAB6AD0}"/>
    <cellStyle name="40% - Ênfase3 2 3 3" xfId="2506" xr:uid="{26D7DC75-6B6C-4CDB-A39A-3E288CCC5795}"/>
    <cellStyle name="40% - Ênfase3 2 3 3 2" xfId="6134" xr:uid="{2A4EC08A-DFF1-4992-8A30-30FB6EAE459F}"/>
    <cellStyle name="40% - Ênfase3 2 3 4" xfId="3965" xr:uid="{B674E76C-F62A-4310-88B0-27C1EEB5AFA4}"/>
    <cellStyle name="40% - Ênfase3 2 4" xfId="941" xr:uid="{5D5B2D28-50EC-4168-B7AA-D85C8C8BEBC0}"/>
    <cellStyle name="40% - Ênfase3 2 4 2" xfId="2793" xr:uid="{B5D38058-692F-4561-A258-D8E7071257AB}"/>
    <cellStyle name="40% - Ênfase3 2 4 2 2" xfId="6421" xr:uid="{06C3B0AE-B070-4C8B-8F52-3B8AF76291A4}"/>
    <cellStyle name="40% - Ênfase3 2 4 3" xfId="4569" xr:uid="{D0FB4763-CFC7-486A-A0FA-80947533040C}"/>
    <cellStyle name="40% - Ênfase3 2 5" xfId="1866" xr:uid="{42DE38E8-B863-40C6-86C1-6DB460C77E4C}"/>
    <cellStyle name="40% - Ênfase3 2 5 2" xfId="5494" xr:uid="{A72EBEBC-BFE2-45E7-B37C-8F431E89AB09}"/>
    <cellStyle name="40% - Ênfase3 2 6" xfId="3683" xr:uid="{EC44FABB-C036-4B35-A13E-518A9041AC18}"/>
    <cellStyle name="40% - Ênfase3 20" xfId="1844" xr:uid="{744C9644-FF10-493B-8EEB-EEE0359D7407}"/>
    <cellStyle name="40% - Ênfase3 20 2" xfId="5472" xr:uid="{CBD14149-AAB4-4188-B070-FDEE6BB69EC8}"/>
    <cellStyle name="40% - Ênfase3 21" xfId="3659" xr:uid="{22145ED2-C7C1-45A2-A36B-D9A7DA3FC880}"/>
    <cellStyle name="40% - Ênfase3 3" xfId="72" xr:uid="{BCB17C80-884F-4856-8166-1E3985A808C6}"/>
    <cellStyle name="40% - Ênfase3 3 2" xfId="678" xr:uid="{57695811-6A0C-45F9-AB8A-51EA5454E9E9}"/>
    <cellStyle name="40% - Ênfase3 3 2 2" xfId="1281" xr:uid="{98BA04AD-00B9-43D1-9A47-4CCB453AE9AF}"/>
    <cellStyle name="40% - Ênfase3 3 2 2 2" xfId="3133" xr:uid="{A08AB593-F42A-4BBB-85C7-59100C60D6B9}"/>
    <cellStyle name="40% - Ênfase3 3 2 2 2 2" xfId="6761" xr:uid="{BD3E20FD-CB7C-4E54-8496-D913E058AA07}"/>
    <cellStyle name="40% - Ênfase3 3 2 2 3" xfId="4909" xr:uid="{97F85DB6-84BB-46C7-9F43-A2BEFB15B0E1}"/>
    <cellStyle name="40% - Ênfase3 3 2 3" xfId="2206" xr:uid="{AD8108F3-8083-45BE-B417-C22BFC35C7B4}"/>
    <cellStyle name="40% - Ênfase3 3 2 3 2" xfId="5834" xr:uid="{FB320095-9B52-4066-B2C7-453D38E74243}"/>
    <cellStyle name="40% - Ênfase3 3 2 4" xfId="4306" xr:uid="{752DA24E-412A-4370-AE26-76F401C0FC7C}"/>
    <cellStyle name="40% - Ênfase3 3 3" xfId="354" xr:uid="{704E0533-BF38-4516-84AD-13F90ECB2A95}"/>
    <cellStyle name="40% - Ênfase3 3 3 2" xfId="1556" xr:uid="{FD088353-21CB-4958-BE8E-3B55CAF578B1}"/>
    <cellStyle name="40% - Ênfase3 3 3 2 2" xfId="3408" xr:uid="{65B7CBA5-AFE7-4966-AECF-E24AECA68542}"/>
    <cellStyle name="40% - Ênfase3 3 3 2 2 2" xfId="7036" xr:uid="{CB972EDA-63F3-4626-BAF8-857F8FB30374}"/>
    <cellStyle name="40% - Ênfase3 3 3 2 3" xfId="5184" xr:uid="{E8E5EB4C-3A1A-44A9-9212-47C0E972A08B}"/>
    <cellStyle name="40% - Ênfase3 3 3 3" xfId="2481" xr:uid="{42988D47-3168-4901-B3D5-3586A53C6D33}"/>
    <cellStyle name="40% - Ênfase3 3 3 3 2" xfId="6109" xr:uid="{C68C16F4-8519-4212-ACB4-28905D9C6AC5}"/>
    <cellStyle name="40% - Ênfase3 3 3 4" xfId="3983" xr:uid="{9DBAA213-49C3-4AB4-9A4F-275C1B3ACA36}"/>
    <cellStyle name="40% - Ênfase3 3 4" xfId="959" xr:uid="{6F905736-519B-4988-84AA-56CEA269E6C7}"/>
    <cellStyle name="40% - Ênfase3 3 4 2" xfId="2811" xr:uid="{4CACCA96-F603-4719-845C-3E6C261078E7}"/>
    <cellStyle name="40% - Ênfase3 3 4 2 2" xfId="6439" xr:uid="{5610BC69-4703-4360-93DB-7ABFE3281B34}"/>
    <cellStyle name="40% - Ênfase3 3 4 3" xfId="4587" xr:uid="{2E3DC2BF-E052-4F15-A313-80C771EC9FDB}"/>
    <cellStyle name="40% - Ênfase3 3 5" xfId="1884" xr:uid="{F34C2288-76D3-4856-B8BF-7E06AD1FBE43}"/>
    <cellStyle name="40% - Ênfase3 3 5 2" xfId="5512" xr:uid="{C0084FD1-0F2F-4DF9-B69C-BA1C85EA8953}"/>
    <cellStyle name="40% - Ênfase3 3 6" xfId="3701" xr:uid="{FE4FDCFA-4D6A-44CC-9CA6-B416467A8850}"/>
    <cellStyle name="40% - Ênfase3 4" xfId="94" xr:uid="{EAF29AC3-DCCE-4060-A3E7-0C267F3948CC}"/>
    <cellStyle name="40% - Ênfase3 4 2" xfId="700" xr:uid="{7B40216D-D3C9-4DD9-A82D-A0FD3CE8BF8A}"/>
    <cellStyle name="40% - Ênfase3 4 2 2" xfId="1303" xr:uid="{8C9D62BA-3BF4-4CC3-8A58-5BD66CA1C2E5}"/>
    <cellStyle name="40% - Ênfase3 4 2 2 2" xfId="3155" xr:uid="{08BC1B8A-A2A1-4EB2-B1EA-D91294CE5F36}"/>
    <cellStyle name="40% - Ênfase3 4 2 2 2 2" xfId="6783" xr:uid="{38F4B6F6-EEE7-401F-A8F0-734F5245A62E}"/>
    <cellStyle name="40% - Ênfase3 4 2 2 3" xfId="4931" xr:uid="{E5023945-BEFC-4A36-B2EE-152B1C8040BA}"/>
    <cellStyle name="40% - Ênfase3 4 2 3" xfId="2228" xr:uid="{0D743BD9-FE8B-4A21-B3BA-28EC55B75419}"/>
    <cellStyle name="40% - Ênfase3 4 2 3 2" xfId="5856" xr:uid="{D79656F4-6F1C-48AD-8D52-1ABABDAA0088}"/>
    <cellStyle name="40% - Ênfase3 4 2 4" xfId="4328" xr:uid="{2BE7D901-A846-4796-A57B-EE2B543DB784}"/>
    <cellStyle name="40% - Ênfase3 4 3" xfId="376" xr:uid="{263BE12C-2C1C-4946-8239-3271EB616D37}"/>
    <cellStyle name="40% - Ênfase3 4 3 2" xfId="1598" xr:uid="{AA1130AE-D5EC-49BE-8E2B-3E9E29ABF488}"/>
    <cellStyle name="40% - Ênfase3 4 3 2 2" xfId="3450" xr:uid="{3A039240-42B7-40B7-9A86-9F19694AC022}"/>
    <cellStyle name="40% - Ênfase3 4 3 2 2 2" xfId="7078" xr:uid="{1FE412E3-5229-44CE-A43D-88D0F5E747A7}"/>
    <cellStyle name="40% - Ênfase3 4 3 2 3" xfId="5226" xr:uid="{9AEAF40E-D762-4EBB-8B06-97243FC6FC28}"/>
    <cellStyle name="40% - Ênfase3 4 3 3" xfId="2523" xr:uid="{A09EF084-EB2A-4F31-AB20-EAFEFF1CD4B3}"/>
    <cellStyle name="40% - Ênfase3 4 3 3 2" xfId="6151" xr:uid="{BB818809-B3DA-4EE6-9B70-D7C62483B906}"/>
    <cellStyle name="40% - Ênfase3 4 3 4" xfId="4005" xr:uid="{911AD0BC-A73D-48DF-A689-498F580B6EBE}"/>
    <cellStyle name="40% - Ênfase3 4 4" xfId="981" xr:uid="{6B510901-7FED-461D-AF56-182904FD3DF2}"/>
    <cellStyle name="40% - Ênfase3 4 4 2" xfId="2833" xr:uid="{8661EB29-7E33-412F-9AA3-E9578D7424F7}"/>
    <cellStyle name="40% - Ênfase3 4 4 2 2" xfId="6461" xr:uid="{037A1E9C-06A5-42F5-931A-6127D655408A}"/>
    <cellStyle name="40% - Ênfase3 4 4 3" xfId="4609" xr:uid="{ADB4375B-0721-4130-88F5-CC93440A2AEB}"/>
    <cellStyle name="40% - Ênfase3 4 5" xfId="1906" xr:uid="{C008FB22-3B3D-459A-803C-2C877586A679}"/>
    <cellStyle name="40% - Ênfase3 4 5 2" xfId="5534" xr:uid="{A848DF97-424D-44C4-95C3-B28F04DD064B}"/>
    <cellStyle name="40% - Ênfase3 4 6" xfId="3723" xr:uid="{E6BA4AAD-459D-4835-85EB-6F7A4F2B5F15}"/>
    <cellStyle name="40% - Ênfase3 5" xfId="114" xr:uid="{6112C47A-3371-45A9-8A42-E3F39071E8D0}"/>
    <cellStyle name="40% - Ênfase3 5 2" xfId="720" xr:uid="{87183952-AA17-427D-A79B-14F9F0CB8937}"/>
    <cellStyle name="40% - Ênfase3 5 2 2" xfId="1323" xr:uid="{55F0EDB5-A619-41C6-A4C6-3413695CF214}"/>
    <cellStyle name="40% - Ênfase3 5 2 2 2" xfId="3175" xr:uid="{B32BE920-405E-4334-A913-DF1D31F40C82}"/>
    <cellStyle name="40% - Ênfase3 5 2 2 2 2" xfId="6803" xr:uid="{C11F5980-A1B5-4645-8C6C-621C732DF198}"/>
    <cellStyle name="40% - Ênfase3 5 2 2 3" xfId="4951" xr:uid="{D349CEFB-C8F2-44D4-B581-CB58DE524D93}"/>
    <cellStyle name="40% - Ênfase3 5 2 3" xfId="2248" xr:uid="{D396B66D-A85B-43C7-8642-41DDB5D48041}"/>
    <cellStyle name="40% - Ênfase3 5 2 3 2" xfId="5876" xr:uid="{EB44847E-3EB0-489A-A442-1C97C1E965D2}"/>
    <cellStyle name="40% - Ênfase3 5 2 4" xfId="4348" xr:uid="{CA66C393-C5CA-40ED-9170-8CADF09B4362}"/>
    <cellStyle name="40% - Ênfase3 5 3" xfId="396" xr:uid="{6768EAE8-0F42-4147-B3BC-10E96AFE12E5}"/>
    <cellStyle name="40% - Ênfase3 5 3 2" xfId="1628" xr:uid="{66C12775-3831-44BC-AD76-C4E9DB69E7CD}"/>
    <cellStyle name="40% - Ênfase3 5 3 2 2" xfId="3480" xr:uid="{5D44E5F8-13A5-49D4-9D01-F998725AFD21}"/>
    <cellStyle name="40% - Ênfase3 5 3 2 2 2" xfId="7108" xr:uid="{F39E6A77-806A-407C-B3F7-B71B865F9E9C}"/>
    <cellStyle name="40% - Ênfase3 5 3 2 3" xfId="5256" xr:uid="{FC271CFA-0F67-41AC-8C43-012143EE4225}"/>
    <cellStyle name="40% - Ênfase3 5 3 3" xfId="2553" xr:uid="{6DC56D05-CECC-428B-B460-0751E23EB66B}"/>
    <cellStyle name="40% - Ênfase3 5 3 3 2" xfId="6181" xr:uid="{6A468318-0828-4006-ADE2-1BD8D100D2A9}"/>
    <cellStyle name="40% - Ênfase3 5 3 4" xfId="4025" xr:uid="{5600C20E-0E87-41E0-9E07-BD99D4D1D0BE}"/>
    <cellStyle name="40% - Ênfase3 5 4" xfId="1001" xr:uid="{27F19163-62F7-4553-8A77-12A5CB1FD516}"/>
    <cellStyle name="40% - Ênfase3 5 4 2" xfId="2853" xr:uid="{56A933A5-B301-4393-9D2B-651285B6C830}"/>
    <cellStyle name="40% - Ênfase3 5 4 2 2" xfId="6481" xr:uid="{AFAB3E15-F1C1-4960-ABD0-0AF5D460F143}"/>
    <cellStyle name="40% - Ênfase3 5 4 3" xfId="4629" xr:uid="{6082145B-1C1D-4DFD-8242-1720583963FB}"/>
    <cellStyle name="40% - Ênfase3 5 5" xfId="1926" xr:uid="{8E90B370-9118-49B6-9828-2280373D7E6E}"/>
    <cellStyle name="40% - Ênfase3 5 5 2" xfId="5554" xr:uid="{AC0E712E-04C3-424D-BC32-BB0C6CD97CE3}"/>
    <cellStyle name="40% - Ênfase3 5 6" xfId="3743" xr:uid="{30D280E6-BF97-4690-AEB4-302A96EA3EB2}"/>
    <cellStyle name="40% - Ênfase3 6" xfId="134" xr:uid="{32799108-BE8D-4F88-BAF7-00EA9CCC1C05}"/>
    <cellStyle name="40% - Ênfase3 6 2" xfId="740" xr:uid="{C95F9784-115E-4468-B345-98FA99DA6A17}"/>
    <cellStyle name="40% - Ênfase3 6 2 2" xfId="1343" xr:uid="{A7842269-8D51-422D-A318-C7D19CEACD9C}"/>
    <cellStyle name="40% - Ênfase3 6 2 2 2" xfId="3195" xr:uid="{A1F727B3-1294-4E47-A535-DC33AE361C92}"/>
    <cellStyle name="40% - Ênfase3 6 2 2 2 2" xfId="6823" xr:uid="{E8779862-D767-446D-9FC2-5CF56FF77A8E}"/>
    <cellStyle name="40% - Ênfase3 6 2 2 3" xfId="4971" xr:uid="{F5FA5572-6AF5-41CA-8332-7CE1B5E46474}"/>
    <cellStyle name="40% - Ênfase3 6 2 3" xfId="2268" xr:uid="{FA6D1C23-155C-413F-B5C0-69F1CE15F3CB}"/>
    <cellStyle name="40% - Ênfase3 6 2 3 2" xfId="5896" xr:uid="{C5FBE509-8E5C-4AA4-BFFA-FC9F8A94BF7A}"/>
    <cellStyle name="40% - Ênfase3 6 2 4" xfId="4368" xr:uid="{E9054FE7-E43B-498F-9E0F-189BD7076603}"/>
    <cellStyle name="40% - Ênfase3 6 3" xfId="416" xr:uid="{97A09E15-6368-4673-A680-2F843D9EFA1C}"/>
    <cellStyle name="40% - Ênfase3 6 3 2" xfId="1612" xr:uid="{4F08F30C-2372-4D16-B6B7-E627C94B707F}"/>
    <cellStyle name="40% - Ênfase3 6 3 2 2" xfId="3464" xr:uid="{793FD655-311B-4853-A604-7258C9893C62}"/>
    <cellStyle name="40% - Ênfase3 6 3 2 2 2" xfId="7092" xr:uid="{719D0FAF-EB20-4058-81DE-D60479551306}"/>
    <cellStyle name="40% - Ênfase3 6 3 2 3" xfId="5240" xr:uid="{69ACC855-0867-4179-B70F-B3885FD7351A}"/>
    <cellStyle name="40% - Ênfase3 6 3 3" xfId="2537" xr:uid="{3BD155CD-E207-4D2E-B56C-725D3FD0A4C7}"/>
    <cellStyle name="40% - Ênfase3 6 3 3 2" xfId="6165" xr:uid="{94FD7EF1-3D63-4B7B-983A-46455D8A21B2}"/>
    <cellStyle name="40% - Ênfase3 6 3 4" xfId="4045" xr:uid="{85ED94E8-AAA2-46E8-982F-CC9AF658732B}"/>
    <cellStyle name="40% - Ênfase3 6 4" xfId="1021" xr:uid="{79BAB026-4C98-4E46-A86E-BC539E6686C4}"/>
    <cellStyle name="40% - Ênfase3 6 4 2" xfId="2873" xr:uid="{FD91DAE6-C694-4073-B740-AAFB83B5EE32}"/>
    <cellStyle name="40% - Ênfase3 6 4 2 2" xfId="6501" xr:uid="{E68F403E-62D6-4148-9A7E-E92770F7EC50}"/>
    <cellStyle name="40% - Ênfase3 6 4 3" xfId="4649" xr:uid="{18CA494A-72B4-477F-AEA3-37FCF218BF54}"/>
    <cellStyle name="40% - Ênfase3 6 5" xfId="1946" xr:uid="{23D5B173-70B9-4821-BAA6-322FB9A4CA07}"/>
    <cellStyle name="40% - Ênfase3 6 5 2" xfId="5574" xr:uid="{4018FBCE-557C-4046-BB72-65C56B1A0696}"/>
    <cellStyle name="40% - Ênfase3 6 6" xfId="3763" xr:uid="{43D578A2-4D45-42AE-B95B-CA77D9BFAA4F}"/>
    <cellStyle name="40% - Ênfase3 7" xfId="154" xr:uid="{8F1CA208-CD53-4686-BB26-3849A5722201}"/>
    <cellStyle name="40% - Ênfase3 7 2" xfId="760" xr:uid="{80A2E249-7E13-4446-89A0-9C87B09805DB}"/>
    <cellStyle name="40% - Ênfase3 7 2 2" xfId="1363" xr:uid="{9B96518F-8595-4E27-B9D4-DB774EE14D40}"/>
    <cellStyle name="40% - Ênfase3 7 2 2 2" xfId="3215" xr:uid="{0856B327-9A98-406E-AE08-9CCB44E82228}"/>
    <cellStyle name="40% - Ênfase3 7 2 2 2 2" xfId="6843" xr:uid="{1F0190F0-D3B3-4314-98BB-51DA056C6C88}"/>
    <cellStyle name="40% - Ênfase3 7 2 2 3" xfId="4991" xr:uid="{49F6CFBE-42B9-44F8-97BD-B841DC27127C}"/>
    <cellStyle name="40% - Ênfase3 7 2 3" xfId="2288" xr:uid="{908AF98B-D275-4803-832D-C1AD9CBAD8DE}"/>
    <cellStyle name="40% - Ênfase3 7 2 3 2" xfId="5916" xr:uid="{603A8CA9-884C-4D39-B089-75F72DF9817A}"/>
    <cellStyle name="40% - Ênfase3 7 2 4" xfId="4388" xr:uid="{064EFA05-51EB-4DD4-B598-E85C266C0633}"/>
    <cellStyle name="40% - Ênfase3 7 3" xfId="436" xr:uid="{712B7FC9-6952-436C-9C2F-2B66EF0E77E4}"/>
    <cellStyle name="40% - Ênfase3 7 3 2" xfId="1532" xr:uid="{2C050D82-61AC-40FB-9F38-AE58A44DC936}"/>
    <cellStyle name="40% - Ênfase3 7 3 2 2" xfId="3384" xr:uid="{477CAFEE-3DDA-4243-B3DB-2EA3A0B34DBD}"/>
    <cellStyle name="40% - Ênfase3 7 3 2 2 2" xfId="7012" xr:uid="{804334C2-6D4A-4B81-A449-338F9670B287}"/>
    <cellStyle name="40% - Ênfase3 7 3 2 3" xfId="5160" xr:uid="{EBDB261B-B298-44A6-A91E-112757B667B6}"/>
    <cellStyle name="40% - Ênfase3 7 3 3" xfId="2457" xr:uid="{135EF3AD-9569-4809-9FBF-4779AAD7EBF9}"/>
    <cellStyle name="40% - Ênfase3 7 3 3 2" xfId="6085" xr:uid="{E0BDF03F-350D-48F6-8BA6-6D5D887F87F9}"/>
    <cellStyle name="40% - Ênfase3 7 3 4" xfId="4065" xr:uid="{5C1666EA-0316-405D-80F5-CCC6036E404E}"/>
    <cellStyle name="40% - Ênfase3 7 4" xfId="1041" xr:uid="{FFBA2E24-8DD9-48F5-93B8-73F6B1FFF38B}"/>
    <cellStyle name="40% - Ênfase3 7 4 2" xfId="2893" xr:uid="{489C9799-4E7C-4164-9C34-23ECD1E63A84}"/>
    <cellStyle name="40% - Ênfase3 7 4 2 2" xfId="6521" xr:uid="{792A4FB2-04D7-4623-99A6-62D45181A3CE}"/>
    <cellStyle name="40% - Ênfase3 7 4 3" xfId="4669" xr:uid="{D0178F2A-29AE-463E-B9F9-42B91B4E137A}"/>
    <cellStyle name="40% - Ênfase3 7 5" xfId="1966" xr:uid="{AD67B28C-8226-471B-A0EC-138555CDD26B}"/>
    <cellStyle name="40% - Ênfase3 7 5 2" xfId="5594" xr:uid="{E8A78194-FA33-4FCD-B843-D2097349652D}"/>
    <cellStyle name="40% - Ênfase3 7 6" xfId="3783" xr:uid="{74C35B13-9DDA-4745-B810-7ED2366A0B91}"/>
    <cellStyle name="40% - Ênfase3 8" xfId="174" xr:uid="{C8335F2E-481F-40DE-B066-D7315C466635}"/>
    <cellStyle name="40% - Ênfase3 8 2" xfId="780" xr:uid="{7D29644B-CEF9-42F0-9427-B6828EAF85DE}"/>
    <cellStyle name="40% - Ênfase3 8 2 2" xfId="1383" xr:uid="{566D211C-4959-4082-B5F3-8F9F78678150}"/>
    <cellStyle name="40% - Ênfase3 8 2 2 2" xfId="3235" xr:uid="{CAA28A04-9176-4976-813D-91CB59BEA9D8}"/>
    <cellStyle name="40% - Ênfase3 8 2 2 2 2" xfId="6863" xr:uid="{6846EC7F-41DA-49DA-A7AD-86F9B37BA6AC}"/>
    <cellStyle name="40% - Ênfase3 8 2 2 3" xfId="5011" xr:uid="{7BFFF6F8-4408-49FF-B9D5-100F6E96A8CA}"/>
    <cellStyle name="40% - Ênfase3 8 2 3" xfId="2308" xr:uid="{79641B53-F693-42B7-8F90-83EAAB1EF1A4}"/>
    <cellStyle name="40% - Ênfase3 8 2 3 2" xfId="5936" xr:uid="{A7A9DFC6-0F75-4E1A-BD2D-E176F733E5D4}"/>
    <cellStyle name="40% - Ênfase3 8 2 4" xfId="4408" xr:uid="{85BFF09F-7F71-4D11-B08F-4CB55FE6AAD7}"/>
    <cellStyle name="40% - Ênfase3 8 3" xfId="456" xr:uid="{76D649E9-100F-4666-91FD-919A0B79B822}"/>
    <cellStyle name="40% - Ênfase3 8 3 2" xfId="1759" xr:uid="{8B18D3C9-ADA6-4462-A1AA-C19BDCFC9BF3}"/>
    <cellStyle name="40% - Ênfase3 8 3 2 2" xfId="3572" xr:uid="{833B64BA-C521-4512-AF50-F3C96CBAC090}"/>
    <cellStyle name="40% - Ênfase3 8 3 2 2 2" xfId="7200" xr:uid="{EB7D5247-6E9E-4491-A61F-3429147EE88E}"/>
    <cellStyle name="40% - Ênfase3 8 3 2 3" xfId="5387" xr:uid="{74DA4212-ECC5-4494-95D9-8A0552A072E7}"/>
    <cellStyle name="40% - Ênfase3 8 3 3" xfId="2684" xr:uid="{A7C7CC1E-4201-41D3-9B76-60B63A805E0A}"/>
    <cellStyle name="40% - Ênfase3 8 3 3 2" xfId="6312" xr:uid="{9C3EAE7A-2745-4296-A81E-409307E2D24C}"/>
    <cellStyle name="40% - Ênfase3 8 3 4" xfId="4085" xr:uid="{29F1CF3C-86C9-44CA-A2DB-3B2A86675C9C}"/>
    <cellStyle name="40% - Ênfase3 8 4" xfId="1061" xr:uid="{C4DDEF47-55AB-4BE9-90FB-192A506A4DBF}"/>
    <cellStyle name="40% - Ênfase3 8 4 2" xfId="2913" xr:uid="{2E5109ED-B8C2-4CD4-A575-197B169C20A8}"/>
    <cellStyle name="40% - Ênfase3 8 4 2 2" xfId="6541" xr:uid="{C2E9A6AD-EA3D-4313-B54E-1F0607B80F34}"/>
    <cellStyle name="40% - Ênfase3 8 4 3" xfId="4689" xr:uid="{AA54F500-55EA-4902-BA03-2C0DA2333F9C}"/>
    <cellStyle name="40% - Ênfase3 8 5" xfId="1986" xr:uid="{BF5E1302-50CD-4CE2-8382-700CEC4A0152}"/>
    <cellStyle name="40% - Ênfase3 8 5 2" xfId="5614" xr:uid="{14EBDC57-FABD-445F-A4E3-171437899F34}"/>
    <cellStyle name="40% - Ênfase3 8 6" xfId="3803" xr:uid="{8E7A2812-4144-49A4-9574-E9238CB6A18D}"/>
    <cellStyle name="40% - Ênfase3 9" xfId="194" xr:uid="{EDC21DFE-441E-4F4F-B57F-B7562C633459}"/>
    <cellStyle name="40% - Ênfase3 9 2" xfId="800" xr:uid="{4539B764-8A68-484B-B9AD-7248C83FB55D}"/>
    <cellStyle name="40% - Ênfase3 9 2 2" xfId="1403" xr:uid="{EB4C952B-1DB8-4918-9263-5663355B4689}"/>
    <cellStyle name="40% - Ênfase3 9 2 2 2" xfId="3255" xr:uid="{B4C4D383-BB26-44A3-9BFD-BAEAFAFC3106}"/>
    <cellStyle name="40% - Ênfase3 9 2 2 2 2" xfId="6883" xr:uid="{04759E6E-F4A4-4AB9-9F27-EFC21965BE0D}"/>
    <cellStyle name="40% - Ênfase3 9 2 2 3" xfId="5031" xr:uid="{7B635C7A-36FC-46B7-BAB7-5E4212BEEF90}"/>
    <cellStyle name="40% - Ênfase3 9 2 3" xfId="2328" xr:uid="{E55CC854-52C2-4BA5-A175-7D7D41664E54}"/>
    <cellStyle name="40% - Ênfase3 9 2 3 2" xfId="5956" xr:uid="{BC7CB6E9-E5FA-446F-9A51-2A58E7EED7D0}"/>
    <cellStyle name="40% - Ênfase3 9 2 4" xfId="4428" xr:uid="{9ED0E7E4-4A4A-44A2-B640-AE5F3CF8F678}"/>
    <cellStyle name="40% - Ênfase3 9 3" xfId="476" xr:uid="{950C17AB-98AC-4AD7-AF4B-657211E62594}"/>
    <cellStyle name="40% - Ênfase3 9 3 2" xfId="1703" xr:uid="{C07C5B27-EBB0-46B5-AA7B-50484CB782BB}"/>
    <cellStyle name="40% - Ênfase3 9 3 2 2" xfId="3516" xr:uid="{668E2ACF-3703-49C4-B509-83E6A67769CC}"/>
    <cellStyle name="40% - Ênfase3 9 3 2 2 2" xfId="7144" xr:uid="{0D2577AA-A672-46D4-B29F-308697375B70}"/>
    <cellStyle name="40% - Ênfase3 9 3 2 3" xfId="5331" xr:uid="{10E626DA-ABD8-4024-AC19-DC1B930A9F4D}"/>
    <cellStyle name="40% - Ênfase3 9 3 3" xfId="2628" xr:uid="{C9672E80-5AA7-41D9-BF1F-77A4BF464E82}"/>
    <cellStyle name="40% - Ênfase3 9 3 3 2" xfId="6256" xr:uid="{38E43F84-D300-4B94-BE33-91B78B1762C9}"/>
    <cellStyle name="40% - Ênfase3 9 3 4" xfId="4105" xr:uid="{DD473B0D-92B8-4B1D-90B3-480D6079116E}"/>
    <cellStyle name="40% - Ênfase3 9 4" xfId="1081" xr:uid="{0DCC36AC-4125-4E7B-9504-96AD704A6E27}"/>
    <cellStyle name="40% - Ênfase3 9 4 2" xfId="2933" xr:uid="{10B090B0-411B-4764-A36D-06B7293F2CF0}"/>
    <cellStyle name="40% - Ênfase3 9 4 2 2" xfId="6561" xr:uid="{B5DCAC85-C144-448C-86FC-57A96C14B510}"/>
    <cellStyle name="40% - Ênfase3 9 4 3" xfId="4709" xr:uid="{0D1164A3-8E90-4C09-A4DE-1BB02A393246}"/>
    <cellStyle name="40% - Ênfase3 9 5" xfId="2006" xr:uid="{F9DD441C-1435-4356-ABF9-BAA8E696DE64}"/>
    <cellStyle name="40% - Ênfase3 9 5 2" xfId="5634" xr:uid="{E58C3BF1-A2AA-4DF2-A1CA-91F5F41C03B5}"/>
    <cellStyle name="40% - Ênfase3 9 6" xfId="3823" xr:uid="{223683F6-073C-43DD-9AC8-63F3D517EF22}"/>
    <cellStyle name="40% - Ênfase4" xfId="32" builtinId="43" customBuiltin="1"/>
    <cellStyle name="40% - Ênfase4 10" xfId="218" xr:uid="{4C5DCF16-8044-4D68-B5BD-5BF8E5FB4FF9}"/>
    <cellStyle name="40% - Ênfase4 10 2" xfId="824" xr:uid="{2A34730E-6179-40A2-8E16-8F36BC1A4925}"/>
    <cellStyle name="40% - Ênfase4 10 2 2" xfId="1427" xr:uid="{A4C0346E-914F-446F-93C3-A601B1403CF0}"/>
    <cellStyle name="40% - Ênfase4 10 2 2 2" xfId="3279" xr:uid="{94A558D0-4471-4EDA-9D8F-168AE5A7F3C9}"/>
    <cellStyle name="40% - Ênfase4 10 2 2 2 2" xfId="6907" xr:uid="{ADA3F963-04A4-491A-AF23-22EB006DCCE3}"/>
    <cellStyle name="40% - Ênfase4 10 2 2 3" xfId="5055" xr:uid="{BF9E3D40-77A8-4592-BCF0-D623432011EF}"/>
    <cellStyle name="40% - Ênfase4 10 2 3" xfId="2352" xr:uid="{7B4BFDA7-2CC8-4709-9AD8-36F2C5960334}"/>
    <cellStyle name="40% - Ênfase4 10 2 3 2" xfId="5980" xr:uid="{A3897F9C-563C-4267-92EB-E1251C682DCA}"/>
    <cellStyle name="40% - Ênfase4 10 2 4" xfId="4452" xr:uid="{76F48E58-D260-4389-8CCE-BA18F7B2950F}"/>
    <cellStyle name="40% - Ênfase4 10 3" xfId="500" xr:uid="{251151C2-B603-46D4-A7DC-EA3C09201B28}"/>
    <cellStyle name="40% - Ênfase4 10 3 2" xfId="1540" xr:uid="{D7C975A1-BB33-49F1-932F-F3D074866A30}"/>
    <cellStyle name="40% - Ênfase4 10 3 2 2" xfId="3392" xr:uid="{2524A030-9EF1-4869-810C-4A35DE76F92B}"/>
    <cellStyle name="40% - Ênfase4 10 3 2 2 2" xfId="7020" xr:uid="{7272EEC7-C4FB-46ED-BA24-DE420EB0D5CF}"/>
    <cellStyle name="40% - Ênfase4 10 3 2 3" xfId="5168" xr:uid="{355E4D02-F3D9-4876-96EC-72987489AC86}"/>
    <cellStyle name="40% - Ênfase4 10 3 3" xfId="2465" xr:uid="{F06125C6-90A5-4D64-86C5-4E74D8858BEA}"/>
    <cellStyle name="40% - Ênfase4 10 3 3 2" xfId="6093" xr:uid="{BEF97FFF-61E3-407B-B554-23CC4E1781BD}"/>
    <cellStyle name="40% - Ênfase4 10 3 4" xfId="4129" xr:uid="{FAD7D744-6759-476D-970A-DCB58C5FFFA3}"/>
    <cellStyle name="40% - Ênfase4 10 4" xfId="1105" xr:uid="{7F4C1C56-BDB9-4549-A9DA-46FE9114111F}"/>
    <cellStyle name="40% - Ênfase4 10 4 2" xfId="2957" xr:uid="{FFCF7413-3334-47A0-85CC-C017BB089F45}"/>
    <cellStyle name="40% - Ênfase4 10 4 2 2" xfId="6585" xr:uid="{F3798402-178C-4506-9CC7-3DCD15B3A5AF}"/>
    <cellStyle name="40% - Ênfase4 10 4 3" xfId="4733" xr:uid="{D693ACE7-DA66-4E7D-BB53-6B6AB80CB354}"/>
    <cellStyle name="40% - Ênfase4 10 5" xfId="2030" xr:uid="{688AD284-5113-4F1F-B128-60044B405374}"/>
    <cellStyle name="40% - Ênfase4 10 5 2" xfId="5658" xr:uid="{D52C240A-B812-4CDC-9936-3A3C37895932}"/>
    <cellStyle name="40% - Ênfase4 10 6" xfId="3847" xr:uid="{25581F25-C226-4B7F-98C7-72CAA121CD4B}"/>
    <cellStyle name="40% - Ênfase4 11" xfId="238" xr:uid="{97AD8C1D-12AA-4D03-A71B-378BB9CF42AF}"/>
    <cellStyle name="40% - Ênfase4 11 2" xfId="844" xr:uid="{9327DCEA-23AA-4031-8894-3818A424F3CD}"/>
    <cellStyle name="40% - Ênfase4 11 2 2" xfId="1447" xr:uid="{101486E0-340B-4EC4-AB97-22DFCC9AC962}"/>
    <cellStyle name="40% - Ênfase4 11 2 2 2" xfId="3299" xr:uid="{E9806F0E-5E48-4DE7-B7F6-B53899939525}"/>
    <cellStyle name="40% - Ênfase4 11 2 2 2 2" xfId="6927" xr:uid="{52FF9AA1-405E-475A-BDB3-149C98C0D433}"/>
    <cellStyle name="40% - Ênfase4 11 2 2 3" xfId="5075" xr:uid="{663D950D-00C3-42AA-B243-59490B4EE249}"/>
    <cellStyle name="40% - Ênfase4 11 2 3" xfId="2372" xr:uid="{8C165ECE-CA2B-4806-9D7A-42A74BBF9410}"/>
    <cellStyle name="40% - Ênfase4 11 2 3 2" xfId="6000" xr:uid="{8F545C13-E11B-4B3B-96E6-FBD88507AB95}"/>
    <cellStyle name="40% - Ênfase4 11 2 4" xfId="4472" xr:uid="{421C8D3A-C5C0-4710-9BC4-643E164F6A7A}"/>
    <cellStyle name="40% - Ênfase4 11 3" xfId="520" xr:uid="{72B8B376-3397-4E16-B63F-ED5E5510DECD}"/>
    <cellStyle name="40% - Ênfase4 11 3 2" xfId="1707" xr:uid="{892E518F-3FEB-489E-B71A-5945D2BD48D3}"/>
    <cellStyle name="40% - Ênfase4 11 3 2 2" xfId="3520" xr:uid="{892AC9EE-7C7E-40A4-8850-493BC213F267}"/>
    <cellStyle name="40% - Ênfase4 11 3 2 2 2" xfId="7148" xr:uid="{7E5BB70D-EAC1-4F87-A55C-875B82A6B7C0}"/>
    <cellStyle name="40% - Ênfase4 11 3 2 3" xfId="5335" xr:uid="{0382E3BF-382C-48EF-B133-734DC35FCF40}"/>
    <cellStyle name="40% - Ênfase4 11 3 3" xfId="2632" xr:uid="{7AE80A9F-BDE9-4ECB-981A-3E9D963E6D9D}"/>
    <cellStyle name="40% - Ênfase4 11 3 3 2" xfId="6260" xr:uid="{C074060D-6476-4AB5-9C14-F5C1C33AD6DD}"/>
    <cellStyle name="40% - Ênfase4 11 3 4" xfId="4149" xr:uid="{BBE6ECC0-AD2E-4C42-8177-78101A15B14D}"/>
    <cellStyle name="40% - Ênfase4 11 4" xfId="1125" xr:uid="{054D9715-D46F-4CA8-A6AB-E36F8C2F7D6B}"/>
    <cellStyle name="40% - Ênfase4 11 4 2" xfId="2977" xr:uid="{6A387791-AEDF-46CE-BF59-3D29189D5B4C}"/>
    <cellStyle name="40% - Ênfase4 11 4 2 2" xfId="6605" xr:uid="{27B8B0DF-1738-4E90-AA3C-18F1DA4DC848}"/>
    <cellStyle name="40% - Ênfase4 11 4 3" xfId="4753" xr:uid="{C0AF8B1A-74AF-4679-BAE8-82A846CE76D2}"/>
    <cellStyle name="40% - Ênfase4 11 5" xfId="2050" xr:uid="{D5E3F43C-56E6-43BC-9823-12A2C08D0CC8}"/>
    <cellStyle name="40% - Ênfase4 11 5 2" xfId="5678" xr:uid="{41892810-62E3-47F2-B273-38E77B0CBA07}"/>
    <cellStyle name="40% - Ênfase4 11 6" xfId="3867" xr:uid="{362D1D58-17AA-4328-A042-79DE82972912}"/>
    <cellStyle name="40% - Ênfase4 12" xfId="258" xr:uid="{53A0DC36-80AD-4001-B80A-D82A894B152A}"/>
    <cellStyle name="40% - Ênfase4 12 2" xfId="864" xr:uid="{9F2D4102-D92B-4694-AF2B-67610D4BB7F7}"/>
    <cellStyle name="40% - Ênfase4 12 2 2" xfId="1467" xr:uid="{5DCD3CC4-FA3C-4508-B46C-2D8B5EB607E9}"/>
    <cellStyle name="40% - Ênfase4 12 2 2 2" xfId="3319" xr:uid="{4B67C267-DE08-46E1-B84F-A64DC310E30C}"/>
    <cellStyle name="40% - Ênfase4 12 2 2 2 2" xfId="6947" xr:uid="{E65AECA0-55F8-4BE1-954E-D68EC4D70C11}"/>
    <cellStyle name="40% - Ênfase4 12 2 2 3" xfId="5095" xr:uid="{E8FD1FEB-D21E-4D21-AB85-2FCCFDFAFB39}"/>
    <cellStyle name="40% - Ênfase4 12 2 3" xfId="2392" xr:uid="{A6A1640B-70E4-438C-8152-E193735D1EE4}"/>
    <cellStyle name="40% - Ênfase4 12 2 3 2" xfId="6020" xr:uid="{F0C5DE3C-47BD-4371-A691-DB17CA029A90}"/>
    <cellStyle name="40% - Ênfase4 12 2 4" xfId="4492" xr:uid="{BC685326-98FD-4338-9777-B653D9426A31}"/>
    <cellStyle name="40% - Ênfase4 12 3" xfId="540" xr:uid="{22D81E99-1A6B-40FA-A9D5-9C5609CAA311}"/>
    <cellStyle name="40% - Ênfase4 12 3 2" xfId="1831" xr:uid="{04CF6D76-05D1-438A-B7D4-72767B2915F0}"/>
    <cellStyle name="40% - Ênfase4 12 3 2 2" xfId="3644" xr:uid="{78D2C57D-E971-4ACD-9A65-EA2DB108E1C9}"/>
    <cellStyle name="40% - Ênfase4 12 3 2 2 2" xfId="7272" xr:uid="{AEC6401E-B389-4763-9199-30107DBC7996}"/>
    <cellStyle name="40% - Ênfase4 12 3 2 3" xfId="5459" xr:uid="{2E28FBBE-E792-4EC4-BB73-BE17D7BC6A4B}"/>
    <cellStyle name="40% - Ênfase4 12 3 3" xfId="2756" xr:uid="{7A2EDF44-133B-4FC7-B81E-0766CE256DD6}"/>
    <cellStyle name="40% - Ênfase4 12 3 3 2" xfId="6384" xr:uid="{85FD9C8F-C086-48C0-B6F7-C2AB06F1CE5E}"/>
    <cellStyle name="40% - Ênfase4 12 3 4" xfId="4169" xr:uid="{B934014D-F4EA-4D04-B445-6348E873C7E2}"/>
    <cellStyle name="40% - Ênfase4 12 4" xfId="1145" xr:uid="{730E9E9C-9135-4418-8B1C-1B7463ADB6E1}"/>
    <cellStyle name="40% - Ênfase4 12 4 2" xfId="2997" xr:uid="{28183426-BBC9-4735-9C46-D5F047B3198E}"/>
    <cellStyle name="40% - Ênfase4 12 4 2 2" xfId="6625" xr:uid="{3FF17009-98F8-42CF-8432-6CC68427A2EF}"/>
    <cellStyle name="40% - Ênfase4 12 4 3" xfId="4773" xr:uid="{BBB3CC14-90D5-4027-A2CB-89BBD6C40E16}"/>
    <cellStyle name="40% - Ênfase4 12 5" xfId="2070" xr:uid="{A2F33915-04EA-4DA8-9133-CE2838A75B96}"/>
    <cellStyle name="40% - Ênfase4 12 5 2" xfId="5698" xr:uid="{3CF3D658-0CBB-485B-A1FF-90FBEF03920F}"/>
    <cellStyle name="40% - Ênfase4 12 6" xfId="3887" xr:uid="{ACDCBC36-81A6-4A8B-B868-85771963AA4F}"/>
    <cellStyle name="40% - Ênfase4 13" xfId="278" xr:uid="{7F8BCE78-F0B6-4989-919B-8443D7432171}"/>
    <cellStyle name="40% - Ênfase4 13 2" xfId="884" xr:uid="{0FFFA6DF-0466-401F-8301-0BB842A6642A}"/>
    <cellStyle name="40% - Ênfase4 13 2 2" xfId="1487" xr:uid="{F8561576-E8B3-4D5E-91D5-09BCCAEA9E35}"/>
    <cellStyle name="40% - Ênfase4 13 2 2 2" xfId="3339" xr:uid="{843269E9-7A39-4D28-A51A-BB71CB438045}"/>
    <cellStyle name="40% - Ênfase4 13 2 2 2 2" xfId="6967" xr:uid="{281CBB3E-4481-4E04-BC0E-EBA5782E00F6}"/>
    <cellStyle name="40% - Ênfase4 13 2 2 3" xfId="5115" xr:uid="{911B829E-82AB-4C1D-96F3-758DB6DDD67A}"/>
    <cellStyle name="40% - Ênfase4 13 2 3" xfId="2412" xr:uid="{E4FDCB58-9DA9-417A-B548-C862123D3808}"/>
    <cellStyle name="40% - Ênfase4 13 2 3 2" xfId="6040" xr:uid="{7887F3A5-96D5-4F08-AF57-A4F2423CB353}"/>
    <cellStyle name="40% - Ênfase4 13 2 4" xfId="4512" xr:uid="{DB8BF4E8-4D05-4976-9B10-D2E2245DA831}"/>
    <cellStyle name="40% - Ênfase4 13 3" xfId="560" xr:uid="{F53BBB8A-28D4-49FA-B804-300D3A49526E}"/>
    <cellStyle name="40% - Ênfase4 13 3 2" xfId="1743" xr:uid="{E175A468-D7A3-426F-878C-7D1DC679BC09}"/>
    <cellStyle name="40% - Ênfase4 13 3 2 2" xfId="3556" xr:uid="{C274E1D7-29C4-432A-BEA2-17F7115FF9C1}"/>
    <cellStyle name="40% - Ênfase4 13 3 2 2 2" xfId="7184" xr:uid="{A5A59905-0B40-47EE-A22E-B280EEF08334}"/>
    <cellStyle name="40% - Ênfase4 13 3 2 3" xfId="5371" xr:uid="{1C053C28-101C-4FBC-B3E7-F86FF9B9C464}"/>
    <cellStyle name="40% - Ênfase4 13 3 3" xfId="2668" xr:uid="{DF4D2A0B-3B54-4052-9FAC-99DC0BB1D916}"/>
    <cellStyle name="40% - Ênfase4 13 3 3 2" xfId="6296" xr:uid="{2782FE6A-BA9E-4FC2-BF76-D937545CD29B}"/>
    <cellStyle name="40% - Ênfase4 13 3 4" xfId="4189" xr:uid="{685D26B1-B003-4409-B8C1-353A8F817E79}"/>
    <cellStyle name="40% - Ênfase4 13 4" xfId="1165" xr:uid="{CBAF71AF-FAB8-41CA-9316-A7CB5E538A70}"/>
    <cellStyle name="40% - Ênfase4 13 4 2" xfId="3017" xr:uid="{FB57D45F-C5C7-45D0-87C3-ECAF8A38236D}"/>
    <cellStyle name="40% - Ênfase4 13 4 2 2" xfId="6645" xr:uid="{94BC67A7-A12E-4E3A-97D3-1EE197804CBC}"/>
    <cellStyle name="40% - Ênfase4 13 4 3" xfId="4793" xr:uid="{47D0E049-E238-4BD7-9C11-3B5DB70492A1}"/>
    <cellStyle name="40% - Ênfase4 13 5" xfId="2090" xr:uid="{68BC8F12-7109-41FA-BB0E-BE83DEA60CB5}"/>
    <cellStyle name="40% - Ênfase4 13 5 2" xfId="5718" xr:uid="{6E999C73-F42B-448E-BB33-31918393C3FC}"/>
    <cellStyle name="40% - Ênfase4 13 6" xfId="3907" xr:uid="{81668305-70DE-44CD-BFD8-39DED214F058}"/>
    <cellStyle name="40% - Ênfase4 14" xfId="298" xr:uid="{D1D72439-0E56-42C8-83FE-DA37C8331CDC}"/>
    <cellStyle name="40% - Ênfase4 14 2" xfId="904" xr:uid="{CE21CB7B-30FB-4FE8-922F-3221134D8CFF}"/>
    <cellStyle name="40% - Ênfase4 14 2 2" xfId="1507" xr:uid="{2309C551-785B-4ED5-BFAE-43BDD0DB090B}"/>
    <cellStyle name="40% - Ênfase4 14 2 2 2" xfId="3359" xr:uid="{E8F48DA8-C56E-4797-A4A7-FFE6476774A4}"/>
    <cellStyle name="40% - Ênfase4 14 2 2 2 2" xfId="6987" xr:uid="{40A2EB2D-79D9-4B73-8B2E-78692DB44819}"/>
    <cellStyle name="40% - Ênfase4 14 2 2 3" xfId="5135" xr:uid="{7C5D39DA-6E9A-4368-A170-36C0AB513C33}"/>
    <cellStyle name="40% - Ênfase4 14 2 3" xfId="2432" xr:uid="{8E6BA340-8647-4796-A8B3-5CDB96818D5A}"/>
    <cellStyle name="40% - Ênfase4 14 2 3 2" xfId="6060" xr:uid="{D1867CDC-AFD2-4E2C-BAD0-D0559CB048A0}"/>
    <cellStyle name="40% - Ênfase4 14 2 4" xfId="4532" xr:uid="{E39FE0DB-C90B-48C5-BF7D-871DEC8AC2E1}"/>
    <cellStyle name="40% - Ênfase4 14 3" xfId="580" xr:uid="{9BB37E7B-4930-44D0-9C9D-DC57DF4A9B61}"/>
    <cellStyle name="40% - Ênfase4 14 3 2" xfId="1788" xr:uid="{C18BEBA7-81E2-4B46-BB6B-85446B529729}"/>
    <cellStyle name="40% - Ênfase4 14 3 2 2" xfId="3601" xr:uid="{0B0B3BDB-A29D-408F-9A47-2DFC5C8D96D6}"/>
    <cellStyle name="40% - Ênfase4 14 3 2 2 2" xfId="7229" xr:uid="{A552C442-DBF5-4E3A-B76B-1821D62A5A98}"/>
    <cellStyle name="40% - Ênfase4 14 3 2 3" xfId="5416" xr:uid="{38850D33-ECDD-491D-B683-7064AF15BBCB}"/>
    <cellStyle name="40% - Ênfase4 14 3 3" xfId="2713" xr:uid="{8735747E-30E1-47F5-945F-E4CEC62D4286}"/>
    <cellStyle name="40% - Ênfase4 14 3 3 2" xfId="6341" xr:uid="{7E21745D-0DA5-4209-B846-6488302A5236}"/>
    <cellStyle name="40% - Ênfase4 14 3 4" xfId="4209" xr:uid="{96669080-4D2A-4D0B-8AB3-EA6868224938}"/>
    <cellStyle name="40% - Ênfase4 14 4" xfId="1185" xr:uid="{B99E4CAD-20CC-4329-B8E4-BDC582AAA427}"/>
    <cellStyle name="40% - Ênfase4 14 4 2" xfId="3037" xr:uid="{7D7863CE-344B-492D-9655-090B2CFE676E}"/>
    <cellStyle name="40% - Ênfase4 14 4 2 2" xfId="6665" xr:uid="{BDDC22D2-6745-4563-BF77-7CB957A006EE}"/>
    <cellStyle name="40% - Ênfase4 14 4 3" xfId="4813" xr:uid="{58EDE033-172C-47ED-B3D3-EBC4A5B9E86C}"/>
    <cellStyle name="40% - Ênfase4 14 5" xfId="2110" xr:uid="{F60AF272-C54A-4BC3-BCDA-9BF737C5E135}"/>
    <cellStyle name="40% - Ênfase4 14 5 2" xfId="5738" xr:uid="{E8D81C76-6732-4B77-B50A-0A657B1D0EAE}"/>
    <cellStyle name="40% - Ênfase4 14 6" xfId="3927" xr:uid="{D37CF14C-4581-48EF-AA2F-017107F6D061}"/>
    <cellStyle name="40% - Ênfase4 15" xfId="600" xr:uid="{388EA917-7A66-474E-91C8-71EF07AD5BFD}"/>
    <cellStyle name="40% - Ênfase4 15 2" xfId="1663" xr:uid="{9892F748-5D27-42B2-B69B-F552AD1F92DE}"/>
    <cellStyle name="40% - Ênfase4 15 2 2" xfId="2588" xr:uid="{87B02B90-CC98-4DA3-8EC7-DC672D4863FB}"/>
    <cellStyle name="40% - Ênfase4 15 2 2 2" xfId="6216" xr:uid="{99BBAFFC-A715-45B7-956A-180C41A3F523}"/>
    <cellStyle name="40% - Ênfase4 15 2 3" xfId="5291" xr:uid="{D85AEF98-C890-4CA2-8A1B-53F5DA5CEA0C}"/>
    <cellStyle name="40% - Ênfase4 15 3" xfId="1205" xr:uid="{16DD2611-756C-4921-B30B-51C80A731748}"/>
    <cellStyle name="40% - Ênfase4 15 3 2" xfId="3057" xr:uid="{FDDB5F23-1F8C-42AB-8A03-4FDB7F3E7C9C}"/>
    <cellStyle name="40% - Ênfase4 15 3 2 2" xfId="6685" xr:uid="{384C18F3-54DB-4208-8E54-4195855B3AC8}"/>
    <cellStyle name="40% - Ênfase4 15 3 3" xfId="4833" xr:uid="{4B45DCAA-FB5E-48B6-8A86-F3F165F93675}"/>
    <cellStyle name="40% - Ênfase4 15 4" xfId="2130" xr:uid="{3478F878-989D-40B9-925A-AD5D54064A91}"/>
    <cellStyle name="40% - Ênfase4 15 4 2" xfId="5758" xr:uid="{ABD42782-1CCE-4AFF-8E89-939D1DAB87DF}"/>
    <cellStyle name="40% - Ênfase4 15 5" xfId="4229" xr:uid="{24A41EC9-3FE9-441F-9B85-D28B8EE0421F}"/>
    <cellStyle name="40% - Ênfase4 16" xfId="620" xr:uid="{69960F01-D289-40E5-952F-0BC1DC4CA4E6}"/>
    <cellStyle name="40% - Ênfase4 16 2" xfId="1683" xr:uid="{E9B0037B-6C5F-41F9-8171-6C07E8A80645}"/>
    <cellStyle name="40% - Ênfase4 16 2 2" xfId="2608" xr:uid="{18CFB41F-ECC8-4F26-B6A6-BDDAF3683B69}"/>
    <cellStyle name="40% - Ênfase4 16 2 2 2" xfId="6236" xr:uid="{BB758E9D-A5D9-4A6A-BD66-782F0E0CABEE}"/>
    <cellStyle name="40% - Ênfase4 16 2 3" xfId="5311" xr:uid="{0ADEB74D-450B-4638-A18F-429132F6C81D}"/>
    <cellStyle name="40% - Ênfase4 16 3" xfId="1225" xr:uid="{A0AA7256-EC0B-4F14-BCC3-234449C4CADF}"/>
    <cellStyle name="40% - Ênfase4 16 3 2" xfId="3077" xr:uid="{063412F6-2C69-4068-8BE2-E4D6C91F8731}"/>
    <cellStyle name="40% - Ênfase4 16 3 2 2" xfId="6705" xr:uid="{5853257D-3AEF-4551-B80F-265B4EC23D79}"/>
    <cellStyle name="40% - Ênfase4 16 3 3" xfId="4853" xr:uid="{361CA866-7773-4A82-9442-0EA854F89A49}"/>
    <cellStyle name="40% - Ênfase4 16 4" xfId="2150" xr:uid="{7E4F7DC2-78EE-4F88-9202-67AC9C1C9225}"/>
    <cellStyle name="40% - Ênfase4 16 4 2" xfId="5778" xr:uid="{FF17835F-AF93-4021-AD6D-197C006113DF}"/>
    <cellStyle name="40% - Ênfase4 16 5" xfId="4249" xr:uid="{BE4B227E-B5C4-4F90-A60E-C314C4FCCB8B}"/>
    <cellStyle name="40% - Ênfase4 17" xfId="640" xr:uid="{4FA3A290-7F11-4361-8282-0CE870B0D265}"/>
    <cellStyle name="40% - Ênfase4 17 2" xfId="1244" xr:uid="{65B0342C-0379-4F55-B9FA-FCB430BEBFE2}"/>
    <cellStyle name="40% - Ênfase4 17 2 2" xfId="3096" xr:uid="{734A53B1-05EB-43F4-9D04-08156B1452C1}"/>
    <cellStyle name="40% - Ênfase4 17 2 2 2" xfId="6724" xr:uid="{0829756F-DA5C-4C1F-8920-3B2D86DD2506}"/>
    <cellStyle name="40% - Ênfase4 17 2 3" xfId="4872" xr:uid="{E27D2FB2-4A94-4B80-A529-36C63885C560}"/>
    <cellStyle name="40% - Ênfase4 17 3" xfId="2169" xr:uid="{7E87A448-3DB3-43DA-8C51-FFDFA7AE3F51}"/>
    <cellStyle name="40% - Ênfase4 17 3 2" xfId="5797" xr:uid="{2AD7D11A-5256-4789-80CB-98EE42707BC0}"/>
    <cellStyle name="40% - Ênfase4 17 4" xfId="4269" xr:uid="{3D22F4E8-805D-4A4B-B46F-BC89782D9D8F}"/>
    <cellStyle name="40% - Ênfase4 18" xfId="317" xr:uid="{F11119B1-0D7A-4CCE-8E35-CCB8CB84E690}"/>
    <cellStyle name="40% - Ênfase4 18 2" xfId="1613" xr:uid="{DC109D07-E74A-4ECB-84BF-8374BD733BC1}"/>
    <cellStyle name="40% - Ênfase4 18 2 2" xfId="3465" xr:uid="{AEB57835-FA95-4446-ACC2-A8BD3CABEBF9}"/>
    <cellStyle name="40% - Ênfase4 18 2 2 2" xfId="7093" xr:uid="{1AFA5199-2B03-438D-964A-9133534291B0}"/>
    <cellStyle name="40% - Ênfase4 18 2 3" xfId="5241" xr:uid="{D7A504BF-2F05-4890-BC88-4FBCAB11EE3F}"/>
    <cellStyle name="40% - Ênfase4 18 3" xfId="2538" xr:uid="{077C1927-5AF0-426F-AE4C-861DC929FE38}"/>
    <cellStyle name="40% - Ênfase4 18 3 2" xfId="6166" xr:uid="{2A06BAEA-0CAD-4ED6-87C4-5AF045904B7F}"/>
    <cellStyle name="40% - Ênfase4 18 4" xfId="3946" xr:uid="{98826202-082B-441F-ADEA-F0D57D01B021}"/>
    <cellStyle name="40% - Ênfase4 19" xfId="922" xr:uid="{2AD63B87-6B6B-4427-9434-34EFADC2DED8}"/>
    <cellStyle name="40% - Ênfase4 19 2" xfId="2774" xr:uid="{33A8BFD0-8D1D-4628-809C-92D4C71C89E5}"/>
    <cellStyle name="40% - Ênfase4 19 2 2" xfId="6402" xr:uid="{87AEA2E3-8EB4-484C-87F5-66323C3EAC3E}"/>
    <cellStyle name="40% - Ênfase4 19 3" xfId="4550" xr:uid="{0BEA1ED3-D0D0-4150-A40F-2DC8E3035178}"/>
    <cellStyle name="40% - Ênfase4 2" xfId="57" xr:uid="{9B4947D8-F219-410D-850C-C8C694E1741D}"/>
    <cellStyle name="40% - Ênfase4 2 2" xfId="663" xr:uid="{EB00EB99-10DE-4CC4-910B-BFE21D0334F8}"/>
    <cellStyle name="40% - Ênfase4 2 2 2" xfId="1266" xr:uid="{4DF0BFDB-D9E5-455B-AD7C-6FFD75DCB069}"/>
    <cellStyle name="40% - Ênfase4 2 2 2 2" xfId="3118" xr:uid="{D9F3D067-D915-435A-BCA6-8FE71AABA5F2}"/>
    <cellStyle name="40% - Ênfase4 2 2 2 2 2" xfId="6746" xr:uid="{A71AB925-B026-4193-AE35-BEAED480D535}"/>
    <cellStyle name="40% - Ênfase4 2 2 2 3" xfId="4894" xr:uid="{7C6440B8-3DC2-4612-9C7B-B5DA7DE08BED}"/>
    <cellStyle name="40% - Ênfase4 2 2 3" xfId="2191" xr:uid="{DBA53361-99FD-4E06-A63C-7CE19D954F27}"/>
    <cellStyle name="40% - Ênfase4 2 2 3 2" xfId="5819" xr:uid="{DD5B0A95-9CC6-4283-B84C-3B2DE6B76896}"/>
    <cellStyle name="40% - Ênfase4 2 2 4" xfId="4291" xr:uid="{6C305EEC-4970-4FEE-8AD4-01D2E13ECA67}"/>
    <cellStyle name="40% - Ênfase4 2 3" xfId="339" xr:uid="{DE388013-247E-4B4A-B957-4F08B58B40EC}"/>
    <cellStyle name="40% - Ênfase4 2 3 2" xfId="1828" xr:uid="{4AF98760-3375-4092-920C-0D7EF032A69E}"/>
    <cellStyle name="40% - Ênfase4 2 3 2 2" xfId="3641" xr:uid="{090C7BDE-0F90-446E-AE60-2156B4608664}"/>
    <cellStyle name="40% - Ênfase4 2 3 2 2 2" xfId="7269" xr:uid="{19C0712F-2F4F-48CC-9FB8-A4B348E8C9F2}"/>
    <cellStyle name="40% - Ênfase4 2 3 2 3" xfId="5456" xr:uid="{37ABFB64-8363-48DF-8FB3-0B143F06B85D}"/>
    <cellStyle name="40% - Ênfase4 2 3 3" xfId="2753" xr:uid="{5B4EA9A5-996C-446F-B632-935CC36A0E73}"/>
    <cellStyle name="40% - Ênfase4 2 3 3 2" xfId="6381" xr:uid="{1C56707A-1660-43D9-99EF-11912B48962C}"/>
    <cellStyle name="40% - Ênfase4 2 3 4" xfId="3968" xr:uid="{3B837A73-7E13-4029-A595-E82E392C277A}"/>
    <cellStyle name="40% - Ênfase4 2 4" xfId="944" xr:uid="{B83D380E-69F9-40A0-B3DD-F30FE4430039}"/>
    <cellStyle name="40% - Ênfase4 2 4 2" xfId="2796" xr:uid="{EE5F280C-9B95-4DB9-B45A-035A250523CE}"/>
    <cellStyle name="40% - Ênfase4 2 4 2 2" xfId="6424" xr:uid="{40E8E5A9-F28F-4116-BC82-2582AC764E31}"/>
    <cellStyle name="40% - Ênfase4 2 4 3" xfId="4572" xr:uid="{BBF88423-26EE-47ED-83C7-11CC4F75BFDD}"/>
    <cellStyle name="40% - Ênfase4 2 5" xfId="1869" xr:uid="{51950831-588C-4DBE-A803-14DD918FA327}"/>
    <cellStyle name="40% - Ênfase4 2 5 2" xfId="5497" xr:uid="{163DAD0E-5646-49C5-A86E-C7A84E044FD4}"/>
    <cellStyle name="40% - Ênfase4 2 6" xfId="3686" xr:uid="{980DB888-43E8-4665-8074-11CF80606832}"/>
    <cellStyle name="40% - Ênfase4 20" xfId="1847" xr:uid="{4689A0CF-7710-454B-8842-4F2E6EC68213}"/>
    <cellStyle name="40% - Ênfase4 20 2" xfId="5475" xr:uid="{BCB98B3E-5B15-4E69-ADD5-BA27E442AFEB}"/>
    <cellStyle name="40% - Ênfase4 21" xfId="3662" xr:uid="{B95CA2DD-557B-442F-9C01-A475886DE720}"/>
    <cellStyle name="40% - Ênfase4 3" xfId="75" xr:uid="{AC141FA4-8539-484C-AC36-5921559B6067}"/>
    <cellStyle name="40% - Ênfase4 3 2" xfId="681" xr:uid="{09ED7B9E-0909-4BE3-8C89-173B2E489A44}"/>
    <cellStyle name="40% - Ênfase4 3 2 2" xfId="1284" xr:uid="{87C79D1B-5072-455E-A7C0-D0F841BD27DE}"/>
    <cellStyle name="40% - Ênfase4 3 2 2 2" xfId="3136" xr:uid="{FFC4D0BD-BAF0-48BA-A00F-1EFF538F24AD}"/>
    <cellStyle name="40% - Ênfase4 3 2 2 2 2" xfId="6764" xr:uid="{6D39D315-2465-46FF-ADFF-01503B6A448B}"/>
    <cellStyle name="40% - Ênfase4 3 2 2 3" xfId="4912" xr:uid="{37031465-2549-4414-9A31-13D41AD5E7C5}"/>
    <cellStyle name="40% - Ênfase4 3 2 3" xfId="2209" xr:uid="{FC5C0501-3D8D-4F04-9341-44CCED437761}"/>
    <cellStyle name="40% - Ênfase4 3 2 3 2" xfId="5837" xr:uid="{0E7889D8-9C96-4E00-93E7-858161C46AF4}"/>
    <cellStyle name="40% - Ênfase4 3 2 4" xfId="4309" xr:uid="{B65755B7-6A1E-4517-9A20-989E8D49A358}"/>
    <cellStyle name="40% - Ênfase4 3 3" xfId="357" xr:uid="{1D4A5FF2-4BFA-49C3-B049-79A448C64EC7}"/>
    <cellStyle name="40% - Ênfase4 3 3 2" xfId="1693" xr:uid="{38B1B852-B517-409F-9223-8B1F82A83B68}"/>
    <cellStyle name="40% - Ênfase4 3 3 2 2" xfId="3506" xr:uid="{9B1C9BB5-D7ED-407D-91C2-885BFA04EDB8}"/>
    <cellStyle name="40% - Ênfase4 3 3 2 2 2" xfId="7134" xr:uid="{39D4A797-975E-4670-9330-86670F75B8FF}"/>
    <cellStyle name="40% - Ênfase4 3 3 2 3" xfId="5321" xr:uid="{2996538B-2F29-4F50-97B5-2B08983D137B}"/>
    <cellStyle name="40% - Ênfase4 3 3 3" xfId="2618" xr:uid="{A5754504-F42B-4B28-A7B1-1E03BB6744E6}"/>
    <cellStyle name="40% - Ênfase4 3 3 3 2" xfId="6246" xr:uid="{89486BB1-41E3-4EC1-929C-884D9310E2E0}"/>
    <cellStyle name="40% - Ênfase4 3 3 4" xfId="3986" xr:uid="{57956E6D-89CD-40F8-9072-DD654A5863D8}"/>
    <cellStyle name="40% - Ênfase4 3 4" xfId="962" xr:uid="{C3AD9B88-AF25-4FFB-B2CF-4E55EBF60D6D}"/>
    <cellStyle name="40% - Ênfase4 3 4 2" xfId="2814" xr:uid="{5288F7BD-A02C-49C6-A424-AA5F72621C97}"/>
    <cellStyle name="40% - Ênfase4 3 4 2 2" xfId="6442" xr:uid="{2335B71F-DDD9-4103-81FF-0C0820DEED08}"/>
    <cellStyle name="40% - Ênfase4 3 4 3" xfId="4590" xr:uid="{EC7DBB27-B632-485B-BD39-86DD91819DAE}"/>
    <cellStyle name="40% - Ênfase4 3 5" xfId="1887" xr:uid="{652B0F9D-C829-4C04-80B0-6116D8C2D542}"/>
    <cellStyle name="40% - Ênfase4 3 5 2" xfId="5515" xr:uid="{F30E7F03-CDA7-43F7-9456-50425BC63367}"/>
    <cellStyle name="40% - Ênfase4 3 6" xfId="3704" xr:uid="{34C57A8F-7498-49F3-AA87-F963A8A0273B}"/>
    <cellStyle name="40% - Ênfase4 4" xfId="97" xr:uid="{485579B7-F151-4B69-8AA5-1ACFDF79AFB5}"/>
    <cellStyle name="40% - Ênfase4 4 2" xfId="703" xr:uid="{204968C1-AEE8-42D6-B934-691F94F90795}"/>
    <cellStyle name="40% - Ênfase4 4 2 2" xfId="1306" xr:uid="{46A8F269-6939-476A-A1BE-F78751C6037B}"/>
    <cellStyle name="40% - Ênfase4 4 2 2 2" xfId="3158" xr:uid="{B27D1B34-70EB-45B5-A0F7-6EAE12FDE086}"/>
    <cellStyle name="40% - Ênfase4 4 2 2 2 2" xfId="6786" xr:uid="{DA610CA5-6318-4A9D-ADB1-D87CBCD36B63}"/>
    <cellStyle name="40% - Ênfase4 4 2 2 3" xfId="4934" xr:uid="{55A3913F-6157-46C0-B9FE-31C2D9A5385D}"/>
    <cellStyle name="40% - Ênfase4 4 2 3" xfId="2231" xr:uid="{269802C7-7C0C-487B-9022-070BB1A048E7}"/>
    <cellStyle name="40% - Ênfase4 4 2 3 2" xfId="5859" xr:uid="{F8588474-8C9A-472F-A691-F4E00E514DC3}"/>
    <cellStyle name="40% - Ênfase4 4 2 4" xfId="4331" xr:uid="{C0E7AC32-F1BD-4147-94CD-58EF360D3F39}"/>
    <cellStyle name="40% - Ênfase4 4 3" xfId="379" xr:uid="{1C0AAD4E-0FC4-4B10-BBD3-FBFEE60B9E6C}"/>
    <cellStyle name="40% - Ênfase4 4 3 2" xfId="1713" xr:uid="{044BC02A-8634-4954-BAA9-EB588D56487D}"/>
    <cellStyle name="40% - Ênfase4 4 3 2 2" xfId="3526" xr:uid="{90BF06F4-43E8-4AEC-BCBE-916EBFEDFF15}"/>
    <cellStyle name="40% - Ênfase4 4 3 2 2 2" xfId="7154" xr:uid="{32E757B3-3E14-4689-8F57-CD4D5870CF5D}"/>
    <cellStyle name="40% - Ênfase4 4 3 2 3" xfId="5341" xr:uid="{842BBBF7-D9B4-4D2A-B80D-FB0C4AC144B3}"/>
    <cellStyle name="40% - Ênfase4 4 3 3" xfId="2638" xr:uid="{632BE191-13C2-4A14-9E90-E5CBCA3360E9}"/>
    <cellStyle name="40% - Ênfase4 4 3 3 2" xfId="6266" xr:uid="{5B56A35C-95AD-452F-882B-325E34331E31}"/>
    <cellStyle name="40% - Ênfase4 4 3 4" xfId="4008" xr:uid="{7EC209EC-00A6-42FF-A82B-546400EF10DB}"/>
    <cellStyle name="40% - Ênfase4 4 4" xfId="984" xr:uid="{6C9CAA0E-5411-4CD0-9BF8-0BF803F10DBC}"/>
    <cellStyle name="40% - Ênfase4 4 4 2" xfId="2836" xr:uid="{9DC40A5C-8DF0-4D61-B682-8AB47F9A3B91}"/>
    <cellStyle name="40% - Ênfase4 4 4 2 2" xfId="6464" xr:uid="{9719D7C3-BE41-4872-A173-C545953633E2}"/>
    <cellStyle name="40% - Ênfase4 4 4 3" xfId="4612" xr:uid="{DA8E886F-EAF0-42AA-B99A-55F65C70BD1D}"/>
    <cellStyle name="40% - Ênfase4 4 5" xfId="1909" xr:uid="{ED8CA35C-AC74-4482-90B2-492E58A0F0D1}"/>
    <cellStyle name="40% - Ênfase4 4 5 2" xfId="5537" xr:uid="{295060FA-82BB-452B-A771-3851F40B340F}"/>
    <cellStyle name="40% - Ênfase4 4 6" xfId="3726" xr:uid="{7E77FDAD-78A7-45CF-8F36-2AF731E7229B}"/>
    <cellStyle name="40% - Ênfase4 5" xfId="117" xr:uid="{A4900EBD-3656-4EF4-92BF-393A121BB979}"/>
    <cellStyle name="40% - Ênfase4 5 2" xfId="723" xr:uid="{08185879-9CFE-4ED3-BDB9-B7EC1B80D9FA}"/>
    <cellStyle name="40% - Ênfase4 5 2 2" xfId="1326" xr:uid="{B4B29736-127E-4921-B0C8-3D1113DD2BB5}"/>
    <cellStyle name="40% - Ênfase4 5 2 2 2" xfId="3178" xr:uid="{F4D26FF3-E480-419D-8567-1ABD5F067206}"/>
    <cellStyle name="40% - Ênfase4 5 2 2 2 2" xfId="6806" xr:uid="{B0EF1A7D-6B63-42B5-B563-757C7034695C}"/>
    <cellStyle name="40% - Ênfase4 5 2 2 3" xfId="4954" xr:uid="{D3C54398-52E5-452C-914F-0B1242CEF702}"/>
    <cellStyle name="40% - Ênfase4 5 2 3" xfId="2251" xr:uid="{31EE27F5-3A4E-4A89-B435-6BFE7F411EB2}"/>
    <cellStyle name="40% - Ênfase4 5 2 3 2" xfId="5879" xr:uid="{009B0AF5-F910-4FFC-8C1E-BFAFCF2862D0}"/>
    <cellStyle name="40% - Ênfase4 5 2 4" xfId="4351" xr:uid="{8EFD7DE4-4D5E-4C64-9B52-C96DC61BA673}"/>
    <cellStyle name="40% - Ênfase4 5 3" xfId="399" xr:uid="{367273DD-4C90-4354-B62C-C0F3DC256E1A}"/>
    <cellStyle name="40% - Ênfase4 5 3 2" xfId="1638" xr:uid="{F3A35638-633A-46F8-AE9E-AB2F7DA5EB6F}"/>
    <cellStyle name="40% - Ênfase4 5 3 2 2" xfId="3490" xr:uid="{08E511CF-30BE-4C50-A25D-856E1031DE1A}"/>
    <cellStyle name="40% - Ênfase4 5 3 2 2 2" xfId="7118" xr:uid="{192D2790-4F40-4424-8137-847FC15E2F93}"/>
    <cellStyle name="40% - Ênfase4 5 3 2 3" xfId="5266" xr:uid="{50269C3E-7F3F-4A0F-9489-9A03DA429B40}"/>
    <cellStyle name="40% - Ênfase4 5 3 3" xfId="2563" xr:uid="{54C4204E-6C00-4217-A9FC-439009A89059}"/>
    <cellStyle name="40% - Ênfase4 5 3 3 2" xfId="6191" xr:uid="{D9FD333E-A2CE-4C72-89E5-B42530929AF8}"/>
    <cellStyle name="40% - Ênfase4 5 3 4" xfId="4028" xr:uid="{46FA01E9-4CAE-4174-9059-ADC0B15566E5}"/>
    <cellStyle name="40% - Ênfase4 5 4" xfId="1004" xr:uid="{5689F15B-DE29-4A84-9611-922103BF58F0}"/>
    <cellStyle name="40% - Ênfase4 5 4 2" xfId="2856" xr:uid="{4F5455C3-84F0-4351-A7B7-075CCF62137D}"/>
    <cellStyle name="40% - Ênfase4 5 4 2 2" xfId="6484" xr:uid="{4D40A033-3A37-4C16-8055-CA8FE92CAD88}"/>
    <cellStyle name="40% - Ênfase4 5 4 3" xfId="4632" xr:uid="{8E34504E-82FD-47AE-B64C-BE2F8F90C8C4}"/>
    <cellStyle name="40% - Ênfase4 5 5" xfId="1929" xr:uid="{184B694D-4FA6-4760-80C3-E1D5967774D8}"/>
    <cellStyle name="40% - Ênfase4 5 5 2" xfId="5557" xr:uid="{DA4ADFD3-331C-44E8-B545-DC33B31A0915}"/>
    <cellStyle name="40% - Ênfase4 5 6" xfId="3746" xr:uid="{3FEA5E8E-0EF0-4499-9B94-0635553AF9BB}"/>
    <cellStyle name="40% - Ênfase4 6" xfId="137" xr:uid="{651C839C-C3DE-4228-A5E4-71AF152D76E4}"/>
    <cellStyle name="40% - Ênfase4 6 2" xfId="743" xr:uid="{54444599-5505-42FB-982B-56133ABE5221}"/>
    <cellStyle name="40% - Ênfase4 6 2 2" xfId="1346" xr:uid="{8171FC23-4AE3-4CC9-989B-B0C29D4703F8}"/>
    <cellStyle name="40% - Ênfase4 6 2 2 2" xfId="3198" xr:uid="{CA9F0691-9298-4571-9DA1-970EC444E261}"/>
    <cellStyle name="40% - Ênfase4 6 2 2 2 2" xfId="6826" xr:uid="{2057158D-DFB7-45F3-9086-332DADDE36B3}"/>
    <cellStyle name="40% - Ênfase4 6 2 2 3" xfId="4974" xr:uid="{53C35368-C8FC-4991-BEF1-756591FE83FA}"/>
    <cellStyle name="40% - Ênfase4 6 2 3" xfId="2271" xr:uid="{A2CD2479-E044-4E26-813B-F5A5E1D69615}"/>
    <cellStyle name="40% - Ênfase4 6 2 3 2" xfId="5899" xr:uid="{79449A2A-EDC8-472D-AF54-21BECD3BF3F2}"/>
    <cellStyle name="40% - Ênfase4 6 2 4" xfId="4371" xr:uid="{DA139A6B-8857-48EA-BA92-EBA4D52F6606}"/>
    <cellStyle name="40% - Ênfase4 6 3" xfId="419" xr:uid="{D49C4984-8F5E-43E2-9830-2EB7BB2276E3}"/>
    <cellStyle name="40% - Ênfase4 6 3 2" xfId="1620" xr:uid="{FB34647F-6B2F-4136-8686-B1A8D2ECECE1}"/>
    <cellStyle name="40% - Ênfase4 6 3 2 2" xfId="3472" xr:uid="{82C94996-7CCF-4026-B6C4-C32E0BBCA033}"/>
    <cellStyle name="40% - Ênfase4 6 3 2 2 2" xfId="7100" xr:uid="{86A761C1-EB42-4F6C-8E6F-8E05DEB03AAE}"/>
    <cellStyle name="40% - Ênfase4 6 3 2 3" xfId="5248" xr:uid="{F4486048-F61B-4C8F-B530-DC72CCCBE007}"/>
    <cellStyle name="40% - Ênfase4 6 3 3" xfId="2545" xr:uid="{52580E59-DA03-46BC-9386-C337F71FB2DE}"/>
    <cellStyle name="40% - Ênfase4 6 3 3 2" xfId="6173" xr:uid="{F575B89D-777E-465A-BF0B-69F4BECADC7A}"/>
    <cellStyle name="40% - Ênfase4 6 3 4" xfId="4048" xr:uid="{5F44DD56-7F37-4FAA-BB8C-A6AC73953C49}"/>
    <cellStyle name="40% - Ênfase4 6 4" xfId="1024" xr:uid="{8FD920FE-672D-4300-9AF5-D5D28CAAC000}"/>
    <cellStyle name="40% - Ênfase4 6 4 2" xfId="2876" xr:uid="{24488CF5-0259-4187-B0BF-6652197C9400}"/>
    <cellStyle name="40% - Ênfase4 6 4 2 2" xfId="6504" xr:uid="{BDF61BAA-A77C-489C-9181-08B270105611}"/>
    <cellStyle name="40% - Ênfase4 6 4 3" xfId="4652" xr:uid="{15EF06D6-65B9-4E15-A106-F887CBB3CABE}"/>
    <cellStyle name="40% - Ênfase4 6 5" xfId="1949" xr:uid="{D29F7817-3BCB-4684-9D20-1C3C680FDE7D}"/>
    <cellStyle name="40% - Ênfase4 6 5 2" xfId="5577" xr:uid="{DF42C846-2B4F-490C-808D-F75FBAEEB6A6}"/>
    <cellStyle name="40% - Ênfase4 6 6" xfId="3766" xr:uid="{47835458-50F1-4A36-8CBD-7BB8591C7B4F}"/>
    <cellStyle name="40% - Ênfase4 7" xfId="157" xr:uid="{95949C3C-F007-4BC7-8070-CC7A36B28F9E}"/>
    <cellStyle name="40% - Ênfase4 7 2" xfId="763" xr:uid="{A625E3CE-9215-4499-AD12-631F1508FBA7}"/>
    <cellStyle name="40% - Ênfase4 7 2 2" xfId="1366" xr:uid="{038212E9-C9D7-4712-81B8-EF1C864B0222}"/>
    <cellStyle name="40% - Ênfase4 7 2 2 2" xfId="3218" xr:uid="{E613AFD2-180E-4E9F-B0CA-29F8229E7AA8}"/>
    <cellStyle name="40% - Ênfase4 7 2 2 2 2" xfId="6846" xr:uid="{F63CF87E-62AA-49A1-9BAF-301311A9358C}"/>
    <cellStyle name="40% - Ênfase4 7 2 2 3" xfId="4994" xr:uid="{3B71CAE1-3D68-4794-9E0F-DAA1F80706BE}"/>
    <cellStyle name="40% - Ênfase4 7 2 3" xfId="2291" xr:uid="{155788C3-B997-4812-9535-9231BFA2EC67}"/>
    <cellStyle name="40% - Ênfase4 7 2 3 2" xfId="5919" xr:uid="{E05670C6-46D1-4B81-92D7-D22743D3CC89}"/>
    <cellStyle name="40% - Ênfase4 7 2 4" xfId="4391" xr:uid="{AE0989CF-46B4-489A-91BC-8A1263136446}"/>
    <cellStyle name="40% - Ênfase4 7 3" xfId="439" xr:uid="{680D3569-70B5-4C5D-B48E-863D9CC535F2}"/>
    <cellStyle name="40% - Ênfase4 7 3 2" xfId="1812" xr:uid="{E3AABEE7-C91C-4273-A6A2-AE5460F76A6D}"/>
    <cellStyle name="40% - Ênfase4 7 3 2 2" xfId="3625" xr:uid="{6405964D-9691-4D92-97D6-5630E3B2328D}"/>
    <cellStyle name="40% - Ênfase4 7 3 2 2 2" xfId="7253" xr:uid="{46554EE4-BF72-43E3-8D54-DB10F7518472}"/>
    <cellStyle name="40% - Ênfase4 7 3 2 3" xfId="5440" xr:uid="{71E8BEEA-E58B-41D4-BCB1-D8FEEB3AF2BD}"/>
    <cellStyle name="40% - Ênfase4 7 3 3" xfId="2737" xr:uid="{F3B8462B-2FDC-499E-B00B-D6A7A1EC03C3}"/>
    <cellStyle name="40% - Ênfase4 7 3 3 2" xfId="6365" xr:uid="{C48A9226-D542-4B53-B004-19796158EC27}"/>
    <cellStyle name="40% - Ênfase4 7 3 4" xfId="4068" xr:uid="{F225E9CA-2867-4497-A9C9-2B65934BB056}"/>
    <cellStyle name="40% - Ênfase4 7 4" xfId="1044" xr:uid="{134A87F9-8C2B-4CB7-BEDB-5AD03FE95CDC}"/>
    <cellStyle name="40% - Ênfase4 7 4 2" xfId="2896" xr:uid="{ECDDABAA-A7D9-46A3-96DA-7CB8DE05A6F1}"/>
    <cellStyle name="40% - Ênfase4 7 4 2 2" xfId="6524" xr:uid="{7ACA4F34-3BE8-4026-98FF-D8CB1C4FD42E}"/>
    <cellStyle name="40% - Ênfase4 7 4 3" xfId="4672" xr:uid="{51FE5FD8-CA4B-4AEF-8DBB-835A250E9986}"/>
    <cellStyle name="40% - Ênfase4 7 5" xfId="1969" xr:uid="{95A584FF-1838-403D-A716-7971849686BB}"/>
    <cellStyle name="40% - Ênfase4 7 5 2" xfId="5597" xr:uid="{3645E2BC-41C2-4117-AE49-8A8293B23546}"/>
    <cellStyle name="40% - Ênfase4 7 6" xfId="3786" xr:uid="{CC968E60-6181-4668-9F10-553C0E2A4490}"/>
    <cellStyle name="40% - Ênfase4 8" xfId="177" xr:uid="{CD2EC6BB-2A43-4A95-8D26-BE82EC96F66A}"/>
    <cellStyle name="40% - Ênfase4 8 2" xfId="783" xr:uid="{CB96F359-B117-4734-ACBD-2BF485196C13}"/>
    <cellStyle name="40% - Ênfase4 8 2 2" xfId="1386" xr:uid="{E1198440-73FD-4BE8-A870-DB76CDF70CC9}"/>
    <cellStyle name="40% - Ênfase4 8 2 2 2" xfId="3238" xr:uid="{31C459CA-E5B8-4528-9C53-0AE73F973C29}"/>
    <cellStyle name="40% - Ênfase4 8 2 2 2 2" xfId="6866" xr:uid="{EF030E26-03B7-451C-B004-1652D6DA4895}"/>
    <cellStyle name="40% - Ênfase4 8 2 2 3" xfId="5014" xr:uid="{0354A05E-6341-4693-8608-ED87A229EBDE}"/>
    <cellStyle name="40% - Ênfase4 8 2 3" xfId="2311" xr:uid="{BBF1413B-02F2-420F-88CA-BDBB6A88BDAB}"/>
    <cellStyle name="40% - Ênfase4 8 2 3 2" xfId="5939" xr:uid="{7B809F9C-6236-4D60-A11C-DF3FD6C5C489}"/>
    <cellStyle name="40% - Ênfase4 8 2 4" xfId="4411" xr:uid="{650372FA-3914-4330-8B0F-7E990B589944}"/>
    <cellStyle name="40% - Ênfase4 8 3" xfId="459" xr:uid="{C9212DD7-85C7-41F7-932E-029745A4F02B}"/>
    <cellStyle name="40% - Ênfase4 8 3 2" xfId="1548" xr:uid="{10C37AFE-3B16-4637-9836-15749980887E}"/>
    <cellStyle name="40% - Ênfase4 8 3 2 2" xfId="3400" xr:uid="{8A947631-08B5-4AC1-BCA1-E0F1CFFF946C}"/>
    <cellStyle name="40% - Ênfase4 8 3 2 2 2" xfId="7028" xr:uid="{CDFC83F4-F100-4B46-A349-C823C124BC5A}"/>
    <cellStyle name="40% - Ênfase4 8 3 2 3" xfId="5176" xr:uid="{4777DD1B-AC82-49BD-B73A-443F195F9B6E}"/>
    <cellStyle name="40% - Ênfase4 8 3 3" xfId="2473" xr:uid="{FA8CCFDB-87A3-4FCF-92D8-54E485377C15}"/>
    <cellStyle name="40% - Ênfase4 8 3 3 2" xfId="6101" xr:uid="{6F0C092B-279E-4FD9-B9B3-15D67F1419BB}"/>
    <cellStyle name="40% - Ênfase4 8 3 4" xfId="4088" xr:uid="{8784819E-55A1-4C2B-9628-ED3EDF7BA089}"/>
    <cellStyle name="40% - Ênfase4 8 4" xfId="1064" xr:uid="{58B3B0CE-2BDC-4F4D-AA58-6D260FD10E0D}"/>
    <cellStyle name="40% - Ênfase4 8 4 2" xfId="2916" xr:uid="{9B729F1B-65BD-43DA-98E8-6516B1365754}"/>
    <cellStyle name="40% - Ênfase4 8 4 2 2" xfId="6544" xr:uid="{4B5A9C05-F2F7-4730-9248-409B4173C8B6}"/>
    <cellStyle name="40% - Ênfase4 8 4 3" xfId="4692" xr:uid="{1C6F7E36-8BE0-41F4-8707-BE9FC3E78F90}"/>
    <cellStyle name="40% - Ênfase4 8 5" xfId="1989" xr:uid="{D6FD6157-AF8E-4004-94C4-E8C324B1A2AD}"/>
    <cellStyle name="40% - Ênfase4 8 5 2" xfId="5617" xr:uid="{75AF5EEE-7989-4D48-AC12-6E20DD6C4B44}"/>
    <cellStyle name="40% - Ênfase4 8 6" xfId="3806" xr:uid="{21191685-7998-4C7C-A8B9-18A23D37E38F}"/>
    <cellStyle name="40% - Ênfase4 9" xfId="197" xr:uid="{1B39F0AD-5E0F-4FF2-BA2B-9BBB05C14069}"/>
    <cellStyle name="40% - Ênfase4 9 2" xfId="803" xr:uid="{EDAB8CE8-E368-467D-8DD1-B504CA7A2704}"/>
    <cellStyle name="40% - Ênfase4 9 2 2" xfId="1406" xr:uid="{824CB933-039C-4E91-A304-C00229115B3C}"/>
    <cellStyle name="40% - Ênfase4 9 2 2 2" xfId="3258" xr:uid="{FC2A2AEE-0C26-4B68-95DB-6608D03772CE}"/>
    <cellStyle name="40% - Ênfase4 9 2 2 2 2" xfId="6886" xr:uid="{0B4A8572-3459-490D-B281-931A277891F1}"/>
    <cellStyle name="40% - Ênfase4 9 2 2 3" xfId="5034" xr:uid="{B00B89FC-0FA8-4377-BE35-2AD42D850AD3}"/>
    <cellStyle name="40% - Ênfase4 9 2 3" xfId="2331" xr:uid="{20CFABFB-F4E0-4C48-932A-A91C9AF5A62E}"/>
    <cellStyle name="40% - Ênfase4 9 2 3 2" xfId="5959" xr:uid="{5F4D5261-5F25-43EE-A9FB-20FD3321C161}"/>
    <cellStyle name="40% - Ênfase4 9 2 4" xfId="4431" xr:uid="{A70CCB9F-C9C9-496E-BFB8-CA0F3FDBE22C}"/>
    <cellStyle name="40% - Ênfase4 9 3" xfId="479" xr:uid="{1BEA24AC-1D60-4E91-A8D8-96C8B367968A}"/>
    <cellStyle name="40% - Ênfase4 9 3 2" xfId="1819" xr:uid="{54981670-1B4E-4D88-B81D-4CCF63C31C95}"/>
    <cellStyle name="40% - Ênfase4 9 3 2 2" xfId="3632" xr:uid="{CF75DB84-CFCE-428A-9CBD-D025907FAB42}"/>
    <cellStyle name="40% - Ênfase4 9 3 2 2 2" xfId="7260" xr:uid="{14CE8178-A37B-4878-AC57-FA5B4F0A5DAF}"/>
    <cellStyle name="40% - Ênfase4 9 3 2 3" xfId="5447" xr:uid="{2CE87198-1B9E-4A96-9534-673C178F2380}"/>
    <cellStyle name="40% - Ênfase4 9 3 3" xfId="2744" xr:uid="{F30A90E3-8B47-43D2-9504-28139799EE9C}"/>
    <cellStyle name="40% - Ênfase4 9 3 3 2" xfId="6372" xr:uid="{54AE1722-6289-421B-9157-F7442B52224B}"/>
    <cellStyle name="40% - Ênfase4 9 3 4" xfId="4108" xr:uid="{FCFE5AEC-237E-4A79-A664-A3E8E9CB8AC7}"/>
    <cellStyle name="40% - Ênfase4 9 4" xfId="1084" xr:uid="{AFFCACEF-7D90-4567-BD52-73A4B4392113}"/>
    <cellStyle name="40% - Ênfase4 9 4 2" xfId="2936" xr:uid="{5686263B-2E9E-4181-B3F0-C6E520226A45}"/>
    <cellStyle name="40% - Ênfase4 9 4 2 2" xfId="6564" xr:uid="{58290B2C-AA69-44E8-90A9-FB48323744ED}"/>
    <cellStyle name="40% - Ênfase4 9 4 3" xfId="4712" xr:uid="{7C110997-DD69-4203-9147-27BBDFDA2068}"/>
    <cellStyle name="40% - Ênfase4 9 5" xfId="2009" xr:uid="{2314AC7E-9DCD-4DBC-BD4C-C2B4F12259E8}"/>
    <cellStyle name="40% - Ênfase4 9 5 2" xfId="5637" xr:uid="{D936A17E-D890-41B9-B1B5-B758358A2183}"/>
    <cellStyle name="40% - Ênfase4 9 6" xfId="3826" xr:uid="{71907086-1EA1-4EBD-A0F1-A91024B5AB9B}"/>
    <cellStyle name="40% - Ênfase5" xfId="36" builtinId="47" customBuiltin="1"/>
    <cellStyle name="40% - Ênfase5 10" xfId="221" xr:uid="{E102B7CF-802C-4346-8854-CB20C2338BDA}"/>
    <cellStyle name="40% - Ênfase5 10 2" xfId="827" xr:uid="{F2003989-996B-4F52-A81C-667AB3B72966}"/>
    <cellStyle name="40% - Ênfase5 10 2 2" xfId="1430" xr:uid="{AC17CBA0-B5B7-4F97-93C9-EAA8C4C98058}"/>
    <cellStyle name="40% - Ênfase5 10 2 2 2" xfId="3282" xr:uid="{84DD1857-3974-4CC2-95B5-65CA896E69B8}"/>
    <cellStyle name="40% - Ênfase5 10 2 2 2 2" xfId="6910" xr:uid="{8FB981AD-B5F1-4710-AD24-B1B65B428991}"/>
    <cellStyle name="40% - Ênfase5 10 2 2 3" xfId="5058" xr:uid="{A0B73006-B09C-4EED-B20A-316CF5CF7B69}"/>
    <cellStyle name="40% - Ênfase5 10 2 3" xfId="2355" xr:uid="{B1BE0323-A89F-4DCE-94C4-3E00CFF93A7B}"/>
    <cellStyle name="40% - Ênfase5 10 2 3 2" xfId="5983" xr:uid="{D811CE84-4A08-4BAC-954D-BF201AE0364B}"/>
    <cellStyle name="40% - Ênfase5 10 2 4" xfId="4455" xr:uid="{CCD740CC-713D-4A50-9476-5CE4C182A22A}"/>
    <cellStyle name="40% - Ênfase5 10 3" xfId="503" xr:uid="{8DE3DDB3-E9B1-4013-90E7-005DFB26F50B}"/>
    <cellStyle name="40% - Ênfase5 10 3 2" xfId="1627" xr:uid="{55B62045-876C-4712-A17E-9F588C0AA06A}"/>
    <cellStyle name="40% - Ênfase5 10 3 2 2" xfId="3479" xr:uid="{AD5F22DE-548F-4994-9D2B-28A943F4B970}"/>
    <cellStyle name="40% - Ênfase5 10 3 2 2 2" xfId="7107" xr:uid="{27E9D770-4C21-429C-A869-9D6EB4A4AEEE}"/>
    <cellStyle name="40% - Ênfase5 10 3 2 3" xfId="5255" xr:uid="{1A1ABF10-33DA-499C-8B5E-589C2B022ECE}"/>
    <cellStyle name="40% - Ênfase5 10 3 3" xfId="2552" xr:uid="{564B0104-766D-46BA-A83B-FB7D99D49765}"/>
    <cellStyle name="40% - Ênfase5 10 3 3 2" xfId="6180" xr:uid="{4ADAED60-A605-465B-9FB4-ABA4630FB776}"/>
    <cellStyle name="40% - Ênfase5 10 3 4" xfId="4132" xr:uid="{E7B6B6C6-8501-48F5-8A2E-B1591EF6EC2C}"/>
    <cellStyle name="40% - Ênfase5 10 4" xfId="1108" xr:uid="{7A3A2203-CAD1-48CA-85EB-3059F0FD7BC4}"/>
    <cellStyle name="40% - Ênfase5 10 4 2" xfId="2960" xr:uid="{63FF0F64-71ED-4B21-89F2-71351623D32E}"/>
    <cellStyle name="40% - Ênfase5 10 4 2 2" xfId="6588" xr:uid="{A7EF457F-D394-4270-A19F-F7225926206A}"/>
    <cellStyle name="40% - Ênfase5 10 4 3" xfId="4736" xr:uid="{779BDC12-7F78-4283-8D64-25D1AE97E53F}"/>
    <cellStyle name="40% - Ênfase5 10 5" xfId="2033" xr:uid="{F38E1794-0DE2-431C-B08E-9F99E2371963}"/>
    <cellStyle name="40% - Ênfase5 10 5 2" xfId="5661" xr:uid="{E0DE52F0-DA5F-44CF-B74C-E0A08B33293C}"/>
    <cellStyle name="40% - Ênfase5 10 6" xfId="3850" xr:uid="{DB006FC1-7C4A-4AD6-AD78-B2C5A5E85B33}"/>
    <cellStyle name="40% - Ênfase5 11" xfId="241" xr:uid="{FFDC3CA6-579C-4442-9354-72FCED3157A6}"/>
    <cellStyle name="40% - Ênfase5 11 2" xfId="847" xr:uid="{34302548-C7D9-4652-BFDA-9C26C09AFFB5}"/>
    <cellStyle name="40% - Ênfase5 11 2 2" xfId="1450" xr:uid="{D3E0DDFE-C013-43BB-8C44-4473A9602A3C}"/>
    <cellStyle name="40% - Ênfase5 11 2 2 2" xfId="3302" xr:uid="{B6A36465-9A3D-46CF-B7D4-65C860A3F9D0}"/>
    <cellStyle name="40% - Ênfase5 11 2 2 2 2" xfId="6930" xr:uid="{0A40B71C-D551-48F1-A57C-E42DC367F853}"/>
    <cellStyle name="40% - Ênfase5 11 2 2 3" xfId="5078" xr:uid="{CD2AC114-6E9D-47DD-9F58-3113DE64B6C8}"/>
    <cellStyle name="40% - Ênfase5 11 2 3" xfId="2375" xr:uid="{4429DA40-CAD2-466C-A89E-0CB36CE95DBA}"/>
    <cellStyle name="40% - Ênfase5 11 2 3 2" xfId="6003" xr:uid="{8665E017-F33F-4CCB-B330-FAE6279788EB}"/>
    <cellStyle name="40% - Ênfase5 11 2 4" xfId="4475" xr:uid="{29B358B4-84E1-4176-B0D1-C645465DD5F3}"/>
    <cellStyle name="40% - Ênfase5 11 3" xfId="523" xr:uid="{306B1098-2F65-4A89-AE48-C63F8CE04993}"/>
    <cellStyle name="40% - Ênfase5 11 3 2" xfId="1593" xr:uid="{25662A5B-935B-4668-B052-97E882569C6E}"/>
    <cellStyle name="40% - Ênfase5 11 3 2 2" xfId="3445" xr:uid="{D1E58259-6DBC-4183-9FA6-535263B0D0E1}"/>
    <cellStyle name="40% - Ênfase5 11 3 2 2 2" xfId="7073" xr:uid="{26C2F7F4-1138-40AC-98ED-929D9620B011}"/>
    <cellStyle name="40% - Ênfase5 11 3 2 3" xfId="5221" xr:uid="{A9B7A753-02C6-4311-9E4D-9A7E331C485B}"/>
    <cellStyle name="40% - Ênfase5 11 3 3" xfId="2518" xr:uid="{F013CFF0-93A2-4CA1-B59E-E7E032E25157}"/>
    <cellStyle name="40% - Ênfase5 11 3 3 2" xfId="6146" xr:uid="{10359DDF-42A3-4F7C-8CF1-11F0A21F4FD0}"/>
    <cellStyle name="40% - Ênfase5 11 3 4" xfId="4152" xr:uid="{800E6966-CDB2-4976-8674-0026EECE30FA}"/>
    <cellStyle name="40% - Ênfase5 11 4" xfId="1128" xr:uid="{B3E15A4C-3CD1-4C72-8769-94258E9A05DC}"/>
    <cellStyle name="40% - Ênfase5 11 4 2" xfId="2980" xr:uid="{FE0B774C-3F0F-4AB2-8517-36A7B9674CE2}"/>
    <cellStyle name="40% - Ênfase5 11 4 2 2" xfId="6608" xr:uid="{98D737AC-18E6-4287-ACAD-AACAB327A282}"/>
    <cellStyle name="40% - Ênfase5 11 4 3" xfId="4756" xr:uid="{6A5B176B-E603-4935-BF0A-B3944A488134}"/>
    <cellStyle name="40% - Ênfase5 11 5" xfId="2053" xr:uid="{714D9C53-EE5E-48D1-B466-A69EE03C3FB9}"/>
    <cellStyle name="40% - Ênfase5 11 5 2" xfId="5681" xr:uid="{7EB0C76A-6743-4DE0-9DB6-C6F4B494ED66}"/>
    <cellStyle name="40% - Ênfase5 11 6" xfId="3870" xr:uid="{69E691D3-8E4D-4AFC-A3B5-ADA6C2A0010B}"/>
    <cellStyle name="40% - Ênfase5 12" xfId="261" xr:uid="{FED181A1-3FA0-4CB2-A401-4824AB7D069A}"/>
    <cellStyle name="40% - Ênfase5 12 2" xfId="867" xr:uid="{E288E33B-0EB8-4EE2-AE6D-B4A9BCBD010C}"/>
    <cellStyle name="40% - Ênfase5 12 2 2" xfId="1470" xr:uid="{DCF5D399-884B-4AD6-AD09-C36D5B86BD62}"/>
    <cellStyle name="40% - Ênfase5 12 2 2 2" xfId="3322" xr:uid="{74927223-5B85-4F6F-B1AD-1562B3ED073F}"/>
    <cellStyle name="40% - Ênfase5 12 2 2 2 2" xfId="6950" xr:uid="{B4375FB3-8A0F-4D9C-84AB-B3291F05D61C}"/>
    <cellStyle name="40% - Ênfase5 12 2 2 3" xfId="5098" xr:uid="{2C9A9454-0364-4956-901A-675DDD98F0DF}"/>
    <cellStyle name="40% - Ênfase5 12 2 3" xfId="2395" xr:uid="{8FB45962-AE00-4193-97DF-B255BC8E5D78}"/>
    <cellStyle name="40% - Ênfase5 12 2 3 2" xfId="6023" xr:uid="{AF5EE750-B097-4463-9EF4-F95795E622FD}"/>
    <cellStyle name="40% - Ênfase5 12 2 4" xfId="4495" xr:uid="{E91EEFD1-C682-434A-89D2-E1271E1A0B2B}"/>
    <cellStyle name="40% - Ênfase5 12 3" xfId="543" xr:uid="{742C43BD-41C2-463C-BB5D-EA398A179941}"/>
    <cellStyle name="40% - Ênfase5 12 3 2" xfId="1834" xr:uid="{06717A43-6121-49DC-82E1-9BD533178E01}"/>
    <cellStyle name="40% - Ênfase5 12 3 2 2" xfId="3647" xr:uid="{1E8965B2-721C-4A7F-B2C3-D145A3AE63A5}"/>
    <cellStyle name="40% - Ênfase5 12 3 2 2 2" xfId="7275" xr:uid="{7DED3EDB-64A8-480A-B8E9-6C2F34757A37}"/>
    <cellStyle name="40% - Ênfase5 12 3 2 3" xfId="5462" xr:uid="{348ECF0B-117B-40F8-880A-E272B58D7F5A}"/>
    <cellStyle name="40% - Ênfase5 12 3 3" xfId="2759" xr:uid="{805033D8-5ACF-46D9-AF84-6D03EF233160}"/>
    <cellStyle name="40% - Ênfase5 12 3 3 2" xfId="6387" xr:uid="{644DB9C7-209C-4338-AC2C-1AC713949D65}"/>
    <cellStyle name="40% - Ênfase5 12 3 4" xfId="4172" xr:uid="{601CD568-8717-4FC6-BF23-846D9AED8465}"/>
    <cellStyle name="40% - Ênfase5 12 4" xfId="1148" xr:uid="{81F3B638-25AA-4FB4-987E-30FD47FFE0C7}"/>
    <cellStyle name="40% - Ênfase5 12 4 2" xfId="3000" xr:uid="{BB339D9F-CE21-4BCC-8E85-341B1A3E85E7}"/>
    <cellStyle name="40% - Ênfase5 12 4 2 2" xfId="6628" xr:uid="{88FC3D8F-1C42-42CB-9255-7321A8AB98D3}"/>
    <cellStyle name="40% - Ênfase5 12 4 3" xfId="4776" xr:uid="{407EDF52-490B-4B32-8F41-990F21F2677F}"/>
    <cellStyle name="40% - Ênfase5 12 5" xfId="2073" xr:uid="{BF141FE8-ED33-4F29-BD8D-6BFB595C4848}"/>
    <cellStyle name="40% - Ênfase5 12 5 2" xfId="5701" xr:uid="{B66C4FFA-7F7F-40B7-87E0-8EEE9C2A3ACB}"/>
    <cellStyle name="40% - Ênfase5 12 6" xfId="3890" xr:uid="{ED6E84C5-893A-4160-9656-1A58823FA71C}"/>
    <cellStyle name="40% - Ênfase5 13" xfId="281" xr:uid="{86CC2E29-B840-468B-964E-B8D0466B974A}"/>
    <cellStyle name="40% - Ênfase5 13 2" xfId="887" xr:uid="{B86561B6-FC05-44D3-BA04-9DD9D95F9DA2}"/>
    <cellStyle name="40% - Ênfase5 13 2 2" xfId="1490" xr:uid="{D3A817FC-F0A9-4905-87E6-9BA029F8CFE1}"/>
    <cellStyle name="40% - Ênfase5 13 2 2 2" xfId="3342" xr:uid="{B1E664DD-ECA6-42FD-8A0E-519B9AEFE45E}"/>
    <cellStyle name="40% - Ênfase5 13 2 2 2 2" xfId="6970" xr:uid="{9BBD0089-2EC1-4182-86B7-44BF1D4B212D}"/>
    <cellStyle name="40% - Ênfase5 13 2 2 3" xfId="5118" xr:uid="{020D838F-4868-4E34-BC37-38250BAB0EDB}"/>
    <cellStyle name="40% - Ênfase5 13 2 3" xfId="2415" xr:uid="{A46ABFC0-98EE-48A6-9D82-5A1BBFAD980D}"/>
    <cellStyle name="40% - Ênfase5 13 2 3 2" xfId="6043" xr:uid="{D9985CC1-55C7-4846-B27C-FE838464F3D3}"/>
    <cellStyle name="40% - Ênfase5 13 2 4" xfId="4515" xr:uid="{EC608953-7FBA-4FCC-8359-F2E9B8F4FCE3}"/>
    <cellStyle name="40% - Ênfase5 13 3" xfId="563" xr:uid="{001A92C9-7A0B-4C03-B6C9-C8101E5D72BC}"/>
    <cellStyle name="40% - Ênfase5 13 3 2" xfId="1719" xr:uid="{B877F4EF-C977-4C9C-A0E4-305E97EA29B4}"/>
    <cellStyle name="40% - Ênfase5 13 3 2 2" xfId="3532" xr:uid="{8055D8C9-A2CF-4ADF-8904-BFEE1E30B217}"/>
    <cellStyle name="40% - Ênfase5 13 3 2 2 2" xfId="7160" xr:uid="{CA2BEF35-DEC1-43D8-BE31-BF0F125BF66D}"/>
    <cellStyle name="40% - Ênfase5 13 3 2 3" xfId="5347" xr:uid="{CC18C3D8-F005-4C96-8343-81F80AEE9974}"/>
    <cellStyle name="40% - Ênfase5 13 3 3" xfId="2644" xr:uid="{B0DE4F30-9511-4BAD-A6ED-D49052A1E6B7}"/>
    <cellStyle name="40% - Ênfase5 13 3 3 2" xfId="6272" xr:uid="{874AE3A3-D779-4F76-A4A5-4C0BA019A845}"/>
    <cellStyle name="40% - Ênfase5 13 3 4" xfId="4192" xr:uid="{A35D9ED1-9BC6-4173-B29B-A107400ECAC6}"/>
    <cellStyle name="40% - Ênfase5 13 4" xfId="1168" xr:uid="{48F0D97F-6D18-4FCA-A1EF-F3AEDA680B77}"/>
    <cellStyle name="40% - Ênfase5 13 4 2" xfId="3020" xr:uid="{A09785B5-C9FA-4178-8C1C-2252ED75D79E}"/>
    <cellStyle name="40% - Ênfase5 13 4 2 2" xfId="6648" xr:uid="{E8E21346-C294-4C1C-957E-24EE314E3406}"/>
    <cellStyle name="40% - Ênfase5 13 4 3" xfId="4796" xr:uid="{213ECB10-B8F1-4D66-981C-5E65E86E9161}"/>
    <cellStyle name="40% - Ênfase5 13 5" xfId="2093" xr:uid="{38F9129E-CEB2-4726-BD2D-7FD0EDD705B0}"/>
    <cellStyle name="40% - Ênfase5 13 5 2" xfId="5721" xr:uid="{EB26EB05-E526-4870-B4BF-B2B7548A80E3}"/>
    <cellStyle name="40% - Ênfase5 13 6" xfId="3910" xr:uid="{87A42519-0967-4DD8-8E66-E2BAE4E930D7}"/>
    <cellStyle name="40% - Ênfase5 14" xfId="301" xr:uid="{7577470F-7704-476D-A530-06FC9942416F}"/>
    <cellStyle name="40% - Ênfase5 14 2" xfId="907" xr:uid="{CDDBA2D1-E7EF-4014-9CED-B3F8E42C80B7}"/>
    <cellStyle name="40% - Ênfase5 14 2 2" xfId="1510" xr:uid="{678C5F46-7787-4CA2-9B65-0BF581764767}"/>
    <cellStyle name="40% - Ênfase5 14 2 2 2" xfId="3362" xr:uid="{F5E7B63D-9F7F-490E-9096-A5832E69447E}"/>
    <cellStyle name="40% - Ênfase5 14 2 2 2 2" xfId="6990" xr:uid="{36E14D66-C779-40E4-AC80-AE9C8F45CE90}"/>
    <cellStyle name="40% - Ênfase5 14 2 2 3" xfId="5138" xr:uid="{D82762B5-3CCC-440B-BB2B-3077B679DE9A}"/>
    <cellStyle name="40% - Ênfase5 14 2 3" xfId="2435" xr:uid="{32D570B0-0D24-48FA-988E-BE02814C312B}"/>
    <cellStyle name="40% - Ênfase5 14 2 3 2" xfId="6063" xr:uid="{B03BB9E6-A403-4B03-BD17-A91C4B656762}"/>
    <cellStyle name="40% - Ênfase5 14 2 4" xfId="4535" xr:uid="{298F9E13-CA77-43EF-A6DF-BC6551EA77DA}"/>
    <cellStyle name="40% - Ênfase5 14 3" xfId="583" xr:uid="{F4F719C7-1121-45A8-A199-A77D6597C683}"/>
    <cellStyle name="40% - Ênfase5 14 3 2" xfId="1527" xr:uid="{9BA022A9-BB60-4240-9433-65C1EFDE5236}"/>
    <cellStyle name="40% - Ênfase5 14 3 2 2" xfId="3379" xr:uid="{52FF01A5-E9FD-45D2-BFD8-51F38F5D50F3}"/>
    <cellStyle name="40% - Ênfase5 14 3 2 2 2" xfId="7007" xr:uid="{EA9FC270-4DA2-458A-89E3-8FC5B50AC924}"/>
    <cellStyle name="40% - Ênfase5 14 3 2 3" xfId="5155" xr:uid="{FF8104E6-76F0-42D2-849E-9A2F2CCB20FD}"/>
    <cellStyle name="40% - Ênfase5 14 3 3" xfId="2452" xr:uid="{3EC33566-8D5A-4903-8DDE-357A62E17D90}"/>
    <cellStyle name="40% - Ênfase5 14 3 3 2" xfId="6080" xr:uid="{A2D541F4-74FC-4915-8EB7-022EDB29608E}"/>
    <cellStyle name="40% - Ênfase5 14 3 4" xfId="4212" xr:uid="{60CB39A1-0BB8-43D8-893B-D0DA237B6F5C}"/>
    <cellStyle name="40% - Ênfase5 14 4" xfId="1188" xr:uid="{8699075F-8D86-4DFC-A1A9-4109FD455E3E}"/>
    <cellStyle name="40% - Ênfase5 14 4 2" xfId="3040" xr:uid="{6793F721-7328-444A-8579-27938775D4FF}"/>
    <cellStyle name="40% - Ênfase5 14 4 2 2" xfId="6668" xr:uid="{CD3A5BB4-1A7A-4D0B-8B96-BAE1118B116D}"/>
    <cellStyle name="40% - Ênfase5 14 4 3" xfId="4816" xr:uid="{20EE3407-2758-497F-A6CF-1C793DAE8AA2}"/>
    <cellStyle name="40% - Ênfase5 14 5" xfId="2113" xr:uid="{FCF5A907-EC22-4E9E-AC45-0B88DA380ACB}"/>
    <cellStyle name="40% - Ênfase5 14 5 2" xfId="5741" xr:uid="{859CB8F0-0537-406D-BF82-7F124D3312A2}"/>
    <cellStyle name="40% - Ênfase5 14 6" xfId="3930" xr:uid="{693E4E4A-D1BE-4D2D-B033-C2EB7AC52A4A}"/>
    <cellStyle name="40% - Ênfase5 15" xfId="603" xr:uid="{C8D8FE50-C8FD-4328-A49C-D0CCBFDE6E94}"/>
    <cellStyle name="40% - Ênfase5 15 2" xfId="1666" xr:uid="{67008D15-405C-4A05-A7E2-5F64A8A712E5}"/>
    <cellStyle name="40% - Ênfase5 15 2 2" xfId="2591" xr:uid="{32566E03-1870-4D4A-B2C0-5D5353A521EA}"/>
    <cellStyle name="40% - Ênfase5 15 2 2 2" xfId="6219" xr:uid="{99821EE2-EA68-4F2B-A4F2-044AD67B6977}"/>
    <cellStyle name="40% - Ênfase5 15 2 3" xfId="5294" xr:uid="{C57BC176-3757-43EE-8574-3CB3222DAB20}"/>
    <cellStyle name="40% - Ênfase5 15 3" xfId="1208" xr:uid="{73D62864-4F92-4BD9-A056-D96F2284A3DC}"/>
    <cellStyle name="40% - Ênfase5 15 3 2" xfId="3060" xr:uid="{AD0CBB8E-B196-432C-B853-53901497B48C}"/>
    <cellStyle name="40% - Ênfase5 15 3 2 2" xfId="6688" xr:uid="{4B6DA16C-594B-41C7-84AB-F3A24AA4E537}"/>
    <cellStyle name="40% - Ênfase5 15 3 3" xfId="4836" xr:uid="{F4065830-F2FE-44D4-B3C0-BA534FDD8521}"/>
    <cellStyle name="40% - Ênfase5 15 4" xfId="2133" xr:uid="{49A99C25-CBDE-400F-80C2-5E7037A182D8}"/>
    <cellStyle name="40% - Ênfase5 15 4 2" xfId="5761" xr:uid="{94F6F3FC-8321-4E63-A937-F46EB30D2451}"/>
    <cellStyle name="40% - Ênfase5 15 5" xfId="4232" xr:uid="{66EEC78D-3A8F-4540-A679-D13AE60F0D01}"/>
    <cellStyle name="40% - Ênfase5 16" xfId="623" xr:uid="{27CE4E98-D844-4330-BB80-E2661DC81AFF}"/>
    <cellStyle name="40% - Ênfase5 16 2" xfId="1686" xr:uid="{F622B07C-9B58-4E60-B5D3-81AD99CE1E27}"/>
    <cellStyle name="40% - Ênfase5 16 2 2" xfId="2611" xr:uid="{F735190B-94A0-4956-A954-DE29726AD86E}"/>
    <cellStyle name="40% - Ênfase5 16 2 2 2" xfId="6239" xr:uid="{EFF66A35-1B92-4EA6-82A9-2752352C3CB0}"/>
    <cellStyle name="40% - Ênfase5 16 2 3" xfId="5314" xr:uid="{B5193D35-B634-4877-B91F-F4D5EEAC9EC8}"/>
    <cellStyle name="40% - Ênfase5 16 3" xfId="1228" xr:uid="{B43EC7AD-E156-43DE-AF43-6DBA0351DD16}"/>
    <cellStyle name="40% - Ênfase5 16 3 2" xfId="3080" xr:uid="{36FC9ED1-607E-427E-B9B6-0FB0C6875B45}"/>
    <cellStyle name="40% - Ênfase5 16 3 2 2" xfId="6708" xr:uid="{4567FFE0-95E0-45A0-9566-7E8341FD0DAB}"/>
    <cellStyle name="40% - Ênfase5 16 3 3" xfId="4856" xr:uid="{74DE272D-2C29-48D1-B562-FB24F886C4E9}"/>
    <cellStyle name="40% - Ênfase5 16 4" xfId="2153" xr:uid="{7A038CBD-B02F-47D5-B2E5-21C29EA3DFEA}"/>
    <cellStyle name="40% - Ênfase5 16 4 2" xfId="5781" xr:uid="{49DAC695-FDD2-48F6-A4E8-BDBD37D7EC3A}"/>
    <cellStyle name="40% - Ênfase5 16 5" xfId="4252" xr:uid="{A0E0BF6A-1953-4810-9531-08467341AAEF}"/>
    <cellStyle name="40% - Ênfase5 17" xfId="643" xr:uid="{E5A31F49-41F9-45A8-B808-9F12EE8628EE}"/>
    <cellStyle name="40% - Ênfase5 17 2" xfId="1247" xr:uid="{4327749A-548D-413E-AAF4-FBEFA2CD9E7F}"/>
    <cellStyle name="40% - Ênfase5 17 2 2" xfId="3099" xr:uid="{3AD09E27-7331-42CF-972B-B8B95EBDEEBF}"/>
    <cellStyle name="40% - Ênfase5 17 2 2 2" xfId="6727" xr:uid="{C7E0A4CE-43C9-4477-9FDB-8F475FE463A8}"/>
    <cellStyle name="40% - Ênfase5 17 2 3" xfId="4875" xr:uid="{099EDE46-FBFD-43C0-9C3A-983797FA13D3}"/>
    <cellStyle name="40% - Ênfase5 17 3" xfId="2172" xr:uid="{DC7B74E6-DC5C-48E4-936A-5DCFB63CA325}"/>
    <cellStyle name="40% - Ênfase5 17 3 2" xfId="5800" xr:uid="{25A0FC5A-6B6F-4F93-AA76-FD893BFBE589}"/>
    <cellStyle name="40% - Ênfase5 17 4" xfId="4272" xr:uid="{88AD4B5E-7B00-408E-BCCB-7EF8B0BC268F}"/>
    <cellStyle name="40% - Ênfase5 18" xfId="320" xr:uid="{320A00A1-E812-48C6-88BE-EB26B094C108}"/>
    <cellStyle name="40% - Ênfase5 18 2" xfId="1518" xr:uid="{F02C3600-C8D9-4BBA-A4A2-661FDC89EE16}"/>
    <cellStyle name="40% - Ênfase5 18 2 2" xfId="3370" xr:uid="{09AC9019-2612-4F61-8DEE-7DFE41439AAD}"/>
    <cellStyle name="40% - Ênfase5 18 2 2 2" xfId="6998" xr:uid="{A8231B64-AA38-407C-9964-76D0F50BA844}"/>
    <cellStyle name="40% - Ênfase5 18 2 3" xfId="5146" xr:uid="{7C7F05DB-4D64-4EFD-AA36-E3FDD299F2C8}"/>
    <cellStyle name="40% - Ênfase5 18 3" xfId="2443" xr:uid="{63F71793-6CFE-4078-8C84-6DA2FFB6B7CA}"/>
    <cellStyle name="40% - Ênfase5 18 3 2" xfId="6071" xr:uid="{9491CD81-99BA-45EA-BB25-B959531A6C07}"/>
    <cellStyle name="40% - Ênfase5 18 4" xfId="3949" xr:uid="{49F615EB-3999-4D6A-9165-275138B44539}"/>
    <cellStyle name="40% - Ênfase5 19" xfId="925" xr:uid="{8AAFD829-C860-4488-AD25-02CEE16A451A}"/>
    <cellStyle name="40% - Ênfase5 19 2" xfId="2777" xr:uid="{E095F64D-43F5-41EA-B516-8B29D96A2C60}"/>
    <cellStyle name="40% - Ênfase5 19 2 2" xfId="6405" xr:uid="{8C4528A7-93CB-4041-B650-CD6A81E3730B}"/>
    <cellStyle name="40% - Ênfase5 19 3" xfId="4553" xr:uid="{629E70BF-26EB-432A-B447-4CBE54F401CF}"/>
    <cellStyle name="40% - Ênfase5 2" xfId="60" xr:uid="{299C899E-474D-4783-9B7F-2B76C82931F3}"/>
    <cellStyle name="40% - Ênfase5 2 2" xfId="666" xr:uid="{CD6000C5-6359-495A-B670-84C59F115911}"/>
    <cellStyle name="40% - Ênfase5 2 2 2" xfId="1269" xr:uid="{DA0A76F4-1156-4E47-B6EB-4FBCA396A0CC}"/>
    <cellStyle name="40% - Ênfase5 2 2 2 2" xfId="3121" xr:uid="{3769772F-5BEB-4354-8353-2DF1EB5607C4}"/>
    <cellStyle name="40% - Ênfase5 2 2 2 2 2" xfId="6749" xr:uid="{21669CEB-B514-46DA-AE6A-6D5E7BED7D37}"/>
    <cellStyle name="40% - Ênfase5 2 2 2 3" xfId="4897" xr:uid="{28977BB8-FD05-4C4A-BE0C-D23A45740C8E}"/>
    <cellStyle name="40% - Ênfase5 2 2 3" xfId="2194" xr:uid="{49957A5A-AE5D-4CDD-8F9A-12944F64F8D8}"/>
    <cellStyle name="40% - Ênfase5 2 2 3 2" xfId="5822" xr:uid="{B75D90FB-FAF0-475D-9763-C84D2E931223}"/>
    <cellStyle name="40% - Ênfase5 2 2 4" xfId="4294" xr:uid="{CC76384B-51E1-455D-95C3-469CE117D30A}"/>
    <cellStyle name="40% - Ênfase5 2 3" xfId="342" xr:uid="{931A2A0D-8AE2-4EE0-9E07-2CFBEFA8C499}"/>
    <cellStyle name="40% - Ênfase5 2 3 2" xfId="1519" xr:uid="{2CFB8AC7-5200-4931-91DB-5E918761B89F}"/>
    <cellStyle name="40% - Ênfase5 2 3 2 2" xfId="3371" xr:uid="{D822107E-B6F5-41A4-953D-B5A1DDE86D52}"/>
    <cellStyle name="40% - Ênfase5 2 3 2 2 2" xfId="6999" xr:uid="{836C5C68-D48C-4CBE-8C1E-744C91018E83}"/>
    <cellStyle name="40% - Ênfase5 2 3 2 3" xfId="5147" xr:uid="{EBC91217-85BB-428D-B363-5C1ED3C2E8D5}"/>
    <cellStyle name="40% - Ênfase5 2 3 3" xfId="2444" xr:uid="{8E4097F5-9536-4BEE-A16E-5CC715122E42}"/>
    <cellStyle name="40% - Ênfase5 2 3 3 2" xfId="6072" xr:uid="{0C661DA8-279F-4E0D-A405-1FFB24B42DF3}"/>
    <cellStyle name="40% - Ênfase5 2 3 4" xfId="3971" xr:uid="{5BC39121-EF02-4EB6-B93C-E7E594930C41}"/>
    <cellStyle name="40% - Ênfase5 2 4" xfId="947" xr:uid="{24BFE45D-3874-4948-89BC-C2F05739B761}"/>
    <cellStyle name="40% - Ênfase5 2 4 2" xfId="2799" xr:uid="{42D2F19F-8879-495C-8856-8615F0DC9B82}"/>
    <cellStyle name="40% - Ênfase5 2 4 2 2" xfId="6427" xr:uid="{01706E61-E74D-440F-8721-3D5F06A7D56E}"/>
    <cellStyle name="40% - Ênfase5 2 4 3" xfId="4575" xr:uid="{A9D74D95-EBB7-4DFC-80C8-F490C7B1347A}"/>
    <cellStyle name="40% - Ênfase5 2 5" xfId="1872" xr:uid="{74E802F2-C74B-4572-9531-EB94848B6B25}"/>
    <cellStyle name="40% - Ênfase5 2 5 2" xfId="5500" xr:uid="{015B4182-19BF-431B-BD9F-3F2EDAD342FC}"/>
    <cellStyle name="40% - Ênfase5 2 6" xfId="3689" xr:uid="{B712C611-4CCD-4F76-89DC-E5336420CD93}"/>
    <cellStyle name="40% - Ênfase5 20" xfId="1850" xr:uid="{FAFFE1D5-2FB7-482A-88E5-1C2E40FDFDA6}"/>
    <cellStyle name="40% - Ênfase5 20 2" xfId="5478" xr:uid="{A4A19243-CED5-4F05-B3C5-D2995A44A422}"/>
    <cellStyle name="40% - Ênfase5 21" xfId="3665" xr:uid="{836068DE-59E0-4172-A4D2-F945A7CACFEC}"/>
    <cellStyle name="40% - Ênfase5 3" xfId="78" xr:uid="{5DDDD063-A30F-4197-B28A-582864D9286A}"/>
    <cellStyle name="40% - Ênfase5 3 2" xfId="684" xr:uid="{3D415646-A022-41CA-B380-71896B04C237}"/>
    <cellStyle name="40% - Ênfase5 3 2 2" xfId="1287" xr:uid="{140F1EBD-7B20-4C09-8DCE-85C76ED44F2C}"/>
    <cellStyle name="40% - Ênfase5 3 2 2 2" xfId="3139" xr:uid="{4A3E067D-4A32-46D8-A833-27EAD60BE19F}"/>
    <cellStyle name="40% - Ênfase5 3 2 2 2 2" xfId="6767" xr:uid="{33C2261E-5CBA-4BCA-A69F-5996412F9984}"/>
    <cellStyle name="40% - Ênfase5 3 2 2 3" xfId="4915" xr:uid="{E9B4BC39-5C2C-4F08-95B0-474F86C26CBA}"/>
    <cellStyle name="40% - Ênfase5 3 2 3" xfId="2212" xr:uid="{BEF75038-B7E4-43C3-976C-1FD7BD2E50E9}"/>
    <cellStyle name="40% - Ênfase5 3 2 3 2" xfId="5840" xr:uid="{5A6F8D55-6A5A-4C59-B7C5-E9A925CC3875}"/>
    <cellStyle name="40% - Ênfase5 3 2 4" xfId="4312" xr:uid="{AD8474EF-9AA4-4C60-8E76-E05EA7306CD5}"/>
    <cellStyle name="40% - Ênfase5 3 3" xfId="360" xr:uid="{90B3B40D-BDEC-4E1A-95BA-0B2BC339CD23}"/>
    <cellStyle name="40% - Ênfase5 3 3 2" xfId="1578" xr:uid="{8C9417C9-D90C-4317-86C1-BC71AA28D4FD}"/>
    <cellStyle name="40% - Ênfase5 3 3 2 2" xfId="3430" xr:uid="{CE8C453C-5B68-4EF7-8E0E-211C83CC397E}"/>
    <cellStyle name="40% - Ênfase5 3 3 2 2 2" xfId="7058" xr:uid="{9B93BE3E-567C-46FA-8520-60BF7B10ADEA}"/>
    <cellStyle name="40% - Ênfase5 3 3 2 3" xfId="5206" xr:uid="{BAECC51F-FDB1-4640-B88D-28823142E644}"/>
    <cellStyle name="40% - Ênfase5 3 3 3" xfId="2503" xr:uid="{22C568B1-92A3-4225-88EA-8E8668AD58AF}"/>
    <cellStyle name="40% - Ênfase5 3 3 3 2" xfId="6131" xr:uid="{0B091655-AAAB-4E96-95C8-20A68F62C230}"/>
    <cellStyle name="40% - Ênfase5 3 3 4" xfId="3989" xr:uid="{BD203E76-319A-4AE6-9253-2F18C1F97E4E}"/>
    <cellStyle name="40% - Ênfase5 3 4" xfId="965" xr:uid="{A45DA86B-1F57-404E-9D7D-85BD4F4267B1}"/>
    <cellStyle name="40% - Ênfase5 3 4 2" xfId="2817" xr:uid="{F59B04E0-14F7-4036-BC13-B9A568CC7028}"/>
    <cellStyle name="40% - Ênfase5 3 4 2 2" xfId="6445" xr:uid="{EC3AC908-AAAC-430A-A864-D21B79789540}"/>
    <cellStyle name="40% - Ênfase5 3 4 3" xfId="4593" xr:uid="{F90C133A-43D2-4335-BA76-85EA85876391}"/>
    <cellStyle name="40% - Ênfase5 3 5" xfId="1890" xr:uid="{C4A41F2D-065E-4CDF-AC1F-FED29F7E91E4}"/>
    <cellStyle name="40% - Ênfase5 3 5 2" xfId="5518" xr:uid="{A7701439-80D7-4151-A834-DE8571A7AC15}"/>
    <cellStyle name="40% - Ênfase5 3 6" xfId="3707" xr:uid="{115022E8-DA6F-42D1-9DAD-540049B479A0}"/>
    <cellStyle name="40% - Ênfase5 4" xfId="100" xr:uid="{9B160DB7-3AD2-46F1-836D-9A55BE4CD1CF}"/>
    <cellStyle name="40% - Ênfase5 4 2" xfId="706" xr:uid="{7841B4F1-FEF9-4189-A828-DD2AD4F40996}"/>
    <cellStyle name="40% - Ênfase5 4 2 2" xfId="1309" xr:uid="{DC60C7A8-062F-4B23-82B6-338C3F85E4FC}"/>
    <cellStyle name="40% - Ênfase5 4 2 2 2" xfId="3161" xr:uid="{96D4318A-14F4-4FB6-A3D6-1DF602829C96}"/>
    <cellStyle name="40% - Ênfase5 4 2 2 2 2" xfId="6789" xr:uid="{3D92B64D-1C8E-4B7B-88EF-F635F6B2A893}"/>
    <cellStyle name="40% - Ênfase5 4 2 2 3" xfId="4937" xr:uid="{0BCEE67B-E0AB-4895-8503-E61277EAF85D}"/>
    <cellStyle name="40% - Ênfase5 4 2 3" xfId="2234" xr:uid="{436356CF-BF52-4513-BD61-4C606DCF9EF6}"/>
    <cellStyle name="40% - Ênfase5 4 2 3 2" xfId="5862" xr:uid="{0F1E0697-0B49-42F9-AB22-E21BBCCC0ADB}"/>
    <cellStyle name="40% - Ênfase5 4 2 4" xfId="4334" xr:uid="{528D13B9-3ABB-4967-BFE8-AAF868C4EB75}"/>
    <cellStyle name="40% - Ênfase5 4 3" xfId="382" xr:uid="{552F5D78-295F-4AD5-B901-105017535A9E}"/>
    <cellStyle name="40% - Ênfase5 4 3 2" xfId="1738" xr:uid="{DC578504-969D-45C6-885C-0D42AB69F5D6}"/>
    <cellStyle name="40% - Ênfase5 4 3 2 2" xfId="3551" xr:uid="{92997D84-675E-4578-BC5E-85224CFDD794}"/>
    <cellStyle name="40% - Ênfase5 4 3 2 2 2" xfId="7179" xr:uid="{765C97B0-A6C0-4E60-82B3-1756125D558B}"/>
    <cellStyle name="40% - Ênfase5 4 3 2 3" xfId="5366" xr:uid="{88711E71-3221-4476-A7F5-AA3B3DA310E1}"/>
    <cellStyle name="40% - Ênfase5 4 3 3" xfId="2663" xr:uid="{1D8F177B-BB0F-421F-BBC7-5A7A3EC1155D}"/>
    <cellStyle name="40% - Ênfase5 4 3 3 2" xfId="6291" xr:uid="{A249B5F5-73AE-4413-B2B7-0B03401716FC}"/>
    <cellStyle name="40% - Ênfase5 4 3 4" xfId="4011" xr:uid="{94B4A8EC-655C-429B-99D1-FE5EF9D1B8D4}"/>
    <cellStyle name="40% - Ênfase5 4 4" xfId="987" xr:uid="{41507F1A-093F-4E19-B12C-51B336CA2625}"/>
    <cellStyle name="40% - Ênfase5 4 4 2" xfId="2839" xr:uid="{19600672-267B-4E27-8881-DB8278A68A2A}"/>
    <cellStyle name="40% - Ênfase5 4 4 2 2" xfId="6467" xr:uid="{6566C486-6A8A-49BB-9B03-598206B322AC}"/>
    <cellStyle name="40% - Ênfase5 4 4 3" xfId="4615" xr:uid="{AEC19221-E5B8-43FC-88ED-CCB692065B4A}"/>
    <cellStyle name="40% - Ênfase5 4 5" xfId="1912" xr:uid="{3E1CBF60-8208-47E4-AA2D-D478395AF8F5}"/>
    <cellStyle name="40% - Ênfase5 4 5 2" xfId="5540" xr:uid="{025D3586-1087-4EEF-9775-5399CF94A812}"/>
    <cellStyle name="40% - Ênfase5 4 6" xfId="3729" xr:uid="{0E6BD235-9CD8-4756-885A-92CD61F495A6}"/>
    <cellStyle name="40% - Ênfase5 5" xfId="120" xr:uid="{01976F6C-26A0-468A-B1CC-E5FBDC4198EF}"/>
    <cellStyle name="40% - Ênfase5 5 2" xfId="726" xr:uid="{67086F17-7E44-4FE0-80A1-C1E12FE3F13F}"/>
    <cellStyle name="40% - Ênfase5 5 2 2" xfId="1329" xr:uid="{E764FFFB-45E1-4C80-8891-54037232B7BB}"/>
    <cellStyle name="40% - Ênfase5 5 2 2 2" xfId="3181" xr:uid="{8C140E78-5C12-4093-ADEA-69284040D70A}"/>
    <cellStyle name="40% - Ênfase5 5 2 2 2 2" xfId="6809" xr:uid="{C33EA030-DBDE-41A2-948B-DB9F321D480E}"/>
    <cellStyle name="40% - Ênfase5 5 2 2 3" xfId="4957" xr:uid="{560528D9-D614-4CE5-84E6-1CA9AB940261}"/>
    <cellStyle name="40% - Ênfase5 5 2 3" xfId="2254" xr:uid="{AAF990F2-A0E4-4D99-B820-2AEE4FEB6A59}"/>
    <cellStyle name="40% - Ênfase5 5 2 3 2" xfId="5882" xr:uid="{59EA809E-3C8B-4897-BA19-C6C7F0D6ED15}"/>
    <cellStyle name="40% - Ênfase5 5 2 4" xfId="4354" xr:uid="{9781767F-5026-4682-B4D4-D938EECD0303}"/>
    <cellStyle name="40% - Ênfase5 5 3" xfId="402" xr:uid="{2650EAB0-B436-415B-8C46-5E13A69CCD52}"/>
    <cellStyle name="40% - Ênfase5 5 3 2" xfId="1816" xr:uid="{8AC2BF3F-C3C6-49A2-BEE5-D53C2951EAE4}"/>
    <cellStyle name="40% - Ênfase5 5 3 2 2" xfId="3629" xr:uid="{C9CA0167-EF29-4FCC-B010-695A22F0D9E2}"/>
    <cellStyle name="40% - Ênfase5 5 3 2 2 2" xfId="7257" xr:uid="{571DDEAC-90FB-4BE4-AC41-6B576A073318}"/>
    <cellStyle name="40% - Ênfase5 5 3 2 3" xfId="5444" xr:uid="{D07CA156-5BC1-40FA-9065-FAD036F38132}"/>
    <cellStyle name="40% - Ênfase5 5 3 3" xfId="2741" xr:uid="{41129A59-6CF6-4F46-A407-9650DCE6FC3F}"/>
    <cellStyle name="40% - Ênfase5 5 3 3 2" xfId="6369" xr:uid="{122BB3AD-7AC1-47FF-8F8F-E569A1F79DE4}"/>
    <cellStyle name="40% - Ênfase5 5 3 4" xfId="4031" xr:uid="{DBE3431A-5B0C-4611-992D-983985B37B76}"/>
    <cellStyle name="40% - Ênfase5 5 4" xfId="1007" xr:uid="{9E5CDE3B-5648-431E-B38A-A2E60BDCCB80}"/>
    <cellStyle name="40% - Ênfase5 5 4 2" xfId="2859" xr:uid="{2B374800-2246-4B57-A465-2E629FDE1D0C}"/>
    <cellStyle name="40% - Ênfase5 5 4 2 2" xfId="6487" xr:uid="{E9D14BBC-5829-489B-BC7D-718F90D33A71}"/>
    <cellStyle name="40% - Ênfase5 5 4 3" xfId="4635" xr:uid="{C0298801-FA52-4935-B4C6-BF3D2CCED568}"/>
    <cellStyle name="40% - Ênfase5 5 5" xfId="1932" xr:uid="{73B5246C-B654-440C-9041-C752A7FD5AFC}"/>
    <cellStyle name="40% - Ênfase5 5 5 2" xfId="5560" xr:uid="{8F4678E4-539B-4C05-854D-BB35070A5F3D}"/>
    <cellStyle name="40% - Ênfase5 5 6" xfId="3749" xr:uid="{EE555758-4869-4E77-916C-DC6CA56737E4}"/>
    <cellStyle name="40% - Ênfase5 6" xfId="140" xr:uid="{E6D0A73A-E93E-41F8-93A3-47FA05EB1DCD}"/>
    <cellStyle name="40% - Ênfase5 6 2" xfId="746" xr:uid="{E519D6D2-E9E5-49F2-AC37-3B027C5205CF}"/>
    <cellStyle name="40% - Ênfase5 6 2 2" xfId="1349" xr:uid="{46866774-CD4A-49C6-9822-6FEFED66B53E}"/>
    <cellStyle name="40% - Ênfase5 6 2 2 2" xfId="3201" xr:uid="{B9553A1F-3D36-4355-8C7E-AB76F11FB112}"/>
    <cellStyle name="40% - Ênfase5 6 2 2 2 2" xfId="6829" xr:uid="{52C0E75D-BB49-4B60-A99C-D4D08709BF92}"/>
    <cellStyle name="40% - Ênfase5 6 2 2 3" xfId="4977" xr:uid="{C20A2683-9002-484B-87F5-8D494C9F6B31}"/>
    <cellStyle name="40% - Ênfase5 6 2 3" xfId="2274" xr:uid="{C622AB55-B83F-455B-B6EE-C9F593856B83}"/>
    <cellStyle name="40% - Ênfase5 6 2 3 2" xfId="5902" xr:uid="{28848438-181C-45E2-9010-8328081B064A}"/>
    <cellStyle name="40% - Ênfase5 6 2 4" xfId="4374" xr:uid="{51A1E1BD-5E30-4715-847F-342927947570}"/>
    <cellStyle name="40% - Ênfase5 6 3" xfId="422" xr:uid="{6AB8EA0A-DB5E-4C28-865D-3D853BB6EC8A}"/>
    <cellStyle name="40% - Ênfase5 6 3 2" xfId="1728" xr:uid="{1E93785D-43C3-48D2-B89F-C074C88E0B7C}"/>
    <cellStyle name="40% - Ênfase5 6 3 2 2" xfId="3541" xr:uid="{C9EFB6C4-244F-4F3C-A78B-8410FC17486F}"/>
    <cellStyle name="40% - Ênfase5 6 3 2 2 2" xfId="7169" xr:uid="{9BE7328C-E554-4396-8E0B-C907A844E1C8}"/>
    <cellStyle name="40% - Ênfase5 6 3 2 3" xfId="5356" xr:uid="{D4C31611-BA98-464F-8D56-AC42056FC852}"/>
    <cellStyle name="40% - Ênfase5 6 3 3" xfId="2653" xr:uid="{D25D02CD-B568-4590-885B-4FCCB373F859}"/>
    <cellStyle name="40% - Ênfase5 6 3 3 2" xfId="6281" xr:uid="{D5241E05-02EC-4747-9282-67E8EADFF17D}"/>
    <cellStyle name="40% - Ênfase5 6 3 4" xfId="4051" xr:uid="{22F7A06F-E222-42FA-B26F-2A6F1B6399A9}"/>
    <cellStyle name="40% - Ênfase5 6 4" xfId="1027" xr:uid="{BE4654D0-51F0-41A3-901F-A4A062752E2A}"/>
    <cellStyle name="40% - Ênfase5 6 4 2" xfId="2879" xr:uid="{1D12FFA7-129A-424D-B0F6-2C26F106FDF3}"/>
    <cellStyle name="40% - Ênfase5 6 4 2 2" xfId="6507" xr:uid="{5090960A-A178-4B35-938F-78C0CD5BF063}"/>
    <cellStyle name="40% - Ênfase5 6 4 3" xfId="4655" xr:uid="{8EB2A135-8F6F-4BA4-9912-D394375293D4}"/>
    <cellStyle name="40% - Ênfase5 6 5" xfId="1952" xr:uid="{F9A3D05D-B629-4174-940E-69B703392437}"/>
    <cellStyle name="40% - Ênfase5 6 5 2" xfId="5580" xr:uid="{A9F2484E-EF39-449D-ACA2-6BFA40450BB8}"/>
    <cellStyle name="40% - Ênfase5 6 6" xfId="3769" xr:uid="{4873DD6A-43BD-4BEA-BFFA-830CA72DFA6F}"/>
    <cellStyle name="40% - Ênfase5 7" xfId="160" xr:uid="{F71EE162-91EB-4252-8857-BF3840203376}"/>
    <cellStyle name="40% - Ênfase5 7 2" xfId="766" xr:uid="{91D039D5-7858-43F3-8DE0-BFF11D33A8F8}"/>
    <cellStyle name="40% - Ênfase5 7 2 2" xfId="1369" xr:uid="{D05E3979-1574-4B91-9FFA-9994BED19D7F}"/>
    <cellStyle name="40% - Ênfase5 7 2 2 2" xfId="3221" xr:uid="{080DDDCE-FDB7-497A-A063-524419257C76}"/>
    <cellStyle name="40% - Ênfase5 7 2 2 2 2" xfId="6849" xr:uid="{18C9AC1D-C3D8-4451-ACA2-32C5381C76ED}"/>
    <cellStyle name="40% - Ênfase5 7 2 2 3" xfId="4997" xr:uid="{0AB8BB66-8096-4452-9089-EE955DB00672}"/>
    <cellStyle name="40% - Ênfase5 7 2 3" xfId="2294" xr:uid="{7369FE65-20D4-4368-A221-565BBA052B43}"/>
    <cellStyle name="40% - Ênfase5 7 2 3 2" xfId="5922" xr:uid="{136ACD73-A6B4-4E48-9F50-98665CB9871A}"/>
    <cellStyle name="40% - Ênfase5 7 2 4" xfId="4394" xr:uid="{046A822A-1E55-4EC5-A5D6-7CBB0926864B}"/>
    <cellStyle name="40% - Ênfase5 7 3" xfId="442" xr:uid="{52B48089-5446-4A64-9188-265AB15BC37A}"/>
    <cellStyle name="40% - Ênfase5 7 3 2" xfId="1585" xr:uid="{173918BD-24F6-4B4D-9985-2A9208FA96D3}"/>
    <cellStyle name="40% - Ênfase5 7 3 2 2" xfId="3437" xr:uid="{FB1B4848-C05E-4452-864F-04FA899CBCC9}"/>
    <cellStyle name="40% - Ênfase5 7 3 2 2 2" xfId="7065" xr:uid="{F5100433-2ED3-4A78-8A44-0865D70E187A}"/>
    <cellStyle name="40% - Ênfase5 7 3 2 3" xfId="5213" xr:uid="{B6B46863-6835-42AE-BED0-E4F59BC66006}"/>
    <cellStyle name="40% - Ênfase5 7 3 3" xfId="2510" xr:uid="{6F14A776-B3D6-43CE-B633-B685274ABAF7}"/>
    <cellStyle name="40% - Ênfase5 7 3 3 2" xfId="6138" xr:uid="{757FEED8-AFC3-4711-B63E-4FE0159B8ABE}"/>
    <cellStyle name="40% - Ênfase5 7 3 4" xfId="4071" xr:uid="{B558C8D8-20DA-4AFE-886E-2A2041FAC37F}"/>
    <cellStyle name="40% - Ênfase5 7 4" xfId="1047" xr:uid="{7561D513-B7D2-4F67-8905-685C1EF02B93}"/>
    <cellStyle name="40% - Ênfase5 7 4 2" xfId="2899" xr:uid="{0939B030-A015-4954-BF53-C816AB999042}"/>
    <cellStyle name="40% - Ênfase5 7 4 2 2" xfId="6527" xr:uid="{286B50C7-F8EA-4B92-BD56-B050528EBF00}"/>
    <cellStyle name="40% - Ênfase5 7 4 3" xfId="4675" xr:uid="{E744A455-4700-488B-AC97-A90002E5B05C}"/>
    <cellStyle name="40% - Ênfase5 7 5" xfId="1972" xr:uid="{AE4E471B-751D-470E-80AE-3F0F783FDC70}"/>
    <cellStyle name="40% - Ênfase5 7 5 2" xfId="5600" xr:uid="{359EAD95-9B39-4EC2-A061-A6105A6F8D1A}"/>
    <cellStyle name="40% - Ênfase5 7 6" xfId="3789" xr:uid="{5400B20F-79D0-4FD2-B9ED-5D2C4827375E}"/>
    <cellStyle name="40% - Ênfase5 8" xfId="180" xr:uid="{52B89739-CF7D-4221-921E-16386432C73F}"/>
    <cellStyle name="40% - Ênfase5 8 2" xfId="786" xr:uid="{EF2F0DBC-A156-4D76-B222-B18D9A6BF0C1}"/>
    <cellStyle name="40% - Ênfase5 8 2 2" xfId="1389" xr:uid="{6E16BFAD-BA1E-499E-A166-A0A71DCD2F0C}"/>
    <cellStyle name="40% - Ênfase5 8 2 2 2" xfId="3241" xr:uid="{BA9392A1-CCC4-41BD-B611-8B45A6257C34}"/>
    <cellStyle name="40% - Ênfase5 8 2 2 2 2" xfId="6869" xr:uid="{8F837D6F-1F62-4FE9-8E1F-27707F81FE4B}"/>
    <cellStyle name="40% - Ênfase5 8 2 2 3" xfId="5017" xr:uid="{355BBB29-3370-4F5C-9CCB-84E34BE5D094}"/>
    <cellStyle name="40% - Ênfase5 8 2 3" xfId="2314" xr:uid="{EABA89B0-C674-420C-833E-8E00C3FEDF88}"/>
    <cellStyle name="40% - Ênfase5 8 2 3 2" xfId="5942" xr:uid="{A3CCD14B-47F8-4BB9-A7FB-FACDAC9C9D5F}"/>
    <cellStyle name="40% - Ênfase5 8 2 4" xfId="4414" xr:uid="{21660E8E-46E5-4358-9613-D527DB83DE24}"/>
    <cellStyle name="40% - Ênfase5 8 3" xfId="462" xr:uid="{AADBC78E-9896-42FE-98B2-80ED31C62D46}"/>
    <cellStyle name="40% - Ênfase5 8 3 2" xfId="1785" xr:uid="{499CC4FB-3CD5-41E1-A777-1AFFE35EE09D}"/>
    <cellStyle name="40% - Ênfase5 8 3 2 2" xfId="3598" xr:uid="{E00EABF9-179F-4DFB-A30E-375E92D51F23}"/>
    <cellStyle name="40% - Ênfase5 8 3 2 2 2" xfId="7226" xr:uid="{0E3B8A81-61FD-4729-AB3A-42A1CF8F119D}"/>
    <cellStyle name="40% - Ênfase5 8 3 2 3" xfId="5413" xr:uid="{0E77521A-984C-4C7F-977F-FAD5551BAF72}"/>
    <cellStyle name="40% - Ênfase5 8 3 3" xfId="2710" xr:uid="{49EB5375-D6A2-4056-8E98-A68A1C807441}"/>
    <cellStyle name="40% - Ênfase5 8 3 3 2" xfId="6338" xr:uid="{2F470990-F06A-4414-B93F-4738D3A34D4E}"/>
    <cellStyle name="40% - Ênfase5 8 3 4" xfId="4091" xr:uid="{A4A2F38C-8E6F-4077-B255-045A2BEBE27F}"/>
    <cellStyle name="40% - Ênfase5 8 4" xfId="1067" xr:uid="{6F5D6C2A-2D05-45A0-B602-4DBB74295BE1}"/>
    <cellStyle name="40% - Ênfase5 8 4 2" xfId="2919" xr:uid="{1ED21E53-AB83-472A-B6F4-FE9D94EB58F3}"/>
    <cellStyle name="40% - Ênfase5 8 4 2 2" xfId="6547" xr:uid="{FC8DF19D-C23C-4AE7-970C-0084F5B4EA99}"/>
    <cellStyle name="40% - Ênfase5 8 4 3" xfId="4695" xr:uid="{D0D2855B-A8B3-46DA-8C3E-55DEF82A5E0D}"/>
    <cellStyle name="40% - Ênfase5 8 5" xfId="1992" xr:uid="{26C1F7B8-52B9-4CAC-9AFC-A8D5BB516477}"/>
    <cellStyle name="40% - Ênfase5 8 5 2" xfId="5620" xr:uid="{FEBAF52C-053D-4FB0-BB1F-2722AF81B9CA}"/>
    <cellStyle name="40% - Ênfase5 8 6" xfId="3809" xr:uid="{B43326A8-EDAB-499F-A9B2-3A9C6D3C560C}"/>
    <cellStyle name="40% - Ênfase5 9" xfId="200" xr:uid="{6DE0675C-0399-4002-9163-BE467FA1458D}"/>
    <cellStyle name="40% - Ênfase5 9 2" xfId="806" xr:uid="{5EABEE5F-12F3-4B7F-B1C6-73D0D53FD44D}"/>
    <cellStyle name="40% - Ênfase5 9 2 2" xfId="1409" xr:uid="{7280B18D-DCD3-4E70-80C5-298F02DCD201}"/>
    <cellStyle name="40% - Ênfase5 9 2 2 2" xfId="3261" xr:uid="{7C16DBBA-6B92-490D-9188-D8B53C2946F6}"/>
    <cellStyle name="40% - Ênfase5 9 2 2 2 2" xfId="6889" xr:uid="{33A7D81E-4609-486E-A693-D7A87EA39C62}"/>
    <cellStyle name="40% - Ênfase5 9 2 2 3" xfId="5037" xr:uid="{612D48DB-602F-4588-BCBE-306834B5AED8}"/>
    <cellStyle name="40% - Ênfase5 9 2 3" xfId="2334" xr:uid="{9FC53F92-A838-48D6-B727-26D786A24983}"/>
    <cellStyle name="40% - Ênfase5 9 2 3 2" xfId="5962" xr:uid="{D3FA701D-995A-4834-A113-69EB8690C6BB}"/>
    <cellStyle name="40% - Ênfase5 9 2 4" xfId="4434" xr:uid="{DC03CFF4-B301-4D39-91A5-7AEBEF4FA636}"/>
    <cellStyle name="40% - Ênfase5 9 3" xfId="482" xr:uid="{FEAA185C-B239-4E50-934A-1DE29A599DBF}"/>
    <cellStyle name="40% - Ênfase5 9 3 2" xfId="1725" xr:uid="{B3715C24-F195-410C-84BD-AE267DF76967}"/>
    <cellStyle name="40% - Ênfase5 9 3 2 2" xfId="3538" xr:uid="{958F9DD3-989C-4832-97F8-32B5A73FBF1D}"/>
    <cellStyle name="40% - Ênfase5 9 3 2 2 2" xfId="7166" xr:uid="{48FC32B0-1DDC-4DC4-AD13-B295E0D3E28E}"/>
    <cellStyle name="40% - Ênfase5 9 3 2 3" xfId="5353" xr:uid="{3D84F009-C2AA-475A-90CA-20CD37079B06}"/>
    <cellStyle name="40% - Ênfase5 9 3 3" xfId="2650" xr:uid="{6478219D-B76A-4974-938B-FF8C1DA2C8E3}"/>
    <cellStyle name="40% - Ênfase5 9 3 3 2" xfId="6278" xr:uid="{A2499F56-E0FC-4A6C-9EB8-0D478B9BE35D}"/>
    <cellStyle name="40% - Ênfase5 9 3 4" xfId="4111" xr:uid="{D222958B-B23C-48DA-8FB6-8B6D74087D5E}"/>
    <cellStyle name="40% - Ênfase5 9 4" xfId="1087" xr:uid="{94781B61-79DE-4CF0-93D9-90B218AC1378}"/>
    <cellStyle name="40% - Ênfase5 9 4 2" xfId="2939" xr:uid="{3DE87DF4-6446-40F3-A0ED-7048C3563BDD}"/>
    <cellStyle name="40% - Ênfase5 9 4 2 2" xfId="6567" xr:uid="{6281EBA5-0FF2-4C26-A4F5-AE550B60FAF7}"/>
    <cellStyle name="40% - Ênfase5 9 4 3" xfId="4715" xr:uid="{A8F56A07-9120-4F4D-9DA0-E053F7CEC9F1}"/>
    <cellStyle name="40% - Ênfase5 9 5" xfId="2012" xr:uid="{EFF051CE-1057-45EC-9C55-9A82D94203CA}"/>
    <cellStyle name="40% - Ênfase5 9 5 2" xfId="5640" xr:uid="{4EA36C55-4C12-40C9-BF7B-44EBE7B8A2D3}"/>
    <cellStyle name="40% - Ênfase5 9 6" xfId="3829" xr:uid="{551312BD-3DA3-4C3D-9073-3949CF49519D}"/>
    <cellStyle name="40% - Ênfase6" xfId="40" builtinId="51" customBuiltin="1"/>
    <cellStyle name="40% - Ênfase6 10" xfId="224" xr:uid="{AB8D4560-C289-498F-A106-7359AF1A578A}"/>
    <cellStyle name="40% - Ênfase6 10 2" xfId="830" xr:uid="{E5E2EBCC-112F-49D2-BAAC-F4D2A3355FF2}"/>
    <cellStyle name="40% - Ênfase6 10 2 2" xfId="1433" xr:uid="{4CA1E3A1-8393-49E5-919E-442000D1F6E0}"/>
    <cellStyle name="40% - Ênfase6 10 2 2 2" xfId="3285" xr:uid="{5F0C5B81-AE1E-417C-ADC2-872FC1A1D132}"/>
    <cellStyle name="40% - Ênfase6 10 2 2 2 2" xfId="6913" xr:uid="{4A413DF5-41C6-4A4D-ADF2-FC95797BE7E8}"/>
    <cellStyle name="40% - Ênfase6 10 2 2 3" xfId="5061" xr:uid="{5121C2E2-B125-47BB-9EFD-10A787E81E7E}"/>
    <cellStyle name="40% - Ênfase6 10 2 3" xfId="2358" xr:uid="{E865CEA9-9FC1-4B90-B3E0-61567A460ED6}"/>
    <cellStyle name="40% - Ênfase6 10 2 3 2" xfId="5986" xr:uid="{518A5125-9755-4579-9A09-D5A2B60CC9B6}"/>
    <cellStyle name="40% - Ênfase6 10 2 4" xfId="4458" xr:uid="{46850A7B-3D75-42AF-AEBD-4A607C0D61E5}"/>
    <cellStyle name="40% - Ênfase6 10 3" xfId="506" xr:uid="{56601354-EE0C-46E7-8428-BCBAE1EB3A89}"/>
    <cellStyle name="40% - Ênfase6 10 3 2" xfId="1611" xr:uid="{399F69F8-3FEC-4C72-A142-63A764E36D16}"/>
    <cellStyle name="40% - Ênfase6 10 3 2 2" xfId="3463" xr:uid="{B2DC6BDD-8220-4CD3-A39D-089670CD9F28}"/>
    <cellStyle name="40% - Ênfase6 10 3 2 2 2" xfId="7091" xr:uid="{AF216DF0-BCAA-498D-A58E-FE1485FA3233}"/>
    <cellStyle name="40% - Ênfase6 10 3 2 3" xfId="5239" xr:uid="{EDEB3956-F293-4954-A526-3B92B86A9A1F}"/>
    <cellStyle name="40% - Ênfase6 10 3 3" xfId="2536" xr:uid="{7FB42498-981D-46C9-BE36-28FCD5F4F8C8}"/>
    <cellStyle name="40% - Ênfase6 10 3 3 2" xfId="6164" xr:uid="{3AF20EC7-5FC4-4F87-8627-156E458CC6C4}"/>
    <cellStyle name="40% - Ênfase6 10 3 4" xfId="4135" xr:uid="{E8DF336A-8DD9-4A8B-83FF-852C0BFF262F}"/>
    <cellStyle name="40% - Ênfase6 10 4" xfId="1111" xr:uid="{1700E37D-246F-429E-9768-BD9F62D53B04}"/>
    <cellStyle name="40% - Ênfase6 10 4 2" xfId="2963" xr:uid="{7D86FE1B-73D3-436E-A164-A4D4D94B3AF5}"/>
    <cellStyle name="40% - Ênfase6 10 4 2 2" xfId="6591" xr:uid="{AFD20A71-56BC-44E1-BDD9-CD1830A8220D}"/>
    <cellStyle name="40% - Ênfase6 10 4 3" xfId="4739" xr:uid="{C9739418-1D42-4E55-BE6B-48ABF6C68ADC}"/>
    <cellStyle name="40% - Ênfase6 10 5" xfId="2036" xr:uid="{B897C729-A06C-44AF-93DB-B0E0BB074EA1}"/>
    <cellStyle name="40% - Ênfase6 10 5 2" xfId="5664" xr:uid="{EB2A1E31-DC22-4C3B-8671-D61244232A5E}"/>
    <cellStyle name="40% - Ênfase6 10 6" xfId="3853" xr:uid="{4D787C6A-FDEF-4E30-B377-32E37DEB2619}"/>
    <cellStyle name="40% - Ênfase6 11" xfId="244" xr:uid="{1D944349-5AA6-4FE3-A0CB-75D05BAA154E}"/>
    <cellStyle name="40% - Ênfase6 11 2" xfId="850" xr:uid="{68EDA78F-7D41-4653-BD9E-B688C3538E22}"/>
    <cellStyle name="40% - Ênfase6 11 2 2" xfId="1453" xr:uid="{561CFE1A-69BE-4A7B-93A7-CE02CCA71217}"/>
    <cellStyle name="40% - Ênfase6 11 2 2 2" xfId="3305" xr:uid="{39CF98A3-1537-4A10-A723-575115D99D96}"/>
    <cellStyle name="40% - Ênfase6 11 2 2 2 2" xfId="6933" xr:uid="{69CAE773-F045-4815-8A4A-9EF91F684C62}"/>
    <cellStyle name="40% - Ênfase6 11 2 2 3" xfId="5081" xr:uid="{559587BB-C92F-47B2-B93A-8C9D82951019}"/>
    <cellStyle name="40% - Ênfase6 11 2 3" xfId="2378" xr:uid="{454CA0E8-7855-4042-AACF-E7B6BC0AD737}"/>
    <cellStyle name="40% - Ênfase6 11 2 3 2" xfId="6006" xr:uid="{F89BC736-D50C-4178-9BD5-BACF629BC6A3}"/>
    <cellStyle name="40% - Ênfase6 11 2 4" xfId="4478" xr:uid="{5F4051AF-583D-4F48-9D98-A2E97873BF94}"/>
    <cellStyle name="40% - Ênfase6 11 3" xfId="526" xr:uid="{49150952-DF0A-44C7-82E4-CB33966E2608}"/>
    <cellStyle name="40% - Ênfase6 11 3 2" xfId="1608" xr:uid="{9FC86FA0-B945-486F-A396-EEF9115DE942}"/>
    <cellStyle name="40% - Ênfase6 11 3 2 2" xfId="3460" xr:uid="{F8D20590-3C5B-49CE-8986-94C484FD2D49}"/>
    <cellStyle name="40% - Ênfase6 11 3 2 2 2" xfId="7088" xr:uid="{8E20F140-A400-488D-B909-5F1BE6D95CC4}"/>
    <cellStyle name="40% - Ênfase6 11 3 2 3" xfId="5236" xr:uid="{F72C1AAA-06EE-4DC9-9BA2-F64F561F00CC}"/>
    <cellStyle name="40% - Ênfase6 11 3 3" xfId="2533" xr:uid="{86CBE16C-00E3-4442-BE91-276884559079}"/>
    <cellStyle name="40% - Ênfase6 11 3 3 2" xfId="6161" xr:uid="{62176AA9-DD72-4EFC-809B-D41A8A3AEA16}"/>
    <cellStyle name="40% - Ênfase6 11 3 4" xfId="4155" xr:uid="{006F4E70-B252-482D-A582-49DD950A77FC}"/>
    <cellStyle name="40% - Ênfase6 11 4" xfId="1131" xr:uid="{33428723-5E71-4DEB-83F2-7E3432DB06F4}"/>
    <cellStyle name="40% - Ênfase6 11 4 2" xfId="2983" xr:uid="{93416E1A-EF23-438E-A172-75E95C9B6A4D}"/>
    <cellStyle name="40% - Ênfase6 11 4 2 2" xfId="6611" xr:uid="{21FD1FD2-597E-4248-9FF0-016F7B362C64}"/>
    <cellStyle name="40% - Ênfase6 11 4 3" xfId="4759" xr:uid="{3635CACC-EB41-4895-A686-AC0D7CA7EE62}"/>
    <cellStyle name="40% - Ênfase6 11 5" xfId="2056" xr:uid="{288BC69F-388E-481E-AB3F-B6F642EDA0D2}"/>
    <cellStyle name="40% - Ênfase6 11 5 2" xfId="5684" xr:uid="{9ACA6D1B-FE84-494A-9E26-990B96970A3F}"/>
    <cellStyle name="40% - Ênfase6 11 6" xfId="3873" xr:uid="{6BB59B96-CE36-402F-9F25-C7A8ABC8F736}"/>
    <cellStyle name="40% - Ênfase6 12" xfId="264" xr:uid="{181F9801-1B03-4EDD-9BB6-914C4D4916EF}"/>
    <cellStyle name="40% - Ênfase6 12 2" xfId="870" xr:uid="{83DD030E-CA68-4E6C-8404-4C20CF0DD340}"/>
    <cellStyle name="40% - Ênfase6 12 2 2" xfId="1473" xr:uid="{F6E44768-1AFB-4E1C-909D-DDB3A28E432B}"/>
    <cellStyle name="40% - Ênfase6 12 2 2 2" xfId="3325" xr:uid="{9FF2B23D-188D-453E-BF76-6F737E1FB05D}"/>
    <cellStyle name="40% - Ênfase6 12 2 2 2 2" xfId="6953" xr:uid="{BC82D4AF-2162-401C-AE8D-87480F1544EF}"/>
    <cellStyle name="40% - Ênfase6 12 2 2 3" xfId="5101" xr:uid="{69FDE9E2-8097-45C3-865E-4A894476FB33}"/>
    <cellStyle name="40% - Ênfase6 12 2 3" xfId="2398" xr:uid="{AEB16863-C134-4FB6-8633-A25A44FFDC30}"/>
    <cellStyle name="40% - Ênfase6 12 2 3 2" xfId="6026" xr:uid="{9C4AE25A-C395-429A-ADDD-08C365A192EA}"/>
    <cellStyle name="40% - Ênfase6 12 2 4" xfId="4498" xr:uid="{2347A22B-92D1-4042-9E7C-FCE5A411C838}"/>
    <cellStyle name="40% - Ênfase6 12 3" xfId="546" xr:uid="{E70489D5-475B-4096-9400-4FEA61E0A708}"/>
    <cellStyle name="40% - Ênfase6 12 3 2" xfId="1715" xr:uid="{DB2E5401-F2E8-4CC8-A0F5-6F95D3C812AD}"/>
    <cellStyle name="40% - Ênfase6 12 3 2 2" xfId="3528" xr:uid="{B07AD9A8-F6C9-47D9-9835-AA239CBB30DE}"/>
    <cellStyle name="40% - Ênfase6 12 3 2 2 2" xfId="7156" xr:uid="{4BEC7BC3-809D-4E51-9D8A-0269B2EC3921}"/>
    <cellStyle name="40% - Ênfase6 12 3 2 3" xfId="5343" xr:uid="{A7FD557C-E6C1-40AA-8604-846FD4CE2E4B}"/>
    <cellStyle name="40% - Ênfase6 12 3 3" xfId="2640" xr:uid="{F48A5436-5F4F-428D-A2DE-EB05B7FC18E8}"/>
    <cellStyle name="40% - Ênfase6 12 3 3 2" xfId="6268" xr:uid="{00C70905-1006-4428-B0BA-28508E62DEE8}"/>
    <cellStyle name="40% - Ênfase6 12 3 4" xfId="4175" xr:uid="{35FD0B19-8DD5-4E26-B05E-A7F15DE7A074}"/>
    <cellStyle name="40% - Ênfase6 12 4" xfId="1151" xr:uid="{76FAF974-C8E4-4886-BFD4-E5FB51608BC6}"/>
    <cellStyle name="40% - Ênfase6 12 4 2" xfId="3003" xr:uid="{BBC3B902-F780-46E3-9F11-3E26C2794E6C}"/>
    <cellStyle name="40% - Ênfase6 12 4 2 2" xfId="6631" xr:uid="{5808AB21-8988-4C3D-8478-BBD674AA571C}"/>
    <cellStyle name="40% - Ênfase6 12 4 3" xfId="4779" xr:uid="{A363A40A-6DAF-49B9-9BDA-96EE40A9A62B}"/>
    <cellStyle name="40% - Ênfase6 12 5" xfId="2076" xr:uid="{3D7CB08C-4E34-4A4A-B73B-DD869166C4DF}"/>
    <cellStyle name="40% - Ênfase6 12 5 2" xfId="5704" xr:uid="{5AEFDAD4-C419-4112-8AA2-5EC6FDAAEA0E}"/>
    <cellStyle name="40% - Ênfase6 12 6" xfId="3893" xr:uid="{04E59632-C611-489B-88C9-CAE92E024158}"/>
    <cellStyle name="40% - Ênfase6 13" xfId="284" xr:uid="{6A805904-30CB-4DB1-A30E-F16A927FF205}"/>
    <cellStyle name="40% - Ênfase6 13 2" xfId="890" xr:uid="{1C900440-6D36-434A-8674-E7FDF07C4643}"/>
    <cellStyle name="40% - Ênfase6 13 2 2" xfId="1493" xr:uid="{F685AFF6-D617-4CAE-A096-948BF02A3084}"/>
    <cellStyle name="40% - Ênfase6 13 2 2 2" xfId="3345" xr:uid="{8E9ACFC2-48BF-4F1D-8069-7879AE0D5DBD}"/>
    <cellStyle name="40% - Ênfase6 13 2 2 2 2" xfId="6973" xr:uid="{4854C6FB-8A9A-4D0E-8C06-012A061DC7FC}"/>
    <cellStyle name="40% - Ênfase6 13 2 2 3" xfId="5121" xr:uid="{1EBCFF3D-FA14-4FEC-8CF4-FA8A380B348C}"/>
    <cellStyle name="40% - Ênfase6 13 2 3" xfId="2418" xr:uid="{3ABBA85C-D392-45FC-B42E-6B2E39FAC817}"/>
    <cellStyle name="40% - Ênfase6 13 2 3 2" xfId="6046" xr:uid="{47404CB7-EE95-4290-A246-F522FA53F493}"/>
    <cellStyle name="40% - Ênfase6 13 2 4" xfId="4518" xr:uid="{E619F8F4-BB26-4DB5-AF10-CEF2AE0FA857}"/>
    <cellStyle name="40% - Ênfase6 13 3" xfId="566" xr:uid="{58B0414F-92ED-4360-BC34-77B7E304F42F}"/>
    <cellStyle name="40% - Ênfase6 13 3 2" xfId="1605" xr:uid="{4CDB86BC-96F8-4041-A8D7-AC25B1564771}"/>
    <cellStyle name="40% - Ênfase6 13 3 2 2" xfId="3457" xr:uid="{B1E4B6A4-0138-4532-99A1-CD536700D49F}"/>
    <cellStyle name="40% - Ênfase6 13 3 2 2 2" xfId="7085" xr:uid="{74FB51EF-8BC1-457A-AC56-F4A93E647EE3}"/>
    <cellStyle name="40% - Ênfase6 13 3 2 3" xfId="5233" xr:uid="{4648E878-0F36-460E-9F3F-9D94BDE33038}"/>
    <cellStyle name="40% - Ênfase6 13 3 3" xfId="2530" xr:uid="{76B67875-B171-449B-ACCB-7437FEE036D2}"/>
    <cellStyle name="40% - Ênfase6 13 3 3 2" xfId="6158" xr:uid="{0D4F41B8-AF04-46CB-A586-99C3ACD3E28A}"/>
    <cellStyle name="40% - Ênfase6 13 3 4" xfId="4195" xr:uid="{18A51E82-3D28-4F18-B9F6-CFAD5E3C6D07}"/>
    <cellStyle name="40% - Ênfase6 13 4" xfId="1171" xr:uid="{B2A961F4-8599-47B1-8E29-F4CBB4CCBBBA}"/>
    <cellStyle name="40% - Ênfase6 13 4 2" xfId="3023" xr:uid="{6CD4C139-442F-4DDE-907A-10E0054039CF}"/>
    <cellStyle name="40% - Ênfase6 13 4 2 2" xfId="6651" xr:uid="{2A7396C3-3AEC-46ED-88A6-BAA570312E87}"/>
    <cellStyle name="40% - Ênfase6 13 4 3" xfId="4799" xr:uid="{640F80C1-9450-42FC-8178-B68C60AF6A71}"/>
    <cellStyle name="40% - Ênfase6 13 5" xfId="2096" xr:uid="{3D843A3E-D894-4EE9-86C5-1ECC3B84F43B}"/>
    <cellStyle name="40% - Ênfase6 13 5 2" xfId="5724" xr:uid="{BC6C89C5-AEE0-4CC4-A94E-3D2030C5E2C7}"/>
    <cellStyle name="40% - Ênfase6 13 6" xfId="3913" xr:uid="{D0A4AEF4-A734-467B-851E-606AC6584C9E}"/>
    <cellStyle name="40% - Ênfase6 14" xfId="304" xr:uid="{FB631DFF-5853-4CFC-A011-276DD21B7DA2}"/>
    <cellStyle name="40% - Ênfase6 14 2" xfId="910" xr:uid="{A75266F6-6320-4302-867C-D5D5E5103760}"/>
    <cellStyle name="40% - Ênfase6 14 2 2" xfId="1513" xr:uid="{FC24E5BC-11B8-4050-9C42-843A18FE86D8}"/>
    <cellStyle name="40% - Ênfase6 14 2 2 2" xfId="3365" xr:uid="{939AA648-5CB4-4C5B-B08C-AB758353194F}"/>
    <cellStyle name="40% - Ênfase6 14 2 2 2 2" xfId="6993" xr:uid="{BBF3BC05-E24E-4043-A3F1-728DC3E3ACB0}"/>
    <cellStyle name="40% - Ênfase6 14 2 2 3" xfId="5141" xr:uid="{166E008E-1882-4528-A01F-24F3799352DB}"/>
    <cellStyle name="40% - Ênfase6 14 2 3" xfId="2438" xr:uid="{44B82FD7-484D-46CC-A352-B83D1FCAEBF4}"/>
    <cellStyle name="40% - Ênfase6 14 2 3 2" xfId="6066" xr:uid="{0A858DD8-7BA7-4137-8F95-4AA130418D99}"/>
    <cellStyle name="40% - Ênfase6 14 2 4" xfId="4538" xr:uid="{96707FB0-D941-4995-81AA-95429C9FA462}"/>
    <cellStyle name="40% - Ênfase6 14 3" xfId="586" xr:uid="{0E4251F7-825E-4482-B6A7-14A035DFB82E}"/>
    <cellStyle name="40% - Ênfase6 14 3 2" xfId="1523" xr:uid="{F4F73DAD-C568-4B7E-9959-1A7B979E1698}"/>
    <cellStyle name="40% - Ênfase6 14 3 2 2" xfId="3375" xr:uid="{E4CFA7A3-8817-41B2-A3F8-3D70252464D2}"/>
    <cellStyle name="40% - Ênfase6 14 3 2 2 2" xfId="7003" xr:uid="{7A8492B7-F24E-4A30-8443-C2C560365F7C}"/>
    <cellStyle name="40% - Ênfase6 14 3 2 3" xfId="5151" xr:uid="{53903F19-FDDA-4B52-AD32-09EEC49C1B25}"/>
    <cellStyle name="40% - Ênfase6 14 3 3" xfId="2448" xr:uid="{7CEE663E-2C42-4CD2-B5D6-6907C2BBF056}"/>
    <cellStyle name="40% - Ênfase6 14 3 3 2" xfId="6076" xr:uid="{B82E0DE2-3066-415C-8DF7-A80AE9931752}"/>
    <cellStyle name="40% - Ênfase6 14 3 4" xfId="4215" xr:uid="{2B31B1AD-9A3E-4FEA-BE59-A0023F349CC2}"/>
    <cellStyle name="40% - Ênfase6 14 4" xfId="1191" xr:uid="{3A8B6F5E-673F-4754-947D-65F3EB8A1080}"/>
    <cellStyle name="40% - Ênfase6 14 4 2" xfId="3043" xr:uid="{6723D427-7617-46CD-8A37-0073BEFEF3F4}"/>
    <cellStyle name="40% - Ênfase6 14 4 2 2" xfId="6671" xr:uid="{ADC22D05-ED4A-4EA0-A957-E69D8A057B59}"/>
    <cellStyle name="40% - Ênfase6 14 4 3" xfId="4819" xr:uid="{F23234AB-3817-4C1D-860C-DAC59E31714E}"/>
    <cellStyle name="40% - Ênfase6 14 5" xfId="2116" xr:uid="{5ADC6885-45C8-434D-AE36-811C593DA1B6}"/>
    <cellStyle name="40% - Ênfase6 14 5 2" xfId="5744" xr:uid="{A4E0F299-6D66-4806-B52C-8835B30D8C68}"/>
    <cellStyle name="40% - Ênfase6 14 6" xfId="3933" xr:uid="{F4E8D27F-3A9C-4069-A4A8-F204D31346D4}"/>
    <cellStyle name="40% - Ênfase6 15" xfId="606" xr:uid="{6A5E6F2E-7227-40E6-9C27-EFEA3AAB9E10}"/>
    <cellStyle name="40% - Ênfase6 15 2" xfId="1669" xr:uid="{50BB46F2-F9C7-40F5-97EC-B11097AE9B51}"/>
    <cellStyle name="40% - Ênfase6 15 2 2" xfId="2594" xr:uid="{9239EC67-0921-481D-A126-50FC8A2F97EE}"/>
    <cellStyle name="40% - Ênfase6 15 2 2 2" xfId="6222" xr:uid="{F1DF9974-5A9C-4396-8071-AD624346DD58}"/>
    <cellStyle name="40% - Ênfase6 15 2 3" xfId="5297" xr:uid="{6CAB0A87-A22A-41D6-B3E2-908437C31418}"/>
    <cellStyle name="40% - Ênfase6 15 3" xfId="1211" xr:uid="{21D58DE4-A7A8-46A2-B2B5-2CE0364E8C7B}"/>
    <cellStyle name="40% - Ênfase6 15 3 2" xfId="3063" xr:uid="{AF1984D8-3DD5-4A35-A237-F3D695C42876}"/>
    <cellStyle name="40% - Ênfase6 15 3 2 2" xfId="6691" xr:uid="{573F2C1D-A1FB-4517-8907-380B7C3EC056}"/>
    <cellStyle name="40% - Ênfase6 15 3 3" xfId="4839" xr:uid="{90655A5A-CA7C-4105-8B1B-252680034FC2}"/>
    <cellStyle name="40% - Ênfase6 15 4" xfId="2136" xr:uid="{5F4B0050-55BC-4B50-AB40-8B4EB97329DD}"/>
    <cellStyle name="40% - Ênfase6 15 4 2" xfId="5764" xr:uid="{A4916972-9685-43FA-904F-8E7EC68D6446}"/>
    <cellStyle name="40% - Ênfase6 15 5" xfId="4235" xr:uid="{15D474F7-4ACB-490C-A193-6B6D01626697}"/>
    <cellStyle name="40% - Ênfase6 16" xfId="626" xr:uid="{528FFBF3-16BC-439E-A485-35B43A1B993C}"/>
    <cellStyle name="40% - Ênfase6 16 2" xfId="1689" xr:uid="{5AAFCA0C-82EB-43B5-8B18-240E6904E990}"/>
    <cellStyle name="40% - Ênfase6 16 2 2" xfId="2614" xr:uid="{46911FCD-B0DD-42E1-B9A0-8B5C662A5C2D}"/>
    <cellStyle name="40% - Ênfase6 16 2 2 2" xfId="6242" xr:uid="{38D9D4EF-98CB-47A9-96C4-067E08D82727}"/>
    <cellStyle name="40% - Ênfase6 16 2 3" xfId="5317" xr:uid="{834FFEA1-6FCF-47FD-A889-DD1E1F7F9721}"/>
    <cellStyle name="40% - Ênfase6 16 3" xfId="1231" xr:uid="{9F2EA102-B724-4143-9269-6CAFC410049B}"/>
    <cellStyle name="40% - Ênfase6 16 3 2" xfId="3083" xr:uid="{471ABEF1-2EF9-41F8-8AEE-35E64B8060BD}"/>
    <cellStyle name="40% - Ênfase6 16 3 2 2" xfId="6711" xr:uid="{3CFE384A-1798-458E-9C60-9E58753AB00F}"/>
    <cellStyle name="40% - Ênfase6 16 3 3" xfId="4859" xr:uid="{37C61AD5-D087-4499-A67F-76EB587AD7FE}"/>
    <cellStyle name="40% - Ênfase6 16 4" xfId="2156" xr:uid="{2561AC99-2482-4573-993E-E7EA92A02C09}"/>
    <cellStyle name="40% - Ênfase6 16 4 2" xfId="5784" xr:uid="{FFF88D5E-CAA2-4D01-B407-02BBC4718708}"/>
    <cellStyle name="40% - Ênfase6 16 5" xfId="4255" xr:uid="{84481A4C-C1C3-4952-8875-80CDDA6954D8}"/>
    <cellStyle name="40% - Ênfase6 17" xfId="646" xr:uid="{B45C06E6-D3F4-4B3D-9E57-706A5924BD4B}"/>
    <cellStyle name="40% - Ênfase6 17 2" xfId="1250" xr:uid="{4547F9C0-7E56-411B-9125-EAD9AD8C466C}"/>
    <cellStyle name="40% - Ênfase6 17 2 2" xfId="3102" xr:uid="{91580801-665D-4300-AF78-B7976950B7B6}"/>
    <cellStyle name="40% - Ênfase6 17 2 2 2" xfId="6730" xr:uid="{C7BD5F77-FE81-422B-BA13-F8E8F9559640}"/>
    <cellStyle name="40% - Ênfase6 17 2 3" xfId="4878" xr:uid="{2BB39A23-E363-4BCE-BCB9-5E91334D5BDD}"/>
    <cellStyle name="40% - Ênfase6 17 3" xfId="2175" xr:uid="{C05AED4E-6670-4ABB-B2B7-ED43DC8E801B}"/>
    <cellStyle name="40% - Ênfase6 17 3 2" xfId="5803" xr:uid="{4A2E5F26-3E0E-4328-B911-C1808D5E0075}"/>
    <cellStyle name="40% - Ênfase6 17 4" xfId="4275" xr:uid="{CBF26C28-1EF3-4580-9199-3B5EE9BF8E18}"/>
    <cellStyle name="40% - Ênfase6 18" xfId="323" xr:uid="{73A3B3A0-E4DA-44F7-8DF9-FB3559557BC5}"/>
    <cellStyle name="40% - Ênfase6 18 2" xfId="1698" xr:uid="{04B2B18B-E8CE-4248-A63E-3867B6DAEAE8}"/>
    <cellStyle name="40% - Ênfase6 18 2 2" xfId="3511" xr:uid="{55D1B5B0-74C3-406A-B788-ECB24FDEB4B6}"/>
    <cellStyle name="40% - Ênfase6 18 2 2 2" xfId="7139" xr:uid="{A904FAE1-BBF2-4981-83E7-77E90259C6AA}"/>
    <cellStyle name="40% - Ênfase6 18 2 3" xfId="5326" xr:uid="{A75519AB-5883-4C4E-823D-FFACC973AED6}"/>
    <cellStyle name="40% - Ênfase6 18 3" xfId="2623" xr:uid="{A1CA3B51-0BCD-4D8C-A9DA-74DCB70FE6FA}"/>
    <cellStyle name="40% - Ênfase6 18 3 2" xfId="6251" xr:uid="{D77CDD01-C029-4EE0-9CE9-AD6B2B908C5A}"/>
    <cellStyle name="40% - Ênfase6 18 4" xfId="3952" xr:uid="{863CE4DB-64B7-4FF8-9F0E-518D9E664876}"/>
    <cellStyle name="40% - Ênfase6 19" xfId="928" xr:uid="{95D56721-F3C7-4943-BBE5-7DB680E1C5E0}"/>
    <cellStyle name="40% - Ênfase6 19 2" xfId="2780" xr:uid="{65A6BF0D-A61A-4571-BD02-C86360E0694F}"/>
    <cellStyle name="40% - Ênfase6 19 2 2" xfId="6408" xr:uid="{AE22EB3E-1ABE-400F-9B8F-7A2014E23323}"/>
    <cellStyle name="40% - Ênfase6 19 3" xfId="4556" xr:uid="{C67A44AD-D6CC-4ADA-A581-3EA0A71A3DAC}"/>
    <cellStyle name="40% - Ênfase6 2" xfId="63" xr:uid="{8E841718-0617-4B1B-B43C-1EB740D159D6}"/>
    <cellStyle name="40% - Ênfase6 2 2" xfId="669" xr:uid="{D46A129E-667A-4FD1-B291-120D07539D02}"/>
    <cellStyle name="40% - Ênfase6 2 2 2" xfId="1272" xr:uid="{A599656E-15E5-4A85-AE90-0B7E3AF21E32}"/>
    <cellStyle name="40% - Ênfase6 2 2 2 2" xfId="3124" xr:uid="{2F8E51DC-F40B-44E0-B307-5E765F6695B7}"/>
    <cellStyle name="40% - Ênfase6 2 2 2 2 2" xfId="6752" xr:uid="{F792813D-3433-4A5F-B8D1-666F55FCDB20}"/>
    <cellStyle name="40% - Ênfase6 2 2 2 3" xfId="4900" xr:uid="{6BEE99F4-5557-4644-A3AA-9BF5D513AEE5}"/>
    <cellStyle name="40% - Ênfase6 2 2 3" xfId="2197" xr:uid="{A5ACAA2B-7442-42D0-9ECF-0F3191E48D34}"/>
    <cellStyle name="40% - Ênfase6 2 2 3 2" xfId="5825" xr:uid="{33D2E974-4D08-43DC-B1E2-38D7DF37FB15}"/>
    <cellStyle name="40% - Ênfase6 2 2 4" xfId="4297" xr:uid="{F0939A68-44BD-4C78-9848-789C9873BCE8}"/>
    <cellStyle name="40% - Ênfase6 2 3" xfId="345" xr:uid="{23490D30-0862-476B-8156-9B9F883FB307}"/>
    <cellStyle name="40% - Ênfase6 2 3 2" xfId="1701" xr:uid="{7CA94E66-9669-4993-B70E-C510693561EB}"/>
    <cellStyle name="40% - Ênfase6 2 3 2 2" xfId="3514" xr:uid="{6B80C7FC-D91F-4920-AF84-B1C20562E886}"/>
    <cellStyle name="40% - Ênfase6 2 3 2 2 2" xfId="7142" xr:uid="{2A2AB19A-73C9-46F9-B0DE-28FAC85B2F9A}"/>
    <cellStyle name="40% - Ênfase6 2 3 2 3" xfId="5329" xr:uid="{D7DBC3DC-8B7E-4977-AD6C-7916985364CB}"/>
    <cellStyle name="40% - Ênfase6 2 3 3" xfId="2626" xr:uid="{6C9534C9-E7EB-4419-94F4-B28A5ABFBE34}"/>
    <cellStyle name="40% - Ênfase6 2 3 3 2" xfId="6254" xr:uid="{C3F39E22-6A07-42B6-96BA-C1A84AC7BD1B}"/>
    <cellStyle name="40% - Ênfase6 2 3 4" xfId="3974" xr:uid="{EA15FA61-4251-4865-808F-0F9C79349336}"/>
    <cellStyle name="40% - Ênfase6 2 4" xfId="950" xr:uid="{AB435E26-A6D4-460B-8903-6B9E1D5EF943}"/>
    <cellStyle name="40% - Ênfase6 2 4 2" xfId="2802" xr:uid="{C23FA21D-5440-4546-A462-BA2845F91110}"/>
    <cellStyle name="40% - Ênfase6 2 4 2 2" xfId="6430" xr:uid="{1CCBB196-FDC1-473E-8419-7A2EAB19D6FC}"/>
    <cellStyle name="40% - Ênfase6 2 4 3" xfId="4578" xr:uid="{7929D29A-AB56-4106-89CA-6A2026DC91CE}"/>
    <cellStyle name="40% - Ênfase6 2 5" xfId="1875" xr:uid="{C26D95C1-8D44-4DF4-8B35-53FBDF6399C2}"/>
    <cellStyle name="40% - Ênfase6 2 5 2" xfId="5503" xr:uid="{5D0613F1-15A6-4085-8EE1-20442DBAE16B}"/>
    <cellStyle name="40% - Ênfase6 2 6" xfId="3692" xr:uid="{0DE9716A-EEB6-4488-A0CA-DE949D0381DE}"/>
    <cellStyle name="40% - Ênfase6 20" xfId="1853" xr:uid="{AD2A79E2-471E-4561-B71E-7ADACD7967AB}"/>
    <cellStyle name="40% - Ênfase6 20 2" xfId="5481" xr:uid="{36D5821B-823B-45C5-A2C2-EA9CCE862F13}"/>
    <cellStyle name="40% - Ênfase6 21" xfId="3668" xr:uid="{3F053D8F-E55E-4B60-8859-0D1482113E85}"/>
    <cellStyle name="40% - Ênfase6 3" xfId="81" xr:uid="{A6B2B891-4D55-47CA-9822-03A59391FAB2}"/>
    <cellStyle name="40% - Ênfase6 3 2" xfId="687" xr:uid="{C5D1611B-3171-463B-9BB4-3577115EF466}"/>
    <cellStyle name="40% - Ênfase6 3 2 2" xfId="1290" xr:uid="{A77D7F09-2429-4921-A4AF-01F75E1A0EC0}"/>
    <cellStyle name="40% - Ênfase6 3 2 2 2" xfId="3142" xr:uid="{F274A36F-3BD6-484E-8CAE-AB109DF12AE1}"/>
    <cellStyle name="40% - Ênfase6 3 2 2 2 2" xfId="6770" xr:uid="{A739A640-DD58-440C-8B6C-71BA947B8A02}"/>
    <cellStyle name="40% - Ênfase6 3 2 2 3" xfId="4918" xr:uid="{A11827D0-8CE8-44BC-9FE8-E50012FAACC8}"/>
    <cellStyle name="40% - Ênfase6 3 2 3" xfId="2215" xr:uid="{747C4864-20F0-460F-872F-2A8D8F5443B7}"/>
    <cellStyle name="40% - Ênfase6 3 2 3 2" xfId="5843" xr:uid="{D7B061F6-C1C0-47C9-9D2D-89F92585B7F4}"/>
    <cellStyle name="40% - Ênfase6 3 2 4" xfId="4315" xr:uid="{1483BF60-0D79-48E6-91E2-FDB5E4D7FB07}"/>
    <cellStyle name="40% - Ênfase6 3 3" xfId="363" xr:uid="{60BEDFEB-3732-452F-A491-969274EF1515}"/>
    <cellStyle name="40% - Ênfase6 3 3 2" xfId="1530" xr:uid="{8EF2B39D-0104-4019-8D04-2FD13FB88A11}"/>
    <cellStyle name="40% - Ênfase6 3 3 2 2" xfId="3382" xr:uid="{B994E64E-8BD8-417D-A1D9-DEEF9C864B0A}"/>
    <cellStyle name="40% - Ênfase6 3 3 2 2 2" xfId="7010" xr:uid="{887151B6-1F3B-4286-8611-5EA964F47D40}"/>
    <cellStyle name="40% - Ênfase6 3 3 2 3" xfId="5158" xr:uid="{7D0B8C42-52AF-457F-AB3A-0CA51295543F}"/>
    <cellStyle name="40% - Ênfase6 3 3 3" xfId="2455" xr:uid="{6AAA71EB-94C8-4C30-8388-42C84C10A146}"/>
    <cellStyle name="40% - Ênfase6 3 3 3 2" xfId="6083" xr:uid="{1D1A8753-D3A9-4860-8F3E-4E27B8E9C1B5}"/>
    <cellStyle name="40% - Ênfase6 3 3 4" xfId="3992" xr:uid="{B8A120EF-58EA-4D89-8D56-B69B561FF881}"/>
    <cellStyle name="40% - Ênfase6 3 4" xfId="968" xr:uid="{6DD28198-93A7-432C-BA03-895BC633295C}"/>
    <cellStyle name="40% - Ênfase6 3 4 2" xfId="2820" xr:uid="{B71B753B-21C3-4B11-9DF1-058D322161F2}"/>
    <cellStyle name="40% - Ênfase6 3 4 2 2" xfId="6448" xr:uid="{67B626BA-A2E7-49A3-9558-D0D9A74DF71C}"/>
    <cellStyle name="40% - Ênfase6 3 4 3" xfId="4596" xr:uid="{8114E003-2819-48EB-B44F-D3D2BC121B46}"/>
    <cellStyle name="40% - Ênfase6 3 5" xfId="1893" xr:uid="{840C450C-BBB3-4D49-BFA7-FC04DCBE2837}"/>
    <cellStyle name="40% - Ênfase6 3 5 2" xfId="5521" xr:uid="{29B90A61-5B6A-4835-A42A-D8B9D1561755}"/>
    <cellStyle name="40% - Ênfase6 3 6" xfId="3710" xr:uid="{DC584797-7E4C-478A-83C6-B2930AE66ED0}"/>
    <cellStyle name="40% - Ênfase6 4" xfId="103" xr:uid="{F585B17B-D5D8-4572-BC6F-B6357DDE609D}"/>
    <cellStyle name="40% - Ênfase6 4 2" xfId="709" xr:uid="{D3836CD8-3921-466C-9772-A19F1889B8BA}"/>
    <cellStyle name="40% - Ênfase6 4 2 2" xfId="1312" xr:uid="{BB5B9FFA-3EED-487D-9472-FC89C288480B}"/>
    <cellStyle name="40% - Ênfase6 4 2 2 2" xfId="3164" xr:uid="{B13D0FFE-EA33-4896-BC0E-F96D3205B436}"/>
    <cellStyle name="40% - Ênfase6 4 2 2 2 2" xfId="6792" xr:uid="{D2C79190-4B0D-4189-B4BD-250A25ECF22E}"/>
    <cellStyle name="40% - Ênfase6 4 2 2 3" xfId="4940" xr:uid="{B80D2FFD-585C-43C2-9D46-F80681F25EA0}"/>
    <cellStyle name="40% - Ênfase6 4 2 3" xfId="2237" xr:uid="{EDF18D71-F9CF-4E3D-BA4E-8076C85DE639}"/>
    <cellStyle name="40% - Ênfase6 4 2 3 2" xfId="5865" xr:uid="{DDC11F40-ED67-46B9-B68B-CC08B4058D93}"/>
    <cellStyle name="40% - Ênfase6 4 2 4" xfId="4337" xr:uid="{37231A95-23D9-4387-BE93-49A76D20E171}"/>
    <cellStyle name="40% - Ênfase6 4 3" xfId="385" xr:uid="{4401A785-2ABE-457D-8412-BECFFA91CB8B}"/>
    <cellStyle name="40% - Ênfase6 4 3 2" xfId="1622" xr:uid="{2B5BDD8B-9472-49F3-B6E9-60532592EA0A}"/>
    <cellStyle name="40% - Ênfase6 4 3 2 2" xfId="3474" xr:uid="{78231355-8E37-4AAC-8785-022844BC4FA2}"/>
    <cellStyle name="40% - Ênfase6 4 3 2 2 2" xfId="7102" xr:uid="{2D659887-1723-4082-994F-253ED2A236F1}"/>
    <cellStyle name="40% - Ênfase6 4 3 2 3" xfId="5250" xr:uid="{1DE9D42E-9FF7-40AC-86BC-95B0270A7572}"/>
    <cellStyle name="40% - Ênfase6 4 3 3" xfId="2547" xr:uid="{027EEA8C-F3CF-4039-A3B3-B3A0E6AD8422}"/>
    <cellStyle name="40% - Ênfase6 4 3 3 2" xfId="6175" xr:uid="{B0D3D6DD-B3D5-4669-B3AD-E00641395873}"/>
    <cellStyle name="40% - Ênfase6 4 3 4" xfId="4014" xr:uid="{CB99F6ED-88A8-4414-96A7-28757B808DF1}"/>
    <cellStyle name="40% - Ênfase6 4 4" xfId="990" xr:uid="{94BA4C7E-F564-49D6-9482-E3E67630C1F8}"/>
    <cellStyle name="40% - Ênfase6 4 4 2" xfId="2842" xr:uid="{F7AE4282-50F9-48D5-A3E1-EDD2BA678902}"/>
    <cellStyle name="40% - Ênfase6 4 4 2 2" xfId="6470" xr:uid="{985BAC42-47E4-4FFA-A296-B217AC698105}"/>
    <cellStyle name="40% - Ênfase6 4 4 3" xfId="4618" xr:uid="{15356777-BAD9-4BD3-A8D0-7F01A4F3E527}"/>
    <cellStyle name="40% - Ênfase6 4 5" xfId="1915" xr:uid="{93177675-8B86-484E-9AE2-F1A1FA0BEB3B}"/>
    <cellStyle name="40% - Ênfase6 4 5 2" xfId="5543" xr:uid="{C48F1FE8-44EB-4EC3-BA35-A9AADC2A174C}"/>
    <cellStyle name="40% - Ênfase6 4 6" xfId="3732" xr:uid="{D9B20E45-DDF6-49CC-9386-3CF1CD5CA0BF}"/>
    <cellStyle name="40% - Ênfase6 5" xfId="123" xr:uid="{00BAE5A6-DA56-445D-90A8-E600CF66896D}"/>
    <cellStyle name="40% - Ênfase6 5 2" xfId="729" xr:uid="{2C4312E6-F243-467D-B6BF-F750563B099E}"/>
    <cellStyle name="40% - Ênfase6 5 2 2" xfId="1332" xr:uid="{BB0F257C-75C5-4A91-9972-B6E943EE4DE8}"/>
    <cellStyle name="40% - Ênfase6 5 2 2 2" xfId="3184" xr:uid="{7719141F-070C-4E43-8C3F-28507AE93085}"/>
    <cellStyle name="40% - Ênfase6 5 2 2 2 2" xfId="6812" xr:uid="{BEF0F883-86E4-4C98-AEBA-9206BF0EE380}"/>
    <cellStyle name="40% - Ênfase6 5 2 2 3" xfId="4960" xr:uid="{74A2B84D-F9EB-4ED7-BB85-587DFBFAD8B3}"/>
    <cellStyle name="40% - Ênfase6 5 2 3" xfId="2257" xr:uid="{1468E94A-1A26-4B50-B005-A17385E16603}"/>
    <cellStyle name="40% - Ênfase6 5 2 3 2" xfId="5885" xr:uid="{0D3A04DE-DDBE-4F7D-8944-C47EF99C39FC}"/>
    <cellStyle name="40% - Ênfase6 5 2 4" xfId="4357" xr:uid="{64FAEBD8-ADCE-404B-9123-133AFF03B12A}"/>
    <cellStyle name="40% - Ênfase6 5 3" xfId="405" xr:uid="{7FE97531-E3D6-430C-B85D-082204B98621}"/>
    <cellStyle name="40% - Ênfase6 5 3 2" xfId="1709" xr:uid="{1C5A61EE-C3DC-4A9E-892D-CB9E4EF23C09}"/>
    <cellStyle name="40% - Ênfase6 5 3 2 2" xfId="3522" xr:uid="{A7314D2B-D66D-4324-90DF-D2B331B1EB3D}"/>
    <cellStyle name="40% - Ênfase6 5 3 2 2 2" xfId="7150" xr:uid="{D6C89476-BBFD-4DAC-A9B6-CBEEE9739241}"/>
    <cellStyle name="40% - Ênfase6 5 3 2 3" xfId="5337" xr:uid="{C0C5B922-7164-4390-9F15-9BB0EF6EC76B}"/>
    <cellStyle name="40% - Ênfase6 5 3 3" xfId="2634" xr:uid="{7EF09A29-BD53-4984-8C18-EC1412D04674}"/>
    <cellStyle name="40% - Ênfase6 5 3 3 2" xfId="6262" xr:uid="{D92B92C8-3AE8-47BF-9780-2F7483DAF3EA}"/>
    <cellStyle name="40% - Ênfase6 5 3 4" xfId="4034" xr:uid="{68BF9E0F-76F6-446B-845A-76AD0A80B9BB}"/>
    <cellStyle name="40% - Ênfase6 5 4" xfId="1010" xr:uid="{1998CC76-4A33-4CC2-BD21-AFBD9C5C6454}"/>
    <cellStyle name="40% - Ênfase6 5 4 2" xfId="2862" xr:uid="{7B621902-929A-47C8-B7EF-0F4B9E21CD94}"/>
    <cellStyle name="40% - Ênfase6 5 4 2 2" xfId="6490" xr:uid="{A82505F9-31FB-4EF0-891A-EC827E4143CB}"/>
    <cellStyle name="40% - Ênfase6 5 4 3" xfId="4638" xr:uid="{BC619C13-1D86-4709-B892-62612998A575}"/>
    <cellStyle name="40% - Ênfase6 5 5" xfId="1935" xr:uid="{64598618-C961-418D-A671-F5A1AB009B9D}"/>
    <cellStyle name="40% - Ênfase6 5 5 2" xfId="5563" xr:uid="{645EFD79-C192-44CF-93C0-C0F24236D404}"/>
    <cellStyle name="40% - Ênfase6 5 6" xfId="3752" xr:uid="{B01372BA-AAD1-423F-A34C-064EC23FB0CC}"/>
    <cellStyle name="40% - Ênfase6 6" xfId="143" xr:uid="{3C28A8B2-46A5-4B82-BC3C-084C0A10C4D6}"/>
    <cellStyle name="40% - Ênfase6 6 2" xfId="749" xr:uid="{756B1F3B-60E3-42E5-8E85-7A65506F8F91}"/>
    <cellStyle name="40% - Ênfase6 6 2 2" xfId="1352" xr:uid="{C61CCB7B-4290-429E-B700-69784B61B958}"/>
    <cellStyle name="40% - Ênfase6 6 2 2 2" xfId="3204" xr:uid="{5967A2B3-EF26-4CB2-9634-F596427F61E1}"/>
    <cellStyle name="40% - Ênfase6 6 2 2 2 2" xfId="6832" xr:uid="{39890629-140B-4556-B9DB-D51687B448B4}"/>
    <cellStyle name="40% - Ênfase6 6 2 2 3" xfId="4980" xr:uid="{791313F3-06F3-45F7-9AB6-EC6477A8D051}"/>
    <cellStyle name="40% - Ênfase6 6 2 3" xfId="2277" xr:uid="{9515F36C-246B-4F43-A7FA-180A87298955}"/>
    <cellStyle name="40% - Ênfase6 6 2 3 2" xfId="5905" xr:uid="{7809AFFB-963C-4D08-B342-5C422E597648}"/>
    <cellStyle name="40% - Ênfase6 6 2 4" xfId="4377" xr:uid="{422FFD55-B957-49DD-8480-3D602761A084}"/>
    <cellStyle name="40% - Ênfase6 6 3" xfId="425" xr:uid="{108FCEB2-8061-4806-BEA1-DFDD08D2C68C}"/>
    <cellStyle name="40% - Ênfase6 6 3 2" xfId="1621" xr:uid="{F19E80BC-7E5B-4F93-AEF5-4E15086787D7}"/>
    <cellStyle name="40% - Ênfase6 6 3 2 2" xfId="3473" xr:uid="{D1F2CD6F-B8BB-4879-B745-8ED943E80999}"/>
    <cellStyle name="40% - Ênfase6 6 3 2 2 2" xfId="7101" xr:uid="{9758E3BB-F2D1-44C6-926F-E47016BC4046}"/>
    <cellStyle name="40% - Ênfase6 6 3 2 3" xfId="5249" xr:uid="{C86C2EBE-7C77-4AB2-9E13-94060E5B5DEE}"/>
    <cellStyle name="40% - Ênfase6 6 3 3" xfId="2546" xr:uid="{7E5077D8-3D58-408C-833C-24F7247279DB}"/>
    <cellStyle name="40% - Ênfase6 6 3 3 2" xfId="6174" xr:uid="{8FED5F8C-7A91-499E-B55A-6AAC1C949ED4}"/>
    <cellStyle name="40% - Ênfase6 6 3 4" xfId="4054" xr:uid="{9E2ED2B3-E203-4B8B-9CA2-CC7210BADED5}"/>
    <cellStyle name="40% - Ênfase6 6 4" xfId="1030" xr:uid="{6F0E0836-F1D3-4DD6-BC02-CCAEE582D019}"/>
    <cellStyle name="40% - Ênfase6 6 4 2" xfId="2882" xr:uid="{E4531191-41DC-41BA-B796-A74C505986A5}"/>
    <cellStyle name="40% - Ênfase6 6 4 2 2" xfId="6510" xr:uid="{70FF7A8E-1986-48B8-952C-28B05C503A98}"/>
    <cellStyle name="40% - Ênfase6 6 4 3" xfId="4658" xr:uid="{788C8AE4-14BE-4B54-B088-C72D20F7DCE6}"/>
    <cellStyle name="40% - Ênfase6 6 5" xfId="1955" xr:uid="{F5B2720B-D16F-4296-9546-ABA0D9E79C61}"/>
    <cellStyle name="40% - Ênfase6 6 5 2" xfId="5583" xr:uid="{5ED66622-D939-4CBA-BBD3-F9D99EDEF4FB}"/>
    <cellStyle name="40% - Ênfase6 6 6" xfId="3772" xr:uid="{4D8EF35A-6F3B-492E-B4FF-142FA8631FD9}"/>
    <cellStyle name="40% - Ênfase6 7" xfId="163" xr:uid="{0265A171-9FC7-4CA7-A6FC-D41FE81DA173}"/>
    <cellStyle name="40% - Ênfase6 7 2" xfId="769" xr:uid="{CC1A861A-9745-4E57-AC22-8E35F5585A3C}"/>
    <cellStyle name="40% - Ênfase6 7 2 2" xfId="1372" xr:uid="{7F1163AC-EC47-479A-AD7F-71D7C05D8A65}"/>
    <cellStyle name="40% - Ênfase6 7 2 2 2" xfId="3224" xr:uid="{FA3A536B-36D5-410E-895F-68F9CE35E2DA}"/>
    <cellStyle name="40% - Ênfase6 7 2 2 2 2" xfId="6852" xr:uid="{9C1D6E3C-C4FE-4AFF-9CA7-54F8F2E0EE15}"/>
    <cellStyle name="40% - Ênfase6 7 2 2 3" xfId="5000" xr:uid="{DA5468C9-3D53-4389-A218-1F6BCEAA2E0F}"/>
    <cellStyle name="40% - Ênfase6 7 2 3" xfId="2297" xr:uid="{60439CDC-4BD8-4FE1-8E87-3CE1890B158C}"/>
    <cellStyle name="40% - Ênfase6 7 2 3 2" xfId="5925" xr:uid="{95E3B815-C092-4DC0-BF4C-269754C66BF2}"/>
    <cellStyle name="40% - Ênfase6 7 2 4" xfId="4397" xr:uid="{5F001693-7974-4F27-9200-C0977309E4F5}"/>
    <cellStyle name="40% - Ênfase6 7 3" xfId="445" xr:uid="{17876BD6-8F97-49A7-938C-484171D672AA}"/>
    <cellStyle name="40% - Ênfase6 7 3 2" xfId="1521" xr:uid="{E080BD5D-1933-43AC-AE68-A18DAB2053C8}"/>
    <cellStyle name="40% - Ênfase6 7 3 2 2" xfId="3373" xr:uid="{561EEC2E-190E-4110-84AE-DE62D520D053}"/>
    <cellStyle name="40% - Ênfase6 7 3 2 2 2" xfId="7001" xr:uid="{E1DCF65A-1431-493C-B3AC-D2B30ECB732C}"/>
    <cellStyle name="40% - Ênfase6 7 3 2 3" xfId="5149" xr:uid="{B49855ED-7873-4BA0-82F0-C12D57CB359B}"/>
    <cellStyle name="40% - Ênfase6 7 3 3" xfId="2446" xr:uid="{4F821125-B806-4E02-B47F-9B8C47B9945B}"/>
    <cellStyle name="40% - Ênfase6 7 3 3 2" xfId="6074" xr:uid="{5CDD40F4-6DBB-43A1-BEA7-CE6CDFE39B00}"/>
    <cellStyle name="40% - Ênfase6 7 3 4" xfId="4074" xr:uid="{24DA1EA6-D5CF-4323-A1B8-7E9F68F8DFAB}"/>
    <cellStyle name="40% - Ênfase6 7 4" xfId="1050" xr:uid="{476C81B8-46AF-4955-8824-E52126A87E04}"/>
    <cellStyle name="40% - Ênfase6 7 4 2" xfId="2902" xr:uid="{EFC9E25D-7938-45AC-8354-0E1E0736C670}"/>
    <cellStyle name="40% - Ênfase6 7 4 2 2" xfId="6530" xr:uid="{B5484409-FB84-4E9F-9338-B798B7541E9B}"/>
    <cellStyle name="40% - Ênfase6 7 4 3" xfId="4678" xr:uid="{5B29649A-DE96-4761-AA76-658CC669F4AF}"/>
    <cellStyle name="40% - Ênfase6 7 5" xfId="1975" xr:uid="{BFB05A96-2018-4C11-9FD8-0F8EDE8D7AA1}"/>
    <cellStyle name="40% - Ênfase6 7 5 2" xfId="5603" xr:uid="{678A12A8-E793-4CF6-ADB2-936750B9966A}"/>
    <cellStyle name="40% - Ênfase6 7 6" xfId="3792" xr:uid="{F8FF866A-53E0-4D4D-8CE2-87FB0F799A3C}"/>
    <cellStyle name="40% - Ênfase6 8" xfId="183" xr:uid="{DE66FFAA-AF05-4FF6-9088-A4663B4DC342}"/>
    <cellStyle name="40% - Ênfase6 8 2" xfId="789" xr:uid="{189A58A6-4D01-4C29-B45C-9C7507F52DBF}"/>
    <cellStyle name="40% - Ênfase6 8 2 2" xfId="1392" xr:uid="{A15D8146-7D54-4D7F-A4A6-4EF54AE59F97}"/>
    <cellStyle name="40% - Ênfase6 8 2 2 2" xfId="3244" xr:uid="{89856C68-7416-4769-8725-299F7712961F}"/>
    <cellStyle name="40% - Ênfase6 8 2 2 2 2" xfId="6872" xr:uid="{EF18F485-5914-4E7C-B247-1F263880B5E6}"/>
    <cellStyle name="40% - Ênfase6 8 2 2 3" xfId="5020" xr:uid="{EA2B4F61-1040-411B-8767-1E8FD4FAF3F6}"/>
    <cellStyle name="40% - Ênfase6 8 2 3" xfId="2317" xr:uid="{B944342E-AA27-469D-AE16-DBE7C682A7D3}"/>
    <cellStyle name="40% - Ênfase6 8 2 3 2" xfId="5945" xr:uid="{8BD20CA1-FAC0-4C65-8D29-EDA7E5260657}"/>
    <cellStyle name="40% - Ênfase6 8 2 4" xfId="4417" xr:uid="{A3530FEA-5DE7-47E9-8869-71FCC127CD95}"/>
    <cellStyle name="40% - Ênfase6 8 3" xfId="465" xr:uid="{B77877AC-95B0-4E22-8BE4-6D0B56D8C0E4}"/>
    <cellStyle name="40% - Ênfase6 8 3 2" xfId="1648" xr:uid="{DA5ABEC6-EEDE-42D0-95B9-4FF000D2F14D}"/>
    <cellStyle name="40% - Ênfase6 8 3 2 2" xfId="3500" xr:uid="{80C50083-02AA-4F49-BDDE-2FE3CA76ADA4}"/>
    <cellStyle name="40% - Ênfase6 8 3 2 2 2" xfId="7128" xr:uid="{77B7052A-B8CF-4D4B-B825-206DA862D9CF}"/>
    <cellStyle name="40% - Ênfase6 8 3 2 3" xfId="5276" xr:uid="{63714989-D446-4502-8196-9C158037EE35}"/>
    <cellStyle name="40% - Ênfase6 8 3 3" xfId="2573" xr:uid="{1E2909E1-C2F5-498F-B8F7-FAC5FDFF6CAE}"/>
    <cellStyle name="40% - Ênfase6 8 3 3 2" xfId="6201" xr:uid="{456C131D-DD14-44B5-A990-9912EBD3E67C}"/>
    <cellStyle name="40% - Ênfase6 8 3 4" xfId="4094" xr:uid="{18D679FF-DCFB-4873-A3D2-72D7EC21A36D}"/>
    <cellStyle name="40% - Ênfase6 8 4" xfId="1070" xr:uid="{3D021E77-BA74-4BF3-9E19-FD797D4B0CC6}"/>
    <cellStyle name="40% - Ênfase6 8 4 2" xfId="2922" xr:uid="{98C1DDD8-B32E-4721-B8AC-27DF08369D6B}"/>
    <cellStyle name="40% - Ênfase6 8 4 2 2" xfId="6550" xr:uid="{A0446137-0D57-4E9F-B622-12958764C879}"/>
    <cellStyle name="40% - Ênfase6 8 4 3" xfId="4698" xr:uid="{9BC4D96D-09E7-4BCA-B70F-E19766D1F8A5}"/>
    <cellStyle name="40% - Ênfase6 8 5" xfId="1995" xr:uid="{D5FF9847-3B57-41D5-9BE7-CC1F84429B2E}"/>
    <cellStyle name="40% - Ênfase6 8 5 2" xfId="5623" xr:uid="{DF5631EC-58D2-457B-8258-156D3A3BAA0A}"/>
    <cellStyle name="40% - Ênfase6 8 6" xfId="3812" xr:uid="{3E610B0A-7CF0-4D76-9CCF-62EFF664EA98}"/>
    <cellStyle name="40% - Ênfase6 9" xfId="203" xr:uid="{537BE0FA-7370-4085-87EB-73CB69EB7787}"/>
    <cellStyle name="40% - Ênfase6 9 2" xfId="809" xr:uid="{470030FB-483F-465F-94FB-AFDBCDCE0734}"/>
    <cellStyle name="40% - Ênfase6 9 2 2" xfId="1412" xr:uid="{780C676F-9167-4C20-9664-968A354118BB}"/>
    <cellStyle name="40% - Ênfase6 9 2 2 2" xfId="3264" xr:uid="{871D39DC-4219-40CF-9229-129F59D5BA20}"/>
    <cellStyle name="40% - Ênfase6 9 2 2 2 2" xfId="6892" xr:uid="{56BB29EB-42E1-4763-A49B-C20421B689F3}"/>
    <cellStyle name="40% - Ênfase6 9 2 2 3" xfId="5040" xr:uid="{CC1A520D-24C7-4958-B209-2BDE5BA7ECEA}"/>
    <cellStyle name="40% - Ênfase6 9 2 3" xfId="2337" xr:uid="{6D126BF4-85B6-4BB5-B241-8E8DAB5871BA}"/>
    <cellStyle name="40% - Ênfase6 9 2 3 2" xfId="5965" xr:uid="{54F5BB83-B0E3-492C-BC8E-675CB220F8EE}"/>
    <cellStyle name="40% - Ênfase6 9 2 4" xfId="4437" xr:uid="{B56068E8-07FA-442F-A356-AC060C9D9F8C}"/>
    <cellStyle name="40% - Ênfase6 9 3" xfId="485" xr:uid="{F634DC9A-21B3-4DC8-8BC0-C8E66D1BC47C}"/>
    <cellStyle name="40% - Ênfase6 9 3 2" xfId="1528" xr:uid="{57318FB8-1469-4E5C-9A01-AD36A4D06D49}"/>
    <cellStyle name="40% - Ênfase6 9 3 2 2" xfId="3380" xr:uid="{7ED70B60-683A-4ADC-BA84-D52D44A97684}"/>
    <cellStyle name="40% - Ênfase6 9 3 2 2 2" xfId="7008" xr:uid="{133F2F64-97EA-409C-9431-B011E5467860}"/>
    <cellStyle name="40% - Ênfase6 9 3 2 3" xfId="5156" xr:uid="{7880481F-334E-4D9F-8D89-854A6A0AAD90}"/>
    <cellStyle name="40% - Ênfase6 9 3 3" xfId="2453" xr:uid="{AB92B65A-ED6B-4373-BE02-C8763A3B5E3B}"/>
    <cellStyle name="40% - Ênfase6 9 3 3 2" xfId="6081" xr:uid="{2457907D-C3F3-4B6D-B198-422D28814CA8}"/>
    <cellStyle name="40% - Ênfase6 9 3 4" xfId="4114" xr:uid="{3633D191-6D31-45CB-8D24-EE2511379694}"/>
    <cellStyle name="40% - Ênfase6 9 4" xfId="1090" xr:uid="{7AAF60FC-CF92-439F-8521-1766FC973FE4}"/>
    <cellStyle name="40% - Ênfase6 9 4 2" xfId="2942" xr:uid="{9D2EC218-5038-492C-BFAA-7C4CEC5653AD}"/>
    <cellStyle name="40% - Ênfase6 9 4 2 2" xfId="6570" xr:uid="{B54B5DA3-EE1D-415F-A1EC-2CDA157B2E96}"/>
    <cellStyle name="40% - Ênfase6 9 4 3" xfId="4718" xr:uid="{7B6A5C70-151B-4336-A192-14E6EB1A5344}"/>
    <cellStyle name="40% - Ênfase6 9 5" xfId="2015" xr:uid="{7A8F136F-38AE-40EB-ADB2-A3CF5D88A86E}"/>
    <cellStyle name="40% - Ênfase6 9 5 2" xfId="5643" xr:uid="{10FDFD37-109F-4EA6-B0DD-ABF4E72C6013}"/>
    <cellStyle name="40% - Ênfase6 9 6" xfId="3832" xr:uid="{19DC0971-C031-40B1-9AAE-40BCDB38DE28}"/>
    <cellStyle name="60% - Ênfase1" xfId="21" builtinId="32" customBuiltin="1"/>
    <cellStyle name="60% - Ênfase1 10" xfId="210" xr:uid="{04C0ECD6-3432-440F-9F1F-CAA5458782C3}"/>
    <cellStyle name="60% - Ênfase1 10 2" xfId="816" xr:uid="{8C4AD702-6B6E-43F1-AE6B-230BCF29E9FF}"/>
    <cellStyle name="60% - Ênfase1 10 2 2" xfId="1419" xr:uid="{3A4B9726-0977-4AC9-A7D5-3B76DC1155C1}"/>
    <cellStyle name="60% - Ênfase1 10 2 2 2" xfId="3271" xr:uid="{E06BB622-36D9-412C-B938-D26B5906CC35}"/>
    <cellStyle name="60% - Ênfase1 10 2 2 2 2" xfId="6899" xr:uid="{BC2669AA-6846-4096-B3D9-D99E3A955CCE}"/>
    <cellStyle name="60% - Ênfase1 10 2 2 3" xfId="5047" xr:uid="{FEABF79E-DC4F-4779-9ADA-AA3AAFDA785F}"/>
    <cellStyle name="60% - Ênfase1 10 2 3" xfId="2344" xr:uid="{3EE7C833-E5C8-4A89-85BD-05B34BE5785F}"/>
    <cellStyle name="60% - Ênfase1 10 2 3 2" xfId="5972" xr:uid="{9D5F1A4B-7C32-47C7-A695-25464F8C0177}"/>
    <cellStyle name="60% - Ênfase1 10 2 4" xfId="4444" xr:uid="{C2EE218E-824C-4169-AA85-F5F74A609C1C}"/>
    <cellStyle name="60% - Ênfase1 10 3" xfId="492" xr:uid="{F0251DC3-51B0-4FB3-B7FE-F67F28C244F0}"/>
    <cellStyle name="60% - Ênfase1 10 3 2" xfId="1797" xr:uid="{58FE00E1-8B85-42A2-B80B-770BB7363078}"/>
    <cellStyle name="60% - Ênfase1 10 3 2 2" xfId="3610" xr:uid="{F92D0649-3EC7-4ABA-BCB7-DBFF80375CF8}"/>
    <cellStyle name="60% - Ênfase1 10 3 2 2 2" xfId="7238" xr:uid="{61300B68-3450-4BAC-BE11-5E0E0A750687}"/>
    <cellStyle name="60% - Ênfase1 10 3 2 3" xfId="5425" xr:uid="{A9EDEFFA-1C0A-47B1-8FFC-5351634E3DC1}"/>
    <cellStyle name="60% - Ênfase1 10 3 3" xfId="2722" xr:uid="{F71F094A-32DA-4777-9C01-650949BAFDFF}"/>
    <cellStyle name="60% - Ênfase1 10 3 3 2" xfId="6350" xr:uid="{395EF9BB-0850-4512-8632-E6599906A445}"/>
    <cellStyle name="60% - Ênfase1 10 3 4" xfId="4121" xr:uid="{E2065A8B-75BB-4B94-8F0D-799A9BF79DC3}"/>
    <cellStyle name="60% - Ênfase1 10 4" xfId="1097" xr:uid="{95402B2A-E5AA-4F17-8C97-FD0E0A76480F}"/>
    <cellStyle name="60% - Ênfase1 10 4 2" xfId="2949" xr:uid="{0BA50A12-FC2E-497D-994F-1B24B16A2847}"/>
    <cellStyle name="60% - Ênfase1 10 4 2 2" xfId="6577" xr:uid="{97A14739-F0CC-4638-B1A2-8C3575C24407}"/>
    <cellStyle name="60% - Ênfase1 10 4 3" xfId="4725" xr:uid="{C4E53B2D-5188-4182-A2C3-CEAAFAFEE6B1}"/>
    <cellStyle name="60% - Ênfase1 10 5" xfId="2022" xr:uid="{BFCBF05E-112F-45BD-99A4-523E06A5D5C3}"/>
    <cellStyle name="60% - Ênfase1 10 5 2" xfId="5650" xr:uid="{0204A787-55BC-4B35-8945-65EEB185E638}"/>
    <cellStyle name="60% - Ênfase1 10 6" xfId="3839" xr:uid="{C9F0F1B9-D46D-4603-85A3-52AD0C12A770}"/>
    <cellStyle name="60% - Ênfase1 11" xfId="230" xr:uid="{5D24BB91-F4DC-4D43-A70D-12B3B9C697F4}"/>
    <cellStyle name="60% - Ênfase1 11 2" xfId="836" xr:uid="{33A16C53-174C-4806-AEAD-035DC50B5156}"/>
    <cellStyle name="60% - Ênfase1 11 2 2" xfId="1439" xr:uid="{0D33AF01-ACDB-4F2A-9F7C-487B912B6D08}"/>
    <cellStyle name="60% - Ênfase1 11 2 2 2" xfId="3291" xr:uid="{4974F785-64DB-4F66-BB4E-2E65A46F23ED}"/>
    <cellStyle name="60% - Ênfase1 11 2 2 2 2" xfId="6919" xr:uid="{D7AC387C-F61B-4C6B-9651-9B17DF9AE89C}"/>
    <cellStyle name="60% - Ênfase1 11 2 2 3" xfId="5067" xr:uid="{E371EFED-E4F6-432A-B28D-C8C67B92261E}"/>
    <cellStyle name="60% - Ênfase1 11 2 3" xfId="2364" xr:uid="{46ECC747-99D0-4BB4-BFDC-040BE5D0537E}"/>
    <cellStyle name="60% - Ênfase1 11 2 3 2" xfId="5992" xr:uid="{66AA4066-273E-491F-9A91-92070EA94AAA}"/>
    <cellStyle name="60% - Ênfase1 11 2 4" xfId="4464" xr:uid="{9ECFA154-D792-41FC-879D-CDD7D703B475}"/>
    <cellStyle name="60% - Ênfase1 11 3" xfId="512" xr:uid="{B9641640-EE78-423C-B08C-863C0B6AD530}"/>
    <cellStyle name="60% - Ênfase1 11 3 2" xfId="1830" xr:uid="{80DB3863-7107-40AF-A38E-1F63B40753D3}"/>
    <cellStyle name="60% - Ênfase1 11 3 2 2" xfId="3643" xr:uid="{B3EE5DD0-F112-4DA1-AD29-37DF9B0E2273}"/>
    <cellStyle name="60% - Ênfase1 11 3 2 2 2" xfId="7271" xr:uid="{18BB67D8-7B43-48DA-A11E-D9D5B18C6735}"/>
    <cellStyle name="60% - Ênfase1 11 3 2 3" xfId="5458" xr:uid="{4FD468E4-18DC-4DD7-8043-1876817B5A46}"/>
    <cellStyle name="60% - Ênfase1 11 3 3" xfId="2755" xr:uid="{36D90140-7573-4C7D-8776-377D68C62F27}"/>
    <cellStyle name="60% - Ênfase1 11 3 3 2" xfId="6383" xr:uid="{63CE01C5-C953-4E75-9DF4-679D97107F0B}"/>
    <cellStyle name="60% - Ênfase1 11 3 4" xfId="4141" xr:uid="{52B75539-EE15-4BB9-845F-6AD6F357B401}"/>
    <cellStyle name="60% - Ênfase1 11 4" xfId="1117" xr:uid="{8BD9B7B9-7BE3-4290-A3DE-C845C19F6137}"/>
    <cellStyle name="60% - Ênfase1 11 4 2" xfId="2969" xr:uid="{EB6699E3-2BD1-41BD-99C4-8CF07F750273}"/>
    <cellStyle name="60% - Ênfase1 11 4 2 2" xfId="6597" xr:uid="{33636A67-FBD6-4857-916D-85B940F8B9CB}"/>
    <cellStyle name="60% - Ênfase1 11 4 3" xfId="4745" xr:uid="{BFBCB001-945E-441C-9026-0C441ED5BE4B}"/>
    <cellStyle name="60% - Ênfase1 11 5" xfId="2042" xr:uid="{303EDD9D-B42B-49EC-8687-8E1E904C6BD4}"/>
    <cellStyle name="60% - Ênfase1 11 5 2" xfId="5670" xr:uid="{391F7A7F-24B4-40B9-B029-181D426DF13E}"/>
    <cellStyle name="60% - Ênfase1 11 6" xfId="3859" xr:uid="{3604B565-04A2-46F7-9944-8A0681752DBE}"/>
    <cellStyle name="60% - Ênfase1 12" xfId="250" xr:uid="{9C6B97D1-A895-4B9C-84FE-13545FE666C8}"/>
    <cellStyle name="60% - Ênfase1 12 2" xfId="856" xr:uid="{D3495A0A-8993-4A17-8048-059F79310649}"/>
    <cellStyle name="60% - Ênfase1 12 2 2" xfId="1459" xr:uid="{83F504DC-22FE-436B-A8E8-0BDAA7A0B059}"/>
    <cellStyle name="60% - Ênfase1 12 2 2 2" xfId="3311" xr:uid="{8DF3C276-1E2B-4585-A362-D1B79E8AA0E5}"/>
    <cellStyle name="60% - Ênfase1 12 2 2 2 2" xfId="6939" xr:uid="{E01CA7A3-479F-4850-9363-79C041124A2E}"/>
    <cellStyle name="60% - Ênfase1 12 2 2 3" xfId="5087" xr:uid="{48D3BA4C-07F2-49A5-ACD7-93A6B03402D6}"/>
    <cellStyle name="60% - Ênfase1 12 2 3" xfId="2384" xr:uid="{C2F73EA8-5032-4181-A15D-F7CAE40654BE}"/>
    <cellStyle name="60% - Ênfase1 12 2 3 2" xfId="6012" xr:uid="{439E6B15-EFDE-4260-BE99-D4264E6C6FF9}"/>
    <cellStyle name="60% - Ênfase1 12 2 4" xfId="4484" xr:uid="{F2DC30C3-94E3-4FE0-96D3-D87DE7930356}"/>
    <cellStyle name="60% - Ênfase1 12 3" xfId="532" xr:uid="{C087FC6E-8B95-405A-9A69-A34C705A3B0D}"/>
    <cellStyle name="60% - Ênfase1 12 3 2" xfId="1625" xr:uid="{59353AA5-A890-40A0-9C4C-47415DADB0FB}"/>
    <cellStyle name="60% - Ênfase1 12 3 2 2" xfId="3477" xr:uid="{908836D5-5A5F-4F1A-9F72-EA43C64CCEA1}"/>
    <cellStyle name="60% - Ênfase1 12 3 2 2 2" xfId="7105" xr:uid="{5AEF0B2F-7D6B-41B0-94DC-DA940A65BEE6}"/>
    <cellStyle name="60% - Ênfase1 12 3 2 3" xfId="5253" xr:uid="{08C608A7-7F06-4BF2-B924-A5F64DB38A63}"/>
    <cellStyle name="60% - Ênfase1 12 3 3" xfId="2550" xr:uid="{9D2A55B6-C351-4106-B608-2F2AB60EDC26}"/>
    <cellStyle name="60% - Ênfase1 12 3 3 2" xfId="6178" xr:uid="{589ECE15-C23B-4CD9-8585-B46F19F17675}"/>
    <cellStyle name="60% - Ênfase1 12 3 4" xfId="4161" xr:uid="{3E388D7C-5D25-4A3D-B04F-61A69EEC0CF5}"/>
    <cellStyle name="60% - Ênfase1 12 4" xfId="1137" xr:uid="{0AA1D5EE-FD86-446F-98A8-8F614E500F0B}"/>
    <cellStyle name="60% - Ênfase1 12 4 2" xfId="2989" xr:uid="{674FF835-CA98-4128-8A2D-2ACD95F90D3A}"/>
    <cellStyle name="60% - Ênfase1 12 4 2 2" xfId="6617" xr:uid="{9041C700-970F-48DA-8943-D77AD4C36F23}"/>
    <cellStyle name="60% - Ênfase1 12 4 3" xfId="4765" xr:uid="{ADF6ACDB-B671-4E24-B114-F98BD2BD203B}"/>
    <cellStyle name="60% - Ênfase1 12 5" xfId="2062" xr:uid="{642A6E8A-D92A-4717-91ED-7A45D7BC2D6A}"/>
    <cellStyle name="60% - Ênfase1 12 5 2" xfId="5690" xr:uid="{5205899F-2857-4700-855E-5D7A054515C9}"/>
    <cellStyle name="60% - Ênfase1 12 6" xfId="3879" xr:uid="{6EF04118-E1D6-4659-AB4A-19CF3D5BF934}"/>
    <cellStyle name="60% - Ênfase1 13" xfId="270" xr:uid="{1BD1A391-99C3-4396-A67F-9AA6A1131442}"/>
    <cellStyle name="60% - Ênfase1 13 2" xfId="876" xr:uid="{6EBEED4C-233C-4A20-A37D-7136356198FA}"/>
    <cellStyle name="60% - Ênfase1 13 2 2" xfId="1479" xr:uid="{8E057C3D-1C15-4D91-AE34-886E1BCA0701}"/>
    <cellStyle name="60% - Ênfase1 13 2 2 2" xfId="3331" xr:uid="{C4613F48-7423-4344-86B4-BB0C0F36F70F}"/>
    <cellStyle name="60% - Ênfase1 13 2 2 2 2" xfId="6959" xr:uid="{C8DFA70A-FC2B-46BE-978F-173193A69D4D}"/>
    <cellStyle name="60% - Ênfase1 13 2 2 3" xfId="5107" xr:uid="{F1D70FB0-3B83-43A4-ACC4-6BA896DED8B2}"/>
    <cellStyle name="60% - Ênfase1 13 2 3" xfId="2404" xr:uid="{E0BED0AE-E3BA-4145-9218-50BC6EA351C5}"/>
    <cellStyle name="60% - Ênfase1 13 2 3 2" xfId="6032" xr:uid="{47CFBC92-2CD9-420F-82D9-7E7438506B6A}"/>
    <cellStyle name="60% - Ênfase1 13 2 4" xfId="4504" xr:uid="{18547E71-EAFC-4683-99E5-DDA0949F2227}"/>
    <cellStyle name="60% - Ênfase1 13 3" xfId="552" xr:uid="{375CDFF7-2C30-48F2-8724-7FE6E44AF9EB}"/>
    <cellStyle name="60% - Ênfase1 13 3 2" xfId="1524" xr:uid="{B470CB5F-EB26-4FFC-971A-4556E960C1A6}"/>
    <cellStyle name="60% - Ênfase1 13 3 2 2" xfId="3376" xr:uid="{6A159774-90CA-4687-A5B8-653332B40A11}"/>
    <cellStyle name="60% - Ênfase1 13 3 2 2 2" xfId="7004" xr:uid="{7259A597-E347-47E6-8737-EC94431B9EBF}"/>
    <cellStyle name="60% - Ênfase1 13 3 2 3" xfId="5152" xr:uid="{DB579F35-281C-4B90-89D7-15315B36F3EA}"/>
    <cellStyle name="60% - Ênfase1 13 3 3" xfId="2449" xr:uid="{A2B2AE71-C916-45DC-9A33-12602D3018DC}"/>
    <cellStyle name="60% - Ênfase1 13 3 3 2" xfId="6077" xr:uid="{8D3F6155-B0BA-48FF-B0CB-16823BCBB1D6}"/>
    <cellStyle name="60% - Ênfase1 13 3 4" xfId="4181" xr:uid="{9A35D7B3-47E0-471E-9B57-1C730B390258}"/>
    <cellStyle name="60% - Ênfase1 13 4" xfId="1157" xr:uid="{A030C7BE-932A-478F-843D-8791D439D401}"/>
    <cellStyle name="60% - Ênfase1 13 4 2" xfId="3009" xr:uid="{321CC0C5-250E-4BA2-AA86-079DCAA3280E}"/>
    <cellStyle name="60% - Ênfase1 13 4 2 2" xfId="6637" xr:uid="{00E4C700-2BC1-4B51-9837-4EF5B534E92E}"/>
    <cellStyle name="60% - Ênfase1 13 4 3" xfId="4785" xr:uid="{073D7AF0-D53F-4C2D-915B-41214B45C419}"/>
    <cellStyle name="60% - Ênfase1 13 5" xfId="2082" xr:uid="{03B1B8FF-CF77-4EC8-B7E0-D7DD05833461}"/>
    <cellStyle name="60% - Ênfase1 13 5 2" xfId="5710" xr:uid="{3EB1E755-C480-451A-AD47-DA680084E803}"/>
    <cellStyle name="60% - Ênfase1 13 6" xfId="3899" xr:uid="{C9D7BA4F-48ED-4BEE-BA08-15F9DD9BD50F}"/>
    <cellStyle name="60% - Ênfase1 14" xfId="290" xr:uid="{B65CE55F-6500-40C8-8A7C-30AAEF1875BB}"/>
    <cellStyle name="60% - Ênfase1 14 2" xfId="896" xr:uid="{4AF23AC8-E82B-43A8-AA5B-8CAA57EB6C12}"/>
    <cellStyle name="60% - Ênfase1 14 2 2" xfId="1499" xr:uid="{80788FF7-C720-4FDE-854D-D13C71C326FF}"/>
    <cellStyle name="60% - Ênfase1 14 2 2 2" xfId="3351" xr:uid="{BED25709-6342-4F45-8007-806C16B2C9E8}"/>
    <cellStyle name="60% - Ênfase1 14 2 2 2 2" xfId="6979" xr:uid="{96B4405A-82A7-45A8-9A33-9EFFA435EEED}"/>
    <cellStyle name="60% - Ênfase1 14 2 2 3" xfId="5127" xr:uid="{2AF83A91-89AE-473B-8298-32131A531919}"/>
    <cellStyle name="60% - Ênfase1 14 2 3" xfId="2424" xr:uid="{CEE33C2F-D6A3-4840-A012-05BD905662CA}"/>
    <cellStyle name="60% - Ênfase1 14 2 3 2" xfId="6052" xr:uid="{B40BE79E-B808-4FF4-BFB7-4B32D02345BE}"/>
    <cellStyle name="60% - Ênfase1 14 2 4" xfId="4524" xr:uid="{724BB98E-8B67-4F82-B247-354C26B5A27C}"/>
    <cellStyle name="60% - Ênfase1 14 3" xfId="572" xr:uid="{7446CF0D-F095-4029-9902-8FE60D4B0DEC}"/>
    <cellStyle name="60% - Ênfase1 14 3 2" xfId="1538" xr:uid="{FD5802F1-577F-46F0-BE0C-4394D369E44F}"/>
    <cellStyle name="60% - Ênfase1 14 3 2 2" xfId="3390" xr:uid="{A4A4F907-E6A7-4595-B06C-D13FB2DE74EF}"/>
    <cellStyle name="60% - Ênfase1 14 3 2 2 2" xfId="7018" xr:uid="{323CDAB2-0445-4BE9-93EA-39759AAF7D44}"/>
    <cellStyle name="60% - Ênfase1 14 3 2 3" xfId="5166" xr:uid="{ED843FE0-8358-42A4-B753-4D507E3E1E4C}"/>
    <cellStyle name="60% - Ênfase1 14 3 3" xfId="2463" xr:uid="{716E46E1-0913-41EA-9A0A-C6B3ACCDBC65}"/>
    <cellStyle name="60% - Ênfase1 14 3 3 2" xfId="6091" xr:uid="{6E10CD14-4EEA-434D-9EA6-015C223C0323}"/>
    <cellStyle name="60% - Ênfase1 14 3 4" xfId="4201" xr:uid="{426C275B-C452-4659-BAE8-C55490AA50A0}"/>
    <cellStyle name="60% - Ênfase1 14 4" xfId="1177" xr:uid="{7E0CB194-991B-4ADA-A3FB-E62605746484}"/>
    <cellStyle name="60% - Ênfase1 14 4 2" xfId="3029" xr:uid="{AA0A7704-E160-42AA-B2D8-BF14D04E8E33}"/>
    <cellStyle name="60% - Ênfase1 14 4 2 2" xfId="6657" xr:uid="{6989A2C0-507B-4390-9DC7-939DB8AC5C89}"/>
    <cellStyle name="60% - Ênfase1 14 4 3" xfId="4805" xr:uid="{C486AA7A-86CF-41B7-92FA-F1E353536B35}"/>
    <cellStyle name="60% - Ênfase1 14 5" xfId="2102" xr:uid="{63595649-041D-46B5-9FD9-AAE3767BF6CC}"/>
    <cellStyle name="60% - Ênfase1 14 5 2" xfId="5730" xr:uid="{2C7312A0-22A4-4444-969B-B0E63DCBFCA4}"/>
    <cellStyle name="60% - Ênfase1 14 6" xfId="3919" xr:uid="{2BA14DCA-0B2C-4F6B-83BE-017DD7A16A87}"/>
    <cellStyle name="60% - Ênfase1 15" xfId="592" xr:uid="{AF3BDEEB-2121-4171-9D5F-461F9383AD2D}"/>
    <cellStyle name="60% - Ênfase1 15 2" xfId="1655" xr:uid="{C0966570-6625-4AB1-A085-1CEA81E1579A}"/>
    <cellStyle name="60% - Ênfase1 15 2 2" xfId="2580" xr:uid="{BCEDEA11-CBA4-46A4-B5B9-D6956C04F9B4}"/>
    <cellStyle name="60% - Ênfase1 15 2 2 2" xfId="6208" xr:uid="{C1BE7703-0C1F-433A-B456-2EC1EE04FF59}"/>
    <cellStyle name="60% - Ênfase1 15 2 3" xfId="5283" xr:uid="{D349D265-D9E1-448A-856A-1717D9D11B84}"/>
    <cellStyle name="60% - Ênfase1 15 3" xfId="1197" xr:uid="{5A01C301-8229-44FD-AB2F-5BD4620B3360}"/>
    <cellStyle name="60% - Ênfase1 15 3 2" xfId="3049" xr:uid="{8508570D-86EA-4F69-9316-F9544BA6EF02}"/>
    <cellStyle name="60% - Ênfase1 15 3 2 2" xfId="6677" xr:uid="{1EB88985-9B14-4B6A-BC2B-117589292067}"/>
    <cellStyle name="60% - Ênfase1 15 3 3" xfId="4825" xr:uid="{DCD6A3CA-5122-4D43-9A7D-504D782EE9C9}"/>
    <cellStyle name="60% - Ênfase1 15 4" xfId="2122" xr:uid="{E4977A9C-0114-4800-B120-CF12F498425D}"/>
    <cellStyle name="60% - Ênfase1 15 4 2" xfId="5750" xr:uid="{1CFDB115-5ABF-4D57-95EF-31972E4AADA4}"/>
    <cellStyle name="60% - Ênfase1 15 5" xfId="4221" xr:uid="{0005A2DD-D0B9-44D7-B390-6C5A91154E70}"/>
    <cellStyle name="60% - Ênfase1 16" xfId="612" xr:uid="{141EFF5B-19B3-446B-9459-DF01FA32CFE4}"/>
    <cellStyle name="60% - Ênfase1 16 2" xfId="1675" xr:uid="{414B91A8-A062-40FF-9300-3E4782744621}"/>
    <cellStyle name="60% - Ênfase1 16 2 2" xfId="2600" xr:uid="{AA6ED20D-3F38-4DB6-BA11-B965695F91A4}"/>
    <cellStyle name="60% - Ênfase1 16 2 2 2" xfId="6228" xr:uid="{16AC96DD-331E-4CE6-8D3F-C9A96ED0F2AB}"/>
    <cellStyle name="60% - Ênfase1 16 2 3" xfId="5303" xr:uid="{558C73E1-7EA9-4629-A74F-D23E0B99239F}"/>
    <cellStyle name="60% - Ênfase1 16 3" xfId="1217" xr:uid="{B11174E3-3BEA-4383-9300-B425177F96D7}"/>
    <cellStyle name="60% - Ênfase1 16 3 2" xfId="3069" xr:uid="{558A952F-4AA9-4672-8B56-033DCEA9CD96}"/>
    <cellStyle name="60% - Ênfase1 16 3 2 2" xfId="6697" xr:uid="{7BE7BE33-74D3-490C-B1A4-F84BB0FF4A61}"/>
    <cellStyle name="60% - Ênfase1 16 3 3" xfId="4845" xr:uid="{AA7FE4B3-B0B7-4C04-BDC5-CFF980D792C6}"/>
    <cellStyle name="60% - Ênfase1 16 4" xfId="2142" xr:uid="{DF0C675E-8C3E-45AC-97CB-16A95DE5EAAD}"/>
    <cellStyle name="60% - Ênfase1 16 4 2" xfId="5770" xr:uid="{D9BA0BDF-8AE3-4E47-A936-86CE6F474F54}"/>
    <cellStyle name="60% - Ênfase1 16 5" xfId="4241" xr:uid="{83A69757-0F20-4B6F-AFFE-69677A1BFFD5}"/>
    <cellStyle name="60% - Ênfase1 17" xfId="632" xr:uid="{2990D00B-394C-459F-A5B8-35A3613E3DA9}"/>
    <cellStyle name="60% - Ênfase1 17 2" xfId="1236" xr:uid="{F1BF89C6-2FAD-43DD-87EA-D98254DCB487}"/>
    <cellStyle name="60% - Ênfase1 17 2 2" xfId="3088" xr:uid="{F0BC789A-9995-47EA-BFF7-440868B15D8B}"/>
    <cellStyle name="60% - Ênfase1 17 2 2 2" xfId="6716" xr:uid="{6AF14EFC-F054-452B-B49E-A3AA74377E81}"/>
    <cellStyle name="60% - Ênfase1 17 2 3" xfId="4864" xr:uid="{9D248261-2F46-4769-9D8A-2FB5F6A2244C}"/>
    <cellStyle name="60% - Ênfase1 17 3" xfId="2161" xr:uid="{F882A2AA-2678-437F-B3A4-5D7C67C7F8A6}"/>
    <cellStyle name="60% - Ênfase1 17 3 2" xfId="5789" xr:uid="{C8A4FEB5-B062-47A0-A2EF-D361C52C764D}"/>
    <cellStyle name="60% - Ênfase1 17 4" xfId="4261" xr:uid="{AD3D22A3-356B-4FF3-BB48-0B82FD03541A}"/>
    <cellStyle name="60% - Ênfase1 18" xfId="309" xr:uid="{21EFBE81-A528-411B-A263-4FC1E25A0E09}"/>
    <cellStyle name="60% - Ênfase1 18 2" xfId="1732" xr:uid="{144E9B35-A5BE-4C00-A236-A587801CFE9D}"/>
    <cellStyle name="60% - Ênfase1 18 2 2" xfId="3545" xr:uid="{2D3E05D0-D130-40A7-A637-3F3413D6EB3F}"/>
    <cellStyle name="60% - Ênfase1 18 2 2 2" xfId="7173" xr:uid="{36D6B05B-1502-41AB-882F-6405BA08312D}"/>
    <cellStyle name="60% - Ênfase1 18 2 3" xfId="5360" xr:uid="{316A7A68-7E5A-4AC6-A777-38A3FD86372B}"/>
    <cellStyle name="60% - Ênfase1 18 3" xfId="2657" xr:uid="{9DAB37EE-04DD-4D61-AB27-38CF1147D177}"/>
    <cellStyle name="60% - Ênfase1 18 3 2" xfId="6285" xr:uid="{0FEB7837-968B-4DD0-893E-399016AE5533}"/>
    <cellStyle name="60% - Ênfase1 18 4" xfId="3938" xr:uid="{EE6BA4CF-6FE8-42A3-AB29-02F9D25EA702}"/>
    <cellStyle name="60% - Ênfase1 19" xfId="914" xr:uid="{10610F0C-4A66-4775-B77B-3B8EE1C1413C}"/>
    <cellStyle name="60% - Ênfase1 19 2" xfId="2766" xr:uid="{7FB6C82E-28C5-48D0-BA1B-F1853C8F777C}"/>
    <cellStyle name="60% - Ênfase1 19 2 2" xfId="6394" xr:uid="{3B62D695-9E26-4C95-9551-E079073C2885}"/>
    <cellStyle name="60% - Ênfase1 19 3" xfId="4542" xr:uid="{B9C5701A-0D0E-47AE-9C88-E902CDFB5F44}"/>
    <cellStyle name="60% - Ênfase1 2" xfId="49" xr:uid="{1B978E0D-68A3-4F50-A782-E9373DE8EAAA}"/>
    <cellStyle name="60% - Ênfase1 2 2" xfId="655" xr:uid="{2D2C8636-DC85-4167-8CBF-9E0641B01235}"/>
    <cellStyle name="60% - Ênfase1 2 2 2" xfId="1258" xr:uid="{3EAB4D1B-F8A5-4FD3-ABCD-EA1D45E1C77E}"/>
    <cellStyle name="60% - Ênfase1 2 2 2 2" xfId="3110" xr:uid="{565D3E43-7622-4915-849A-09F10C66E66A}"/>
    <cellStyle name="60% - Ênfase1 2 2 2 2 2" xfId="6738" xr:uid="{95B6A21E-9D67-4303-8000-577CA0A27E2C}"/>
    <cellStyle name="60% - Ênfase1 2 2 2 3" xfId="4886" xr:uid="{16D1B1E9-7F7D-437A-BDA8-FAD1FEAA1AF6}"/>
    <cellStyle name="60% - Ênfase1 2 2 3" xfId="2183" xr:uid="{2470770C-1315-464E-BC02-7257690D4911}"/>
    <cellStyle name="60% - Ênfase1 2 2 3 2" xfId="5811" xr:uid="{87B654BD-47C6-4770-8E87-160398C667B6}"/>
    <cellStyle name="60% - Ênfase1 2 2 4" xfId="4283" xr:uid="{B0015FE5-FA1D-451E-83D1-179D8CF53EF2}"/>
    <cellStyle name="60% - Ênfase1 2 3" xfId="331" xr:uid="{A1FB1E99-0678-4A44-9D01-5A0CA9A46038}"/>
    <cellStyle name="60% - Ênfase1 2 3 2" xfId="1542" xr:uid="{6CB40189-6D12-4DB5-9753-328459443EA4}"/>
    <cellStyle name="60% - Ênfase1 2 3 2 2" xfId="3394" xr:uid="{B0605400-145E-4A15-B8DD-473C9E08980B}"/>
    <cellStyle name="60% - Ênfase1 2 3 2 2 2" xfId="7022" xr:uid="{B15B0CD2-385B-4431-80FB-E30BA1256789}"/>
    <cellStyle name="60% - Ênfase1 2 3 2 3" xfId="5170" xr:uid="{32C7164B-F452-4A9B-85A9-A756968C3BBF}"/>
    <cellStyle name="60% - Ênfase1 2 3 3" xfId="2467" xr:uid="{626CE178-1326-4E28-969B-ED9A4A561514}"/>
    <cellStyle name="60% - Ênfase1 2 3 3 2" xfId="6095" xr:uid="{510F4DC9-1F1F-4DB7-AC6B-990FB2D101D4}"/>
    <cellStyle name="60% - Ênfase1 2 3 4" xfId="3960" xr:uid="{C7CA282F-D796-48D3-9BE8-255442B0E3AA}"/>
    <cellStyle name="60% - Ênfase1 2 4" xfId="936" xr:uid="{1B8B3CD0-40F3-45B7-A70B-A2C337D48CEA}"/>
    <cellStyle name="60% - Ênfase1 2 4 2" xfId="2788" xr:uid="{2C3B3EF7-706D-4E3F-A479-C277AD76564A}"/>
    <cellStyle name="60% - Ênfase1 2 4 2 2" xfId="6416" xr:uid="{AD7BC4B4-53CB-4404-93AE-A8FB06516B5A}"/>
    <cellStyle name="60% - Ênfase1 2 4 3" xfId="4564" xr:uid="{3F968252-32B4-4319-B5E2-932B360DDD42}"/>
    <cellStyle name="60% - Ênfase1 2 5" xfId="1861" xr:uid="{7379247C-086B-40B4-B907-7EAB22E58CA3}"/>
    <cellStyle name="60% - Ênfase1 2 5 2" xfId="5489" xr:uid="{0021328B-6161-4079-9A61-484214FC5615}"/>
    <cellStyle name="60% - Ênfase1 2 6" xfId="3678" xr:uid="{3EF94288-5FA6-4CC9-91DD-9A8CA182B208}"/>
    <cellStyle name="60% - Ênfase1 20" xfId="1839" xr:uid="{C767C60F-2815-4B35-A832-49E4D05EFFF0}"/>
    <cellStyle name="60% - Ênfase1 20 2" xfId="5467" xr:uid="{83EA54FF-AE4A-41E2-B139-D0D8577FAD0A}"/>
    <cellStyle name="60% - Ênfase1 21" xfId="3654" xr:uid="{D3573D90-B4D4-422A-BAA0-34725FC69B46}"/>
    <cellStyle name="60% - Ênfase1 3" xfId="67" xr:uid="{375A8313-0BEB-423C-8F6A-CA1E1AA6EC74}"/>
    <cellStyle name="60% - Ênfase1 3 2" xfId="673" xr:uid="{B0C8E2BF-A286-4580-BE9D-9306E57F1E36}"/>
    <cellStyle name="60% - Ênfase1 3 2 2" xfId="1276" xr:uid="{A1F3DEEE-E62D-4A66-ADEC-14BEA1B74754}"/>
    <cellStyle name="60% - Ênfase1 3 2 2 2" xfId="3128" xr:uid="{90A78692-5F96-4282-9FEC-6C4CA67893FC}"/>
    <cellStyle name="60% - Ênfase1 3 2 2 2 2" xfId="6756" xr:uid="{7C28BD1E-2B30-4968-B6D7-80621BD84B9A}"/>
    <cellStyle name="60% - Ênfase1 3 2 2 3" xfId="4904" xr:uid="{9C11073C-C407-464A-A581-8D1D2F0948D4}"/>
    <cellStyle name="60% - Ênfase1 3 2 3" xfId="2201" xr:uid="{5819C583-EF67-4E25-95E5-111068FCADED}"/>
    <cellStyle name="60% - Ênfase1 3 2 3 2" xfId="5829" xr:uid="{7EDFBA34-246F-44CA-9279-23E875988271}"/>
    <cellStyle name="60% - Ênfase1 3 2 4" xfId="4301" xr:uid="{9B1A0BC3-0D70-4FCD-B585-24A971C4EB7F}"/>
    <cellStyle name="60% - Ênfase1 3 3" xfId="349" xr:uid="{2370C168-1D0B-4745-B6EF-BF494F204A4B}"/>
    <cellStyle name="60% - Ênfase1 3 3 2" xfId="1624" xr:uid="{477561AF-5317-4367-8494-4404F86F9F53}"/>
    <cellStyle name="60% - Ênfase1 3 3 2 2" xfId="3476" xr:uid="{2DB7A98E-ECB8-422B-AAAE-8D1296A94F50}"/>
    <cellStyle name="60% - Ênfase1 3 3 2 2 2" xfId="7104" xr:uid="{FBFEE5CD-88FA-4353-A4EF-98A0306EB3AA}"/>
    <cellStyle name="60% - Ênfase1 3 3 2 3" xfId="5252" xr:uid="{C8855A68-19FB-4676-9C99-AE15D7378EB0}"/>
    <cellStyle name="60% - Ênfase1 3 3 3" xfId="2549" xr:uid="{79DBE8F0-D588-4BED-9C6A-A6EF9ACCF1A3}"/>
    <cellStyle name="60% - Ênfase1 3 3 3 2" xfId="6177" xr:uid="{D7E62118-41D6-4847-BBE5-E3D1086686AC}"/>
    <cellStyle name="60% - Ênfase1 3 3 4" xfId="3978" xr:uid="{F571C966-80C1-46A0-9469-F53CE1146AEA}"/>
    <cellStyle name="60% - Ênfase1 3 4" xfId="954" xr:uid="{54B4A317-2552-47DE-89E5-515FDF4BF2B4}"/>
    <cellStyle name="60% - Ênfase1 3 4 2" xfId="2806" xr:uid="{6DE9A626-C2DD-431D-B496-5DA341AACEF2}"/>
    <cellStyle name="60% - Ênfase1 3 4 2 2" xfId="6434" xr:uid="{6A76A937-D2E5-41EC-9FC6-49FC3C0BF491}"/>
    <cellStyle name="60% - Ênfase1 3 4 3" xfId="4582" xr:uid="{0B8D3F80-5519-4F48-94C3-5AB1ABB16203}"/>
    <cellStyle name="60% - Ênfase1 3 5" xfId="1879" xr:uid="{CCA74D41-8F90-46D2-9EC7-6E8E15185E6B}"/>
    <cellStyle name="60% - Ênfase1 3 5 2" xfId="5507" xr:uid="{7055D7BE-D3E1-4BBF-BA99-CAA63020128C}"/>
    <cellStyle name="60% - Ênfase1 3 6" xfId="3696" xr:uid="{32D5B059-300F-40FB-A428-7769622AF6C4}"/>
    <cellStyle name="60% - Ênfase1 4" xfId="89" xr:uid="{0739D21B-0BFC-40A6-BDD7-4319C7598550}"/>
    <cellStyle name="60% - Ênfase1 4 2" xfId="695" xr:uid="{7DEA0A11-1653-485A-96FC-8744BCCF3B7E}"/>
    <cellStyle name="60% - Ênfase1 4 2 2" xfId="1298" xr:uid="{5E7EAD75-1CF0-41E1-BDAD-74EA8E231BE0}"/>
    <cellStyle name="60% - Ênfase1 4 2 2 2" xfId="3150" xr:uid="{51876025-461F-450F-B845-BD528AAE37A1}"/>
    <cellStyle name="60% - Ênfase1 4 2 2 2 2" xfId="6778" xr:uid="{D504676D-39A1-4938-AE2B-A7E148D716FA}"/>
    <cellStyle name="60% - Ênfase1 4 2 2 3" xfId="4926" xr:uid="{8DE255AD-FE62-4137-8843-8E6688E247EB}"/>
    <cellStyle name="60% - Ênfase1 4 2 3" xfId="2223" xr:uid="{17EA542F-4110-47B6-B592-F8BB92FEE926}"/>
    <cellStyle name="60% - Ênfase1 4 2 3 2" xfId="5851" xr:uid="{E112A3C1-5B3D-468E-8C3D-8026CD09CA01}"/>
    <cellStyle name="60% - Ênfase1 4 2 4" xfId="4323" xr:uid="{15E0D005-9B6E-4F67-A539-C1B9CAB507DC}"/>
    <cellStyle name="60% - Ênfase1 4 3" xfId="371" xr:uid="{EEC588B3-4D11-431F-BC82-51AFF4F21688}"/>
    <cellStyle name="60% - Ênfase1 4 3 2" xfId="1811" xr:uid="{9ADA63F8-3FFD-43B3-B88E-796A6BE3B933}"/>
    <cellStyle name="60% - Ênfase1 4 3 2 2" xfId="3624" xr:uid="{F28DCCC4-D52E-425E-8E91-454535474095}"/>
    <cellStyle name="60% - Ênfase1 4 3 2 2 2" xfId="7252" xr:uid="{46D1206F-F443-467D-89F9-A835B82042B7}"/>
    <cellStyle name="60% - Ênfase1 4 3 2 3" xfId="5439" xr:uid="{F06BEE6E-18B0-40A8-BD1E-0809E445137F}"/>
    <cellStyle name="60% - Ênfase1 4 3 3" xfId="2736" xr:uid="{573130B6-FF15-479F-8154-580938DBE4F2}"/>
    <cellStyle name="60% - Ênfase1 4 3 3 2" xfId="6364" xr:uid="{02CB325D-B2AC-481C-8C9E-C117AE73C207}"/>
    <cellStyle name="60% - Ênfase1 4 3 4" xfId="4000" xr:uid="{8B58F211-34C7-47BD-AA16-59A04A54D31A}"/>
    <cellStyle name="60% - Ênfase1 4 4" xfId="976" xr:uid="{1AB1AF9E-F008-4F38-BEA7-1767C5E22A4B}"/>
    <cellStyle name="60% - Ênfase1 4 4 2" xfId="2828" xr:uid="{7BA1EA86-ABF6-44BC-A1C2-9FC160D8660F}"/>
    <cellStyle name="60% - Ênfase1 4 4 2 2" xfId="6456" xr:uid="{C14E943F-BAA5-441E-8C3A-496A1C68EF88}"/>
    <cellStyle name="60% - Ênfase1 4 4 3" xfId="4604" xr:uid="{C21FB776-B4C2-4B91-8900-41709F1D476C}"/>
    <cellStyle name="60% - Ênfase1 4 5" xfId="1901" xr:uid="{92A5D87B-E263-4701-BEC0-B778F5D6433D}"/>
    <cellStyle name="60% - Ênfase1 4 5 2" xfId="5529" xr:uid="{78B9E6DC-AA18-47D9-B8AB-632497D135C2}"/>
    <cellStyle name="60% - Ênfase1 4 6" xfId="3718" xr:uid="{D110BCAE-3BE6-4426-BACC-3F4724B21E84}"/>
    <cellStyle name="60% - Ênfase1 5" xfId="109" xr:uid="{2F528672-70D5-4EFA-B7D1-0EBDBEE0CB65}"/>
    <cellStyle name="60% - Ênfase1 5 2" xfId="715" xr:uid="{186747E1-C279-4EE2-9349-03442FA3CAE0}"/>
    <cellStyle name="60% - Ênfase1 5 2 2" xfId="1318" xr:uid="{0C1BAAB4-935F-44E0-A344-3D845D58ECD0}"/>
    <cellStyle name="60% - Ênfase1 5 2 2 2" xfId="3170" xr:uid="{2F9BE2C7-61BC-4B41-A951-6C8883B6FA75}"/>
    <cellStyle name="60% - Ênfase1 5 2 2 2 2" xfId="6798" xr:uid="{98154034-3B27-4B4E-B0C2-E174BFCE0E6B}"/>
    <cellStyle name="60% - Ênfase1 5 2 2 3" xfId="4946" xr:uid="{C76CD909-FCDF-475F-827F-29AEAFB70D07}"/>
    <cellStyle name="60% - Ênfase1 5 2 3" xfId="2243" xr:uid="{10EA01E1-1129-4224-BBC6-671C4921BDDF}"/>
    <cellStyle name="60% - Ênfase1 5 2 3 2" xfId="5871" xr:uid="{8B4A2656-6BBB-4309-BE12-2AB8D8F02D2D}"/>
    <cellStyle name="60% - Ênfase1 5 2 4" xfId="4343" xr:uid="{11C5A7A1-EF8E-4C25-93B0-D012864B241B}"/>
    <cellStyle name="60% - Ênfase1 5 3" xfId="391" xr:uid="{2D1B1597-3CFE-497F-8014-968C14FED19D}"/>
    <cellStyle name="60% - Ênfase1 5 3 2" xfId="1599" xr:uid="{A30BD979-5140-453B-A36F-F53D248A6501}"/>
    <cellStyle name="60% - Ênfase1 5 3 2 2" xfId="3451" xr:uid="{D7C19E8C-3F1A-4AA1-BD5F-47115E4952D4}"/>
    <cellStyle name="60% - Ênfase1 5 3 2 2 2" xfId="7079" xr:uid="{6BB3AEC4-4E7D-4E3D-861F-E962DCC2126A}"/>
    <cellStyle name="60% - Ênfase1 5 3 2 3" xfId="5227" xr:uid="{C85C78AD-DC1E-43EA-A644-FC24A8AA47F8}"/>
    <cellStyle name="60% - Ênfase1 5 3 3" xfId="2524" xr:uid="{E561A536-5D8D-444B-A5ED-29530FF32795}"/>
    <cellStyle name="60% - Ênfase1 5 3 3 2" xfId="6152" xr:uid="{3B8C5071-0C4A-4BFB-A7A8-2D5473943866}"/>
    <cellStyle name="60% - Ênfase1 5 3 4" xfId="4020" xr:uid="{3BEEE0D3-30C9-41EA-81D1-348D3CC19B84}"/>
    <cellStyle name="60% - Ênfase1 5 4" xfId="996" xr:uid="{66D612DE-A2FD-4112-8656-7309D3CC3F14}"/>
    <cellStyle name="60% - Ênfase1 5 4 2" xfId="2848" xr:uid="{0A5BAFF2-0688-4A30-BDEC-509CC75BAEFD}"/>
    <cellStyle name="60% - Ênfase1 5 4 2 2" xfId="6476" xr:uid="{867CD93A-9592-4429-B64C-EF98D5BB4581}"/>
    <cellStyle name="60% - Ênfase1 5 4 3" xfId="4624" xr:uid="{ECB744FA-D9AC-4738-9260-DBA22CF963F2}"/>
    <cellStyle name="60% - Ênfase1 5 5" xfId="1921" xr:uid="{D08E5F36-F04B-4E64-85B6-ACD9A3A44C4A}"/>
    <cellStyle name="60% - Ênfase1 5 5 2" xfId="5549" xr:uid="{9662F7FF-B010-4011-BF3F-ACAF2ED05B2E}"/>
    <cellStyle name="60% - Ênfase1 5 6" xfId="3738" xr:uid="{CC629856-6F86-4376-8154-A002FD3CEDED}"/>
    <cellStyle name="60% - Ênfase1 6" xfId="129" xr:uid="{2954CB06-35F2-4726-A373-604EAC8498A5}"/>
    <cellStyle name="60% - Ênfase1 6 2" xfId="735" xr:uid="{EA9479C0-0A5C-404B-9F68-C42B9B9B09F6}"/>
    <cellStyle name="60% - Ênfase1 6 2 2" xfId="1338" xr:uid="{28049ED7-58A8-492B-9464-94F9FF6A0459}"/>
    <cellStyle name="60% - Ênfase1 6 2 2 2" xfId="3190" xr:uid="{54064CEE-3C0D-4829-9990-F2BB14E9DCD4}"/>
    <cellStyle name="60% - Ênfase1 6 2 2 2 2" xfId="6818" xr:uid="{58DD64EC-7B72-496F-84D4-76F0A813793B}"/>
    <cellStyle name="60% - Ênfase1 6 2 2 3" xfId="4966" xr:uid="{F12A5940-A940-4864-BEFC-BAFC6EB50C16}"/>
    <cellStyle name="60% - Ênfase1 6 2 3" xfId="2263" xr:uid="{7CE96259-F699-4FD6-A017-9131CF5C3F56}"/>
    <cellStyle name="60% - Ênfase1 6 2 3 2" xfId="5891" xr:uid="{E7B0B8EB-BF2A-4959-ABF3-142910CFD25F}"/>
    <cellStyle name="60% - Ênfase1 6 2 4" xfId="4363" xr:uid="{91EFD9FF-02AC-4975-9564-284E9E9F420D}"/>
    <cellStyle name="60% - Ênfase1 6 3" xfId="411" xr:uid="{4D4896A3-6D44-4390-8B42-66847D8046BC}"/>
    <cellStyle name="60% - Ênfase1 6 3 2" xfId="1567" xr:uid="{14926C7B-4D18-4FDD-BA77-D7AD4DB28465}"/>
    <cellStyle name="60% - Ênfase1 6 3 2 2" xfId="3419" xr:uid="{5CCB042A-615E-485A-9E35-F5261A438C43}"/>
    <cellStyle name="60% - Ênfase1 6 3 2 2 2" xfId="7047" xr:uid="{57B5B558-2AE0-4A1E-9868-A31F4EFD996F}"/>
    <cellStyle name="60% - Ênfase1 6 3 2 3" xfId="5195" xr:uid="{172FBBE7-9482-408E-894A-912E651727F0}"/>
    <cellStyle name="60% - Ênfase1 6 3 3" xfId="2492" xr:uid="{8A99BEC6-6D29-4942-B0E7-A0DDC700EDC3}"/>
    <cellStyle name="60% - Ênfase1 6 3 3 2" xfId="6120" xr:uid="{437A4994-F7C9-4265-AEA1-3060B3DE9BA3}"/>
    <cellStyle name="60% - Ênfase1 6 3 4" xfId="4040" xr:uid="{20D0A603-DE0B-4BB4-9B06-5F6B29C72C20}"/>
    <cellStyle name="60% - Ênfase1 6 4" xfId="1016" xr:uid="{F1137AAB-7A8F-4360-A57F-15DC724E96BB}"/>
    <cellStyle name="60% - Ênfase1 6 4 2" xfId="2868" xr:uid="{FCB22872-96C1-4EBD-A0DA-C5DB1DA772AA}"/>
    <cellStyle name="60% - Ênfase1 6 4 2 2" xfId="6496" xr:uid="{4E761633-F4DC-4A3D-893C-0D02B378BE16}"/>
    <cellStyle name="60% - Ênfase1 6 4 3" xfId="4644" xr:uid="{34CAF4EB-1C6F-46E1-9E56-383EDFAEB43C}"/>
    <cellStyle name="60% - Ênfase1 6 5" xfId="1941" xr:uid="{99C9A8C2-D0CE-426A-881E-8A7D81FC6247}"/>
    <cellStyle name="60% - Ênfase1 6 5 2" xfId="5569" xr:uid="{4F56035B-15FD-45CF-839B-1A220D37FD2B}"/>
    <cellStyle name="60% - Ênfase1 6 6" xfId="3758" xr:uid="{ACE96B89-31F9-46C3-9368-61DB1F33DB5B}"/>
    <cellStyle name="60% - Ênfase1 7" xfId="149" xr:uid="{C375077F-8826-400B-BF8F-07804DD5C1C6}"/>
    <cellStyle name="60% - Ênfase1 7 2" xfId="755" xr:uid="{3411938F-B6A7-488A-BA14-F1DF8E54348A}"/>
    <cellStyle name="60% - Ênfase1 7 2 2" xfId="1358" xr:uid="{7FE75BA9-575C-408F-BE65-A647791E6928}"/>
    <cellStyle name="60% - Ênfase1 7 2 2 2" xfId="3210" xr:uid="{7E5298F8-EBE8-464E-9A76-5259BAF9879C}"/>
    <cellStyle name="60% - Ênfase1 7 2 2 2 2" xfId="6838" xr:uid="{EE3E8CBB-B90A-4A6E-93BE-C63D3D3C2B02}"/>
    <cellStyle name="60% - Ênfase1 7 2 2 3" xfId="4986" xr:uid="{F3FECA29-F892-485C-B31D-388395DD7283}"/>
    <cellStyle name="60% - Ênfase1 7 2 3" xfId="2283" xr:uid="{D0147F39-71DE-4F15-8F13-65424B843EF9}"/>
    <cellStyle name="60% - Ênfase1 7 2 3 2" xfId="5911" xr:uid="{E6509CA9-D5D1-43AF-9A7B-2000D96AE2D9}"/>
    <cellStyle name="60% - Ênfase1 7 2 4" xfId="4383" xr:uid="{CA38B8CA-1AF9-4D01-B658-D30D8125189B}"/>
    <cellStyle name="60% - Ênfase1 7 3" xfId="431" xr:uid="{F581E834-BAE6-4A2D-96F0-BE2FB350612D}"/>
    <cellStyle name="60% - Ênfase1 7 3 2" xfId="1634" xr:uid="{2ACE9A47-B3F5-4D47-9AFA-D74A9D912143}"/>
    <cellStyle name="60% - Ênfase1 7 3 2 2" xfId="3486" xr:uid="{53933154-CF72-4E89-A77C-3E6E665A0C77}"/>
    <cellStyle name="60% - Ênfase1 7 3 2 2 2" xfId="7114" xr:uid="{731BB0D4-C30E-4BC4-A7DB-1933B17B217F}"/>
    <cellStyle name="60% - Ênfase1 7 3 2 3" xfId="5262" xr:uid="{A7A108BF-6BCF-4C93-BA88-552BA890EFAA}"/>
    <cellStyle name="60% - Ênfase1 7 3 3" xfId="2559" xr:uid="{CE27F43A-8209-4DB9-B900-05DEE1C5C9C2}"/>
    <cellStyle name="60% - Ênfase1 7 3 3 2" xfId="6187" xr:uid="{461DF044-CC12-4432-9A11-6702536E89C2}"/>
    <cellStyle name="60% - Ênfase1 7 3 4" xfId="4060" xr:uid="{9E7AE56A-EED6-4C4A-AED9-6892856FC6B5}"/>
    <cellStyle name="60% - Ênfase1 7 4" xfId="1036" xr:uid="{795DDB67-9041-402F-88C8-4F37D537521D}"/>
    <cellStyle name="60% - Ênfase1 7 4 2" xfId="2888" xr:uid="{B4983EBA-EBDB-4B72-B347-3879BF6D65EF}"/>
    <cellStyle name="60% - Ênfase1 7 4 2 2" xfId="6516" xr:uid="{6598C3F6-8641-4A6F-84C9-F91BAC3E070E}"/>
    <cellStyle name="60% - Ênfase1 7 4 3" xfId="4664" xr:uid="{CC41D3A9-1787-46AE-BB5B-F475FAB0FD88}"/>
    <cellStyle name="60% - Ênfase1 7 5" xfId="1961" xr:uid="{D2770897-7144-48FC-A46D-30DD51F3CF55}"/>
    <cellStyle name="60% - Ênfase1 7 5 2" xfId="5589" xr:uid="{2AD9C513-9E45-4E2D-83A6-6C0C6C48901B}"/>
    <cellStyle name="60% - Ênfase1 7 6" xfId="3778" xr:uid="{45E5EFF7-C251-4CF6-B56B-3B0036721CF7}"/>
    <cellStyle name="60% - Ênfase1 8" xfId="169" xr:uid="{8BC7AED0-1394-45AC-8366-EC11A52F79CF}"/>
    <cellStyle name="60% - Ênfase1 8 2" xfId="775" xr:uid="{4ADCA263-070E-4BCB-ABA0-6747CA5CA37B}"/>
    <cellStyle name="60% - Ênfase1 8 2 2" xfId="1378" xr:uid="{2B04D729-E56F-4BD4-9942-01F7289B5A53}"/>
    <cellStyle name="60% - Ênfase1 8 2 2 2" xfId="3230" xr:uid="{A7EA433E-B205-45C1-B7F0-75117E4962E7}"/>
    <cellStyle name="60% - Ênfase1 8 2 2 2 2" xfId="6858" xr:uid="{6CDBBA16-48A8-4F44-BB37-A406B6552E26}"/>
    <cellStyle name="60% - Ênfase1 8 2 2 3" xfId="5006" xr:uid="{298D818C-7339-44E0-AB21-98A13A3F5DE2}"/>
    <cellStyle name="60% - Ênfase1 8 2 3" xfId="2303" xr:uid="{2C2562B4-51BA-45BD-84FD-22105287E91C}"/>
    <cellStyle name="60% - Ênfase1 8 2 3 2" xfId="5931" xr:uid="{5D10A8A4-0C74-47E2-A424-0FAE1B3F8425}"/>
    <cellStyle name="60% - Ênfase1 8 2 4" xfId="4403" xr:uid="{BE48F764-0890-4DFD-B6C3-2EBF4539859D}"/>
    <cellStyle name="60% - Ênfase1 8 3" xfId="451" xr:uid="{B31219A4-EF13-40AE-9E42-5330DC65207B}"/>
    <cellStyle name="60% - Ênfase1 8 3 2" xfId="1749" xr:uid="{152BCFE0-09B9-40B4-89FB-0665031774CA}"/>
    <cellStyle name="60% - Ênfase1 8 3 2 2" xfId="3562" xr:uid="{C63ED201-571B-4DD9-8914-B501182C16BB}"/>
    <cellStyle name="60% - Ênfase1 8 3 2 2 2" xfId="7190" xr:uid="{6BB10753-BFB2-4101-84D2-B34D8931A2DF}"/>
    <cellStyle name="60% - Ênfase1 8 3 2 3" xfId="5377" xr:uid="{2F3E6631-28CA-4F19-B702-FBEABA578C2D}"/>
    <cellStyle name="60% - Ênfase1 8 3 3" xfId="2674" xr:uid="{C0D210BC-B5CC-4E28-954A-FD7155AD97B7}"/>
    <cellStyle name="60% - Ênfase1 8 3 3 2" xfId="6302" xr:uid="{D84A808D-AE60-493F-8A26-E01CBDCC6CCA}"/>
    <cellStyle name="60% - Ênfase1 8 3 4" xfId="4080" xr:uid="{C875EC67-1A7E-4EF6-8EA4-90EBA9636B49}"/>
    <cellStyle name="60% - Ênfase1 8 4" xfId="1056" xr:uid="{6B66B902-91C6-4EDD-AED5-A6828D1434CE}"/>
    <cellStyle name="60% - Ênfase1 8 4 2" xfId="2908" xr:uid="{24E931A5-F1B1-44D4-A217-740A400449F9}"/>
    <cellStyle name="60% - Ênfase1 8 4 2 2" xfId="6536" xr:uid="{3CE26DE7-16EF-4789-93AB-DBA96307C214}"/>
    <cellStyle name="60% - Ênfase1 8 4 3" xfId="4684" xr:uid="{3F9107BA-C084-4C26-BA57-3C4E957A98EB}"/>
    <cellStyle name="60% - Ênfase1 8 5" xfId="1981" xr:uid="{23E7F2D8-10B1-4F76-8BF0-2DA554CF4586}"/>
    <cellStyle name="60% - Ênfase1 8 5 2" xfId="5609" xr:uid="{490BA808-9965-4B20-90C7-C6208BC7F76F}"/>
    <cellStyle name="60% - Ênfase1 8 6" xfId="3798" xr:uid="{D9DF015E-B379-4304-B4C1-8E780C8DA569}"/>
    <cellStyle name="60% - Ênfase1 9" xfId="189" xr:uid="{C9B1557A-23EE-4D84-85E9-4F1FD983E66B}"/>
    <cellStyle name="60% - Ênfase1 9 2" xfId="795" xr:uid="{07B145E5-BA2B-49D9-8D17-A553CC78CB20}"/>
    <cellStyle name="60% - Ênfase1 9 2 2" xfId="1398" xr:uid="{5E553E11-7B62-4E83-9C2D-9B6614034ED3}"/>
    <cellStyle name="60% - Ênfase1 9 2 2 2" xfId="3250" xr:uid="{39A04989-DB96-428E-BF91-5EDF7B343CE6}"/>
    <cellStyle name="60% - Ênfase1 9 2 2 2 2" xfId="6878" xr:uid="{CFC74E00-86AE-498A-9EAD-EB3D572F4855}"/>
    <cellStyle name="60% - Ênfase1 9 2 2 3" xfId="5026" xr:uid="{98A71431-9D21-49A9-B29C-CC1D4046E666}"/>
    <cellStyle name="60% - Ênfase1 9 2 3" xfId="2323" xr:uid="{E5EFD736-D979-46EF-B1F2-8A3A7B935583}"/>
    <cellStyle name="60% - Ênfase1 9 2 3 2" xfId="5951" xr:uid="{7C97E913-E30F-4384-8374-3C2C8B061B6F}"/>
    <cellStyle name="60% - Ênfase1 9 2 4" xfId="4423" xr:uid="{16D1ED82-66B8-4410-89C8-9C63D56B8547}"/>
    <cellStyle name="60% - Ênfase1 9 3" xfId="471" xr:uid="{C12418A5-5B8A-48B4-8C91-4D9727A54104}"/>
    <cellStyle name="60% - Ênfase1 9 3 2" xfId="1535" xr:uid="{8F420F19-B3CC-44A8-95C3-17F7D7F5D9A7}"/>
    <cellStyle name="60% - Ênfase1 9 3 2 2" xfId="3387" xr:uid="{D3D46C02-C830-42DD-8C8E-CA0CB1589453}"/>
    <cellStyle name="60% - Ênfase1 9 3 2 2 2" xfId="7015" xr:uid="{6750EEC4-FAF3-425D-8B83-582DF4317BF2}"/>
    <cellStyle name="60% - Ênfase1 9 3 2 3" xfId="5163" xr:uid="{8D15501E-2C7F-4A43-9B37-316F99C1EFBC}"/>
    <cellStyle name="60% - Ênfase1 9 3 3" xfId="2460" xr:uid="{87852BE4-894D-47A1-BACF-0024B0CD0E04}"/>
    <cellStyle name="60% - Ênfase1 9 3 3 2" xfId="6088" xr:uid="{356E3EA2-0CB7-48E6-B5A0-C9B8EDFE9B40}"/>
    <cellStyle name="60% - Ênfase1 9 3 4" xfId="4100" xr:uid="{7D08AE79-14FB-46D3-BC93-BC4B8D6AAB64}"/>
    <cellStyle name="60% - Ênfase1 9 4" xfId="1076" xr:uid="{80F30F06-0DAB-4817-8F6E-800A4C433928}"/>
    <cellStyle name="60% - Ênfase1 9 4 2" xfId="2928" xr:uid="{E85B0D38-C5CD-4A8C-A2F2-228DFBA7CEF6}"/>
    <cellStyle name="60% - Ênfase1 9 4 2 2" xfId="6556" xr:uid="{4B64BBCB-4CF9-469D-A2C9-39CAC2E479AB}"/>
    <cellStyle name="60% - Ênfase1 9 4 3" xfId="4704" xr:uid="{860E58B1-C8F0-412D-BCBE-4E2B22715D05}"/>
    <cellStyle name="60% - Ênfase1 9 5" xfId="2001" xr:uid="{79C65451-5FFE-462C-AF5D-876798545EAF}"/>
    <cellStyle name="60% - Ênfase1 9 5 2" xfId="5629" xr:uid="{9947D2C0-E8DF-4D4D-BBEE-47E8D24D5405}"/>
    <cellStyle name="60% - Ênfase1 9 6" xfId="3818" xr:uid="{EA98C3E0-FEFD-4830-A278-78D550BCECA8}"/>
    <cellStyle name="60% - Ênfase2" xfId="25" builtinId="36" customBuiltin="1"/>
    <cellStyle name="60% - Ênfase2 10" xfId="213" xr:uid="{7A8371DE-F3AC-4F9D-A85D-45941461D2D1}"/>
    <cellStyle name="60% - Ênfase2 10 2" xfId="819" xr:uid="{F0157E35-39E0-400F-82D8-724AC976F781}"/>
    <cellStyle name="60% - Ênfase2 10 2 2" xfId="1422" xr:uid="{9E4C3754-FDEB-42CB-9A29-F343FCB2751D}"/>
    <cellStyle name="60% - Ênfase2 10 2 2 2" xfId="3274" xr:uid="{9F7D01DB-35E6-4630-B6C2-63D84DDFC14C}"/>
    <cellStyle name="60% - Ênfase2 10 2 2 2 2" xfId="6902" xr:uid="{607A89C2-1ED6-4FC9-90F0-3E9680DB4F75}"/>
    <cellStyle name="60% - Ênfase2 10 2 2 3" xfId="5050" xr:uid="{0AF19313-2FC1-4DB0-92A8-57B70821A4C9}"/>
    <cellStyle name="60% - Ênfase2 10 2 3" xfId="2347" xr:uid="{3440B2F2-60D7-4DEF-90B7-B979B640990F}"/>
    <cellStyle name="60% - Ênfase2 10 2 3 2" xfId="5975" xr:uid="{AFDBCE13-32B5-4F62-BA22-253F105D8284}"/>
    <cellStyle name="60% - Ênfase2 10 2 4" xfId="4447" xr:uid="{4D388D06-AA4B-41D4-B676-77B75851A17B}"/>
    <cellStyle name="60% - Ênfase2 10 3" xfId="495" xr:uid="{7D8F4AD7-9B44-4A7B-B7FD-DAF23A0AE4F7}"/>
    <cellStyle name="60% - Ênfase2 10 3 2" xfId="1571" xr:uid="{DD76CB5C-0082-4189-970C-35BED7D08F20}"/>
    <cellStyle name="60% - Ênfase2 10 3 2 2" xfId="3423" xr:uid="{E5EE0202-D7BD-497B-B8E5-CDCDB6219612}"/>
    <cellStyle name="60% - Ênfase2 10 3 2 2 2" xfId="7051" xr:uid="{0A168326-C68F-4BBD-ACC5-C085D41041FD}"/>
    <cellStyle name="60% - Ênfase2 10 3 2 3" xfId="5199" xr:uid="{94B475BD-F3ED-4AFA-8ED9-37BACCD775AD}"/>
    <cellStyle name="60% - Ênfase2 10 3 3" xfId="2496" xr:uid="{F433C60A-E941-406D-BFA2-315DA433E837}"/>
    <cellStyle name="60% - Ênfase2 10 3 3 2" xfId="6124" xr:uid="{8CB3CBB4-7F35-4E80-9F4F-FEAD6864A7D5}"/>
    <cellStyle name="60% - Ênfase2 10 3 4" xfId="4124" xr:uid="{EB700D41-A563-4D87-A568-CA7BFB7CBAE3}"/>
    <cellStyle name="60% - Ênfase2 10 4" xfId="1100" xr:uid="{CD3EB239-F774-46A6-9122-216658FDFF25}"/>
    <cellStyle name="60% - Ênfase2 10 4 2" xfId="2952" xr:uid="{E0ECFC71-24D2-42CF-9573-0F57B3B42442}"/>
    <cellStyle name="60% - Ênfase2 10 4 2 2" xfId="6580" xr:uid="{B668A036-C4D7-4F34-8EEB-8D75757D84D5}"/>
    <cellStyle name="60% - Ênfase2 10 4 3" xfId="4728" xr:uid="{719D9C44-5D42-445B-9E80-60B55F991649}"/>
    <cellStyle name="60% - Ênfase2 10 5" xfId="2025" xr:uid="{A7E52405-4522-4DE9-AA8A-522ED6EAABE2}"/>
    <cellStyle name="60% - Ênfase2 10 5 2" xfId="5653" xr:uid="{15B13983-80C5-408B-A1D8-172F59B892A4}"/>
    <cellStyle name="60% - Ênfase2 10 6" xfId="3842" xr:uid="{B012FC63-C707-414B-9E91-64F2D6D22CB2}"/>
    <cellStyle name="60% - Ênfase2 11" xfId="233" xr:uid="{82870B6D-7E45-40E8-97DC-BE535545823F}"/>
    <cellStyle name="60% - Ênfase2 11 2" xfId="839" xr:uid="{32459212-1491-4886-B99F-3531055EB7EE}"/>
    <cellStyle name="60% - Ênfase2 11 2 2" xfId="1442" xr:uid="{BAB7EF09-53DD-4897-9A19-67FA3EB6EFD9}"/>
    <cellStyle name="60% - Ênfase2 11 2 2 2" xfId="3294" xr:uid="{BAD6DBA9-3CE1-4385-82D2-10D90062209B}"/>
    <cellStyle name="60% - Ênfase2 11 2 2 2 2" xfId="6922" xr:uid="{D7FE49AC-F1CC-4A14-A335-3B9998323A18}"/>
    <cellStyle name="60% - Ênfase2 11 2 2 3" xfId="5070" xr:uid="{6960137E-7C8B-4F13-830F-D8721C24557B}"/>
    <cellStyle name="60% - Ênfase2 11 2 3" xfId="2367" xr:uid="{9F55CCE6-13DA-427F-A581-983BE16886EC}"/>
    <cellStyle name="60% - Ênfase2 11 2 3 2" xfId="5995" xr:uid="{6E6B3184-54E0-4335-A825-09CEBD47313C}"/>
    <cellStyle name="60% - Ênfase2 11 2 4" xfId="4467" xr:uid="{64665C74-ADAB-4748-AC95-5D895C21B532}"/>
    <cellStyle name="60% - Ênfase2 11 3" xfId="515" xr:uid="{D6D46FBD-A7D8-4AF1-BDFD-A8DE4DE3A166}"/>
    <cellStyle name="60% - Ênfase2 11 3 2" xfId="1727" xr:uid="{33565FE1-2676-4E70-8692-31B03FE16DA8}"/>
    <cellStyle name="60% - Ênfase2 11 3 2 2" xfId="3540" xr:uid="{06AB2BA7-6ADB-435D-88A4-9C3A463C9D02}"/>
    <cellStyle name="60% - Ênfase2 11 3 2 2 2" xfId="7168" xr:uid="{680FA301-8580-4653-B908-4223EED5CECB}"/>
    <cellStyle name="60% - Ênfase2 11 3 2 3" xfId="5355" xr:uid="{6522779E-8F42-4330-8552-962C24C68E70}"/>
    <cellStyle name="60% - Ênfase2 11 3 3" xfId="2652" xr:uid="{1EA0042A-3ECF-4571-A2B9-7FC329F1D5D0}"/>
    <cellStyle name="60% - Ênfase2 11 3 3 2" xfId="6280" xr:uid="{4D43A668-E627-44BF-9FA0-9D593D9F0B0F}"/>
    <cellStyle name="60% - Ênfase2 11 3 4" xfId="4144" xr:uid="{D85B65D5-1E3B-4DCC-8127-440FA51AC91D}"/>
    <cellStyle name="60% - Ênfase2 11 4" xfId="1120" xr:uid="{FD76A501-7D57-40EB-8A12-0B82D7DF96FE}"/>
    <cellStyle name="60% - Ênfase2 11 4 2" xfId="2972" xr:uid="{2EBAF29C-4ED9-4E8C-B1DB-472D4AC5DD32}"/>
    <cellStyle name="60% - Ênfase2 11 4 2 2" xfId="6600" xr:uid="{E92DFEC3-A544-455C-860B-4A7F47C87A91}"/>
    <cellStyle name="60% - Ênfase2 11 4 3" xfId="4748" xr:uid="{0FC50B80-F368-4321-B3D6-D51E1E7EA10F}"/>
    <cellStyle name="60% - Ênfase2 11 5" xfId="2045" xr:uid="{63795BDD-7E61-4686-B83C-ED80C54FA581}"/>
    <cellStyle name="60% - Ênfase2 11 5 2" xfId="5673" xr:uid="{FFBBA831-CBE8-4ECE-9778-7F0D5BCD02DF}"/>
    <cellStyle name="60% - Ênfase2 11 6" xfId="3862" xr:uid="{9B420D3A-ACDE-4CCF-B35C-5984BDF254E2}"/>
    <cellStyle name="60% - Ênfase2 12" xfId="253" xr:uid="{8B9924CB-13CC-496E-8765-A4386CEAD30F}"/>
    <cellStyle name="60% - Ênfase2 12 2" xfId="859" xr:uid="{07DE1340-0B0B-4349-AE18-0CBE640EF042}"/>
    <cellStyle name="60% - Ênfase2 12 2 2" xfId="1462" xr:uid="{64336478-BD32-42B4-907E-F6AFC8023844}"/>
    <cellStyle name="60% - Ênfase2 12 2 2 2" xfId="3314" xr:uid="{3168A115-466E-413A-ADA7-06C71F52BD92}"/>
    <cellStyle name="60% - Ênfase2 12 2 2 2 2" xfId="6942" xr:uid="{57ACB7FE-4D02-45FB-98B2-7FEEF7135725}"/>
    <cellStyle name="60% - Ênfase2 12 2 2 3" xfId="5090" xr:uid="{657E8125-A355-40D4-979F-EDE0AD24D2C2}"/>
    <cellStyle name="60% - Ênfase2 12 2 3" xfId="2387" xr:uid="{390C4BD8-1D56-41E4-ABF2-0FA879C7B4AD}"/>
    <cellStyle name="60% - Ênfase2 12 2 3 2" xfId="6015" xr:uid="{84703203-03F6-467E-93F6-ECD812F167C1}"/>
    <cellStyle name="60% - Ênfase2 12 2 4" xfId="4487" xr:uid="{1C268387-C5F6-415A-BC13-DDA3FEB7F674}"/>
    <cellStyle name="60% - Ênfase2 12 3" xfId="535" xr:uid="{2DBB1C61-2F54-4748-8032-8E352D496F65}"/>
    <cellStyle name="60% - Ênfase2 12 3 2" xfId="1697" xr:uid="{30E2401E-ABF5-47BA-A73E-F2313F7ADA5A}"/>
    <cellStyle name="60% - Ênfase2 12 3 2 2" xfId="3510" xr:uid="{AA322F71-4DC3-4508-A158-C0B4D7B4051F}"/>
    <cellStyle name="60% - Ênfase2 12 3 2 2 2" xfId="7138" xr:uid="{53749DED-16D9-41C2-AC17-3D23A459BBEB}"/>
    <cellStyle name="60% - Ênfase2 12 3 2 3" xfId="5325" xr:uid="{DEA70FD5-783C-4E20-A943-DAF6A6D51B27}"/>
    <cellStyle name="60% - Ênfase2 12 3 3" xfId="2622" xr:uid="{DED9A642-22CC-4F0C-8F98-C07B90C96D87}"/>
    <cellStyle name="60% - Ênfase2 12 3 3 2" xfId="6250" xr:uid="{37045BE7-5113-4A74-A472-53487699AF70}"/>
    <cellStyle name="60% - Ênfase2 12 3 4" xfId="4164" xr:uid="{4019722C-24DF-41C8-AD38-B2525637D5D7}"/>
    <cellStyle name="60% - Ênfase2 12 4" xfId="1140" xr:uid="{CC6B3A3A-DE66-4017-A0D4-CEC8A34BC04C}"/>
    <cellStyle name="60% - Ênfase2 12 4 2" xfId="2992" xr:uid="{31DB85AA-51A1-45C6-AA65-EBC8DD40A1C6}"/>
    <cellStyle name="60% - Ênfase2 12 4 2 2" xfId="6620" xr:uid="{6277B153-9FA6-4FF1-94D4-CF758E879CCD}"/>
    <cellStyle name="60% - Ênfase2 12 4 3" xfId="4768" xr:uid="{9CE86E34-FDE4-4C92-BEF8-558107DD621D}"/>
    <cellStyle name="60% - Ênfase2 12 5" xfId="2065" xr:uid="{F9FABA9B-E5B9-40E7-825D-CCD37187F6CA}"/>
    <cellStyle name="60% - Ênfase2 12 5 2" xfId="5693" xr:uid="{96ADACCC-CE40-41F0-AC95-99650000F18B}"/>
    <cellStyle name="60% - Ênfase2 12 6" xfId="3882" xr:uid="{CBAAFEC7-D357-4DAA-950C-2F367F5DDDB4}"/>
    <cellStyle name="60% - Ênfase2 13" xfId="273" xr:uid="{A7330128-2C8E-428A-9122-2A9F0DDE6F89}"/>
    <cellStyle name="60% - Ênfase2 13 2" xfId="879" xr:uid="{15F48659-749E-4FF6-B0D5-A39A2047F431}"/>
    <cellStyle name="60% - Ênfase2 13 2 2" xfId="1482" xr:uid="{9145E473-8D30-4EE4-9B16-137C3E1018EB}"/>
    <cellStyle name="60% - Ênfase2 13 2 2 2" xfId="3334" xr:uid="{4EBAA838-DBF5-454E-A982-616918D1592E}"/>
    <cellStyle name="60% - Ênfase2 13 2 2 2 2" xfId="6962" xr:uid="{9C587B09-210D-4ACD-B429-04A5911F1B1F}"/>
    <cellStyle name="60% - Ênfase2 13 2 2 3" xfId="5110" xr:uid="{707F7D09-1A37-4A04-A821-3752B4DEADAA}"/>
    <cellStyle name="60% - Ênfase2 13 2 3" xfId="2407" xr:uid="{D2FD6303-7292-45B1-AF0E-B29EAF89D132}"/>
    <cellStyle name="60% - Ênfase2 13 2 3 2" xfId="6035" xr:uid="{8F5FB982-9919-4D4E-B65D-5DABC1C91DC5}"/>
    <cellStyle name="60% - Ênfase2 13 2 4" xfId="4507" xr:uid="{5FB51E11-678F-495E-ADC6-2FD2F5BE849A}"/>
    <cellStyle name="60% - Ênfase2 13 3" xfId="555" xr:uid="{337CFAEF-BAA2-428F-828A-45DA7FE3A310}"/>
    <cellStyle name="60% - Ênfase2 13 3 2" xfId="1712" xr:uid="{0C9E089A-3F24-4F60-8539-39B0A1C0625E}"/>
    <cellStyle name="60% - Ênfase2 13 3 2 2" xfId="3525" xr:uid="{E7D5F665-3C2D-439D-BDCD-ED6EC5505F4D}"/>
    <cellStyle name="60% - Ênfase2 13 3 2 2 2" xfId="7153" xr:uid="{5ED30D36-4A46-4B84-AB66-089907A975D5}"/>
    <cellStyle name="60% - Ênfase2 13 3 2 3" xfId="5340" xr:uid="{CDB5E9E9-F8F5-44E4-8EF9-32460C223C5D}"/>
    <cellStyle name="60% - Ênfase2 13 3 3" xfId="2637" xr:uid="{7C29F8E4-8012-4A65-A8EF-3A95EAA3035D}"/>
    <cellStyle name="60% - Ênfase2 13 3 3 2" xfId="6265" xr:uid="{3A605924-2373-4AB2-86D1-9DC7AF08F8FD}"/>
    <cellStyle name="60% - Ênfase2 13 3 4" xfId="4184" xr:uid="{BDE4DCC8-EBBD-47CD-AF00-E97213905340}"/>
    <cellStyle name="60% - Ênfase2 13 4" xfId="1160" xr:uid="{757651C7-ADC5-47BF-8365-AEDE646259DD}"/>
    <cellStyle name="60% - Ênfase2 13 4 2" xfId="3012" xr:uid="{D5BB185D-66E2-4D54-901D-AD6759397658}"/>
    <cellStyle name="60% - Ênfase2 13 4 2 2" xfId="6640" xr:uid="{0117569B-4804-48B2-B641-D1A7196F7247}"/>
    <cellStyle name="60% - Ênfase2 13 4 3" xfId="4788" xr:uid="{57E471ED-FB94-4FD6-9086-BD91BDAFCB24}"/>
    <cellStyle name="60% - Ênfase2 13 5" xfId="2085" xr:uid="{4B98FA9E-5CD8-497B-874E-782B3931FC7F}"/>
    <cellStyle name="60% - Ênfase2 13 5 2" xfId="5713" xr:uid="{B5EBDEB1-FCBE-44F2-8425-FE166F0C4EB0}"/>
    <cellStyle name="60% - Ênfase2 13 6" xfId="3902" xr:uid="{2BE22324-D1EC-4967-8112-C6F9592196D4}"/>
    <cellStyle name="60% - Ênfase2 14" xfId="293" xr:uid="{C9618BB4-3055-4E00-919B-70594187B952}"/>
    <cellStyle name="60% - Ênfase2 14 2" xfId="899" xr:uid="{3A9EEF98-CF3C-40D9-BDFE-F604711A951A}"/>
    <cellStyle name="60% - Ênfase2 14 2 2" xfId="1502" xr:uid="{570CF9BE-7C30-4C88-98EB-D5C431F28EE7}"/>
    <cellStyle name="60% - Ênfase2 14 2 2 2" xfId="3354" xr:uid="{D94975B2-AA3A-4D73-A3CD-9522E8CFDD00}"/>
    <cellStyle name="60% - Ênfase2 14 2 2 2 2" xfId="6982" xr:uid="{335442E7-0B8E-48E4-B941-9C0AC52B6EF9}"/>
    <cellStyle name="60% - Ênfase2 14 2 2 3" xfId="5130" xr:uid="{8D3C7B93-3CF7-4F64-AB3D-A1BBAD58EA6E}"/>
    <cellStyle name="60% - Ênfase2 14 2 3" xfId="2427" xr:uid="{1E5A2A5A-41A1-4C0F-A905-BA105F3B3D76}"/>
    <cellStyle name="60% - Ênfase2 14 2 3 2" xfId="6055" xr:uid="{32388661-91BD-4534-93F6-1EE46DF5E814}"/>
    <cellStyle name="60% - Ênfase2 14 2 4" xfId="4527" xr:uid="{4EFD5EA5-97B5-43DB-8C5B-A169D7A7FDE6}"/>
    <cellStyle name="60% - Ênfase2 14 3" xfId="575" xr:uid="{B6919ABA-8157-47EE-B49D-9C0F80D001F3}"/>
    <cellStyle name="60% - Ênfase2 14 3 2" xfId="1778" xr:uid="{CFD7B483-E891-487D-ABEE-642CD73BB376}"/>
    <cellStyle name="60% - Ênfase2 14 3 2 2" xfId="3591" xr:uid="{5543AC35-C729-413F-92B7-AD41A9044F29}"/>
    <cellStyle name="60% - Ênfase2 14 3 2 2 2" xfId="7219" xr:uid="{32DE95A0-2655-4E20-8A9C-DBC091A79BD0}"/>
    <cellStyle name="60% - Ênfase2 14 3 2 3" xfId="5406" xr:uid="{E50CA243-9199-47AD-AE7D-3C6E82DAFD67}"/>
    <cellStyle name="60% - Ênfase2 14 3 3" xfId="2703" xr:uid="{6476C234-549A-4D3D-94A7-55C565DAF3ED}"/>
    <cellStyle name="60% - Ênfase2 14 3 3 2" xfId="6331" xr:uid="{DFB727DE-DE7F-47B0-8FC4-8D486F4277F1}"/>
    <cellStyle name="60% - Ênfase2 14 3 4" xfId="4204" xr:uid="{FBA3000A-FC5B-44EB-AE94-AB250343DE99}"/>
    <cellStyle name="60% - Ênfase2 14 4" xfId="1180" xr:uid="{0F1F50D7-81AC-49EC-ACCE-EC5819C341A4}"/>
    <cellStyle name="60% - Ênfase2 14 4 2" xfId="3032" xr:uid="{13CBB73F-E557-4A62-A605-6EC9DC093231}"/>
    <cellStyle name="60% - Ênfase2 14 4 2 2" xfId="6660" xr:uid="{0CD0E787-42ED-464C-A331-C91C29B3C8A5}"/>
    <cellStyle name="60% - Ênfase2 14 4 3" xfId="4808" xr:uid="{D8CB620A-0B69-462C-8E25-EA1942D152FB}"/>
    <cellStyle name="60% - Ênfase2 14 5" xfId="2105" xr:uid="{B4A47318-689E-413F-9535-5015C8945763}"/>
    <cellStyle name="60% - Ênfase2 14 5 2" xfId="5733" xr:uid="{AFE0834A-8403-4212-9885-6B83DA81CAE3}"/>
    <cellStyle name="60% - Ênfase2 14 6" xfId="3922" xr:uid="{389F63E1-4CFB-404A-8E41-B1F8EA4FB89E}"/>
    <cellStyle name="60% - Ênfase2 15" xfId="595" xr:uid="{D70F095F-3B62-4BAC-8849-08F3508351AD}"/>
    <cellStyle name="60% - Ênfase2 15 2" xfId="1658" xr:uid="{22D26A50-2E43-4279-90F7-D135ECC0872A}"/>
    <cellStyle name="60% - Ênfase2 15 2 2" xfId="2583" xr:uid="{7B0E7CA9-F63A-471D-87D8-182AD6AEC5AD}"/>
    <cellStyle name="60% - Ênfase2 15 2 2 2" xfId="6211" xr:uid="{529CB7F5-7F4C-43BF-86AB-758A6B561D58}"/>
    <cellStyle name="60% - Ênfase2 15 2 3" xfId="5286" xr:uid="{4AEE97FE-B6A4-4DBF-9795-D5702259B9FE}"/>
    <cellStyle name="60% - Ênfase2 15 3" xfId="1200" xr:uid="{29290A0F-6B17-4910-95C9-96B68B6C11DB}"/>
    <cellStyle name="60% - Ênfase2 15 3 2" xfId="3052" xr:uid="{156B8E3D-C03A-40AF-8BA3-8E0F1F16C6AE}"/>
    <cellStyle name="60% - Ênfase2 15 3 2 2" xfId="6680" xr:uid="{6FE7B58A-6655-4884-9F7C-1BE812433B53}"/>
    <cellStyle name="60% - Ênfase2 15 3 3" xfId="4828" xr:uid="{EDA3052B-C650-484B-8E28-BE35EF1F8E8E}"/>
    <cellStyle name="60% - Ênfase2 15 4" xfId="2125" xr:uid="{57153DFD-419F-4709-9532-EB393CDAA9A3}"/>
    <cellStyle name="60% - Ênfase2 15 4 2" xfId="5753" xr:uid="{0F408030-A515-444D-8485-9658E5FDC5FC}"/>
    <cellStyle name="60% - Ênfase2 15 5" xfId="4224" xr:uid="{C860535E-6601-456F-9C93-329CB75B6AD5}"/>
    <cellStyle name="60% - Ênfase2 16" xfId="615" xr:uid="{A0A94DEA-ED8E-4B99-B38A-8BFC188C3310}"/>
    <cellStyle name="60% - Ênfase2 16 2" xfId="1678" xr:uid="{99F59C9B-0BC2-4FB9-93C1-B5B2E5D2BC87}"/>
    <cellStyle name="60% - Ênfase2 16 2 2" xfId="2603" xr:uid="{660BC1DE-CAC1-4B75-B6CB-AD5A1D38550E}"/>
    <cellStyle name="60% - Ênfase2 16 2 2 2" xfId="6231" xr:uid="{20F5AFDF-6B9B-442E-9D69-A836ECE40D2D}"/>
    <cellStyle name="60% - Ênfase2 16 2 3" xfId="5306" xr:uid="{20EB3A45-7683-4361-9E5D-666E0BEF93A2}"/>
    <cellStyle name="60% - Ênfase2 16 3" xfId="1220" xr:uid="{3B632C4B-35EF-437D-B5F2-3DD9511D73C5}"/>
    <cellStyle name="60% - Ênfase2 16 3 2" xfId="3072" xr:uid="{B2DA7C04-6337-4E8B-A696-9C64F264F496}"/>
    <cellStyle name="60% - Ênfase2 16 3 2 2" xfId="6700" xr:uid="{32804C3D-4990-4B66-B6EA-FBE43A6C50D4}"/>
    <cellStyle name="60% - Ênfase2 16 3 3" xfId="4848" xr:uid="{36AFDF3D-C9B8-4839-BEA3-91C8DA05E097}"/>
    <cellStyle name="60% - Ênfase2 16 4" xfId="2145" xr:uid="{E4A9F1D8-A974-4387-A1B3-C9B2A2C3936D}"/>
    <cellStyle name="60% - Ênfase2 16 4 2" xfId="5773" xr:uid="{2E1FBF74-9ACA-4A18-858C-3B9AD381E289}"/>
    <cellStyle name="60% - Ênfase2 16 5" xfId="4244" xr:uid="{4A213BCA-367A-42C4-9459-E9B54981DBF5}"/>
    <cellStyle name="60% - Ênfase2 17" xfId="635" xr:uid="{E88B9806-0F50-44F5-9C2F-12476D925441}"/>
    <cellStyle name="60% - Ênfase2 17 2" xfId="1239" xr:uid="{A37D8BBE-824B-4607-B710-04F450A8ED1F}"/>
    <cellStyle name="60% - Ênfase2 17 2 2" xfId="3091" xr:uid="{24A9A3F3-9A04-40F3-B045-C3970706CE37}"/>
    <cellStyle name="60% - Ênfase2 17 2 2 2" xfId="6719" xr:uid="{F57B8DC8-831E-417B-98E8-B30E45DE734F}"/>
    <cellStyle name="60% - Ênfase2 17 2 3" xfId="4867" xr:uid="{E10593B1-0B71-4456-B3C1-4B9182EE4A0A}"/>
    <cellStyle name="60% - Ênfase2 17 3" xfId="2164" xr:uid="{8C8601B9-0B47-4E69-AA6C-9A560CB1CDD7}"/>
    <cellStyle name="60% - Ênfase2 17 3 2" xfId="5792" xr:uid="{7EF9E6F5-8580-4971-9D1D-B50E85831C0B}"/>
    <cellStyle name="60% - Ênfase2 17 4" xfId="4264" xr:uid="{B88E2B2E-4822-4039-B1A9-D9717320AE94}"/>
    <cellStyle name="60% - Ênfase2 18" xfId="312" xr:uid="{5F48BE4F-3DAA-45B2-B59C-077169E75F59}"/>
    <cellStyle name="60% - Ênfase2 18 2" xfId="1602" xr:uid="{FDC47C76-1F0A-4D67-A077-EB7068B812D0}"/>
    <cellStyle name="60% - Ênfase2 18 2 2" xfId="3454" xr:uid="{4CB3C848-D4AD-4095-BC57-820E9F8ED3EB}"/>
    <cellStyle name="60% - Ênfase2 18 2 2 2" xfId="7082" xr:uid="{8029EDE3-B846-4425-9506-3AD82FF5C7CF}"/>
    <cellStyle name="60% - Ênfase2 18 2 3" xfId="5230" xr:uid="{8E50F36B-D9C9-4DED-8BDF-A1736F044398}"/>
    <cellStyle name="60% - Ênfase2 18 3" xfId="2527" xr:uid="{F832D578-281C-4FBF-9020-6620ABF0C43B}"/>
    <cellStyle name="60% - Ênfase2 18 3 2" xfId="6155" xr:uid="{2AB44676-618D-459F-BA33-5424F84E84BE}"/>
    <cellStyle name="60% - Ênfase2 18 4" xfId="3941" xr:uid="{467B5047-1E1E-4AA7-A3A1-C78752C1AF37}"/>
    <cellStyle name="60% - Ênfase2 19" xfId="917" xr:uid="{A348F299-908D-4DF6-AC5F-16F3580C7959}"/>
    <cellStyle name="60% - Ênfase2 19 2" xfId="2769" xr:uid="{E485780B-85C4-4AD1-8406-5374B60B668D}"/>
    <cellStyle name="60% - Ênfase2 19 2 2" xfId="6397" xr:uid="{D68AFF9C-ACDF-4BDA-961F-F5E4FB59CAD4}"/>
    <cellStyle name="60% - Ênfase2 19 3" xfId="4545" xr:uid="{FF02DECE-39A0-4BA9-9576-86343962027E}"/>
    <cellStyle name="60% - Ênfase2 2" xfId="52" xr:uid="{395C6812-6D64-42F6-A463-B04090A5FA33}"/>
    <cellStyle name="60% - Ênfase2 2 2" xfId="658" xr:uid="{7D610D18-655C-4ADB-B659-D8F9B4D9E730}"/>
    <cellStyle name="60% - Ênfase2 2 2 2" xfId="1261" xr:uid="{9539BF48-1734-4634-B1B2-8FEF3DD0E749}"/>
    <cellStyle name="60% - Ênfase2 2 2 2 2" xfId="3113" xr:uid="{C8F01EFE-1BA6-42EE-9D35-446D1C4B4E1D}"/>
    <cellStyle name="60% - Ênfase2 2 2 2 2 2" xfId="6741" xr:uid="{9500CAE6-3DE2-4B47-9EB9-4A971A96B56E}"/>
    <cellStyle name="60% - Ênfase2 2 2 2 3" xfId="4889" xr:uid="{309C3F36-54FE-4AB5-A303-552FD389C048}"/>
    <cellStyle name="60% - Ênfase2 2 2 3" xfId="2186" xr:uid="{968CF8D0-9536-449E-90C0-F18430DAE94F}"/>
    <cellStyle name="60% - Ênfase2 2 2 3 2" xfId="5814" xr:uid="{C419B908-1122-4531-8A1F-B322ADF18C6B}"/>
    <cellStyle name="60% - Ênfase2 2 2 4" xfId="4286" xr:uid="{DD5967B6-CDAB-41D6-8C9A-C8467F053E2E}"/>
    <cellStyle name="60% - Ênfase2 2 3" xfId="334" xr:uid="{3BCEEE36-6D8E-46AE-BBB9-8BA9E524F548}"/>
    <cellStyle name="60% - Ênfase2 2 3 2" xfId="1765" xr:uid="{B8F658EE-D024-426A-881C-FD5049EC0A5A}"/>
    <cellStyle name="60% - Ênfase2 2 3 2 2" xfId="3578" xr:uid="{28822876-05CB-433A-88E4-B9018DAE60B4}"/>
    <cellStyle name="60% - Ênfase2 2 3 2 2 2" xfId="7206" xr:uid="{514CB486-D4D2-4B4B-9934-4A061548A7B4}"/>
    <cellStyle name="60% - Ênfase2 2 3 2 3" xfId="5393" xr:uid="{A0A5AD57-BFDD-41CD-A727-3B334DF946A3}"/>
    <cellStyle name="60% - Ênfase2 2 3 3" xfId="2690" xr:uid="{ECE12B8E-4DF5-482D-918A-E62C244496A8}"/>
    <cellStyle name="60% - Ênfase2 2 3 3 2" xfId="6318" xr:uid="{E88B2A8F-8616-46B9-B49A-6CEE913BD113}"/>
    <cellStyle name="60% - Ênfase2 2 3 4" xfId="3963" xr:uid="{4636905A-36BC-4193-9397-0A4A3C25ACD9}"/>
    <cellStyle name="60% - Ênfase2 2 4" xfId="939" xr:uid="{830FE0D5-989E-47C1-BA1A-038FA16060C5}"/>
    <cellStyle name="60% - Ênfase2 2 4 2" xfId="2791" xr:uid="{23B35DED-990C-4225-BFFD-0213184F0EBC}"/>
    <cellStyle name="60% - Ênfase2 2 4 2 2" xfId="6419" xr:uid="{7C6D4582-37FF-46C3-8B45-C0EDCDB0C024}"/>
    <cellStyle name="60% - Ênfase2 2 4 3" xfId="4567" xr:uid="{9BE9B79E-1BE1-4A88-B188-F24A8F592A9A}"/>
    <cellStyle name="60% - Ênfase2 2 5" xfId="1864" xr:uid="{BA220098-B5DC-4C63-B18C-4AA6FD5CADCB}"/>
    <cellStyle name="60% - Ênfase2 2 5 2" xfId="5492" xr:uid="{3F7DA461-1E3B-4ABF-999F-1373BA0893F2}"/>
    <cellStyle name="60% - Ênfase2 2 6" xfId="3681" xr:uid="{9592310A-42FD-4554-BAA4-FA356D679761}"/>
    <cellStyle name="60% - Ênfase2 20" xfId="1842" xr:uid="{4274E36B-E41D-41E4-BA4E-C84DB93E5C33}"/>
    <cellStyle name="60% - Ênfase2 20 2" xfId="5470" xr:uid="{389396FA-8384-4B4D-89B7-179F9351625C}"/>
    <cellStyle name="60% - Ênfase2 21" xfId="3657" xr:uid="{C0FF2DF9-9409-4E51-B33C-AED20EAEC5D1}"/>
    <cellStyle name="60% - Ênfase2 3" xfId="70" xr:uid="{848083EA-6AD3-48FF-AA03-622F16A52CA0}"/>
    <cellStyle name="60% - Ênfase2 3 2" xfId="676" xr:uid="{4A005360-64A9-4306-B56D-C7ED5C57A5A1}"/>
    <cellStyle name="60% - Ênfase2 3 2 2" xfId="1279" xr:uid="{36D8D521-1567-44E8-9E08-9317E4B93B32}"/>
    <cellStyle name="60% - Ênfase2 3 2 2 2" xfId="3131" xr:uid="{92DF6DBB-6D18-4A1B-88CA-F951803C65DC}"/>
    <cellStyle name="60% - Ênfase2 3 2 2 2 2" xfId="6759" xr:uid="{1D419551-1D9F-4295-90AF-DE019D96FD20}"/>
    <cellStyle name="60% - Ênfase2 3 2 2 3" xfId="4907" xr:uid="{701E4612-8B58-4CD5-8CD1-55B85B9795BD}"/>
    <cellStyle name="60% - Ênfase2 3 2 3" xfId="2204" xr:uid="{194AF837-4A95-4A8F-8A3C-37C1ECEE0C6F}"/>
    <cellStyle name="60% - Ênfase2 3 2 3 2" xfId="5832" xr:uid="{551BE427-F649-4759-8843-F2EF5F327BD1}"/>
    <cellStyle name="60% - Ênfase2 3 2 4" xfId="4304" xr:uid="{31FDEBFC-E1A8-417D-958A-C3AA99B79BCC}"/>
    <cellStyle name="60% - Ênfase2 3 3" xfId="352" xr:uid="{0B264DFC-B82B-4CD3-8E35-3F5E4B92005F}"/>
    <cellStyle name="60% - Ênfase2 3 3 2" xfId="1576" xr:uid="{19783745-BB83-4765-A758-4E35664A54D1}"/>
    <cellStyle name="60% - Ênfase2 3 3 2 2" xfId="3428" xr:uid="{BC05028F-426D-4B87-85B8-AE28C35B4E9A}"/>
    <cellStyle name="60% - Ênfase2 3 3 2 2 2" xfId="7056" xr:uid="{C01AEFFC-306C-4886-ABE2-027AF913BA4F}"/>
    <cellStyle name="60% - Ênfase2 3 3 2 3" xfId="5204" xr:uid="{A8A1F9A0-0135-4972-A217-78F3874A041D}"/>
    <cellStyle name="60% - Ênfase2 3 3 3" xfId="2501" xr:uid="{25D1D9B8-696B-486B-817E-00B281AD95B2}"/>
    <cellStyle name="60% - Ênfase2 3 3 3 2" xfId="6129" xr:uid="{E3E51F7A-7C4A-402A-AD0E-F846397D8B49}"/>
    <cellStyle name="60% - Ênfase2 3 3 4" xfId="3981" xr:uid="{153CE531-AC76-4BBA-8A73-E58AF188D502}"/>
    <cellStyle name="60% - Ênfase2 3 4" xfId="957" xr:uid="{806C2E89-EC83-41FB-B52D-00E9DE7CF852}"/>
    <cellStyle name="60% - Ênfase2 3 4 2" xfId="2809" xr:uid="{7673470E-3B7C-4F52-AE65-0A4997997EF1}"/>
    <cellStyle name="60% - Ênfase2 3 4 2 2" xfId="6437" xr:uid="{5B8E816A-50E4-4EE1-ADC3-7DCA06682C63}"/>
    <cellStyle name="60% - Ênfase2 3 4 3" xfId="4585" xr:uid="{10662618-C80F-4745-83DA-C77090303EB0}"/>
    <cellStyle name="60% - Ênfase2 3 5" xfId="1882" xr:uid="{7123A9CA-7F5F-4051-BAA8-76110FA0D837}"/>
    <cellStyle name="60% - Ênfase2 3 5 2" xfId="5510" xr:uid="{ED801CF5-DE43-482F-84E7-6E97FECD744A}"/>
    <cellStyle name="60% - Ênfase2 3 6" xfId="3699" xr:uid="{9A923F06-BF4C-45AA-89C1-8C53E647953D}"/>
    <cellStyle name="60% - Ênfase2 4" xfId="92" xr:uid="{3F4C9724-3532-4F5E-8CD7-828F58B35322}"/>
    <cellStyle name="60% - Ênfase2 4 2" xfId="698" xr:uid="{9B86511A-F582-4B10-9752-503A434FA876}"/>
    <cellStyle name="60% - Ênfase2 4 2 2" xfId="1301" xr:uid="{0C05E494-E8D2-4C66-8634-5B0DC102AD1F}"/>
    <cellStyle name="60% - Ênfase2 4 2 2 2" xfId="3153" xr:uid="{250BF981-6CC9-483E-B4AB-C23769B8CE17}"/>
    <cellStyle name="60% - Ênfase2 4 2 2 2 2" xfId="6781" xr:uid="{5F9A2ABB-D7DD-4003-9AAD-3454267331C4}"/>
    <cellStyle name="60% - Ênfase2 4 2 2 3" xfId="4929" xr:uid="{FF590A3C-0C73-4E6B-AF86-5F5DF3AC5143}"/>
    <cellStyle name="60% - Ênfase2 4 2 3" xfId="2226" xr:uid="{8E989026-F403-4EE5-BD53-F2CB09604BF3}"/>
    <cellStyle name="60% - Ênfase2 4 2 3 2" xfId="5854" xr:uid="{9B76A205-4798-4EB2-9631-849BF1D5070E}"/>
    <cellStyle name="60% - Ênfase2 4 2 4" xfId="4326" xr:uid="{51C233D8-A69B-4F0E-A305-E46CA8367C2B}"/>
    <cellStyle name="60% - Ênfase2 4 3" xfId="374" xr:uid="{85971ED3-0AD1-4C7F-84FD-7DE2411A9465}"/>
    <cellStyle name="60% - Ênfase2 4 3 2" xfId="1809" xr:uid="{444BAD06-D096-4FD3-BCAB-F35AAD327B20}"/>
    <cellStyle name="60% - Ênfase2 4 3 2 2" xfId="3622" xr:uid="{88092E82-CDD4-4431-8AC1-8B410BFE9F63}"/>
    <cellStyle name="60% - Ênfase2 4 3 2 2 2" xfId="7250" xr:uid="{7D4B55A2-5B21-42C2-B963-6C86F588FCAA}"/>
    <cellStyle name="60% - Ênfase2 4 3 2 3" xfId="5437" xr:uid="{49104470-81C8-4C05-8488-762F220A4E9D}"/>
    <cellStyle name="60% - Ênfase2 4 3 3" xfId="2734" xr:uid="{F5337F7A-A1E9-4748-9FCF-921978B8A1F8}"/>
    <cellStyle name="60% - Ênfase2 4 3 3 2" xfId="6362" xr:uid="{00587785-DBCE-448A-9964-8F91468955F8}"/>
    <cellStyle name="60% - Ênfase2 4 3 4" xfId="4003" xr:uid="{C3F6749A-315E-44AC-9D5C-3AE4B213B1E9}"/>
    <cellStyle name="60% - Ênfase2 4 4" xfId="979" xr:uid="{FB3CD81B-44C2-4A3D-9E7E-581C882EEA02}"/>
    <cellStyle name="60% - Ênfase2 4 4 2" xfId="2831" xr:uid="{BD385CAF-7C89-4244-9D81-8394BE55DC53}"/>
    <cellStyle name="60% - Ênfase2 4 4 2 2" xfId="6459" xr:uid="{650AE800-F91F-477A-AFB6-AE8799D952D6}"/>
    <cellStyle name="60% - Ênfase2 4 4 3" xfId="4607" xr:uid="{7FDCD333-2F0A-416F-A3CC-E37EA6163B5A}"/>
    <cellStyle name="60% - Ênfase2 4 5" xfId="1904" xr:uid="{43E1151A-D8CD-429E-9C6D-E8E8DFA73C9B}"/>
    <cellStyle name="60% - Ênfase2 4 5 2" xfId="5532" xr:uid="{524960C6-023D-4C14-860B-CA7C721194A8}"/>
    <cellStyle name="60% - Ênfase2 4 6" xfId="3721" xr:uid="{601B24FA-8099-4050-8375-41E430BF6E69}"/>
    <cellStyle name="60% - Ênfase2 5" xfId="112" xr:uid="{4B2C688B-269F-40B7-A993-0D84F8D7EB67}"/>
    <cellStyle name="60% - Ênfase2 5 2" xfId="718" xr:uid="{494E6C18-9964-4140-8AAB-46CF5176F1D3}"/>
    <cellStyle name="60% - Ênfase2 5 2 2" xfId="1321" xr:uid="{43C2B436-7066-427A-BB7F-1F47003D61EA}"/>
    <cellStyle name="60% - Ênfase2 5 2 2 2" xfId="3173" xr:uid="{DA9D8721-2EB0-41E6-B8E7-F55CF872D3C0}"/>
    <cellStyle name="60% - Ênfase2 5 2 2 2 2" xfId="6801" xr:uid="{09C0B080-7FF4-4C2B-82BF-2434889AAABF}"/>
    <cellStyle name="60% - Ênfase2 5 2 2 3" xfId="4949" xr:uid="{6A13D64F-630C-4757-A6A1-FA13D6030758}"/>
    <cellStyle name="60% - Ênfase2 5 2 3" xfId="2246" xr:uid="{35C075C3-1B78-4FF6-8E91-078993ED4253}"/>
    <cellStyle name="60% - Ênfase2 5 2 3 2" xfId="5874" xr:uid="{78083FC9-926D-4F0E-9598-AF8321E6E631}"/>
    <cellStyle name="60% - Ênfase2 5 2 4" xfId="4346" xr:uid="{0F71AD9C-044B-4ADE-9E24-94EB1AA26463}"/>
    <cellStyle name="60% - Ênfase2 5 3" xfId="394" xr:uid="{54E7EC54-28E8-4CBA-A955-AFCB587BB3FB}"/>
    <cellStyle name="60% - Ênfase2 5 3 2" xfId="1549" xr:uid="{557AB8E8-BE2A-4067-8486-93C5F6E37E1A}"/>
    <cellStyle name="60% - Ênfase2 5 3 2 2" xfId="3401" xr:uid="{8661BEE9-6453-4B2F-88D7-0A800A85794A}"/>
    <cellStyle name="60% - Ênfase2 5 3 2 2 2" xfId="7029" xr:uid="{D24D7A3C-2C27-4540-93BB-8A299B2574D2}"/>
    <cellStyle name="60% - Ênfase2 5 3 2 3" xfId="5177" xr:uid="{EFA0799F-EFA6-4C9A-8097-F89B1FAE2ACA}"/>
    <cellStyle name="60% - Ênfase2 5 3 3" xfId="2474" xr:uid="{C5185950-2C8C-49B9-90B0-C5D5312613DA}"/>
    <cellStyle name="60% - Ênfase2 5 3 3 2" xfId="6102" xr:uid="{B83051A3-1B5B-43DD-A6BF-89D56E9B798B}"/>
    <cellStyle name="60% - Ênfase2 5 3 4" xfId="4023" xr:uid="{55515AE8-D28A-4387-A6F2-45DC319431B6}"/>
    <cellStyle name="60% - Ênfase2 5 4" xfId="999" xr:uid="{9E78E13B-AEF1-4639-9BD1-0531250E609D}"/>
    <cellStyle name="60% - Ênfase2 5 4 2" xfId="2851" xr:uid="{0A2E6335-F616-4FA1-94FC-FE9FC78C36AF}"/>
    <cellStyle name="60% - Ênfase2 5 4 2 2" xfId="6479" xr:uid="{26A6F46F-CF74-45AA-9457-5E2CC41B092E}"/>
    <cellStyle name="60% - Ênfase2 5 4 3" xfId="4627" xr:uid="{45DBF398-D217-45D3-B167-3D587E54ED15}"/>
    <cellStyle name="60% - Ênfase2 5 5" xfId="1924" xr:uid="{525BED69-E934-4E23-A89C-73603CC84FF9}"/>
    <cellStyle name="60% - Ênfase2 5 5 2" xfId="5552" xr:uid="{8A3E0974-6E1B-4999-BE8D-B1C1EA581857}"/>
    <cellStyle name="60% - Ênfase2 5 6" xfId="3741" xr:uid="{9DC1E401-5804-4A9D-A8EA-B41DEBC68834}"/>
    <cellStyle name="60% - Ênfase2 6" xfId="132" xr:uid="{3AB2F68D-C880-4FA6-BD55-BFC91073B093}"/>
    <cellStyle name="60% - Ênfase2 6 2" xfId="738" xr:uid="{22B3B5B8-41C6-49FE-88B5-A244F0725F58}"/>
    <cellStyle name="60% - Ênfase2 6 2 2" xfId="1341" xr:uid="{7517AD94-CDB9-4AE6-9DD7-1529DDD01C17}"/>
    <cellStyle name="60% - Ênfase2 6 2 2 2" xfId="3193" xr:uid="{84743B86-9325-483B-A67D-28A56B503E91}"/>
    <cellStyle name="60% - Ênfase2 6 2 2 2 2" xfId="6821" xr:uid="{FA72E88F-E24F-4C7F-85BB-E6B5ED9E39CF}"/>
    <cellStyle name="60% - Ênfase2 6 2 2 3" xfId="4969" xr:uid="{E1D1AF20-7C5D-413E-A4B1-DE7B728202CF}"/>
    <cellStyle name="60% - Ênfase2 6 2 3" xfId="2266" xr:uid="{F617409E-EDEF-4D6C-8B99-04DE57442DE5}"/>
    <cellStyle name="60% - Ênfase2 6 2 3 2" xfId="5894" xr:uid="{A17E0E69-7AEB-4032-ABCD-737E22C06458}"/>
    <cellStyle name="60% - Ênfase2 6 2 4" xfId="4366" xr:uid="{F94CC2F6-BEC7-4E2B-A463-833C077EBC77}"/>
    <cellStyle name="60% - Ênfase2 6 3" xfId="414" xr:uid="{71A3989A-B68B-46C1-831A-EBDC30F47EE0}"/>
    <cellStyle name="60% - Ênfase2 6 3 2" xfId="1543" xr:uid="{2AE6A6EF-3C7D-420E-96E5-9D1320787F7D}"/>
    <cellStyle name="60% - Ênfase2 6 3 2 2" xfId="3395" xr:uid="{4BC8554D-05DC-4D32-BE2A-D82818E969F3}"/>
    <cellStyle name="60% - Ênfase2 6 3 2 2 2" xfId="7023" xr:uid="{7FC23241-52E1-48D0-87D7-0B10D8048AB3}"/>
    <cellStyle name="60% - Ênfase2 6 3 2 3" xfId="5171" xr:uid="{8B18EBF9-3CBD-4A12-B29C-275A84ADFC37}"/>
    <cellStyle name="60% - Ênfase2 6 3 3" xfId="2468" xr:uid="{D1D7896B-18C6-4B07-A05D-31271C37D5CC}"/>
    <cellStyle name="60% - Ênfase2 6 3 3 2" xfId="6096" xr:uid="{4D53E8C7-A153-4C45-B301-CAC7C3AF29FF}"/>
    <cellStyle name="60% - Ênfase2 6 3 4" xfId="4043" xr:uid="{8FF2DB5E-7901-4669-8748-9D09B571B07F}"/>
    <cellStyle name="60% - Ênfase2 6 4" xfId="1019" xr:uid="{5029F1D6-1F21-4ACB-BE6F-ECC0466CF75A}"/>
    <cellStyle name="60% - Ênfase2 6 4 2" xfId="2871" xr:uid="{50881E12-5A40-4348-9E3A-B6F090B5FEFF}"/>
    <cellStyle name="60% - Ênfase2 6 4 2 2" xfId="6499" xr:uid="{55C29510-1637-4502-AF82-AC71355067B3}"/>
    <cellStyle name="60% - Ênfase2 6 4 3" xfId="4647" xr:uid="{84D6C1B9-486C-4A9B-8295-5CF5F8587041}"/>
    <cellStyle name="60% - Ênfase2 6 5" xfId="1944" xr:uid="{C51B0080-7A5C-4638-A2AD-585D6261345D}"/>
    <cellStyle name="60% - Ênfase2 6 5 2" xfId="5572" xr:uid="{70AC7E3D-A575-4545-8AAC-545F550A781D}"/>
    <cellStyle name="60% - Ênfase2 6 6" xfId="3761" xr:uid="{62F21BA5-D6D1-4416-B451-18BB6FA7956E}"/>
    <cellStyle name="60% - Ênfase2 7" xfId="152" xr:uid="{F1E8DDC8-E5C1-4BEF-B3FA-91B4B11EE5C8}"/>
    <cellStyle name="60% - Ênfase2 7 2" xfId="758" xr:uid="{F65AB2A7-A57B-4F12-8BF3-C84540D00A5C}"/>
    <cellStyle name="60% - Ênfase2 7 2 2" xfId="1361" xr:uid="{1D474D05-FA54-46EA-B2B4-7ADCE10C35B8}"/>
    <cellStyle name="60% - Ênfase2 7 2 2 2" xfId="3213" xr:uid="{DB55C05B-88BE-4D32-93ED-52CEE5EA9F23}"/>
    <cellStyle name="60% - Ênfase2 7 2 2 2 2" xfId="6841" xr:uid="{CE64E29D-33F8-490A-A525-6678B53D4650}"/>
    <cellStyle name="60% - Ênfase2 7 2 2 3" xfId="4989" xr:uid="{850FD920-2731-4616-AA04-E1A900E83737}"/>
    <cellStyle name="60% - Ênfase2 7 2 3" xfId="2286" xr:uid="{17261DCC-A198-481E-84DA-F9C5F3B9978A}"/>
    <cellStyle name="60% - Ênfase2 7 2 3 2" xfId="5914" xr:uid="{11CB462E-ADCB-4268-9D9B-CFA2B50ED2D6}"/>
    <cellStyle name="60% - Ênfase2 7 2 4" xfId="4386" xr:uid="{42BDF491-A36C-4FDC-B7CF-10FD214C07BD}"/>
    <cellStyle name="60% - Ênfase2 7 3" xfId="434" xr:uid="{4A424225-5F3A-4EDC-9D04-36FC0F33D14E}"/>
    <cellStyle name="60% - Ênfase2 7 3 2" xfId="1558" xr:uid="{643A151A-2994-4C4A-AF2A-E1BC0C2F0522}"/>
    <cellStyle name="60% - Ênfase2 7 3 2 2" xfId="3410" xr:uid="{A7017333-095F-42E2-BC86-7813D8288C99}"/>
    <cellStyle name="60% - Ênfase2 7 3 2 2 2" xfId="7038" xr:uid="{495DA35E-AECD-42C5-B987-8C689EE2E89E}"/>
    <cellStyle name="60% - Ênfase2 7 3 2 3" xfId="5186" xr:uid="{AF057B27-5E6D-4D8E-B73F-6D4CBF7A6B36}"/>
    <cellStyle name="60% - Ênfase2 7 3 3" xfId="2483" xr:uid="{049432B6-AF4D-41FF-B5FA-C9E3EEFE7687}"/>
    <cellStyle name="60% - Ênfase2 7 3 3 2" xfId="6111" xr:uid="{085DCEE5-AA5F-4663-A2F8-CA1A048D4E4A}"/>
    <cellStyle name="60% - Ênfase2 7 3 4" xfId="4063" xr:uid="{BBDB3304-FEAE-4350-B198-D31001D108F5}"/>
    <cellStyle name="60% - Ênfase2 7 4" xfId="1039" xr:uid="{41142BDF-5B68-44B5-9020-0C7D285D72EC}"/>
    <cellStyle name="60% - Ênfase2 7 4 2" xfId="2891" xr:uid="{C91EAF50-0A96-4292-8E19-403CA4BDBA5E}"/>
    <cellStyle name="60% - Ênfase2 7 4 2 2" xfId="6519" xr:uid="{E8D271A3-D45B-4152-86EB-D5BDA078D282}"/>
    <cellStyle name="60% - Ênfase2 7 4 3" xfId="4667" xr:uid="{E4D7057F-7374-4FD4-BD8C-BBF3F4767A6B}"/>
    <cellStyle name="60% - Ênfase2 7 5" xfId="1964" xr:uid="{CCDE04D4-75FF-4B0D-A3BF-0317080ED938}"/>
    <cellStyle name="60% - Ênfase2 7 5 2" xfId="5592" xr:uid="{5437302F-A3E9-4FDE-B4B5-E356785079D3}"/>
    <cellStyle name="60% - Ênfase2 7 6" xfId="3781" xr:uid="{1D868F35-B9D5-4DD6-B9A4-CBF4A3B20FD1}"/>
    <cellStyle name="60% - Ênfase2 8" xfId="172" xr:uid="{7C5CCDBE-D161-4A55-B486-262698C71E06}"/>
    <cellStyle name="60% - Ênfase2 8 2" xfId="778" xr:uid="{5E1745BC-968F-4E27-B983-60A0EFABDB09}"/>
    <cellStyle name="60% - Ênfase2 8 2 2" xfId="1381" xr:uid="{DBA487A3-93F5-406D-A08A-A1104EBC5105}"/>
    <cellStyle name="60% - Ênfase2 8 2 2 2" xfId="3233" xr:uid="{CD966583-12B5-4EB7-BCE8-019CF307A92D}"/>
    <cellStyle name="60% - Ênfase2 8 2 2 2 2" xfId="6861" xr:uid="{BA61EEBA-807D-4691-B1BA-228BAC3E151F}"/>
    <cellStyle name="60% - Ênfase2 8 2 2 3" xfId="5009" xr:uid="{8537D388-E30C-4D33-8571-1A1BA6533D44}"/>
    <cellStyle name="60% - Ênfase2 8 2 3" xfId="2306" xr:uid="{B4DB396E-D29C-4CE1-99BB-BCB98E4D5B8A}"/>
    <cellStyle name="60% - Ênfase2 8 2 3 2" xfId="5934" xr:uid="{5B8FCDF5-B270-4A8A-A961-FC21A2BDB53F}"/>
    <cellStyle name="60% - Ênfase2 8 2 4" xfId="4406" xr:uid="{BBA36F90-CA61-4932-918E-E275125496A1}"/>
    <cellStyle name="60% - Ênfase2 8 3" xfId="454" xr:uid="{7610B1AC-A2E0-44DE-8B0B-D14F874FA4B0}"/>
    <cellStyle name="60% - Ênfase2 8 3 2" xfId="1726" xr:uid="{E7C6A90D-E80F-4BA3-AF9B-A3FF6BF429A2}"/>
    <cellStyle name="60% - Ênfase2 8 3 2 2" xfId="3539" xr:uid="{EBDD75BF-2180-473A-961B-4B6655AA3EE0}"/>
    <cellStyle name="60% - Ênfase2 8 3 2 2 2" xfId="7167" xr:uid="{C5AE8AA8-AA87-4D27-B7F2-8E0E09229402}"/>
    <cellStyle name="60% - Ênfase2 8 3 2 3" xfId="5354" xr:uid="{8B5FFDEF-8742-46B8-AA4A-978E5CB40D44}"/>
    <cellStyle name="60% - Ênfase2 8 3 3" xfId="2651" xr:uid="{5D4FD40C-EC84-4F86-8E8B-CAC3AA43941B}"/>
    <cellStyle name="60% - Ênfase2 8 3 3 2" xfId="6279" xr:uid="{F2BE946B-7BF1-4210-BD6A-4E15C0A69FBA}"/>
    <cellStyle name="60% - Ênfase2 8 3 4" xfId="4083" xr:uid="{5177053B-539E-4092-8F98-C5A920252198}"/>
    <cellStyle name="60% - Ênfase2 8 4" xfId="1059" xr:uid="{DAEAEE83-9F9D-476E-ACF9-05B5C5FBD4AD}"/>
    <cellStyle name="60% - Ênfase2 8 4 2" xfId="2911" xr:uid="{3F4CF61F-7A14-4A6E-9CAB-AF68F90773C8}"/>
    <cellStyle name="60% - Ênfase2 8 4 2 2" xfId="6539" xr:uid="{0EDF2E4C-BC5F-4FC9-A2BA-CF7F90A1B140}"/>
    <cellStyle name="60% - Ênfase2 8 4 3" xfId="4687" xr:uid="{E05243ED-F8F8-4015-8256-3F833F9E6EB2}"/>
    <cellStyle name="60% - Ênfase2 8 5" xfId="1984" xr:uid="{C5DA468C-CF3C-41F7-826F-3E90A69EBD90}"/>
    <cellStyle name="60% - Ênfase2 8 5 2" xfId="5612" xr:uid="{5D85F8AD-4FFC-4378-A6FB-3595B68102D5}"/>
    <cellStyle name="60% - Ênfase2 8 6" xfId="3801" xr:uid="{789BC694-6C18-4635-B326-FD11160A5664}"/>
    <cellStyle name="60% - Ênfase2 9" xfId="192" xr:uid="{52152B8E-4872-4EF9-B18B-E190C61CCCE2}"/>
    <cellStyle name="60% - Ênfase2 9 2" xfId="798" xr:uid="{BD06D832-9241-4C61-A3F1-802FC14BE7FB}"/>
    <cellStyle name="60% - Ênfase2 9 2 2" xfId="1401" xr:uid="{19F9FE81-B0A8-42A9-8784-D6CBF7AA966F}"/>
    <cellStyle name="60% - Ênfase2 9 2 2 2" xfId="3253" xr:uid="{A744A1F3-0D58-475D-A8ED-AA8DAAAB5F7B}"/>
    <cellStyle name="60% - Ênfase2 9 2 2 2 2" xfId="6881" xr:uid="{D4AAB275-986D-45B1-B907-6EF16BA3436D}"/>
    <cellStyle name="60% - Ênfase2 9 2 2 3" xfId="5029" xr:uid="{D26A6841-6BC0-43DB-B663-8821F8D629C3}"/>
    <cellStyle name="60% - Ênfase2 9 2 3" xfId="2326" xr:uid="{15AF1FAA-7175-4DF8-96EC-6A8F4945A81C}"/>
    <cellStyle name="60% - Ênfase2 9 2 3 2" xfId="5954" xr:uid="{BB7B17BF-C4B1-4824-9EA6-D7601B21468D}"/>
    <cellStyle name="60% - Ênfase2 9 2 4" xfId="4426" xr:uid="{62B40624-9620-47A5-A904-A25D9BF235F2}"/>
    <cellStyle name="60% - Ênfase2 9 3" xfId="474" xr:uid="{1B0C023B-3AAC-4F19-9943-3B9A686D1BE9}"/>
    <cellStyle name="60% - Ênfase2 9 3 2" xfId="1647" xr:uid="{DB1853CC-BDA6-4DF7-98EC-D4E96AD88217}"/>
    <cellStyle name="60% - Ênfase2 9 3 2 2" xfId="3499" xr:uid="{6FCC22A2-86A2-49A2-8379-B82F52020B0B}"/>
    <cellStyle name="60% - Ênfase2 9 3 2 2 2" xfId="7127" xr:uid="{FA965AEA-0401-4B92-BE04-B1995CE3DEF2}"/>
    <cellStyle name="60% - Ênfase2 9 3 2 3" xfId="5275" xr:uid="{D30FB3F4-E3FF-4D2D-94F2-5051B989CF5E}"/>
    <cellStyle name="60% - Ênfase2 9 3 3" xfId="2572" xr:uid="{E997E187-91F4-48F4-A89F-FB1CFAE83DBB}"/>
    <cellStyle name="60% - Ênfase2 9 3 3 2" xfId="6200" xr:uid="{16FDF50B-0CFE-4B5A-934A-87FDA46C2B48}"/>
    <cellStyle name="60% - Ênfase2 9 3 4" xfId="4103" xr:uid="{A6C3D93C-DBF3-43BF-BB8C-BCE09E086908}"/>
    <cellStyle name="60% - Ênfase2 9 4" xfId="1079" xr:uid="{E561871D-2725-428B-B825-00F4611739F4}"/>
    <cellStyle name="60% - Ênfase2 9 4 2" xfId="2931" xr:uid="{6A7EE0F4-205A-44B5-B2E3-138CA5895F7D}"/>
    <cellStyle name="60% - Ênfase2 9 4 2 2" xfId="6559" xr:uid="{DC89AA57-CBCF-4B6B-A25B-439E5262021A}"/>
    <cellStyle name="60% - Ênfase2 9 4 3" xfId="4707" xr:uid="{8464D4EB-E9B5-4529-A3FB-CFB0E94D6950}"/>
    <cellStyle name="60% - Ênfase2 9 5" xfId="2004" xr:uid="{9ADC9785-EF53-4A78-9280-EABF7341BEC9}"/>
    <cellStyle name="60% - Ênfase2 9 5 2" xfId="5632" xr:uid="{B12CBBD7-1F9F-40BA-BD64-9AC4E29348D0}"/>
    <cellStyle name="60% - Ênfase2 9 6" xfId="3821" xr:uid="{489C755C-665F-46A4-A5E4-25629D922525}"/>
    <cellStyle name="60% - Ênfase3" xfId="29" builtinId="40" customBuiltin="1"/>
    <cellStyle name="60% - Ênfase3 10" xfId="216" xr:uid="{51B97314-EED9-418F-8A16-D4FF858252FE}"/>
    <cellStyle name="60% - Ênfase3 10 2" xfId="822" xr:uid="{E418B34F-A904-4BC7-B895-752F108C90AE}"/>
    <cellStyle name="60% - Ênfase3 10 2 2" xfId="1425" xr:uid="{BBDFF6E2-318C-47E1-9F07-5FF2E2F94B58}"/>
    <cellStyle name="60% - Ênfase3 10 2 2 2" xfId="3277" xr:uid="{CD476EEC-8C1A-4D14-A7DE-06851E88D16A}"/>
    <cellStyle name="60% - Ênfase3 10 2 2 2 2" xfId="6905" xr:uid="{5063B255-31A6-40A4-912A-8A3AB06D1ED6}"/>
    <cellStyle name="60% - Ênfase3 10 2 2 3" xfId="5053" xr:uid="{EC2785A3-7C10-4A66-8770-436C506866C0}"/>
    <cellStyle name="60% - Ênfase3 10 2 3" xfId="2350" xr:uid="{AA75DFB9-CFFF-4DC7-B1DD-1D35FB5B0CEA}"/>
    <cellStyle name="60% - Ênfase3 10 2 3 2" xfId="5978" xr:uid="{AD49EFBE-51F9-4965-821A-BB21E1A27817}"/>
    <cellStyle name="60% - Ênfase3 10 2 4" xfId="4450" xr:uid="{6D7ADB8A-E58E-4A6D-8A8B-42A94F8D7E14}"/>
    <cellStyle name="60% - Ênfase3 10 3" xfId="498" xr:uid="{F5B84353-6953-464F-95C6-29AEE07FA04B}"/>
    <cellStyle name="60% - Ênfase3 10 3 2" xfId="1617" xr:uid="{9367E880-387A-4113-B62F-BCEDF4A53277}"/>
    <cellStyle name="60% - Ênfase3 10 3 2 2" xfId="3469" xr:uid="{5A407BD2-759D-4502-8E10-B741A09448EE}"/>
    <cellStyle name="60% - Ênfase3 10 3 2 2 2" xfId="7097" xr:uid="{17BF6F2C-1646-46A0-85CC-B156AF4035FC}"/>
    <cellStyle name="60% - Ênfase3 10 3 2 3" xfId="5245" xr:uid="{65BC5FD0-AE45-43B4-A4C1-842785F915BA}"/>
    <cellStyle name="60% - Ênfase3 10 3 3" xfId="2542" xr:uid="{D013F200-A6BE-4543-940D-78F762454958}"/>
    <cellStyle name="60% - Ênfase3 10 3 3 2" xfId="6170" xr:uid="{9501E021-FD47-48BC-8AC1-FDDAD3A7D3BB}"/>
    <cellStyle name="60% - Ênfase3 10 3 4" xfId="4127" xr:uid="{B1D7260C-10E7-4821-B7F8-C2B5960B20C9}"/>
    <cellStyle name="60% - Ênfase3 10 4" xfId="1103" xr:uid="{33C812A5-2332-4A4B-AF09-3D5047C471EC}"/>
    <cellStyle name="60% - Ênfase3 10 4 2" xfId="2955" xr:uid="{D496393E-D2EA-4DB3-8D91-DA6049AC58A4}"/>
    <cellStyle name="60% - Ênfase3 10 4 2 2" xfId="6583" xr:uid="{5B364D14-F94A-4719-9FDD-7C0F22915AA1}"/>
    <cellStyle name="60% - Ênfase3 10 4 3" xfId="4731" xr:uid="{9C3A65E9-8868-475A-AB1F-DF9183D21184}"/>
    <cellStyle name="60% - Ênfase3 10 5" xfId="2028" xr:uid="{E679CABA-60CC-4F58-9C5B-5BFD4F9AAF6E}"/>
    <cellStyle name="60% - Ênfase3 10 5 2" xfId="5656" xr:uid="{94D02B4D-0D71-4AC2-8D71-C6CCDEB6049A}"/>
    <cellStyle name="60% - Ênfase3 10 6" xfId="3845" xr:uid="{F14C5005-FFB0-4F1E-8EC1-D46DEB3F1555}"/>
    <cellStyle name="60% - Ênfase3 11" xfId="236" xr:uid="{DE5CA8F0-1A54-421D-8650-739145ACFD2B}"/>
    <cellStyle name="60% - Ênfase3 11 2" xfId="842" xr:uid="{572479E4-6F02-453A-8FA1-EF380FD165C0}"/>
    <cellStyle name="60% - Ênfase3 11 2 2" xfId="1445" xr:uid="{325ED80C-5E1C-4A9A-85A0-A62629B7C893}"/>
    <cellStyle name="60% - Ênfase3 11 2 2 2" xfId="3297" xr:uid="{DA70605C-AE16-4331-B32E-00E3F894974F}"/>
    <cellStyle name="60% - Ênfase3 11 2 2 2 2" xfId="6925" xr:uid="{38CDC1B1-FB44-4C87-A1FD-C62EE19CF3D9}"/>
    <cellStyle name="60% - Ênfase3 11 2 2 3" xfId="5073" xr:uid="{674CB9BD-60E2-415B-B2A6-19AF97E0C522}"/>
    <cellStyle name="60% - Ênfase3 11 2 3" xfId="2370" xr:uid="{AC87B736-23FE-4CBB-9040-F1E32FD7D9F0}"/>
    <cellStyle name="60% - Ênfase3 11 2 3 2" xfId="5998" xr:uid="{359443EA-6DC2-43CB-99A5-5D3ED8AE2554}"/>
    <cellStyle name="60% - Ênfase3 11 2 4" xfId="4470" xr:uid="{8109A4CD-77A7-4074-816E-1E3FE1EB5EA6}"/>
    <cellStyle name="60% - Ênfase3 11 3" xfId="518" xr:uid="{E5171F97-B468-4240-BB76-F9372879D21D}"/>
    <cellStyle name="60% - Ênfase3 11 3 2" xfId="1699" xr:uid="{6E315F0B-B18F-4E6B-B207-FC46D8F13295}"/>
    <cellStyle name="60% - Ênfase3 11 3 2 2" xfId="3512" xr:uid="{07D5D8A8-A7CC-47D2-A53F-324302F952CE}"/>
    <cellStyle name="60% - Ênfase3 11 3 2 2 2" xfId="7140" xr:uid="{E76433D4-EA04-4536-8A00-632AA45E602D}"/>
    <cellStyle name="60% - Ênfase3 11 3 2 3" xfId="5327" xr:uid="{79F54280-F250-4A39-A4E7-B0E35C896DFA}"/>
    <cellStyle name="60% - Ênfase3 11 3 3" xfId="2624" xr:uid="{B9DB9C90-BB4C-413A-A57C-332ED169A737}"/>
    <cellStyle name="60% - Ênfase3 11 3 3 2" xfId="6252" xr:uid="{01365B72-7AB3-4E77-B0D0-5F6ABBA971EF}"/>
    <cellStyle name="60% - Ênfase3 11 3 4" xfId="4147" xr:uid="{F0543BC1-926D-4D19-B127-0078CC95DB2F}"/>
    <cellStyle name="60% - Ênfase3 11 4" xfId="1123" xr:uid="{CB05AE4C-7C58-4ABF-BEC4-28C480D5AA0F}"/>
    <cellStyle name="60% - Ênfase3 11 4 2" xfId="2975" xr:uid="{A343893A-7F8B-4C20-820D-3435FAC8D4DA}"/>
    <cellStyle name="60% - Ênfase3 11 4 2 2" xfId="6603" xr:uid="{60B538D9-2E33-4A9C-B2FA-94B5179DFCEA}"/>
    <cellStyle name="60% - Ênfase3 11 4 3" xfId="4751" xr:uid="{DEE4A0F7-11C5-4293-AEB0-C974CE6C9560}"/>
    <cellStyle name="60% - Ênfase3 11 5" xfId="2048" xr:uid="{A3A49356-E0AD-4E5B-A44E-EBD2C2DCE0D7}"/>
    <cellStyle name="60% - Ênfase3 11 5 2" xfId="5676" xr:uid="{0646CB8E-F3B8-47B0-87D4-99BF7B5E33CF}"/>
    <cellStyle name="60% - Ênfase3 11 6" xfId="3865" xr:uid="{42CEDBE9-B529-4A1B-A7EC-41EBF198B89B}"/>
    <cellStyle name="60% - Ênfase3 12" xfId="256" xr:uid="{BF24A514-CB36-40B5-A68B-E0944CC4C3F1}"/>
    <cellStyle name="60% - Ênfase3 12 2" xfId="862" xr:uid="{6900E96C-E3C2-471C-BD87-E04080531E42}"/>
    <cellStyle name="60% - Ênfase3 12 2 2" xfId="1465" xr:uid="{11CB8190-D281-4B0E-9D59-BED7E9704D16}"/>
    <cellStyle name="60% - Ênfase3 12 2 2 2" xfId="3317" xr:uid="{EAF7D010-C399-4C12-94AE-594FE69AD1F0}"/>
    <cellStyle name="60% - Ênfase3 12 2 2 2 2" xfId="6945" xr:uid="{BEE87AD9-EECD-4CF0-A9EC-566A57C70FFA}"/>
    <cellStyle name="60% - Ênfase3 12 2 2 3" xfId="5093" xr:uid="{A59E471D-15C4-49AD-B0DD-7776B155CB83}"/>
    <cellStyle name="60% - Ênfase3 12 2 3" xfId="2390" xr:uid="{C5D16EC4-AFFD-44CB-9A95-0B997E1494FB}"/>
    <cellStyle name="60% - Ênfase3 12 2 3 2" xfId="6018" xr:uid="{7C119269-66AA-44B3-8D33-79CA0DC4B57F}"/>
    <cellStyle name="60% - Ênfase3 12 2 4" xfId="4490" xr:uid="{F6B30B0F-3BB1-4123-BE35-BBD8CAA93D36}"/>
    <cellStyle name="60% - Ênfase3 12 3" xfId="538" xr:uid="{ACD0D896-B37A-4205-AF8B-25E9D4B2DEFE}"/>
    <cellStyle name="60% - Ênfase3 12 3 2" xfId="1777" xr:uid="{7BF4153D-69A4-4C53-B5F5-D00A01668E55}"/>
    <cellStyle name="60% - Ênfase3 12 3 2 2" xfId="3590" xr:uid="{51C7A40C-36B6-415A-AEB1-DA5D25AAA982}"/>
    <cellStyle name="60% - Ênfase3 12 3 2 2 2" xfId="7218" xr:uid="{8F5225EE-626C-466C-B1E4-9C6BFAB252F1}"/>
    <cellStyle name="60% - Ênfase3 12 3 2 3" xfId="5405" xr:uid="{9FC2A552-1E71-475C-B3F5-A251B10E9C4E}"/>
    <cellStyle name="60% - Ênfase3 12 3 3" xfId="2702" xr:uid="{09120E4E-96F9-4092-86DC-52902EFDDFB2}"/>
    <cellStyle name="60% - Ênfase3 12 3 3 2" xfId="6330" xr:uid="{16A8A9BC-6EFA-4591-B3AA-895721404383}"/>
    <cellStyle name="60% - Ênfase3 12 3 4" xfId="4167" xr:uid="{EFF4E602-72DC-45A0-AA45-D649CE4A375E}"/>
    <cellStyle name="60% - Ênfase3 12 4" xfId="1143" xr:uid="{F488A74A-5E32-4A23-ABD6-BD41FBCE18F1}"/>
    <cellStyle name="60% - Ênfase3 12 4 2" xfId="2995" xr:uid="{48629AA9-3AA0-434C-864B-AF3391FC706E}"/>
    <cellStyle name="60% - Ênfase3 12 4 2 2" xfId="6623" xr:uid="{A807F07A-46EE-44C2-A99B-83B59C35DC0B}"/>
    <cellStyle name="60% - Ênfase3 12 4 3" xfId="4771" xr:uid="{C88E892D-A57B-43EA-85A7-5D9EDFC20594}"/>
    <cellStyle name="60% - Ênfase3 12 5" xfId="2068" xr:uid="{21F8E19C-C384-4E36-8693-2431B19E9707}"/>
    <cellStyle name="60% - Ênfase3 12 5 2" xfId="5696" xr:uid="{60D2B58D-70A3-482B-9147-6081E129E3A2}"/>
    <cellStyle name="60% - Ênfase3 12 6" xfId="3885" xr:uid="{C13D63F6-A09A-4EA2-81FD-2D135D7E698C}"/>
    <cellStyle name="60% - Ênfase3 13" xfId="276" xr:uid="{C71BE05C-D54F-405A-A7FD-E35E7C6937C6}"/>
    <cellStyle name="60% - Ênfase3 13 2" xfId="882" xr:uid="{F1EFFBA7-A980-4BDA-A9D0-A302EEDD1983}"/>
    <cellStyle name="60% - Ênfase3 13 2 2" xfId="1485" xr:uid="{970B318D-0215-4789-83D8-5505C5963CAF}"/>
    <cellStyle name="60% - Ênfase3 13 2 2 2" xfId="3337" xr:uid="{DBB81AAA-FFF0-40B8-94FD-B7FB6F96C2F3}"/>
    <cellStyle name="60% - Ênfase3 13 2 2 2 2" xfId="6965" xr:uid="{A916D77C-2F06-4694-91E0-F7193530575A}"/>
    <cellStyle name="60% - Ênfase3 13 2 2 3" xfId="5113" xr:uid="{4A5A6310-9EDD-41C1-A7B6-31F8C7B75FD9}"/>
    <cellStyle name="60% - Ênfase3 13 2 3" xfId="2410" xr:uid="{7AFD0152-4780-4F65-AB19-B1988C98A92E}"/>
    <cellStyle name="60% - Ênfase3 13 2 3 2" xfId="6038" xr:uid="{0AB632E8-8B89-4400-8728-40E47492055B}"/>
    <cellStyle name="60% - Ênfase3 13 2 4" xfId="4510" xr:uid="{E5E61181-4E6E-4F5A-A7A1-B0C630E3952C}"/>
    <cellStyle name="60% - Ênfase3 13 3" xfId="558" xr:uid="{2B4AB216-143D-45CA-834B-51C24BAEAAE9}"/>
    <cellStyle name="60% - Ênfase3 13 3 2" xfId="1615" xr:uid="{14255495-9D4C-4522-A9C9-8C2737C996C6}"/>
    <cellStyle name="60% - Ênfase3 13 3 2 2" xfId="3467" xr:uid="{AB0CBCFE-6FCE-4296-B7C2-1CC3566997F2}"/>
    <cellStyle name="60% - Ênfase3 13 3 2 2 2" xfId="7095" xr:uid="{3B7B21B2-0C09-4401-9E39-5A94F52C8B85}"/>
    <cellStyle name="60% - Ênfase3 13 3 2 3" xfId="5243" xr:uid="{60D31E11-4982-49D7-B98E-4CBA9FB204AC}"/>
    <cellStyle name="60% - Ênfase3 13 3 3" xfId="2540" xr:uid="{C1A44E9F-BCCD-4DFA-B982-8B6028EDB069}"/>
    <cellStyle name="60% - Ênfase3 13 3 3 2" xfId="6168" xr:uid="{D48B776C-DCB5-42C2-BFD3-F958BD6552DE}"/>
    <cellStyle name="60% - Ênfase3 13 3 4" xfId="4187" xr:uid="{D262A3BE-2D5C-4C65-A0AD-9076BA515A43}"/>
    <cellStyle name="60% - Ênfase3 13 4" xfId="1163" xr:uid="{659D2859-CB75-4B3A-8BF6-8CF84EAE8C8C}"/>
    <cellStyle name="60% - Ênfase3 13 4 2" xfId="3015" xr:uid="{2B79016B-3B85-44DD-BB80-B31CCF3809A3}"/>
    <cellStyle name="60% - Ênfase3 13 4 2 2" xfId="6643" xr:uid="{1F16753D-F68E-4FBF-A57C-C0AF2D6D0FB3}"/>
    <cellStyle name="60% - Ênfase3 13 4 3" xfId="4791" xr:uid="{4B82A32B-FE04-4C53-9F10-8B6DBA34ADBA}"/>
    <cellStyle name="60% - Ênfase3 13 5" xfId="2088" xr:uid="{FC855A7F-9714-4F0B-8735-2E96B1B784A1}"/>
    <cellStyle name="60% - Ênfase3 13 5 2" xfId="5716" xr:uid="{0A3F7554-51F7-4CC8-AB8E-D8235F39DC38}"/>
    <cellStyle name="60% - Ênfase3 13 6" xfId="3905" xr:uid="{9D16D39E-5ACB-4B6F-B088-0F0F9373C0B3}"/>
    <cellStyle name="60% - Ênfase3 14" xfId="296" xr:uid="{29CB97CD-6019-4939-88D0-DB16BA922804}"/>
    <cellStyle name="60% - Ênfase3 14 2" xfId="902" xr:uid="{A794903C-2A9D-450F-9416-A9FD3E44102D}"/>
    <cellStyle name="60% - Ênfase3 14 2 2" xfId="1505" xr:uid="{FBF3EA9D-32AE-4F4F-AA6E-C345D4F4EA23}"/>
    <cellStyle name="60% - Ênfase3 14 2 2 2" xfId="3357" xr:uid="{D72DEB18-249B-443A-9522-86AB8BCB66E3}"/>
    <cellStyle name="60% - Ênfase3 14 2 2 2 2" xfId="6985" xr:uid="{1042C7C7-0CDC-4295-822B-3DCBA635C0E3}"/>
    <cellStyle name="60% - Ênfase3 14 2 2 3" xfId="5133" xr:uid="{C1756CEC-BAD8-47A1-8101-6489EC24983D}"/>
    <cellStyle name="60% - Ênfase3 14 2 3" xfId="2430" xr:uid="{710CB214-B5CF-4F7B-9E7E-969B27C17F35}"/>
    <cellStyle name="60% - Ênfase3 14 2 3 2" xfId="6058" xr:uid="{EC684499-3AC3-4B99-AD25-114E33494E90}"/>
    <cellStyle name="60% - Ênfase3 14 2 4" xfId="4530" xr:uid="{3106898A-681F-4463-A4F7-DB03EB932152}"/>
    <cellStyle name="60% - Ênfase3 14 3" xfId="578" xr:uid="{2360C725-B80F-4EA9-9565-22000B628544}"/>
    <cellStyle name="60% - Ênfase3 14 3 2" xfId="1771" xr:uid="{F3FFFF44-3843-4EF7-888F-673D892C9AD6}"/>
    <cellStyle name="60% - Ênfase3 14 3 2 2" xfId="3584" xr:uid="{BB58F63B-E87D-4ECA-8C46-36A015BDCA8E}"/>
    <cellStyle name="60% - Ênfase3 14 3 2 2 2" xfId="7212" xr:uid="{64180DF6-DE8F-440C-8B0D-EDFC1B737405}"/>
    <cellStyle name="60% - Ênfase3 14 3 2 3" xfId="5399" xr:uid="{0A221FB9-C0C8-4357-A8C0-FBD82154C371}"/>
    <cellStyle name="60% - Ênfase3 14 3 3" xfId="2696" xr:uid="{CBACDD7C-8B57-49D9-93DE-C0BB3F8EE61B}"/>
    <cellStyle name="60% - Ênfase3 14 3 3 2" xfId="6324" xr:uid="{A2D9492B-15BE-4C84-BAF7-2D213908A37F}"/>
    <cellStyle name="60% - Ênfase3 14 3 4" xfId="4207" xr:uid="{660B020F-4FE3-4132-BD55-F7D8CCD74675}"/>
    <cellStyle name="60% - Ênfase3 14 4" xfId="1183" xr:uid="{3D6B63B2-47F9-4D08-BBF5-8719275434AF}"/>
    <cellStyle name="60% - Ênfase3 14 4 2" xfId="3035" xr:uid="{B9DFDDCB-1DD2-4718-8175-4CC15F361969}"/>
    <cellStyle name="60% - Ênfase3 14 4 2 2" xfId="6663" xr:uid="{6A5DCE19-8994-4D6C-A7AC-AA8FE613947D}"/>
    <cellStyle name="60% - Ênfase3 14 4 3" xfId="4811" xr:uid="{5A991DFE-F37C-4110-95C8-5B31776C4A8E}"/>
    <cellStyle name="60% - Ênfase3 14 5" xfId="2108" xr:uid="{E9EF8B5E-0AED-4482-99E6-A612F635C0D4}"/>
    <cellStyle name="60% - Ênfase3 14 5 2" xfId="5736" xr:uid="{4242B9C0-142B-4A17-891C-33B9C99E438C}"/>
    <cellStyle name="60% - Ênfase3 14 6" xfId="3925" xr:uid="{46C4AD21-8AFE-4034-BBF2-8F46B06055B3}"/>
    <cellStyle name="60% - Ênfase3 15" xfId="598" xr:uid="{428D2FDF-8C58-4C5F-84B1-C58DA0009819}"/>
    <cellStyle name="60% - Ênfase3 15 2" xfId="1661" xr:uid="{DF563159-6BD2-4201-8E49-55CC31D08CCD}"/>
    <cellStyle name="60% - Ênfase3 15 2 2" xfId="2586" xr:uid="{72EEB8A5-05C9-4B8E-B565-27133AE23802}"/>
    <cellStyle name="60% - Ênfase3 15 2 2 2" xfId="6214" xr:uid="{8CAA3FC3-47D7-4131-A9B0-8EA0C4FBC2DF}"/>
    <cellStyle name="60% - Ênfase3 15 2 3" xfId="5289" xr:uid="{7325A279-121C-47F1-8F56-A08012076D5D}"/>
    <cellStyle name="60% - Ênfase3 15 3" xfId="1203" xr:uid="{AD2B2EFC-4FC0-466F-B817-752A82D07F7F}"/>
    <cellStyle name="60% - Ênfase3 15 3 2" xfId="3055" xr:uid="{4D22264A-EC62-431E-8DF9-35574FF98DB3}"/>
    <cellStyle name="60% - Ênfase3 15 3 2 2" xfId="6683" xr:uid="{612EF191-E958-4EBF-9253-653304DDF481}"/>
    <cellStyle name="60% - Ênfase3 15 3 3" xfId="4831" xr:uid="{B79673BD-8BEA-44C2-8D5A-00B3C454C015}"/>
    <cellStyle name="60% - Ênfase3 15 4" xfId="2128" xr:uid="{12E8A481-1B34-4F3B-AA24-D17C65486A4F}"/>
    <cellStyle name="60% - Ênfase3 15 4 2" xfId="5756" xr:uid="{F03E8824-E8F3-4947-8F31-EC255BE27467}"/>
    <cellStyle name="60% - Ênfase3 15 5" xfId="4227" xr:uid="{C9447F61-56C1-4A25-B827-BEC9A78A31CA}"/>
    <cellStyle name="60% - Ênfase3 16" xfId="618" xr:uid="{9E7084C1-432B-4797-B24A-183792898541}"/>
    <cellStyle name="60% - Ênfase3 16 2" xfId="1681" xr:uid="{8A4F3A52-15FE-462D-B1A6-71AB93B00DD3}"/>
    <cellStyle name="60% - Ênfase3 16 2 2" xfId="2606" xr:uid="{C05521F7-BCDC-49E0-8675-643ADC95F114}"/>
    <cellStyle name="60% - Ênfase3 16 2 2 2" xfId="6234" xr:uid="{8FA21AE1-8405-40D4-88C6-58EE7FF90A5E}"/>
    <cellStyle name="60% - Ênfase3 16 2 3" xfId="5309" xr:uid="{547387A8-1958-40BA-A948-6729D9A7133E}"/>
    <cellStyle name="60% - Ênfase3 16 3" xfId="1223" xr:uid="{1F0E858B-E879-4750-BA86-DFA31077063A}"/>
    <cellStyle name="60% - Ênfase3 16 3 2" xfId="3075" xr:uid="{C0C26CD6-C6EF-4559-ACF0-F736270A2732}"/>
    <cellStyle name="60% - Ênfase3 16 3 2 2" xfId="6703" xr:uid="{FAC1385C-ADDB-457E-902D-AF03BCD3D546}"/>
    <cellStyle name="60% - Ênfase3 16 3 3" xfId="4851" xr:uid="{E33D0DF9-1FB9-4A0E-8773-E220A45893F2}"/>
    <cellStyle name="60% - Ênfase3 16 4" xfId="2148" xr:uid="{A9C289BA-10A3-498E-AE0B-5B1ADB1E2BBA}"/>
    <cellStyle name="60% - Ênfase3 16 4 2" xfId="5776" xr:uid="{0F4AE1ED-5CBA-42DE-8E03-3165F5AB8F5E}"/>
    <cellStyle name="60% - Ênfase3 16 5" xfId="4247" xr:uid="{C15477E3-F8E3-46D7-9E0D-0F02F8A9EFA9}"/>
    <cellStyle name="60% - Ênfase3 17" xfId="638" xr:uid="{76A58A2A-9997-47AD-8ED0-B9E090264681}"/>
    <cellStyle name="60% - Ênfase3 17 2" xfId="1242" xr:uid="{120DDD63-67FA-402A-B04D-1AEF216AF41B}"/>
    <cellStyle name="60% - Ênfase3 17 2 2" xfId="3094" xr:uid="{CD3618F3-80E9-41F9-A069-344687670A14}"/>
    <cellStyle name="60% - Ênfase3 17 2 2 2" xfId="6722" xr:uid="{8F5BDD51-786C-4203-9357-173620C9DCE3}"/>
    <cellStyle name="60% - Ênfase3 17 2 3" xfId="4870" xr:uid="{182CE543-3910-4C08-A8A7-F1C485E238AC}"/>
    <cellStyle name="60% - Ênfase3 17 3" xfId="2167" xr:uid="{BE32F112-3A39-4621-9432-34B50A786FAD}"/>
    <cellStyle name="60% - Ênfase3 17 3 2" xfId="5795" xr:uid="{935E5841-1407-41B5-9303-5039B788704C}"/>
    <cellStyle name="60% - Ênfase3 17 4" xfId="4267" xr:uid="{8C24129D-2838-4D46-BE60-77315B031202}"/>
    <cellStyle name="60% - Ênfase3 18" xfId="315" xr:uid="{A9F291FA-F4AE-438D-BC96-607188AFF5B7}"/>
    <cellStyle name="60% - Ênfase3 18 2" xfId="1575" xr:uid="{C628FC65-F49D-4B25-A3D4-39025CBBFF36}"/>
    <cellStyle name="60% - Ênfase3 18 2 2" xfId="3427" xr:uid="{167763C7-9AA6-418E-8CC8-074A3C7669A9}"/>
    <cellStyle name="60% - Ênfase3 18 2 2 2" xfId="7055" xr:uid="{DFBBEEB6-A80E-45A5-90E7-8C4CCEF643F1}"/>
    <cellStyle name="60% - Ênfase3 18 2 3" xfId="5203" xr:uid="{FCBE2C52-D8BD-4CA1-898E-01C29D64DAEE}"/>
    <cellStyle name="60% - Ênfase3 18 3" xfId="2500" xr:uid="{66ACF517-47A3-4064-8A40-E3017C8AA12C}"/>
    <cellStyle name="60% - Ênfase3 18 3 2" xfId="6128" xr:uid="{A32A5B7A-3F7E-4A30-8D54-AE72141D7955}"/>
    <cellStyle name="60% - Ênfase3 18 4" xfId="3944" xr:uid="{451275FA-AD28-4B67-96E0-8592DAF43627}"/>
    <cellStyle name="60% - Ênfase3 19" xfId="920" xr:uid="{C02CD745-2389-40CE-BA32-7E1DA8B587EB}"/>
    <cellStyle name="60% - Ênfase3 19 2" xfId="2772" xr:uid="{CA279B10-FB2C-4C6E-B8F9-DA605DA74C20}"/>
    <cellStyle name="60% - Ênfase3 19 2 2" xfId="6400" xr:uid="{0E6711BD-41A3-436C-9EEF-CE3D7FD3DEA2}"/>
    <cellStyle name="60% - Ênfase3 19 3" xfId="4548" xr:uid="{D058A1CF-CA63-4710-AB90-D4449840EEAB}"/>
    <cellStyle name="60% - Ênfase3 2" xfId="55" xr:uid="{5B6C368A-A7F2-4CE5-88D1-89F021B55105}"/>
    <cellStyle name="60% - Ênfase3 2 2" xfId="661" xr:uid="{1C501AA9-EB43-4480-AE74-E91D0302D2A6}"/>
    <cellStyle name="60% - Ênfase3 2 2 2" xfId="1264" xr:uid="{D2139FD9-1CF1-44C6-8FE7-897B636F26FF}"/>
    <cellStyle name="60% - Ênfase3 2 2 2 2" xfId="3116" xr:uid="{705346CD-A1FD-4EF6-804A-B95579BEB83A}"/>
    <cellStyle name="60% - Ênfase3 2 2 2 2 2" xfId="6744" xr:uid="{D5E19AD3-FBC9-459A-811B-61F3FDBC8B7C}"/>
    <cellStyle name="60% - Ênfase3 2 2 2 3" xfId="4892" xr:uid="{A3AA9121-18C7-4109-98E4-9623C4A3902C}"/>
    <cellStyle name="60% - Ênfase3 2 2 3" xfId="2189" xr:uid="{82F06866-5E55-44D4-9709-4D907DA9DC17}"/>
    <cellStyle name="60% - Ênfase3 2 2 3 2" xfId="5817" xr:uid="{87EC2539-9A7E-4F9F-88A2-1C17E08D79EB}"/>
    <cellStyle name="60% - Ênfase3 2 2 4" xfId="4289" xr:uid="{E7DA39E7-30B2-436D-A2BF-BAF32651C73A}"/>
    <cellStyle name="60% - Ênfase3 2 3" xfId="337" xr:uid="{AD6EA950-BD26-4F80-B645-B22A83FA0F7D}"/>
    <cellStyle name="60% - Ênfase3 2 3 2" xfId="1793" xr:uid="{E0AE96AC-0C34-45A1-89A8-B9EBE0081E74}"/>
    <cellStyle name="60% - Ênfase3 2 3 2 2" xfId="3606" xr:uid="{F8D3A111-47CF-42E0-860A-D109B5FFF0E9}"/>
    <cellStyle name="60% - Ênfase3 2 3 2 2 2" xfId="7234" xr:uid="{903D6822-E5E4-44CA-9E32-A8A30E87FECF}"/>
    <cellStyle name="60% - Ênfase3 2 3 2 3" xfId="5421" xr:uid="{40207C6E-C489-4045-B06A-1625917736A3}"/>
    <cellStyle name="60% - Ênfase3 2 3 3" xfId="2718" xr:uid="{7C8A1AD6-237F-4B34-BBC3-AD1FD28DF4C3}"/>
    <cellStyle name="60% - Ênfase3 2 3 3 2" xfId="6346" xr:uid="{596CAD47-5E28-41A3-98B3-E4388882B723}"/>
    <cellStyle name="60% - Ênfase3 2 3 4" xfId="3966" xr:uid="{9F905F2E-D842-4186-A73E-1E8A944C6980}"/>
    <cellStyle name="60% - Ênfase3 2 4" xfId="942" xr:uid="{DB780499-507A-4E1E-9DEF-DA3326E88084}"/>
    <cellStyle name="60% - Ênfase3 2 4 2" xfId="2794" xr:uid="{49399777-AE6C-41BD-BAAF-28A608311A10}"/>
    <cellStyle name="60% - Ênfase3 2 4 2 2" xfId="6422" xr:uid="{F6C7DEF8-0106-49DC-8D41-F7645D876FDF}"/>
    <cellStyle name="60% - Ênfase3 2 4 3" xfId="4570" xr:uid="{5C999BFD-0A70-4674-8F32-88BF8684D1E2}"/>
    <cellStyle name="60% - Ênfase3 2 5" xfId="1867" xr:uid="{7E99110D-1C32-4E90-BFED-1164DBD0089C}"/>
    <cellStyle name="60% - Ênfase3 2 5 2" xfId="5495" xr:uid="{A8F7D9A3-A03C-4A8D-A67A-CDA80BAC0F7C}"/>
    <cellStyle name="60% - Ênfase3 2 6" xfId="3684" xr:uid="{83B9CC35-EDD6-46BB-A936-B773511A5588}"/>
    <cellStyle name="60% - Ênfase3 20" xfId="1845" xr:uid="{52F3EBE0-E2A2-4193-9771-D850C21F6AAE}"/>
    <cellStyle name="60% - Ênfase3 20 2" xfId="5473" xr:uid="{7E560394-9DD9-4F38-8875-7BD46DFF0171}"/>
    <cellStyle name="60% - Ênfase3 21" xfId="3660" xr:uid="{F435BF1D-E8E4-439C-9F4A-8CE13DF9EBD6}"/>
    <cellStyle name="60% - Ênfase3 3" xfId="73" xr:uid="{CE627780-97EB-43F6-847F-5DFE3B2D58C8}"/>
    <cellStyle name="60% - Ênfase3 3 2" xfId="679" xr:uid="{31A981C0-C7C1-4716-BD37-54DA48AA3F00}"/>
    <cellStyle name="60% - Ênfase3 3 2 2" xfId="1282" xr:uid="{610B46E3-B172-4D1A-B99D-1AB5C174F4FC}"/>
    <cellStyle name="60% - Ênfase3 3 2 2 2" xfId="3134" xr:uid="{77764B9B-4A24-4988-B3AF-D3C2E3BF8AF8}"/>
    <cellStyle name="60% - Ênfase3 3 2 2 2 2" xfId="6762" xr:uid="{B5E1DF42-C6E2-4516-AD18-FD6015969A0D}"/>
    <cellStyle name="60% - Ênfase3 3 2 2 3" xfId="4910" xr:uid="{12346FA2-9D09-4FB3-B794-9F9224E58B9A}"/>
    <cellStyle name="60% - Ênfase3 3 2 3" xfId="2207" xr:uid="{C5B6BBA2-5170-4AC6-BF4D-F972D97F77FB}"/>
    <cellStyle name="60% - Ênfase3 3 2 3 2" xfId="5835" xr:uid="{2073077F-5C6D-43B1-9DC8-FBB10827B241}"/>
    <cellStyle name="60% - Ênfase3 3 2 4" xfId="4307" xr:uid="{54E7064E-00BD-47B6-95CA-BA6D4F8941FF}"/>
    <cellStyle name="60% - Ênfase3 3 3" xfId="355" xr:uid="{38E44676-0ED2-498E-BBFB-0C77F7A19383}"/>
    <cellStyle name="60% - Ênfase3 3 3 2" xfId="1584" xr:uid="{E410F790-3197-43E2-80C9-1F797B778C62}"/>
    <cellStyle name="60% - Ênfase3 3 3 2 2" xfId="3436" xr:uid="{5723179A-B55E-4720-BE3E-346B437388E9}"/>
    <cellStyle name="60% - Ênfase3 3 3 2 2 2" xfId="7064" xr:uid="{357B852D-BF4C-4764-B7B1-A578784042F1}"/>
    <cellStyle name="60% - Ênfase3 3 3 2 3" xfId="5212" xr:uid="{B458C9D9-ADEC-481B-A059-EA29D9244BBB}"/>
    <cellStyle name="60% - Ênfase3 3 3 3" xfId="2509" xr:uid="{24633B5D-C529-455A-BA5D-01E404C632A5}"/>
    <cellStyle name="60% - Ênfase3 3 3 3 2" xfId="6137" xr:uid="{69F16F46-AC96-453D-ADB5-5830197D7DAA}"/>
    <cellStyle name="60% - Ênfase3 3 3 4" xfId="3984" xr:uid="{C30F8360-3F24-4282-8679-414176CB2F3A}"/>
    <cellStyle name="60% - Ênfase3 3 4" xfId="960" xr:uid="{59711E5B-B357-4714-8A70-14692E53EF6C}"/>
    <cellStyle name="60% - Ênfase3 3 4 2" xfId="2812" xr:uid="{655AD7CE-8A9C-421E-BEDB-B1D72B0729A3}"/>
    <cellStyle name="60% - Ênfase3 3 4 2 2" xfId="6440" xr:uid="{25DBC172-437C-4583-9367-B5817BB9FB41}"/>
    <cellStyle name="60% - Ênfase3 3 4 3" xfId="4588" xr:uid="{E814D2F0-4381-4266-BB29-0748A03370F6}"/>
    <cellStyle name="60% - Ênfase3 3 5" xfId="1885" xr:uid="{F5FD4F77-C033-4518-8916-F3A26D9ACB88}"/>
    <cellStyle name="60% - Ênfase3 3 5 2" xfId="5513" xr:uid="{E99896B7-AA3B-4649-8319-1F79B6D79926}"/>
    <cellStyle name="60% - Ênfase3 3 6" xfId="3702" xr:uid="{64BD9211-134D-44E6-9EB9-C865F53E5633}"/>
    <cellStyle name="60% - Ênfase3 4" xfId="95" xr:uid="{DCC1ED50-36BB-4006-85C6-96C878333965}"/>
    <cellStyle name="60% - Ênfase3 4 2" xfId="701" xr:uid="{BE96547C-02E3-4811-B90D-33E1FD09478D}"/>
    <cellStyle name="60% - Ênfase3 4 2 2" xfId="1304" xr:uid="{8BB57229-2F98-4486-AE48-4C147E904096}"/>
    <cellStyle name="60% - Ênfase3 4 2 2 2" xfId="3156" xr:uid="{8339E90E-38B3-4012-93F2-6C2AF8EAD084}"/>
    <cellStyle name="60% - Ênfase3 4 2 2 2 2" xfId="6784" xr:uid="{414AC008-3FFD-4038-98A9-D30776E3060A}"/>
    <cellStyle name="60% - Ênfase3 4 2 2 3" xfId="4932" xr:uid="{96E6971D-2393-4258-B727-DF979983685D}"/>
    <cellStyle name="60% - Ênfase3 4 2 3" xfId="2229" xr:uid="{A33A39E9-68A5-47C6-8012-6B2127A63297}"/>
    <cellStyle name="60% - Ênfase3 4 2 3 2" xfId="5857" xr:uid="{AEE1F36F-4F7F-48B5-A58B-220F1CBE2B11}"/>
    <cellStyle name="60% - Ênfase3 4 2 4" xfId="4329" xr:uid="{964FF795-FCBC-4238-A982-73DC2F1F8036}"/>
    <cellStyle name="60% - Ênfase3 4 3" xfId="377" xr:uid="{D6575659-1D5B-4D1D-A975-B0FC4B191510}"/>
    <cellStyle name="60% - Ênfase3 4 3 2" xfId="1564" xr:uid="{3ECAA16B-CC03-4F0B-9C4E-B79280C91B50}"/>
    <cellStyle name="60% - Ênfase3 4 3 2 2" xfId="3416" xr:uid="{D8B354E9-A441-424B-9A51-72105E970CAF}"/>
    <cellStyle name="60% - Ênfase3 4 3 2 2 2" xfId="7044" xr:uid="{83434584-0D8A-4D87-8F26-A686CBF11D35}"/>
    <cellStyle name="60% - Ênfase3 4 3 2 3" xfId="5192" xr:uid="{5BAB8204-0B90-4481-A7BB-A66D3663D3F7}"/>
    <cellStyle name="60% - Ênfase3 4 3 3" xfId="2489" xr:uid="{01735294-C755-4003-9414-EF7010CBB073}"/>
    <cellStyle name="60% - Ênfase3 4 3 3 2" xfId="6117" xr:uid="{DDAD4D35-A450-42AA-982C-D4C20A9A7703}"/>
    <cellStyle name="60% - Ênfase3 4 3 4" xfId="4006" xr:uid="{3DB7D84F-7D48-4A9E-A7B9-7344A972589B}"/>
    <cellStyle name="60% - Ênfase3 4 4" xfId="982" xr:uid="{B8A0B1AC-31B8-47AF-9ACB-626B19EF072E}"/>
    <cellStyle name="60% - Ênfase3 4 4 2" xfId="2834" xr:uid="{773D3924-F4F6-4F10-B8F9-D3F8F4C11693}"/>
    <cellStyle name="60% - Ênfase3 4 4 2 2" xfId="6462" xr:uid="{39EC30B5-B216-40B7-A9E5-479A9DDD21B4}"/>
    <cellStyle name="60% - Ênfase3 4 4 3" xfId="4610" xr:uid="{FD1D19A3-59B6-489D-BD1E-6BDE8AB9C6CB}"/>
    <cellStyle name="60% - Ênfase3 4 5" xfId="1907" xr:uid="{A44D6AD3-D1CD-4F0C-B6C4-14595A7EE591}"/>
    <cellStyle name="60% - Ênfase3 4 5 2" xfId="5535" xr:uid="{EC46C369-F3C4-4696-9512-992FA7FCD042}"/>
    <cellStyle name="60% - Ênfase3 4 6" xfId="3724" xr:uid="{7C071FFD-58F6-45A6-A381-F190AF974E1B}"/>
    <cellStyle name="60% - Ênfase3 5" xfId="115" xr:uid="{12B9041F-C33B-4BEE-8B0B-04025EDC0411}"/>
    <cellStyle name="60% - Ênfase3 5 2" xfId="721" xr:uid="{B30DC1FF-B5F9-46B8-9209-534C82A8B291}"/>
    <cellStyle name="60% - Ênfase3 5 2 2" xfId="1324" xr:uid="{2B75CC7A-C6F5-4BD3-A23E-949D10DA5984}"/>
    <cellStyle name="60% - Ênfase3 5 2 2 2" xfId="3176" xr:uid="{904E5C92-BFA6-455C-B836-F1DE9890DFE5}"/>
    <cellStyle name="60% - Ênfase3 5 2 2 2 2" xfId="6804" xr:uid="{D8ED6FBF-D8D8-46C4-BAEA-1BC31CAF488F}"/>
    <cellStyle name="60% - Ênfase3 5 2 2 3" xfId="4952" xr:uid="{1BC83C84-C600-46A0-881E-60B98543522C}"/>
    <cellStyle name="60% - Ênfase3 5 2 3" xfId="2249" xr:uid="{A8A0B683-2755-4489-8581-730BFBD1FCF4}"/>
    <cellStyle name="60% - Ênfase3 5 2 3 2" xfId="5877" xr:uid="{6D34F8B8-3BEA-4CAF-A05B-936D7B63F302}"/>
    <cellStyle name="60% - Ênfase3 5 2 4" xfId="4349" xr:uid="{1738095F-EBB9-4D49-A96F-6C4901B55D51}"/>
    <cellStyle name="60% - Ênfase3 5 3" xfId="397" xr:uid="{529BD588-A9BB-4646-824A-68E09CCA97B6}"/>
    <cellStyle name="60% - Ênfase3 5 3 2" xfId="1768" xr:uid="{3D293133-27A9-419F-8996-D9E6FBD2F6BE}"/>
    <cellStyle name="60% - Ênfase3 5 3 2 2" xfId="3581" xr:uid="{40C1A9B0-0FC5-47F6-8D9C-538ED883F0A6}"/>
    <cellStyle name="60% - Ênfase3 5 3 2 2 2" xfId="7209" xr:uid="{BCA7E5FF-0D13-4AE8-812C-7FEA35B05D52}"/>
    <cellStyle name="60% - Ênfase3 5 3 2 3" xfId="5396" xr:uid="{E96E2C47-530A-4EAB-9308-E1DE2FF4EF26}"/>
    <cellStyle name="60% - Ênfase3 5 3 3" xfId="2693" xr:uid="{30EF3CA7-2749-4E35-83C4-0CBFAF26F5D4}"/>
    <cellStyle name="60% - Ênfase3 5 3 3 2" xfId="6321" xr:uid="{E9E2EABC-2720-4934-8088-BA485CA6CAFB}"/>
    <cellStyle name="60% - Ênfase3 5 3 4" xfId="4026" xr:uid="{7A08F1E3-AC0D-4401-938C-602925F7DE73}"/>
    <cellStyle name="60% - Ênfase3 5 4" xfId="1002" xr:uid="{1D06F52B-2B3C-4BEF-BDA8-725371F7E5C2}"/>
    <cellStyle name="60% - Ênfase3 5 4 2" xfId="2854" xr:uid="{731F6E6F-02BD-47DC-94D4-C8FEBD6D4CF2}"/>
    <cellStyle name="60% - Ênfase3 5 4 2 2" xfId="6482" xr:uid="{E7893723-822A-4C9E-A419-86CE1F5BC76B}"/>
    <cellStyle name="60% - Ênfase3 5 4 3" xfId="4630" xr:uid="{5B534343-F125-43E5-A70C-84E9EAE4AEAB}"/>
    <cellStyle name="60% - Ênfase3 5 5" xfId="1927" xr:uid="{04C024B3-F188-4B61-8414-D556D5F915A7}"/>
    <cellStyle name="60% - Ênfase3 5 5 2" xfId="5555" xr:uid="{0BFFB7CE-CD1D-48E2-BA92-E833E3AACFA0}"/>
    <cellStyle name="60% - Ênfase3 5 6" xfId="3744" xr:uid="{50498DCF-1BE8-40B3-A3A1-43B45E4E3AE6}"/>
    <cellStyle name="60% - Ênfase3 6" xfId="135" xr:uid="{D8CD0E5C-B925-4931-99EC-2695A11CEBCD}"/>
    <cellStyle name="60% - Ênfase3 6 2" xfId="741" xr:uid="{8C26215B-AC70-4818-BE3B-AC770119BD2F}"/>
    <cellStyle name="60% - Ênfase3 6 2 2" xfId="1344" xr:uid="{B5E80838-D9CB-4B4C-80C8-535F11D9A9FC}"/>
    <cellStyle name="60% - Ênfase3 6 2 2 2" xfId="3196" xr:uid="{30A0FB68-3E0A-4BF6-B961-0ED58CC09DD3}"/>
    <cellStyle name="60% - Ênfase3 6 2 2 2 2" xfId="6824" xr:uid="{DD77C1A0-E80F-41F6-9236-04040E82F783}"/>
    <cellStyle name="60% - Ênfase3 6 2 2 3" xfId="4972" xr:uid="{2F632DDE-A384-4CBF-92D9-99CAA1FF683B}"/>
    <cellStyle name="60% - Ênfase3 6 2 3" xfId="2269" xr:uid="{EBD8A000-29C6-447D-A577-65FAD9A3F187}"/>
    <cellStyle name="60% - Ênfase3 6 2 3 2" xfId="5897" xr:uid="{D76BF009-573B-4573-A654-A9A37B464DDC}"/>
    <cellStyle name="60% - Ênfase3 6 2 4" xfId="4369" xr:uid="{C231C14E-9A3C-4729-943C-F0FFCD7CC7D4}"/>
    <cellStyle name="60% - Ênfase3 6 3" xfId="417" xr:uid="{016EE718-EDAF-48C4-BDC9-8AC78C87D2CB}"/>
    <cellStyle name="60% - Ênfase3 6 3 2" xfId="1813" xr:uid="{58E9F276-E879-4D87-B057-026482C1AEA1}"/>
    <cellStyle name="60% - Ênfase3 6 3 2 2" xfId="3626" xr:uid="{D54AC44A-E350-47A8-9980-B00E4B4DF5A2}"/>
    <cellStyle name="60% - Ênfase3 6 3 2 2 2" xfId="7254" xr:uid="{32941083-3F79-4BFF-BEBF-597A288D4897}"/>
    <cellStyle name="60% - Ênfase3 6 3 2 3" xfId="5441" xr:uid="{524F7F7D-4368-4D57-8931-B2FD05FED038}"/>
    <cellStyle name="60% - Ênfase3 6 3 3" xfId="2738" xr:uid="{87B423C8-0C0C-4409-9895-5D049152BFA2}"/>
    <cellStyle name="60% - Ênfase3 6 3 3 2" xfId="6366" xr:uid="{FCDF092E-6379-453E-A9CD-27954A997026}"/>
    <cellStyle name="60% - Ênfase3 6 3 4" xfId="4046" xr:uid="{80D11F36-A1B6-41CD-A719-986ECD1B640C}"/>
    <cellStyle name="60% - Ênfase3 6 4" xfId="1022" xr:uid="{507872CF-A410-48F7-ACC7-BBA582F3B6C6}"/>
    <cellStyle name="60% - Ênfase3 6 4 2" xfId="2874" xr:uid="{B672F0AB-E287-4A84-9B8C-60B87ED9D4C0}"/>
    <cellStyle name="60% - Ênfase3 6 4 2 2" xfId="6502" xr:uid="{67C5D249-01F4-4480-8D4C-13A0BE16DDF0}"/>
    <cellStyle name="60% - Ênfase3 6 4 3" xfId="4650" xr:uid="{73D3E802-531D-4C0C-AA49-6ADADF961D95}"/>
    <cellStyle name="60% - Ênfase3 6 5" xfId="1947" xr:uid="{5710AF70-0996-49F9-AE56-642403D13AED}"/>
    <cellStyle name="60% - Ênfase3 6 5 2" xfId="5575" xr:uid="{660DB6DD-3EB7-47DA-8FF7-A4DBFC4CE315}"/>
    <cellStyle name="60% - Ênfase3 6 6" xfId="3764" xr:uid="{AC0AB5D5-4F9D-4060-B0E3-1376F06D8D72}"/>
    <cellStyle name="60% - Ênfase3 7" xfId="155" xr:uid="{242E6469-A7E9-44BC-B4B2-CB8B3F746801}"/>
    <cellStyle name="60% - Ênfase3 7 2" xfId="761" xr:uid="{8FBE49C9-0108-4E0A-A7B3-55AA38C4BC61}"/>
    <cellStyle name="60% - Ênfase3 7 2 2" xfId="1364" xr:uid="{CE142531-9D75-4A1F-A776-C332F6DD11CF}"/>
    <cellStyle name="60% - Ênfase3 7 2 2 2" xfId="3216" xr:uid="{E63987B3-7415-4F94-99D1-526561BE08A8}"/>
    <cellStyle name="60% - Ênfase3 7 2 2 2 2" xfId="6844" xr:uid="{40674ED2-B5FF-4E7F-A90C-E7379E9D75A6}"/>
    <cellStyle name="60% - Ênfase3 7 2 2 3" xfId="4992" xr:uid="{4BE13FDC-E08D-451C-95A6-C124A749B83E}"/>
    <cellStyle name="60% - Ênfase3 7 2 3" xfId="2289" xr:uid="{F4A73F1E-9958-42E0-97EF-749920CDDCBC}"/>
    <cellStyle name="60% - Ênfase3 7 2 3 2" xfId="5917" xr:uid="{F5DE98AE-6637-4655-A74E-2C4D27C6D83A}"/>
    <cellStyle name="60% - Ênfase3 7 2 4" xfId="4389" xr:uid="{39335DF8-0950-44A0-B880-9E008F28D6E9}"/>
    <cellStyle name="60% - Ênfase3 7 3" xfId="437" xr:uid="{E66AD9F2-77EC-4E7E-8635-5243F46704D7}"/>
    <cellStyle name="60% - Ênfase3 7 3 2" xfId="1722" xr:uid="{799839F7-A955-4CAC-90B5-643A43676277}"/>
    <cellStyle name="60% - Ênfase3 7 3 2 2" xfId="3535" xr:uid="{9E7828A6-4EB3-422B-97BB-5642AAA93DD1}"/>
    <cellStyle name="60% - Ênfase3 7 3 2 2 2" xfId="7163" xr:uid="{6A47317C-1D16-49D4-932F-BB12FE8F91EB}"/>
    <cellStyle name="60% - Ênfase3 7 3 2 3" xfId="5350" xr:uid="{2C6792A0-6928-4575-8634-5DB7409F2DD7}"/>
    <cellStyle name="60% - Ênfase3 7 3 3" xfId="2647" xr:uid="{8A2EF360-A736-450A-9106-A87A33FF89DD}"/>
    <cellStyle name="60% - Ênfase3 7 3 3 2" xfId="6275" xr:uid="{48325C17-9A0F-4E2E-B4CA-639D9ADE89AE}"/>
    <cellStyle name="60% - Ênfase3 7 3 4" xfId="4066" xr:uid="{BA640E77-7158-43C5-9B2E-19EF2152BEEE}"/>
    <cellStyle name="60% - Ênfase3 7 4" xfId="1042" xr:uid="{8243ED29-EAA0-48F7-8175-13CC1A8D0A42}"/>
    <cellStyle name="60% - Ênfase3 7 4 2" xfId="2894" xr:uid="{D9890F15-3DD0-4523-9E4F-41823000A75E}"/>
    <cellStyle name="60% - Ênfase3 7 4 2 2" xfId="6522" xr:uid="{2DD81076-64F7-413C-9F4B-1F442FB233DD}"/>
    <cellStyle name="60% - Ênfase3 7 4 3" xfId="4670" xr:uid="{5DDC375F-4BA9-4B14-83F4-4E76699FD0BA}"/>
    <cellStyle name="60% - Ênfase3 7 5" xfId="1967" xr:uid="{489E4D20-D34A-4376-8A9A-DD2A1EC91EA3}"/>
    <cellStyle name="60% - Ênfase3 7 5 2" xfId="5595" xr:uid="{B157B077-BB50-4277-B014-C69FEC875575}"/>
    <cellStyle name="60% - Ênfase3 7 6" xfId="3784" xr:uid="{607DDB13-5B09-4108-99BD-5576AB1551FA}"/>
    <cellStyle name="60% - Ênfase3 8" xfId="175" xr:uid="{B914FF16-2AA1-44F0-A026-685C29054B15}"/>
    <cellStyle name="60% - Ênfase3 8 2" xfId="781" xr:uid="{1349EDC6-8200-475A-97B9-38F56EFCC04C}"/>
    <cellStyle name="60% - Ênfase3 8 2 2" xfId="1384" xr:uid="{A5608A13-6EFB-4342-8957-DB1D2B04F05A}"/>
    <cellStyle name="60% - Ênfase3 8 2 2 2" xfId="3236" xr:uid="{CD9CB58B-F533-4051-BF32-8EAEF1F72F0B}"/>
    <cellStyle name="60% - Ênfase3 8 2 2 2 2" xfId="6864" xr:uid="{9CEAED34-7C20-4C81-B811-1FB965A1C787}"/>
    <cellStyle name="60% - Ênfase3 8 2 2 3" xfId="5012" xr:uid="{BEBAF68D-5474-4C06-8689-EF29A47AF3D1}"/>
    <cellStyle name="60% - Ênfase3 8 2 3" xfId="2309" xr:uid="{98EFAF3C-0879-4326-ACB9-C6677DA55C56}"/>
    <cellStyle name="60% - Ênfase3 8 2 3 2" xfId="5937" xr:uid="{C297F060-8BA2-4794-A1FE-90A459B5D274}"/>
    <cellStyle name="60% - Ênfase3 8 2 4" xfId="4409" xr:uid="{8D773163-4BA8-467A-926F-499BD1892BBC}"/>
    <cellStyle name="60% - Ênfase3 8 3" xfId="457" xr:uid="{CB3F813E-A86E-4DFC-A621-770223D985B7}"/>
    <cellStyle name="60% - Ênfase3 8 3 2" xfId="1645" xr:uid="{988CE292-0DC9-4174-B736-02CFAB384923}"/>
    <cellStyle name="60% - Ênfase3 8 3 2 2" xfId="3497" xr:uid="{25ED0F2C-AB37-4D66-9379-132A1D89622A}"/>
    <cellStyle name="60% - Ênfase3 8 3 2 2 2" xfId="7125" xr:uid="{BA0E3D27-69D8-4EE1-8157-D4C6C88902D7}"/>
    <cellStyle name="60% - Ênfase3 8 3 2 3" xfId="5273" xr:uid="{DD32E9C6-D3E3-49FE-90D9-785E26FFF2FB}"/>
    <cellStyle name="60% - Ênfase3 8 3 3" xfId="2570" xr:uid="{5D3329D3-9855-443C-874B-66658205948D}"/>
    <cellStyle name="60% - Ênfase3 8 3 3 2" xfId="6198" xr:uid="{9589FB8E-AD68-49BB-927A-5C0E1D58D738}"/>
    <cellStyle name="60% - Ênfase3 8 3 4" xfId="4086" xr:uid="{CDCF3B92-7BAB-4092-9854-6D38B5EC1F27}"/>
    <cellStyle name="60% - Ênfase3 8 4" xfId="1062" xr:uid="{FA40CD26-D6FB-4C6B-B6BC-FE4E47A7B812}"/>
    <cellStyle name="60% - Ênfase3 8 4 2" xfId="2914" xr:uid="{1BA7ACAC-B0D3-4ADE-AA6E-6B46C89B5771}"/>
    <cellStyle name="60% - Ênfase3 8 4 2 2" xfId="6542" xr:uid="{2EBDE1CD-11FE-4AD9-A7FA-1A032F86E698}"/>
    <cellStyle name="60% - Ênfase3 8 4 3" xfId="4690" xr:uid="{C09C0568-C226-4B86-891E-1141F9D81E9D}"/>
    <cellStyle name="60% - Ênfase3 8 5" xfId="1987" xr:uid="{6743D7BD-82D9-4D97-8FC7-9376D9D521CD}"/>
    <cellStyle name="60% - Ênfase3 8 5 2" xfId="5615" xr:uid="{AA62C505-1A74-4379-8608-F2362E90AD0C}"/>
    <cellStyle name="60% - Ênfase3 8 6" xfId="3804" xr:uid="{D00729F7-B9FD-4AE2-9AE0-E06201CF8049}"/>
    <cellStyle name="60% - Ênfase3 9" xfId="195" xr:uid="{D61B79C6-2484-46A7-86ED-66E385A97474}"/>
    <cellStyle name="60% - Ênfase3 9 2" xfId="801" xr:uid="{4E871F91-CE42-44E6-91DA-C0E898214407}"/>
    <cellStyle name="60% - Ênfase3 9 2 2" xfId="1404" xr:uid="{2639A878-A5B6-4261-9A3B-7CBA924988D5}"/>
    <cellStyle name="60% - Ênfase3 9 2 2 2" xfId="3256" xr:uid="{2688BEEB-2B6B-4BF9-8DC6-728197419775}"/>
    <cellStyle name="60% - Ênfase3 9 2 2 2 2" xfId="6884" xr:uid="{2B67A174-72A4-45EA-BBAB-829A3D574B1A}"/>
    <cellStyle name="60% - Ênfase3 9 2 2 3" xfId="5032" xr:uid="{D45B6862-63D3-4231-ABE0-DF71AD0BE8E9}"/>
    <cellStyle name="60% - Ênfase3 9 2 3" xfId="2329" xr:uid="{68A54204-292E-4A5C-86FB-DD309949CC44}"/>
    <cellStyle name="60% - Ênfase3 9 2 3 2" xfId="5957" xr:uid="{67464195-015E-4F1D-89DE-2B1B2A631644}"/>
    <cellStyle name="60% - Ênfase3 9 2 4" xfId="4429" xr:uid="{C2D15FB4-2497-4012-A040-5B82CEE3C4C2}"/>
    <cellStyle name="60% - Ênfase3 9 3" xfId="477" xr:uid="{4C5BF3BF-440B-4CA5-8300-D393498CBEE2}"/>
    <cellStyle name="60% - Ênfase3 9 3 2" xfId="1607" xr:uid="{CFA8EF13-3B25-43C7-8E05-96C98BD07406}"/>
    <cellStyle name="60% - Ênfase3 9 3 2 2" xfId="3459" xr:uid="{FE2A741E-B1CC-4192-BF41-0C9ADDC5A001}"/>
    <cellStyle name="60% - Ênfase3 9 3 2 2 2" xfId="7087" xr:uid="{C6F32869-C183-42E7-B1CA-BFC9F555C7F8}"/>
    <cellStyle name="60% - Ênfase3 9 3 2 3" xfId="5235" xr:uid="{3A8CE0CF-AAB8-4089-B3B4-6791FEDBB9CB}"/>
    <cellStyle name="60% - Ênfase3 9 3 3" xfId="2532" xr:uid="{0E77973F-AF92-4710-84A7-98AC79D79382}"/>
    <cellStyle name="60% - Ênfase3 9 3 3 2" xfId="6160" xr:uid="{B63A406D-D620-47A4-B976-0DE9EAD5F03E}"/>
    <cellStyle name="60% - Ênfase3 9 3 4" xfId="4106" xr:uid="{08724F9E-7525-453F-85D8-6F9FDD16113F}"/>
    <cellStyle name="60% - Ênfase3 9 4" xfId="1082" xr:uid="{2C4B1F16-2991-41B6-A020-A2CBC6FF025C}"/>
    <cellStyle name="60% - Ênfase3 9 4 2" xfId="2934" xr:uid="{59DDB718-2A12-41A1-8A9B-364EDB6CBCF3}"/>
    <cellStyle name="60% - Ênfase3 9 4 2 2" xfId="6562" xr:uid="{5240BD88-29D9-40AB-A8F4-C42EF4167EDC}"/>
    <cellStyle name="60% - Ênfase3 9 4 3" xfId="4710" xr:uid="{5461D852-9752-4614-9FAD-3690A892F6A9}"/>
    <cellStyle name="60% - Ênfase3 9 5" xfId="2007" xr:uid="{AAFAF170-4FA9-4BE1-AA13-DFCEC4A59131}"/>
    <cellStyle name="60% - Ênfase3 9 5 2" xfId="5635" xr:uid="{18DFBEC9-B749-4B92-908A-40D54558D149}"/>
    <cellStyle name="60% - Ênfase3 9 6" xfId="3824" xr:uid="{A6CDA41A-9F08-4846-A25E-60D02BF295D8}"/>
    <cellStyle name="60% - Ênfase4" xfId="33" builtinId="44" customBuiltin="1"/>
    <cellStyle name="60% - Ênfase4 10" xfId="219" xr:uid="{E8FCF993-DFF6-484E-A1CF-C5917D10BC37}"/>
    <cellStyle name="60% - Ênfase4 10 2" xfId="825" xr:uid="{98D00DDE-57C5-4471-9CD1-3AB6B8C273A7}"/>
    <cellStyle name="60% - Ênfase4 10 2 2" xfId="1428" xr:uid="{AB4844D3-22DB-4D38-8AC5-B03F9A285538}"/>
    <cellStyle name="60% - Ênfase4 10 2 2 2" xfId="3280" xr:uid="{83B5184F-F525-43C1-9289-F086AEDFFFA5}"/>
    <cellStyle name="60% - Ênfase4 10 2 2 2 2" xfId="6908" xr:uid="{0BC32511-715B-4278-A549-D2D2F3258CA4}"/>
    <cellStyle name="60% - Ênfase4 10 2 2 3" xfId="5056" xr:uid="{B751F95D-3F54-448D-9591-25187B2C7884}"/>
    <cellStyle name="60% - Ênfase4 10 2 3" xfId="2353" xr:uid="{04EF73C3-CCE8-4C12-B899-9A33073FD493}"/>
    <cellStyle name="60% - Ênfase4 10 2 3 2" xfId="5981" xr:uid="{6ED8A691-1B99-47F8-BA72-42BD85366176}"/>
    <cellStyle name="60% - Ênfase4 10 2 4" xfId="4453" xr:uid="{F4B429FB-63D3-4C29-BDEB-8E332D363B81}"/>
    <cellStyle name="60% - Ênfase4 10 3" xfId="501" xr:uid="{6F4E6F8D-C529-4BE5-AF11-E426608227E8}"/>
    <cellStyle name="60% - Ênfase4 10 3 2" xfId="1764" xr:uid="{0CC752E5-3774-4880-938E-AB30C4756C7A}"/>
    <cellStyle name="60% - Ênfase4 10 3 2 2" xfId="3577" xr:uid="{69BAB7C4-5B62-43F6-B006-E7750DE4036B}"/>
    <cellStyle name="60% - Ênfase4 10 3 2 2 2" xfId="7205" xr:uid="{B8E7D820-00E4-4B4C-BF44-6AE29912F450}"/>
    <cellStyle name="60% - Ênfase4 10 3 2 3" xfId="5392" xr:uid="{FEFF1556-8F7E-40E4-8B3A-F71CA4909E5A}"/>
    <cellStyle name="60% - Ênfase4 10 3 3" xfId="2689" xr:uid="{6D353469-5A7C-40C8-8EB6-5C329BD7651B}"/>
    <cellStyle name="60% - Ênfase4 10 3 3 2" xfId="6317" xr:uid="{9E7989F2-8920-49DA-B23E-0001CC47820A}"/>
    <cellStyle name="60% - Ênfase4 10 3 4" xfId="4130" xr:uid="{7A3BEDC2-545C-4587-9C61-2D7127ED8C1B}"/>
    <cellStyle name="60% - Ênfase4 10 4" xfId="1106" xr:uid="{ABF1434A-8139-49E1-9947-59CAEEADE663}"/>
    <cellStyle name="60% - Ênfase4 10 4 2" xfId="2958" xr:uid="{B2765B4F-CB7A-4A7A-8625-AEBE185373A2}"/>
    <cellStyle name="60% - Ênfase4 10 4 2 2" xfId="6586" xr:uid="{2C6BABFA-8630-4F6E-93E2-5471AF8EAEBD}"/>
    <cellStyle name="60% - Ênfase4 10 4 3" xfId="4734" xr:uid="{51637E92-47F7-4C19-8986-9A0A5ECAFA00}"/>
    <cellStyle name="60% - Ênfase4 10 5" xfId="2031" xr:uid="{BF5E2FFC-8796-4A5D-9E70-82FCB1B95361}"/>
    <cellStyle name="60% - Ênfase4 10 5 2" xfId="5659" xr:uid="{745BC48B-714E-4D80-BDAE-7BD5213DAF95}"/>
    <cellStyle name="60% - Ênfase4 10 6" xfId="3848" xr:uid="{4DB19074-F4CE-4FCD-AF70-1CB64C99BB37}"/>
    <cellStyle name="60% - Ênfase4 11" xfId="239" xr:uid="{4D21577C-773B-4718-8CFC-37C6C35B113F}"/>
    <cellStyle name="60% - Ênfase4 11 2" xfId="845" xr:uid="{B9020397-F7AC-4517-92E3-5594430924D6}"/>
    <cellStyle name="60% - Ênfase4 11 2 2" xfId="1448" xr:uid="{6B7748E3-57DE-4F0F-8866-ABBDDAF6DF47}"/>
    <cellStyle name="60% - Ênfase4 11 2 2 2" xfId="3300" xr:uid="{3F10E387-B3D1-4F38-B421-6495787215C1}"/>
    <cellStyle name="60% - Ênfase4 11 2 2 2 2" xfId="6928" xr:uid="{F8CF2C49-38AA-412C-933B-BF69DE07B571}"/>
    <cellStyle name="60% - Ênfase4 11 2 2 3" xfId="5076" xr:uid="{364267FD-D64C-4711-A80E-5668AD5BB9E2}"/>
    <cellStyle name="60% - Ênfase4 11 2 3" xfId="2373" xr:uid="{58A6B8F9-467A-44B1-BCBF-254B3EF1A591}"/>
    <cellStyle name="60% - Ênfase4 11 2 3 2" xfId="6001" xr:uid="{DB6C6F98-E71A-4061-86DB-EAC51646D9CD}"/>
    <cellStyle name="60% - Ênfase4 11 2 4" xfId="4473" xr:uid="{37898D7E-A7E4-407C-8C95-A3F242F29F99}"/>
    <cellStyle name="60% - Ênfase4 11 3" xfId="521" xr:uid="{F9B77D91-5A7F-4774-B17A-A33F39C4DDC5}"/>
    <cellStyle name="60% - Ênfase4 11 3 2" xfId="1791" xr:uid="{FAD088C7-D215-41C8-8AC1-D463DE314D5C}"/>
    <cellStyle name="60% - Ênfase4 11 3 2 2" xfId="3604" xr:uid="{6FD05FCF-DD2E-459B-8E01-054004D27590}"/>
    <cellStyle name="60% - Ênfase4 11 3 2 2 2" xfId="7232" xr:uid="{37DAC8A1-5635-4509-8F79-84E9CB8662E5}"/>
    <cellStyle name="60% - Ênfase4 11 3 2 3" xfId="5419" xr:uid="{1BAE072B-0762-4A2D-9EE7-C89AAE754F66}"/>
    <cellStyle name="60% - Ênfase4 11 3 3" xfId="2716" xr:uid="{9960E4DD-92D3-4364-8F33-C15423AEECFA}"/>
    <cellStyle name="60% - Ênfase4 11 3 3 2" xfId="6344" xr:uid="{F9C82FB5-6468-48B7-A8B4-B80E89D3E9FC}"/>
    <cellStyle name="60% - Ênfase4 11 3 4" xfId="4150" xr:uid="{47269CFC-0C91-454C-A814-ED9B2B872698}"/>
    <cellStyle name="60% - Ênfase4 11 4" xfId="1126" xr:uid="{9DB903C8-3040-45AA-AB6C-4C73B6A070DE}"/>
    <cellStyle name="60% - Ênfase4 11 4 2" xfId="2978" xr:uid="{FFE823CA-01AF-4E1A-972F-77B461650960}"/>
    <cellStyle name="60% - Ênfase4 11 4 2 2" xfId="6606" xr:uid="{15032292-98ED-468E-A9AB-E9A93FE8F4AC}"/>
    <cellStyle name="60% - Ênfase4 11 4 3" xfId="4754" xr:uid="{E9032BE8-7F0F-40CB-A0EC-498D96AC1E6F}"/>
    <cellStyle name="60% - Ênfase4 11 5" xfId="2051" xr:uid="{07D4CE9B-96C6-48E1-B21D-8E78C59C0129}"/>
    <cellStyle name="60% - Ênfase4 11 5 2" xfId="5679" xr:uid="{862A10BF-71E6-4CCB-B8A5-44ECCDFA392E}"/>
    <cellStyle name="60% - Ênfase4 11 6" xfId="3868" xr:uid="{93854FE9-342C-4383-813A-8FA187F16455}"/>
    <cellStyle name="60% - Ênfase4 12" xfId="259" xr:uid="{5096662E-A2DF-48A4-8695-86FD1A3CDA70}"/>
    <cellStyle name="60% - Ênfase4 12 2" xfId="865" xr:uid="{FBA3E9B6-44AA-4F74-A5C9-C6717448A413}"/>
    <cellStyle name="60% - Ênfase4 12 2 2" xfId="1468" xr:uid="{AF2283F1-1BC5-488B-B194-FB0B952BD03F}"/>
    <cellStyle name="60% - Ênfase4 12 2 2 2" xfId="3320" xr:uid="{C0361947-C277-4EE0-AFC5-A403DB483326}"/>
    <cellStyle name="60% - Ênfase4 12 2 2 2 2" xfId="6948" xr:uid="{90C38500-13FE-4C81-83BE-15C095BAA066}"/>
    <cellStyle name="60% - Ênfase4 12 2 2 3" xfId="5096" xr:uid="{9736994B-9020-4110-8C71-E1F63ADD2773}"/>
    <cellStyle name="60% - Ênfase4 12 2 3" xfId="2393" xr:uid="{5615E042-6B12-4D95-AD42-3CD3FE53874F}"/>
    <cellStyle name="60% - Ênfase4 12 2 3 2" xfId="6021" xr:uid="{6ADB2720-CAC0-4AFF-88F0-A9740AC4CED6}"/>
    <cellStyle name="60% - Ênfase4 12 2 4" xfId="4493" xr:uid="{5F1CB333-2943-4EEB-A0E0-C61D9AE58094}"/>
    <cellStyle name="60% - Ênfase4 12 3" xfId="541" xr:uid="{10B68ADC-202F-4D19-9100-E43BA8653563}"/>
    <cellStyle name="60% - Ênfase4 12 3 2" xfId="1534" xr:uid="{DE321F5C-194F-4B42-8C04-91196E966E24}"/>
    <cellStyle name="60% - Ênfase4 12 3 2 2" xfId="3386" xr:uid="{422F4AC1-70D6-414E-8D7C-C8ACE334742D}"/>
    <cellStyle name="60% - Ênfase4 12 3 2 2 2" xfId="7014" xr:uid="{721541D1-83A7-45EC-8ED8-722B31AF79FF}"/>
    <cellStyle name="60% - Ênfase4 12 3 2 3" xfId="5162" xr:uid="{9681CD67-E152-4436-820B-220B3E5477F9}"/>
    <cellStyle name="60% - Ênfase4 12 3 3" xfId="2459" xr:uid="{D0486989-E5D5-4682-95B3-798DE264F96B}"/>
    <cellStyle name="60% - Ênfase4 12 3 3 2" xfId="6087" xr:uid="{0D2633D4-E11A-48D5-95DF-A2EF80D283A1}"/>
    <cellStyle name="60% - Ênfase4 12 3 4" xfId="4170" xr:uid="{10229B79-9DB4-43A4-A4B0-AD943C76AC41}"/>
    <cellStyle name="60% - Ênfase4 12 4" xfId="1146" xr:uid="{67649AF8-7372-41F2-8E04-8A3795EA2B2D}"/>
    <cellStyle name="60% - Ênfase4 12 4 2" xfId="2998" xr:uid="{D3736643-D7B0-46C1-A381-99AE39731992}"/>
    <cellStyle name="60% - Ênfase4 12 4 2 2" xfId="6626" xr:uid="{4D02AA4B-5BEF-4530-ABE1-A1287B2F3527}"/>
    <cellStyle name="60% - Ênfase4 12 4 3" xfId="4774" xr:uid="{A5E6479C-0FA9-4665-9177-FC188A91A248}"/>
    <cellStyle name="60% - Ênfase4 12 5" xfId="2071" xr:uid="{B5BA9B1E-E71A-41A5-8AF2-9606DFF03017}"/>
    <cellStyle name="60% - Ênfase4 12 5 2" xfId="5699" xr:uid="{1D496B99-4C64-4F15-AAA0-2680E4B0B6A0}"/>
    <cellStyle name="60% - Ênfase4 12 6" xfId="3888" xr:uid="{97F86320-E22B-4AAE-838F-A8D35D4365AB}"/>
    <cellStyle name="60% - Ênfase4 13" xfId="279" xr:uid="{89E79749-3452-4F74-A904-C643C7B6B9EE}"/>
    <cellStyle name="60% - Ênfase4 13 2" xfId="885" xr:uid="{3A8000C5-BA5C-4CF7-AA95-B348F1DD7173}"/>
    <cellStyle name="60% - Ênfase4 13 2 2" xfId="1488" xr:uid="{141184C7-C74E-48FF-92E0-F37BC9E142A5}"/>
    <cellStyle name="60% - Ênfase4 13 2 2 2" xfId="3340" xr:uid="{136AAF91-34C8-4355-B516-57B91F9776C9}"/>
    <cellStyle name="60% - Ênfase4 13 2 2 2 2" xfId="6968" xr:uid="{328BDF25-02D4-4B91-AD52-201B018A46F5}"/>
    <cellStyle name="60% - Ênfase4 13 2 2 3" xfId="5116" xr:uid="{C81966D7-7BA3-493C-8707-FB78F42C3B5C}"/>
    <cellStyle name="60% - Ênfase4 13 2 3" xfId="2413" xr:uid="{05C027DA-73E7-4104-BDC0-4AA3D86102A2}"/>
    <cellStyle name="60% - Ênfase4 13 2 3 2" xfId="6041" xr:uid="{B4982D5C-4A4E-4D32-9A7B-B44C7F6882CC}"/>
    <cellStyle name="60% - Ênfase4 13 2 4" xfId="4513" xr:uid="{CD36B9C6-946A-4F5B-8F77-3598747009C0}"/>
    <cellStyle name="60% - Ênfase4 13 3" xfId="561" xr:uid="{EE6DB8B3-EAC2-4D04-B369-687E872B61FE}"/>
    <cellStyle name="60% - Ênfase4 13 3 2" xfId="1589" xr:uid="{5D12F113-525C-41E7-B07F-92963E77AD47}"/>
    <cellStyle name="60% - Ênfase4 13 3 2 2" xfId="3441" xr:uid="{7E491C86-12BB-46C2-80A1-0CB2C149049E}"/>
    <cellStyle name="60% - Ênfase4 13 3 2 2 2" xfId="7069" xr:uid="{3C83938A-1E83-4D01-A05F-18EE35103276}"/>
    <cellStyle name="60% - Ênfase4 13 3 2 3" xfId="5217" xr:uid="{DD2A5BB0-1CF1-42C6-96B9-62FEAB81D239}"/>
    <cellStyle name="60% - Ênfase4 13 3 3" xfId="2514" xr:uid="{1D7F2412-DD1A-49C5-A2D3-C2F0BF8F3470}"/>
    <cellStyle name="60% - Ênfase4 13 3 3 2" xfId="6142" xr:uid="{D2CEE5A8-289E-4649-A149-47C77FEF99C4}"/>
    <cellStyle name="60% - Ênfase4 13 3 4" xfId="4190" xr:uid="{8764FC2D-6A8C-46F5-A3DB-D1F3C2B8352C}"/>
    <cellStyle name="60% - Ênfase4 13 4" xfId="1166" xr:uid="{159580DA-6402-41B1-BC38-07468BBD23B0}"/>
    <cellStyle name="60% - Ênfase4 13 4 2" xfId="3018" xr:uid="{F7F33343-30FE-49C1-BAFC-F668151DC624}"/>
    <cellStyle name="60% - Ênfase4 13 4 2 2" xfId="6646" xr:uid="{4B090606-2B7B-41CC-98C4-95D118805CFD}"/>
    <cellStyle name="60% - Ênfase4 13 4 3" xfId="4794" xr:uid="{626B237F-68F4-4E75-84F6-1CA9E0F45CD3}"/>
    <cellStyle name="60% - Ênfase4 13 5" xfId="2091" xr:uid="{0063D503-9F45-497D-8428-4695A4D930F3}"/>
    <cellStyle name="60% - Ênfase4 13 5 2" xfId="5719" xr:uid="{C030787A-2CAA-420A-AEB4-1517D42954DB}"/>
    <cellStyle name="60% - Ênfase4 13 6" xfId="3908" xr:uid="{A1D5C3C0-32AB-4A5B-96D1-D1AAE72BAC2F}"/>
    <cellStyle name="60% - Ênfase4 14" xfId="299" xr:uid="{B9872F01-8628-48D0-BE74-C9B723073C3E}"/>
    <cellStyle name="60% - Ênfase4 14 2" xfId="905" xr:uid="{221B660E-F467-4D9C-AA09-274F7FCD48E0}"/>
    <cellStyle name="60% - Ênfase4 14 2 2" xfId="1508" xr:uid="{208BEAD6-5C0D-4BF1-9B1F-83068EBAA337}"/>
    <cellStyle name="60% - Ênfase4 14 2 2 2" xfId="3360" xr:uid="{1AF7E583-5D69-41CB-B3BE-0BB1B84C3663}"/>
    <cellStyle name="60% - Ênfase4 14 2 2 2 2" xfId="6988" xr:uid="{0EF11107-A608-47AA-8BDA-52D2CA732ABE}"/>
    <cellStyle name="60% - Ênfase4 14 2 2 3" xfId="5136" xr:uid="{6C641A8E-EDE8-4867-BA7A-3B8976A68459}"/>
    <cellStyle name="60% - Ênfase4 14 2 3" xfId="2433" xr:uid="{87AFCC81-8F0C-4F25-BAF4-60FDEA9B342B}"/>
    <cellStyle name="60% - Ênfase4 14 2 3 2" xfId="6061" xr:uid="{5E10A418-E180-4FB0-82F9-63292114E119}"/>
    <cellStyle name="60% - Ênfase4 14 2 4" xfId="4533" xr:uid="{8946C164-C460-45C5-B8B9-7F8AC63EACED}"/>
    <cellStyle name="60% - Ênfase4 14 3" xfId="581" xr:uid="{A13E0FA6-F43B-4175-8A3F-7A85B45EDDB3}"/>
    <cellStyle name="60% - Ênfase4 14 3 2" xfId="1708" xr:uid="{CF302358-CDF2-49BE-9088-51BD8927712D}"/>
    <cellStyle name="60% - Ênfase4 14 3 2 2" xfId="3521" xr:uid="{26F1B2B7-7B75-494D-919D-8E0D823E8482}"/>
    <cellStyle name="60% - Ênfase4 14 3 2 2 2" xfId="7149" xr:uid="{07C4A527-7BBA-45F2-9EC6-FC747D27CD59}"/>
    <cellStyle name="60% - Ênfase4 14 3 2 3" xfId="5336" xr:uid="{C629B865-7BBA-4D18-88EC-677A7261E101}"/>
    <cellStyle name="60% - Ênfase4 14 3 3" xfId="2633" xr:uid="{ED7EF103-1971-49D2-B826-5999B5F9A215}"/>
    <cellStyle name="60% - Ênfase4 14 3 3 2" xfId="6261" xr:uid="{074BC17F-62E8-4017-9A95-4D8F6B685A98}"/>
    <cellStyle name="60% - Ênfase4 14 3 4" xfId="4210" xr:uid="{0C47E742-1427-4188-996E-743444F4C3A1}"/>
    <cellStyle name="60% - Ênfase4 14 4" xfId="1186" xr:uid="{82BF99AB-DAB6-4ED8-9FF2-5D8860F4507E}"/>
    <cellStyle name="60% - Ênfase4 14 4 2" xfId="3038" xr:uid="{AF07EB61-0B9A-4FAA-A43D-23403677483A}"/>
    <cellStyle name="60% - Ênfase4 14 4 2 2" xfId="6666" xr:uid="{05A2803D-ED4F-4F84-8CE6-E665E208F936}"/>
    <cellStyle name="60% - Ênfase4 14 4 3" xfId="4814" xr:uid="{8CA62EDC-9B97-43BF-80D0-5216DFD18B0A}"/>
    <cellStyle name="60% - Ênfase4 14 5" xfId="2111" xr:uid="{A97695BB-FE9F-40FA-BF22-A2E26570B4F9}"/>
    <cellStyle name="60% - Ênfase4 14 5 2" xfId="5739" xr:uid="{2D1A7B20-B1BB-4364-890D-DB90DEFFB293}"/>
    <cellStyle name="60% - Ênfase4 14 6" xfId="3928" xr:uid="{DC10262D-2752-4F9B-96A1-80525E9AB235}"/>
    <cellStyle name="60% - Ênfase4 15" xfId="601" xr:uid="{EBBE06FF-5136-4C1D-AAF8-F8B2FFFCD875}"/>
    <cellStyle name="60% - Ênfase4 15 2" xfId="1664" xr:uid="{FC5D65E9-407C-4C5A-9447-64E017352CD4}"/>
    <cellStyle name="60% - Ênfase4 15 2 2" xfId="2589" xr:uid="{6D21E05A-82D4-4E2F-83C6-B0233EF02573}"/>
    <cellStyle name="60% - Ênfase4 15 2 2 2" xfId="6217" xr:uid="{0B6EEC15-A2E3-4E01-AA2D-D6D437FDA821}"/>
    <cellStyle name="60% - Ênfase4 15 2 3" xfId="5292" xr:uid="{F786AD32-EBD6-46BC-82BF-1806472706AA}"/>
    <cellStyle name="60% - Ênfase4 15 3" xfId="1206" xr:uid="{2CC76374-F2E5-4DE8-BDA8-0A6C56DEC8FA}"/>
    <cellStyle name="60% - Ênfase4 15 3 2" xfId="3058" xr:uid="{77C5B749-2113-4B94-9B6B-10EB90373516}"/>
    <cellStyle name="60% - Ênfase4 15 3 2 2" xfId="6686" xr:uid="{5A437C5A-49C9-47A9-8D2B-CAFCEDA4CBD9}"/>
    <cellStyle name="60% - Ênfase4 15 3 3" xfId="4834" xr:uid="{09F4F480-A4B8-4690-8F8C-6A01DEE428E1}"/>
    <cellStyle name="60% - Ênfase4 15 4" xfId="2131" xr:uid="{9DED660B-EEBA-4163-B109-793E8A9B5D66}"/>
    <cellStyle name="60% - Ênfase4 15 4 2" xfId="5759" xr:uid="{E5E935CE-47A6-404F-87E3-996CEBADAE1E}"/>
    <cellStyle name="60% - Ênfase4 15 5" xfId="4230" xr:uid="{780750A0-1BF8-4F3C-89A2-AE39C8BB9733}"/>
    <cellStyle name="60% - Ênfase4 16" xfId="621" xr:uid="{D4F5D006-B34F-4989-8730-1A0A8B9AB41B}"/>
    <cellStyle name="60% - Ênfase4 16 2" xfId="1684" xr:uid="{8ECCB943-CB32-4465-9212-72D2AE4DC00A}"/>
    <cellStyle name="60% - Ênfase4 16 2 2" xfId="2609" xr:uid="{6FB8F28C-26CC-4E5D-8E64-C6ABE0BDD07F}"/>
    <cellStyle name="60% - Ênfase4 16 2 2 2" xfId="6237" xr:uid="{C7D975F0-E421-445C-99A8-3E8E5E9726D7}"/>
    <cellStyle name="60% - Ênfase4 16 2 3" xfId="5312" xr:uid="{B3CA2530-0BDF-4BEC-AC1D-34A9F9D1F04B}"/>
    <cellStyle name="60% - Ênfase4 16 3" xfId="1226" xr:uid="{1F4367BA-B2E8-46D1-8132-371A47F94C20}"/>
    <cellStyle name="60% - Ênfase4 16 3 2" xfId="3078" xr:uid="{74B40531-CBCA-425F-9E90-E00D79400C05}"/>
    <cellStyle name="60% - Ênfase4 16 3 2 2" xfId="6706" xr:uid="{56AFC3E5-18E1-4BCA-9FF5-758E781BD738}"/>
    <cellStyle name="60% - Ênfase4 16 3 3" xfId="4854" xr:uid="{36931374-4C84-4286-B324-2C0FBA3AFAB4}"/>
    <cellStyle name="60% - Ênfase4 16 4" xfId="2151" xr:uid="{1A75C3DB-31A6-496C-80F1-9A7F73BDA737}"/>
    <cellStyle name="60% - Ênfase4 16 4 2" xfId="5779" xr:uid="{429F02D4-C1DC-4275-AFE8-CB37DF6FC630}"/>
    <cellStyle name="60% - Ênfase4 16 5" xfId="4250" xr:uid="{A25D1383-A4A3-47BA-836A-E08E5052277B}"/>
    <cellStyle name="60% - Ênfase4 17" xfId="641" xr:uid="{8B73B7FC-4A94-4C9E-AAB7-461A2A9A0EDA}"/>
    <cellStyle name="60% - Ênfase4 17 2" xfId="1245" xr:uid="{EDB33451-2250-446A-9389-66E14EA5804C}"/>
    <cellStyle name="60% - Ênfase4 17 2 2" xfId="3097" xr:uid="{CB3046FA-C84C-4437-B7CF-154C7B4B9A44}"/>
    <cellStyle name="60% - Ênfase4 17 2 2 2" xfId="6725" xr:uid="{668836C6-8F6E-4AF3-8E12-207A8ECD851A}"/>
    <cellStyle name="60% - Ênfase4 17 2 3" xfId="4873" xr:uid="{74D96472-6077-4682-999E-069E17DB97D7}"/>
    <cellStyle name="60% - Ênfase4 17 3" xfId="2170" xr:uid="{A53C09FC-BDD1-4ECD-8C79-EDE29B7043D3}"/>
    <cellStyle name="60% - Ênfase4 17 3 2" xfId="5798" xr:uid="{5BAD5B69-C3C8-45C5-AE4D-6A6188A856B0}"/>
    <cellStyle name="60% - Ênfase4 17 4" xfId="4270" xr:uid="{1ABAE7E7-BBF7-4777-A912-719026C22C8E}"/>
    <cellStyle name="60% - Ênfase4 18" xfId="318" xr:uid="{E9B747C6-6B87-4797-8459-A59DE308D231}"/>
    <cellStyle name="60% - Ênfase4 18 2" xfId="1559" xr:uid="{0A9DC9FE-46EF-4F90-96C6-86899486413A}"/>
    <cellStyle name="60% - Ênfase4 18 2 2" xfId="3411" xr:uid="{F86ACEA4-08F8-45B4-B649-2DB89FA0F9F1}"/>
    <cellStyle name="60% - Ênfase4 18 2 2 2" xfId="7039" xr:uid="{54AEA426-FBE1-4CC4-AEF8-3498FD571392}"/>
    <cellStyle name="60% - Ênfase4 18 2 3" xfId="5187" xr:uid="{7AF56651-1DEC-4D4E-8DFA-A449F1416804}"/>
    <cellStyle name="60% - Ênfase4 18 3" xfId="2484" xr:uid="{99734247-1350-4E47-B20C-83E7475012F3}"/>
    <cellStyle name="60% - Ênfase4 18 3 2" xfId="6112" xr:uid="{A40B6FF7-DFF0-4AB5-AD98-C3087B503714}"/>
    <cellStyle name="60% - Ênfase4 18 4" xfId="3947" xr:uid="{5939327D-980B-4F59-BB7B-E12C69796E75}"/>
    <cellStyle name="60% - Ênfase4 19" xfId="923" xr:uid="{B4036DD8-38AE-4B5D-90A6-86DF19DF43E9}"/>
    <cellStyle name="60% - Ênfase4 19 2" xfId="2775" xr:uid="{A2AA175F-F599-43B2-96A9-7ED20CBD4B6D}"/>
    <cellStyle name="60% - Ênfase4 19 2 2" xfId="6403" xr:uid="{10401A61-AA3A-4404-973A-274BC57AD7AF}"/>
    <cellStyle name="60% - Ênfase4 19 3" xfId="4551" xr:uid="{153CDB82-7C9C-4C1E-90DF-56E0D152EEE4}"/>
    <cellStyle name="60% - Ênfase4 2" xfId="58" xr:uid="{ED86A1F8-FF71-4BF9-93C1-2F5F6BE0B7F6}"/>
    <cellStyle name="60% - Ênfase4 2 2" xfId="664" xr:uid="{B25B4A57-6904-49E9-B885-8F424D4CFA2F}"/>
    <cellStyle name="60% - Ênfase4 2 2 2" xfId="1267" xr:uid="{0FFEEBAE-9BA9-4699-96FC-F9BFC3802218}"/>
    <cellStyle name="60% - Ênfase4 2 2 2 2" xfId="3119" xr:uid="{EC0875BC-8BD2-4550-A35E-7BE4D0AEB313}"/>
    <cellStyle name="60% - Ênfase4 2 2 2 2 2" xfId="6747" xr:uid="{D606135C-1FC9-472C-B3BD-3714DB73A9EA}"/>
    <cellStyle name="60% - Ênfase4 2 2 2 3" xfId="4895" xr:uid="{E1E7B478-8317-4DF5-919E-63D94A73C805}"/>
    <cellStyle name="60% - Ênfase4 2 2 3" xfId="2192" xr:uid="{9FD8E859-FA06-45FD-B644-7D7182436586}"/>
    <cellStyle name="60% - Ênfase4 2 2 3 2" xfId="5820" xr:uid="{673A6531-25A3-4FAC-BE34-64F447DFBF7E}"/>
    <cellStyle name="60% - Ênfase4 2 2 4" xfId="4292" xr:uid="{D032DB65-C227-4606-AA9E-1FE134392D39}"/>
    <cellStyle name="60% - Ênfase4 2 3" xfId="340" xr:uid="{E1BABF6C-2B4F-4C05-B9AC-D79F2B56BBD7}"/>
    <cellStyle name="60% - Ênfase4 2 3 2" xfId="1766" xr:uid="{326C3013-9871-456E-91C1-81415F469261}"/>
    <cellStyle name="60% - Ênfase4 2 3 2 2" xfId="3579" xr:uid="{E50B899D-6B03-43C3-B231-2F0DFC2E8441}"/>
    <cellStyle name="60% - Ênfase4 2 3 2 2 2" xfId="7207" xr:uid="{864B471D-B2D2-456C-B51A-C32299A75A32}"/>
    <cellStyle name="60% - Ênfase4 2 3 2 3" xfId="5394" xr:uid="{01B8B95E-D581-4685-8956-34AF7FAB92DA}"/>
    <cellStyle name="60% - Ênfase4 2 3 3" xfId="2691" xr:uid="{88EFF111-3248-4F3E-AFA8-564B53666024}"/>
    <cellStyle name="60% - Ênfase4 2 3 3 2" xfId="6319" xr:uid="{A47273F1-2E7C-4328-A68C-0ED6734FAC75}"/>
    <cellStyle name="60% - Ênfase4 2 3 4" xfId="3969" xr:uid="{5FEEE542-02B5-4C7A-89B3-7C5F8A485E9B}"/>
    <cellStyle name="60% - Ênfase4 2 4" xfId="945" xr:uid="{E72D5BB5-9177-4891-ACFA-28174AFA7005}"/>
    <cellStyle name="60% - Ênfase4 2 4 2" xfId="2797" xr:uid="{33ECC860-450E-49E2-B57B-97152F245249}"/>
    <cellStyle name="60% - Ênfase4 2 4 2 2" xfId="6425" xr:uid="{CA65341C-D8D4-4486-8F62-3E652C50B608}"/>
    <cellStyle name="60% - Ênfase4 2 4 3" xfId="4573" xr:uid="{FCCFF9D5-487C-4320-ABE7-549442E2D9DE}"/>
    <cellStyle name="60% - Ênfase4 2 5" xfId="1870" xr:uid="{2960E198-B238-4176-837C-90CCFF49F743}"/>
    <cellStyle name="60% - Ênfase4 2 5 2" xfId="5498" xr:uid="{EB2584CA-2E7F-4E72-B0A4-D0F7E51F537C}"/>
    <cellStyle name="60% - Ênfase4 2 6" xfId="3687" xr:uid="{B67362AB-9908-4890-BB33-EA89E509D26F}"/>
    <cellStyle name="60% - Ênfase4 20" xfId="1848" xr:uid="{B17627C4-E3DF-4E93-9529-8F8E7FF06F4A}"/>
    <cellStyle name="60% - Ênfase4 20 2" xfId="5476" xr:uid="{970277CF-60A7-4C27-94F1-02D1226491E6}"/>
    <cellStyle name="60% - Ênfase4 21" xfId="3663" xr:uid="{EF7ACBF2-D22F-46BF-AE48-20D7E5495637}"/>
    <cellStyle name="60% - Ênfase4 3" xfId="76" xr:uid="{FD8EB090-FA22-41E9-8C51-58D6B5D47C01}"/>
    <cellStyle name="60% - Ênfase4 3 2" xfId="682" xr:uid="{374615C5-B8C8-4FFD-BFAF-2F79A1B99FA6}"/>
    <cellStyle name="60% - Ênfase4 3 2 2" xfId="1285" xr:uid="{B821C28B-C280-4657-B08E-B5C9517AAB96}"/>
    <cellStyle name="60% - Ênfase4 3 2 2 2" xfId="3137" xr:uid="{86C70D10-A0FB-48D4-A3D5-6995CCCA780D}"/>
    <cellStyle name="60% - Ênfase4 3 2 2 2 2" xfId="6765" xr:uid="{C7C59B0A-60F0-4FBA-BDC5-9678DAF25D19}"/>
    <cellStyle name="60% - Ênfase4 3 2 2 3" xfId="4913" xr:uid="{3E8DEB66-E8CE-4CF3-B8AF-820CC8CD8AA2}"/>
    <cellStyle name="60% - Ênfase4 3 2 3" xfId="2210" xr:uid="{F24B08C9-D0DA-4022-8842-25E8ED4C3681}"/>
    <cellStyle name="60% - Ênfase4 3 2 3 2" xfId="5838" xr:uid="{7C006EAB-16CE-4C40-A7EA-59C39C46669C}"/>
    <cellStyle name="60% - Ênfase4 3 2 4" xfId="4310" xr:uid="{C8986452-677E-4A8D-BC01-B747048AB06B}"/>
    <cellStyle name="60% - Ênfase4 3 3" xfId="358" xr:uid="{0ECF8254-E61D-4FC8-AF40-B17F31C44605}"/>
    <cellStyle name="60% - Ênfase4 3 3 2" xfId="1757" xr:uid="{73AD0E70-F10A-4DD2-989E-4F22966176A2}"/>
    <cellStyle name="60% - Ênfase4 3 3 2 2" xfId="3570" xr:uid="{5BDB3BDA-C420-4851-A7D6-188B77C6049F}"/>
    <cellStyle name="60% - Ênfase4 3 3 2 2 2" xfId="7198" xr:uid="{BCFAE601-CE71-48A7-84BF-EDB988936C4E}"/>
    <cellStyle name="60% - Ênfase4 3 3 2 3" xfId="5385" xr:uid="{EE5D9482-485C-4E35-8B69-C6F0C01F3405}"/>
    <cellStyle name="60% - Ênfase4 3 3 3" xfId="2682" xr:uid="{2212F59F-9FCC-496F-B8F1-4F3121D8B44D}"/>
    <cellStyle name="60% - Ênfase4 3 3 3 2" xfId="6310" xr:uid="{001A70BC-0E15-4469-BEB7-355BF7B2A6BA}"/>
    <cellStyle name="60% - Ênfase4 3 3 4" xfId="3987" xr:uid="{9DCDC390-8FC0-46BD-821F-87CCA40989A8}"/>
    <cellStyle name="60% - Ênfase4 3 4" xfId="963" xr:uid="{997C8CC1-B8E6-43FB-ADFF-B4C240013DAE}"/>
    <cellStyle name="60% - Ênfase4 3 4 2" xfId="2815" xr:uid="{2F70CBF8-C1B5-493F-AD6B-EB8A8D9B765D}"/>
    <cellStyle name="60% - Ênfase4 3 4 2 2" xfId="6443" xr:uid="{19CB30B3-9BDD-4E0C-B434-1AF45E71E211}"/>
    <cellStyle name="60% - Ênfase4 3 4 3" xfId="4591" xr:uid="{E3AC09F9-C1D5-4854-AE00-3E0CA7D8D1A6}"/>
    <cellStyle name="60% - Ênfase4 3 5" xfId="1888" xr:uid="{851C9FBB-2BF0-4D96-A4A1-6C16458A6474}"/>
    <cellStyle name="60% - Ênfase4 3 5 2" xfId="5516" xr:uid="{7745BFA3-C922-4AB8-BF81-36A553E82FB9}"/>
    <cellStyle name="60% - Ênfase4 3 6" xfId="3705" xr:uid="{02D87C3A-79B3-4422-B277-02B7A325E208}"/>
    <cellStyle name="60% - Ênfase4 4" xfId="98" xr:uid="{322AB64E-0B80-4765-8DEA-9FF9E6A8B894}"/>
    <cellStyle name="60% - Ênfase4 4 2" xfId="704" xr:uid="{7203A931-A703-4975-8EE6-DC7A4F25FCE1}"/>
    <cellStyle name="60% - Ênfase4 4 2 2" xfId="1307" xr:uid="{032F678C-3117-40FD-B2C5-17452C398CA6}"/>
    <cellStyle name="60% - Ênfase4 4 2 2 2" xfId="3159" xr:uid="{370D6C67-087A-48D8-B1F7-CF0203616648}"/>
    <cellStyle name="60% - Ênfase4 4 2 2 2 2" xfId="6787" xr:uid="{93FCA9B6-EDC1-401A-AF8E-7B5F79C85347}"/>
    <cellStyle name="60% - Ênfase4 4 2 2 3" xfId="4935" xr:uid="{E7F07BE8-5DA0-4B51-8619-4A509ACA8CE6}"/>
    <cellStyle name="60% - Ênfase4 4 2 3" xfId="2232" xr:uid="{A4941E9E-0E75-4878-8139-CAEDC80891FF}"/>
    <cellStyle name="60% - Ênfase4 4 2 3 2" xfId="5860" xr:uid="{0E1BA3D4-E3A7-4129-A208-B94C328D85B5}"/>
    <cellStyle name="60% - Ênfase4 4 2 4" xfId="4332" xr:uid="{E824CAFF-8668-48C9-9F82-163FF9F3F3C9}"/>
    <cellStyle name="60% - Ênfase4 4 3" xfId="380" xr:uid="{839DB3DE-B050-447A-9BB4-65F6D18EECD2}"/>
    <cellStyle name="60% - Ênfase4 4 3 2" xfId="1822" xr:uid="{39B27520-C261-479E-BD9C-73E51F16E243}"/>
    <cellStyle name="60% - Ênfase4 4 3 2 2" xfId="3635" xr:uid="{C2CB5E8C-F623-44AB-8273-3E37A5C2EA10}"/>
    <cellStyle name="60% - Ênfase4 4 3 2 2 2" xfId="7263" xr:uid="{0D491448-F06B-449B-B9B8-CB0E9126EE3E}"/>
    <cellStyle name="60% - Ênfase4 4 3 2 3" xfId="5450" xr:uid="{B5C75F21-24C5-420B-9B8A-9FD0F4382BDF}"/>
    <cellStyle name="60% - Ênfase4 4 3 3" xfId="2747" xr:uid="{88D0E044-C4F9-4BCC-86B6-18019FF1FC27}"/>
    <cellStyle name="60% - Ênfase4 4 3 3 2" xfId="6375" xr:uid="{C821F358-9B68-4D19-B6FD-2CCA5D76D7DF}"/>
    <cellStyle name="60% - Ênfase4 4 3 4" xfId="4009" xr:uid="{DB6A3924-B5BE-4614-9B06-3C336545CFF5}"/>
    <cellStyle name="60% - Ênfase4 4 4" xfId="985" xr:uid="{D3E071D7-2F7D-434E-A756-DE337271C14E}"/>
    <cellStyle name="60% - Ênfase4 4 4 2" xfId="2837" xr:uid="{BF2D5498-5BE8-4CCD-A80C-D2209B2D08A0}"/>
    <cellStyle name="60% - Ênfase4 4 4 2 2" xfId="6465" xr:uid="{EB48FC2E-9298-4ACB-B943-6B2769FEB387}"/>
    <cellStyle name="60% - Ênfase4 4 4 3" xfId="4613" xr:uid="{242FAEC0-DFEE-4DD4-948C-A58D1B444EBF}"/>
    <cellStyle name="60% - Ênfase4 4 5" xfId="1910" xr:uid="{CE22A96D-64F9-42D2-87A0-B157E025DE4F}"/>
    <cellStyle name="60% - Ênfase4 4 5 2" xfId="5538" xr:uid="{3637CCC0-A16A-4F8F-9239-2165C01387F9}"/>
    <cellStyle name="60% - Ênfase4 4 6" xfId="3727" xr:uid="{BE5DA78E-01B8-435F-BA9E-BB9BF30043BE}"/>
    <cellStyle name="60% - Ênfase4 5" xfId="118" xr:uid="{9F996B77-2DC5-4F39-87D0-E2752DEFF60B}"/>
    <cellStyle name="60% - Ênfase4 5 2" xfId="724" xr:uid="{D2EAB337-947B-466D-84B2-166C64953770}"/>
    <cellStyle name="60% - Ênfase4 5 2 2" xfId="1327" xr:uid="{C874A6E3-0E27-44C0-A570-3B67CF83193F}"/>
    <cellStyle name="60% - Ênfase4 5 2 2 2" xfId="3179" xr:uid="{B014493F-7E3F-4532-B9C5-42415E0E2F39}"/>
    <cellStyle name="60% - Ênfase4 5 2 2 2 2" xfId="6807" xr:uid="{41047C23-6A87-46B2-AE96-E0BC7B7845A7}"/>
    <cellStyle name="60% - Ênfase4 5 2 2 3" xfId="4955" xr:uid="{3F67D260-FB02-4EE3-B217-777EFC315A36}"/>
    <cellStyle name="60% - Ênfase4 5 2 3" xfId="2252" xr:uid="{29684AC6-268B-49DF-A3B1-01F75450373A}"/>
    <cellStyle name="60% - Ênfase4 5 2 3 2" xfId="5880" xr:uid="{DE14670D-5D72-476C-90FD-DF5809E004F4}"/>
    <cellStyle name="60% - Ênfase4 5 2 4" xfId="4352" xr:uid="{38B000DF-8569-4618-AF72-349F009A7DF9}"/>
    <cellStyle name="60% - Ênfase4 5 3" xfId="400" xr:uid="{72F44A54-1182-444F-835D-017AD7F60A03}"/>
    <cellStyle name="60% - Ênfase4 5 3 2" xfId="1557" xr:uid="{2C996493-9C6C-4C29-B570-D1F1911C258E}"/>
    <cellStyle name="60% - Ênfase4 5 3 2 2" xfId="3409" xr:uid="{8A1EB73F-6CEE-4681-87CA-972870FC6820}"/>
    <cellStyle name="60% - Ênfase4 5 3 2 2 2" xfId="7037" xr:uid="{CACBED36-71D7-43DA-8F92-2CB5BADE42E5}"/>
    <cellStyle name="60% - Ênfase4 5 3 2 3" xfId="5185" xr:uid="{12A63D14-150F-4F2B-B29B-8EC937D47531}"/>
    <cellStyle name="60% - Ênfase4 5 3 3" xfId="2482" xr:uid="{018F5395-2149-4528-BB86-D4524610423F}"/>
    <cellStyle name="60% - Ênfase4 5 3 3 2" xfId="6110" xr:uid="{2DB49A59-48CF-41D3-8E94-BB0171ED6F61}"/>
    <cellStyle name="60% - Ênfase4 5 3 4" xfId="4029" xr:uid="{4CAE05E8-8CAA-44E0-B113-B618A4918863}"/>
    <cellStyle name="60% - Ênfase4 5 4" xfId="1005" xr:uid="{71B744E3-A85C-4C0E-98E7-4564FD569DDF}"/>
    <cellStyle name="60% - Ênfase4 5 4 2" xfId="2857" xr:uid="{0173DE07-F002-45E2-BE30-A07ED98B3D4F}"/>
    <cellStyle name="60% - Ênfase4 5 4 2 2" xfId="6485" xr:uid="{525EE7E6-D65A-46D2-A822-6886C5F73021}"/>
    <cellStyle name="60% - Ênfase4 5 4 3" xfId="4633" xr:uid="{07B6D02B-4D8B-4B69-84A1-9AE830C6CA33}"/>
    <cellStyle name="60% - Ênfase4 5 5" xfId="1930" xr:uid="{34860D9A-DC1D-467A-8045-D9790AAC5E0D}"/>
    <cellStyle name="60% - Ênfase4 5 5 2" xfId="5558" xr:uid="{00F61909-787F-4AC6-AD21-7CDEBBA70229}"/>
    <cellStyle name="60% - Ênfase4 5 6" xfId="3747" xr:uid="{1CBBEFA9-A1ED-4E67-A6C0-FD23978A7607}"/>
    <cellStyle name="60% - Ênfase4 6" xfId="138" xr:uid="{FA0EF99F-E918-4FC4-84BA-423CA76A6ABA}"/>
    <cellStyle name="60% - Ênfase4 6 2" xfId="744" xr:uid="{C2667093-CC8F-4DAD-9BA1-841595FCD326}"/>
    <cellStyle name="60% - Ênfase4 6 2 2" xfId="1347" xr:uid="{408585F3-A036-4CAA-B2E3-073E48D81537}"/>
    <cellStyle name="60% - Ênfase4 6 2 2 2" xfId="3199" xr:uid="{EA318593-126F-4F63-9515-0D8662B6C329}"/>
    <cellStyle name="60% - Ênfase4 6 2 2 2 2" xfId="6827" xr:uid="{3623944B-23A2-44F3-B3CF-40FDE3632F87}"/>
    <cellStyle name="60% - Ênfase4 6 2 2 3" xfId="4975" xr:uid="{067506D6-5F9A-47C4-8B6A-2659739951BC}"/>
    <cellStyle name="60% - Ênfase4 6 2 3" xfId="2272" xr:uid="{3DC55FE1-A370-4EF6-803D-D7751502DB94}"/>
    <cellStyle name="60% - Ênfase4 6 2 3 2" xfId="5900" xr:uid="{555C2BCE-CA41-4A66-9013-150257A45867}"/>
    <cellStyle name="60% - Ênfase4 6 2 4" xfId="4372" xr:uid="{41040390-0DDB-4989-9B74-213F9BDB5EAF}"/>
    <cellStyle name="60% - Ênfase4 6 3" xfId="420" xr:uid="{E50E44C9-6334-4648-A7C7-523605F1CF1F}"/>
    <cellStyle name="60% - Ênfase4 6 3 2" xfId="1724" xr:uid="{3A8765B6-6135-4718-8B96-E119F4945333}"/>
    <cellStyle name="60% - Ênfase4 6 3 2 2" xfId="3537" xr:uid="{22F8817B-B115-4558-8667-8C379EB3C3D6}"/>
    <cellStyle name="60% - Ênfase4 6 3 2 2 2" xfId="7165" xr:uid="{94F9C842-C53E-4C51-8B8E-0B533ADEF874}"/>
    <cellStyle name="60% - Ênfase4 6 3 2 3" xfId="5352" xr:uid="{C1E59973-3562-470F-A163-F9ADFDEACE97}"/>
    <cellStyle name="60% - Ênfase4 6 3 3" xfId="2649" xr:uid="{998A48DF-76D4-4B03-A98D-1E73E40E4164}"/>
    <cellStyle name="60% - Ênfase4 6 3 3 2" xfId="6277" xr:uid="{4CE28B11-1F75-457D-9B75-E85BCCD4F341}"/>
    <cellStyle name="60% - Ênfase4 6 3 4" xfId="4049" xr:uid="{689CF016-D44C-49C3-B05B-FD9512D47960}"/>
    <cellStyle name="60% - Ênfase4 6 4" xfId="1025" xr:uid="{39CFF0EF-74AB-441B-A129-00C857496BC5}"/>
    <cellStyle name="60% - Ênfase4 6 4 2" xfId="2877" xr:uid="{C3B1227A-7704-4D28-8869-B8FBF2FB9BCA}"/>
    <cellStyle name="60% - Ênfase4 6 4 2 2" xfId="6505" xr:uid="{94E474BE-6AE1-41F6-ADB2-D86189FECCD0}"/>
    <cellStyle name="60% - Ênfase4 6 4 3" xfId="4653" xr:uid="{FA42FA67-ECC0-4245-B5E2-4BBE64E5EF23}"/>
    <cellStyle name="60% - Ênfase4 6 5" xfId="1950" xr:uid="{9051E5E0-D208-45AB-B6A1-5CF1117387ED}"/>
    <cellStyle name="60% - Ênfase4 6 5 2" xfId="5578" xr:uid="{367C4DD3-5AF8-467D-8139-DFBE453B6FBB}"/>
    <cellStyle name="60% - Ênfase4 6 6" xfId="3767" xr:uid="{6ABED8AF-851C-4020-BB90-9FDFF7E15B49}"/>
    <cellStyle name="60% - Ênfase4 7" xfId="158" xr:uid="{3A6EE53B-99EF-453F-8439-E9D7567644F9}"/>
    <cellStyle name="60% - Ênfase4 7 2" xfId="764" xr:uid="{5B72C95D-5FA7-47B0-8F21-7563BAD46285}"/>
    <cellStyle name="60% - Ênfase4 7 2 2" xfId="1367" xr:uid="{ED23583C-2A04-43DA-8B68-FA39B3807A39}"/>
    <cellStyle name="60% - Ênfase4 7 2 2 2" xfId="3219" xr:uid="{716D757B-DC62-4D98-BE5E-B7DEE0E75985}"/>
    <cellStyle name="60% - Ênfase4 7 2 2 2 2" xfId="6847" xr:uid="{AEFC83B0-D03B-4FDD-8AD1-7A0FD9D6BB39}"/>
    <cellStyle name="60% - Ênfase4 7 2 2 3" xfId="4995" xr:uid="{90CF9950-B87D-4F6B-AEA2-5BEA76E52E33}"/>
    <cellStyle name="60% - Ênfase4 7 2 3" xfId="2292" xr:uid="{F0F053F4-C9C0-4C16-830C-6069FC57A577}"/>
    <cellStyle name="60% - Ênfase4 7 2 3 2" xfId="5920" xr:uid="{8501BC1D-EFC5-45FD-A898-98AF6C404EC3}"/>
    <cellStyle name="60% - Ênfase4 7 2 4" xfId="4392" xr:uid="{EBF1D2E5-00B7-48C0-9003-791CA23800FF}"/>
    <cellStyle name="60% - Ênfase4 7 3" xfId="440" xr:uid="{83EE2E88-C183-4743-9782-6C1F734E639D}"/>
    <cellStyle name="60% - Ênfase4 7 3 2" xfId="1630" xr:uid="{795B564A-EA3E-430C-9244-15100DAB3BDE}"/>
    <cellStyle name="60% - Ênfase4 7 3 2 2" xfId="3482" xr:uid="{8E4254A0-1C77-451D-9F82-168C9D8C6468}"/>
    <cellStyle name="60% - Ênfase4 7 3 2 2 2" xfId="7110" xr:uid="{CA268E1E-C4FE-44E6-9C54-EBB974E5BCB9}"/>
    <cellStyle name="60% - Ênfase4 7 3 2 3" xfId="5258" xr:uid="{B836540F-0934-471B-90B4-EC7A7ED06D42}"/>
    <cellStyle name="60% - Ênfase4 7 3 3" xfId="2555" xr:uid="{51EF86EB-A96F-4CE9-9869-5A5BE6068B19}"/>
    <cellStyle name="60% - Ênfase4 7 3 3 2" xfId="6183" xr:uid="{F26AEE3B-6A45-478D-B6F4-98574B9C925C}"/>
    <cellStyle name="60% - Ênfase4 7 3 4" xfId="4069" xr:uid="{AB76E670-F1A1-4725-AB30-A4D463734AB1}"/>
    <cellStyle name="60% - Ênfase4 7 4" xfId="1045" xr:uid="{40A6B335-A289-4D4B-BC54-89C40AD0CF09}"/>
    <cellStyle name="60% - Ênfase4 7 4 2" xfId="2897" xr:uid="{8855C1E7-BDEE-45CA-A4C2-033F2B1DA655}"/>
    <cellStyle name="60% - Ênfase4 7 4 2 2" xfId="6525" xr:uid="{DB897748-D603-4088-BB6B-AB910EF0855D}"/>
    <cellStyle name="60% - Ênfase4 7 4 3" xfId="4673" xr:uid="{4F0EBE22-2F98-4C8E-A3BD-F77E0E4886AD}"/>
    <cellStyle name="60% - Ênfase4 7 5" xfId="1970" xr:uid="{F718BF13-B1FB-4431-94E2-A1E67FD32E3B}"/>
    <cellStyle name="60% - Ênfase4 7 5 2" xfId="5598" xr:uid="{16970167-28B6-4D3C-90B9-786D3FECD5E4}"/>
    <cellStyle name="60% - Ênfase4 7 6" xfId="3787" xr:uid="{6CF9C220-4C40-43B8-9DC0-D38846A4909E}"/>
    <cellStyle name="60% - Ênfase4 8" xfId="178" xr:uid="{BF85FC86-BE09-4052-8CCE-2ECF4C68A91A}"/>
    <cellStyle name="60% - Ênfase4 8 2" xfId="784" xr:uid="{A793E10F-93B3-4ADA-A422-8A51F7AFEF5F}"/>
    <cellStyle name="60% - Ênfase4 8 2 2" xfId="1387" xr:uid="{9ED06C6E-62B7-4CF9-A670-A43C98448E9B}"/>
    <cellStyle name="60% - Ênfase4 8 2 2 2" xfId="3239" xr:uid="{9F4C4923-61E4-463A-9F7D-93F5F3B5302C}"/>
    <cellStyle name="60% - Ênfase4 8 2 2 2 2" xfId="6867" xr:uid="{45C2CAB6-42B4-4590-B37F-4E6E6440F210}"/>
    <cellStyle name="60% - Ênfase4 8 2 2 3" xfId="5015" xr:uid="{7E6B9CF4-2BD9-4A5F-9FB3-3203DB0BE337}"/>
    <cellStyle name="60% - Ênfase4 8 2 3" xfId="2312" xr:uid="{20A4E11D-D0CA-426B-BA9E-B45C6BCA7879}"/>
    <cellStyle name="60% - Ênfase4 8 2 3 2" xfId="5940" xr:uid="{D6F93F52-646D-4F85-81B4-D147D38D10F7}"/>
    <cellStyle name="60% - Ênfase4 8 2 4" xfId="4412" xr:uid="{FC78EA0E-C66C-4DD3-B2B7-659433363802}"/>
    <cellStyle name="60% - Ênfase4 8 3" xfId="460" xr:uid="{4072B9BE-2C46-4F0A-9C1A-8C4C090DD35E}"/>
    <cellStyle name="60% - Ênfase4 8 3 2" xfId="1825" xr:uid="{CB30AFFD-CE0E-4DE4-8929-6A1C756970A2}"/>
    <cellStyle name="60% - Ênfase4 8 3 2 2" xfId="3638" xr:uid="{3EC6654B-DD02-4283-9719-37CFDC218139}"/>
    <cellStyle name="60% - Ênfase4 8 3 2 2 2" xfId="7266" xr:uid="{F701FBED-8ACB-4D07-BAFC-7698F4FBC0DC}"/>
    <cellStyle name="60% - Ênfase4 8 3 2 3" xfId="5453" xr:uid="{2844D40F-C129-4FD9-A0F6-7454298F841D}"/>
    <cellStyle name="60% - Ênfase4 8 3 3" xfId="2750" xr:uid="{98E626E0-618C-46A9-960A-12D9F8987FB2}"/>
    <cellStyle name="60% - Ênfase4 8 3 3 2" xfId="6378" xr:uid="{3959FC7E-8372-4C92-BEA0-A90BD58F1549}"/>
    <cellStyle name="60% - Ênfase4 8 3 4" xfId="4089" xr:uid="{5AAB97E5-D9B3-4D1C-841D-465F37081A19}"/>
    <cellStyle name="60% - Ênfase4 8 4" xfId="1065" xr:uid="{66962CED-4413-40B7-BC28-FAD800433D93}"/>
    <cellStyle name="60% - Ênfase4 8 4 2" xfId="2917" xr:uid="{B0E79311-57EE-431F-88BF-230B9047139C}"/>
    <cellStyle name="60% - Ênfase4 8 4 2 2" xfId="6545" xr:uid="{CEB98A59-6D9B-4D43-9BEE-CD6C61F6BF24}"/>
    <cellStyle name="60% - Ênfase4 8 4 3" xfId="4693" xr:uid="{B9776064-C627-45CF-8038-B46B72B1C27A}"/>
    <cellStyle name="60% - Ênfase4 8 5" xfId="1990" xr:uid="{2DE25F95-FEDB-4FB0-9D6A-B4C3D3DA563C}"/>
    <cellStyle name="60% - Ênfase4 8 5 2" xfId="5618" xr:uid="{5A128652-D194-4961-8107-C4349ED2DCEA}"/>
    <cellStyle name="60% - Ênfase4 8 6" xfId="3807" xr:uid="{DB7984E9-D975-4CE7-8513-D264A1846452}"/>
    <cellStyle name="60% - Ênfase4 9" xfId="198" xr:uid="{A7C2DD66-EAE2-47AA-855F-CC0FFB5929CA}"/>
    <cellStyle name="60% - Ênfase4 9 2" xfId="804" xr:uid="{2D515840-A540-4F2B-99D4-101CEA5595E9}"/>
    <cellStyle name="60% - Ênfase4 9 2 2" xfId="1407" xr:uid="{D4DD4F4E-00C3-47E3-9917-6723FDD6FC46}"/>
    <cellStyle name="60% - Ênfase4 9 2 2 2" xfId="3259" xr:uid="{2C4324D9-B9F7-45E9-9848-D854893ECD6D}"/>
    <cellStyle name="60% - Ênfase4 9 2 2 2 2" xfId="6887" xr:uid="{6D6B4BAF-E513-494B-9B1F-2710DF9442C8}"/>
    <cellStyle name="60% - Ênfase4 9 2 2 3" xfId="5035" xr:uid="{8C353855-C02E-467A-8A0D-F185682FE08D}"/>
    <cellStyle name="60% - Ênfase4 9 2 3" xfId="2332" xr:uid="{028CCA22-632D-4052-87DF-73B04A581E40}"/>
    <cellStyle name="60% - Ênfase4 9 2 3 2" xfId="5960" xr:uid="{B88F8D70-14DD-40A6-B421-6361639B5892}"/>
    <cellStyle name="60% - Ênfase4 9 2 4" xfId="4432" xr:uid="{E8A1002C-A149-48EA-9C2C-2F7EE6331C98}"/>
    <cellStyle name="60% - Ênfase4 9 3" xfId="480" xr:uid="{05A3110B-92B7-4CCF-B8B0-99FEA8CE3EB1}"/>
    <cellStyle name="60% - Ênfase4 9 3 2" xfId="1702" xr:uid="{C7256C94-D135-45D8-83D0-10DA5EBCC4D8}"/>
    <cellStyle name="60% - Ênfase4 9 3 2 2" xfId="3515" xr:uid="{67719C26-4AE6-4239-AF83-67CB3ACDF848}"/>
    <cellStyle name="60% - Ênfase4 9 3 2 2 2" xfId="7143" xr:uid="{6251E5D0-D4C5-46CC-9DDA-AEC782115921}"/>
    <cellStyle name="60% - Ênfase4 9 3 2 3" xfId="5330" xr:uid="{12F930BE-AD48-4AEA-9FAE-AD1A214938BC}"/>
    <cellStyle name="60% - Ênfase4 9 3 3" xfId="2627" xr:uid="{9E44553A-490D-451C-ACAB-53EB5B812586}"/>
    <cellStyle name="60% - Ênfase4 9 3 3 2" xfId="6255" xr:uid="{AFDC48DC-8B87-49DE-B2E8-D042440930F1}"/>
    <cellStyle name="60% - Ênfase4 9 3 4" xfId="4109" xr:uid="{26B71883-E49F-4F8D-9A8D-43031F2B6FFD}"/>
    <cellStyle name="60% - Ênfase4 9 4" xfId="1085" xr:uid="{681BECCD-55BE-4026-AD1E-AA381C8BD7EA}"/>
    <cellStyle name="60% - Ênfase4 9 4 2" xfId="2937" xr:uid="{739203FA-D31A-4791-AB63-218AC4F5314C}"/>
    <cellStyle name="60% - Ênfase4 9 4 2 2" xfId="6565" xr:uid="{F2E1EA23-19E5-4C78-9141-8B7807FF16E6}"/>
    <cellStyle name="60% - Ênfase4 9 4 3" xfId="4713" xr:uid="{4B2AC5A8-CB1B-41C6-838A-498867783C3A}"/>
    <cellStyle name="60% - Ênfase4 9 5" xfId="2010" xr:uid="{CED8FE66-9239-412A-AAD5-35545883A386}"/>
    <cellStyle name="60% - Ênfase4 9 5 2" xfId="5638" xr:uid="{EAD82273-8586-48BB-8C7A-5C05D3EC6B0D}"/>
    <cellStyle name="60% - Ênfase4 9 6" xfId="3827" xr:uid="{AC0DD129-0BEC-4E41-8297-4443D918D6FF}"/>
    <cellStyle name="60% - Ênfase5" xfId="37" builtinId="48" customBuiltin="1"/>
    <cellStyle name="60% - Ênfase5 10" xfId="222" xr:uid="{01CDF56A-FAF2-4458-B0F8-92FD84D1A799}"/>
    <cellStyle name="60% - Ênfase5 10 2" xfId="828" xr:uid="{9BEE1B1F-07C5-409E-99C2-676440D5E3D6}"/>
    <cellStyle name="60% - Ênfase5 10 2 2" xfId="1431" xr:uid="{B5060569-AAF5-41F4-A25D-B039BACE45B0}"/>
    <cellStyle name="60% - Ênfase5 10 2 2 2" xfId="3283" xr:uid="{3E0E32C3-562A-47CA-A5FA-A0FA1BDF5F4C}"/>
    <cellStyle name="60% - Ênfase5 10 2 2 2 2" xfId="6911" xr:uid="{DF005055-4CA0-45F6-8760-88689DF0E6AF}"/>
    <cellStyle name="60% - Ênfase5 10 2 2 3" xfId="5059" xr:uid="{483CF3DC-C14A-4793-9625-AFE2AB93E5FB}"/>
    <cellStyle name="60% - Ênfase5 10 2 3" xfId="2356" xr:uid="{8CC4CF7E-FF63-40F4-93EB-2AB4474F71D5}"/>
    <cellStyle name="60% - Ênfase5 10 2 3 2" xfId="5984" xr:uid="{0A0428B5-8163-4089-8A7E-988B84398391}"/>
    <cellStyle name="60% - Ênfase5 10 2 4" xfId="4456" xr:uid="{97E8AE1C-F3E7-4228-BD12-6D6F8D76B554}"/>
    <cellStyle name="60% - Ênfase5 10 3" xfId="504" xr:uid="{EF306F99-23C9-4EC6-9EE8-AA6170DBF082}"/>
    <cellStyle name="60% - Ênfase5 10 3 2" xfId="1786" xr:uid="{61D6185F-C766-49E4-ACA2-F12BBFF215D6}"/>
    <cellStyle name="60% - Ênfase5 10 3 2 2" xfId="3599" xr:uid="{B1090DCF-3EA5-481F-B24C-D96584FE053A}"/>
    <cellStyle name="60% - Ênfase5 10 3 2 2 2" xfId="7227" xr:uid="{7F5C21E4-A0A8-48B9-9BA4-D630C731B1B4}"/>
    <cellStyle name="60% - Ênfase5 10 3 2 3" xfId="5414" xr:uid="{ED73E701-3191-41A3-A112-88741CA4E154}"/>
    <cellStyle name="60% - Ênfase5 10 3 3" xfId="2711" xr:uid="{AF50E7FE-4956-4B22-B4E2-FF04459BCEEA}"/>
    <cellStyle name="60% - Ênfase5 10 3 3 2" xfId="6339" xr:uid="{8DD017EA-EF42-4D9C-BB2A-BAAB3C4F5E1F}"/>
    <cellStyle name="60% - Ênfase5 10 3 4" xfId="4133" xr:uid="{B9E0ACF9-CF76-44D1-A19C-F5DACD011988}"/>
    <cellStyle name="60% - Ênfase5 10 4" xfId="1109" xr:uid="{CAD486E7-AB1C-4AA0-B182-1CE733743EE4}"/>
    <cellStyle name="60% - Ênfase5 10 4 2" xfId="2961" xr:uid="{2AC472BE-5624-47A9-BDDB-8C3D72C58550}"/>
    <cellStyle name="60% - Ênfase5 10 4 2 2" xfId="6589" xr:uid="{BBA55583-E454-4C16-B4A5-9CCF461F3CC2}"/>
    <cellStyle name="60% - Ênfase5 10 4 3" xfId="4737" xr:uid="{6E2011FB-A8D2-4E3C-9DBF-4CC83C1C140F}"/>
    <cellStyle name="60% - Ênfase5 10 5" xfId="2034" xr:uid="{7C52B56B-90EF-4F7C-AF49-5CC147A09DB5}"/>
    <cellStyle name="60% - Ênfase5 10 5 2" xfId="5662" xr:uid="{BDF93CBC-80DC-46A0-A199-276E98F6CE0A}"/>
    <cellStyle name="60% - Ênfase5 10 6" xfId="3851" xr:uid="{A528844B-D062-4844-B788-1C89DA73155B}"/>
    <cellStyle name="60% - Ênfase5 11" xfId="242" xr:uid="{66445083-5951-49C5-BEDF-AE7930A05A58}"/>
    <cellStyle name="60% - Ênfase5 11 2" xfId="848" xr:uid="{4B71480E-963B-413A-9E24-E9DB6C669E29}"/>
    <cellStyle name="60% - Ênfase5 11 2 2" xfId="1451" xr:uid="{533CDA37-F224-49F4-9811-A89566CF1598}"/>
    <cellStyle name="60% - Ênfase5 11 2 2 2" xfId="3303" xr:uid="{7FA6EEFE-A9E4-42B3-AA7F-608FE4A35694}"/>
    <cellStyle name="60% - Ênfase5 11 2 2 2 2" xfId="6931" xr:uid="{B53496DD-A6BD-4828-949A-60D7BF445BE8}"/>
    <cellStyle name="60% - Ênfase5 11 2 2 3" xfId="5079" xr:uid="{AD83227F-40CC-45D7-9FBD-918034BD7B13}"/>
    <cellStyle name="60% - Ênfase5 11 2 3" xfId="2376" xr:uid="{5BC05199-2718-4993-A243-9FC726AB089F}"/>
    <cellStyle name="60% - Ênfase5 11 2 3 2" xfId="6004" xr:uid="{AF03E07D-383A-4A81-819C-FE14C1C7AC69}"/>
    <cellStyle name="60% - Ênfase5 11 2 4" xfId="4476" xr:uid="{1BB0B41C-C447-406E-92EC-11A02A3E3E0C}"/>
    <cellStyle name="60% - Ênfase5 11 3" xfId="524" xr:uid="{9CED15E0-F219-414B-A6D4-BC5F9F79D5D0}"/>
    <cellStyle name="60% - Ênfase5 11 3 2" xfId="1515" xr:uid="{8775CA32-B9FD-49CF-94F9-386F2DCCD216}"/>
    <cellStyle name="60% - Ênfase5 11 3 2 2" xfId="3367" xr:uid="{4428C5BB-5101-435A-B24D-99B0093573C2}"/>
    <cellStyle name="60% - Ênfase5 11 3 2 2 2" xfId="6995" xr:uid="{16FC24BB-74F9-48B1-BFCD-936E83C154D6}"/>
    <cellStyle name="60% - Ênfase5 11 3 2 3" xfId="5143" xr:uid="{00E119C7-61BC-4E15-82CA-0851C676B37B}"/>
    <cellStyle name="60% - Ênfase5 11 3 3" xfId="2440" xr:uid="{D3F099BC-2865-4B1B-9F06-C84FD279047F}"/>
    <cellStyle name="60% - Ênfase5 11 3 3 2" xfId="6068" xr:uid="{43017147-4CC0-4653-9553-21C5E1B4AED2}"/>
    <cellStyle name="60% - Ênfase5 11 3 4" xfId="4153" xr:uid="{6F237B19-E960-4036-8434-E5204226DE29}"/>
    <cellStyle name="60% - Ênfase5 11 4" xfId="1129" xr:uid="{BDA31D3B-857B-4629-A671-FFA0B7DC943C}"/>
    <cellStyle name="60% - Ênfase5 11 4 2" xfId="2981" xr:uid="{9B4E56C0-D9BA-4BDE-B5C2-31BFF97A05B5}"/>
    <cellStyle name="60% - Ênfase5 11 4 2 2" xfId="6609" xr:uid="{ECC5320E-4932-4835-8DAC-34210D061F26}"/>
    <cellStyle name="60% - Ênfase5 11 4 3" xfId="4757" xr:uid="{1618AB80-79B4-4578-9831-EEAFF10F69FE}"/>
    <cellStyle name="60% - Ênfase5 11 5" xfId="2054" xr:uid="{1BC0E08F-AE6E-4200-A922-F4381B149D83}"/>
    <cellStyle name="60% - Ênfase5 11 5 2" xfId="5682" xr:uid="{401F4C61-8BA4-4D9D-A15B-D17528C642CE}"/>
    <cellStyle name="60% - Ênfase5 11 6" xfId="3871" xr:uid="{8CF1CF60-E3DD-45C1-973E-A3C21E3E6A6C}"/>
    <cellStyle name="60% - Ênfase5 12" xfId="262" xr:uid="{8361F9C8-ECA7-49FB-810E-9D3010B5F1C5}"/>
    <cellStyle name="60% - Ênfase5 12 2" xfId="868" xr:uid="{8ABEE8EA-BFF9-4505-B94B-5FFED9395CD4}"/>
    <cellStyle name="60% - Ênfase5 12 2 2" xfId="1471" xr:uid="{314CCBC6-FDA2-46A1-B214-82D841D49B88}"/>
    <cellStyle name="60% - Ênfase5 12 2 2 2" xfId="3323" xr:uid="{0DF55608-C25E-42DD-A967-FD4EBB4931D4}"/>
    <cellStyle name="60% - Ênfase5 12 2 2 2 2" xfId="6951" xr:uid="{6E54270D-6482-461A-B55D-18DA9424B5A1}"/>
    <cellStyle name="60% - Ênfase5 12 2 2 3" xfId="5099" xr:uid="{08B0450A-3E1F-43C9-9BAD-8138398EB3A6}"/>
    <cellStyle name="60% - Ênfase5 12 2 3" xfId="2396" xr:uid="{8D1B8815-CA3E-47FA-8E12-D78E3B904513}"/>
    <cellStyle name="60% - Ênfase5 12 2 3 2" xfId="6024" xr:uid="{C9636999-3C89-4663-BB0E-980CDE3C3D84}"/>
    <cellStyle name="60% - Ênfase5 12 2 4" xfId="4496" xr:uid="{8C95FACA-8BA7-4B0C-9EC4-19AEB5431388}"/>
    <cellStyle name="60% - Ênfase5 12 3" xfId="544" xr:uid="{4A32F9D2-D3CF-4833-89B6-038AF8262267}"/>
    <cellStyle name="60% - Ênfase5 12 3 2" xfId="1821" xr:uid="{F4F5736B-2D1E-413E-B035-3E9353CF7196}"/>
    <cellStyle name="60% - Ênfase5 12 3 2 2" xfId="3634" xr:uid="{FB49D669-C04A-4DD3-B2EB-BE13BC729EAE}"/>
    <cellStyle name="60% - Ênfase5 12 3 2 2 2" xfId="7262" xr:uid="{C31C5A51-062D-4DC3-9FCF-7686A9CCBAE0}"/>
    <cellStyle name="60% - Ênfase5 12 3 2 3" xfId="5449" xr:uid="{B4E5E748-AAFE-49DC-A2C8-2ACA1A4B2619}"/>
    <cellStyle name="60% - Ênfase5 12 3 3" xfId="2746" xr:uid="{02578041-47A3-46AE-B8D9-8224F355C918}"/>
    <cellStyle name="60% - Ênfase5 12 3 3 2" xfId="6374" xr:uid="{E6C41237-F370-44FD-8817-C6E39F1A84E8}"/>
    <cellStyle name="60% - Ênfase5 12 3 4" xfId="4173" xr:uid="{DA00BA93-06D5-4F32-85BC-43B904038A26}"/>
    <cellStyle name="60% - Ênfase5 12 4" xfId="1149" xr:uid="{B055E865-F1D5-4421-A742-A0070B09CD87}"/>
    <cellStyle name="60% - Ênfase5 12 4 2" xfId="3001" xr:uid="{23F749F9-995E-488D-A40D-A41EE2798F8B}"/>
    <cellStyle name="60% - Ênfase5 12 4 2 2" xfId="6629" xr:uid="{3B4C24F7-6FFC-4BF8-ACA3-3C4E29F8B6B5}"/>
    <cellStyle name="60% - Ênfase5 12 4 3" xfId="4777" xr:uid="{4A9EA88A-CE8F-4671-82B3-4C43F2F52F29}"/>
    <cellStyle name="60% - Ênfase5 12 5" xfId="2074" xr:uid="{1B5471BF-1A7C-41C6-A413-91E4911888D1}"/>
    <cellStyle name="60% - Ênfase5 12 5 2" xfId="5702" xr:uid="{38125D99-25F0-484A-A16D-22F56A170B43}"/>
    <cellStyle name="60% - Ênfase5 12 6" xfId="3891" xr:uid="{F4812081-2F37-411B-B9F7-DDCCE5040F01}"/>
    <cellStyle name="60% - Ênfase5 13" xfId="282" xr:uid="{DBBD619F-8F8A-4B77-B1F5-7C837BA740B1}"/>
    <cellStyle name="60% - Ênfase5 13 2" xfId="888" xr:uid="{68A5631C-A614-402E-9EF7-34ED01299F7B}"/>
    <cellStyle name="60% - Ênfase5 13 2 2" xfId="1491" xr:uid="{36D7D1E2-7AB7-49AE-8CAA-8B82218D855C}"/>
    <cellStyle name="60% - Ênfase5 13 2 2 2" xfId="3343" xr:uid="{325C01DB-60C1-4B5C-80E3-26C89F4F64A5}"/>
    <cellStyle name="60% - Ênfase5 13 2 2 2 2" xfId="6971" xr:uid="{659CB70A-3B9E-48E8-B075-0045AE7CECDA}"/>
    <cellStyle name="60% - Ênfase5 13 2 2 3" xfId="5119" xr:uid="{254D46DD-EA7C-4DF7-8687-E442716E5CCE}"/>
    <cellStyle name="60% - Ênfase5 13 2 3" xfId="2416" xr:uid="{99242283-ABD6-4F26-B462-E556FD66342B}"/>
    <cellStyle name="60% - Ênfase5 13 2 3 2" xfId="6044" xr:uid="{38865A62-F097-404B-9188-2950E29C56F1}"/>
    <cellStyle name="60% - Ênfase5 13 2 4" xfId="4516" xr:uid="{9C46E7F1-D31B-4CBC-B494-F747248C1B57}"/>
    <cellStyle name="60% - Ênfase5 13 3" xfId="564" xr:uid="{785BD54B-0004-4072-834D-10BD8867F24E}"/>
    <cellStyle name="60% - Ênfase5 13 3 2" xfId="1783" xr:uid="{2B026D36-45E8-4837-BB65-C5E87D151DF7}"/>
    <cellStyle name="60% - Ênfase5 13 3 2 2" xfId="3596" xr:uid="{30C9014C-A526-4722-B145-A0B6EFF3F37A}"/>
    <cellStyle name="60% - Ênfase5 13 3 2 2 2" xfId="7224" xr:uid="{C9107E6F-C337-4F0B-9794-FA22A2C9585A}"/>
    <cellStyle name="60% - Ênfase5 13 3 2 3" xfId="5411" xr:uid="{2B4549B2-4FDD-44FF-ABFF-3F15D10FE113}"/>
    <cellStyle name="60% - Ênfase5 13 3 3" xfId="2708" xr:uid="{85F74334-C04E-4ACB-A505-17EA6A28902A}"/>
    <cellStyle name="60% - Ênfase5 13 3 3 2" xfId="6336" xr:uid="{5A1B7D20-5569-4FEE-84D5-AB70803A6F3D}"/>
    <cellStyle name="60% - Ênfase5 13 3 4" xfId="4193" xr:uid="{1A8B7397-171D-4F3B-BF75-000DB42153AD}"/>
    <cellStyle name="60% - Ênfase5 13 4" xfId="1169" xr:uid="{9F4ADC36-2016-4EEA-BE1C-E2D9E0C6CCA8}"/>
    <cellStyle name="60% - Ênfase5 13 4 2" xfId="3021" xr:uid="{B0A99FEF-8AB2-4A5D-8C6D-89296781E812}"/>
    <cellStyle name="60% - Ênfase5 13 4 2 2" xfId="6649" xr:uid="{ACA1132D-4AF8-4B17-B0DD-FB25095FF162}"/>
    <cellStyle name="60% - Ênfase5 13 4 3" xfId="4797" xr:uid="{7C6144E5-407F-4DDC-B138-9063C76FC5EC}"/>
    <cellStyle name="60% - Ênfase5 13 5" xfId="2094" xr:uid="{DCEB4436-260E-4893-9B5E-D0D40A4949DF}"/>
    <cellStyle name="60% - Ênfase5 13 5 2" xfId="5722" xr:uid="{4E662E57-B6E0-4EC2-BBCE-C8D851053D2A}"/>
    <cellStyle name="60% - Ênfase5 13 6" xfId="3911" xr:uid="{78ABD5DB-C8F8-49D7-91B1-F90455099972}"/>
    <cellStyle name="60% - Ênfase5 14" xfId="302" xr:uid="{6118ECB9-353D-4CA5-B095-81F6E0CFB315}"/>
    <cellStyle name="60% - Ênfase5 14 2" xfId="908" xr:uid="{A5AF0D6E-9FF5-481A-9809-8BE09B4F69D9}"/>
    <cellStyle name="60% - Ênfase5 14 2 2" xfId="1511" xr:uid="{8426A059-B0F4-4F3A-BF89-12D6ED565B25}"/>
    <cellStyle name="60% - Ênfase5 14 2 2 2" xfId="3363" xr:uid="{7E0C6E11-0F7B-4E82-BE2E-B38B46011DDC}"/>
    <cellStyle name="60% - Ênfase5 14 2 2 2 2" xfId="6991" xr:uid="{AB1071DC-A4FC-4E43-8643-FBA491A0C3CA}"/>
    <cellStyle name="60% - Ênfase5 14 2 2 3" xfId="5139" xr:uid="{B5D8DE40-7A36-4012-B696-402FC39DD601}"/>
    <cellStyle name="60% - Ênfase5 14 2 3" xfId="2436" xr:uid="{F06DE1F3-709C-4F24-998D-AC06B16E31A9}"/>
    <cellStyle name="60% - Ênfase5 14 2 3 2" xfId="6064" xr:uid="{95DD3B15-CDA5-47D0-8D30-01B69C557532}"/>
    <cellStyle name="60% - Ênfase5 14 2 4" xfId="4536" xr:uid="{89A80681-E2D8-4947-A30C-C45D66D00611}"/>
    <cellStyle name="60% - Ênfase5 14 3" xfId="584" xr:uid="{6E810FA5-4811-4877-88BD-233DFE33B283}"/>
    <cellStyle name="60% - Ênfase5 14 3 2" xfId="1580" xr:uid="{105EC0CC-2B2B-4AFF-8364-0F8972A4C40A}"/>
    <cellStyle name="60% - Ênfase5 14 3 2 2" xfId="3432" xr:uid="{9A6B44FA-76B2-47DC-9AD7-31B63F9E23FC}"/>
    <cellStyle name="60% - Ênfase5 14 3 2 2 2" xfId="7060" xr:uid="{26E9F7FD-1C36-40B1-9788-81AE3E55182F}"/>
    <cellStyle name="60% - Ênfase5 14 3 2 3" xfId="5208" xr:uid="{89EFA4D8-5322-4BBC-904C-DE1DED05BB43}"/>
    <cellStyle name="60% - Ênfase5 14 3 3" xfId="2505" xr:uid="{56F68EFD-0B75-4D33-B907-E778454D4515}"/>
    <cellStyle name="60% - Ênfase5 14 3 3 2" xfId="6133" xr:uid="{AB8DC304-129E-4CBD-AB13-D8FC0D366C61}"/>
    <cellStyle name="60% - Ênfase5 14 3 4" xfId="4213" xr:uid="{A14DA7FB-7ECF-42CD-BE88-D744F610B18A}"/>
    <cellStyle name="60% - Ênfase5 14 4" xfId="1189" xr:uid="{AC7A60A2-27BD-4F23-88D9-6EEE4A4E6924}"/>
    <cellStyle name="60% - Ênfase5 14 4 2" xfId="3041" xr:uid="{88A47F4D-4C41-4646-8384-4F48B5573959}"/>
    <cellStyle name="60% - Ênfase5 14 4 2 2" xfId="6669" xr:uid="{D76D77F3-053D-4116-91CB-DA6EE98BA1A7}"/>
    <cellStyle name="60% - Ênfase5 14 4 3" xfId="4817" xr:uid="{B8B325CF-5323-44E2-82D1-10703842995B}"/>
    <cellStyle name="60% - Ênfase5 14 5" xfId="2114" xr:uid="{CDAFF7D4-8264-4EBE-9066-41154BC2D3C1}"/>
    <cellStyle name="60% - Ênfase5 14 5 2" xfId="5742" xr:uid="{4DC5DD2D-DE0E-4B3E-BAAB-564CE01A5C49}"/>
    <cellStyle name="60% - Ênfase5 14 6" xfId="3931" xr:uid="{7FD9AF70-B952-4260-82D7-9F49E2396B67}"/>
    <cellStyle name="60% - Ênfase5 15" xfId="604" xr:uid="{AB03FBEB-E249-459E-8A02-35EABBD3BF7C}"/>
    <cellStyle name="60% - Ênfase5 15 2" xfId="1667" xr:uid="{D5FE8D01-4795-4D9A-ADF9-6C058D1B01A0}"/>
    <cellStyle name="60% - Ênfase5 15 2 2" xfId="2592" xr:uid="{BBF4E145-163D-431D-82ED-1903E11DFD0F}"/>
    <cellStyle name="60% - Ênfase5 15 2 2 2" xfId="6220" xr:uid="{E3B6BE15-E2F6-4C4B-9056-6FF04440DA18}"/>
    <cellStyle name="60% - Ênfase5 15 2 3" xfId="5295" xr:uid="{151D2784-A96C-4F0B-B1E1-A490C58ED8AA}"/>
    <cellStyle name="60% - Ênfase5 15 3" xfId="1209" xr:uid="{CA4306A9-1E55-4200-BE0A-6DB008454D00}"/>
    <cellStyle name="60% - Ênfase5 15 3 2" xfId="3061" xr:uid="{6065CFE9-1494-4609-938A-A701438ACC54}"/>
    <cellStyle name="60% - Ênfase5 15 3 2 2" xfId="6689" xr:uid="{7FF46548-29D9-48B6-B7ED-3CCAC818F17E}"/>
    <cellStyle name="60% - Ênfase5 15 3 3" xfId="4837" xr:uid="{1FB340F0-1564-44D3-93B1-234D03703EF5}"/>
    <cellStyle name="60% - Ênfase5 15 4" xfId="2134" xr:uid="{7985BDC4-477D-4980-B0AF-CA4E0F67FB86}"/>
    <cellStyle name="60% - Ênfase5 15 4 2" xfId="5762" xr:uid="{5223D774-9C8D-4967-96E0-EAFC9EAFC571}"/>
    <cellStyle name="60% - Ênfase5 15 5" xfId="4233" xr:uid="{1E6EC6CF-3D2B-4146-95DB-E5DAB204A7FC}"/>
    <cellStyle name="60% - Ênfase5 16" xfId="624" xr:uid="{6C1189BD-D88D-4D3F-9CD5-524B3B155677}"/>
    <cellStyle name="60% - Ênfase5 16 2" xfId="1687" xr:uid="{65DCA010-7CBC-401B-A4FE-2157471B4404}"/>
    <cellStyle name="60% - Ênfase5 16 2 2" xfId="2612" xr:uid="{2CCCDFAB-20EB-4FCA-A623-D990E2C5C9E7}"/>
    <cellStyle name="60% - Ênfase5 16 2 2 2" xfId="6240" xr:uid="{29A1B949-E5C4-4837-BBB8-ABA7947CD365}"/>
    <cellStyle name="60% - Ênfase5 16 2 3" xfId="5315" xr:uid="{EFED4EA0-C124-4D71-A06E-B3520D0844DA}"/>
    <cellStyle name="60% - Ênfase5 16 3" xfId="1229" xr:uid="{E8B032B7-8A49-46C5-B8C9-50F48B079705}"/>
    <cellStyle name="60% - Ênfase5 16 3 2" xfId="3081" xr:uid="{595B1384-7CA4-4FEA-A7BE-26412B3AA6C8}"/>
    <cellStyle name="60% - Ênfase5 16 3 2 2" xfId="6709" xr:uid="{9A25655B-1253-45C0-89F5-03DDD9E96E44}"/>
    <cellStyle name="60% - Ênfase5 16 3 3" xfId="4857" xr:uid="{5548453C-76A8-48A0-8747-420357CA35AC}"/>
    <cellStyle name="60% - Ênfase5 16 4" xfId="2154" xr:uid="{F15DBE62-5B3A-49A6-8B8D-34F1B8A1ECD5}"/>
    <cellStyle name="60% - Ênfase5 16 4 2" xfId="5782" xr:uid="{2C720FBE-BC67-4981-AE62-C678D343522F}"/>
    <cellStyle name="60% - Ênfase5 16 5" xfId="4253" xr:uid="{ED3BA108-1D60-4F4F-B663-9F81D2BE6962}"/>
    <cellStyle name="60% - Ênfase5 17" xfId="644" xr:uid="{6A0CE33B-C440-4C0E-BB99-588AAE32467D}"/>
    <cellStyle name="60% - Ênfase5 17 2" xfId="1248" xr:uid="{A091A6BB-DCF9-434A-B1C3-CC198EACBC09}"/>
    <cellStyle name="60% - Ênfase5 17 2 2" xfId="3100" xr:uid="{7FB300CA-E0BE-4C17-A522-C069361E4051}"/>
    <cellStyle name="60% - Ênfase5 17 2 2 2" xfId="6728" xr:uid="{8476FA01-5D89-4000-9879-899CA8DBD262}"/>
    <cellStyle name="60% - Ênfase5 17 2 3" xfId="4876" xr:uid="{FBDA5F8E-DCF3-4434-B48A-8F1C61D8154F}"/>
    <cellStyle name="60% - Ênfase5 17 3" xfId="2173" xr:uid="{49EC1529-D6EB-417B-8C6A-628385279305}"/>
    <cellStyle name="60% - Ênfase5 17 3 2" xfId="5801" xr:uid="{33AF32FD-61D7-499B-A20C-62832D519B10}"/>
    <cellStyle name="60% - Ênfase5 17 4" xfId="4273" xr:uid="{FB24738D-47CD-4490-8A62-6D89FD77E5A5}"/>
    <cellStyle name="60% - Ênfase5 18" xfId="321" xr:uid="{C2EBCEA6-F27F-4993-99A6-828D6A15164A}"/>
    <cellStyle name="60% - Ênfase5 18 2" xfId="1604" xr:uid="{D7185241-594A-48A4-98E8-10F8AB17200C}"/>
    <cellStyle name="60% - Ênfase5 18 2 2" xfId="3456" xr:uid="{44839978-0648-4E4F-8956-3EBC85D68798}"/>
    <cellStyle name="60% - Ênfase5 18 2 2 2" xfId="7084" xr:uid="{57485210-9DFF-4C59-A725-1CF365A1BCE7}"/>
    <cellStyle name="60% - Ênfase5 18 2 3" xfId="5232" xr:uid="{8837261C-C2F8-42E4-BCCE-1B38B843FCBD}"/>
    <cellStyle name="60% - Ênfase5 18 3" xfId="2529" xr:uid="{3862229C-3CAC-4969-9E2E-595BB01E7715}"/>
    <cellStyle name="60% - Ênfase5 18 3 2" xfId="6157" xr:uid="{4012FF0B-F9D2-4350-8003-C7563C3D3197}"/>
    <cellStyle name="60% - Ênfase5 18 4" xfId="3950" xr:uid="{4BDB3A3B-0D8B-4934-A419-BB659887D4C1}"/>
    <cellStyle name="60% - Ênfase5 19" xfId="926" xr:uid="{46BAC999-D4A9-43F2-81A0-93A477DA210A}"/>
    <cellStyle name="60% - Ênfase5 19 2" xfId="2778" xr:uid="{7FEFBF6E-BCDA-4786-8358-41C644E3389A}"/>
    <cellStyle name="60% - Ênfase5 19 2 2" xfId="6406" xr:uid="{773ABB2D-AFF6-4CA0-9D1E-97D2B0953BE3}"/>
    <cellStyle name="60% - Ênfase5 19 3" xfId="4554" xr:uid="{5AA799DA-5B39-4923-BBCA-19455C38D10B}"/>
    <cellStyle name="60% - Ênfase5 2" xfId="61" xr:uid="{9082DAA8-F484-4183-8CD1-92F66CB47A83}"/>
    <cellStyle name="60% - Ênfase5 2 2" xfId="667" xr:uid="{4633810D-379E-4CE8-A1E3-4171E3EE958C}"/>
    <cellStyle name="60% - Ênfase5 2 2 2" xfId="1270" xr:uid="{CE556AA3-1292-4689-AA39-D0F51083C21F}"/>
    <cellStyle name="60% - Ênfase5 2 2 2 2" xfId="3122" xr:uid="{19CB1DB6-742D-4CDB-9291-5D2BF60A3B36}"/>
    <cellStyle name="60% - Ênfase5 2 2 2 2 2" xfId="6750" xr:uid="{BEBFBA6E-702B-4847-AA39-5FA36B0EEEBD}"/>
    <cellStyle name="60% - Ênfase5 2 2 2 3" xfId="4898" xr:uid="{0F8D94AD-4BB0-4890-92D7-9B354EE3534C}"/>
    <cellStyle name="60% - Ênfase5 2 2 3" xfId="2195" xr:uid="{534B3323-1FBB-4698-83B7-1423A0A12ECB}"/>
    <cellStyle name="60% - Ênfase5 2 2 3 2" xfId="5823" xr:uid="{F5D3978B-0AFD-42C1-998E-DE600345098B}"/>
    <cellStyle name="60% - Ênfase5 2 2 4" xfId="4295" xr:uid="{6303547E-59D7-4A09-8FDB-C1C027D65757}"/>
    <cellStyle name="60% - Ênfase5 2 3" xfId="343" xr:uid="{EED1B034-A807-43E6-9B5F-BCA6EFE824F1}"/>
    <cellStyle name="60% - Ênfase5 2 3 2" xfId="1550" xr:uid="{1936B3EF-85EF-4837-9C75-250E6BADDFC4}"/>
    <cellStyle name="60% - Ênfase5 2 3 2 2" xfId="3402" xr:uid="{85445439-7240-4249-9389-9182510910FA}"/>
    <cellStyle name="60% - Ênfase5 2 3 2 2 2" xfId="7030" xr:uid="{32AA38C9-A201-4E03-A739-0796BE2F95B4}"/>
    <cellStyle name="60% - Ênfase5 2 3 2 3" xfId="5178" xr:uid="{FCE3FF12-1E5A-40E9-82F5-A4E5F196103D}"/>
    <cellStyle name="60% - Ênfase5 2 3 3" xfId="2475" xr:uid="{BB92D816-C7CB-40C8-966B-3A39DEF475C7}"/>
    <cellStyle name="60% - Ênfase5 2 3 3 2" xfId="6103" xr:uid="{4D5B8D7E-E92F-43DD-9F1F-AFB94C079D0A}"/>
    <cellStyle name="60% - Ênfase5 2 3 4" xfId="3972" xr:uid="{5E9CBFA7-373E-49B7-BE6E-843288FC1FAB}"/>
    <cellStyle name="60% - Ênfase5 2 4" xfId="948" xr:uid="{4E052555-3890-42B8-9F2A-F647552F12C2}"/>
    <cellStyle name="60% - Ênfase5 2 4 2" xfId="2800" xr:uid="{E81C7A85-6298-42A5-9365-FC00FD28965D}"/>
    <cellStyle name="60% - Ênfase5 2 4 2 2" xfId="6428" xr:uid="{DDEB8292-C542-4F15-A5DB-A58F19916D2F}"/>
    <cellStyle name="60% - Ênfase5 2 4 3" xfId="4576" xr:uid="{78FB8B50-C576-467F-9886-FCED31D56DAA}"/>
    <cellStyle name="60% - Ênfase5 2 5" xfId="1873" xr:uid="{DE063A60-D658-4CE7-877A-D5F7D2FDD9BB}"/>
    <cellStyle name="60% - Ênfase5 2 5 2" xfId="5501" xr:uid="{62795176-E2DB-4D2F-9DDD-2DACA3D036D0}"/>
    <cellStyle name="60% - Ênfase5 2 6" xfId="3690" xr:uid="{55E1B58D-C69E-4314-B3E0-16DFD9BC0DBC}"/>
    <cellStyle name="60% - Ênfase5 20" xfId="1851" xr:uid="{33F0407F-7EEC-4DD5-AF92-1FF9694E8B03}"/>
    <cellStyle name="60% - Ênfase5 20 2" xfId="5479" xr:uid="{69733CB6-C39E-496B-950A-AF880EE0FD65}"/>
    <cellStyle name="60% - Ênfase5 21" xfId="3666" xr:uid="{583AD7E0-B05C-4544-9135-9185B7637E12}"/>
    <cellStyle name="60% - Ênfase5 3" xfId="79" xr:uid="{6685BCC8-EF4F-434A-8A81-30906C0A313F}"/>
    <cellStyle name="60% - Ênfase5 3 2" xfId="685" xr:uid="{BBD3DCFF-CA67-4C1D-8C75-49FCA17CD6D9}"/>
    <cellStyle name="60% - Ênfase5 3 2 2" xfId="1288" xr:uid="{97BDA636-A91E-4ED9-A846-288C91D5E866}"/>
    <cellStyle name="60% - Ênfase5 3 2 2 2" xfId="3140" xr:uid="{530A9590-D8BE-4A2D-A4FF-DA2324265BE6}"/>
    <cellStyle name="60% - Ênfase5 3 2 2 2 2" xfId="6768" xr:uid="{804B5BD1-7996-43D7-BB6D-F65EC1DB54D4}"/>
    <cellStyle name="60% - Ênfase5 3 2 2 3" xfId="4916" xr:uid="{44AA2000-B582-436D-B63F-8753A42A71E3}"/>
    <cellStyle name="60% - Ênfase5 3 2 3" xfId="2213" xr:uid="{16B61189-88FD-4631-BD67-0C40049C2AB2}"/>
    <cellStyle name="60% - Ênfase5 3 2 3 2" xfId="5841" xr:uid="{F230D2A5-284C-4FCD-B1B3-CBB43010040C}"/>
    <cellStyle name="60% - Ênfase5 3 2 4" xfId="4313" xr:uid="{5F16486B-AC88-4AF8-864F-586A13B9B01D}"/>
    <cellStyle name="60% - Ênfase5 3 3" xfId="361" xr:uid="{4F1C3913-4989-4270-B999-DF5C0BB9CA7D}"/>
    <cellStyle name="60% - Ênfase5 3 3 2" xfId="1817" xr:uid="{42CDDEF9-0023-42FA-9D2D-77087A5E0FC1}"/>
    <cellStyle name="60% - Ênfase5 3 3 2 2" xfId="3630" xr:uid="{6FB74E40-251C-4D5A-9F93-830A74762A63}"/>
    <cellStyle name="60% - Ênfase5 3 3 2 2 2" xfId="7258" xr:uid="{C06231AE-4791-4B67-8245-6FFBECC88751}"/>
    <cellStyle name="60% - Ênfase5 3 3 2 3" xfId="5445" xr:uid="{EEF204DD-4F43-4BF7-BE64-A62E827B4AB0}"/>
    <cellStyle name="60% - Ênfase5 3 3 3" xfId="2742" xr:uid="{03CF9EDC-167B-4011-80EB-735D555FAF9D}"/>
    <cellStyle name="60% - Ênfase5 3 3 3 2" xfId="6370" xr:uid="{C5CD1E98-A1B7-4A41-8478-3E044CA7BC8D}"/>
    <cellStyle name="60% - Ênfase5 3 3 4" xfId="3990" xr:uid="{53971C32-20B5-4C9E-A7EC-5F9C3FA54808}"/>
    <cellStyle name="60% - Ênfase5 3 4" xfId="966" xr:uid="{F798C0C0-533F-4D4D-8E4C-164E45E8B710}"/>
    <cellStyle name="60% - Ênfase5 3 4 2" xfId="2818" xr:uid="{A7E8CB62-01A4-4E00-8E57-1D0379B9C2F9}"/>
    <cellStyle name="60% - Ênfase5 3 4 2 2" xfId="6446" xr:uid="{0AA5346E-60FE-46F1-88FC-AF9F93638810}"/>
    <cellStyle name="60% - Ênfase5 3 4 3" xfId="4594" xr:uid="{D74D9A2F-188A-45B9-BD02-0D724D15B756}"/>
    <cellStyle name="60% - Ênfase5 3 5" xfId="1891" xr:uid="{D26018E8-3016-4F99-84F4-B2FC5FDD6FA1}"/>
    <cellStyle name="60% - Ênfase5 3 5 2" xfId="5519" xr:uid="{F927BEDC-8D49-4441-BD46-BF602EF0F541}"/>
    <cellStyle name="60% - Ênfase5 3 6" xfId="3708" xr:uid="{B7004A9A-78DD-4172-A38A-69A3C96E59C8}"/>
    <cellStyle name="60% - Ênfase5 4" xfId="101" xr:uid="{F19694B1-21BC-4927-B643-F7F6135FA689}"/>
    <cellStyle name="60% - Ênfase5 4 2" xfId="707" xr:uid="{C2E4273A-E460-45F0-9E68-5A239F0BAEF1}"/>
    <cellStyle name="60% - Ênfase5 4 2 2" xfId="1310" xr:uid="{7FF3F368-A7BE-4CC5-9107-2D938DC024DA}"/>
    <cellStyle name="60% - Ênfase5 4 2 2 2" xfId="3162" xr:uid="{4D23AA43-B957-413B-B1AE-68CE5AB1AE1F}"/>
    <cellStyle name="60% - Ênfase5 4 2 2 2 2" xfId="6790" xr:uid="{93BD5133-F5E6-4ACB-B4F1-12FD308DA0E9}"/>
    <cellStyle name="60% - Ênfase5 4 2 2 3" xfId="4938" xr:uid="{BD907493-7377-4BA3-AD03-AFB32E309F3D}"/>
    <cellStyle name="60% - Ênfase5 4 2 3" xfId="2235" xr:uid="{E6B403C3-98A7-4066-9A61-A47E789C2BC2}"/>
    <cellStyle name="60% - Ênfase5 4 2 3 2" xfId="5863" xr:uid="{5D9E7C3E-7128-4911-BA5F-CB5D934801B7}"/>
    <cellStyle name="60% - Ênfase5 4 2 4" xfId="4335" xr:uid="{E8DFE804-AD50-4D30-A3DA-4A8AECEA9866}"/>
    <cellStyle name="60% - Ênfase5 4 3" xfId="383" xr:uid="{8BEC1412-B3F4-4A2C-ACEB-AA54067A758E}"/>
    <cellStyle name="60% - Ênfase5 4 3 2" xfId="1641" xr:uid="{3B8B4CE5-3F09-4B87-9F62-DC42AE0AC469}"/>
    <cellStyle name="60% - Ênfase5 4 3 2 2" xfId="3493" xr:uid="{70EDEF98-E13C-4530-9FE2-7932D7037C5B}"/>
    <cellStyle name="60% - Ênfase5 4 3 2 2 2" xfId="7121" xr:uid="{2EC12A37-2F16-4BE7-B998-26A5E011FA24}"/>
    <cellStyle name="60% - Ênfase5 4 3 2 3" xfId="5269" xr:uid="{2CAA8DE8-B0FB-4A07-A3BE-F679E8BA2F2A}"/>
    <cellStyle name="60% - Ênfase5 4 3 3" xfId="2566" xr:uid="{F17E55DA-0099-4334-9754-20251CA34B16}"/>
    <cellStyle name="60% - Ênfase5 4 3 3 2" xfId="6194" xr:uid="{AA65F149-6EBA-40D3-ABAB-3001BEE8366E}"/>
    <cellStyle name="60% - Ênfase5 4 3 4" xfId="4012" xr:uid="{607D9ED1-0266-4080-BC11-862BC8C74EF2}"/>
    <cellStyle name="60% - Ênfase5 4 4" xfId="988" xr:uid="{C99D0F39-C06D-4216-B614-D59F72664883}"/>
    <cellStyle name="60% - Ênfase5 4 4 2" xfId="2840" xr:uid="{63A43ED9-3B37-474C-83F9-B956F3124F59}"/>
    <cellStyle name="60% - Ênfase5 4 4 2 2" xfId="6468" xr:uid="{E5111193-1ADC-4FC6-97B4-666DA2ABA1B9}"/>
    <cellStyle name="60% - Ênfase5 4 4 3" xfId="4616" xr:uid="{8E627FED-A845-4BEE-966D-A6F34CA8C1BE}"/>
    <cellStyle name="60% - Ênfase5 4 5" xfId="1913" xr:uid="{22082AE9-31CD-4572-B049-BA99241961FD}"/>
    <cellStyle name="60% - Ênfase5 4 5 2" xfId="5541" xr:uid="{B1C2EB61-A4CF-4B35-B398-26C9892B5C9C}"/>
    <cellStyle name="60% - Ênfase5 4 6" xfId="3730" xr:uid="{607330EF-0F68-4614-8B26-17522299304D}"/>
    <cellStyle name="60% - Ênfase5 5" xfId="121" xr:uid="{CCB7DBBA-5A81-4799-A018-0FA0275419EB}"/>
    <cellStyle name="60% - Ênfase5 5 2" xfId="727" xr:uid="{7E2D0C1A-E43C-4760-A5AE-CA68B300E2E5}"/>
    <cellStyle name="60% - Ênfase5 5 2 2" xfId="1330" xr:uid="{13DDA1C1-A9BA-4DCA-A661-7B83F877193A}"/>
    <cellStyle name="60% - Ênfase5 5 2 2 2" xfId="3182" xr:uid="{B61F2C83-C129-422E-9DD3-EFF23EC3F366}"/>
    <cellStyle name="60% - Ênfase5 5 2 2 2 2" xfId="6810" xr:uid="{736B0520-0E97-421D-B5AC-8E276F58FA77}"/>
    <cellStyle name="60% - Ênfase5 5 2 2 3" xfId="4958" xr:uid="{818C48C6-9470-4E41-9FC3-8D1F057E40D1}"/>
    <cellStyle name="60% - Ênfase5 5 2 3" xfId="2255" xr:uid="{FE888A5A-682A-4C96-ACC5-1E9D4864B10E}"/>
    <cellStyle name="60% - Ênfase5 5 2 3 2" xfId="5883" xr:uid="{CE78BF8F-96D8-4D94-A00B-341C12C42C53}"/>
    <cellStyle name="60% - Ênfase5 5 2 4" xfId="4355" xr:uid="{1F3E4D1D-EFA1-4BAD-8AC7-2492B273A10A}"/>
    <cellStyle name="60% - Ênfase5 5 3" xfId="403" xr:uid="{30949281-03A6-438D-9A60-7582C0D5EA9E}"/>
    <cellStyle name="60% - Ênfase5 5 3 2" xfId="1798" xr:uid="{D3AC19F0-0388-4B67-A66E-DEB30C7B9932}"/>
    <cellStyle name="60% - Ênfase5 5 3 2 2" xfId="3611" xr:uid="{0798EC01-6E32-449F-9845-87D9D2EEED8B}"/>
    <cellStyle name="60% - Ênfase5 5 3 2 2 2" xfId="7239" xr:uid="{0349A726-3938-429A-9EC8-648DE1641F77}"/>
    <cellStyle name="60% - Ênfase5 5 3 2 3" xfId="5426" xr:uid="{B8CB6C39-4E22-4920-A69F-7A5FEE821210}"/>
    <cellStyle name="60% - Ênfase5 5 3 3" xfId="2723" xr:uid="{33019FA0-88BB-4554-B166-11EFEDCBCF19}"/>
    <cellStyle name="60% - Ênfase5 5 3 3 2" xfId="6351" xr:uid="{90517D6F-6D4D-4C19-AE75-5DCE9FAF4107}"/>
    <cellStyle name="60% - Ênfase5 5 3 4" xfId="4032" xr:uid="{D116623E-F71F-4C43-874F-055D27A1B3B5}"/>
    <cellStyle name="60% - Ênfase5 5 4" xfId="1008" xr:uid="{CA6C0F80-51B8-4395-A3FE-C08AE2D83855}"/>
    <cellStyle name="60% - Ênfase5 5 4 2" xfId="2860" xr:uid="{CCB51A95-BAAE-44DA-96DF-C06FD16AD066}"/>
    <cellStyle name="60% - Ênfase5 5 4 2 2" xfId="6488" xr:uid="{C9372043-C458-4104-A0A0-A2B040C9888D}"/>
    <cellStyle name="60% - Ênfase5 5 4 3" xfId="4636" xr:uid="{D567BC3A-40A1-4D01-A06B-BB7A0D918151}"/>
    <cellStyle name="60% - Ênfase5 5 5" xfId="1933" xr:uid="{B249C901-7E10-4F0D-9EB8-81A3221CDA28}"/>
    <cellStyle name="60% - Ênfase5 5 5 2" xfId="5561" xr:uid="{123BBE80-BEB1-4E39-9BEE-A9342278EE05}"/>
    <cellStyle name="60% - Ênfase5 5 6" xfId="3750" xr:uid="{976102B7-515C-447E-A084-0166A7F2463F}"/>
    <cellStyle name="60% - Ênfase5 6" xfId="141" xr:uid="{3171C594-2517-4D22-BF59-12B0DBFFE0AE}"/>
    <cellStyle name="60% - Ênfase5 6 2" xfId="747" xr:uid="{2C61943A-5AD2-40A5-AFBF-3458D43CE14C}"/>
    <cellStyle name="60% - Ênfase5 6 2 2" xfId="1350" xr:uid="{1DA00F49-C65C-4264-BFB0-2F3B69CCE950}"/>
    <cellStyle name="60% - Ênfase5 6 2 2 2" xfId="3202" xr:uid="{4B1C7993-C4F4-4E63-BC65-1B1B2E4B9E10}"/>
    <cellStyle name="60% - Ênfase5 6 2 2 2 2" xfId="6830" xr:uid="{3B27D2E8-506E-434B-B50E-C6D526F14702}"/>
    <cellStyle name="60% - Ênfase5 6 2 2 3" xfId="4978" xr:uid="{E5675EBC-16FD-4D37-8739-060FA7D5629C}"/>
    <cellStyle name="60% - Ênfase5 6 2 3" xfId="2275" xr:uid="{7564C36B-D8FC-4630-8795-C9050D7E34C7}"/>
    <cellStyle name="60% - Ênfase5 6 2 3 2" xfId="5903" xr:uid="{F23B53A5-0588-4679-BD5C-50759A42E8AC}"/>
    <cellStyle name="60% - Ênfase5 6 2 4" xfId="4375" xr:uid="{264EFD1E-4432-4BF8-80C4-FD8D3E9C8503}"/>
    <cellStyle name="60% - Ênfase5 6 3" xfId="423" xr:uid="{8ACE7D79-477C-41E9-9DE8-4E9F0F0D9308}"/>
    <cellStyle name="60% - Ênfase5 6 3 2" xfId="1526" xr:uid="{F553AF06-1B59-41EB-AEB4-4DC543B01631}"/>
    <cellStyle name="60% - Ênfase5 6 3 2 2" xfId="3378" xr:uid="{D067837E-6CC9-4F3B-9FE6-57F2E409650C}"/>
    <cellStyle name="60% - Ênfase5 6 3 2 2 2" xfId="7006" xr:uid="{A2C9F0C0-2C85-427A-BCD2-F19A7702D584}"/>
    <cellStyle name="60% - Ênfase5 6 3 2 3" xfId="5154" xr:uid="{3B791FF0-4592-45BF-86E6-A14662FC2491}"/>
    <cellStyle name="60% - Ênfase5 6 3 3" xfId="2451" xr:uid="{3BE5BBED-3ACD-417B-B32D-4E947B2A1E81}"/>
    <cellStyle name="60% - Ênfase5 6 3 3 2" xfId="6079" xr:uid="{144E7737-06B4-4ACA-A72C-51759760D832}"/>
    <cellStyle name="60% - Ênfase5 6 3 4" xfId="4052" xr:uid="{08F2B479-BDFE-41D9-9CEB-A0801D283930}"/>
    <cellStyle name="60% - Ênfase5 6 4" xfId="1028" xr:uid="{3024CF35-053A-4757-B7D0-E31A9C72E219}"/>
    <cellStyle name="60% - Ênfase5 6 4 2" xfId="2880" xr:uid="{B766D555-3BEC-4534-8E01-DD67EB865A42}"/>
    <cellStyle name="60% - Ênfase5 6 4 2 2" xfId="6508" xr:uid="{04833E15-776D-48A7-8E1E-E67F54245529}"/>
    <cellStyle name="60% - Ênfase5 6 4 3" xfId="4656" xr:uid="{6EB88F83-B5B6-4A39-8015-7DFD314D1925}"/>
    <cellStyle name="60% - Ênfase5 6 5" xfId="1953" xr:uid="{F6111528-C68B-46C4-9BE3-F51ABB7AF068}"/>
    <cellStyle name="60% - Ênfase5 6 5 2" xfId="5581" xr:uid="{65E59CBF-F007-4A80-B28A-5B5D6B56E2D0}"/>
    <cellStyle name="60% - Ênfase5 6 6" xfId="3770" xr:uid="{49B83859-A20B-4CF4-ADA0-3865E53BBF33}"/>
    <cellStyle name="60% - Ênfase5 7" xfId="161" xr:uid="{E5618465-1DC6-4B8C-9B8F-1B3FD13379BB}"/>
    <cellStyle name="60% - Ênfase5 7 2" xfId="767" xr:uid="{BDEC2C9D-ED5F-43D8-BC04-6C5F81A77D51}"/>
    <cellStyle name="60% - Ênfase5 7 2 2" xfId="1370" xr:uid="{3B4CA467-682F-4DC5-BFA0-467E0FA2BC4A}"/>
    <cellStyle name="60% - Ênfase5 7 2 2 2" xfId="3222" xr:uid="{F777E533-9D1B-40A4-8D1D-4F4C761DE9E8}"/>
    <cellStyle name="60% - Ênfase5 7 2 2 2 2" xfId="6850" xr:uid="{D1472A44-444A-47A2-B6CA-75EE0C7E46A1}"/>
    <cellStyle name="60% - Ênfase5 7 2 2 3" xfId="4998" xr:uid="{C844E529-F27E-4209-B926-3D3EC94923D8}"/>
    <cellStyle name="60% - Ênfase5 7 2 3" xfId="2295" xr:uid="{3475CD4D-9368-4E97-974C-620785619B65}"/>
    <cellStyle name="60% - Ênfase5 7 2 3 2" xfId="5923" xr:uid="{D2B7852C-0FB5-48B6-845F-3F593E0B1DB8}"/>
    <cellStyle name="60% - Ênfase5 7 2 4" xfId="4395" xr:uid="{003F9533-5CCE-42A4-ABB0-DE8D799DE213}"/>
    <cellStyle name="60% - Ênfase5 7 3" xfId="443" xr:uid="{FFE3C0FF-4114-4C5A-B50E-8650249D9018}"/>
    <cellStyle name="60% - Ênfase5 7 3 2" xfId="1577" xr:uid="{9BAE1DDB-C5D5-404B-AA02-7BD3A229CDCB}"/>
    <cellStyle name="60% - Ênfase5 7 3 2 2" xfId="3429" xr:uid="{D5D49E27-3AE5-46CB-9D80-D7F849794D3F}"/>
    <cellStyle name="60% - Ênfase5 7 3 2 2 2" xfId="7057" xr:uid="{B8CBB7B9-686C-4BDD-BB11-88463583A2C4}"/>
    <cellStyle name="60% - Ênfase5 7 3 2 3" xfId="5205" xr:uid="{25FA1C4E-1870-42FF-B7BB-ADF313F92144}"/>
    <cellStyle name="60% - Ênfase5 7 3 3" xfId="2502" xr:uid="{158E2753-B1B9-4CA3-A435-A0AE6E5377D3}"/>
    <cellStyle name="60% - Ênfase5 7 3 3 2" xfId="6130" xr:uid="{7B6B9B68-6163-4B48-8F11-5C45DDBDCD4A}"/>
    <cellStyle name="60% - Ênfase5 7 3 4" xfId="4072" xr:uid="{ED8DDDAD-1736-4310-A534-A20DBC1A26B6}"/>
    <cellStyle name="60% - Ênfase5 7 4" xfId="1048" xr:uid="{82047A58-F24E-440D-9B8C-8BA85032C093}"/>
    <cellStyle name="60% - Ênfase5 7 4 2" xfId="2900" xr:uid="{5F075A68-46BB-4F78-91B4-3012E4B4FB01}"/>
    <cellStyle name="60% - Ênfase5 7 4 2 2" xfId="6528" xr:uid="{E87E0DEE-456A-43A7-A6A2-1A2452ADCB8E}"/>
    <cellStyle name="60% - Ênfase5 7 4 3" xfId="4676" xr:uid="{0812F8F7-A4E8-4948-964C-AB39BE0899F4}"/>
    <cellStyle name="60% - Ênfase5 7 5" xfId="1973" xr:uid="{A0A0E576-C98F-488D-BD9F-7CF484C253D2}"/>
    <cellStyle name="60% - Ênfase5 7 5 2" xfId="5601" xr:uid="{5EFBB038-A669-49DC-B098-1B01A71DADF2}"/>
    <cellStyle name="60% - Ênfase5 7 6" xfId="3790" xr:uid="{BB65F100-C2F9-4216-99E4-373486A525C6}"/>
    <cellStyle name="60% - Ênfase5 8" xfId="181" xr:uid="{566F5B9E-47DE-423D-9D3E-823EE514EB98}"/>
    <cellStyle name="60% - Ênfase5 8 2" xfId="787" xr:uid="{5C58A014-DE10-49EC-AB7A-E3D8CD219B6A}"/>
    <cellStyle name="60% - Ênfase5 8 2 2" xfId="1390" xr:uid="{A08F2B7E-BED3-4715-A8FE-338B30DED768}"/>
    <cellStyle name="60% - Ênfase5 8 2 2 2" xfId="3242" xr:uid="{2837CCAC-F358-4249-A8A4-819945453493}"/>
    <cellStyle name="60% - Ênfase5 8 2 2 2 2" xfId="6870" xr:uid="{EB758617-F353-4324-9D81-6B479FE73CBA}"/>
    <cellStyle name="60% - Ênfase5 8 2 2 3" xfId="5018" xr:uid="{A49A41D4-F35C-4BA3-8ECC-6CC20481AA52}"/>
    <cellStyle name="60% - Ênfase5 8 2 3" xfId="2315" xr:uid="{3FEFF9E8-E8F6-4096-9927-5E6CB9253ED3}"/>
    <cellStyle name="60% - Ênfase5 8 2 3 2" xfId="5943" xr:uid="{B929BA37-5C8D-45A9-97C8-F2BA26EAD6E7}"/>
    <cellStyle name="60% - Ênfase5 8 2 4" xfId="4415" xr:uid="{C5DF1BE2-E0F0-46D7-8526-BD298BAA51E6}"/>
    <cellStyle name="60% - Ênfase5 8 3" xfId="463" xr:uid="{1F6AE067-2E22-4B5A-8AB8-368C39BC7068}"/>
    <cellStyle name="60% - Ênfase5 8 3 2" xfId="1642" xr:uid="{CADA07AC-77D5-4FD8-A943-9B339023D7FD}"/>
    <cellStyle name="60% - Ênfase5 8 3 2 2" xfId="3494" xr:uid="{13C74C8E-378A-4632-9BB9-20C5B5F38512}"/>
    <cellStyle name="60% - Ênfase5 8 3 2 2 2" xfId="7122" xr:uid="{5CD290FD-079E-4DF4-B339-6BF675E533F9}"/>
    <cellStyle name="60% - Ênfase5 8 3 2 3" xfId="5270" xr:uid="{A32E8241-EEE8-4A22-9449-AF5FFA7635F8}"/>
    <cellStyle name="60% - Ênfase5 8 3 3" xfId="2567" xr:uid="{A22127A9-DDA6-4373-BE5E-FB65E802DE22}"/>
    <cellStyle name="60% - Ênfase5 8 3 3 2" xfId="6195" xr:uid="{D645A25F-8ADB-4314-873F-655FEEB52F28}"/>
    <cellStyle name="60% - Ênfase5 8 3 4" xfId="4092" xr:uid="{9CF554AA-A875-4BBD-9659-20E454B37E41}"/>
    <cellStyle name="60% - Ênfase5 8 4" xfId="1068" xr:uid="{BB5BC8EE-43ED-413F-A334-86AA3F5B908D}"/>
    <cellStyle name="60% - Ênfase5 8 4 2" xfId="2920" xr:uid="{95122776-8B5B-4834-BFF2-85F14B40F1EC}"/>
    <cellStyle name="60% - Ênfase5 8 4 2 2" xfId="6548" xr:uid="{715A2173-A591-4026-8BAF-C6C2C2F51D03}"/>
    <cellStyle name="60% - Ênfase5 8 4 3" xfId="4696" xr:uid="{DD1D0841-ED28-4D9A-AA80-6231B0933846}"/>
    <cellStyle name="60% - Ênfase5 8 5" xfId="1993" xr:uid="{F03D0003-4E79-41C7-A812-87E8DBDDA945}"/>
    <cellStyle name="60% - Ênfase5 8 5 2" xfId="5621" xr:uid="{0E3E5BEF-200A-42B3-AD98-FA8DF39EF522}"/>
    <cellStyle name="60% - Ênfase5 8 6" xfId="3810" xr:uid="{63FEA8FA-554C-4540-8ADF-4F7705F519F0}"/>
    <cellStyle name="60% - Ênfase5 9" xfId="201" xr:uid="{0846DF20-96F2-4394-A9EB-9D1512F3A634}"/>
    <cellStyle name="60% - Ênfase5 9 2" xfId="807" xr:uid="{FC660D86-A112-4431-BEEA-993CF0E557CD}"/>
    <cellStyle name="60% - Ênfase5 9 2 2" xfId="1410" xr:uid="{C4B9E711-46BD-4447-85E9-2A0337E6411F}"/>
    <cellStyle name="60% - Ênfase5 9 2 2 2" xfId="3262" xr:uid="{3E240994-F2D3-4F0A-ACCB-627ED074AE84}"/>
    <cellStyle name="60% - Ênfase5 9 2 2 2 2" xfId="6890" xr:uid="{A0F0C30D-55AA-4D53-909D-DA1D64D963DF}"/>
    <cellStyle name="60% - Ênfase5 9 2 2 3" xfId="5038" xr:uid="{9622FDE7-DD02-43F5-8D57-51BD8C823D66}"/>
    <cellStyle name="60% - Ênfase5 9 2 3" xfId="2335" xr:uid="{A8D0506E-1E51-48E3-BCE2-B97E8B39AA0F}"/>
    <cellStyle name="60% - Ênfase5 9 2 3 2" xfId="5963" xr:uid="{C2D5E1B2-6063-4479-A8B8-C8205A89D54D}"/>
    <cellStyle name="60% - Ênfase5 9 2 4" xfId="4435" xr:uid="{B9938B63-EE3D-4F9E-AB4C-1629431B4573}"/>
    <cellStyle name="60% - Ênfase5 9 3" xfId="483" xr:uid="{B50E526E-8E07-480B-92FF-6DF587CE01BF}"/>
    <cellStyle name="60% - Ênfase5 9 3 2" xfId="1815" xr:uid="{4FADB338-DB5F-44B8-BA30-0F89C4147203}"/>
    <cellStyle name="60% - Ênfase5 9 3 2 2" xfId="3628" xr:uid="{6790F0DB-4889-44BE-9265-318FED7BDFD2}"/>
    <cellStyle name="60% - Ênfase5 9 3 2 2 2" xfId="7256" xr:uid="{B3BBA312-D07F-491C-8A4F-1E38A5C71369}"/>
    <cellStyle name="60% - Ênfase5 9 3 2 3" xfId="5443" xr:uid="{A0B09F9D-AC97-44C8-929F-6ED1607CFADF}"/>
    <cellStyle name="60% - Ênfase5 9 3 3" xfId="2740" xr:uid="{B1D709F8-5AF2-42DB-AB85-B9E6846556CF}"/>
    <cellStyle name="60% - Ênfase5 9 3 3 2" xfId="6368" xr:uid="{11340061-F72C-4803-8BC0-3444419BEBA7}"/>
    <cellStyle name="60% - Ênfase5 9 3 4" xfId="4112" xr:uid="{657F062E-EADE-44A6-9AE6-616F8CA2C706}"/>
    <cellStyle name="60% - Ênfase5 9 4" xfId="1088" xr:uid="{8E1C35CA-176E-4157-BFE7-A5638E033AB8}"/>
    <cellStyle name="60% - Ênfase5 9 4 2" xfId="2940" xr:uid="{BDAAC21A-18BD-4778-BE4D-6D8A16A58231}"/>
    <cellStyle name="60% - Ênfase5 9 4 2 2" xfId="6568" xr:uid="{610A10DB-04EC-4432-97FF-867F66929473}"/>
    <cellStyle name="60% - Ênfase5 9 4 3" xfId="4716" xr:uid="{F6E71C52-0A7D-4400-B024-58329B0A406A}"/>
    <cellStyle name="60% - Ênfase5 9 5" xfId="2013" xr:uid="{C7059E45-E747-469F-9840-7D23E5B4421A}"/>
    <cellStyle name="60% - Ênfase5 9 5 2" xfId="5641" xr:uid="{3C259986-F711-49D5-8BCF-DA3AEBDDF638}"/>
    <cellStyle name="60% - Ênfase5 9 6" xfId="3830" xr:uid="{20253BC9-E239-4DEA-BA76-F644C886B476}"/>
    <cellStyle name="60% - Ênfase6" xfId="41" builtinId="52" customBuiltin="1"/>
    <cellStyle name="60% - Ênfase6 10" xfId="225" xr:uid="{01A99B50-7964-4CB2-8B33-435718B4DDF1}"/>
    <cellStyle name="60% - Ênfase6 10 2" xfId="831" xr:uid="{E006DE61-03B7-41AB-81A2-80B7F2AB453D}"/>
    <cellStyle name="60% - Ênfase6 10 2 2" xfId="1434" xr:uid="{6EED136F-0B48-4E91-A3C6-B68159DFA66A}"/>
    <cellStyle name="60% - Ênfase6 10 2 2 2" xfId="3286" xr:uid="{E7103CDA-176F-4B42-9CCD-AE34B2FD3EF3}"/>
    <cellStyle name="60% - Ênfase6 10 2 2 2 2" xfId="6914" xr:uid="{823139D5-8AA1-4D72-B8F2-7F27E002016A}"/>
    <cellStyle name="60% - Ênfase6 10 2 2 3" xfId="5062" xr:uid="{5C201132-E89D-400B-B859-5F9E567EE1D7}"/>
    <cellStyle name="60% - Ênfase6 10 2 3" xfId="2359" xr:uid="{EA9B989C-AA28-4602-9660-5AA0F6B8411E}"/>
    <cellStyle name="60% - Ênfase6 10 2 3 2" xfId="5987" xr:uid="{FBDC26B9-EE15-415F-9234-604242B8660A}"/>
    <cellStyle name="60% - Ênfase6 10 2 4" xfId="4459" xr:uid="{5450580B-C913-48FC-8112-034AFB7053E4}"/>
    <cellStyle name="60% - Ênfase6 10 3" xfId="507" xr:uid="{2701D0AF-EBE6-4E8E-B356-6AD86C9ACB82}"/>
    <cellStyle name="60% - Ênfase6 10 3 2" xfId="1776" xr:uid="{3967B6FD-19FB-4DDA-B0AB-8655F60DD875}"/>
    <cellStyle name="60% - Ênfase6 10 3 2 2" xfId="3589" xr:uid="{96E0BA95-1B54-4C01-AC94-A3962D308449}"/>
    <cellStyle name="60% - Ênfase6 10 3 2 2 2" xfId="7217" xr:uid="{9FAA6972-F176-4C49-93BE-FE68A95D30F6}"/>
    <cellStyle name="60% - Ênfase6 10 3 2 3" xfId="5404" xr:uid="{F873823D-EA35-48F3-A682-4B0B92261793}"/>
    <cellStyle name="60% - Ênfase6 10 3 3" xfId="2701" xr:uid="{AA3295B8-CDFC-49FC-850A-140881238FC5}"/>
    <cellStyle name="60% - Ênfase6 10 3 3 2" xfId="6329" xr:uid="{63189255-D181-4BF3-9F2F-52A902CB9498}"/>
    <cellStyle name="60% - Ênfase6 10 3 4" xfId="4136" xr:uid="{A4D5F9A1-4C1B-4D0F-9DBC-3BF0C27BA880}"/>
    <cellStyle name="60% - Ênfase6 10 4" xfId="1112" xr:uid="{878CBAFD-6774-45B4-836B-BC54CE8A9DCB}"/>
    <cellStyle name="60% - Ênfase6 10 4 2" xfId="2964" xr:uid="{D1667164-58FE-4790-856F-EFB5D6E572FD}"/>
    <cellStyle name="60% - Ênfase6 10 4 2 2" xfId="6592" xr:uid="{26CB9B65-E983-40A9-815B-F82024DBCAF9}"/>
    <cellStyle name="60% - Ênfase6 10 4 3" xfId="4740" xr:uid="{6854C415-26D0-42DB-A6A0-632DAD722BCC}"/>
    <cellStyle name="60% - Ênfase6 10 5" xfId="2037" xr:uid="{5F82BAE7-7F5F-471C-823F-0854F493E216}"/>
    <cellStyle name="60% - Ênfase6 10 5 2" xfId="5665" xr:uid="{4015B9D1-002C-4B3C-BD05-7004FD04157E}"/>
    <cellStyle name="60% - Ênfase6 10 6" xfId="3854" xr:uid="{8661EB1E-2980-4016-8776-6DDDCC9A914E}"/>
    <cellStyle name="60% - Ênfase6 11" xfId="245" xr:uid="{89856CB8-B537-47FB-A09B-1DDE91DBF022}"/>
    <cellStyle name="60% - Ênfase6 11 2" xfId="851" xr:uid="{DEFEC9C7-E369-45B9-9289-A59DB1556E0B}"/>
    <cellStyle name="60% - Ênfase6 11 2 2" xfId="1454" xr:uid="{9673D228-D9FD-440D-90D4-D1F0416C9A5B}"/>
    <cellStyle name="60% - Ênfase6 11 2 2 2" xfId="3306" xr:uid="{6B2889A8-333B-4957-A8ED-67F75547622B}"/>
    <cellStyle name="60% - Ênfase6 11 2 2 2 2" xfId="6934" xr:uid="{4326AE91-5C64-4572-ACB8-D306BB7CDF6A}"/>
    <cellStyle name="60% - Ênfase6 11 2 2 3" xfId="5082" xr:uid="{8343D430-C2BA-4C61-B6BC-66CAB47A560B}"/>
    <cellStyle name="60% - Ênfase6 11 2 3" xfId="2379" xr:uid="{49EE7689-DC07-47BF-95C9-6E1BFF73AF85}"/>
    <cellStyle name="60% - Ênfase6 11 2 3 2" xfId="6007" xr:uid="{138816A5-A89D-4009-BE15-09CD355891F6}"/>
    <cellStyle name="60% - Ênfase6 11 2 4" xfId="4479" xr:uid="{4169FC65-60E3-4B88-B567-BF3EFA15F418}"/>
    <cellStyle name="60% - Ênfase6 11 3" xfId="527" xr:uid="{143C7669-10BF-4E41-BB7E-D7715712CAA7}"/>
    <cellStyle name="60% - Ênfase6 11 3 2" xfId="1779" xr:uid="{0677549B-E5DD-4D86-B8ED-38756B88F665}"/>
    <cellStyle name="60% - Ênfase6 11 3 2 2" xfId="3592" xr:uid="{53E4A927-65D1-4E28-A3C5-F63933820563}"/>
    <cellStyle name="60% - Ênfase6 11 3 2 2 2" xfId="7220" xr:uid="{FC15FC49-947E-4451-A89D-6F855BA631F7}"/>
    <cellStyle name="60% - Ênfase6 11 3 2 3" xfId="5407" xr:uid="{4D204D78-2058-4409-8D53-09C1DB312994}"/>
    <cellStyle name="60% - Ênfase6 11 3 3" xfId="2704" xr:uid="{F71EAB1F-6029-477B-8BD2-A594F4771D3E}"/>
    <cellStyle name="60% - Ênfase6 11 3 3 2" xfId="6332" xr:uid="{1779DE79-060D-48BD-A64C-CE4C0698407D}"/>
    <cellStyle name="60% - Ênfase6 11 3 4" xfId="4156" xr:uid="{D0536910-8642-461C-AB48-4769D3408F75}"/>
    <cellStyle name="60% - Ênfase6 11 4" xfId="1132" xr:uid="{B7CACD09-378D-4443-9262-E9C0C774CDBA}"/>
    <cellStyle name="60% - Ênfase6 11 4 2" xfId="2984" xr:uid="{985A65B4-2A6E-4E64-87B9-E7DBAF2767E8}"/>
    <cellStyle name="60% - Ênfase6 11 4 2 2" xfId="6612" xr:uid="{3484ADC4-F70F-4B40-B9A8-2FE33DB91D71}"/>
    <cellStyle name="60% - Ênfase6 11 4 3" xfId="4760" xr:uid="{6ACFC997-702E-4039-BE44-4778653377B0}"/>
    <cellStyle name="60% - Ênfase6 11 5" xfId="2057" xr:uid="{3A2EC064-5D9B-4896-A808-2F9102650F0B}"/>
    <cellStyle name="60% - Ênfase6 11 5 2" xfId="5685" xr:uid="{48A5C22A-5FCF-40AB-9A28-AE834FA59BAB}"/>
    <cellStyle name="60% - Ênfase6 11 6" xfId="3874" xr:uid="{29D3280C-350E-4A5F-9296-392593DF37D1}"/>
    <cellStyle name="60% - Ênfase6 12" xfId="265" xr:uid="{450A59B4-DC9A-4265-81A4-176F7E476130}"/>
    <cellStyle name="60% - Ênfase6 12 2" xfId="871" xr:uid="{96B9F6EC-C2AA-435A-AE1B-978CD632897A}"/>
    <cellStyle name="60% - Ênfase6 12 2 2" xfId="1474" xr:uid="{18A70626-6593-44C5-825F-08E21B3FFEBC}"/>
    <cellStyle name="60% - Ênfase6 12 2 2 2" xfId="3326" xr:uid="{6CB06155-660C-419B-847B-8029B051DE5F}"/>
    <cellStyle name="60% - Ênfase6 12 2 2 2 2" xfId="6954" xr:uid="{80F290D7-A493-410A-9786-F8CBE49405E8}"/>
    <cellStyle name="60% - Ênfase6 12 2 2 3" xfId="5102" xr:uid="{C906EDFB-744C-4639-BCB3-565E6C8E1AB7}"/>
    <cellStyle name="60% - Ênfase6 12 2 3" xfId="2399" xr:uid="{A6B07BF7-ADD2-4FA1-93AA-13A856CDD8DB}"/>
    <cellStyle name="60% - Ênfase6 12 2 3 2" xfId="6027" xr:uid="{415C3634-E8FB-4C4E-9208-A8C49FC5D402}"/>
    <cellStyle name="60% - Ênfase6 12 2 4" xfId="4499" xr:uid="{5FAA1070-BF87-431A-849C-554F435445ED}"/>
    <cellStyle name="60% - Ênfase6 12 3" xfId="547" xr:uid="{6867069C-64BB-49B6-AED8-DC05F65BC0AC}"/>
    <cellStyle name="60% - Ênfase6 12 3 2" xfId="1649" xr:uid="{3DA757D2-8F89-446B-B031-0E49B3627344}"/>
    <cellStyle name="60% - Ênfase6 12 3 2 2" xfId="3501" xr:uid="{3E3E6457-25BC-4032-8263-AE4D867898CD}"/>
    <cellStyle name="60% - Ênfase6 12 3 2 2 2" xfId="7129" xr:uid="{68CD48A3-B62B-4BBA-86E2-259A65CD8151}"/>
    <cellStyle name="60% - Ênfase6 12 3 2 3" xfId="5277" xr:uid="{2A5B508E-AE85-440E-BAB6-D9CFB59B82A8}"/>
    <cellStyle name="60% - Ênfase6 12 3 3" xfId="2574" xr:uid="{122CB980-73A1-4E6B-8BF6-916A5174B268}"/>
    <cellStyle name="60% - Ênfase6 12 3 3 2" xfId="6202" xr:uid="{BB93FE68-6A7B-4EDC-9EAB-47214CFA8942}"/>
    <cellStyle name="60% - Ênfase6 12 3 4" xfId="4176" xr:uid="{069F3BC6-F220-4EFF-AF7B-3D0310C8776A}"/>
    <cellStyle name="60% - Ênfase6 12 4" xfId="1152" xr:uid="{319F698C-22C3-4464-9338-C389FCA3FB61}"/>
    <cellStyle name="60% - Ênfase6 12 4 2" xfId="3004" xr:uid="{4B239554-8EE5-4B73-AA3E-F7611E7A3875}"/>
    <cellStyle name="60% - Ênfase6 12 4 2 2" xfId="6632" xr:uid="{6005038D-6946-43C9-A859-2BDE24FF608C}"/>
    <cellStyle name="60% - Ênfase6 12 4 3" xfId="4780" xr:uid="{CED1C76E-0DAD-433F-80DF-EB514CCE0B12}"/>
    <cellStyle name="60% - Ênfase6 12 5" xfId="2077" xr:uid="{12222B21-E3B6-49A3-B6C8-DC43B97B81A3}"/>
    <cellStyle name="60% - Ênfase6 12 5 2" xfId="5705" xr:uid="{7CC7F3D3-C4FD-4656-B41C-F02A3BCAA69E}"/>
    <cellStyle name="60% - Ênfase6 12 6" xfId="3894" xr:uid="{4681EC54-C6E2-43F8-A7E0-28C91C9B3028}"/>
    <cellStyle name="60% - Ênfase6 13" xfId="285" xr:uid="{1F220838-F3B0-40B5-BDAE-9E75CA6A3A0F}"/>
    <cellStyle name="60% - Ênfase6 13 2" xfId="891" xr:uid="{575FC7EC-65AB-40CB-AF25-8A6C12198725}"/>
    <cellStyle name="60% - Ênfase6 13 2 2" xfId="1494" xr:uid="{F0436893-817B-405B-B175-C683724B6A55}"/>
    <cellStyle name="60% - Ênfase6 13 2 2 2" xfId="3346" xr:uid="{F5746479-4950-433B-8A1B-D4BB9DDCCECE}"/>
    <cellStyle name="60% - Ênfase6 13 2 2 2 2" xfId="6974" xr:uid="{F4F2D335-50AB-4287-AA73-00CD47AC8E4A}"/>
    <cellStyle name="60% - Ênfase6 13 2 2 3" xfId="5122" xr:uid="{118A157F-919C-4F26-95A1-1FFE91CC8761}"/>
    <cellStyle name="60% - Ênfase6 13 2 3" xfId="2419" xr:uid="{47F323FB-B6D9-4FA4-9165-7201BBE2D02B}"/>
    <cellStyle name="60% - Ênfase6 13 2 3 2" xfId="6047" xr:uid="{284C603C-D056-4C95-9D4C-E1164CA114D6}"/>
    <cellStyle name="60% - Ênfase6 13 2 4" xfId="4519" xr:uid="{FBC3D228-C13B-4C91-8C9C-D1534473D614}"/>
    <cellStyle name="60% - Ênfase6 13 3" xfId="567" xr:uid="{6AB2EB67-6341-4F56-8D4E-EC24984FE211}"/>
    <cellStyle name="60% - Ênfase6 13 3 2" xfId="1711" xr:uid="{5920FC75-75F6-4470-BC2B-A6E6A827F52A}"/>
    <cellStyle name="60% - Ênfase6 13 3 2 2" xfId="3524" xr:uid="{87BC8549-8CCB-49FD-8ECF-8244E84A4634}"/>
    <cellStyle name="60% - Ênfase6 13 3 2 2 2" xfId="7152" xr:uid="{03DBBAA9-8D81-4270-81D4-2F3DD83B61B4}"/>
    <cellStyle name="60% - Ênfase6 13 3 2 3" xfId="5339" xr:uid="{8B2A1EA8-80EC-4790-B8B4-86DB3EB216A6}"/>
    <cellStyle name="60% - Ênfase6 13 3 3" xfId="2636" xr:uid="{63F7AA35-F9DB-4BA4-8A9D-ED7F5AD06532}"/>
    <cellStyle name="60% - Ênfase6 13 3 3 2" xfId="6264" xr:uid="{06335233-139D-4DAA-94BE-F73384788F4D}"/>
    <cellStyle name="60% - Ênfase6 13 3 4" xfId="4196" xr:uid="{FC1CA996-E343-4DE6-996D-9C9BCEB5AFC0}"/>
    <cellStyle name="60% - Ênfase6 13 4" xfId="1172" xr:uid="{E4CC063F-FB93-480B-8206-55D6DA3FDF3A}"/>
    <cellStyle name="60% - Ênfase6 13 4 2" xfId="3024" xr:uid="{70BC0C93-1B33-483F-960C-32EC0176A104}"/>
    <cellStyle name="60% - Ênfase6 13 4 2 2" xfId="6652" xr:uid="{68489442-9A8B-436B-97DC-C0ED9D170A5A}"/>
    <cellStyle name="60% - Ênfase6 13 4 3" xfId="4800" xr:uid="{FBA08186-7A62-4018-88B9-95F0B788375E}"/>
    <cellStyle name="60% - Ênfase6 13 5" xfId="2097" xr:uid="{488F0DD5-0C4A-4FD9-9564-9CB6B8EAF0CD}"/>
    <cellStyle name="60% - Ênfase6 13 5 2" xfId="5725" xr:uid="{CE3D697D-08BF-42C2-ADF0-7037DA9E53BA}"/>
    <cellStyle name="60% - Ênfase6 13 6" xfId="3914" xr:uid="{379347D8-1075-44A7-9568-598C52C0C254}"/>
    <cellStyle name="60% - Ênfase6 14" xfId="305" xr:uid="{55384C32-71C1-41B8-9A3F-716381FEF7C8}"/>
    <cellStyle name="60% - Ênfase6 14 2" xfId="911" xr:uid="{6710AB44-5DBC-4E41-99BA-A5C86F04C143}"/>
    <cellStyle name="60% - Ênfase6 14 2 2" xfId="1514" xr:uid="{319376F7-0279-46EF-992A-431BED8E18B4}"/>
    <cellStyle name="60% - Ênfase6 14 2 2 2" xfId="3366" xr:uid="{66E41792-52E4-4C12-9825-12778A682E01}"/>
    <cellStyle name="60% - Ênfase6 14 2 2 2 2" xfId="6994" xr:uid="{503FB50B-2ADA-4152-AB01-D8C1DF1C236E}"/>
    <cellStyle name="60% - Ênfase6 14 2 2 3" xfId="5142" xr:uid="{AF439F09-8330-4AF9-BE4F-26F2046A3EBC}"/>
    <cellStyle name="60% - Ênfase6 14 2 3" xfId="2439" xr:uid="{6DDA5A2B-390E-402E-8017-61A5235DD1C0}"/>
    <cellStyle name="60% - Ênfase6 14 2 3 2" xfId="6067" xr:uid="{B1BF632F-3B6E-453B-9B63-6345CCCD4377}"/>
    <cellStyle name="60% - Ênfase6 14 2 4" xfId="4539" xr:uid="{4221E3B6-94FD-419A-B514-ABFEB1071AD0}"/>
    <cellStyle name="60% - Ênfase6 14 3" xfId="587" xr:uid="{E52C9EC9-A7A2-4572-8B94-1138CB7CA70F}"/>
    <cellStyle name="60% - Ênfase6 14 3 2" xfId="1566" xr:uid="{8FEA3EB6-80EC-4412-A83F-F7788508E343}"/>
    <cellStyle name="60% - Ênfase6 14 3 2 2" xfId="3418" xr:uid="{D1A6B355-9DE1-4E38-ACE0-2AAB73E7DD00}"/>
    <cellStyle name="60% - Ênfase6 14 3 2 2 2" xfId="7046" xr:uid="{18DD2572-B8FA-4310-A6C6-B770E722A461}"/>
    <cellStyle name="60% - Ênfase6 14 3 2 3" xfId="5194" xr:uid="{D252D8D1-0BE7-42DC-9CF3-1F0203F12CA7}"/>
    <cellStyle name="60% - Ênfase6 14 3 3" xfId="2491" xr:uid="{E7AACF1B-B361-4602-8BDB-0EEDD1F5C9B3}"/>
    <cellStyle name="60% - Ênfase6 14 3 3 2" xfId="6119" xr:uid="{6E8AE3AE-FDF2-4FDC-8389-DE91AE950C4F}"/>
    <cellStyle name="60% - Ênfase6 14 3 4" xfId="4216" xr:uid="{5021FA3C-5E23-401C-B4AB-874D9B0166E3}"/>
    <cellStyle name="60% - Ênfase6 14 4" xfId="1192" xr:uid="{D3E8B96E-0AE4-41C8-9AE8-E77D75DB52CA}"/>
    <cellStyle name="60% - Ênfase6 14 4 2" xfId="3044" xr:uid="{A04A2F1D-765A-43F4-8541-9CAE528C8125}"/>
    <cellStyle name="60% - Ênfase6 14 4 2 2" xfId="6672" xr:uid="{7FD22BFB-805C-4120-977C-B77A27B73E8D}"/>
    <cellStyle name="60% - Ênfase6 14 4 3" xfId="4820" xr:uid="{6EFC3F43-B77F-4FFE-BCD9-B7762A6EED37}"/>
    <cellStyle name="60% - Ênfase6 14 5" xfId="2117" xr:uid="{F4AC19C3-22C3-4470-947A-813A106210CA}"/>
    <cellStyle name="60% - Ênfase6 14 5 2" xfId="5745" xr:uid="{B60592F1-F482-4D68-A615-F834B3F9451A}"/>
    <cellStyle name="60% - Ênfase6 14 6" xfId="3934" xr:uid="{FB297CBB-0EB1-4BA7-8E03-03ED6DD1303B}"/>
    <cellStyle name="60% - Ênfase6 15" xfId="607" xr:uid="{F71D9B2E-D5F9-4F4E-9664-93BE7AD773E4}"/>
    <cellStyle name="60% - Ênfase6 15 2" xfId="1670" xr:uid="{DAF4F434-F51B-46CB-BBB0-7A1DAAA57596}"/>
    <cellStyle name="60% - Ênfase6 15 2 2" xfId="2595" xr:uid="{6F8F4A82-85AE-4A8B-8E87-F97C2CFC1133}"/>
    <cellStyle name="60% - Ênfase6 15 2 2 2" xfId="6223" xr:uid="{A437D293-C489-42CD-A3E8-E3BEE516F4A6}"/>
    <cellStyle name="60% - Ênfase6 15 2 3" xfId="5298" xr:uid="{EBAFE709-E345-430F-8499-A6D124D11820}"/>
    <cellStyle name="60% - Ênfase6 15 3" xfId="1212" xr:uid="{B84BBAC0-1CEC-4805-A8EB-46F3ACD6C5B3}"/>
    <cellStyle name="60% - Ênfase6 15 3 2" xfId="3064" xr:uid="{D45703A0-221A-4868-A636-59B103BFA683}"/>
    <cellStyle name="60% - Ênfase6 15 3 2 2" xfId="6692" xr:uid="{DD1593B1-97B5-4820-9135-3741B0D492C6}"/>
    <cellStyle name="60% - Ênfase6 15 3 3" xfId="4840" xr:uid="{13FA6BC6-5258-43E8-83E9-9D3533BDF99F}"/>
    <cellStyle name="60% - Ênfase6 15 4" xfId="2137" xr:uid="{AA4AB98B-0CF0-4A25-A6F9-7B9F6E51282D}"/>
    <cellStyle name="60% - Ênfase6 15 4 2" xfId="5765" xr:uid="{54469909-510F-4A08-8360-B8F3B9945B0E}"/>
    <cellStyle name="60% - Ênfase6 15 5" xfId="4236" xr:uid="{54B943AF-4DA5-4B78-91D3-BAFFB9488F50}"/>
    <cellStyle name="60% - Ênfase6 16" xfId="627" xr:uid="{D94FEBAE-0337-46AF-B294-D8284B2C6E23}"/>
    <cellStyle name="60% - Ênfase6 16 2" xfId="1690" xr:uid="{6CF887E6-B829-484D-B095-B9068CA69231}"/>
    <cellStyle name="60% - Ênfase6 16 2 2" xfId="2615" xr:uid="{F3F180E7-DD7E-4423-BC6C-2696AFB44A24}"/>
    <cellStyle name="60% - Ênfase6 16 2 2 2" xfId="6243" xr:uid="{927A2291-013C-4D2E-B371-9B3DF7C90CF8}"/>
    <cellStyle name="60% - Ênfase6 16 2 3" xfId="5318" xr:uid="{CA1D7A00-89D3-43D5-BCDF-3EC95B7A64C1}"/>
    <cellStyle name="60% - Ênfase6 16 3" xfId="1232" xr:uid="{B8E403DE-16F6-458B-8D8D-329D670E45F3}"/>
    <cellStyle name="60% - Ênfase6 16 3 2" xfId="3084" xr:uid="{BBDFDDEB-D211-4FCC-B1A3-6DEDF1D97C36}"/>
    <cellStyle name="60% - Ênfase6 16 3 2 2" xfId="6712" xr:uid="{99CDB7E4-9F76-4610-89EB-F7DE9D86D874}"/>
    <cellStyle name="60% - Ênfase6 16 3 3" xfId="4860" xr:uid="{434ABA74-C6AC-43F5-9DCA-A52AD5E438E7}"/>
    <cellStyle name="60% - Ênfase6 16 4" xfId="2157" xr:uid="{491F2E27-523B-40F5-A0EF-BBFF2B62B36E}"/>
    <cellStyle name="60% - Ênfase6 16 4 2" xfId="5785" xr:uid="{8F8FCA14-3D47-4D4B-9A7E-F78A191158E7}"/>
    <cellStyle name="60% - Ênfase6 16 5" xfId="4256" xr:uid="{55172C0B-CAC4-4BF8-A7FC-483B1153B3BF}"/>
    <cellStyle name="60% - Ênfase6 17" xfId="647" xr:uid="{11650B38-034E-4417-B607-9EEE4D19E71B}"/>
    <cellStyle name="60% - Ênfase6 17 2" xfId="1251" xr:uid="{C2590897-BD4C-4877-B090-77317B8B8618}"/>
    <cellStyle name="60% - Ênfase6 17 2 2" xfId="3103" xr:uid="{DF80740D-A9E2-4F1A-B399-4C64D1AA65D4}"/>
    <cellStyle name="60% - Ênfase6 17 2 2 2" xfId="6731" xr:uid="{92BD70E8-EFC2-4A5E-BA12-CD366ABE8E4C}"/>
    <cellStyle name="60% - Ênfase6 17 2 3" xfId="4879" xr:uid="{5DBC8E38-C1A1-4B9F-9C58-8D0EF31E52B1}"/>
    <cellStyle name="60% - Ênfase6 17 3" xfId="2176" xr:uid="{DE2E35AB-74B4-467D-9A5C-8055B9A1B263}"/>
    <cellStyle name="60% - Ênfase6 17 3 2" xfId="5804" xr:uid="{676096D1-EEF7-45D7-8D04-EF4DB88B9B86}"/>
    <cellStyle name="60% - Ênfase6 17 4" xfId="4276" xr:uid="{0760EBDD-0CCE-45ED-BC71-FC0026AF5055}"/>
    <cellStyle name="60% - Ênfase6 18" xfId="324" xr:uid="{9EDB95C9-E6E5-490E-89A5-B42988CE7A5A}"/>
    <cellStyle name="60% - Ênfase6 18 2" xfId="1739" xr:uid="{844B7299-5A66-4FB8-A51A-0EB02735ECC0}"/>
    <cellStyle name="60% - Ênfase6 18 2 2" xfId="3552" xr:uid="{497FC19E-F724-4C05-97A1-CB18403DF392}"/>
    <cellStyle name="60% - Ênfase6 18 2 2 2" xfId="7180" xr:uid="{642ACFE4-16CD-4312-8AA6-B801DD471F02}"/>
    <cellStyle name="60% - Ênfase6 18 2 3" xfId="5367" xr:uid="{2EDE1732-FBF2-492C-B0B7-2A75295BC766}"/>
    <cellStyle name="60% - Ênfase6 18 3" xfId="2664" xr:uid="{4EF94972-28DF-4D94-B23E-DD1CD9BF3FA8}"/>
    <cellStyle name="60% - Ênfase6 18 3 2" xfId="6292" xr:uid="{6E789DFB-114E-4C5B-A5CF-6FE8024A50AD}"/>
    <cellStyle name="60% - Ênfase6 18 4" xfId="3953" xr:uid="{ACC730E0-78A2-466C-A25D-524CAAA21417}"/>
    <cellStyle name="60% - Ênfase6 19" xfId="929" xr:uid="{B05F1FA4-B12E-477D-B126-BA6930CD66BE}"/>
    <cellStyle name="60% - Ênfase6 19 2" xfId="2781" xr:uid="{CB0E3844-6F6B-4A6C-A568-74DBD8099632}"/>
    <cellStyle name="60% - Ênfase6 19 2 2" xfId="6409" xr:uid="{B01C0EAE-F3FC-4514-BC55-C60F4BD153F7}"/>
    <cellStyle name="60% - Ênfase6 19 3" xfId="4557" xr:uid="{007CF8A1-8240-4A1B-B490-F1419894AC03}"/>
    <cellStyle name="60% - Ênfase6 2" xfId="64" xr:uid="{8CD7B364-2EC8-4CBE-86C6-BB859D0FBB58}"/>
    <cellStyle name="60% - Ênfase6 2 2" xfId="670" xr:uid="{8B078E26-AC9C-4D3B-B1FB-DABE5C052628}"/>
    <cellStyle name="60% - Ênfase6 2 2 2" xfId="1273" xr:uid="{0535351C-B0CF-4B7C-8E69-0708D83627F8}"/>
    <cellStyle name="60% - Ênfase6 2 2 2 2" xfId="3125" xr:uid="{A9C54BEA-2417-4636-91B6-4DCF42640E13}"/>
    <cellStyle name="60% - Ênfase6 2 2 2 2 2" xfId="6753" xr:uid="{676CA8D8-E6DD-4F57-A6DE-20C15269F2CF}"/>
    <cellStyle name="60% - Ênfase6 2 2 2 3" xfId="4901" xr:uid="{F865152E-8D3E-432D-B3DD-3600E45090EE}"/>
    <cellStyle name="60% - Ênfase6 2 2 3" xfId="2198" xr:uid="{863BA95F-F44E-45B6-9969-A37FBA014C6D}"/>
    <cellStyle name="60% - Ênfase6 2 2 3 2" xfId="5826" xr:uid="{7F688459-43C7-4E24-8C8B-360B7CA1DDBD}"/>
    <cellStyle name="60% - Ênfase6 2 2 4" xfId="4298" xr:uid="{7A799BE6-B4DE-485C-AD02-DD4DDAD43CCB}"/>
    <cellStyle name="60% - Ênfase6 2 3" xfId="346" xr:uid="{080B7E39-7E9F-4131-A0F8-71494C99D99B}"/>
    <cellStyle name="60% - Ênfase6 2 3 2" xfId="1591" xr:uid="{F6D6BB22-9520-4B69-9F62-045B18FF960A}"/>
    <cellStyle name="60% - Ênfase6 2 3 2 2" xfId="3443" xr:uid="{3E574765-3FC1-49C4-8503-4ADF7DBBCB36}"/>
    <cellStyle name="60% - Ênfase6 2 3 2 2 2" xfId="7071" xr:uid="{1DFFAB01-CCE7-48DF-844F-15816B47A99D}"/>
    <cellStyle name="60% - Ênfase6 2 3 2 3" xfId="5219" xr:uid="{05B38532-C80F-4D0B-803C-8F688ACC098F}"/>
    <cellStyle name="60% - Ênfase6 2 3 3" xfId="2516" xr:uid="{6430CFEB-AF88-43AF-8C3E-67F348EAC69E}"/>
    <cellStyle name="60% - Ênfase6 2 3 3 2" xfId="6144" xr:uid="{F7C20B5E-FF23-4B08-9F63-0C38207703D6}"/>
    <cellStyle name="60% - Ênfase6 2 3 4" xfId="3975" xr:uid="{ED621D69-3607-4BC9-8234-95AD97EC1E32}"/>
    <cellStyle name="60% - Ênfase6 2 4" xfId="951" xr:uid="{D9710052-1A22-46B4-8F17-C377F603963A}"/>
    <cellStyle name="60% - Ênfase6 2 4 2" xfId="2803" xr:uid="{BAD1180E-3C4C-4FF4-B3A8-4E4BA8B73467}"/>
    <cellStyle name="60% - Ênfase6 2 4 2 2" xfId="6431" xr:uid="{51D4426A-4D4E-4283-BDC4-5F98F38BC78D}"/>
    <cellStyle name="60% - Ênfase6 2 4 3" xfId="4579" xr:uid="{1FC42E4C-F92E-4A2F-8948-4700F7F44471}"/>
    <cellStyle name="60% - Ênfase6 2 5" xfId="1876" xr:uid="{503FC3A3-5451-4B67-8539-D09C983EF7F8}"/>
    <cellStyle name="60% - Ênfase6 2 5 2" xfId="5504" xr:uid="{E704EF67-4EB7-4817-A7C2-69A6C3B7B296}"/>
    <cellStyle name="60% - Ênfase6 2 6" xfId="3693" xr:uid="{456B6515-B57F-4860-A144-AB719740E061}"/>
    <cellStyle name="60% - Ênfase6 20" xfId="1854" xr:uid="{1E6EA5D1-A68C-4D35-8CA8-7811DE7DF630}"/>
    <cellStyle name="60% - Ênfase6 20 2" xfId="5482" xr:uid="{5BDCABF9-ACED-452E-A3EE-8AA475932865}"/>
    <cellStyle name="60% - Ênfase6 21" xfId="3669" xr:uid="{FA922E1A-8AC7-4BD3-91B9-76ED4A21196F}"/>
    <cellStyle name="60% - Ênfase6 3" xfId="82" xr:uid="{6A7AC104-6670-4EC4-ADCB-BE92FA13E8D2}"/>
    <cellStyle name="60% - Ênfase6 3 2" xfId="688" xr:uid="{49E2866D-9809-41A7-9A66-DB264267D3A9}"/>
    <cellStyle name="60% - Ênfase6 3 2 2" xfId="1291" xr:uid="{3AD46832-0B7F-4155-9997-AD82F2A5B054}"/>
    <cellStyle name="60% - Ênfase6 3 2 2 2" xfId="3143" xr:uid="{345319AB-364C-4B36-971E-6AF521566410}"/>
    <cellStyle name="60% - Ênfase6 3 2 2 2 2" xfId="6771" xr:uid="{A8893E76-9D80-4DAE-A71C-B861D13E501C}"/>
    <cellStyle name="60% - Ênfase6 3 2 2 3" xfId="4919" xr:uid="{D0FD8445-9004-4F3C-BF0E-6F016AFEB84A}"/>
    <cellStyle name="60% - Ênfase6 3 2 3" xfId="2216" xr:uid="{6D3858B9-5730-48D6-B595-1BBAAC4FECF9}"/>
    <cellStyle name="60% - Ênfase6 3 2 3 2" xfId="5844" xr:uid="{8EBA5C54-69FC-496D-A9C4-D1D23AFA3AE0}"/>
    <cellStyle name="60% - Ênfase6 3 2 4" xfId="4316" xr:uid="{533FEC7A-8A52-4E1B-8513-71FE30597840}"/>
    <cellStyle name="60% - Ênfase6 3 3" xfId="364" xr:uid="{93545CB2-C273-4A17-AAFB-BC0E399BB244}"/>
    <cellStyle name="60% - Ênfase6 3 3 2" xfId="1832" xr:uid="{DFAF3C80-31B6-4809-804A-8B0080797EA5}"/>
    <cellStyle name="60% - Ênfase6 3 3 2 2" xfId="3645" xr:uid="{3B4EFE1D-4B55-454F-A0F2-5874F2466D40}"/>
    <cellStyle name="60% - Ênfase6 3 3 2 2 2" xfId="7273" xr:uid="{505CC3E1-26B9-47DD-AD61-EA29C28A5588}"/>
    <cellStyle name="60% - Ênfase6 3 3 2 3" xfId="5460" xr:uid="{027D8F5C-A41B-425A-A58A-EB06C9AA609A}"/>
    <cellStyle name="60% - Ênfase6 3 3 3" xfId="2757" xr:uid="{9144A04D-B29C-432C-847A-4CA15B577276}"/>
    <cellStyle name="60% - Ênfase6 3 3 3 2" xfId="6385" xr:uid="{A1C5932C-7BE1-4376-9DA6-B00182016981}"/>
    <cellStyle name="60% - Ênfase6 3 3 4" xfId="3993" xr:uid="{FD0F4C30-B4DE-4E87-9F13-1324A2792DEB}"/>
    <cellStyle name="60% - Ênfase6 3 4" xfId="969" xr:uid="{8D3D52C7-7F1C-4E58-A2CA-907B3B884202}"/>
    <cellStyle name="60% - Ênfase6 3 4 2" xfId="2821" xr:uid="{8DA66920-87A2-4689-BB73-0D3FC6A805FF}"/>
    <cellStyle name="60% - Ênfase6 3 4 2 2" xfId="6449" xr:uid="{48CF3703-1BD6-4AA5-85E3-C355B7ECADF5}"/>
    <cellStyle name="60% - Ênfase6 3 4 3" xfId="4597" xr:uid="{8EE0D2FC-2798-4132-A7A5-1A2C98BAB9BD}"/>
    <cellStyle name="60% - Ênfase6 3 5" xfId="1894" xr:uid="{FD28A6E6-028C-404A-8B9B-B9B7D0C4A39F}"/>
    <cellStyle name="60% - Ênfase6 3 5 2" xfId="5522" xr:uid="{26A2D49B-3024-4E93-9E16-DD9CD99AF316}"/>
    <cellStyle name="60% - Ênfase6 3 6" xfId="3711" xr:uid="{C969BBCD-98E8-4615-96E6-4CC137FED064}"/>
    <cellStyle name="60% - Ênfase6 4" xfId="104" xr:uid="{D147BD1A-6F53-4F9F-9912-C6C9875F7BA3}"/>
    <cellStyle name="60% - Ênfase6 4 2" xfId="710" xr:uid="{981D222D-2539-44AB-B5F5-6B4403981248}"/>
    <cellStyle name="60% - Ênfase6 4 2 2" xfId="1313" xr:uid="{6C51FD70-1445-4017-B486-811D7B551D6B}"/>
    <cellStyle name="60% - Ênfase6 4 2 2 2" xfId="3165" xr:uid="{5791CC8A-5842-4168-A023-63AC43E445F0}"/>
    <cellStyle name="60% - Ênfase6 4 2 2 2 2" xfId="6793" xr:uid="{2720E848-85A7-4DA1-9734-483F13A54664}"/>
    <cellStyle name="60% - Ênfase6 4 2 2 3" xfId="4941" xr:uid="{4C442901-E5ED-48F2-ACA2-A812F298DFC7}"/>
    <cellStyle name="60% - Ênfase6 4 2 3" xfId="2238" xr:uid="{BCB28E40-B485-4A79-8431-D2189A3CC6F2}"/>
    <cellStyle name="60% - Ênfase6 4 2 3 2" xfId="5866" xr:uid="{7A5A07E9-4634-4B08-BA87-1B4AF69B8850}"/>
    <cellStyle name="60% - Ênfase6 4 2 4" xfId="4338" xr:uid="{19AB388C-68C1-4FF8-8333-66129E0A1D02}"/>
    <cellStyle name="60% - Ênfase6 4 3" xfId="386" xr:uid="{DDB08616-351E-4F18-9A94-33107747499F}"/>
    <cellStyle name="60% - Ênfase6 4 3 2" xfId="1583" xr:uid="{27F24DE2-12AA-4980-A0FB-E4D4316C4530}"/>
    <cellStyle name="60% - Ênfase6 4 3 2 2" xfId="3435" xr:uid="{D6858053-5F63-4171-A624-F17AB76A5F35}"/>
    <cellStyle name="60% - Ênfase6 4 3 2 2 2" xfId="7063" xr:uid="{8021CCAA-D673-4E1A-94CA-E3EF4026D2CD}"/>
    <cellStyle name="60% - Ênfase6 4 3 2 3" xfId="5211" xr:uid="{E77F3296-A2E9-43C2-8FB7-526F3E6C437C}"/>
    <cellStyle name="60% - Ênfase6 4 3 3" xfId="2508" xr:uid="{41FA9069-149C-4E1F-8780-984A6168DBD3}"/>
    <cellStyle name="60% - Ênfase6 4 3 3 2" xfId="6136" xr:uid="{0DEC5B60-B8E1-4BDB-85E3-D2AE5B840EB4}"/>
    <cellStyle name="60% - Ênfase6 4 3 4" xfId="4015" xr:uid="{0685AFBE-D900-4F10-BE84-28E8EA1EB057}"/>
    <cellStyle name="60% - Ênfase6 4 4" xfId="991" xr:uid="{C3FE494C-09FC-40E9-BC3F-DAA80E38F799}"/>
    <cellStyle name="60% - Ênfase6 4 4 2" xfId="2843" xr:uid="{713BCB46-2737-489B-AF95-48CF9FA079BD}"/>
    <cellStyle name="60% - Ênfase6 4 4 2 2" xfId="6471" xr:uid="{EE030E32-F41B-4B9E-B678-E6875526CC86}"/>
    <cellStyle name="60% - Ênfase6 4 4 3" xfId="4619" xr:uid="{954C290A-49C3-4893-9339-493D9B3B337C}"/>
    <cellStyle name="60% - Ênfase6 4 5" xfId="1916" xr:uid="{017B7930-0116-4A08-833B-F2BDF86B2907}"/>
    <cellStyle name="60% - Ênfase6 4 5 2" xfId="5544" xr:uid="{FFCE452C-9469-43F5-9C77-CB3C22A333FC}"/>
    <cellStyle name="60% - Ênfase6 4 6" xfId="3733" xr:uid="{71119C4C-A7F7-4B10-B318-11EBC5EA5F57}"/>
    <cellStyle name="60% - Ênfase6 5" xfId="124" xr:uid="{BDB74E1A-5538-4034-83C8-CEEB685EDBB9}"/>
    <cellStyle name="60% - Ênfase6 5 2" xfId="730" xr:uid="{12436612-394C-45BB-A6C2-CBCEEDAACCEE}"/>
    <cellStyle name="60% - Ênfase6 5 2 2" xfId="1333" xr:uid="{9EB00BED-73A5-4E49-AB71-CAA95FF5192C}"/>
    <cellStyle name="60% - Ênfase6 5 2 2 2" xfId="3185" xr:uid="{0FB6C8EC-67BB-4724-8E65-A148DFC3C7D7}"/>
    <cellStyle name="60% - Ênfase6 5 2 2 2 2" xfId="6813" xr:uid="{A52454C9-681E-4894-9961-B1F279810E9D}"/>
    <cellStyle name="60% - Ênfase6 5 2 2 3" xfId="4961" xr:uid="{96D17F8F-5068-42C7-8BD4-F67C841D9A43}"/>
    <cellStyle name="60% - Ênfase6 5 2 3" xfId="2258" xr:uid="{B014CDAA-51D0-4F3A-93C3-70D867EC1079}"/>
    <cellStyle name="60% - Ênfase6 5 2 3 2" xfId="5886" xr:uid="{6C268BC3-8890-4675-9BE4-A92117888AC3}"/>
    <cellStyle name="60% - Ênfase6 5 2 4" xfId="4358" xr:uid="{CA761D79-4EE9-4582-AEDD-D98981A78623}"/>
    <cellStyle name="60% - Ênfase6 5 3" xfId="406" xr:uid="{55A1C3ED-FD99-460A-ACCA-BEBB1CE3DB04}"/>
    <cellStyle name="60% - Ênfase6 5 3 2" xfId="1736" xr:uid="{948CA513-06BE-48EF-A29B-D809AF0E03BB}"/>
    <cellStyle name="60% - Ênfase6 5 3 2 2" xfId="3549" xr:uid="{96284664-4678-4FAC-A001-6AC00BD594B9}"/>
    <cellStyle name="60% - Ênfase6 5 3 2 2 2" xfId="7177" xr:uid="{99AF3F55-1426-430D-ACF2-06D93DAC7491}"/>
    <cellStyle name="60% - Ênfase6 5 3 2 3" xfId="5364" xr:uid="{4C7CBFB0-307F-40E0-B208-E85DB246395B}"/>
    <cellStyle name="60% - Ênfase6 5 3 3" xfId="2661" xr:uid="{5B778D93-5213-404F-854F-A2EF7E67BA6B}"/>
    <cellStyle name="60% - Ênfase6 5 3 3 2" xfId="6289" xr:uid="{BC02F6B0-8051-458F-986E-E59F054D5EA8}"/>
    <cellStyle name="60% - Ênfase6 5 3 4" xfId="4035" xr:uid="{9C978992-83D0-4C8D-858C-D60F3D40C693}"/>
    <cellStyle name="60% - Ênfase6 5 4" xfId="1011" xr:uid="{D29EAD97-8CC0-4735-8404-363F048DDDBD}"/>
    <cellStyle name="60% - Ênfase6 5 4 2" xfId="2863" xr:uid="{9A3AD40C-7D16-4537-BD22-402DD9DD7935}"/>
    <cellStyle name="60% - Ênfase6 5 4 2 2" xfId="6491" xr:uid="{1062803E-8B67-4038-9EE6-9AD3409713E8}"/>
    <cellStyle name="60% - Ênfase6 5 4 3" xfId="4639" xr:uid="{FCFEC894-069B-4ACE-B498-ABCE3CE1BCC8}"/>
    <cellStyle name="60% - Ênfase6 5 5" xfId="1936" xr:uid="{DB5ABF4A-B732-4A16-A3EC-793DDB7F14B4}"/>
    <cellStyle name="60% - Ênfase6 5 5 2" xfId="5564" xr:uid="{683C226E-0F2A-40AE-BA2C-A2D90524DF5E}"/>
    <cellStyle name="60% - Ênfase6 5 6" xfId="3753" xr:uid="{6481512F-D600-418B-A488-212E65F9239B}"/>
    <cellStyle name="60% - Ênfase6 6" xfId="144" xr:uid="{EFB37A44-694A-4974-AF5B-09E47116CA90}"/>
    <cellStyle name="60% - Ênfase6 6 2" xfId="750" xr:uid="{A28E63DA-1281-4A2E-895C-D641B1705E84}"/>
    <cellStyle name="60% - Ênfase6 6 2 2" xfId="1353" xr:uid="{590ED896-AE7A-4A45-B300-44981D4DBF62}"/>
    <cellStyle name="60% - Ênfase6 6 2 2 2" xfId="3205" xr:uid="{BE22699B-DA69-4F51-ADBE-EADF7C91232E}"/>
    <cellStyle name="60% - Ênfase6 6 2 2 2 2" xfId="6833" xr:uid="{5438CE96-4E21-4C65-AB97-C246011F226D}"/>
    <cellStyle name="60% - Ênfase6 6 2 2 3" xfId="4981" xr:uid="{41E9187E-21B3-4AE2-AF55-42584C41F676}"/>
    <cellStyle name="60% - Ênfase6 6 2 3" xfId="2278" xr:uid="{709D3B19-825C-4D47-9837-737237014F88}"/>
    <cellStyle name="60% - Ênfase6 6 2 3 2" xfId="5906" xr:uid="{7E261A0E-E611-4B56-BBCA-283F74FC686E}"/>
    <cellStyle name="60% - Ênfase6 6 2 4" xfId="4378" xr:uid="{3BD0AD12-5EFF-4D49-87BD-765A0CF3B593}"/>
    <cellStyle name="60% - Ênfase6 6 3" xfId="426" xr:uid="{082DC916-8417-424E-B859-906DFC5F1F29}"/>
    <cellStyle name="60% - Ênfase6 6 3 2" xfId="1774" xr:uid="{3DE38E63-A8D9-491D-92CE-DE2B704C2AEB}"/>
    <cellStyle name="60% - Ênfase6 6 3 2 2" xfId="3587" xr:uid="{45DC1ECA-0C23-4CEE-95DC-D16A88B0A0F3}"/>
    <cellStyle name="60% - Ênfase6 6 3 2 2 2" xfId="7215" xr:uid="{8123D4D7-A1A3-46E8-9509-8AF58C1FDCA9}"/>
    <cellStyle name="60% - Ênfase6 6 3 2 3" xfId="5402" xr:uid="{645F4085-764E-4F90-A386-BBA288E9A5E1}"/>
    <cellStyle name="60% - Ênfase6 6 3 3" xfId="2699" xr:uid="{998CF28C-4A18-4538-825B-0B455D9E0A58}"/>
    <cellStyle name="60% - Ênfase6 6 3 3 2" xfId="6327" xr:uid="{E528879C-48E1-4395-8649-EF895AE2A90E}"/>
    <cellStyle name="60% - Ênfase6 6 3 4" xfId="4055" xr:uid="{30ED9982-692C-4110-B3A2-579A52099D70}"/>
    <cellStyle name="60% - Ênfase6 6 4" xfId="1031" xr:uid="{C7867F24-3814-4541-A8AD-ED143272F320}"/>
    <cellStyle name="60% - Ênfase6 6 4 2" xfId="2883" xr:uid="{56ED5C4F-CB47-4A0B-8D3B-3C9FB64D00B7}"/>
    <cellStyle name="60% - Ênfase6 6 4 2 2" xfId="6511" xr:uid="{1DD5F455-44CF-4497-A813-2DD03DD6F318}"/>
    <cellStyle name="60% - Ênfase6 6 4 3" xfId="4659" xr:uid="{FFF8F19D-BEB0-4310-AC9B-42DF164EABB2}"/>
    <cellStyle name="60% - Ênfase6 6 5" xfId="1956" xr:uid="{AE5F7EC1-FF05-4B3C-84F7-AA037708B178}"/>
    <cellStyle name="60% - Ênfase6 6 5 2" xfId="5584" xr:uid="{8746B0CF-3B08-4D7C-8F26-C5AEE0648A83}"/>
    <cellStyle name="60% - Ênfase6 6 6" xfId="3773" xr:uid="{FA76B4EA-B5D3-4AF6-BD6F-9CF5D2CD593A}"/>
    <cellStyle name="60% - Ênfase6 7" xfId="164" xr:uid="{207A0BA8-AA79-4E2E-98CE-FD519B02AF8D}"/>
    <cellStyle name="60% - Ênfase6 7 2" xfId="770" xr:uid="{BC197265-E932-48E1-8E69-C4D05AF554AA}"/>
    <cellStyle name="60% - Ênfase6 7 2 2" xfId="1373" xr:uid="{E8517688-D6C4-426B-9CFC-4A1644962E72}"/>
    <cellStyle name="60% - Ênfase6 7 2 2 2" xfId="3225" xr:uid="{C7B42ACF-4D3C-4D72-84E3-AAE3AEC00DB4}"/>
    <cellStyle name="60% - Ênfase6 7 2 2 2 2" xfId="6853" xr:uid="{B2A90278-256A-42CE-ADC2-CCECB4458210}"/>
    <cellStyle name="60% - Ênfase6 7 2 2 3" xfId="5001" xr:uid="{D843F13C-2FF2-49B1-AFAE-3435DB51C1A1}"/>
    <cellStyle name="60% - Ênfase6 7 2 3" xfId="2298" xr:uid="{596618BD-8935-4BBB-A2F2-2F99213002E1}"/>
    <cellStyle name="60% - Ênfase6 7 2 3 2" xfId="5926" xr:uid="{637403C0-3277-4E1C-9972-79AD19767711}"/>
    <cellStyle name="60% - Ênfase6 7 2 4" xfId="4398" xr:uid="{E42248E5-4315-4F47-8E16-81E5B8A0FE2C}"/>
    <cellStyle name="60% - Ênfase6 7 3" xfId="446" xr:uid="{CA9225A4-9D43-499F-838C-0E1C4D8FB4D3}"/>
    <cellStyle name="60% - Ênfase6 7 3 2" xfId="1729" xr:uid="{67E2845F-6649-46C1-B6D1-BB33A4B52592}"/>
    <cellStyle name="60% - Ênfase6 7 3 2 2" xfId="3542" xr:uid="{0A3FF320-FCE1-413C-A318-9B64293B4B3D}"/>
    <cellStyle name="60% - Ênfase6 7 3 2 2 2" xfId="7170" xr:uid="{5333D1B6-04F6-45DE-A640-7BF6782A3999}"/>
    <cellStyle name="60% - Ênfase6 7 3 2 3" xfId="5357" xr:uid="{87B1D43E-45C2-409E-8023-D7804AA966D0}"/>
    <cellStyle name="60% - Ênfase6 7 3 3" xfId="2654" xr:uid="{6824A3E9-FC4A-48A1-A2F1-EBFE1E210099}"/>
    <cellStyle name="60% - Ênfase6 7 3 3 2" xfId="6282" xr:uid="{65A0D661-2023-442E-9755-5E553C2E03E0}"/>
    <cellStyle name="60% - Ênfase6 7 3 4" xfId="4075" xr:uid="{6A0CFE28-66B8-495B-BAAA-47914205B4D9}"/>
    <cellStyle name="60% - Ênfase6 7 4" xfId="1051" xr:uid="{8E785F21-2420-4747-AEA9-18D5D7794B2A}"/>
    <cellStyle name="60% - Ênfase6 7 4 2" xfId="2903" xr:uid="{5B0F9D2C-7551-4794-9035-E638E4665E1A}"/>
    <cellStyle name="60% - Ênfase6 7 4 2 2" xfId="6531" xr:uid="{73699AC9-8C06-4C8D-B115-B971207B7834}"/>
    <cellStyle name="60% - Ênfase6 7 4 3" xfId="4679" xr:uid="{5CD7AB92-64C1-4D86-9E3F-2642E9678861}"/>
    <cellStyle name="60% - Ênfase6 7 5" xfId="1976" xr:uid="{96919558-ABE7-4BCE-9D6C-CD6697A9CFFF}"/>
    <cellStyle name="60% - Ênfase6 7 5 2" xfId="5604" xr:uid="{B7FEEAD3-A411-4157-B218-E82D9EAD86CF}"/>
    <cellStyle name="60% - Ênfase6 7 6" xfId="3793" xr:uid="{409A56C3-4F7A-4EA7-B53B-4955F14264F7}"/>
    <cellStyle name="60% - Ênfase6 8" xfId="184" xr:uid="{3058F36B-A2FD-4BA3-9EBE-D2537874A396}"/>
    <cellStyle name="60% - Ênfase6 8 2" xfId="790" xr:uid="{2368118E-D538-488C-B37E-4EBD7F4C05E5}"/>
    <cellStyle name="60% - Ênfase6 8 2 2" xfId="1393" xr:uid="{445F4C77-8C8E-4713-9253-B7D0D31FF96E}"/>
    <cellStyle name="60% - Ênfase6 8 2 2 2" xfId="3245" xr:uid="{6FC8FA22-7022-4DEA-B12E-C5A45C47703A}"/>
    <cellStyle name="60% - Ênfase6 8 2 2 2 2" xfId="6873" xr:uid="{D94C1B97-DED7-4003-8D0C-409186A38BB0}"/>
    <cellStyle name="60% - Ênfase6 8 2 2 3" xfId="5021" xr:uid="{62C9628A-B69F-4B76-81E7-CA00DDCECE1B}"/>
    <cellStyle name="60% - Ênfase6 8 2 3" xfId="2318" xr:uid="{E4ABACD5-5C8D-4C25-B5BF-078D859FC9EE}"/>
    <cellStyle name="60% - Ênfase6 8 2 3 2" xfId="5946" xr:uid="{ED5140EC-A911-4C66-AD98-9D2953FAA74D}"/>
    <cellStyle name="60% - Ênfase6 8 2 4" xfId="4418" xr:uid="{48582C42-27C3-40F7-88B3-8F53C5DC01A8}"/>
    <cellStyle name="60% - Ênfase6 8 3" xfId="466" xr:uid="{DAB174F4-07E3-4189-AC2E-76522173E17D}"/>
    <cellStyle name="60% - Ênfase6 8 3 2" xfId="1565" xr:uid="{09569B6E-428D-4B5B-AEDA-B14ADE90C3EA}"/>
    <cellStyle name="60% - Ênfase6 8 3 2 2" xfId="3417" xr:uid="{E4239AA7-B0A9-4B2A-A7EE-E540EDCF8030}"/>
    <cellStyle name="60% - Ênfase6 8 3 2 2 2" xfId="7045" xr:uid="{8C1AF2BE-8D0F-4011-9CAD-CB54047E35BC}"/>
    <cellStyle name="60% - Ênfase6 8 3 2 3" xfId="5193" xr:uid="{438A44A1-CC3C-47BF-8E46-0E0DFFE8B2B2}"/>
    <cellStyle name="60% - Ênfase6 8 3 3" xfId="2490" xr:uid="{56D86371-C934-4D81-BB31-814321B6E9BD}"/>
    <cellStyle name="60% - Ênfase6 8 3 3 2" xfId="6118" xr:uid="{86A50C3D-7B81-4486-8BFE-1E9F7896168A}"/>
    <cellStyle name="60% - Ênfase6 8 3 4" xfId="4095" xr:uid="{BAFA3F5E-6084-4AF6-857D-7AF02AE96570}"/>
    <cellStyle name="60% - Ênfase6 8 4" xfId="1071" xr:uid="{11400FF7-6034-4CBA-9410-2ED7C2FB2F85}"/>
    <cellStyle name="60% - Ênfase6 8 4 2" xfId="2923" xr:uid="{BC6EE999-7823-414C-8AEE-2365C4E2200B}"/>
    <cellStyle name="60% - Ênfase6 8 4 2 2" xfId="6551" xr:uid="{9857A454-E21D-4684-8818-2E4DE7142A74}"/>
    <cellStyle name="60% - Ênfase6 8 4 3" xfId="4699" xr:uid="{6C43B261-8A55-4509-B722-B86C50A5366B}"/>
    <cellStyle name="60% - Ênfase6 8 5" xfId="1996" xr:uid="{ABAB4DBD-F89B-48D8-AE37-16E0FAA14594}"/>
    <cellStyle name="60% - Ênfase6 8 5 2" xfId="5624" xr:uid="{20776077-74AE-4DDD-876E-28AF80EFF6C1}"/>
    <cellStyle name="60% - Ênfase6 8 6" xfId="3813" xr:uid="{DB89F96C-AB2A-4225-A7D4-D21281ACB027}"/>
    <cellStyle name="60% - Ênfase6 9" xfId="204" xr:uid="{C85EC72B-5563-48CD-925A-282CBBF5EE50}"/>
    <cellStyle name="60% - Ênfase6 9 2" xfId="810" xr:uid="{3D3DF609-09DB-456C-AB24-4317C7280B72}"/>
    <cellStyle name="60% - Ênfase6 9 2 2" xfId="1413" xr:uid="{AD8E303F-8CA6-45EC-9D91-AB4ACD985F6F}"/>
    <cellStyle name="60% - Ênfase6 9 2 2 2" xfId="3265" xr:uid="{89085F03-AF79-4DB1-AA8B-58EACE51E3A3}"/>
    <cellStyle name="60% - Ênfase6 9 2 2 2 2" xfId="6893" xr:uid="{B40BA9C8-F23B-4EE6-A442-D048DCF27880}"/>
    <cellStyle name="60% - Ênfase6 9 2 2 3" xfId="5041" xr:uid="{C3B91C5B-882C-4664-92EB-C83674CB9DF2}"/>
    <cellStyle name="60% - Ênfase6 9 2 3" xfId="2338" xr:uid="{78BEB77D-E431-4904-9DBE-CCEEF1A809D4}"/>
    <cellStyle name="60% - Ênfase6 9 2 3 2" xfId="5966" xr:uid="{5F8DF297-F3CC-4A24-8E44-1FA2DFCA8563}"/>
    <cellStyle name="60% - Ênfase6 9 2 4" xfId="4438" xr:uid="{A40BED58-0D01-4DA5-A836-3D89BEA4C7C2}"/>
    <cellStyle name="60% - Ênfase6 9 3" xfId="486" xr:uid="{D50CEE2E-7306-4FAD-A69C-5804D8BC4906}"/>
    <cellStyle name="60% - Ênfase6 9 3 2" xfId="1810" xr:uid="{37007731-B3C1-4F8A-9FF1-91C6B1ACF2C8}"/>
    <cellStyle name="60% - Ênfase6 9 3 2 2" xfId="3623" xr:uid="{3DB54B20-482F-4573-9FBC-5033D5609D4F}"/>
    <cellStyle name="60% - Ênfase6 9 3 2 2 2" xfId="7251" xr:uid="{C892B609-7069-4BC2-9262-C47395E5DA08}"/>
    <cellStyle name="60% - Ênfase6 9 3 2 3" xfId="5438" xr:uid="{560C00DD-5B82-4A00-B2C2-8688CA55A42E}"/>
    <cellStyle name="60% - Ênfase6 9 3 3" xfId="2735" xr:uid="{AB5AD145-3143-43FD-877D-F2533FC5514C}"/>
    <cellStyle name="60% - Ênfase6 9 3 3 2" xfId="6363" xr:uid="{A292094E-3567-46CE-9111-93A3A7748A71}"/>
    <cellStyle name="60% - Ênfase6 9 3 4" xfId="4115" xr:uid="{A15F85B2-E6ED-46F8-875A-F1710DC10408}"/>
    <cellStyle name="60% - Ênfase6 9 4" xfId="1091" xr:uid="{721689C6-DEC5-4FC3-ACC4-C7F37B87D55D}"/>
    <cellStyle name="60% - Ênfase6 9 4 2" xfId="2943" xr:uid="{4A9592F2-AB83-4719-9778-EF69F45AF54A}"/>
    <cellStyle name="60% - Ênfase6 9 4 2 2" xfId="6571" xr:uid="{D7CD15E0-38CE-4F89-8BB3-38D22B18033A}"/>
    <cellStyle name="60% - Ênfase6 9 4 3" xfId="4719" xr:uid="{D43E9983-99FE-4662-B25A-EA04B8CDBC66}"/>
    <cellStyle name="60% - Ênfase6 9 5" xfId="2016" xr:uid="{A6FE5587-5F27-4073-8AC6-0F05ED578CA1}"/>
    <cellStyle name="60% - Ênfase6 9 5 2" xfId="5644" xr:uid="{E1BA535F-EE40-413B-B269-399B26EC85DF}"/>
    <cellStyle name="60% - Ênfase6 9 6" xfId="3833" xr:uid="{6F6638B7-3A1D-4F36-9D61-FA20B14B8E4C}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10" builtinId="20" customBuiltin="1"/>
    <cellStyle name="Moeda" xfId="1" builtinId="4"/>
    <cellStyle name="Moeda 2" xfId="205" xr:uid="{C358B1E8-6321-4A56-A04C-2BBCA7DE998D}"/>
    <cellStyle name="Moeda 2 2" xfId="811" xr:uid="{04BF5AE7-4C52-4C0B-B968-27BE137ECF8E}"/>
    <cellStyle name="Moeda 2 2 2" xfId="1836" xr:uid="{0001ED41-B4C8-4A29-802E-3BC6B5A334AE}"/>
    <cellStyle name="Moeda 2 2 2 2" xfId="3649" xr:uid="{DD0086DD-6118-4E16-ADDC-C4C594A3CC9C}"/>
    <cellStyle name="Moeda 2 2 2 2 2" xfId="7277" xr:uid="{C223E0D8-B909-4F98-9A4E-4B233A374EFD}"/>
    <cellStyle name="Moeda 2 2 2 3" xfId="5464" xr:uid="{D221CE4D-9936-4008-9C61-76CEC971671C}"/>
    <cellStyle name="Moeda 2 2 3" xfId="2761" xr:uid="{D5E3CC3C-3AF2-4F0F-8767-387327801B58}"/>
    <cellStyle name="Moeda 2 2 3 2" xfId="6389" xr:uid="{7DF9EDF7-EB7C-44B9-A7C0-BE22771EFF52}"/>
    <cellStyle name="Moeda 2 2 4" xfId="4439" xr:uid="{52E9F8A0-BCE4-47DC-BD76-1869BE3CE928}"/>
    <cellStyle name="Moeda 2 3" xfId="1414" xr:uid="{E18A11C7-0BA6-4464-B54D-B9FBCF8A0A24}"/>
    <cellStyle name="Moeda 2 3 2" xfId="3266" xr:uid="{C54F4AB2-CEED-4DB8-89E0-D822D5AAD322}"/>
    <cellStyle name="Moeda 2 3 2 2" xfId="6894" xr:uid="{40F0554C-1F93-4F68-9CE7-22A8252AB7BF}"/>
    <cellStyle name="Moeda 2 3 3" xfId="5042" xr:uid="{83E0753E-C3D7-40B2-9CF2-BEDC7113D91C}"/>
    <cellStyle name="Moeda 2 4" xfId="2339" xr:uid="{636AB726-2EA3-44A5-86B3-BB84F927F040}"/>
    <cellStyle name="Moeda 2 4 2" xfId="5967" xr:uid="{6449A6CB-FFC6-40E6-A122-12A47110E15C}"/>
    <cellStyle name="Moeda 2 5" xfId="3834" xr:uid="{A6CB3ECF-FDB6-41CB-83AF-4B7F22896ABE}"/>
    <cellStyle name="Moeda 3" xfId="629" xr:uid="{B1BFCDC7-A72B-432D-A8F1-A94B5773C2C7}"/>
    <cellStyle name="Moeda 3 2" xfId="1233" xr:uid="{17E9CBD4-67B9-448C-8A93-84AFB648914C}"/>
    <cellStyle name="Moeda 3 2 2" xfId="3085" xr:uid="{C3C25C0C-4285-44CA-9A70-ABA45121601D}"/>
    <cellStyle name="Moeda 3 2 2 2" xfId="6713" xr:uid="{AFAE26EF-7799-4C0E-BB04-D2E05131D8E1}"/>
    <cellStyle name="Moeda 3 2 3" xfId="4861" xr:uid="{814B3F39-67AC-4263-B511-CC132C2D77CC}"/>
    <cellStyle name="Moeda 3 3" xfId="2158" xr:uid="{E5D8CEAE-F977-48BF-A614-F6898B13EEA7}"/>
    <cellStyle name="Moeda 3 3 2" xfId="5786" xr:uid="{30B0391F-8040-467F-9C20-33B505D563C1}"/>
    <cellStyle name="Moeda 3 4" xfId="4258" xr:uid="{2C054E4B-6549-476D-8AE5-FCB43087E7E2}"/>
    <cellStyle name="Moeda 4" xfId="487" xr:uid="{2EB8865E-E2B5-4DEA-BE4B-5F28CE28507E}"/>
    <cellStyle name="Moeda 4 2" xfId="1609" xr:uid="{4C2CF24D-E450-442B-B372-4845345A59C3}"/>
    <cellStyle name="Moeda 4 2 2" xfId="3461" xr:uid="{BA71DB8D-BBD8-4F36-93F4-7F1B81B60952}"/>
    <cellStyle name="Moeda 4 2 2 2" xfId="7089" xr:uid="{EDA8FEC6-4DB9-49C2-837E-6C9F480A7C23}"/>
    <cellStyle name="Moeda 4 2 3" xfId="5237" xr:uid="{C26D01C5-7C2E-4127-A25F-71E17D615B28}"/>
    <cellStyle name="Moeda 4 3" xfId="2534" xr:uid="{D1695CDA-8D65-4BC8-ABD8-7207CBE90E91}"/>
    <cellStyle name="Moeda 4 3 2" xfId="6162" xr:uid="{E47E2775-8861-457E-AA33-62EA7BDB346C}"/>
    <cellStyle name="Moeda 4 4" xfId="4116" xr:uid="{CB84ED15-A4AD-45E7-833B-B84714DCABAB}"/>
    <cellStyle name="Moeda 5" xfId="1092" xr:uid="{825002CC-6326-4646-8669-9F227DCB3449}"/>
    <cellStyle name="Moeda 5 2" xfId="2944" xr:uid="{6206E047-D0D2-44AB-87CE-376BF94F2B9A}"/>
    <cellStyle name="Moeda 5 2 2" xfId="6572" xr:uid="{87E33D7F-9436-4A4E-8F8E-454A72A430E7}"/>
    <cellStyle name="Moeda 5 3" xfId="4720" xr:uid="{34CE593C-2253-43AA-A01B-2E697FC6A9B6}"/>
    <cellStyle name="Moeda 6" xfId="2762" xr:uid="{FF68B8DE-F5DD-4AB3-9D71-8E5C51A6BFDC}"/>
    <cellStyle name="Moeda 6 2" xfId="6390" xr:uid="{5627372D-CB9B-4E99-89DA-85E584FA2D4A}"/>
    <cellStyle name="Moeda 7" xfId="2017" xr:uid="{4B297EE6-1FE0-4B43-AB8D-AAC13FEC47E6}"/>
    <cellStyle name="Moeda 7 2" xfId="5645" xr:uid="{9A4BAA2F-EAFC-4F36-AA4E-6F9A0B9BE26A}"/>
    <cellStyle name="Moeda 8" xfId="3671" xr:uid="{2838264A-48CC-4443-A996-8E3565D14A5B}"/>
    <cellStyle name="Neutro" xfId="9" builtinId="28" customBuiltin="1"/>
    <cellStyle name="Normal" xfId="0" builtinId="0"/>
    <cellStyle name="Normal 10" xfId="206" xr:uid="{52EA8688-6ABA-4B27-BCF4-85A44BB10618}"/>
    <cellStyle name="Normal 10 2" xfId="812" xr:uid="{719DF5A5-CC09-4DE7-ABCD-93C6CDB7390A}"/>
    <cellStyle name="Normal 10 2 2" xfId="1415" xr:uid="{343EA8FA-37D1-4E91-BD19-7F6B13AA729E}"/>
    <cellStyle name="Normal 10 2 2 2" xfId="3267" xr:uid="{FA23F90C-F025-4C2C-AC73-87664B6BE509}"/>
    <cellStyle name="Normal 10 2 2 2 2" xfId="6895" xr:uid="{2E0750E2-072E-414D-B22D-9AAB782B8A64}"/>
    <cellStyle name="Normal 10 2 2 3" xfId="5043" xr:uid="{7BC56A27-E6B9-46BE-8993-20F2487882AB}"/>
    <cellStyle name="Normal 10 2 3" xfId="2340" xr:uid="{8B3BCAE1-0726-4327-B7B5-5C0288C29628}"/>
    <cellStyle name="Normal 10 2 3 2" xfId="5968" xr:uid="{64DE26B6-19BA-484A-8ACC-FCE11EAAFCAB}"/>
    <cellStyle name="Normal 10 2 4" xfId="4440" xr:uid="{CAC7F70A-EB50-472F-A9A9-F0D813122908}"/>
    <cellStyle name="Normal 10 3" xfId="488" xr:uid="{3131942F-234D-48C2-82DF-02A388749FAB}"/>
    <cellStyle name="Normal 10 3 2" xfId="1695" xr:uid="{3BAB2BFD-AF21-4092-99B9-429059F99EF1}"/>
    <cellStyle name="Normal 10 3 2 2" xfId="3508" xr:uid="{E8962B94-6D14-4F4A-AC06-80142999C4D1}"/>
    <cellStyle name="Normal 10 3 2 2 2" xfId="7136" xr:uid="{F02399BE-3E86-43C5-8DDB-00D23B89D6C0}"/>
    <cellStyle name="Normal 10 3 2 3" xfId="5323" xr:uid="{D3EB847F-8A4C-4C2E-A5C6-81B210C4D0AE}"/>
    <cellStyle name="Normal 10 3 3" xfId="2620" xr:uid="{11B480C6-74F9-4D1B-AB4B-8A9623C529DC}"/>
    <cellStyle name="Normal 10 3 3 2" xfId="6248" xr:uid="{42A5E830-7628-4C6E-8A84-5475E3C62693}"/>
    <cellStyle name="Normal 10 3 4" xfId="4117" xr:uid="{C1594D35-DCDD-4013-A20C-AAB10F2E6051}"/>
    <cellStyle name="Normal 10 4" xfId="1093" xr:uid="{FE7715F2-289C-429A-9653-94BB4E0D837D}"/>
    <cellStyle name="Normal 10 4 2" xfId="2945" xr:uid="{F75D653A-CB31-487D-8C29-DB151C0A4CCE}"/>
    <cellStyle name="Normal 10 4 2 2" xfId="6573" xr:uid="{AFFD7748-FC14-4CCA-B750-A1358FDFFA6C}"/>
    <cellStyle name="Normal 10 4 3" xfId="4721" xr:uid="{CB958079-7FFF-41D6-89DE-71C2874D054D}"/>
    <cellStyle name="Normal 10 5" xfId="2018" xr:uid="{979D6D1C-D5F3-46B0-9A59-6C8AA3DF6EB4}"/>
    <cellStyle name="Normal 10 5 2" xfId="5646" xr:uid="{1CD2CEEC-D4A7-423A-87C4-09AB474192E2}"/>
    <cellStyle name="Normal 10 6" xfId="3835" xr:uid="{9334232D-3BAB-4562-91C2-A68940B39C4B}"/>
    <cellStyle name="Normal 11" xfId="226" xr:uid="{A24BD1A0-2FCB-4B94-A3C1-1D6D2361AC60}"/>
    <cellStyle name="Normal 11 2" xfId="832" xr:uid="{BDA17EAB-CCFF-4EFE-8995-308569C1C453}"/>
    <cellStyle name="Normal 11 2 2" xfId="1435" xr:uid="{95A1D00B-41A5-46E9-98C3-7656134B778A}"/>
    <cellStyle name="Normal 11 2 2 2" xfId="3287" xr:uid="{F433C396-6A22-4FCF-B4BB-E1EB2D5ADA71}"/>
    <cellStyle name="Normal 11 2 2 2 2" xfId="6915" xr:uid="{F5A2635E-1E3F-4925-8484-C4FA74501F55}"/>
    <cellStyle name="Normal 11 2 2 3" xfId="5063" xr:uid="{49F1A73F-1276-4779-825A-63B5767E63B4}"/>
    <cellStyle name="Normal 11 2 3" xfId="2360" xr:uid="{073D886B-EDED-4691-BE5A-1C1111153B64}"/>
    <cellStyle name="Normal 11 2 3 2" xfId="5988" xr:uid="{0029E907-E624-41E5-BE11-A48FF70C8AA2}"/>
    <cellStyle name="Normal 11 2 4" xfId="4460" xr:uid="{5806B71C-308C-42CD-8B2C-4C0A03D70D44}"/>
    <cellStyle name="Normal 11 3" xfId="508" xr:uid="{F2DBA547-A24A-4FFF-9F7A-7CCFAF712EAE}"/>
    <cellStyle name="Normal 11 3 2" xfId="1750" xr:uid="{EE306929-2B97-48CB-9A87-666E5AF3F84A}"/>
    <cellStyle name="Normal 11 3 2 2" xfId="3563" xr:uid="{06682BE0-62CC-425F-AB06-EC8D54FE4797}"/>
    <cellStyle name="Normal 11 3 2 2 2" xfId="7191" xr:uid="{67608082-D2BA-4B2C-BF00-8D48E1167FEF}"/>
    <cellStyle name="Normal 11 3 2 3" xfId="5378" xr:uid="{2A6279A0-DDCA-4033-8990-3B044C118F69}"/>
    <cellStyle name="Normal 11 3 3" xfId="2675" xr:uid="{474D0A94-DAA9-45FB-943D-E55EB33E10DE}"/>
    <cellStyle name="Normal 11 3 3 2" xfId="6303" xr:uid="{0BC57239-936D-4D0B-8B55-A145D882F5FF}"/>
    <cellStyle name="Normal 11 3 4" xfId="4137" xr:uid="{D92EF78E-4685-467E-9DE3-FF76D7A0B877}"/>
    <cellStyle name="Normal 11 4" xfId="1113" xr:uid="{4B75BC05-B609-47E1-BA04-9B1C114C3DC4}"/>
    <cellStyle name="Normal 11 4 2" xfId="2965" xr:uid="{08AA2664-36AF-4766-9735-54ECEB107F7C}"/>
    <cellStyle name="Normal 11 4 2 2" xfId="6593" xr:uid="{4848EA93-4D3A-4D3B-AE79-4E4C1FB4FE0A}"/>
    <cellStyle name="Normal 11 4 3" xfId="4741" xr:uid="{23EAE16A-C2AF-4C72-8888-F6C59EF64256}"/>
    <cellStyle name="Normal 11 5" xfId="2038" xr:uid="{640F88F6-7E1C-47A8-884C-E104179A9DA4}"/>
    <cellStyle name="Normal 11 5 2" xfId="5666" xr:uid="{CA845151-11A1-4A2D-8A81-BA579ED305B0}"/>
    <cellStyle name="Normal 11 6" xfId="3855" xr:uid="{3E0A8AB4-BE4E-4501-B48F-235CD61A5D44}"/>
    <cellStyle name="Normal 12" xfId="246" xr:uid="{8286CE3E-B487-4D18-9225-164EA4DF7A81}"/>
    <cellStyle name="Normal 12 2" xfId="852" xr:uid="{B109D0DC-8952-4D2C-852C-6A0607ADD227}"/>
    <cellStyle name="Normal 12 2 2" xfId="1455" xr:uid="{4014FC7A-A07D-48E7-B8CB-666D4476EA27}"/>
    <cellStyle name="Normal 12 2 2 2" xfId="3307" xr:uid="{F7F116B9-ECC3-4A07-8611-55BAB9F825B0}"/>
    <cellStyle name="Normal 12 2 2 2 2" xfId="6935" xr:uid="{7BB8F53B-64BA-4896-8DD6-6D39153CC4B0}"/>
    <cellStyle name="Normal 12 2 2 3" xfId="5083" xr:uid="{9850C662-5CFB-48A5-993C-CACDB1332E43}"/>
    <cellStyle name="Normal 12 2 3" xfId="2380" xr:uid="{A7907DBB-200E-4341-83F0-C378EF2A88C4}"/>
    <cellStyle name="Normal 12 2 3 2" xfId="6008" xr:uid="{CCF5ECB7-5DA2-458B-AC74-330FA2D27CAB}"/>
    <cellStyle name="Normal 12 2 4" xfId="4480" xr:uid="{BF3CBD1D-29C3-4621-90C3-49E7C7629A9C}"/>
    <cellStyle name="Normal 12 3" xfId="528" xr:uid="{3DB32697-6338-41D6-85EE-4D48BEDF4ED7}"/>
    <cellStyle name="Normal 12 3 2" xfId="1733" xr:uid="{0693719D-5786-4B35-A336-3DF03743E392}"/>
    <cellStyle name="Normal 12 3 2 2" xfId="3546" xr:uid="{DABF65AE-ED0A-4BBC-BDCA-1C682EB88BC9}"/>
    <cellStyle name="Normal 12 3 2 2 2" xfId="7174" xr:uid="{C28E9F30-089E-4CAE-9A50-2B220074FD7B}"/>
    <cellStyle name="Normal 12 3 2 3" xfId="5361" xr:uid="{08BC16A7-239B-4F6F-81DB-FD1D20B89B3E}"/>
    <cellStyle name="Normal 12 3 3" xfId="2658" xr:uid="{290E2107-9512-44B9-9BF3-468A424A6EF0}"/>
    <cellStyle name="Normal 12 3 3 2" xfId="6286" xr:uid="{9FC6729D-B75F-4628-88D6-D4C8FCD506C9}"/>
    <cellStyle name="Normal 12 3 4" xfId="4157" xr:uid="{727E6E17-0B02-4A23-AA57-9704DCFB6563}"/>
    <cellStyle name="Normal 12 4" xfId="1133" xr:uid="{BDB8DFFE-9A05-4CEE-8F7C-EBEB114DBF45}"/>
    <cellStyle name="Normal 12 4 2" xfId="2985" xr:uid="{EC2030EC-2948-4577-98E5-0B4B271711ED}"/>
    <cellStyle name="Normal 12 4 2 2" xfId="6613" xr:uid="{8D1D8D53-005A-480F-BC07-5A55EFA3D324}"/>
    <cellStyle name="Normal 12 4 3" xfId="4761" xr:uid="{BD11DD1D-50F2-4EF0-A3D7-B45D21A984A5}"/>
    <cellStyle name="Normal 12 5" xfId="2058" xr:uid="{126134B5-C975-44C8-B0D5-B3DBF1D235D0}"/>
    <cellStyle name="Normal 12 5 2" xfId="5686" xr:uid="{D4382FD7-0090-46B3-98FC-A22A9BA36C20}"/>
    <cellStyle name="Normal 12 6" xfId="3875" xr:uid="{FBCBD12E-545D-4989-B429-24B66FB934F0}"/>
    <cellStyle name="Normal 13" xfId="266" xr:uid="{1271FFD7-90A6-46A3-8696-71EF5D0D6E8A}"/>
    <cellStyle name="Normal 13 2" xfId="872" xr:uid="{626EB6C4-2E2D-4E89-B160-AF35DCF91755}"/>
    <cellStyle name="Normal 13 2 2" xfId="1475" xr:uid="{A7EC8E44-C909-4D5B-9EE7-6D03CAA4E276}"/>
    <cellStyle name="Normal 13 2 2 2" xfId="3327" xr:uid="{85E4E86F-126B-4103-9DDC-70F571298CC8}"/>
    <cellStyle name="Normal 13 2 2 2 2" xfId="6955" xr:uid="{8AEA660D-86BE-4A45-9E6E-29D77A5A67F7}"/>
    <cellStyle name="Normal 13 2 2 3" xfId="5103" xr:uid="{E0E1125A-082C-4328-A700-6A99B2E0FAF6}"/>
    <cellStyle name="Normal 13 2 3" xfId="2400" xr:uid="{10018E62-6210-4EE6-B86E-76E3BCE0894E}"/>
    <cellStyle name="Normal 13 2 3 2" xfId="6028" xr:uid="{0E58A1AB-1214-478B-8784-DD00BF6ACB61}"/>
    <cellStyle name="Normal 13 2 4" xfId="4500" xr:uid="{B1CB3B5B-8F05-42E2-89FE-D29987281145}"/>
    <cellStyle name="Normal 13 3" xfId="548" xr:uid="{9D4F3F79-31FE-438A-90B7-7841570ED940}"/>
    <cellStyle name="Normal 13 3 2" xfId="1579" xr:uid="{CFAF4004-4272-4C95-A67F-D6076E70DB9B}"/>
    <cellStyle name="Normal 13 3 2 2" xfId="3431" xr:uid="{1281AF68-E6EC-4614-95E1-4A410A6D2A45}"/>
    <cellStyle name="Normal 13 3 2 2 2" xfId="7059" xr:uid="{29E1AE9E-932B-45E7-9303-46119B2A48AC}"/>
    <cellStyle name="Normal 13 3 2 3" xfId="5207" xr:uid="{D24BA7BC-0A3F-43BC-AED4-BDEE81612A03}"/>
    <cellStyle name="Normal 13 3 3" xfId="2504" xr:uid="{7AAB7B6E-8498-4EAA-A82E-996057CE3406}"/>
    <cellStyle name="Normal 13 3 3 2" xfId="6132" xr:uid="{F7A10418-79E8-4ED1-BE8F-CEADE7535965}"/>
    <cellStyle name="Normal 13 3 4" xfId="4177" xr:uid="{8410C97D-EC06-4CF6-B6BC-1FBB50997E9E}"/>
    <cellStyle name="Normal 13 4" xfId="1153" xr:uid="{5BBB839E-E2BA-4E8A-9299-47E7B2DB0695}"/>
    <cellStyle name="Normal 13 4 2" xfId="3005" xr:uid="{B03F2813-234F-4819-BDDD-D2FBA0C39A92}"/>
    <cellStyle name="Normal 13 4 2 2" xfId="6633" xr:uid="{97473E19-3593-4065-A5FD-4A3AAEA7968F}"/>
    <cellStyle name="Normal 13 4 3" xfId="4781" xr:uid="{C1B120FE-0FB1-4C5B-A855-8695A35314A2}"/>
    <cellStyle name="Normal 13 5" xfId="2078" xr:uid="{CA8A4D3B-8821-4F86-B032-F21BA00F60BF}"/>
    <cellStyle name="Normal 13 5 2" xfId="5706" xr:uid="{FA24F434-8510-43A4-A224-FC87FB917C8F}"/>
    <cellStyle name="Normal 13 6" xfId="3895" xr:uid="{F7C2646A-656B-4CEA-8C6B-DEEA858EAFED}"/>
    <cellStyle name="Normal 14" xfId="286" xr:uid="{C12884F1-AFE4-47F2-AE46-471EA1046DF6}"/>
    <cellStyle name="Normal 14 2" xfId="892" xr:uid="{019E9F45-753E-43A3-9A08-CEF91BD5CDD2}"/>
    <cellStyle name="Normal 14 2 2" xfId="1495" xr:uid="{38313C51-D900-418B-8A7A-B31550A3FF72}"/>
    <cellStyle name="Normal 14 2 2 2" xfId="3347" xr:uid="{7F811A07-FE66-4D8D-BA12-70ED3819E215}"/>
    <cellStyle name="Normal 14 2 2 2 2" xfId="6975" xr:uid="{2F4EC0F9-79E3-4A9B-B0BC-36EFBC670DF1}"/>
    <cellStyle name="Normal 14 2 2 3" xfId="5123" xr:uid="{284919D7-CE9F-45A5-A68F-AE0420F19D54}"/>
    <cellStyle name="Normal 14 2 3" xfId="2420" xr:uid="{F5A3D9B1-88F4-4990-9003-941BC5582D1A}"/>
    <cellStyle name="Normal 14 2 3 2" xfId="6048" xr:uid="{D6CE9736-7645-4C9E-A3C0-A270BC21DDB4}"/>
    <cellStyle name="Normal 14 2 4" xfId="4520" xr:uid="{324F981C-BD69-4CB5-89E0-A7F4AC937F20}"/>
    <cellStyle name="Normal 14 3" xfId="568" xr:uid="{137F51E8-0294-4BF9-84A1-631353926072}"/>
    <cellStyle name="Normal 14 3 2" xfId="1529" xr:uid="{2F1BDE2C-1C7B-4D50-82D1-DE6B6236D5E1}"/>
    <cellStyle name="Normal 14 3 2 2" xfId="3381" xr:uid="{A737E654-67B9-4A7C-89FE-2B2E4F013099}"/>
    <cellStyle name="Normal 14 3 2 2 2" xfId="7009" xr:uid="{92BB6DA4-FCAA-4681-AB74-A619238BE1EE}"/>
    <cellStyle name="Normal 14 3 2 3" xfId="5157" xr:uid="{1803371F-66C3-4BF5-851A-5925110F358A}"/>
    <cellStyle name="Normal 14 3 3" xfId="2454" xr:uid="{F0AFB4A5-EE13-42B4-8D96-3C7257A8BE7E}"/>
    <cellStyle name="Normal 14 3 3 2" xfId="6082" xr:uid="{D7362341-D425-4582-8237-9549C5AF4C69}"/>
    <cellStyle name="Normal 14 3 4" xfId="4197" xr:uid="{1C8A33AA-8E7A-4F91-A84D-CD5EA455443F}"/>
    <cellStyle name="Normal 14 4" xfId="1173" xr:uid="{29B48E3F-BE6A-4CF4-8E26-B553756D9FB2}"/>
    <cellStyle name="Normal 14 4 2" xfId="3025" xr:uid="{5795A64C-05E9-422A-9F43-10C948CB7B4E}"/>
    <cellStyle name="Normal 14 4 2 2" xfId="6653" xr:uid="{E373DB3F-0B1C-4E38-A9FF-E907BF0F36F1}"/>
    <cellStyle name="Normal 14 4 3" xfId="4801" xr:uid="{8442380B-4A3C-4F0C-A2A1-C5CA45CA1FD8}"/>
    <cellStyle name="Normal 14 5" xfId="2098" xr:uid="{C90A0426-A83E-4BC0-91C8-509250F0704F}"/>
    <cellStyle name="Normal 14 5 2" xfId="5726" xr:uid="{1C788E06-7E09-44A1-A92A-D3004472C999}"/>
    <cellStyle name="Normal 14 6" xfId="3915" xr:uid="{FDE288E8-DFF9-4A06-AE91-FD57B07FC1D9}"/>
    <cellStyle name="Normal 15" xfId="42" xr:uid="{AD793E29-C3B8-42B2-8CE8-34F41C7C44EC}"/>
    <cellStyle name="Normal 15 2" xfId="648" xr:uid="{2889E66B-CB0B-476E-A6E4-7179944ABE65}"/>
    <cellStyle name="Normal 15 3" xfId="588" xr:uid="{D6F07341-AC0C-48DE-83B1-E499C234350F}"/>
    <cellStyle name="Normal 15 3 2" xfId="1651" xr:uid="{8B0C9EAA-F9FF-4A85-B59F-1B5099D407C4}"/>
    <cellStyle name="Normal 15 3 2 2" xfId="3503" xr:uid="{75CD6D88-386F-4452-905E-0395BBC81FCC}"/>
    <cellStyle name="Normal 15 3 2 2 2" xfId="7131" xr:uid="{12EF5CC4-A24B-44D3-976C-3DAD9E91F353}"/>
    <cellStyle name="Normal 15 3 2 3" xfId="5279" xr:uid="{7EFA5B63-2982-48D8-AAFB-6F2A3E0161FB}"/>
    <cellStyle name="Normal 15 3 3" xfId="2576" xr:uid="{8B667070-8338-4E41-80CD-18B49F05D603}"/>
    <cellStyle name="Normal 15 3 3 2" xfId="6204" xr:uid="{05F5E50C-0451-4847-B9C6-B88C29D6F456}"/>
    <cellStyle name="Normal 15 3 4" xfId="4217" xr:uid="{BBC287D0-5E75-4B55-8009-405626D1A635}"/>
    <cellStyle name="Normal 15 4" xfId="1193" xr:uid="{D4D5645C-9689-49AD-B108-526B018AFBB7}"/>
    <cellStyle name="Normal 15 4 2" xfId="3045" xr:uid="{8CD23715-BB22-42D3-8300-215D64B31A88}"/>
    <cellStyle name="Normal 15 4 2 2" xfId="6673" xr:uid="{09A86306-F76C-4704-BDE1-9145DC011831}"/>
    <cellStyle name="Normal 15 4 3" xfId="4821" xr:uid="{9AC066B1-0FDA-444B-8D59-85AA6ADCECB7}"/>
    <cellStyle name="Normal 15 5" xfId="2118" xr:uid="{4E0741F9-2082-4556-9955-E55A3060F690}"/>
    <cellStyle name="Normal 15 5 2" xfId="5746" xr:uid="{A9209F9C-5234-4FA9-83DE-B542B723220E}"/>
    <cellStyle name="Normal 16" xfId="608" xr:uid="{C7286E5F-F2A7-4715-91BF-F126D0CD098D}"/>
    <cellStyle name="Normal 16 2" xfId="1671" xr:uid="{BCECC0C6-1751-4906-89B7-2CE54F72E2E1}"/>
    <cellStyle name="Normal 16 2 2" xfId="2596" xr:uid="{A9833B1E-D1AA-42DE-82CD-32617E34B36A}"/>
    <cellStyle name="Normal 16 2 2 2" xfId="6224" xr:uid="{5E5981B1-A3DD-4921-BDFA-16C42DAD2FDF}"/>
    <cellStyle name="Normal 16 2 3" xfId="5299" xr:uid="{295D6ECA-2A81-4C38-B7BC-F90D3FCB9BBE}"/>
    <cellStyle name="Normal 16 3" xfId="1213" xr:uid="{BA6C4435-3CB7-44F0-8C7D-BFCE2FE14F78}"/>
    <cellStyle name="Normal 16 3 2" xfId="3065" xr:uid="{BC01435B-A6C4-4421-A8FD-D20ACB592003}"/>
    <cellStyle name="Normal 16 3 2 2" xfId="6693" xr:uid="{971437B0-57CC-45C8-B998-E21D55AB8E17}"/>
    <cellStyle name="Normal 16 3 3" xfId="4841" xr:uid="{D70EC52A-BDC4-46C0-8B43-FF45C466A2B5}"/>
    <cellStyle name="Normal 16 4" xfId="2138" xr:uid="{15E52CB0-14C5-4887-A58F-80059C626EA2}"/>
    <cellStyle name="Normal 16 4 2" xfId="5766" xr:uid="{2609A284-CFC7-4006-AA19-03F02BAC7224}"/>
    <cellStyle name="Normal 16 5" xfId="4237" xr:uid="{C0F67A7B-AEA7-4F5D-8786-F4B35AE98CA8}"/>
    <cellStyle name="Normal 17" xfId="628" xr:uid="{F79F9B41-3A63-4E4B-BAE0-7247CCE16E0E}"/>
    <cellStyle name="Normal 17 2" xfId="4257" xr:uid="{CE380E0B-4018-4E6A-BA2F-98CEB2B457F2}"/>
    <cellStyle name="Normal 18" xfId="306" xr:uid="{0C9EC187-A426-4B0A-83BE-5A5B8CD3C21C}"/>
    <cellStyle name="Normal 18 2" xfId="3935" xr:uid="{62B48451-7DCD-411C-96C2-CDEC8F857138}"/>
    <cellStyle name="Normal 19" xfId="2763" xr:uid="{A1B4905A-3000-4B5B-97E3-1A025C393BF9}"/>
    <cellStyle name="Normal 19 2" xfId="6391" xr:uid="{B10403D9-5F3B-4FF1-B093-147E6AF4E33D}"/>
    <cellStyle name="Normal 2" xfId="43" xr:uid="{D9D5843D-53D9-4FE9-A127-F7FB1393AC7F}"/>
    <cellStyle name="Normal 2 2" xfId="83" xr:uid="{1326CB81-CE8E-45D3-BACD-C3FEA76E6A23}"/>
    <cellStyle name="Normal 2 2 2" xfId="689" xr:uid="{21FC1B28-F0F2-4818-BC70-0A6C2731FF28}"/>
    <cellStyle name="Normal 2 2 2 2" xfId="1292" xr:uid="{731655FB-8817-4C8C-B173-CECCC60B3E6C}"/>
    <cellStyle name="Normal 2 2 2 2 2" xfId="3144" xr:uid="{6DB0965A-3D41-4956-AE49-FAB6AF3A3E3E}"/>
    <cellStyle name="Normal 2 2 2 2 2 2" xfId="6772" xr:uid="{F037DEE6-AF64-4F77-877A-E810D68228BE}"/>
    <cellStyle name="Normal 2 2 2 2 3" xfId="4920" xr:uid="{8DBBA89F-85CD-4A39-B088-036112F0D74B}"/>
    <cellStyle name="Normal 2 2 2 3" xfId="2217" xr:uid="{E528DE2C-3309-4054-BF65-BCF0B7C09C8F}"/>
    <cellStyle name="Normal 2 2 2 3 2" xfId="5845" xr:uid="{CBB26143-BF9D-4D62-BB52-5C2372050B5B}"/>
    <cellStyle name="Normal 2 2 2 4" xfId="4317" xr:uid="{FD03FEEB-7B6F-451C-BD46-2B0EF2D46FF7}"/>
    <cellStyle name="Normal 2 2 3" xfId="365" xr:uid="{15ED2303-89ED-4474-99B2-869D9E01E164}"/>
    <cellStyle name="Normal 2 2 3 2" xfId="1619" xr:uid="{0788AACB-7753-427F-861D-E8CEE622B336}"/>
    <cellStyle name="Normal 2 2 3 2 2" xfId="3471" xr:uid="{8A390539-F9FC-4803-91DF-953909EA8C48}"/>
    <cellStyle name="Normal 2 2 3 2 2 2" xfId="7099" xr:uid="{F1112607-0237-4AE1-9965-873954999FF9}"/>
    <cellStyle name="Normal 2 2 3 2 3" xfId="5247" xr:uid="{CCBA6181-9BE2-4A8E-8569-22CDEAAD8590}"/>
    <cellStyle name="Normal 2 2 3 3" xfId="2544" xr:uid="{DCADBC7C-A056-4E3D-A735-214F8C62D415}"/>
    <cellStyle name="Normal 2 2 3 3 2" xfId="6172" xr:uid="{B029A4F3-BF26-475D-8999-468E2CB98F6C}"/>
    <cellStyle name="Normal 2 2 3 4" xfId="3994" xr:uid="{03EC956C-F3FB-4F40-96F5-07102E1AB2D2}"/>
    <cellStyle name="Normal 2 2 4" xfId="970" xr:uid="{ECF787B5-BF4F-4FAB-8BD8-EFBFCAB2C884}"/>
    <cellStyle name="Normal 2 2 4 2" xfId="2822" xr:uid="{7FD7F840-00B4-4E77-A4D1-C7E9B7C87941}"/>
    <cellStyle name="Normal 2 2 4 2 2" xfId="6450" xr:uid="{294F6ED1-13EA-40D5-A0B3-D71983AA4F83}"/>
    <cellStyle name="Normal 2 2 4 3" xfId="4598" xr:uid="{F0467EF8-9506-4016-AF4B-CFFD388070A2}"/>
    <cellStyle name="Normal 2 2 5" xfId="1895" xr:uid="{0A7C270A-B6F5-4988-A9AF-2BD6F34467EF}"/>
    <cellStyle name="Normal 2 2 5 2" xfId="5523" xr:uid="{05D6F4B3-0F43-4A2F-BCDB-0658451A4E5F}"/>
    <cellStyle name="Normal 2 2 6" xfId="3712" xr:uid="{23B726D6-A875-43B2-B179-8DBBCFEC8653}"/>
    <cellStyle name="Normal 2 3" xfId="649" xr:uid="{2CFC7E5A-8BF4-4FCD-9425-37E4C9B6A23C}"/>
    <cellStyle name="Normal 2 3 2" xfId="1252" xr:uid="{FB7231DD-1E67-43CC-958F-2B7258518933}"/>
    <cellStyle name="Normal 2 3 2 2" xfId="3104" xr:uid="{1492BEEB-D983-4EE1-9F26-E6028E6D9BE3}"/>
    <cellStyle name="Normal 2 3 2 2 2" xfId="6732" xr:uid="{F4B91AEB-B6E7-4006-81C2-6FBC8F0DF757}"/>
    <cellStyle name="Normal 2 3 2 3" xfId="4880" xr:uid="{0037D381-AA63-4905-AC1D-F263E99508C7}"/>
    <cellStyle name="Normal 2 3 3" xfId="2177" xr:uid="{3EC90885-AD6F-4D4C-854C-75DD97E29689}"/>
    <cellStyle name="Normal 2 3 3 2" xfId="5805" xr:uid="{83FB54CE-1AEC-4BA1-8678-6CFEBEE6CF45}"/>
    <cellStyle name="Normal 2 3 4" xfId="4277" xr:uid="{A6155295-6AFB-4FE1-A134-86F8E1B8AFCA}"/>
    <cellStyle name="Normal 2 4" xfId="325" xr:uid="{F4B5C27C-EE82-4A02-954A-96B1FC0BFCB8}"/>
    <cellStyle name="Normal 2 4 2" xfId="1696" xr:uid="{F93E1438-24FB-40E9-B499-7D6B90FC12B3}"/>
    <cellStyle name="Normal 2 4 2 2" xfId="3509" xr:uid="{2C569F47-BF7C-482A-A975-A8A065983158}"/>
    <cellStyle name="Normal 2 4 2 2 2" xfId="7137" xr:uid="{A1159F6E-7942-4E06-B3C2-F7C3751E0F98}"/>
    <cellStyle name="Normal 2 4 2 3" xfId="5324" xr:uid="{5DB6A7AC-FCD0-43C8-BE42-8646E94EBDA6}"/>
    <cellStyle name="Normal 2 4 3" xfId="2621" xr:uid="{AC9B7461-76E1-4743-B631-262641116569}"/>
    <cellStyle name="Normal 2 4 3 2" xfId="6249" xr:uid="{AD2A18F8-C8D4-4683-8B08-CD3CC77798BA}"/>
    <cellStyle name="Normal 2 4 4" xfId="3954" xr:uid="{73938C90-067E-4C22-BA8B-DB60974ABC73}"/>
    <cellStyle name="Normal 2 5" xfId="930" xr:uid="{3DDE6217-2CA6-430C-81F8-4C111B641DD5}"/>
    <cellStyle name="Normal 2 5 2" xfId="2782" xr:uid="{365446CA-385C-4BF0-B9A0-5C0E81DFCC3A}"/>
    <cellStyle name="Normal 2 5 2 2" xfId="6410" xr:uid="{21E0A141-8547-44AB-97A2-C601B48F393A}"/>
    <cellStyle name="Normal 2 5 3" xfId="4558" xr:uid="{02922BB3-F88A-47B5-8D5F-6CAD09C09544}"/>
    <cellStyle name="Normal 2 6" xfId="1855" xr:uid="{DF21EEB1-73BD-445D-A6AB-436246E4DE4E}"/>
    <cellStyle name="Normal 2 6 2" xfId="5483" xr:uid="{C66581FB-1C34-465C-A172-E74858CCE904}"/>
    <cellStyle name="Normal 2 7" xfId="3672" xr:uid="{EAC4D35C-109F-4666-8B4E-91BC4D427B1D}"/>
    <cellStyle name="Normal 20" xfId="3670" xr:uid="{7343D724-3959-4F29-9B54-69306EFCE9E1}"/>
    <cellStyle name="Normal 21" xfId="3651" xr:uid="{B8CA52B8-B7EC-4FCB-AD39-C676ACF67D32}"/>
    <cellStyle name="Normal 3" xfId="45" xr:uid="{9ECCD3D0-3993-4A51-A741-4D3024879ABB}"/>
    <cellStyle name="Normal 3 2" xfId="651" xr:uid="{FA54A73A-EEB0-447D-8F13-41860B7E0E17}"/>
    <cellStyle name="Normal 3 2 2" xfId="1254" xr:uid="{501DFF57-73BA-4F5F-9065-43BEF55C80E3}"/>
    <cellStyle name="Normal 3 2 2 2" xfId="3106" xr:uid="{67D4F345-B778-4D6B-8E0F-6D633DED07F3}"/>
    <cellStyle name="Normal 3 2 2 2 2" xfId="6734" xr:uid="{4A892367-7ED0-4BCF-A394-BD8C1123976A}"/>
    <cellStyle name="Normal 3 2 2 3" xfId="4882" xr:uid="{A3CAE2C1-139F-4C84-AC55-3B34AF6B285C}"/>
    <cellStyle name="Normal 3 2 3" xfId="2179" xr:uid="{68F0E395-301D-42D3-8D1B-63664F1275ED}"/>
    <cellStyle name="Normal 3 2 3 2" xfId="5807" xr:uid="{24B09A87-CA70-4D01-81B6-8F40C9DB03D4}"/>
    <cellStyle name="Normal 3 2 4" xfId="4279" xr:uid="{33F2BB64-D412-4222-9215-D445D115E25B}"/>
    <cellStyle name="Normal 3 3" xfId="327" xr:uid="{FE89BE18-C7B6-4F36-9B51-D5C74AA9CE4E}"/>
    <cellStyle name="Normal 3 3 2" xfId="1775" xr:uid="{26919B35-DC86-45CC-9421-671CB5454589}"/>
    <cellStyle name="Normal 3 3 2 2" xfId="3588" xr:uid="{A1BA8B15-C98F-4993-865A-A4CEDCCB45E3}"/>
    <cellStyle name="Normal 3 3 2 2 2" xfId="7216" xr:uid="{062BF741-F4F0-408A-BBE2-0AB9CE6EA4A2}"/>
    <cellStyle name="Normal 3 3 2 3" xfId="5403" xr:uid="{B3051251-F76C-4354-9C8C-25D959B54A48}"/>
    <cellStyle name="Normal 3 3 3" xfId="2700" xr:uid="{377925BA-D1C8-4913-8904-8B715EA27BEA}"/>
    <cellStyle name="Normal 3 3 3 2" xfId="6328" xr:uid="{D3DC2A7B-E14B-49A8-BE93-A8D87B734811}"/>
    <cellStyle name="Normal 3 3 4" xfId="3956" xr:uid="{20B6E834-6D1A-49D7-A836-5917839BE29C}"/>
    <cellStyle name="Normal 3 4" xfId="932" xr:uid="{A4518AA3-0B4A-4C4C-9CDB-C216282C27F8}"/>
    <cellStyle name="Normal 3 4 2" xfId="2784" xr:uid="{8C2602E3-4D55-4B9F-B843-C01E3A1198BB}"/>
    <cellStyle name="Normal 3 4 2 2" xfId="6412" xr:uid="{ABE1210E-D607-4A9C-8507-1240F3A29AA7}"/>
    <cellStyle name="Normal 3 4 3" xfId="4560" xr:uid="{3AB66B53-5E44-4267-B9CE-E50F0DAE1686}"/>
    <cellStyle name="Normal 3 5" xfId="1857" xr:uid="{CAE06799-83FA-4245-B75A-BF92A6607E90}"/>
    <cellStyle name="Normal 3 5 2" xfId="5485" xr:uid="{E1AA4D29-8E0C-43DB-ABCE-1CA047276502}"/>
    <cellStyle name="Normal 3 6" xfId="3674" xr:uid="{39A2A196-A53D-47C2-AE29-7A148D185054}"/>
    <cellStyle name="Normal 4" xfId="85" xr:uid="{02878D3A-0A77-4041-9535-119EBE97DC6B}"/>
    <cellStyle name="Normal 4 2" xfId="691" xr:uid="{6866C87D-7013-4FC4-BE68-806C8DC668E4}"/>
    <cellStyle name="Normal 4 2 2" xfId="1294" xr:uid="{3E11D59E-1BF3-4961-9F99-5C33D77B1A9F}"/>
    <cellStyle name="Normal 4 2 2 2" xfId="3146" xr:uid="{0FF50C7F-9886-47B4-AC5B-4337987394CD}"/>
    <cellStyle name="Normal 4 2 2 2 2" xfId="6774" xr:uid="{4CE5B0C6-99DF-4723-8B3C-A52E05868FEF}"/>
    <cellStyle name="Normal 4 2 2 3" xfId="4922" xr:uid="{1623D04C-0016-4C96-8DC4-FF58EE2CFD57}"/>
    <cellStyle name="Normal 4 2 3" xfId="2219" xr:uid="{23A36ADC-E5C0-4322-884F-CF88CA6092A6}"/>
    <cellStyle name="Normal 4 2 3 2" xfId="5847" xr:uid="{36DD8AEC-1066-4248-9654-078FDFC50C87}"/>
    <cellStyle name="Normal 4 2 4" xfId="4319" xr:uid="{65808885-EF2F-4D40-BE73-CDDA2047C572}"/>
    <cellStyle name="Normal 4 3" xfId="367" xr:uid="{8E6BB195-3B44-4135-98B3-F1F7F728B303}"/>
    <cellStyle name="Normal 4 3 2" xfId="1716" xr:uid="{2CE1986B-746A-481C-955A-2D9C14A62FE5}"/>
    <cellStyle name="Normal 4 3 2 2" xfId="3529" xr:uid="{6ADDCE9E-7FE5-4637-B55D-49DF1EC62535}"/>
    <cellStyle name="Normal 4 3 2 2 2" xfId="7157" xr:uid="{6CC7427E-3AB6-4B59-B4B8-4256D262780F}"/>
    <cellStyle name="Normal 4 3 2 3" xfId="5344" xr:uid="{A19EF720-AF92-4CEC-85B8-4086D48EB122}"/>
    <cellStyle name="Normal 4 3 3" xfId="2641" xr:uid="{E7DE6E84-0371-4AEC-BED8-609BDC2180D6}"/>
    <cellStyle name="Normal 4 3 3 2" xfId="6269" xr:uid="{73540040-C0C4-4CDA-AF05-DB811BA8B409}"/>
    <cellStyle name="Normal 4 3 4" xfId="3996" xr:uid="{F71C7BBC-C335-46C7-8F39-B277A37AEE64}"/>
    <cellStyle name="Normal 4 4" xfId="972" xr:uid="{9020D08B-0F18-411A-8C85-0AA923664CAD}"/>
    <cellStyle name="Normal 4 4 2" xfId="2824" xr:uid="{C3594061-C353-40F8-816D-94F09401A92B}"/>
    <cellStyle name="Normal 4 4 2 2" xfId="6452" xr:uid="{3BF5FE18-4FBB-470F-9ED6-0F08350B09DA}"/>
    <cellStyle name="Normal 4 4 3" xfId="4600" xr:uid="{F1756D9F-E663-4088-9950-98552E8EC178}"/>
    <cellStyle name="Normal 4 5" xfId="1897" xr:uid="{F17DEC98-910A-4A1E-8C56-5462B43029E1}"/>
    <cellStyle name="Normal 4 5 2" xfId="5525" xr:uid="{CEE03C25-2F98-4040-B7D1-9A49B5323795}"/>
    <cellStyle name="Normal 4 6" xfId="3714" xr:uid="{37989331-43A4-4F44-8DC7-9926C8F8E18A}"/>
    <cellStyle name="Normal 5" xfId="105" xr:uid="{8131EDB7-9782-4620-8BDF-11EB038AD75F}"/>
    <cellStyle name="Normal 5 2" xfId="711" xr:uid="{13A4FBB5-BB9C-46BA-A424-15763950397A}"/>
    <cellStyle name="Normal 5 2 2" xfId="1314" xr:uid="{78B0626B-5F6E-427A-95C6-DEDB88903101}"/>
    <cellStyle name="Normal 5 2 2 2" xfId="3166" xr:uid="{B2B44ADE-9777-4DD3-A1FB-2434CB02A813}"/>
    <cellStyle name="Normal 5 2 2 2 2" xfId="6794" xr:uid="{E6DE2A10-D553-436D-BEA6-945DF3FDDD6B}"/>
    <cellStyle name="Normal 5 2 2 3" xfId="4942" xr:uid="{FF96EF64-28FD-49A2-9446-38DC1E644D21}"/>
    <cellStyle name="Normal 5 2 3" xfId="2239" xr:uid="{E1732A52-2E30-4316-9CE1-BFECDE071A32}"/>
    <cellStyle name="Normal 5 2 3 2" xfId="5867" xr:uid="{D5C48EB7-A811-45D0-9439-FF60031B433B}"/>
    <cellStyle name="Normal 5 2 4" xfId="4339" xr:uid="{A3B667FD-C309-4C86-9640-0A836DD505DE}"/>
    <cellStyle name="Normal 5 3" xfId="387" xr:uid="{95663632-16D4-436C-B183-B39A6345A0EA}"/>
    <cellStyle name="Normal 5 3 2" xfId="1650" xr:uid="{885D637D-EAAD-4DE5-876F-D27822B1CF36}"/>
    <cellStyle name="Normal 5 3 2 2" xfId="3502" xr:uid="{A9F74E5F-27C3-4598-990F-2D3017284B42}"/>
    <cellStyle name="Normal 5 3 2 2 2" xfId="7130" xr:uid="{2B267FCB-7DB1-4B81-A3E8-9890AB1282E4}"/>
    <cellStyle name="Normal 5 3 2 3" xfId="5278" xr:uid="{A584A974-F314-4A87-80E3-AA6965FA86DE}"/>
    <cellStyle name="Normal 5 3 3" xfId="2575" xr:uid="{727F7DD7-C491-4A6A-923E-F24CB36C42D6}"/>
    <cellStyle name="Normal 5 3 3 2" xfId="6203" xr:uid="{EBE8793F-2515-4D87-A469-D2D219980E9E}"/>
    <cellStyle name="Normal 5 3 4" xfId="4016" xr:uid="{D6BE1970-F1DD-4C0E-9F91-A157774D5D31}"/>
    <cellStyle name="Normal 5 4" xfId="992" xr:uid="{E225C3B9-16F8-49E8-A80C-323169761A93}"/>
    <cellStyle name="Normal 5 4 2" xfId="2844" xr:uid="{4AB3E9D7-60A8-4A8D-BCED-794794AD8086}"/>
    <cellStyle name="Normal 5 4 2 2" xfId="6472" xr:uid="{0544B0C8-9A02-4298-AFF9-96D6FEDC96E8}"/>
    <cellStyle name="Normal 5 4 3" xfId="4620" xr:uid="{F7AC1895-36E7-418D-A19E-553B55959222}"/>
    <cellStyle name="Normal 5 5" xfId="1917" xr:uid="{2725FB8E-EFEE-4F0A-8D54-5E0C80707810}"/>
    <cellStyle name="Normal 5 5 2" xfId="5545" xr:uid="{D2D0F000-E374-4A3F-9EE9-A62A5F409725}"/>
    <cellStyle name="Normal 5 6" xfId="3734" xr:uid="{6FDF36AA-354F-4036-B970-D0717EAFE0CB}"/>
    <cellStyle name="Normal 6" xfId="125" xr:uid="{C5AD32DA-A85E-4DD0-9170-F0F29D0D7D58}"/>
    <cellStyle name="Normal 6 2" xfId="731" xr:uid="{FC95916D-E86F-4BC5-BF6D-89E1276F484A}"/>
    <cellStyle name="Normal 6 2 2" xfId="1334" xr:uid="{71E6799D-9506-4FE3-A3FB-0D650730DC9A}"/>
    <cellStyle name="Normal 6 2 2 2" xfId="3186" xr:uid="{4D0C18B7-1B8A-41A3-AE0D-5D3D1BC27C3D}"/>
    <cellStyle name="Normal 6 2 2 2 2" xfId="6814" xr:uid="{FCA28B04-4DFB-4CA0-B2AD-CF81793806F5}"/>
    <cellStyle name="Normal 6 2 2 3" xfId="4962" xr:uid="{F2AD291D-27DC-4BF8-81D5-2261ED69E41E}"/>
    <cellStyle name="Normal 6 2 3" xfId="2259" xr:uid="{A07512B1-1A71-479F-A5F8-BAA144005C9F}"/>
    <cellStyle name="Normal 6 2 3 2" xfId="5887" xr:uid="{788C2538-75D4-45BD-BC3B-4E383F88C350}"/>
    <cellStyle name="Normal 6 2 4" xfId="4359" xr:uid="{1E9C61EF-BB00-48CA-80EA-3C51D76BD9B4}"/>
    <cellStyle name="Normal 6 3" xfId="407" xr:uid="{0258D161-1822-487B-ABA2-D79CF30D1267}"/>
    <cellStyle name="Normal 6 3 2" xfId="1780" xr:uid="{D56ECCA0-18E4-4F0C-9389-2DA43053D819}"/>
    <cellStyle name="Normal 6 3 2 2" xfId="3593" xr:uid="{2D267065-4785-4064-B96D-D4552C854354}"/>
    <cellStyle name="Normal 6 3 2 2 2" xfId="7221" xr:uid="{97473AF8-6DD2-493D-A4DD-2B1636B5C048}"/>
    <cellStyle name="Normal 6 3 2 3" xfId="5408" xr:uid="{3EE36809-96B4-4D72-A1FF-28B60C95F21A}"/>
    <cellStyle name="Normal 6 3 3" xfId="2705" xr:uid="{FDE2B151-0720-4DAC-8A00-3CBC593AE8C1}"/>
    <cellStyle name="Normal 6 3 3 2" xfId="6333" xr:uid="{E4208FD6-A64A-4F98-97EB-D720E2E7F40A}"/>
    <cellStyle name="Normal 6 3 4" xfId="4036" xr:uid="{1E9B632E-7637-43C7-8877-5D1D74C93CCA}"/>
    <cellStyle name="Normal 6 4" xfId="1012" xr:uid="{AA792E8F-109D-449A-8B42-BC9C296096BA}"/>
    <cellStyle name="Normal 6 4 2" xfId="2864" xr:uid="{B2784681-1954-40DB-95F5-3B07B3C87463}"/>
    <cellStyle name="Normal 6 4 2 2" xfId="6492" xr:uid="{70A5BEF5-E1FF-45A3-B590-C850CA4DD8D2}"/>
    <cellStyle name="Normal 6 4 3" xfId="4640" xr:uid="{505829BC-F71E-4E75-8F3C-557325138F29}"/>
    <cellStyle name="Normal 6 5" xfId="1937" xr:uid="{109E2981-50D6-4A6E-8B50-1FD0FD3846E2}"/>
    <cellStyle name="Normal 6 5 2" xfId="5565" xr:uid="{F9C7F280-3EE2-4888-B201-018FA4EB724F}"/>
    <cellStyle name="Normal 6 6" xfId="3754" xr:uid="{28A6303A-F76C-4458-B5BC-0FCA1672948E}"/>
    <cellStyle name="Normal 7" xfId="145" xr:uid="{329A46D1-1DF4-4342-8806-B640A3779777}"/>
    <cellStyle name="Normal 7 2" xfId="751" xr:uid="{D49E99F3-9347-4132-A84C-E860378A2A13}"/>
    <cellStyle name="Normal 7 2 2" xfId="1354" xr:uid="{E0DBE11F-D74D-4F87-A62B-D5632B94448C}"/>
    <cellStyle name="Normal 7 2 2 2" xfId="3206" xr:uid="{DC0EF679-4751-4CEA-83A8-B4FD4237CE02}"/>
    <cellStyle name="Normal 7 2 2 2 2" xfId="6834" xr:uid="{2C4145EE-AF82-43FD-A026-098069BF7360}"/>
    <cellStyle name="Normal 7 2 2 3" xfId="4982" xr:uid="{536AC038-5FA6-4689-8FCF-FB6FFA18D544}"/>
    <cellStyle name="Normal 7 2 3" xfId="2279" xr:uid="{8A66D583-A615-4957-B57B-3B2CA9A1BD7A}"/>
    <cellStyle name="Normal 7 2 3 2" xfId="5907" xr:uid="{A5A8521A-0BCD-421F-9280-1F69B3116CA2}"/>
    <cellStyle name="Normal 7 2 4" xfId="4379" xr:uid="{FE833E04-679C-4E74-B0B6-3CCFDE04DB0F}"/>
    <cellStyle name="Normal 7 3" xfId="427" xr:uid="{8E10B45A-AE54-4B67-B4FC-BEDC5EB5FA51}"/>
    <cellStyle name="Normal 7 3 2" xfId="1804" xr:uid="{98E4E695-34D3-4142-B2B7-CFD297050636}"/>
    <cellStyle name="Normal 7 3 2 2" xfId="3617" xr:uid="{F19E9B31-A017-4C5C-9B89-F73C5E4EE1CA}"/>
    <cellStyle name="Normal 7 3 2 2 2" xfId="7245" xr:uid="{140C2A0A-10B4-4EA0-9CD0-803A8C6E06FF}"/>
    <cellStyle name="Normal 7 3 2 3" xfId="5432" xr:uid="{842475C2-DB6D-44B1-B84D-51EA570A6848}"/>
    <cellStyle name="Normal 7 3 3" xfId="2729" xr:uid="{C130585D-4388-494A-B0DC-82FA7A0D2CE3}"/>
    <cellStyle name="Normal 7 3 3 2" xfId="6357" xr:uid="{2C693D64-48D4-4449-B8E0-FBA5ACE46004}"/>
    <cellStyle name="Normal 7 3 4" xfId="4056" xr:uid="{9CD59759-DCBB-4455-BEA7-998FD8C0171B}"/>
    <cellStyle name="Normal 7 4" xfId="1032" xr:uid="{CDC4513E-3BB3-469B-91B9-81A260661F38}"/>
    <cellStyle name="Normal 7 4 2" xfId="2884" xr:uid="{538A5B1B-A13D-459C-AB74-1F15F6DDB075}"/>
    <cellStyle name="Normal 7 4 2 2" xfId="6512" xr:uid="{DA81389F-46C7-441B-A5F4-465D07037C56}"/>
    <cellStyle name="Normal 7 4 3" xfId="4660" xr:uid="{042B48D7-847B-4C88-B85F-09A3175703C8}"/>
    <cellStyle name="Normal 7 5" xfId="1957" xr:uid="{3836AF32-4054-4477-A913-F2E0F1CB9492}"/>
    <cellStyle name="Normal 7 5 2" xfId="5585" xr:uid="{E0C8469E-9623-4F99-BAF2-87C84AB91288}"/>
    <cellStyle name="Normal 7 6" xfId="3774" xr:uid="{32A5E4C5-ACB1-43A5-9151-3355C57B1F94}"/>
    <cellStyle name="Normal 8" xfId="165" xr:uid="{39EE5707-61AF-49B3-A8FA-6915AE4FA7AC}"/>
    <cellStyle name="Normal 8 2" xfId="771" xr:uid="{0BD42B9F-81F4-4822-BB43-4FA720B9B5D5}"/>
    <cellStyle name="Normal 8 2 2" xfId="1374" xr:uid="{51AF47B5-150B-403C-BBEA-76D43DBBB1F6}"/>
    <cellStyle name="Normal 8 2 2 2" xfId="3226" xr:uid="{56F9C362-7188-48FD-AB15-E172ACE6880F}"/>
    <cellStyle name="Normal 8 2 2 2 2" xfId="6854" xr:uid="{3FCA650D-1359-4159-AF10-2867DBF6BDEC}"/>
    <cellStyle name="Normal 8 2 2 3" xfId="5002" xr:uid="{2E5C565E-EDC0-43A5-BF30-5DD46C6BBED5}"/>
    <cellStyle name="Normal 8 2 3" xfId="2299" xr:uid="{2E13ABD4-B810-4FB1-97F6-0AC8D9FBE4E9}"/>
    <cellStyle name="Normal 8 2 3 2" xfId="5927" xr:uid="{86B5942B-0C66-4A0F-BF9A-2711D715BCE5}"/>
    <cellStyle name="Normal 8 2 4" xfId="4399" xr:uid="{581069E9-1E8D-4DF2-AE6B-24FF05B3BB4D}"/>
    <cellStyle name="Normal 8 3" xfId="447" xr:uid="{31E917EC-9FB2-4180-A6F2-E96D3C28F7BB}"/>
    <cellStyle name="Normal 8 3 2" xfId="1758" xr:uid="{50DBB081-A059-4D73-8486-71152233B131}"/>
    <cellStyle name="Normal 8 3 2 2" xfId="3571" xr:uid="{ACE1A436-6B22-44AB-9F83-F35AEBF5BACE}"/>
    <cellStyle name="Normal 8 3 2 2 2" xfId="7199" xr:uid="{B4340C37-B996-4374-85A9-621C105478D6}"/>
    <cellStyle name="Normal 8 3 2 3" xfId="5386" xr:uid="{6228A59F-B8D5-4B6C-8B56-2BACB2F80AAE}"/>
    <cellStyle name="Normal 8 3 3" xfId="2683" xr:uid="{429DDE36-B255-4042-B6AF-EE57E02FE228}"/>
    <cellStyle name="Normal 8 3 3 2" xfId="6311" xr:uid="{8A5416A2-A5F9-4363-B65A-B318BEE9F043}"/>
    <cellStyle name="Normal 8 3 4" xfId="4076" xr:uid="{8DBF8457-582C-4D68-9498-AD27C5E82520}"/>
    <cellStyle name="Normal 8 4" xfId="1052" xr:uid="{EC2719A3-CBC0-43F3-A2FA-234E400173E0}"/>
    <cellStyle name="Normal 8 4 2" xfId="2904" xr:uid="{4FC2108D-A26A-4B9B-9486-328287F65656}"/>
    <cellStyle name="Normal 8 4 2 2" xfId="6532" xr:uid="{77DBDEA5-3DB3-4BED-B1CD-527840D223CA}"/>
    <cellStyle name="Normal 8 4 3" xfId="4680" xr:uid="{0FD3B7D9-F5F1-4900-9F30-C60E71C12223}"/>
    <cellStyle name="Normal 8 5" xfId="1977" xr:uid="{155D673F-43AE-483C-BE97-891B946734C1}"/>
    <cellStyle name="Normal 8 5 2" xfId="5605" xr:uid="{23D3771D-3ADF-4906-804F-26EF8C4CFE10}"/>
    <cellStyle name="Normal 8 6" xfId="3794" xr:uid="{94BACFA7-AA00-4CA2-A1BE-C4064B78BE35}"/>
    <cellStyle name="Normal 9" xfId="185" xr:uid="{FCFC8B46-E911-4524-A969-5BFE48910E9F}"/>
    <cellStyle name="Normal 9 2" xfId="791" xr:uid="{37E6ADD4-33C7-44EB-9671-686111CF8BEF}"/>
    <cellStyle name="Normal 9 2 2" xfId="1394" xr:uid="{EE6FF826-B2D7-452E-BFCE-4EAC95EC78F3}"/>
    <cellStyle name="Normal 9 2 2 2" xfId="3246" xr:uid="{4839A114-5050-4837-BF1D-719C21615429}"/>
    <cellStyle name="Normal 9 2 2 2 2" xfId="6874" xr:uid="{634AB261-6E1E-4402-8F4F-29D89515FC3B}"/>
    <cellStyle name="Normal 9 2 2 3" xfId="5022" xr:uid="{BF98C43E-0DC4-4CD4-A299-F8F9047008C7}"/>
    <cellStyle name="Normal 9 2 3" xfId="2319" xr:uid="{75D07AF1-B48C-4732-8C6D-0BD4487B5480}"/>
    <cellStyle name="Normal 9 2 3 2" xfId="5947" xr:uid="{BC27778D-974B-4934-86CF-9461975C4458}"/>
    <cellStyle name="Normal 9 2 4" xfId="4419" xr:uid="{455D934F-8E01-428F-9693-E4FC2C7B0BFC}"/>
    <cellStyle name="Normal 9 3" xfId="467" xr:uid="{F25A183E-384C-4BB1-B6B4-A4B60EBEFCFD}"/>
    <cellStyle name="Normal 9 3 2" xfId="1773" xr:uid="{F2944BEE-0859-4813-957D-ABE49A2A838B}"/>
    <cellStyle name="Normal 9 3 2 2" xfId="3586" xr:uid="{C35B0D7E-C48B-4915-9F89-EA3CD9FC203F}"/>
    <cellStyle name="Normal 9 3 2 2 2" xfId="7214" xr:uid="{817B9852-7E27-44CE-93F9-B46B0F0E768C}"/>
    <cellStyle name="Normal 9 3 2 3" xfId="5401" xr:uid="{F1DB3150-D7F0-4177-9392-5C0FE701406B}"/>
    <cellStyle name="Normal 9 3 3" xfId="2698" xr:uid="{08F17456-06DE-4D38-87C6-E4B7E892B623}"/>
    <cellStyle name="Normal 9 3 3 2" xfId="6326" xr:uid="{3C5232E0-CE7D-4230-951B-B516684733E3}"/>
    <cellStyle name="Normal 9 3 4" xfId="4096" xr:uid="{F8FA566C-4354-4057-B1DF-407315C27417}"/>
    <cellStyle name="Normal 9 4" xfId="1072" xr:uid="{8BAB4BB5-CA58-403C-9B33-0976CBB907F4}"/>
    <cellStyle name="Normal 9 4 2" xfId="2924" xr:uid="{3A406444-25C1-4B0D-BCB5-02D9DC384E6E}"/>
    <cellStyle name="Normal 9 4 2 2" xfId="6552" xr:uid="{E3C02327-4446-4A9A-A02F-229259493AA4}"/>
    <cellStyle name="Normal 9 4 3" xfId="4700" xr:uid="{81405D4C-C06A-48BE-AB3C-AB56461A1E84}"/>
    <cellStyle name="Normal 9 5" xfId="1997" xr:uid="{EF8E42E8-EE60-4D16-B985-50F18F030C2F}"/>
    <cellStyle name="Normal 9 5 2" xfId="5625" xr:uid="{BB75C957-1005-42CA-87F4-0A0587123EF0}"/>
    <cellStyle name="Normal 9 6" xfId="3814" xr:uid="{FEA463D8-A4F1-48AB-97E7-A49CF3B50094}"/>
    <cellStyle name="Nota 10" xfId="207" xr:uid="{F28D267C-7869-42C7-BB48-2C6B23114D07}"/>
    <cellStyle name="Nota 10 2" xfId="813" xr:uid="{F4B94B1E-6BBC-47B3-826A-DA7880E2E44F}"/>
    <cellStyle name="Nota 10 2 2" xfId="1416" xr:uid="{2D12DA2F-72CA-4D06-8D43-27AC8A3D687D}"/>
    <cellStyle name="Nota 10 2 2 2" xfId="3268" xr:uid="{0AE6A892-EED4-42C8-843C-12208DB1E36B}"/>
    <cellStyle name="Nota 10 2 2 2 2" xfId="6896" xr:uid="{76473FC2-BCCA-4AA8-AE3F-AD136B1E4C5A}"/>
    <cellStyle name="Nota 10 2 2 3" xfId="5044" xr:uid="{3E944AE4-CC3A-4C8E-B761-DBB413E76EFC}"/>
    <cellStyle name="Nota 10 2 3" xfId="2341" xr:uid="{1A40BA0C-A241-4B0C-B56C-8332CB042B55}"/>
    <cellStyle name="Nota 10 2 3 2" xfId="5969" xr:uid="{299EBC20-E304-4F39-8CF7-FA8B08B0E31D}"/>
    <cellStyle name="Nota 10 2 4" xfId="4441" xr:uid="{9653DDD8-D01C-4307-A121-6D855291AF36}"/>
    <cellStyle name="Nota 10 3" xfId="489" xr:uid="{96F75B7A-5682-4AE8-8792-85D1A27BFC80}"/>
    <cellStyle name="Nota 10 3 2" xfId="1560" xr:uid="{82FABE61-55B4-4011-A70A-C988BC8A24A4}"/>
    <cellStyle name="Nota 10 3 2 2" xfId="3412" xr:uid="{E3CF9B1B-3F18-4E42-8B17-2F2BC0612933}"/>
    <cellStyle name="Nota 10 3 2 2 2" xfId="7040" xr:uid="{D774C199-6E1E-46B6-B161-BEDF1CCE56F2}"/>
    <cellStyle name="Nota 10 3 2 3" xfId="5188" xr:uid="{7EBAB127-B8FA-4BE3-BFB9-5B4049F54A37}"/>
    <cellStyle name="Nota 10 3 3" xfId="2485" xr:uid="{7A613487-34F0-4498-882B-B315D2C84A2E}"/>
    <cellStyle name="Nota 10 3 3 2" xfId="6113" xr:uid="{4BB1C8EA-05FC-4862-9E74-503CD341EB08}"/>
    <cellStyle name="Nota 10 3 4" xfId="4118" xr:uid="{B07C6E7E-DB0B-4745-B58E-879F13D0A161}"/>
    <cellStyle name="Nota 10 4" xfId="1094" xr:uid="{FDBE98F9-C143-43F8-A660-4246902ACBFA}"/>
    <cellStyle name="Nota 10 4 2" xfId="2946" xr:uid="{BF8F7F12-93FD-4D7B-B0DA-823679419BAC}"/>
    <cellStyle name="Nota 10 4 2 2" xfId="6574" xr:uid="{3F367C7D-B24F-4672-8D19-8D3A2CD51C9C}"/>
    <cellStyle name="Nota 10 4 3" xfId="4722" xr:uid="{2BF368FB-1A8A-4034-A194-F5F5E3789CCC}"/>
    <cellStyle name="Nota 10 5" xfId="2019" xr:uid="{953D803D-2322-451D-A37B-B35D1200F91F}"/>
    <cellStyle name="Nota 10 5 2" xfId="5647" xr:uid="{F3985C0B-CCC6-495F-A265-B7AC9012A7C7}"/>
    <cellStyle name="Nota 10 6" xfId="3836" xr:uid="{7F5327CD-63A5-431B-B9D4-6D60B9B5B54E}"/>
    <cellStyle name="Nota 11" xfId="227" xr:uid="{B6EDEC0D-6D6C-43F7-BCA7-38251031E852}"/>
    <cellStyle name="Nota 11 2" xfId="833" xr:uid="{E05F1743-7649-44C6-B5D0-4DDA7F4EECAB}"/>
    <cellStyle name="Nota 11 2 2" xfId="1436" xr:uid="{D74DD230-5456-469E-A0EE-8CF2E8ED899B}"/>
    <cellStyle name="Nota 11 2 2 2" xfId="3288" xr:uid="{DDCA5326-F142-49F1-95B7-4E0942042605}"/>
    <cellStyle name="Nota 11 2 2 2 2" xfId="6916" xr:uid="{0D93D167-60CE-46F8-9338-0D6082DA3508}"/>
    <cellStyle name="Nota 11 2 2 3" xfId="5064" xr:uid="{AA7F5909-05D0-4976-A923-05DC8E82E64E}"/>
    <cellStyle name="Nota 11 2 3" xfId="2361" xr:uid="{54D1060D-8795-4F2F-989F-3A457C9EAF53}"/>
    <cellStyle name="Nota 11 2 3 2" xfId="5989" xr:uid="{2274C38B-8E62-438D-A7B1-6A218A4EA814}"/>
    <cellStyle name="Nota 11 2 4" xfId="4461" xr:uid="{6A87D542-E812-43BB-BBEF-DD9557F1AC24}"/>
    <cellStyle name="Nota 11 3" xfId="509" xr:uid="{14EF967D-5FFD-4DAD-8FE2-F11F84CE6955}"/>
    <cellStyle name="Nota 11 3 2" xfId="1723" xr:uid="{009C8450-7BEC-44C7-9D7F-B9D0D90E25A3}"/>
    <cellStyle name="Nota 11 3 2 2" xfId="3536" xr:uid="{16258B52-2AFF-45D9-8E7B-1F7A73586018}"/>
    <cellStyle name="Nota 11 3 2 2 2" xfId="7164" xr:uid="{420F6D0C-40F6-4998-97E0-09299FACE546}"/>
    <cellStyle name="Nota 11 3 2 3" xfId="5351" xr:uid="{B5B4C08D-FD3B-4121-AC83-74BA3A07C22E}"/>
    <cellStyle name="Nota 11 3 3" xfId="2648" xr:uid="{76377BB2-41B8-49BF-8EED-DAAA2ED5FDB2}"/>
    <cellStyle name="Nota 11 3 3 2" xfId="6276" xr:uid="{A90BEE48-5CEE-46EF-A848-E7CC4BF0080A}"/>
    <cellStyle name="Nota 11 3 4" xfId="4138" xr:uid="{349F8305-5929-445E-98E8-034CFE7EECA7}"/>
    <cellStyle name="Nota 11 4" xfId="1114" xr:uid="{1F35C3CC-A611-49EE-AC51-178898DD99B8}"/>
    <cellStyle name="Nota 11 4 2" xfId="2966" xr:uid="{16CA4EE9-9F4A-4CE3-BD77-A7C0376811A2}"/>
    <cellStyle name="Nota 11 4 2 2" xfId="6594" xr:uid="{97DE5B1D-BA17-4A42-86D1-EE262ECB34C2}"/>
    <cellStyle name="Nota 11 4 3" xfId="4742" xr:uid="{2C6238A5-B35E-426A-85C2-E119DECDD5E4}"/>
    <cellStyle name="Nota 11 5" xfId="2039" xr:uid="{62917E06-02B5-416D-A217-C4BB2B4648C9}"/>
    <cellStyle name="Nota 11 5 2" xfId="5667" xr:uid="{253CC61F-1692-4DF6-A8AB-9C2990199CA3}"/>
    <cellStyle name="Nota 11 6" xfId="3856" xr:uid="{53549070-6FF6-4A5E-8CCB-4549206425CB}"/>
    <cellStyle name="Nota 12" xfId="247" xr:uid="{3772FFA9-FDA9-434B-A42B-5268D862B818}"/>
    <cellStyle name="Nota 12 2" xfId="853" xr:uid="{DF22951E-1906-42E7-8760-3EF5CCB12CA4}"/>
    <cellStyle name="Nota 12 2 2" xfId="1456" xr:uid="{995C9776-B417-4593-9CC8-ACF4A6566AC9}"/>
    <cellStyle name="Nota 12 2 2 2" xfId="3308" xr:uid="{5ECDE0B3-8829-44E7-9F47-CDE91E023C9F}"/>
    <cellStyle name="Nota 12 2 2 2 2" xfId="6936" xr:uid="{7092D1DB-D12A-40BC-A690-746C24F9C1A7}"/>
    <cellStyle name="Nota 12 2 2 3" xfId="5084" xr:uid="{E368B8CD-DBF5-4BB8-88A6-8FECE9F79C79}"/>
    <cellStyle name="Nota 12 2 3" xfId="2381" xr:uid="{2528A6F8-BDF0-40B7-AC6D-26856E694D80}"/>
    <cellStyle name="Nota 12 2 3 2" xfId="6009" xr:uid="{C401CB1C-6506-49F9-BF4A-463AC87E1ACA}"/>
    <cellStyle name="Nota 12 2 4" xfId="4481" xr:uid="{1C195AD2-8F72-44D7-9BE2-5379AD93601D}"/>
    <cellStyle name="Nota 12 3" xfId="529" xr:uid="{F5A0D180-7DF7-4BEE-89C8-60ABA8F85030}"/>
    <cellStyle name="Nota 12 3 2" xfId="1561" xr:uid="{66F6913B-DA1C-4154-80B3-5047F9D52479}"/>
    <cellStyle name="Nota 12 3 2 2" xfId="3413" xr:uid="{095F3A7B-8A4C-48BE-831C-558726564F93}"/>
    <cellStyle name="Nota 12 3 2 2 2" xfId="7041" xr:uid="{950DCE75-6265-43A4-A74F-8E42EC6D15C7}"/>
    <cellStyle name="Nota 12 3 2 3" xfId="5189" xr:uid="{9A893B61-6807-4221-9B87-AF236E88BA57}"/>
    <cellStyle name="Nota 12 3 3" xfId="2486" xr:uid="{21F9B816-175A-40C0-AF16-C1384EAF1B3E}"/>
    <cellStyle name="Nota 12 3 3 2" xfId="6114" xr:uid="{4CD460E8-D9BC-490A-BD3B-4BB7EF538239}"/>
    <cellStyle name="Nota 12 3 4" xfId="4158" xr:uid="{B8352803-0A67-4799-8327-436F77E929AA}"/>
    <cellStyle name="Nota 12 4" xfId="1134" xr:uid="{AF9E94C3-0227-4D46-87EF-7D309D556A26}"/>
    <cellStyle name="Nota 12 4 2" xfId="2986" xr:uid="{FE1E1A61-E957-44EE-801F-FF09E631101E}"/>
    <cellStyle name="Nota 12 4 2 2" xfId="6614" xr:uid="{DD3C6DD3-591F-4BAB-A611-7360E3EEECE9}"/>
    <cellStyle name="Nota 12 4 3" xfId="4762" xr:uid="{16A65AC4-259C-4A25-91A8-2B5F2D6082B4}"/>
    <cellStyle name="Nota 12 5" xfId="2059" xr:uid="{D8088018-CDA2-4CB2-9875-6BCB3C85E9B7}"/>
    <cellStyle name="Nota 12 5 2" xfId="5687" xr:uid="{653294A5-EF2D-4BC3-902A-92E09F142B6B}"/>
    <cellStyle name="Nota 12 6" xfId="3876" xr:uid="{01BBA0AA-2E3A-4FDD-97DA-6BF5FEC2B45C}"/>
    <cellStyle name="Nota 13" xfId="267" xr:uid="{8006A443-A720-4F6C-A168-990EB483FFB7}"/>
    <cellStyle name="Nota 13 2" xfId="873" xr:uid="{6834AC77-7081-4312-BE09-A22C163D5ED5}"/>
    <cellStyle name="Nota 13 2 2" xfId="1476" xr:uid="{03749827-F931-4F91-B3FD-2CD651790423}"/>
    <cellStyle name="Nota 13 2 2 2" xfId="3328" xr:uid="{AE971985-B3CE-4CA2-995E-8F4C69C505E8}"/>
    <cellStyle name="Nota 13 2 2 2 2" xfId="6956" xr:uid="{B5013C1E-ABD8-4120-A52B-43E1937CA432}"/>
    <cellStyle name="Nota 13 2 2 3" xfId="5104" xr:uid="{B897A3B6-839E-4DF5-992F-37C31567028D}"/>
    <cellStyle name="Nota 13 2 3" xfId="2401" xr:uid="{58D2FF75-0C77-4753-8F12-EFE35E0EDE27}"/>
    <cellStyle name="Nota 13 2 3 2" xfId="6029" xr:uid="{11C57C81-8289-4027-A7F5-D1073105469A}"/>
    <cellStyle name="Nota 13 2 4" xfId="4501" xr:uid="{88B96047-5A11-46EF-9074-E69E7C228082}"/>
    <cellStyle name="Nota 13 3" xfId="549" xr:uid="{9EAEEBD0-39A0-4E7C-BD74-63F96A7DCFD4}"/>
    <cellStyle name="Nota 13 3 2" xfId="1799" xr:uid="{7E3B7631-5512-49C2-9290-09D6D6D4BC0B}"/>
    <cellStyle name="Nota 13 3 2 2" xfId="3612" xr:uid="{DCF0118F-2B9D-4D9F-81BC-4ECC851B4672}"/>
    <cellStyle name="Nota 13 3 2 2 2" xfId="7240" xr:uid="{AF788015-1505-48DA-9588-C6520037C612}"/>
    <cellStyle name="Nota 13 3 2 3" xfId="5427" xr:uid="{C3DA0A6E-7920-4153-9CB2-C1A77180E4CA}"/>
    <cellStyle name="Nota 13 3 3" xfId="2724" xr:uid="{6D20535E-FAAE-4D6C-A58A-913C2F533C4C}"/>
    <cellStyle name="Nota 13 3 3 2" xfId="6352" xr:uid="{5533C931-5700-4A97-879A-493938ABD770}"/>
    <cellStyle name="Nota 13 3 4" xfId="4178" xr:uid="{C0144BA9-0C99-4A9A-9055-A8391AFE264C}"/>
    <cellStyle name="Nota 13 4" xfId="1154" xr:uid="{60A2DB97-1151-4665-B0FA-F00A69F47A9B}"/>
    <cellStyle name="Nota 13 4 2" xfId="3006" xr:uid="{4491F586-53BD-4195-942E-7166BAE8EC34}"/>
    <cellStyle name="Nota 13 4 2 2" xfId="6634" xr:uid="{2C619922-D822-4D2C-A62C-138E7A91EAC9}"/>
    <cellStyle name="Nota 13 4 3" xfId="4782" xr:uid="{206CAD54-2128-40BA-BE77-1FBEE99C7199}"/>
    <cellStyle name="Nota 13 5" xfId="2079" xr:uid="{C7B37248-7B74-42AD-A73B-DE3A140207F8}"/>
    <cellStyle name="Nota 13 5 2" xfId="5707" xr:uid="{6CAA8D0A-E0AC-42C8-8CAE-C19EBA674D50}"/>
    <cellStyle name="Nota 13 6" xfId="3896" xr:uid="{05DE5688-F6B2-42B2-9A3E-D2A02E2AE035}"/>
    <cellStyle name="Nota 14" xfId="287" xr:uid="{3D82CC99-035B-4E1D-885F-A5FCC514E2C8}"/>
    <cellStyle name="Nota 14 2" xfId="893" xr:uid="{B6CEA656-27BF-4898-9A2F-E6EA67A9121F}"/>
    <cellStyle name="Nota 14 2 2" xfId="1496" xr:uid="{E13E6BE0-4BC8-4D9F-A3A9-BCB92DEE74BF}"/>
    <cellStyle name="Nota 14 2 2 2" xfId="3348" xr:uid="{AEEF82A3-DADE-4E21-BFC0-415A2B80EC12}"/>
    <cellStyle name="Nota 14 2 2 2 2" xfId="6976" xr:uid="{CCDD762C-EDBC-45D6-98E4-F51ED92E1772}"/>
    <cellStyle name="Nota 14 2 2 3" xfId="5124" xr:uid="{FD62C452-CE20-4BBD-8DE4-FB07B6D0F637}"/>
    <cellStyle name="Nota 14 2 3" xfId="2421" xr:uid="{BACA67A7-5A01-4593-A6A5-C00DA28C4B94}"/>
    <cellStyle name="Nota 14 2 3 2" xfId="6049" xr:uid="{88B67214-59D7-4084-B604-C451FFC11CC4}"/>
    <cellStyle name="Nota 14 2 4" xfId="4521" xr:uid="{5EA97D26-83EC-4A89-9B48-5EA7FEA58437}"/>
    <cellStyle name="Nota 14 3" xfId="569" xr:uid="{D6F7BA52-BC25-4614-A3E0-2D4B60271D90}"/>
    <cellStyle name="Nota 14 3 2" xfId="1787" xr:uid="{5AEBD01B-0D6A-4DF2-B99E-F1DE05379A25}"/>
    <cellStyle name="Nota 14 3 2 2" xfId="3600" xr:uid="{FBDFEF43-A43E-4B16-9C2B-7A8653F8BCA5}"/>
    <cellStyle name="Nota 14 3 2 2 2" xfId="7228" xr:uid="{827D7070-983C-429F-812C-5CC4EEDBD43E}"/>
    <cellStyle name="Nota 14 3 2 3" xfId="5415" xr:uid="{D715F57C-53FE-457E-AB24-8B391EC4E625}"/>
    <cellStyle name="Nota 14 3 3" xfId="2712" xr:uid="{215B8393-EFDD-4753-A4DE-4CE0BB9E1480}"/>
    <cellStyle name="Nota 14 3 3 2" xfId="6340" xr:uid="{5B2C0EC5-53D8-4FAC-A022-126385541906}"/>
    <cellStyle name="Nota 14 3 4" xfId="4198" xr:uid="{F3DE5C12-5842-4ACB-AF91-C01EFFBDCEB4}"/>
    <cellStyle name="Nota 14 4" xfId="1174" xr:uid="{74D80C52-83F3-44E9-ADFD-AA60B0028C60}"/>
    <cellStyle name="Nota 14 4 2" xfId="3026" xr:uid="{0E73F5A2-F749-4E12-8372-D7C436CCCEF2}"/>
    <cellStyle name="Nota 14 4 2 2" xfId="6654" xr:uid="{C12687CA-BECE-4194-BB1A-FE31C66406A0}"/>
    <cellStyle name="Nota 14 4 3" xfId="4802" xr:uid="{1D5638E4-FB45-4BD1-BD22-A7852119DF5E}"/>
    <cellStyle name="Nota 14 5" xfId="2099" xr:uid="{DDE22055-EF7C-4AE0-A6FE-F4E5D42C5A0C}"/>
    <cellStyle name="Nota 14 5 2" xfId="5727" xr:uid="{EDD14648-E794-4488-B841-CA913DE49323}"/>
    <cellStyle name="Nota 14 6" xfId="3916" xr:uid="{7B1BD92B-9719-4085-9FC2-70B7EC9F576A}"/>
    <cellStyle name="Nota 15" xfId="589" xr:uid="{A55D8985-8470-4B42-AD4D-FAD37C91B0CD}"/>
    <cellStyle name="Nota 15 2" xfId="1652" xr:uid="{52964F5E-2C0B-455A-83D8-F7E2F01A147A}"/>
    <cellStyle name="Nota 15 2 2" xfId="2577" xr:uid="{2C87B29D-6272-402C-8A35-92C5F419D0D1}"/>
    <cellStyle name="Nota 15 2 2 2" xfId="6205" xr:uid="{F85E8B43-AB0E-4964-BB13-23FF13E88E52}"/>
    <cellStyle name="Nota 15 2 3" xfId="5280" xr:uid="{02B65BE5-2EDA-4037-8806-B2EE29FC4FAE}"/>
    <cellStyle name="Nota 15 3" xfId="1194" xr:uid="{B7387EE3-70E7-473B-990C-31622CC3FC32}"/>
    <cellStyle name="Nota 15 3 2" xfId="3046" xr:uid="{8F0B6389-222C-41D8-9DE8-A34B8CD0345D}"/>
    <cellStyle name="Nota 15 3 2 2" xfId="6674" xr:uid="{F2B646AF-E926-4331-9136-0E82DC4AF1AF}"/>
    <cellStyle name="Nota 15 3 3" xfId="4822" xr:uid="{36023632-74BB-48D7-A690-05782C749503}"/>
    <cellStyle name="Nota 15 4" xfId="2119" xr:uid="{6938586D-0A5A-4A28-BA86-DAE81E9539F8}"/>
    <cellStyle name="Nota 15 4 2" xfId="5747" xr:uid="{1B7488F8-C432-4DCE-9E90-A0AED89A3D86}"/>
    <cellStyle name="Nota 15 5" xfId="4218" xr:uid="{E17D85A8-AE56-445E-8A22-F839ADAAF827}"/>
    <cellStyle name="Nota 16" xfId="609" xr:uid="{B5570CEF-A6B0-4C20-906E-7D3134779D2D}"/>
    <cellStyle name="Nota 16 2" xfId="1672" xr:uid="{D17899E7-610E-4EE5-8DEE-0F2C9B7B8A4C}"/>
    <cellStyle name="Nota 16 2 2" xfId="2597" xr:uid="{9BE53931-0676-4FA0-9C37-967C5D2DF91C}"/>
    <cellStyle name="Nota 16 2 2 2" xfId="6225" xr:uid="{BF100381-A601-4059-9747-AA639114243D}"/>
    <cellStyle name="Nota 16 2 3" xfId="5300" xr:uid="{156CE853-46CB-4E7C-B557-4BC4F0FE1FC7}"/>
    <cellStyle name="Nota 16 3" xfId="1214" xr:uid="{BA7F77C1-63A5-4C69-BAA3-69EB30B29D09}"/>
    <cellStyle name="Nota 16 3 2" xfId="3066" xr:uid="{8DEEF008-652D-4192-90B5-8CB983AAA990}"/>
    <cellStyle name="Nota 16 3 2 2" xfId="6694" xr:uid="{1068842B-61A2-4B15-84BB-E1A830D0D956}"/>
    <cellStyle name="Nota 16 3 3" xfId="4842" xr:uid="{AC451D28-7135-4EDF-8BCF-8C774ACD7625}"/>
    <cellStyle name="Nota 16 4" xfId="2139" xr:uid="{98880E19-F6E3-417E-8E45-9F0ED6DE8B4F}"/>
    <cellStyle name="Nota 16 4 2" xfId="5767" xr:uid="{BF9C238D-99DD-4E8E-9432-59E39B901C0E}"/>
    <cellStyle name="Nota 16 5" xfId="4238" xr:uid="{9A85EDC2-1F9A-403D-96DD-B84679F7A68F}"/>
    <cellStyle name="Nota 2" xfId="44" xr:uid="{2BA39D1D-93C3-4A30-9A50-5D1747E745AD}"/>
    <cellStyle name="Nota 2 2" xfId="84" xr:uid="{8AF55E36-D1C5-43A2-ADAB-64859DE2D9AD}"/>
    <cellStyle name="Nota 2 2 2" xfId="690" xr:uid="{ACBAE632-26D3-406E-8CEE-36C67AD9E88F}"/>
    <cellStyle name="Nota 2 2 2 2" xfId="1293" xr:uid="{06E1078C-BDE7-4DE5-88DC-0085FFDBD6F2}"/>
    <cellStyle name="Nota 2 2 2 2 2" xfId="3145" xr:uid="{B748CC4E-BE0B-4483-B12A-C40A86579CC8}"/>
    <cellStyle name="Nota 2 2 2 2 2 2" xfId="6773" xr:uid="{0E416DBE-7667-455A-9EED-7E80CC9028D8}"/>
    <cellStyle name="Nota 2 2 2 2 3" xfId="4921" xr:uid="{B4D7153E-3614-487C-9FFE-6AB6669BD7AF}"/>
    <cellStyle name="Nota 2 2 2 3" xfId="2218" xr:uid="{3F7F196B-CEFC-4848-A8A7-26ABFC789983}"/>
    <cellStyle name="Nota 2 2 2 3 2" xfId="5846" xr:uid="{77762CE8-B6ED-41BC-936C-741E0025A7AE}"/>
    <cellStyle name="Nota 2 2 2 4" xfId="4318" xr:uid="{BD8577EC-1C16-4287-B830-38AEC9441534}"/>
    <cellStyle name="Nota 2 2 3" xfId="366" xr:uid="{CC4FFD06-ED86-40DF-98CC-6C270206F5BA}"/>
    <cellStyle name="Nota 2 2 3 2" xfId="1563" xr:uid="{AF316874-5961-4C8C-BBB3-D4A4757A4D15}"/>
    <cellStyle name="Nota 2 2 3 2 2" xfId="3415" xr:uid="{2DF18021-988A-4B19-B29A-22BCDC6F20B5}"/>
    <cellStyle name="Nota 2 2 3 2 2 2" xfId="7043" xr:uid="{E771ECAF-CB88-48E0-809F-C842F8294129}"/>
    <cellStyle name="Nota 2 2 3 2 3" xfId="5191" xr:uid="{5901BE0A-06D6-4C73-B175-18E1BBFD76C1}"/>
    <cellStyle name="Nota 2 2 3 3" xfId="2488" xr:uid="{29E4D474-DAA0-4590-8F0A-2F3E59371725}"/>
    <cellStyle name="Nota 2 2 3 3 2" xfId="6116" xr:uid="{26B7F3C1-1443-4E43-8014-4C960C48C26A}"/>
    <cellStyle name="Nota 2 2 3 4" xfId="3995" xr:uid="{CAE857B1-7EF5-4C24-B8BF-CF93EB5ACB92}"/>
    <cellStyle name="Nota 2 2 4" xfId="971" xr:uid="{0D2FB7B7-CE70-4B94-B742-77159C822821}"/>
    <cellStyle name="Nota 2 2 4 2" xfId="2823" xr:uid="{34F47A31-AC54-4581-8EBF-1E41C39E986F}"/>
    <cellStyle name="Nota 2 2 4 2 2" xfId="6451" xr:uid="{011B50FC-C168-42CE-8FE6-41FF49367BDB}"/>
    <cellStyle name="Nota 2 2 4 3" xfId="4599" xr:uid="{CC26A8F8-186B-4B44-AA77-B748DE815C95}"/>
    <cellStyle name="Nota 2 2 5" xfId="1896" xr:uid="{617B6163-8B11-4188-8114-0E54E8175BE4}"/>
    <cellStyle name="Nota 2 2 5 2" xfId="5524" xr:uid="{9CA1F0DF-A134-45BE-9A77-B826850B3B99}"/>
    <cellStyle name="Nota 2 2 6" xfId="3713" xr:uid="{6E4E9FDB-C642-4F56-A3C8-140A181283D9}"/>
    <cellStyle name="Nota 2 3" xfId="650" xr:uid="{AA0036DD-E535-4CDF-A4E5-0712E5F22FB6}"/>
    <cellStyle name="Nota 2 3 2" xfId="1253" xr:uid="{86DA5A45-5CDE-456C-9477-A3D7B905F5A7}"/>
    <cellStyle name="Nota 2 3 2 2" xfId="3105" xr:uid="{8307D874-0577-4518-9A8D-D7043F7F83A3}"/>
    <cellStyle name="Nota 2 3 2 2 2" xfId="6733" xr:uid="{F045580E-115C-4144-A0C8-4F63A82A118E}"/>
    <cellStyle name="Nota 2 3 2 3" xfId="4881" xr:uid="{D4DF1DBF-32E0-4FFD-93DF-AC2818C38791}"/>
    <cellStyle name="Nota 2 3 3" xfId="2178" xr:uid="{A748DEE4-C0D5-464A-86A1-3A16B2716742}"/>
    <cellStyle name="Nota 2 3 3 2" xfId="5806" xr:uid="{2A4A3E56-F27C-4C2D-BF0E-7E9E1F3FF350}"/>
    <cellStyle name="Nota 2 3 4" xfId="4278" xr:uid="{96B174D4-B598-4E18-A2C1-FD575C83BE34}"/>
    <cellStyle name="Nota 2 4" xfId="326" xr:uid="{87AAC3C7-FB10-4B30-96C5-BA32CD39CD1B}"/>
    <cellStyle name="Nota 2 4 2" xfId="1587" xr:uid="{948A61BA-8D62-416B-BCAA-00940965F37A}"/>
    <cellStyle name="Nota 2 4 2 2" xfId="3439" xr:uid="{FEEDFEC4-5E34-43ED-B3B8-E818F952B3BD}"/>
    <cellStyle name="Nota 2 4 2 2 2" xfId="7067" xr:uid="{C6BE243A-9F37-4F05-A573-B843561D4EE3}"/>
    <cellStyle name="Nota 2 4 2 3" xfId="5215" xr:uid="{82E15725-0F4E-4108-9B75-9701069A914F}"/>
    <cellStyle name="Nota 2 4 3" xfId="2512" xr:uid="{AB05E4E8-EEEC-4FB0-A02B-04B020AA31F5}"/>
    <cellStyle name="Nota 2 4 3 2" xfId="6140" xr:uid="{13323A99-1937-4A46-A110-9A2841171BC6}"/>
    <cellStyle name="Nota 2 4 4" xfId="3955" xr:uid="{312AF03E-EB75-43D8-B580-4EDF9D9C13F1}"/>
    <cellStyle name="Nota 2 5" xfId="931" xr:uid="{E1FF3AC1-E75B-44CA-B1D8-288B88C7E44C}"/>
    <cellStyle name="Nota 2 5 2" xfId="2783" xr:uid="{0C93CFF0-1E27-4333-ABE6-F9FE50398D2E}"/>
    <cellStyle name="Nota 2 5 2 2" xfId="6411" xr:uid="{61F47F2F-A297-44AE-8BDA-4B37A1D1065A}"/>
    <cellStyle name="Nota 2 5 3" xfId="4559" xr:uid="{D5580FF2-FC27-440A-B509-C41DBF348F83}"/>
    <cellStyle name="Nota 2 6" xfId="1856" xr:uid="{DF3F9403-F851-4717-8F47-0D1044C3C2A2}"/>
    <cellStyle name="Nota 2 6 2" xfId="5484" xr:uid="{5D2A8743-46A0-41A0-832F-E69C15AE35A9}"/>
    <cellStyle name="Nota 2 7" xfId="3673" xr:uid="{934FAB17-43EF-4042-B55C-09196EED9143}"/>
    <cellStyle name="Nota 3" xfId="46" xr:uid="{F9C3B7A1-34E8-4C21-96ED-0350B14E1BAF}"/>
    <cellStyle name="Nota 3 2" xfId="652" xr:uid="{426E39B1-CF2D-49D6-917F-1B889BE5B304}"/>
    <cellStyle name="Nota 3 2 2" xfId="1255" xr:uid="{09B93275-1E5F-4420-92D7-B269B1FBD56F}"/>
    <cellStyle name="Nota 3 2 2 2" xfId="3107" xr:uid="{A091416B-635E-4D76-BD58-3727D1A5871A}"/>
    <cellStyle name="Nota 3 2 2 2 2" xfId="6735" xr:uid="{160BBC62-9CF0-42C9-90F1-8DB172F92CA2}"/>
    <cellStyle name="Nota 3 2 2 3" xfId="4883" xr:uid="{C245CC62-F8D4-4B38-9197-CE00407C8C19}"/>
    <cellStyle name="Nota 3 2 3" xfId="2180" xr:uid="{96575C90-C9A6-4FF2-BE7F-49700441105E}"/>
    <cellStyle name="Nota 3 2 3 2" xfId="5808" xr:uid="{AC87263B-B07C-4B5F-82BC-00D669691192}"/>
    <cellStyle name="Nota 3 2 4" xfId="4280" xr:uid="{B7C37C40-2F8A-4119-B0D9-F15C25B49D61}"/>
    <cellStyle name="Nota 3 3" xfId="328" xr:uid="{13ED8B5F-CCBF-472D-9E3F-46D9EA6156AA}"/>
    <cellStyle name="Nota 3 3 2" xfId="1568" xr:uid="{798A2F71-9D22-47EB-9410-E6561BC7332D}"/>
    <cellStyle name="Nota 3 3 2 2" xfId="3420" xr:uid="{7AEFDD04-0FC5-4836-AEFD-2B4E692707EB}"/>
    <cellStyle name="Nota 3 3 2 2 2" xfId="7048" xr:uid="{53FA0229-6232-4740-8243-416D6AE56228}"/>
    <cellStyle name="Nota 3 3 2 3" xfId="5196" xr:uid="{9DF4FFE1-907C-4633-8862-EE94286D0716}"/>
    <cellStyle name="Nota 3 3 3" xfId="2493" xr:uid="{083C4E06-2175-4678-A74A-2CC36A4AB062}"/>
    <cellStyle name="Nota 3 3 3 2" xfId="6121" xr:uid="{A2C30F70-5D8E-41D9-9AD0-D6DA8C941E65}"/>
    <cellStyle name="Nota 3 3 4" xfId="3957" xr:uid="{73B758F0-3A60-4BBE-8F8D-19FCA13AD582}"/>
    <cellStyle name="Nota 3 4" xfId="933" xr:uid="{F5E88E33-FBCE-45D4-B17E-31A2613963D2}"/>
    <cellStyle name="Nota 3 4 2" xfId="2785" xr:uid="{CE495E8C-8575-4335-B297-101D058D426A}"/>
    <cellStyle name="Nota 3 4 2 2" xfId="6413" xr:uid="{023C1263-366E-4DE7-B8DE-99957FB55BE2}"/>
    <cellStyle name="Nota 3 4 3" xfId="4561" xr:uid="{4960E84D-C560-47AE-ACEE-3A9CF66AB16F}"/>
    <cellStyle name="Nota 3 5" xfId="1858" xr:uid="{903B6CC3-0A7F-42CD-B805-2DCC5CA80ADF}"/>
    <cellStyle name="Nota 3 5 2" xfId="5486" xr:uid="{5871F406-7C07-489D-AA9C-312B826B2D43}"/>
    <cellStyle name="Nota 3 6" xfId="3675" xr:uid="{120AA8D4-B7BD-4B37-B87C-56E91A951C32}"/>
    <cellStyle name="Nota 4" xfId="86" xr:uid="{89E827D9-AFB6-4BFB-85B4-9F8B4EC3D64B}"/>
    <cellStyle name="Nota 4 2" xfId="692" xr:uid="{4596A705-B5DF-485B-BE6F-64357CC63757}"/>
    <cellStyle name="Nota 4 2 2" xfId="1295" xr:uid="{FA546978-2F14-4A53-BDCC-B5ED5E433812}"/>
    <cellStyle name="Nota 4 2 2 2" xfId="3147" xr:uid="{36A77666-2EB3-43FD-BA95-A6C7FD6A5EF0}"/>
    <cellStyle name="Nota 4 2 2 2 2" xfId="6775" xr:uid="{44A310D9-988E-4D85-ABFB-B64AB9183A57}"/>
    <cellStyle name="Nota 4 2 2 3" xfId="4923" xr:uid="{026BF84E-F7EC-4950-9248-0BF66635FAF6}"/>
    <cellStyle name="Nota 4 2 3" xfId="2220" xr:uid="{04912C3C-93DA-4E68-A779-F70A5B27B761}"/>
    <cellStyle name="Nota 4 2 3 2" xfId="5848" xr:uid="{DACB6BF5-51CC-4B51-859F-A72E1A8AAF02}"/>
    <cellStyle name="Nota 4 2 4" xfId="4320" xr:uid="{263F5CA4-3358-4DBA-8AE3-D1419F35ABB9}"/>
    <cellStyle name="Nota 4 3" xfId="368" xr:uid="{35BA2C3A-5F68-4148-B24F-F65F4BE7D5E7}"/>
    <cellStyle name="Nota 4 3 2" xfId="1547" xr:uid="{5842682D-B89D-4A7A-987A-C6A0E202804C}"/>
    <cellStyle name="Nota 4 3 2 2" xfId="3399" xr:uid="{2BA46C97-C737-4C0B-8745-C47BCD1E774C}"/>
    <cellStyle name="Nota 4 3 2 2 2" xfId="7027" xr:uid="{383B9F8B-777E-4411-8AC9-D900EF078975}"/>
    <cellStyle name="Nota 4 3 2 3" xfId="5175" xr:uid="{2366A7D4-DA12-417A-92BB-6F294C6BE543}"/>
    <cellStyle name="Nota 4 3 3" xfId="2472" xr:uid="{3D860D58-9F99-4EAA-AE29-965AC8996EB4}"/>
    <cellStyle name="Nota 4 3 3 2" xfId="6100" xr:uid="{F905DDF7-28E9-4A58-9163-DC2D41971F23}"/>
    <cellStyle name="Nota 4 3 4" xfId="3997" xr:uid="{C54884F1-4701-4482-9C96-D93D4790CB9D}"/>
    <cellStyle name="Nota 4 4" xfId="973" xr:uid="{8C67F07E-59F4-40F0-BD59-2F35AE0CB60B}"/>
    <cellStyle name="Nota 4 4 2" xfId="2825" xr:uid="{098FE8B9-8420-4899-8B1A-9B7383BCEF37}"/>
    <cellStyle name="Nota 4 4 2 2" xfId="6453" xr:uid="{FCD2C520-93DF-4EFE-B413-2F08C2165392}"/>
    <cellStyle name="Nota 4 4 3" xfId="4601" xr:uid="{609618B2-0B48-4F28-8083-182E815984FA}"/>
    <cellStyle name="Nota 4 5" xfId="1898" xr:uid="{4CD16D79-EBE4-4494-B9FD-DB369DA99F87}"/>
    <cellStyle name="Nota 4 5 2" xfId="5526" xr:uid="{6F88C84E-1CED-4237-AE1F-48CDC3D38E5F}"/>
    <cellStyle name="Nota 4 6" xfId="3715" xr:uid="{D2DB2F64-1C7D-4DC9-B016-30C91AD4A09E}"/>
    <cellStyle name="Nota 5" xfId="106" xr:uid="{49DC13EA-0598-41BB-A1B9-14D10152CD35}"/>
    <cellStyle name="Nota 5 2" xfId="712" xr:uid="{09F7681C-6A2C-4D90-A5CB-9C97D3A3BA1C}"/>
    <cellStyle name="Nota 5 2 2" xfId="1315" xr:uid="{4798F2B4-41C7-4EAF-91E4-5F58682A2DA6}"/>
    <cellStyle name="Nota 5 2 2 2" xfId="3167" xr:uid="{B7A71011-83CA-40FF-BAF9-4D4A09015988}"/>
    <cellStyle name="Nota 5 2 2 2 2" xfId="6795" xr:uid="{A17BD4C6-25D8-40A0-9F47-71CEC7486C65}"/>
    <cellStyle name="Nota 5 2 2 3" xfId="4943" xr:uid="{DFE98606-CC5B-40FE-B090-996E757BE5E2}"/>
    <cellStyle name="Nota 5 2 3" xfId="2240" xr:uid="{50BBDF84-9C7D-4D67-A868-CF68AA8C94B9}"/>
    <cellStyle name="Nota 5 2 3 2" xfId="5868" xr:uid="{EED2E7D8-6CB2-4669-919B-73995D14AE46}"/>
    <cellStyle name="Nota 5 2 4" xfId="4340" xr:uid="{DBC7A585-7585-4D81-B76F-6F1E20E16ECE}"/>
    <cellStyle name="Nota 5 3" xfId="388" xr:uid="{EEF01C48-5D31-4A03-8439-A0829BC86424}"/>
    <cellStyle name="Nota 5 3 2" xfId="1537" xr:uid="{414F5EE3-C962-4A23-93B3-5B89207E32BD}"/>
    <cellStyle name="Nota 5 3 2 2" xfId="3389" xr:uid="{7661B821-5F92-4037-81B3-710966E3B027}"/>
    <cellStyle name="Nota 5 3 2 2 2" xfId="7017" xr:uid="{BA167F72-E82C-4C46-9907-A687091791B8}"/>
    <cellStyle name="Nota 5 3 2 3" xfId="5165" xr:uid="{C9179E9B-74D0-41AD-9F4F-6168E5E496F0}"/>
    <cellStyle name="Nota 5 3 3" xfId="2462" xr:uid="{8C1DEB96-EAE8-41A0-9BC4-78A194FC46D2}"/>
    <cellStyle name="Nota 5 3 3 2" xfId="6090" xr:uid="{DFEF6D5E-47BB-40FD-A583-319F53D4997A}"/>
    <cellStyle name="Nota 5 3 4" xfId="4017" xr:uid="{CA65559E-E086-4157-B357-F0A8BD3EB881}"/>
    <cellStyle name="Nota 5 4" xfId="993" xr:uid="{56624690-506C-409C-B9DA-FDAB3535DBAF}"/>
    <cellStyle name="Nota 5 4 2" xfId="2845" xr:uid="{2DF5D107-EE68-4477-AAAE-F25BF9F5D1FC}"/>
    <cellStyle name="Nota 5 4 2 2" xfId="6473" xr:uid="{C25A6CDE-4C52-4793-82D0-9CCD848E8263}"/>
    <cellStyle name="Nota 5 4 3" xfId="4621" xr:uid="{756CFF3C-5732-429A-9220-23725D09C1FB}"/>
    <cellStyle name="Nota 5 5" xfId="1918" xr:uid="{03512FFE-FA13-4C89-8531-986DE16E107E}"/>
    <cellStyle name="Nota 5 5 2" xfId="5546" xr:uid="{FC115839-0885-46FD-9D0B-DD5BA5148D56}"/>
    <cellStyle name="Nota 5 6" xfId="3735" xr:uid="{64B408E2-DFC5-4114-A836-4CE07114244E}"/>
    <cellStyle name="Nota 6" xfId="126" xr:uid="{DFDB2A70-1052-4902-9D9F-1B8C1819077F}"/>
    <cellStyle name="Nota 6 2" xfId="732" xr:uid="{B2ECB32B-E4AF-4426-B1BB-9539E8F2398C}"/>
    <cellStyle name="Nota 6 2 2" xfId="1335" xr:uid="{22D10C88-7C0F-4570-9F1C-A1BF7E58BE1E}"/>
    <cellStyle name="Nota 6 2 2 2" xfId="3187" xr:uid="{3A061632-6087-418D-9002-737C6CA6BA8A}"/>
    <cellStyle name="Nota 6 2 2 2 2" xfId="6815" xr:uid="{28F1E751-DB72-424C-85CA-0CAB428CC5D6}"/>
    <cellStyle name="Nota 6 2 2 3" xfId="4963" xr:uid="{523B3D3E-8CB5-445B-B787-0AE6892B0AC4}"/>
    <cellStyle name="Nota 6 2 3" xfId="2260" xr:uid="{1CD38B7B-379B-4E04-BE1D-C6A31DE4BA06}"/>
    <cellStyle name="Nota 6 2 3 2" xfId="5888" xr:uid="{779D8B22-28FD-4A25-9072-8B20B2BA8E71}"/>
    <cellStyle name="Nota 6 2 4" xfId="4360" xr:uid="{E6BB25D7-99F5-4D8F-A7F1-FF061CEC6C4B}"/>
    <cellStyle name="Nota 6 3" xfId="408" xr:uid="{8F8D4B6C-510F-46BA-8638-DC3CCF242C8F}"/>
    <cellStyle name="Nota 6 3 2" xfId="1808" xr:uid="{30F40675-A42C-4BEF-B0E1-2F35332DAEC2}"/>
    <cellStyle name="Nota 6 3 2 2" xfId="3621" xr:uid="{515D28B0-64AA-47CB-97D9-E0BBAF3B4A3E}"/>
    <cellStyle name="Nota 6 3 2 2 2" xfId="7249" xr:uid="{CE43C38B-5E12-46E7-A43C-68CB3310E982}"/>
    <cellStyle name="Nota 6 3 2 3" xfId="5436" xr:uid="{7A372471-DED9-4F5C-95B9-64850340F3A8}"/>
    <cellStyle name="Nota 6 3 3" xfId="2733" xr:uid="{7859A0DB-45F6-4222-8536-72071D6A7C92}"/>
    <cellStyle name="Nota 6 3 3 2" xfId="6361" xr:uid="{A400CF9A-0F4D-4C32-91B1-C89F80B4C605}"/>
    <cellStyle name="Nota 6 3 4" xfId="4037" xr:uid="{55A0A5C4-D91A-4F52-B0E0-0E8537B2CF95}"/>
    <cellStyle name="Nota 6 4" xfId="1013" xr:uid="{5CE73F38-6D6A-42A9-88DC-C7D88D2D6A2C}"/>
    <cellStyle name="Nota 6 4 2" xfId="2865" xr:uid="{E577AEEB-AC66-4D5B-A6A9-20488A3FEEC3}"/>
    <cellStyle name="Nota 6 4 2 2" xfId="6493" xr:uid="{43DCC2B4-D7D3-40D8-9FB1-E7FE2B09C894}"/>
    <cellStyle name="Nota 6 4 3" xfId="4641" xr:uid="{C0238585-977F-470F-B9E4-8E70D151A4F7}"/>
    <cellStyle name="Nota 6 5" xfId="1938" xr:uid="{4B44E422-B75B-4044-8BC4-F2D3AE36003F}"/>
    <cellStyle name="Nota 6 5 2" xfId="5566" xr:uid="{15EBC663-5D92-4354-9C6B-37B2A3AC1349}"/>
    <cellStyle name="Nota 6 6" xfId="3755" xr:uid="{E5670170-C8FA-4A57-B40C-FCB61A2F312B}"/>
    <cellStyle name="Nota 7" xfId="146" xr:uid="{E9C9B1AA-F508-4A3C-A98D-5019AD2029EC}"/>
    <cellStyle name="Nota 7 2" xfId="752" xr:uid="{AAA3A243-44A3-41A1-B0DD-13AE2DED5CC7}"/>
    <cellStyle name="Nota 7 2 2" xfId="1355" xr:uid="{D97039BC-9538-4487-B972-5AF57A4AA973}"/>
    <cellStyle name="Nota 7 2 2 2" xfId="3207" xr:uid="{977B0675-BBF4-438A-8B7D-82902DD599AD}"/>
    <cellStyle name="Nota 7 2 2 2 2" xfId="6835" xr:uid="{B5D32B36-E01E-4F09-A1FF-5B7AEA650A16}"/>
    <cellStyle name="Nota 7 2 2 3" xfId="4983" xr:uid="{D89865C4-75FA-4F99-8E4F-1D1B51155771}"/>
    <cellStyle name="Nota 7 2 3" xfId="2280" xr:uid="{79443F56-4246-4BC6-9639-E8BD0B15AFF2}"/>
    <cellStyle name="Nota 7 2 3 2" xfId="5908" xr:uid="{1F35B895-5715-4550-921F-D71BC1FFFD20}"/>
    <cellStyle name="Nota 7 2 4" xfId="4380" xr:uid="{7B860D12-33D7-4EA0-9FB6-09C42B743FB8}"/>
    <cellStyle name="Nota 7 3" xfId="428" xr:uid="{7A90A0C4-4298-4E28-86A3-16B359A93AC2}"/>
    <cellStyle name="Nota 7 3 2" xfId="1700" xr:uid="{4763C652-E130-4296-936A-0BDF08F10CA9}"/>
    <cellStyle name="Nota 7 3 2 2" xfId="3513" xr:uid="{C2E32A43-E225-4C85-A1E0-FDF505F98A67}"/>
    <cellStyle name="Nota 7 3 2 2 2" xfId="7141" xr:uid="{3AC99A32-6A21-4E74-AB80-5D4FB19898EB}"/>
    <cellStyle name="Nota 7 3 2 3" xfId="5328" xr:uid="{B1E73746-63B4-4947-B544-A44D8D3A24BA}"/>
    <cellStyle name="Nota 7 3 3" xfId="2625" xr:uid="{CB4462D9-819B-4CC6-A42D-7BB7FB65F040}"/>
    <cellStyle name="Nota 7 3 3 2" xfId="6253" xr:uid="{D1789E6B-2E25-4354-B8DB-E3076CBCA8FD}"/>
    <cellStyle name="Nota 7 3 4" xfId="4057" xr:uid="{EA007D32-2019-424D-A809-133FCD0A298A}"/>
    <cellStyle name="Nota 7 4" xfId="1033" xr:uid="{989BCB13-C0F3-46F7-865F-8E457CBCA673}"/>
    <cellStyle name="Nota 7 4 2" xfId="2885" xr:uid="{954ED0EA-02BE-4A54-A5E1-F30F5603E864}"/>
    <cellStyle name="Nota 7 4 2 2" xfId="6513" xr:uid="{1F91A936-F0A2-4F07-924B-CDAEB3C0C149}"/>
    <cellStyle name="Nota 7 4 3" xfId="4661" xr:uid="{36913A3B-3804-4A4F-B60E-9A3824F98D40}"/>
    <cellStyle name="Nota 7 5" xfId="1958" xr:uid="{9386E181-9675-46D1-BD59-896B56A44246}"/>
    <cellStyle name="Nota 7 5 2" xfId="5586" xr:uid="{5E07894F-A8E6-4FE3-B52F-2EB6442AA93A}"/>
    <cellStyle name="Nota 7 6" xfId="3775" xr:uid="{AEF10F73-CD00-4DC5-8425-D15117F8A40E}"/>
    <cellStyle name="Nota 8" xfId="166" xr:uid="{A409477E-3567-4402-BF7E-8D0793745BD2}"/>
    <cellStyle name="Nota 8 2" xfId="772" xr:uid="{5090A927-D3CB-476B-BA74-F3B27BEAE2F6}"/>
    <cellStyle name="Nota 8 2 2" xfId="1375" xr:uid="{9F069689-98EB-4D4E-8BED-142DEB1601C7}"/>
    <cellStyle name="Nota 8 2 2 2" xfId="3227" xr:uid="{0071207E-4994-45AA-8BBA-88F05B56CB6F}"/>
    <cellStyle name="Nota 8 2 2 2 2" xfId="6855" xr:uid="{6FAF8D72-8D87-4FAC-BE51-DF50D7E6FEB3}"/>
    <cellStyle name="Nota 8 2 2 3" xfId="5003" xr:uid="{1D5AAE56-B02C-4015-B9D6-559405808D7E}"/>
    <cellStyle name="Nota 8 2 3" xfId="2300" xr:uid="{9E8DBEA0-B6F9-4090-A283-8BF8C5A48E46}"/>
    <cellStyle name="Nota 8 2 3 2" xfId="5928" xr:uid="{EF9A005B-10BB-4E0C-9112-E52889B8FD76}"/>
    <cellStyle name="Nota 8 2 4" xfId="4400" xr:uid="{E8CC119D-F1B6-4D2E-95FC-331B9512EAEE}"/>
    <cellStyle name="Nota 8 3" xfId="448" xr:uid="{A16ADF80-CE84-4806-9AB6-6D314B141320}"/>
    <cellStyle name="Nota 8 3 2" xfId="1545" xr:uid="{501B7DA3-1213-4395-A6C1-E21464A925EC}"/>
    <cellStyle name="Nota 8 3 2 2" xfId="3397" xr:uid="{395557A9-6BB6-4E44-9779-860F312115D8}"/>
    <cellStyle name="Nota 8 3 2 2 2" xfId="7025" xr:uid="{D740E981-F502-4E29-8A19-B2BBED561549}"/>
    <cellStyle name="Nota 8 3 2 3" xfId="5173" xr:uid="{0E535286-E2D9-424C-A508-3CF61AE41FD3}"/>
    <cellStyle name="Nota 8 3 3" xfId="2470" xr:uid="{F95D1692-6EF9-49E9-AB5B-8AAFDFE0BC29}"/>
    <cellStyle name="Nota 8 3 3 2" xfId="6098" xr:uid="{C5C5E189-09D1-4DE1-889E-4973ABCF5347}"/>
    <cellStyle name="Nota 8 3 4" xfId="4077" xr:uid="{8D437E82-5C12-4654-B21E-1B77DF81ABD4}"/>
    <cellStyle name="Nota 8 4" xfId="1053" xr:uid="{02BFC272-D1B7-41FA-BEE1-CC4F0EC587BE}"/>
    <cellStyle name="Nota 8 4 2" xfId="2905" xr:uid="{BBB1C3A2-7E71-4801-8404-B8CF0909C4BA}"/>
    <cellStyle name="Nota 8 4 2 2" xfId="6533" xr:uid="{44883C2B-D7C0-4487-A988-CD1145E5345C}"/>
    <cellStyle name="Nota 8 4 3" xfId="4681" xr:uid="{03F38BFF-6E2D-4712-996B-93A6A94051D3}"/>
    <cellStyle name="Nota 8 5" xfId="1978" xr:uid="{F3212D74-6ABD-40F5-91B2-AF10B1CBA117}"/>
    <cellStyle name="Nota 8 5 2" xfId="5606" xr:uid="{78943925-8596-4126-85A0-0BC52E8E2014}"/>
    <cellStyle name="Nota 8 6" xfId="3795" xr:uid="{1FEFF772-C078-4258-9BA9-9F1BD2B1D522}"/>
    <cellStyle name="Nota 9" xfId="186" xr:uid="{836242BB-66E9-4099-A805-8A77927BEBC6}"/>
    <cellStyle name="Nota 9 2" xfId="792" xr:uid="{61585616-4C6C-46ED-A01C-7D239D4989A7}"/>
    <cellStyle name="Nota 9 2 2" xfId="1395" xr:uid="{CA74B163-C13A-4A9E-95D7-FAD2C7DEDD20}"/>
    <cellStyle name="Nota 9 2 2 2" xfId="3247" xr:uid="{03129CF2-4CC2-4C93-9536-971D9F67DB98}"/>
    <cellStyle name="Nota 9 2 2 2 2" xfId="6875" xr:uid="{156E904F-E231-493F-8D35-42D65DCCA693}"/>
    <cellStyle name="Nota 9 2 2 3" xfId="5023" xr:uid="{ED8B49D9-51DA-47CF-A15A-4B647A8CC8F9}"/>
    <cellStyle name="Nota 9 2 3" xfId="2320" xr:uid="{A45F933D-85AA-401B-9193-BC29BBE597B0}"/>
    <cellStyle name="Nota 9 2 3 2" xfId="5948" xr:uid="{A0BF9B3E-96CA-4E4A-B6AC-89724D238B80}"/>
    <cellStyle name="Nota 9 2 4" xfId="4420" xr:uid="{88C105A7-578B-459B-9E02-849F36164375}"/>
    <cellStyle name="Nota 9 3" xfId="468" xr:uid="{F8D965CC-313E-49A7-900D-C6FBF12C34F2}"/>
    <cellStyle name="Nota 9 3 2" xfId="1574" xr:uid="{460D00B8-C046-410E-82F3-78CF9A55E0E5}"/>
    <cellStyle name="Nota 9 3 2 2" xfId="3426" xr:uid="{557D0B98-83CE-442E-B062-B38E0D1A9800}"/>
    <cellStyle name="Nota 9 3 2 2 2" xfId="7054" xr:uid="{9FEB4780-4D92-4BCD-8E46-E181EE6DF5EB}"/>
    <cellStyle name="Nota 9 3 2 3" xfId="5202" xr:uid="{0870C74F-69D4-4975-ACD1-1A869E959FA4}"/>
    <cellStyle name="Nota 9 3 3" xfId="2499" xr:uid="{CBF4FCFA-2156-4B98-A895-B756876260A5}"/>
    <cellStyle name="Nota 9 3 3 2" xfId="6127" xr:uid="{46DD1121-36C4-4BE1-B7AF-C4FAEDAB8368}"/>
    <cellStyle name="Nota 9 3 4" xfId="4097" xr:uid="{6A28C601-90EF-4E5E-BA5E-153881F8F9D6}"/>
    <cellStyle name="Nota 9 4" xfId="1073" xr:uid="{8AA7F144-D713-40F8-8236-DDA05998DADD}"/>
    <cellStyle name="Nota 9 4 2" xfId="2925" xr:uid="{E4DCBDB7-30E2-419C-8370-5808F9D60657}"/>
    <cellStyle name="Nota 9 4 2 2" xfId="6553" xr:uid="{F55B6A7A-3783-4E7C-8686-C8249DDD6F1C}"/>
    <cellStyle name="Nota 9 4 3" xfId="4701" xr:uid="{6E9B3F1D-DA78-4EC4-9139-1EB56C7FF789}"/>
    <cellStyle name="Nota 9 5" xfId="1998" xr:uid="{0A785791-0797-4C48-9CC9-16460CF3BAD1}"/>
    <cellStyle name="Nota 9 5 2" xfId="5626" xr:uid="{48388541-E5E4-4BD1-9BDD-F90D67B18991}"/>
    <cellStyle name="Nota 9 6" xfId="3815" xr:uid="{6270FF2C-A26C-424F-A7F8-04A1A9338EDD}"/>
    <cellStyle name="Porcentagem" xfId="3650" builtinId="5"/>
    <cellStyle name="Porcentagem 2" xfId="7278" xr:uid="{E35FD703-6C7E-49CA-837E-A76105B22E73}"/>
    <cellStyle name="Ruim" xfId="8" builtinId="27" customBuiltin="1"/>
    <cellStyle name="Saída" xfId="11" builtinId="21" customBuiltin="1"/>
    <cellStyle name="Texto de Aviso" xfId="15" builtinId="11" customBuiltin="1"/>
    <cellStyle name="Texto Explicativo" xfId="16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7" builtinId="25" customBuiltin="1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B28A1A93-5AC4-489D-B206-F060AFB24AB5}"/>
  <namedSheetView name="Exibir2" id="{B50C5215-93C7-48DF-B841-E5B22AD87D8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Franciele Lohse" id="{44369FFA-F47C-4A66-A745-03C574EFFD0D}" userId="S::franciele.lohse@marfoods.com.br::655332e4-4eb5-4e7c-95f5-cfe539a10a54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L33" dT="2026-06-25T11:21:47.98" personId="{44369FFA-F47C-4A66-A745-03C574EFFD0D}" id="{110EB2BA-EE12-4A9C-93B2-C753A07193CE}">
    <text>Alta demanda não gerou tarefas.</text>
  </threadedComment>
  <threadedComment ref="R35" dT="2026-06-11T03:52:53.34" personId="{44369FFA-F47C-4A66-A745-03C574EFFD0D}" id="{596ABB47-70D4-46F5-A058-C2D8FC71DA00}">
    <text>Ausente neste dia, motivo: saúde/filho.</text>
  </threadedComment>
  <threadedComment ref="T35" dT="2026-06-11T03:52:53.34" personId="{44369FFA-F47C-4A66-A745-03C574EFFD0D}" id="{12217CA1-EE75-466D-8AC1-B512AF571836}">
    <text>Ausente neste dia, motivo: saúde/filho.</text>
  </threadedComment>
  <threadedComment ref="V35" dT="2026-06-11T03:52:53.34" personId="{44369FFA-F47C-4A66-A745-03C574EFFD0D}" id="{4A1C36D5-D063-4B03-A1E3-F9A60A439D30}">
    <text>Ausente neste dia, motivo: saúde/filho.</text>
  </threadedComment>
  <threadedComment ref="X35" dT="2026-06-11T03:52:53.34" personId="{44369FFA-F47C-4A66-A745-03C574EFFD0D}" id="{ADC094F8-93F0-4C7A-9967-253DC3480842}">
    <text>Ausente neste dia, motivo: saúde/filho.</text>
  </threadedComment>
  <threadedComment ref="Z35" dT="2026-06-11T03:52:53.34" personId="{44369FFA-F47C-4A66-A745-03C574EFFD0D}" id="{3AFBAA46-DA48-43CC-A985-16F12C06064C}">
    <text>Ausente neste dia, motivo: saúde/filho.</text>
  </threadedComment>
  <threadedComment ref="AB35" dT="2026-06-11T03:52:53.34" personId="{44369FFA-F47C-4A66-A745-03C574EFFD0D}" id="{94A9765C-382E-41B7-B3FE-188F1629B79C}">
    <text>Ausente neste dia, motivo: saúde/filho.</text>
  </threadedComment>
  <threadedComment ref="AD35" dT="2026-06-11T03:52:53.34" personId="{44369FFA-F47C-4A66-A745-03C574EFFD0D}" id="{3C82105C-9F43-428D-A71B-E102B2635881}">
    <text>Ausente neste dia, motivo: saúde/filho.</text>
  </threadedComment>
  <threadedComment ref="AF35" dT="2026-06-11T03:52:53.34" personId="{44369FFA-F47C-4A66-A745-03C574EFFD0D}" id="{08A637E7-8E81-4229-B448-3015AF2A88CC}">
    <text>Ausente neste dia, motivo: saúde/filho.</text>
  </threadedComment>
  <threadedComment ref="F36" dT="2026-06-05T01:40:50.67" personId="{44369FFA-F47C-4A66-A745-03C574EFFD0D}" id="{6900338A-6CA0-497B-B2EF-5A255D172477}">
    <text>Focou em finalizar tarefas pendentes.</text>
  </threadedComment>
  <threadedComment ref="H36" dT="2026-06-05T01:40:50.67" personId="{44369FFA-F47C-4A66-A745-03C574EFFD0D}" id="{D9644057-1701-4477-AEA5-AF092045E589}">
    <text>Focou em finalizar tarefas pendentes.</text>
  </threadedComment>
  <threadedComment ref="J36" dT="2026-06-05T01:40:50.67" personId="{44369FFA-F47C-4A66-A745-03C574EFFD0D}" id="{79F78E51-A178-4AE7-8B42-DA6DAFFEEE30}">
    <text>Focou em finalizar tarefas pendentes.</text>
  </threadedComment>
  <threadedComment ref="AP36" dT="2026-06-26T19:55:25.23" personId="{44369FFA-F47C-4A66-A745-03C574EFFD0D}" id="{657A8C87-DC61-4A23-8D1C-2D38D5F1BE12}">
    <text xml:space="preserve">Folga 26/6
</text>
  </threadedComment>
  <threadedComment ref="R37" dT="2026-06-11T03:53:22.47" personId="{44369FFA-F47C-4A66-A745-03C574EFFD0D}" id="{EF276022-B394-4A52-8308-51345081745B}">
    <text>Volume intenso na sua carteira de clientes.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2114A-6DDC-4501-BCF8-C8423F966AE5}">
  <sheetPr>
    <tabColor theme="8" tint="-0.249977111117893"/>
  </sheetPr>
  <dimension ref="A1:AR50"/>
  <sheetViews>
    <sheetView workbookViewId="0">
      <selection activeCell="J21" sqref="J21"/>
    </sheetView>
  </sheetViews>
  <sheetFormatPr defaultColWidth="9.109375" defaultRowHeight="12" x14ac:dyDescent="0.25"/>
  <cols>
    <col min="1" max="1" width="31.109375" style="165" customWidth="1"/>
    <col min="2" max="2" width="14.33203125" style="200" bestFit="1" customWidth="1"/>
    <col min="3" max="3" width="8.33203125" style="165" customWidth="1"/>
    <col min="4" max="4" width="9.109375" style="165"/>
    <col min="5" max="5" width="8.44140625" style="165" customWidth="1"/>
    <col min="6" max="6" width="9.109375" style="165"/>
    <col min="7" max="7" width="10.33203125" style="165" customWidth="1"/>
    <col min="8" max="9" width="10.6640625" style="165" customWidth="1"/>
    <col min="10" max="10" width="12.33203125" style="165" customWidth="1"/>
    <col min="11" max="20" width="10.6640625" style="165" customWidth="1"/>
    <col min="21" max="16384" width="9.109375" style="165"/>
  </cols>
  <sheetData>
    <row r="1" spans="1:44" ht="12.6" thickBot="1" x14ac:dyDescent="0.3"/>
    <row r="2" spans="1:44" ht="12.6" thickBot="1" x14ac:dyDescent="0.3">
      <c r="A2" s="274" t="s">
        <v>337</v>
      </c>
      <c r="B2" s="275"/>
      <c r="C2" s="275"/>
      <c r="D2" s="276"/>
      <c r="E2" s="284">
        <v>1</v>
      </c>
      <c r="F2" s="284"/>
      <c r="G2" s="284">
        <v>2</v>
      </c>
      <c r="H2" s="284"/>
      <c r="I2" s="284">
        <v>6</v>
      </c>
      <c r="J2" s="284"/>
      <c r="K2" s="284">
        <v>7</v>
      </c>
      <c r="L2" s="284"/>
      <c r="M2" s="284">
        <v>8</v>
      </c>
      <c r="N2" s="284"/>
      <c r="O2" s="284">
        <v>9</v>
      </c>
      <c r="P2" s="284"/>
      <c r="Q2" s="284">
        <v>10</v>
      </c>
      <c r="R2" s="284"/>
      <c r="S2" s="284">
        <v>13</v>
      </c>
      <c r="T2" s="284"/>
      <c r="U2" s="284">
        <v>14</v>
      </c>
      <c r="V2" s="284"/>
      <c r="W2" s="284">
        <v>15</v>
      </c>
      <c r="X2" s="284"/>
      <c r="Y2" s="284">
        <v>16</v>
      </c>
      <c r="Z2" s="284"/>
      <c r="AA2" s="284">
        <v>17</v>
      </c>
      <c r="AB2" s="284"/>
      <c r="AC2" s="284">
        <v>20</v>
      </c>
      <c r="AD2" s="284"/>
      <c r="AE2" s="280">
        <v>22</v>
      </c>
      <c r="AF2" s="280"/>
      <c r="AG2" s="280">
        <v>23</v>
      </c>
      <c r="AH2" s="280"/>
      <c r="AI2" s="280">
        <v>24</v>
      </c>
      <c r="AJ2" s="280"/>
      <c r="AK2" s="280">
        <v>27</v>
      </c>
      <c r="AL2" s="280"/>
      <c r="AM2" s="280">
        <v>28</v>
      </c>
      <c r="AN2" s="280"/>
      <c r="AO2" s="280">
        <v>29</v>
      </c>
      <c r="AP2" s="280"/>
      <c r="AQ2" s="280">
        <v>30</v>
      </c>
      <c r="AR2" s="280"/>
    </row>
    <row r="3" spans="1:44" x14ac:dyDescent="0.25">
      <c r="A3" s="166" t="s">
        <v>1</v>
      </c>
      <c r="B3" s="166" t="s">
        <v>2</v>
      </c>
      <c r="C3" s="166" t="s">
        <v>3</v>
      </c>
      <c r="D3" s="167" t="s">
        <v>4</v>
      </c>
      <c r="E3" s="168" t="s">
        <v>2</v>
      </c>
      <c r="F3" s="169" t="s">
        <v>5</v>
      </c>
      <c r="G3" s="168" t="s">
        <v>2</v>
      </c>
      <c r="H3" s="169" t="s">
        <v>5</v>
      </c>
      <c r="I3" s="168" t="s">
        <v>2</v>
      </c>
      <c r="J3" s="169" t="s">
        <v>5</v>
      </c>
      <c r="K3" s="168" t="s">
        <v>2</v>
      </c>
      <c r="L3" s="169" t="s">
        <v>5</v>
      </c>
      <c r="M3" s="168" t="s">
        <v>2</v>
      </c>
      <c r="N3" s="169" t="s">
        <v>5</v>
      </c>
      <c r="O3" s="168" t="s">
        <v>2</v>
      </c>
      <c r="P3" s="169" t="s">
        <v>5</v>
      </c>
      <c r="Q3" s="168" t="s">
        <v>2</v>
      </c>
      <c r="R3" s="169" t="s">
        <v>5</v>
      </c>
      <c r="S3" s="168" t="s">
        <v>2</v>
      </c>
      <c r="T3" s="169" t="s">
        <v>5</v>
      </c>
      <c r="U3" s="168" t="s">
        <v>2</v>
      </c>
      <c r="V3" s="169" t="s">
        <v>5</v>
      </c>
      <c r="W3" s="168" t="s">
        <v>2</v>
      </c>
      <c r="X3" s="169" t="s">
        <v>5</v>
      </c>
      <c r="Y3" s="168" t="s">
        <v>2</v>
      </c>
      <c r="Z3" s="169" t="s">
        <v>5</v>
      </c>
      <c r="AA3" s="168" t="s">
        <v>2</v>
      </c>
      <c r="AB3" s="169" t="s">
        <v>5</v>
      </c>
      <c r="AC3" s="168" t="s">
        <v>2</v>
      </c>
      <c r="AD3" s="169" t="s">
        <v>5</v>
      </c>
      <c r="AE3" s="168" t="s">
        <v>2</v>
      </c>
      <c r="AF3" s="169" t="s">
        <v>5</v>
      </c>
      <c r="AG3" s="168" t="s">
        <v>2</v>
      </c>
      <c r="AH3" s="169" t="s">
        <v>5</v>
      </c>
      <c r="AI3" s="168" t="s">
        <v>2</v>
      </c>
      <c r="AJ3" s="169" t="s">
        <v>5</v>
      </c>
      <c r="AK3" s="168" t="s">
        <v>2</v>
      </c>
      <c r="AL3" s="169" t="s">
        <v>5</v>
      </c>
      <c r="AM3" s="168" t="s">
        <v>2</v>
      </c>
      <c r="AN3" s="169" t="s">
        <v>5</v>
      </c>
      <c r="AO3" s="168" t="s">
        <v>2</v>
      </c>
      <c r="AP3" s="169" t="s">
        <v>5</v>
      </c>
      <c r="AQ3" s="168" t="s">
        <v>2</v>
      </c>
      <c r="AR3" s="169" t="s">
        <v>5</v>
      </c>
    </row>
    <row r="4" spans="1:44" x14ac:dyDescent="0.25">
      <c r="A4" s="170" t="s">
        <v>55</v>
      </c>
      <c r="B4" s="171">
        <v>72</v>
      </c>
      <c r="C4" s="171">
        <f>F4+H4+J4+L4+N4+P4+R4+T4+V4+X4+Z4+AB4+AD4+AF4+AH4+AJ4+AL4+AN4+AP4+AR4</f>
        <v>20</v>
      </c>
      <c r="D4" s="172">
        <f t="shared" ref="D4:D9" si="0">C4/B4</f>
        <v>0.27777777777777779</v>
      </c>
      <c r="E4" s="173">
        <v>4</v>
      </c>
      <c r="F4" s="173">
        <v>2</v>
      </c>
      <c r="G4" s="173">
        <v>4</v>
      </c>
      <c r="H4" s="173">
        <v>0</v>
      </c>
      <c r="I4" s="173">
        <v>4</v>
      </c>
      <c r="J4" s="173">
        <v>0</v>
      </c>
      <c r="K4" s="173">
        <v>4</v>
      </c>
      <c r="L4" s="173">
        <v>0</v>
      </c>
      <c r="M4" s="173">
        <v>4</v>
      </c>
      <c r="N4" s="173">
        <v>0</v>
      </c>
      <c r="O4" s="173">
        <v>4</v>
      </c>
      <c r="P4" s="173">
        <v>2</v>
      </c>
      <c r="Q4" s="173">
        <v>4</v>
      </c>
      <c r="R4" s="173">
        <v>0</v>
      </c>
      <c r="S4" s="173">
        <v>4</v>
      </c>
      <c r="T4" s="173">
        <v>0</v>
      </c>
      <c r="U4" s="173">
        <v>4</v>
      </c>
      <c r="V4" s="173">
        <v>1</v>
      </c>
      <c r="W4" s="173">
        <v>4</v>
      </c>
      <c r="X4" s="173">
        <v>0</v>
      </c>
      <c r="Y4" s="173">
        <v>4</v>
      </c>
      <c r="Z4" s="173">
        <v>3</v>
      </c>
      <c r="AA4" s="173">
        <v>4</v>
      </c>
      <c r="AB4" s="173">
        <v>0</v>
      </c>
      <c r="AC4" s="173">
        <v>4</v>
      </c>
      <c r="AD4" s="173">
        <v>1</v>
      </c>
      <c r="AE4" s="173">
        <v>4</v>
      </c>
      <c r="AF4" s="174">
        <v>3</v>
      </c>
      <c r="AG4" s="173">
        <v>4</v>
      </c>
      <c r="AH4" s="173">
        <v>1</v>
      </c>
      <c r="AI4" s="173">
        <v>4</v>
      </c>
      <c r="AJ4" s="173">
        <v>0</v>
      </c>
      <c r="AK4" s="173">
        <v>4</v>
      </c>
      <c r="AL4" s="173">
        <v>3</v>
      </c>
      <c r="AM4" s="173">
        <v>4</v>
      </c>
      <c r="AN4" s="173">
        <v>2</v>
      </c>
      <c r="AO4" s="173">
        <v>4</v>
      </c>
      <c r="AP4" s="173">
        <v>2</v>
      </c>
      <c r="AQ4" s="173">
        <v>4</v>
      </c>
      <c r="AR4" s="173">
        <v>0</v>
      </c>
    </row>
    <row r="5" spans="1:44" x14ac:dyDescent="0.25">
      <c r="A5" s="170" t="s">
        <v>6</v>
      </c>
      <c r="B5" s="171">
        <v>39</v>
      </c>
      <c r="C5" s="171">
        <f t="shared" ref="C5:C8" si="1">F5+H5+J5+L5+N5+P5+R5+T5+V5+X5+Z5+AB5+AD5+AF5+AH5+AJ5+AL5+AN5+AP5+AR5</f>
        <v>11</v>
      </c>
      <c r="D5" s="172">
        <f t="shared" si="0"/>
        <v>0.28205128205128205</v>
      </c>
      <c r="E5" s="173">
        <v>2</v>
      </c>
      <c r="F5" s="173">
        <v>0</v>
      </c>
      <c r="G5" s="173">
        <v>2</v>
      </c>
      <c r="H5" s="173">
        <v>0</v>
      </c>
      <c r="I5" s="173">
        <v>2</v>
      </c>
      <c r="J5" s="173">
        <v>0</v>
      </c>
      <c r="K5" s="173">
        <v>2</v>
      </c>
      <c r="L5" s="173">
        <v>0</v>
      </c>
      <c r="M5" s="173">
        <v>2</v>
      </c>
      <c r="N5" s="173">
        <v>0</v>
      </c>
      <c r="O5" s="173">
        <v>2</v>
      </c>
      <c r="P5" s="173">
        <v>0</v>
      </c>
      <c r="Q5" s="173">
        <v>2</v>
      </c>
      <c r="R5" s="173">
        <v>0</v>
      </c>
      <c r="S5" s="173">
        <v>2</v>
      </c>
      <c r="T5" s="173">
        <v>1</v>
      </c>
      <c r="U5" s="173">
        <v>2</v>
      </c>
      <c r="V5" s="173">
        <v>0</v>
      </c>
      <c r="W5" s="173">
        <v>2</v>
      </c>
      <c r="X5" s="173">
        <v>1</v>
      </c>
      <c r="Y5" s="173">
        <v>2</v>
      </c>
      <c r="Z5" s="173">
        <v>4</v>
      </c>
      <c r="AA5" s="173">
        <v>2</v>
      </c>
      <c r="AB5" s="173">
        <v>0</v>
      </c>
      <c r="AC5" s="173">
        <v>2</v>
      </c>
      <c r="AD5" s="173">
        <v>1</v>
      </c>
      <c r="AE5" s="173">
        <v>2</v>
      </c>
      <c r="AF5" s="174">
        <v>1</v>
      </c>
      <c r="AG5" s="173">
        <v>2</v>
      </c>
      <c r="AH5" s="173">
        <v>1</v>
      </c>
      <c r="AI5" s="173">
        <v>2</v>
      </c>
      <c r="AJ5" s="173">
        <v>0</v>
      </c>
      <c r="AK5" s="173">
        <v>2</v>
      </c>
      <c r="AL5" s="173">
        <v>1</v>
      </c>
      <c r="AM5" s="173">
        <v>2</v>
      </c>
      <c r="AN5" s="173">
        <v>1</v>
      </c>
      <c r="AO5" s="173">
        <v>2</v>
      </c>
      <c r="AP5" s="173">
        <v>0</v>
      </c>
      <c r="AQ5" s="173">
        <v>2</v>
      </c>
      <c r="AR5" s="173">
        <v>0</v>
      </c>
    </row>
    <row r="6" spans="1:44" x14ac:dyDescent="0.25">
      <c r="A6" s="170" t="s">
        <v>7</v>
      </c>
      <c r="B6" s="171">
        <v>44</v>
      </c>
      <c r="C6" s="171">
        <f t="shared" si="1"/>
        <v>3</v>
      </c>
      <c r="D6" s="172">
        <f t="shared" si="0"/>
        <v>6.8181818181818177E-2</v>
      </c>
      <c r="E6" s="173">
        <v>3</v>
      </c>
      <c r="F6" s="173">
        <v>0</v>
      </c>
      <c r="G6" s="173">
        <v>3</v>
      </c>
      <c r="H6" s="173">
        <v>0</v>
      </c>
      <c r="I6" s="173">
        <v>3</v>
      </c>
      <c r="J6" s="173">
        <v>0</v>
      </c>
      <c r="K6" s="173">
        <v>3</v>
      </c>
      <c r="L6" s="173">
        <v>0</v>
      </c>
      <c r="M6" s="173">
        <v>3</v>
      </c>
      <c r="N6" s="173">
        <v>0</v>
      </c>
      <c r="O6" s="173">
        <v>3</v>
      </c>
      <c r="P6" s="173">
        <v>0</v>
      </c>
      <c r="Q6" s="173">
        <v>3</v>
      </c>
      <c r="R6" s="173">
        <v>0</v>
      </c>
      <c r="S6" s="173">
        <v>3</v>
      </c>
      <c r="T6" s="173">
        <v>0</v>
      </c>
      <c r="U6" s="173">
        <v>3</v>
      </c>
      <c r="V6" s="173">
        <v>0</v>
      </c>
      <c r="W6" s="173">
        <v>3</v>
      </c>
      <c r="X6" s="173">
        <v>0</v>
      </c>
      <c r="Y6" s="173">
        <v>3</v>
      </c>
      <c r="Z6" s="173">
        <v>1</v>
      </c>
      <c r="AA6" s="173">
        <v>3</v>
      </c>
      <c r="AB6" s="173">
        <v>0</v>
      </c>
      <c r="AC6" s="173">
        <v>3</v>
      </c>
      <c r="AD6" s="173">
        <v>0</v>
      </c>
      <c r="AE6" s="173">
        <v>3</v>
      </c>
      <c r="AF6" s="174">
        <v>0</v>
      </c>
      <c r="AG6" s="173">
        <v>3</v>
      </c>
      <c r="AH6" s="173">
        <v>0</v>
      </c>
      <c r="AI6" s="173">
        <v>3</v>
      </c>
      <c r="AJ6" s="173">
        <v>1</v>
      </c>
      <c r="AK6" s="173">
        <v>3</v>
      </c>
      <c r="AL6" s="173">
        <v>0</v>
      </c>
      <c r="AM6" s="173">
        <v>3</v>
      </c>
      <c r="AN6" s="173">
        <v>1</v>
      </c>
      <c r="AO6" s="173">
        <v>3</v>
      </c>
      <c r="AP6" s="173">
        <v>0</v>
      </c>
      <c r="AQ6" s="173">
        <v>3</v>
      </c>
      <c r="AR6" s="173">
        <v>0</v>
      </c>
    </row>
    <row r="7" spans="1:44" x14ac:dyDescent="0.25">
      <c r="A7" s="170" t="s">
        <v>9</v>
      </c>
      <c r="B7" s="171">
        <v>37</v>
      </c>
      <c r="C7" s="171">
        <f t="shared" si="1"/>
        <v>17</v>
      </c>
      <c r="D7" s="172">
        <f t="shared" si="0"/>
        <v>0.45945945945945948</v>
      </c>
      <c r="E7" s="173">
        <v>2</v>
      </c>
      <c r="F7" s="173">
        <v>0</v>
      </c>
      <c r="G7" s="173">
        <v>2</v>
      </c>
      <c r="H7" s="173">
        <v>0</v>
      </c>
      <c r="I7" s="173">
        <v>2</v>
      </c>
      <c r="J7" s="173">
        <v>1</v>
      </c>
      <c r="K7" s="173">
        <v>2</v>
      </c>
      <c r="L7" s="173">
        <v>0</v>
      </c>
      <c r="M7" s="173">
        <v>2</v>
      </c>
      <c r="N7" s="173">
        <v>0</v>
      </c>
      <c r="O7" s="173">
        <v>2</v>
      </c>
      <c r="P7" s="173">
        <v>2</v>
      </c>
      <c r="Q7" s="173">
        <v>2</v>
      </c>
      <c r="R7" s="173">
        <v>2</v>
      </c>
      <c r="S7" s="173">
        <v>2</v>
      </c>
      <c r="T7" s="173">
        <v>1</v>
      </c>
      <c r="U7" s="173">
        <v>2</v>
      </c>
      <c r="V7" s="173">
        <v>1</v>
      </c>
      <c r="W7" s="173">
        <v>2</v>
      </c>
      <c r="X7" s="173">
        <v>1</v>
      </c>
      <c r="Y7" s="173">
        <v>2</v>
      </c>
      <c r="Z7" s="173">
        <v>0</v>
      </c>
      <c r="AA7" s="173">
        <v>2</v>
      </c>
      <c r="AB7" s="173">
        <v>0</v>
      </c>
      <c r="AC7" s="173">
        <v>2</v>
      </c>
      <c r="AD7" s="173">
        <v>0</v>
      </c>
      <c r="AE7" s="173">
        <v>2</v>
      </c>
      <c r="AF7" s="174">
        <v>1</v>
      </c>
      <c r="AG7" s="173">
        <v>2</v>
      </c>
      <c r="AH7" s="173">
        <v>1</v>
      </c>
      <c r="AI7" s="173">
        <v>2</v>
      </c>
      <c r="AJ7" s="173">
        <v>1</v>
      </c>
      <c r="AK7" s="173">
        <v>2</v>
      </c>
      <c r="AL7" s="173">
        <v>1</v>
      </c>
      <c r="AM7" s="173">
        <v>2</v>
      </c>
      <c r="AN7" s="173">
        <v>5</v>
      </c>
      <c r="AO7" s="173">
        <v>2</v>
      </c>
      <c r="AP7" s="173">
        <v>0</v>
      </c>
      <c r="AQ7" s="173">
        <v>2</v>
      </c>
      <c r="AR7" s="173">
        <v>0</v>
      </c>
    </row>
    <row r="8" spans="1:44" x14ac:dyDescent="0.25">
      <c r="A8" s="170" t="s">
        <v>10</v>
      </c>
      <c r="B8" s="171">
        <v>22</v>
      </c>
      <c r="C8" s="171">
        <f t="shared" si="1"/>
        <v>22</v>
      </c>
      <c r="D8" s="172">
        <f t="shared" si="0"/>
        <v>1</v>
      </c>
      <c r="E8" s="173">
        <v>2</v>
      </c>
      <c r="F8" s="173">
        <v>0</v>
      </c>
      <c r="G8" s="173">
        <v>2</v>
      </c>
      <c r="H8" s="173">
        <v>1</v>
      </c>
      <c r="I8" s="173">
        <v>1</v>
      </c>
      <c r="J8" s="173">
        <v>0</v>
      </c>
      <c r="K8" s="173">
        <v>1</v>
      </c>
      <c r="L8" s="173">
        <v>3</v>
      </c>
      <c r="M8" s="173">
        <v>1</v>
      </c>
      <c r="N8" s="173">
        <v>2</v>
      </c>
      <c r="O8" s="173">
        <v>1</v>
      </c>
      <c r="P8" s="173">
        <v>1</v>
      </c>
      <c r="Q8" s="173">
        <v>1</v>
      </c>
      <c r="R8" s="173">
        <v>1</v>
      </c>
      <c r="S8" s="173">
        <v>1</v>
      </c>
      <c r="T8" s="173">
        <v>3</v>
      </c>
      <c r="U8" s="173">
        <v>1</v>
      </c>
      <c r="V8" s="173">
        <v>0</v>
      </c>
      <c r="W8" s="173">
        <v>1</v>
      </c>
      <c r="X8" s="173">
        <v>2</v>
      </c>
      <c r="Y8" s="173">
        <v>1</v>
      </c>
      <c r="Z8" s="173">
        <v>0</v>
      </c>
      <c r="AA8" s="173">
        <v>1</v>
      </c>
      <c r="AB8" s="173">
        <v>0</v>
      </c>
      <c r="AC8" s="173">
        <v>1</v>
      </c>
      <c r="AD8" s="173">
        <v>3</v>
      </c>
      <c r="AE8" s="173">
        <v>1</v>
      </c>
      <c r="AF8" s="174">
        <v>1</v>
      </c>
      <c r="AG8" s="173">
        <v>1</v>
      </c>
      <c r="AH8" s="174">
        <v>1</v>
      </c>
      <c r="AI8" s="173">
        <v>1</v>
      </c>
      <c r="AJ8" s="174">
        <v>0</v>
      </c>
      <c r="AK8" s="173">
        <v>1</v>
      </c>
      <c r="AL8" s="174">
        <v>2</v>
      </c>
      <c r="AM8" s="173">
        <v>1</v>
      </c>
      <c r="AN8" s="174">
        <v>1</v>
      </c>
      <c r="AO8" s="173">
        <v>1</v>
      </c>
      <c r="AP8" s="174">
        <v>1</v>
      </c>
      <c r="AQ8" s="173">
        <v>1</v>
      </c>
      <c r="AR8" s="174">
        <v>0</v>
      </c>
    </row>
    <row r="9" spans="1:44" x14ac:dyDescent="0.25">
      <c r="A9" s="175" t="s">
        <v>11</v>
      </c>
      <c r="B9" s="176">
        <f>SUM(B4:B8)</f>
        <v>214</v>
      </c>
      <c r="C9" s="176">
        <f>SUM(C4:C8)</f>
        <v>73</v>
      </c>
      <c r="D9" s="177">
        <f t="shared" si="0"/>
        <v>0.34112149532710279</v>
      </c>
      <c r="E9" s="164">
        <f>SUM(E4:E8)</f>
        <v>13</v>
      </c>
      <c r="F9" s="164">
        <f>SUM(F4:F8)</f>
        <v>2</v>
      </c>
      <c r="G9" s="164">
        <f>SUM(G4:G8)</f>
        <v>13</v>
      </c>
      <c r="H9" s="164">
        <f t="shared" ref="H9:Z9" si="2">SUM(H4:H8)</f>
        <v>1</v>
      </c>
      <c r="I9" s="164">
        <f t="shared" si="2"/>
        <v>12</v>
      </c>
      <c r="J9" s="164">
        <f t="shared" si="2"/>
        <v>1</v>
      </c>
      <c r="K9" s="164">
        <f t="shared" si="2"/>
        <v>12</v>
      </c>
      <c r="L9" s="164">
        <f t="shared" si="2"/>
        <v>3</v>
      </c>
      <c r="M9" s="164">
        <f t="shared" si="2"/>
        <v>12</v>
      </c>
      <c r="N9" s="164">
        <f t="shared" si="2"/>
        <v>2</v>
      </c>
      <c r="O9" s="164">
        <f t="shared" si="2"/>
        <v>12</v>
      </c>
      <c r="P9" s="164">
        <f t="shared" si="2"/>
        <v>5</v>
      </c>
      <c r="Q9" s="164">
        <f t="shared" si="2"/>
        <v>12</v>
      </c>
      <c r="R9" s="164">
        <f t="shared" si="2"/>
        <v>3</v>
      </c>
      <c r="S9" s="164">
        <f t="shared" si="2"/>
        <v>12</v>
      </c>
      <c r="T9" s="164">
        <f t="shared" si="2"/>
        <v>5</v>
      </c>
      <c r="U9" s="164">
        <f t="shared" si="2"/>
        <v>12</v>
      </c>
      <c r="V9" s="164">
        <f t="shared" si="2"/>
        <v>2</v>
      </c>
      <c r="W9" s="164">
        <f t="shared" si="2"/>
        <v>12</v>
      </c>
      <c r="X9" s="164">
        <f t="shared" si="2"/>
        <v>4</v>
      </c>
      <c r="Y9" s="164">
        <f t="shared" si="2"/>
        <v>12</v>
      </c>
      <c r="Z9" s="164">
        <f t="shared" si="2"/>
        <v>8</v>
      </c>
      <c r="AA9" s="164">
        <f>SUM(AA4:AA8)</f>
        <v>12</v>
      </c>
      <c r="AB9" s="164">
        <f t="shared" ref="AB9:AD9" si="3">SUM(AB4:AB8)</f>
        <v>0</v>
      </c>
      <c r="AC9" s="164">
        <f>SUM(AC4:AC8)</f>
        <v>12</v>
      </c>
      <c r="AD9" s="164">
        <f t="shared" si="3"/>
        <v>5</v>
      </c>
      <c r="AE9" s="164">
        <f>SUM(AE4:AE8)</f>
        <v>12</v>
      </c>
      <c r="AF9" s="164">
        <f t="shared" ref="AF9:AH9" si="4">SUM(AF4:AF8)</f>
        <v>6</v>
      </c>
      <c r="AG9" s="164">
        <f>SUM(AG4:AG8)</f>
        <v>12</v>
      </c>
      <c r="AH9" s="164">
        <f t="shared" si="4"/>
        <v>4</v>
      </c>
      <c r="AI9" s="164">
        <f>SUM(AI4:AI8)</f>
        <v>12</v>
      </c>
      <c r="AJ9" s="164">
        <f t="shared" ref="AJ9:AL9" si="5">SUM(AJ4:AJ8)</f>
        <v>2</v>
      </c>
      <c r="AK9" s="164">
        <f>SUM(AK4:AK8)</f>
        <v>12</v>
      </c>
      <c r="AL9" s="164">
        <f t="shared" si="5"/>
        <v>7</v>
      </c>
      <c r="AM9" s="164">
        <f>SUM(AM4:AM8)</f>
        <v>12</v>
      </c>
      <c r="AN9" s="164">
        <f t="shared" ref="AN9" si="6">SUM(AN4:AN8)</f>
        <v>10</v>
      </c>
      <c r="AO9" s="164">
        <f>SUM(AO4:AO8)</f>
        <v>12</v>
      </c>
      <c r="AP9" s="164">
        <f>SUM(AP4:AP8)</f>
        <v>3</v>
      </c>
      <c r="AQ9" s="164">
        <f>SUM(AQ4:AQ8)</f>
        <v>12</v>
      </c>
      <c r="AR9" s="164">
        <f t="shared" ref="AR9" si="7">SUM(AR4:AR8)</f>
        <v>0</v>
      </c>
    </row>
    <row r="10" spans="1:44" s="163" customFormat="1" x14ac:dyDescent="0.25">
      <c r="A10" s="37" t="s">
        <v>12</v>
      </c>
      <c r="B10" s="39">
        <f>C9+G25</f>
        <v>243</v>
      </c>
      <c r="C10" s="178"/>
      <c r="D10" s="179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178"/>
      <c r="U10" s="178"/>
      <c r="V10" s="178"/>
      <c r="W10" s="178"/>
      <c r="X10" s="178"/>
      <c r="Y10" s="178"/>
      <c r="Z10" s="178"/>
      <c r="AA10" s="178"/>
      <c r="AB10" s="178"/>
      <c r="AC10" s="178"/>
      <c r="AD10" s="178"/>
      <c r="AE10" s="178"/>
      <c r="AF10" s="178"/>
      <c r="AG10" s="178"/>
      <c r="AH10" s="178"/>
      <c r="AI10" s="178"/>
      <c r="AJ10" s="178"/>
      <c r="AK10" s="178"/>
      <c r="AL10" s="178"/>
      <c r="AM10" s="178"/>
      <c r="AN10" s="178"/>
      <c r="AO10" s="178"/>
      <c r="AP10" s="178"/>
      <c r="AQ10" s="178"/>
      <c r="AR10" s="178"/>
    </row>
    <row r="11" spans="1:44" x14ac:dyDescent="0.25">
      <c r="A11" s="37" t="s">
        <v>13</v>
      </c>
      <c r="B11" s="39">
        <f>B10-B9</f>
        <v>29</v>
      </c>
      <c r="C11" s="180"/>
    </row>
    <row r="12" spans="1:44" ht="12.6" thickBot="1" x14ac:dyDescent="0.3"/>
    <row r="13" spans="1:44" ht="15" thickBot="1" x14ac:dyDescent="0.35">
      <c r="A13" s="277" t="s">
        <v>341</v>
      </c>
      <c r="B13" s="278"/>
      <c r="C13" s="278"/>
      <c r="D13" s="278"/>
      <c r="E13" s="278"/>
      <c r="F13" s="278"/>
      <c r="G13" s="279"/>
    </row>
    <row r="14" spans="1:44" x14ac:dyDescent="0.25">
      <c r="A14" s="181" t="s">
        <v>14</v>
      </c>
      <c r="B14" s="182" t="s">
        <v>55</v>
      </c>
      <c r="C14" s="183" t="s">
        <v>6</v>
      </c>
      <c r="D14" s="183" t="s">
        <v>7</v>
      </c>
      <c r="E14" s="183" t="s">
        <v>9</v>
      </c>
      <c r="F14" s="183" t="s">
        <v>10</v>
      </c>
      <c r="G14" s="183" t="s">
        <v>11</v>
      </c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</row>
    <row r="15" spans="1:44" ht="15" customHeight="1" x14ac:dyDescent="0.25">
      <c r="A15" s="185" t="s">
        <v>15</v>
      </c>
      <c r="B15" s="186">
        <v>3</v>
      </c>
      <c r="C15" s="186">
        <v>1</v>
      </c>
      <c r="D15" s="186">
        <v>1</v>
      </c>
      <c r="E15" s="186">
        <v>6</v>
      </c>
      <c r="F15" s="186">
        <v>11</v>
      </c>
      <c r="G15" s="187">
        <f>SUM(B15:F15)</f>
        <v>22</v>
      </c>
    </row>
    <row r="16" spans="1:44" ht="15" customHeight="1" x14ac:dyDescent="0.25">
      <c r="A16" s="185" t="s">
        <v>16</v>
      </c>
      <c r="B16" s="186">
        <v>2</v>
      </c>
      <c r="C16" s="186">
        <v>3</v>
      </c>
      <c r="D16" s="186">
        <v>0</v>
      </c>
      <c r="E16" s="186">
        <v>10</v>
      </c>
      <c r="F16" s="186">
        <v>6</v>
      </c>
      <c r="G16" s="187">
        <f>SUM(B16:F16)</f>
        <v>21</v>
      </c>
      <c r="K16" s="184"/>
      <c r="L16" s="184"/>
      <c r="M16" s="184"/>
    </row>
    <row r="17" spans="1:16" ht="15" customHeight="1" x14ac:dyDescent="0.25">
      <c r="A17" s="185" t="s">
        <v>17</v>
      </c>
      <c r="B17" s="186">
        <v>36</v>
      </c>
      <c r="C17" s="186">
        <v>0</v>
      </c>
      <c r="D17" s="186">
        <v>1</v>
      </c>
      <c r="E17" s="186">
        <v>0</v>
      </c>
      <c r="F17" s="186">
        <v>2</v>
      </c>
      <c r="G17" s="187">
        <f>SUM(B17:F17)</f>
        <v>39</v>
      </c>
      <c r="J17" s="188"/>
    </row>
    <row r="18" spans="1:16" ht="15" customHeight="1" x14ac:dyDescent="0.25">
      <c r="A18" s="185" t="s">
        <v>18</v>
      </c>
      <c r="B18" s="186">
        <v>0</v>
      </c>
      <c r="C18" s="186">
        <v>1</v>
      </c>
      <c r="D18" s="186">
        <v>0</v>
      </c>
      <c r="E18" s="186">
        <v>0</v>
      </c>
      <c r="F18" s="186">
        <v>2</v>
      </c>
      <c r="G18" s="187">
        <f>SUM(B18:F18)</f>
        <v>3</v>
      </c>
    </row>
    <row r="19" spans="1:16" ht="15" customHeight="1" x14ac:dyDescent="0.25">
      <c r="A19" s="182" t="s">
        <v>19</v>
      </c>
      <c r="B19" s="182" t="s">
        <v>55</v>
      </c>
      <c r="C19" s="183" t="s">
        <v>6</v>
      </c>
      <c r="D19" s="183" t="s">
        <v>7</v>
      </c>
      <c r="E19" s="183" t="s">
        <v>9</v>
      </c>
      <c r="F19" s="183" t="s">
        <v>10</v>
      </c>
      <c r="G19" s="183" t="s">
        <v>11</v>
      </c>
    </row>
    <row r="20" spans="1:16" ht="15" customHeight="1" x14ac:dyDescent="0.25">
      <c r="A20" s="185" t="s">
        <v>51</v>
      </c>
      <c r="B20" s="186">
        <v>238</v>
      </c>
      <c r="C20" s="186">
        <v>181</v>
      </c>
      <c r="D20" s="186">
        <v>241</v>
      </c>
      <c r="E20" s="186">
        <v>149</v>
      </c>
      <c r="F20" s="190">
        <v>85</v>
      </c>
      <c r="G20" s="187">
        <f t="shared" ref="G20:G28" si="8">SUM(B20:F20)</f>
        <v>894</v>
      </c>
      <c r="P20" s="54"/>
    </row>
    <row r="21" spans="1:16" ht="15" customHeight="1" x14ac:dyDescent="0.25">
      <c r="A21" s="185" t="s">
        <v>21</v>
      </c>
      <c r="B21" s="186">
        <v>62</v>
      </c>
      <c r="C21" s="186">
        <v>40</v>
      </c>
      <c r="D21" s="186">
        <v>25</v>
      </c>
      <c r="E21" s="186">
        <v>44</v>
      </c>
      <c r="F21" s="190">
        <v>27</v>
      </c>
      <c r="G21" s="187">
        <f t="shared" si="8"/>
        <v>198</v>
      </c>
      <c r="J21" s="188"/>
    </row>
    <row r="22" spans="1:16" s="192" customFormat="1" ht="15" customHeight="1" x14ac:dyDescent="0.25">
      <c r="A22" s="185" t="s">
        <v>22</v>
      </c>
      <c r="B22" s="186">
        <v>25</v>
      </c>
      <c r="C22" s="186">
        <v>7</v>
      </c>
      <c r="D22" s="186">
        <v>5</v>
      </c>
      <c r="E22" s="186">
        <v>15</v>
      </c>
      <c r="F22" s="190">
        <v>12</v>
      </c>
      <c r="G22" s="187">
        <f t="shared" si="8"/>
        <v>64</v>
      </c>
      <c r="H22" s="191"/>
      <c r="K22" s="189"/>
    </row>
    <row r="23" spans="1:16" ht="15" customHeight="1" x14ac:dyDescent="0.25">
      <c r="A23" s="185" t="s">
        <v>73</v>
      </c>
      <c r="B23" s="186">
        <v>4</v>
      </c>
      <c r="C23" s="186">
        <v>0</v>
      </c>
      <c r="D23" s="186">
        <v>0</v>
      </c>
      <c r="E23" s="186">
        <v>0</v>
      </c>
      <c r="F23" s="190">
        <v>0</v>
      </c>
      <c r="G23" s="187">
        <f t="shared" si="8"/>
        <v>4</v>
      </c>
      <c r="K23" s="189"/>
    </row>
    <row r="24" spans="1:16" ht="15" customHeight="1" x14ac:dyDescent="0.25">
      <c r="A24" s="185" t="s">
        <v>23</v>
      </c>
      <c r="B24" s="186">
        <v>8</v>
      </c>
      <c r="C24" s="186">
        <v>3</v>
      </c>
      <c r="D24" s="186">
        <v>17</v>
      </c>
      <c r="E24" s="186">
        <v>6</v>
      </c>
      <c r="F24" s="190">
        <v>3</v>
      </c>
      <c r="G24" s="187">
        <f t="shared" si="8"/>
        <v>37</v>
      </c>
    </row>
    <row r="25" spans="1:16" ht="15" customHeight="1" x14ac:dyDescent="0.25">
      <c r="A25" s="185" t="s">
        <v>24</v>
      </c>
      <c r="B25" s="186">
        <v>62</v>
      </c>
      <c r="C25" s="186">
        <v>34</v>
      </c>
      <c r="D25" s="186">
        <v>18</v>
      </c>
      <c r="E25" s="186">
        <v>34</v>
      </c>
      <c r="F25" s="190">
        <v>22</v>
      </c>
      <c r="G25" s="187">
        <f>SUM(B25:F25)</f>
        <v>170</v>
      </c>
      <c r="H25" s="188"/>
    </row>
    <row r="26" spans="1:16" ht="15" customHeight="1" x14ac:dyDescent="0.25">
      <c r="A26" s="185" t="s">
        <v>25</v>
      </c>
      <c r="B26" s="186">
        <v>25</v>
      </c>
      <c r="C26" s="186">
        <v>10</v>
      </c>
      <c r="D26" s="186">
        <v>2</v>
      </c>
      <c r="E26" s="186">
        <v>18</v>
      </c>
      <c r="F26" s="190">
        <v>2</v>
      </c>
      <c r="G26" s="187">
        <f t="shared" si="8"/>
        <v>57</v>
      </c>
      <c r="H26" s="188"/>
    </row>
    <row r="27" spans="1:16" ht="15" customHeight="1" x14ac:dyDescent="0.25">
      <c r="A27" s="185" t="s">
        <v>26</v>
      </c>
      <c r="B27" s="186">
        <v>3</v>
      </c>
      <c r="C27" s="186">
        <v>2</v>
      </c>
      <c r="D27" s="186">
        <v>2</v>
      </c>
      <c r="E27" s="186">
        <v>5</v>
      </c>
      <c r="F27" s="190">
        <v>8</v>
      </c>
      <c r="G27" s="187">
        <f t="shared" si="8"/>
        <v>20</v>
      </c>
      <c r="H27" s="188"/>
    </row>
    <row r="28" spans="1:16" ht="15" customHeight="1" x14ac:dyDescent="0.25">
      <c r="A28" s="185" t="s">
        <v>334</v>
      </c>
      <c r="B28" s="174">
        <v>20</v>
      </c>
      <c r="C28" s="193">
        <v>11</v>
      </c>
      <c r="D28" s="193">
        <v>3</v>
      </c>
      <c r="E28" s="193">
        <v>17</v>
      </c>
      <c r="F28" s="194">
        <v>22</v>
      </c>
      <c r="G28" s="187">
        <f t="shared" si="8"/>
        <v>73</v>
      </c>
    </row>
    <row r="29" spans="1:16" ht="15" customHeight="1" x14ac:dyDescent="0.25">
      <c r="A29" s="185" t="s">
        <v>335</v>
      </c>
      <c r="B29" s="195">
        <v>373</v>
      </c>
      <c r="C29" s="196">
        <v>249</v>
      </c>
      <c r="D29" s="196">
        <v>333</v>
      </c>
      <c r="E29" s="196">
        <v>307</v>
      </c>
      <c r="F29" s="197">
        <v>179</v>
      </c>
      <c r="G29" s="187">
        <f>SUM(B29:F29)</f>
        <v>1441</v>
      </c>
    </row>
    <row r="30" spans="1:16" x14ac:dyDescent="0.25">
      <c r="A30" s="198" t="s">
        <v>11</v>
      </c>
      <c r="B30" s="199">
        <f>SUM(B15:B27)</f>
        <v>468</v>
      </c>
      <c r="C30" s="199">
        <f>SUM(C15:C27)</f>
        <v>282</v>
      </c>
      <c r="D30" s="199">
        <f>SUM(D15:D29)</f>
        <v>648</v>
      </c>
      <c r="E30" s="199">
        <f>SUM(E15:E27)</f>
        <v>287</v>
      </c>
      <c r="F30" s="199">
        <f>SUM(F15:F27)</f>
        <v>180</v>
      </c>
      <c r="G30" s="200"/>
    </row>
    <row r="33" spans="1:26" ht="12.6" thickBot="1" x14ac:dyDescent="0.3">
      <c r="A33" s="281" t="s">
        <v>336</v>
      </c>
      <c r="B33" s="282"/>
      <c r="C33" s="282"/>
      <c r="D33" s="283"/>
      <c r="E33" s="284">
        <v>15</v>
      </c>
      <c r="F33" s="284"/>
      <c r="G33" s="284">
        <v>16</v>
      </c>
      <c r="H33" s="284"/>
      <c r="I33" s="284">
        <v>17</v>
      </c>
      <c r="J33" s="284"/>
      <c r="K33" s="284">
        <v>20</v>
      </c>
      <c r="L33" s="284"/>
      <c r="M33" s="280">
        <v>22</v>
      </c>
      <c r="N33" s="280"/>
      <c r="O33" s="280">
        <v>23</v>
      </c>
      <c r="P33" s="280"/>
      <c r="Q33" s="280">
        <v>24</v>
      </c>
      <c r="R33" s="280"/>
      <c r="S33" s="280">
        <v>27</v>
      </c>
      <c r="T33" s="280"/>
      <c r="U33" s="280">
        <v>28</v>
      </c>
      <c r="V33" s="280"/>
      <c r="W33" s="280">
        <v>29</v>
      </c>
      <c r="X33" s="280"/>
      <c r="Y33" s="280">
        <v>30</v>
      </c>
      <c r="Z33" s="280"/>
    </row>
    <row r="34" spans="1:26" x14ac:dyDescent="0.25">
      <c r="A34" s="201" t="s">
        <v>1</v>
      </c>
      <c r="B34" s="201" t="s">
        <v>2</v>
      </c>
      <c r="C34" s="201" t="s">
        <v>3</v>
      </c>
      <c r="D34" s="202" t="s">
        <v>4</v>
      </c>
      <c r="E34" s="168" t="s">
        <v>2</v>
      </c>
      <c r="F34" s="169" t="s">
        <v>5</v>
      </c>
      <c r="G34" s="168" t="s">
        <v>2</v>
      </c>
      <c r="H34" s="169" t="s">
        <v>5</v>
      </c>
      <c r="I34" s="168" t="s">
        <v>2</v>
      </c>
      <c r="J34" s="169" t="s">
        <v>5</v>
      </c>
      <c r="K34" s="168" t="s">
        <v>2</v>
      </c>
      <c r="L34" s="169" t="s">
        <v>5</v>
      </c>
      <c r="M34" s="168" t="s">
        <v>2</v>
      </c>
      <c r="N34" s="169" t="s">
        <v>5</v>
      </c>
      <c r="O34" s="168" t="s">
        <v>2</v>
      </c>
      <c r="P34" s="169" t="s">
        <v>5</v>
      </c>
      <c r="Q34" s="168" t="s">
        <v>2</v>
      </c>
      <c r="R34" s="169" t="s">
        <v>5</v>
      </c>
      <c r="S34" s="168" t="s">
        <v>2</v>
      </c>
      <c r="T34" s="169" t="s">
        <v>5</v>
      </c>
      <c r="U34" s="168" t="s">
        <v>2</v>
      </c>
      <c r="V34" s="169" t="s">
        <v>5</v>
      </c>
      <c r="W34" s="168" t="s">
        <v>2</v>
      </c>
      <c r="X34" s="169" t="s">
        <v>5</v>
      </c>
      <c r="Y34" s="168" t="s">
        <v>2</v>
      </c>
      <c r="Z34" s="169" t="s">
        <v>5</v>
      </c>
    </row>
    <row r="35" spans="1:26" x14ac:dyDescent="0.25">
      <c r="A35" s="170" t="s">
        <v>55</v>
      </c>
      <c r="B35" s="203">
        <v>360</v>
      </c>
      <c r="C35" s="203">
        <f>F35+H35+J35+L35+N35+P35+R35+T35+V35+X35+Z35</f>
        <v>295</v>
      </c>
      <c r="D35" s="204">
        <f t="shared" ref="D35:D40" si="9">C35/B35</f>
        <v>0.81944444444444442</v>
      </c>
      <c r="E35" s="173">
        <v>33</v>
      </c>
      <c r="F35" s="173">
        <v>33</v>
      </c>
      <c r="G35" s="173">
        <v>33</v>
      </c>
      <c r="H35" s="173">
        <v>32</v>
      </c>
      <c r="I35" s="173">
        <v>33</v>
      </c>
      <c r="J35" s="173">
        <v>0</v>
      </c>
      <c r="K35" s="173">
        <v>33</v>
      </c>
      <c r="L35" s="173">
        <v>33</v>
      </c>
      <c r="M35" s="173">
        <v>33</v>
      </c>
      <c r="N35" s="173">
        <v>33</v>
      </c>
      <c r="O35" s="173">
        <v>33</v>
      </c>
      <c r="P35" s="173">
        <v>0</v>
      </c>
      <c r="Q35" s="173">
        <v>33</v>
      </c>
      <c r="R35" s="173">
        <v>0</v>
      </c>
      <c r="S35" s="173">
        <v>33</v>
      </c>
      <c r="T35" s="173">
        <v>32</v>
      </c>
      <c r="U35" s="173">
        <v>33</v>
      </c>
      <c r="V35" s="173">
        <v>31</v>
      </c>
      <c r="W35" s="173">
        <v>33</v>
      </c>
      <c r="X35" s="173">
        <v>31</v>
      </c>
      <c r="Y35" s="173">
        <v>33</v>
      </c>
      <c r="Z35" s="173">
        <v>70</v>
      </c>
    </row>
    <row r="36" spans="1:26" x14ac:dyDescent="0.25">
      <c r="A36" s="170" t="s">
        <v>6</v>
      </c>
      <c r="B36" s="203">
        <v>197</v>
      </c>
      <c r="C36" s="203">
        <f t="shared" ref="C36:C39" si="10">F36+H36+J36+L36+N36+P36+R36+T36+V36+X36+Z36</f>
        <v>185</v>
      </c>
      <c r="D36" s="204">
        <f t="shared" si="9"/>
        <v>0.93908629441624369</v>
      </c>
      <c r="E36" s="173">
        <v>18</v>
      </c>
      <c r="F36" s="173">
        <v>7</v>
      </c>
      <c r="G36" s="173">
        <v>18</v>
      </c>
      <c r="H36" s="173">
        <v>14</v>
      </c>
      <c r="I36" s="173">
        <v>18</v>
      </c>
      <c r="J36" s="173">
        <v>2</v>
      </c>
      <c r="K36" s="173">
        <v>18</v>
      </c>
      <c r="L36" s="173">
        <v>20</v>
      </c>
      <c r="M36" s="173">
        <v>18</v>
      </c>
      <c r="N36" s="173">
        <v>23</v>
      </c>
      <c r="O36" s="173">
        <v>18</v>
      </c>
      <c r="P36" s="173">
        <v>1</v>
      </c>
      <c r="Q36" s="173">
        <v>18</v>
      </c>
      <c r="R36" s="174">
        <v>31</v>
      </c>
      <c r="S36" s="173">
        <v>18</v>
      </c>
      <c r="T36" s="173">
        <v>16</v>
      </c>
      <c r="U36" s="173">
        <v>18</v>
      </c>
      <c r="V36" s="173">
        <v>18</v>
      </c>
      <c r="W36" s="173">
        <v>18</v>
      </c>
      <c r="X36" s="173">
        <v>23</v>
      </c>
      <c r="Y36" s="173">
        <v>18</v>
      </c>
      <c r="Z36" s="173">
        <v>30</v>
      </c>
    </row>
    <row r="37" spans="1:26" x14ac:dyDescent="0.25">
      <c r="A37" s="170" t="s">
        <v>7</v>
      </c>
      <c r="B37" s="203">
        <v>218</v>
      </c>
      <c r="C37" s="203">
        <f t="shared" si="10"/>
        <v>218</v>
      </c>
      <c r="D37" s="204">
        <f t="shared" si="9"/>
        <v>1</v>
      </c>
      <c r="E37" s="173">
        <v>20</v>
      </c>
      <c r="F37" s="173">
        <v>20</v>
      </c>
      <c r="G37" s="173">
        <v>20</v>
      </c>
      <c r="H37" s="173">
        <v>26</v>
      </c>
      <c r="I37" s="173">
        <v>20</v>
      </c>
      <c r="J37" s="173">
        <v>22</v>
      </c>
      <c r="K37" s="173">
        <v>20</v>
      </c>
      <c r="L37" s="173">
        <v>21</v>
      </c>
      <c r="M37" s="173">
        <v>20</v>
      </c>
      <c r="N37" s="173">
        <v>25</v>
      </c>
      <c r="O37" s="173">
        <v>20</v>
      </c>
      <c r="P37" s="173">
        <v>20</v>
      </c>
      <c r="Q37" s="173">
        <v>20</v>
      </c>
      <c r="R37" s="174">
        <v>26</v>
      </c>
      <c r="S37" s="173">
        <v>20</v>
      </c>
      <c r="T37" s="173">
        <v>12</v>
      </c>
      <c r="U37" s="173">
        <v>20</v>
      </c>
      <c r="V37" s="173">
        <v>22</v>
      </c>
      <c r="W37" s="173">
        <v>20</v>
      </c>
      <c r="X37" s="173">
        <v>23</v>
      </c>
      <c r="Y37" s="173">
        <v>20</v>
      </c>
      <c r="Z37" s="173">
        <v>1</v>
      </c>
    </row>
    <row r="38" spans="1:26" x14ac:dyDescent="0.25">
      <c r="A38" s="170" t="s">
        <v>9</v>
      </c>
      <c r="B38" s="203">
        <v>187</v>
      </c>
      <c r="C38" s="203">
        <f t="shared" si="10"/>
        <v>190</v>
      </c>
      <c r="D38" s="204">
        <f t="shared" si="9"/>
        <v>1.0160427807486632</v>
      </c>
      <c r="E38" s="173">
        <v>17</v>
      </c>
      <c r="F38" s="173">
        <v>20</v>
      </c>
      <c r="G38" s="173">
        <v>17</v>
      </c>
      <c r="H38" s="173">
        <v>17</v>
      </c>
      <c r="I38" s="173">
        <v>17</v>
      </c>
      <c r="J38" s="173">
        <v>12</v>
      </c>
      <c r="K38" s="173">
        <v>17</v>
      </c>
      <c r="L38" s="173">
        <v>0</v>
      </c>
      <c r="M38" s="173">
        <v>17</v>
      </c>
      <c r="N38" s="173">
        <v>17</v>
      </c>
      <c r="O38" s="173">
        <v>17</v>
      </c>
      <c r="P38" s="173">
        <v>23</v>
      </c>
      <c r="Q38" s="173">
        <v>17</v>
      </c>
      <c r="R38" s="174">
        <v>20</v>
      </c>
      <c r="S38" s="173">
        <v>17</v>
      </c>
      <c r="T38" s="173">
        <v>23</v>
      </c>
      <c r="U38" s="173">
        <v>17</v>
      </c>
      <c r="V38" s="173">
        <v>20</v>
      </c>
      <c r="W38" s="173">
        <v>17</v>
      </c>
      <c r="X38" s="173">
        <v>19</v>
      </c>
      <c r="Y38" s="173">
        <v>17</v>
      </c>
      <c r="Z38" s="173">
        <v>19</v>
      </c>
    </row>
    <row r="39" spans="1:26" x14ac:dyDescent="0.25">
      <c r="A39" s="170" t="s">
        <v>10</v>
      </c>
      <c r="B39" s="203">
        <v>112</v>
      </c>
      <c r="C39" s="203">
        <f t="shared" si="10"/>
        <v>115</v>
      </c>
      <c r="D39" s="204">
        <f t="shared" si="9"/>
        <v>1.0267857142857142</v>
      </c>
      <c r="E39" s="173">
        <v>12</v>
      </c>
      <c r="F39" s="173">
        <v>12</v>
      </c>
      <c r="G39" s="173">
        <v>12</v>
      </c>
      <c r="H39" s="173">
        <v>13</v>
      </c>
      <c r="I39" s="173">
        <v>13</v>
      </c>
      <c r="J39" s="173">
        <v>0</v>
      </c>
      <c r="K39" s="173">
        <v>12</v>
      </c>
      <c r="L39" s="173">
        <v>1</v>
      </c>
      <c r="M39" s="173">
        <v>12</v>
      </c>
      <c r="N39" s="173">
        <v>4</v>
      </c>
      <c r="O39" s="173">
        <v>12</v>
      </c>
      <c r="P39" s="173">
        <v>15</v>
      </c>
      <c r="Q39" s="173">
        <v>12</v>
      </c>
      <c r="R39" s="174">
        <v>32</v>
      </c>
      <c r="S39" s="173">
        <v>12</v>
      </c>
      <c r="T39" s="173">
        <v>4</v>
      </c>
      <c r="U39" s="173">
        <v>12</v>
      </c>
      <c r="V39" s="173">
        <v>2</v>
      </c>
      <c r="W39" s="173">
        <v>12</v>
      </c>
      <c r="X39" s="173">
        <v>28</v>
      </c>
      <c r="Y39" s="173">
        <v>12</v>
      </c>
      <c r="Z39" s="173">
        <v>4</v>
      </c>
    </row>
    <row r="40" spans="1:26" x14ac:dyDescent="0.25">
      <c r="A40" s="164" t="s">
        <v>11</v>
      </c>
      <c r="B40" s="164">
        <f>SUM(B35:B39)</f>
        <v>1074</v>
      </c>
      <c r="C40" s="164">
        <f>SUM(C35:C39)</f>
        <v>1003</v>
      </c>
      <c r="D40" s="205">
        <f t="shared" si="9"/>
        <v>0.93389199255121047</v>
      </c>
      <c r="E40" s="164">
        <f t="shared" ref="E40:Z40" si="11">SUM(E35:E39)</f>
        <v>100</v>
      </c>
      <c r="F40" s="164">
        <f t="shared" si="11"/>
        <v>92</v>
      </c>
      <c r="G40" s="164">
        <f t="shared" si="11"/>
        <v>100</v>
      </c>
      <c r="H40" s="164">
        <f t="shared" si="11"/>
        <v>102</v>
      </c>
      <c r="I40" s="164">
        <f t="shared" si="11"/>
        <v>101</v>
      </c>
      <c r="J40" s="164">
        <f t="shared" si="11"/>
        <v>36</v>
      </c>
      <c r="K40" s="164">
        <f t="shared" si="11"/>
        <v>100</v>
      </c>
      <c r="L40" s="164">
        <f t="shared" si="11"/>
        <v>75</v>
      </c>
      <c r="M40" s="164">
        <f t="shared" si="11"/>
        <v>100</v>
      </c>
      <c r="N40" s="164">
        <f t="shared" si="11"/>
        <v>102</v>
      </c>
      <c r="O40" s="164">
        <f t="shared" si="11"/>
        <v>100</v>
      </c>
      <c r="P40" s="164">
        <f t="shared" si="11"/>
        <v>59</v>
      </c>
      <c r="Q40" s="164">
        <f t="shared" si="11"/>
        <v>100</v>
      </c>
      <c r="R40" s="164">
        <f t="shared" si="11"/>
        <v>109</v>
      </c>
      <c r="S40" s="164">
        <f t="shared" si="11"/>
        <v>100</v>
      </c>
      <c r="T40" s="164">
        <f t="shared" si="11"/>
        <v>87</v>
      </c>
      <c r="U40" s="164">
        <f t="shared" si="11"/>
        <v>100</v>
      </c>
      <c r="V40" s="164">
        <f t="shared" si="11"/>
        <v>93</v>
      </c>
      <c r="W40" s="164">
        <f t="shared" si="11"/>
        <v>100</v>
      </c>
      <c r="X40" s="164">
        <f t="shared" si="11"/>
        <v>124</v>
      </c>
      <c r="Y40" s="164">
        <f t="shared" si="11"/>
        <v>100</v>
      </c>
      <c r="Z40" s="164">
        <f t="shared" si="11"/>
        <v>124</v>
      </c>
    </row>
    <row r="43" spans="1:26" ht="13.2" x14ac:dyDescent="0.25">
      <c r="A43" s="60" t="s">
        <v>332</v>
      </c>
      <c r="B43" s="60" t="s">
        <v>329</v>
      </c>
      <c r="C43" s="189"/>
      <c r="D43" s="189"/>
    </row>
    <row r="44" spans="1:26" ht="13.2" x14ac:dyDescent="0.25">
      <c r="A44" s="60" t="s">
        <v>55</v>
      </c>
      <c r="B44" s="61">
        <f>'EVOLUCAO DOS MESES'!C30</f>
        <v>10329.067491</v>
      </c>
      <c r="C44" s="189"/>
      <c r="D44" s="189"/>
    </row>
    <row r="45" spans="1:26" ht="13.2" x14ac:dyDescent="0.25">
      <c r="A45" s="60" t="s">
        <v>6</v>
      </c>
      <c r="B45" s="61">
        <f>'EVOLUCAO DOS MESES'!C31</f>
        <v>18007.919999999998</v>
      </c>
      <c r="C45" s="189"/>
      <c r="D45" s="189"/>
    </row>
    <row r="46" spans="1:26" ht="13.2" x14ac:dyDescent="0.25">
      <c r="A46" s="60" t="s">
        <v>7</v>
      </c>
      <c r="B46" s="61">
        <f>'EVOLUCAO DOS MESES'!C32</f>
        <v>2195.42</v>
      </c>
      <c r="C46" s="189"/>
      <c r="D46" s="189"/>
    </row>
    <row r="47" spans="1:26" ht="13.2" x14ac:dyDescent="0.25">
      <c r="A47" s="60" t="s">
        <v>8</v>
      </c>
      <c r="B47" s="61">
        <f>'EVOLUCAO DOS MESES'!C33</f>
        <v>0</v>
      </c>
      <c r="C47" s="189"/>
      <c r="D47" s="189"/>
    </row>
    <row r="48" spans="1:26" ht="13.2" x14ac:dyDescent="0.25">
      <c r="A48" s="64" t="s">
        <v>56</v>
      </c>
      <c r="B48" s="61">
        <f>'EVOLUCAO DOS MESES'!C34</f>
        <v>42478.135700000006</v>
      </c>
    </row>
    <row r="49" spans="1:2" ht="13.2" x14ac:dyDescent="0.25">
      <c r="A49" s="60" t="s">
        <v>10</v>
      </c>
      <c r="B49" s="61">
        <f>'EVOLUCAO DOS MESES'!C35</f>
        <v>53914.6</v>
      </c>
    </row>
    <row r="50" spans="1:2" ht="13.2" x14ac:dyDescent="0.25">
      <c r="A50" s="60" t="s">
        <v>342</v>
      </c>
      <c r="B50" s="61">
        <f>SUM(B44:B49)</f>
        <v>126925.14319100001</v>
      </c>
    </row>
  </sheetData>
  <mergeCells count="34">
    <mergeCell ref="AM2:AN2"/>
    <mergeCell ref="AA2:AB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W33:X33"/>
    <mergeCell ref="Y33:Z33"/>
    <mergeCell ref="AO2:AP2"/>
    <mergeCell ref="AQ2:AR2"/>
    <mergeCell ref="A33:D33"/>
    <mergeCell ref="E33:F33"/>
    <mergeCell ref="G33:H33"/>
    <mergeCell ref="I33:J33"/>
    <mergeCell ref="K33:L33"/>
    <mergeCell ref="M33:N33"/>
    <mergeCell ref="O33:P33"/>
    <mergeCell ref="AC2:AD2"/>
    <mergeCell ref="AE2:AF2"/>
    <mergeCell ref="AG2:AH2"/>
    <mergeCell ref="AI2:AJ2"/>
    <mergeCell ref="AK2:AL2"/>
    <mergeCell ref="A2:D2"/>
    <mergeCell ref="A13:G13"/>
    <mergeCell ref="Q33:R33"/>
    <mergeCell ref="S33:T33"/>
    <mergeCell ref="U33:V33"/>
  </mergeCells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38C8-753C-4C9B-AEEF-41D018BDD9AA}">
  <sheetPr>
    <tabColor theme="8" tint="-0.249977111117893"/>
  </sheetPr>
  <dimension ref="A2:AR50"/>
  <sheetViews>
    <sheetView workbookViewId="0">
      <selection activeCell="C40" sqref="C40"/>
    </sheetView>
  </sheetViews>
  <sheetFormatPr defaultColWidth="9.109375" defaultRowHeight="12" x14ac:dyDescent="0.25"/>
  <cols>
    <col min="1" max="1" width="31.109375" style="30" customWidth="1"/>
    <col min="2" max="2" width="14.33203125" style="37" bestFit="1" customWidth="1"/>
    <col min="3" max="3" width="8.33203125" style="30" customWidth="1"/>
    <col min="4" max="4" width="9.109375" style="30"/>
    <col min="5" max="5" width="8.44140625" style="30" customWidth="1"/>
    <col min="6" max="6" width="9.109375" style="30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16384" width="9.109375" style="30"/>
  </cols>
  <sheetData>
    <row r="2" spans="1:44" ht="12.6" thickBot="1" x14ac:dyDescent="0.3">
      <c r="A2" s="165" t="s">
        <v>329</v>
      </c>
      <c r="B2" s="228">
        <f>'EVOLUCAO DOS MESES'!D12</f>
        <v>54222.463099999986</v>
      </c>
    </row>
    <row r="3" spans="1:44" ht="12.6" thickBot="1" x14ac:dyDescent="0.3">
      <c r="A3" s="274" t="s">
        <v>337</v>
      </c>
      <c r="B3" s="275"/>
      <c r="C3" s="275"/>
      <c r="D3" s="276"/>
      <c r="E3" s="289">
        <v>4</v>
      </c>
      <c r="F3" s="288"/>
      <c r="G3" s="286">
        <v>5</v>
      </c>
      <c r="H3" s="286"/>
      <c r="I3" s="286">
        <v>6</v>
      </c>
      <c r="J3" s="286"/>
      <c r="K3" s="286">
        <v>7</v>
      </c>
      <c r="L3" s="286"/>
      <c r="M3" s="286">
        <v>8</v>
      </c>
      <c r="N3" s="286"/>
      <c r="O3" s="286">
        <v>11</v>
      </c>
      <c r="P3" s="286"/>
      <c r="Q3" s="285">
        <v>12</v>
      </c>
      <c r="R3" s="285"/>
      <c r="S3" s="285">
        <v>13</v>
      </c>
      <c r="T3" s="285"/>
      <c r="U3" s="285">
        <v>14</v>
      </c>
      <c r="V3" s="285"/>
      <c r="W3" s="285">
        <v>15</v>
      </c>
      <c r="X3" s="285"/>
      <c r="Y3" s="286">
        <v>18</v>
      </c>
      <c r="Z3" s="286"/>
      <c r="AA3" s="286">
        <v>19</v>
      </c>
      <c r="AB3" s="286"/>
      <c r="AC3" s="285">
        <v>20</v>
      </c>
      <c r="AD3" s="285"/>
      <c r="AE3" s="285">
        <v>21</v>
      </c>
      <c r="AF3" s="285"/>
      <c r="AG3" s="285">
        <v>22</v>
      </c>
      <c r="AH3" s="285"/>
      <c r="AI3" s="285">
        <v>25</v>
      </c>
      <c r="AJ3" s="285"/>
      <c r="AK3" s="285">
        <v>26</v>
      </c>
      <c r="AL3" s="285"/>
      <c r="AM3" s="285">
        <v>27</v>
      </c>
      <c r="AN3" s="285"/>
      <c r="AO3" s="285">
        <v>28</v>
      </c>
      <c r="AP3" s="285"/>
      <c r="AQ3" s="285">
        <v>29</v>
      </c>
      <c r="AR3" s="285"/>
    </row>
    <row r="4" spans="1:44" x14ac:dyDescent="0.25">
      <c r="A4" s="207" t="s">
        <v>1</v>
      </c>
      <c r="B4" s="207" t="s">
        <v>2</v>
      </c>
      <c r="C4" s="207" t="s">
        <v>3</v>
      </c>
      <c r="D4" s="208" t="s">
        <v>4</v>
      </c>
      <c r="E4" s="209" t="s">
        <v>2</v>
      </c>
      <c r="F4" s="210" t="s">
        <v>5</v>
      </c>
      <c r="G4" s="209" t="s">
        <v>2</v>
      </c>
      <c r="H4" s="210" t="s">
        <v>5</v>
      </c>
      <c r="I4" s="209" t="s">
        <v>2</v>
      </c>
      <c r="J4" s="210" t="s">
        <v>5</v>
      </c>
      <c r="K4" s="209" t="s">
        <v>2</v>
      </c>
      <c r="L4" s="210" t="s">
        <v>5</v>
      </c>
      <c r="M4" s="209" t="s">
        <v>2</v>
      </c>
      <c r="N4" s="210" t="s">
        <v>5</v>
      </c>
      <c r="O4" s="209" t="s">
        <v>2</v>
      </c>
      <c r="P4" s="210" t="s">
        <v>5</v>
      </c>
      <c r="Q4" s="209" t="s">
        <v>2</v>
      </c>
      <c r="R4" s="210" t="s">
        <v>5</v>
      </c>
      <c r="S4" s="209" t="s">
        <v>2</v>
      </c>
      <c r="T4" s="210" t="s">
        <v>5</v>
      </c>
      <c r="U4" s="209" t="s">
        <v>2</v>
      </c>
      <c r="V4" s="210" t="s">
        <v>5</v>
      </c>
      <c r="W4" s="209" t="s">
        <v>2</v>
      </c>
      <c r="X4" s="210" t="s">
        <v>5</v>
      </c>
      <c r="Y4" s="209" t="s">
        <v>2</v>
      </c>
      <c r="Z4" s="210" t="s">
        <v>5</v>
      </c>
      <c r="AA4" s="209" t="s">
        <v>2</v>
      </c>
      <c r="AB4" s="210" t="s">
        <v>5</v>
      </c>
      <c r="AC4" s="209" t="s">
        <v>2</v>
      </c>
      <c r="AD4" s="210" t="s">
        <v>5</v>
      </c>
      <c r="AE4" s="209" t="s">
        <v>2</v>
      </c>
      <c r="AF4" s="210" t="s">
        <v>5</v>
      </c>
      <c r="AG4" s="209" t="s">
        <v>2</v>
      </c>
      <c r="AH4" s="210" t="s">
        <v>5</v>
      </c>
      <c r="AI4" s="209" t="s">
        <v>2</v>
      </c>
      <c r="AJ4" s="210" t="s">
        <v>5</v>
      </c>
      <c r="AK4" s="209" t="s">
        <v>2</v>
      </c>
      <c r="AL4" s="210" t="s">
        <v>5</v>
      </c>
      <c r="AM4" s="209" t="s">
        <v>2</v>
      </c>
      <c r="AN4" s="210" t="s">
        <v>5</v>
      </c>
      <c r="AO4" s="209" t="s">
        <v>2</v>
      </c>
      <c r="AP4" s="210" t="s">
        <v>5</v>
      </c>
      <c r="AQ4" s="209" t="s">
        <v>2</v>
      </c>
      <c r="AR4" s="210" t="s">
        <v>5</v>
      </c>
    </row>
    <row r="5" spans="1:44" x14ac:dyDescent="0.25">
      <c r="A5" s="211" t="s">
        <v>6</v>
      </c>
      <c r="B5" s="31">
        <f>E5+G5+I5+K5+M5+O5+Q5+S5+U5+W5+Y5+AA5+AC5+AE5+AG5+AI5+AK5+AM5+AO5+AQ5</f>
        <v>30</v>
      </c>
      <c r="C5" s="31">
        <f>F5+H5+J5+L5+N5+P5+R5+T5+V5+X5+Z5+AB5+AD5+AF5+AH5+AJ5+AL5+AN5+AP5+AR5</f>
        <v>10</v>
      </c>
      <c r="D5" s="32">
        <f>C5/B5</f>
        <v>0.33333333333333331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1</v>
      </c>
      <c r="M5" s="33">
        <v>1</v>
      </c>
      <c r="N5" s="33">
        <v>0</v>
      </c>
      <c r="O5" s="33">
        <v>1</v>
      </c>
      <c r="P5" s="33">
        <v>0</v>
      </c>
      <c r="Q5" s="33">
        <v>1</v>
      </c>
      <c r="R5" s="33">
        <v>0</v>
      </c>
      <c r="S5" s="33">
        <v>1</v>
      </c>
      <c r="T5" s="33">
        <v>0</v>
      </c>
      <c r="U5" s="33">
        <v>1</v>
      </c>
      <c r="V5" s="33">
        <v>0</v>
      </c>
      <c r="W5" s="33">
        <v>1</v>
      </c>
      <c r="X5" s="33">
        <v>1</v>
      </c>
      <c r="Y5" s="33">
        <v>2</v>
      </c>
      <c r="Z5" s="33">
        <v>0</v>
      </c>
      <c r="AA5" s="33">
        <v>2</v>
      </c>
      <c r="AB5" s="33">
        <v>0</v>
      </c>
      <c r="AC5" s="33">
        <v>2</v>
      </c>
      <c r="AD5" s="212">
        <v>2</v>
      </c>
      <c r="AE5" s="33">
        <v>2</v>
      </c>
      <c r="AF5" s="33">
        <v>1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1</v>
      </c>
      <c r="AM5" s="33">
        <v>2</v>
      </c>
      <c r="AN5" s="33">
        <v>1</v>
      </c>
      <c r="AO5" s="33">
        <v>2</v>
      </c>
      <c r="AP5" s="33">
        <v>1</v>
      </c>
      <c r="AQ5" s="33">
        <v>2</v>
      </c>
      <c r="AR5" s="33">
        <v>0</v>
      </c>
    </row>
    <row r="6" spans="1:44" x14ac:dyDescent="0.25">
      <c r="A6" s="211" t="s">
        <v>8</v>
      </c>
      <c r="B6" s="31">
        <f t="shared" ref="B6:C9" si="0">E6+G6+I6+K6+M6+O6+Q6+S6+U6+W6+Y6+AA6+AC6+AE6+AG6+AI6+AK6+AM6+AO6+AQ6</f>
        <v>26</v>
      </c>
      <c r="C6" s="31">
        <f t="shared" si="0"/>
        <v>3</v>
      </c>
      <c r="D6" s="32">
        <f>C6/B6</f>
        <v>0.11538461538461539</v>
      </c>
      <c r="E6" s="33">
        <v>1</v>
      </c>
      <c r="F6" s="33">
        <v>0</v>
      </c>
      <c r="G6" s="33">
        <v>1</v>
      </c>
      <c r="H6" s="33">
        <v>0</v>
      </c>
      <c r="I6" s="33">
        <v>1</v>
      </c>
      <c r="J6" s="33">
        <v>0</v>
      </c>
      <c r="K6" s="33">
        <v>1</v>
      </c>
      <c r="L6" s="33">
        <v>0</v>
      </c>
      <c r="M6" s="33">
        <v>1</v>
      </c>
      <c r="N6" s="33">
        <v>0</v>
      </c>
      <c r="O6" s="33">
        <v>1</v>
      </c>
      <c r="P6" s="33">
        <v>0</v>
      </c>
      <c r="Q6" s="33">
        <v>1</v>
      </c>
      <c r="R6" s="33">
        <v>0</v>
      </c>
      <c r="S6" s="33">
        <v>1</v>
      </c>
      <c r="T6" s="33">
        <v>0</v>
      </c>
      <c r="U6" s="33">
        <v>1</v>
      </c>
      <c r="V6" s="33">
        <v>0</v>
      </c>
      <c r="W6" s="33">
        <v>1</v>
      </c>
      <c r="X6" s="33">
        <v>0</v>
      </c>
      <c r="Y6" s="33">
        <v>1</v>
      </c>
      <c r="Z6" s="33">
        <v>0</v>
      </c>
      <c r="AA6" s="33">
        <v>1</v>
      </c>
      <c r="AB6" s="33">
        <v>0</v>
      </c>
      <c r="AC6" s="33">
        <v>1</v>
      </c>
      <c r="AD6" s="212">
        <v>1</v>
      </c>
      <c r="AE6" s="33">
        <v>1</v>
      </c>
      <c r="AF6" s="33">
        <v>0</v>
      </c>
      <c r="AG6" s="33">
        <v>2</v>
      </c>
      <c r="AH6" s="33">
        <v>1</v>
      </c>
      <c r="AI6" s="33">
        <v>2</v>
      </c>
      <c r="AJ6" s="33">
        <v>0</v>
      </c>
      <c r="AK6" s="33">
        <v>2</v>
      </c>
      <c r="AL6" s="33">
        <v>0</v>
      </c>
      <c r="AM6" s="33">
        <v>2</v>
      </c>
      <c r="AN6" s="33">
        <v>0</v>
      </c>
      <c r="AO6" s="33">
        <v>2</v>
      </c>
      <c r="AP6" s="33">
        <v>0</v>
      </c>
      <c r="AQ6" s="33">
        <v>2</v>
      </c>
      <c r="AR6" s="33">
        <v>1</v>
      </c>
    </row>
    <row r="7" spans="1:44" x14ac:dyDescent="0.25">
      <c r="A7" s="211" t="s">
        <v>7</v>
      </c>
      <c r="B7" s="31">
        <f t="shared" si="0"/>
        <v>50</v>
      </c>
      <c r="C7" s="31">
        <f t="shared" si="0"/>
        <v>18</v>
      </c>
      <c r="D7" s="32">
        <f>C7/B7</f>
        <v>0.36</v>
      </c>
      <c r="E7" s="33">
        <v>2</v>
      </c>
      <c r="F7" s="212">
        <v>2</v>
      </c>
      <c r="G7" s="33">
        <v>2</v>
      </c>
      <c r="H7" s="212">
        <v>3</v>
      </c>
      <c r="I7" s="33">
        <v>2</v>
      </c>
      <c r="J7" s="212">
        <v>1</v>
      </c>
      <c r="K7" s="33">
        <v>2</v>
      </c>
      <c r="L7" s="212">
        <v>2</v>
      </c>
      <c r="M7" s="33">
        <v>2</v>
      </c>
      <c r="N7" s="212">
        <v>3</v>
      </c>
      <c r="O7" s="33">
        <v>2</v>
      </c>
      <c r="P7" s="33">
        <v>0</v>
      </c>
      <c r="Q7" s="33">
        <v>2</v>
      </c>
      <c r="R7" s="33">
        <v>0</v>
      </c>
      <c r="S7" s="33">
        <v>2</v>
      </c>
      <c r="T7" s="33">
        <v>2</v>
      </c>
      <c r="U7" s="33">
        <v>2</v>
      </c>
      <c r="V7" s="33">
        <v>0</v>
      </c>
      <c r="W7" s="33">
        <v>2</v>
      </c>
      <c r="X7" s="33">
        <v>0</v>
      </c>
      <c r="Y7" s="33">
        <v>3</v>
      </c>
      <c r="Z7" s="33">
        <v>0</v>
      </c>
      <c r="AA7" s="33">
        <v>3</v>
      </c>
      <c r="AB7" s="33">
        <v>0</v>
      </c>
      <c r="AC7" s="33">
        <v>3</v>
      </c>
      <c r="AD7" s="212">
        <v>0</v>
      </c>
      <c r="AE7" s="33">
        <v>3</v>
      </c>
      <c r="AF7" s="33">
        <v>1</v>
      </c>
      <c r="AG7" s="33">
        <v>3</v>
      </c>
      <c r="AH7" s="33">
        <v>1</v>
      </c>
      <c r="AI7" s="33">
        <v>3</v>
      </c>
      <c r="AJ7" s="33">
        <v>0</v>
      </c>
      <c r="AK7" s="33">
        <v>3</v>
      </c>
      <c r="AL7" s="33">
        <v>1</v>
      </c>
      <c r="AM7" s="33">
        <v>3</v>
      </c>
      <c r="AN7" s="33">
        <v>0</v>
      </c>
      <c r="AO7" s="33">
        <v>3</v>
      </c>
      <c r="AP7" s="33">
        <v>2</v>
      </c>
      <c r="AQ7" s="33">
        <v>3</v>
      </c>
      <c r="AR7" s="33">
        <v>0</v>
      </c>
    </row>
    <row r="8" spans="1:44" x14ac:dyDescent="0.25">
      <c r="A8" s="211" t="s">
        <v>9</v>
      </c>
      <c r="B8" s="31">
        <f t="shared" si="0"/>
        <v>33</v>
      </c>
      <c r="C8" s="31">
        <f t="shared" si="0"/>
        <v>9</v>
      </c>
      <c r="D8" s="32">
        <f>C8/B8</f>
        <v>0.27272727272727271</v>
      </c>
      <c r="E8" s="33">
        <v>2</v>
      </c>
      <c r="F8" s="212">
        <v>1</v>
      </c>
      <c r="G8" s="33">
        <v>2</v>
      </c>
      <c r="H8" s="212">
        <v>0</v>
      </c>
      <c r="I8" s="33">
        <v>2</v>
      </c>
      <c r="J8" s="212">
        <v>1</v>
      </c>
      <c r="K8" s="33">
        <v>2</v>
      </c>
      <c r="L8" s="212">
        <v>0</v>
      </c>
      <c r="M8" s="33">
        <v>2</v>
      </c>
      <c r="N8" s="212">
        <v>0</v>
      </c>
      <c r="O8" s="33">
        <v>2</v>
      </c>
      <c r="P8" s="212">
        <v>0</v>
      </c>
      <c r="Q8" s="33">
        <v>2</v>
      </c>
      <c r="R8" s="212">
        <v>1</v>
      </c>
      <c r="S8" s="33">
        <v>2</v>
      </c>
      <c r="T8" s="33">
        <v>0</v>
      </c>
      <c r="U8" s="33">
        <v>2</v>
      </c>
      <c r="V8" s="33">
        <v>0</v>
      </c>
      <c r="W8" s="33">
        <v>2</v>
      </c>
      <c r="X8" s="33">
        <v>0</v>
      </c>
      <c r="Y8" s="33">
        <v>2</v>
      </c>
      <c r="Z8" s="33">
        <v>0</v>
      </c>
      <c r="AA8" s="33">
        <v>2</v>
      </c>
      <c r="AB8" s="33">
        <v>0</v>
      </c>
      <c r="AC8" s="33">
        <v>2</v>
      </c>
      <c r="AD8" s="212">
        <v>0</v>
      </c>
      <c r="AE8" s="33">
        <v>1</v>
      </c>
      <c r="AF8" s="33">
        <v>0</v>
      </c>
      <c r="AG8" s="33">
        <v>1</v>
      </c>
      <c r="AH8" s="33">
        <v>0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1</v>
      </c>
      <c r="AO8" s="33">
        <v>1</v>
      </c>
      <c r="AP8" s="33">
        <v>1</v>
      </c>
      <c r="AQ8" s="33">
        <v>1</v>
      </c>
      <c r="AR8" s="33">
        <v>2</v>
      </c>
    </row>
    <row r="9" spans="1:44" x14ac:dyDescent="0.25">
      <c r="A9" s="211" t="s">
        <v>10</v>
      </c>
      <c r="B9" s="31">
        <f t="shared" si="0"/>
        <v>23</v>
      </c>
      <c r="C9" s="31">
        <f t="shared" si="0"/>
        <v>14</v>
      </c>
      <c r="D9" s="32">
        <f>C9/B9</f>
        <v>0.60869565217391308</v>
      </c>
      <c r="E9" s="33">
        <v>1</v>
      </c>
      <c r="F9" s="33">
        <v>0</v>
      </c>
      <c r="G9" s="33">
        <v>1</v>
      </c>
      <c r="H9" s="33">
        <v>0</v>
      </c>
      <c r="I9" s="33">
        <v>1</v>
      </c>
      <c r="J9" s="33">
        <v>0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0</v>
      </c>
      <c r="Q9" s="33">
        <v>1</v>
      </c>
      <c r="R9" s="33">
        <v>2</v>
      </c>
      <c r="S9" s="33">
        <v>1</v>
      </c>
      <c r="T9" s="33">
        <v>0</v>
      </c>
      <c r="U9" s="33">
        <v>1</v>
      </c>
      <c r="V9" s="33">
        <v>0</v>
      </c>
      <c r="W9" s="33">
        <v>1</v>
      </c>
      <c r="X9" s="33">
        <v>1</v>
      </c>
      <c r="Y9" s="33">
        <v>1</v>
      </c>
      <c r="Z9" s="33">
        <v>0</v>
      </c>
      <c r="AA9" s="33">
        <v>1</v>
      </c>
      <c r="AB9" s="33">
        <v>2</v>
      </c>
      <c r="AC9" s="33">
        <v>1</v>
      </c>
      <c r="AD9" s="212">
        <v>0</v>
      </c>
      <c r="AE9" s="33">
        <v>1</v>
      </c>
      <c r="AF9" s="212">
        <v>1</v>
      </c>
      <c r="AG9" s="33">
        <v>1</v>
      </c>
      <c r="AH9" s="212">
        <v>3</v>
      </c>
      <c r="AI9" s="33">
        <v>1</v>
      </c>
      <c r="AJ9" s="212">
        <v>0</v>
      </c>
      <c r="AK9" s="33">
        <v>1</v>
      </c>
      <c r="AL9" s="212">
        <v>1</v>
      </c>
      <c r="AM9" s="33">
        <v>2</v>
      </c>
      <c r="AN9" s="212">
        <v>0</v>
      </c>
      <c r="AO9" s="33">
        <v>2</v>
      </c>
      <c r="AP9" s="212">
        <v>0</v>
      </c>
      <c r="AQ9" s="33">
        <v>2</v>
      </c>
      <c r="AR9" s="212">
        <v>3</v>
      </c>
    </row>
    <row r="10" spans="1:44" x14ac:dyDescent="0.25">
      <c r="A10" s="213" t="s">
        <v>11</v>
      </c>
      <c r="B10" s="214">
        <f>SUM(B5:B9)</f>
        <v>162</v>
      </c>
      <c r="C10" s="214">
        <f>SUM(C5:C9)</f>
        <v>54</v>
      </c>
      <c r="D10" s="215">
        <f t="shared" ref="D10" si="1">C10/B10</f>
        <v>0.33333333333333331</v>
      </c>
      <c r="E10" s="206">
        <f>SUM(E5:E9)</f>
        <v>7</v>
      </c>
      <c r="F10" s="206">
        <f>SUM(F5:F9)</f>
        <v>3</v>
      </c>
      <c r="G10" s="206">
        <f>SUM(G5:G9)</f>
        <v>7</v>
      </c>
      <c r="H10" s="206">
        <f>SUM(H5:H9)</f>
        <v>5</v>
      </c>
      <c r="I10" s="206">
        <f t="shared" ref="I10:X10" si="2">SUM(I5:I9)</f>
        <v>7</v>
      </c>
      <c r="J10" s="206">
        <f t="shared" si="2"/>
        <v>2</v>
      </c>
      <c r="K10" s="206">
        <f t="shared" si="2"/>
        <v>7</v>
      </c>
      <c r="L10" s="206">
        <f t="shared" si="2"/>
        <v>4</v>
      </c>
      <c r="M10" s="206">
        <f t="shared" si="2"/>
        <v>7</v>
      </c>
      <c r="N10" s="206">
        <f t="shared" si="2"/>
        <v>3</v>
      </c>
      <c r="O10" s="206">
        <f t="shared" si="2"/>
        <v>7</v>
      </c>
      <c r="P10" s="206">
        <f t="shared" si="2"/>
        <v>0</v>
      </c>
      <c r="Q10" s="206">
        <f t="shared" si="2"/>
        <v>7</v>
      </c>
      <c r="R10" s="206">
        <f t="shared" si="2"/>
        <v>3</v>
      </c>
      <c r="S10" s="206">
        <f t="shared" si="2"/>
        <v>7</v>
      </c>
      <c r="T10" s="206">
        <f t="shared" si="2"/>
        <v>2</v>
      </c>
      <c r="U10" s="206">
        <f t="shared" si="2"/>
        <v>7</v>
      </c>
      <c r="V10" s="206">
        <f t="shared" si="2"/>
        <v>0</v>
      </c>
      <c r="W10" s="206">
        <f t="shared" si="2"/>
        <v>7</v>
      </c>
      <c r="X10" s="206">
        <f t="shared" si="2"/>
        <v>2</v>
      </c>
      <c r="Y10" s="206">
        <f>SUM(Y5:Y9)</f>
        <v>9</v>
      </c>
      <c r="Z10" s="206">
        <f t="shared" ref="Z10:AB10" si="3">SUM(Z5:Z9)</f>
        <v>0</v>
      </c>
      <c r="AA10" s="206">
        <f>SUM(AA5:AA9)</f>
        <v>9</v>
      </c>
      <c r="AB10" s="206">
        <f t="shared" si="3"/>
        <v>2</v>
      </c>
      <c r="AC10" s="206">
        <f>SUM(AC5:AC9)</f>
        <v>9</v>
      </c>
      <c r="AD10" s="206">
        <f t="shared" ref="AD10:AF10" si="4">SUM(AD5:AD9)</f>
        <v>3</v>
      </c>
      <c r="AE10" s="206">
        <f>SUM(AE5:AE9)</f>
        <v>8</v>
      </c>
      <c r="AF10" s="206">
        <f t="shared" si="4"/>
        <v>3</v>
      </c>
      <c r="AG10" s="206">
        <f>SUM(AG5:AG9)</f>
        <v>9</v>
      </c>
      <c r="AH10" s="206">
        <f t="shared" ref="AH10:AJ10" si="5">SUM(AH5:AH9)</f>
        <v>5</v>
      </c>
      <c r="AI10" s="206">
        <f>SUM(AI5:AI9)</f>
        <v>9</v>
      </c>
      <c r="AJ10" s="206">
        <f t="shared" si="5"/>
        <v>1</v>
      </c>
      <c r="AK10" s="206">
        <f>SUM(AK5:AK9)</f>
        <v>9</v>
      </c>
      <c r="AL10" s="206">
        <f t="shared" ref="AL10" si="6">SUM(AL5:AL9)</f>
        <v>4</v>
      </c>
      <c r="AM10" s="206">
        <f>SUM(AM5:AM9)</f>
        <v>10</v>
      </c>
      <c r="AN10" s="206">
        <f>SUM(AN5:AN9)</f>
        <v>2</v>
      </c>
      <c r="AO10" s="206">
        <f>SUM(AO5:AO9)</f>
        <v>10</v>
      </c>
      <c r="AP10" s="206">
        <f t="shared" ref="AP10:AR10" si="7">SUM(AP5:AP9)</f>
        <v>4</v>
      </c>
      <c r="AQ10" s="206">
        <f>SUM(AQ5:AQ9)</f>
        <v>10</v>
      </c>
      <c r="AR10" s="206">
        <f t="shared" si="7"/>
        <v>6</v>
      </c>
    </row>
    <row r="11" spans="1:44" x14ac:dyDescent="0.25">
      <c r="A11" s="48" t="s">
        <v>338</v>
      </c>
      <c r="B11" s="216">
        <f>C10+G25</f>
        <v>147</v>
      </c>
      <c r="C11" s="39"/>
    </row>
    <row r="12" spans="1:44" x14ac:dyDescent="0.25">
      <c r="A12" s="48" t="s">
        <v>339</v>
      </c>
      <c r="B12" s="216">
        <f>B10-B11</f>
        <v>15</v>
      </c>
      <c r="C12" s="39"/>
    </row>
    <row r="14" spans="1:44" ht="12.75" customHeight="1" thickBot="1" x14ac:dyDescent="0.35">
      <c r="A14" s="277" t="s">
        <v>341</v>
      </c>
      <c r="B14" s="278"/>
      <c r="C14" s="278"/>
      <c r="D14" s="278"/>
      <c r="E14" s="278"/>
      <c r="F14" s="278"/>
      <c r="G14" s="279"/>
    </row>
    <row r="15" spans="1:44" x14ac:dyDescent="0.25">
      <c r="A15" s="217" t="s">
        <v>14</v>
      </c>
      <c r="B15" s="217" t="s">
        <v>6</v>
      </c>
      <c r="C15" s="217" t="s">
        <v>7</v>
      </c>
      <c r="D15" s="217" t="s">
        <v>8</v>
      </c>
      <c r="E15" s="217" t="s">
        <v>9</v>
      </c>
      <c r="F15" s="217" t="s">
        <v>10</v>
      </c>
      <c r="G15" s="217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4" ht="15" customHeight="1" x14ac:dyDescent="0.45">
      <c r="A16" s="218" t="s">
        <v>15</v>
      </c>
      <c r="B16" s="219">
        <v>11</v>
      </c>
      <c r="C16" s="219">
        <v>0</v>
      </c>
      <c r="D16" s="219">
        <v>0</v>
      </c>
      <c r="E16" s="219">
        <v>40</v>
      </c>
      <c r="F16" s="219">
        <v>3</v>
      </c>
      <c r="G16" s="220">
        <f>SUM(B16:F16)</f>
        <v>54</v>
      </c>
      <c r="H16" s="50"/>
      <c r="J16" s="49"/>
      <c r="K16" s="41"/>
      <c r="L16" s="42"/>
    </row>
    <row r="17" spans="1:44" ht="15" customHeight="1" x14ac:dyDescent="0.35">
      <c r="A17" s="218" t="s">
        <v>16</v>
      </c>
      <c r="B17" s="219">
        <v>7</v>
      </c>
      <c r="C17" s="219">
        <v>0</v>
      </c>
      <c r="D17" s="219">
        <v>0</v>
      </c>
      <c r="E17" s="219">
        <v>0</v>
      </c>
      <c r="F17" s="219">
        <v>2</v>
      </c>
      <c r="G17" s="220">
        <f>SUM(B17:F17)</f>
        <v>9</v>
      </c>
      <c r="H17" s="50"/>
      <c r="K17" s="41"/>
    </row>
    <row r="18" spans="1:44" ht="15" customHeight="1" x14ac:dyDescent="0.45">
      <c r="A18" s="218" t="s">
        <v>17</v>
      </c>
      <c r="B18" s="219">
        <v>3</v>
      </c>
      <c r="C18" s="219">
        <v>0</v>
      </c>
      <c r="D18" s="219">
        <v>0</v>
      </c>
      <c r="E18" s="219">
        <v>0</v>
      </c>
      <c r="F18" s="219">
        <v>4</v>
      </c>
      <c r="G18" s="220">
        <f>SUM(B18:F18)</f>
        <v>7</v>
      </c>
      <c r="H18" s="50"/>
      <c r="J18" s="49"/>
      <c r="K18" s="221"/>
      <c r="M18" s="49"/>
      <c r="P18" s="49"/>
    </row>
    <row r="19" spans="1:44" ht="15" customHeight="1" x14ac:dyDescent="0.25">
      <c r="A19" s="218" t="s">
        <v>18</v>
      </c>
      <c r="B19" s="219">
        <v>0</v>
      </c>
      <c r="C19" s="219">
        <v>0</v>
      </c>
      <c r="D19" s="219">
        <v>0</v>
      </c>
      <c r="E19" s="219">
        <v>0</v>
      </c>
      <c r="F19" s="219">
        <v>0</v>
      </c>
      <c r="G19" s="220">
        <f>SUM(B19:F19)</f>
        <v>0</v>
      </c>
      <c r="H19" s="50"/>
    </row>
    <row r="20" spans="1:44" ht="15" customHeight="1" x14ac:dyDescent="0.25">
      <c r="A20" s="222" t="s">
        <v>19</v>
      </c>
      <c r="B20" s="217" t="s">
        <v>6</v>
      </c>
      <c r="C20" s="217" t="s">
        <v>7</v>
      </c>
      <c r="D20" s="217" t="s">
        <v>8</v>
      </c>
      <c r="E20" s="217" t="s">
        <v>9</v>
      </c>
      <c r="F20" s="217" t="s">
        <v>10</v>
      </c>
      <c r="G20" s="217" t="s">
        <v>11</v>
      </c>
    </row>
    <row r="21" spans="1:44" ht="15" customHeight="1" x14ac:dyDescent="0.25">
      <c r="A21" s="218" t="s">
        <v>51</v>
      </c>
      <c r="B21" s="219">
        <v>188</v>
      </c>
      <c r="C21" s="219">
        <v>346</v>
      </c>
      <c r="D21" s="219">
        <v>279</v>
      </c>
      <c r="E21" s="219">
        <v>179</v>
      </c>
      <c r="F21" s="219">
        <v>125</v>
      </c>
      <c r="G21" s="220">
        <f t="shared" ref="G21:G27" si="8">SUM(B21:F21)</f>
        <v>1117</v>
      </c>
    </row>
    <row r="22" spans="1:44" ht="15" customHeight="1" x14ac:dyDescent="0.35">
      <c r="A22" s="218" t="s">
        <v>21</v>
      </c>
      <c r="B22" s="219">
        <v>40</v>
      </c>
      <c r="C22" s="219">
        <v>79</v>
      </c>
      <c r="D22" s="219">
        <v>27</v>
      </c>
      <c r="E22" s="219">
        <v>53</v>
      </c>
      <c r="F22" s="219">
        <v>45</v>
      </c>
      <c r="G22" s="220">
        <f t="shared" si="8"/>
        <v>244</v>
      </c>
      <c r="J22" s="40"/>
      <c r="K22" s="41"/>
      <c r="L22" s="42"/>
    </row>
    <row r="23" spans="1:44" s="38" customFormat="1" ht="15" customHeight="1" x14ac:dyDescent="0.25">
      <c r="A23" s="218" t="s">
        <v>22</v>
      </c>
      <c r="B23" s="219">
        <v>7</v>
      </c>
      <c r="C23" s="219">
        <v>1</v>
      </c>
      <c r="D23" s="219">
        <v>8</v>
      </c>
      <c r="E23" s="219">
        <v>1</v>
      </c>
      <c r="F23" s="219">
        <v>3</v>
      </c>
      <c r="G23" s="220">
        <f t="shared" si="8"/>
        <v>20</v>
      </c>
      <c r="H23" s="43"/>
    </row>
    <row r="24" spans="1:44" ht="15" customHeight="1" x14ac:dyDescent="0.25">
      <c r="A24" s="218" t="s">
        <v>23</v>
      </c>
      <c r="B24" s="219">
        <v>1</v>
      </c>
      <c r="C24" s="219">
        <v>5</v>
      </c>
      <c r="D24" s="219">
        <v>7</v>
      </c>
      <c r="E24" s="219">
        <v>0</v>
      </c>
      <c r="F24" s="219">
        <v>4</v>
      </c>
      <c r="G24" s="220">
        <f t="shared" si="8"/>
        <v>17</v>
      </c>
    </row>
    <row r="25" spans="1:44" ht="15" customHeight="1" x14ac:dyDescent="0.25">
      <c r="A25" s="218" t="s">
        <v>24</v>
      </c>
      <c r="B25" s="219">
        <v>19</v>
      </c>
      <c r="C25" s="219">
        <v>44</v>
      </c>
      <c r="D25" s="219">
        <v>12</v>
      </c>
      <c r="E25" s="219">
        <v>8</v>
      </c>
      <c r="F25" s="219">
        <v>10</v>
      </c>
      <c r="G25" s="220">
        <f>SUM(B25:F25)</f>
        <v>93</v>
      </c>
      <c r="H25" s="40"/>
    </row>
    <row r="26" spans="1:44" ht="15" customHeight="1" x14ac:dyDescent="0.25">
      <c r="A26" s="218" t="s">
        <v>25</v>
      </c>
      <c r="B26" s="219">
        <v>2</v>
      </c>
      <c r="C26" s="219">
        <v>0</v>
      </c>
      <c r="D26" s="219">
        <v>38</v>
      </c>
      <c r="E26" s="219">
        <v>6</v>
      </c>
      <c r="F26" s="219">
        <v>4</v>
      </c>
      <c r="G26" s="220">
        <f t="shared" si="8"/>
        <v>50</v>
      </c>
      <c r="H26" s="48"/>
    </row>
    <row r="27" spans="1:44" ht="15" customHeight="1" x14ac:dyDescent="0.25">
      <c r="A27" s="218" t="s">
        <v>26</v>
      </c>
      <c r="B27" s="219">
        <v>2</v>
      </c>
      <c r="C27" s="219">
        <v>6</v>
      </c>
      <c r="D27" s="219">
        <v>4</v>
      </c>
      <c r="E27" s="219">
        <v>0</v>
      </c>
      <c r="F27" s="219">
        <v>2</v>
      </c>
      <c r="G27" s="220">
        <f t="shared" si="8"/>
        <v>14</v>
      </c>
      <c r="H27" s="40"/>
    </row>
    <row r="28" spans="1:44" x14ac:dyDescent="0.25">
      <c r="A28" s="223" t="s">
        <v>11</v>
      </c>
      <c r="B28" s="224">
        <f>SUM(B16:B27)</f>
        <v>280</v>
      </c>
      <c r="C28" s="224">
        <f>SUM(C16:C27)</f>
        <v>481</v>
      </c>
      <c r="D28" s="224">
        <f>SUM(D16:D27)</f>
        <v>375</v>
      </c>
      <c r="E28" s="224">
        <f>SUM(E16:E27)</f>
        <v>287</v>
      </c>
      <c r="F28" s="224">
        <f>SUM(F16:F27)</f>
        <v>202</v>
      </c>
      <c r="G28" s="37"/>
    </row>
    <row r="31" spans="1:44" ht="12.6" thickBot="1" x14ac:dyDescent="0.3">
      <c r="A31" s="274" t="s">
        <v>340</v>
      </c>
      <c r="B31" s="275"/>
      <c r="C31" s="275"/>
      <c r="D31" s="276"/>
      <c r="E31" s="287">
        <v>4</v>
      </c>
      <c r="F31" s="288"/>
      <c r="G31" s="286">
        <v>5</v>
      </c>
      <c r="H31" s="286"/>
      <c r="I31" s="286">
        <v>6</v>
      </c>
      <c r="J31" s="286"/>
      <c r="K31" s="286">
        <v>7</v>
      </c>
      <c r="L31" s="286"/>
      <c r="M31" s="286">
        <v>8</v>
      </c>
      <c r="N31" s="286"/>
      <c r="O31" s="286">
        <v>11</v>
      </c>
      <c r="P31" s="286"/>
      <c r="Q31" s="285">
        <v>12</v>
      </c>
      <c r="R31" s="285"/>
      <c r="S31" s="285">
        <v>13</v>
      </c>
      <c r="T31" s="285"/>
      <c r="U31" s="285">
        <v>14</v>
      </c>
      <c r="V31" s="285"/>
      <c r="W31" s="285">
        <v>15</v>
      </c>
      <c r="X31" s="285"/>
      <c r="Y31" s="286">
        <v>18</v>
      </c>
      <c r="Z31" s="286"/>
      <c r="AA31" s="286">
        <v>19</v>
      </c>
      <c r="AB31" s="286"/>
      <c r="AC31" s="285">
        <v>20</v>
      </c>
      <c r="AD31" s="285"/>
      <c r="AE31" s="285">
        <v>21</v>
      </c>
      <c r="AF31" s="285"/>
      <c r="AG31" s="285">
        <v>22</v>
      </c>
      <c r="AH31" s="285"/>
      <c r="AI31" s="285">
        <v>25</v>
      </c>
      <c r="AJ31" s="285"/>
      <c r="AK31" s="285">
        <v>26</v>
      </c>
      <c r="AL31" s="285"/>
      <c r="AM31" s="285">
        <v>27</v>
      </c>
      <c r="AN31" s="285"/>
      <c r="AO31" s="285">
        <v>28</v>
      </c>
      <c r="AP31" s="285"/>
      <c r="AQ31" s="285">
        <v>29</v>
      </c>
      <c r="AR31" s="285"/>
    </row>
    <row r="32" spans="1:44" x14ac:dyDescent="0.25">
      <c r="A32" s="225" t="s">
        <v>1</v>
      </c>
      <c r="B32" s="225" t="s">
        <v>2</v>
      </c>
      <c r="C32" s="225" t="s">
        <v>3</v>
      </c>
      <c r="D32" s="226" t="s">
        <v>4</v>
      </c>
      <c r="E32" s="209" t="s">
        <v>2</v>
      </c>
      <c r="F32" s="210" t="s">
        <v>5</v>
      </c>
      <c r="G32" s="209" t="s">
        <v>2</v>
      </c>
      <c r="H32" s="210" t="s">
        <v>5</v>
      </c>
      <c r="I32" s="209" t="s">
        <v>2</v>
      </c>
      <c r="J32" s="210" t="s">
        <v>5</v>
      </c>
      <c r="K32" s="209" t="s">
        <v>2</v>
      </c>
      <c r="L32" s="210" t="s">
        <v>5</v>
      </c>
      <c r="M32" s="209" t="s">
        <v>2</v>
      </c>
      <c r="N32" s="210" t="s">
        <v>5</v>
      </c>
      <c r="O32" s="209" t="s">
        <v>2</v>
      </c>
      <c r="P32" s="210" t="s">
        <v>5</v>
      </c>
      <c r="Q32" s="209" t="s">
        <v>2</v>
      </c>
      <c r="R32" s="210" t="s">
        <v>5</v>
      </c>
      <c r="S32" s="209" t="s">
        <v>2</v>
      </c>
      <c r="T32" s="210" t="s">
        <v>5</v>
      </c>
      <c r="U32" s="209" t="s">
        <v>2</v>
      </c>
      <c r="V32" s="210" t="s">
        <v>5</v>
      </c>
      <c r="W32" s="209" t="s">
        <v>2</v>
      </c>
      <c r="X32" s="210" t="s">
        <v>5</v>
      </c>
      <c r="Y32" s="209" t="s">
        <v>2</v>
      </c>
      <c r="Z32" s="210" t="s">
        <v>5</v>
      </c>
      <c r="AA32" s="209" t="s">
        <v>2</v>
      </c>
      <c r="AB32" s="210" t="s">
        <v>5</v>
      </c>
      <c r="AC32" s="209" t="s">
        <v>2</v>
      </c>
      <c r="AD32" s="210" t="s">
        <v>5</v>
      </c>
      <c r="AE32" s="209" t="s">
        <v>2</v>
      </c>
      <c r="AF32" s="210" t="s">
        <v>5</v>
      </c>
      <c r="AG32" s="209" t="s">
        <v>2</v>
      </c>
      <c r="AH32" s="210" t="s">
        <v>5</v>
      </c>
      <c r="AI32" s="209" t="s">
        <v>2</v>
      </c>
      <c r="AJ32" s="210" t="s">
        <v>5</v>
      </c>
      <c r="AK32" s="209" t="s">
        <v>2</v>
      </c>
      <c r="AL32" s="210" t="s">
        <v>5</v>
      </c>
      <c r="AM32" s="209" t="s">
        <v>2</v>
      </c>
      <c r="AN32" s="210" t="s">
        <v>5</v>
      </c>
      <c r="AO32" s="209" t="s">
        <v>2</v>
      </c>
      <c r="AP32" s="210" t="s">
        <v>5</v>
      </c>
      <c r="AQ32" s="209" t="s">
        <v>2</v>
      </c>
      <c r="AR32" s="210" t="s">
        <v>5</v>
      </c>
    </row>
    <row r="33" spans="1:44" x14ac:dyDescent="0.25">
      <c r="A33" s="211" t="s">
        <v>6</v>
      </c>
      <c r="B33" s="35">
        <f>E33+G33+I33+K33+M33+O33+Q33+S33+U33+W33+Y33+AA33+AC33+AE33+AG33+AI33+AK33+AM33+AO33+AQ33</f>
        <v>299</v>
      </c>
      <c r="C33" s="35">
        <f>F33+H33+J33+L33+N33+P33+R33+T33+V33+X33+Z33+AB33+AD33+AF33+AH33+AJ33+AL33+AN33+AP33+AR33</f>
        <v>275</v>
      </c>
      <c r="D33" s="36">
        <f t="shared" ref="D33:D37" si="9">C33/B33</f>
        <v>0.91973244147157196</v>
      </c>
      <c r="E33" s="33">
        <v>15</v>
      </c>
      <c r="F33" s="33">
        <v>2</v>
      </c>
      <c r="G33" s="33">
        <v>15</v>
      </c>
      <c r="H33" s="33">
        <v>0</v>
      </c>
      <c r="I33" s="33">
        <v>15</v>
      </c>
      <c r="J33" s="33">
        <v>1</v>
      </c>
      <c r="K33" s="33">
        <v>15</v>
      </c>
      <c r="L33" s="33">
        <v>0</v>
      </c>
      <c r="M33" s="33">
        <v>15</v>
      </c>
      <c r="N33" s="33">
        <v>7</v>
      </c>
      <c r="O33" s="33">
        <v>15</v>
      </c>
      <c r="P33" s="33">
        <v>1</v>
      </c>
      <c r="Q33" s="33">
        <v>15</v>
      </c>
      <c r="R33" s="33">
        <v>13</v>
      </c>
      <c r="S33" s="33">
        <v>15</v>
      </c>
      <c r="T33" s="33">
        <v>22</v>
      </c>
      <c r="U33" s="33">
        <v>15</v>
      </c>
      <c r="V33" s="33">
        <v>6</v>
      </c>
      <c r="W33" s="33">
        <v>15</v>
      </c>
      <c r="X33" s="33">
        <v>31</v>
      </c>
      <c r="Y33" s="33">
        <v>15</v>
      </c>
      <c r="Z33" s="33">
        <v>31</v>
      </c>
      <c r="AA33" s="33">
        <v>15</v>
      </c>
      <c r="AB33" s="33">
        <f>40/2</f>
        <v>20</v>
      </c>
      <c r="AC33" s="33">
        <v>15</v>
      </c>
      <c r="AD33" s="33">
        <v>20</v>
      </c>
      <c r="AE33" s="33">
        <v>15</v>
      </c>
      <c r="AF33" s="33">
        <v>12</v>
      </c>
      <c r="AG33" s="33">
        <v>15</v>
      </c>
      <c r="AH33" s="33">
        <v>6</v>
      </c>
      <c r="AI33" s="33">
        <v>15</v>
      </c>
      <c r="AJ33" s="33">
        <v>19</v>
      </c>
      <c r="AK33" s="33">
        <v>15</v>
      </c>
      <c r="AL33" s="33">
        <v>24</v>
      </c>
      <c r="AM33" s="33">
        <v>15</v>
      </c>
      <c r="AN33" s="33">
        <v>9</v>
      </c>
      <c r="AO33" s="33">
        <v>15</v>
      </c>
      <c r="AP33" s="33">
        <v>4</v>
      </c>
      <c r="AQ33" s="33">
        <v>14</v>
      </c>
      <c r="AR33" s="33">
        <v>47</v>
      </c>
    </row>
    <row r="34" spans="1:44" x14ac:dyDescent="0.25">
      <c r="A34" s="211" t="s">
        <v>8</v>
      </c>
      <c r="B34" s="35">
        <f t="shared" ref="B34:C37" si="10">E34+G34+I34+K34+M34+O34+Q34+S34+U34+W34+Y34+AA34+AC34+AE34+AG34+AI34+AK34+AM34+AO34+AQ34</f>
        <v>257</v>
      </c>
      <c r="C34" s="35">
        <f t="shared" si="10"/>
        <v>344</v>
      </c>
      <c r="D34" s="36">
        <f t="shared" si="9"/>
        <v>1.33852140077821</v>
      </c>
      <c r="E34" s="33">
        <v>13</v>
      </c>
      <c r="F34" s="33">
        <v>0</v>
      </c>
      <c r="G34" s="33">
        <v>13</v>
      </c>
      <c r="H34" s="33">
        <v>0</v>
      </c>
      <c r="I34" s="33">
        <v>13</v>
      </c>
      <c r="J34" s="33">
        <v>0</v>
      </c>
      <c r="K34" s="33">
        <v>13</v>
      </c>
      <c r="L34" s="33">
        <v>2</v>
      </c>
      <c r="M34" s="33">
        <v>13</v>
      </c>
      <c r="N34" s="33">
        <v>1</v>
      </c>
      <c r="O34" s="33">
        <v>13</v>
      </c>
      <c r="P34" s="33">
        <v>2</v>
      </c>
      <c r="Q34" s="33">
        <v>13</v>
      </c>
      <c r="R34" s="212">
        <v>15</v>
      </c>
      <c r="S34" s="33">
        <v>13</v>
      </c>
      <c r="T34" s="33">
        <v>18</v>
      </c>
      <c r="U34" s="33">
        <v>13</v>
      </c>
      <c r="V34" s="33">
        <v>24</v>
      </c>
      <c r="W34" s="33">
        <v>13</v>
      </c>
      <c r="X34" s="33">
        <v>29</v>
      </c>
      <c r="Y34" s="33">
        <v>13</v>
      </c>
      <c r="Z34" s="33">
        <v>28</v>
      </c>
      <c r="AA34" s="33">
        <v>13</v>
      </c>
      <c r="AB34" s="33">
        <v>4</v>
      </c>
      <c r="AC34" s="33">
        <v>13</v>
      </c>
      <c r="AD34" s="33">
        <v>20</v>
      </c>
      <c r="AE34" s="33">
        <v>13</v>
      </c>
      <c r="AF34" s="33">
        <v>30</v>
      </c>
      <c r="AG34" s="33">
        <v>13</v>
      </c>
      <c r="AH34" s="33">
        <v>42</v>
      </c>
      <c r="AI34" s="33">
        <v>13</v>
      </c>
      <c r="AJ34" s="33">
        <v>39</v>
      </c>
      <c r="AK34" s="33">
        <v>13</v>
      </c>
      <c r="AL34" s="33">
        <v>51</v>
      </c>
      <c r="AM34" s="33">
        <v>13</v>
      </c>
      <c r="AN34" s="33">
        <v>20</v>
      </c>
      <c r="AO34" s="33">
        <v>10</v>
      </c>
      <c r="AP34" s="33">
        <v>0</v>
      </c>
      <c r="AQ34" s="33">
        <v>13</v>
      </c>
      <c r="AR34" s="33">
        <v>19</v>
      </c>
    </row>
    <row r="35" spans="1:44" x14ac:dyDescent="0.25">
      <c r="A35" s="211" t="s">
        <v>7</v>
      </c>
      <c r="B35" s="35">
        <f>E35+G35+I35+K35+M35+O35+Q35+S35+U35+W35+Y35+AA35+AC35+AE35+AG35+AI35+AK35+AM35+AO35+AQ35</f>
        <v>508</v>
      </c>
      <c r="C35" s="35">
        <f>F35+H35+J35+L35+N35+P35+R35+T35+V35+X35+Z35+AB35+AD35+AF35+AH35+AJ35+AL35+AN35+AP35+AR35</f>
        <v>510</v>
      </c>
      <c r="D35" s="36">
        <f t="shared" si="9"/>
        <v>1.0039370078740157</v>
      </c>
      <c r="E35" s="33">
        <v>33</v>
      </c>
      <c r="F35" s="33">
        <v>0</v>
      </c>
      <c r="G35" s="33">
        <v>25</v>
      </c>
      <c r="H35" s="33">
        <v>0</v>
      </c>
      <c r="I35" s="33">
        <v>25</v>
      </c>
      <c r="J35" s="33">
        <v>4</v>
      </c>
      <c r="K35" s="33">
        <v>25</v>
      </c>
      <c r="L35" s="33">
        <v>6</v>
      </c>
      <c r="M35" s="33">
        <v>25</v>
      </c>
      <c r="N35" s="33">
        <v>14</v>
      </c>
      <c r="O35" s="33">
        <v>25</v>
      </c>
      <c r="P35" s="33">
        <v>11</v>
      </c>
      <c r="Q35" s="33">
        <v>25</v>
      </c>
      <c r="R35" s="212">
        <v>4</v>
      </c>
      <c r="S35" s="33">
        <v>25</v>
      </c>
      <c r="T35" s="33">
        <v>26</v>
      </c>
      <c r="U35" s="33">
        <v>25</v>
      </c>
      <c r="V35" s="33">
        <v>12</v>
      </c>
      <c r="W35" s="33">
        <v>25</v>
      </c>
      <c r="X35" s="33">
        <v>38</v>
      </c>
      <c r="Y35" s="33">
        <v>25</v>
      </c>
      <c r="Z35" s="33">
        <v>20</v>
      </c>
      <c r="AA35" s="33">
        <v>25</v>
      </c>
      <c r="AB35" s="33">
        <v>7</v>
      </c>
      <c r="AC35" s="33">
        <v>25</v>
      </c>
      <c r="AD35" s="33">
        <v>10</v>
      </c>
      <c r="AE35" s="33">
        <v>25</v>
      </c>
      <c r="AF35" s="33">
        <v>32</v>
      </c>
      <c r="AG35" s="33">
        <v>25</v>
      </c>
      <c r="AH35" s="33">
        <v>41</v>
      </c>
      <c r="AI35" s="33">
        <v>25</v>
      </c>
      <c r="AJ35" s="33">
        <v>57</v>
      </c>
      <c r="AK35" s="33">
        <v>25</v>
      </c>
      <c r="AL35" s="33">
        <v>60</v>
      </c>
      <c r="AM35" s="33">
        <v>25</v>
      </c>
      <c r="AN35" s="33">
        <v>60</v>
      </c>
      <c r="AO35" s="33">
        <v>25</v>
      </c>
      <c r="AP35" s="33">
        <v>62</v>
      </c>
      <c r="AQ35" s="33">
        <v>25</v>
      </c>
      <c r="AR35" s="33">
        <v>46</v>
      </c>
    </row>
    <row r="36" spans="1:44" x14ac:dyDescent="0.25">
      <c r="A36" s="211" t="s">
        <v>9</v>
      </c>
      <c r="B36" s="35">
        <f t="shared" si="10"/>
        <v>326</v>
      </c>
      <c r="C36" s="35">
        <f>F36+H36+J36+L36+N36+P36+R36+T36+V36+X36+Z36+AB36+AD36+AF36+AH36+AJ36+AL36+AN36+AP36+AR36</f>
        <v>331</v>
      </c>
      <c r="D36" s="36">
        <f t="shared" si="9"/>
        <v>1.0153374233128833</v>
      </c>
      <c r="E36" s="33">
        <v>22</v>
      </c>
      <c r="F36" s="33">
        <v>31</v>
      </c>
      <c r="G36" s="33">
        <v>16</v>
      </c>
      <c r="H36" s="33">
        <v>24</v>
      </c>
      <c r="I36" s="33">
        <v>16</v>
      </c>
      <c r="J36" s="33">
        <v>5</v>
      </c>
      <c r="K36" s="33">
        <v>16</v>
      </c>
      <c r="L36" s="33">
        <v>7</v>
      </c>
      <c r="M36" s="33">
        <v>16</v>
      </c>
      <c r="N36" s="33">
        <v>28</v>
      </c>
      <c r="O36" s="33">
        <v>16</v>
      </c>
      <c r="P36" s="33">
        <v>16</v>
      </c>
      <c r="Q36" s="33">
        <v>16</v>
      </c>
      <c r="R36" s="212">
        <v>1</v>
      </c>
      <c r="S36" s="33">
        <v>16</v>
      </c>
      <c r="T36" s="33">
        <v>25</v>
      </c>
      <c r="U36" s="33">
        <v>16</v>
      </c>
      <c r="V36" s="33">
        <v>14</v>
      </c>
      <c r="W36" s="33">
        <v>16</v>
      </c>
      <c r="X36" s="33">
        <v>5</v>
      </c>
      <c r="Y36" s="33">
        <v>16</v>
      </c>
      <c r="Z36" s="33">
        <v>17</v>
      </c>
      <c r="AA36" s="33">
        <v>16</v>
      </c>
      <c r="AB36" s="33">
        <v>0</v>
      </c>
      <c r="AC36" s="33">
        <v>16</v>
      </c>
      <c r="AD36" s="33">
        <v>0</v>
      </c>
      <c r="AE36" s="33">
        <v>16</v>
      </c>
      <c r="AF36" s="33">
        <v>0</v>
      </c>
      <c r="AG36" s="33">
        <v>16</v>
      </c>
      <c r="AH36" s="33">
        <v>0</v>
      </c>
      <c r="AI36" s="33">
        <v>16</v>
      </c>
      <c r="AJ36" s="33">
        <v>31</v>
      </c>
      <c r="AK36" s="33">
        <v>16</v>
      </c>
      <c r="AL36" s="33">
        <v>40</v>
      </c>
      <c r="AM36" s="33">
        <v>16</v>
      </c>
      <c r="AN36" s="33">
        <v>32</v>
      </c>
      <c r="AO36" s="33">
        <v>16</v>
      </c>
      <c r="AP36" s="33">
        <v>30</v>
      </c>
      <c r="AQ36" s="33">
        <v>16</v>
      </c>
      <c r="AR36" s="33">
        <v>25</v>
      </c>
    </row>
    <row r="37" spans="1:44" x14ac:dyDescent="0.25">
      <c r="A37" s="211" t="s">
        <v>10</v>
      </c>
      <c r="B37" s="35">
        <f t="shared" si="10"/>
        <v>233</v>
      </c>
      <c r="C37" s="35">
        <f>F37+H37+J37+L37+N37+P37+R37+T37+V37+X37+Z37+AB37+AD37+AF37+AH37+AJ37+AL37+AN37+AP37+AR37</f>
        <v>241</v>
      </c>
      <c r="D37" s="36">
        <f t="shared" si="9"/>
        <v>1.0343347639484979</v>
      </c>
      <c r="E37" s="33">
        <v>12</v>
      </c>
      <c r="F37" s="33">
        <v>0</v>
      </c>
      <c r="G37" s="33">
        <v>12</v>
      </c>
      <c r="H37" s="33">
        <v>1</v>
      </c>
      <c r="I37" s="33">
        <v>12</v>
      </c>
      <c r="J37" s="33">
        <v>1</v>
      </c>
      <c r="K37" s="33">
        <v>12</v>
      </c>
      <c r="L37" s="33">
        <v>8</v>
      </c>
      <c r="M37" s="33">
        <v>12</v>
      </c>
      <c r="N37" s="33">
        <v>3</v>
      </c>
      <c r="O37" s="33">
        <v>12</v>
      </c>
      <c r="P37" s="33">
        <v>0</v>
      </c>
      <c r="Q37" s="33">
        <v>12</v>
      </c>
      <c r="R37" s="212">
        <v>21</v>
      </c>
      <c r="S37" s="33">
        <v>12</v>
      </c>
      <c r="T37" s="33">
        <v>11</v>
      </c>
      <c r="U37" s="33">
        <v>12</v>
      </c>
      <c r="V37" s="33">
        <v>19</v>
      </c>
      <c r="W37" s="33">
        <v>12</v>
      </c>
      <c r="X37" s="33">
        <v>1</v>
      </c>
      <c r="Y37" s="33">
        <v>12</v>
      </c>
      <c r="Z37" s="33">
        <v>29</v>
      </c>
      <c r="AA37" s="33">
        <v>12</v>
      </c>
      <c r="AB37" s="33">
        <v>6</v>
      </c>
      <c r="AC37" s="33">
        <v>12</v>
      </c>
      <c r="AD37" s="33">
        <v>1</v>
      </c>
      <c r="AE37" s="33">
        <v>12</v>
      </c>
      <c r="AF37" s="33">
        <v>3</v>
      </c>
      <c r="AG37" s="33">
        <v>12</v>
      </c>
      <c r="AH37" s="33">
        <v>35</v>
      </c>
      <c r="AI37" s="33">
        <v>12</v>
      </c>
      <c r="AJ37" s="33">
        <v>36</v>
      </c>
      <c r="AK37" s="33">
        <v>12</v>
      </c>
      <c r="AL37" s="33">
        <v>26</v>
      </c>
      <c r="AM37" s="33">
        <v>12</v>
      </c>
      <c r="AN37" s="33">
        <v>20</v>
      </c>
      <c r="AO37" s="33">
        <v>12</v>
      </c>
      <c r="AP37" s="33">
        <v>16</v>
      </c>
      <c r="AQ37" s="33">
        <v>5</v>
      </c>
      <c r="AR37" s="33">
        <v>4</v>
      </c>
    </row>
    <row r="38" spans="1:44" x14ac:dyDescent="0.25">
      <c r="A38" s="206" t="s">
        <v>11</v>
      </c>
      <c r="B38" s="206">
        <f>SUM(B33:B37)</f>
        <v>1623</v>
      </c>
      <c r="C38" s="206">
        <f>SUM(C33:C37)</f>
        <v>1701</v>
      </c>
      <c r="D38" s="227">
        <f>C38/B38</f>
        <v>1.0480591497227356</v>
      </c>
      <c r="E38" s="206">
        <f t="shared" ref="E38:AR38" si="11">SUM(E33:E37)</f>
        <v>95</v>
      </c>
      <c r="F38" s="206">
        <f t="shared" si="11"/>
        <v>33</v>
      </c>
      <c r="G38" s="206">
        <f t="shared" si="11"/>
        <v>81</v>
      </c>
      <c r="H38" s="206">
        <f t="shared" si="11"/>
        <v>25</v>
      </c>
      <c r="I38" s="206">
        <f t="shared" si="11"/>
        <v>81</v>
      </c>
      <c r="J38" s="206">
        <f t="shared" si="11"/>
        <v>11</v>
      </c>
      <c r="K38" s="206">
        <f t="shared" si="11"/>
        <v>81</v>
      </c>
      <c r="L38" s="206">
        <f t="shared" si="11"/>
        <v>23</v>
      </c>
      <c r="M38" s="206">
        <f t="shared" si="11"/>
        <v>81</v>
      </c>
      <c r="N38" s="206">
        <f t="shared" si="11"/>
        <v>53</v>
      </c>
      <c r="O38" s="206">
        <f t="shared" si="11"/>
        <v>81</v>
      </c>
      <c r="P38" s="206">
        <f t="shared" si="11"/>
        <v>30</v>
      </c>
      <c r="Q38" s="206">
        <f t="shared" si="11"/>
        <v>81</v>
      </c>
      <c r="R38" s="206">
        <f t="shared" si="11"/>
        <v>54</v>
      </c>
      <c r="S38" s="206">
        <f t="shared" si="11"/>
        <v>81</v>
      </c>
      <c r="T38" s="206">
        <f t="shared" si="11"/>
        <v>102</v>
      </c>
      <c r="U38" s="206">
        <f>SUM(U33:U37)</f>
        <v>81</v>
      </c>
      <c r="V38" s="206">
        <f t="shared" si="11"/>
        <v>75</v>
      </c>
      <c r="W38" s="206">
        <f t="shared" si="11"/>
        <v>81</v>
      </c>
      <c r="X38" s="206">
        <f t="shared" si="11"/>
        <v>104</v>
      </c>
      <c r="Y38" s="206">
        <f t="shared" si="11"/>
        <v>81</v>
      </c>
      <c r="Z38" s="206">
        <f t="shared" si="11"/>
        <v>125</v>
      </c>
      <c r="AA38" s="206">
        <f t="shared" si="11"/>
        <v>81</v>
      </c>
      <c r="AB38" s="206">
        <f t="shared" si="11"/>
        <v>37</v>
      </c>
      <c r="AC38" s="206">
        <f t="shared" si="11"/>
        <v>81</v>
      </c>
      <c r="AD38" s="206">
        <f t="shared" si="11"/>
        <v>51</v>
      </c>
      <c r="AE38" s="206">
        <f t="shared" si="11"/>
        <v>81</v>
      </c>
      <c r="AF38" s="206">
        <f t="shared" si="11"/>
        <v>77</v>
      </c>
      <c r="AG38" s="206">
        <f t="shared" si="11"/>
        <v>81</v>
      </c>
      <c r="AH38" s="206">
        <f t="shared" si="11"/>
        <v>124</v>
      </c>
      <c r="AI38" s="206">
        <f t="shared" si="11"/>
        <v>81</v>
      </c>
      <c r="AJ38" s="206">
        <f t="shared" si="11"/>
        <v>182</v>
      </c>
      <c r="AK38" s="206">
        <f t="shared" si="11"/>
        <v>81</v>
      </c>
      <c r="AL38" s="206">
        <f t="shared" si="11"/>
        <v>201</v>
      </c>
      <c r="AM38" s="206">
        <f t="shared" si="11"/>
        <v>81</v>
      </c>
      <c r="AN38" s="206">
        <f t="shared" si="11"/>
        <v>141</v>
      </c>
      <c r="AO38" s="206">
        <f t="shared" si="11"/>
        <v>78</v>
      </c>
      <c r="AP38" s="206">
        <f t="shared" si="11"/>
        <v>112</v>
      </c>
      <c r="AQ38" s="206">
        <f t="shared" si="11"/>
        <v>73</v>
      </c>
      <c r="AR38" s="206">
        <f t="shared" si="11"/>
        <v>141</v>
      </c>
    </row>
    <row r="41" spans="1:44" x14ac:dyDescent="0.25">
      <c r="C41" s="189"/>
    </row>
    <row r="42" spans="1:44" x14ac:dyDescent="0.25">
      <c r="A42" s="230"/>
      <c r="C42" s="189"/>
    </row>
    <row r="43" spans="1:44" ht="13.2" x14ac:dyDescent="0.25">
      <c r="A43" s="60" t="s">
        <v>332</v>
      </c>
      <c r="B43" s="60" t="s">
        <v>329</v>
      </c>
      <c r="C43" s="189"/>
    </row>
    <row r="44" spans="1:44" ht="13.2" x14ac:dyDescent="0.25">
      <c r="A44" s="60" t="s">
        <v>55</v>
      </c>
      <c r="B44" s="162">
        <f>'EVOLUCAO DOS MESES'!D30</f>
        <v>0</v>
      </c>
      <c r="C44" s="189"/>
    </row>
    <row r="45" spans="1:44" ht="13.2" x14ac:dyDescent="0.25">
      <c r="A45" s="60" t="s">
        <v>6</v>
      </c>
      <c r="B45" s="162">
        <f>'EVOLUCAO DOS MESES'!D31</f>
        <v>6940.3200020000004</v>
      </c>
      <c r="C45" s="189"/>
    </row>
    <row r="46" spans="1:44" ht="13.2" x14ac:dyDescent="0.25">
      <c r="A46" s="60" t="s">
        <v>7</v>
      </c>
      <c r="B46" s="162">
        <f>'EVOLUCAO DOS MESES'!D32</f>
        <v>17117.813099999999</v>
      </c>
    </row>
    <row r="47" spans="1:44" ht="13.2" x14ac:dyDescent="0.25">
      <c r="A47" s="60" t="s">
        <v>8</v>
      </c>
      <c r="B47" s="162">
        <f>'EVOLUCAO DOS MESES'!D33</f>
        <v>2394.5</v>
      </c>
    </row>
    <row r="48" spans="1:44" ht="13.2" x14ac:dyDescent="0.25">
      <c r="A48" s="64" t="s">
        <v>56</v>
      </c>
      <c r="B48" s="231">
        <f>'EVOLUCAO DOS MESES'!D34</f>
        <v>15809.85</v>
      </c>
    </row>
    <row r="49" spans="1:2" ht="13.2" x14ac:dyDescent="0.25">
      <c r="A49" s="60" t="s">
        <v>10</v>
      </c>
      <c r="B49" s="162">
        <f>'EVOLUCAO DOS MESES'!D35</f>
        <v>11959.979998000001</v>
      </c>
    </row>
    <row r="50" spans="1:2" ht="13.2" x14ac:dyDescent="0.25">
      <c r="A50" s="60" t="s">
        <v>342</v>
      </c>
      <c r="B50" s="162">
        <f>SUM(B44:B49)</f>
        <v>54222.463100000001</v>
      </c>
    </row>
  </sheetData>
  <mergeCells count="43">
    <mergeCell ref="M3:N3"/>
    <mergeCell ref="A3:D3"/>
    <mergeCell ref="E3:F3"/>
    <mergeCell ref="G3:H3"/>
    <mergeCell ref="I3:J3"/>
    <mergeCell ref="K3:L3"/>
    <mergeCell ref="AK3:AL3"/>
    <mergeCell ref="O3:P3"/>
    <mergeCell ref="Q3:R3"/>
    <mergeCell ref="S3:T3"/>
    <mergeCell ref="U3:V3"/>
    <mergeCell ref="W3:X3"/>
    <mergeCell ref="Y3:Z3"/>
    <mergeCell ref="Y31:Z31"/>
    <mergeCell ref="AM3:AN3"/>
    <mergeCell ref="AO3:AP3"/>
    <mergeCell ref="AQ3:AR3"/>
    <mergeCell ref="A14:G14"/>
    <mergeCell ref="A31:D31"/>
    <mergeCell ref="E31:F31"/>
    <mergeCell ref="G31:H31"/>
    <mergeCell ref="I31:J31"/>
    <mergeCell ref="K31:L31"/>
    <mergeCell ref="M31:N31"/>
    <mergeCell ref="AA3:AB3"/>
    <mergeCell ref="AC3:AD3"/>
    <mergeCell ref="AE3:AF3"/>
    <mergeCell ref="AG3:AH3"/>
    <mergeCell ref="AI3:AJ3"/>
    <mergeCell ref="O31:P31"/>
    <mergeCell ref="Q31:R31"/>
    <mergeCell ref="S31:T31"/>
    <mergeCell ref="U31:V31"/>
    <mergeCell ref="W31:X31"/>
    <mergeCell ref="AM31:AN31"/>
    <mergeCell ref="AO31:AP31"/>
    <mergeCell ref="AQ31:AR31"/>
    <mergeCell ref="AA31:AB31"/>
    <mergeCell ref="AC31:AD31"/>
    <mergeCell ref="AE31:AF31"/>
    <mergeCell ref="AG31:AH31"/>
    <mergeCell ref="AI31:AJ31"/>
    <mergeCell ref="AK31:AL31"/>
  </mergeCell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193-6EB5-458E-8649-7C8C2DEAE0BB}">
  <sheetPr>
    <tabColor theme="8" tint="-0.249977111117893"/>
  </sheetPr>
  <dimension ref="A2:AT50"/>
  <sheetViews>
    <sheetView showGridLines="0" topLeftCell="A22" workbookViewId="0">
      <selection activeCell="B49" sqref="B49"/>
    </sheetView>
  </sheetViews>
  <sheetFormatPr defaultColWidth="9.109375" defaultRowHeight="12" x14ac:dyDescent="0.25"/>
  <cols>
    <col min="1" max="1" width="31.109375" style="30" customWidth="1"/>
    <col min="2" max="2" width="14.33203125" style="37" bestFit="1" customWidth="1"/>
    <col min="3" max="3" width="8.33203125" style="30" customWidth="1"/>
    <col min="4" max="4" width="9.109375" style="30" customWidth="1"/>
    <col min="5" max="5" width="8.44140625" style="30" customWidth="1"/>
    <col min="6" max="6" width="9.109375" style="30" customWidth="1"/>
    <col min="7" max="7" width="10.33203125" style="30" customWidth="1"/>
    <col min="8" max="9" width="10.6640625" style="30" customWidth="1"/>
    <col min="10" max="10" width="12.33203125" style="30" customWidth="1"/>
    <col min="11" max="20" width="10.6640625" style="30" customWidth="1"/>
    <col min="21" max="53" width="9.109375" style="30" customWidth="1"/>
    <col min="54" max="16384" width="9.109375" style="30"/>
  </cols>
  <sheetData>
    <row r="2" spans="1:46" ht="12.6" thickBot="1" x14ac:dyDescent="0.3">
      <c r="A2" s="30" t="s">
        <v>329</v>
      </c>
      <c r="B2" s="229">
        <f>'EVOLUCAO DOS MESES'!E12</f>
        <v>84114.925703999994</v>
      </c>
    </row>
    <row r="3" spans="1:46" ht="12.6" thickBot="1" x14ac:dyDescent="0.3">
      <c r="A3" s="290" t="s">
        <v>0</v>
      </c>
      <c r="B3" s="291"/>
      <c r="C3" s="291"/>
      <c r="D3" s="291"/>
      <c r="E3" s="296">
        <v>1</v>
      </c>
      <c r="F3" s="295"/>
      <c r="G3" s="294">
        <v>2</v>
      </c>
      <c r="H3" s="295"/>
      <c r="I3" s="294">
        <v>3</v>
      </c>
      <c r="J3" s="295"/>
      <c r="K3" s="294">
        <v>5</v>
      </c>
      <c r="L3" s="295"/>
      <c r="M3" s="294">
        <v>8</v>
      </c>
      <c r="N3" s="295"/>
      <c r="O3" s="294">
        <v>9</v>
      </c>
      <c r="P3" s="295"/>
      <c r="Q3" s="292">
        <v>10</v>
      </c>
      <c r="R3" s="293"/>
      <c r="S3" s="292">
        <v>11</v>
      </c>
      <c r="T3" s="293"/>
      <c r="U3" s="292">
        <v>12</v>
      </c>
      <c r="V3" s="293"/>
      <c r="W3" s="292">
        <v>15</v>
      </c>
      <c r="X3" s="293"/>
      <c r="Y3" s="294">
        <v>16</v>
      </c>
      <c r="Z3" s="295"/>
      <c r="AA3" s="294">
        <v>17</v>
      </c>
      <c r="AB3" s="295"/>
      <c r="AC3" s="292">
        <v>18</v>
      </c>
      <c r="AD3" s="293"/>
      <c r="AE3" s="292">
        <v>19</v>
      </c>
      <c r="AF3" s="293"/>
      <c r="AG3" s="292">
        <v>22</v>
      </c>
      <c r="AH3" s="293"/>
      <c r="AI3" s="292">
        <v>23</v>
      </c>
      <c r="AJ3" s="293"/>
      <c r="AK3" s="292">
        <v>24</v>
      </c>
      <c r="AL3" s="293"/>
      <c r="AM3" s="292">
        <v>25</v>
      </c>
      <c r="AN3" s="293"/>
      <c r="AO3" s="292">
        <v>26</v>
      </c>
      <c r="AP3" s="293"/>
      <c r="AQ3" s="292">
        <v>29</v>
      </c>
      <c r="AR3" s="293"/>
      <c r="AS3" s="292">
        <v>30</v>
      </c>
      <c r="AT3" s="293"/>
    </row>
    <row r="4" spans="1:46" x14ac:dyDescent="0.25">
      <c r="A4" s="133" t="s">
        <v>1</v>
      </c>
      <c r="B4" s="133" t="s">
        <v>2</v>
      </c>
      <c r="C4" s="133" t="s">
        <v>3</v>
      </c>
      <c r="D4" s="134" t="s">
        <v>4</v>
      </c>
      <c r="E4" s="135" t="s">
        <v>2</v>
      </c>
      <c r="F4" s="136" t="s">
        <v>5</v>
      </c>
      <c r="G4" s="135" t="s">
        <v>2</v>
      </c>
      <c r="H4" s="136" t="s">
        <v>5</v>
      </c>
      <c r="I4" s="135" t="s">
        <v>2</v>
      </c>
      <c r="J4" s="136" t="s">
        <v>5</v>
      </c>
      <c r="K4" s="135" t="s">
        <v>2</v>
      </c>
      <c r="L4" s="136" t="s">
        <v>5</v>
      </c>
      <c r="M4" s="135" t="s">
        <v>2</v>
      </c>
      <c r="N4" s="136" t="s">
        <v>5</v>
      </c>
      <c r="O4" s="135" t="s">
        <v>2</v>
      </c>
      <c r="P4" s="136" t="s">
        <v>5</v>
      </c>
      <c r="Q4" s="135" t="s">
        <v>2</v>
      </c>
      <c r="R4" s="136" t="s">
        <v>5</v>
      </c>
      <c r="S4" s="135" t="s">
        <v>2</v>
      </c>
      <c r="T4" s="136" t="s">
        <v>5</v>
      </c>
      <c r="U4" s="135" t="s">
        <v>2</v>
      </c>
      <c r="V4" s="136" t="s">
        <v>5</v>
      </c>
      <c r="W4" s="135" t="s">
        <v>2</v>
      </c>
      <c r="X4" s="136" t="s">
        <v>5</v>
      </c>
      <c r="Y4" s="135" t="s">
        <v>2</v>
      </c>
      <c r="Z4" s="136" t="s">
        <v>5</v>
      </c>
      <c r="AA4" s="135" t="s">
        <v>2</v>
      </c>
      <c r="AB4" s="136" t="s">
        <v>5</v>
      </c>
      <c r="AC4" s="135" t="s">
        <v>2</v>
      </c>
      <c r="AD4" s="136" t="s">
        <v>5</v>
      </c>
      <c r="AE4" s="135" t="s">
        <v>2</v>
      </c>
      <c r="AF4" s="136" t="s">
        <v>5</v>
      </c>
      <c r="AG4" s="135" t="s">
        <v>2</v>
      </c>
      <c r="AH4" s="136" t="s">
        <v>5</v>
      </c>
      <c r="AI4" s="135" t="s">
        <v>2</v>
      </c>
      <c r="AJ4" s="136" t="s">
        <v>5</v>
      </c>
      <c r="AK4" s="135" t="s">
        <v>2</v>
      </c>
      <c r="AL4" s="136" t="s">
        <v>5</v>
      </c>
      <c r="AM4" s="135" t="s">
        <v>2</v>
      </c>
      <c r="AN4" s="136" t="s">
        <v>5</v>
      </c>
      <c r="AO4" s="135" t="s">
        <v>2</v>
      </c>
      <c r="AP4" s="136" t="s">
        <v>5</v>
      </c>
      <c r="AQ4" s="135" t="s">
        <v>2</v>
      </c>
      <c r="AR4" s="136" t="s">
        <v>5</v>
      </c>
      <c r="AS4" s="135" t="s">
        <v>2</v>
      </c>
      <c r="AT4" s="136" t="s">
        <v>5</v>
      </c>
    </row>
    <row r="5" spans="1:46" x14ac:dyDescent="0.25">
      <c r="A5" s="137" t="s">
        <v>6</v>
      </c>
      <c r="B5" s="31">
        <v>31</v>
      </c>
      <c r="C5" s="31">
        <v>16</v>
      </c>
      <c r="D5" s="32">
        <v>0.48</v>
      </c>
      <c r="E5" s="33">
        <v>1</v>
      </c>
      <c r="F5" s="33">
        <v>0</v>
      </c>
      <c r="G5" s="33">
        <v>1</v>
      </c>
      <c r="H5" s="33">
        <v>2</v>
      </c>
      <c r="I5" s="33">
        <v>1</v>
      </c>
      <c r="J5" s="33">
        <v>0</v>
      </c>
      <c r="K5" s="33">
        <v>1</v>
      </c>
      <c r="L5" s="33">
        <v>3</v>
      </c>
      <c r="M5" s="33">
        <v>1</v>
      </c>
      <c r="N5" s="33">
        <v>0</v>
      </c>
      <c r="O5" s="33">
        <v>1</v>
      </c>
      <c r="P5" s="33">
        <v>1</v>
      </c>
      <c r="Q5" s="33">
        <v>1</v>
      </c>
      <c r="R5" s="33">
        <v>0</v>
      </c>
      <c r="S5" s="33">
        <v>1</v>
      </c>
      <c r="T5" s="33">
        <v>1</v>
      </c>
      <c r="U5" s="33">
        <v>1</v>
      </c>
      <c r="V5" s="33">
        <v>0</v>
      </c>
      <c r="W5" s="33">
        <v>1</v>
      </c>
      <c r="X5" s="33">
        <v>1</v>
      </c>
      <c r="Y5" s="33">
        <v>1</v>
      </c>
      <c r="Z5" s="33">
        <v>1</v>
      </c>
      <c r="AA5" s="33">
        <v>2</v>
      </c>
      <c r="AB5" s="33">
        <v>0</v>
      </c>
      <c r="AC5" s="33">
        <v>2</v>
      </c>
      <c r="AD5" s="110">
        <v>1</v>
      </c>
      <c r="AE5" s="33">
        <v>2</v>
      </c>
      <c r="AF5" s="33">
        <v>0</v>
      </c>
      <c r="AG5" s="33">
        <v>2</v>
      </c>
      <c r="AH5" s="33">
        <v>0</v>
      </c>
      <c r="AI5" s="33">
        <v>2</v>
      </c>
      <c r="AJ5" s="33">
        <v>0</v>
      </c>
      <c r="AK5" s="33">
        <v>2</v>
      </c>
      <c r="AL5" s="33">
        <v>0</v>
      </c>
      <c r="AM5" s="33">
        <v>2</v>
      </c>
      <c r="AN5" s="33">
        <v>0</v>
      </c>
      <c r="AO5" s="33">
        <v>2</v>
      </c>
      <c r="AP5" s="33">
        <v>3</v>
      </c>
      <c r="AQ5" s="33">
        <v>2</v>
      </c>
      <c r="AR5" s="33">
        <v>1</v>
      </c>
      <c r="AS5" s="33">
        <v>2</v>
      </c>
      <c r="AT5" s="33">
        <v>1</v>
      </c>
    </row>
    <row r="6" spans="1:46" x14ac:dyDescent="0.25">
      <c r="A6" s="137" t="s">
        <v>7</v>
      </c>
      <c r="B6" s="31">
        <v>48</v>
      </c>
      <c r="C6" s="31">
        <v>21</v>
      </c>
      <c r="D6" s="32">
        <v>0.44</v>
      </c>
      <c r="E6" s="33">
        <v>3</v>
      </c>
      <c r="F6" s="110">
        <v>0</v>
      </c>
      <c r="G6" s="33">
        <v>3</v>
      </c>
      <c r="H6" s="33">
        <v>0</v>
      </c>
      <c r="I6" s="33">
        <v>3</v>
      </c>
      <c r="J6" s="33">
        <v>0</v>
      </c>
      <c r="K6" s="33">
        <v>3</v>
      </c>
      <c r="L6" s="110">
        <v>3</v>
      </c>
      <c r="M6" s="33">
        <v>3</v>
      </c>
      <c r="N6" s="110">
        <v>1</v>
      </c>
      <c r="O6" s="33">
        <v>3</v>
      </c>
      <c r="P6" s="33">
        <v>0</v>
      </c>
      <c r="Q6" s="33">
        <v>3</v>
      </c>
      <c r="R6" s="33">
        <v>0</v>
      </c>
      <c r="S6" s="33">
        <v>3</v>
      </c>
      <c r="T6" s="33">
        <v>1</v>
      </c>
      <c r="U6" s="33">
        <v>3</v>
      </c>
      <c r="V6" s="33">
        <v>2</v>
      </c>
      <c r="W6" s="33">
        <v>3</v>
      </c>
      <c r="X6" s="33">
        <v>0</v>
      </c>
      <c r="Y6" s="33">
        <v>3</v>
      </c>
      <c r="Z6" s="33">
        <v>0</v>
      </c>
      <c r="AA6" s="33">
        <v>3</v>
      </c>
      <c r="AB6" s="33">
        <v>1</v>
      </c>
      <c r="AC6" s="33">
        <v>2</v>
      </c>
      <c r="AD6" s="110">
        <v>5</v>
      </c>
      <c r="AE6" s="33">
        <v>1</v>
      </c>
      <c r="AF6" s="33">
        <v>2</v>
      </c>
      <c r="AG6" s="33">
        <v>1</v>
      </c>
      <c r="AH6" s="33">
        <v>0</v>
      </c>
      <c r="AI6" s="33">
        <v>1</v>
      </c>
      <c r="AJ6" s="33">
        <v>0</v>
      </c>
      <c r="AK6" s="33">
        <v>1</v>
      </c>
      <c r="AL6" s="33">
        <v>1</v>
      </c>
      <c r="AM6" s="33">
        <v>1</v>
      </c>
      <c r="AN6" s="33">
        <v>1</v>
      </c>
      <c r="AO6" s="33">
        <v>1</v>
      </c>
      <c r="AP6" s="33">
        <v>4</v>
      </c>
      <c r="AQ6" s="33">
        <v>1</v>
      </c>
      <c r="AR6" s="33">
        <v>0</v>
      </c>
      <c r="AS6" s="33">
        <v>1</v>
      </c>
      <c r="AT6" s="33">
        <v>0</v>
      </c>
    </row>
    <row r="7" spans="1:46" x14ac:dyDescent="0.25">
      <c r="A7" s="137" t="s">
        <v>8</v>
      </c>
      <c r="B7" s="31">
        <v>25</v>
      </c>
      <c r="C7" s="31">
        <v>7</v>
      </c>
      <c r="D7" s="32">
        <v>0.2</v>
      </c>
      <c r="E7" s="33">
        <v>1</v>
      </c>
      <c r="F7" s="33">
        <v>0</v>
      </c>
      <c r="G7" s="33">
        <v>1</v>
      </c>
      <c r="H7" s="33">
        <v>0</v>
      </c>
      <c r="I7" s="33">
        <v>1</v>
      </c>
      <c r="J7" s="33">
        <v>0</v>
      </c>
      <c r="K7" s="33">
        <v>1</v>
      </c>
      <c r="L7" s="33">
        <v>1</v>
      </c>
      <c r="M7" s="33">
        <v>1</v>
      </c>
      <c r="N7" s="33">
        <v>0</v>
      </c>
      <c r="O7" s="33">
        <v>1</v>
      </c>
      <c r="P7" s="33">
        <v>0</v>
      </c>
      <c r="Q7" s="33">
        <v>1</v>
      </c>
      <c r="R7" s="33">
        <v>0</v>
      </c>
      <c r="S7" s="33">
        <v>1</v>
      </c>
      <c r="T7" s="33">
        <v>0</v>
      </c>
      <c r="U7" s="33">
        <v>1</v>
      </c>
      <c r="V7" s="33">
        <v>1</v>
      </c>
      <c r="W7" s="33">
        <v>1</v>
      </c>
      <c r="X7" s="33">
        <v>0</v>
      </c>
      <c r="Y7" s="33">
        <v>1</v>
      </c>
      <c r="Z7" s="33">
        <v>0</v>
      </c>
      <c r="AA7" s="33">
        <v>1</v>
      </c>
      <c r="AB7" s="33">
        <v>0</v>
      </c>
      <c r="AC7" s="33">
        <v>1</v>
      </c>
      <c r="AD7" s="110">
        <v>0</v>
      </c>
      <c r="AE7" s="33">
        <v>1</v>
      </c>
      <c r="AF7" s="33">
        <v>0</v>
      </c>
      <c r="AG7" s="33">
        <v>1</v>
      </c>
      <c r="AH7" s="33">
        <v>0</v>
      </c>
      <c r="AI7" s="33">
        <v>1</v>
      </c>
      <c r="AJ7" s="33">
        <v>0</v>
      </c>
      <c r="AK7" s="33">
        <v>1</v>
      </c>
      <c r="AL7" s="33">
        <v>2</v>
      </c>
      <c r="AM7" s="33">
        <v>2</v>
      </c>
      <c r="AN7" s="33">
        <v>0</v>
      </c>
      <c r="AO7" s="33">
        <v>2</v>
      </c>
      <c r="AP7" s="33">
        <v>1</v>
      </c>
      <c r="AQ7" s="33">
        <v>2</v>
      </c>
      <c r="AR7" s="33">
        <v>0</v>
      </c>
      <c r="AS7" s="33">
        <v>2</v>
      </c>
      <c r="AT7" s="33">
        <v>0</v>
      </c>
    </row>
    <row r="8" spans="1:46" x14ac:dyDescent="0.25">
      <c r="A8" s="137" t="s">
        <v>9</v>
      </c>
      <c r="B8" s="31">
        <v>30</v>
      </c>
      <c r="C8" s="31">
        <v>27</v>
      </c>
      <c r="D8" s="32">
        <v>0.9</v>
      </c>
      <c r="E8" s="33">
        <v>2</v>
      </c>
      <c r="F8" s="110">
        <v>0</v>
      </c>
      <c r="G8" s="33">
        <v>2</v>
      </c>
      <c r="H8" s="33">
        <v>0</v>
      </c>
      <c r="I8" s="33">
        <v>2</v>
      </c>
      <c r="J8" s="33">
        <v>2</v>
      </c>
      <c r="K8" s="33">
        <v>2</v>
      </c>
      <c r="L8" s="110">
        <v>1</v>
      </c>
      <c r="M8" s="33">
        <v>2</v>
      </c>
      <c r="N8" s="110">
        <v>0</v>
      </c>
      <c r="O8" s="33">
        <v>2</v>
      </c>
      <c r="P8" s="110">
        <v>1</v>
      </c>
      <c r="Q8" s="33">
        <v>2</v>
      </c>
      <c r="R8" s="110">
        <v>3</v>
      </c>
      <c r="S8" s="33">
        <v>2</v>
      </c>
      <c r="T8" s="33">
        <v>4</v>
      </c>
      <c r="U8" s="33">
        <v>2</v>
      </c>
      <c r="V8" s="33">
        <v>0</v>
      </c>
      <c r="W8" s="33">
        <v>1</v>
      </c>
      <c r="X8" s="33">
        <v>0</v>
      </c>
      <c r="Y8" s="33">
        <v>1</v>
      </c>
      <c r="Z8" s="33">
        <v>0</v>
      </c>
      <c r="AA8" s="33">
        <v>1</v>
      </c>
      <c r="AB8" s="33">
        <v>2</v>
      </c>
      <c r="AC8" s="33">
        <v>1</v>
      </c>
      <c r="AD8" s="110">
        <v>1</v>
      </c>
      <c r="AE8" s="33">
        <v>1</v>
      </c>
      <c r="AF8" s="33">
        <v>1</v>
      </c>
      <c r="AG8" s="33">
        <v>1</v>
      </c>
      <c r="AH8" s="33">
        <v>1</v>
      </c>
      <c r="AI8" s="33">
        <v>1</v>
      </c>
      <c r="AJ8" s="33">
        <v>1</v>
      </c>
      <c r="AK8" s="33">
        <v>1</v>
      </c>
      <c r="AL8" s="33">
        <v>1</v>
      </c>
      <c r="AM8" s="33">
        <v>1</v>
      </c>
      <c r="AN8" s="33">
        <v>3</v>
      </c>
      <c r="AO8" s="33">
        <v>1</v>
      </c>
      <c r="AP8" s="33">
        <v>2</v>
      </c>
      <c r="AQ8" s="33">
        <v>1</v>
      </c>
      <c r="AR8" s="33">
        <v>0</v>
      </c>
      <c r="AS8" s="33">
        <v>1</v>
      </c>
      <c r="AT8" s="33">
        <v>4</v>
      </c>
    </row>
    <row r="9" spans="1:46" x14ac:dyDescent="0.25">
      <c r="A9" s="137" t="s">
        <v>10</v>
      </c>
      <c r="B9" s="31">
        <v>25</v>
      </c>
      <c r="C9" s="31">
        <v>20</v>
      </c>
      <c r="D9" s="32">
        <v>0.8</v>
      </c>
      <c r="E9" s="33">
        <v>1</v>
      </c>
      <c r="F9" s="33">
        <v>1</v>
      </c>
      <c r="G9" s="33">
        <v>1</v>
      </c>
      <c r="H9" s="33">
        <v>0</v>
      </c>
      <c r="I9" s="33">
        <v>1</v>
      </c>
      <c r="J9" s="33">
        <v>1</v>
      </c>
      <c r="K9" s="33">
        <v>1</v>
      </c>
      <c r="L9" s="33">
        <v>1</v>
      </c>
      <c r="M9" s="33">
        <v>1</v>
      </c>
      <c r="N9" s="33">
        <v>0</v>
      </c>
      <c r="O9" s="33">
        <v>1</v>
      </c>
      <c r="P9" s="33">
        <v>3</v>
      </c>
      <c r="Q9" s="33">
        <v>1</v>
      </c>
      <c r="R9" s="33">
        <v>1</v>
      </c>
      <c r="S9" s="33">
        <v>1</v>
      </c>
      <c r="T9" s="33">
        <v>2</v>
      </c>
      <c r="U9" s="33">
        <v>1</v>
      </c>
      <c r="V9" s="33">
        <v>1</v>
      </c>
      <c r="W9" s="33">
        <v>1</v>
      </c>
      <c r="X9" s="33">
        <v>1</v>
      </c>
      <c r="Y9" s="33">
        <v>1</v>
      </c>
      <c r="Z9" s="33">
        <v>1</v>
      </c>
      <c r="AA9" s="33">
        <v>1</v>
      </c>
      <c r="AB9" s="33">
        <v>0</v>
      </c>
      <c r="AC9" s="33">
        <v>1</v>
      </c>
      <c r="AD9" s="110">
        <v>2</v>
      </c>
      <c r="AE9" s="33">
        <v>1</v>
      </c>
      <c r="AF9" s="33">
        <v>2</v>
      </c>
      <c r="AG9" s="33">
        <v>1</v>
      </c>
      <c r="AH9" s="33">
        <v>0</v>
      </c>
      <c r="AI9" s="33">
        <v>1</v>
      </c>
      <c r="AJ9" s="33">
        <v>0</v>
      </c>
      <c r="AK9" s="33">
        <v>1</v>
      </c>
      <c r="AL9" s="33">
        <v>0</v>
      </c>
      <c r="AM9" s="33">
        <v>2</v>
      </c>
      <c r="AN9" s="33">
        <v>1</v>
      </c>
      <c r="AO9" s="33">
        <v>2</v>
      </c>
      <c r="AP9" s="33">
        <v>1</v>
      </c>
      <c r="AQ9" s="33">
        <v>2</v>
      </c>
      <c r="AR9" s="33">
        <v>0</v>
      </c>
      <c r="AS9" s="33">
        <v>2</v>
      </c>
      <c r="AT9" s="33">
        <v>2</v>
      </c>
    </row>
    <row r="10" spans="1:46" x14ac:dyDescent="0.25">
      <c r="A10" s="138" t="s">
        <v>11</v>
      </c>
      <c r="B10" s="139">
        <v>159</v>
      </c>
      <c r="C10" s="139">
        <f>SUM(C5:C9)</f>
        <v>91</v>
      </c>
      <c r="D10" s="140">
        <v>0.55000000000000004</v>
      </c>
      <c r="E10" s="141">
        <v>8</v>
      </c>
      <c r="F10" s="141">
        <v>1</v>
      </c>
      <c r="G10" s="141">
        <v>8</v>
      </c>
      <c r="H10" s="141">
        <v>2</v>
      </c>
      <c r="I10" s="141">
        <v>8</v>
      </c>
      <c r="J10" s="141">
        <v>3</v>
      </c>
      <c r="K10" s="141">
        <v>8</v>
      </c>
      <c r="L10" s="141">
        <v>9</v>
      </c>
      <c r="M10" s="141">
        <v>8</v>
      </c>
      <c r="N10" s="141">
        <v>1</v>
      </c>
      <c r="O10" s="141">
        <v>8</v>
      </c>
      <c r="P10" s="141">
        <v>5</v>
      </c>
      <c r="Q10" s="141">
        <v>8</v>
      </c>
      <c r="R10" s="141">
        <v>4</v>
      </c>
      <c r="S10" s="141">
        <v>8</v>
      </c>
      <c r="T10" s="141">
        <v>8</v>
      </c>
      <c r="U10" s="141">
        <v>8</v>
      </c>
      <c r="V10" s="141">
        <v>4</v>
      </c>
      <c r="W10" s="141">
        <v>7</v>
      </c>
      <c r="X10" s="141">
        <v>2</v>
      </c>
      <c r="Y10" s="141">
        <v>7</v>
      </c>
      <c r="Z10" s="141">
        <v>2</v>
      </c>
      <c r="AA10" s="141">
        <v>8</v>
      </c>
      <c r="AB10" s="141">
        <v>3</v>
      </c>
      <c r="AC10" s="141">
        <v>7</v>
      </c>
      <c r="AD10" s="141">
        <v>9</v>
      </c>
      <c r="AE10" s="141">
        <v>6</v>
      </c>
      <c r="AF10" s="141">
        <v>5</v>
      </c>
      <c r="AG10" s="141">
        <v>6</v>
      </c>
      <c r="AH10" s="141">
        <v>1</v>
      </c>
      <c r="AI10" s="141">
        <v>6</v>
      </c>
      <c r="AJ10" s="141">
        <v>1</v>
      </c>
      <c r="AK10" s="141">
        <v>6</v>
      </c>
      <c r="AL10" s="141">
        <v>4</v>
      </c>
      <c r="AM10" s="141">
        <v>8</v>
      </c>
      <c r="AN10" s="141">
        <v>5</v>
      </c>
      <c r="AO10" s="141">
        <v>8</v>
      </c>
      <c r="AP10" s="141">
        <v>11</v>
      </c>
      <c r="AQ10" s="141">
        <v>8</v>
      </c>
      <c r="AR10" s="141">
        <v>1</v>
      </c>
      <c r="AS10" s="141">
        <v>8</v>
      </c>
      <c r="AT10" s="141">
        <v>7</v>
      </c>
    </row>
    <row r="11" spans="1:46" x14ac:dyDescent="0.25">
      <c r="A11" s="53" t="s">
        <v>12</v>
      </c>
      <c r="B11" s="54">
        <v>218</v>
      </c>
      <c r="C11" s="39"/>
    </row>
    <row r="12" spans="1:46" x14ac:dyDescent="0.25">
      <c r="A12" s="53" t="s">
        <v>13</v>
      </c>
      <c r="B12" s="54">
        <v>59</v>
      </c>
      <c r="C12" s="39"/>
    </row>
    <row r="13" spans="1:46" ht="12.6" thickBot="1" x14ac:dyDescent="0.3"/>
    <row r="14" spans="1:46" ht="12.75" customHeight="1" thickBot="1" x14ac:dyDescent="0.35">
      <c r="A14" s="277" t="s">
        <v>341</v>
      </c>
      <c r="B14" s="278"/>
      <c r="C14" s="278"/>
      <c r="D14" s="278"/>
      <c r="E14" s="278"/>
      <c r="F14" s="278"/>
      <c r="G14" s="279"/>
    </row>
    <row r="15" spans="1:46" x14ac:dyDescent="0.25">
      <c r="A15" s="142" t="s">
        <v>14</v>
      </c>
      <c r="B15" s="142" t="s">
        <v>6</v>
      </c>
      <c r="C15" s="142" t="s">
        <v>7</v>
      </c>
      <c r="D15" s="142" t="s">
        <v>8</v>
      </c>
      <c r="E15" s="142" t="s">
        <v>9</v>
      </c>
      <c r="F15" s="142" t="s">
        <v>10</v>
      </c>
      <c r="G15" s="142" t="s">
        <v>11</v>
      </c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</row>
    <row r="16" spans="1:46" ht="15" customHeight="1" x14ac:dyDescent="0.45">
      <c r="A16" s="143" t="s">
        <v>15</v>
      </c>
      <c r="B16" s="109">
        <v>35</v>
      </c>
      <c r="C16" s="95">
        <v>0</v>
      </c>
      <c r="D16" s="95">
        <v>0</v>
      </c>
      <c r="E16" s="95">
        <v>11</v>
      </c>
      <c r="F16" s="95">
        <v>6</v>
      </c>
      <c r="G16" s="144">
        <v>52</v>
      </c>
      <c r="H16" s="50"/>
      <c r="J16" s="49"/>
      <c r="K16" s="41"/>
      <c r="L16" s="42"/>
    </row>
    <row r="17" spans="1:46" ht="15" customHeight="1" x14ac:dyDescent="0.35">
      <c r="A17" s="143" t="s">
        <v>16</v>
      </c>
      <c r="B17" s="109">
        <v>9</v>
      </c>
      <c r="C17" s="95">
        <v>0</v>
      </c>
      <c r="D17" s="95">
        <v>0</v>
      </c>
      <c r="E17" s="95">
        <v>0</v>
      </c>
      <c r="F17" s="95">
        <v>8</v>
      </c>
      <c r="G17" s="144">
        <v>17</v>
      </c>
      <c r="H17" s="50"/>
      <c r="K17" s="41"/>
    </row>
    <row r="18" spans="1:46" ht="15" customHeight="1" x14ac:dyDescent="0.45">
      <c r="A18" s="143" t="s">
        <v>17</v>
      </c>
      <c r="B18" s="109">
        <v>4</v>
      </c>
      <c r="C18" s="95">
        <v>0</v>
      </c>
      <c r="D18" s="95">
        <v>0</v>
      </c>
      <c r="E18" s="95">
        <v>0</v>
      </c>
      <c r="F18" s="95">
        <v>3</v>
      </c>
      <c r="G18" s="144">
        <v>7</v>
      </c>
      <c r="H18" s="50"/>
      <c r="I18" s="41"/>
      <c r="J18" s="49"/>
      <c r="K18" s="41"/>
      <c r="M18" s="49"/>
      <c r="P18" s="49"/>
    </row>
    <row r="19" spans="1:46" ht="15" customHeight="1" x14ac:dyDescent="0.25">
      <c r="A19" s="143" t="s">
        <v>18</v>
      </c>
      <c r="B19" s="109">
        <v>1</v>
      </c>
      <c r="C19" s="95">
        <v>0</v>
      </c>
      <c r="D19" s="95">
        <v>0</v>
      </c>
      <c r="E19" s="95">
        <v>0</v>
      </c>
      <c r="F19" s="95">
        <v>1</v>
      </c>
      <c r="G19" s="144">
        <v>2</v>
      </c>
      <c r="H19" s="50"/>
      <c r="I19" s="40"/>
    </row>
    <row r="20" spans="1:46" ht="15" customHeight="1" x14ac:dyDescent="0.25">
      <c r="A20" s="145" t="s">
        <v>19</v>
      </c>
      <c r="B20" s="142" t="s">
        <v>6</v>
      </c>
      <c r="C20" s="142" t="s">
        <v>7</v>
      </c>
      <c r="D20" s="142" t="s">
        <v>8</v>
      </c>
      <c r="E20" s="142" t="s">
        <v>9</v>
      </c>
      <c r="F20" s="142" t="s">
        <v>10</v>
      </c>
      <c r="G20" s="142" t="s">
        <v>11</v>
      </c>
    </row>
    <row r="21" spans="1:46" ht="15" customHeight="1" x14ac:dyDescent="0.25">
      <c r="A21" s="143" t="s">
        <v>20</v>
      </c>
      <c r="B21" s="80">
        <v>180</v>
      </c>
      <c r="C21" s="95">
        <v>530</v>
      </c>
      <c r="D21" s="80">
        <v>352</v>
      </c>
      <c r="E21" s="95">
        <v>197</v>
      </c>
      <c r="F21" s="95">
        <v>139</v>
      </c>
      <c r="G21" s="144">
        <v>1398</v>
      </c>
    </row>
    <row r="22" spans="1:46" ht="15" customHeight="1" x14ac:dyDescent="0.35">
      <c r="A22" s="143" t="s">
        <v>21</v>
      </c>
      <c r="B22" s="110">
        <v>29</v>
      </c>
      <c r="C22" s="95">
        <v>75</v>
      </c>
      <c r="D22" s="110">
        <v>33</v>
      </c>
      <c r="E22" s="95">
        <v>69</v>
      </c>
      <c r="F22" s="95">
        <v>64</v>
      </c>
      <c r="G22" s="144">
        <v>270</v>
      </c>
      <c r="J22" s="40"/>
      <c r="K22" s="41"/>
      <c r="L22" s="42"/>
    </row>
    <row r="23" spans="1:46" s="38" customFormat="1" ht="15" customHeight="1" x14ac:dyDescent="0.25">
      <c r="A23" s="143" t="s">
        <v>22</v>
      </c>
      <c r="B23" s="80">
        <v>0</v>
      </c>
      <c r="C23" s="95">
        <v>0</v>
      </c>
      <c r="D23" s="80">
        <v>1</v>
      </c>
      <c r="E23" s="95">
        <v>6</v>
      </c>
      <c r="F23" s="95">
        <v>7</v>
      </c>
      <c r="G23" s="144">
        <v>14</v>
      </c>
      <c r="H23" s="43"/>
    </row>
    <row r="24" spans="1:46" ht="15" customHeight="1" x14ac:dyDescent="0.25">
      <c r="A24" s="143" t="s">
        <v>23</v>
      </c>
      <c r="B24" s="80">
        <v>1</v>
      </c>
      <c r="C24" s="95">
        <v>0</v>
      </c>
      <c r="D24" s="80">
        <v>3</v>
      </c>
      <c r="E24" s="95">
        <v>2</v>
      </c>
      <c r="F24" s="95">
        <v>9</v>
      </c>
      <c r="G24" s="144">
        <v>15</v>
      </c>
    </row>
    <row r="25" spans="1:46" ht="15" customHeight="1" x14ac:dyDescent="0.25">
      <c r="A25" s="143" t="s">
        <v>24</v>
      </c>
      <c r="B25" s="80">
        <v>35</v>
      </c>
      <c r="C25" s="95">
        <v>42</v>
      </c>
      <c r="D25" s="80">
        <v>15</v>
      </c>
      <c r="E25" s="95">
        <v>14</v>
      </c>
      <c r="F25" s="95">
        <v>24</v>
      </c>
      <c r="G25" s="144">
        <v>130</v>
      </c>
      <c r="H25" s="40"/>
    </row>
    <row r="26" spans="1:46" ht="15" customHeight="1" x14ac:dyDescent="0.25">
      <c r="A26" s="143" t="s">
        <v>25</v>
      </c>
      <c r="B26" s="80">
        <v>2</v>
      </c>
      <c r="C26" s="95">
        <v>0</v>
      </c>
      <c r="D26" s="80">
        <v>4</v>
      </c>
      <c r="E26" s="95">
        <v>15</v>
      </c>
      <c r="F26" s="95">
        <v>10</v>
      </c>
      <c r="G26" s="144">
        <v>31</v>
      </c>
      <c r="H26" s="48"/>
    </row>
    <row r="27" spans="1:46" ht="15" customHeight="1" x14ac:dyDescent="0.25">
      <c r="A27" s="143" t="s">
        <v>26</v>
      </c>
      <c r="B27" s="80">
        <v>3</v>
      </c>
      <c r="C27" s="95">
        <v>0</v>
      </c>
      <c r="D27" s="80">
        <v>0</v>
      </c>
      <c r="E27" s="95">
        <v>4</v>
      </c>
      <c r="F27" s="95">
        <v>5</v>
      </c>
      <c r="G27" s="144">
        <v>12</v>
      </c>
      <c r="H27" s="40"/>
    </row>
    <row r="28" spans="1:46" x14ac:dyDescent="0.25">
      <c r="A28" s="146" t="s">
        <v>11</v>
      </c>
      <c r="B28" s="132">
        <v>299</v>
      </c>
      <c r="C28" s="132">
        <v>647</v>
      </c>
      <c r="D28" s="132">
        <v>408</v>
      </c>
      <c r="E28" s="132">
        <v>318</v>
      </c>
      <c r="F28" s="132">
        <v>276</v>
      </c>
      <c r="G28" s="37"/>
    </row>
    <row r="30" spans="1:46" ht="12.6" thickBot="1" x14ac:dyDescent="0.3"/>
    <row r="31" spans="1:46" ht="12.6" thickBot="1" x14ac:dyDescent="0.3">
      <c r="A31" s="290" t="s">
        <v>27</v>
      </c>
      <c r="B31" s="291"/>
      <c r="C31" s="291"/>
      <c r="D31" s="297"/>
      <c r="E31" s="298">
        <v>1</v>
      </c>
      <c r="F31" s="295"/>
      <c r="G31" s="294">
        <v>2</v>
      </c>
      <c r="H31" s="295"/>
      <c r="I31" s="294">
        <v>3</v>
      </c>
      <c r="J31" s="295"/>
      <c r="K31" s="294">
        <v>5</v>
      </c>
      <c r="L31" s="295"/>
      <c r="M31" s="294">
        <v>8</v>
      </c>
      <c r="N31" s="295"/>
      <c r="O31" s="294">
        <v>9</v>
      </c>
      <c r="P31" s="295"/>
      <c r="Q31" s="292">
        <v>10</v>
      </c>
      <c r="R31" s="293"/>
      <c r="S31" s="292">
        <v>11</v>
      </c>
      <c r="T31" s="293"/>
      <c r="U31" s="292">
        <v>12</v>
      </c>
      <c r="V31" s="293"/>
      <c r="W31" s="292">
        <v>15</v>
      </c>
      <c r="X31" s="293"/>
      <c r="Y31" s="294">
        <v>16</v>
      </c>
      <c r="Z31" s="295"/>
      <c r="AA31" s="294">
        <v>17</v>
      </c>
      <c r="AB31" s="295"/>
      <c r="AC31" s="292">
        <v>18</v>
      </c>
      <c r="AD31" s="293"/>
      <c r="AE31" s="292">
        <v>19</v>
      </c>
      <c r="AF31" s="293"/>
      <c r="AG31" s="292">
        <v>22</v>
      </c>
      <c r="AH31" s="293"/>
      <c r="AI31" s="292">
        <v>23</v>
      </c>
      <c r="AJ31" s="293"/>
      <c r="AK31" s="292">
        <v>24</v>
      </c>
      <c r="AL31" s="293"/>
      <c r="AM31" s="292">
        <v>25</v>
      </c>
      <c r="AN31" s="293"/>
      <c r="AO31" s="292">
        <v>26</v>
      </c>
      <c r="AP31" s="293"/>
      <c r="AQ31" s="292">
        <v>29</v>
      </c>
      <c r="AR31" s="293"/>
      <c r="AS31" s="292">
        <v>30</v>
      </c>
      <c r="AT31" s="293"/>
    </row>
    <row r="32" spans="1:46" x14ac:dyDescent="0.25">
      <c r="A32" s="147" t="s">
        <v>1</v>
      </c>
      <c r="B32" s="147" t="s">
        <v>2</v>
      </c>
      <c r="C32" s="147" t="s">
        <v>3</v>
      </c>
      <c r="D32" s="148" t="s">
        <v>4</v>
      </c>
      <c r="E32" s="135" t="s">
        <v>2</v>
      </c>
      <c r="F32" s="136" t="s">
        <v>5</v>
      </c>
      <c r="G32" s="135" t="s">
        <v>2</v>
      </c>
      <c r="H32" s="136" t="s">
        <v>5</v>
      </c>
      <c r="I32" s="135" t="s">
        <v>2</v>
      </c>
      <c r="J32" s="136" t="s">
        <v>5</v>
      </c>
      <c r="K32" s="135" t="s">
        <v>2</v>
      </c>
      <c r="L32" s="136" t="s">
        <v>5</v>
      </c>
      <c r="M32" s="135" t="s">
        <v>2</v>
      </c>
      <c r="N32" s="136" t="s">
        <v>5</v>
      </c>
      <c r="O32" s="135" t="s">
        <v>2</v>
      </c>
      <c r="P32" s="136" t="s">
        <v>5</v>
      </c>
      <c r="Q32" s="135" t="s">
        <v>2</v>
      </c>
      <c r="R32" s="136" t="s">
        <v>5</v>
      </c>
      <c r="S32" s="135" t="s">
        <v>2</v>
      </c>
      <c r="T32" s="136" t="s">
        <v>5</v>
      </c>
      <c r="U32" s="135" t="s">
        <v>2</v>
      </c>
      <c r="V32" s="136" t="s">
        <v>5</v>
      </c>
      <c r="W32" s="135" t="s">
        <v>2</v>
      </c>
      <c r="X32" s="136" t="s">
        <v>5</v>
      </c>
      <c r="Y32" s="135" t="s">
        <v>2</v>
      </c>
      <c r="Z32" s="136" t="s">
        <v>5</v>
      </c>
      <c r="AA32" s="135" t="s">
        <v>2</v>
      </c>
      <c r="AB32" s="136" t="s">
        <v>5</v>
      </c>
      <c r="AC32" s="135" t="s">
        <v>2</v>
      </c>
      <c r="AD32" s="136" t="s">
        <v>5</v>
      </c>
      <c r="AE32" s="135" t="s">
        <v>2</v>
      </c>
      <c r="AF32" s="136" t="s">
        <v>5</v>
      </c>
      <c r="AG32" s="135" t="s">
        <v>2</v>
      </c>
      <c r="AH32" s="136" t="s">
        <v>5</v>
      </c>
      <c r="AI32" s="135" t="s">
        <v>2</v>
      </c>
      <c r="AJ32" s="136" t="s">
        <v>5</v>
      </c>
      <c r="AK32" s="135" t="s">
        <v>2</v>
      </c>
      <c r="AL32" s="136" t="s">
        <v>5</v>
      </c>
      <c r="AM32" s="135" t="s">
        <v>2</v>
      </c>
      <c r="AN32" s="136" t="s">
        <v>5</v>
      </c>
      <c r="AO32" s="135" t="s">
        <v>2</v>
      </c>
      <c r="AP32" s="136" t="s">
        <v>5</v>
      </c>
      <c r="AQ32" s="135" t="s">
        <v>2</v>
      </c>
      <c r="AR32" s="136" t="s">
        <v>5</v>
      </c>
      <c r="AS32" s="135" t="s">
        <v>2</v>
      </c>
      <c r="AT32" s="136" t="s">
        <v>5</v>
      </c>
    </row>
    <row r="33" spans="1:46" x14ac:dyDescent="0.25">
      <c r="A33" s="137" t="s">
        <v>6</v>
      </c>
      <c r="B33" s="35">
        <v>350</v>
      </c>
      <c r="C33" s="35">
        <v>332</v>
      </c>
      <c r="D33" s="36">
        <v>0.95</v>
      </c>
      <c r="E33" s="33">
        <v>17</v>
      </c>
      <c r="F33" s="33">
        <v>0</v>
      </c>
      <c r="G33" s="33">
        <v>17</v>
      </c>
      <c r="H33" s="33">
        <v>0</v>
      </c>
      <c r="I33" s="33">
        <v>17</v>
      </c>
      <c r="J33" s="33">
        <v>13</v>
      </c>
      <c r="K33" s="33">
        <v>17</v>
      </c>
      <c r="L33" s="33">
        <v>8</v>
      </c>
      <c r="M33" s="33">
        <v>17</v>
      </c>
      <c r="N33" s="33">
        <v>3</v>
      </c>
      <c r="O33" s="33">
        <v>17</v>
      </c>
      <c r="P33" s="33">
        <v>33</v>
      </c>
      <c r="Q33" s="33">
        <v>17</v>
      </c>
      <c r="R33" s="33">
        <v>10</v>
      </c>
      <c r="S33" s="33">
        <v>17</v>
      </c>
      <c r="T33" s="33">
        <v>10</v>
      </c>
      <c r="U33" s="33">
        <v>17</v>
      </c>
      <c r="V33" s="33">
        <v>12</v>
      </c>
      <c r="W33" s="33">
        <v>17</v>
      </c>
      <c r="X33" s="33">
        <v>12</v>
      </c>
      <c r="Y33" s="33">
        <v>17</v>
      </c>
      <c r="Z33" s="33">
        <v>11</v>
      </c>
      <c r="AA33" s="33">
        <v>17</v>
      </c>
      <c r="AB33" s="33">
        <v>10</v>
      </c>
      <c r="AC33" s="33">
        <v>17</v>
      </c>
      <c r="AD33" s="33">
        <v>0</v>
      </c>
      <c r="AE33" s="33">
        <v>17</v>
      </c>
      <c r="AF33" s="33">
        <v>3</v>
      </c>
      <c r="AG33" s="33">
        <v>16</v>
      </c>
      <c r="AH33" s="33">
        <v>40</v>
      </c>
      <c r="AI33" s="33">
        <v>16</v>
      </c>
      <c r="AJ33" s="33">
        <v>30</v>
      </c>
      <c r="AK33" s="33">
        <v>16</v>
      </c>
      <c r="AL33" s="33">
        <v>0</v>
      </c>
      <c r="AM33" s="33">
        <v>16</v>
      </c>
      <c r="AN33" s="33">
        <v>47</v>
      </c>
      <c r="AO33" s="33">
        <v>16</v>
      </c>
      <c r="AP33" s="33">
        <v>54</v>
      </c>
      <c r="AQ33" s="33">
        <v>16</v>
      </c>
      <c r="AR33" s="33">
        <v>36</v>
      </c>
      <c r="AS33" s="33">
        <v>16</v>
      </c>
      <c r="AT33" s="33"/>
    </row>
    <row r="34" spans="1:46" x14ac:dyDescent="0.25">
      <c r="A34" s="137" t="s">
        <v>7</v>
      </c>
      <c r="B34" s="35">
        <v>350</v>
      </c>
      <c r="C34" s="35">
        <v>325</v>
      </c>
      <c r="D34" s="36">
        <v>0.93</v>
      </c>
      <c r="E34" s="33">
        <v>17</v>
      </c>
      <c r="F34" s="33">
        <v>0</v>
      </c>
      <c r="G34" s="33">
        <v>17</v>
      </c>
      <c r="H34" s="33">
        <v>0</v>
      </c>
      <c r="I34" s="33">
        <v>17</v>
      </c>
      <c r="J34" s="33">
        <v>12</v>
      </c>
      <c r="K34" s="33">
        <v>17</v>
      </c>
      <c r="L34" s="33">
        <v>20</v>
      </c>
      <c r="M34" s="33">
        <v>17</v>
      </c>
      <c r="N34" s="33">
        <v>20</v>
      </c>
      <c r="O34" s="33">
        <v>17</v>
      </c>
      <c r="P34" s="33">
        <v>21</v>
      </c>
      <c r="Q34" s="33">
        <v>17</v>
      </c>
      <c r="R34" s="33">
        <v>14</v>
      </c>
      <c r="S34" s="33">
        <v>17</v>
      </c>
      <c r="T34" s="33">
        <v>25</v>
      </c>
      <c r="U34" s="33">
        <v>17</v>
      </c>
      <c r="V34" s="33">
        <v>20</v>
      </c>
      <c r="W34" s="33">
        <v>17</v>
      </c>
      <c r="X34" s="33">
        <v>10</v>
      </c>
      <c r="Y34" s="33">
        <v>17</v>
      </c>
      <c r="Z34" s="33">
        <v>20</v>
      </c>
      <c r="AA34" s="33">
        <v>17</v>
      </c>
      <c r="AB34" s="33">
        <v>12</v>
      </c>
      <c r="AC34" s="33">
        <v>17</v>
      </c>
      <c r="AD34" s="33">
        <v>8</v>
      </c>
      <c r="AE34" s="33">
        <v>17</v>
      </c>
      <c r="AF34" s="33">
        <v>20</v>
      </c>
      <c r="AG34" s="33">
        <v>16</v>
      </c>
      <c r="AH34" s="33">
        <v>20</v>
      </c>
      <c r="AI34" s="33">
        <v>16</v>
      </c>
      <c r="AJ34" s="33">
        <v>20</v>
      </c>
      <c r="AK34" s="33">
        <v>16</v>
      </c>
      <c r="AL34" s="33">
        <v>20</v>
      </c>
      <c r="AM34" s="33">
        <v>16</v>
      </c>
      <c r="AN34" s="33">
        <v>13</v>
      </c>
      <c r="AO34" s="33">
        <v>16</v>
      </c>
      <c r="AP34" s="33">
        <v>20</v>
      </c>
      <c r="AQ34" s="33">
        <v>16</v>
      </c>
      <c r="AR34" s="33">
        <v>30</v>
      </c>
      <c r="AS34" s="33">
        <v>16</v>
      </c>
      <c r="AT34" s="33"/>
    </row>
    <row r="35" spans="1:46" ht="11.4" customHeight="1" x14ac:dyDescent="0.25">
      <c r="A35" s="137" t="s">
        <v>8</v>
      </c>
      <c r="B35" s="35">
        <v>350</v>
      </c>
      <c r="C35" s="35">
        <v>312</v>
      </c>
      <c r="D35" s="36">
        <v>0.89</v>
      </c>
      <c r="E35" s="33">
        <v>17</v>
      </c>
      <c r="F35" s="33">
        <v>20</v>
      </c>
      <c r="G35" s="33">
        <v>17</v>
      </c>
      <c r="H35" s="33">
        <v>23</v>
      </c>
      <c r="I35" s="33">
        <v>17</v>
      </c>
      <c r="J35" s="33">
        <v>4</v>
      </c>
      <c r="K35" s="33">
        <v>17</v>
      </c>
      <c r="L35" s="33">
        <v>14</v>
      </c>
      <c r="M35" s="33">
        <v>17</v>
      </c>
      <c r="N35" s="33">
        <v>29</v>
      </c>
      <c r="O35" s="33">
        <v>17</v>
      </c>
      <c r="P35" s="33">
        <v>8</v>
      </c>
      <c r="Q35" s="33">
        <v>17</v>
      </c>
      <c r="R35" s="33">
        <v>0</v>
      </c>
      <c r="S35" s="33">
        <v>17</v>
      </c>
      <c r="T35" s="33">
        <v>0</v>
      </c>
      <c r="U35" s="33">
        <v>17</v>
      </c>
      <c r="V35" s="33">
        <v>0</v>
      </c>
      <c r="W35" s="33">
        <v>17</v>
      </c>
      <c r="X35" s="33">
        <v>0</v>
      </c>
      <c r="Y35" s="33">
        <v>17</v>
      </c>
      <c r="Z35" s="33">
        <v>0</v>
      </c>
      <c r="AA35" s="33">
        <v>17</v>
      </c>
      <c r="AB35" s="33">
        <v>0</v>
      </c>
      <c r="AC35" s="33">
        <v>17</v>
      </c>
      <c r="AD35" s="33">
        <v>0</v>
      </c>
      <c r="AE35" s="33">
        <v>17</v>
      </c>
      <c r="AF35" s="33">
        <v>0</v>
      </c>
      <c r="AG35" s="33">
        <v>16</v>
      </c>
      <c r="AH35" s="33">
        <v>21</v>
      </c>
      <c r="AI35" s="33">
        <v>16</v>
      </c>
      <c r="AJ35" s="33">
        <v>16</v>
      </c>
      <c r="AK35" s="33">
        <v>16</v>
      </c>
      <c r="AL35" s="33">
        <v>62</v>
      </c>
      <c r="AM35" s="33">
        <v>16</v>
      </c>
      <c r="AN35" s="33">
        <v>35</v>
      </c>
      <c r="AO35" s="33">
        <v>16</v>
      </c>
      <c r="AP35" s="33">
        <v>40</v>
      </c>
      <c r="AQ35" s="33">
        <v>16</v>
      </c>
      <c r="AR35" s="33">
        <v>40</v>
      </c>
      <c r="AS35" s="33">
        <v>16</v>
      </c>
      <c r="AT35" s="33"/>
    </row>
    <row r="36" spans="1:46" x14ac:dyDescent="0.25">
      <c r="A36" s="137" t="s">
        <v>9</v>
      </c>
      <c r="B36" s="35">
        <v>350</v>
      </c>
      <c r="C36" s="35">
        <v>385</v>
      </c>
      <c r="D36" s="36">
        <v>1.1000000000000001</v>
      </c>
      <c r="E36" s="33">
        <v>17</v>
      </c>
      <c r="F36" s="33">
        <v>0</v>
      </c>
      <c r="G36" s="33">
        <v>17</v>
      </c>
      <c r="H36" s="33">
        <v>0</v>
      </c>
      <c r="I36" s="33">
        <v>17</v>
      </c>
      <c r="J36" s="33">
        <v>0</v>
      </c>
      <c r="K36" s="33">
        <v>17</v>
      </c>
      <c r="L36" s="33">
        <v>30</v>
      </c>
      <c r="M36" s="33">
        <v>17</v>
      </c>
      <c r="N36" s="33">
        <v>30</v>
      </c>
      <c r="O36" s="33">
        <v>17</v>
      </c>
      <c r="P36" s="33">
        <v>25</v>
      </c>
      <c r="Q36" s="33">
        <v>17</v>
      </c>
      <c r="R36" s="33">
        <v>13</v>
      </c>
      <c r="S36" s="33">
        <v>17</v>
      </c>
      <c r="T36" s="33">
        <v>20</v>
      </c>
      <c r="U36" s="33">
        <v>17</v>
      </c>
      <c r="V36" s="33">
        <v>41</v>
      </c>
      <c r="W36" s="33">
        <v>17</v>
      </c>
      <c r="X36" s="33">
        <v>24</v>
      </c>
      <c r="Y36" s="33">
        <v>17</v>
      </c>
      <c r="Z36" s="33">
        <v>23</v>
      </c>
      <c r="AA36" s="33">
        <v>17</v>
      </c>
      <c r="AB36" s="33">
        <v>21</v>
      </c>
      <c r="AC36" s="33">
        <v>17</v>
      </c>
      <c r="AD36" s="33">
        <v>18</v>
      </c>
      <c r="AE36" s="33">
        <v>17</v>
      </c>
      <c r="AF36" s="33">
        <v>20</v>
      </c>
      <c r="AG36" s="33">
        <v>16</v>
      </c>
      <c r="AH36" s="33">
        <v>24</v>
      </c>
      <c r="AI36" s="33">
        <v>16</v>
      </c>
      <c r="AJ36" s="33">
        <v>24</v>
      </c>
      <c r="AK36" s="33">
        <v>16</v>
      </c>
      <c r="AL36" s="33">
        <v>24</v>
      </c>
      <c r="AM36" s="33">
        <v>16</v>
      </c>
      <c r="AN36" s="33">
        <v>19</v>
      </c>
      <c r="AO36" s="33">
        <v>16</v>
      </c>
      <c r="AP36" s="33">
        <v>0</v>
      </c>
      <c r="AQ36" s="33">
        <v>16</v>
      </c>
      <c r="AR36" s="33">
        <v>29</v>
      </c>
      <c r="AS36" s="33">
        <v>16</v>
      </c>
      <c r="AT36" s="33"/>
    </row>
    <row r="37" spans="1:46" x14ac:dyDescent="0.25">
      <c r="A37" s="137" t="s">
        <v>10</v>
      </c>
      <c r="B37" s="35">
        <v>350</v>
      </c>
      <c r="C37" s="35">
        <v>251</v>
      </c>
      <c r="D37" s="36">
        <v>0.72</v>
      </c>
      <c r="E37" s="33">
        <v>17</v>
      </c>
      <c r="F37" s="33">
        <v>12</v>
      </c>
      <c r="G37" s="33">
        <v>17</v>
      </c>
      <c r="H37" s="33">
        <v>8</v>
      </c>
      <c r="I37" s="33">
        <v>17</v>
      </c>
      <c r="J37" s="33">
        <v>10</v>
      </c>
      <c r="K37" s="33">
        <v>17</v>
      </c>
      <c r="L37" s="33">
        <v>7</v>
      </c>
      <c r="M37" s="33">
        <v>17</v>
      </c>
      <c r="N37" s="33">
        <v>13</v>
      </c>
      <c r="O37" s="33">
        <v>17</v>
      </c>
      <c r="P37" s="33">
        <v>2</v>
      </c>
      <c r="Q37" s="33">
        <v>17</v>
      </c>
      <c r="R37" s="33">
        <v>0</v>
      </c>
      <c r="S37" s="33">
        <v>17</v>
      </c>
      <c r="T37" s="33">
        <v>3</v>
      </c>
      <c r="U37" s="33">
        <v>17</v>
      </c>
      <c r="V37" s="33">
        <v>12</v>
      </c>
      <c r="W37" s="33">
        <v>17</v>
      </c>
      <c r="X37" s="33">
        <v>15</v>
      </c>
      <c r="Y37" s="33">
        <v>17</v>
      </c>
      <c r="Z37" s="33">
        <v>24</v>
      </c>
      <c r="AA37" s="33">
        <v>17</v>
      </c>
      <c r="AB37" s="33">
        <v>6</v>
      </c>
      <c r="AC37" s="33">
        <v>17</v>
      </c>
      <c r="AD37" s="33">
        <v>11</v>
      </c>
      <c r="AE37" s="33">
        <v>17</v>
      </c>
      <c r="AF37" s="33">
        <v>12</v>
      </c>
      <c r="AG37" s="33">
        <v>16</v>
      </c>
      <c r="AH37" s="33">
        <v>18</v>
      </c>
      <c r="AI37" s="33">
        <v>16</v>
      </c>
      <c r="AJ37" s="33">
        <v>11</v>
      </c>
      <c r="AK37" s="33">
        <v>16</v>
      </c>
      <c r="AL37" s="33">
        <v>23</v>
      </c>
      <c r="AM37" s="33">
        <v>16</v>
      </c>
      <c r="AN37" s="33">
        <v>34</v>
      </c>
      <c r="AO37" s="33">
        <v>16</v>
      </c>
      <c r="AP37" s="33">
        <v>20</v>
      </c>
      <c r="AQ37" s="33">
        <v>16</v>
      </c>
      <c r="AR37" s="33">
        <v>10</v>
      </c>
      <c r="AS37" s="33">
        <v>16</v>
      </c>
      <c r="AT37" s="33"/>
    </row>
    <row r="38" spans="1:46" x14ac:dyDescent="0.25">
      <c r="A38" s="141" t="s">
        <v>11</v>
      </c>
      <c r="B38" s="141">
        <v>1750</v>
      </c>
      <c r="C38" s="141">
        <v>1605</v>
      </c>
      <c r="D38" s="149">
        <v>0.92</v>
      </c>
      <c r="E38" s="141">
        <v>85</v>
      </c>
      <c r="F38" s="141">
        <v>32</v>
      </c>
      <c r="G38" s="141">
        <v>85</v>
      </c>
      <c r="H38" s="141">
        <v>31</v>
      </c>
      <c r="I38" s="141">
        <v>85</v>
      </c>
      <c r="J38" s="141">
        <v>39</v>
      </c>
      <c r="K38" s="141">
        <v>85</v>
      </c>
      <c r="L38" s="141">
        <v>79</v>
      </c>
      <c r="M38" s="141">
        <v>85</v>
      </c>
      <c r="N38" s="141">
        <v>95</v>
      </c>
      <c r="O38" s="141">
        <v>85</v>
      </c>
      <c r="P38" s="141">
        <v>89</v>
      </c>
      <c r="Q38" s="141">
        <v>85</v>
      </c>
      <c r="R38" s="141">
        <v>37</v>
      </c>
      <c r="S38" s="141">
        <v>85</v>
      </c>
      <c r="T38" s="141">
        <v>58</v>
      </c>
      <c r="U38" s="141">
        <v>85</v>
      </c>
      <c r="V38" s="141">
        <v>85</v>
      </c>
      <c r="W38" s="141">
        <v>85</v>
      </c>
      <c r="X38" s="141">
        <v>61</v>
      </c>
      <c r="Y38" s="141">
        <v>85</v>
      </c>
      <c r="Z38" s="141">
        <v>78</v>
      </c>
      <c r="AA38" s="141">
        <v>85</v>
      </c>
      <c r="AB38" s="141">
        <v>49</v>
      </c>
      <c r="AC38" s="141">
        <v>85</v>
      </c>
      <c r="AD38" s="141">
        <v>37</v>
      </c>
      <c r="AE38" s="141">
        <v>85</v>
      </c>
      <c r="AF38" s="141">
        <v>55</v>
      </c>
      <c r="AG38" s="141">
        <v>80</v>
      </c>
      <c r="AH38" s="141">
        <v>123</v>
      </c>
      <c r="AI38" s="141">
        <v>80</v>
      </c>
      <c r="AJ38" s="141">
        <v>101</v>
      </c>
      <c r="AK38" s="141">
        <v>80</v>
      </c>
      <c r="AL38" s="141">
        <v>129</v>
      </c>
      <c r="AM38" s="141">
        <v>80</v>
      </c>
      <c r="AN38" s="141">
        <v>148</v>
      </c>
      <c r="AO38" s="141">
        <v>80</v>
      </c>
      <c r="AP38" s="141">
        <v>134</v>
      </c>
      <c r="AQ38" s="141">
        <v>80</v>
      </c>
      <c r="AR38" s="141">
        <v>145</v>
      </c>
      <c r="AS38" s="141">
        <v>80</v>
      </c>
      <c r="AT38" s="141">
        <v>0</v>
      </c>
    </row>
    <row r="42" spans="1:46" x14ac:dyDescent="0.25">
      <c r="H42" s="81"/>
    </row>
    <row r="43" spans="1:46" ht="13.2" x14ac:dyDescent="0.25">
      <c r="A43" s="60" t="s">
        <v>332</v>
      </c>
      <c r="B43" s="60" t="s">
        <v>329</v>
      </c>
      <c r="H43" s="81"/>
    </row>
    <row r="44" spans="1:46" ht="13.2" x14ac:dyDescent="0.25">
      <c r="A44" s="60" t="s">
        <v>55</v>
      </c>
      <c r="B44" s="162">
        <f>'EVOLUCAO DOS MESES'!E30</f>
        <v>0</v>
      </c>
      <c r="H44" s="81"/>
    </row>
    <row r="45" spans="1:46" ht="13.2" x14ac:dyDescent="0.25">
      <c r="A45" s="60" t="s">
        <v>6</v>
      </c>
      <c r="B45" s="162">
        <f>'EVOLUCAO DOS MESES'!E31</f>
        <v>24651.539999000001</v>
      </c>
      <c r="H45" s="81"/>
    </row>
    <row r="46" spans="1:46" ht="13.2" x14ac:dyDescent="0.25">
      <c r="A46" s="60" t="s">
        <v>7</v>
      </c>
      <c r="B46" s="162">
        <f>'EVOLUCAO DOS MESES'!E32</f>
        <v>10637.099999999999</v>
      </c>
      <c r="H46" s="81"/>
    </row>
    <row r="47" spans="1:46" ht="13.2" x14ac:dyDescent="0.25">
      <c r="A47" s="60" t="s">
        <v>8</v>
      </c>
      <c r="B47" s="162">
        <f>'EVOLUCAO DOS MESES'!E33</f>
        <v>3371.6300000000006</v>
      </c>
    </row>
    <row r="48" spans="1:46" ht="13.2" x14ac:dyDescent="0.25">
      <c r="A48" s="64" t="s">
        <v>56</v>
      </c>
      <c r="B48" s="231">
        <f>'EVOLUCAO DOS MESES'!E34</f>
        <v>25339.055700000001</v>
      </c>
    </row>
    <row r="49" spans="1:2" ht="13.2" x14ac:dyDescent="0.25">
      <c r="A49" s="60" t="s">
        <v>10</v>
      </c>
      <c r="B49" s="162">
        <f>'EVOLUCAO DOS MESES'!E35</f>
        <v>20115.600005000008</v>
      </c>
    </row>
    <row r="50" spans="1:2" ht="13.2" x14ac:dyDescent="0.25">
      <c r="A50" s="60" t="s">
        <v>342</v>
      </c>
      <c r="B50" s="162">
        <f>SUM(B44:B49)</f>
        <v>84114.925703999994</v>
      </c>
    </row>
  </sheetData>
  <mergeCells count="45">
    <mergeCell ref="AS3:AT3"/>
    <mergeCell ref="AS31:AT31"/>
    <mergeCell ref="AQ3:AR3"/>
    <mergeCell ref="Y31:Z31"/>
    <mergeCell ref="AA31:AB31"/>
    <mergeCell ref="AC31:AD31"/>
    <mergeCell ref="AE31:AF31"/>
    <mergeCell ref="AG31:AH31"/>
    <mergeCell ref="AI31:AJ31"/>
    <mergeCell ref="AK31:AL31"/>
    <mergeCell ref="AM31:AN31"/>
    <mergeCell ref="AO31:AP31"/>
    <mergeCell ref="AQ31:AR31"/>
    <mergeCell ref="AO3:AP3"/>
    <mergeCell ref="Y3:Z3"/>
    <mergeCell ref="AM3:AN3"/>
    <mergeCell ref="AK3:AL3"/>
    <mergeCell ref="AI3:AJ3"/>
    <mergeCell ref="O3:P3"/>
    <mergeCell ref="U31:V31"/>
    <mergeCell ref="S31:T31"/>
    <mergeCell ref="Q3:R3"/>
    <mergeCell ref="S3:T3"/>
    <mergeCell ref="U3:V3"/>
    <mergeCell ref="AE3:AF3"/>
    <mergeCell ref="AG3:AH3"/>
    <mergeCell ref="AC3:AD3"/>
    <mergeCell ref="AA3:AB3"/>
    <mergeCell ref="Q31:R31"/>
    <mergeCell ref="A14:G14"/>
    <mergeCell ref="A3:D3"/>
    <mergeCell ref="W3:X3"/>
    <mergeCell ref="M31:N31"/>
    <mergeCell ref="E3:F3"/>
    <mergeCell ref="G3:H3"/>
    <mergeCell ref="I3:J3"/>
    <mergeCell ref="K3:L3"/>
    <mergeCell ref="M3:N3"/>
    <mergeCell ref="K31:L31"/>
    <mergeCell ref="W31:X31"/>
    <mergeCell ref="A31:D31"/>
    <mergeCell ref="E31:F31"/>
    <mergeCell ref="G31:H31"/>
    <mergeCell ref="I31:J31"/>
    <mergeCell ref="O31:P3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5B6C-8CD2-470A-ADB0-1122532A6334}">
  <sheetPr>
    <tabColor theme="5" tint="-0.249977111117893"/>
  </sheetPr>
  <dimension ref="B2:N68"/>
  <sheetViews>
    <sheetView tabSelected="1" topLeftCell="A13" zoomScale="85" zoomScaleNormal="85" workbookViewId="0">
      <selection activeCell="C35" sqref="C35"/>
    </sheetView>
  </sheetViews>
  <sheetFormatPr defaultRowHeight="13.2" x14ac:dyDescent="0.25"/>
  <cols>
    <col min="2" max="2" width="43.44140625" bestFit="1" customWidth="1"/>
    <col min="3" max="3" width="14.33203125" bestFit="1" customWidth="1"/>
    <col min="4" max="5" width="13.33203125" bestFit="1" customWidth="1"/>
    <col min="6" max="6" width="20.6640625" bestFit="1" customWidth="1"/>
    <col min="7" max="7" width="14" customWidth="1"/>
    <col min="8" max="8" width="14.88671875" bestFit="1" customWidth="1"/>
    <col min="9" max="9" width="14.77734375" bestFit="1" customWidth="1"/>
    <col min="11" max="11" width="13" bestFit="1" customWidth="1"/>
    <col min="12" max="12" width="14.77734375" bestFit="1" customWidth="1"/>
    <col min="14" max="14" width="13.44140625" bestFit="1" customWidth="1"/>
  </cols>
  <sheetData>
    <row r="2" spans="2:6" x14ac:dyDescent="0.25">
      <c r="B2" s="62" t="s">
        <v>96</v>
      </c>
    </row>
    <row r="3" spans="2:6" x14ac:dyDescent="0.25">
      <c r="B3" s="55" t="s">
        <v>78</v>
      </c>
      <c r="C3" s="56" t="s">
        <v>79</v>
      </c>
      <c r="D3" s="56" t="s">
        <v>80</v>
      </c>
      <c r="E3" s="56" t="s">
        <v>81</v>
      </c>
      <c r="F3" s="56" t="s">
        <v>355</v>
      </c>
    </row>
    <row r="4" spans="2:6" x14ac:dyDescent="0.25">
      <c r="B4" s="63" t="s">
        <v>82</v>
      </c>
      <c r="C4" s="58">
        <v>243</v>
      </c>
      <c r="D4" s="58">
        <v>147</v>
      </c>
      <c r="E4" s="58">
        <v>245</v>
      </c>
      <c r="F4" s="58">
        <v>21</v>
      </c>
    </row>
    <row r="5" spans="2:6" x14ac:dyDescent="0.25">
      <c r="B5" s="57" t="s">
        <v>83</v>
      </c>
      <c r="C5" s="58">
        <v>29</v>
      </c>
      <c r="D5" s="58">
        <v>-15</v>
      </c>
      <c r="E5" s="58">
        <v>70</v>
      </c>
      <c r="F5" s="58">
        <v>-104</v>
      </c>
    </row>
    <row r="6" spans="2:6" x14ac:dyDescent="0.25">
      <c r="B6" s="57" t="s">
        <v>84</v>
      </c>
      <c r="C6" s="59">
        <v>1074</v>
      </c>
      <c r="D6" s="59">
        <v>1623</v>
      </c>
      <c r="E6" s="59">
        <v>1750</v>
      </c>
      <c r="F6" s="59">
        <v>1250</v>
      </c>
    </row>
    <row r="7" spans="2:6" x14ac:dyDescent="0.25">
      <c r="B7" s="57" t="s">
        <v>85</v>
      </c>
      <c r="C7" s="59">
        <v>1003</v>
      </c>
      <c r="D7" s="59">
        <v>1701</v>
      </c>
      <c r="E7" s="60">
        <v>1657</v>
      </c>
      <c r="F7" s="60">
        <v>354</v>
      </c>
    </row>
    <row r="8" spans="2:6" x14ac:dyDescent="0.25">
      <c r="B8" s="63" t="s">
        <v>105</v>
      </c>
      <c r="C8" s="240">
        <f t="shared" ref="C8:E8" si="0">C7/C6</f>
        <v>0.93389199255121047</v>
      </c>
      <c r="D8" s="240">
        <f t="shared" si="0"/>
        <v>1.0480591497227356</v>
      </c>
      <c r="E8" s="240">
        <f t="shared" si="0"/>
        <v>0.94685714285714284</v>
      </c>
      <c r="F8" s="240">
        <f>F7/F6</f>
        <v>0.28320000000000001</v>
      </c>
    </row>
    <row r="9" spans="2:6" x14ac:dyDescent="0.25">
      <c r="B9" s="63" t="s">
        <v>102</v>
      </c>
      <c r="C9" s="59">
        <v>214</v>
      </c>
      <c r="D9" s="59">
        <v>162</v>
      </c>
      <c r="E9" s="59">
        <v>159</v>
      </c>
      <c r="F9" s="59">
        <v>161</v>
      </c>
    </row>
    <row r="10" spans="2:6" x14ac:dyDescent="0.25">
      <c r="B10" s="63" t="s">
        <v>103</v>
      </c>
      <c r="C10" s="59">
        <v>73</v>
      </c>
      <c r="D10" s="59">
        <v>54</v>
      </c>
      <c r="E10" s="59">
        <v>91</v>
      </c>
      <c r="F10" s="59">
        <v>21</v>
      </c>
    </row>
    <row r="11" spans="2:6" x14ac:dyDescent="0.25">
      <c r="B11" s="63" t="s">
        <v>104</v>
      </c>
      <c r="C11" s="240">
        <f t="shared" ref="C11:E11" si="1">C10/C9</f>
        <v>0.34112149532710279</v>
      </c>
      <c r="D11" s="240">
        <f t="shared" si="1"/>
        <v>0.33333333333333331</v>
      </c>
      <c r="E11" s="240">
        <f t="shared" si="1"/>
        <v>0.57232704402515722</v>
      </c>
      <c r="F11" s="240">
        <f>F10/F9</f>
        <v>0.13043478260869565</v>
      </c>
    </row>
    <row r="12" spans="2:6" x14ac:dyDescent="0.25">
      <c r="B12" s="60" t="s">
        <v>86</v>
      </c>
      <c r="C12" s="61">
        <f>SUMIFS('FATURAMENTO RECUPERACAO'!D:D,'FATURAMENTO RECUPERACAO'!E:E,"Abril")</f>
        <v>126925.14319099998</v>
      </c>
      <c r="D12" s="61">
        <f>SUMIFS('FATURAMENTO RECUPERACAO'!D:D,'FATURAMENTO RECUPERACAO'!E:E,"Maio")</f>
        <v>54222.463099999986</v>
      </c>
      <c r="E12" s="61">
        <f>SUMIFS('FATURAMENTO RECUPERACAO'!D:D,'FATURAMENTO RECUPERACAO'!E:E,"Junho")</f>
        <v>84114.925703999994</v>
      </c>
      <c r="F12" s="154">
        <f>SUM('FATURAMENTO RECUPERACAO'!D221:D241)</f>
        <v>11903.16102</v>
      </c>
    </row>
    <row r="14" spans="2:6" x14ac:dyDescent="0.25">
      <c r="B14" s="62" t="s">
        <v>106</v>
      </c>
    </row>
    <row r="15" spans="2:6" x14ac:dyDescent="0.25">
      <c r="B15" s="60" t="s">
        <v>87</v>
      </c>
      <c r="C15" s="64" t="s">
        <v>88</v>
      </c>
      <c r="D15" s="60" t="s">
        <v>89</v>
      </c>
    </row>
    <row r="16" spans="2:6" x14ac:dyDescent="0.25">
      <c r="B16" s="60" t="s">
        <v>79</v>
      </c>
      <c r="C16" s="241">
        <f>C4</f>
        <v>243</v>
      </c>
      <c r="D16" s="244" t="s">
        <v>90</v>
      </c>
    </row>
    <row r="17" spans="2:12" x14ac:dyDescent="0.25">
      <c r="B17" s="60" t="s">
        <v>80</v>
      </c>
      <c r="C17" s="241">
        <f>D4</f>
        <v>147</v>
      </c>
      <c r="D17" s="243">
        <f t="shared" ref="D17:D19" si="2">IFERROR((C17-C16)/C16,"")</f>
        <v>-0.39506172839506171</v>
      </c>
    </row>
    <row r="18" spans="2:12" x14ac:dyDescent="0.25">
      <c r="B18" s="60" t="s">
        <v>81</v>
      </c>
      <c r="C18" s="241">
        <f>E4</f>
        <v>245</v>
      </c>
      <c r="D18" s="243">
        <f t="shared" si="2"/>
        <v>0.66666666666666663</v>
      </c>
    </row>
    <row r="19" spans="2:12" x14ac:dyDescent="0.25">
      <c r="B19" t="s">
        <v>355</v>
      </c>
      <c r="C19" s="242">
        <f>F4</f>
        <v>21</v>
      </c>
      <c r="D19" s="243">
        <f t="shared" si="2"/>
        <v>-0.91428571428571426</v>
      </c>
    </row>
    <row r="21" spans="2:12" x14ac:dyDescent="0.25">
      <c r="B21" s="62" t="s">
        <v>97</v>
      </c>
      <c r="H21" s="62" t="s">
        <v>107</v>
      </c>
    </row>
    <row r="22" spans="2:12" x14ac:dyDescent="0.25">
      <c r="B22" s="60" t="s">
        <v>87</v>
      </c>
      <c r="C22" s="60" t="s">
        <v>2</v>
      </c>
      <c r="D22" s="60" t="s">
        <v>3</v>
      </c>
      <c r="E22" s="60" t="s">
        <v>4</v>
      </c>
      <c r="F22" s="60" t="s">
        <v>91</v>
      </c>
      <c r="H22" s="60" t="s">
        <v>87</v>
      </c>
      <c r="I22" s="60" t="s">
        <v>2</v>
      </c>
      <c r="J22" s="60" t="s">
        <v>3</v>
      </c>
      <c r="K22" s="60" t="s">
        <v>4</v>
      </c>
      <c r="L22" s="60" t="s">
        <v>91</v>
      </c>
    </row>
    <row r="23" spans="2:12" x14ac:dyDescent="0.25">
      <c r="B23" s="60" t="s">
        <v>79</v>
      </c>
      <c r="C23" s="245">
        <f>C6</f>
        <v>1074</v>
      </c>
      <c r="D23" s="245">
        <f>C7</f>
        <v>1003</v>
      </c>
      <c r="E23" s="246">
        <f>D23/C23</f>
        <v>0.93389199255121047</v>
      </c>
      <c r="F23" s="60" t="s">
        <v>92</v>
      </c>
      <c r="H23" s="60" t="s">
        <v>79</v>
      </c>
      <c r="I23" s="60">
        <v>214</v>
      </c>
      <c r="J23" s="245">
        <f>C10</f>
        <v>73</v>
      </c>
      <c r="K23" s="240">
        <f>J23/I23</f>
        <v>0.34112149532710279</v>
      </c>
      <c r="L23" s="60" t="s">
        <v>92</v>
      </c>
    </row>
    <row r="24" spans="2:12" x14ac:dyDescent="0.25">
      <c r="B24" s="60" t="s">
        <v>80</v>
      </c>
      <c r="C24" s="245">
        <f>D6</f>
        <v>1623</v>
      </c>
      <c r="D24" s="245">
        <f>D7</f>
        <v>1701</v>
      </c>
      <c r="E24" s="246">
        <f t="shared" ref="E24:E25" si="3">D24/C24</f>
        <v>1.0480591497227356</v>
      </c>
      <c r="F24" s="60" t="s">
        <v>93</v>
      </c>
      <c r="H24" s="60" t="s">
        <v>80</v>
      </c>
      <c r="I24" s="60">
        <v>162</v>
      </c>
      <c r="J24" s="245">
        <f>D10</f>
        <v>54</v>
      </c>
      <c r="K24" s="240">
        <f t="shared" ref="K24:K26" si="4">J24/I24</f>
        <v>0.33333333333333331</v>
      </c>
      <c r="L24" s="60" t="s">
        <v>92</v>
      </c>
    </row>
    <row r="25" spans="2:12" x14ac:dyDescent="0.25">
      <c r="B25" s="60" t="s">
        <v>81</v>
      </c>
      <c r="C25" s="245">
        <f>E6</f>
        <v>1750</v>
      </c>
      <c r="D25" s="60">
        <f>E7</f>
        <v>1657</v>
      </c>
      <c r="E25" s="246">
        <f t="shared" si="3"/>
        <v>0.94685714285714284</v>
      </c>
      <c r="F25" s="60" t="s">
        <v>92</v>
      </c>
      <c r="H25" s="60" t="s">
        <v>81</v>
      </c>
      <c r="I25" s="60">
        <v>159</v>
      </c>
      <c r="J25" s="245">
        <f>E10</f>
        <v>91</v>
      </c>
      <c r="K25" s="240">
        <f t="shared" si="4"/>
        <v>0.57232704402515722</v>
      </c>
      <c r="L25" s="60" t="s">
        <v>92</v>
      </c>
    </row>
    <row r="26" spans="2:12" x14ac:dyDescent="0.25">
      <c r="B26" t="s">
        <v>355</v>
      </c>
      <c r="C26" s="59">
        <f>F6</f>
        <v>1250</v>
      </c>
      <c r="D26" s="60">
        <f>F7</f>
        <v>354</v>
      </c>
      <c r="E26" s="247">
        <f>D26/C26</f>
        <v>0.28320000000000001</v>
      </c>
      <c r="F26" s="60" t="s">
        <v>92</v>
      </c>
      <c r="H26" s="60" t="s">
        <v>355</v>
      </c>
      <c r="I26" s="58">
        <v>104</v>
      </c>
      <c r="J26" s="248">
        <f>F10</f>
        <v>21</v>
      </c>
      <c r="K26" s="240">
        <f t="shared" si="4"/>
        <v>0.20192307692307693</v>
      </c>
      <c r="L26" s="60" t="s">
        <v>92</v>
      </c>
    </row>
    <row r="28" spans="2:12" x14ac:dyDescent="0.25">
      <c r="B28" s="62" t="s">
        <v>98</v>
      </c>
    </row>
    <row r="29" spans="2:12" x14ac:dyDescent="0.25">
      <c r="B29" s="60" t="s">
        <v>1</v>
      </c>
      <c r="C29" s="60" t="s">
        <v>79</v>
      </c>
      <c r="D29" s="60" t="s">
        <v>80</v>
      </c>
      <c r="E29" s="60" t="s">
        <v>81</v>
      </c>
      <c r="F29" s="60" t="s">
        <v>355</v>
      </c>
      <c r="G29" s="60" t="s">
        <v>11</v>
      </c>
    </row>
    <row r="30" spans="2:12" x14ac:dyDescent="0.25">
      <c r="B30" s="60" t="s">
        <v>55</v>
      </c>
      <c r="C30" s="61">
        <f>SUMIFS('FATURAMENTO RECUPERACAO'!D:D,'FATURAMENTO RECUPERACAO'!A:A,B30,'FATURAMENTO RECUPERACAO'!E:E,"Abril")</f>
        <v>10329.067491</v>
      </c>
      <c r="D30" s="162">
        <f>SUMIFS('FATURAMENTO RECUPERACAO'!D:D,'FATURAMENTO RECUPERACAO'!A:A,B30,'FATURAMENTO RECUPERACAO'!E:E,"Maio")</f>
        <v>0</v>
      </c>
      <c r="E30" s="162">
        <f>SUMIFS('FATURAMENTO RECUPERACAO'!D:D,'FATURAMENTO RECUPERACAO'!A:A,B30,'FATURAMENTO RECUPERACAO'!E:E,"Junho")</f>
        <v>0</v>
      </c>
      <c r="F30" s="162">
        <f>SUMIFS('FATURAMENTO RECUPERACAO'!D:D,'FATURAMENTO RECUPERACAO'!A:A,B30,'FATURAMENTO RECUPERACAO'!E:E,"Julho")</f>
        <v>0</v>
      </c>
      <c r="G30" s="61">
        <f t="shared" ref="G30:G34" si="5">SUM(C30:F30)</f>
        <v>10329.067491</v>
      </c>
    </row>
    <row r="31" spans="2:12" x14ac:dyDescent="0.25">
      <c r="B31" s="60" t="s">
        <v>6</v>
      </c>
      <c r="C31" s="61">
        <f>SUMIFS('FATURAMENTO RECUPERACAO'!D:D,'FATURAMENTO RECUPERACAO'!A:A,B31,'FATURAMENTO RECUPERACAO'!E:E,"Abril")</f>
        <v>18007.919999999998</v>
      </c>
      <c r="D31" s="162">
        <f>SUMIFS('FATURAMENTO RECUPERACAO'!D:D,'FATURAMENTO RECUPERACAO'!A:A,B31,'FATURAMENTO RECUPERACAO'!E:E,"Maio")</f>
        <v>6940.3200020000004</v>
      </c>
      <c r="E31" s="162">
        <f>SUMIFS('FATURAMENTO RECUPERACAO'!D:D,'FATURAMENTO RECUPERACAO'!A:A,B31,'FATURAMENTO RECUPERACAO'!E:E,"Junho")</f>
        <v>24651.539999000001</v>
      </c>
      <c r="F31" s="162">
        <f>SUMIFS('FATURAMENTO RECUPERACAO'!D:D,'FATURAMENTO RECUPERACAO'!A:A,B31,'FATURAMENTO RECUPERACAO'!E:E,"Julho")</f>
        <v>5285.87</v>
      </c>
      <c r="G31" s="61">
        <f t="shared" si="5"/>
        <v>54885.650001000002</v>
      </c>
    </row>
    <row r="32" spans="2:12" x14ac:dyDescent="0.25">
      <c r="B32" s="60" t="s">
        <v>7</v>
      </c>
      <c r="C32" s="61">
        <f>SUMIFS('FATURAMENTO RECUPERACAO'!D:D,'FATURAMENTO RECUPERACAO'!A:A,B32,'FATURAMENTO RECUPERACAO'!E:E,"Abril")</f>
        <v>2195.42</v>
      </c>
      <c r="D32" s="162">
        <f>SUMIFS('FATURAMENTO RECUPERACAO'!D:D,'FATURAMENTO RECUPERACAO'!A:A,B32,'FATURAMENTO RECUPERACAO'!E:E,"Maio")</f>
        <v>17117.813099999999</v>
      </c>
      <c r="E32" s="162">
        <f>SUMIFS('FATURAMENTO RECUPERACAO'!D:D,'FATURAMENTO RECUPERACAO'!A:A,B32,'FATURAMENTO RECUPERACAO'!E:E,"Junho")</f>
        <v>10637.099999999999</v>
      </c>
      <c r="F32" s="162">
        <f>SUMIFS('FATURAMENTO RECUPERACAO'!D:D,'FATURAMENTO RECUPERACAO'!A:A,B32,'FATURAMENTO RECUPERACAO'!E:E,"Julho")</f>
        <v>4164.3</v>
      </c>
      <c r="G32" s="61">
        <f t="shared" si="5"/>
        <v>34114.633099999999</v>
      </c>
    </row>
    <row r="33" spans="2:14" x14ac:dyDescent="0.25">
      <c r="B33" s="60" t="s">
        <v>8</v>
      </c>
      <c r="C33" s="61">
        <f>SUMIFS('FATURAMENTO RECUPERACAO'!D:D,'FATURAMENTO RECUPERACAO'!A:A,B33,'FATURAMENTO RECUPERACAO'!E:E,"Abril")</f>
        <v>0</v>
      </c>
      <c r="D33" s="162">
        <f>SUMIFS('FATURAMENTO RECUPERACAO'!D:D,'FATURAMENTO RECUPERACAO'!A:A,B33,'FATURAMENTO RECUPERACAO'!E:E,"Maio")</f>
        <v>2394.5</v>
      </c>
      <c r="E33" s="162">
        <f>SUMIFS('FATURAMENTO RECUPERACAO'!D:D,'FATURAMENTO RECUPERACAO'!A:A,B33,'FATURAMENTO RECUPERACAO'!E:E,"Junho")</f>
        <v>3371.6300000000006</v>
      </c>
      <c r="F33" s="162">
        <f>SUMIFS('FATURAMENTO RECUPERACAO'!D:D,'FATURAMENTO RECUPERACAO'!A:A,B33,'FATURAMENTO RECUPERACAO'!E:E,"Julho")</f>
        <v>943.53</v>
      </c>
      <c r="G33" s="61">
        <f t="shared" si="5"/>
        <v>6709.6600000000008</v>
      </c>
    </row>
    <row r="34" spans="2:14" x14ac:dyDescent="0.25">
      <c r="B34" s="64" t="s">
        <v>56</v>
      </c>
      <c r="C34" s="61">
        <f>SUMIFS('FATURAMENTO RECUPERACAO'!D:D,'FATURAMENTO RECUPERACAO'!A:A,B34,'FATURAMENTO RECUPERACAO'!E:E,"Abril")</f>
        <v>42478.135700000006</v>
      </c>
      <c r="D34" s="162">
        <f>SUMIFS('FATURAMENTO RECUPERACAO'!D:D,'FATURAMENTO RECUPERACAO'!A:A,B34,'FATURAMENTO RECUPERACAO'!E:E,"Maio")</f>
        <v>15809.85</v>
      </c>
      <c r="E34" s="162">
        <f>SUMIFS('FATURAMENTO RECUPERACAO'!D:D,'FATURAMENTO RECUPERACAO'!A:A,B34,'FATURAMENTO RECUPERACAO'!E:E,"Junho")</f>
        <v>25339.055700000001</v>
      </c>
      <c r="F34" s="162">
        <f>SUMIFS('FATURAMENTO RECUPERACAO'!D:D,'FATURAMENTO RECUPERACAO'!A:A,B34,'FATURAMENTO RECUPERACAO'!E:E,"Julho")</f>
        <v>0</v>
      </c>
      <c r="G34" s="61">
        <f t="shared" si="5"/>
        <v>83627.041400000002</v>
      </c>
    </row>
    <row r="35" spans="2:14" x14ac:dyDescent="0.25">
      <c r="B35" s="60" t="s">
        <v>10</v>
      </c>
      <c r="C35" s="61">
        <f>SUMIFS('FATURAMENTO RECUPERACAO'!D:D,'FATURAMENTO RECUPERACAO'!A:A,B35,'FATURAMENTO RECUPERACAO'!E:E,"Abril")</f>
        <v>53914.6</v>
      </c>
      <c r="D35" s="162">
        <f>SUMIFS('FATURAMENTO RECUPERACAO'!D:D,'FATURAMENTO RECUPERACAO'!A:A,B35,'FATURAMENTO RECUPERACAO'!E:E,"Maio")</f>
        <v>11959.979998000001</v>
      </c>
      <c r="E35" s="162">
        <f>SUMIFS('FATURAMENTO RECUPERACAO'!D:D,'FATURAMENTO RECUPERACAO'!A:A,B35,'FATURAMENTO RECUPERACAO'!E:E,"Junho")</f>
        <v>20115.600005000008</v>
      </c>
      <c r="F35" s="162">
        <f>SUMIFS('FATURAMENTO RECUPERACAO'!D:D,'FATURAMENTO RECUPERACAO'!A:A,B35,'FATURAMENTO RECUPERACAO'!E:E,"Julho")</f>
        <v>1509.46102</v>
      </c>
      <c r="G35" s="61">
        <f>SUM(C35:F35)</f>
        <v>87499.641023000018</v>
      </c>
    </row>
    <row r="37" spans="2:14" x14ac:dyDescent="0.25">
      <c r="B37" s="72" t="s">
        <v>109</v>
      </c>
      <c r="F37" s="73" t="s">
        <v>111</v>
      </c>
      <c r="I37" s="73" t="s">
        <v>112</v>
      </c>
      <c r="L37" s="73" t="s">
        <v>112</v>
      </c>
    </row>
    <row r="38" spans="2:14" x14ac:dyDescent="0.25">
      <c r="B38" s="71" t="s">
        <v>110</v>
      </c>
      <c r="C38" s="64" t="s">
        <v>113</v>
      </c>
      <c r="D38" s="64" t="s">
        <v>114</v>
      </c>
      <c r="E38" s="64" t="s">
        <v>4</v>
      </c>
      <c r="F38" s="64" t="s">
        <v>113</v>
      </c>
      <c r="G38" s="64" t="s">
        <v>114</v>
      </c>
      <c r="H38" s="64" t="s">
        <v>4</v>
      </c>
      <c r="I38" s="64" t="s">
        <v>113</v>
      </c>
      <c r="J38" s="64" t="s">
        <v>114</v>
      </c>
      <c r="K38" s="64" t="s">
        <v>4</v>
      </c>
      <c r="L38" s="64" t="s">
        <v>113</v>
      </c>
      <c r="M38" s="64" t="s">
        <v>114</v>
      </c>
      <c r="N38" s="64" t="s">
        <v>4</v>
      </c>
    </row>
    <row r="39" spans="2:14" x14ac:dyDescent="0.25">
      <c r="B39" s="65" t="s">
        <v>55</v>
      </c>
      <c r="C39" s="66">
        <v>72</v>
      </c>
      <c r="D39" s="66">
        <v>20</v>
      </c>
      <c r="E39" s="251">
        <f>D39/C39</f>
        <v>0.27777777777777779</v>
      </c>
      <c r="F39" s="70">
        <v>30</v>
      </c>
      <c r="G39" s="70">
        <v>10</v>
      </c>
      <c r="H39" s="251">
        <f>G39/F39</f>
        <v>0.33333333333333331</v>
      </c>
      <c r="I39" s="66">
        <v>0</v>
      </c>
      <c r="J39" s="66">
        <v>0</v>
      </c>
      <c r="K39" s="250">
        <v>0</v>
      </c>
      <c r="L39" s="238">
        <v>0</v>
      </c>
      <c r="M39" s="238">
        <v>0</v>
      </c>
      <c r="N39" s="254">
        <f>IF(L39=0,0,M39/L39)</f>
        <v>0</v>
      </c>
    </row>
    <row r="40" spans="2:14" x14ac:dyDescent="0.25">
      <c r="B40" s="65" t="s">
        <v>6</v>
      </c>
      <c r="C40" s="66">
        <v>39</v>
      </c>
      <c r="D40" s="66">
        <v>11</v>
      </c>
      <c r="E40" s="251">
        <f t="shared" ref="E40:E46" si="6">D40/C40</f>
        <v>0.28205128205128205</v>
      </c>
      <c r="F40" s="253">
        <v>0</v>
      </c>
      <c r="G40" s="253">
        <v>0</v>
      </c>
      <c r="H40" s="251">
        <v>0</v>
      </c>
      <c r="I40" s="66">
        <v>31</v>
      </c>
      <c r="J40" s="66">
        <v>16</v>
      </c>
      <c r="K40" s="250">
        <f t="shared" ref="K40:K46" si="7">J40/I40</f>
        <v>0.5161290322580645</v>
      </c>
      <c r="L40" s="70">
        <v>42</v>
      </c>
      <c r="M40" s="70">
        <v>5</v>
      </c>
      <c r="N40" s="254">
        <f t="shared" ref="N40:N46" si="8">IF(L40=0,0,M40/L40)</f>
        <v>0.11904761904761904</v>
      </c>
    </row>
    <row r="41" spans="2:14" x14ac:dyDescent="0.25">
      <c r="B41" s="65" t="s">
        <v>7</v>
      </c>
      <c r="C41" s="66">
        <v>44</v>
      </c>
      <c r="D41" s="66">
        <v>3</v>
      </c>
      <c r="E41" s="251">
        <f t="shared" si="6"/>
        <v>6.8181818181818177E-2</v>
      </c>
      <c r="F41" s="70">
        <v>50</v>
      </c>
      <c r="G41" s="70">
        <v>18</v>
      </c>
      <c r="H41" s="251">
        <f t="shared" ref="H41:H46" si="9">G41/F41</f>
        <v>0.36</v>
      </c>
      <c r="I41" s="66">
        <v>48</v>
      </c>
      <c r="J41" s="66">
        <v>21</v>
      </c>
      <c r="K41" s="250">
        <f t="shared" si="7"/>
        <v>0.4375</v>
      </c>
      <c r="L41" s="238">
        <v>43</v>
      </c>
      <c r="M41" s="70">
        <v>11</v>
      </c>
      <c r="N41" s="254">
        <f t="shared" si="8"/>
        <v>0.2558139534883721</v>
      </c>
    </row>
    <row r="42" spans="2:14" x14ac:dyDescent="0.25">
      <c r="B42" s="65" t="s">
        <v>9</v>
      </c>
      <c r="C42" s="66">
        <v>37</v>
      </c>
      <c r="D42" s="66">
        <v>17</v>
      </c>
      <c r="E42" s="251">
        <f t="shared" si="6"/>
        <v>0.45945945945945948</v>
      </c>
      <c r="F42" s="70">
        <v>33</v>
      </c>
      <c r="G42" s="70">
        <v>9</v>
      </c>
      <c r="H42" s="251">
        <f t="shared" si="9"/>
        <v>0.27272727272727271</v>
      </c>
      <c r="I42" s="66">
        <v>30</v>
      </c>
      <c r="J42" s="66">
        <v>27</v>
      </c>
      <c r="K42" s="250">
        <f t="shared" si="7"/>
        <v>0.9</v>
      </c>
      <c r="L42" s="238">
        <v>0</v>
      </c>
      <c r="M42" s="238">
        <v>0</v>
      </c>
      <c r="N42" s="254">
        <f t="shared" si="8"/>
        <v>0</v>
      </c>
    </row>
    <row r="43" spans="2:14" x14ac:dyDescent="0.25">
      <c r="B43" s="65" t="s">
        <v>10</v>
      </c>
      <c r="C43" s="66">
        <v>22</v>
      </c>
      <c r="D43" s="66">
        <v>22</v>
      </c>
      <c r="E43" s="251">
        <f t="shared" si="6"/>
        <v>1</v>
      </c>
      <c r="F43" s="70">
        <v>23</v>
      </c>
      <c r="G43" s="70">
        <v>14</v>
      </c>
      <c r="H43" s="251">
        <f t="shared" si="9"/>
        <v>0.60869565217391308</v>
      </c>
      <c r="I43" s="66">
        <v>25</v>
      </c>
      <c r="J43" s="66">
        <v>20</v>
      </c>
      <c r="K43" s="250">
        <f t="shared" si="7"/>
        <v>0.8</v>
      </c>
      <c r="L43" s="238">
        <v>22</v>
      </c>
      <c r="M43" s="238">
        <v>3</v>
      </c>
      <c r="N43" s="254">
        <f t="shared" si="8"/>
        <v>0.13636363636363635</v>
      </c>
    </row>
    <row r="44" spans="2:14" x14ac:dyDescent="0.25">
      <c r="B44" s="67" t="s">
        <v>358</v>
      </c>
      <c r="C44" s="66">
        <v>0</v>
      </c>
      <c r="D44" s="66">
        <v>0</v>
      </c>
      <c r="E44" s="251">
        <v>0</v>
      </c>
      <c r="F44" s="70">
        <v>0</v>
      </c>
      <c r="G44" s="70">
        <v>0</v>
      </c>
      <c r="H44" s="251">
        <v>0</v>
      </c>
      <c r="I44" s="66">
        <v>0</v>
      </c>
      <c r="J44" s="66">
        <v>0</v>
      </c>
      <c r="K44" s="250">
        <v>0</v>
      </c>
      <c r="L44" s="238">
        <v>23</v>
      </c>
      <c r="M44" s="238">
        <v>0</v>
      </c>
      <c r="N44" s="254">
        <f t="shared" si="8"/>
        <v>0</v>
      </c>
    </row>
    <row r="45" spans="2:14" x14ac:dyDescent="0.25">
      <c r="B45" s="67" t="s">
        <v>8</v>
      </c>
      <c r="C45" s="249">
        <v>0</v>
      </c>
      <c r="D45" s="249">
        <v>0</v>
      </c>
      <c r="E45" s="251">
        <v>0</v>
      </c>
      <c r="F45" s="70">
        <v>26</v>
      </c>
      <c r="G45" s="70">
        <v>3</v>
      </c>
      <c r="H45" s="251">
        <f t="shared" si="9"/>
        <v>0.11538461538461539</v>
      </c>
      <c r="I45" s="66">
        <v>25</v>
      </c>
      <c r="J45" s="66">
        <v>7</v>
      </c>
      <c r="K45" s="250">
        <f t="shared" si="7"/>
        <v>0.28000000000000003</v>
      </c>
      <c r="L45" s="238">
        <v>31</v>
      </c>
      <c r="M45" s="70">
        <v>2</v>
      </c>
      <c r="N45" s="254">
        <f t="shared" si="8"/>
        <v>6.4516129032258063E-2</v>
      </c>
    </row>
    <row r="46" spans="2:14" x14ac:dyDescent="0.25">
      <c r="B46" s="68" t="s">
        <v>11</v>
      </c>
      <c r="C46" s="68">
        <f>SUM(C39:C45)</f>
        <v>214</v>
      </c>
      <c r="D46" s="68">
        <f>SUM(D39:D45)</f>
        <v>73</v>
      </c>
      <c r="E46" s="252">
        <f t="shared" si="6"/>
        <v>0.34112149532710279</v>
      </c>
      <c r="F46" s="69">
        <f>SUM(F39:F45)</f>
        <v>162</v>
      </c>
      <c r="G46" s="69">
        <f>SUM(G39:G45)</f>
        <v>54</v>
      </c>
      <c r="H46" s="252">
        <f t="shared" si="9"/>
        <v>0.33333333333333331</v>
      </c>
      <c r="I46" s="68">
        <v>159</v>
      </c>
      <c r="J46" s="68">
        <v>91</v>
      </c>
      <c r="K46" s="252">
        <f t="shared" si="7"/>
        <v>0.57232704402515722</v>
      </c>
      <c r="L46" s="68">
        <f>SUM(L39:L45)</f>
        <v>161</v>
      </c>
      <c r="M46" s="68">
        <f>SUM(M39:M45)</f>
        <v>21</v>
      </c>
      <c r="N46" s="239">
        <f t="shared" si="8"/>
        <v>0.13043478260869565</v>
      </c>
    </row>
    <row r="48" spans="2:14" x14ac:dyDescent="0.25">
      <c r="B48" s="62" t="s">
        <v>99</v>
      </c>
    </row>
    <row r="49" spans="2:4" x14ac:dyDescent="0.25">
      <c r="B49" s="60" t="s">
        <v>94</v>
      </c>
      <c r="C49" s="60" t="s">
        <v>1</v>
      </c>
      <c r="D49" s="60" t="s">
        <v>36</v>
      </c>
    </row>
    <row r="50" spans="2:4" x14ac:dyDescent="0.25">
      <c r="B50" s="60">
        <v>1</v>
      </c>
      <c r="C50" s="60" t="s">
        <v>10</v>
      </c>
      <c r="D50" s="61">
        <f>G35</f>
        <v>87499.641023000018</v>
      </c>
    </row>
    <row r="51" spans="2:4" x14ac:dyDescent="0.25">
      <c r="B51" s="60">
        <v>2</v>
      </c>
      <c r="C51" s="60" t="s">
        <v>9</v>
      </c>
      <c r="D51" s="61">
        <f>G34</f>
        <v>83627.041400000002</v>
      </c>
    </row>
    <row r="52" spans="2:4" x14ac:dyDescent="0.25">
      <c r="B52" s="60">
        <v>3</v>
      </c>
      <c r="C52" s="60" t="s">
        <v>6</v>
      </c>
      <c r="D52" s="61">
        <f>G31</f>
        <v>54885.650001000002</v>
      </c>
    </row>
    <row r="53" spans="2:4" x14ac:dyDescent="0.25">
      <c r="B53" s="60">
        <v>4</v>
      </c>
      <c r="C53" s="60" t="s">
        <v>7</v>
      </c>
      <c r="D53" s="61">
        <f>G32</f>
        <v>34114.633099999999</v>
      </c>
    </row>
    <row r="54" spans="2:4" x14ac:dyDescent="0.25">
      <c r="B54" s="60">
        <v>5</v>
      </c>
      <c r="C54" s="60" t="s">
        <v>55</v>
      </c>
      <c r="D54" s="61">
        <f>G30</f>
        <v>10329.067491</v>
      </c>
    </row>
    <row r="55" spans="2:4" x14ac:dyDescent="0.25">
      <c r="B55" s="60">
        <v>6</v>
      </c>
      <c r="C55" s="60" t="s">
        <v>8</v>
      </c>
      <c r="D55" s="61">
        <f>G33</f>
        <v>6709.6600000000008</v>
      </c>
    </row>
    <row r="57" spans="2:4" x14ac:dyDescent="0.25">
      <c r="B57" s="62" t="s">
        <v>100</v>
      </c>
    </row>
    <row r="58" spans="2:4" x14ac:dyDescent="0.25">
      <c r="B58" s="60" t="s">
        <v>87</v>
      </c>
      <c r="C58" s="60" t="s">
        <v>36</v>
      </c>
      <c r="D58" s="60" t="s">
        <v>89</v>
      </c>
    </row>
    <row r="59" spans="2:4" x14ac:dyDescent="0.25">
      <c r="B59" s="60" t="s">
        <v>79</v>
      </c>
      <c r="C59" s="61">
        <f>SUM(C30:C35)</f>
        <v>126925.14319100001</v>
      </c>
      <c r="D59" s="255" t="s">
        <v>90</v>
      </c>
    </row>
    <row r="60" spans="2:4" x14ac:dyDescent="0.25">
      <c r="B60" s="60" t="s">
        <v>80</v>
      </c>
      <c r="C60" s="61">
        <f>SUM(D30:D35)</f>
        <v>54222.463100000001</v>
      </c>
      <c r="D60" s="256">
        <f>IFERROR((C60-C59)/C59,"")</f>
        <v>-0.57279966965721896</v>
      </c>
    </row>
    <row r="61" spans="2:4" x14ac:dyDescent="0.25">
      <c r="B61" s="60" t="s">
        <v>81</v>
      </c>
      <c r="C61" s="61">
        <f>SUM(E30:E35)</f>
        <v>84114.925703999994</v>
      </c>
      <c r="D61" s="256">
        <f t="shared" ref="D61:D62" si="10">IFERROR((C61-C60)/C60,"")</f>
        <v>0.55129296780322756</v>
      </c>
    </row>
    <row r="62" spans="2:4" x14ac:dyDescent="0.25">
      <c r="B62" s="60" t="s">
        <v>355</v>
      </c>
      <c r="C62" s="154">
        <f>SUM(F30:F35)</f>
        <v>11903.161020000001</v>
      </c>
      <c r="D62" s="256">
        <f t="shared" si="10"/>
        <v>-0.85848931185070332</v>
      </c>
    </row>
    <row r="64" spans="2:4" x14ac:dyDescent="0.25">
      <c r="B64" s="62" t="s">
        <v>101</v>
      </c>
    </row>
    <row r="65" spans="2:3" x14ac:dyDescent="0.25">
      <c r="B65" s="60" t="s">
        <v>78</v>
      </c>
      <c r="C65" s="60" t="s">
        <v>95</v>
      </c>
    </row>
    <row r="66" spans="2:3" x14ac:dyDescent="0.25">
      <c r="B66" s="60" t="s">
        <v>82</v>
      </c>
      <c r="C66" s="60">
        <f>SUM(C16:C19)</f>
        <v>656</v>
      </c>
    </row>
    <row r="67" spans="2:3" x14ac:dyDescent="0.25">
      <c r="B67" s="60" t="s">
        <v>86</v>
      </c>
      <c r="C67" s="154">
        <f>SUM('FATURAMENTO RECUPERACAO'!D:D)</f>
        <v>277165.69301499997</v>
      </c>
    </row>
    <row r="68" spans="2:3" x14ac:dyDescent="0.25">
      <c r="B68" s="64" t="s">
        <v>108</v>
      </c>
      <c r="C68" s="245">
        <f>SUM(J23:J26)</f>
        <v>239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B89EE-7A7A-4DD1-9FE6-736B949DBD92}">
  <sheetPr>
    <tabColor theme="7"/>
    <outlinePr summaryBelow="0" summaryRight="0"/>
  </sheetPr>
  <dimension ref="A1:AK964"/>
  <sheetViews>
    <sheetView showGridLines="0" zoomScaleNormal="100" workbookViewId="0">
      <selection activeCell="AC9" sqref="AC9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3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7" ht="13.8" thickBot="1" x14ac:dyDescent="0.3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J1" s="82"/>
    </row>
    <row r="2" spans="1:37" ht="13.2" x14ac:dyDescent="0.25">
      <c r="A2" s="81"/>
      <c r="B2" s="81"/>
      <c r="C2" s="302" t="s">
        <v>28</v>
      </c>
      <c r="D2" s="303"/>
      <c r="E2" s="303"/>
      <c r="F2" s="304"/>
      <c r="G2" s="302" t="s">
        <v>29</v>
      </c>
      <c r="H2" s="303"/>
      <c r="I2" s="303"/>
      <c r="J2" s="303"/>
      <c r="K2" s="304"/>
      <c r="L2" s="302" t="s">
        <v>30</v>
      </c>
      <c r="M2" s="303"/>
      <c r="N2" s="303"/>
      <c r="O2" s="303"/>
      <c r="P2" s="304"/>
      <c r="Q2" s="302" t="s">
        <v>31</v>
      </c>
      <c r="R2" s="303"/>
      <c r="S2" s="303"/>
      <c r="T2" s="303"/>
      <c r="U2" s="304"/>
      <c r="V2" s="302" t="s">
        <v>32</v>
      </c>
      <c r="W2" s="303"/>
      <c r="X2" s="81"/>
      <c r="Y2" s="81"/>
      <c r="Z2" s="83"/>
      <c r="AA2" s="84" t="s">
        <v>33</v>
      </c>
      <c r="AB2" s="84" t="s">
        <v>34</v>
      </c>
      <c r="AC2" s="84" t="s">
        <v>141</v>
      </c>
      <c r="AD2" s="84" t="s">
        <v>35</v>
      </c>
      <c r="AE2" s="84" t="s">
        <v>36</v>
      </c>
      <c r="AF2" s="84" t="s">
        <v>37</v>
      </c>
      <c r="AG2" s="84" t="s">
        <v>38</v>
      </c>
      <c r="AH2" s="84" t="s">
        <v>39</v>
      </c>
      <c r="AJ2" s="85"/>
    </row>
    <row r="3" spans="1:37" ht="13.2" x14ac:dyDescent="0.25">
      <c r="A3" s="81"/>
      <c r="B3" s="81"/>
      <c r="C3" s="76">
        <v>1</v>
      </c>
      <c r="D3" s="77">
        <v>2</v>
      </c>
      <c r="E3" s="77">
        <v>3</v>
      </c>
      <c r="F3" s="78">
        <v>5</v>
      </c>
      <c r="G3" s="76">
        <v>8</v>
      </c>
      <c r="H3" s="77">
        <v>9</v>
      </c>
      <c r="I3" s="77">
        <v>10</v>
      </c>
      <c r="J3" s="77">
        <v>11</v>
      </c>
      <c r="K3" s="78">
        <v>12</v>
      </c>
      <c r="L3" s="76">
        <v>15</v>
      </c>
      <c r="M3" s="77">
        <v>16</v>
      </c>
      <c r="N3" s="77">
        <v>17</v>
      </c>
      <c r="O3" s="77">
        <v>18</v>
      </c>
      <c r="P3" s="78">
        <v>19</v>
      </c>
      <c r="Q3" s="76">
        <v>22</v>
      </c>
      <c r="R3" s="77">
        <v>23</v>
      </c>
      <c r="S3" s="77">
        <v>24</v>
      </c>
      <c r="T3" s="77">
        <v>25</v>
      </c>
      <c r="U3" s="78">
        <v>26</v>
      </c>
      <c r="V3" s="76">
        <v>29</v>
      </c>
      <c r="W3" s="78">
        <v>30</v>
      </c>
      <c r="X3" s="299"/>
      <c r="Y3" s="300"/>
      <c r="Z3" s="81"/>
      <c r="AA3" s="80">
        <v>1</v>
      </c>
      <c r="AB3" s="86">
        <v>39905</v>
      </c>
      <c r="AC3" s="86" t="s">
        <v>142</v>
      </c>
      <c r="AD3" s="87">
        <v>46059</v>
      </c>
      <c r="AE3" s="86">
        <v>395.94</v>
      </c>
      <c r="AF3" s="87">
        <v>46298</v>
      </c>
      <c r="AG3" s="86" t="s">
        <v>40</v>
      </c>
      <c r="AH3" s="86">
        <v>84</v>
      </c>
    </row>
    <row r="4" spans="1:37" ht="13.2" x14ac:dyDescent="0.25">
      <c r="A4" s="81"/>
      <c r="B4" s="88" t="s">
        <v>41</v>
      </c>
      <c r="C4" s="89" t="s">
        <v>42</v>
      </c>
      <c r="D4" s="90" t="s">
        <v>43</v>
      </c>
      <c r="E4" s="90" t="s">
        <v>44</v>
      </c>
      <c r="F4" s="91" t="s">
        <v>44</v>
      </c>
      <c r="G4" s="89" t="s">
        <v>42</v>
      </c>
      <c r="H4" s="90" t="s">
        <v>42</v>
      </c>
      <c r="I4" s="90" t="s">
        <v>43</v>
      </c>
      <c r="J4" s="90" t="s">
        <v>44</v>
      </c>
      <c r="K4" s="91" t="s">
        <v>44</v>
      </c>
      <c r="L4" s="89" t="s">
        <v>42</v>
      </c>
      <c r="M4" s="90" t="s">
        <v>42</v>
      </c>
      <c r="N4" s="90" t="s">
        <v>43</v>
      </c>
      <c r="O4" s="90" t="s">
        <v>44</v>
      </c>
      <c r="P4" s="91" t="s">
        <v>44</v>
      </c>
      <c r="Q4" s="89" t="s">
        <v>42</v>
      </c>
      <c r="R4" s="90" t="s">
        <v>42</v>
      </c>
      <c r="S4" s="90" t="s">
        <v>43</v>
      </c>
      <c r="T4" s="90" t="s">
        <v>44</v>
      </c>
      <c r="U4" s="91" t="s">
        <v>44</v>
      </c>
      <c r="V4" s="89" t="s">
        <v>42</v>
      </c>
      <c r="W4" s="91" t="s">
        <v>42</v>
      </c>
      <c r="X4" s="92" t="s">
        <v>11</v>
      </c>
      <c r="Y4" s="81"/>
      <c r="Z4" s="81"/>
      <c r="AA4" s="80">
        <v>2</v>
      </c>
      <c r="AB4" s="86">
        <v>35214</v>
      </c>
      <c r="AC4" s="86" t="s">
        <v>143</v>
      </c>
      <c r="AD4" s="87">
        <v>46059</v>
      </c>
      <c r="AE4" s="86">
        <v>536.37</v>
      </c>
      <c r="AF4" s="87">
        <v>46085</v>
      </c>
      <c r="AG4" s="86" t="s">
        <v>45</v>
      </c>
      <c r="AH4" s="86">
        <v>60</v>
      </c>
    </row>
    <row r="5" spans="1:37" ht="13.2" x14ac:dyDescent="0.25">
      <c r="A5" s="81"/>
      <c r="B5" s="93" t="s">
        <v>2</v>
      </c>
      <c r="C5" s="94">
        <v>1</v>
      </c>
      <c r="D5" s="95">
        <v>1</v>
      </c>
      <c r="E5" s="95">
        <v>1</v>
      </c>
      <c r="F5" s="96">
        <v>1</v>
      </c>
      <c r="G5" s="94">
        <v>1</v>
      </c>
      <c r="H5" s="95">
        <v>1</v>
      </c>
      <c r="I5" s="95">
        <v>1</v>
      </c>
      <c r="J5" s="95">
        <v>1</v>
      </c>
      <c r="K5" s="96">
        <v>1</v>
      </c>
      <c r="L5" s="94">
        <v>1</v>
      </c>
      <c r="M5" s="95">
        <v>1</v>
      </c>
      <c r="N5" s="95">
        <v>2</v>
      </c>
      <c r="O5" s="95">
        <v>2</v>
      </c>
      <c r="P5" s="96">
        <v>2</v>
      </c>
      <c r="Q5" s="94">
        <v>2</v>
      </c>
      <c r="R5" s="95">
        <v>2</v>
      </c>
      <c r="S5" s="95">
        <v>2</v>
      </c>
      <c r="T5" s="95">
        <v>2</v>
      </c>
      <c r="U5" s="96">
        <v>2</v>
      </c>
      <c r="V5" s="51">
        <v>2</v>
      </c>
      <c r="W5" s="96">
        <v>2</v>
      </c>
      <c r="X5" s="97">
        <v>31</v>
      </c>
      <c r="Y5" s="81"/>
      <c r="Z5" s="81"/>
      <c r="AA5" s="80">
        <v>3</v>
      </c>
      <c r="AB5" s="86">
        <v>26900</v>
      </c>
      <c r="AC5" s="86" t="s">
        <v>144</v>
      </c>
      <c r="AD5" s="87">
        <v>46148</v>
      </c>
      <c r="AE5" s="86">
        <v>450.42</v>
      </c>
      <c r="AF5" s="87">
        <v>46096</v>
      </c>
      <c r="AG5" s="86" t="s">
        <v>6</v>
      </c>
      <c r="AH5" s="86">
        <v>82</v>
      </c>
    </row>
    <row r="6" spans="1:37" ht="13.8" thickBot="1" x14ac:dyDescent="0.3">
      <c r="A6" s="81"/>
      <c r="B6" s="93" t="s">
        <v>46</v>
      </c>
      <c r="C6" s="98">
        <v>0</v>
      </c>
      <c r="D6" s="99">
        <v>2</v>
      </c>
      <c r="E6" s="99">
        <v>0</v>
      </c>
      <c r="F6" s="100">
        <v>3</v>
      </c>
      <c r="G6" s="98">
        <v>0</v>
      </c>
      <c r="H6" s="99">
        <v>1</v>
      </c>
      <c r="I6" s="99">
        <v>0</v>
      </c>
      <c r="J6" s="99">
        <v>1</v>
      </c>
      <c r="K6" s="100">
        <v>0</v>
      </c>
      <c r="L6" s="98">
        <v>1</v>
      </c>
      <c r="M6" s="99">
        <v>1</v>
      </c>
      <c r="N6" s="99">
        <v>0</v>
      </c>
      <c r="O6" s="99">
        <v>1</v>
      </c>
      <c r="P6" s="100">
        <v>0</v>
      </c>
      <c r="Q6" s="98">
        <v>0</v>
      </c>
      <c r="R6" s="99">
        <v>0</v>
      </c>
      <c r="S6" s="99">
        <v>0</v>
      </c>
      <c r="T6" s="99">
        <v>0</v>
      </c>
      <c r="U6" s="100">
        <v>3</v>
      </c>
      <c r="V6" s="98">
        <v>1</v>
      </c>
      <c r="W6" s="100">
        <v>2</v>
      </c>
      <c r="X6" s="97">
        <v>16</v>
      </c>
      <c r="Y6" s="101">
        <v>-15</v>
      </c>
      <c r="Z6" s="81"/>
      <c r="AA6" s="80">
        <v>4</v>
      </c>
      <c r="AB6" s="86">
        <v>25286</v>
      </c>
      <c r="AC6" s="86" t="s">
        <v>145</v>
      </c>
      <c r="AD6" s="87">
        <v>46148</v>
      </c>
      <c r="AE6" s="86">
        <v>1339.6</v>
      </c>
      <c r="AF6" s="87">
        <v>46057</v>
      </c>
      <c r="AG6" s="86" t="s">
        <v>47</v>
      </c>
      <c r="AH6" s="86">
        <v>64</v>
      </c>
    </row>
    <row r="7" spans="1:37" ht="13.2" x14ac:dyDescent="0.25">
      <c r="A7" s="81"/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0">
        <v>5</v>
      </c>
      <c r="AB7" s="86">
        <v>29748</v>
      </c>
      <c r="AC7" s="86" t="s">
        <v>146</v>
      </c>
      <c r="AD7" s="87">
        <v>46148</v>
      </c>
      <c r="AE7" s="86">
        <v>429.34</v>
      </c>
      <c r="AF7" s="87">
        <v>46129</v>
      </c>
      <c r="AG7" s="86" t="s">
        <v>6</v>
      </c>
      <c r="AH7" s="86">
        <v>49</v>
      </c>
    </row>
    <row r="8" spans="1:37" ht="13.2" x14ac:dyDescent="0.25">
      <c r="A8" s="81"/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0">
        <v>6</v>
      </c>
      <c r="AB8" s="86">
        <v>41967</v>
      </c>
      <c r="AC8" s="86" t="s">
        <v>147</v>
      </c>
      <c r="AD8" s="87">
        <v>46271</v>
      </c>
      <c r="AE8" s="86">
        <v>177.86</v>
      </c>
      <c r="AF8" s="87">
        <v>46098</v>
      </c>
      <c r="AG8" s="86" t="s">
        <v>48</v>
      </c>
      <c r="AH8" s="86">
        <v>84</v>
      </c>
    </row>
    <row r="9" spans="1:37" ht="13.2" x14ac:dyDescent="0.25">
      <c r="A9" s="81"/>
      <c r="B9" s="102" t="s">
        <v>49</v>
      </c>
      <c r="C9" s="76">
        <v>1</v>
      </c>
      <c r="D9" s="77">
        <v>2</v>
      </c>
      <c r="E9" s="77">
        <v>3</v>
      </c>
      <c r="F9" s="78">
        <v>5</v>
      </c>
      <c r="G9" s="76">
        <v>8</v>
      </c>
      <c r="H9" s="77">
        <v>9</v>
      </c>
      <c r="I9" s="77">
        <v>10</v>
      </c>
      <c r="J9" s="77">
        <v>11</v>
      </c>
      <c r="K9" s="78">
        <v>12</v>
      </c>
      <c r="L9" s="76">
        <v>15</v>
      </c>
      <c r="M9" s="77">
        <v>16</v>
      </c>
      <c r="N9" s="77">
        <v>17</v>
      </c>
      <c r="O9" s="77">
        <v>18</v>
      </c>
      <c r="P9" s="78">
        <v>19</v>
      </c>
      <c r="Q9" s="76">
        <v>22</v>
      </c>
      <c r="R9" s="77">
        <v>23</v>
      </c>
      <c r="S9" s="77">
        <v>24</v>
      </c>
      <c r="T9" s="77">
        <v>25</v>
      </c>
      <c r="U9" s="78">
        <v>26</v>
      </c>
      <c r="V9" s="76">
        <v>29</v>
      </c>
      <c r="W9" s="78">
        <v>30</v>
      </c>
      <c r="X9" s="81"/>
      <c r="Y9" s="81"/>
      <c r="Z9" s="81"/>
      <c r="AA9" s="104">
        <v>7</v>
      </c>
      <c r="AB9" s="103">
        <v>40914</v>
      </c>
      <c r="AC9" s="103" t="s">
        <v>148</v>
      </c>
      <c r="AD9" s="105">
        <v>46332</v>
      </c>
      <c r="AE9" s="103">
        <v>9588</v>
      </c>
      <c r="AF9" s="105">
        <v>46145</v>
      </c>
      <c r="AG9" s="103" t="s">
        <v>6</v>
      </c>
      <c r="AH9" s="103">
        <v>98</v>
      </c>
    </row>
    <row r="10" spans="1:37" ht="13.2" x14ac:dyDescent="0.25">
      <c r="A10" s="81"/>
      <c r="B10" s="90" t="s">
        <v>15</v>
      </c>
      <c r="C10" s="95">
        <v>47</v>
      </c>
      <c r="D10" s="95"/>
      <c r="E10" s="95">
        <v>46</v>
      </c>
      <c r="F10" s="2">
        <v>43</v>
      </c>
      <c r="G10" s="2">
        <v>43</v>
      </c>
      <c r="H10" s="95">
        <v>16</v>
      </c>
      <c r="I10" s="95">
        <v>16</v>
      </c>
      <c r="J10" s="95">
        <v>21</v>
      </c>
      <c r="K10" s="95"/>
      <c r="L10" s="106">
        <v>12</v>
      </c>
      <c r="M10" s="95">
        <v>29</v>
      </c>
      <c r="N10" s="95">
        <v>29</v>
      </c>
      <c r="O10" s="95"/>
      <c r="P10" s="95">
        <v>32</v>
      </c>
      <c r="Q10" s="95">
        <v>8</v>
      </c>
      <c r="R10" s="107">
        <v>37</v>
      </c>
      <c r="S10" s="74">
        <v>38</v>
      </c>
      <c r="T10" s="108">
        <v>37</v>
      </c>
      <c r="U10" s="109">
        <v>35</v>
      </c>
      <c r="V10" s="95">
        <v>25</v>
      </c>
      <c r="W10" s="95"/>
      <c r="X10" s="81"/>
      <c r="Y10" s="81"/>
      <c r="Z10" s="81"/>
      <c r="AA10" s="80">
        <v>8</v>
      </c>
      <c r="AB10" s="86">
        <v>44581</v>
      </c>
      <c r="AC10" s="86" t="s">
        <v>149</v>
      </c>
      <c r="AD10" s="87">
        <v>46188</v>
      </c>
      <c r="AE10" s="86">
        <v>228.74</v>
      </c>
      <c r="AF10" s="87">
        <v>46126</v>
      </c>
      <c r="AG10" s="86" t="s">
        <v>50</v>
      </c>
      <c r="AH10" s="86">
        <v>62</v>
      </c>
    </row>
    <row r="11" spans="1:37" ht="13.2" x14ac:dyDescent="0.25">
      <c r="A11" s="81"/>
      <c r="B11" s="90" t="s">
        <v>16</v>
      </c>
      <c r="C11" s="95">
        <v>9</v>
      </c>
      <c r="D11" s="95"/>
      <c r="E11" s="95">
        <v>9</v>
      </c>
      <c r="F11" s="2">
        <v>7</v>
      </c>
      <c r="G11" s="2">
        <v>7</v>
      </c>
      <c r="H11" s="95">
        <v>7</v>
      </c>
      <c r="I11" s="95">
        <v>7</v>
      </c>
      <c r="J11" s="95">
        <v>7</v>
      </c>
      <c r="K11" s="95"/>
      <c r="L11" s="106">
        <v>10</v>
      </c>
      <c r="M11" s="95">
        <v>10</v>
      </c>
      <c r="N11" s="95">
        <v>10</v>
      </c>
      <c r="O11" s="95"/>
      <c r="P11" s="95">
        <v>11</v>
      </c>
      <c r="Q11" s="95">
        <v>12</v>
      </c>
      <c r="R11" s="107">
        <v>11</v>
      </c>
      <c r="S11" s="74">
        <v>9</v>
      </c>
      <c r="T11" s="108">
        <v>9</v>
      </c>
      <c r="U11" s="109">
        <v>9</v>
      </c>
      <c r="V11" s="95">
        <v>6</v>
      </c>
      <c r="W11" s="95"/>
      <c r="X11" s="81"/>
      <c r="Y11" s="81"/>
      <c r="Z11" s="81"/>
      <c r="AA11" s="104">
        <v>9</v>
      </c>
      <c r="AB11" s="103">
        <v>43131</v>
      </c>
      <c r="AC11" s="103" t="s">
        <v>150</v>
      </c>
      <c r="AD11" s="105">
        <v>46189</v>
      </c>
      <c r="AE11" s="103">
        <v>397.3</v>
      </c>
      <c r="AF11" s="105">
        <v>46237</v>
      </c>
      <c r="AG11" s="103" t="s">
        <v>6</v>
      </c>
      <c r="AH11" s="103">
        <v>100</v>
      </c>
    </row>
    <row r="12" spans="1:37" ht="13.2" x14ac:dyDescent="0.25">
      <c r="A12" s="81"/>
      <c r="B12" s="90" t="s">
        <v>17</v>
      </c>
      <c r="C12" s="95">
        <v>5</v>
      </c>
      <c r="D12" s="95"/>
      <c r="E12" s="95">
        <v>5</v>
      </c>
      <c r="F12" s="2">
        <v>3</v>
      </c>
      <c r="G12" s="2">
        <v>3</v>
      </c>
      <c r="H12" s="95">
        <v>4</v>
      </c>
      <c r="I12" s="95">
        <v>4</v>
      </c>
      <c r="J12" s="95">
        <v>4</v>
      </c>
      <c r="K12" s="95"/>
      <c r="L12" s="106">
        <v>6</v>
      </c>
      <c r="M12" s="95">
        <v>7</v>
      </c>
      <c r="N12" s="95">
        <v>7</v>
      </c>
      <c r="O12" s="95"/>
      <c r="P12" s="95">
        <v>5</v>
      </c>
      <c r="Q12" s="95">
        <v>3</v>
      </c>
      <c r="R12" s="107">
        <v>3</v>
      </c>
      <c r="S12" s="74">
        <v>2</v>
      </c>
      <c r="T12" s="108">
        <v>2</v>
      </c>
      <c r="U12" s="109">
        <v>4</v>
      </c>
      <c r="V12" s="95">
        <v>4</v>
      </c>
      <c r="W12" s="95"/>
      <c r="X12" s="81"/>
      <c r="Y12" s="81"/>
      <c r="Z12" s="81"/>
      <c r="AA12" s="104">
        <v>10</v>
      </c>
      <c r="AB12" s="103">
        <v>27411</v>
      </c>
      <c r="AC12" s="103" t="s">
        <v>151</v>
      </c>
      <c r="AD12" s="105">
        <v>46191</v>
      </c>
      <c r="AE12" s="103">
        <v>179.43</v>
      </c>
      <c r="AF12" s="105">
        <v>46298</v>
      </c>
      <c r="AG12" s="103" t="s">
        <v>6</v>
      </c>
      <c r="AH12" s="103">
        <v>100</v>
      </c>
      <c r="AK12">
        <v>0.2</v>
      </c>
    </row>
    <row r="13" spans="1:37" ht="13.2" x14ac:dyDescent="0.25">
      <c r="A13" s="81"/>
      <c r="B13" s="90" t="s">
        <v>18</v>
      </c>
      <c r="C13" s="95">
        <v>0</v>
      </c>
      <c r="D13" s="95"/>
      <c r="E13" s="95">
        <v>0</v>
      </c>
      <c r="F13" s="2">
        <v>3</v>
      </c>
      <c r="G13" s="2">
        <v>3</v>
      </c>
      <c r="H13" s="95">
        <v>2</v>
      </c>
      <c r="I13" s="95">
        <v>2</v>
      </c>
      <c r="J13" s="95">
        <v>1</v>
      </c>
      <c r="K13" s="95"/>
      <c r="L13" s="106">
        <v>2</v>
      </c>
      <c r="M13" s="95">
        <v>1</v>
      </c>
      <c r="N13" s="95">
        <v>0</v>
      </c>
      <c r="O13" s="95"/>
      <c r="P13" s="95">
        <v>2</v>
      </c>
      <c r="Q13" s="95">
        <v>0</v>
      </c>
      <c r="R13" s="107">
        <v>0</v>
      </c>
      <c r="S13" s="74">
        <v>3</v>
      </c>
      <c r="T13" s="108">
        <v>2</v>
      </c>
      <c r="U13" s="109">
        <v>1</v>
      </c>
      <c r="V13" s="95">
        <v>1</v>
      </c>
      <c r="W13" s="95"/>
      <c r="X13" s="81"/>
      <c r="Y13" s="81"/>
      <c r="Z13" s="81"/>
      <c r="AA13" s="80">
        <v>11</v>
      </c>
      <c r="AB13" s="86">
        <v>36248</v>
      </c>
      <c r="AC13" s="86" t="s">
        <v>152</v>
      </c>
      <c r="AD13" s="87">
        <v>46199</v>
      </c>
      <c r="AE13" s="86">
        <v>264.39</v>
      </c>
      <c r="AF13" s="87">
        <v>46147</v>
      </c>
      <c r="AG13" s="86" t="s">
        <v>40</v>
      </c>
      <c r="AH13" s="86">
        <v>52</v>
      </c>
    </row>
    <row r="14" spans="1:37" ht="13.2" x14ac:dyDescent="0.25">
      <c r="A14" s="81"/>
      <c r="B14" s="90" t="s">
        <v>51</v>
      </c>
      <c r="C14" s="95">
        <v>185</v>
      </c>
      <c r="D14" s="95"/>
      <c r="E14" s="95">
        <v>177</v>
      </c>
      <c r="F14" s="2">
        <v>177</v>
      </c>
      <c r="G14" s="2">
        <v>177</v>
      </c>
      <c r="H14" s="106">
        <v>214</v>
      </c>
      <c r="I14" s="95">
        <v>213</v>
      </c>
      <c r="J14" s="95">
        <v>213</v>
      </c>
      <c r="K14" s="95"/>
      <c r="L14" s="106">
        <v>204</v>
      </c>
      <c r="M14" s="95">
        <v>187</v>
      </c>
      <c r="N14" s="95">
        <v>187</v>
      </c>
      <c r="O14" s="95"/>
      <c r="P14" s="95">
        <v>190</v>
      </c>
      <c r="Q14" s="95">
        <v>216</v>
      </c>
      <c r="R14" s="107">
        <v>216</v>
      </c>
      <c r="S14" s="74">
        <v>223</v>
      </c>
      <c r="T14" s="108">
        <v>198</v>
      </c>
      <c r="U14" s="80">
        <v>180</v>
      </c>
      <c r="V14" s="95">
        <v>189</v>
      </c>
      <c r="W14" s="95"/>
      <c r="X14" s="81"/>
      <c r="Y14" s="81"/>
      <c r="Z14" s="81"/>
      <c r="AA14" s="80">
        <v>12</v>
      </c>
      <c r="AB14" s="86">
        <v>2425</v>
      </c>
      <c r="AC14" s="86" t="s">
        <v>153</v>
      </c>
      <c r="AD14" s="87">
        <v>46199</v>
      </c>
      <c r="AE14" s="86">
        <v>546.6</v>
      </c>
      <c r="AF14" s="87">
        <v>46128</v>
      </c>
      <c r="AG14" s="86" t="s">
        <v>40</v>
      </c>
      <c r="AH14" s="86">
        <v>71</v>
      </c>
    </row>
    <row r="15" spans="1:37" ht="13.2" x14ac:dyDescent="0.25">
      <c r="A15" s="81"/>
      <c r="B15" s="90" t="s">
        <v>52</v>
      </c>
      <c r="C15" s="95">
        <v>40</v>
      </c>
      <c r="D15" s="95"/>
      <c r="E15" s="95">
        <v>33</v>
      </c>
      <c r="F15" s="2">
        <v>34</v>
      </c>
      <c r="G15" s="2">
        <v>34</v>
      </c>
      <c r="H15" s="95">
        <v>37</v>
      </c>
      <c r="I15" s="95">
        <v>37</v>
      </c>
      <c r="J15" s="95">
        <v>37</v>
      </c>
      <c r="K15" s="95"/>
      <c r="L15" s="106">
        <v>36</v>
      </c>
      <c r="M15" s="95">
        <v>35</v>
      </c>
      <c r="N15" s="95">
        <v>35</v>
      </c>
      <c r="O15" s="95"/>
      <c r="P15" s="95">
        <v>35</v>
      </c>
      <c r="Q15" s="95">
        <v>35</v>
      </c>
      <c r="R15" s="107">
        <v>35</v>
      </c>
      <c r="S15" s="74">
        <v>35</v>
      </c>
      <c r="T15" s="108">
        <v>32</v>
      </c>
      <c r="U15" s="110">
        <v>29</v>
      </c>
      <c r="V15" s="95">
        <v>29</v>
      </c>
      <c r="W15" s="95"/>
      <c r="X15" s="81"/>
      <c r="Y15" s="81"/>
      <c r="Z15" s="81"/>
      <c r="AA15" s="80">
        <v>13</v>
      </c>
      <c r="AB15" s="111">
        <v>24254</v>
      </c>
      <c r="AC15" s="111" t="s">
        <v>154</v>
      </c>
      <c r="AD15" s="87">
        <v>46199</v>
      </c>
      <c r="AE15" s="86">
        <v>400.81</v>
      </c>
      <c r="AF15" s="87">
        <v>46129</v>
      </c>
      <c r="AG15" s="86" t="s">
        <v>116</v>
      </c>
      <c r="AH15" s="52">
        <v>70</v>
      </c>
    </row>
    <row r="16" spans="1:37" ht="13.2" x14ac:dyDescent="0.25">
      <c r="A16" s="81"/>
      <c r="B16" s="90" t="s">
        <v>22</v>
      </c>
      <c r="C16" s="95">
        <v>0</v>
      </c>
      <c r="D16" s="95"/>
      <c r="E16" s="95">
        <v>0</v>
      </c>
      <c r="F16" s="2">
        <v>0</v>
      </c>
      <c r="G16" s="2">
        <v>0</v>
      </c>
      <c r="H16" s="95">
        <v>0</v>
      </c>
      <c r="I16" s="95">
        <v>0</v>
      </c>
      <c r="J16" s="95">
        <v>0</v>
      </c>
      <c r="K16" s="95"/>
      <c r="L16" s="106">
        <v>0</v>
      </c>
      <c r="M16" s="95">
        <v>0</v>
      </c>
      <c r="N16" s="95">
        <v>0</v>
      </c>
      <c r="O16" s="95"/>
      <c r="P16" s="95">
        <v>0</v>
      </c>
      <c r="Q16" s="95">
        <v>0</v>
      </c>
      <c r="R16" s="107">
        <v>0</v>
      </c>
      <c r="S16" s="74">
        <v>0</v>
      </c>
      <c r="T16" s="108">
        <v>0</v>
      </c>
      <c r="U16" s="80">
        <v>0</v>
      </c>
      <c r="V16" s="95">
        <v>0</v>
      </c>
      <c r="W16" s="95"/>
      <c r="X16" s="81"/>
      <c r="Y16" s="81"/>
      <c r="Z16" s="81"/>
      <c r="AA16" s="80">
        <v>14</v>
      </c>
      <c r="AB16" s="86">
        <v>42652</v>
      </c>
      <c r="AC16" s="86" t="s">
        <v>155</v>
      </c>
      <c r="AD16" s="87">
        <v>46202</v>
      </c>
      <c r="AE16" s="86">
        <v>221.73</v>
      </c>
      <c r="AF16" s="87">
        <v>46239</v>
      </c>
      <c r="AG16" s="86" t="s">
        <v>6</v>
      </c>
      <c r="AH16" s="86">
        <v>52</v>
      </c>
    </row>
    <row r="17" spans="1:34" ht="13.2" x14ac:dyDescent="0.25">
      <c r="A17" s="81"/>
      <c r="B17" s="90" t="s">
        <v>23</v>
      </c>
      <c r="C17" s="95">
        <v>0</v>
      </c>
      <c r="D17" s="95"/>
      <c r="E17" s="95">
        <v>0</v>
      </c>
      <c r="F17" s="2">
        <v>0</v>
      </c>
      <c r="G17" s="2">
        <v>0</v>
      </c>
      <c r="H17" s="95">
        <v>1</v>
      </c>
      <c r="I17" s="95">
        <v>1</v>
      </c>
      <c r="J17" s="95">
        <v>1</v>
      </c>
      <c r="K17" s="95"/>
      <c r="L17" s="106">
        <v>1</v>
      </c>
      <c r="M17" s="95">
        <v>1</v>
      </c>
      <c r="N17" s="95">
        <v>1</v>
      </c>
      <c r="O17" s="95"/>
      <c r="P17" s="95">
        <v>1</v>
      </c>
      <c r="Q17" s="95">
        <v>1</v>
      </c>
      <c r="R17" s="107">
        <v>1</v>
      </c>
      <c r="S17" s="74">
        <v>1</v>
      </c>
      <c r="T17" s="108">
        <v>1</v>
      </c>
      <c r="U17" s="80">
        <v>1</v>
      </c>
      <c r="V17" s="95">
        <v>1</v>
      </c>
      <c r="W17" s="95"/>
      <c r="X17" s="81"/>
      <c r="Y17" s="81"/>
      <c r="Z17" s="81"/>
      <c r="AA17" s="80">
        <v>15</v>
      </c>
      <c r="AB17" s="86">
        <v>30292</v>
      </c>
      <c r="AC17" s="86" t="s">
        <v>156</v>
      </c>
      <c r="AD17" s="87">
        <v>46029</v>
      </c>
      <c r="AE17" s="86">
        <v>1797</v>
      </c>
      <c r="AF17" s="87">
        <v>46142</v>
      </c>
      <c r="AG17" s="86" t="s">
        <v>6</v>
      </c>
      <c r="AH17" s="86">
        <v>61</v>
      </c>
    </row>
    <row r="18" spans="1:34" ht="13.2" x14ac:dyDescent="0.25">
      <c r="A18" s="81"/>
      <c r="B18" s="90" t="s">
        <v>24</v>
      </c>
      <c r="C18" s="95">
        <v>0</v>
      </c>
      <c r="D18" s="95"/>
      <c r="E18" s="95">
        <v>1</v>
      </c>
      <c r="F18" s="2">
        <v>1</v>
      </c>
      <c r="G18" s="2">
        <v>1</v>
      </c>
      <c r="H18" s="95">
        <v>3</v>
      </c>
      <c r="I18" s="95">
        <v>4</v>
      </c>
      <c r="J18" s="95">
        <v>4</v>
      </c>
      <c r="K18" s="95"/>
      <c r="L18" s="106">
        <v>4</v>
      </c>
      <c r="M18" s="95">
        <v>4</v>
      </c>
      <c r="N18" s="95">
        <v>4</v>
      </c>
      <c r="O18" s="95"/>
      <c r="P18" s="95">
        <v>4</v>
      </c>
      <c r="Q18" s="95">
        <v>5</v>
      </c>
      <c r="R18" s="107">
        <v>5</v>
      </c>
      <c r="S18" s="74">
        <v>7</v>
      </c>
      <c r="T18" s="108">
        <v>31</v>
      </c>
      <c r="U18" s="80">
        <v>35</v>
      </c>
      <c r="V18" s="95">
        <v>36</v>
      </c>
      <c r="W18" s="95"/>
      <c r="X18" s="81"/>
      <c r="Y18" s="81"/>
      <c r="Z18" s="81"/>
      <c r="AA18" s="80">
        <v>16</v>
      </c>
      <c r="AB18" s="86">
        <v>39127</v>
      </c>
      <c r="AC18" s="86" t="s">
        <v>157</v>
      </c>
      <c r="AD18" s="87">
        <v>46029</v>
      </c>
      <c r="AE18" s="86">
        <v>180.15</v>
      </c>
      <c r="AF18" s="87">
        <v>46239</v>
      </c>
      <c r="AG18" s="86" t="s">
        <v>6</v>
      </c>
      <c r="AH18" s="86">
        <v>52</v>
      </c>
    </row>
    <row r="19" spans="1:34" ht="13.2" x14ac:dyDescent="0.25">
      <c r="A19" s="81"/>
      <c r="B19" s="90" t="s">
        <v>25</v>
      </c>
      <c r="C19" s="95">
        <v>0</v>
      </c>
      <c r="D19" s="95"/>
      <c r="E19" s="95">
        <v>0</v>
      </c>
      <c r="F19" s="2">
        <v>0</v>
      </c>
      <c r="G19" s="2">
        <v>0</v>
      </c>
      <c r="H19" s="95">
        <v>0</v>
      </c>
      <c r="I19" s="95">
        <v>0</v>
      </c>
      <c r="J19" s="95">
        <v>0</v>
      </c>
      <c r="K19" s="95"/>
      <c r="L19" s="106">
        <v>0</v>
      </c>
      <c r="M19" s="95">
        <v>0</v>
      </c>
      <c r="N19" s="95">
        <v>0</v>
      </c>
      <c r="O19" s="95"/>
      <c r="P19" s="95">
        <v>2</v>
      </c>
      <c r="Q19" s="95">
        <v>2</v>
      </c>
      <c r="R19" s="107">
        <v>2</v>
      </c>
      <c r="S19" s="74">
        <v>2</v>
      </c>
      <c r="T19" s="108">
        <v>2</v>
      </c>
      <c r="U19" s="80">
        <v>2</v>
      </c>
      <c r="V19" s="95">
        <v>2</v>
      </c>
      <c r="W19" s="95"/>
      <c r="X19" s="81"/>
      <c r="Y19" s="81"/>
      <c r="Z19" s="81"/>
      <c r="AA19" s="81"/>
      <c r="AE19" s="112">
        <v>17133.68</v>
      </c>
    </row>
    <row r="20" spans="1:34" ht="13.2" x14ac:dyDescent="0.25">
      <c r="A20" s="81"/>
      <c r="B20" s="90" t="s">
        <v>26</v>
      </c>
      <c r="C20" s="95">
        <v>0</v>
      </c>
      <c r="D20" s="95"/>
      <c r="E20" s="95">
        <v>0</v>
      </c>
      <c r="F20" s="2">
        <v>0</v>
      </c>
      <c r="G20" s="2">
        <v>0</v>
      </c>
      <c r="H20" s="95">
        <v>1</v>
      </c>
      <c r="I20" s="95">
        <v>1</v>
      </c>
      <c r="J20" s="95">
        <v>1</v>
      </c>
      <c r="K20" s="95"/>
      <c r="L20" s="106">
        <v>1</v>
      </c>
      <c r="M20" s="95">
        <v>1</v>
      </c>
      <c r="N20" s="95">
        <v>1</v>
      </c>
      <c r="O20" s="95"/>
      <c r="P20" s="95">
        <v>1</v>
      </c>
      <c r="Q20" s="95">
        <v>1</v>
      </c>
      <c r="R20" s="107">
        <v>1</v>
      </c>
      <c r="S20" s="74">
        <v>1</v>
      </c>
      <c r="T20" s="108">
        <v>2</v>
      </c>
      <c r="U20" s="80">
        <v>3</v>
      </c>
      <c r="V20" s="95">
        <v>5</v>
      </c>
      <c r="W20" s="95"/>
      <c r="X20" s="81"/>
      <c r="Y20" s="81"/>
      <c r="Z20" s="81"/>
      <c r="AA20" s="81"/>
    </row>
    <row r="21" spans="1:34" ht="13.2" x14ac:dyDescent="0.25">
      <c r="A21" s="81"/>
      <c r="B21" s="102" t="s">
        <v>11</v>
      </c>
      <c r="C21" s="102">
        <v>286</v>
      </c>
      <c r="D21" s="102">
        <v>0</v>
      </c>
      <c r="E21" s="102">
        <v>271</v>
      </c>
      <c r="F21" s="102">
        <v>268</v>
      </c>
      <c r="G21" s="102">
        <v>268</v>
      </c>
      <c r="H21" s="102">
        <v>285</v>
      </c>
      <c r="I21" s="102">
        <v>285</v>
      </c>
      <c r="J21" s="102">
        <v>289</v>
      </c>
      <c r="K21" s="102">
        <v>0</v>
      </c>
      <c r="L21" s="102">
        <v>276</v>
      </c>
      <c r="M21" s="102">
        <v>275</v>
      </c>
      <c r="N21" s="102">
        <v>274</v>
      </c>
      <c r="O21" s="102">
        <v>0</v>
      </c>
      <c r="P21" s="102">
        <v>283</v>
      </c>
      <c r="Q21" s="102">
        <v>283</v>
      </c>
      <c r="R21" s="102">
        <v>311</v>
      </c>
      <c r="S21" s="102">
        <v>321</v>
      </c>
      <c r="T21" s="102">
        <v>316</v>
      </c>
      <c r="U21" s="102">
        <v>299</v>
      </c>
      <c r="V21" s="102">
        <v>298</v>
      </c>
      <c r="W21" s="102">
        <v>0</v>
      </c>
      <c r="X21" s="81"/>
      <c r="Y21" s="81"/>
      <c r="Z21" s="81"/>
      <c r="AA21" s="81"/>
    </row>
    <row r="22" spans="1:34" ht="13.2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</row>
    <row r="23" spans="1:34" ht="13.2" x14ac:dyDescent="0.25">
      <c r="A23" s="81"/>
      <c r="B23" s="75" t="s">
        <v>53</v>
      </c>
      <c r="C23" s="76">
        <v>1</v>
      </c>
      <c r="D23" s="77">
        <v>2</v>
      </c>
      <c r="E23" s="77">
        <v>3</v>
      </c>
      <c r="F23" s="78">
        <v>5</v>
      </c>
      <c r="G23" s="76">
        <v>8</v>
      </c>
      <c r="H23" s="77">
        <v>9</v>
      </c>
      <c r="I23" s="77">
        <v>10</v>
      </c>
      <c r="J23" s="77">
        <v>11</v>
      </c>
      <c r="K23" s="78">
        <v>12</v>
      </c>
      <c r="L23" s="76">
        <v>15</v>
      </c>
      <c r="M23" s="77">
        <v>16</v>
      </c>
      <c r="N23" s="77">
        <v>17</v>
      </c>
      <c r="O23" s="77">
        <v>18</v>
      </c>
      <c r="P23" s="78">
        <v>19</v>
      </c>
      <c r="Q23" s="76">
        <v>22</v>
      </c>
      <c r="R23" s="77">
        <v>23</v>
      </c>
      <c r="S23" s="77">
        <v>24</v>
      </c>
      <c r="T23" s="77">
        <v>25</v>
      </c>
      <c r="U23" s="78">
        <v>26</v>
      </c>
      <c r="V23" s="76">
        <v>29</v>
      </c>
      <c r="W23" s="78">
        <v>30</v>
      </c>
      <c r="X23" s="79" t="s">
        <v>11</v>
      </c>
      <c r="Y23" s="81"/>
      <c r="Z23" s="81"/>
      <c r="AA23" s="81"/>
    </row>
    <row r="24" spans="1:34" ht="13.2" x14ac:dyDescent="0.25">
      <c r="A24" s="81"/>
      <c r="B24" s="74" t="s">
        <v>2</v>
      </c>
      <c r="C24" s="80">
        <v>17</v>
      </c>
      <c r="D24" s="80">
        <v>17</v>
      </c>
      <c r="E24" s="80">
        <v>17</v>
      </c>
      <c r="F24" s="80">
        <v>17</v>
      </c>
      <c r="G24" s="80">
        <v>17</v>
      </c>
      <c r="H24" s="80">
        <v>17</v>
      </c>
      <c r="I24" s="80">
        <v>17</v>
      </c>
      <c r="J24" s="80">
        <v>17</v>
      </c>
      <c r="K24" s="80">
        <v>17</v>
      </c>
      <c r="L24" s="80">
        <v>17</v>
      </c>
      <c r="M24" s="80">
        <v>17</v>
      </c>
      <c r="N24" s="80">
        <v>17</v>
      </c>
      <c r="O24" s="80">
        <v>17</v>
      </c>
      <c r="P24" s="80">
        <v>17</v>
      </c>
      <c r="Q24" s="80">
        <v>17</v>
      </c>
      <c r="R24" s="80">
        <v>17</v>
      </c>
      <c r="S24" s="80">
        <v>17</v>
      </c>
      <c r="T24" s="80">
        <v>16</v>
      </c>
      <c r="U24" s="80">
        <v>15</v>
      </c>
      <c r="V24" s="80">
        <v>15</v>
      </c>
      <c r="W24" s="80">
        <v>15</v>
      </c>
      <c r="X24" s="74">
        <v>350</v>
      </c>
      <c r="Y24" s="81"/>
      <c r="Z24" s="81"/>
      <c r="AA24" s="81"/>
    </row>
    <row r="25" spans="1:34" ht="13.2" x14ac:dyDescent="0.25">
      <c r="A25" s="81"/>
      <c r="B25" s="74" t="s">
        <v>115</v>
      </c>
      <c r="C25" s="80">
        <v>0</v>
      </c>
      <c r="D25" s="80">
        <v>0</v>
      </c>
      <c r="E25" s="80">
        <v>13</v>
      </c>
      <c r="F25" s="80">
        <v>8</v>
      </c>
      <c r="G25" s="80">
        <v>3</v>
      </c>
      <c r="H25" s="80">
        <v>33</v>
      </c>
      <c r="I25" s="80" t="s">
        <v>54</v>
      </c>
      <c r="J25" s="80" t="s">
        <v>54</v>
      </c>
      <c r="K25" s="80" t="s">
        <v>54</v>
      </c>
      <c r="L25" s="80" t="s">
        <v>54</v>
      </c>
      <c r="M25" s="80">
        <v>11</v>
      </c>
      <c r="N25" s="80" t="s">
        <v>54</v>
      </c>
      <c r="O25" s="80" t="s">
        <v>54</v>
      </c>
      <c r="P25" s="80">
        <v>3</v>
      </c>
      <c r="Q25" s="80">
        <v>40</v>
      </c>
      <c r="R25" s="80">
        <v>30</v>
      </c>
      <c r="S25" s="80">
        <v>0</v>
      </c>
      <c r="T25" s="80">
        <v>47</v>
      </c>
      <c r="U25" s="80">
        <v>54</v>
      </c>
      <c r="V25" s="80">
        <v>36</v>
      </c>
      <c r="W25" s="80">
        <v>38</v>
      </c>
      <c r="X25" s="74">
        <v>316</v>
      </c>
      <c r="Y25" s="101">
        <v>-34</v>
      </c>
      <c r="Z25" s="81"/>
      <c r="AA25" s="81"/>
    </row>
    <row r="26" spans="1:34" ht="13.2" x14ac:dyDescent="0.25">
      <c r="A26" s="81"/>
      <c r="B26" s="8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81"/>
      <c r="Y26" s="81"/>
      <c r="Z26" s="81"/>
      <c r="AA26" s="81"/>
    </row>
    <row r="27" spans="1:34" ht="13.2" x14ac:dyDescent="0.25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301"/>
      <c r="Y27" s="301"/>
      <c r="Z27" s="81"/>
      <c r="AA27" s="81"/>
    </row>
    <row r="28" spans="1:34" ht="13.2" x14ac:dyDescent="0.25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</row>
    <row r="29" spans="1:34" ht="13.2" x14ac:dyDescent="0.25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</row>
    <row r="30" spans="1:34" ht="13.2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</row>
    <row r="31" spans="1:34" ht="13.2" x14ac:dyDescent="0.25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</row>
    <row r="32" spans="1:34" ht="13.2" x14ac:dyDescent="0.25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</row>
    <row r="33" spans="1:27" ht="13.2" x14ac:dyDescent="0.25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</row>
    <row r="34" spans="1:27" ht="13.2" x14ac:dyDescent="0.25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</row>
    <row r="35" spans="1:27" ht="13.2" x14ac:dyDescent="0.25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</row>
    <row r="36" spans="1:27" ht="13.2" x14ac:dyDescent="0.25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</row>
    <row r="37" spans="1:27" ht="13.2" x14ac:dyDescent="0.25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</row>
    <row r="38" spans="1:27" ht="13.2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</row>
    <row r="39" spans="1:27" ht="13.2" x14ac:dyDescent="0.25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</row>
    <row r="40" spans="1:27" ht="13.2" x14ac:dyDescent="0.25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</row>
    <row r="41" spans="1:27" ht="13.2" x14ac:dyDescent="0.25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</row>
    <row r="42" spans="1:27" ht="13.2" x14ac:dyDescent="0.25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</row>
    <row r="43" spans="1:27" ht="13.2" x14ac:dyDescent="0.25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</row>
    <row r="44" spans="1:27" ht="13.2" x14ac:dyDescent="0.25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</row>
    <row r="45" spans="1:27" ht="13.2" x14ac:dyDescent="0.2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</row>
    <row r="46" spans="1:27" ht="13.2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</row>
    <row r="47" spans="1:27" ht="13.2" x14ac:dyDescent="0.25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</row>
    <row r="48" spans="1:27" ht="13.2" x14ac:dyDescent="0.25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</row>
    <row r="49" spans="1:27" ht="13.2" x14ac:dyDescent="0.25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</row>
    <row r="50" spans="1:27" ht="13.2" x14ac:dyDescent="0.25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</row>
    <row r="51" spans="1:27" ht="13.2" x14ac:dyDescent="0.25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</row>
    <row r="52" spans="1:27" ht="13.2" x14ac:dyDescent="0.25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</row>
    <row r="53" spans="1:27" ht="13.2" x14ac:dyDescent="0.25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</row>
    <row r="54" spans="1:27" ht="13.2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</row>
    <row r="55" spans="1:27" ht="13.2" x14ac:dyDescent="0.2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</row>
    <row r="56" spans="1:27" ht="13.2" x14ac:dyDescent="0.25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</row>
    <row r="57" spans="1:27" ht="13.2" x14ac:dyDescent="0.25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</row>
    <row r="58" spans="1:27" ht="13.2" x14ac:dyDescent="0.25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</row>
    <row r="59" spans="1:27" ht="13.2" x14ac:dyDescent="0.25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</row>
    <row r="60" spans="1:27" ht="13.2" x14ac:dyDescent="0.25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</row>
    <row r="61" spans="1:27" ht="13.2" x14ac:dyDescent="0.25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</row>
    <row r="62" spans="1:27" ht="13.2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</row>
    <row r="63" spans="1:27" ht="13.2" x14ac:dyDescent="0.25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</row>
    <row r="64" spans="1:27" ht="13.2" x14ac:dyDescent="0.25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</row>
    <row r="65" spans="1:27" ht="13.2" x14ac:dyDescent="0.2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</row>
    <row r="66" spans="1:27" ht="13.2" x14ac:dyDescent="0.25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</row>
    <row r="67" spans="1:27" ht="13.2" x14ac:dyDescent="0.25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</row>
    <row r="68" spans="1:27" ht="13.2" x14ac:dyDescent="0.25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</row>
    <row r="69" spans="1:27" ht="13.2" x14ac:dyDescent="0.25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</row>
    <row r="70" spans="1:27" ht="13.2" x14ac:dyDescent="0.25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</row>
    <row r="71" spans="1:27" ht="13.2" x14ac:dyDescent="0.25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</row>
    <row r="72" spans="1:27" ht="13.2" x14ac:dyDescent="0.25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</row>
    <row r="73" spans="1:27" ht="13.2" x14ac:dyDescent="0.25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</row>
    <row r="74" spans="1:27" ht="13.2" x14ac:dyDescent="0.25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</row>
    <row r="75" spans="1:27" ht="13.2" x14ac:dyDescent="0.2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</row>
    <row r="76" spans="1:27" ht="13.2" x14ac:dyDescent="0.25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</row>
    <row r="77" spans="1:27" ht="13.2" x14ac:dyDescent="0.25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</row>
    <row r="78" spans="1:27" ht="13.2" x14ac:dyDescent="0.25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</row>
    <row r="79" spans="1:27" ht="13.2" x14ac:dyDescent="0.25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</row>
    <row r="80" spans="1:27" ht="13.2" x14ac:dyDescent="0.25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</row>
    <row r="81" spans="1:27" ht="13.2" x14ac:dyDescent="0.25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</row>
    <row r="82" spans="1:27" ht="13.2" x14ac:dyDescent="0.25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</row>
    <row r="83" spans="1:27" ht="13.2" x14ac:dyDescent="0.25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</row>
    <row r="84" spans="1:27" ht="13.2" x14ac:dyDescent="0.25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</row>
    <row r="85" spans="1:27" ht="13.2" x14ac:dyDescent="0.2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</row>
    <row r="86" spans="1:27" ht="13.2" x14ac:dyDescent="0.25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</row>
    <row r="87" spans="1:27" ht="13.2" x14ac:dyDescent="0.25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</row>
    <row r="88" spans="1:27" ht="13.2" x14ac:dyDescent="0.25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</row>
    <row r="89" spans="1:27" ht="13.2" x14ac:dyDescent="0.25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</row>
    <row r="90" spans="1:27" ht="13.2" x14ac:dyDescent="0.25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</row>
    <row r="91" spans="1:27" ht="13.2" x14ac:dyDescent="0.25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</row>
    <row r="92" spans="1:27" ht="13.2" x14ac:dyDescent="0.25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</row>
    <row r="93" spans="1:27" ht="13.2" x14ac:dyDescent="0.25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</row>
    <row r="94" spans="1:27" ht="13.2" x14ac:dyDescent="0.25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</row>
    <row r="95" spans="1:27" ht="13.2" x14ac:dyDescent="0.2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</row>
    <row r="96" spans="1:27" ht="13.2" x14ac:dyDescent="0.25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</row>
    <row r="97" spans="1:27" ht="13.2" x14ac:dyDescent="0.25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</row>
    <row r="98" spans="1:27" ht="13.2" x14ac:dyDescent="0.25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</row>
    <row r="99" spans="1:27" ht="13.2" x14ac:dyDescent="0.25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</row>
    <row r="100" spans="1:27" ht="13.2" x14ac:dyDescent="0.25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</row>
    <row r="101" spans="1:27" ht="13.2" x14ac:dyDescent="0.25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</row>
    <row r="102" spans="1:27" ht="13.2" x14ac:dyDescent="0.25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</row>
    <row r="103" spans="1:27" ht="13.2" x14ac:dyDescent="0.25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</row>
    <row r="104" spans="1:27" ht="13.2" x14ac:dyDescent="0.25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</row>
    <row r="105" spans="1:27" ht="13.2" x14ac:dyDescent="0.2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</row>
    <row r="106" spans="1:27" ht="13.2" x14ac:dyDescent="0.25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</row>
    <row r="107" spans="1:27" ht="13.2" x14ac:dyDescent="0.25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</row>
    <row r="108" spans="1:27" ht="13.2" x14ac:dyDescent="0.25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</row>
    <row r="109" spans="1:27" ht="13.2" x14ac:dyDescent="0.25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</row>
    <row r="110" spans="1:27" ht="13.2" x14ac:dyDescent="0.25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</row>
    <row r="111" spans="1:27" ht="13.2" x14ac:dyDescent="0.25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</row>
    <row r="112" spans="1:27" ht="13.2" x14ac:dyDescent="0.25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</row>
    <row r="113" spans="1:27" ht="13.2" x14ac:dyDescent="0.25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</row>
    <row r="114" spans="1:27" ht="13.2" x14ac:dyDescent="0.25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</row>
    <row r="115" spans="1:27" ht="13.2" x14ac:dyDescent="0.2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</row>
    <row r="116" spans="1:27" ht="13.2" x14ac:dyDescent="0.25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</row>
    <row r="117" spans="1:27" ht="13.2" x14ac:dyDescent="0.25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</row>
    <row r="118" spans="1:27" ht="13.2" x14ac:dyDescent="0.25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</row>
    <row r="119" spans="1:27" ht="13.2" x14ac:dyDescent="0.25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</row>
    <row r="120" spans="1:27" ht="13.2" x14ac:dyDescent="0.25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</row>
    <row r="121" spans="1:27" ht="13.2" x14ac:dyDescent="0.25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</row>
    <row r="122" spans="1:27" ht="13.2" x14ac:dyDescent="0.25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</row>
    <row r="123" spans="1:27" ht="13.2" x14ac:dyDescent="0.25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</row>
    <row r="124" spans="1:27" ht="13.2" x14ac:dyDescent="0.25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</row>
    <row r="125" spans="1:27" ht="13.2" x14ac:dyDescent="0.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</row>
    <row r="126" spans="1:27" ht="13.2" x14ac:dyDescent="0.25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</row>
    <row r="127" spans="1:27" ht="13.2" x14ac:dyDescent="0.25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</row>
    <row r="128" spans="1:27" ht="13.2" x14ac:dyDescent="0.25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</row>
    <row r="129" spans="1:27" ht="13.2" x14ac:dyDescent="0.25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</row>
    <row r="130" spans="1:27" ht="13.2" x14ac:dyDescent="0.25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</row>
    <row r="131" spans="1:27" ht="13.2" x14ac:dyDescent="0.25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</row>
    <row r="132" spans="1:27" ht="13.2" x14ac:dyDescent="0.25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</row>
    <row r="133" spans="1:27" ht="13.2" x14ac:dyDescent="0.25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</row>
    <row r="134" spans="1:27" ht="13.2" x14ac:dyDescent="0.25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</row>
    <row r="135" spans="1:27" ht="13.2" x14ac:dyDescent="0.2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</row>
    <row r="136" spans="1:27" ht="13.2" x14ac:dyDescent="0.25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</row>
    <row r="137" spans="1:27" ht="13.2" x14ac:dyDescent="0.25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</row>
    <row r="138" spans="1:27" ht="13.2" x14ac:dyDescent="0.25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</row>
    <row r="139" spans="1:27" ht="13.2" x14ac:dyDescent="0.25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</row>
    <row r="140" spans="1:27" ht="13.2" x14ac:dyDescent="0.25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</row>
    <row r="141" spans="1:27" ht="13.2" x14ac:dyDescent="0.25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</row>
    <row r="142" spans="1:27" ht="13.2" x14ac:dyDescent="0.25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</row>
    <row r="143" spans="1:27" ht="13.2" x14ac:dyDescent="0.25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</row>
    <row r="144" spans="1:27" ht="13.2" x14ac:dyDescent="0.25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</row>
    <row r="145" spans="1:27" ht="13.2" x14ac:dyDescent="0.2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</row>
    <row r="146" spans="1:27" ht="13.2" x14ac:dyDescent="0.25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</row>
    <row r="147" spans="1:27" ht="13.2" x14ac:dyDescent="0.25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</row>
    <row r="148" spans="1:27" ht="13.2" x14ac:dyDescent="0.25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</row>
    <row r="149" spans="1:27" ht="13.2" x14ac:dyDescent="0.25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</row>
    <row r="150" spans="1:27" ht="13.2" x14ac:dyDescent="0.25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</row>
    <row r="151" spans="1:27" ht="13.2" x14ac:dyDescent="0.25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</row>
    <row r="152" spans="1:27" ht="13.2" x14ac:dyDescent="0.25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</row>
    <row r="153" spans="1:27" ht="13.2" x14ac:dyDescent="0.25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</row>
    <row r="154" spans="1:27" ht="13.2" x14ac:dyDescent="0.25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</row>
    <row r="155" spans="1:27" ht="13.2" x14ac:dyDescent="0.2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</row>
    <row r="156" spans="1:27" ht="13.2" x14ac:dyDescent="0.25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</row>
    <row r="157" spans="1:27" ht="13.2" x14ac:dyDescent="0.25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</row>
    <row r="158" spans="1:27" ht="13.2" x14ac:dyDescent="0.25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</row>
    <row r="159" spans="1:27" ht="13.2" x14ac:dyDescent="0.25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</row>
    <row r="160" spans="1:27" ht="13.2" x14ac:dyDescent="0.25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</row>
    <row r="161" spans="1:27" ht="13.2" x14ac:dyDescent="0.25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</row>
    <row r="162" spans="1:27" ht="13.2" x14ac:dyDescent="0.25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</row>
    <row r="163" spans="1:27" ht="13.2" x14ac:dyDescent="0.25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</row>
    <row r="164" spans="1:27" ht="13.2" x14ac:dyDescent="0.25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</row>
    <row r="165" spans="1:27" ht="13.2" x14ac:dyDescent="0.2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</row>
    <row r="166" spans="1:27" ht="13.2" x14ac:dyDescent="0.25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</row>
    <row r="167" spans="1:27" ht="13.2" x14ac:dyDescent="0.25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</row>
    <row r="168" spans="1:27" ht="13.2" x14ac:dyDescent="0.25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</row>
    <row r="169" spans="1:27" ht="13.2" x14ac:dyDescent="0.25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</row>
    <row r="170" spans="1:27" ht="13.2" x14ac:dyDescent="0.25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</row>
    <row r="171" spans="1:27" ht="13.2" x14ac:dyDescent="0.25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</row>
    <row r="172" spans="1:27" ht="13.2" x14ac:dyDescent="0.25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</row>
    <row r="173" spans="1:27" ht="13.2" x14ac:dyDescent="0.25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</row>
    <row r="174" spans="1:27" ht="13.2" x14ac:dyDescent="0.25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</row>
    <row r="175" spans="1:27" ht="13.2" x14ac:dyDescent="0.2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</row>
    <row r="176" spans="1:27" ht="13.2" x14ac:dyDescent="0.25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</row>
    <row r="177" spans="1:27" ht="13.2" x14ac:dyDescent="0.25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</row>
    <row r="178" spans="1:27" ht="13.2" x14ac:dyDescent="0.25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</row>
    <row r="179" spans="1:27" ht="13.2" x14ac:dyDescent="0.25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</row>
    <row r="180" spans="1:27" ht="13.2" x14ac:dyDescent="0.25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</row>
    <row r="181" spans="1:27" ht="13.2" x14ac:dyDescent="0.25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</row>
    <row r="182" spans="1:27" ht="13.2" x14ac:dyDescent="0.25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</row>
    <row r="183" spans="1:27" ht="13.2" x14ac:dyDescent="0.25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</row>
    <row r="184" spans="1:27" ht="13.2" x14ac:dyDescent="0.25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</row>
    <row r="185" spans="1:27" ht="13.2" x14ac:dyDescent="0.2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</row>
    <row r="186" spans="1:27" ht="13.2" x14ac:dyDescent="0.25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</row>
    <row r="187" spans="1:27" ht="13.2" x14ac:dyDescent="0.25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</row>
    <row r="188" spans="1:27" ht="13.2" x14ac:dyDescent="0.25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</row>
    <row r="189" spans="1:27" ht="13.2" x14ac:dyDescent="0.25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</row>
    <row r="190" spans="1:27" ht="13.2" x14ac:dyDescent="0.25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</row>
    <row r="191" spans="1:27" ht="13.2" x14ac:dyDescent="0.25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</row>
    <row r="192" spans="1:27" ht="13.2" x14ac:dyDescent="0.25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</row>
    <row r="193" spans="1:27" ht="13.2" x14ac:dyDescent="0.25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</row>
    <row r="194" spans="1:27" ht="13.2" x14ac:dyDescent="0.25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</row>
    <row r="195" spans="1:27" ht="13.2" x14ac:dyDescent="0.2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</row>
    <row r="196" spans="1:27" ht="13.2" x14ac:dyDescent="0.25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</row>
    <row r="197" spans="1:27" ht="13.2" x14ac:dyDescent="0.25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</row>
    <row r="198" spans="1:27" ht="13.2" x14ac:dyDescent="0.25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</row>
    <row r="199" spans="1:27" ht="13.2" x14ac:dyDescent="0.25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</row>
    <row r="200" spans="1:27" ht="13.2" x14ac:dyDescent="0.25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</row>
    <row r="201" spans="1:27" ht="13.2" x14ac:dyDescent="0.25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</row>
    <row r="202" spans="1:27" ht="13.2" x14ac:dyDescent="0.25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</row>
    <row r="203" spans="1:27" ht="13.2" x14ac:dyDescent="0.25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</row>
    <row r="204" spans="1:27" ht="13.2" x14ac:dyDescent="0.25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</row>
    <row r="205" spans="1:27" ht="13.2" x14ac:dyDescent="0.2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</row>
    <row r="206" spans="1:27" ht="13.2" x14ac:dyDescent="0.25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</row>
    <row r="207" spans="1:27" ht="13.2" x14ac:dyDescent="0.25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</row>
    <row r="208" spans="1:27" ht="13.2" x14ac:dyDescent="0.25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</row>
    <row r="209" spans="1:27" ht="13.2" x14ac:dyDescent="0.25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</row>
    <row r="210" spans="1:27" ht="13.2" x14ac:dyDescent="0.25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</row>
    <row r="211" spans="1:27" ht="13.2" x14ac:dyDescent="0.25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</row>
    <row r="212" spans="1:27" ht="13.2" x14ac:dyDescent="0.25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</row>
    <row r="213" spans="1:27" ht="13.2" x14ac:dyDescent="0.25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</row>
    <row r="214" spans="1:27" ht="13.2" x14ac:dyDescent="0.25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</row>
    <row r="215" spans="1:27" ht="13.2" x14ac:dyDescent="0.2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</row>
    <row r="216" spans="1:27" ht="13.2" x14ac:dyDescent="0.25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</row>
    <row r="217" spans="1:27" ht="13.2" x14ac:dyDescent="0.25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</row>
    <row r="218" spans="1:27" ht="13.2" x14ac:dyDescent="0.25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</row>
    <row r="219" spans="1:27" ht="13.2" x14ac:dyDescent="0.25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</row>
    <row r="220" spans="1:27" ht="13.2" x14ac:dyDescent="0.25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</row>
    <row r="221" spans="1:27" ht="13.2" x14ac:dyDescent="0.25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</row>
    <row r="222" spans="1:27" ht="13.2" x14ac:dyDescent="0.25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</row>
    <row r="223" spans="1:27" ht="13.2" x14ac:dyDescent="0.25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</row>
    <row r="224" spans="1:27" ht="13.2" x14ac:dyDescent="0.25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</row>
    <row r="225" spans="1:27" ht="13.2" x14ac:dyDescent="0.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</row>
    <row r="226" spans="1:27" ht="13.2" x14ac:dyDescent="0.25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</row>
    <row r="227" spans="1:27" ht="13.2" x14ac:dyDescent="0.25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</row>
    <row r="228" spans="1:27" ht="13.2" x14ac:dyDescent="0.25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</row>
    <row r="229" spans="1:27" ht="13.2" x14ac:dyDescent="0.25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</row>
    <row r="230" spans="1:27" ht="13.2" x14ac:dyDescent="0.25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</row>
    <row r="231" spans="1:27" ht="13.2" x14ac:dyDescent="0.25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</row>
    <row r="232" spans="1:27" ht="13.2" x14ac:dyDescent="0.25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</row>
    <row r="233" spans="1:27" ht="13.2" x14ac:dyDescent="0.25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</row>
    <row r="234" spans="1:27" ht="13.2" x14ac:dyDescent="0.25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</row>
    <row r="235" spans="1:27" ht="13.2" x14ac:dyDescent="0.2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</row>
    <row r="236" spans="1:27" ht="13.2" x14ac:dyDescent="0.25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</row>
    <row r="237" spans="1:27" ht="13.2" x14ac:dyDescent="0.25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</row>
    <row r="238" spans="1:27" ht="13.2" x14ac:dyDescent="0.25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</row>
    <row r="239" spans="1:27" ht="13.2" x14ac:dyDescent="0.25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</row>
    <row r="240" spans="1:27" ht="13.2" x14ac:dyDescent="0.25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</row>
    <row r="241" spans="1:27" ht="13.2" x14ac:dyDescent="0.25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</row>
    <row r="242" spans="1:27" ht="13.2" x14ac:dyDescent="0.25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</row>
    <row r="243" spans="1:27" ht="13.2" x14ac:dyDescent="0.25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</row>
    <row r="244" spans="1:27" ht="13.2" x14ac:dyDescent="0.25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</row>
    <row r="245" spans="1:27" ht="13.2" x14ac:dyDescent="0.2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</row>
    <row r="246" spans="1:27" ht="13.2" x14ac:dyDescent="0.25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</row>
    <row r="247" spans="1:27" ht="13.2" x14ac:dyDescent="0.25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</row>
    <row r="248" spans="1:27" ht="13.2" x14ac:dyDescent="0.25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</row>
    <row r="249" spans="1:27" ht="13.2" x14ac:dyDescent="0.25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</row>
    <row r="250" spans="1:27" ht="13.2" x14ac:dyDescent="0.25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</row>
    <row r="251" spans="1:27" ht="13.2" x14ac:dyDescent="0.25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</row>
    <row r="252" spans="1:27" ht="13.2" x14ac:dyDescent="0.25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</row>
    <row r="253" spans="1:27" ht="13.2" x14ac:dyDescent="0.25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</row>
    <row r="254" spans="1:27" ht="13.2" x14ac:dyDescent="0.25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</row>
    <row r="255" spans="1:27" ht="13.2" x14ac:dyDescent="0.2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</row>
    <row r="256" spans="1:27" ht="13.2" x14ac:dyDescent="0.25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</row>
    <row r="257" spans="1:27" ht="13.2" x14ac:dyDescent="0.25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</row>
    <row r="258" spans="1:27" ht="13.2" x14ac:dyDescent="0.25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</row>
    <row r="259" spans="1:27" ht="13.2" x14ac:dyDescent="0.25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</row>
    <row r="260" spans="1:27" ht="13.2" x14ac:dyDescent="0.25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</row>
    <row r="261" spans="1:27" ht="13.2" x14ac:dyDescent="0.25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</row>
    <row r="262" spans="1:27" ht="13.2" x14ac:dyDescent="0.25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</row>
    <row r="263" spans="1:27" ht="13.2" x14ac:dyDescent="0.25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</row>
    <row r="264" spans="1:27" ht="13.2" x14ac:dyDescent="0.25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</row>
    <row r="265" spans="1:27" ht="13.2" x14ac:dyDescent="0.2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</row>
    <row r="266" spans="1:27" ht="13.2" x14ac:dyDescent="0.25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</row>
    <row r="267" spans="1:27" ht="13.2" x14ac:dyDescent="0.25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</row>
    <row r="268" spans="1:27" ht="13.2" x14ac:dyDescent="0.25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</row>
    <row r="269" spans="1:27" ht="13.2" x14ac:dyDescent="0.25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</row>
    <row r="270" spans="1:27" ht="13.2" x14ac:dyDescent="0.25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</row>
    <row r="271" spans="1:27" ht="13.2" x14ac:dyDescent="0.25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</row>
    <row r="272" spans="1:27" ht="13.2" x14ac:dyDescent="0.25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</row>
    <row r="273" spans="1:27" ht="13.2" x14ac:dyDescent="0.25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</row>
    <row r="274" spans="1:27" ht="13.2" x14ac:dyDescent="0.25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</row>
    <row r="275" spans="1:27" ht="13.2" x14ac:dyDescent="0.2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</row>
    <row r="276" spans="1:27" ht="13.2" x14ac:dyDescent="0.25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</row>
    <row r="277" spans="1:27" ht="13.2" x14ac:dyDescent="0.25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</row>
    <row r="278" spans="1:27" ht="13.2" x14ac:dyDescent="0.25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</row>
    <row r="279" spans="1:27" ht="13.2" x14ac:dyDescent="0.25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</row>
    <row r="280" spans="1:27" ht="13.2" x14ac:dyDescent="0.25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</row>
    <row r="281" spans="1:27" ht="13.2" x14ac:dyDescent="0.25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</row>
    <row r="282" spans="1:27" ht="13.2" x14ac:dyDescent="0.25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</row>
    <row r="283" spans="1:27" ht="13.2" x14ac:dyDescent="0.25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</row>
    <row r="284" spans="1:27" ht="13.2" x14ac:dyDescent="0.25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</row>
    <row r="285" spans="1:27" ht="13.2" x14ac:dyDescent="0.2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</row>
    <row r="286" spans="1:27" ht="13.2" x14ac:dyDescent="0.25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</row>
    <row r="287" spans="1:27" ht="13.2" x14ac:dyDescent="0.25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</row>
    <row r="288" spans="1:27" ht="13.2" x14ac:dyDescent="0.25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</row>
    <row r="289" spans="1:27" ht="13.2" x14ac:dyDescent="0.25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</row>
    <row r="290" spans="1:27" ht="13.2" x14ac:dyDescent="0.25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</row>
    <row r="291" spans="1:27" ht="13.2" x14ac:dyDescent="0.25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</row>
    <row r="292" spans="1:27" ht="13.2" x14ac:dyDescent="0.25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</row>
    <row r="293" spans="1:27" ht="13.2" x14ac:dyDescent="0.25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</row>
    <row r="294" spans="1:27" ht="13.2" x14ac:dyDescent="0.25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</row>
    <row r="295" spans="1:27" ht="13.2" x14ac:dyDescent="0.2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</row>
    <row r="296" spans="1:27" ht="13.2" x14ac:dyDescent="0.25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</row>
    <row r="297" spans="1:27" ht="13.2" x14ac:dyDescent="0.25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</row>
    <row r="298" spans="1:27" ht="13.2" x14ac:dyDescent="0.25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</row>
    <row r="299" spans="1:27" ht="13.2" x14ac:dyDescent="0.25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</row>
    <row r="300" spans="1:27" ht="13.2" x14ac:dyDescent="0.25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</row>
    <row r="301" spans="1:27" ht="13.2" x14ac:dyDescent="0.25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</row>
    <row r="302" spans="1:27" ht="13.2" x14ac:dyDescent="0.25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</row>
    <row r="303" spans="1:27" ht="13.2" x14ac:dyDescent="0.25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</row>
    <row r="304" spans="1:27" ht="13.2" x14ac:dyDescent="0.25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</row>
    <row r="305" spans="1:27" ht="13.2" x14ac:dyDescent="0.2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</row>
    <row r="306" spans="1:27" ht="13.2" x14ac:dyDescent="0.25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</row>
    <row r="307" spans="1:27" ht="13.2" x14ac:dyDescent="0.25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</row>
    <row r="308" spans="1:27" ht="13.2" x14ac:dyDescent="0.25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</row>
    <row r="309" spans="1:27" ht="13.2" x14ac:dyDescent="0.25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</row>
    <row r="310" spans="1:27" ht="13.2" x14ac:dyDescent="0.25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</row>
    <row r="311" spans="1:27" ht="13.2" x14ac:dyDescent="0.25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</row>
    <row r="312" spans="1:27" ht="13.2" x14ac:dyDescent="0.25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</row>
    <row r="313" spans="1:27" ht="13.2" x14ac:dyDescent="0.25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</row>
    <row r="314" spans="1:27" ht="13.2" x14ac:dyDescent="0.25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</row>
    <row r="315" spans="1:27" ht="13.2" x14ac:dyDescent="0.2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</row>
    <row r="316" spans="1:27" ht="13.2" x14ac:dyDescent="0.25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</row>
    <row r="317" spans="1:27" ht="13.2" x14ac:dyDescent="0.25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</row>
    <row r="318" spans="1:27" ht="13.2" x14ac:dyDescent="0.25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</row>
    <row r="319" spans="1:27" ht="13.2" x14ac:dyDescent="0.25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</row>
    <row r="320" spans="1:27" ht="13.2" x14ac:dyDescent="0.25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</row>
    <row r="321" spans="1:27" ht="13.2" x14ac:dyDescent="0.25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</row>
    <row r="322" spans="1:27" ht="13.2" x14ac:dyDescent="0.25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</row>
    <row r="323" spans="1:27" ht="13.2" x14ac:dyDescent="0.25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</row>
    <row r="324" spans="1:27" ht="13.2" x14ac:dyDescent="0.25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</row>
    <row r="325" spans="1:27" ht="13.2" x14ac:dyDescent="0.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</row>
    <row r="326" spans="1:27" ht="13.2" x14ac:dyDescent="0.25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</row>
    <row r="327" spans="1:27" ht="13.2" x14ac:dyDescent="0.25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</row>
    <row r="328" spans="1:27" ht="13.2" x14ac:dyDescent="0.25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</row>
    <row r="329" spans="1:27" ht="13.2" x14ac:dyDescent="0.25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</row>
    <row r="330" spans="1:27" ht="13.2" x14ac:dyDescent="0.25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</row>
    <row r="331" spans="1:27" ht="13.2" x14ac:dyDescent="0.25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</row>
    <row r="332" spans="1:27" ht="13.2" x14ac:dyDescent="0.25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</row>
    <row r="333" spans="1:27" ht="13.2" x14ac:dyDescent="0.25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</row>
    <row r="334" spans="1:27" ht="13.2" x14ac:dyDescent="0.25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</row>
    <row r="335" spans="1:27" ht="13.2" x14ac:dyDescent="0.2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</row>
    <row r="336" spans="1:27" ht="13.2" x14ac:dyDescent="0.25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</row>
    <row r="337" spans="1:27" ht="13.2" x14ac:dyDescent="0.25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</row>
    <row r="338" spans="1:27" ht="13.2" x14ac:dyDescent="0.25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</row>
    <row r="339" spans="1:27" ht="13.2" x14ac:dyDescent="0.25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</row>
    <row r="340" spans="1:27" ht="13.2" x14ac:dyDescent="0.25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</row>
    <row r="341" spans="1:27" ht="13.2" x14ac:dyDescent="0.25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</row>
    <row r="342" spans="1:27" ht="13.2" x14ac:dyDescent="0.25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</row>
    <row r="343" spans="1:27" ht="13.2" x14ac:dyDescent="0.25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</row>
    <row r="344" spans="1:27" ht="13.2" x14ac:dyDescent="0.25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</row>
    <row r="345" spans="1:27" ht="13.2" x14ac:dyDescent="0.2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</row>
    <row r="346" spans="1:27" ht="13.2" x14ac:dyDescent="0.25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</row>
    <row r="347" spans="1:27" ht="13.2" x14ac:dyDescent="0.25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</row>
    <row r="348" spans="1:27" ht="13.2" x14ac:dyDescent="0.25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</row>
    <row r="349" spans="1:27" ht="13.2" x14ac:dyDescent="0.25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</row>
    <row r="350" spans="1:27" ht="13.2" x14ac:dyDescent="0.25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</row>
    <row r="351" spans="1:27" ht="13.2" x14ac:dyDescent="0.25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</row>
    <row r="352" spans="1:27" ht="13.2" x14ac:dyDescent="0.25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</row>
    <row r="353" spans="1:27" ht="13.2" x14ac:dyDescent="0.25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</row>
    <row r="354" spans="1:27" ht="13.2" x14ac:dyDescent="0.25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</row>
    <row r="355" spans="1:27" ht="13.2" x14ac:dyDescent="0.2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</row>
    <row r="356" spans="1:27" ht="13.2" x14ac:dyDescent="0.25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</row>
    <row r="357" spans="1:27" ht="13.2" x14ac:dyDescent="0.25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</row>
    <row r="358" spans="1:27" ht="13.2" x14ac:dyDescent="0.25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</row>
    <row r="359" spans="1:27" ht="13.2" x14ac:dyDescent="0.25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</row>
    <row r="360" spans="1:27" ht="13.2" x14ac:dyDescent="0.25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</row>
    <row r="361" spans="1:27" ht="13.2" x14ac:dyDescent="0.25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</row>
    <row r="362" spans="1:27" ht="13.2" x14ac:dyDescent="0.25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</row>
    <row r="363" spans="1:27" ht="13.2" x14ac:dyDescent="0.25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</row>
    <row r="364" spans="1:27" ht="13.2" x14ac:dyDescent="0.25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</row>
    <row r="365" spans="1:27" ht="13.2" x14ac:dyDescent="0.2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</row>
    <row r="366" spans="1:27" ht="13.2" x14ac:dyDescent="0.25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</row>
    <row r="367" spans="1:27" ht="13.2" x14ac:dyDescent="0.25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</row>
    <row r="368" spans="1:27" ht="13.2" x14ac:dyDescent="0.25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</row>
    <row r="369" spans="1:27" ht="13.2" x14ac:dyDescent="0.25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</row>
    <row r="370" spans="1:27" ht="13.2" x14ac:dyDescent="0.25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</row>
    <row r="371" spans="1:27" ht="13.2" x14ac:dyDescent="0.25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</row>
    <row r="372" spans="1:27" ht="13.2" x14ac:dyDescent="0.25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</row>
    <row r="373" spans="1:27" ht="13.2" x14ac:dyDescent="0.25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</row>
    <row r="374" spans="1:27" ht="13.2" x14ac:dyDescent="0.25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</row>
    <row r="375" spans="1:27" ht="13.2" x14ac:dyDescent="0.2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</row>
    <row r="376" spans="1:27" ht="13.2" x14ac:dyDescent="0.25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</row>
    <row r="377" spans="1:27" ht="13.2" x14ac:dyDescent="0.25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</row>
    <row r="378" spans="1:27" ht="13.2" x14ac:dyDescent="0.25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</row>
    <row r="379" spans="1:27" ht="13.2" x14ac:dyDescent="0.25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</row>
    <row r="380" spans="1:27" ht="13.2" x14ac:dyDescent="0.25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</row>
    <row r="381" spans="1:27" ht="13.2" x14ac:dyDescent="0.25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</row>
    <row r="382" spans="1:27" ht="13.2" x14ac:dyDescent="0.25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</row>
    <row r="383" spans="1:27" ht="13.2" x14ac:dyDescent="0.25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</row>
    <row r="384" spans="1:27" ht="13.2" x14ac:dyDescent="0.25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</row>
    <row r="385" spans="1:27" ht="13.2" x14ac:dyDescent="0.2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</row>
    <row r="386" spans="1:27" ht="13.2" x14ac:dyDescent="0.25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</row>
    <row r="387" spans="1:27" ht="13.2" x14ac:dyDescent="0.25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</row>
    <row r="388" spans="1:27" ht="13.2" x14ac:dyDescent="0.25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</row>
    <row r="389" spans="1:27" ht="13.2" x14ac:dyDescent="0.25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</row>
    <row r="390" spans="1:27" ht="13.2" x14ac:dyDescent="0.25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</row>
    <row r="391" spans="1:27" ht="13.2" x14ac:dyDescent="0.25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</row>
    <row r="392" spans="1:27" ht="13.2" x14ac:dyDescent="0.25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</row>
    <row r="393" spans="1:27" ht="13.2" x14ac:dyDescent="0.25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</row>
    <row r="394" spans="1:27" ht="13.2" x14ac:dyDescent="0.25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</row>
    <row r="395" spans="1:27" ht="13.2" x14ac:dyDescent="0.2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</row>
    <row r="396" spans="1:27" ht="13.2" x14ac:dyDescent="0.25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</row>
    <row r="397" spans="1:27" ht="13.2" x14ac:dyDescent="0.25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</row>
    <row r="398" spans="1:27" ht="13.2" x14ac:dyDescent="0.25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</row>
    <row r="399" spans="1:27" ht="13.2" x14ac:dyDescent="0.25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</row>
    <row r="400" spans="1:27" ht="13.2" x14ac:dyDescent="0.25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</row>
    <row r="401" spans="1:27" ht="13.2" x14ac:dyDescent="0.25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</row>
    <row r="402" spans="1:27" ht="13.2" x14ac:dyDescent="0.25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</row>
    <row r="403" spans="1:27" ht="13.2" x14ac:dyDescent="0.25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</row>
    <row r="404" spans="1:27" ht="13.2" x14ac:dyDescent="0.25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</row>
    <row r="405" spans="1:27" ht="13.2" x14ac:dyDescent="0.2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</row>
    <row r="406" spans="1:27" ht="13.2" x14ac:dyDescent="0.25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</row>
    <row r="407" spans="1:27" ht="13.2" x14ac:dyDescent="0.25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</row>
    <row r="408" spans="1:27" ht="13.2" x14ac:dyDescent="0.25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</row>
    <row r="409" spans="1:27" ht="13.2" x14ac:dyDescent="0.25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</row>
    <row r="410" spans="1:27" ht="13.2" x14ac:dyDescent="0.25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</row>
    <row r="411" spans="1:27" ht="13.2" x14ac:dyDescent="0.25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</row>
    <row r="412" spans="1:27" ht="13.2" x14ac:dyDescent="0.25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</row>
    <row r="413" spans="1:27" ht="13.2" x14ac:dyDescent="0.25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</row>
    <row r="414" spans="1:27" ht="13.2" x14ac:dyDescent="0.25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</row>
    <row r="415" spans="1:27" ht="13.2" x14ac:dyDescent="0.2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</row>
    <row r="416" spans="1:27" ht="13.2" x14ac:dyDescent="0.25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</row>
    <row r="417" spans="1:27" ht="13.2" x14ac:dyDescent="0.25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</row>
    <row r="418" spans="1:27" ht="13.2" x14ac:dyDescent="0.25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</row>
    <row r="419" spans="1:27" ht="13.2" x14ac:dyDescent="0.25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</row>
    <row r="420" spans="1:27" ht="13.2" x14ac:dyDescent="0.25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</row>
    <row r="421" spans="1:27" ht="13.2" x14ac:dyDescent="0.25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</row>
    <row r="422" spans="1:27" ht="13.2" x14ac:dyDescent="0.25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</row>
    <row r="423" spans="1:27" ht="13.2" x14ac:dyDescent="0.25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</row>
    <row r="424" spans="1:27" ht="13.2" x14ac:dyDescent="0.25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</row>
    <row r="425" spans="1:27" ht="13.2" x14ac:dyDescent="0.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</row>
    <row r="426" spans="1:27" ht="13.2" x14ac:dyDescent="0.25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</row>
    <row r="427" spans="1:27" ht="13.2" x14ac:dyDescent="0.25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</row>
    <row r="428" spans="1:27" ht="13.2" x14ac:dyDescent="0.25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</row>
    <row r="429" spans="1:27" ht="13.2" x14ac:dyDescent="0.25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</row>
    <row r="430" spans="1:27" ht="13.2" x14ac:dyDescent="0.25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</row>
    <row r="431" spans="1:27" ht="13.2" x14ac:dyDescent="0.25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</row>
    <row r="432" spans="1:27" ht="13.2" x14ac:dyDescent="0.25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</row>
    <row r="433" spans="1:27" ht="13.2" x14ac:dyDescent="0.25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</row>
    <row r="434" spans="1:27" ht="13.2" x14ac:dyDescent="0.25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</row>
    <row r="435" spans="1:27" ht="13.2" x14ac:dyDescent="0.2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</row>
    <row r="436" spans="1:27" ht="13.2" x14ac:dyDescent="0.25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</row>
    <row r="437" spans="1:27" ht="13.2" x14ac:dyDescent="0.25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</row>
    <row r="438" spans="1:27" ht="13.2" x14ac:dyDescent="0.25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</row>
    <row r="439" spans="1:27" ht="13.2" x14ac:dyDescent="0.25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</row>
    <row r="440" spans="1:27" ht="13.2" x14ac:dyDescent="0.25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</row>
    <row r="441" spans="1:27" ht="13.2" x14ac:dyDescent="0.25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</row>
    <row r="442" spans="1:27" ht="13.2" x14ac:dyDescent="0.25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</row>
    <row r="443" spans="1:27" ht="13.2" x14ac:dyDescent="0.25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</row>
    <row r="444" spans="1:27" ht="13.2" x14ac:dyDescent="0.25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</row>
    <row r="445" spans="1:27" ht="13.2" x14ac:dyDescent="0.2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</row>
    <row r="446" spans="1:27" ht="13.2" x14ac:dyDescent="0.25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</row>
    <row r="447" spans="1:27" ht="13.2" x14ac:dyDescent="0.25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</row>
    <row r="448" spans="1:27" ht="13.2" x14ac:dyDescent="0.25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</row>
    <row r="449" spans="1:27" ht="13.2" x14ac:dyDescent="0.25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</row>
    <row r="450" spans="1:27" ht="13.2" x14ac:dyDescent="0.25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</row>
    <row r="451" spans="1:27" ht="13.2" x14ac:dyDescent="0.25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</row>
    <row r="452" spans="1:27" ht="13.2" x14ac:dyDescent="0.25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</row>
    <row r="453" spans="1:27" ht="13.2" x14ac:dyDescent="0.25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</row>
    <row r="454" spans="1:27" ht="13.2" x14ac:dyDescent="0.25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</row>
    <row r="455" spans="1:27" ht="13.2" x14ac:dyDescent="0.2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</row>
    <row r="456" spans="1:27" ht="13.2" x14ac:dyDescent="0.25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</row>
    <row r="457" spans="1:27" ht="13.2" x14ac:dyDescent="0.25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</row>
    <row r="458" spans="1:27" ht="13.2" x14ac:dyDescent="0.25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</row>
    <row r="459" spans="1:27" ht="13.2" x14ac:dyDescent="0.25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</row>
    <row r="460" spans="1:27" ht="13.2" x14ac:dyDescent="0.25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</row>
    <row r="461" spans="1:27" ht="13.2" x14ac:dyDescent="0.25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</row>
    <row r="462" spans="1:27" ht="13.2" x14ac:dyDescent="0.25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</row>
    <row r="463" spans="1:27" ht="13.2" x14ac:dyDescent="0.25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</row>
    <row r="464" spans="1:27" ht="13.2" x14ac:dyDescent="0.25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</row>
    <row r="465" spans="1:27" ht="13.2" x14ac:dyDescent="0.2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</row>
    <row r="466" spans="1:27" ht="13.2" x14ac:dyDescent="0.25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</row>
    <row r="467" spans="1:27" ht="13.2" x14ac:dyDescent="0.25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</row>
    <row r="468" spans="1:27" ht="13.2" x14ac:dyDescent="0.25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</row>
    <row r="469" spans="1:27" ht="13.2" x14ac:dyDescent="0.25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</row>
    <row r="470" spans="1:27" ht="13.2" x14ac:dyDescent="0.25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</row>
    <row r="471" spans="1:27" ht="13.2" x14ac:dyDescent="0.25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</row>
    <row r="472" spans="1:27" ht="13.2" x14ac:dyDescent="0.25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</row>
    <row r="473" spans="1:27" ht="13.2" x14ac:dyDescent="0.25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</row>
    <row r="474" spans="1:27" ht="13.2" x14ac:dyDescent="0.25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</row>
    <row r="475" spans="1:27" ht="13.2" x14ac:dyDescent="0.2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</row>
    <row r="476" spans="1:27" ht="13.2" x14ac:dyDescent="0.25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</row>
    <row r="477" spans="1:27" ht="13.2" x14ac:dyDescent="0.25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</row>
    <row r="478" spans="1:27" ht="13.2" x14ac:dyDescent="0.25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</row>
    <row r="479" spans="1:27" ht="13.2" x14ac:dyDescent="0.25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</row>
    <row r="480" spans="1:27" ht="13.2" x14ac:dyDescent="0.25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</row>
    <row r="481" spans="1:27" ht="13.2" x14ac:dyDescent="0.25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</row>
    <row r="482" spans="1:27" ht="13.2" x14ac:dyDescent="0.25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</row>
    <row r="483" spans="1:27" ht="13.2" x14ac:dyDescent="0.25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</row>
    <row r="484" spans="1:27" ht="13.2" x14ac:dyDescent="0.25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</row>
    <row r="485" spans="1:27" ht="13.2" x14ac:dyDescent="0.2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</row>
    <row r="486" spans="1:27" ht="13.2" x14ac:dyDescent="0.25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</row>
    <row r="487" spans="1:27" ht="13.2" x14ac:dyDescent="0.25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</row>
    <row r="488" spans="1:27" ht="13.2" x14ac:dyDescent="0.25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</row>
    <row r="489" spans="1:27" ht="13.2" x14ac:dyDescent="0.25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</row>
    <row r="490" spans="1:27" ht="13.2" x14ac:dyDescent="0.25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</row>
    <row r="491" spans="1:27" ht="13.2" x14ac:dyDescent="0.25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</row>
    <row r="492" spans="1:27" ht="13.2" x14ac:dyDescent="0.25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</row>
    <row r="493" spans="1:27" ht="13.2" x14ac:dyDescent="0.25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</row>
    <row r="494" spans="1:27" ht="13.2" x14ac:dyDescent="0.25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</row>
    <row r="495" spans="1:27" ht="13.2" x14ac:dyDescent="0.2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</row>
    <row r="496" spans="1:27" ht="13.2" x14ac:dyDescent="0.25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</row>
    <row r="497" spans="1:27" ht="13.2" x14ac:dyDescent="0.25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</row>
    <row r="498" spans="1:27" ht="13.2" x14ac:dyDescent="0.25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</row>
    <row r="499" spans="1:27" ht="13.2" x14ac:dyDescent="0.25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</row>
    <row r="500" spans="1:27" ht="13.2" x14ac:dyDescent="0.25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</row>
    <row r="501" spans="1:27" ht="13.2" x14ac:dyDescent="0.25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</row>
    <row r="502" spans="1:27" ht="13.2" x14ac:dyDescent="0.25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</row>
    <row r="503" spans="1:27" ht="13.2" x14ac:dyDescent="0.25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</row>
    <row r="504" spans="1:27" ht="13.2" x14ac:dyDescent="0.25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</row>
    <row r="505" spans="1:27" ht="13.2" x14ac:dyDescent="0.2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</row>
    <row r="506" spans="1:27" ht="13.2" x14ac:dyDescent="0.25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</row>
    <row r="507" spans="1:27" ht="13.2" x14ac:dyDescent="0.25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</row>
    <row r="508" spans="1:27" ht="13.2" x14ac:dyDescent="0.25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</row>
    <row r="509" spans="1:27" ht="13.2" x14ac:dyDescent="0.25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</row>
    <row r="510" spans="1:27" ht="13.2" x14ac:dyDescent="0.25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</row>
    <row r="511" spans="1:27" ht="13.2" x14ac:dyDescent="0.25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</row>
    <row r="512" spans="1:27" ht="13.2" x14ac:dyDescent="0.25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</row>
    <row r="513" spans="1:27" ht="13.2" x14ac:dyDescent="0.25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</row>
    <row r="514" spans="1:27" ht="13.2" x14ac:dyDescent="0.25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</row>
    <row r="515" spans="1:27" ht="13.2" x14ac:dyDescent="0.2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</row>
    <row r="516" spans="1:27" ht="13.2" x14ac:dyDescent="0.25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</row>
    <row r="517" spans="1:27" ht="13.2" x14ac:dyDescent="0.25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</row>
    <row r="518" spans="1:27" ht="13.2" x14ac:dyDescent="0.25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</row>
    <row r="519" spans="1:27" ht="13.2" x14ac:dyDescent="0.25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</row>
    <row r="520" spans="1:27" ht="13.2" x14ac:dyDescent="0.25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</row>
    <row r="521" spans="1:27" ht="13.2" x14ac:dyDescent="0.25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</row>
    <row r="522" spans="1:27" ht="13.2" x14ac:dyDescent="0.25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</row>
    <row r="523" spans="1:27" ht="13.2" x14ac:dyDescent="0.25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</row>
    <row r="524" spans="1:27" ht="13.2" x14ac:dyDescent="0.25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</row>
    <row r="525" spans="1:27" ht="13.2" x14ac:dyDescent="0.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</row>
    <row r="526" spans="1:27" ht="13.2" x14ac:dyDescent="0.25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</row>
    <row r="527" spans="1:27" ht="13.2" x14ac:dyDescent="0.25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</row>
    <row r="528" spans="1:27" ht="13.2" x14ac:dyDescent="0.25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</row>
    <row r="529" spans="1:27" ht="13.2" x14ac:dyDescent="0.25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</row>
    <row r="530" spans="1:27" ht="13.2" x14ac:dyDescent="0.25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</row>
    <row r="531" spans="1:27" ht="13.2" x14ac:dyDescent="0.25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</row>
    <row r="532" spans="1:27" ht="13.2" x14ac:dyDescent="0.25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</row>
    <row r="533" spans="1:27" ht="13.2" x14ac:dyDescent="0.25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</row>
    <row r="534" spans="1:27" ht="13.2" x14ac:dyDescent="0.25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</row>
    <row r="535" spans="1:27" ht="13.2" x14ac:dyDescent="0.2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</row>
    <row r="536" spans="1:27" ht="13.2" x14ac:dyDescent="0.25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</row>
    <row r="537" spans="1:27" ht="13.2" x14ac:dyDescent="0.25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</row>
    <row r="538" spans="1:27" ht="13.2" x14ac:dyDescent="0.25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</row>
    <row r="539" spans="1:27" ht="13.2" x14ac:dyDescent="0.25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</row>
    <row r="540" spans="1:27" ht="13.2" x14ac:dyDescent="0.25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</row>
    <row r="541" spans="1:27" ht="13.2" x14ac:dyDescent="0.25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</row>
    <row r="542" spans="1:27" ht="13.2" x14ac:dyDescent="0.25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</row>
    <row r="543" spans="1:27" ht="13.2" x14ac:dyDescent="0.25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</row>
    <row r="544" spans="1:27" ht="13.2" x14ac:dyDescent="0.25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</row>
    <row r="545" spans="1:27" ht="13.2" x14ac:dyDescent="0.2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</row>
    <row r="546" spans="1:27" ht="13.2" x14ac:dyDescent="0.25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</row>
    <row r="547" spans="1:27" ht="13.2" x14ac:dyDescent="0.25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</row>
    <row r="548" spans="1:27" ht="13.2" x14ac:dyDescent="0.25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</row>
    <row r="549" spans="1:27" ht="13.2" x14ac:dyDescent="0.25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</row>
    <row r="550" spans="1:27" ht="13.2" x14ac:dyDescent="0.25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</row>
    <row r="551" spans="1:27" ht="13.2" x14ac:dyDescent="0.25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</row>
    <row r="552" spans="1:27" ht="13.2" x14ac:dyDescent="0.25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</row>
    <row r="553" spans="1:27" ht="13.2" x14ac:dyDescent="0.25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</row>
    <row r="554" spans="1:27" ht="13.2" x14ac:dyDescent="0.25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</row>
    <row r="555" spans="1:27" ht="13.2" x14ac:dyDescent="0.2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</row>
    <row r="556" spans="1:27" ht="13.2" x14ac:dyDescent="0.25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</row>
    <row r="557" spans="1:27" ht="13.2" x14ac:dyDescent="0.25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</row>
    <row r="558" spans="1:27" ht="13.2" x14ac:dyDescent="0.25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</row>
    <row r="559" spans="1:27" ht="13.2" x14ac:dyDescent="0.25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</row>
    <row r="560" spans="1:27" ht="13.2" x14ac:dyDescent="0.25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</row>
    <row r="561" spans="1:27" ht="13.2" x14ac:dyDescent="0.25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</row>
    <row r="562" spans="1:27" ht="13.2" x14ac:dyDescent="0.25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</row>
    <row r="563" spans="1:27" ht="13.2" x14ac:dyDescent="0.25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</row>
    <row r="564" spans="1:27" ht="13.2" x14ac:dyDescent="0.25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</row>
    <row r="565" spans="1:27" ht="13.2" x14ac:dyDescent="0.2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</row>
    <row r="566" spans="1:27" ht="13.2" x14ac:dyDescent="0.25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</row>
    <row r="567" spans="1:27" ht="13.2" x14ac:dyDescent="0.25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</row>
    <row r="568" spans="1:27" ht="13.2" x14ac:dyDescent="0.25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</row>
    <row r="569" spans="1:27" ht="13.2" x14ac:dyDescent="0.25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</row>
    <row r="570" spans="1:27" ht="13.2" x14ac:dyDescent="0.25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</row>
    <row r="571" spans="1:27" ht="13.2" x14ac:dyDescent="0.25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</row>
    <row r="572" spans="1:27" ht="13.2" x14ac:dyDescent="0.25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</row>
    <row r="573" spans="1:27" ht="13.2" x14ac:dyDescent="0.25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</row>
    <row r="574" spans="1:27" ht="13.2" x14ac:dyDescent="0.25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</row>
    <row r="575" spans="1:27" ht="13.2" x14ac:dyDescent="0.2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</row>
    <row r="576" spans="1:27" ht="13.2" x14ac:dyDescent="0.25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</row>
    <row r="577" spans="1:27" ht="13.2" x14ac:dyDescent="0.25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</row>
    <row r="578" spans="1:27" ht="13.2" x14ac:dyDescent="0.25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</row>
    <row r="579" spans="1:27" ht="13.2" x14ac:dyDescent="0.25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</row>
    <row r="580" spans="1:27" ht="13.2" x14ac:dyDescent="0.25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</row>
    <row r="581" spans="1:27" ht="13.2" x14ac:dyDescent="0.25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</row>
    <row r="582" spans="1:27" ht="13.2" x14ac:dyDescent="0.25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</row>
    <row r="583" spans="1:27" ht="13.2" x14ac:dyDescent="0.25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</row>
    <row r="584" spans="1:27" ht="13.2" x14ac:dyDescent="0.25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</row>
    <row r="585" spans="1:27" ht="13.2" x14ac:dyDescent="0.2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</row>
    <row r="586" spans="1:27" ht="13.2" x14ac:dyDescent="0.25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</row>
    <row r="587" spans="1:27" ht="13.2" x14ac:dyDescent="0.25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</row>
    <row r="588" spans="1:27" ht="13.2" x14ac:dyDescent="0.25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</row>
    <row r="589" spans="1:27" ht="13.2" x14ac:dyDescent="0.25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</row>
    <row r="590" spans="1:27" ht="13.2" x14ac:dyDescent="0.25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</row>
    <row r="591" spans="1:27" ht="13.2" x14ac:dyDescent="0.25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</row>
    <row r="592" spans="1:27" ht="13.2" x14ac:dyDescent="0.25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</row>
    <row r="593" spans="1:27" ht="13.2" x14ac:dyDescent="0.25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</row>
    <row r="594" spans="1:27" ht="13.2" x14ac:dyDescent="0.25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</row>
    <row r="595" spans="1:27" ht="13.2" x14ac:dyDescent="0.2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</row>
    <row r="596" spans="1:27" ht="13.2" x14ac:dyDescent="0.25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</row>
    <row r="597" spans="1:27" ht="13.2" x14ac:dyDescent="0.25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</row>
    <row r="598" spans="1:27" ht="13.2" x14ac:dyDescent="0.25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</row>
    <row r="599" spans="1:27" ht="13.2" x14ac:dyDescent="0.25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</row>
    <row r="600" spans="1:27" ht="13.2" x14ac:dyDescent="0.25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</row>
    <row r="601" spans="1:27" ht="13.2" x14ac:dyDescent="0.25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</row>
    <row r="602" spans="1:27" ht="13.2" x14ac:dyDescent="0.25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</row>
    <row r="603" spans="1:27" ht="13.2" x14ac:dyDescent="0.25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</row>
    <row r="604" spans="1:27" ht="13.2" x14ac:dyDescent="0.25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</row>
    <row r="605" spans="1:27" ht="13.2" x14ac:dyDescent="0.2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</row>
    <row r="606" spans="1:27" ht="13.2" x14ac:dyDescent="0.25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</row>
    <row r="607" spans="1:27" ht="13.2" x14ac:dyDescent="0.25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</row>
    <row r="608" spans="1:27" ht="13.2" x14ac:dyDescent="0.25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</row>
    <row r="609" spans="1:27" ht="13.2" x14ac:dyDescent="0.25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</row>
    <row r="610" spans="1:27" ht="13.2" x14ac:dyDescent="0.25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</row>
    <row r="611" spans="1:27" ht="13.2" x14ac:dyDescent="0.25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</row>
    <row r="612" spans="1:27" ht="13.2" x14ac:dyDescent="0.25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</row>
    <row r="613" spans="1:27" ht="13.2" x14ac:dyDescent="0.25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</row>
    <row r="614" spans="1:27" ht="13.2" x14ac:dyDescent="0.25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</row>
    <row r="615" spans="1:27" ht="13.2" x14ac:dyDescent="0.2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</row>
    <row r="616" spans="1:27" ht="13.2" x14ac:dyDescent="0.25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</row>
    <row r="617" spans="1:27" ht="13.2" x14ac:dyDescent="0.25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</row>
    <row r="618" spans="1:27" ht="13.2" x14ac:dyDescent="0.25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</row>
    <row r="619" spans="1:27" ht="13.2" x14ac:dyDescent="0.25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</row>
    <row r="620" spans="1:27" ht="13.2" x14ac:dyDescent="0.25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</row>
    <row r="621" spans="1:27" ht="13.2" x14ac:dyDescent="0.25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</row>
    <row r="622" spans="1:27" ht="13.2" x14ac:dyDescent="0.25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</row>
    <row r="623" spans="1:27" ht="13.2" x14ac:dyDescent="0.25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</row>
    <row r="624" spans="1:27" ht="13.2" x14ac:dyDescent="0.25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</row>
    <row r="625" spans="1:27" ht="13.2" x14ac:dyDescent="0.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</row>
    <row r="626" spans="1:27" ht="13.2" x14ac:dyDescent="0.25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</row>
    <row r="627" spans="1:27" ht="13.2" x14ac:dyDescent="0.25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</row>
    <row r="628" spans="1:27" ht="13.2" x14ac:dyDescent="0.25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</row>
    <row r="629" spans="1:27" ht="13.2" x14ac:dyDescent="0.25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</row>
    <row r="630" spans="1:27" ht="13.2" x14ac:dyDescent="0.25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</row>
    <row r="631" spans="1:27" ht="13.2" x14ac:dyDescent="0.25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</row>
    <row r="632" spans="1:27" ht="13.2" x14ac:dyDescent="0.25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</row>
    <row r="633" spans="1:27" ht="13.2" x14ac:dyDescent="0.25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</row>
    <row r="634" spans="1:27" ht="13.2" x14ac:dyDescent="0.25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</row>
    <row r="635" spans="1:27" ht="13.2" x14ac:dyDescent="0.2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</row>
    <row r="636" spans="1:27" ht="13.2" x14ac:dyDescent="0.25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</row>
    <row r="637" spans="1:27" ht="13.2" x14ac:dyDescent="0.25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</row>
    <row r="638" spans="1:27" ht="13.2" x14ac:dyDescent="0.25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</row>
    <row r="639" spans="1:27" ht="13.2" x14ac:dyDescent="0.25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</row>
    <row r="640" spans="1:27" ht="13.2" x14ac:dyDescent="0.25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</row>
    <row r="641" spans="1:27" ht="13.2" x14ac:dyDescent="0.25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</row>
    <row r="642" spans="1:27" ht="13.2" x14ac:dyDescent="0.25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</row>
    <row r="643" spans="1:27" ht="13.2" x14ac:dyDescent="0.25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</row>
    <row r="644" spans="1:27" ht="13.2" x14ac:dyDescent="0.25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</row>
    <row r="645" spans="1:27" ht="13.2" x14ac:dyDescent="0.2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</row>
    <row r="646" spans="1:27" ht="13.2" x14ac:dyDescent="0.25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</row>
    <row r="647" spans="1:27" ht="13.2" x14ac:dyDescent="0.25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</row>
    <row r="648" spans="1:27" ht="13.2" x14ac:dyDescent="0.25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</row>
    <row r="649" spans="1:27" ht="13.2" x14ac:dyDescent="0.25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</row>
    <row r="650" spans="1:27" ht="13.2" x14ac:dyDescent="0.25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</row>
    <row r="651" spans="1:27" ht="13.2" x14ac:dyDescent="0.25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</row>
    <row r="652" spans="1:27" ht="13.2" x14ac:dyDescent="0.25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</row>
    <row r="653" spans="1:27" ht="13.2" x14ac:dyDescent="0.25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</row>
    <row r="654" spans="1:27" ht="13.2" x14ac:dyDescent="0.25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</row>
    <row r="655" spans="1:27" ht="13.2" x14ac:dyDescent="0.2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</row>
    <row r="656" spans="1:27" ht="13.2" x14ac:dyDescent="0.25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</row>
    <row r="657" spans="1:27" ht="13.2" x14ac:dyDescent="0.25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</row>
    <row r="658" spans="1:27" ht="13.2" x14ac:dyDescent="0.25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</row>
    <row r="659" spans="1:27" ht="13.2" x14ac:dyDescent="0.25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</row>
    <row r="660" spans="1:27" ht="13.2" x14ac:dyDescent="0.25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</row>
    <row r="661" spans="1:27" ht="13.2" x14ac:dyDescent="0.25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</row>
    <row r="662" spans="1:27" ht="13.2" x14ac:dyDescent="0.25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</row>
    <row r="663" spans="1:27" ht="13.2" x14ac:dyDescent="0.25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</row>
    <row r="664" spans="1:27" ht="13.2" x14ac:dyDescent="0.25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</row>
    <row r="665" spans="1:27" ht="13.2" x14ac:dyDescent="0.2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</row>
    <row r="666" spans="1:27" ht="13.2" x14ac:dyDescent="0.25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</row>
    <row r="667" spans="1:27" ht="13.2" x14ac:dyDescent="0.25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</row>
    <row r="668" spans="1:27" ht="13.2" x14ac:dyDescent="0.25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</row>
    <row r="669" spans="1:27" ht="13.2" x14ac:dyDescent="0.25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</row>
    <row r="670" spans="1:27" ht="13.2" x14ac:dyDescent="0.25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</row>
    <row r="671" spans="1:27" ht="13.2" x14ac:dyDescent="0.25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</row>
    <row r="672" spans="1:27" ht="13.2" x14ac:dyDescent="0.25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</row>
    <row r="673" spans="1:27" ht="13.2" x14ac:dyDescent="0.25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</row>
    <row r="674" spans="1:27" ht="13.2" x14ac:dyDescent="0.25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</row>
    <row r="675" spans="1:27" ht="13.2" x14ac:dyDescent="0.2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</row>
    <row r="676" spans="1:27" ht="13.2" x14ac:dyDescent="0.25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</row>
    <row r="677" spans="1:27" ht="13.2" x14ac:dyDescent="0.25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</row>
    <row r="678" spans="1:27" ht="13.2" x14ac:dyDescent="0.25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</row>
    <row r="679" spans="1:27" ht="13.2" x14ac:dyDescent="0.25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</row>
    <row r="680" spans="1:27" ht="13.2" x14ac:dyDescent="0.25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</row>
    <row r="681" spans="1:27" ht="13.2" x14ac:dyDescent="0.25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</row>
    <row r="682" spans="1:27" ht="13.2" x14ac:dyDescent="0.25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</row>
    <row r="683" spans="1:27" ht="13.2" x14ac:dyDescent="0.25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</row>
    <row r="684" spans="1:27" ht="13.2" x14ac:dyDescent="0.25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</row>
    <row r="685" spans="1:27" ht="13.2" x14ac:dyDescent="0.2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</row>
    <row r="686" spans="1:27" ht="13.2" x14ac:dyDescent="0.25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</row>
    <row r="687" spans="1:27" ht="13.2" x14ac:dyDescent="0.25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</row>
    <row r="688" spans="1:27" ht="13.2" x14ac:dyDescent="0.25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</row>
    <row r="689" spans="1:27" ht="13.2" x14ac:dyDescent="0.25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</row>
    <row r="690" spans="1:27" ht="13.2" x14ac:dyDescent="0.25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</row>
    <row r="691" spans="1:27" ht="13.2" x14ac:dyDescent="0.25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</row>
    <row r="692" spans="1:27" ht="13.2" x14ac:dyDescent="0.25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</row>
    <row r="693" spans="1:27" ht="13.2" x14ac:dyDescent="0.25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</row>
    <row r="694" spans="1:27" ht="13.2" x14ac:dyDescent="0.25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</row>
    <row r="695" spans="1:27" ht="13.2" x14ac:dyDescent="0.2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</row>
    <row r="696" spans="1:27" ht="13.2" x14ac:dyDescent="0.25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</row>
    <row r="697" spans="1:27" ht="13.2" x14ac:dyDescent="0.25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</row>
    <row r="698" spans="1:27" ht="13.2" x14ac:dyDescent="0.25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</row>
    <row r="699" spans="1:27" ht="13.2" x14ac:dyDescent="0.25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</row>
    <row r="700" spans="1:27" ht="13.2" x14ac:dyDescent="0.25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</row>
    <row r="701" spans="1:27" ht="13.2" x14ac:dyDescent="0.25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</row>
    <row r="702" spans="1:27" ht="13.2" x14ac:dyDescent="0.25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</row>
    <row r="703" spans="1:27" ht="13.2" x14ac:dyDescent="0.25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</row>
    <row r="704" spans="1:27" ht="13.2" x14ac:dyDescent="0.25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</row>
    <row r="705" spans="1:27" ht="13.2" x14ac:dyDescent="0.2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</row>
    <row r="706" spans="1:27" ht="13.2" x14ac:dyDescent="0.25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</row>
    <row r="707" spans="1:27" ht="13.2" x14ac:dyDescent="0.25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</row>
    <row r="708" spans="1:27" ht="13.2" x14ac:dyDescent="0.25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</row>
    <row r="709" spans="1:27" ht="13.2" x14ac:dyDescent="0.25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</row>
    <row r="710" spans="1:27" ht="13.2" x14ac:dyDescent="0.25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</row>
    <row r="711" spans="1:27" ht="13.2" x14ac:dyDescent="0.25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</row>
    <row r="712" spans="1:27" ht="13.2" x14ac:dyDescent="0.25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</row>
    <row r="713" spans="1:27" ht="13.2" x14ac:dyDescent="0.25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</row>
    <row r="714" spans="1:27" ht="13.2" x14ac:dyDescent="0.25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</row>
    <row r="715" spans="1:27" ht="13.2" x14ac:dyDescent="0.2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</row>
    <row r="716" spans="1:27" ht="13.2" x14ac:dyDescent="0.25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</row>
    <row r="717" spans="1:27" ht="13.2" x14ac:dyDescent="0.25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</row>
    <row r="718" spans="1:27" ht="13.2" x14ac:dyDescent="0.25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</row>
    <row r="719" spans="1:27" ht="13.2" x14ac:dyDescent="0.25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</row>
    <row r="720" spans="1:27" ht="13.2" x14ac:dyDescent="0.25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</row>
    <row r="721" spans="1:27" ht="13.2" x14ac:dyDescent="0.25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</row>
    <row r="722" spans="1:27" ht="13.2" x14ac:dyDescent="0.25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</row>
    <row r="723" spans="1:27" ht="13.2" x14ac:dyDescent="0.25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</row>
    <row r="724" spans="1:27" ht="13.2" x14ac:dyDescent="0.25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</row>
    <row r="725" spans="1:27" ht="13.2" x14ac:dyDescent="0.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</row>
    <row r="726" spans="1:27" ht="13.2" x14ac:dyDescent="0.25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</row>
    <row r="727" spans="1:27" ht="13.2" x14ac:dyDescent="0.25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</row>
    <row r="728" spans="1:27" ht="13.2" x14ac:dyDescent="0.25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</row>
    <row r="729" spans="1:27" ht="13.2" x14ac:dyDescent="0.25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</row>
    <row r="730" spans="1:27" ht="13.2" x14ac:dyDescent="0.25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</row>
    <row r="731" spans="1:27" ht="13.2" x14ac:dyDescent="0.25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</row>
    <row r="732" spans="1:27" ht="13.2" x14ac:dyDescent="0.25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</row>
    <row r="733" spans="1:27" ht="13.2" x14ac:dyDescent="0.25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</row>
    <row r="734" spans="1:27" ht="13.2" x14ac:dyDescent="0.25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</row>
    <row r="735" spans="1:27" ht="13.2" x14ac:dyDescent="0.2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</row>
    <row r="736" spans="1:27" ht="13.2" x14ac:dyDescent="0.25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</row>
    <row r="737" spans="1:27" ht="13.2" x14ac:dyDescent="0.25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</row>
    <row r="738" spans="1:27" ht="13.2" x14ac:dyDescent="0.25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</row>
    <row r="739" spans="1:27" ht="13.2" x14ac:dyDescent="0.25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</row>
    <row r="740" spans="1:27" ht="13.2" x14ac:dyDescent="0.25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</row>
    <row r="741" spans="1:27" ht="13.2" x14ac:dyDescent="0.25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</row>
    <row r="742" spans="1:27" ht="13.2" x14ac:dyDescent="0.25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</row>
    <row r="743" spans="1:27" ht="13.2" x14ac:dyDescent="0.25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</row>
    <row r="744" spans="1:27" ht="13.2" x14ac:dyDescent="0.25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</row>
    <row r="745" spans="1:27" ht="13.2" x14ac:dyDescent="0.2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</row>
    <row r="746" spans="1:27" ht="13.2" x14ac:dyDescent="0.25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</row>
    <row r="747" spans="1:27" ht="13.2" x14ac:dyDescent="0.25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</row>
    <row r="748" spans="1:27" ht="13.2" x14ac:dyDescent="0.25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</row>
    <row r="749" spans="1:27" ht="13.2" x14ac:dyDescent="0.25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</row>
    <row r="750" spans="1:27" ht="13.2" x14ac:dyDescent="0.25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</row>
    <row r="751" spans="1:27" ht="13.2" x14ac:dyDescent="0.25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</row>
    <row r="752" spans="1:27" ht="13.2" x14ac:dyDescent="0.25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</row>
    <row r="753" spans="1:27" ht="13.2" x14ac:dyDescent="0.25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</row>
    <row r="754" spans="1:27" ht="13.2" x14ac:dyDescent="0.25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</row>
    <row r="755" spans="1:27" ht="13.2" x14ac:dyDescent="0.2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</row>
    <row r="756" spans="1:27" ht="13.2" x14ac:dyDescent="0.25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</row>
    <row r="757" spans="1:27" ht="13.2" x14ac:dyDescent="0.25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</row>
    <row r="758" spans="1:27" ht="13.2" x14ac:dyDescent="0.25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</row>
    <row r="759" spans="1:27" ht="13.2" x14ac:dyDescent="0.25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</row>
    <row r="760" spans="1:27" ht="13.2" x14ac:dyDescent="0.25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</row>
    <row r="761" spans="1:27" ht="13.2" x14ac:dyDescent="0.25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</row>
    <row r="762" spans="1:27" ht="13.2" x14ac:dyDescent="0.25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</row>
    <row r="763" spans="1:27" ht="13.2" x14ac:dyDescent="0.25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</row>
    <row r="764" spans="1:27" ht="13.2" x14ac:dyDescent="0.25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</row>
    <row r="765" spans="1:27" ht="13.2" x14ac:dyDescent="0.2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</row>
    <row r="766" spans="1:27" ht="13.2" x14ac:dyDescent="0.25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</row>
    <row r="767" spans="1:27" ht="13.2" x14ac:dyDescent="0.25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</row>
    <row r="768" spans="1:27" ht="13.2" x14ac:dyDescent="0.25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</row>
    <row r="769" spans="1:27" ht="13.2" x14ac:dyDescent="0.25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</row>
    <row r="770" spans="1:27" ht="13.2" x14ac:dyDescent="0.25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</row>
    <row r="771" spans="1:27" ht="13.2" x14ac:dyDescent="0.25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</row>
    <row r="772" spans="1:27" ht="13.2" x14ac:dyDescent="0.25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</row>
    <row r="773" spans="1:27" ht="13.2" x14ac:dyDescent="0.25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</row>
    <row r="774" spans="1:27" ht="13.2" x14ac:dyDescent="0.25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</row>
    <row r="775" spans="1:27" ht="13.2" x14ac:dyDescent="0.2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</row>
    <row r="776" spans="1:27" ht="13.2" x14ac:dyDescent="0.25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</row>
    <row r="777" spans="1:27" ht="13.2" x14ac:dyDescent="0.25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</row>
    <row r="778" spans="1:27" ht="13.2" x14ac:dyDescent="0.25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</row>
    <row r="779" spans="1:27" ht="13.2" x14ac:dyDescent="0.25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</row>
    <row r="780" spans="1:27" ht="13.2" x14ac:dyDescent="0.25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</row>
    <row r="781" spans="1:27" ht="13.2" x14ac:dyDescent="0.25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</row>
    <row r="782" spans="1:27" ht="13.2" x14ac:dyDescent="0.25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</row>
    <row r="783" spans="1:27" ht="13.2" x14ac:dyDescent="0.25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</row>
    <row r="784" spans="1:27" ht="13.2" x14ac:dyDescent="0.25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</row>
    <row r="785" spans="1:27" ht="13.2" x14ac:dyDescent="0.2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</row>
    <row r="786" spans="1:27" ht="13.2" x14ac:dyDescent="0.25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</row>
    <row r="787" spans="1:27" ht="13.2" x14ac:dyDescent="0.25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</row>
    <row r="788" spans="1:27" ht="13.2" x14ac:dyDescent="0.25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</row>
    <row r="789" spans="1:27" ht="13.2" x14ac:dyDescent="0.25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</row>
    <row r="790" spans="1:27" ht="13.2" x14ac:dyDescent="0.25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</row>
    <row r="791" spans="1:27" ht="13.2" x14ac:dyDescent="0.25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</row>
    <row r="792" spans="1:27" ht="13.2" x14ac:dyDescent="0.25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</row>
    <row r="793" spans="1:27" ht="13.2" x14ac:dyDescent="0.25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</row>
    <row r="794" spans="1:27" ht="13.2" x14ac:dyDescent="0.25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</row>
    <row r="795" spans="1:27" ht="13.2" x14ac:dyDescent="0.2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</row>
    <row r="796" spans="1:27" ht="13.2" x14ac:dyDescent="0.25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</row>
    <row r="797" spans="1:27" ht="13.2" x14ac:dyDescent="0.25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</row>
    <row r="798" spans="1:27" ht="13.2" x14ac:dyDescent="0.25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</row>
    <row r="799" spans="1:27" ht="13.2" x14ac:dyDescent="0.25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</row>
    <row r="800" spans="1:27" ht="13.2" x14ac:dyDescent="0.25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</row>
    <row r="801" spans="1:27" ht="13.2" x14ac:dyDescent="0.25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</row>
    <row r="802" spans="1:27" ht="13.2" x14ac:dyDescent="0.25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</row>
    <row r="803" spans="1:27" ht="13.2" x14ac:dyDescent="0.25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</row>
    <row r="804" spans="1:27" ht="13.2" x14ac:dyDescent="0.25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</row>
    <row r="805" spans="1:27" ht="13.2" x14ac:dyDescent="0.2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</row>
    <row r="806" spans="1:27" ht="13.2" x14ac:dyDescent="0.25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</row>
    <row r="807" spans="1:27" ht="13.2" x14ac:dyDescent="0.25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</row>
    <row r="808" spans="1:27" ht="13.2" x14ac:dyDescent="0.25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</row>
    <row r="809" spans="1:27" ht="13.2" x14ac:dyDescent="0.25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</row>
    <row r="810" spans="1:27" ht="13.2" x14ac:dyDescent="0.25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</row>
    <row r="811" spans="1:27" ht="13.2" x14ac:dyDescent="0.25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</row>
    <row r="812" spans="1:27" ht="13.2" x14ac:dyDescent="0.25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</row>
    <row r="813" spans="1:27" ht="13.2" x14ac:dyDescent="0.25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</row>
    <row r="814" spans="1:27" ht="13.2" x14ac:dyDescent="0.25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</row>
    <row r="815" spans="1:27" ht="13.2" x14ac:dyDescent="0.2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</row>
    <row r="816" spans="1:27" ht="13.2" x14ac:dyDescent="0.25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</row>
    <row r="817" spans="1:27" ht="13.2" x14ac:dyDescent="0.25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</row>
    <row r="818" spans="1:27" ht="13.2" x14ac:dyDescent="0.25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</row>
    <row r="819" spans="1:27" ht="13.2" x14ac:dyDescent="0.25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</row>
    <row r="820" spans="1:27" ht="13.2" x14ac:dyDescent="0.25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</row>
    <row r="821" spans="1:27" ht="13.2" x14ac:dyDescent="0.25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</row>
    <row r="822" spans="1:27" ht="13.2" x14ac:dyDescent="0.25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</row>
    <row r="823" spans="1:27" ht="13.2" x14ac:dyDescent="0.25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</row>
    <row r="824" spans="1:27" ht="13.2" x14ac:dyDescent="0.25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</row>
    <row r="825" spans="1:27" ht="13.2" x14ac:dyDescent="0.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</row>
    <row r="826" spans="1:27" ht="13.2" x14ac:dyDescent="0.25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</row>
    <row r="827" spans="1:27" ht="13.2" x14ac:dyDescent="0.25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</row>
    <row r="828" spans="1:27" ht="13.2" x14ac:dyDescent="0.25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</row>
    <row r="829" spans="1:27" ht="13.2" x14ac:dyDescent="0.25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</row>
    <row r="830" spans="1:27" ht="13.2" x14ac:dyDescent="0.25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</row>
    <row r="831" spans="1:27" ht="13.2" x14ac:dyDescent="0.25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</row>
    <row r="832" spans="1:27" ht="13.2" x14ac:dyDescent="0.25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</row>
    <row r="833" spans="1:27" ht="13.2" x14ac:dyDescent="0.25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</row>
    <row r="834" spans="1:27" ht="13.2" x14ac:dyDescent="0.25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</row>
    <row r="835" spans="1:27" ht="13.2" x14ac:dyDescent="0.2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</row>
    <row r="836" spans="1:27" ht="13.2" x14ac:dyDescent="0.25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</row>
    <row r="837" spans="1:27" ht="13.2" x14ac:dyDescent="0.25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</row>
    <row r="838" spans="1:27" ht="13.2" x14ac:dyDescent="0.25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</row>
    <row r="839" spans="1:27" ht="13.2" x14ac:dyDescent="0.25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</row>
    <row r="840" spans="1:27" ht="13.2" x14ac:dyDescent="0.25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</row>
    <row r="841" spans="1:27" ht="13.2" x14ac:dyDescent="0.25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</row>
    <row r="842" spans="1:27" ht="13.2" x14ac:dyDescent="0.25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</row>
    <row r="843" spans="1:27" ht="13.2" x14ac:dyDescent="0.25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</row>
    <row r="844" spans="1:27" ht="13.2" x14ac:dyDescent="0.25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</row>
    <row r="845" spans="1:27" ht="13.2" x14ac:dyDescent="0.2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</row>
    <row r="846" spans="1:27" ht="13.2" x14ac:dyDescent="0.25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</row>
    <row r="847" spans="1:27" ht="13.2" x14ac:dyDescent="0.25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</row>
    <row r="848" spans="1:27" ht="13.2" x14ac:dyDescent="0.25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</row>
    <row r="849" spans="1:27" ht="13.2" x14ac:dyDescent="0.25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</row>
    <row r="850" spans="1:27" ht="13.2" x14ac:dyDescent="0.25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</row>
    <row r="851" spans="1:27" ht="13.2" x14ac:dyDescent="0.25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</row>
    <row r="852" spans="1:27" ht="13.2" x14ac:dyDescent="0.25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</row>
    <row r="853" spans="1:27" ht="13.2" x14ac:dyDescent="0.25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</row>
    <row r="854" spans="1:27" ht="13.2" x14ac:dyDescent="0.25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</row>
    <row r="855" spans="1:27" ht="13.2" x14ac:dyDescent="0.2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</row>
    <row r="856" spans="1:27" ht="13.2" x14ac:dyDescent="0.25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</row>
    <row r="857" spans="1:27" ht="13.2" x14ac:dyDescent="0.25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</row>
    <row r="858" spans="1:27" ht="13.2" x14ac:dyDescent="0.25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</row>
    <row r="859" spans="1:27" ht="13.2" x14ac:dyDescent="0.25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</row>
    <row r="860" spans="1:27" ht="13.2" x14ac:dyDescent="0.25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</row>
    <row r="861" spans="1:27" ht="13.2" x14ac:dyDescent="0.25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</row>
    <row r="862" spans="1:27" ht="13.2" x14ac:dyDescent="0.25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</row>
    <row r="863" spans="1:27" ht="13.2" x14ac:dyDescent="0.25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</row>
    <row r="864" spans="1:27" ht="13.2" x14ac:dyDescent="0.25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</row>
    <row r="865" spans="1:27" ht="13.2" x14ac:dyDescent="0.2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</row>
    <row r="866" spans="1:27" ht="13.2" x14ac:dyDescent="0.25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</row>
    <row r="867" spans="1:27" ht="13.2" x14ac:dyDescent="0.25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</row>
    <row r="868" spans="1:27" ht="13.2" x14ac:dyDescent="0.25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</row>
    <row r="869" spans="1:27" ht="13.2" x14ac:dyDescent="0.25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</row>
    <row r="870" spans="1:27" ht="13.2" x14ac:dyDescent="0.25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</row>
    <row r="871" spans="1:27" ht="13.2" x14ac:dyDescent="0.25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</row>
    <row r="872" spans="1:27" ht="13.2" x14ac:dyDescent="0.25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</row>
    <row r="873" spans="1:27" ht="13.2" x14ac:dyDescent="0.25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</row>
    <row r="874" spans="1:27" ht="13.2" x14ac:dyDescent="0.25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</row>
    <row r="875" spans="1:27" ht="13.2" x14ac:dyDescent="0.2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</row>
    <row r="876" spans="1:27" ht="13.2" x14ac:dyDescent="0.25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</row>
    <row r="877" spans="1:27" ht="13.2" x14ac:dyDescent="0.25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</row>
    <row r="878" spans="1:27" ht="13.2" x14ac:dyDescent="0.25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</row>
    <row r="879" spans="1:27" ht="13.2" x14ac:dyDescent="0.25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</row>
    <row r="880" spans="1:27" ht="13.2" x14ac:dyDescent="0.25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</row>
    <row r="881" spans="1:27" ht="13.2" x14ac:dyDescent="0.25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</row>
    <row r="882" spans="1:27" ht="13.2" x14ac:dyDescent="0.25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</row>
    <row r="883" spans="1:27" ht="13.2" x14ac:dyDescent="0.25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</row>
    <row r="884" spans="1:27" ht="13.2" x14ac:dyDescent="0.25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</row>
    <row r="885" spans="1:27" ht="13.2" x14ac:dyDescent="0.2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</row>
    <row r="886" spans="1:27" ht="13.2" x14ac:dyDescent="0.25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</row>
    <row r="887" spans="1:27" ht="13.2" x14ac:dyDescent="0.25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</row>
    <row r="888" spans="1:27" ht="13.2" x14ac:dyDescent="0.25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</row>
    <row r="889" spans="1:27" ht="13.2" x14ac:dyDescent="0.25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</row>
    <row r="890" spans="1:27" ht="13.2" x14ac:dyDescent="0.25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</row>
    <row r="891" spans="1:27" ht="13.2" x14ac:dyDescent="0.25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</row>
    <row r="892" spans="1:27" ht="13.2" x14ac:dyDescent="0.25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</row>
    <row r="893" spans="1:27" ht="13.2" x14ac:dyDescent="0.25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</row>
    <row r="894" spans="1:27" ht="13.2" x14ac:dyDescent="0.25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</row>
    <row r="895" spans="1:27" ht="13.2" x14ac:dyDescent="0.2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</row>
    <row r="896" spans="1:27" ht="13.2" x14ac:dyDescent="0.25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</row>
    <row r="897" spans="1:27" ht="13.2" x14ac:dyDescent="0.25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</row>
    <row r="898" spans="1:27" ht="13.2" x14ac:dyDescent="0.25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</row>
    <row r="899" spans="1:27" ht="13.2" x14ac:dyDescent="0.25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</row>
    <row r="900" spans="1:27" ht="13.2" x14ac:dyDescent="0.25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</row>
    <row r="901" spans="1:27" ht="13.2" x14ac:dyDescent="0.25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</row>
    <row r="902" spans="1:27" ht="13.2" x14ac:dyDescent="0.25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</row>
    <row r="903" spans="1:27" ht="13.2" x14ac:dyDescent="0.25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</row>
    <row r="904" spans="1:27" ht="13.2" x14ac:dyDescent="0.25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</row>
    <row r="905" spans="1:27" ht="13.2" x14ac:dyDescent="0.2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</row>
    <row r="906" spans="1:27" ht="13.2" x14ac:dyDescent="0.25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</row>
    <row r="907" spans="1:27" ht="13.2" x14ac:dyDescent="0.25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</row>
    <row r="908" spans="1:27" ht="13.2" x14ac:dyDescent="0.25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</row>
    <row r="909" spans="1:27" ht="13.2" x14ac:dyDescent="0.25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</row>
    <row r="910" spans="1:27" ht="13.2" x14ac:dyDescent="0.25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</row>
    <row r="911" spans="1:27" ht="13.2" x14ac:dyDescent="0.25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</row>
    <row r="912" spans="1:27" ht="13.2" x14ac:dyDescent="0.25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</row>
    <row r="913" spans="1:27" ht="13.2" x14ac:dyDescent="0.25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</row>
    <row r="914" spans="1:27" ht="13.2" x14ac:dyDescent="0.25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</row>
    <row r="915" spans="1:27" ht="13.2" x14ac:dyDescent="0.2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</row>
    <row r="916" spans="1:27" ht="13.2" x14ac:dyDescent="0.25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</row>
    <row r="917" spans="1:27" ht="13.2" x14ac:dyDescent="0.25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</row>
    <row r="918" spans="1:27" ht="13.2" x14ac:dyDescent="0.25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</row>
    <row r="919" spans="1:27" ht="13.2" x14ac:dyDescent="0.25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</row>
    <row r="920" spans="1:27" ht="13.2" x14ac:dyDescent="0.25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</row>
    <row r="921" spans="1:27" ht="13.2" x14ac:dyDescent="0.25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</row>
    <row r="922" spans="1:27" ht="13.2" x14ac:dyDescent="0.25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</row>
    <row r="923" spans="1:27" ht="13.2" x14ac:dyDescent="0.25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</row>
    <row r="924" spans="1:27" ht="13.2" x14ac:dyDescent="0.25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</row>
    <row r="925" spans="1:27" ht="13.2" x14ac:dyDescent="0.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</row>
    <row r="926" spans="1:27" ht="13.2" x14ac:dyDescent="0.25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</row>
    <row r="927" spans="1:27" ht="13.2" x14ac:dyDescent="0.25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</row>
    <row r="928" spans="1:27" ht="13.2" x14ac:dyDescent="0.25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</row>
    <row r="929" spans="1:27" ht="13.2" x14ac:dyDescent="0.25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</row>
    <row r="930" spans="1:27" ht="13.2" x14ac:dyDescent="0.25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</row>
    <row r="931" spans="1:27" ht="13.2" x14ac:dyDescent="0.25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</row>
    <row r="932" spans="1:27" ht="13.2" x14ac:dyDescent="0.25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</row>
    <row r="933" spans="1:27" ht="13.2" x14ac:dyDescent="0.25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</row>
    <row r="934" spans="1:27" ht="13.2" x14ac:dyDescent="0.25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</row>
    <row r="935" spans="1:27" ht="13.2" x14ac:dyDescent="0.2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</row>
    <row r="936" spans="1:27" ht="13.2" x14ac:dyDescent="0.25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</row>
    <row r="937" spans="1:27" ht="13.2" x14ac:dyDescent="0.25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  <c r="AA937" s="81"/>
    </row>
    <row r="938" spans="1:27" ht="13.2" x14ac:dyDescent="0.25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  <c r="AA938" s="81"/>
    </row>
    <row r="939" spans="1:27" ht="13.2" x14ac:dyDescent="0.25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  <c r="AA939" s="81"/>
    </row>
    <row r="940" spans="1:27" ht="13.2" x14ac:dyDescent="0.25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  <c r="AA940" s="81"/>
    </row>
    <row r="941" spans="1:27" ht="13.2" x14ac:dyDescent="0.25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  <c r="AA941" s="81"/>
    </row>
    <row r="942" spans="1:27" ht="13.2" x14ac:dyDescent="0.25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  <c r="AA942" s="81"/>
    </row>
    <row r="943" spans="1:27" ht="13.2" x14ac:dyDescent="0.25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  <c r="AA943" s="81"/>
    </row>
    <row r="944" spans="1:27" ht="13.2" x14ac:dyDescent="0.25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  <c r="AA944" s="81"/>
    </row>
    <row r="945" spans="1:27" ht="13.2" x14ac:dyDescent="0.2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  <c r="AA945" s="81"/>
    </row>
    <row r="946" spans="1:27" ht="13.2" x14ac:dyDescent="0.25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  <c r="AA946" s="81"/>
    </row>
    <row r="947" spans="1:27" ht="13.2" x14ac:dyDescent="0.25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  <c r="AA947" s="81"/>
    </row>
    <row r="948" spans="1:27" ht="13.2" x14ac:dyDescent="0.25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  <c r="AA948" s="81"/>
    </row>
    <row r="949" spans="1:27" ht="13.2" x14ac:dyDescent="0.25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  <c r="AA949" s="81"/>
    </row>
    <row r="950" spans="1:27" ht="13.2" x14ac:dyDescent="0.25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  <c r="AA950" s="81"/>
    </row>
    <row r="951" spans="1:27" ht="13.2" x14ac:dyDescent="0.25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  <c r="AA951" s="81"/>
    </row>
    <row r="952" spans="1:27" ht="13.2" x14ac:dyDescent="0.25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  <c r="AA952" s="81"/>
    </row>
    <row r="953" spans="1:27" ht="13.2" x14ac:dyDescent="0.25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  <c r="AA953" s="81"/>
    </row>
    <row r="954" spans="1:27" ht="13.2" x14ac:dyDescent="0.25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  <c r="AA954" s="81"/>
    </row>
    <row r="955" spans="1:27" ht="13.2" x14ac:dyDescent="0.2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  <c r="AA955" s="81"/>
    </row>
    <row r="956" spans="1:27" ht="13.2" x14ac:dyDescent="0.25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  <c r="AA956" s="81"/>
    </row>
    <row r="957" spans="1:27" ht="13.2" x14ac:dyDescent="0.25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  <c r="AA957" s="81"/>
    </row>
    <row r="958" spans="1:27" ht="13.2" x14ac:dyDescent="0.25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  <c r="AA958" s="81"/>
    </row>
    <row r="959" spans="1:27" ht="13.2" x14ac:dyDescent="0.25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  <c r="AA959" s="81"/>
    </row>
    <row r="960" spans="1:27" ht="13.2" x14ac:dyDescent="0.25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  <c r="AA960" s="81"/>
    </row>
    <row r="961" spans="1:27" ht="13.2" x14ac:dyDescent="0.25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  <c r="AA961" s="81"/>
    </row>
    <row r="962" spans="1:27" ht="13.2" x14ac:dyDescent="0.25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  <c r="AA962" s="81"/>
    </row>
    <row r="963" spans="1:27" ht="13.2" x14ac:dyDescent="0.25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  <c r="AA963" s="81"/>
    </row>
    <row r="964" spans="1:27" ht="13.2" x14ac:dyDescent="0.25">
      <c r="A964" s="81"/>
      <c r="B964" s="81"/>
      <c r="C964" s="81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1"/>
      <c r="Y964" s="81"/>
      <c r="Z964" s="81"/>
      <c r="AA964" s="81"/>
    </row>
  </sheetData>
  <mergeCells count="7">
    <mergeCell ref="X3:Y3"/>
    <mergeCell ref="X27:Y27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E22EE-2BFA-4431-8337-DB37E4B7A50D}">
  <sheetPr>
    <tabColor rgb="FF00B050"/>
    <outlinePr summaryBelow="0" summaryRight="0"/>
  </sheetPr>
  <dimension ref="A1:AH963"/>
  <sheetViews>
    <sheetView showGridLines="0" topLeftCell="H1" zoomScaleNormal="100" workbookViewId="0">
      <selection activeCell="AA1" sqref="AA1:AD25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2.33203125" style="3" bestFit="1" customWidth="1"/>
    <col min="30" max="30" width="13.44140625" style="3" customWidth="1"/>
    <col min="31" max="31" width="12.6640625" style="3"/>
    <col min="32" max="32" width="16" style="3" bestFit="1" customWidth="1"/>
    <col min="33" max="34" width="12.6640625" style="3"/>
  </cols>
  <sheetData>
    <row r="1" spans="1:34" ht="13.8" thickBot="1" x14ac:dyDescent="0.3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</row>
    <row r="2" spans="1:34" ht="13.2" x14ac:dyDescent="0.25">
      <c r="A2" s="81"/>
      <c r="B2" s="81"/>
      <c r="C2" s="302" t="s">
        <v>28</v>
      </c>
      <c r="D2" s="303"/>
      <c r="E2" s="303"/>
      <c r="F2" s="304"/>
      <c r="G2" s="302" t="s">
        <v>29</v>
      </c>
      <c r="H2" s="303"/>
      <c r="I2" s="303"/>
      <c r="J2" s="303"/>
      <c r="K2" s="304"/>
      <c r="L2" s="302" t="s">
        <v>30</v>
      </c>
      <c r="M2" s="303"/>
      <c r="N2" s="303"/>
      <c r="O2" s="303"/>
      <c r="P2" s="304"/>
      <c r="Q2" s="302" t="s">
        <v>31</v>
      </c>
      <c r="R2" s="303"/>
      <c r="S2" s="303"/>
      <c r="T2" s="303"/>
      <c r="U2" s="304"/>
      <c r="V2" s="302" t="s">
        <v>32</v>
      </c>
      <c r="W2" s="303"/>
      <c r="X2" s="81"/>
      <c r="Y2" s="81"/>
      <c r="Z2" s="83"/>
      <c r="AA2" s="84" t="s">
        <v>33</v>
      </c>
      <c r="AB2" s="84" t="s">
        <v>34</v>
      </c>
      <c r="AC2" s="84" t="s">
        <v>141</v>
      </c>
      <c r="AD2" s="84" t="s">
        <v>35</v>
      </c>
      <c r="AE2" s="84" t="s">
        <v>36</v>
      </c>
      <c r="AF2" s="84" t="s">
        <v>37</v>
      </c>
      <c r="AG2" s="84" t="s">
        <v>38</v>
      </c>
      <c r="AH2" s="84" t="s">
        <v>39</v>
      </c>
    </row>
    <row r="3" spans="1:34" ht="13.2" x14ac:dyDescent="0.25">
      <c r="A3" s="81"/>
      <c r="B3" s="81"/>
      <c r="C3" s="76">
        <v>1</v>
      </c>
      <c r="D3" s="77">
        <v>2</v>
      </c>
      <c r="E3" s="77">
        <v>3</v>
      </c>
      <c r="F3" s="78">
        <v>5</v>
      </c>
      <c r="G3" s="76">
        <v>8</v>
      </c>
      <c r="H3" s="77">
        <v>9</v>
      </c>
      <c r="I3" s="77">
        <v>10</v>
      </c>
      <c r="J3" s="77">
        <v>11</v>
      </c>
      <c r="K3" s="78">
        <v>12</v>
      </c>
      <c r="L3" s="76">
        <v>15</v>
      </c>
      <c r="M3" s="77">
        <v>16</v>
      </c>
      <c r="N3" s="77">
        <v>17</v>
      </c>
      <c r="O3" s="77">
        <v>18</v>
      </c>
      <c r="P3" s="78">
        <v>19</v>
      </c>
      <c r="Q3" s="76">
        <v>22</v>
      </c>
      <c r="R3" s="77">
        <v>23</v>
      </c>
      <c r="S3" s="77">
        <v>24</v>
      </c>
      <c r="T3" s="77">
        <v>25</v>
      </c>
      <c r="U3" s="78">
        <v>26</v>
      </c>
      <c r="V3" s="76">
        <v>29</v>
      </c>
      <c r="W3" s="78">
        <v>30</v>
      </c>
      <c r="X3" s="299"/>
      <c r="Y3" s="300"/>
      <c r="Z3" s="81"/>
      <c r="AA3" s="80">
        <v>1</v>
      </c>
      <c r="AB3" s="86">
        <v>23621</v>
      </c>
      <c r="AC3" s="86" t="s">
        <v>119</v>
      </c>
      <c r="AD3" s="87">
        <v>46148</v>
      </c>
      <c r="AE3" s="86">
        <v>273.19</v>
      </c>
      <c r="AF3" s="87">
        <v>46099</v>
      </c>
      <c r="AG3" s="86" t="s">
        <v>55</v>
      </c>
      <c r="AH3" s="52">
        <v>79</v>
      </c>
    </row>
    <row r="4" spans="1:34" ht="13.2" x14ac:dyDescent="0.25">
      <c r="A4" s="81"/>
      <c r="B4" s="88" t="s">
        <v>41</v>
      </c>
      <c r="C4" s="89" t="s">
        <v>42</v>
      </c>
      <c r="D4" s="90" t="s">
        <v>43</v>
      </c>
      <c r="E4" s="90" t="s">
        <v>44</v>
      </c>
      <c r="F4" s="91" t="s">
        <v>44</v>
      </c>
      <c r="G4" s="89" t="s">
        <v>42</v>
      </c>
      <c r="H4" s="90" t="s">
        <v>42</v>
      </c>
      <c r="I4" s="90" t="s">
        <v>43</v>
      </c>
      <c r="J4" s="90" t="s">
        <v>44</v>
      </c>
      <c r="K4" s="91" t="s">
        <v>44</v>
      </c>
      <c r="L4" s="89" t="s">
        <v>42</v>
      </c>
      <c r="M4" s="90" t="s">
        <v>42</v>
      </c>
      <c r="N4" s="90" t="s">
        <v>43</v>
      </c>
      <c r="O4" s="90" t="s">
        <v>44</v>
      </c>
      <c r="P4" s="91" t="s">
        <v>44</v>
      </c>
      <c r="Q4" s="89" t="s">
        <v>42</v>
      </c>
      <c r="R4" s="90" t="s">
        <v>42</v>
      </c>
      <c r="S4" s="90" t="s">
        <v>43</v>
      </c>
      <c r="T4" s="90" t="s">
        <v>44</v>
      </c>
      <c r="U4" s="91" t="s">
        <v>44</v>
      </c>
      <c r="V4" s="89" t="s">
        <v>42</v>
      </c>
      <c r="W4" s="91" t="s">
        <v>42</v>
      </c>
      <c r="X4" s="92" t="s">
        <v>11</v>
      </c>
      <c r="Y4" s="81"/>
      <c r="Z4" s="81"/>
      <c r="AA4" s="80">
        <v>2</v>
      </c>
      <c r="AB4" s="86">
        <v>44106</v>
      </c>
      <c r="AC4" s="86" t="s">
        <v>120</v>
      </c>
      <c r="AD4" s="87">
        <v>46148</v>
      </c>
      <c r="AE4" s="86">
        <v>588.66</v>
      </c>
      <c r="AF4" s="87">
        <v>46101</v>
      </c>
      <c r="AG4" s="86" t="s">
        <v>55</v>
      </c>
      <c r="AH4" s="52">
        <v>77</v>
      </c>
    </row>
    <row r="5" spans="1:34" ht="13.2" x14ac:dyDescent="0.25">
      <c r="A5" s="81"/>
      <c r="B5" s="93" t="s">
        <v>2</v>
      </c>
      <c r="C5" s="94">
        <v>3</v>
      </c>
      <c r="D5" s="95">
        <v>3</v>
      </c>
      <c r="E5" s="95">
        <v>3</v>
      </c>
      <c r="F5" s="96">
        <v>3</v>
      </c>
      <c r="G5" s="94">
        <v>3</v>
      </c>
      <c r="H5" s="95">
        <v>3</v>
      </c>
      <c r="I5" s="95">
        <v>3</v>
      </c>
      <c r="J5" s="95">
        <v>3</v>
      </c>
      <c r="K5" s="96">
        <v>3</v>
      </c>
      <c r="L5" s="94">
        <v>3</v>
      </c>
      <c r="M5" s="95">
        <v>3</v>
      </c>
      <c r="N5" s="95">
        <v>3</v>
      </c>
      <c r="O5" s="95">
        <v>2</v>
      </c>
      <c r="P5" s="96">
        <v>1</v>
      </c>
      <c r="Q5" s="94">
        <v>1</v>
      </c>
      <c r="R5" s="95">
        <v>1</v>
      </c>
      <c r="S5" s="95">
        <v>1</v>
      </c>
      <c r="T5" s="95">
        <v>1</v>
      </c>
      <c r="U5" s="96">
        <v>1</v>
      </c>
      <c r="V5" s="51">
        <v>1</v>
      </c>
      <c r="W5" s="96">
        <v>3</v>
      </c>
      <c r="X5" s="97">
        <v>48</v>
      </c>
      <c r="Y5" s="81"/>
      <c r="Z5" s="81"/>
      <c r="AA5" s="80">
        <v>3</v>
      </c>
      <c r="AB5" s="86">
        <v>44364</v>
      </c>
      <c r="AC5" s="86" t="s">
        <v>121</v>
      </c>
      <c r="AD5" s="87">
        <v>46148</v>
      </c>
      <c r="AE5" s="86">
        <v>653.28</v>
      </c>
      <c r="AF5" s="87">
        <v>46057</v>
      </c>
      <c r="AG5" s="86" t="s">
        <v>55</v>
      </c>
      <c r="AH5" s="52">
        <v>64</v>
      </c>
    </row>
    <row r="6" spans="1:34" ht="13.8" thickBot="1" x14ac:dyDescent="0.3">
      <c r="A6" s="81"/>
      <c r="B6" s="93" t="s">
        <v>46</v>
      </c>
      <c r="C6" s="98">
        <v>0</v>
      </c>
      <c r="D6" s="99">
        <v>0</v>
      </c>
      <c r="E6" s="99">
        <v>0</v>
      </c>
      <c r="F6" s="100">
        <v>3</v>
      </c>
      <c r="G6" s="98">
        <v>1</v>
      </c>
      <c r="H6" s="99">
        <v>0</v>
      </c>
      <c r="I6" s="99">
        <v>0</v>
      </c>
      <c r="J6" s="99">
        <v>1</v>
      </c>
      <c r="K6" s="100">
        <v>2</v>
      </c>
      <c r="L6" s="98">
        <v>0</v>
      </c>
      <c r="M6" s="99">
        <v>0</v>
      </c>
      <c r="N6" s="99">
        <v>1</v>
      </c>
      <c r="O6" s="99">
        <v>5</v>
      </c>
      <c r="P6" s="100">
        <v>2</v>
      </c>
      <c r="Q6" s="98">
        <v>0</v>
      </c>
      <c r="R6" s="99">
        <v>0</v>
      </c>
      <c r="S6" s="99">
        <v>1</v>
      </c>
      <c r="T6" s="99">
        <v>1</v>
      </c>
      <c r="U6" s="100">
        <v>4</v>
      </c>
      <c r="V6" s="98"/>
      <c r="W6" s="100"/>
      <c r="X6" s="97">
        <v>21</v>
      </c>
      <c r="Y6" s="101">
        <v>-27</v>
      </c>
      <c r="Z6" s="81"/>
      <c r="AA6" s="115">
        <v>4</v>
      </c>
      <c r="AB6" s="116">
        <v>29622</v>
      </c>
      <c r="AC6" s="116" t="s">
        <v>122</v>
      </c>
      <c r="AD6" s="117">
        <v>46240</v>
      </c>
      <c r="AE6" s="114">
        <v>415.4</v>
      </c>
      <c r="AF6" s="117">
        <v>45804</v>
      </c>
      <c r="AG6" s="114" t="s">
        <v>56</v>
      </c>
      <c r="AH6" s="114">
        <v>377</v>
      </c>
    </row>
    <row r="7" spans="1:34" ht="13.2" x14ac:dyDescent="0.25">
      <c r="A7" s="81"/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115">
        <v>5</v>
      </c>
      <c r="AB7" s="116">
        <v>40214</v>
      </c>
      <c r="AC7" s="116" t="s">
        <v>123</v>
      </c>
      <c r="AD7" s="117">
        <v>46332</v>
      </c>
      <c r="AE7" s="114">
        <v>245.45</v>
      </c>
      <c r="AF7" s="117">
        <v>46080</v>
      </c>
      <c r="AG7" s="114" t="s">
        <v>55</v>
      </c>
      <c r="AH7" s="114">
        <v>104</v>
      </c>
    </row>
    <row r="8" spans="1:34" ht="13.2" x14ac:dyDescent="0.25">
      <c r="A8" s="81"/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0">
        <v>6</v>
      </c>
      <c r="AB8" s="86">
        <v>16902</v>
      </c>
      <c r="AC8" s="86" t="s">
        <v>124</v>
      </c>
      <c r="AD8" s="87">
        <v>46362</v>
      </c>
      <c r="AE8" s="86">
        <v>168.9</v>
      </c>
      <c r="AF8" s="87">
        <v>46135</v>
      </c>
      <c r="AG8" s="86" t="s">
        <v>55</v>
      </c>
      <c r="AH8" s="52">
        <v>50</v>
      </c>
    </row>
    <row r="9" spans="1:34" ht="13.2" x14ac:dyDescent="0.25">
      <c r="A9" s="81"/>
      <c r="B9" s="102" t="s">
        <v>49</v>
      </c>
      <c r="C9" s="76">
        <v>1</v>
      </c>
      <c r="D9" s="77">
        <v>2</v>
      </c>
      <c r="E9" s="77">
        <v>3</v>
      </c>
      <c r="F9" s="78">
        <v>5</v>
      </c>
      <c r="G9" s="76">
        <v>8</v>
      </c>
      <c r="H9" s="77">
        <v>9</v>
      </c>
      <c r="I9" s="77">
        <v>10</v>
      </c>
      <c r="J9" s="77">
        <v>11</v>
      </c>
      <c r="K9" s="78">
        <v>12</v>
      </c>
      <c r="L9" s="76">
        <v>15</v>
      </c>
      <c r="M9" s="77">
        <v>16</v>
      </c>
      <c r="N9" s="77">
        <v>17</v>
      </c>
      <c r="O9" s="77">
        <v>18</v>
      </c>
      <c r="P9" s="78">
        <v>19</v>
      </c>
      <c r="Q9" s="76">
        <v>22</v>
      </c>
      <c r="R9" s="77">
        <v>23</v>
      </c>
      <c r="S9" s="77">
        <v>24</v>
      </c>
      <c r="T9" s="77">
        <v>25</v>
      </c>
      <c r="U9" s="78">
        <v>26</v>
      </c>
      <c r="V9" s="76">
        <v>29</v>
      </c>
      <c r="W9" s="78">
        <v>30</v>
      </c>
      <c r="X9" s="81"/>
      <c r="Y9" s="81"/>
      <c r="Z9" s="81"/>
      <c r="AA9" s="80">
        <v>7</v>
      </c>
      <c r="AB9" s="86">
        <v>43912</v>
      </c>
      <c r="AC9" s="86" t="s">
        <v>125</v>
      </c>
      <c r="AD9" s="87">
        <v>46362</v>
      </c>
      <c r="AE9" s="86">
        <v>564.9</v>
      </c>
      <c r="AF9" s="87">
        <v>46057</v>
      </c>
      <c r="AG9" s="86" t="s">
        <v>55</v>
      </c>
      <c r="AH9" s="52">
        <v>71</v>
      </c>
    </row>
    <row r="10" spans="1:34" ht="13.2" x14ac:dyDescent="0.25">
      <c r="A10" s="81"/>
      <c r="B10" s="90" t="s">
        <v>15</v>
      </c>
      <c r="C10" s="95">
        <v>54</v>
      </c>
      <c r="D10" s="95"/>
      <c r="E10" s="95">
        <v>45</v>
      </c>
      <c r="F10" s="2">
        <v>51</v>
      </c>
      <c r="G10" s="2">
        <v>51</v>
      </c>
      <c r="H10" s="95">
        <v>31</v>
      </c>
      <c r="I10" s="95">
        <v>27</v>
      </c>
      <c r="J10" s="95">
        <v>10</v>
      </c>
      <c r="K10" s="95">
        <v>20</v>
      </c>
      <c r="L10" s="106">
        <v>0</v>
      </c>
      <c r="M10" s="95">
        <v>10</v>
      </c>
      <c r="N10" s="95">
        <v>0</v>
      </c>
      <c r="O10" s="95"/>
      <c r="P10" s="95">
        <v>0</v>
      </c>
      <c r="Q10" s="95">
        <v>0</v>
      </c>
      <c r="R10" s="107">
        <v>26</v>
      </c>
      <c r="S10" s="74">
        <v>3</v>
      </c>
      <c r="T10" s="108">
        <v>0</v>
      </c>
      <c r="U10" s="95">
        <v>0</v>
      </c>
      <c r="V10" s="95">
        <v>0</v>
      </c>
      <c r="W10" s="95"/>
      <c r="X10" s="81"/>
      <c r="Y10" s="81"/>
      <c r="Z10" s="81"/>
      <c r="AA10" s="80">
        <v>8</v>
      </c>
      <c r="AB10" s="111">
        <v>44200</v>
      </c>
      <c r="AC10" s="111" t="s">
        <v>126</v>
      </c>
      <c r="AD10" s="87">
        <v>46190</v>
      </c>
      <c r="AE10" s="86">
        <v>203.45</v>
      </c>
      <c r="AF10" s="87">
        <v>46139</v>
      </c>
      <c r="AG10" s="86" t="s">
        <v>55</v>
      </c>
      <c r="AH10" s="52">
        <v>51</v>
      </c>
    </row>
    <row r="11" spans="1:34" ht="13.2" x14ac:dyDescent="0.25">
      <c r="A11" s="81"/>
      <c r="B11" s="90" t="s">
        <v>16</v>
      </c>
      <c r="C11" s="95">
        <v>0</v>
      </c>
      <c r="D11" s="95"/>
      <c r="E11" s="95">
        <v>0</v>
      </c>
      <c r="F11" s="2">
        <v>1</v>
      </c>
      <c r="G11" s="2">
        <v>1</v>
      </c>
      <c r="H11" s="95">
        <v>1</v>
      </c>
      <c r="I11" s="95">
        <v>0</v>
      </c>
      <c r="J11" s="95">
        <v>0</v>
      </c>
      <c r="K11" s="95">
        <v>0</v>
      </c>
      <c r="L11" s="106">
        <v>0</v>
      </c>
      <c r="M11" s="95">
        <v>0</v>
      </c>
      <c r="N11" s="95">
        <v>0</v>
      </c>
      <c r="O11" s="95"/>
      <c r="P11" s="95">
        <v>0</v>
      </c>
      <c r="Q11" s="95">
        <v>0</v>
      </c>
      <c r="R11" s="107">
        <v>0</v>
      </c>
      <c r="S11" s="74">
        <v>0</v>
      </c>
      <c r="T11" s="108">
        <v>0</v>
      </c>
      <c r="U11" s="95">
        <v>0</v>
      </c>
      <c r="V11" s="95">
        <v>0</v>
      </c>
      <c r="W11" s="95"/>
      <c r="X11" s="81"/>
      <c r="Y11" s="81"/>
      <c r="Z11" s="81"/>
      <c r="AA11" s="115">
        <v>9</v>
      </c>
      <c r="AB11" s="116">
        <v>36451</v>
      </c>
      <c r="AC11" s="116" t="s">
        <v>127</v>
      </c>
      <c r="AD11" s="117">
        <v>46191</v>
      </c>
      <c r="AE11" s="114">
        <v>398.24</v>
      </c>
      <c r="AF11" s="117">
        <v>46358</v>
      </c>
      <c r="AG11" s="114" t="s">
        <v>57</v>
      </c>
      <c r="AH11" s="114">
        <v>126</v>
      </c>
    </row>
    <row r="12" spans="1:34" ht="13.2" x14ac:dyDescent="0.25">
      <c r="A12" s="81"/>
      <c r="B12" s="90" t="s">
        <v>17</v>
      </c>
      <c r="C12" s="95">
        <v>0</v>
      </c>
      <c r="D12" s="95"/>
      <c r="E12" s="95">
        <v>0</v>
      </c>
      <c r="F12" s="2">
        <v>0</v>
      </c>
      <c r="G12" s="2">
        <v>0</v>
      </c>
      <c r="H12" s="95">
        <v>0</v>
      </c>
      <c r="I12" s="95">
        <v>0</v>
      </c>
      <c r="J12" s="95">
        <v>0</v>
      </c>
      <c r="K12" s="95">
        <v>0</v>
      </c>
      <c r="L12" s="106">
        <v>0</v>
      </c>
      <c r="M12" s="95">
        <v>0</v>
      </c>
      <c r="N12" s="95">
        <v>0</v>
      </c>
      <c r="O12" s="95"/>
      <c r="P12" s="95">
        <v>0</v>
      </c>
      <c r="Q12" s="95">
        <v>0</v>
      </c>
      <c r="R12" s="107">
        <v>0</v>
      </c>
      <c r="S12" s="74">
        <v>0</v>
      </c>
      <c r="T12" s="108">
        <v>0</v>
      </c>
      <c r="U12" s="95">
        <v>0</v>
      </c>
      <c r="V12" s="95">
        <v>0</v>
      </c>
      <c r="W12" s="95"/>
      <c r="X12" s="81"/>
      <c r="Y12" s="81"/>
      <c r="Z12" s="81"/>
      <c r="AA12" s="80">
        <v>10</v>
      </c>
      <c r="AB12" s="86">
        <v>42285</v>
      </c>
      <c r="AC12" s="86" t="s">
        <v>128</v>
      </c>
      <c r="AD12" s="87">
        <v>46191</v>
      </c>
      <c r="AE12" s="86">
        <v>1277</v>
      </c>
      <c r="AF12" s="87">
        <v>46026</v>
      </c>
      <c r="AG12" s="86" t="s">
        <v>58</v>
      </c>
      <c r="AH12" s="52">
        <v>78</v>
      </c>
    </row>
    <row r="13" spans="1:34" ht="13.2" x14ac:dyDescent="0.25">
      <c r="A13" s="81"/>
      <c r="B13" s="90" t="s">
        <v>18</v>
      </c>
      <c r="C13" s="95">
        <v>0</v>
      </c>
      <c r="D13" s="95"/>
      <c r="E13" s="95">
        <v>0</v>
      </c>
      <c r="F13" s="2">
        <v>0</v>
      </c>
      <c r="G13" s="2">
        <v>0</v>
      </c>
      <c r="H13" s="95">
        <v>0</v>
      </c>
      <c r="I13" s="95">
        <v>0</v>
      </c>
      <c r="J13" s="95">
        <v>0</v>
      </c>
      <c r="K13" s="95">
        <v>0</v>
      </c>
      <c r="L13" s="106">
        <v>0</v>
      </c>
      <c r="M13" s="95">
        <v>0</v>
      </c>
      <c r="N13" s="95">
        <v>0</v>
      </c>
      <c r="O13" s="95"/>
      <c r="P13" s="95">
        <v>0</v>
      </c>
      <c r="Q13" s="95">
        <v>0</v>
      </c>
      <c r="R13" s="107">
        <v>0</v>
      </c>
      <c r="S13" s="74">
        <v>0</v>
      </c>
      <c r="T13" s="108">
        <v>0</v>
      </c>
      <c r="U13" s="95">
        <v>0</v>
      </c>
      <c r="V13" s="95">
        <v>0</v>
      </c>
      <c r="W13" s="95"/>
      <c r="X13" s="81"/>
      <c r="Y13" s="81"/>
      <c r="Z13" s="81"/>
      <c r="AA13" s="80">
        <v>11</v>
      </c>
      <c r="AB13" s="86">
        <v>38884</v>
      </c>
      <c r="AC13" s="86" t="s">
        <v>129</v>
      </c>
      <c r="AD13" s="87">
        <v>46191</v>
      </c>
      <c r="AE13" s="86">
        <v>278.36</v>
      </c>
      <c r="AF13" s="87">
        <v>46129</v>
      </c>
      <c r="AG13" s="86" t="s">
        <v>55</v>
      </c>
      <c r="AH13" s="52">
        <v>62</v>
      </c>
    </row>
    <row r="14" spans="1:34" ht="13.2" x14ac:dyDescent="0.25">
      <c r="A14" s="81"/>
      <c r="B14" s="90" t="s">
        <v>51</v>
      </c>
      <c r="C14" s="95">
        <v>345</v>
      </c>
      <c r="D14" s="95"/>
      <c r="E14" s="95">
        <v>351</v>
      </c>
      <c r="F14" s="2">
        <v>356</v>
      </c>
      <c r="G14" s="2">
        <v>356</v>
      </c>
      <c r="H14" s="106">
        <v>371</v>
      </c>
      <c r="I14" s="95">
        <v>409</v>
      </c>
      <c r="J14" s="95">
        <v>422</v>
      </c>
      <c r="K14" s="95">
        <v>421</v>
      </c>
      <c r="L14" s="106">
        <v>707</v>
      </c>
      <c r="M14" s="95">
        <v>457</v>
      </c>
      <c r="N14" s="95">
        <v>464</v>
      </c>
      <c r="O14" s="95"/>
      <c r="P14" s="95">
        <v>482</v>
      </c>
      <c r="Q14" s="95">
        <v>472</v>
      </c>
      <c r="R14" s="107">
        <v>490</v>
      </c>
      <c r="S14" s="74">
        <v>507</v>
      </c>
      <c r="T14" s="108">
        <v>511</v>
      </c>
      <c r="U14" s="95">
        <v>530</v>
      </c>
      <c r="V14" s="95">
        <v>530</v>
      </c>
      <c r="W14" s="95"/>
      <c r="X14" s="81"/>
      <c r="Y14" s="81"/>
      <c r="Z14" s="81"/>
      <c r="AA14" s="80">
        <v>12</v>
      </c>
      <c r="AB14" s="111">
        <v>45080</v>
      </c>
      <c r="AC14" s="111" t="s">
        <v>130</v>
      </c>
      <c r="AD14" s="118">
        <v>46191</v>
      </c>
      <c r="AE14" s="86">
        <v>164.75</v>
      </c>
      <c r="AF14" s="87">
        <v>46142</v>
      </c>
      <c r="AG14" s="86" t="s">
        <v>59</v>
      </c>
      <c r="AH14" s="52">
        <v>49</v>
      </c>
    </row>
    <row r="15" spans="1:34" ht="13.2" x14ac:dyDescent="0.25">
      <c r="A15" s="81"/>
      <c r="B15" s="90" t="s">
        <v>52</v>
      </c>
      <c r="C15" s="95">
        <v>79</v>
      </c>
      <c r="D15" s="95"/>
      <c r="E15" s="95">
        <v>79</v>
      </c>
      <c r="F15" s="2">
        <v>79</v>
      </c>
      <c r="G15" s="2">
        <v>79</v>
      </c>
      <c r="H15" s="95">
        <v>79</v>
      </c>
      <c r="I15" s="95">
        <v>79</v>
      </c>
      <c r="J15" s="95">
        <v>79</v>
      </c>
      <c r="K15" s="95">
        <v>78</v>
      </c>
      <c r="L15" s="106">
        <v>102</v>
      </c>
      <c r="M15" s="95">
        <v>76</v>
      </c>
      <c r="N15" s="95">
        <v>75</v>
      </c>
      <c r="O15" s="95"/>
      <c r="P15" s="95">
        <v>75</v>
      </c>
      <c r="Q15" s="95">
        <v>74</v>
      </c>
      <c r="R15" s="107">
        <v>76</v>
      </c>
      <c r="S15" s="74">
        <v>77</v>
      </c>
      <c r="T15" s="108">
        <v>78</v>
      </c>
      <c r="U15" s="95">
        <v>75</v>
      </c>
      <c r="V15" s="95">
        <v>75</v>
      </c>
      <c r="W15" s="95"/>
      <c r="X15" s="81"/>
      <c r="Y15" s="81"/>
      <c r="Z15" s="81"/>
      <c r="AA15" s="80">
        <v>13</v>
      </c>
      <c r="AB15" s="111">
        <v>31636</v>
      </c>
      <c r="AC15" s="111" t="s">
        <v>131</v>
      </c>
      <c r="AD15" s="118">
        <v>46191</v>
      </c>
      <c r="AE15" s="86">
        <v>287.23</v>
      </c>
      <c r="AF15" s="87">
        <v>46126</v>
      </c>
      <c r="AG15" s="86" t="s">
        <v>55</v>
      </c>
      <c r="AH15" s="52">
        <v>65</v>
      </c>
    </row>
    <row r="16" spans="1:34" ht="13.2" x14ac:dyDescent="0.25">
      <c r="A16" s="81"/>
      <c r="B16" s="90" t="s">
        <v>22</v>
      </c>
      <c r="C16" s="95">
        <v>0</v>
      </c>
      <c r="D16" s="95"/>
      <c r="E16" s="95">
        <v>0</v>
      </c>
      <c r="F16" s="95">
        <v>0</v>
      </c>
      <c r="G16" s="95">
        <v>0</v>
      </c>
      <c r="H16" s="95">
        <v>0</v>
      </c>
      <c r="I16" s="95">
        <v>0</v>
      </c>
      <c r="J16" s="95">
        <v>0</v>
      </c>
      <c r="K16" s="95">
        <v>0</v>
      </c>
      <c r="L16" s="106">
        <v>1</v>
      </c>
      <c r="M16" s="95">
        <v>0</v>
      </c>
      <c r="N16" s="95">
        <v>1</v>
      </c>
      <c r="O16" s="95"/>
      <c r="P16" s="95">
        <v>1</v>
      </c>
      <c r="Q16" s="95">
        <v>1</v>
      </c>
      <c r="R16" s="107">
        <v>1</v>
      </c>
      <c r="S16" s="74">
        <v>1</v>
      </c>
      <c r="T16" s="108">
        <v>1</v>
      </c>
      <c r="U16" s="95">
        <v>0</v>
      </c>
      <c r="V16" s="95">
        <v>0</v>
      </c>
      <c r="W16" s="95"/>
      <c r="X16" s="81"/>
      <c r="Y16" s="81"/>
      <c r="Z16" s="81"/>
      <c r="AA16" s="80">
        <v>14</v>
      </c>
      <c r="AB16" s="86">
        <v>42559</v>
      </c>
      <c r="AC16" s="86" t="s">
        <v>132</v>
      </c>
      <c r="AD16" s="87">
        <v>46192</v>
      </c>
      <c r="AE16" s="86">
        <v>484.4</v>
      </c>
      <c r="AF16" s="87">
        <v>46136</v>
      </c>
      <c r="AG16" s="86" t="s">
        <v>55</v>
      </c>
      <c r="AH16" s="52">
        <v>56</v>
      </c>
    </row>
    <row r="17" spans="1:34" ht="13.2" x14ac:dyDescent="0.25">
      <c r="A17" s="81"/>
      <c r="B17" s="90" t="s">
        <v>23</v>
      </c>
      <c r="C17" s="95">
        <v>0</v>
      </c>
      <c r="D17" s="95"/>
      <c r="E17" s="95">
        <v>0</v>
      </c>
      <c r="F17" s="95">
        <v>0</v>
      </c>
      <c r="G17" s="95">
        <v>0</v>
      </c>
      <c r="H17" s="95">
        <v>0</v>
      </c>
      <c r="I17" s="95">
        <v>0</v>
      </c>
      <c r="J17" s="95">
        <v>0</v>
      </c>
      <c r="K17" s="95">
        <v>0</v>
      </c>
      <c r="L17" s="106">
        <v>2</v>
      </c>
      <c r="M17" s="95">
        <v>0</v>
      </c>
      <c r="N17" s="95">
        <v>0</v>
      </c>
      <c r="O17" s="95"/>
      <c r="P17" s="95">
        <v>0</v>
      </c>
      <c r="Q17" s="95">
        <v>0</v>
      </c>
      <c r="R17" s="107">
        <v>0</v>
      </c>
      <c r="S17" s="74">
        <v>0</v>
      </c>
      <c r="T17" s="108">
        <v>0</v>
      </c>
      <c r="U17" s="95">
        <v>0</v>
      </c>
      <c r="V17" s="95">
        <v>0</v>
      </c>
      <c r="W17" s="95"/>
      <c r="X17" s="81"/>
      <c r="Y17" s="81"/>
      <c r="Z17" s="81"/>
      <c r="AA17" s="115">
        <v>15</v>
      </c>
      <c r="AB17" s="116">
        <v>29084</v>
      </c>
      <c r="AC17" s="116" t="s">
        <v>133</v>
      </c>
      <c r="AD17" s="117">
        <v>46192</v>
      </c>
      <c r="AE17" s="114">
        <v>201.15</v>
      </c>
      <c r="AF17" s="117">
        <v>46038</v>
      </c>
      <c r="AG17" s="114" t="s">
        <v>55</v>
      </c>
      <c r="AH17" s="114">
        <v>154</v>
      </c>
    </row>
    <row r="18" spans="1:34" ht="13.2" x14ac:dyDescent="0.25">
      <c r="A18" s="81"/>
      <c r="B18" s="90" t="s">
        <v>24</v>
      </c>
      <c r="C18" s="95">
        <v>0</v>
      </c>
      <c r="D18" s="95"/>
      <c r="E18" s="95">
        <v>0</v>
      </c>
      <c r="F18" s="95">
        <v>0</v>
      </c>
      <c r="G18" s="95">
        <v>0</v>
      </c>
      <c r="H18" s="95">
        <v>0</v>
      </c>
      <c r="I18" s="95">
        <v>2</v>
      </c>
      <c r="J18" s="95">
        <v>6</v>
      </c>
      <c r="K18" s="95">
        <v>6</v>
      </c>
      <c r="L18" s="106">
        <v>12</v>
      </c>
      <c r="M18" s="95">
        <v>13</v>
      </c>
      <c r="N18" s="95">
        <v>14</v>
      </c>
      <c r="O18" s="95"/>
      <c r="P18" s="95">
        <v>16</v>
      </c>
      <c r="Q18" s="95">
        <v>25</v>
      </c>
      <c r="R18" s="107">
        <v>25</v>
      </c>
      <c r="S18" s="74">
        <v>26</v>
      </c>
      <c r="T18" s="108">
        <v>26</v>
      </c>
      <c r="U18" s="95">
        <v>41</v>
      </c>
      <c r="V18" s="95">
        <v>41</v>
      </c>
      <c r="W18" s="95"/>
      <c r="X18" s="81"/>
      <c r="Y18" s="81"/>
      <c r="Z18" s="81"/>
      <c r="AA18" s="115">
        <v>16</v>
      </c>
      <c r="AB18" s="116">
        <v>41123</v>
      </c>
      <c r="AC18" s="116" t="s">
        <v>134</v>
      </c>
      <c r="AD18" s="117">
        <v>46197</v>
      </c>
      <c r="AE18" s="114">
        <v>629.9</v>
      </c>
      <c r="AF18" s="117">
        <v>46003</v>
      </c>
      <c r="AG18" s="114" t="s">
        <v>55</v>
      </c>
      <c r="AH18" s="114">
        <v>194</v>
      </c>
    </row>
    <row r="19" spans="1:34" ht="13.2" x14ac:dyDescent="0.25">
      <c r="A19" s="81"/>
      <c r="B19" s="90" t="s">
        <v>25</v>
      </c>
      <c r="C19" s="95">
        <v>0</v>
      </c>
      <c r="D19" s="95"/>
      <c r="E19" s="95">
        <v>0</v>
      </c>
      <c r="F19" s="95">
        <v>0</v>
      </c>
      <c r="G19" s="95">
        <v>0</v>
      </c>
      <c r="H19" s="95">
        <v>0</v>
      </c>
      <c r="I19" s="95">
        <v>0</v>
      </c>
      <c r="J19" s="95">
        <v>0</v>
      </c>
      <c r="K19" s="95">
        <v>0</v>
      </c>
      <c r="L19" s="106">
        <v>3</v>
      </c>
      <c r="M19" s="95">
        <v>0</v>
      </c>
      <c r="N19" s="95">
        <v>0</v>
      </c>
      <c r="O19" s="95"/>
      <c r="P19" s="95">
        <v>0</v>
      </c>
      <c r="Q19" s="95">
        <v>0</v>
      </c>
      <c r="R19" s="107">
        <v>0</v>
      </c>
      <c r="S19" s="74">
        <v>0</v>
      </c>
      <c r="T19" s="108">
        <v>0</v>
      </c>
      <c r="U19" s="95">
        <v>0</v>
      </c>
      <c r="V19" s="95">
        <v>0</v>
      </c>
      <c r="W19" s="95"/>
      <c r="X19" s="81"/>
      <c r="Y19" s="81"/>
      <c r="Z19" s="81"/>
      <c r="AA19" s="115">
        <v>17</v>
      </c>
      <c r="AB19" s="116">
        <v>38358</v>
      </c>
      <c r="AC19" s="116" t="s">
        <v>135</v>
      </c>
      <c r="AD19" s="117">
        <v>46198</v>
      </c>
      <c r="AE19" s="114">
        <v>163.25</v>
      </c>
      <c r="AF19" s="117">
        <v>46072</v>
      </c>
      <c r="AG19" s="114" t="s">
        <v>55</v>
      </c>
      <c r="AH19" s="114">
        <v>126</v>
      </c>
    </row>
    <row r="20" spans="1:34" ht="13.2" x14ac:dyDescent="0.25">
      <c r="A20" s="81"/>
      <c r="B20" s="90" t="s">
        <v>26</v>
      </c>
      <c r="C20" s="95">
        <v>0</v>
      </c>
      <c r="D20" s="95"/>
      <c r="E20" s="95">
        <v>0</v>
      </c>
      <c r="F20" s="95">
        <v>0</v>
      </c>
      <c r="G20" s="95">
        <v>0</v>
      </c>
      <c r="H20" s="95">
        <v>0</v>
      </c>
      <c r="I20" s="95">
        <v>0</v>
      </c>
      <c r="J20" s="95">
        <v>0</v>
      </c>
      <c r="K20" s="95">
        <v>0</v>
      </c>
      <c r="L20" s="106">
        <v>0</v>
      </c>
      <c r="M20" s="95">
        <v>0</v>
      </c>
      <c r="N20" s="95">
        <v>0</v>
      </c>
      <c r="O20" s="95"/>
      <c r="P20" s="95">
        <v>0</v>
      </c>
      <c r="Q20" s="95">
        <v>0</v>
      </c>
      <c r="R20" s="107">
        <v>0</v>
      </c>
      <c r="S20" s="74">
        <v>0</v>
      </c>
      <c r="T20" s="108">
        <v>0</v>
      </c>
      <c r="U20" s="95">
        <v>0</v>
      </c>
      <c r="V20" s="95">
        <v>0</v>
      </c>
      <c r="W20" s="95"/>
      <c r="X20" s="81"/>
      <c r="Y20" s="81"/>
      <c r="Z20" s="81"/>
      <c r="AA20" s="80">
        <v>18</v>
      </c>
      <c r="AB20" s="111">
        <v>30929</v>
      </c>
      <c r="AC20" s="111" t="s">
        <v>136</v>
      </c>
      <c r="AD20" s="87">
        <v>46199</v>
      </c>
      <c r="AE20" s="86">
        <v>1258</v>
      </c>
      <c r="AF20" s="87">
        <v>46239</v>
      </c>
      <c r="AG20" s="86" t="s">
        <v>7</v>
      </c>
      <c r="AH20" s="52">
        <v>49</v>
      </c>
    </row>
    <row r="21" spans="1:34" ht="13.2" x14ac:dyDescent="0.25">
      <c r="A21" s="81"/>
      <c r="B21" s="102" t="s">
        <v>11</v>
      </c>
      <c r="C21" s="102">
        <v>478</v>
      </c>
      <c r="D21" s="102">
        <v>0</v>
      </c>
      <c r="E21" s="102">
        <v>475</v>
      </c>
      <c r="F21" s="102">
        <v>487</v>
      </c>
      <c r="G21" s="102">
        <v>487</v>
      </c>
      <c r="H21" s="102">
        <v>482</v>
      </c>
      <c r="I21" s="102">
        <v>517</v>
      </c>
      <c r="J21" s="102">
        <v>517</v>
      </c>
      <c r="K21" s="102">
        <v>525</v>
      </c>
      <c r="L21" s="102">
        <v>827</v>
      </c>
      <c r="M21" s="102">
        <v>556</v>
      </c>
      <c r="N21" s="102">
        <v>554</v>
      </c>
      <c r="O21" s="102">
        <v>0</v>
      </c>
      <c r="P21" s="102">
        <v>574</v>
      </c>
      <c r="Q21" s="102">
        <v>572</v>
      </c>
      <c r="R21" s="102">
        <v>618</v>
      </c>
      <c r="S21" s="102">
        <v>614</v>
      </c>
      <c r="T21" s="102">
        <v>616</v>
      </c>
      <c r="U21" s="102">
        <v>646</v>
      </c>
      <c r="V21" s="102">
        <v>646</v>
      </c>
      <c r="W21" s="102">
        <v>0</v>
      </c>
      <c r="X21" s="81"/>
      <c r="Y21" s="81"/>
      <c r="Z21" s="81"/>
      <c r="AA21" s="80">
        <v>19</v>
      </c>
      <c r="AB21" s="111">
        <v>28933</v>
      </c>
      <c r="AC21" s="111" t="s">
        <v>137</v>
      </c>
      <c r="AD21" s="87">
        <v>46199</v>
      </c>
      <c r="AE21" s="86">
        <v>471.98</v>
      </c>
      <c r="AF21" s="87">
        <v>46239</v>
      </c>
      <c r="AG21" s="86" t="s">
        <v>7</v>
      </c>
      <c r="AH21" s="52">
        <v>49</v>
      </c>
    </row>
    <row r="22" spans="1:34" ht="13.2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0">
        <v>20</v>
      </c>
      <c r="AB22" s="111">
        <v>38139</v>
      </c>
      <c r="AC22" s="111" t="s">
        <v>138</v>
      </c>
      <c r="AD22" s="87">
        <v>46199</v>
      </c>
      <c r="AE22" s="86">
        <v>183.75</v>
      </c>
      <c r="AF22" s="87">
        <v>46239</v>
      </c>
      <c r="AG22" s="86" t="s">
        <v>60</v>
      </c>
      <c r="AH22" s="52">
        <v>49</v>
      </c>
    </row>
    <row r="23" spans="1:34" ht="13.2" x14ac:dyDescent="0.25">
      <c r="A23" s="81"/>
      <c r="B23" s="75" t="s">
        <v>53</v>
      </c>
      <c r="C23" s="76">
        <v>1</v>
      </c>
      <c r="D23" s="77">
        <v>2</v>
      </c>
      <c r="E23" s="77">
        <v>3</v>
      </c>
      <c r="F23" s="78">
        <v>5</v>
      </c>
      <c r="G23" s="76">
        <v>8</v>
      </c>
      <c r="H23" s="77">
        <v>9</v>
      </c>
      <c r="I23" s="77">
        <v>10</v>
      </c>
      <c r="J23" s="77">
        <v>11</v>
      </c>
      <c r="K23" s="78">
        <v>12</v>
      </c>
      <c r="L23" s="76">
        <v>15</v>
      </c>
      <c r="M23" s="77">
        <v>16</v>
      </c>
      <c r="N23" s="77">
        <v>17</v>
      </c>
      <c r="O23" s="77">
        <v>18</v>
      </c>
      <c r="P23" s="78">
        <v>19</v>
      </c>
      <c r="Q23" s="76">
        <v>22</v>
      </c>
      <c r="R23" s="77">
        <v>23</v>
      </c>
      <c r="S23" s="77">
        <v>24</v>
      </c>
      <c r="T23" s="77">
        <v>25</v>
      </c>
      <c r="U23" s="78">
        <v>26</v>
      </c>
      <c r="V23" s="76">
        <v>29</v>
      </c>
      <c r="W23" s="78">
        <v>30</v>
      </c>
      <c r="X23" s="79" t="s">
        <v>11</v>
      </c>
      <c r="Y23" s="81"/>
      <c r="Z23" s="81"/>
      <c r="AA23" s="80">
        <v>21</v>
      </c>
      <c r="AB23" s="111">
        <v>34343</v>
      </c>
      <c r="AC23" s="111" t="s">
        <v>139</v>
      </c>
      <c r="AD23" s="87">
        <v>46199</v>
      </c>
      <c r="AE23" s="86">
        <v>504.17</v>
      </c>
      <c r="AF23" s="87">
        <v>46239</v>
      </c>
      <c r="AG23" s="86" t="s">
        <v>7</v>
      </c>
      <c r="AH23" s="52">
        <v>49</v>
      </c>
    </row>
    <row r="24" spans="1:34" ht="13.2" x14ac:dyDescent="0.25">
      <c r="A24" s="81"/>
      <c r="B24" s="74" t="s">
        <v>2</v>
      </c>
      <c r="C24" s="80">
        <v>17</v>
      </c>
      <c r="D24" s="80">
        <v>17</v>
      </c>
      <c r="E24" s="80">
        <v>17</v>
      </c>
      <c r="F24" s="80">
        <v>17</v>
      </c>
      <c r="G24" s="80">
        <v>17</v>
      </c>
      <c r="H24" s="80">
        <v>17</v>
      </c>
      <c r="I24" s="80">
        <v>17</v>
      </c>
      <c r="J24" s="80">
        <v>17</v>
      </c>
      <c r="K24" s="80">
        <v>17</v>
      </c>
      <c r="L24" s="80">
        <v>17</v>
      </c>
      <c r="M24" s="80">
        <v>17</v>
      </c>
      <c r="N24" s="80">
        <v>17</v>
      </c>
      <c r="O24" s="80">
        <v>17</v>
      </c>
      <c r="P24" s="80">
        <v>17</v>
      </c>
      <c r="Q24" s="80">
        <v>17</v>
      </c>
      <c r="R24" s="80">
        <v>17</v>
      </c>
      <c r="S24" s="80">
        <v>17</v>
      </c>
      <c r="T24" s="80">
        <v>16</v>
      </c>
      <c r="U24" s="80">
        <v>15</v>
      </c>
      <c r="V24" s="80">
        <v>15</v>
      </c>
      <c r="W24" s="80">
        <v>15</v>
      </c>
      <c r="X24" s="74">
        <v>350</v>
      </c>
      <c r="Y24" s="81"/>
      <c r="Z24" s="81"/>
      <c r="AA24" s="156" t="s">
        <v>117</v>
      </c>
      <c r="AB24" s="157">
        <v>25853</v>
      </c>
      <c r="AC24" s="157" t="s">
        <v>140</v>
      </c>
      <c r="AD24" s="158">
        <v>46029</v>
      </c>
      <c r="AE24" s="155">
        <v>389.9</v>
      </c>
      <c r="AF24" s="158">
        <v>46147</v>
      </c>
      <c r="AG24" s="155" t="s">
        <v>7</v>
      </c>
      <c r="AH24" s="155">
        <v>56</v>
      </c>
    </row>
    <row r="25" spans="1:34" ht="13.2" x14ac:dyDescent="0.25">
      <c r="A25" s="81"/>
      <c r="B25" s="74" t="s">
        <v>115</v>
      </c>
      <c r="C25" s="80">
        <v>0</v>
      </c>
      <c r="D25" s="80">
        <v>0</v>
      </c>
      <c r="E25" s="80">
        <v>12</v>
      </c>
      <c r="F25" s="80">
        <v>20</v>
      </c>
      <c r="G25" s="80">
        <v>20</v>
      </c>
      <c r="H25" s="80">
        <v>21</v>
      </c>
      <c r="I25" s="80">
        <v>14</v>
      </c>
      <c r="J25" s="80">
        <v>25</v>
      </c>
      <c r="K25" s="80">
        <v>20</v>
      </c>
      <c r="L25" s="80">
        <v>10</v>
      </c>
      <c r="M25" s="80">
        <v>20</v>
      </c>
      <c r="N25" s="80">
        <v>0</v>
      </c>
      <c r="O25" s="80">
        <v>20</v>
      </c>
      <c r="P25" s="80">
        <v>20</v>
      </c>
      <c r="Q25" s="80">
        <v>20</v>
      </c>
      <c r="R25" s="80">
        <v>20</v>
      </c>
      <c r="S25" s="80">
        <v>20</v>
      </c>
      <c r="T25" s="80">
        <v>13</v>
      </c>
      <c r="U25" s="80">
        <v>20</v>
      </c>
      <c r="V25" s="80">
        <v>30</v>
      </c>
      <c r="W25" s="80">
        <v>25</v>
      </c>
      <c r="X25" s="74">
        <v>350</v>
      </c>
      <c r="Y25" s="101">
        <v>0</v>
      </c>
      <c r="Z25" s="81"/>
      <c r="AA25" s="80"/>
      <c r="AB25" s="111"/>
      <c r="AC25" s="111"/>
      <c r="AD25" s="86"/>
      <c r="AE25" s="86"/>
      <c r="AF25" s="86"/>
      <c r="AG25" s="86"/>
      <c r="AH25" s="52"/>
    </row>
    <row r="26" spans="1:34" ht="13.2" x14ac:dyDescent="0.25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301"/>
      <c r="Y26" s="301"/>
      <c r="Z26" s="81"/>
      <c r="AA26" s="81"/>
      <c r="AE26" s="112">
        <v>5231.58</v>
      </c>
    </row>
    <row r="27" spans="1:34" ht="13.2" x14ac:dyDescent="0.25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</row>
    <row r="28" spans="1:34" ht="13.2" x14ac:dyDescent="0.25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</row>
    <row r="29" spans="1:34" ht="13.2" x14ac:dyDescent="0.25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</row>
    <row r="30" spans="1:34" ht="13.2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</row>
    <row r="31" spans="1:34" ht="13.2" x14ac:dyDescent="0.25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</row>
    <row r="32" spans="1:34" ht="13.2" x14ac:dyDescent="0.25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</row>
    <row r="33" spans="1:27" ht="13.2" x14ac:dyDescent="0.25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</row>
    <row r="34" spans="1:27" ht="13.2" x14ac:dyDescent="0.25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</row>
    <row r="35" spans="1:27" ht="13.2" x14ac:dyDescent="0.25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</row>
    <row r="36" spans="1:27" ht="13.2" x14ac:dyDescent="0.25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</row>
    <row r="37" spans="1:27" ht="13.2" x14ac:dyDescent="0.25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</row>
    <row r="38" spans="1:27" ht="13.2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</row>
    <row r="39" spans="1:27" ht="13.2" x14ac:dyDescent="0.25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</row>
    <row r="40" spans="1:27" ht="13.2" x14ac:dyDescent="0.25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</row>
    <row r="41" spans="1:27" ht="13.2" x14ac:dyDescent="0.25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</row>
    <row r="42" spans="1:27" ht="13.2" x14ac:dyDescent="0.25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</row>
    <row r="43" spans="1:27" ht="13.2" x14ac:dyDescent="0.25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</row>
    <row r="44" spans="1:27" ht="13.2" x14ac:dyDescent="0.25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</row>
    <row r="45" spans="1:27" ht="13.2" x14ac:dyDescent="0.2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</row>
    <row r="46" spans="1:27" ht="13.2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</row>
    <row r="47" spans="1:27" ht="13.2" x14ac:dyDescent="0.25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</row>
    <row r="48" spans="1:27" ht="13.2" x14ac:dyDescent="0.25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</row>
    <row r="49" spans="1:27" ht="13.2" x14ac:dyDescent="0.25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</row>
    <row r="50" spans="1:27" ht="13.2" x14ac:dyDescent="0.25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</row>
    <row r="51" spans="1:27" ht="13.2" x14ac:dyDescent="0.25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</row>
    <row r="52" spans="1:27" ht="13.2" x14ac:dyDescent="0.25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</row>
    <row r="53" spans="1:27" ht="13.2" x14ac:dyDescent="0.25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</row>
    <row r="54" spans="1:27" ht="13.2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</row>
    <row r="55" spans="1:27" ht="13.2" x14ac:dyDescent="0.2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</row>
    <row r="56" spans="1:27" ht="13.2" x14ac:dyDescent="0.25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</row>
    <row r="57" spans="1:27" ht="13.2" x14ac:dyDescent="0.25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</row>
    <row r="58" spans="1:27" ht="13.2" x14ac:dyDescent="0.25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</row>
    <row r="59" spans="1:27" ht="13.2" x14ac:dyDescent="0.25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</row>
    <row r="60" spans="1:27" ht="13.2" x14ac:dyDescent="0.25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</row>
    <row r="61" spans="1:27" ht="13.2" x14ac:dyDescent="0.25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</row>
    <row r="62" spans="1:27" ht="13.2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</row>
    <row r="63" spans="1:27" ht="13.2" x14ac:dyDescent="0.25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</row>
    <row r="64" spans="1:27" ht="13.2" x14ac:dyDescent="0.25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</row>
    <row r="65" spans="1:27" ht="13.2" x14ac:dyDescent="0.2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</row>
    <row r="66" spans="1:27" ht="13.2" x14ac:dyDescent="0.25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</row>
    <row r="67" spans="1:27" ht="13.2" x14ac:dyDescent="0.25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</row>
    <row r="68" spans="1:27" ht="13.2" x14ac:dyDescent="0.25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</row>
    <row r="69" spans="1:27" ht="13.2" x14ac:dyDescent="0.25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</row>
    <row r="70" spans="1:27" ht="13.2" x14ac:dyDescent="0.25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</row>
    <row r="71" spans="1:27" ht="13.2" x14ac:dyDescent="0.25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</row>
    <row r="72" spans="1:27" ht="13.2" x14ac:dyDescent="0.25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</row>
    <row r="73" spans="1:27" ht="13.2" x14ac:dyDescent="0.25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</row>
    <row r="74" spans="1:27" ht="13.2" x14ac:dyDescent="0.25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</row>
    <row r="75" spans="1:27" ht="13.2" x14ac:dyDescent="0.2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</row>
    <row r="76" spans="1:27" ht="13.2" x14ac:dyDescent="0.25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</row>
    <row r="77" spans="1:27" ht="13.2" x14ac:dyDescent="0.25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</row>
    <row r="78" spans="1:27" ht="13.2" x14ac:dyDescent="0.25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</row>
    <row r="79" spans="1:27" ht="13.2" x14ac:dyDescent="0.25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</row>
    <row r="80" spans="1:27" ht="13.2" x14ac:dyDescent="0.25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</row>
    <row r="81" spans="1:27" ht="13.2" x14ac:dyDescent="0.25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</row>
    <row r="82" spans="1:27" ht="13.2" x14ac:dyDescent="0.25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</row>
    <row r="83" spans="1:27" ht="13.2" x14ac:dyDescent="0.25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</row>
    <row r="84" spans="1:27" ht="13.2" x14ac:dyDescent="0.25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</row>
    <row r="85" spans="1:27" ht="13.2" x14ac:dyDescent="0.2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</row>
    <row r="86" spans="1:27" ht="13.2" x14ac:dyDescent="0.25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</row>
    <row r="87" spans="1:27" ht="13.2" x14ac:dyDescent="0.25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</row>
    <row r="88" spans="1:27" ht="13.2" x14ac:dyDescent="0.25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</row>
    <row r="89" spans="1:27" ht="13.2" x14ac:dyDescent="0.25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</row>
    <row r="90" spans="1:27" ht="13.2" x14ac:dyDescent="0.25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</row>
    <row r="91" spans="1:27" ht="13.2" x14ac:dyDescent="0.25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</row>
    <row r="92" spans="1:27" ht="13.2" x14ac:dyDescent="0.25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</row>
    <row r="93" spans="1:27" ht="13.2" x14ac:dyDescent="0.25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</row>
    <row r="94" spans="1:27" ht="13.2" x14ac:dyDescent="0.25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</row>
    <row r="95" spans="1:27" ht="13.2" x14ac:dyDescent="0.2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</row>
    <row r="96" spans="1:27" ht="13.2" x14ac:dyDescent="0.25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</row>
    <row r="97" spans="1:27" ht="13.2" x14ac:dyDescent="0.25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</row>
    <row r="98" spans="1:27" ht="13.2" x14ac:dyDescent="0.25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</row>
    <row r="99" spans="1:27" ht="13.2" x14ac:dyDescent="0.25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</row>
    <row r="100" spans="1:27" ht="13.2" x14ac:dyDescent="0.25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</row>
    <row r="101" spans="1:27" ht="13.2" x14ac:dyDescent="0.25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</row>
    <row r="102" spans="1:27" ht="13.2" x14ac:dyDescent="0.25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</row>
    <row r="103" spans="1:27" ht="13.2" x14ac:dyDescent="0.25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</row>
    <row r="104" spans="1:27" ht="13.2" x14ac:dyDescent="0.25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</row>
    <row r="105" spans="1:27" ht="13.2" x14ac:dyDescent="0.2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</row>
    <row r="106" spans="1:27" ht="13.2" x14ac:dyDescent="0.25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</row>
    <row r="107" spans="1:27" ht="13.2" x14ac:dyDescent="0.25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</row>
    <row r="108" spans="1:27" ht="13.2" x14ac:dyDescent="0.25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</row>
    <row r="109" spans="1:27" ht="13.2" x14ac:dyDescent="0.25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</row>
    <row r="110" spans="1:27" ht="13.2" x14ac:dyDescent="0.25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</row>
    <row r="111" spans="1:27" ht="13.2" x14ac:dyDescent="0.25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</row>
    <row r="112" spans="1:27" ht="13.2" x14ac:dyDescent="0.25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</row>
    <row r="113" spans="1:27" ht="13.2" x14ac:dyDescent="0.25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</row>
    <row r="114" spans="1:27" ht="13.2" x14ac:dyDescent="0.25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</row>
    <row r="115" spans="1:27" ht="13.2" x14ac:dyDescent="0.2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</row>
    <row r="116" spans="1:27" ht="13.2" x14ac:dyDescent="0.25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</row>
    <row r="117" spans="1:27" ht="13.2" x14ac:dyDescent="0.25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</row>
    <row r="118" spans="1:27" ht="13.2" x14ac:dyDescent="0.25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</row>
    <row r="119" spans="1:27" ht="13.2" x14ac:dyDescent="0.25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</row>
    <row r="120" spans="1:27" ht="13.2" x14ac:dyDescent="0.25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</row>
    <row r="121" spans="1:27" ht="13.2" x14ac:dyDescent="0.25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</row>
    <row r="122" spans="1:27" ht="13.2" x14ac:dyDescent="0.25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</row>
    <row r="123" spans="1:27" ht="13.2" x14ac:dyDescent="0.25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</row>
    <row r="124" spans="1:27" ht="13.2" x14ac:dyDescent="0.25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</row>
    <row r="125" spans="1:27" ht="13.2" x14ac:dyDescent="0.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</row>
    <row r="126" spans="1:27" ht="13.2" x14ac:dyDescent="0.25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</row>
    <row r="127" spans="1:27" ht="13.2" x14ac:dyDescent="0.25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</row>
    <row r="128" spans="1:27" ht="13.2" x14ac:dyDescent="0.25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</row>
    <row r="129" spans="1:27" ht="13.2" x14ac:dyDescent="0.25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</row>
    <row r="130" spans="1:27" ht="13.2" x14ac:dyDescent="0.25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</row>
    <row r="131" spans="1:27" ht="13.2" x14ac:dyDescent="0.25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</row>
    <row r="132" spans="1:27" ht="13.2" x14ac:dyDescent="0.25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</row>
    <row r="133" spans="1:27" ht="13.2" x14ac:dyDescent="0.25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</row>
    <row r="134" spans="1:27" ht="13.2" x14ac:dyDescent="0.25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</row>
    <row r="135" spans="1:27" ht="13.2" x14ac:dyDescent="0.2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</row>
    <row r="136" spans="1:27" ht="13.2" x14ac:dyDescent="0.25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</row>
    <row r="137" spans="1:27" ht="13.2" x14ac:dyDescent="0.25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</row>
    <row r="138" spans="1:27" ht="13.2" x14ac:dyDescent="0.25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</row>
    <row r="139" spans="1:27" ht="13.2" x14ac:dyDescent="0.25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</row>
    <row r="140" spans="1:27" ht="13.2" x14ac:dyDescent="0.25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</row>
    <row r="141" spans="1:27" ht="13.2" x14ac:dyDescent="0.25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</row>
    <row r="142" spans="1:27" ht="13.2" x14ac:dyDescent="0.25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</row>
    <row r="143" spans="1:27" ht="13.2" x14ac:dyDescent="0.25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</row>
    <row r="144" spans="1:27" ht="13.2" x14ac:dyDescent="0.25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</row>
    <row r="145" spans="1:27" ht="13.2" x14ac:dyDescent="0.2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</row>
    <row r="146" spans="1:27" ht="13.2" x14ac:dyDescent="0.25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</row>
    <row r="147" spans="1:27" ht="13.2" x14ac:dyDescent="0.25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</row>
    <row r="148" spans="1:27" ht="13.2" x14ac:dyDescent="0.25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</row>
    <row r="149" spans="1:27" ht="13.2" x14ac:dyDescent="0.25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</row>
    <row r="150" spans="1:27" ht="13.2" x14ac:dyDescent="0.25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</row>
    <row r="151" spans="1:27" ht="13.2" x14ac:dyDescent="0.25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</row>
    <row r="152" spans="1:27" ht="13.2" x14ac:dyDescent="0.25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</row>
    <row r="153" spans="1:27" ht="13.2" x14ac:dyDescent="0.25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</row>
    <row r="154" spans="1:27" ht="13.2" x14ac:dyDescent="0.25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</row>
    <row r="155" spans="1:27" ht="13.2" x14ac:dyDescent="0.2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</row>
    <row r="156" spans="1:27" ht="13.2" x14ac:dyDescent="0.25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</row>
    <row r="157" spans="1:27" ht="13.2" x14ac:dyDescent="0.25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</row>
    <row r="158" spans="1:27" ht="13.2" x14ac:dyDescent="0.25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</row>
    <row r="159" spans="1:27" ht="13.2" x14ac:dyDescent="0.25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</row>
    <row r="160" spans="1:27" ht="13.2" x14ac:dyDescent="0.25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</row>
    <row r="161" spans="1:27" ht="13.2" x14ac:dyDescent="0.25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</row>
    <row r="162" spans="1:27" ht="13.2" x14ac:dyDescent="0.25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</row>
    <row r="163" spans="1:27" ht="13.2" x14ac:dyDescent="0.25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</row>
    <row r="164" spans="1:27" ht="13.2" x14ac:dyDescent="0.25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</row>
    <row r="165" spans="1:27" ht="13.2" x14ac:dyDescent="0.2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</row>
    <row r="166" spans="1:27" ht="13.2" x14ac:dyDescent="0.25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</row>
    <row r="167" spans="1:27" ht="13.2" x14ac:dyDescent="0.25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</row>
    <row r="168" spans="1:27" ht="13.2" x14ac:dyDescent="0.25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</row>
    <row r="169" spans="1:27" ht="13.2" x14ac:dyDescent="0.25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</row>
    <row r="170" spans="1:27" ht="13.2" x14ac:dyDescent="0.25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</row>
    <row r="171" spans="1:27" ht="13.2" x14ac:dyDescent="0.25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</row>
    <row r="172" spans="1:27" ht="13.2" x14ac:dyDescent="0.25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</row>
    <row r="173" spans="1:27" ht="13.2" x14ac:dyDescent="0.25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</row>
    <row r="174" spans="1:27" ht="13.2" x14ac:dyDescent="0.25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</row>
    <row r="175" spans="1:27" ht="13.2" x14ac:dyDescent="0.2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</row>
    <row r="176" spans="1:27" ht="13.2" x14ac:dyDescent="0.25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</row>
    <row r="177" spans="1:27" ht="13.2" x14ac:dyDescent="0.25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</row>
    <row r="178" spans="1:27" ht="13.2" x14ac:dyDescent="0.25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</row>
    <row r="179" spans="1:27" ht="13.2" x14ac:dyDescent="0.25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</row>
    <row r="180" spans="1:27" ht="13.2" x14ac:dyDescent="0.25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</row>
    <row r="181" spans="1:27" ht="13.2" x14ac:dyDescent="0.25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</row>
    <row r="182" spans="1:27" ht="13.2" x14ac:dyDescent="0.25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</row>
    <row r="183" spans="1:27" ht="13.2" x14ac:dyDescent="0.25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</row>
    <row r="184" spans="1:27" ht="13.2" x14ac:dyDescent="0.25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</row>
    <row r="185" spans="1:27" ht="13.2" x14ac:dyDescent="0.2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</row>
    <row r="186" spans="1:27" ht="13.2" x14ac:dyDescent="0.25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</row>
    <row r="187" spans="1:27" ht="13.2" x14ac:dyDescent="0.25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</row>
    <row r="188" spans="1:27" ht="13.2" x14ac:dyDescent="0.25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</row>
    <row r="189" spans="1:27" ht="13.2" x14ac:dyDescent="0.25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</row>
    <row r="190" spans="1:27" ht="13.2" x14ac:dyDescent="0.25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</row>
    <row r="191" spans="1:27" ht="13.2" x14ac:dyDescent="0.25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</row>
    <row r="192" spans="1:27" ht="13.2" x14ac:dyDescent="0.25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</row>
    <row r="193" spans="1:27" ht="13.2" x14ac:dyDescent="0.25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</row>
    <row r="194" spans="1:27" ht="13.2" x14ac:dyDescent="0.25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</row>
    <row r="195" spans="1:27" ht="13.2" x14ac:dyDescent="0.2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</row>
    <row r="196" spans="1:27" ht="13.2" x14ac:dyDescent="0.25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</row>
    <row r="197" spans="1:27" ht="13.2" x14ac:dyDescent="0.25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</row>
    <row r="198" spans="1:27" ht="13.2" x14ac:dyDescent="0.25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</row>
    <row r="199" spans="1:27" ht="13.2" x14ac:dyDescent="0.25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</row>
    <row r="200" spans="1:27" ht="13.2" x14ac:dyDescent="0.25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</row>
    <row r="201" spans="1:27" ht="13.2" x14ac:dyDescent="0.25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</row>
    <row r="202" spans="1:27" ht="13.2" x14ac:dyDescent="0.25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</row>
    <row r="203" spans="1:27" ht="13.2" x14ac:dyDescent="0.25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</row>
    <row r="204" spans="1:27" ht="13.2" x14ac:dyDescent="0.25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</row>
    <row r="205" spans="1:27" ht="13.2" x14ac:dyDescent="0.2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</row>
    <row r="206" spans="1:27" ht="13.2" x14ac:dyDescent="0.25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</row>
    <row r="207" spans="1:27" ht="13.2" x14ac:dyDescent="0.25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</row>
    <row r="208" spans="1:27" ht="13.2" x14ac:dyDescent="0.25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</row>
    <row r="209" spans="1:27" ht="13.2" x14ac:dyDescent="0.25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</row>
    <row r="210" spans="1:27" ht="13.2" x14ac:dyDescent="0.25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</row>
    <row r="211" spans="1:27" ht="13.2" x14ac:dyDescent="0.25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</row>
    <row r="212" spans="1:27" ht="13.2" x14ac:dyDescent="0.25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</row>
    <row r="213" spans="1:27" ht="13.2" x14ac:dyDescent="0.25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</row>
    <row r="214" spans="1:27" ht="13.2" x14ac:dyDescent="0.25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</row>
    <row r="215" spans="1:27" ht="13.2" x14ac:dyDescent="0.2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</row>
    <row r="216" spans="1:27" ht="13.2" x14ac:dyDescent="0.25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</row>
    <row r="217" spans="1:27" ht="13.2" x14ac:dyDescent="0.25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</row>
    <row r="218" spans="1:27" ht="13.2" x14ac:dyDescent="0.25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</row>
    <row r="219" spans="1:27" ht="13.2" x14ac:dyDescent="0.25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</row>
    <row r="220" spans="1:27" ht="13.2" x14ac:dyDescent="0.25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</row>
    <row r="221" spans="1:27" ht="13.2" x14ac:dyDescent="0.25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</row>
    <row r="222" spans="1:27" ht="13.2" x14ac:dyDescent="0.25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</row>
    <row r="223" spans="1:27" ht="13.2" x14ac:dyDescent="0.25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</row>
    <row r="224" spans="1:27" ht="13.2" x14ac:dyDescent="0.25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</row>
    <row r="225" spans="1:27" ht="13.2" x14ac:dyDescent="0.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</row>
    <row r="226" spans="1:27" ht="13.2" x14ac:dyDescent="0.25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</row>
    <row r="227" spans="1:27" ht="13.2" x14ac:dyDescent="0.25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</row>
    <row r="228" spans="1:27" ht="13.2" x14ac:dyDescent="0.25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</row>
    <row r="229" spans="1:27" ht="13.2" x14ac:dyDescent="0.25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</row>
    <row r="230" spans="1:27" ht="13.2" x14ac:dyDescent="0.25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</row>
    <row r="231" spans="1:27" ht="13.2" x14ac:dyDescent="0.25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</row>
    <row r="232" spans="1:27" ht="13.2" x14ac:dyDescent="0.25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</row>
    <row r="233" spans="1:27" ht="13.2" x14ac:dyDescent="0.25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</row>
    <row r="234" spans="1:27" ht="13.2" x14ac:dyDescent="0.25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</row>
    <row r="235" spans="1:27" ht="13.2" x14ac:dyDescent="0.2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</row>
    <row r="236" spans="1:27" ht="13.2" x14ac:dyDescent="0.25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</row>
    <row r="237" spans="1:27" ht="13.2" x14ac:dyDescent="0.25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</row>
    <row r="238" spans="1:27" ht="13.2" x14ac:dyDescent="0.25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</row>
    <row r="239" spans="1:27" ht="13.2" x14ac:dyDescent="0.25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</row>
    <row r="240" spans="1:27" ht="13.2" x14ac:dyDescent="0.25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</row>
    <row r="241" spans="1:27" ht="13.2" x14ac:dyDescent="0.25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</row>
    <row r="242" spans="1:27" ht="13.2" x14ac:dyDescent="0.25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</row>
    <row r="243" spans="1:27" ht="13.2" x14ac:dyDescent="0.25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</row>
    <row r="244" spans="1:27" ht="13.2" x14ac:dyDescent="0.25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</row>
    <row r="245" spans="1:27" ht="13.2" x14ac:dyDescent="0.2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</row>
    <row r="246" spans="1:27" ht="13.2" x14ac:dyDescent="0.25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</row>
    <row r="247" spans="1:27" ht="13.2" x14ac:dyDescent="0.25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</row>
    <row r="248" spans="1:27" ht="13.2" x14ac:dyDescent="0.25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</row>
    <row r="249" spans="1:27" ht="13.2" x14ac:dyDescent="0.25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</row>
    <row r="250" spans="1:27" ht="13.2" x14ac:dyDescent="0.25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</row>
    <row r="251" spans="1:27" ht="13.2" x14ac:dyDescent="0.25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</row>
    <row r="252" spans="1:27" ht="13.2" x14ac:dyDescent="0.25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</row>
    <row r="253" spans="1:27" ht="13.2" x14ac:dyDescent="0.25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</row>
    <row r="254" spans="1:27" ht="13.2" x14ac:dyDescent="0.25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</row>
    <row r="255" spans="1:27" ht="13.2" x14ac:dyDescent="0.2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</row>
    <row r="256" spans="1:27" ht="13.2" x14ac:dyDescent="0.25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</row>
    <row r="257" spans="1:27" ht="13.2" x14ac:dyDescent="0.25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</row>
    <row r="258" spans="1:27" ht="13.2" x14ac:dyDescent="0.25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</row>
    <row r="259" spans="1:27" ht="13.2" x14ac:dyDescent="0.25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</row>
    <row r="260" spans="1:27" ht="13.2" x14ac:dyDescent="0.25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</row>
    <row r="261" spans="1:27" ht="13.2" x14ac:dyDescent="0.25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</row>
    <row r="262" spans="1:27" ht="13.2" x14ac:dyDescent="0.25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</row>
    <row r="263" spans="1:27" ht="13.2" x14ac:dyDescent="0.25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</row>
    <row r="264" spans="1:27" ht="13.2" x14ac:dyDescent="0.25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</row>
    <row r="265" spans="1:27" ht="13.2" x14ac:dyDescent="0.2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</row>
    <row r="266" spans="1:27" ht="13.2" x14ac:dyDescent="0.25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</row>
    <row r="267" spans="1:27" ht="13.2" x14ac:dyDescent="0.25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</row>
    <row r="268" spans="1:27" ht="13.2" x14ac:dyDescent="0.25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</row>
    <row r="269" spans="1:27" ht="13.2" x14ac:dyDescent="0.25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</row>
    <row r="270" spans="1:27" ht="13.2" x14ac:dyDescent="0.25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</row>
    <row r="271" spans="1:27" ht="13.2" x14ac:dyDescent="0.25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</row>
    <row r="272" spans="1:27" ht="13.2" x14ac:dyDescent="0.25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</row>
    <row r="273" spans="1:27" ht="13.2" x14ac:dyDescent="0.25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</row>
    <row r="274" spans="1:27" ht="13.2" x14ac:dyDescent="0.25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</row>
    <row r="275" spans="1:27" ht="13.2" x14ac:dyDescent="0.2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</row>
    <row r="276" spans="1:27" ht="13.2" x14ac:dyDescent="0.25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</row>
    <row r="277" spans="1:27" ht="13.2" x14ac:dyDescent="0.25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</row>
    <row r="278" spans="1:27" ht="13.2" x14ac:dyDescent="0.25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</row>
    <row r="279" spans="1:27" ht="13.2" x14ac:dyDescent="0.25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</row>
    <row r="280" spans="1:27" ht="13.2" x14ac:dyDescent="0.25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</row>
    <row r="281" spans="1:27" ht="13.2" x14ac:dyDescent="0.25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</row>
    <row r="282" spans="1:27" ht="13.2" x14ac:dyDescent="0.25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</row>
    <row r="283" spans="1:27" ht="13.2" x14ac:dyDescent="0.25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</row>
    <row r="284" spans="1:27" ht="13.2" x14ac:dyDescent="0.25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</row>
    <row r="285" spans="1:27" ht="13.2" x14ac:dyDescent="0.2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</row>
    <row r="286" spans="1:27" ht="13.2" x14ac:dyDescent="0.25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</row>
    <row r="287" spans="1:27" ht="13.2" x14ac:dyDescent="0.25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</row>
    <row r="288" spans="1:27" ht="13.2" x14ac:dyDescent="0.25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</row>
    <row r="289" spans="1:27" ht="13.2" x14ac:dyDescent="0.25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</row>
    <row r="290" spans="1:27" ht="13.2" x14ac:dyDescent="0.25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</row>
    <row r="291" spans="1:27" ht="13.2" x14ac:dyDescent="0.25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</row>
    <row r="292" spans="1:27" ht="13.2" x14ac:dyDescent="0.25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</row>
    <row r="293" spans="1:27" ht="13.2" x14ac:dyDescent="0.25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</row>
    <row r="294" spans="1:27" ht="13.2" x14ac:dyDescent="0.25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</row>
    <row r="295" spans="1:27" ht="13.2" x14ac:dyDescent="0.2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</row>
    <row r="296" spans="1:27" ht="13.2" x14ac:dyDescent="0.25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</row>
    <row r="297" spans="1:27" ht="13.2" x14ac:dyDescent="0.25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</row>
    <row r="298" spans="1:27" ht="13.2" x14ac:dyDescent="0.25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</row>
    <row r="299" spans="1:27" ht="13.2" x14ac:dyDescent="0.25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</row>
    <row r="300" spans="1:27" ht="13.2" x14ac:dyDescent="0.25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</row>
    <row r="301" spans="1:27" ht="13.2" x14ac:dyDescent="0.25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</row>
    <row r="302" spans="1:27" ht="13.2" x14ac:dyDescent="0.25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</row>
    <row r="303" spans="1:27" ht="13.2" x14ac:dyDescent="0.25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</row>
    <row r="304" spans="1:27" ht="13.2" x14ac:dyDescent="0.25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</row>
    <row r="305" spans="1:27" ht="13.2" x14ac:dyDescent="0.2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</row>
    <row r="306" spans="1:27" ht="13.2" x14ac:dyDescent="0.25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</row>
    <row r="307" spans="1:27" ht="13.2" x14ac:dyDescent="0.25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</row>
    <row r="308" spans="1:27" ht="13.2" x14ac:dyDescent="0.25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</row>
    <row r="309" spans="1:27" ht="13.2" x14ac:dyDescent="0.25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</row>
    <row r="310" spans="1:27" ht="13.2" x14ac:dyDescent="0.25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</row>
    <row r="311" spans="1:27" ht="13.2" x14ac:dyDescent="0.25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</row>
    <row r="312" spans="1:27" ht="13.2" x14ac:dyDescent="0.25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</row>
    <row r="313" spans="1:27" ht="13.2" x14ac:dyDescent="0.25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</row>
    <row r="314" spans="1:27" ht="13.2" x14ac:dyDescent="0.25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</row>
    <row r="315" spans="1:27" ht="13.2" x14ac:dyDescent="0.2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</row>
    <row r="316" spans="1:27" ht="13.2" x14ac:dyDescent="0.25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</row>
    <row r="317" spans="1:27" ht="13.2" x14ac:dyDescent="0.25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</row>
    <row r="318" spans="1:27" ht="13.2" x14ac:dyDescent="0.25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</row>
    <row r="319" spans="1:27" ht="13.2" x14ac:dyDescent="0.25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</row>
    <row r="320" spans="1:27" ht="13.2" x14ac:dyDescent="0.25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</row>
    <row r="321" spans="1:27" ht="13.2" x14ac:dyDescent="0.25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</row>
    <row r="322" spans="1:27" ht="13.2" x14ac:dyDescent="0.25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</row>
    <row r="323" spans="1:27" ht="13.2" x14ac:dyDescent="0.25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</row>
    <row r="324" spans="1:27" ht="13.2" x14ac:dyDescent="0.25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</row>
    <row r="325" spans="1:27" ht="13.2" x14ac:dyDescent="0.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</row>
    <row r="326" spans="1:27" ht="13.2" x14ac:dyDescent="0.25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</row>
    <row r="327" spans="1:27" ht="13.2" x14ac:dyDescent="0.25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</row>
    <row r="328" spans="1:27" ht="13.2" x14ac:dyDescent="0.25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</row>
    <row r="329" spans="1:27" ht="13.2" x14ac:dyDescent="0.25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</row>
    <row r="330" spans="1:27" ht="13.2" x14ac:dyDescent="0.25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</row>
    <row r="331" spans="1:27" ht="13.2" x14ac:dyDescent="0.25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</row>
    <row r="332" spans="1:27" ht="13.2" x14ac:dyDescent="0.25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</row>
    <row r="333" spans="1:27" ht="13.2" x14ac:dyDescent="0.25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</row>
    <row r="334" spans="1:27" ht="13.2" x14ac:dyDescent="0.25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</row>
    <row r="335" spans="1:27" ht="13.2" x14ac:dyDescent="0.2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</row>
    <row r="336" spans="1:27" ht="13.2" x14ac:dyDescent="0.25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</row>
    <row r="337" spans="1:27" ht="13.2" x14ac:dyDescent="0.25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</row>
    <row r="338" spans="1:27" ht="13.2" x14ac:dyDescent="0.25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</row>
    <row r="339" spans="1:27" ht="13.2" x14ac:dyDescent="0.25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</row>
    <row r="340" spans="1:27" ht="13.2" x14ac:dyDescent="0.25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</row>
    <row r="341" spans="1:27" ht="13.2" x14ac:dyDescent="0.25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</row>
    <row r="342" spans="1:27" ht="13.2" x14ac:dyDescent="0.25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</row>
    <row r="343" spans="1:27" ht="13.2" x14ac:dyDescent="0.25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</row>
    <row r="344" spans="1:27" ht="13.2" x14ac:dyDescent="0.25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</row>
    <row r="345" spans="1:27" ht="13.2" x14ac:dyDescent="0.2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</row>
    <row r="346" spans="1:27" ht="13.2" x14ac:dyDescent="0.25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</row>
    <row r="347" spans="1:27" ht="13.2" x14ac:dyDescent="0.25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</row>
    <row r="348" spans="1:27" ht="13.2" x14ac:dyDescent="0.25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</row>
    <row r="349" spans="1:27" ht="13.2" x14ac:dyDescent="0.25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</row>
    <row r="350" spans="1:27" ht="13.2" x14ac:dyDescent="0.25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</row>
    <row r="351" spans="1:27" ht="13.2" x14ac:dyDescent="0.25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</row>
    <row r="352" spans="1:27" ht="13.2" x14ac:dyDescent="0.25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</row>
    <row r="353" spans="1:27" ht="13.2" x14ac:dyDescent="0.25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</row>
    <row r="354" spans="1:27" ht="13.2" x14ac:dyDescent="0.25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</row>
    <row r="355" spans="1:27" ht="13.2" x14ac:dyDescent="0.2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</row>
    <row r="356" spans="1:27" ht="13.2" x14ac:dyDescent="0.25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</row>
    <row r="357" spans="1:27" ht="13.2" x14ac:dyDescent="0.25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</row>
    <row r="358" spans="1:27" ht="13.2" x14ac:dyDescent="0.25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</row>
    <row r="359" spans="1:27" ht="13.2" x14ac:dyDescent="0.25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</row>
    <row r="360" spans="1:27" ht="13.2" x14ac:dyDescent="0.25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</row>
    <row r="361" spans="1:27" ht="13.2" x14ac:dyDescent="0.25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</row>
    <row r="362" spans="1:27" ht="13.2" x14ac:dyDescent="0.25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</row>
    <row r="363" spans="1:27" ht="13.2" x14ac:dyDescent="0.25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</row>
    <row r="364" spans="1:27" ht="13.2" x14ac:dyDescent="0.25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</row>
    <row r="365" spans="1:27" ht="13.2" x14ac:dyDescent="0.2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</row>
    <row r="366" spans="1:27" ht="13.2" x14ac:dyDescent="0.25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</row>
    <row r="367" spans="1:27" ht="13.2" x14ac:dyDescent="0.25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</row>
    <row r="368" spans="1:27" ht="13.2" x14ac:dyDescent="0.25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</row>
    <row r="369" spans="1:27" ht="13.2" x14ac:dyDescent="0.25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</row>
    <row r="370" spans="1:27" ht="13.2" x14ac:dyDescent="0.25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</row>
    <row r="371" spans="1:27" ht="13.2" x14ac:dyDescent="0.25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</row>
    <row r="372" spans="1:27" ht="13.2" x14ac:dyDescent="0.25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</row>
    <row r="373" spans="1:27" ht="13.2" x14ac:dyDescent="0.25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</row>
    <row r="374" spans="1:27" ht="13.2" x14ac:dyDescent="0.25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</row>
    <row r="375" spans="1:27" ht="13.2" x14ac:dyDescent="0.2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</row>
    <row r="376" spans="1:27" ht="13.2" x14ac:dyDescent="0.25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</row>
    <row r="377" spans="1:27" ht="13.2" x14ac:dyDescent="0.25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</row>
    <row r="378" spans="1:27" ht="13.2" x14ac:dyDescent="0.25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</row>
    <row r="379" spans="1:27" ht="13.2" x14ac:dyDescent="0.25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</row>
    <row r="380" spans="1:27" ht="13.2" x14ac:dyDescent="0.25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</row>
    <row r="381" spans="1:27" ht="13.2" x14ac:dyDescent="0.25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</row>
    <row r="382" spans="1:27" ht="13.2" x14ac:dyDescent="0.25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</row>
    <row r="383" spans="1:27" ht="13.2" x14ac:dyDescent="0.25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</row>
    <row r="384" spans="1:27" ht="13.2" x14ac:dyDescent="0.25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</row>
    <row r="385" spans="1:27" ht="13.2" x14ac:dyDescent="0.2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</row>
    <row r="386" spans="1:27" ht="13.2" x14ac:dyDescent="0.25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</row>
    <row r="387" spans="1:27" ht="13.2" x14ac:dyDescent="0.25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</row>
    <row r="388" spans="1:27" ht="13.2" x14ac:dyDescent="0.25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</row>
    <row r="389" spans="1:27" ht="13.2" x14ac:dyDescent="0.25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</row>
    <row r="390" spans="1:27" ht="13.2" x14ac:dyDescent="0.25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</row>
    <row r="391" spans="1:27" ht="13.2" x14ac:dyDescent="0.25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</row>
    <row r="392" spans="1:27" ht="13.2" x14ac:dyDescent="0.25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</row>
    <row r="393" spans="1:27" ht="13.2" x14ac:dyDescent="0.25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</row>
    <row r="394" spans="1:27" ht="13.2" x14ac:dyDescent="0.25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</row>
    <row r="395" spans="1:27" ht="13.2" x14ac:dyDescent="0.2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</row>
    <row r="396" spans="1:27" ht="13.2" x14ac:dyDescent="0.25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</row>
    <row r="397" spans="1:27" ht="13.2" x14ac:dyDescent="0.25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</row>
    <row r="398" spans="1:27" ht="13.2" x14ac:dyDescent="0.25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</row>
    <row r="399" spans="1:27" ht="13.2" x14ac:dyDescent="0.25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</row>
    <row r="400" spans="1:27" ht="13.2" x14ac:dyDescent="0.25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</row>
    <row r="401" spans="1:27" ht="13.2" x14ac:dyDescent="0.25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</row>
    <row r="402" spans="1:27" ht="13.2" x14ac:dyDescent="0.25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</row>
    <row r="403" spans="1:27" ht="13.2" x14ac:dyDescent="0.25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</row>
    <row r="404" spans="1:27" ht="13.2" x14ac:dyDescent="0.25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</row>
    <row r="405" spans="1:27" ht="13.2" x14ac:dyDescent="0.2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</row>
    <row r="406" spans="1:27" ht="13.2" x14ac:dyDescent="0.25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</row>
    <row r="407" spans="1:27" ht="13.2" x14ac:dyDescent="0.25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</row>
    <row r="408" spans="1:27" ht="13.2" x14ac:dyDescent="0.25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</row>
    <row r="409" spans="1:27" ht="13.2" x14ac:dyDescent="0.25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</row>
    <row r="410" spans="1:27" ht="13.2" x14ac:dyDescent="0.25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</row>
    <row r="411" spans="1:27" ht="13.2" x14ac:dyDescent="0.25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</row>
    <row r="412" spans="1:27" ht="13.2" x14ac:dyDescent="0.25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</row>
    <row r="413" spans="1:27" ht="13.2" x14ac:dyDescent="0.25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</row>
    <row r="414" spans="1:27" ht="13.2" x14ac:dyDescent="0.25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</row>
    <row r="415" spans="1:27" ht="13.2" x14ac:dyDescent="0.2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</row>
    <row r="416" spans="1:27" ht="13.2" x14ac:dyDescent="0.25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</row>
    <row r="417" spans="1:27" ht="13.2" x14ac:dyDescent="0.25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</row>
    <row r="418" spans="1:27" ht="13.2" x14ac:dyDescent="0.25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</row>
    <row r="419" spans="1:27" ht="13.2" x14ac:dyDescent="0.25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</row>
    <row r="420" spans="1:27" ht="13.2" x14ac:dyDescent="0.25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</row>
    <row r="421" spans="1:27" ht="13.2" x14ac:dyDescent="0.25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</row>
    <row r="422" spans="1:27" ht="13.2" x14ac:dyDescent="0.25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</row>
    <row r="423" spans="1:27" ht="13.2" x14ac:dyDescent="0.25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</row>
    <row r="424" spans="1:27" ht="13.2" x14ac:dyDescent="0.25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</row>
    <row r="425" spans="1:27" ht="13.2" x14ac:dyDescent="0.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</row>
    <row r="426" spans="1:27" ht="13.2" x14ac:dyDescent="0.25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</row>
    <row r="427" spans="1:27" ht="13.2" x14ac:dyDescent="0.25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</row>
    <row r="428" spans="1:27" ht="13.2" x14ac:dyDescent="0.25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</row>
    <row r="429" spans="1:27" ht="13.2" x14ac:dyDescent="0.25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</row>
    <row r="430" spans="1:27" ht="13.2" x14ac:dyDescent="0.25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</row>
    <row r="431" spans="1:27" ht="13.2" x14ac:dyDescent="0.25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</row>
    <row r="432" spans="1:27" ht="13.2" x14ac:dyDescent="0.25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</row>
    <row r="433" spans="1:27" ht="13.2" x14ac:dyDescent="0.25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</row>
    <row r="434" spans="1:27" ht="13.2" x14ac:dyDescent="0.25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</row>
    <row r="435" spans="1:27" ht="13.2" x14ac:dyDescent="0.2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</row>
    <row r="436" spans="1:27" ht="13.2" x14ac:dyDescent="0.25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</row>
    <row r="437" spans="1:27" ht="13.2" x14ac:dyDescent="0.25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</row>
    <row r="438" spans="1:27" ht="13.2" x14ac:dyDescent="0.25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</row>
    <row r="439" spans="1:27" ht="13.2" x14ac:dyDescent="0.25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</row>
    <row r="440" spans="1:27" ht="13.2" x14ac:dyDescent="0.25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</row>
    <row r="441" spans="1:27" ht="13.2" x14ac:dyDescent="0.25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</row>
    <row r="442" spans="1:27" ht="13.2" x14ac:dyDescent="0.25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</row>
    <row r="443" spans="1:27" ht="13.2" x14ac:dyDescent="0.25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</row>
    <row r="444" spans="1:27" ht="13.2" x14ac:dyDescent="0.25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</row>
    <row r="445" spans="1:27" ht="13.2" x14ac:dyDescent="0.2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</row>
    <row r="446" spans="1:27" ht="13.2" x14ac:dyDescent="0.25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</row>
    <row r="447" spans="1:27" ht="13.2" x14ac:dyDescent="0.25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</row>
    <row r="448" spans="1:27" ht="13.2" x14ac:dyDescent="0.25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</row>
    <row r="449" spans="1:27" ht="13.2" x14ac:dyDescent="0.25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</row>
    <row r="450" spans="1:27" ht="13.2" x14ac:dyDescent="0.25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</row>
    <row r="451" spans="1:27" ht="13.2" x14ac:dyDescent="0.25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</row>
    <row r="452" spans="1:27" ht="13.2" x14ac:dyDescent="0.25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</row>
    <row r="453" spans="1:27" ht="13.2" x14ac:dyDescent="0.25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</row>
    <row r="454" spans="1:27" ht="13.2" x14ac:dyDescent="0.25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</row>
    <row r="455" spans="1:27" ht="13.2" x14ac:dyDescent="0.2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</row>
    <row r="456" spans="1:27" ht="13.2" x14ac:dyDescent="0.25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</row>
    <row r="457" spans="1:27" ht="13.2" x14ac:dyDescent="0.25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</row>
    <row r="458" spans="1:27" ht="13.2" x14ac:dyDescent="0.25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</row>
    <row r="459" spans="1:27" ht="13.2" x14ac:dyDescent="0.25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</row>
    <row r="460" spans="1:27" ht="13.2" x14ac:dyDescent="0.25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</row>
    <row r="461" spans="1:27" ht="13.2" x14ac:dyDescent="0.25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</row>
    <row r="462" spans="1:27" ht="13.2" x14ac:dyDescent="0.25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</row>
    <row r="463" spans="1:27" ht="13.2" x14ac:dyDescent="0.25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</row>
    <row r="464" spans="1:27" ht="13.2" x14ac:dyDescent="0.25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</row>
    <row r="465" spans="1:27" ht="13.2" x14ac:dyDescent="0.2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</row>
    <row r="466" spans="1:27" ht="13.2" x14ac:dyDescent="0.25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</row>
    <row r="467" spans="1:27" ht="13.2" x14ac:dyDescent="0.25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</row>
    <row r="468" spans="1:27" ht="13.2" x14ac:dyDescent="0.25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</row>
    <row r="469" spans="1:27" ht="13.2" x14ac:dyDescent="0.25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</row>
    <row r="470" spans="1:27" ht="13.2" x14ac:dyDescent="0.25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</row>
    <row r="471" spans="1:27" ht="13.2" x14ac:dyDescent="0.25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</row>
    <row r="472" spans="1:27" ht="13.2" x14ac:dyDescent="0.25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</row>
    <row r="473" spans="1:27" ht="13.2" x14ac:dyDescent="0.25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</row>
    <row r="474" spans="1:27" ht="13.2" x14ac:dyDescent="0.25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</row>
    <row r="475" spans="1:27" ht="13.2" x14ac:dyDescent="0.2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</row>
    <row r="476" spans="1:27" ht="13.2" x14ac:dyDescent="0.25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</row>
    <row r="477" spans="1:27" ht="13.2" x14ac:dyDescent="0.25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</row>
    <row r="478" spans="1:27" ht="13.2" x14ac:dyDescent="0.25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</row>
    <row r="479" spans="1:27" ht="13.2" x14ac:dyDescent="0.25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</row>
    <row r="480" spans="1:27" ht="13.2" x14ac:dyDescent="0.25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</row>
    <row r="481" spans="1:27" ht="13.2" x14ac:dyDescent="0.25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</row>
    <row r="482" spans="1:27" ht="13.2" x14ac:dyDescent="0.25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</row>
    <row r="483" spans="1:27" ht="13.2" x14ac:dyDescent="0.25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</row>
    <row r="484" spans="1:27" ht="13.2" x14ac:dyDescent="0.25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</row>
    <row r="485" spans="1:27" ht="13.2" x14ac:dyDescent="0.2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</row>
    <row r="486" spans="1:27" ht="13.2" x14ac:dyDescent="0.25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</row>
    <row r="487" spans="1:27" ht="13.2" x14ac:dyDescent="0.25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</row>
    <row r="488" spans="1:27" ht="13.2" x14ac:dyDescent="0.25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</row>
    <row r="489" spans="1:27" ht="13.2" x14ac:dyDescent="0.25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</row>
    <row r="490" spans="1:27" ht="13.2" x14ac:dyDescent="0.25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</row>
    <row r="491" spans="1:27" ht="13.2" x14ac:dyDescent="0.25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</row>
    <row r="492" spans="1:27" ht="13.2" x14ac:dyDescent="0.25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</row>
    <row r="493" spans="1:27" ht="13.2" x14ac:dyDescent="0.25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</row>
    <row r="494" spans="1:27" ht="13.2" x14ac:dyDescent="0.25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</row>
    <row r="495" spans="1:27" ht="13.2" x14ac:dyDescent="0.2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</row>
    <row r="496" spans="1:27" ht="13.2" x14ac:dyDescent="0.25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</row>
    <row r="497" spans="1:27" ht="13.2" x14ac:dyDescent="0.25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</row>
    <row r="498" spans="1:27" ht="13.2" x14ac:dyDescent="0.25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</row>
    <row r="499" spans="1:27" ht="13.2" x14ac:dyDescent="0.25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</row>
    <row r="500" spans="1:27" ht="13.2" x14ac:dyDescent="0.25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</row>
    <row r="501" spans="1:27" ht="13.2" x14ac:dyDescent="0.25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</row>
    <row r="502" spans="1:27" ht="13.2" x14ac:dyDescent="0.25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</row>
    <row r="503" spans="1:27" ht="13.2" x14ac:dyDescent="0.25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</row>
    <row r="504" spans="1:27" ht="13.2" x14ac:dyDescent="0.25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</row>
    <row r="505" spans="1:27" ht="13.2" x14ac:dyDescent="0.2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</row>
    <row r="506" spans="1:27" ht="13.2" x14ac:dyDescent="0.25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</row>
    <row r="507" spans="1:27" ht="13.2" x14ac:dyDescent="0.25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</row>
    <row r="508" spans="1:27" ht="13.2" x14ac:dyDescent="0.25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</row>
    <row r="509" spans="1:27" ht="13.2" x14ac:dyDescent="0.25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</row>
    <row r="510" spans="1:27" ht="13.2" x14ac:dyDescent="0.25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</row>
    <row r="511" spans="1:27" ht="13.2" x14ac:dyDescent="0.25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</row>
    <row r="512" spans="1:27" ht="13.2" x14ac:dyDescent="0.25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</row>
    <row r="513" spans="1:27" ht="13.2" x14ac:dyDescent="0.25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</row>
    <row r="514" spans="1:27" ht="13.2" x14ac:dyDescent="0.25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</row>
    <row r="515" spans="1:27" ht="13.2" x14ac:dyDescent="0.2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</row>
    <row r="516" spans="1:27" ht="13.2" x14ac:dyDescent="0.25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</row>
    <row r="517" spans="1:27" ht="13.2" x14ac:dyDescent="0.25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</row>
    <row r="518" spans="1:27" ht="13.2" x14ac:dyDescent="0.25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</row>
    <row r="519" spans="1:27" ht="13.2" x14ac:dyDescent="0.25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</row>
    <row r="520" spans="1:27" ht="13.2" x14ac:dyDescent="0.25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</row>
    <row r="521" spans="1:27" ht="13.2" x14ac:dyDescent="0.25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</row>
    <row r="522" spans="1:27" ht="13.2" x14ac:dyDescent="0.25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</row>
    <row r="523" spans="1:27" ht="13.2" x14ac:dyDescent="0.25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</row>
    <row r="524" spans="1:27" ht="13.2" x14ac:dyDescent="0.25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</row>
    <row r="525" spans="1:27" ht="13.2" x14ac:dyDescent="0.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</row>
    <row r="526" spans="1:27" ht="13.2" x14ac:dyDescent="0.25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</row>
    <row r="527" spans="1:27" ht="13.2" x14ac:dyDescent="0.25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</row>
    <row r="528" spans="1:27" ht="13.2" x14ac:dyDescent="0.25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</row>
    <row r="529" spans="1:27" ht="13.2" x14ac:dyDescent="0.25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</row>
    <row r="530" spans="1:27" ht="13.2" x14ac:dyDescent="0.25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</row>
    <row r="531" spans="1:27" ht="13.2" x14ac:dyDescent="0.25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</row>
    <row r="532" spans="1:27" ht="13.2" x14ac:dyDescent="0.25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</row>
    <row r="533" spans="1:27" ht="13.2" x14ac:dyDescent="0.25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</row>
    <row r="534" spans="1:27" ht="13.2" x14ac:dyDescent="0.25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</row>
    <row r="535" spans="1:27" ht="13.2" x14ac:dyDescent="0.2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</row>
    <row r="536" spans="1:27" ht="13.2" x14ac:dyDescent="0.25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</row>
    <row r="537" spans="1:27" ht="13.2" x14ac:dyDescent="0.25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</row>
    <row r="538" spans="1:27" ht="13.2" x14ac:dyDescent="0.25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</row>
    <row r="539" spans="1:27" ht="13.2" x14ac:dyDescent="0.25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</row>
    <row r="540" spans="1:27" ht="13.2" x14ac:dyDescent="0.25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</row>
    <row r="541" spans="1:27" ht="13.2" x14ac:dyDescent="0.25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</row>
    <row r="542" spans="1:27" ht="13.2" x14ac:dyDescent="0.25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</row>
    <row r="543" spans="1:27" ht="13.2" x14ac:dyDescent="0.25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</row>
    <row r="544" spans="1:27" ht="13.2" x14ac:dyDescent="0.25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</row>
    <row r="545" spans="1:27" ht="13.2" x14ac:dyDescent="0.2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</row>
    <row r="546" spans="1:27" ht="13.2" x14ac:dyDescent="0.25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</row>
    <row r="547" spans="1:27" ht="13.2" x14ac:dyDescent="0.25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</row>
    <row r="548" spans="1:27" ht="13.2" x14ac:dyDescent="0.25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</row>
    <row r="549" spans="1:27" ht="13.2" x14ac:dyDescent="0.25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</row>
    <row r="550" spans="1:27" ht="13.2" x14ac:dyDescent="0.25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</row>
    <row r="551" spans="1:27" ht="13.2" x14ac:dyDescent="0.25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</row>
    <row r="552" spans="1:27" ht="13.2" x14ac:dyDescent="0.25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</row>
    <row r="553" spans="1:27" ht="13.2" x14ac:dyDescent="0.25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</row>
    <row r="554" spans="1:27" ht="13.2" x14ac:dyDescent="0.25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</row>
    <row r="555" spans="1:27" ht="13.2" x14ac:dyDescent="0.2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</row>
    <row r="556" spans="1:27" ht="13.2" x14ac:dyDescent="0.25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</row>
    <row r="557" spans="1:27" ht="13.2" x14ac:dyDescent="0.25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</row>
    <row r="558" spans="1:27" ht="13.2" x14ac:dyDescent="0.25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</row>
    <row r="559" spans="1:27" ht="13.2" x14ac:dyDescent="0.25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</row>
    <row r="560" spans="1:27" ht="13.2" x14ac:dyDescent="0.25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</row>
    <row r="561" spans="1:27" ht="13.2" x14ac:dyDescent="0.25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</row>
    <row r="562" spans="1:27" ht="13.2" x14ac:dyDescent="0.25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</row>
    <row r="563" spans="1:27" ht="13.2" x14ac:dyDescent="0.25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</row>
    <row r="564" spans="1:27" ht="13.2" x14ac:dyDescent="0.25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</row>
    <row r="565" spans="1:27" ht="13.2" x14ac:dyDescent="0.2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</row>
    <row r="566" spans="1:27" ht="13.2" x14ac:dyDescent="0.25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</row>
    <row r="567" spans="1:27" ht="13.2" x14ac:dyDescent="0.25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</row>
    <row r="568" spans="1:27" ht="13.2" x14ac:dyDescent="0.25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</row>
    <row r="569" spans="1:27" ht="13.2" x14ac:dyDescent="0.25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</row>
    <row r="570" spans="1:27" ht="13.2" x14ac:dyDescent="0.25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</row>
    <row r="571" spans="1:27" ht="13.2" x14ac:dyDescent="0.25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</row>
    <row r="572" spans="1:27" ht="13.2" x14ac:dyDescent="0.25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</row>
    <row r="573" spans="1:27" ht="13.2" x14ac:dyDescent="0.25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</row>
    <row r="574" spans="1:27" ht="13.2" x14ac:dyDescent="0.25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</row>
    <row r="575" spans="1:27" ht="13.2" x14ac:dyDescent="0.2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</row>
    <row r="576" spans="1:27" ht="13.2" x14ac:dyDescent="0.25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</row>
    <row r="577" spans="1:27" ht="13.2" x14ac:dyDescent="0.25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</row>
    <row r="578" spans="1:27" ht="13.2" x14ac:dyDescent="0.25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</row>
    <row r="579" spans="1:27" ht="13.2" x14ac:dyDescent="0.25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</row>
    <row r="580" spans="1:27" ht="13.2" x14ac:dyDescent="0.25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</row>
    <row r="581" spans="1:27" ht="13.2" x14ac:dyDescent="0.25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</row>
    <row r="582" spans="1:27" ht="13.2" x14ac:dyDescent="0.25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</row>
    <row r="583" spans="1:27" ht="13.2" x14ac:dyDescent="0.25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</row>
    <row r="584" spans="1:27" ht="13.2" x14ac:dyDescent="0.25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</row>
    <row r="585" spans="1:27" ht="13.2" x14ac:dyDescent="0.2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</row>
    <row r="586" spans="1:27" ht="13.2" x14ac:dyDescent="0.25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</row>
    <row r="587" spans="1:27" ht="13.2" x14ac:dyDescent="0.25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</row>
    <row r="588" spans="1:27" ht="13.2" x14ac:dyDescent="0.25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</row>
    <row r="589" spans="1:27" ht="13.2" x14ac:dyDescent="0.25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</row>
    <row r="590" spans="1:27" ht="13.2" x14ac:dyDescent="0.25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</row>
    <row r="591" spans="1:27" ht="13.2" x14ac:dyDescent="0.25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</row>
    <row r="592" spans="1:27" ht="13.2" x14ac:dyDescent="0.25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</row>
    <row r="593" spans="1:27" ht="13.2" x14ac:dyDescent="0.25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</row>
    <row r="594" spans="1:27" ht="13.2" x14ac:dyDescent="0.25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</row>
    <row r="595" spans="1:27" ht="13.2" x14ac:dyDescent="0.2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</row>
    <row r="596" spans="1:27" ht="13.2" x14ac:dyDescent="0.25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</row>
    <row r="597" spans="1:27" ht="13.2" x14ac:dyDescent="0.25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</row>
    <row r="598" spans="1:27" ht="13.2" x14ac:dyDescent="0.25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</row>
    <row r="599" spans="1:27" ht="13.2" x14ac:dyDescent="0.25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</row>
    <row r="600" spans="1:27" ht="13.2" x14ac:dyDescent="0.25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</row>
    <row r="601" spans="1:27" ht="13.2" x14ac:dyDescent="0.25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</row>
    <row r="602" spans="1:27" ht="13.2" x14ac:dyDescent="0.25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</row>
    <row r="603" spans="1:27" ht="13.2" x14ac:dyDescent="0.25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</row>
    <row r="604" spans="1:27" ht="13.2" x14ac:dyDescent="0.25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</row>
    <row r="605" spans="1:27" ht="13.2" x14ac:dyDescent="0.2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</row>
    <row r="606" spans="1:27" ht="13.2" x14ac:dyDescent="0.25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</row>
    <row r="607" spans="1:27" ht="13.2" x14ac:dyDescent="0.25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</row>
    <row r="608" spans="1:27" ht="13.2" x14ac:dyDescent="0.25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</row>
    <row r="609" spans="1:27" ht="13.2" x14ac:dyDescent="0.25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</row>
    <row r="610" spans="1:27" ht="13.2" x14ac:dyDescent="0.25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</row>
    <row r="611" spans="1:27" ht="13.2" x14ac:dyDescent="0.25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</row>
    <row r="612" spans="1:27" ht="13.2" x14ac:dyDescent="0.25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</row>
    <row r="613" spans="1:27" ht="13.2" x14ac:dyDescent="0.25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</row>
    <row r="614" spans="1:27" ht="13.2" x14ac:dyDescent="0.25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</row>
    <row r="615" spans="1:27" ht="13.2" x14ac:dyDescent="0.2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</row>
    <row r="616" spans="1:27" ht="13.2" x14ac:dyDescent="0.25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</row>
    <row r="617" spans="1:27" ht="13.2" x14ac:dyDescent="0.25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</row>
    <row r="618" spans="1:27" ht="13.2" x14ac:dyDescent="0.25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</row>
    <row r="619" spans="1:27" ht="13.2" x14ac:dyDescent="0.25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</row>
    <row r="620" spans="1:27" ht="13.2" x14ac:dyDescent="0.25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</row>
    <row r="621" spans="1:27" ht="13.2" x14ac:dyDescent="0.25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</row>
    <row r="622" spans="1:27" ht="13.2" x14ac:dyDescent="0.25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</row>
    <row r="623" spans="1:27" ht="13.2" x14ac:dyDescent="0.25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</row>
    <row r="624" spans="1:27" ht="13.2" x14ac:dyDescent="0.25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</row>
    <row r="625" spans="1:27" ht="13.2" x14ac:dyDescent="0.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</row>
    <row r="626" spans="1:27" ht="13.2" x14ac:dyDescent="0.25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</row>
    <row r="627" spans="1:27" ht="13.2" x14ac:dyDescent="0.25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</row>
    <row r="628" spans="1:27" ht="13.2" x14ac:dyDescent="0.25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</row>
    <row r="629" spans="1:27" ht="13.2" x14ac:dyDescent="0.25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</row>
    <row r="630" spans="1:27" ht="13.2" x14ac:dyDescent="0.25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</row>
    <row r="631" spans="1:27" ht="13.2" x14ac:dyDescent="0.25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</row>
    <row r="632" spans="1:27" ht="13.2" x14ac:dyDescent="0.25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</row>
    <row r="633" spans="1:27" ht="13.2" x14ac:dyDescent="0.25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</row>
    <row r="634" spans="1:27" ht="13.2" x14ac:dyDescent="0.25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</row>
    <row r="635" spans="1:27" ht="13.2" x14ac:dyDescent="0.2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</row>
    <row r="636" spans="1:27" ht="13.2" x14ac:dyDescent="0.25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</row>
    <row r="637" spans="1:27" ht="13.2" x14ac:dyDescent="0.25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</row>
    <row r="638" spans="1:27" ht="13.2" x14ac:dyDescent="0.25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</row>
    <row r="639" spans="1:27" ht="13.2" x14ac:dyDescent="0.25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</row>
    <row r="640" spans="1:27" ht="13.2" x14ac:dyDescent="0.25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</row>
    <row r="641" spans="1:27" ht="13.2" x14ac:dyDescent="0.25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</row>
    <row r="642" spans="1:27" ht="13.2" x14ac:dyDescent="0.25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</row>
    <row r="643" spans="1:27" ht="13.2" x14ac:dyDescent="0.25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</row>
    <row r="644" spans="1:27" ht="13.2" x14ac:dyDescent="0.25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</row>
    <row r="645" spans="1:27" ht="13.2" x14ac:dyDescent="0.2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</row>
    <row r="646" spans="1:27" ht="13.2" x14ac:dyDescent="0.25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</row>
    <row r="647" spans="1:27" ht="13.2" x14ac:dyDescent="0.25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</row>
    <row r="648" spans="1:27" ht="13.2" x14ac:dyDescent="0.25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</row>
    <row r="649" spans="1:27" ht="13.2" x14ac:dyDescent="0.25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</row>
    <row r="650" spans="1:27" ht="13.2" x14ac:dyDescent="0.25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</row>
    <row r="651" spans="1:27" ht="13.2" x14ac:dyDescent="0.25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</row>
    <row r="652" spans="1:27" ht="13.2" x14ac:dyDescent="0.25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</row>
    <row r="653" spans="1:27" ht="13.2" x14ac:dyDescent="0.25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</row>
    <row r="654" spans="1:27" ht="13.2" x14ac:dyDescent="0.25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</row>
    <row r="655" spans="1:27" ht="13.2" x14ac:dyDescent="0.2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</row>
    <row r="656" spans="1:27" ht="13.2" x14ac:dyDescent="0.25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</row>
    <row r="657" spans="1:27" ht="13.2" x14ac:dyDescent="0.25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</row>
    <row r="658" spans="1:27" ht="13.2" x14ac:dyDescent="0.25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</row>
    <row r="659" spans="1:27" ht="13.2" x14ac:dyDescent="0.25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</row>
    <row r="660" spans="1:27" ht="13.2" x14ac:dyDescent="0.25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</row>
    <row r="661" spans="1:27" ht="13.2" x14ac:dyDescent="0.25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</row>
    <row r="662" spans="1:27" ht="13.2" x14ac:dyDescent="0.25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</row>
    <row r="663" spans="1:27" ht="13.2" x14ac:dyDescent="0.25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</row>
    <row r="664" spans="1:27" ht="13.2" x14ac:dyDescent="0.25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</row>
    <row r="665" spans="1:27" ht="13.2" x14ac:dyDescent="0.2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</row>
    <row r="666" spans="1:27" ht="13.2" x14ac:dyDescent="0.25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</row>
    <row r="667" spans="1:27" ht="13.2" x14ac:dyDescent="0.25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</row>
    <row r="668" spans="1:27" ht="13.2" x14ac:dyDescent="0.25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</row>
    <row r="669" spans="1:27" ht="13.2" x14ac:dyDescent="0.25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</row>
    <row r="670" spans="1:27" ht="13.2" x14ac:dyDescent="0.25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</row>
    <row r="671" spans="1:27" ht="13.2" x14ac:dyDescent="0.25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</row>
    <row r="672" spans="1:27" ht="13.2" x14ac:dyDescent="0.25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</row>
    <row r="673" spans="1:27" ht="13.2" x14ac:dyDescent="0.25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</row>
    <row r="674" spans="1:27" ht="13.2" x14ac:dyDescent="0.25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</row>
    <row r="675" spans="1:27" ht="13.2" x14ac:dyDescent="0.2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</row>
    <row r="676" spans="1:27" ht="13.2" x14ac:dyDescent="0.25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</row>
    <row r="677" spans="1:27" ht="13.2" x14ac:dyDescent="0.25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</row>
    <row r="678" spans="1:27" ht="13.2" x14ac:dyDescent="0.25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</row>
    <row r="679" spans="1:27" ht="13.2" x14ac:dyDescent="0.25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</row>
    <row r="680" spans="1:27" ht="13.2" x14ac:dyDescent="0.25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</row>
    <row r="681" spans="1:27" ht="13.2" x14ac:dyDescent="0.25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</row>
    <row r="682" spans="1:27" ht="13.2" x14ac:dyDescent="0.25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</row>
    <row r="683" spans="1:27" ht="13.2" x14ac:dyDescent="0.25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</row>
    <row r="684" spans="1:27" ht="13.2" x14ac:dyDescent="0.25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</row>
    <row r="685" spans="1:27" ht="13.2" x14ac:dyDescent="0.2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</row>
    <row r="686" spans="1:27" ht="13.2" x14ac:dyDescent="0.25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</row>
    <row r="687" spans="1:27" ht="13.2" x14ac:dyDescent="0.25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</row>
    <row r="688" spans="1:27" ht="13.2" x14ac:dyDescent="0.25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</row>
    <row r="689" spans="1:27" ht="13.2" x14ac:dyDescent="0.25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</row>
    <row r="690" spans="1:27" ht="13.2" x14ac:dyDescent="0.25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</row>
    <row r="691" spans="1:27" ht="13.2" x14ac:dyDescent="0.25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</row>
    <row r="692" spans="1:27" ht="13.2" x14ac:dyDescent="0.25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</row>
    <row r="693" spans="1:27" ht="13.2" x14ac:dyDescent="0.25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</row>
    <row r="694" spans="1:27" ht="13.2" x14ac:dyDescent="0.25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</row>
    <row r="695" spans="1:27" ht="13.2" x14ac:dyDescent="0.2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</row>
    <row r="696" spans="1:27" ht="13.2" x14ac:dyDescent="0.25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</row>
    <row r="697" spans="1:27" ht="13.2" x14ac:dyDescent="0.25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</row>
    <row r="698" spans="1:27" ht="13.2" x14ac:dyDescent="0.25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</row>
    <row r="699" spans="1:27" ht="13.2" x14ac:dyDescent="0.25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</row>
    <row r="700" spans="1:27" ht="13.2" x14ac:dyDescent="0.25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</row>
    <row r="701" spans="1:27" ht="13.2" x14ac:dyDescent="0.25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</row>
    <row r="702" spans="1:27" ht="13.2" x14ac:dyDescent="0.25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</row>
    <row r="703" spans="1:27" ht="13.2" x14ac:dyDescent="0.25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</row>
    <row r="704" spans="1:27" ht="13.2" x14ac:dyDescent="0.25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</row>
    <row r="705" spans="1:27" ht="13.2" x14ac:dyDescent="0.2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</row>
    <row r="706" spans="1:27" ht="13.2" x14ac:dyDescent="0.25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</row>
    <row r="707" spans="1:27" ht="13.2" x14ac:dyDescent="0.25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</row>
    <row r="708" spans="1:27" ht="13.2" x14ac:dyDescent="0.25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</row>
    <row r="709" spans="1:27" ht="13.2" x14ac:dyDescent="0.25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</row>
    <row r="710" spans="1:27" ht="13.2" x14ac:dyDescent="0.25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</row>
    <row r="711" spans="1:27" ht="13.2" x14ac:dyDescent="0.25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</row>
    <row r="712" spans="1:27" ht="13.2" x14ac:dyDescent="0.25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</row>
    <row r="713" spans="1:27" ht="13.2" x14ac:dyDescent="0.25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</row>
    <row r="714" spans="1:27" ht="13.2" x14ac:dyDescent="0.25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</row>
    <row r="715" spans="1:27" ht="13.2" x14ac:dyDescent="0.2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</row>
    <row r="716" spans="1:27" ht="13.2" x14ac:dyDescent="0.25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</row>
    <row r="717" spans="1:27" ht="13.2" x14ac:dyDescent="0.25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</row>
    <row r="718" spans="1:27" ht="13.2" x14ac:dyDescent="0.25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</row>
    <row r="719" spans="1:27" ht="13.2" x14ac:dyDescent="0.25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</row>
    <row r="720" spans="1:27" ht="13.2" x14ac:dyDescent="0.25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</row>
    <row r="721" spans="1:27" ht="13.2" x14ac:dyDescent="0.25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</row>
    <row r="722" spans="1:27" ht="13.2" x14ac:dyDescent="0.25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</row>
    <row r="723" spans="1:27" ht="13.2" x14ac:dyDescent="0.25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</row>
    <row r="724" spans="1:27" ht="13.2" x14ac:dyDescent="0.25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</row>
    <row r="725" spans="1:27" ht="13.2" x14ac:dyDescent="0.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</row>
    <row r="726" spans="1:27" ht="13.2" x14ac:dyDescent="0.25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</row>
    <row r="727" spans="1:27" ht="13.2" x14ac:dyDescent="0.25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</row>
    <row r="728" spans="1:27" ht="13.2" x14ac:dyDescent="0.25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</row>
    <row r="729" spans="1:27" ht="13.2" x14ac:dyDescent="0.25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</row>
    <row r="730" spans="1:27" ht="13.2" x14ac:dyDescent="0.25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</row>
    <row r="731" spans="1:27" ht="13.2" x14ac:dyDescent="0.25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</row>
    <row r="732" spans="1:27" ht="13.2" x14ac:dyDescent="0.25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</row>
    <row r="733" spans="1:27" ht="13.2" x14ac:dyDescent="0.25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</row>
    <row r="734" spans="1:27" ht="13.2" x14ac:dyDescent="0.25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</row>
    <row r="735" spans="1:27" ht="13.2" x14ac:dyDescent="0.2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</row>
    <row r="736" spans="1:27" ht="13.2" x14ac:dyDescent="0.25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</row>
    <row r="737" spans="1:27" ht="13.2" x14ac:dyDescent="0.25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</row>
    <row r="738" spans="1:27" ht="13.2" x14ac:dyDescent="0.25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</row>
    <row r="739" spans="1:27" ht="13.2" x14ac:dyDescent="0.25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</row>
    <row r="740" spans="1:27" ht="13.2" x14ac:dyDescent="0.25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</row>
    <row r="741" spans="1:27" ht="13.2" x14ac:dyDescent="0.25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</row>
    <row r="742" spans="1:27" ht="13.2" x14ac:dyDescent="0.25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</row>
    <row r="743" spans="1:27" ht="13.2" x14ac:dyDescent="0.25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</row>
    <row r="744" spans="1:27" ht="13.2" x14ac:dyDescent="0.25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</row>
    <row r="745" spans="1:27" ht="13.2" x14ac:dyDescent="0.2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</row>
    <row r="746" spans="1:27" ht="13.2" x14ac:dyDescent="0.25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</row>
    <row r="747" spans="1:27" ht="13.2" x14ac:dyDescent="0.25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</row>
    <row r="748" spans="1:27" ht="13.2" x14ac:dyDescent="0.25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</row>
    <row r="749" spans="1:27" ht="13.2" x14ac:dyDescent="0.25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</row>
    <row r="750" spans="1:27" ht="13.2" x14ac:dyDescent="0.25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</row>
    <row r="751" spans="1:27" ht="13.2" x14ac:dyDescent="0.25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</row>
    <row r="752" spans="1:27" ht="13.2" x14ac:dyDescent="0.25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</row>
    <row r="753" spans="1:27" ht="13.2" x14ac:dyDescent="0.25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</row>
    <row r="754" spans="1:27" ht="13.2" x14ac:dyDescent="0.25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</row>
    <row r="755" spans="1:27" ht="13.2" x14ac:dyDescent="0.2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</row>
    <row r="756" spans="1:27" ht="13.2" x14ac:dyDescent="0.25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</row>
    <row r="757" spans="1:27" ht="13.2" x14ac:dyDescent="0.25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</row>
    <row r="758" spans="1:27" ht="13.2" x14ac:dyDescent="0.25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</row>
    <row r="759" spans="1:27" ht="13.2" x14ac:dyDescent="0.25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</row>
    <row r="760" spans="1:27" ht="13.2" x14ac:dyDescent="0.25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</row>
    <row r="761" spans="1:27" ht="13.2" x14ac:dyDescent="0.25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</row>
    <row r="762" spans="1:27" ht="13.2" x14ac:dyDescent="0.25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</row>
    <row r="763" spans="1:27" ht="13.2" x14ac:dyDescent="0.25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</row>
    <row r="764" spans="1:27" ht="13.2" x14ac:dyDescent="0.25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</row>
    <row r="765" spans="1:27" ht="13.2" x14ac:dyDescent="0.2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</row>
    <row r="766" spans="1:27" ht="13.2" x14ac:dyDescent="0.25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</row>
    <row r="767" spans="1:27" ht="13.2" x14ac:dyDescent="0.25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</row>
    <row r="768" spans="1:27" ht="13.2" x14ac:dyDescent="0.25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</row>
    <row r="769" spans="1:27" ht="13.2" x14ac:dyDescent="0.25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</row>
    <row r="770" spans="1:27" ht="13.2" x14ac:dyDescent="0.25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</row>
    <row r="771" spans="1:27" ht="13.2" x14ac:dyDescent="0.25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</row>
    <row r="772" spans="1:27" ht="13.2" x14ac:dyDescent="0.25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</row>
    <row r="773" spans="1:27" ht="13.2" x14ac:dyDescent="0.25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</row>
    <row r="774" spans="1:27" ht="13.2" x14ac:dyDescent="0.25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</row>
    <row r="775" spans="1:27" ht="13.2" x14ac:dyDescent="0.2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</row>
    <row r="776" spans="1:27" ht="13.2" x14ac:dyDescent="0.25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</row>
    <row r="777" spans="1:27" ht="13.2" x14ac:dyDescent="0.25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</row>
    <row r="778" spans="1:27" ht="13.2" x14ac:dyDescent="0.25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</row>
    <row r="779" spans="1:27" ht="13.2" x14ac:dyDescent="0.25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</row>
    <row r="780" spans="1:27" ht="13.2" x14ac:dyDescent="0.25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</row>
    <row r="781" spans="1:27" ht="13.2" x14ac:dyDescent="0.25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</row>
    <row r="782" spans="1:27" ht="13.2" x14ac:dyDescent="0.25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</row>
    <row r="783" spans="1:27" ht="13.2" x14ac:dyDescent="0.25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</row>
    <row r="784" spans="1:27" ht="13.2" x14ac:dyDescent="0.25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</row>
    <row r="785" spans="1:27" ht="13.2" x14ac:dyDescent="0.2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</row>
    <row r="786" spans="1:27" ht="13.2" x14ac:dyDescent="0.25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</row>
    <row r="787" spans="1:27" ht="13.2" x14ac:dyDescent="0.25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</row>
    <row r="788" spans="1:27" ht="13.2" x14ac:dyDescent="0.25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</row>
    <row r="789" spans="1:27" ht="13.2" x14ac:dyDescent="0.25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</row>
    <row r="790" spans="1:27" ht="13.2" x14ac:dyDescent="0.25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</row>
    <row r="791" spans="1:27" ht="13.2" x14ac:dyDescent="0.25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</row>
    <row r="792" spans="1:27" ht="13.2" x14ac:dyDescent="0.25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</row>
    <row r="793" spans="1:27" ht="13.2" x14ac:dyDescent="0.25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</row>
    <row r="794" spans="1:27" ht="13.2" x14ac:dyDescent="0.25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</row>
    <row r="795" spans="1:27" ht="13.2" x14ac:dyDescent="0.2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</row>
    <row r="796" spans="1:27" ht="13.2" x14ac:dyDescent="0.25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</row>
    <row r="797" spans="1:27" ht="13.2" x14ac:dyDescent="0.25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</row>
    <row r="798" spans="1:27" ht="13.2" x14ac:dyDescent="0.25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</row>
    <row r="799" spans="1:27" ht="13.2" x14ac:dyDescent="0.25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</row>
    <row r="800" spans="1:27" ht="13.2" x14ac:dyDescent="0.25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</row>
    <row r="801" spans="1:27" ht="13.2" x14ac:dyDescent="0.25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</row>
    <row r="802" spans="1:27" ht="13.2" x14ac:dyDescent="0.25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</row>
    <row r="803" spans="1:27" ht="13.2" x14ac:dyDescent="0.25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</row>
    <row r="804" spans="1:27" ht="13.2" x14ac:dyDescent="0.25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</row>
    <row r="805" spans="1:27" ht="13.2" x14ac:dyDescent="0.2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</row>
    <row r="806" spans="1:27" ht="13.2" x14ac:dyDescent="0.25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</row>
    <row r="807" spans="1:27" ht="13.2" x14ac:dyDescent="0.25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</row>
    <row r="808" spans="1:27" ht="13.2" x14ac:dyDescent="0.25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</row>
    <row r="809" spans="1:27" ht="13.2" x14ac:dyDescent="0.25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</row>
    <row r="810" spans="1:27" ht="13.2" x14ac:dyDescent="0.25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</row>
    <row r="811" spans="1:27" ht="13.2" x14ac:dyDescent="0.25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</row>
    <row r="812" spans="1:27" ht="13.2" x14ac:dyDescent="0.25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</row>
    <row r="813" spans="1:27" ht="13.2" x14ac:dyDescent="0.25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</row>
    <row r="814" spans="1:27" ht="13.2" x14ac:dyDescent="0.25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</row>
    <row r="815" spans="1:27" ht="13.2" x14ac:dyDescent="0.2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</row>
    <row r="816" spans="1:27" ht="13.2" x14ac:dyDescent="0.25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</row>
    <row r="817" spans="1:27" ht="13.2" x14ac:dyDescent="0.25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</row>
    <row r="818" spans="1:27" ht="13.2" x14ac:dyDescent="0.25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</row>
    <row r="819" spans="1:27" ht="13.2" x14ac:dyDescent="0.25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</row>
    <row r="820" spans="1:27" ht="13.2" x14ac:dyDescent="0.25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</row>
    <row r="821" spans="1:27" ht="13.2" x14ac:dyDescent="0.25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</row>
    <row r="822" spans="1:27" ht="13.2" x14ac:dyDescent="0.25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</row>
    <row r="823" spans="1:27" ht="13.2" x14ac:dyDescent="0.25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</row>
    <row r="824" spans="1:27" ht="13.2" x14ac:dyDescent="0.25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</row>
    <row r="825" spans="1:27" ht="13.2" x14ac:dyDescent="0.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</row>
    <row r="826" spans="1:27" ht="13.2" x14ac:dyDescent="0.25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</row>
    <row r="827" spans="1:27" ht="13.2" x14ac:dyDescent="0.25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</row>
    <row r="828" spans="1:27" ht="13.2" x14ac:dyDescent="0.25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</row>
    <row r="829" spans="1:27" ht="13.2" x14ac:dyDescent="0.25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</row>
    <row r="830" spans="1:27" ht="13.2" x14ac:dyDescent="0.25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</row>
    <row r="831" spans="1:27" ht="13.2" x14ac:dyDescent="0.25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</row>
    <row r="832" spans="1:27" ht="13.2" x14ac:dyDescent="0.25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</row>
    <row r="833" spans="1:27" ht="13.2" x14ac:dyDescent="0.25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</row>
    <row r="834" spans="1:27" ht="13.2" x14ac:dyDescent="0.25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</row>
    <row r="835" spans="1:27" ht="13.2" x14ac:dyDescent="0.2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</row>
    <row r="836" spans="1:27" ht="13.2" x14ac:dyDescent="0.25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</row>
    <row r="837" spans="1:27" ht="13.2" x14ac:dyDescent="0.25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</row>
    <row r="838" spans="1:27" ht="13.2" x14ac:dyDescent="0.25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</row>
    <row r="839" spans="1:27" ht="13.2" x14ac:dyDescent="0.25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</row>
    <row r="840" spans="1:27" ht="13.2" x14ac:dyDescent="0.25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</row>
    <row r="841" spans="1:27" ht="13.2" x14ac:dyDescent="0.25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</row>
    <row r="842" spans="1:27" ht="13.2" x14ac:dyDescent="0.25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</row>
    <row r="843" spans="1:27" ht="13.2" x14ac:dyDescent="0.25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</row>
    <row r="844" spans="1:27" ht="13.2" x14ac:dyDescent="0.25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</row>
    <row r="845" spans="1:27" ht="13.2" x14ac:dyDescent="0.2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</row>
    <row r="846" spans="1:27" ht="13.2" x14ac:dyDescent="0.25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</row>
    <row r="847" spans="1:27" ht="13.2" x14ac:dyDescent="0.25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</row>
    <row r="848" spans="1:27" ht="13.2" x14ac:dyDescent="0.25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</row>
    <row r="849" spans="1:27" ht="13.2" x14ac:dyDescent="0.25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</row>
    <row r="850" spans="1:27" ht="13.2" x14ac:dyDescent="0.25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</row>
    <row r="851" spans="1:27" ht="13.2" x14ac:dyDescent="0.25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</row>
    <row r="852" spans="1:27" ht="13.2" x14ac:dyDescent="0.25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</row>
    <row r="853" spans="1:27" ht="13.2" x14ac:dyDescent="0.25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</row>
    <row r="854" spans="1:27" ht="13.2" x14ac:dyDescent="0.25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</row>
    <row r="855" spans="1:27" ht="13.2" x14ac:dyDescent="0.2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</row>
    <row r="856" spans="1:27" ht="13.2" x14ac:dyDescent="0.25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</row>
    <row r="857" spans="1:27" ht="13.2" x14ac:dyDescent="0.25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</row>
    <row r="858" spans="1:27" ht="13.2" x14ac:dyDescent="0.25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</row>
    <row r="859" spans="1:27" ht="13.2" x14ac:dyDescent="0.25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</row>
    <row r="860" spans="1:27" ht="13.2" x14ac:dyDescent="0.25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</row>
    <row r="861" spans="1:27" ht="13.2" x14ac:dyDescent="0.25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</row>
    <row r="862" spans="1:27" ht="13.2" x14ac:dyDescent="0.25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</row>
    <row r="863" spans="1:27" ht="13.2" x14ac:dyDescent="0.25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</row>
    <row r="864" spans="1:27" ht="13.2" x14ac:dyDescent="0.25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</row>
    <row r="865" spans="1:27" ht="13.2" x14ac:dyDescent="0.2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</row>
    <row r="866" spans="1:27" ht="13.2" x14ac:dyDescent="0.25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</row>
    <row r="867" spans="1:27" ht="13.2" x14ac:dyDescent="0.25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</row>
    <row r="868" spans="1:27" ht="13.2" x14ac:dyDescent="0.25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</row>
    <row r="869" spans="1:27" ht="13.2" x14ac:dyDescent="0.25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</row>
    <row r="870" spans="1:27" ht="13.2" x14ac:dyDescent="0.25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</row>
    <row r="871" spans="1:27" ht="13.2" x14ac:dyDescent="0.25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</row>
    <row r="872" spans="1:27" ht="13.2" x14ac:dyDescent="0.25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</row>
    <row r="873" spans="1:27" ht="13.2" x14ac:dyDescent="0.25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</row>
    <row r="874" spans="1:27" ht="13.2" x14ac:dyDescent="0.25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</row>
    <row r="875" spans="1:27" ht="13.2" x14ac:dyDescent="0.2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</row>
    <row r="876" spans="1:27" ht="13.2" x14ac:dyDescent="0.25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</row>
    <row r="877" spans="1:27" ht="13.2" x14ac:dyDescent="0.25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</row>
    <row r="878" spans="1:27" ht="13.2" x14ac:dyDescent="0.25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</row>
    <row r="879" spans="1:27" ht="13.2" x14ac:dyDescent="0.25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</row>
    <row r="880" spans="1:27" ht="13.2" x14ac:dyDescent="0.25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</row>
    <row r="881" spans="1:27" ht="13.2" x14ac:dyDescent="0.25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</row>
    <row r="882" spans="1:27" ht="13.2" x14ac:dyDescent="0.25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</row>
    <row r="883" spans="1:27" ht="13.2" x14ac:dyDescent="0.25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</row>
    <row r="884" spans="1:27" ht="13.2" x14ac:dyDescent="0.25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</row>
    <row r="885" spans="1:27" ht="13.2" x14ac:dyDescent="0.2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</row>
    <row r="886" spans="1:27" ht="13.2" x14ac:dyDescent="0.25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</row>
    <row r="887" spans="1:27" ht="13.2" x14ac:dyDescent="0.25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</row>
    <row r="888" spans="1:27" ht="13.2" x14ac:dyDescent="0.25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</row>
    <row r="889" spans="1:27" ht="13.2" x14ac:dyDescent="0.25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</row>
    <row r="890" spans="1:27" ht="13.2" x14ac:dyDescent="0.25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</row>
    <row r="891" spans="1:27" ht="13.2" x14ac:dyDescent="0.25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</row>
    <row r="892" spans="1:27" ht="13.2" x14ac:dyDescent="0.25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</row>
    <row r="893" spans="1:27" ht="13.2" x14ac:dyDescent="0.25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</row>
    <row r="894" spans="1:27" ht="13.2" x14ac:dyDescent="0.25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</row>
    <row r="895" spans="1:27" ht="13.2" x14ac:dyDescent="0.2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</row>
    <row r="896" spans="1:27" ht="13.2" x14ac:dyDescent="0.25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</row>
    <row r="897" spans="1:27" ht="13.2" x14ac:dyDescent="0.25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</row>
    <row r="898" spans="1:27" ht="13.2" x14ac:dyDescent="0.25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</row>
    <row r="899" spans="1:27" ht="13.2" x14ac:dyDescent="0.25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</row>
    <row r="900" spans="1:27" ht="13.2" x14ac:dyDescent="0.25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</row>
    <row r="901" spans="1:27" ht="13.2" x14ac:dyDescent="0.25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</row>
    <row r="902" spans="1:27" ht="13.2" x14ac:dyDescent="0.25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</row>
    <row r="903" spans="1:27" ht="13.2" x14ac:dyDescent="0.25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</row>
    <row r="904" spans="1:27" ht="13.2" x14ac:dyDescent="0.25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</row>
    <row r="905" spans="1:27" ht="13.2" x14ac:dyDescent="0.2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</row>
    <row r="906" spans="1:27" ht="13.2" x14ac:dyDescent="0.25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</row>
    <row r="907" spans="1:27" ht="13.2" x14ac:dyDescent="0.25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</row>
    <row r="908" spans="1:27" ht="13.2" x14ac:dyDescent="0.25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</row>
    <row r="909" spans="1:27" ht="13.2" x14ac:dyDescent="0.25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</row>
    <row r="910" spans="1:27" ht="13.2" x14ac:dyDescent="0.25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</row>
    <row r="911" spans="1:27" ht="13.2" x14ac:dyDescent="0.25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</row>
    <row r="912" spans="1:27" ht="13.2" x14ac:dyDescent="0.25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</row>
    <row r="913" spans="1:27" ht="13.2" x14ac:dyDescent="0.25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</row>
    <row r="914" spans="1:27" ht="13.2" x14ac:dyDescent="0.25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</row>
    <row r="915" spans="1:27" ht="13.2" x14ac:dyDescent="0.2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</row>
    <row r="916" spans="1:27" ht="13.2" x14ac:dyDescent="0.25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</row>
    <row r="917" spans="1:27" ht="13.2" x14ac:dyDescent="0.25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</row>
    <row r="918" spans="1:27" ht="13.2" x14ac:dyDescent="0.25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</row>
    <row r="919" spans="1:27" ht="13.2" x14ac:dyDescent="0.25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</row>
    <row r="920" spans="1:27" ht="13.2" x14ac:dyDescent="0.25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</row>
    <row r="921" spans="1:27" ht="13.2" x14ac:dyDescent="0.25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</row>
    <row r="922" spans="1:27" ht="13.2" x14ac:dyDescent="0.25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</row>
    <row r="923" spans="1:27" ht="13.2" x14ac:dyDescent="0.25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</row>
    <row r="924" spans="1:27" ht="13.2" x14ac:dyDescent="0.25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</row>
    <row r="925" spans="1:27" ht="13.2" x14ac:dyDescent="0.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</row>
    <row r="926" spans="1:27" ht="13.2" x14ac:dyDescent="0.25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</row>
    <row r="927" spans="1:27" ht="13.2" x14ac:dyDescent="0.25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</row>
    <row r="928" spans="1:27" ht="13.2" x14ac:dyDescent="0.25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</row>
    <row r="929" spans="1:27" ht="13.2" x14ac:dyDescent="0.25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</row>
    <row r="930" spans="1:27" ht="13.2" x14ac:dyDescent="0.25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</row>
    <row r="931" spans="1:27" ht="13.2" x14ac:dyDescent="0.25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</row>
    <row r="932" spans="1:27" ht="13.2" x14ac:dyDescent="0.25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</row>
    <row r="933" spans="1:27" ht="13.2" x14ac:dyDescent="0.25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</row>
    <row r="934" spans="1:27" ht="13.2" x14ac:dyDescent="0.25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</row>
    <row r="935" spans="1:27" ht="13.2" x14ac:dyDescent="0.2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</row>
    <row r="936" spans="1:27" ht="13.2" x14ac:dyDescent="0.25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</row>
    <row r="937" spans="1:27" ht="13.2" x14ac:dyDescent="0.25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  <c r="AA937" s="81"/>
    </row>
    <row r="938" spans="1:27" ht="13.2" x14ac:dyDescent="0.25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  <c r="AA938" s="81"/>
    </row>
    <row r="939" spans="1:27" ht="13.2" x14ac:dyDescent="0.25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  <c r="AA939" s="81"/>
    </row>
    <row r="940" spans="1:27" ht="13.2" x14ac:dyDescent="0.25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  <c r="AA940" s="81"/>
    </row>
    <row r="941" spans="1:27" ht="13.2" x14ac:dyDescent="0.25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  <c r="AA941" s="81"/>
    </row>
    <row r="942" spans="1:27" ht="13.2" x14ac:dyDescent="0.25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  <c r="AA942" s="81"/>
    </row>
    <row r="943" spans="1:27" ht="13.2" x14ac:dyDescent="0.25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  <c r="AA943" s="81"/>
    </row>
    <row r="944" spans="1:27" ht="13.2" x14ac:dyDescent="0.25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  <c r="AA944" s="81"/>
    </row>
    <row r="945" spans="1:27" ht="13.2" x14ac:dyDescent="0.2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  <c r="AA945" s="81"/>
    </row>
    <row r="946" spans="1:27" ht="13.2" x14ac:dyDescent="0.25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  <c r="AA946" s="81"/>
    </row>
    <row r="947" spans="1:27" ht="13.2" x14ac:dyDescent="0.25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  <c r="AA947" s="81"/>
    </row>
    <row r="948" spans="1:27" ht="13.2" x14ac:dyDescent="0.25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  <c r="AA948" s="81"/>
    </row>
    <row r="949" spans="1:27" ht="13.2" x14ac:dyDescent="0.25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  <c r="AA949" s="81"/>
    </row>
    <row r="950" spans="1:27" ht="13.2" x14ac:dyDescent="0.25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  <c r="AA950" s="81"/>
    </row>
    <row r="951" spans="1:27" ht="13.2" x14ac:dyDescent="0.25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  <c r="AA951" s="81"/>
    </row>
    <row r="952" spans="1:27" ht="13.2" x14ac:dyDescent="0.25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  <c r="AA952" s="81"/>
    </row>
    <row r="953" spans="1:27" ht="13.2" x14ac:dyDescent="0.25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  <c r="AA953" s="81"/>
    </row>
    <row r="954" spans="1:27" ht="13.2" x14ac:dyDescent="0.25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  <c r="AA954" s="81"/>
    </row>
    <row r="955" spans="1:27" ht="13.2" x14ac:dyDescent="0.2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  <c r="AA955" s="81"/>
    </row>
    <row r="956" spans="1:27" ht="13.2" x14ac:dyDescent="0.25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  <c r="AA956" s="81"/>
    </row>
    <row r="957" spans="1:27" ht="13.2" x14ac:dyDescent="0.25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  <c r="AA957" s="81"/>
    </row>
    <row r="958" spans="1:27" ht="13.2" x14ac:dyDescent="0.25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  <c r="AA958" s="81"/>
    </row>
    <row r="959" spans="1:27" ht="13.2" x14ac:dyDescent="0.25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  <c r="AA959" s="81"/>
    </row>
    <row r="960" spans="1:27" ht="13.2" x14ac:dyDescent="0.25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  <c r="AA960" s="81"/>
    </row>
    <row r="961" spans="1:27" ht="13.2" x14ac:dyDescent="0.25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  <c r="AA961" s="81"/>
    </row>
    <row r="962" spans="1:27" ht="13.2" x14ac:dyDescent="0.25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  <c r="AA962" s="81"/>
    </row>
    <row r="963" spans="1:27" ht="13.2" x14ac:dyDescent="0.25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  <c r="AA963" s="81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7CB6-8F18-4755-A69F-B8D03F8EE2D4}">
  <sheetPr>
    <tabColor rgb="FF00B050"/>
    <outlinePr summaryBelow="0" summaryRight="0"/>
  </sheetPr>
  <dimension ref="A1:AH963"/>
  <sheetViews>
    <sheetView showGridLines="0" topLeftCell="J1" zoomScaleNormal="100" workbookViewId="0">
      <selection activeCell="AC10" sqref="AC10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44.886718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 x14ac:dyDescent="0.3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121"/>
      <c r="AC1" s="121"/>
      <c r="AD1" s="121"/>
      <c r="AE1" s="121"/>
      <c r="AF1" s="121"/>
      <c r="AG1" s="121"/>
      <c r="AH1" s="120"/>
    </row>
    <row r="2" spans="1:34" ht="13.2" x14ac:dyDescent="0.25">
      <c r="A2" s="81"/>
      <c r="B2" s="81"/>
      <c r="C2" s="302" t="s">
        <v>28</v>
      </c>
      <c r="D2" s="303"/>
      <c r="E2" s="303"/>
      <c r="F2" s="304"/>
      <c r="G2" s="302" t="s">
        <v>29</v>
      </c>
      <c r="H2" s="303"/>
      <c r="I2" s="303"/>
      <c r="J2" s="303"/>
      <c r="K2" s="304"/>
      <c r="L2" s="302" t="s">
        <v>30</v>
      </c>
      <c r="M2" s="303"/>
      <c r="N2" s="303"/>
      <c r="O2" s="303"/>
      <c r="P2" s="304"/>
      <c r="Q2" s="302" t="s">
        <v>31</v>
      </c>
      <c r="R2" s="303"/>
      <c r="S2" s="303"/>
      <c r="T2" s="303"/>
      <c r="U2" s="304"/>
      <c r="V2" s="302" t="s">
        <v>32</v>
      </c>
      <c r="W2" s="303"/>
      <c r="X2" s="81"/>
      <c r="Y2" s="81"/>
      <c r="Z2" s="83"/>
      <c r="AA2" s="84" t="s">
        <v>33</v>
      </c>
      <c r="AB2" s="84" t="s">
        <v>34</v>
      </c>
      <c r="AC2" s="84" t="s">
        <v>141</v>
      </c>
      <c r="AD2" s="84" t="s">
        <v>35</v>
      </c>
      <c r="AE2" s="84" t="s">
        <v>36</v>
      </c>
      <c r="AF2" s="84" t="s">
        <v>37</v>
      </c>
      <c r="AG2" s="84" t="s">
        <v>38</v>
      </c>
      <c r="AH2" s="84" t="s">
        <v>39</v>
      </c>
    </row>
    <row r="3" spans="1:34" ht="13.2" x14ac:dyDescent="0.25">
      <c r="A3" s="81"/>
      <c r="B3" s="81"/>
      <c r="C3" s="76">
        <v>1</v>
      </c>
      <c r="D3" s="77">
        <v>2</v>
      </c>
      <c r="E3" s="77">
        <v>3</v>
      </c>
      <c r="F3" s="78">
        <v>5</v>
      </c>
      <c r="G3" s="76">
        <v>8</v>
      </c>
      <c r="H3" s="77">
        <v>9</v>
      </c>
      <c r="I3" s="77">
        <v>10</v>
      </c>
      <c r="J3" s="77">
        <v>11</v>
      </c>
      <c r="K3" s="78">
        <v>12</v>
      </c>
      <c r="L3" s="76">
        <v>15</v>
      </c>
      <c r="M3" s="77">
        <v>16</v>
      </c>
      <c r="N3" s="77">
        <v>17</v>
      </c>
      <c r="O3" s="77">
        <v>18</v>
      </c>
      <c r="P3" s="78">
        <v>19</v>
      </c>
      <c r="Q3" s="76">
        <v>22</v>
      </c>
      <c r="R3" s="77">
        <v>23</v>
      </c>
      <c r="S3" s="77">
        <v>24</v>
      </c>
      <c r="T3" s="77">
        <v>25</v>
      </c>
      <c r="U3" s="78">
        <v>26</v>
      </c>
      <c r="V3" s="76">
        <v>29</v>
      </c>
      <c r="W3" s="78">
        <v>30</v>
      </c>
      <c r="X3" s="299"/>
      <c r="Y3" s="300"/>
      <c r="Z3" s="81"/>
      <c r="AA3" s="115">
        <v>1</v>
      </c>
      <c r="AB3" s="150">
        <v>26746</v>
      </c>
      <c r="AC3" s="150" t="s">
        <v>158</v>
      </c>
      <c r="AD3" s="151">
        <v>46148</v>
      </c>
      <c r="AE3" s="150">
        <v>309.64999999999998</v>
      </c>
      <c r="AF3" s="151">
        <v>46175</v>
      </c>
      <c r="AG3" s="150" t="s">
        <v>61</v>
      </c>
      <c r="AH3" s="150">
        <v>119</v>
      </c>
    </row>
    <row r="4" spans="1:34" ht="13.2" x14ac:dyDescent="0.25">
      <c r="A4" s="81"/>
      <c r="B4" s="88" t="s">
        <v>41</v>
      </c>
      <c r="C4" s="89" t="s">
        <v>42</v>
      </c>
      <c r="D4" s="90" t="s">
        <v>43</v>
      </c>
      <c r="E4" s="90" t="s">
        <v>44</v>
      </c>
      <c r="F4" s="91" t="s">
        <v>44</v>
      </c>
      <c r="G4" s="89" t="s">
        <v>42</v>
      </c>
      <c r="H4" s="90" t="s">
        <v>42</v>
      </c>
      <c r="I4" s="90" t="s">
        <v>43</v>
      </c>
      <c r="J4" s="90" t="s">
        <v>44</v>
      </c>
      <c r="K4" s="91" t="s">
        <v>44</v>
      </c>
      <c r="L4" s="89" t="s">
        <v>42</v>
      </c>
      <c r="M4" s="90" t="s">
        <v>42</v>
      </c>
      <c r="N4" s="90" t="s">
        <v>43</v>
      </c>
      <c r="O4" s="90" t="s">
        <v>44</v>
      </c>
      <c r="P4" s="91" t="s">
        <v>44</v>
      </c>
      <c r="Q4" s="89" t="s">
        <v>42</v>
      </c>
      <c r="R4" s="90" t="s">
        <v>42</v>
      </c>
      <c r="S4" s="90" t="s">
        <v>43</v>
      </c>
      <c r="T4" s="90" t="s">
        <v>44</v>
      </c>
      <c r="U4" s="91" t="s">
        <v>44</v>
      </c>
      <c r="V4" s="89" t="s">
        <v>42</v>
      </c>
      <c r="W4" s="91" t="s">
        <v>42</v>
      </c>
      <c r="X4" s="92" t="s">
        <v>11</v>
      </c>
      <c r="Y4" s="81"/>
      <c r="Z4" s="81"/>
      <c r="AA4" s="80">
        <v>2</v>
      </c>
      <c r="AB4" s="122">
        <v>42957</v>
      </c>
      <c r="AC4" s="122" t="s">
        <v>159</v>
      </c>
      <c r="AD4" s="123">
        <v>46362</v>
      </c>
      <c r="AE4" s="122">
        <v>169.73</v>
      </c>
      <c r="AF4" s="123">
        <v>46136</v>
      </c>
      <c r="AG4" s="122" t="s">
        <v>7</v>
      </c>
      <c r="AH4" s="124">
        <v>49</v>
      </c>
    </row>
    <row r="5" spans="1:34" ht="13.2" x14ac:dyDescent="0.25">
      <c r="A5" s="81"/>
      <c r="B5" s="93" t="s">
        <v>2</v>
      </c>
      <c r="C5" s="94">
        <v>1</v>
      </c>
      <c r="D5" s="95">
        <v>1</v>
      </c>
      <c r="E5" s="95">
        <v>1</v>
      </c>
      <c r="F5" s="96">
        <v>1</v>
      </c>
      <c r="G5" s="94">
        <v>1</v>
      </c>
      <c r="H5" s="95">
        <v>1</v>
      </c>
      <c r="I5" s="95">
        <v>1</v>
      </c>
      <c r="J5" s="95">
        <v>1</v>
      </c>
      <c r="K5" s="96">
        <v>1</v>
      </c>
      <c r="L5" s="94">
        <v>1</v>
      </c>
      <c r="M5" s="95">
        <v>1</v>
      </c>
      <c r="N5" s="95">
        <v>1</v>
      </c>
      <c r="O5" s="95">
        <v>1</v>
      </c>
      <c r="P5" s="96">
        <v>1</v>
      </c>
      <c r="Q5" s="94">
        <v>1</v>
      </c>
      <c r="R5" s="95">
        <v>1</v>
      </c>
      <c r="S5" s="95">
        <v>1</v>
      </c>
      <c r="T5" s="95">
        <v>2</v>
      </c>
      <c r="U5" s="96">
        <v>2</v>
      </c>
      <c r="V5" s="51">
        <v>2</v>
      </c>
      <c r="W5" s="96">
        <v>2</v>
      </c>
      <c r="X5" s="97">
        <v>25</v>
      </c>
      <c r="Y5" s="81"/>
      <c r="Z5" s="81"/>
      <c r="AA5" s="80">
        <v>3</v>
      </c>
      <c r="AB5" s="122">
        <v>29236</v>
      </c>
      <c r="AC5" s="122" t="s">
        <v>160</v>
      </c>
      <c r="AD5" s="123">
        <v>46197</v>
      </c>
      <c r="AE5" s="122">
        <v>718.11</v>
      </c>
      <c r="AF5" s="123">
        <v>46136</v>
      </c>
      <c r="AG5" s="122" t="s">
        <v>7</v>
      </c>
      <c r="AH5" s="124">
        <v>61</v>
      </c>
    </row>
    <row r="6" spans="1:34" ht="13.8" thickBot="1" x14ac:dyDescent="0.3">
      <c r="A6" s="81"/>
      <c r="B6" s="93" t="s">
        <v>46</v>
      </c>
      <c r="C6" s="98">
        <v>0</v>
      </c>
      <c r="D6" s="99">
        <v>0</v>
      </c>
      <c r="E6" s="99">
        <v>0</v>
      </c>
      <c r="F6" s="100">
        <v>1</v>
      </c>
      <c r="G6" s="98">
        <v>0</v>
      </c>
      <c r="H6" s="99">
        <v>0</v>
      </c>
      <c r="I6" s="99">
        <v>0</v>
      </c>
      <c r="J6" s="99">
        <v>0</v>
      </c>
      <c r="K6" s="100">
        <v>1</v>
      </c>
      <c r="L6" s="98">
        <v>0</v>
      </c>
      <c r="M6" s="99">
        <v>0</v>
      </c>
      <c r="N6" s="99">
        <v>0</v>
      </c>
      <c r="O6" s="99">
        <v>0</v>
      </c>
      <c r="P6" s="100">
        <v>0</v>
      </c>
      <c r="Q6" s="98">
        <v>0</v>
      </c>
      <c r="R6" s="99">
        <v>0</v>
      </c>
      <c r="S6" s="99">
        <v>2</v>
      </c>
      <c r="T6" s="99">
        <v>0</v>
      </c>
      <c r="U6" s="100">
        <v>1</v>
      </c>
      <c r="V6" s="98">
        <v>0</v>
      </c>
      <c r="W6" s="100">
        <v>2</v>
      </c>
      <c r="X6" s="97">
        <v>7</v>
      </c>
      <c r="Y6" s="101">
        <v>-18</v>
      </c>
      <c r="Z6" s="81"/>
      <c r="AA6" s="80">
        <v>4</v>
      </c>
      <c r="AB6" s="122">
        <v>44928</v>
      </c>
      <c r="AC6" s="122" t="s">
        <v>161</v>
      </c>
      <c r="AD6" s="123">
        <v>46197</v>
      </c>
      <c r="AE6" s="122">
        <v>217.28</v>
      </c>
      <c r="AF6" s="123">
        <v>46178</v>
      </c>
      <c r="AG6" s="122" t="s">
        <v>8</v>
      </c>
      <c r="AH6" s="124">
        <v>49</v>
      </c>
    </row>
    <row r="7" spans="1:34" ht="13.2" x14ac:dyDescent="0.25">
      <c r="A7" s="81"/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115">
        <v>5</v>
      </c>
      <c r="AB7" s="125">
        <v>38149</v>
      </c>
      <c r="AC7" s="125" t="s">
        <v>162</v>
      </c>
      <c r="AD7" s="126">
        <v>46199</v>
      </c>
      <c r="AE7" s="125">
        <v>220.74</v>
      </c>
      <c r="AF7" s="126">
        <v>46176</v>
      </c>
      <c r="AG7" s="125" t="s">
        <v>62</v>
      </c>
      <c r="AH7" s="125">
        <v>112</v>
      </c>
    </row>
    <row r="8" spans="1:34" ht="13.2" x14ac:dyDescent="0.25">
      <c r="A8" s="81"/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0">
        <v>7</v>
      </c>
      <c r="AB8" s="122">
        <v>27148</v>
      </c>
      <c r="AC8" s="122" t="s">
        <v>163</v>
      </c>
      <c r="AD8" s="123">
        <v>46029</v>
      </c>
      <c r="AE8" s="122">
        <v>161.75</v>
      </c>
      <c r="AF8" s="123">
        <v>46129</v>
      </c>
      <c r="AG8" s="122" t="s">
        <v>8</v>
      </c>
      <c r="AH8" s="124">
        <v>75</v>
      </c>
    </row>
    <row r="9" spans="1:34" ht="13.2" x14ac:dyDescent="0.25">
      <c r="A9" s="81"/>
      <c r="B9" s="102" t="s">
        <v>49</v>
      </c>
      <c r="C9" s="76">
        <v>1</v>
      </c>
      <c r="D9" s="77">
        <v>2</v>
      </c>
      <c r="E9" s="77">
        <v>3</v>
      </c>
      <c r="F9" s="78">
        <v>5</v>
      </c>
      <c r="G9" s="76">
        <v>8</v>
      </c>
      <c r="H9" s="77">
        <v>9</v>
      </c>
      <c r="I9" s="77">
        <v>10</v>
      </c>
      <c r="J9" s="77">
        <v>11</v>
      </c>
      <c r="K9" s="78">
        <v>12</v>
      </c>
      <c r="L9" s="76">
        <v>15</v>
      </c>
      <c r="M9" s="77">
        <v>16</v>
      </c>
      <c r="N9" s="77">
        <v>17</v>
      </c>
      <c r="O9" s="77">
        <v>18</v>
      </c>
      <c r="P9" s="78">
        <v>19</v>
      </c>
      <c r="Q9" s="76">
        <v>22</v>
      </c>
      <c r="R9" s="77">
        <v>23</v>
      </c>
      <c r="S9" s="77">
        <v>24</v>
      </c>
      <c r="T9" s="77">
        <v>25</v>
      </c>
      <c r="U9" s="78">
        <v>26</v>
      </c>
      <c r="V9" s="76">
        <v>29</v>
      </c>
      <c r="W9" s="78">
        <v>30</v>
      </c>
      <c r="X9" s="81"/>
      <c r="Y9" s="81"/>
      <c r="Z9" s="81"/>
      <c r="AA9" s="80">
        <v>6</v>
      </c>
      <c r="AB9" s="122">
        <v>34645</v>
      </c>
      <c r="AC9" s="122" t="s">
        <v>164</v>
      </c>
      <c r="AD9" s="123">
        <v>46029</v>
      </c>
      <c r="AE9" s="122">
        <v>175.75</v>
      </c>
      <c r="AF9" s="123">
        <v>46140</v>
      </c>
      <c r="AG9" s="122" t="s">
        <v>59</v>
      </c>
      <c r="AH9" s="124">
        <v>64</v>
      </c>
    </row>
    <row r="10" spans="1:34" ht="13.2" x14ac:dyDescent="0.25">
      <c r="A10" s="81"/>
      <c r="B10" s="90" t="s">
        <v>15</v>
      </c>
      <c r="C10" s="95">
        <v>5</v>
      </c>
      <c r="D10" s="95"/>
      <c r="E10" s="95">
        <v>0</v>
      </c>
      <c r="F10" s="95">
        <v>0</v>
      </c>
      <c r="G10" s="95">
        <v>0</v>
      </c>
      <c r="H10" s="95">
        <v>0</v>
      </c>
      <c r="I10" s="95">
        <v>0</v>
      </c>
      <c r="J10" s="95">
        <v>0</v>
      </c>
      <c r="K10" s="95">
        <v>0</v>
      </c>
      <c r="L10" s="106"/>
      <c r="M10" s="95">
        <v>0</v>
      </c>
      <c r="N10" s="95">
        <v>16</v>
      </c>
      <c r="O10" s="95">
        <v>16</v>
      </c>
      <c r="P10" s="95">
        <v>16</v>
      </c>
      <c r="Q10" s="95">
        <v>0</v>
      </c>
      <c r="R10" s="107">
        <v>17</v>
      </c>
      <c r="S10" s="74">
        <v>1</v>
      </c>
      <c r="T10" s="108">
        <v>0</v>
      </c>
      <c r="U10" s="109">
        <v>0</v>
      </c>
      <c r="V10" s="109">
        <v>0</v>
      </c>
      <c r="W10" s="95"/>
      <c r="X10" s="81"/>
      <c r="Y10" s="81"/>
      <c r="Z10" s="81"/>
      <c r="AA10" s="80"/>
      <c r="AB10" s="122"/>
      <c r="AC10" s="122"/>
      <c r="AD10" s="122"/>
      <c r="AE10" s="122"/>
      <c r="AF10" s="122"/>
      <c r="AG10" s="122"/>
      <c r="AH10" s="124"/>
    </row>
    <row r="11" spans="1:34" ht="13.2" x14ac:dyDescent="0.25">
      <c r="A11" s="81"/>
      <c r="B11" s="90" t="s">
        <v>16</v>
      </c>
      <c r="C11" s="95">
        <v>0</v>
      </c>
      <c r="D11" s="95"/>
      <c r="E11" s="95">
        <v>0</v>
      </c>
      <c r="F11" s="95">
        <v>0</v>
      </c>
      <c r="G11" s="95">
        <v>0</v>
      </c>
      <c r="H11" s="95">
        <v>0</v>
      </c>
      <c r="I11" s="95">
        <v>0</v>
      </c>
      <c r="J11" s="95">
        <v>0</v>
      </c>
      <c r="K11" s="95">
        <v>0</v>
      </c>
      <c r="L11" s="106"/>
      <c r="M11" s="95">
        <v>0</v>
      </c>
      <c r="N11" s="95">
        <v>0</v>
      </c>
      <c r="O11" s="95">
        <v>0</v>
      </c>
      <c r="P11" s="95">
        <v>0</v>
      </c>
      <c r="Q11" s="95">
        <v>1</v>
      </c>
      <c r="R11" s="107">
        <v>1</v>
      </c>
      <c r="S11" s="74">
        <v>0</v>
      </c>
      <c r="T11" s="108">
        <v>0</v>
      </c>
      <c r="U11" s="109">
        <v>0</v>
      </c>
      <c r="V11" s="109">
        <v>0</v>
      </c>
      <c r="W11" s="95"/>
      <c r="X11" s="81"/>
      <c r="Y11" s="81"/>
      <c r="Z11" s="81"/>
      <c r="AA11" s="80"/>
      <c r="AB11" s="152"/>
      <c r="AC11" s="152"/>
      <c r="AD11" s="152"/>
      <c r="AE11" s="122"/>
      <c r="AF11" s="122"/>
      <c r="AG11" s="122"/>
      <c r="AH11" s="124"/>
    </row>
    <row r="12" spans="1:34" ht="13.2" x14ac:dyDescent="0.25">
      <c r="A12" s="81"/>
      <c r="B12" s="90" t="s">
        <v>17</v>
      </c>
      <c r="C12" s="95">
        <v>0</v>
      </c>
      <c r="D12" s="95"/>
      <c r="E12" s="95">
        <v>0</v>
      </c>
      <c r="F12" s="95">
        <v>0</v>
      </c>
      <c r="G12" s="95">
        <v>0</v>
      </c>
      <c r="H12" s="95">
        <v>0</v>
      </c>
      <c r="I12" s="95">
        <v>0</v>
      </c>
      <c r="J12" s="95">
        <v>0</v>
      </c>
      <c r="K12" s="95">
        <v>0</v>
      </c>
      <c r="L12" s="106"/>
      <c r="M12" s="95">
        <v>0</v>
      </c>
      <c r="N12" s="95">
        <v>0</v>
      </c>
      <c r="O12" s="95">
        <v>0</v>
      </c>
      <c r="P12" s="95">
        <v>0</v>
      </c>
      <c r="Q12" s="95">
        <v>0</v>
      </c>
      <c r="R12" s="107">
        <v>0</v>
      </c>
      <c r="S12" s="74">
        <v>0</v>
      </c>
      <c r="T12" s="108">
        <v>0</v>
      </c>
      <c r="U12" s="109">
        <v>0</v>
      </c>
      <c r="V12" s="109">
        <v>0</v>
      </c>
      <c r="W12" s="95"/>
      <c r="X12" s="81"/>
      <c r="Y12" s="81"/>
      <c r="Z12" s="81"/>
      <c r="AA12" s="80"/>
      <c r="AB12" s="152"/>
      <c r="AC12" s="152"/>
      <c r="AD12" s="152"/>
      <c r="AE12" s="122"/>
      <c r="AF12" s="122"/>
      <c r="AG12" s="122"/>
      <c r="AH12" s="124"/>
    </row>
    <row r="13" spans="1:34" ht="13.2" x14ac:dyDescent="0.25">
      <c r="A13" s="81"/>
      <c r="B13" s="90" t="s">
        <v>18</v>
      </c>
      <c r="C13" s="95">
        <v>0</v>
      </c>
      <c r="D13" s="95"/>
      <c r="E13" s="95">
        <v>0</v>
      </c>
      <c r="F13" s="95">
        <v>0</v>
      </c>
      <c r="G13" s="95">
        <v>0</v>
      </c>
      <c r="H13" s="95">
        <v>0</v>
      </c>
      <c r="I13" s="95">
        <v>0</v>
      </c>
      <c r="J13" s="95">
        <v>0</v>
      </c>
      <c r="K13" s="95">
        <v>0</v>
      </c>
      <c r="L13" s="106"/>
      <c r="M13" s="95">
        <v>0</v>
      </c>
      <c r="N13" s="95">
        <v>0</v>
      </c>
      <c r="O13" s="95">
        <v>0</v>
      </c>
      <c r="P13" s="95">
        <v>0</v>
      </c>
      <c r="Q13" s="95">
        <v>0</v>
      </c>
      <c r="R13" s="107">
        <v>0</v>
      </c>
      <c r="S13" s="74">
        <v>0</v>
      </c>
      <c r="T13" s="108">
        <v>0</v>
      </c>
      <c r="U13" s="109">
        <v>0</v>
      </c>
      <c r="V13" s="109">
        <v>0</v>
      </c>
      <c r="W13" s="95"/>
      <c r="X13" s="81"/>
      <c r="Y13" s="81"/>
      <c r="Z13" s="81"/>
      <c r="AA13" s="80"/>
      <c r="AB13" s="152"/>
      <c r="AC13" s="152"/>
      <c r="AD13" s="152"/>
      <c r="AE13" s="122"/>
      <c r="AF13" s="122"/>
      <c r="AG13" s="122"/>
      <c r="AH13" s="124"/>
    </row>
    <row r="14" spans="1:34" ht="13.2" x14ac:dyDescent="0.25">
      <c r="A14" s="81"/>
      <c r="B14" s="90" t="s">
        <v>51</v>
      </c>
      <c r="C14" s="95">
        <v>291</v>
      </c>
      <c r="D14" s="95"/>
      <c r="E14" s="95">
        <v>295</v>
      </c>
      <c r="F14" s="95">
        <v>295</v>
      </c>
      <c r="G14" s="2">
        <v>295</v>
      </c>
      <c r="H14" s="106">
        <v>307</v>
      </c>
      <c r="I14" s="95">
        <v>307</v>
      </c>
      <c r="J14" s="95">
        <v>307</v>
      </c>
      <c r="K14" s="95">
        <v>307</v>
      </c>
      <c r="L14" s="106"/>
      <c r="M14" s="95">
        <v>39</v>
      </c>
      <c r="N14" s="95">
        <v>307</v>
      </c>
      <c r="O14" s="95">
        <v>307</v>
      </c>
      <c r="P14" s="95">
        <v>307</v>
      </c>
      <c r="Q14" s="95">
        <v>321</v>
      </c>
      <c r="R14" s="107">
        <v>333</v>
      </c>
      <c r="S14" s="74">
        <v>343</v>
      </c>
      <c r="T14" s="108">
        <v>335</v>
      </c>
      <c r="U14" s="80">
        <v>352</v>
      </c>
      <c r="V14" s="95">
        <v>350</v>
      </c>
      <c r="W14" s="95"/>
      <c r="X14" s="81"/>
      <c r="Y14" s="81"/>
      <c r="Z14" s="81"/>
      <c r="AA14" s="121"/>
      <c r="AB14" s="121"/>
      <c r="AC14" s="121"/>
      <c r="AD14" s="121"/>
      <c r="AE14" s="131">
        <v>1973.01</v>
      </c>
      <c r="AF14" s="121"/>
      <c r="AG14" s="121"/>
      <c r="AH14" s="120"/>
    </row>
    <row r="15" spans="1:34" ht="13.2" x14ac:dyDescent="0.25">
      <c r="A15" s="81"/>
      <c r="B15" s="90" t="s">
        <v>52</v>
      </c>
      <c r="C15" s="95">
        <v>30</v>
      </c>
      <c r="D15" s="95"/>
      <c r="E15" s="95">
        <v>30</v>
      </c>
      <c r="F15" s="95">
        <v>30</v>
      </c>
      <c r="G15" s="2">
        <v>29</v>
      </c>
      <c r="H15" s="95">
        <v>31</v>
      </c>
      <c r="I15" s="95">
        <v>31</v>
      </c>
      <c r="J15" s="95">
        <v>31</v>
      </c>
      <c r="K15" s="95">
        <v>31</v>
      </c>
      <c r="L15" s="106"/>
      <c r="M15" s="95">
        <v>5</v>
      </c>
      <c r="N15" s="95">
        <v>31</v>
      </c>
      <c r="O15" s="95">
        <v>31</v>
      </c>
      <c r="P15" s="95">
        <v>31</v>
      </c>
      <c r="Q15" s="95">
        <v>31</v>
      </c>
      <c r="R15" s="107">
        <v>32</v>
      </c>
      <c r="S15" s="74">
        <v>32</v>
      </c>
      <c r="T15" s="108">
        <v>33</v>
      </c>
      <c r="U15" s="110">
        <v>33</v>
      </c>
      <c r="V15" s="95">
        <v>32</v>
      </c>
      <c r="W15" s="95"/>
      <c r="X15" s="81"/>
      <c r="Y15" s="81"/>
      <c r="Z15" s="81"/>
      <c r="AA15" s="81"/>
      <c r="AB15" s="121"/>
      <c r="AC15" s="121"/>
      <c r="AD15" s="121"/>
      <c r="AE15" s="121"/>
      <c r="AF15" s="121"/>
      <c r="AG15" s="121"/>
      <c r="AH15" s="120"/>
    </row>
    <row r="16" spans="1:34" ht="13.2" x14ac:dyDescent="0.25">
      <c r="A16" s="81"/>
      <c r="B16" s="90" t="s">
        <v>22</v>
      </c>
      <c r="C16" s="95">
        <v>0</v>
      </c>
      <c r="D16" s="95"/>
      <c r="E16" s="95">
        <v>0</v>
      </c>
      <c r="F16" s="95">
        <v>0</v>
      </c>
      <c r="G16" s="2">
        <v>0</v>
      </c>
      <c r="H16" s="95">
        <v>1</v>
      </c>
      <c r="I16" s="95">
        <v>1</v>
      </c>
      <c r="J16" s="95">
        <v>1</v>
      </c>
      <c r="K16" s="95">
        <v>1</v>
      </c>
      <c r="L16" s="106"/>
      <c r="M16" s="95">
        <v>0</v>
      </c>
      <c r="N16" s="95">
        <v>1</v>
      </c>
      <c r="O16" s="95">
        <v>1</v>
      </c>
      <c r="P16" s="95">
        <v>1</v>
      </c>
      <c r="Q16" s="95">
        <v>1</v>
      </c>
      <c r="R16" s="107">
        <v>1</v>
      </c>
      <c r="S16" s="74">
        <v>1</v>
      </c>
      <c r="T16" s="108">
        <v>1</v>
      </c>
      <c r="U16" s="80">
        <v>1</v>
      </c>
      <c r="V16" s="95">
        <v>1</v>
      </c>
      <c r="W16" s="95"/>
      <c r="X16" s="81"/>
      <c r="Y16" s="81"/>
      <c r="Z16" s="81"/>
      <c r="AA16" s="81"/>
      <c r="AB16" s="121"/>
      <c r="AC16" s="121"/>
      <c r="AD16" s="121"/>
      <c r="AE16" s="121"/>
      <c r="AF16" s="121"/>
      <c r="AG16" s="121"/>
      <c r="AH16" s="120"/>
    </row>
    <row r="17" spans="1:34" ht="13.2" x14ac:dyDescent="0.25">
      <c r="A17" s="81"/>
      <c r="B17" s="90" t="s">
        <v>23</v>
      </c>
      <c r="C17" s="95">
        <v>0</v>
      </c>
      <c r="D17" s="95"/>
      <c r="E17" s="95">
        <v>1</v>
      </c>
      <c r="F17" s="95">
        <v>1</v>
      </c>
      <c r="G17" s="2">
        <v>1</v>
      </c>
      <c r="H17" s="95">
        <v>2</v>
      </c>
      <c r="I17" s="95">
        <v>2</v>
      </c>
      <c r="J17" s="95">
        <v>2</v>
      </c>
      <c r="K17" s="95">
        <v>2</v>
      </c>
      <c r="L17" s="106"/>
      <c r="M17" s="95">
        <v>0</v>
      </c>
      <c r="N17" s="95">
        <v>2</v>
      </c>
      <c r="O17" s="95">
        <v>2</v>
      </c>
      <c r="P17" s="95">
        <v>2</v>
      </c>
      <c r="Q17" s="95">
        <v>2</v>
      </c>
      <c r="R17" s="107">
        <v>2</v>
      </c>
      <c r="S17" s="74">
        <v>3</v>
      </c>
      <c r="T17" s="108">
        <v>3</v>
      </c>
      <c r="U17" s="80">
        <v>3</v>
      </c>
      <c r="V17" s="95">
        <v>3</v>
      </c>
      <c r="W17" s="95"/>
      <c r="X17" s="81"/>
      <c r="Y17" s="81"/>
      <c r="Z17" s="81"/>
      <c r="AA17" s="81"/>
      <c r="AB17" s="121"/>
      <c r="AC17" s="121"/>
      <c r="AD17" s="121"/>
      <c r="AE17" s="121"/>
      <c r="AF17" s="121"/>
      <c r="AG17" s="121"/>
      <c r="AH17" s="120"/>
    </row>
    <row r="18" spans="1:34" ht="13.2" x14ac:dyDescent="0.25">
      <c r="A18" s="81"/>
      <c r="B18" s="90" t="s">
        <v>24</v>
      </c>
      <c r="C18" s="95">
        <v>0</v>
      </c>
      <c r="D18" s="95"/>
      <c r="E18" s="95">
        <v>1</v>
      </c>
      <c r="F18" s="95">
        <v>1</v>
      </c>
      <c r="G18" s="2">
        <v>1</v>
      </c>
      <c r="H18" s="95">
        <v>1</v>
      </c>
      <c r="I18" s="95">
        <v>1</v>
      </c>
      <c r="J18" s="95">
        <v>1</v>
      </c>
      <c r="K18" s="95">
        <v>1</v>
      </c>
      <c r="L18" s="106"/>
      <c r="M18" s="95">
        <v>0</v>
      </c>
      <c r="N18" s="95">
        <v>1</v>
      </c>
      <c r="O18" s="95">
        <v>1</v>
      </c>
      <c r="P18" s="95">
        <v>1</v>
      </c>
      <c r="Q18" s="95">
        <v>1</v>
      </c>
      <c r="R18" s="107">
        <v>2</v>
      </c>
      <c r="S18" s="74">
        <v>5</v>
      </c>
      <c r="T18" s="108">
        <v>10</v>
      </c>
      <c r="U18" s="80">
        <v>15</v>
      </c>
      <c r="V18" s="95">
        <v>18</v>
      </c>
      <c r="W18" s="95"/>
      <c r="X18" s="81"/>
      <c r="Y18" s="81"/>
      <c r="Z18" s="81"/>
      <c r="AA18" s="81"/>
      <c r="AB18" s="121"/>
      <c r="AC18" s="121"/>
      <c r="AD18" s="121"/>
      <c r="AE18" s="121"/>
      <c r="AF18" s="121"/>
      <c r="AG18" s="121"/>
      <c r="AH18" s="120"/>
    </row>
    <row r="19" spans="1:34" ht="13.2" x14ac:dyDescent="0.25">
      <c r="A19" s="81"/>
      <c r="B19" s="90" t="s">
        <v>25</v>
      </c>
      <c r="C19" s="95">
        <v>0</v>
      </c>
      <c r="D19" s="95"/>
      <c r="E19" s="95">
        <v>0</v>
      </c>
      <c r="F19" s="95">
        <v>0</v>
      </c>
      <c r="G19" s="2">
        <v>0</v>
      </c>
      <c r="H19" s="95">
        <v>3</v>
      </c>
      <c r="I19" s="95">
        <v>3</v>
      </c>
      <c r="J19" s="95">
        <v>3</v>
      </c>
      <c r="K19" s="95">
        <v>3</v>
      </c>
      <c r="L19" s="106"/>
      <c r="M19" s="95">
        <v>0</v>
      </c>
      <c r="N19" s="95">
        <v>3</v>
      </c>
      <c r="O19" s="95">
        <v>3</v>
      </c>
      <c r="P19" s="95">
        <v>3</v>
      </c>
      <c r="Q19" s="95">
        <v>4</v>
      </c>
      <c r="R19" s="107">
        <v>4</v>
      </c>
      <c r="S19" s="74">
        <v>4</v>
      </c>
      <c r="T19" s="108">
        <v>4</v>
      </c>
      <c r="U19" s="80">
        <v>4</v>
      </c>
      <c r="V19" s="95">
        <v>4</v>
      </c>
      <c r="W19" s="95"/>
      <c r="X19" s="81"/>
      <c r="Y19" s="81"/>
      <c r="Z19" s="81"/>
      <c r="AA19" s="81"/>
      <c r="AB19" s="121"/>
      <c r="AC19" s="121"/>
      <c r="AD19" s="121"/>
      <c r="AE19" s="121"/>
      <c r="AF19" s="121"/>
      <c r="AG19" s="121"/>
      <c r="AH19" s="120"/>
    </row>
    <row r="20" spans="1:34" ht="13.2" x14ac:dyDescent="0.25">
      <c r="A20" s="81"/>
      <c r="B20" s="90" t="s">
        <v>26</v>
      </c>
      <c r="C20" s="95">
        <v>0</v>
      </c>
      <c r="D20" s="95"/>
      <c r="E20" s="95">
        <v>0</v>
      </c>
      <c r="F20" s="95">
        <v>0</v>
      </c>
      <c r="G20" s="2">
        <v>0</v>
      </c>
      <c r="H20" s="95">
        <v>0</v>
      </c>
      <c r="I20" s="95">
        <v>0</v>
      </c>
      <c r="J20" s="95">
        <v>0</v>
      </c>
      <c r="K20" s="95">
        <v>0</v>
      </c>
      <c r="L20" s="106"/>
      <c r="M20" s="95">
        <v>0</v>
      </c>
      <c r="N20" s="95">
        <v>0</v>
      </c>
      <c r="O20" s="95">
        <v>0</v>
      </c>
      <c r="P20" s="95">
        <v>0</v>
      </c>
      <c r="Q20" s="95">
        <v>0</v>
      </c>
      <c r="R20" s="107">
        <v>0</v>
      </c>
      <c r="S20" s="74">
        <v>0</v>
      </c>
      <c r="T20" s="108">
        <v>0</v>
      </c>
      <c r="U20" s="80">
        <v>0</v>
      </c>
      <c r="V20" s="95">
        <v>0</v>
      </c>
      <c r="W20" s="95"/>
      <c r="X20" s="81"/>
      <c r="Y20" s="81"/>
      <c r="Z20" s="81"/>
      <c r="AA20" s="81"/>
      <c r="AB20" s="121"/>
      <c r="AC20" s="121"/>
      <c r="AD20" s="121"/>
      <c r="AE20" s="121"/>
      <c r="AF20" s="121"/>
      <c r="AG20" s="121"/>
      <c r="AH20" s="120"/>
    </row>
    <row r="21" spans="1:34" ht="13.2" x14ac:dyDescent="0.25">
      <c r="A21" s="81"/>
      <c r="B21" s="102" t="s">
        <v>11</v>
      </c>
      <c r="C21" s="102">
        <v>326</v>
      </c>
      <c r="D21" s="102">
        <v>0</v>
      </c>
      <c r="E21" s="102">
        <v>327</v>
      </c>
      <c r="F21" s="102">
        <v>326</v>
      </c>
      <c r="G21" s="102">
        <v>325</v>
      </c>
      <c r="H21" s="102">
        <v>345</v>
      </c>
      <c r="I21" s="102">
        <v>345</v>
      </c>
      <c r="J21" s="102">
        <v>345</v>
      </c>
      <c r="K21" s="102">
        <v>345</v>
      </c>
      <c r="L21" s="102">
        <v>0</v>
      </c>
      <c r="M21" s="102">
        <v>44</v>
      </c>
      <c r="N21" s="102">
        <v>361</v>
      </c>
      <c r="O21" s="102">
        <v>361</v>
      </c>
      <c r="P21" s="102">
        <v>361</v>
      </c>
      <c r="Q21" s="102">
        <v>361</v>
      </c>
      <c r="R21" s="102">
        <v>392</v>
      </c>
      <c r="S21" s="102">
        <v>389</v>
      </c>
      <c r="T21" s="102">
        <v>386</v>
      </c>
      <c r="U21" s="102">
        <v>408</v>
      </c>
      <c r="V21" s="102">
        <v>408</v>
      </c>
      <c r="W21" s="102">
        <v>0</v>
      </c>
      <c r="X21" s="81"/>
      <c r="Y21" s="81"/>
      <c r="Z21" s="81"/>
      <c r="AA21" s="81"/>
      <c r="AB21" s="121"/>
      <c r="AC21" s="121"/>
      <c r="AD21" s="121"/>
      <c r="AE21" s="121"/>
      <c r="AF21" s="121"/>
      <c r="AG21" s="121"/>
      <c r="AH21" s="120"/>
    </row>
    <row r="22" spans="1:34" ht="13.2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121"/>
      <c r="AC22" s="121"/>
      <c r="AD22" s="121"/>
      <c r="AE22" s="121"/>
      <c r="AF22" s="121"/>
      <c r="AG22" s="121"/>
      <c r="AH22" s="120"/>
    </row>
    <row r="23" spans="1:34" ht="13.2" x14ac:dyDescent="0.25">
      <c r="A23" s="81"/>
      <c r="B23" s="75" t="s">
        <v>53</v>
      </c>
      <c r="C23" s="76">
        <v>1</v>
      </c>
      <c r="D23" s="77">
        <v>2</v>
      </c>
      <c r="E23" s="77">
        <v>3</v>
      </c>
      <c r="F23" s="78">
        <v>5</v>
      </c>
      <c r="G23" s="76">
        <v>8</v>
      </c>
      <c r="H23" s="77">
        <v>9</v>
      </c>
      <c r="I23" s="77">
        <v>10</v>
      </c>
      <c r="J23" s="77">
        <v>11</v>
      </c>
      <c r="K23" s="78">
        <v>12</v>
      </c>
      <c r="L23" s="76">
        <v>15</v>
      </c>
      <c r="M23" s="77">
        <v>16</v>
      </c>
      <c r="N23" s="77">
        <v>17</v>
      </c>
      <c r="O23" s="77">
        <v>18</v>
      </c>
      <c r="P23" s="78">
        <v>19</v>
      </c>
      <c r="Q23" s="76">
        <v>22</v>
      </c>
      <c r="R23" s="77">
        <v>23</v>
      </c>
      <c r="S23" s="77">
        <v>24</v>
      </c>
      <c r="T23" s="77">
        <v>25</v>
      </c>
      <c r="U23" s="78">
        <v>26</v>
      </c>
      <c r="V23" s="76">
        <v>29</v>
      </c>
      <c r="W23" s="78">
        <v>30</v>
      </c>
      <c r="X23" s="79" t="s">
        <v>11</v>
      </c>
      <c r="Y23" s="81"/>
      <c r="Z23" s="81"/>
      <c r="AA23" s="81"/>
      <c r="AB23" s="121"/>
      <c r="AC23" s="121"/>
      <c r="AD23" s="121"/>
      <c r="AE23" s="121"/>
      <c r="AF23" s="121"/>
      <c r="AG23" s="121"/>
      <c r="AH23" s="120"/>
    </row>
    <row r="24" spans="1:34" ht="13.2" x14ac:dyDescent="0.25">
      <c r="A24" s="81"/>
      <c r="B24" s="74" t="s">
        <v>2</v>
      </c>
      <c r="C24" s="80">
        <v>17</v>
      </c>
      <c r="D24" s="80">
        <v>17</v>
      </c>
      <c r="E24" s="80">
        <v>17</v>
      </c>
      <c r="F24" s="80">
        <v>17</v>
      </c>
      <c r="G24" s="80">
        <v>17</v>
      </c>
      <c r="H24" s="80">
        <v>17</v>
      </c>
      <c r="I24" s="80">
        <v>17</v>
      </c>
      <c r="J24" s="80">
        <v>17</v>
      </c>
      <c r="K24" s="80">
        <v>17</v>
      </c>
      <c r="L24" s="80">
        <v>17</v>
      </c>
      <c r="M24" s="80">
        <v>17</v>
      </c>
      <c r="N24" s="80">
        <v>17</v>
      </c>
      <c r="O24" s="80">
        <v>17</v>
      </c>
      <c r="P24" s="80">
        <v>17</v>
      </c>
      <c r="Q24" s="80">
        <v>17</v>
      </c>
      <c r="R24" s="80">
        <v>17</v>
      </c>
      <c r="S24" s="80">
        <v>17</v>
      </c>
      <c r="T24" s="80">
        <v>16</v>
      </c>
      <c r="U24" s="80">
        <v>15</v>
      </c>
      <c r="V24" s="80">
        <v>15</v>
      </c>
      <c r="W24" s="80">
        <v>15</v>
      </c>
      <c r="X24" s="74">
        <v>350</v>
      </c>
      <c r="Y24" s="81"/>
      <c r="Z24" s="81"/>
      <c r="AA24" s="81"/>
      <c r="AB24" s="121"/>
      <c r="AC24" s="121"/>
      <c r="AD24" s="121"/>
      <c r="AE24" s="121"/>
      <c r="AF24" s="121"/>
      <c r="AG24" s="121"/>
      <c r="AH24" s="120"/>
    </row>
    <row r="25" spans="1:34" ht="13.2" x14ac:dyDescent="0.25">
      <c r="A25" s="81"/>
      <c r="B25" s="74" t="s">
        <v>115</v>
      </c>
      <c r="C25" s="80">
        <v>20</v>
      </c>
      <c r="D25" s="80">
        <v>23</v>
      </c>
      <c r="E25" s="80">
        <v>4</v>
      </c>
      <c r="F25" s="80">
        <v>14</v>
      </c>
      <c r="G25" s="80">
        <v>29</v>
      </c>
      <c r="H25" s="80">
        <v>8</v>
      </c>
      <c r="I25" s="80">
        <v>0</v>
      </c>
      <c r="J25" s="80">
        <v>0</v>
      </c>
      <c r="K25" s="80">
        <v>0</v>
      </c>
      <c r="L25" s="80">
        <v>0</v>
      </c>
      <c r="M25" s="80">
        <v>0</v>
      </c>
      <c r="N25" s="80">
        <v>0</v>
      </c>
      <c r="O25" s="80">
        <v>0</v>
      </c>
      <c r="P25" s="80">
        <v>0</v>
      </c>
      <c r="Q25" s="80">
        <v>21</v>
      </c>
      <c r="R25" s="80">
        <v>16</v>
      </c>
      <c r="S25" s="80">
        <v>62</v>
      </c>
      <c r="T25" s="80">
        <v>35</v>
      </c>
      <c r="U25" s="80">
        <v>40</v>
      </c>
      <c r="V25" s="80">
        <v>40</v>
      </c>
      <c r="W25" s="80"/>
      <c r="X25" s="74">
        <v>312</v>
      </c>
      <c r="Y25" s="101">
        <v>-38</v>
      </c>
      <c r="Z25" s="81"/>
      <c r="AA25" s="81"/>
      <c r="AB25" s="121"/>
      <c r="AC25" s="121"/>
      <c r="AD25" s="121"/>
      <c r="AE25" s="121"/>
      <c r="AF25" s="121"/>
      <c r="AG25" s="121"/>
      <c r="AH25" s="120"/>
    </row>
    <row r="26" spans="1:34" ht="13.2" x14ac:dyDescent="0.25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305"/>
      <c r="Y26" s="305"/>
      <c r="Z26" s="81"/>
      <c r="AA26" s="81"/>
      <c r="AB26" s="121"/>
      <c r="AC26" s="121"/>
      <c r="AD26" s="121"/>
      <c r="AE26" s="121"/>
      <c r="AF26" s="121"/>
      <c r="AG26" s="121"/>
      <c r="AH26" s="120"/>
    </row>
    <row r="27" spans="1:34" ht="13.2" x14ac:dyDescent="0.25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121"/>
      <c r="AC27" s="121"/>
      <c r="AD27" s="121"/>
      <c r="AE27" s="121"/>
      <c r="AF27" s="121"/>
      <c r="AG27" s="121"/>
      <c r="AH27" s="120"/>
    </row>
    <row r="28" spans="1:34" ht="13.2" x14ac:dyDescent="0.25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121"/>
      <c r="AC28" s="121"/>
      <c r="AD28" s="121"/>
      <c r="AE28" s="121"/>
      <c r="AF28" s="121"/>
      <c r="AG28" s="121"/>
      <c r="AH28" s="120"/>
    </row>
    <row r="29" spans="1:34" ht="13.2" x14ac:dyDescent="0.25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121"/>
      <c r="AC29" s="121"/>
      <c r="AD29" s="121"/>
      <c r="AE29" s="121"/>
      <c r="AF29" s="121"/>
      <c r="AG29" s="121"/>
      <c r="AH29" s="120"/>
    </row>
    <row r="30" spans="1:34" ht="13.2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121"/>
      <c r="AC30" s="121"/>
      <c r="AD30" s="121"/>
      <c r="AE30" s="121"/>
      <c r="AF30" s="121"/>
      <c r="AG30" s="121"/>
      <c r="AH30" s="120"/>
    </row>
    <row r="31" spans="1:34" ht="13.2" x14ac:dyDescent="0.25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121"/>
      <c r="AC31" s="121"/>
      <c r="AD31" s="121"/>
      <c r="AE31" s="121"/>
      <c r="AF31" s="121"/>
      <c r="AG31" s="121"/>
      <c r="AH31" s="120"/>
    </row>
    <row r="32" spans="1:34" ht="13.2" x14ac:dyDescent="0.25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121"/>
      <c r="AC32" s="121"/>
      <c r="AD32" s="121"/>
      <c r="AE32" s="121"/>
      <c r="AF32" s="121"/>
      <c r="AG32" s="121"/>
      <c r="AH32" s="120"/>
    </row>
    <row r="33" spans="1:34" ht="13.2" x14ac:dyDescent="0.25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121"/>
      <c r="AC33" s="121"/>
      <c r="AD33" s="121"/>
      <c r="AE33" s="121"/>
      <c r="AF33" s="121"/>
      <c r="AG33" s="121"/>
      <c r="AH33" s="120"/>
    </row>
    <row r="34" spans="1:34" ht="13.2" x14ac:dyDescent="0.25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121"/>
      <c r="AC34" s="121"/>
      <c r="AD34" s="121"/>
      <c r="AE34" s="121"/>
      <c r="AF34" s="121"/>
      <c r="AG34" s="121"/>
      <c r="AH34" s="120"/>
    </row>
    <row r="35" spans="1:34" ht="13.2" x14ac:dyDescent="0.25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121"/>
      <c r="AC35" s="121"/>
      <c r="AD35" s="121"/>
      <c r="AE35" s="121"/>
      <c r="AF35" s="121"/>
      <c r="AG35" s="121"/>
      <c r="AH35" s="120"/>
    </row>
    <row r="36" spans="1:34" ht="13.2" x14ac:dyDescent="0.25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121"/>
      <c r="AC36" s="121"/>
      <c r="AD36" s="121"/>
      <c r="AE36" s="121"/>
      <c r="AF36" s="121"/>
      <c r="AG36" s="121"/>
      <c r="AH36" s="120"/>
    </row>
    <row r="37" spans="1:34" ht="13.2" x14ac:dyDescent="0.25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121"/>
      <c r="AC37" s="121"/>
      <c r="AD37" s="121"/>
      <c r="AE37" s="121"/>
      <c r="AF37" s="121"/>
      <c r="AG37" s="121"/>
      <c r="AH37" s="120"/>
    </row>
    <row r="38" spans="1:34" ht="13.2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121"/>
      <c r="AC38" s="121"/>
      <c r="AD38" s="121"/>
      <c r="AE38" s="121"/>
      <c r="AF38" s="121"/>
      <c r="AG38" s="121"/>
      <c r="AH38" s="120"/>
    </row>
    <row r="39" spans="1:34" ht="13.2" x14ac:dyDescent="0.25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121"/>
      <c r="AC39" s="121"/>
      <c r="AD39" s="121"/>
      <c r="AE39" s="121"/>
      <c r="AF39" s="121"/>
      <c r="AG39" s="121"/>
      <c r="AH39" s="120"/>
    </row>
    <row r="40" spans="1:34" ht="13.2" x14ac:dyDescent="0.25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121"/>
      <c r="AC40" s="121"/>
      <c r="AD40" s="121"/>
      <c r="AE40" s="121"/>
      <c r="AF40" s="121"/>
      <c r="AG40" s="121"/>
      <c r="AH40" s="120"/>
    </row>
    <row r="41" spans="1:34" ht="13.2" x14ac:dyDescent="0.25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121"/>
      <c r="AC41" s="121"/>
      <c r="AD41" s="121"/>
      <c r="AE41" s="121"/>
      <c r="AF41" s="121"/>
      <c r="AG41" s="121"/>
      <c r="AH41" s="120"/>
    </row>
    <row r="42" spans="1:34" ht="13.2" x14ac:dyDescent="0.25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121"/>
      <c r="AC42" s="121"/>
      <c r="AD42" s="121"/>
      <c r="AE42" s="121"/>
      <c r="AF42" s="121"/>
      <c r="AG42" s="121"/>
      <c r="AH42" s="120"/>
    </row>
    <row r="43" spans="1:34" ht="13.2" x14ac:dyDescent="0.25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121"/>
      <c r="AC43" s="121"/>
      <c r="AD43" s="121"/>
      <c r="AE43" s="121"/>
      <c r="AF43" s="121"/>
      <c r="AG43" s="121"/>
      <c r="AH43" s="120"/>
    </row>
    <row r="44" spans="1:34" ht="13.2" x14ac:dyDescent="0.25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121"/>
      <c r="AC44" s="121"/>
      <c r="AD44" s="121"/>
      <c r="AE44" s="121"/>
      <c r="AF44" s="121"/>
      <c r="AG44" s="121"/>
      <c r="AH44" s="120"/>
    </row>
    <row r="45" spans="1:34" ht="13.2" x14ac:dyDescent="0.2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121"/>
      <c r="AC45" s="121"/>
      <c r="AD45" s="121"/>
      <c r="AE45" s="121"/>
      <c r="AF45" s="121"/>
      <c r="AG45" s="121"/>
      <c r="AH45" s="120"/>
    </row>
    <row r="46" spans="1:34" ht="13.2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121"/>
      <c r="AC46" s="121"/>
      <c r="AD46" s="121"/>
      <c r="AE46" s="121"/>
      <c r="AF46" s="121"/>
      <c r="AG46" s="121"/>
      <c r="AH46" s="120"/>
    </row>
    <row r="47" spans="1:34" ht="13.2" x14ac:dyDescent="0.25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121"/>
      <c r="AC47" s="121"/>
      <c r="AD47" s="121"/>
      <c r="AE47" s="121"/>
      <c r="AF47" s="121"/>
      <c r="AG47" s="121"/>
      <c r="AH47" s="120"/>
    </row>
    <row r="48" spans="1:34" ht="13.2" x14ac:dyDescent="0.25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121"/>
      <c r="AC48" s="121"/>
      <c r="AD48" s="121"/>
      <c r="AE48" s="121"/>
      <c r="AF48" s="121"/>
      <c r="AG48" s="121"/>
      <c r="AH48" s="120"/>
    </row>
    <row r="49" spans="1:34" ht="13.2" x14ac:dyDescent="0.25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121"/>
      <c r="AC49" s="121"/>
      <c r="AD49" s="121"/>
      <c r="AE49" s="121"/>
      <c r="AF49" s="121"/>
      <c r="AG49" s="121"/>
      <c r="AH49" s="120"/>
    </row>
    <row r="50" spans="1:34" ht="13.2" x14ac:dyDescent="0.25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121"/>
      <c r="AC50" s="121"/>
      <c r="AD50" s="121"/>
      <c r="AE50" s="121"/>
      <c r="AF50" s="121"/>
      <c r="AG50" s="121"/>
      <c r="AH50" s="120"/>
    </row>
    <row r="51" spans="1:34" ht="13.2" x14ac:dyDescent="0.25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121"/>
      <c r="AC51" s="121"/>
      <c r="AD51" s="121"/>
      <c r="AE51" s="121"/>
      <c r="AF51" s="121"/>
      <c r="AG51" s="121"/>
      <c r="AH51" s="120"/>
    </row>
    <row r="52" spans="1:34" ht="13.2" x14ac:dyDescent="0.25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121"/>
      <c r="AC52" s="121"/>
      <c r="AD52" s="121"/>
      <c r="AE52" s="121"/>
      <c r="AF52" s="121"/>
      <c r="AG52" s="121"/>
      <c r="AH52" s="120"/>
    </row>
    <row r="53" spans="1:34" ht="13.2" x14ac:dyDescent="0.25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121"/>
      <c r="AC53" s="121"/>
      <c r="AD53" s="121"/>
      <c r="AE53" s="121"/>
      <c r="AF53" s="121"/>
      <c r="AG53" s="121"/>
      <c r="AH53" s="120"/>
    </row>
    <row r="54" spans="1:34" ht="13.2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121"/>
      <c r="AC54" s="121"/>
      <c r="AD54" s="121"/>
      <c r="AE54" s="121"/>
      <c r="AF54" s="121"/>
      <c r="AG54" s="121"/>
      <c r="AH54" s="120"/>
    </row>
    <row r="55" spans="1:34" ht="13.2" x14ac:dyDescent="0.2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121"/>
      <c r="AC55" s="121"/>
      <c r="AD55" s="121"/>
      <c r="AE55" s="121"/>
      <c r="AF55" s="121"/>
      <c r="AG55" s="121"/>
      <c r="AH55" s="120"/>
    </row>
    <row r="56" spans="1:34" ht="13.2" x14ac:dyDescent="0.25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121"/>
      <c r="AC56" s="121"/>
      <c r="AD56" s="121"/>
      <c r="AE56" s="121"/>
      <c r="AF56" s="121"/>
      <c r="AG56" s="121"/>
      <c r="AH56" s="120"/>
    </row>
    <row r="57" spans="1:34" ht="13.2" x14ac:dyDescent="0.25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121"/>
      <c r="AC57" s="121"/>
      <c r="AD57" s="121"/>
      <c r="AE57" s="121"/>
      <c r="AF57" s="121"/>
      <c r="AG57" s="121"/>
      <c r="AH57" s="120"/>
    </row>
    <row r="58" spans="1:34" ht="13.2" x14ac:dyDescent="0.25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121"/>
      <c r="AC58" s="121"/>
      <c r="AD58" s="121"/>
      <c r="AE58" s="121"/>
      <c r="AF58" s="121"/>
      <c r="AG58" s="121"/>
      <c r="AH58" s="120"/>
    </row>
    <row r="59" spans="1:34" ht="13.2" x14ac:dyDescent="0.25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121"/>
      <c r="AC59" s="121"/>
      <c r="AD59" s="121"/>
      <c r="AE59" s="121"/>
      <c r="AF59" s="121"/>
      <c r="AG59" s="121"/>
      <c r="AH59" s="120"/>
    </row>
    <row r="60" spans="1:34" ht="13.2" x14ac:dyDescent="0.25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121"/>
      <c r="AC60" s="121"/>
      <c r="AD60" s="121"/>
      <c r="AE60" s="121"/>
      <c r="AF60" s="121"/>
      <c r="AG60" s="121"/>
      <c r="AH60" s="120"/>
    </row>
    <row r="61" spans="1:34" ht="13.2" x14ac:dyDescent="0.25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121"/>
      <c r="AC61" s="121"/>
      <c r="AD61" s="121"/>
      <c r="AE61" s="121"/>
      <c r="AF61" s="121"/>
      <c r="AG61" s="121"/>
      <c r="AH61" s="120"/>
    </row>
    <row r="62" spans="1:34" ht="13.2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121"/>
      <c r="AC62" s="121"/>
      <c r="AD62" s="121"/>
      <c r="AE62" s="121"/>
      <c r="AF62" s="121"/>
      <c r="AG62" s="121"/>
      <c r="AH62" s="120"/>
    </row>
    <row r="63" spans="1:34" ht="13.2" x14ac:dyDescent="0.25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121"/>
      <c r="AC63" s="121"/>
      <c r="AD63" s="121"/>
      <c r="AE63" s="121"/>
      <c r="AF63" s="121"/>
      <c r="AG63" s="121"/>
      <c r="AH63" s="120"/>
    </row>
    <row r="64" spans="1:34" ht="13.2" x14ac:dyDescent="0.25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121"/>
      <c r="AC64" s="121"/>
      <c r="AD64" s="121"/>
      <c r="AE64" s="121"/>
      <c r="AF64" s="121"/>
      <c r="AG64" s="121"/>
      <c r="AH64" s="120"/>
    </row>
    <row r="65" spans="1:34" ht="13.2" x14ac:dyDescent="0.2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121"/>
      <c r="AC65" s="121"/>
      <c r="AD65" s="121"/>
      <c r="AE65" s="121"/>
      <c r="AF65" s="121"/>
      <c r="AG65" s="121"/>
      <c r="AH65" s="120"/>
    </row>
    <row r="66" spans="1:34" ht="13.2" x14ac:dyDescent="0.25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121"/>
      <c r="AC66" s="121"/>
      <c r="AD66" s="121"/>
      <c r="AE66" s="121"/>
      <c r="AF66" s="121"/>
      <c r="AG66" s="121"/>
      <c r="AH66" s="120"/>
    </row>
    <row r="67" spans="1:34" ht="13.2" x14ac:dyDescent="0.25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121"/>
      <c r="AC67" s="121"/>
      <c r="AD67" s="121"/>
      <c r="AE67" s="121"/>
      <c r="AF67" s="121"/>
      <c r="AG67" s="121"/>
      <c r="AH67" s="120"/>
    </row>
    <row r="68" spans="1:34" ht="13.2" x14ac:dyDescent="0.25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121"/>
      <c r="AC68" s="121"/>
      <c r="AD68" s="121"/>
      <c r="AE68" s="121"/>
      <c r="AF68" s="121"/>
      <c r="AG68" s="121"/>
      <c r="AH68" s="120"/>
    </row>
    <row r="69" spans="1:34" ht="13.2" x14ac:dyDescent="0.25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121"/>
      <c r="AC69" s="121"/>
      <c r="AD69" s="121"/>
      <c r="AE69" s="121"/>
      <c r="AF69" s="121"/>
      <c r="AG69" s="121"/>
      <c r="AH69" s="120"/>
    </row>
    <row r="70" spans="1:34" ht="13.2" x14ac:dyDescent="0.25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121"/>
      <c r="AC70" s="121"/>
      <c r="AD70" s="121"/>
      <c r="AE70" s="121"/>
      <c r="AF70" s="121"/>
      <c r="AG70" s="121"/>
      <c r="AH70" s="120"/>
    </row>
    <row r="71" spans="1:34" ht="13.2" x14ac:dyDescent="0.25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121"/>
      <c r="AC71" s="121"/>
      <c r="AD71" s="121"/>
      <c r="AE71" s="121"/>
      <c r="AF71" s="121"/>
      <c r="AG71" s="121"/>
      <c r="AH71" s="120"/>
    </row>
    <row r="72" spans="1:34" ht="13.2" x14ac:dyDescent="0.25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121"/>
      <c r="AC72" s="121"/>
      <c r="AD72" s="121"/>
      <c r="AE72" s="121"/>
      <c r="AF72" s="121"/>
      <c r="AG72" s="121"/>
      <c r="AH72" s="120"/>
    </row>
    <row r="73" spans="1:34" ht="13.2" x14ac:dyDescent="0.25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121"/>
      <c r="AC73" s="121"/>
      <c r="AD73" s="121"/>
      <c r="AE73" s="121"/>
      <c r="AF73" s="121"/>
      <c r="AG73" s="121"/>
      <c r="AH73" s="120"/>
    </row>
    <row r="74" spans="1:34" ht="13.2" x14ac:dyDescent="0.25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121"/>
      <c r="AC74" s="121"/>
      <c r="AD74" s="121"/>
      <c r="AE74" s="121"/>
      <c r="AF74" s="121"/>
      <c r="AG74" s="121"/>
      <c r="AH74" s="120"/>
    </row>
    <row r="75" spans="1:34" ht="13.2" x14ac:dyDescent="0.2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121"/>
      <c r="AC75" s="121"/>
      <c r="AD75" s="121"/>
      <c r="AE75" s="121"/>
      <c r="AF75" s="121"/>
      <c r="AG75" s="121"/>
      <c r="AH75" s="120"/>
    </row>
    <row r="76" spans="1:34" ht="13.2" x14ac:dyDescent="0.25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121"/>
      <c r="AC76" s="121"/>
      <c r="AD76" s="121"/>
      <c r="AE76" s="121"/>
      <c r="AF76" s="121"/>
      <c r="AG76" s="121"/>
      <c r="AH76" s="120"/>
    </row>
    <row r="77" spans="1:34" ht="13.2" x14ac:dyDescent="0.25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121"/>
      <c r="AC77" s="121"/>
      <c r="AD77" s="121"/>
      <c r="AE77" s="121"/>
      <c r="AF77" s="121"/>
      <c r="AG77" s="121"/>
      <c r="AH77" s="120"/>
    </row>
    <row r="78" spans="1:34" ht="13.2" x14ac:dyDescent="0.25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121"/>
      <c r="AC78" s="121"/>
      <c r="AD78" s="121"/>
      <c r="AE78" s="121"/>
      <c r="AF78" s="121"/>
      <c r="AG78" s="121"/>
      <c r="AH78" s="120"/>
    </row>
    <row r="79" spans="1:34" ht="13.2" x14ac:dyDescent="0.25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121"/>
      <c r="AC79" s="121"/>
      <c r="AD79" s="121"/>
      <c r="AE79" s="121"/>
      <c r="AF79" s="121"/>
      <c r="AG79" s="121"/>
      <c r="AH79" s="120"/>
    </row>
    <row r="80" spans="1:34" ht="13.2" x14ac:dyDescent="0.25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121"/>
      <c r="AC80" s="121"/>
      <c r="AD80" s="121"/>
      <c r="AE80" s="121"/>
      <c r="AF80" s="121"/>
      <c r="AG80" s="121"/>
      <c r="AH80" s="120"/>
    </row>
    <row r="81" spans="1:34" ht="13.2" x14ac:dyDescent="0.25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121"/>
      <c r="AC81" s="121"/>
      <c r="AD81" s="121"/>
      <c r="AE81" s="121"/>
      <c r="AF81" s="121"/>
      <c r="AG81" s="121"/>
      <c r="AH81" s="120"/>
    </row>
    <row r="82" spans="1:34" ht="13.2" x14ac:dyDescent="0.25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121"/>
      <c r="AC82" s="121"/>
      <c r="AD82" s="121"/>
      <c r="AE82" s="121"/>
      <c r="AF82" s="121"/>
      <c r="AG82" s="121"/>
      <c r="AH82" s="120"/>
    </row>
    <row r="83" spans="1:34" ht="13.2" x14ac:dyDescent="0.25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121"/>
      <c r="AC83" s="121"/>
      <c r="AD83" s="121"/>
      <c r="AE83" s="121"/>
      <c r="AF83" s="121"/>
      <c r="AG83" s="121"/>
      <c r="AH83" s="120"/>
    </row>
    <row r="84" spans="1:34" ht="13.2" x14ac:dyDescent="0.25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121"/>
      <c r="AC84" s="121"/>
      <c r="AD84" s="121"/>
      <c r="AE84" s="121"/>
      <c r="AF84" s="121"/>
      <c r="AG84" s="121"/>
      <c r="AH84" s="120"/>
    </row>
    <row r="85" spans="1:34" ht="13.2" x14ac:dyDescent="0.2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121"/>
      <c r="AC85" s="121"/>
      <c r="AD85" s="121"/>
      <c r="AE85" s="121"/>
      <c r="AF85" s="121"/>
      <c r="AG85" s="121"/>
      <c r="AH85" s="120"/>
    </row>
    <row r="86" spans="1:34" ht="13.2" x14ac:dyDescent="0.25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121"/>
      <c r="AC86" s="121"/>
      <c r="AD86" s="121"/>
      <c r="AE86" s="121"/>
      <c r="AF86" s="121"/>
      <c r="AG86" s="121"/>
      <c r="AH86" s="120"/>
    </row>
    <row r="87" spans="1:34" ht="13.2" x14ac:dyDescent="0.25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121"/>
      <c r="AC87" s="121"/>
      <c r="AD87" s="121"/>
      <c r="AE87" s="121"/>
      <c r="AF87" s="121"/>
      <c r="AG87" s="121"/>
      <c r="AH87" s="120"/>
    </row>
    <row r="88" spans="1:34" ht="13.2" x14ac:dyDescent="0.25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121"/>
      <c r="AC88" s="121"/>
      <c r="AD88" s="121"/>
      <c r="AE88" s="121"/>
      <c r="AF88" s="121"/>
      <c r="AG88" s="121"/>
      <c r="AH88" s="120"/>
    </row>
    <row r="89" spans="1:34" ht="13.2" x14ac:dyDescent="0.25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121"/>
      <c r="AC89" s="121"/>
      <c r="AD89" s="121"/>
      <c r="AE89" s="121"/>
      <c r="AF89" s="121"/>
      <c r="AG89" s="121"/>
      <c r="AH89" s="120"/>
    </row>
    <row r="90" spans="1:34" ht="13.2" x14ac:dyDescent="0.25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121"/>
      <c r="AC90" s="121"/>
      <c r="AD90" s="121"/>
      <c r="AE90" s="121"/>
      <c r="AF90" s="121"/>
      <c r="AG90" s="121"/>
      <c r="AH90" s="120"/>
    </row>
    <row r="91" spans="1:34" ht="13.2" x14ac:dyDescent="0.25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121"/>
      <c r="AC91" s="121"/>
      <c r="AD91" s="121"/>
      <c r="AE91" s="121"/>
      <c r="AF91" s="121"/>
      <c r="AG91" s="121"/>
      <c r="AH91" s="120"/>
    </row>
    <row r="92" spans="1:34" ht="13.2" x14ac:dyDescent="0.25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121"/>
      <c r="AC92" s="121"/>
      <c r="AD92" s="121"/>
      <c r="AE92" s="121"/>
      <c r="AF92" s="121"/>
      <c r="AG92" s="121"/>
      <c r="AH92" s="120"/>
    </row>
    <row r="93" spans="1:34" ht="13.2" x14ac:dyDescent="0.25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121"/>
      <c r="AC93" s="121"/>
      <c r="AD93" s="121"/>
      <c r="AE93" s="121"/>
      <c r="AF93" s="121"/>
      <c r="AG93" s="121"/>
      <c r="AH93" s="120"/>
    </row>
    <row r="94" spans="1:34" ht="13.2" x14ac:dyDescent="0.25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121"/>
      <c r="AC94" s="121"/>
      <c r="AD94" s="121"/>
      <c r="AE94" s="121"/>
      <c r="AF94" s="121"/>
      <c r="AG94" s="121"/>
      <c r="AH94" s="120"/>
    </row>
    <row r="95" spans="1:34" ht="13.2" x14ac:dyDescent="0.2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121"/>
      <c r="AC95" s="121"/>
      <c r="AD95" s="121"/>
      <c r="AE95" s="121"/>
      <c r="AF95" s="121"/>
      <c r="AG95" s="121"/>
      <c r="AH95" s="120"/>
    </row>
    <row r="96" spans="1:34" ht="13.2" x14ac:dyDescent="0.25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121"/>
      <c r="AC96" s="121"/>
      <c r="AD96" s="121"/>
      <c r="AE96" s="121"/>
      <c r="AF96" s="121"/>
      <c r="AG96" s="121"/>
      <c r="AH96" s="120"/>
    </row>
    <row r="97" spans="1:34" ht="13.2" x14ac:dyDescent="0.25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121"/>
      <c r="AC97" s="121"/>
      <c r="AD97" s="121"/>
      <c r="AE97" s="121"/>
      <c r="AF97" s="121"/>
      <c r="AG97" s="121"/>
      <c r="AH97" s="120"/>
    </row>
    <row r="98" spans="1:34" ht="13.2" x14ac:dyDescent="0.25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121"/>
      <c r="AC98" s="121"/>
      <c r="AD98" s="121"/>
      <c r="AE98" s="121"/>
      <c r="AF98" s="121"/>
      <c r="AG98" s="121"/>
      <c r="AH98" s="120"/>
    </row>
    <row r="99" spans="1:34" ht="13.2" x14ac:dyDescent="0.25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121"/>
      <c r="AC99" s="121"/>
      <c r="AD99" s="121"/>
      <c r="AE99" s="121"/>
      <c r="AF99" s="121"/>
      <c r="AG99" s="121"/>
      <c r="AH99" s="120"/>
    </row>
    <row r="100" spans="1:34" ht="13.2" x14ac:dyDescent="0.25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121"/>
      <c r="AC100" s="121"/>
      <c r="AD100" s="121"/>
      <c r="AE100" s="121"/>
      <c r="AF100" s="121"/>
      <c r="AG100" s="121"/>
      <c r="AH100" s="120"/>
    </row>
    <row r="101" spans="1:34" ht="13.2" x14ac:dyDescent="0.25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121"/>
      <c r="AC101" s="121"/>
      <c r="AD101" s="121"/>
      <c r="AE101" s="121"/>
      <c r="AF101" s="121"/>
      <c r="AG101" s="121"/>
      <c r="AH101" s="120"/>
    </row>
    <row r="102" spans="1:34" ht="13.2" x14ac:dyDescent="0.25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121"/>
      <c r="AC102" s="121"/>
      <c r="AD102" s="121"/>
      <c r="AE102" s="121"/>
      <c r="AF102" s="121"/>
      <c r="AG102" s="121"/>
      <c r="AH102" s="120"/>
    </row>
    <row r="103" spans="1:34" ht="13.2" x14ac:dyDescent="0.25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121"/>
      <c r="AC103" s="121"/>
      <c r="AD103" s="121"/>
      <c r="AE103" s="121"/>
      <c r="AF103" s="121"/>
      <c r="AG103" s="121"/>
      <c r="AH103" s="120"/>
    </row>
    <row r="104" spans="1:34" ht="13.2" x14ac:dyDescent="0.25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121"/>
      <c r="AC104" s="121"/>
      <c r="AD104" s="121"/>
      <c r="AE104" s="121"/>
      <c r="AF104" s="121"/>
      <c r="AG104" s="121"/>
      <c r="AH104" s="120"/>
    </row>
    <row r="105" spans="1:34" ht="13.2" x14ac:dyDescent="0.2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121"/>
      <c r="AC105" s="121"/>
      <c r="AD105" s="121"/>
      <c r="AE105" s="121"/>
      <c r="AF105" s="121"/>
      <c r="AG105" s="121"/>
      <c r="AH105" s="120"/>
    </row>
    <row r="106" spans="1:34" ht="13.2" x14ac:dyDescent="0.25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121"/>
      <c r="AC106" s="121"/>
      <c r="AD106" s="121"/>
      <c r="AE106" s="121"/>
      <c r="AF106" s="121"/>
      <c r="AG106" s="121"/>
      <c r="AH106" s="120"/>
    </row>
    <row r="107" spans="1:34" ht="13.2" x14ac:dyDescent="0.25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121"/>
      <c r="AC107" s="121"/>
      <c r="AD107" s="121"/>
      <c r="AE107" s="121"/>
      <c r="AF107" s="121"/>
      <c r="AG107" s="121"/>
      <c r="AH107" s="120"/>
    </row>
    <row r="108" spans="1:34" ht="13.2" x14ac:dyDescent="0.25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121"/>
      <c r="AC108" s="121"/>
      <c r="AD108" s="121"/>
      <c r="AE108" s="121"/>
      <c r="AF108" s="121"/>
      <c r="AG108" s="121"/>
      <c r="AH108" s="120"/>
    </row>
    <row r="109" spans="1:34" ht="13.2" x14ac:dyDescent="0.25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121"/>
      <c r="AC109" s="121"/>
      <c r="AD109" s="121"/>
      <c r="AE109" s="121"/>
      <c r="AF109" s="121"/>
      <c r="AG109" s="121"/>
      <c r="AH109" s="120"/>
    </row>
    <row r="110" spans="1:34" ht="13.2" x14ac:dyDescent="0.25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121"/>
      <c r="AC110" s="121"/>
      <c r="AD110" s="121"/>
      <c r="AE110" s="121"/>
      <c r="AF110" s="121"/>
      <c r="AG110" s="121"/>
      <c r="AH110" s="120"/>
    </row>
    <row r="111" spans="1:34" ht="13.2" x14ac:dyDescent="0.25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121"/>
      <c r="AC111" s="121"/>
      <c r="AD111" s="121"/>
      <c r="AE111" s="121"/>
      <c r="AF111" s="121"/>
      <c r="AG111" s="121"/>
      <c r="AH111" s="120"/>
    </row>
    <row r="112" spans="1:34" ht="13.2" x14ac:dyDescent="0.25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121"/>
      <c r="AC112" s="121"/>
      <c r="AD112" s="121"/>
      <c r="AE112" s="121"/>
      <c r="AF112" s="121"/>
      <c r="AG112" s="121"/>
      <c r="AH112" s="120"/>
    </row>
    <row r="113" spans="1:34" ht="13.2" x14ac:dyDescent="0.25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121"/>
      <c r="AC113" s="121"/>
      <c r="AD113" s="121"/>
      <c r="AE113" s="121"/>
      <c r="AF113" s="121"/>
      <c r="AG113" s="121"/>
      <c r="AH113" s="120"/>
    </row>
    <row r="114" spans="1:34" ht="13.2" x14ac:dyDescent="0.25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121"/>
      <c r="AC114" s="121"/>
      <c r="AD114" s="121"/>
      <c r="AE114" s="121"/>
      <c r="AF114" s="121"/>
      <c r="AG114" s="121"/>
      <c r="AH114" s="120"/>
    </row>
    <row r="115" spans="1:34" ht="13.2" x14ac:dyDescent="0.2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121"/>
      <c r="AC115" s="121"/>
      <c r="AD115" s="121"/>
      <c r="AE115" s="121"/>
      <c r="AF115" s="121"/>
      <c r="AG115" s="121"/>
      <c r="AH115" s="120"/>
    </row>
    <row r="116" spans="1:34" ht="13.2" x14ac:dyDescent="0.25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121"/>
      <c r="AC116" s="121"/>
      <c r="AD116" s="121"/>
      <c r="AE116" s="121"/>
      <c r="AF116" s="121"/>
      <c r="AG116" s="121"/>
      <c r="AH116" s="120"/>
    </row>
    <row r="117" spans="1:34" ht="13.2" x14ac:dyDescent="0.25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121"/>
      <c r="AC117" s="121"/>
      <c r="AD117" s="121"/>
      <c r="AE117" s="121"/>
      <c r="AF117" s="121"/>
      <c r="AG117" s="121"/>
      <c r="AH117" s="120"/>
    </row>
    <row r="118" spans="1:34" ht="13.2" x14ac:dyDescent="0.25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121"/>
      <c r="AC118" s="121"/>
      <c r="AD118" s="121"/>
      <c r="AE118" s="121"/>
      <c r="AF118" s="121"/>
      <c r="AG118" s="121"/>
      <c r="AH118" s="120"/>
    </row>
    <row r="119" spans="1:34" ht="13.2" x14ac:dyDescent="0.25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121"/>
      <c r="AC119" s="121"/>
      <c r="AD119" s="121"/>
      <c r="AE119" s="121"/>
      <c r="AF119" s="121"/>
      <c r="AG119" s="121"/>
      <c r="AH119" s="120"/>
    </row>
    <row r="120" spans="1:34" ht="13.2" x14ac:dyDescent="0.25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121"/>
      <c r="AC120" s="121"/>
      <c r="AD120" s="121"/>
      <c r="AE120" s="121"/>
      <c r="AF120" s="121"/>
      <c r="AG120" s="121"/>
      <c r="AH120" s="120"/>
    </row>
    <row r="121" spans="1:34" ht="13.2" x14ac:dyDescent="0.25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121"/>
      <c r="AC121" s="121"/>
      <c r="AD121" s="121"/>
      <c r="AE121" s="121"/>
      <c r="AF121" s="121"/>
      <c r="AG121" s="121"/>
      <c r="AH121" s="120"/>
    </row>
    <row r="122" spans="1:34" ht="13.2" x14ac:dyDescent="0.25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121"/>
      <c r="AC122" s="121"/>
      <c r="AD122" s="121"/>
      <c r="AE122" s="121"/>
      <c r="AF122" s="121"/>
      <c r="AG122" s="121"/>
      <c r="AH122" s="120"/>
    </row>
    <row r="123" spans="1:34" ht="13.2" x14ac:dyDescent="0.25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121"/>
      <c r="AC123" s="121"/>
      <c r="AD123" s="121"/>
      <c r="AE123" s="121"/>
      <c r="AF123" s="121"/>
      <c r="AG123" s="121"/>
      <c r="AH123" s="120"/>
    </row>
    <row r="124" spans="1:34" ht="13.2" x14ac:dyDescent="0.25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121"/>
      <c r="AC124" s="121"/>
      <c r="AD124" s="121"/>
      <c r="AE124" s="121"/>
      <c r="AF124" s="121"/>
      <c r="AG124" s="121"/>
      <c r="AH124" s="120"/>
    </row>
    <row r="125" spans="1:34" ht="13.2" x14ac:dyDescent="0.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121"/>
      <c r="AC125" s="121"/>
      <c r="AD125" s="121"/>
      <c r="AE125" s="121"/>
      <c r="AF125" s="121"/>
      <c r="AG125" s="121"/>
      <c r="AH125" s="120"/>
    </row>
    <row r="126" spans="1:34" ht="13.2" x14ac:dyDescent="0.25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121"/>
      <c r="AC126" s="121"/>
      <c r="AD126" s="121"/>
      <c r="AE126" s="121"/>
      <c r="AF126" s="121"/>
      <c r="AG126" s="121"/>
      <c r="AH126" s="120"/>
    </row>
    <row r="127" spans="1:34" ht="13.2" x14ac:dyDescent="0.25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121"/>
      <c r="AC127" s="121"/>
      <c r="AD127" s="121"/>
      <c r="AE127" s="121"/>
      <c r="AF127" s="121"/>
      <c r="AG127" s="121"/>
      <c r="AH127" s="120"/>
    </row>
    <row r="128" spans="1:34" ht="13.2" x14ac:dyDescent="0.25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121"/>
      <c r="AC128" s="121"/>
      <c r="AD128" s="121"/>
      <c r="AE128" s="121"/>
      <c r="AF128" s="121"/>
      <c r="AG128" s="121"/>
      <c r="AH128" s="120"/>
    </row>
    <row r="129" spans="1:34" ht="13.2" x14ac:dyDescent="0.25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121"/>
      <c r="AC129" s="121"/>
      <c r="AD129" s="121"/>
      <c r="AE129" s="121"/>
      <c r="AF129" s="121"/>
      <c r="AG129" s="121"/>
      <c r="AH129" s="120"/>
    </row>
    <row r="130" spans="1:34" ht="13.2" x14ac:dyDescent="0.25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121"/>
      <c r="AC130" s="121"/>
      <c r="AD130" s="121"/>
      <c r="AE130" s="121"/>
      <c r="AF130" s="121"/>
      <c r="AG130" s="121"/>
      <c r="AH130" s="120"/>
    </row>
    <row r="131" spans="1:34" ht="13.2" x14ac:dyDescent="0.25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121"/>
      <c r="AC131" s="121"/>
      <c r="AD131" s="121"/>
      <c r="AE131" s="121"/>
      <c r="AF131" s="121"/>
      <c r="AG131" s="121"/>
      <c r="AH131" s="120"/>
    </row>
    <row r="132" spans="1:34" ht="13.2" x14ac:dyDescent="0.25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121"/>
      <c r="AC132" s="121"/>
      <c r="AD132" s="121"/>
      <c r="AE132" s="121"/>
      <c r="AF132" s="121"/>
      <c r="AG132" s="121"/>
      <c r="AH132" s="120"/>
    </row>
    <row r="133" spans="1:34" ht="13.2" x14ac:dyDescent="0.25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121"/>
      <c r="AC133" s="121"/>
      <c r="AD133" s="121"/>
      <c r="AE133" s="121"/>
      <c r="AF133" s="121"/>
      <c r="AG133" s="121"/>
      <c r="AH133" s="120"/>
    </row>
    <row r="134" spans="1:34" ht="13.2" x14ac:dyDescent="0.25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121"/>
      <c r="AC134" s="121"/>
      <c r="AD134" s="121"/>
      <c r="AE134" s="121"/>
      <c r="AF134" s="121"/>
      <c r="AG134" s="121"/>
      <c r="AH134" s="120"/>
    </row>
    <row r="135" spans="1:34" ht="13.2" x14ac:dyDescent="0.2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121"/>
      <c r="AC135" s="121"/>
      <c r="AD135" s="121"/>
      <c r="AE135" s="121"/>
      <c r="AF135" s="121"/>
      <c r="AG135" s="121"/>
      <c r="AH135" s="120"/>
    </row>
    <row r="136" spans="1:34" ht="13.2" x14ac:dyDescent="0.25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121"/>
      <c r="AC136" s="121"/>
      <c r="AD136" s="121"/>
      <c r="AE136" s="121"/>
      <c r="AF136" s="121"/>
      <c r="AG136" s="121"/>
      <c r="AH136" s="120"/>
    </row>
    <row r="137" spans="1:34" ht="13.2" x14ac:dyDescent="0.25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121"/>
      <c r="AC137" s="121"/>
      <c r="AD137" s="121"/>
      <c r="AE137" s="121"/>
      <c r="AF137" s="121"/>
      <c r="AG137" s="121"/>
      <c r="AH137" s="120"/>
    </row>
    <row r="138" spans="1:34" ht="13.2" x14ac:dyDescent="0.25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121"/>
      <c r="AC138" s="121"/>
      <c r="AD138" s="121"/>
      <c r="AE138" s="121"/>
      <c r="AF138" s="121"/>
      <c r="AG138" s="121"/>
      <c r="AH138" s="120"/>
    </row>
    <row r="139" spans="1:34" ht="13.2" x14ac:dyDescent="0.25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121"/>
      <c r="AC139" s="121"/>
      <c r="AD139" s="121"/>
      <c r="AE139" s="121"/>
      <c r="AF139" s="121"/>
      <c r="AG139" s="121"/>
      <c r="AH139" s="120"/>
    </row>
    <row r="140" spans="1:34" ht="13.2" x14ac:dyDescent="0.25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121"/>
      <c r="AC140" s="121"/>
      <c r="AD140" s="121"/>
      <c r="AE140" s="121"/>
      <c r="AF140" s="121"/>
      <c r="AG140" s="121"/>
      <c r="AH140" s="120"/>
    </row>
    <row r="141" spans="1:34" ht="13.2" x14ac:dyDescent="0.25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121"/>
      <c r="AC141" s="121"/>
      <c r="AD141" s="121"/>
      <c r="AE141" s="121"/>
      <c r="AF141" s="121"/>
      <c r="AG141" s="121"/>
      <c r="AH141" s="120"/>
    </row>
    <row r="142" spans="1:34" ht="13.2" x14ac:dyDescent="0.25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121"/>
      <c r="AC142" s="121"/>
      <c r="AD142" s="121"/>
      <c r="AE142" s="121"/>
      <c r="AF142" s="121"/>
      <c r="AG142" s="121"/>
      <c r="AH142" s="120"/>
    </row>
    <row r="143" spans="1:34" ht="13.2" x14ac:dyDescent="0.25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121"/>
      <c r="AC143" s="121"/>
      <c r="AD143" s="121"/>
      <c r="AE143" s="121"/>
      <c r="AF143" s="121"/>
      <c r="AG143" s="121"/>
      <c r="AH143" s="120"/>
    </row>
    <row r="144" spans="1:34" ht="13.2" x14ac:dyDescent="0.25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121"/>
      <c r="AC144" s="121"/>
      <c r="AD144" s="121"/>
      <c r="AE144" s="121"/>
      <c r="AF144" s="121"/>
      <c r="AG144" s="121"/>
      <c r="AH144" s="120"/>
    </row>
    <row r="145" spans="1:34" ht="13.2" x14ac:dyDescent="0.2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121"/>
      <c r="AC145" s="121"/>
      <c r="AD145" s="121"/>
      <c r="AE145" s="121"/>
      <c r="AF145" s="121"/>
      <c r="AG145" s="121"/>
      <c r="AH145" s="120"/>
    </row>
    <row r="146" spans="1:34" ht="13.2" x14ac:dyDescent="0.25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121"/>
      <c r="AC146" s="121"/>
      <c r="AD146" s="121"/>
      <c r="AE146" s="121"/>
      <c r="AF146" s="121"/>
      <c r="AG146" s="121"/>
      <c r="AH146" s="120"/>
    </row>
    <row r="147" spans="1:34" ht="13.2" x14ac:dyDescent="0.25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121"/>
      <c r="AC147" s="121"/>
      <c r="AD147" s="121"/>
      <c r="AE147" s="121"/>
      <c r="AF147" s="121"/>
      <c r="AG147" s="121"/>
      <c r="AH147" s="120"/>
    </row>
    <row r="148" spans="1:34" ht="13.2" x14ac:dyDescent="0.25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121"/>
      <c r="AC148" s="121"/>
      <c r="AD148" s="121"/>
      <c r="AE148" s="121"/>
      <c r="AF148" s="121"/>
      <c r="AG148" s="121"/>
      <c r="AH148" s="120"/>
    </row>
    <row r="149" spans="1:34" ht="13.2" x14ac:dyDescent="0.25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121"/>
      <c r="AC149" s="121"/>
      <c r="AD149" s="121"/>
      <c r="AE149" s="121"/>
      <c r="AF149" s="121"/>
      <c r="AG149" s="121"/>
      <c r="AH149" s="120"/>
    </row>
    <row r="150" spans="1:34" ht="13.2" x14ac:dyDescent="0.25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121"/>
      <c r="AC150" s="121"/>
      <c r="AD150" s="121"/>
      <c r="AE150" s="121"/>
      <c r="AF150" s="121"/>
      <c r="AG150" s="121"/>
      <c r="AH150" s="120"/>
    </row>
    <row r="151" spans="1:34" ht="13.2" x14ac:dyDescent="0.25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121"/>
      <c r="AC151" s="121"/>
      <c r="AD151" s="121"/>
      <c r="AE151" s="121"/>
      <c r="AF151" s="121"/>
      <c r="AG151" s="121"/>
      <c r="AH151" s="120"/>
    </row>
    <row r="152" spans="1:34" ht="13.2" x14ac:dyDescent="0.25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121"/>
      <c r="AC152" s="121"/>
      <c r="AD152" s="121"/>
      <c r="AE152" s="121"/>
      <c r="AF152" s="121"/>
      <c r="AG152" s="121"/>
      <c r="AH152" s="120"/>
    </row>
    <row r="153" spans="1:34" ht="13.2" x14ac:dyDescent="0.25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121"/>
      <c r="AC153" s="121"/>
      <c r="AD153" s="121"/>
      <c r="AE153" s="121"/>
      <c r="AF153" s="121"/>
      <c r="AG153" s="121"/>
      <c r="AH153" s="120"/>
    </row>
    <row r="154" spans="1:34" ht="13.2" x14ac:dyDescent="0.25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121"/>
      <c r="AC154" s="121"/>
      <c r="AD154" s="121"/>
      <c r="AE154" s="121"/>
      <c r="AF154" s="121"/>
      <c r="AG154" s="121"/>
      <c r="AH154" s="120"/>
    </row>
    <row r="155" spans="1:34" ht="13.2" x14ac:dyDescent="0.2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121"/>
      <c r="AC155" s="121"/>
      <c r="AD155" s="121"/>
      <c r="AE155" s="121"/>
      <c r="AF155" s="121"/>
      <c r="AG155" s="121"/>
      <c r="AH155" s="120"/>
    </row>
    <row r="156" spans="1:34" ht="13.2" x14ac:dyDescent="0.25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121"/>
      <c r="AC156" s="121"/>
      <c r="AD156" s="121"/>
      <c r="AE156" s="121"/>
      <c r="AF156" s="121"/>
      <c r="AG156" s="121"/>
      <c r="AH156" s="120"/>
    </row>
    <row r="157" spans="1:34" ht="13.2" x14ac:dyDescent="0.25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121"/>
      <c r="AC157" s="121"/>
      <c r="AD157" s="121"/>
      <c r="AE157" s="121"/>
      <c r="AF157" s="121"/>
      <c r="AG157" s="121"/>
      <c r="AH157" s="120"/>
    </row>
    <row r="158" spans="1:34" ht="13.2" x14ac:dyDescent="0.25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121"/>
      <c r="AC158" s="121"/>
      <c r="AD158" s="121"/>
      <c r="AE158" s="121"/>
      <c r="AF158" s="121"/>
      <c r="AG158" s="121"/>
      <c r="AH158" s="120"/>
    </row>
    <row r="159" spans="1:34" ht="13.2" x14ac:dyDescent="0.25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121"/>
      <c r="AC159" s="121"/>
      <c r="AD159" s="121"/>
      <c r="AE159" s="121"/>
      <c r="AF159" s="121"/>
      <c r="AG159" s="121"/>
      <c r="AH159" s="120"/>
    </row>
    <row r="160" spans="1:34" ht="13.2" x14ac:dyDescent="0.25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121"/>
      <c r="AC160" s="121"/>
      <c r="AD160" s="121"/>
      <c r="AE160" s="121"/>
      <c r="AF160" s="121"/>
      <c r="AG160" s="121"/>
      <c r="AH160" s="120"/>
    </row>
    <row r="161" spans="1:34" ht="13.2" x14ac:dyDescent="0.25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121"/>
      <c r="AC161" s="121"/>
      <c r="AD161" s="121"/>
      <c r="AE161" s="121"/>
      <c r="AF161" s="121"/>
      <c r="AG161" s="121"/>
      <c r="AH161" s="120"/>
    </row>
    <row r="162" spans="1:34" ht="13.2" x14ac:dyDescent="0.25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121"/>
      <c r="AC162" s="121"/>
      <c r="AD162" s="121"/>
      <c r="AE162" s="121"/>
      <c r="AF162" s="121"/>
      <c r="AG162" s="121"/>
      <c r="AH162" s="120"/>
    </row>
    <row r="163" spans="1:34" ht="13.2" x14ac:dyDescent="0.25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121"/>
      <c r="AC163" s="121"/>
      <c r="AD163" s="121"/>
      <c r="AE163" s="121"/>
      <c r="AF163" s="121"/>
      <c r="AG163" s="121"/>
      <c r="AH163" s="120"/>
    </row>
    <row r="164" spans="1:34" ht="13.2" x14ac:dyDescent="0.25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121"/>
      <c r="AC164" s="121"/>
      <c r="AD164" s="121"/>
      <c r="AE164" s="121"/>
      <c r="AF164" s="121"/>
      <c r="AG164" s="121"/>
      <c r="AH164" s="120"/>
    </row>
    <row r="165" spans="1:34" ht="13.2" x14ac:dyDescent="0.2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121"/>
      <c r="AC165" s="121"/>
      <c r="AD165" s="121"/>
      <c r="AE165" s="121"/>
      <c r="AF165" s="121"/>
      <c r="AG165" s="121"/>
      <c r="AH165" s="120"/>
    </row>
    <row r="166" spans="1:34" ht="13.2" x14ac:dyDescent="0.25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121"/>
      <c r="AC166" s="121"/>
      <c r="AD166" s="121"/>
      <c r="AE166" s="121"/>
      <c r="AF166" s="121"/>
      <c r="AG166" s="121"/>
      <c r="AH166" s="120"/>
    </row>
    <row r="167" spans="1:34" ht="13.2" x14ac:dyDescent="0.25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121"/>
      <c r="AC167" s="121"/>
      <c r="AD167" s="121"/>
      <c r="AE167" s="121"/>
      <c r="AF167" s="121"/>
      <c r="AG167" s="121"/>
      <c r="AH167" s="120"/>
    </row>
    <row r="168" spans="1:34" ht="13.2" x14ac:dyDescent="0.25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121"/>
      <c r="AC168" s="121"/>
      <c r="AD168" s="121"/>
      <c r="AE168" s="121"/>
      <c r="AF168" s="121"/>
      <c r="AG168" s="121"/>
      <c r="AH168" s="120"/>
    </row>
    <row r="169" spans="1:34" ht="13.2" x14ac:dyDescent="0.25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121"/>
      <c r="AC169" s="121"/>
      <c r="AD169" s="121"/>
      <c r="AE169" s="121"/>
      <c r="AF169" s="121"/>
      <c r="AG169" s="121"/>
      <c r="AH169" s="120"/>
    </row>
    <row r="170" spans="1:34" ht="13.2" x14ac:dyDescent="0.25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121"/>
      <c r="AC170" s="121"/>
      <c r="AD170" s="121"/>
      <c r="AE170" s="121"/>
      <c r="AF170" s="121"/>
      <c r="AG170" s="121"/>
      <c r="AH170" s="120"/>
    </row>
    <row r="171" spans="1:34" ht="13.2" x14ac:dyDescent="0.25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121"/>
      <c r="AC171" s="121"/>
      <c r="AD171" s="121"/>
      <c r="AE171" s="121"/>
      <c r="AF171" s="121"/>
      <c r="AG171" s="121"/>
      <c r="AH171" s="120"/>
    </row>
    <row r="172" spans="1:34" ht="13.2" x14ac:dyDescent="0.25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121"/>
      <c r="AC172" s="121"/>
      <c r="AD172" s="121"/>
      <c r="AE172" s="121"/>
      <c r="AF172" s="121"/>
      <c r="AG172" s="121"/>
      <c r="AH172" s="120"/>
    </row>
    <row r="173" spans="1:34" ht="13.2" x14ac:dyDescent="0.25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121"/>
      <c r="AC173" s="121"/>
      <c r="AD173" s="121"/>
      <c r="AE173" s="121"/>
      <c r="AF173" s="121"/>
      <c r="AG173" s="121"/>
      <c r="AH173" s="120"/>
    </row>
    <row r="174" spans="1:34" ht="13.2" x14ac:dyDescent="0.25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121"/>
      <c r="AC174" s="121"/>
      <c r="AD174" s="121"/>
      <c r="AE174" s="121"/>
      <c r="AF174" s="121"/>
      <c r="AG174" s="121"/>
      <c r="AH174" s="120"/>
    </row>
    <row r="175" spans="1:34" ht="13.2" x14ac:dyDescent="0.2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121"/>
      <c r="AC175" s="121"/>
      <c r="AD175" s="121"/>
      <c r="AE175" s="121"/>
      <c r="AF175" s="121"/>
      <c r="AG175" s="121"/>
      <c r="AH175" s="120"/>
    </row>
    <row r="176" spans="1:34" ht="13.2" x14ac:dyDescent="0.25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121"/>
      <c r="AC176" s="121"/>
      <c r="AD176" s="121"/>
      <c r="AE176" s="121"/>
      <c r="AF176" s="121"/>
      <c r="AG176" s="121"/>
      <c r="AH176" s="120"/>
    </row>
    <row r="177" spans="1:34" ht="13.2" x14ac:dyDescent="0.25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121"/>
      <c r="AC177" s="121"/>
      <c r="AD177" s="121"/>
      <c r="AE177" s="121"/>
      <c r="AF177" s="121"/>
      <c r="AG177" s="121"/>
      <c r="AH177" s="120"/>
    </row>
    <row r="178" spans="1:34" ht="13.2" x14ac:dyDescent="0.25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121"/>
      <c r="AC178" s="121"/>
      <c r="AD178" s="121"/>
      <c r="AE178" s="121"/>
      <c r="AF178" s="121"/>
      <c r="AG178" s="121"/>
      <c r="AH178" s="120"/>
    </row>
    <row r="179" spans="1:34" ht="13.2" x14ac:dyDescent="0.25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121"/>
      <c r="AC179" s="121"/>
      <c r="AD179" s="121"/>
      <c r="AE179" s="121"/>
      <c r="AF179" s="121"/>
      <c r="AG179" s="121"/>
      <c r="AH179" s="120"/>
    </row>
    <row r="180" spans="1:34" ht="13.2" x14ac:dyDescent="0.25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121"/>
      <c r="AC180" s="121"/>
      <c r="AD180" s="121"/>
      <c r="AE180" s="121"/>
      <c r="AF180" s="121"/>
      <c r="AG180" s="121"/>
      <c r="AH180" s="120"/>
    </row>
    <row r="181" spans="1:34" ht="13.2" x14ac:dyDescent="0.25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121"/>
      <c r="AC181" s="121"/>
      <c r="AD181" s="121"/>
      <c r="AE181" s="121"/>
      <c r="AF181" s="121"/>
      <c r="AG181" s="121"/>
      <c r="AH181" s="120"/>
    </row>
    <row r="182" spans="1:34" ht="13.2" x14ac:dyDescent="0.25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121"/>
      <c r="AC182" s="121"/>
      <c r="AD182" s="121"/>
      <c r="AE182" s="121"/>
      <c r="AF182" s="121"/>
      <c r="AG182" s="121"/>
      <c r="AH182" s="120"/>
    </row>
    <row r="183" spans="1:34" ht="13.2" x14ac:dyDescent="0.25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121"/>
      <c r="AC183" s="121"/>
      <c r="AD183" s="121"/>
      <c r="AE183" s="121"/>
      <c r="AF183" s="121"/>
      <c r="AG183" s="121"/>
      <c r="AH183" s="120"/>
    </row>
    <row r="184" spans="1:34" ht="13.2" x14ac:dyDescent="0.25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121"/>
      <c r="AC184" s="121"/>
      <c r="AD184" s="121"/>
      <c r="AE184" s="121"/>
      <c r="AF184" s="121"/>
      <c r="AG184" s="121"/>
      <c r="AH184" s="120"/>
    </row>
    <row r="185" spans="1:34" ht="13.2" x14ac:dyDescent="0.2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121"/>
      <c r="AC185" s="121"/>
      <c r="AD185" s="121"/>
      <c r="AE185" s="121"/>
      <c r="AF185" s="121"/>
      <c r="AG185" s="121"/>
      <c r="AH185" s="120"/>
    </row>
    <row r="186" spans="1:34" ht="13.2" x14ac:dyDescent="0.25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121"/>
      <c r="AC186" s="121"/>
      <c r="AD186" s="121"/>
      <c r="AE186" s="121"/>
      <c r="AF186" s="121"/>
      <c r="AG186" s="121"/>
      <c r="AH186" s="120"/>
    </row>
    <row r="187" spans="1:34" ht="13.2" x14ac:dyDescent="0.25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121"/>
      <c r="AC187" s="121"/>
      <c r="AD187" s="121"/>
      <c r="AE187" s="121"/>
      <c r="AF187" s="121"/>
      <c r="AG187" s="121"/>
      <c r="AH187" s="120"/>
    </row>
    <row r="188" spans="1:34" ht="13.2" x14ac:dyDescent="0.25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121"/>
      <c r="AC188" s="121"/>
      <c r="AD188" s="121"/>
      <c r="AE188" s="121"/>
      <c r="AF188" s="121"/>
      <c r="AG188" s="121"/>
      <c r="AH188" s="120"/>
    </row>
    <row r="189" spans="1:34" ht="13.2" x14ac:dyDescent="0.25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121"/>
      <c r="AC189" s="121"/>
      <c r="AD189" s="121"/>
      <c r="AE189" s="121"/>
      <c r="AF189" s="121"/>
      <c r="AG189" s="121"/>
      <c r="AH189" s="120"/>
    </row>
    <row r="190" spans="1:34" ht="13.2" x14ac:dyDescent="0.25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121"/>
      <c r="AC190" s="121"/>
      <c r="AD190" s="121"/>
      <c r="AE190" s="121"/>
      <c r="AF190" s="121"/>
      <c r="AG190" s="121"/>
      <c r="AH190" s="120"/>
    </row>
    <row r="191" spans="1:34" ht="13.2" x14ac:dyDescent="0.25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121"/>
      <c r="AC191" s="121"/>
      <c r="AD191" s="121"/>
      <c r="AE191" s="121"/>
      <c r="AF191" s="121"/>
      <c r="AG191" s="121"/>
      <c r="AH191" s="120"/>
    </row>
    <row r="192" spans="1:34" ht="13.2" x14ac:dyDescent="0.25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121"/>
      <c r="AC192" s="121"/>
      <c r="AD192" s="121"/>
      <c r="AE192" s="121"/>
      <c r="AF192" s="121"/>
      <c r="AG192" s="121"/>
      <c r="AH192" s="120"/>
    </row>
    <row r="193" spans="1:34" ht="13.2" x14ac:dyDescent="0.25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121"/>
      <c r="AC193" s="121"/>
      <c r="AD193" s="121"/>
      <c r="AE193" s="121"/>
      <c r="AF193" s="121"/>
      <c r="AG193" s="121"/>
      <c r="AH193" s="120"/>
    </row>
    <row r="194" spans="1:34" ht="13.2" x14ac:dyDescent="0.25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121"/>
      <c r="AC194" s="121"/>
      <c r="AD194" s="121"/>
      <c r="AE194" s="121"/>
      <c r="AF194" s="121"/>
      <c r="AG194" s="121"/>
      <c r="AH194" s="120"/>
    </row>
    <row r="195" spans="1:34" ht="13.2" x14ac:dyDescent="0.2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121"/>
      <c r="AC195" s="121"/>
      <c r="AD195" s="121"/>
      <c r="AE195" s="121"/>
      <c r="AF195" s="121"/>
      <c r="AG195" s="121"/>
      <c r="AH195" s="120"/>
    </row>
    <row r="196" spans="1:34" ht="13.2" x14ac:dyDescent="0.25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121"/>
      <c r="AC196" s="121"/>
      <c r="AD196" s="121"/>
      <c r="AE196" s="121"/>
      <c r="AF196" s="121"/>
      <c r="AG196" s="121"/>
      <c r="AH196" s="120"/>
    </row>
    <row r="197" spans="1:34" ht="13.2" x14ac:dyDescent="0.25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121"/>
      <c r="AC197" s="121"/>
      <c r="AD197" s="121"/>
      <c r="AE197" s="121"/>
      <c r="AF197" s="121"/>
      <c r="AG197" s="121"/>
      <c r="AH197" s="120"/>
    </row>
    <row r="198" spans="1:34" ht="13.2" x14ac:dyDescent="0.25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121"/>
      <c r="AC198" s="121"/>
      <c r="AD198" s="121"/>
      <c r="AE198" s="121"/>
      <c r="AF198" s="121"/>
      <c r="AG198" s="121"/>
      <c r="AH198" s="120"/>
    </row>
    <row r="199" spans="1:34" ht="13.2" x14ac:dyDescent="0.25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121"/>
      <c r="AC199" s="121"/>
      <c r="AD199" s="121"/>
      <c r="AE199" s="121"/>
      <c r="AF199" s="121"/>
      <c r="AG199" s="121"/>
      <c r="AH199" s="120"/>
    </row>
    <row r="200" spans="1:34" ht="13.2" x14ac:dyDescent="0.25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121"/>
      <c r="AC200" s="121"/>
      <c r="AD200" s="121"/>
      <c r="AE200" s="121"/>
      <c r="AF200" s="121"/>
      <c r="AG200" s="121"/>
      <c r="AH200" s="120"/>
    </row>
    <row r="201" spans="1:34" ht="13.2" x14ac:dyDescent="0.25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121"/>
      <c r="AC201" s="121"/>
      <c r="AD201" s="121"/>
      <c r="AE201" s="121"/>
      <c r="AF201" s="121"/>
      <c r="AG201" s="121"/>
      <c r="AH201" s="120"/>
    </row>
    <row r="202" spans="1:34" ht="13.2" x14ac:dyDescent="0.25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121"/>
      <c r="AC202" s="121"/>
      <c r="AD202" s="121"/>
      <c r="AE202" s="121"/>
      <c r="AF202" s="121"/>
      <c r="AG202" s="121"/>
      <c r="AH202" s="120"/>
    </row>
    <row r="203" spans="1:34" ht="13.2" x14ac:dyDescent="0.25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121"/>
      <c r="AC203" s="121"/>
      <c r="AD203" s="121"/>
      <c r="AE203" s="121"/>
      <c r="AF203" s="121"/>
      <c r="AG203" s="121"/>
      <c r="AH203" s="120"/>
    </row>
    <row r="204" spans="1:34" ht="13.2" x14ac:dyDescent="0.25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121"/>
      <c r="AC204" s="121"/>
      <c r="AD204" s="121"/>
      <c r="AE204" s="121"/>
      <c r="AF204" s="121"/>
      <c r="AG204" s="121"/>
      <c r="AH204" s="120"/>
    </row>
    <row r="205" spans="1:34" ht="13.2" x14ac:dyDescent="0.2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121"/>
      <c r="AC205" s="121"/>
      <c r="AD205" s="121"/>
      <c r="AE205" s="121"/>
      <c r="AF205" s="121"/>
      <c r="AG205" s="121"/>
      <c r="AH205" s="120"/>
    </row>
    <row r="206" spans="1:34" ht="13.2" x14ac:dyDescent="0.25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121"/>
      <c r="AC206" s="121"/>
      <c r="AD206" s="121"/>
      <c r="AE206" s="121"/>
      <c r="AF206" s="121"/>
      <c r="AG206" s="121"/>
      <c r="AH206" s="120"/>
    </row>
    <row r="207" spans="1:34" ht="13.2" x14ac:dyDescent="0.25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121"/>
      <c r="AC207" s="121"/>
      <c r="AD207" s="121"/>
      <c r="AE207" s="121"/>
      <c r="AF207" s="121"/>
      <c r="AG207" s="121"/>
      <c r="AH207" s="120"/>
    </row>
    <row r="208" spans="1:34" ht="13.2" x14ac:dyDescent="0.25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121"/>
      <c r="AC208" s="121"/>
      <c r="AD208" s="121"/>
      <c r="AE208" s="121"/>
      <c r="AF208" s="121"/>
      <c r="AG208" s="121"/>
      <c r="AH208" s="120"/>
    </row>
    <row r="209" spans="1:34" ht="13.2" x14ac:dyDescent="0.25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121"/>
      <c r="AC209" s="121"/>
      <c r="AD209" s="121"/>
      <c r="AE209" s="121"/>
      <c r="AF209" s="121"/>
      <c r="AG209" s="121"/>
      <c r="AH209" s="120"/>
    </row>
    <row r="210" spans="1:34" ht="13.2" x14ac:dyDescent="0.25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121"/>
      <c r="AC210" s="121"/>
      <c r="AD210" s="121"/>
      <c r="AE210" s="121"/>
      <c r="AF210" s="121"/>
      <c r="AG210" s="121"/>
      <c r="AH210" s="120"/>
    </row>
    <row r="211" spans="1:34" ht="13.2" x14ac:dyDescent="0.25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121"/>
      <c r="AC211" s="121"/>
      <c r="AD211" s="121"/>
      <c r="AE211" s="121"/>
      <c r="AF211" s="121"/>
      <c r="AG211" s="121"/>
      <c r="AH211" s="120"/>
    </row>
    <row r="212" spans="1:34" ht="13.2" x14ac:dyDescent="0.25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121"/>
      <c r="AC212" s="121"/>
      <c r="AD212" s="121"/>
      <c r="AE212" s="121"/>
      <c r="AF212" s="121"/>
      <c r="AG212" s="121"/>
      <c r="AH212" s="120"/>
    </row>
    <row r="213" spans="1:34" ht="13.2" x14ac:dyDescent="0.25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121"/>
      <c r="AC213" s="121"/>
      <c r="AD213" s="121"/>
      <c r="AE213" s="121"/>
      <c r="AF213" s="121"/>
      <c r="AG213" s="121"/>
      <c r="AH213" s="120"/>
    </row>
    <row r="214" spans="1:34" ht="13.2" x14ac:dyDescent="0.25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121"/>
      <c r="AC214" s="121"/>
      <c r="AD214" s="121"/>
      <c r="AE214" s="121"/>
      <c r="AF214" s="121"/>
      <c r="AG214" s="121"/>
      <c r="AH214" s="120"/>
    </row>
    <row r="215" spans="1:34" ht="13.2" x14ac:dyDescent="0.2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121"/>
      <c r="AC215" s="121"/>
      <c r="AD215" s="121"/>
      <c r="AE215" s="121"/>
      <c r="AF215" s="121"/>
      <c r="AG215" s="121"/>
      <c r="AH215" s="120"/>
    </row>
    <row r="216" spans="1:34" ht="13.2" x14ac:dyDescent="0.25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121"/>
      <c r="AC216" s="121"/>
      <c r="AD216" s="121"/>
      <c r="AE216" s="121"/>
      <c r="AF216" s="121"/>
      <c r="AG216" s="121"/>
      <c r="AH216" s="120"/>
    </row>
    <row r="217" spans="1:34" ht="13.2" x14ac:dyDescent="0.25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121"/>
      <c r="AC217" s="121"/>
      <c r="AD217" s="121"/>
      <c r="AE217" s="121"/>
      <c r="AF217" s="121"/>
      <c r="AG217" s="121"/>
      <c r="AH217" s="120"/>
    </row>
    <row r="218" spans="1:34" ht="13.2" x14ac:dyDescent="0.25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121"/>
      <c r="AC218" s="121"/>
      <c r="AD218" s="121"/>
      <c r="AE218" s="121"/>
      <c r="AF218" s="121"/>
      <c r="AG218" s="121"/>
      <c r="AH218" s="120"/>
    </row>
    <row r="219" spans="1:34" ht="13.2" x14ac:dyDescent="0.25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121"/>
      <c r="AC219" s="121"/>
      <c r="AD219" s="121"/>
      <c r="AE219" s="121"/>
      <c r="AF219" s="121"/>
      <c r="AG219" s="121"/>
      <c r="AH219" s="120"/>
    </row>
    <row r="220" spans="1:34" ht="13.2" x14ac:dyDescent="0.25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121"/>
      <c r="AC220" s="121"/>
      <c r="AD220" s="121"/>
      <c r="AE220" s="121"/>
      <c r="AF220" s="121"/>
      <c r="AG220" s="121"/>
      <c r="AH220" s="120"/>
    </row>
    <row r="221" spans="1:34" ht="13.2" x14ac:dyDescent="0.25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121"/>
      <c r="AC221" s="121"/>
      <c r="AD221" s="121"/>
      <c r="AE221" s="121"/>
      <c r="AF221" s="121"/>
      <c r="AG221" s="121"/>
      <c r="AH221" s="120"/>
    </row>
    <row r="222" spans="1:34" ht="13.2" x14ac:dyDescent="0.25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121"/>
      <c r="AC222" s="121"/>
      <c r="AD222" s="121"/>
      <c r="AE222" s="121"/>
      <c r="AF222" s="121"/>
      <c r="AG222" s="121"/>
      <c r="AH222" s="120"/>
    </row>
    <row r="223" spans="1:34" ht="13.2" x14ac:dyDescent="0.25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121"/>
      <c r="AC223" s="121"/>
      <c r="AD223" s="121"/>
      <c r="AE223" s="121"/>
      <c r="AF223" s="121"/>
      <c r="AG223" s="121"/>
      <c r="AH223" s="120"/>
    </row>
    <row r="224" spans="1:34" ht="13.2" x14ac:dyDescent="0.25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121"/>
      <c r="AC224" s="121"/>
      <c r="AD224" s="121"/>
      <c r="AE224" s="121"/>
      <c r="AF224" s="121"/>
      <c r="AG224" s="121"/>
      <c r="AH224" s="120"/>
    </row>
    <row r="225" spans="1:34" ht="13.2" x14ac:dyDescent="0.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121"/>
      <c r="AC225" s="121"/>
      <c r="AD225" s="121"/>
      <c r="AE225" s="121"/>
      <c r="AF225" s="121"/>
      <c r="AG225" s="121"/>
      <c r="AH225" s="120"/>
    </row>
    <row r="226" spans="1:34" ht="13.2" x14ac:dyDescent="0.25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121"/>
      <c r="AC226" s="121"/>
      <c r="AD226" s="121"/>
      <c r="AE226" s="121"/>
      <c r="AF226" s="121"/>
      <c r="AG226" s="121"/>
      <c r="AH226" s="120"/>
    </row>
    <row r="227" spans="1:34" ht="13.2" x14ac:dyDescent="0.25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121"/>
      <c r="AC227" s="121"/>
      <c r="AD227" s="121"/>
      <c r="AE227" s="121"/>
      <c r="AF227" s="121"/>
      <c r="AG227" s="121"/>
      <c r="AH227" s="120"/>
    </row>
    <row r="228" spans="1:34" ht="13.2" x14ac:dyDescent="0.25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121"/>
      <c r="AC228" s="121"/>
      <c r="AD228" s="121"/>
      <c r="AE228" s="121"/>
      <c r="AF228" s="121"/>
      <c r="AG228" s="121"/>
      <c r="AH228" s="120"/>
    </row>
    <row r="229" spans="1:34" ht="13.2" x14ac:dyDescent="0.25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121"/>
      <c r="AC229" s="121"/>
      <c r="AD229" s="121"/>
      <c r="AE229" s="121"/>
      <c r="AF229" s="121"/>
      <c r="AG229" s="121"/>
      <c r="AH229" s="120"/>
    </row>
    <row r="230" spans="1:34" ht="13.2" x14ac:dyDescent="0.25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121"/>
      <c r="AC230" s="121"/>
      <c r="AD230" s="121"/>
      <c r="AE230" s="121"/>
      <c r="AF230" s="121"/>
      <c r="AG230" s="121"/>
      <c r="AH230" s="120"/>
    </row>
    <row r="231" spans="1:34" ht="13.2" x14ac:dyDescent="0.25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121"/>
      <c r="AC231" s="121"/>
      <c r="AD231" s="121"/>
      <c r="AE231" s="121"/>
      <c r="AF231" s="121"/>
      <c r="AG231" s="121"/>
      <c r="AH231" s="120"/>
    </row>
    <row r="232" spans="1:34" ht="13.2" x14ac:dyDescent="0.25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121"/>
      <c r="AC232" s="121"/>
      <c r="AD232" s="121"/>
      <c r="AE232" s="121"/>
      <c r="AF232" s="121"/>
      <c r="AG232" s="121"/>
      <c r="AH232" s="120"/>
    </row>
    <row r="233" spans="1:34" ht="13.2" x14ac:dyDescent="0.25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121"/>
      <c r="AC233" s="121"/>
      <c r="AD233" s="121"/>
      <c r="AE233" s="121"/>
      <c r="AF233" s="121"/>
      <c r="AG233" s="121"/>
      <c r="AH233" s="120"/>
    </row>
    <row r="234" spans="1:34" ht="13.2" x14ac:dyDescent="0.25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121"/>
      <c r="AC234" s="121"/>
      <c r="AD234" s="121"/>
      <c r="AE234" s="121"/>
      <c r="AF234" s="121"/>
      <c r="AG234" s="121"/>
      <c r="AH234" s="120"/>
    </row>
    <row r="235" spans="1:34" ht="13.2" x14ac:dyDescent="0.2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121"/>
      <c r="AC235" s="121"/>
      <c r="AD235" s="121"/>
      <c r="AE235" s="121"/>
      <c r="AF235" s="121"/>
      <c r="AG235" s="121"/>
      <c r="AH235" s="120"/>
    </row>
    <row r="236" spans="1:34" ht="13.2" x14ac:dyDescent="0.25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121"/>
      <c r="AC236" s="121"/>
      <c r="AD236" s="121"/>
      <c r="AE236" s="121"/>
      <c r="AF236" s="121"/>
      <c r="AG236" s="121"/>
      <c r="AH236" s="120"/>
    </row>
    <row r="237" spans="1:34" ht="13.2" x14ac:dyDescent="0.25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121"/>
      <c r="AC237" s="121"/>
      <c r="AD237" s="121"/>
      <c r="AE237" s="121"/>
      <c r="AF237" s="121"/>
      <c r="AG237" s="121"/>
      <c r="AH237" s="120"/>
    </row>
    <row r="238" spans="1:34" ht="13.2" x14ac:dyDescent="0.25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121"/>
      <c r="AC238" s="121"/>
      <c r="AD238" s="121"/>
      <c r="AE238" s="121"/>
      <c r="AF238" s="121"/>
      <c r="AG238" s="121"/>
      <c r="AH238" s="120"/>
    </row>
    <row r="239" spans="1:34" ht="13.2" x14ac:dyDescent="0.25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121"/>
      <c r="AC239" s="121"/>
      <c r="AD239" s="121"/>
      <c r="AE239" s="121"/>
      <c r="AF239" s="121"/>
      <c r="AG239" s="121"/>
      <c r="AH239" s="120"/>
    </row>
    <row r="240" spans="1:34" ht="13.2" x14ac:dyDescent="0.25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121"/>
      <c r="AC240" s="121"/>
      <c r="AD240" s="121"/>
      <c r="AE240" s="121"/>
      <c r="AF240" s="121"/>
      <c r="AG240" s="121"/>
      <c r="AH240" s="120"/>
    </row>
    <row r="241" spans="1:34" ht="13.2" x14ac:dyDescent="0.25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121"/>
      <c r="AC241" s="121"/>
      <c r="AD241" s="121"/>
      <c r="AE241" s="121"/>
      <c r="AF241" s="121"/>
      <c r="AG241" s="121"/>
      <c r="AH241" s="120"/>
    </row>
    <row r="242" spans="1:34" ht="13.2" x14ac:dyDescent="0.25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121"/>
      <c r="AC242" s="121"/>
      <c r="AD242" s="121"/>
      <c r="AE242" s="121"/>
      <c r="AF242" s="121"/>
      <c r="AG242" s="121"/>
      <c r="AH242" s="120"/>
    </row>
    <row r="243" spans="1:34" ht="13.2" x14ac:dyDescent="0.25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121"/>
      <c r="AC243" s="121"/>
      <c r="AD243" s="121"/>
      <c r="AE243" s="121"/>
      <c r="AF243" s="121"/>
      <c r="AG243" s="121"/>
      <c r="AH243" s="120"/>
    </row>
    <row r="244" spans="1:34" ht="13.2" x14ac:dyDescent="0.25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121"/>
      <c r="AC244" s="121"/>
      <c r="AD244" s="121"/>
      <c r="AE244" s="121"/>
      <c r="AF244" s="121"/>
      <c r="AG244" s="121"/>
      <c r="AH244" s="120"/>
    </row>
    <row r="245" spans="1:34" ht="13.2" x14ac:dyDescent="0.2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121"/>
      <c r="AC245" s="121"/>
      <c r="AD245" s="121"/>
      <c r="AE245" s="121"/>
      <c r="AF245" s="121"/>
      <c r="AG245" s="121"/>
      <c r="AH245" s="120"/>
    </row>
    <row r="246" spans="1:34" ht="13.2" x14ac:dyDescent="0.25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121"/>
      <c r="AC246" s="121"/>
      <c r="AD246" s="121"/>
      <c r="AE246" s="121"/>
      <c r="AF246" s="121"/>
      <c r="AG246" s="121"/>
      <c r="AH246" s="120"/>
    </row>
    <row r="247" spans="1:34" ht="13.2" x14ac:dyDescent="0.25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121"/>
      <c r="AC247" s="121"/>
      <c r="AD247" s="121"/>
      <c r="AE247" s="121"/>
      <c r="AF247" s="121"/>
      <c r="AG247" s="121"/>
      <c r="AH247" s="120"/>
    </row>
    <row r="248" spans="1:34" ht="13.2" x14ac:dyDescent="0.25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121"/>
      <c r="AC248" s="121"/>
      <c r="AD248" s="121"/>
      <c r="AE248" s="121"/>
      <c r="AF248" s="121"/>
      <c r="AG248" s="121"/>
      <c r="AH248" s="120"/>
    </row>
    <row r="249" spans="1:34" ht="13.2" x14ac:dyDescent="0.25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121"/>
      <c r="AC249" s="121"/>
      <c r="AD249" s="121"/>
      <c r="AE249" s="121"/>
      <c r="AF249" s="121"/>
      <c r="AG249" s="121"/>
      <c r="AH249" s="120"/>
    </row>
    <row r="250" spans="1:34" ht="13.2" x14ac:dyDescent="0.25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121"/>
      <c r="AC250" s="121"/>
      <c r="AD250" s="121"/>
      <c r="AE250" s="121"/>
      <c r="AF250" s="121"/>
      <c r="AG250" s="121"/>
      <c r="AH250" s="120"/>
    </row>
    <row r="251" spans="1:34" ht="13.2" x14ac:dyDescent="0.25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121"/>
      <c r="AC251" s="121"/>
      <c r="AD251" s="121"/>
      <c r="AE251" s="121"/>
      <c r="AF251" s="121"/>
      <c r="AG251" s="121"/>
      <c r="AH251" s="120"/>
    </row>
    <row r="252" spans="1:34" ht="13.2" x14ac:dyDescent="0.25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121"/>
      <c r="AC252" s="121"/>
      <c r="AD252" s="121"/>
      <c r="AE252" s="121"/>
      <c r="AF252" s="121"/>
      <c r="AG252" s="121"/>
      <c r="AH252" s="120"/>
    </row>
    <row r="253" spans="1:34" ht="13.2" x14ac:dyDescent="0.25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121"/>
      <c r="AC253" s="121"/>
      <c r="AD253" s="121"/>
      <c r="AE253" s="121"/>
      <c r="AF253" s="121"/>
      <c r="AG253" s="121"/>
      <c r="AH253" s="120"/>
    </row>
    <row r="254" spans="1:34" ht="13.2" x14ac:dyDescent="0.25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121"/>
      <c r="AC254" s="121"/>
      <c r="AD254" s="121"/>
      <c r="AE254" s="121"/>
      <c r="AF254" s="121"/>
      <c r="AG254" s="121"/>
      <c r="AH254" s="120"/>
    </row>
    <row r="255" spans="1:34" ht="13.2" x14ac:dyDescent="0.2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121"/>
      <c r="AC255" s="121"/>
      <c r="AD255" s="121"/>
      <c r="AE255" s="121"/>
      <c r="AF255" s="121"/>
      <c r="AG255" s="121"/>
      <c r="AH255" s="120"/>
    </row>
    <row r="256" spans="1:34" ht="13.2" x14ac:dyDescent="0.25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121"/>
      <c r="AC256" s="121"/>
      <c r="AD256" s="121"/>
      <c r="AE256" s="121"/>
      <c r="AF256" s="121"/>
      <c r="AG256" s="121"/>
      <c r="AH256" s="120"/>
    </row>
    <row r="257" spans="1:34" ht="13.2" x14ac:dyDescent="0.25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121"/>
      <c r="AC257" s="121"/>
      <c r="AD257" s="121"/>
      <c r="AE257" s="121"/>
      <c r="AF257" s="121"/>
      <c r="AG257" s="121"/>
      <c r="AH257" s="120"/>
    </row>
    <row r="258" spans="1:34" ht="13.2" x14ac:dyDescent="0.25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121"/>
      <c r="AC258" s="121"/>
      <c r="AD258" s="121"/>
      <c r="AE258" s="121"/>
      <c r="AF258" s="121"/>
      <c r="AG258" s="121"/>
      <c r="AH258" s="120"/>
    </row>
    <row r="259" spans="1:34" ht="13.2" x14ac:dyDescent="0.25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121"/>
      <c r="AC259" s="121"/>
      <c r="AD259" s="121"/>
      <c r="AE259" s="121"/>
      <c r="AF259" s="121"/>
      <c r="AG259" s="121"/>
      <c r="AH259" s="120"/>
    </row>
    <row r="260" spans="1:34" ht="13.2" x14ac:dyDescent="0.25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121"/>
      <c r="AC260" s="121"/>
      <c r="AD260" s="121"/>
      <c r="AE260" s="121"/>
      <c r="AF260" s="121"/>
      <c r="AG260" s="121"/>
      <c r="AH260" s="120"/>
    </row>
    <row r="261" spans="1:34" ht="13.2" x14ac:dyDescent="0.25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121"/>
      <c r="AC261" s="121"/>
      <c r="AD261" s="121"/>
      <c r="AE261" s="121"/>
      <c r="AF261" s="121"/>
      <c r="AG261" s="121"/>
      <c r="AH261" s="120"/>
    </row>
    <row r="262" spans="1:34" ht="13.2" x14ac:dyDescent="0.25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121"/>
      <c r="AC262" s="121"/>
      <c r="AD262" s="121"/>
      <c r="AE262" s="121"/>
      <c r="AF262" s="121"/>
      <c r="AG262" s="121"/>
      <c r="AH262" s="120"/>
    </row>
    <row r="263" spans="1:34" ht="13.2" x14ac:dyDescent="0.25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121"/>
      <c r="AC263" s="121"/>
      <c r="AD263" s="121"/>
      <c r="AE263" s="121"/>
      <c r="AF263" s="121"/>
      <c r="AG263" s="121"/>
      <c r="AH263" s="120"/>
    </row>
    <row r="264" spans="1:34" ht="13.2" x14ac:dyDescent="0.25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121"/>
      <c r="AC264" s="121"/>
      <c r="AD264" s="121"/>
      <c r="AE264" s="121"/>
      <c r="AF264" s="121"/>
      <c r="AG264" s="121"/>
      <c r="AH264" s="120"/>
    </row>
    <row r="265" spans="1:34" ht="13.2" x14ac:dyDescent="0.2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121"/>
      <c r="AC265" s="121"/>
      <c r="AD265" s="121"/>
      <c r="AE265" s="121"/>
      <c r="AF265" s="121"/>
      <c r="AG265" s="121"/>
      <c r="AH265" s="120"/>
    </row>
    <row r="266" spans="1:34" ht="13.2" x14ac:dyDescent="0.25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121"/>
      <c r="AC266" s="121"/>
      <c r="AD266" s="121"/>
      <c r="AE266" s="121"/>
      <c r="AF266" s="121"/>
      <c r="AG266" s="121"/>
      <c r="AH266" s="120"/>
    </row>
    <row r="267" spans="1:34" ht="13.2" x14ac:dyDescent="0.25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121"/>
      <c r="AC267" s="121"/>
      <c r="AD267" s="121"/>
      <c r="AE267" s="121"/>
      <c r="AF267" s="121"/>
      <c r="AG267" s="121"/>
      <c r="AH267" s="120"/>
    </row>
    <row r="268" spans="1:34" ht="13.2" x14ac:dyDescent="0.25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121"/>
      <c r="AC268" s="121"/>
      <c r="AD268" s="121"/>
      <c r="AE268" s="121"/>
      <c r="AF268" s="121"/>
      <c r="AG268" s="121"/>
      <c r="AH268" s="120"/>
    </row>
    <row r="269" spans="1:34" ht="13.2" x14ac:dyDescent="0.25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121"/>
      <c r="AC269" s="121"/>
      <c r="AD269" s="121"/>
      <c r="AE269" s="121"/>
      <c r="AF269" s="121"/>
      <c r="AG269" s="121"/>
      <c r="AH269" s="120"/>
    </row>
    <row r="270" spans="1:34" ht="13.2" x14ac:dyDescent="0.25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121"/>
      <c r="AC270" s="121"/>
      <c r="AD270" s="121"/>
      <c r="AE270" s="121"/>
      <c r="AF270" s="121"/>
      <c r="AG270" s="121"/>
      <c r="AH270" s="120"/>
    </row>
    <row r="271" spans="1:34" ht="13.2" x14ac:dyDescent="0.25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121"/>
      <c r="AC271" s="121"/>
      <c r="AD271" s="121"/>
      <c r="AE271" s="121"/>
      <c r="AF271" s="121"/>
      <c r="AG271" s="121"/>
      <c r="AH271" s="120"/>
    </row>
    <row r="272" spans="1:34" ht="13.2" x14ac:dyDescent="0.25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121"/>
      <c r="AC272" s="121"/>
      <c r="AD272" s="121"/>
      <c r="AE272" s="121"/>
      <c r="AF272" s="121"/>
      <c r="AG272" s="121"/>
      <c r="AH272" s="120"/>
    </row>
    <row r="273" spans="1:34" ht="13.2" x14ac:dyDescent="0.25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121"/>
      <c r="AC273" s="121"/>
      <c r="AD273" s="121"/>
      <c r="AE273" s="121"/>
      <c r="AF273" s="121"/>
      <c r="AG273" s="121"/>
      <c r="AH273" s="120"/>
    </row>
    <row r="274" spans="1:34" ht="13.2" x14ac:dyDescent="0.25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121"/>
      <c r="AC274" s="121"/>
      <c r="AD274" s="121"/>
      <c r="AE274" s="121"/>
      <c r="AF274" s="121"/>
      <c r="AG274" s="121"/>
      <c r="AH274" s="120"/>
    </row>
    <row r="275" spans="1:34" ht="13.2" x14ac:dyDescent="0.2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121"/>
      <c r="AC275" s="121"/>
      <c r="AD275" s="121"/>
      <c r="AE275" s="121"/>
      <c r="AF275" s="121"/>
      <c r="AG275" s="121"/>
      <c r="AH275" s="120"/>
    </row>
    <row r="276" spans="1:34" ht="13.2" x14ac:dyDescent="0.25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121"/>
      <c r="AC276" s="121"/>
      <c r="AD276" s="121"/>
      <c r="AE276" s="121"/>
      <c r="AF276" s="121"/>
      <c r="AG276" s="121"/>
      <c r="AH276" s="120"/>
    </row>
    <row r="277" spans="1:34" ht="13.2" x14ac:dyDescent="0.25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121"/>
      <c r="AC277" s="121"/>
      <c r="AD277" s="121"/>
      <c r="AE277" s="121"/>
      <c r="AF277" s="121"/>
      <c r="AG277" s="121"/>
      <c r="AH277" s="120"/>
    </row>
    <row r="278" spans="1:34" ht="13.2" x14ac:dyDescent="0.25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121"/>
      <c r="AC278" s="121"/>
      <c r="AD278" s="121"/>
      <c r="AE278" s="121"/>
      <c r="AF278" s="121"/>
      <c r="AG278" s="121"/>
      <c r="AH278" s="120"/>
    </row>
    <row r="279" spans="1:34" ht="13.2" x14ac:dyDescent="0.25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121"/>
      <c r="AC279" s="121"/>
      <c r="AD279" s="121"/>
      <c r="AE279" s="121"/>
      <c r="AF279" s="121"/>
      <c r="AG279" s="121"/>
      <c r="AH279" s="120"/>
    </row>
    <row r="280" spans="1:34" ht="13.2" x14ac:dyDescent="0.25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121"/>
      <c r="AC280" s="121"/>
      <c r="AD280" s="121"/>
      <c r="AE280" s="121"/>
      <c r="AF280" s="121"/>
      <c r="AG280" s="121"/>
      <c r="AH280" s="120"/>
    </row>
    <row r="281" spans="1:34" ht="13.2" x14ac:dyDescent="0.25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121"/>
      <c r="AC281" s="121"/>
      <c r="AD281" s="121"/>
      <c r="AE281" s="121"/>
      <c r="AF281" s="121"/>
      <c r="AG281" s="121"/>
      <c r="AH281" s="120"/>
    </row>
    <row r="282" spans="1:34" ht="13.2" x14ac:dyDescent="0.25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121"/>
      <c r="AC282" s="121"/>
      <c r="AD282" s="121"/>
      <c r="AE282" s="121"/>
      <c r="AF282" s="121"/>
      <c r="AG282" s="121"/>
      <c r="AH282" s="120"/>
    </row>
    <row r="283" spans="1:34" ht="13.2" x14ac:dyDescent="0.25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121"/>
      <c r="AC283" s="121"/>
      <c r="AD283" s="121"/>
      <c r="AE283" s="121"/>
      <c r="AF283" s="121"/>
      <c r="AG283" s="121"/>
      <c r="AH283" s="120"/>
    </row>
    <row r="284" spans="1:34" ht="13.2" x14ac:dyDescent="0.25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121"/>
      <c r="AC284" s="121"/>
      <c r="AD284" s="121"/>
      <c r="AE284" s="121"/>
      <c r="AF284" s="121"/>
      <c r="AG284" s="121"/>
      <c r="AH284" s="120"/>
    </row>
    <row r="285" spans="1:34" ht="13.2" x14ac:dyDescent="0.2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121"/>
      <c r="AC285" s="121"/>
      <c r="AD285" s="121"/>
      <c r="AE285" s="121"/>
      <c r="AF285" s="121"/>
      <c r="AG285" s="121"/>
      <c r="AH285" s="120"/>
    </row>
    <row r="286" spans="1:34" ht="13.2" x14ac:dyDescent="0.25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121"/>
      <c r="AC286" s="121"/>
      <c r="AD286" s="121"/>
      <c r="AE286" s="121"/>
      <c r="AF286" s="121"/>
      <c r="AG286" s="121"/>
      <c r="AH286" s="120"/>
    </row>
    <row r="287" spans="1:34" ht="13.2" x14ac:dyDescent="0.25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121"/>
      <c r="AC287" s="121"/>
      <c r="AD287" s="121"/>
      <c r="AE287" s="121"/>
      <c r="AF287" s="121"/>
      <c r="AG287" s="121"/>
      <c r="AH287" s="120"/>
    </row>
    <row r="288" spans="1:34" ht="13.2" x14ac:dyDescent="0.25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121"/>
      <c r="AC288" s="121"/>
      <c r="AD288" s="121"/>
      <c r="AE288" s="121"/>
      <c r="AF288" s="121"/>
      <c r="AG288" s="121"/>
      <c r="AH288" s="120"/>
    </row>
    <row r="289" spans="1:34" ht="13.2" x14ac:dyDescent="0.25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121"/>
      <c r="AC289" s="121"/>
      <c r="AD289" s="121"/>
      <c r="AE289" s="121"/>
      <c r="AF289" s="121"/>
      <c r="AG289" s="121"/>
      <c r="AH289" s="120"/>
    </row>
    <row r="290" spans="1:34" ht="13.2" x14ac:dyDescent="0.25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121"/>
      <c r="AC290" s="121"/>
      <c r="AD290" s="121"/>
      <c r="AE290" s="121"/>
      <c r="AF290" s="121"/>
      <c r="AG290" s="121"/>
      <c r="AH290" s="120"/>
    </row>
    <row r="291" spans="1:34" ht="13.2" x14ac:dyDescent="0.25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121"/>
      <c r="AC291" s="121"/>
      <c r="AD291" s="121"/>
      <c r="AE291" s="121"/>
      <c r="AF291" s="121"/>
      <c r="AG291" s="121"/>
      <c r="AH291" s="120"/>
    </row>
    <row r="292" spans="1:34" ht="13.2" x14ac:dyDescent="0.25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121"/>
      <c r="AC292" s="121"/>
      <c r="AD292" s="121"/>
      <c r="AE292" s="121"/>
      <c r="AF292" s="121"/>
      <c r="AG292" s="121"/>
      <c r="AH292" s="120"/>
    </row>
    <row r="293" spans="1:34" ht="13.2" x14ac:dyDescent="0.25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121"/>
      <c r="AC293" s="121"/>
      <c r="AD293" s="121"/>
      <c r="AE293" s="121"/>
      <c r="AF293" s="121"/>
      <c r="AG293" s="121"/>
      <c r="AH293" s="120"/>
    </row>
    <row r="294" spans="1:34" ht="13.2" x14ac:dyDescent="0.25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121"/>
      <c r="AC294" s="121"/>
      <c r="AD294" s="121"/>
      <c r="AE294" s="121"/>
      <c r="AF294" s="121"/>
      <c r="AG294" s="121"/>
      <c r="AH294" s="120"/>
    </row>
    <row r="295" spans="1:34" ht="13.2" x14ac:dyDescent="0.2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121"/>
      <c r="AC295" s="121"/>
      <c r="AD295" s="121"/>
      <c r="AE295" s="121"/>
      <c r="AF295" s="121"/>
      <c r="AG295" s="121"/>
      <c r="AH295" s="120"/>
    </row>
    <row r="296" spans="1:34" ht="13.2" x14ac:dyDescent="0.25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121"/>
      <c r="AC296" s="121"/>
      <c r="AD296" s="121"/>
      <c r="AE296" s="121"/>
      <c r="AF296" s="121"/>
      <c r="AG296" s="121"/>
      <c r="AH296" s="120"/>
    </row>
    <row r="297" spans="1:34" ht="13.2" x14ac:dyDescent="0.25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121"/>
      <c r="AC297" s="121"/>
      <c r="AD297" s="121"/>
      <c r="AE297" s="121"/>
      <c r="AF297" s="121"/>
      <c r="AG297" s="121"/>
      <c r="AH297" s="120"/>
    </row>
    <row r="298" spans="1:34" ht="13.2" x14ac:dyDescent="0.25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121"/>
      <c r="AC298" s="121"/>
      <c r="AD298" s="121"/>
      <c r="AE298" s="121"/>
      <c r="AF298" s="121"/>
      <c r="AG298" s="121"/>
      <c r="AH298" s="120"/>
    </row>
    <row r="299" spans="1:34" ht="13.2" x14ac:dyDescent="0.25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121"/>
      <c r="AC299" s="121"/>
      <c r="AD299" s="121"/>
      <c r="AE299" s="121"/>
      <c r="AF299" s="121"/>
      <c r="AG299" s="121"/>
      <c r="AH299" s="120"/>
    </row>
    <row r="300" spans="1:34" ht="13.2" x14ac:dyDescent="0.25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121"/>
      <c r="AC300" s="121"/>
      <c r="AD300" s="121"/>
      <c r="AE300" s="121"/>
      <c r="AF300" s="121"/>
      <c r="AG300" s="121"/>
      <c r="AH300" s="120"/>
    </row>
    <row r="301" spans="1:34" ht="13.2" x14ac:dyDescent="0.25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121"/>
      <c r="AC301" s="121"/>
      <c r="AD301" s="121"/>
      <c r="AE301" s="121"/>
      <c r="AF301" s="121"/>
      <c r="AG301" s="121"/>
      <c r="AH301" s="120"/>
    </row>
    <row r="302" spans="1:34" ht="13.2" x14ac:dyDescent="0.25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121"/>
      <c r="AC302" s="121"/>
      <c r="AD302" s="121"/>
      <c r="AE302" s="121"/>
      <c r="AF302" s="121"/>
      <c r="AG302" s="121"/>
      <c r="AH302" s="120"/>
    </row>
    <row r="303" spans="1:34" ht="13.2" x14ac:dyDescent="0.25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121"/>
      <c r="AC303" s="121"/>
      <c r="AD303" s="121"/>
      <c r="AE303" s="121"/>
      <c r="AF303" s="121"/>
      <c r="AG303" s="121"/>
      <c r="AH303" s="120"/>
    </row>
    <row r="304" spans="1:34" ht="13.2" x14ac:dyDescent="0.25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121"/>
      <c r="AC304" s="121"/>
      <c r="AD304" s="121"/>
      <c r="AE304" s="121"/>
      <c r="AF304" s="121"/>
      <c r="AG304" s="121"/>
      <c r="AH304" s="120"/>
    </row>
    <row r="305" spans="1:34" ht="13.2" x14ac:dyDescent="0.2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121"/>
      <c r="AC305" s="121"/>
      <c r="AD305" s="121"/>
      <c r="AE305" s="121"/>
      <c r="AF305" s="121"/>
      <c r="AG305" s="121"/>
      <c r="AH305" s="120"/>
    </row>
    <row r="306" spans="1:34" ht="13.2" x14ac:dyDescent="0.25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121"/>
      <c r="AC306" s="121"/>
      <c r="AD306" s="121"/>
      <c r="AE306" s="121"/>
      <c r="AF306" s="121"/>
      <c r="AG306" s="121"/>
      <c r="AH306" s="120"/>
    </row>
    <row r="307" spans="1:34" ht="13.2" x14ac:dyDescent="0.25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121"/>
      <c r="AC307" s="121"/>
      <c r="AD307" s="121"/>
      <c r="AE307" s="121"/>
      <c r="AF307" s="121"/>
      <c r="AG307" s="121"/>
      <c r="AH307" s="120"/>
    </row>
    <row r="308" spans="1:34" ht="13.2" x14ac:dyDescent="0.25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121"/>
      <c r="AC308" s="121"/>
      <c r="AD308" s="121"/>
      <c r="AE308" s="121"/>
      <c r="AF308" s="121"/>
      <c r="AG308" s="121"/>
      <c r="AH308" s="120"/>
    </row>
    <row r="309" spans="1:34" ht="13.2" x14ac:dyDescent="0.25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121"/>
      <c r="AC309" s="121"/>
      <c r="AD309" s="121"/>
      <c r="AE309" s="121"/>
      <c r="AF309" s="121"/>
      <c r="AG309" s="121"/>
      <c r="AH309" s="120"/>
    </row>
    <row r="310" spans="1:34" ht="13.2" x14ac:dyDescent="0.25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121"/>
      <c r="AC310" s="121"/>
      <c r="AD310" s="121"/>
      <c r="AE310" s="121"/>
      <c r="AF310" s="121"/>
      <c r="AG310" s="121"/>
      <c r="AH310" s="120"/>
    </row>
    <row r="311" spans="1:34" ht="13.2" x14ac:dyDescent="0.25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121"/>
      <c r="AC311" s="121"/>
      <c r="AD311" s="121"/>
      <c r="AE311" s="121"/>
      <c r="AF311" s="121"/>
      <c r="AG311" s="121"/>
      <c r="AH311" s="120"/>
    </row>
    <row r="312" spans="1:34" ht="13.2" x14ac:dyDescent="0.25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121"/>
      <c r="AC312" s="121"/>
      <c r="AD312" s="121"/>
      <c r="AE312" s="121"/>
      <c r="AF312" s="121"/>
      <c r="AG312" s="121"/>
      <c r="AH312" s="120"/>
    </row>
    <row r="313" spans="1:34" ht="13.2" x14ac:dyDescent="0.25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121"/>
      <c r="AC313" s="121"/>
      <c r="AD313" s="121"/>
      <c r="AE313" s="121"/>
      <c r="AF313" s="121"/>
      <c r="AG313" s="121"/>
      <c r="AH313" s="120"/>
    </row>
    <row r="314" spans="1:34" ht="13.2" x14ac:dyDescent="0.25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121"/>
      <c r="AC314" s="121"/>
      <c r="AD314" s="121"/>
      <c r="AE314" s="121"/>
      <c r="AF314" s="121"/>
      <c r="AG314" s="121"/>
      <c r="AH314" s="120"/>
    </row>
    <row r="315" spans="1:34" ht="13.2" x14ac:dyDescent="0.2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121"/>
      <c r="AC315" s="121"/>
      <c r="AD315" s="121"/>
      <c r="AE315" s="121"/>
      <c r="AF315" s="121"/>
      <c r="AG315" s="121"/>
      <c r="AH315" s="120"/>
    </row>
    <row r="316" spans="1:34" ht="13.2" x14ac:dyDescent="0.25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121"/>
      <c r="AC316" s="121"/>
      <c r="AD316" s="121"/>
      <c r="AE316" s="121"/>
      <c r="AF316" s="121"/>
      <c r="AG316" s="121"/>
      <c r="AH316" s="120"/>
    </row>
    <row r="317" spans="1:34" ht="13.2" x14ac:dyDescent="0.25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121"/>
      <c r="AC317" s="121"/>
      <c r="AD317" s="121"/>
      <c r="AE317" s="121"/>
      <c r="AF317" s="121"/>
      <c r="AG317" s="121"/>
      <c r="AH317" s="120"/>
    </row>
    <row r="318" spans="1:34" ht="13.2" x14ac:dyDescent="0.25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121"/>
      <c r="AC318" s="121"/>
      <c r="AD318" s="121"/>
      <c r="AE318" s="121"/>
      <c r="AF318" s="121"/>
      <c r="AG318" s="121"/>
      <c r="AH318" s="120"/>
    </row>
    <row r="319" spans="1:34" ht="13.2" x14ac:dyDescent="0.25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121"/>
      <c r="AC319" s="121"/>
      <c r="AD319" s="121"/>
      <c r="AE319" s="121"/>
      <c r="AF319" s="121"/>
      <c r="AG319" s="121"/>
      <c r="AH319" s="120"/>
    </row>
    <row r="320" spans="1:34" ht="13.2" x14ac:dyDescent="0.25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121"/>
      <c r="AC320" s="121"/>
      <c r="AD320" s="121"/>
      <c r="AE320" s="121"/>
      <c r="AF320" s="121"/>
      <c r="AG320" s="121"/>
      <c r="AH320" s="120"/>
    </row>
    <row r="321" spans="1:34" ht="13.2" x14ac:dyDescent="0.25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121"/>
      <c r="AC321" s="121"/>
      <c r="AD321" s="121"/>
      <c r="AE321" s="121"/>
      <c r="AF321" s="121"/>
      <c r="AG321" s="121"/>
      <c r="AH321" s="120"/>
    </row>
    <row r="322" spans="1:34" ht="13.2" x14ac:dyDescent="0.25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121"/>
      <c r="AC322" s="121"/>
      <c r="AD322" s="121"/>
      <c r="AE322" s="121"/>
      <c r="AF322" s="121"/>
      <c r="AG322" s="121"/>
      <c r="AH322" s="120"/>
    </row>
    <row r="323" spans="1:34" ht="13.2" x14ac:dyDescent="0.25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121"/>
      <c r="AC323" s="121"/>
      <c r="AD323" s="121"/>
      <c r="AE323" s="121"/>
      <c r="AF323" s="121"/>
      <c r="AG323" s="121"/>
      <c r="AH323" s="120"/>
    </row>
    <row r="324" spans="1:34" ht="13.2" x14ac:dyDescent="0.25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121"/>
      <c r="AC324" s="121"/>
      <c r="AD324" s="121"/>
      <c r="AE324" s="121"/>
      <c r="AF324" s="121"/>
      <c r="AG324" s="121"/>
      <c r="AH324" s="120"/>
    </row>
    <row r="325" spans="1:34" ht="13.2" x14ac:dyDescent="0.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121"/>
      <c r="AC325" s="121"/>
      <c r="AD325" s="121"/>
      <c r="AE325" s="121"/>
      <c r="AF325" s="121"/>
      <c r="AG325" s="121"/>
      <c r="AH325" s="120"/>
    </row>
    <row r="326" spans="1:34" ht="13.2" x14ac:dyDescent="0.25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121"/>
      <c r="AC326" s="121"/>
      <c r="AD326" s="121"/>
      <c r="AE326" s="121"/>
      <c r="AF326" s="121"/>
      <c r="AG326" s="121"/>
      <c r="AH326" s="120"/>
    </row>
    <row r="327" spans="1:34" ht="13.2" x14ac:dyDescent="0.25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121"/>
      <c r="AC327" s="121"/>
      <c r="AD327" s="121"/>
      <c r="AE327" s="121"/>
      <c r="AF327" s="121"/>
      <c r="AG327" s="121"/>
      <c r="AH327" s="120"/>
    </row>
    <row r="328" spans="1:34" ht="13.2" x14ac:dyDescent="0.25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121"/>
      <c r="AC328" s="121"/>
      <c r="AD328" s="121"/>
      <c r="AE328" s="121"/>
      <c r="AF328" s="121"/>
      <c r="AG328" s="121"/>
      <c r="AH328" s="120"/>
    </row>
    <row r="329" spans="1:34" ht="13.2" x14ac:dyDescent="0.25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121"/>
      <c r="AC329" s="121"/>
      <c r="AD329" s="121"/>
      <c r="AE329" s="121"/>
      <c r="AF329" s="121"/>
      <c r="AG329" s="121"/>
      <c r="AH329" s="120"/>
    </row>
    <row r="330" spans="1:34" ht="13.2" x14ac:dyDescent="0.25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121"/>
      <c r="AC330" s="121"/>
      <c r="AD330" s="121"/>
      <c r="AE330" s="121"/>
      <c r="AF330" s="121"/>
      <c r="AG330" s="121"/>
      <c r="AH330" s="120"/>
    </row>
    <row r="331" spans="1:34" ht="13.2" x14ac:dyDescent="0.25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121"/>
      <c r="AC331" s="121"/>
      <c r="AD331" s="121"/>
      <c r="AE331" s="121"/>
      <c r="AF331" s="121"/>
      <c r="AG331" s="121"/>
      <c r="AH331" s="120"/>
    </row>
    <row r="332" spans="1:34" ht="13.2" x14ac:dyDescent="0.25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121"/>
      <c r="AC332" s="121"/>
      <c r="AD332" s="121"/>
      <c r="AE332" s="121"/>
      <c r="AF332" s="121"/>
      <c r="AG332" s="121"/>
      <c r="AH332" s="120"/>
    </row>
    <row r="333" spans="1:34" ht="13.2" x14ac:dyDescent="0.25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121"/>
      <c r="AC333" s="121"/>
      <c r="AD333" s="121"/>
      <c r="AE333" s="121"/>
      <c r="AF333" s="121"/>
      <c r="AG333" s="121"/>
      <c r="AH333" s="120"/>
    </row>
    <row r="334" spans="1:34" ht="13.2" x14ac:dyDescent="0.25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  <c r="AB334" s="121"/>
      <c r="AC334" s="121"/>
      <c r="AD334" s="121"/>
      <c r="AE334" s="121"/>
      <c r="AF334" s="121"/>
      <c r="AG334" s="121"/>
      <c r="AH334" s="120"/>
    </row>
    <row r="335" spans="1:34" ht="13.2" x14ac:dyDescent="0.2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  <c r="AB335" s="121"/>
      <c r="AC335" s="121"/>
      <c r="AD335" s="121"/>
      <c r="AE335" s="121"/>
      <c r="AF335" s="121"/>
      <c r="AG335" s="121"/>
      <c r="AH335" s="120"/>
    </row>
    <row r="336" spans="1:34" ht="13.2" x14ac:dyDescent="0.25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  <c r="AB336" s="121"/>
      <c r="AC336" s="121"/>
      <c r="AD336" s="121"/>
      <c r="AE336" s="121"/>
      <c r="AF336" s="121"/>
      <c r="AG336" s="121"/>
      <c r="AH336" s="120"/>
    </row>
    <row r="337" spans="1:34" ht="13.2" x14ac:dyDescent="0.25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  <c r="AB337" s="121"/>
      <c r="AC337" s="121"/>
      <c r="AD337" s="121"/>
      <c r="AE337" s="121"/>
      <c r="AF337" s="121"/>
      <c r="AG337" s="121"/>
      <c r="AH337" s="120"/>
    </row>
    <row r="338" spans="1:34" ht="13.2" x14ac:dyDescent="0.25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  <c r="AB338" s="121"/>
      <c r="AC338" s="121"/>
      <c r="AD338" s="121"/>
      <c r="AE338" s="121"/>
      <c r="AF338" s="121"/>
      <c r="AG338" s="121"/>
      <c r="AH338" s="120"/>
    </row>
    <row r="339" spans="1:34" ht="13.2" x14ac:dyDescent="0.25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  <c r="AB339" s="121"/>
      <c r="AC339" s="121"/>
      <c r="AD339" s="121"/>
      <c r="AE339" s="121"/>
      <c r="AF339" s="121"/>
      <c r="AG339" s="121"/>
      <c r="AH339" s="120"/>
    </row>
    <row r="340" spans="1:34" ht="13.2" x14ac:dyDescent="0.25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  <c r="AB340" s="121"/>
      <c r="AC340" s="121"/>
      <c r="AD340" s="121"/>
      <c r="AE340" s="121"/>
      <c r="AF340" s="121"/>
      <c r="AG340" s="121"/>
      <c r="AH340" s="120"/>
    </row>
    <row r="341" spans="1:34" ht="13.2" x14ac:dyDescent="0.25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  <c r="AB341" s="121"/>
      <c r="AC341" s="121"/>
      <c r="AD341" s="121"/>
      <c r="AE341" s="121"/>
      <c r="AF341" s="121"/>
      <c r="AG341" s="121"/>
      <c r="AH341" s="120"/>
    </row>
    <row r="342" spans="1:34" ht="13.2" x14ac:dyDescent="0.25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  <c r="AB342" s="121"/>
      <c r="AC342" s="121"/>
      <c r="AD342" s="121"/>
      <c r="AE342" s="121"/>
      <c r="AF342" s="121"/>
      <c r="AG342" s="121"/>
      <c r="AH342" s="120"/>
    </row>
    <row r="343" spans="1:34" ht="13.2" x14ac:dyDescent="0.25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  <c r="AB343" s="121"/>
      <c r="AC343" s="121"/>
      <c r="AD343" s="121"/>
      <c r="AE343" s="121"/>
      <c r="AF343" s="121"/>
      <c r="AG343" s="121"/>
      <c r="AH343" s="120"/>
    </row>
    <row r="344" spans="1:34" ht="13.2" x14ac:dyDescent="0.25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  <c r="AB344" s="121"/>
      <c r="AC344" s="121"/>
      <c r="AD344" s="121"/>
      <c r="AE344" s="121"/>
      <c r="AF344" s="121"/>
      <c r="AG344" s="121"/>
      <c r="AH344" s="120"/>
    </row>
    <row r="345" spans="1:34" ht="13.2" x14ac:dyDescent="0.2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  <c r="AB345" s="121"/>
      <c r="AC345" s="121"/>
      <c r="AD345" s="121"/>
      <c r="AE345" s="121"/>
      <c r="AF345" s="121"/>
      <c r="AG345" s="121"/>
      <c r="AH345" s="120"/>
    </row>
    <row r="346" spans="1:34" ht="13.2" x14ac:dyDescent="0.25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  <c r="AB346" s="121"/>
      <c r="AC346" s="121"/>
      <c r="AD346" s="121"/>
      <c r="AE346" s="121"/>
      <c r="AF346" s="121"/>
      <c r="AG346" s="121"/>
      <c r="AH346" s="120"/>
    </row>
    <row r="347" spans="1:34" ht="13.2" x14ac:dyDescent="0.25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  <c r="AB347" s="121"/>
      <c r="AC347" s="121"/>
      <c r="AD347" s="121"/>
      <c r="AE347" s="121"/>
      <c r="AF347" s="121"/>
      <c r="AG347" s="121"/>
      <c r="AH347" s="120"/>
    </row>
    <row r="348" spans="1:34" ht="13.2" x14ac:dyDescent="0.25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  <c r="AB348" s="121"/>
      <c r="AC348" s="121"/>
      <c r="AD348" s="121"/>
      <c r="AE348" s="121"/>
      <c r="AF348" s="121"/>
      <c r="AG348" s="121"/>
      <c r="AH348" s="120"/>
    </row>
    <row r="349" spans="1:34" ht="13.2" x14ac:dyDescent="0.25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  <c r="AB349" s="121"/>
      <c r="AC349" s="121"/>
      <c r="AD349" s="121"/>
      <c r="AE349" s="121"/>
      <c r="AF349" s="121"/>
      <c r="AG349" s="121"/>
      <c r="AH349" s="120"/>
    </row>
    <row r="350" spans="1:34" ht="13.2" x14ac:dyDescent="0.25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  <c r="AB350" s="121"/>
      <c r="AC350" s="121"/>
      <c r="AD350" s="121"/>
      <c r="AE350" s="121"/>
      <c r="AF350" s="121"/>
      <c r="AG350" s="121"/>
      <c r="AH350" s="120"/>
    </row>
    <row r="351" spans="1:34" ht="13.2" x14ac:dyDescent="0.25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  <c r="AB351" s="121"/>
      <c r="AC351" s="121"/>
      <c r="AD351" s="121"/>
      <c r="AE351" s="121"/>
      <c r="AF351" s="121"/>
      <c r="AG351" s="121"/>
      <c r="AH351" s="120"/>
    </row>
    <row r="352" spans="1:34" ht="13.2" x14ac:dyDescent="0.25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  <c r="AB352" s="121"/>
      <c r="AC352" s="121"/>
      <c r="AD352" s="121"/>
      <c r="AE352" s="121"/>
      <c r="AF352" s="121"/>
      <c r="AG352" s="121"/>
      <c r="AH352" s="120"/>
    </row>
    <row r="353" spans="1:34" ht="13.2" x14ac:dyDescent="0.25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  <c r="AB353" s="121"/>
      <c r="AC353" s="121"/>
      <c r="AD353" s="121"/>
      <c r="AE353" s="121"/>
      <c r="AF353" s="121"/>
      <c r="AG353" s="121"/>
      <c r="AH353" s="120"/>
    </row>
    <row r="354" spans="1:34" ht="13.2" x14ac:dyDescent="0.25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  <c r="AB354" s="121"/>
      <c r="AC354" s="121"/>
      <c r="AD354" s="121"/>
      <c r="AE354" s="121"/>
      <c r="AF354" s="121"/>
      <c r="AG354" s="121"/>
      <c r="AH354" s="120"/>
    </row>
    <row r="355" spans="1:34" ht="13.2" x14ac:dyDescent="0.2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  <c r="AB355" s="121"/>
      <c r="AC355" s="121"/>
      <c r="AD355" s="121"/>
      <c r="AE355" s="121"/>
      <c r="AF355" s="121"/>
      <c r="AG355" s="121"/>
      <c r="AH355" s="120"/>
    </row>
    <row r="356" spans="1:34" ht="13.2" x14ac:dyDescent="0.25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  <c r="AB356" s="121"/>
      <c r="AC356" s="121"/>
      <c r="AD356" s="121"/>
      <c r="AE356" s="121"/>
      <c r="AF356" s="121"/>
      <c r="AG356" s="121"/>
      <c r="AH356" s="120"/>
    </row>
    <row r="357" spans="1:34" ht="13.2" x14ac:dyDescent="0.25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  <c r="AB357" s="121"/>
      <c r="AC357" s="121"/>
      <c r="AD357" s="121"/>
      <c r="AE357" s="121"/>
      <c r="AF357" s="121"/>
      <c r="AG357" s="121"/>
      <c r="AH357" s="120"/>
    </row>
    <row r="358" spans="1:34" ht="13.2" x14ac:dyDescent="0.25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121"/>
      <c r="AC358" s="121"/>
      <c r="AD358" s="121"/>
      <c r="AE358" s="121"/>
      <c r="AF358" s="121"/>
      <c r="AG358" s="121"/>
      <c r="AH358" s="120"/>
    </row>
    <row r="359" spans="1:34" ht="13.2" x14ac:dyDescent="0.25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121"/>
      <c r="AC359" s="121"/>
      <c r="AD359" s="121"/>
      <c r="AE359" s="121"/>
      <c r="AF359" s="121"/>
      <c r="AG359" s="121"/>
      <c r="AH359" s="120"/>
    </row>
    <row r="360" spans="1:34" ht="13.2" x14ac:dyDescent="0.25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121"/>
      <c r="AC360" s="121"/>
      <c r="AD360" s="121"/>
      <c r="AE360" s="121"/>
      <c r="AF360" s="121"/>
      <c r="AG360" s="121"/>
      <c r="AH360" s="120"/>
    </row>
    <row r="361" spans="1:34" ht="13.2" x14ac:dyDescent="0.25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121"/>
      <c r="AC361" s="121"/>
      <c r="AD361" s="121"/>
      <c r="AE361" s="121"/>
      <c r="AF361" s="121"/>
      <c r="AG361" s="121"/>
      <c r="AH361" s="120"/>
    </row>
    <row r="362" spans="1:34" ht="13.2" x14ac:dyDescent="0.25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121"/>
      <c r="AC362" s="121"/>
      <c r="AD362" s="121"/>
      <c r="AE362" s="121"/>
      <c r="AF362" s="121"/>
      <c r="AG362" s="121"/>
      <c r="AH362" s="120"/>
    </row>
    <row r="363" spans="1:34" ht="13.2" x14ac:dyDescent="0.25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121"/>
      <c r="AC363" s="121"/>
      <c r="AD363" s="121"/>
      <c r="AE363" s="121"/>
      <c r="AF363" s="121"/>
      <c r="AG363" s="121"/>
      <c r="AH363" s="120"/>
    </row>
    <row r="364" spans="1:34" ht="13.2" x14ac:dyDescent="0.25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121"/>
      <c r="AC364" s="121"/>
      <c r="AD364" s="121"/>
      <c r="AE364" s="121"/>
      <c r="AF364" s="121"/>
      <c r="AG364" s="121"/>
      <c r="AH364" s="120"/>
    </row>
    <row r="365" spans="1:34" ht="13.2" x14ac:dyDescent="0.2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121"/>
      <c r="AC365" s="121"/>
      <c r="AD365" s="121"/>
      <c r="AE365" s="121"/>
      <c r="AF365" s="121"/>
      <c r="AG365" s="121"/>
      <c r="AH365" s="120"/>
    </row>
    <row r="366" spans="1:34" ht="13.2" x14ac:dyDescent="0.25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121"/>
      <c r="AC366" s="121"/>
      <c r="AD366" s="121"/>
      <c r="AE366" s="121"/>
      <c r="AF366" s="121"/>
      <c r="AG366" s="121"/>
      <c r="AH366" s="120"/>
    </row>
    <row r="367" spans="1:34" ht="13.2" x14ac:dyDescent="0.25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121"/>
      <c r="AC367" s="121"/>
      <c r="AD367" s="121"/>
      <c r="AE367" s="121"/>
      <c r="AF367" s="121"/>
      <c r="AG367" s="121"/>
      <c r="AH367" s="120"/>
    </row>
    <row r="368" spans="1:34" ht="13.2" x14ac:dyDescent="0.25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121"/>
      <c r="AC368" s="121"/>
      <c r="AD368" s="121"/>
      <c r="AE368" s="121"/>
      <c r="AF368" s="121"/>
      <c r="AG368" s="121"/>
      <c r="AH368" s="120"/>
    </row>
    <row r="369" spans="1:34" ht="13.2" x14ac:dyDescent="0.25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  <c r="AB369" s="121"/>
      <c r="AC369" s="121"/>
      <c r="AD369" s="121"/>
      <c r="AE369" s="121"/>
      <c r="AF369" s="121"/>
      <c r="AG369" s="121"/>
      <c r="AH369" s="120"/>
    </row>
    <row r="370" spans="1:34" ht="13.2" x14ac:dyDescent="0.25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  <c r="AB370" s="121"/>
      <c r="AC370" s="121"/>
      <c r="AD370" s="121"/>
      <c r="AE370" s="121"/>
      <c r="AF370" s="121"/>
      <c r="AG370" s="121"/>
      <c r="AH370" s="120"/>
    </row>
    <row r="371" spans="1:34" ht="13.2" x14ac:dyDescent="0.25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  <c r="AB371" s="121"/>
      <c r="AC371" s="121"/>
      <c r="AD371" s="121"/>
      <c r="AE371" s="121"/>
      <c r="AF371" s="121"/>
      <c r="AG371" s="121"/>
      <c r="AH371" s="120"/>
    </row>
    <row r="372" spans="1:34" ht="13.2" x14ac:dyDescent="0.25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  <c r="AB372" s="121"/>
      <c r="AC372" s="121"/>
      <c r="AD372" s="121"/>
      <c r="AE372" s="121"/>
      <c r="AF372" s="121"/>
      <c r="AG372" s="121"/>
      <c r="AH372" s="120"/>
    </row>
    <row r="373" spans="1:34" ht="13.2" x14ac:dyDescent="0.25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  <c r="AB373" s="121"/>
      <c r="AC373" s="121"/>
      <c r="AD373" s="121"/>
      <c r="AE373" s="121"/>
      <c r="AF373" s="121"/>
      <c r="AG373" s="121"/>
      <c r="AH373" s="120"/>
    </row>
    <row r="374" spans="1:34" ht="13.2" x14ac:dyDescent="0.25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  <c r="AB374" s="121"/>
      <c r="AC374" s="121"/>
      <c r="AD374" s="121"/>
      <c r="AE374" s="121"/>
      <c r="AF374" s="121"/>
      <c r="AG374" s="121"/>
      <c r="AH374" s="120"/>
    </row>
    <row r="375" spans="1:34" ht="13.2" x14ac:dyDescent="0.2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  <c r="AB375" s="121"/>
      <c r="AC375" s="121"/>
      <c r="AD375" s="121"/>
      <c r="AE375" s="121"/>
      <c r="AF375" s="121"/>
      <c r="AG375" s="121"/>
      <c r="AH375" s="120"/>
    </row>
    <row r="376" spans="1:34" ht="13.2" x14ac:dyDescent="0.25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  <c r="AB376" s="121"/>
      <c r="AC376" s="121"/>
      <c r="AD376" s="121"/>
      <c r="AE376" s="121"/>
      <c r="AF376" s="121"/>
      <c r="AG376" s="121"/>
      <c r="AH376" s="120"/>
    </row>
    <row r="377" spans="1:34" ht="13.2" x14ac:dyDescent="0.25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  <c r="AB377" s="121"/>
      <c r="AC377" s="121"/>
      <c r="AD377" s="121"/>
      <c r="AE377" s="121"/>
      <c r="AF377" s="121"/>
      <c r="AG377" s="121"/>
      <c r="AH377" s="120"/>
    </row>
    <row r="378" spans="1:34" ht="13.2" x14ac:dyDescent="0.25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121"/>
      <c r="AC378" s="121"/>
      <c r="AD378" s="121"/>
      <c r="AE378" s="121"/>
      <c r="AF378" s="121"/>
      <c r="AG378" s="121"/>
      <c r="AH378" s="120"/>
    </row>
    <row r="379" spans="1:34" ht="13.2" x14ac:dyDescent="0.25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121"/>
      <c r="AC379" s="121"/>
      <c r="AD379" s="121"/>
      <c r="AE379" s="121"/>
      <c r="AF379" s="121"/>
      <c r="AG379" s="121"/>
      <c r="AH379" s="120"/>
    </row>
    <row r="380" spans="1:34" ht="13.2" x14ac:dyDescent="0.25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121"/>
      <c r="AC380" s="121"/>
      <c r="AD380" s="121"/>
      <c r="AE380" s="121"/>
      <c r="AF380" s="121"/>
      <c r="AG380" s="121"/>
      <c r="AH380" s="120"/>
    </row>
    <row r="381" spans="1:34" ht="13.2" x14ac:dyDescent="0.25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121"/>
      <c r="AC381" s="121"/>
      <c r="AD381" s="121"/>
      <c r="AE381" s="121"/>
      <c r="AF381" s="121"/>
      <c r="AG381" s="121"/>
      <c r="AH381" s="120"/>
    </row>
    <row r="382" spans="1:34" ht="13.2" x14ac:dyDescent="0.25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121"/>
      <c r="AC382" s="121"/>
      <c r="AD382" s="121"/>
      <c r="AE382" s="121"/>
      <c r="AF382" s="121"/>
      <c r="AG382" s="121"/>
      <c r="AH382" s="120"/>
    </row>
    <row r="383" spans="1:34" ht="13.2" x14ac:dyDescent="0.25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121"/>
      <c r="AC383" s="121"/>
      <c r="AD383" s="121"/>
      <c r="AE383" s="121"/>
      <c r="AF383" s="121"/>
      <c r="AG383" s="121"/>
      <c r="AH383" s="120"/>
    </row>
    <row r="384" spans="1:34" ht="13.2" x14ac:dyDescent="0.25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121"/>
      <c r="AC384" s="121"/>
      <c r="AD384" s="121"/>
      <c r="AE384" s="121"/>
      <c r="AF384" s="121"/>
      <c r="AG384" s="121"/>
      <c r="AH384" s="120"/>
    </row>
    <row r="385" spans="1:34" ht="13.2" x14ac:dyDescent="0.2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121"/>
      <c r="AC385" s="121"/>
      <c r="AD385" s="121"/>
      <c r="AE385" s="121"/>
      <c r="AF385" s="121"/>
      <c r="AG385" s="121"/>
      <c r="AH385" s="120"/>
    </row>
    <row r="386" spans="1:34" ht="13.2" x14ac:dyDescent="0.25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121"/>
      <c r="AC386" s="121"/>
      <c r="AD386" s="121"/>
      <c r="AE386" s="121"/>
      <c r="AF386" s="121"/>
      <c r="AG386" s="121"/>
      <c r="AH386" s="120"/>
    </row>
    <row r="387" spans="1:34" ht="13.2" x14ac:dyDescent="0.25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121"/>
      <c r="AC387" s="121"/>
      <c r="AD387" s="121"/>
      <c r="AE387" s="121"/>
      <c r="AF387" s="121"/>
      <c r="AG387" s="121"/>
      <c r="AH387" s="120"/>
    </row>
    <row r="388" spans="1:34" ht="13.2" x14ac:dyDescent="0.25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121"/>
      <c r="AC388" s="121"/>
      <c r="AD388" s="121"/>
      <c r="AE388" s="121"/>
      <c r="AF388" s="121"/>
      <c r="AG388" s="121"/>
      <c r="AH388" s="120"/>
    </row>
    <row r="389" spans="1:34" ht="13.2" x14ac:dyDescent="0.25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  <c r="AB389" s="121"/>
      <c r="AC389" s="121"/>
      <c r="AD389" s="121"/>
      <c r="AE389" s="121"/>
      <c r="AF389" s="121"/>
      <c r="AG389" s="121"/>
      <c r="AH389" s="120"/>
    </row>
    <row r="390" spans="1:34" ht="13.2" x14ac:dyDescent="0.25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  <c r="AB390" s="121"/>
      <c r="AC390" s="121"/>
      <c r="AD390" s="121"/>
      <c r="AE390" s="121"/>
      <c r="AF390" s="121"/>
      <c r="AG390" s="121"/>
      <c r="AH390" s="120"/>
    </row>
    <row r="391" spans="1:34" ht="13.2" x14ac:dyDescent="0.25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  <c r="AB391" s="121"/>
      <c r="AC391" s="121"/>
      <c r="AD391" s="121"/>
      <c r="AE391" s="121"/>
      <c r="AF391" s="121"/>
      <c r="AG391" s="121"/>
      <c r="AH391" s="120"/>
    </row>
    <row r="392" spans="1:34" ht="13.2" x14ac:dyDescent="0.25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  <c r="AB392" s="121"/>
      <c r="AC392" s="121"/>
      <c r="AD392" s="121"/>
      <c r="AE392" s="121"/>
      <c r="AF392" s="121"/>
      <c r="AG392" s="121"/>
      <c r="AH392" s="120"/>
    </row>
    <row r="393" spans="1:34" ht="13.2" x14ac:dyDescent="0.25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  <c r="AB393" s="121"/>
      <c r="AC393" s="121"/>
      <c r="AD393" s="121"/>
      <c r="AE393" s="121"/>
      <c r="AF393" s="121"/>
      <c r="AG393" s="121"/>
      <c r="AH393" s="120"/>
    </row>
    <row r="394" spans="1:34" ht="13.2" x14ac:dyDescent="0.25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  <c r="AB394" s="121"/>
      <c r="AC394" s="121"/>
      <c r="AD394" s="121"/>
      <c r="AE394" s="121"/>
      <c r="AF394" s="121"/>
      <c r="AG394" s="121"/>
      <c r="AH394" s="120"/>
    </row>
    <row r="395" spans="1:34" ht="13.2" x14ac:dyDescent="0.2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  <c r="AB395" s="121"/>
      <c r="AC395" s="121"/>
      <c r="AD395" s="121"/>
      <c r="AE395" s="121"/>
      <c r="AF395" s="121"/>
      <c r="AG395" s="121"/>
      <c r="AH395" s="120"/>
    </row>
    <row r="396" spans="1:34" ht="13.2" x14ac:dyDescent="0.25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  <c r="AB396" s="121"/>
      <c r="AC396" s="121"/>
      <c r="AD396" s="121"/>
      <c r="AE396" s="121"/>
      <c r="AF396" s="121"/>
      <c r="AG396" s="121"/>
      <c r="AH396" s="120"/>
    </row>
    <row r="397" spans="1:34" ht="13.2" x14ac:dyDescent="0.25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  <c r="AB397" s="121"/>
      <c r="AC397" s="121"/>
      <c r="AD397" s="121"/>
      <c r="AE397" s="121"/>
      <c r="AF397" s="121"/>
      <c r="AG397" s="121"/>
      <c r="AH397" s="120"/>
    </row>
    <row r="398" spans="1:34" ht="13.2" x14ac:dyDescent="0.25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  <c r="AB398" s="121"/>
      <c r="AC398" s="121"/>
      <c r="AD398" s="121"/>
      <c r="AE398" s="121"/>
      <c r="AF398" s="121"/>
      <c r="AG398" s="121"/>
      <c r="AH398" s="120"/>
    </row>
    <row r="399" spans="1:34" ht="13.2" x14ac:dyDescent="0.25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  <c r="AB399" s="121"/>
      <c r="AC399" s="121"/>
      <c r="AD399" s="121"/>
      <c r="AE399" s="121"/>
      <c r="AF399" s="121"/>
      <c r="AG399" s="121"/>
      <c r="AH399" s="120"/>
    </row>
    <row r="400" spans="1:34" ht="13.2" x14ac:dyDescent="0.25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  <c r="AB400" s="121"/>
      <c r="AC400" s="121"/>
      <c r="AD400" s="121"/>
      <c r="AE400" s="121"/>
      <c r="AF400" s="121"/>
      <c r="AG400" s="121"/>
      <c r="AH400" s="120"/>
    </row>
    <row r="401" spans="1:34" ht="13.2" x14ac:dyDescent="0.25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  <c r="AB401" s="121"/>
      <c r="AC401" s="121"/>
      <c r="AD401" s="121"/>
      <c r="AE401" s="121"/>
      <c r="AF401" s="121"/>
      <c r="AG401" s="121"/>
      <c r="AH401" s="120"/>
    </row>
    <row r="402" spans="1:34" ht="13.2" x14ac:dyDescent="0.25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  <c r="AB402" s="121"/>
      <c r="AC402" s="121"/>
      <c r="AD402" s="121"/>
      <c r="AE402" s="121"/>
      <c r="AF402" s="121"/>
      <c r="AG402" s="121"/>
      <c r="AH402" s="120"/>
    </row>
    <row r="403" spans="1:34" ht="13.2" x14ac:dyDescent="0.25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  <c r="AB403" s="121"/>
      <c r="AC403" s="121"/>
      <c r="AD403" s="121"/>
      <c r="AE403" s="121"/>
      <c r="AF403" s="121"/>
      <c r="AG403" s="121"/>
      <c r="AH403" s="120"/>
    </row>
    <row r="404" spans="1:34" ht="13.2" x14ac:dyDescent="0.25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  <c r="AB404" s="121"/>
      <c r="AC404" s="121"/>
      <c r="AD404" s="121"/>
      <c r="AE404" s="121"/>
      <c r="AF404" s="121"/>
      <c r="AG404" s="121"/>
      <c r="AH404" s="120"/>
    </row>
    <row r="405" spans="1:34" ht="13.2" x14ac:dyDescent="0.2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  <c r="AB405" s="121"/>
      <c r="AC405" s="121"/>
      <c r="AD405" s="121"/>
      <c r="AE405" s="121"/>
      <c r="AF405" s="121"/>
      <c r="AG405" s="121"/>
      <c r="AH405" s="120"/>
    </row>
    <row r="406" spans="1:34" ht="13.2" x14ac:dyDescent="0.25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  <c r="AB406" s="121"/>
      <c r="AC406" s="121"/>
      <c r="AD406" s="121"/>
      <c r="AE406" s="121"/>
      <c r="AF406" s="121"/>
      <c r="AG406" s="121"/>
      <c r="AH406" s="120"/>
    </row>
    <row r="407" spans="1:34" ht="13.2" x14ac:dyDescent="0.25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  <c r="AB407" s="121"/>
      <c r="AC407" s="121"/>
      <c r="AD407" s="121"/>
      <c r="AE407" s="121"/>
      <c r="AF407" s="121"/>
      <c r="AG407" s="121"/>
      <c r="AH407" s="120"/>
    </row>
    <row r="408" spans="1:34" ht="13.2" x14ac:dyDescent="0.25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  <c r="AB408" s="121"/>
      <c r="AC408" s="121"/>
      <c r="AD408" s="121"/>
      <c r="AE408" s="121"/>
      <c r="AF408" s="121"/>
      <c r="AG408" s="121"/>
      <c r="AH408" s="120"/>
    </row>
    <row r="409" spans="1:34" ht="13.2" x14ac:dyDescent="0.25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  <c r="AB409" s="121"/>
      <c r="AC409" s="121"/>
      <c r="AD409" s="121"/>
      <c r="AE409" s="121"/>
      <c r="AF409" s="121"/>
      <c r="AG409" s="121"/>
      <c r="AH409" s="120"/>
    </row>
    <row r="410" spans="1:34" ht="13.2" x14ac:dyDescent="0.25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  <c r="AB410" s="121"/>
      <c r="AC410" s="121"/>
      <c r="AD410" s="121"/>
      <c r="AE410" s="121"/>
      <c r="AF410" s="121"/>
      <c r="AG410" s="121"/>
      <c r="AH410" s="120"/>
    </row>
    <row r="411" spans="1:34" ht="13.2" x14ac:dyDescent="0.25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  <c r="AB411" s="121"/>
      <c r="AC411" s="121"/>
      <c r="AD411" s="121"/>
      <c r="AE411" s="121"/>
      <c r="AF411" s="121"/>
      <c r="AG411" s="121"/>
      <c r="AH411" s="120"/>
    </row>
    <row r="412" spans="1:34" ht="13.2" x14ac:dyDescent="0.25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  <c r="AB412" s="121"/>
      <c r="AC412" s="121"/>
      <c r="AD412" s="121"/>
      <c r="AE412" s="121"/>
      <c r="AF412" s="121"/>
      <c r="AG412" s="121"/>
      <c r="AH412" s="120"/>
    </row>
    <row r="413" spans="1:34" ht="13.2" x14ac:dyDescent="0.25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  <c r="AB413" s="121"/>
      <c r="AC413" s="121"/>
      <c r="AD413" s="121"/>
      <c r="AE413" s="121"/>
      <c r="AF413" s="121"/>
      <c r="AG413" s="121"/>
      <c r="AH413" s="120"/>
    </row>
    <row r="414" spans="1:34" ht="13.2" x14ac:dyDescent="0.25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  <c r="AB414" s="121"/>
      <c r="AC414" s="121"/>
      <c r="AD414" s="121"/>
      <c r="AE414" s="121"/>
      <c r="AF414" s="121"/>
      <c r="AG414" s="121"/>
      <c r="AH414" s="120"/>
    </row>
    <row r="415" spans="1:34" ht="13.2" x14ac:dyDescent="0.2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  <c r="AB415" s="121"/>
      <c r="AC415" s="121"/>
      <c r="AD415" s="121"/>
      <c r="AE415" s="121"/>
      <c r="AF415" s="121"/>
      <c r="AG415" s="121"/>
      <c r="AH415" s="120"/>
    </row>
    <row r="416" spans="1:34" ht="13.2" x14ac:dyDescent="0.25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  <c r="AB416" s="121"/>
      <c r="AC416" s="121"/>
      <c r="AD416" s="121"/>
      <c r="AE416" s="121"/>
      <c r="AF416" s="121"/>
      <c r="AG416" s="121"/>
      <c r="AH416" s="120"/>
    </row>
    <row r="417" spans="1:34" ht="13.2" x14ac:dyDescent="0.25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  <c r="AB417" s="121"/>
      <c r="AC417" s="121"/>
      <c r="AD417" s="121"/>
      <c r="AE417" s="121"/>
      <c r="AF417" s="121"/>
      <c r="AG417" s="121"/>
      <c r="AH417" s="120"/>
    </row>
    <row r="418" spans="1:34" ht="13.2" x14ac:dyDescent="0.25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  <c r="AB418" s="121"/>
      <c r="AC418" s="121"/>
      <c r="AD418" s="121"/>
      <c r="AE418" s="121"/>
      <c r="AF418" s="121"/>
      <c r="AG418" s="121"/>
      <c r="AH418" s="120"/>
    </row>
    <row r="419" spans="1:34" ht="13.2" x14ac:dyDescent="0.25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  <c r="AB419" s="121"/>
      <c r="AC419" s="121"/>
      <c r="AD419" s="121"/>
      <c r="AE419" s="121"/>
      <c r="AF419" s="121"/>
      <c r="AG419" s="121"/>
      <c r="AH419" s="120"/>
    </row>
    <row r="420" spans="1:34" ht="13.2" x14ac:dyDescent="0.25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  <c r="AB420" s="121"/>
      <c r="AC420" s="121"/>
      <c r="AD420" s="121"/>
      <c r="AE420" s="121"/>
      <c r="AF420" s="121"/>
      <c r="AG420" s="121"/>
      <c r="AH420" s="120"/>
    </row>
    <row r="421" spans="1:34" ht="13.2" x14ac:dyDescent="0.25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  <c r="AB421" s="121"/>
      <c r="AC421" s="121"/>
      <c r="AD421" s="121"/>
      <c r="AE421" s="121"/>
      <c r="AF421" s="121"/>
      <c r="AG421" s="121"/>
      <c r="AH421" s="120"/>
    </row>
    <row r="422" spans="1:34" ht="13.2" x14ac:dyDescent="0.25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121"/>
      <c r="AC422" s="121"/>
      <c r="AD422" s="121"/>
      <c r="AE422" s="121"/>
      <c r="AF422" s="121"/>
      <c r="AG422" s="121"/>
      <c r="AH422" s="120"/>
    </row>
    <row r="423" spans="1:34" ht="13.2" x14ac:dyDescent="0.25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121"/>
      <c r="AC423" s="121"/>
      <c r="AD423" s="121"/>
      <c r="AE423" s="121"/>
      <c r="AF423" s="121"/>
      <c r="AG423" s="121"/>
      <c r="AH423" s="120"/>
    </row>
    <row r="424" spans="1:34" ht="13.2" x14ac:dyDescent="0.25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121"/>
      <c r="AC424" s="121"/>
      <c r="AD424" s="121"/>
      <c r="AE424" s="121"/>
      <c r="AF424" s="121"/>
      <c r="AG424" s="121"/>
      <c r="AH424" s="120"/>
    </row>
    <row r="425" spans="1:34" ht="13.2" x14ac:dyDescent="0.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121"/>
      <c r="AC425" s="121"/>
      <c r="AD425" s="121"/>
      <c r="AE425" s="121"/>
      <c r="AF425" s="121"/>
      <c r="AG425" s="121"/>
      <c r="AH425" s="120"/>
    </row>
    <row r="426" spans="1:34" ht="13.2" x14ac:dyDescent="0.25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121"/>
      <c r="AC426" s="121"/>
      <c r="AD426" s="121"/>
      <c r="AE426" s="121"/>
      <c r="AF426" s="121"/>
      <c r="AG426" s="121"/>
      <c r="AH426" s="120"/>
    </row>
    <row r="427" spans="1:34" ht="13.2" x14ac:dyDescent="0.25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  <c r="AB427" s="121"/>
      <c r="AC427" s="121"/>
      <c r="AD427" s="121"/>
      <c r="AE427" s="121"/>
      <c r="AF427" s="121"/>
      <c r="AG427" s="121"/>
      <c r="AH427" s="120"/>
    </row>
    <row r="428" spans="1:34" ht="13.2" x14ac:dyDescent="0.25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  <c r="AB428" s="121"/>
      <c r="AC428" s="121"/>
      <c r="AD428" s="121"/>
      <c r="AE428" s="121"/>
      <c r="AF428" s="121"/>
      <c r="AG428" s="121"/>
      <c r="AH428" s="120"/>
    </row>
    <row r="429" spans="1:34" ht="13.2" x14ac:dyDescent="0.25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  <c r="AB429" s="121"/>
      <c r="AC429" s="121"/>
      <c r="AD429" s="121"/>
      <c r="AE429" s="121"/>
      <c r="AF429" s="121"/>
      <c r="AG429" s="121"/>
      <c r="AH429" s="120"/>
    </row>
    <row r="430" spans="1:34" ht="13.2" x14ac:dyDescent="0.25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  <c r="AB430" s="121"/>
      <c r="AC430" s="121"/>
      <c r="AD430" s="121"/>
      <c r="AE430" s="121"/>
      <c r="AF430" s="121"/>
      <c r="AG430" s="121"/>
      <c r="AH430" s="120"/>
    </row>
    <row r="431" spans="1:34" ht="13.2" x14ac:dyDescent="0.25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121"/>
      <c r="AC431" s="121"/>
      <c r="AD431" s="121"/>
      <c r="AE431" s="121"/>
      <c r="AF431" s="121"/>
      <c r="AG431" s="121"/>
      <c r="AH431" s="120"/>
    </row>
    <row r="432" spans="1:34" ht="13.2" x14ac:dyDescent="0.25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121"/>
      <c r="AC432" s="121"/>
      <c r="AD432" s="121"/>
      <c r="AE432" s="121"/>
      <c r="AF432" s="121"/>
      <c r="AG432" s="121"/>
      <c r="AH432" s="120"/>
    </row>
    <row r="433" spans="1:34" ht="13.2" x14ac:dyDescent="0.25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121"/>
      <c r="AC433" s="121"/>
      <c r="AD433" s="121"/>
      <c r="AE433" s="121"/>
      <c r="AF433" s="121"/>
      <c r="AG433" s="121"/>
      <c r="AH433" s="120"/>
    </row>
    <row r="434" spans="1:34" ht="13.2" x14ac:dyDescent="0.25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121"/>
      <c r="AC434" s="121"/>
      <c r="AD434" s="121"/>
      <c r="AE434" s="121"/>
      <c r="AF434" s="121"/>
      <c r="AG434" s="121"/>
      <c r="AH434" s="120"/>
    </row>
    <row r="435" spans="1:34" ht="13.2" x14ac:dyDescent="0.2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121"/>
      <c r="AC435" s="121"/>
      <c r="AD435" s="121"/>
      <c r="AE435" s="121"/>
      <c r="AF435" s="121"/>
      <c r="AG435" s="121"/>
      <c r="AH435" s="120"/>
    </row>
    <row r="436" spans="1:34" ht="13.2" x14ac:dyDescent="0.25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  <c r="AB436" s="121"/>
      <c r="AC436" s="121"/>
      <c r="AD436" s="121"/>
      <c r="AE436" s="121"/>
      <c r="AF436" s="121"/>
      <c r="AG436" s="121"/>
      <c r="AH436" s="120"/>
    </row>
    <row r="437" spans="1:34" ht="13.2" x14ac:dyDescent="0.25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  <c r="AB437" s="121"/>
      <c r="AC437" s="121"/>
      <c r="AD437" s="121"/>
      <c r="AE437" s="121"/>
      <c r="AF437" s="121"/>
      <c r="AG437" s="121"/>
      <c r="AH437" s="120"/>
    </row>
    <row r="438" spans="1:34" ht="13.2" x14ac:dyDescent="0.25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  <c r="AB438" s="121"/>
      <c r="AC438" s="121"/>
      <c r="AD438" s="121"/>
      <c r="AE438" s="121"/>
      <c r="AF438" s="121"/>
      <c r="AG438" s="121"/>
      <c r="AH438" s="120"/>
    </row>
    <row r="439" spans="1:34" ht="13.2" x14ac:dyDescent="0.25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  <c r="AB439" s="121"/>
      <c r="AC439" s="121"/>
      <c r="AD439" s="121"/>
      <c r="AE439" s="121"/>
      <c r="AF439" s="121"/>
      <c r="AG439" s="121"/>
      <c r="AH439" s="120"/>
    </row>
    <row r="440" spans="1:34" ht="13.2" x14ac:dyDescent="0.25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  <c r="AB440" s="121"/>
      <c r="AC440" s="121"/>
      <c r="AD440" s="121"/>
      <c r="AE440" s="121"/>
      <c r="AF440" s="121"/>
      <c r="AG440" s="121"/>
      <c r="AH440" s="120"/>
    </row>
    <row r="441" spans="1:34" ht="13.2" x14ac:dyDescent="0.25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  <c r="AB441" s="121"/>
      <c r="AC441" s="121"/>
      <c r="AD441" s="121"/>
      <c r="AE441" s="121"/>
      <c r="AF441" s="121"/>
      <c r="AG441" s="121"/>
      <c r="AH441" s="120"/>
    </row>
    <row r="442" spans="1:34" ht="13.2" x14ac:dyDescent="0.25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  <c r="AB442" s="121"/>
      <c r="AC442" s="121"/>
      <c r="AD442" s="121"/>
      <c r="AE442" s="121"/>
      <c r="AF442" s="121"/>
      <c r="AG442" s="121"/>
      <c r="AH442" s="120"/>
    </row>
    <row r="443" spans="1:34" ht="13.2" x14ac:dyDescent="0.25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  <c r="AB443" s="121"/>
      <c r="AC443" s="121"/>
      <c r="AD443" s="121"/>
      <c r="AE443" s="121"/>
      <c r="AF443" s="121"/>
      <c r="AG443" s="121"/>
      <c r="AH443" s="120"/>
    </row>
    <row r="444" spans="1:34" ht="13.2" x14ac:dyDescent="0.25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  <c r="AB444" s="121"/>
      <c r="AC444" s="121"/>
      <c r="AD444" s="121"/>
      <c r="AE444" s="121"/>
      <c r="AF444" s="121"/>
      <c r="AG444" s="121"/>
      <c r="AH444" s="120"/>
    </row>
    <row r="445" spans="1:34" ht="13.2" x14ac:dyDescent="0.2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121"/>
      <c r="AC445" s="121"/>
      <c r="AD445" s="121"/>
      <c r="AE445" s="121"/>
      <c r="AF445" s="121"/>
      <c r="AG445" s="121"/>
      <c r="AH445" s="120"/>
    </row>
    <row r="446" spans="1:34" ht="13.2" x14ac:dyDescent="0.25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121"/>
      <c r="AC446" s="121"/>
      <c r="AD446" s="121"/>
      <c r="AE446" s="121"/>
      <c r="AF446" s="121"/>
      <c r="AG446" s="121"/>
      <c r="AH446" s="120"/>
    </row>
    <row r="447" spans="1:34" ht="13.2" x14ac:dyDescent="0.25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121"/>
      <c r="AC447" s="121"/>
      <c r="AD447" s="121"/>
      <c r="AE447" s="121"/>
      <c r="AF447" s="121"/>
      <c r="AG447" s="121"/>
      <c r="AH447" s="120"/>
    </row>
    <row r="448" spans="1:34" ht="13.2" x14ac:dyDescent="0.25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121"/>
      <c r="AC448" s="121"/>
      <c r="AD448" s="121"/>
      <c r="AE448" s="121"/>
      <c r="AF448" s="121"/>
      <c r="AG448" s="121"/>
      <c r="AH448" s="120"/>
    </row>
    <row r="449" spans="1:34" ht="13.2" x14ac:dyDescent="0.25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121"/>
      <c r="AC449" s="121"/>
      <c r="AD449" s="121"/>
      <c r="AE449" s="121"/>
      <c r="AF449" s="121"/>
      <c r="AG449" s="121"/>
      <c r="AH449" s="120"/>
    </row>
    <row r="450" spans="1:34" ht="13.2" x14ac:dyDescent="0.25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121"/>
      <c r="AC450" s="121"/>
      <c r="AD450" s="121"/>
      <c r="AE450" s="121"/>
      <c r="AF450" s="121"/>
      <c r="AG450" s="121"/>
      <c r="AH450" s="120"/>
    </row>
    <row r="451" spans="1:34" ht="13.2" x14ac:dyDescent="0.25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  <c r="AB451" s="121"/>
      <c r="AC451" s="121"/>
      <c r="AD451" s="121"/>
      <c r="AE451" s="121"/>
      <c r="AF451" s="121"/>
      <c r="AG451" s="121"/>
      <c r="AH451" s="120"/>
    </row>
    <row r="452" spans="1:34" ht="13.2" x14ac:dyDescent="0.25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  <c r="AB452" s="121"/>
      <c r="AC452" s="121"/>
      <c r="AD452" s="121"/>
      <c r="AE452" s="121"/>
      <c r="AF452" s="121"/>
      <c r="AG452" s="121"/>
      <c r="AH452" s="120"/>
    </row>
    <row r="453" spans="1:34" ht="13.2" x14ac:dyDescent="0.25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  <c r="AB453" s="121"/>
      <c r="AC453" s="121"/>
      <c r="AD453" s="121"/>
      <c r="AE453" s="121"/>
      <c r="AF453" s="121"/>
      <c r="AG453" s="121"/>
      <c r="AH453" s="120"/>
    </row>
    <row r="454" spans="1:34" ht="13.2" x14ac:dyDescent="0.25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  <c r="AB454" s="121"/>
      <c r="AC454" s="121"/>
      <c r="AD454" s="121"/>
      <c r="AE454" s="121"/>
      <c r="AF454" s="121"/>
      <c r="AG454" s="121"/>
      <c r="AH454" s="120"/>
    </row>
    <row r="455" spans="1:34" ht="13.2" x14ac:dyDescent="0.2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121"/>
      <c r="AC455" s="121"/>
      <c r="AD455" s="121"/>
      <c r="AE455" s="121"/>
      <c r="AF455" s="121"/>
      <c r="AG455" s="121"/>
      <c r="AH455" s="120"/>
    </row>
    <row r="456" spans="1:34" ht="13.2" x14ac:dyDescent="0.25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121"/>
      <c r="AC456" s="121"/>
      <c r="AD456" s="121"/>
      <c r="AE456" s="121"/>
      <c r="AF456" s="121"/>
      <c r="AG456" s="121"/>
      <c r="AH456" s="120"/>
    </row>
    <row r="457" spans="1:34" ht="13.2" x14ac:dyDescent="0.25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121"/>
      <c r="AC457" s="121"/>
      <c r="AD457" s="121"/>
      <c r="AE457" s="121"/>
      <c r="AF457" s="121"/>
      <c r="AG457" s="121"/>
      <c r="AH457" s="120"/>
    </row>
    <row r="458" spans="1:34" ht="13.2" x14ac:dyDescent="0.25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121"/>
      <c r="AC458" s="121"/>
      <c r="AD458" s="121"/>
      <c r="AE458" s="121"/>
      <c r="AF458" s="121"/>
      <c r="AG458" s="121"/>
      <c r="AH458" s="120"/>
    </row>
    <row r="459" spans="1:34" ht="13.2" x14ac:dyDescent="0.25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121"/>
      <c r="AC459" s="121"/>
      <c r="AD459" s="121"/>
      <c r="AE459" s="121"/>
      <c r="AF459" s="121"/>
      <c r="AG459" s="121"/>
      <c r="AH459" s="120"/>
    </row>
    <row r="460" spans="1:34" ht="13.2" x14ac:dyDescent="0.25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121"/>
      <c r="AC460" s="121"/>
      <c r="AD460" s="121"/>
      <c r="AE460" s="121"/>
      <c r="AF460" s="121"/>
      <c r="AG460" s="121"/>
      <c r="AH460" s="120"/>
    </row>
    <row r="461" spans="1:34" ht="13.2" x14ac:dyDescent="0.25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121"/>
      <c r="AC461" s="121"/>
      <c r="AD461" s="121"/>
      <c r="AE461" s="121"/>
      <c r="AF461" s="121"/>
      <c r="AG461" s="121"/>
      <c r="AH461" s="120"/>
    </row>
    <row r="462" spans="1:34" ht="13.2" x14ac:dyDescent="0.25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  <c r="AB462" s="121"/>
      <c r="AC462" s="121"/>
      <c r="AD462" s="121"/>
      <c r="AE462" s="121"/>
      <c r="AF462" s="121"/>
      <c r="AG462" s="121"/>
      <c r="AH462" s="120"/>
    </row>
    <row r="463" spans="1:34" ht="13.2" x14ac:dyDescent="0.25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  <c r="AB463" s="121"/>
      <c r="AC463" s="121"/>
      <c r="AD463" s="121"/>
      <c r="AE463" s="121"/>
      <c r="AF463" s="121"/>
      <c r="AG463" s="121"/>
      <c r="AH463" s="120"/>
    </row>
    <row r="464" spans="1:34" ht="13.2" x14ac:dyDescent="0.25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  <c r="AB464" s="121"/>
      <c r="AC464" s="121"/>
      <c r="AD464" s="121"/>
      <c r="AE464" s="121"/>
      <c r="AF464" s="121"/>
      <c r="AG464" s="121"/>
      <c r="AH464" s="120"/>
    </row>
    <row r="465" spans="1:34" ht="13.2" x14ac:dyDescent="0.2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  <c r="AB465" s="121"/>
      <c r="AC465" s="121"/>
      <c r="AD465" s="121"/>
      <c r="AE465" s="121"/>
      <c r="AF465" s="121"/>
      <c r="AG465" s="121"/>
      <c r="AH465" s="120"/>
    </row>
    <row r="466" spans="1:34" ht="13.2" x14ac:dyDescent="0.25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  <c r="AB466" s="121"/>
      <c r="AC466" s="121"/>
      <c r="AD466" s="121"/>
      <c r="AE466" s="121"/>
      <c r="AF466" s="121"/>
      <c r="AG466" s="121"/>
      <c r="AH466" s="120"/>
    </row>
    <row r="467" spans="1:34" ht="13.2" x14ac:dyDescent="0.25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  <c r="AB467" s="121"/>
      <c r="AC467" s="121"/>
      <c r="AD467" s="121"/>
      <c r="AE467" s="121"/>
      <c r="AF467" s="121"/>
      <c r="AG467" s="121"/>
      <c r="AH467" s="120"/>
    </row>
    <row r="468" spans="1:34" ht="13.2" x14ac:dyDescent="0.25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  <c r="AB468" s="121"/>
      <c r="AC468" s="121"/>
      <c r="AD468" s="121"/>
      <c r="AE468" s="121"/>
      <c r="AF468" s="121"/>
      <c r="AG468" s="121"/>
      <c r="AH468" s="120"/>
    </row>
    <row r="469" spans="1:34" ht="13.2" x14ac:dyDescent="0.25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  <c r="AB469" s="121"/>
      <c r="AC469" s="121"/>
      <c r="AD469" s="121"/>
      <c r="AE469" s="121"/>
      <c r="AF469" s="121"/>
      <c r="AG469" s="121"/>
      <c r="AH469" s="120"/>
    </row>
    <row r="470" spans="1:34" ht="13.2" x14ac:dyDescent="0.25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  <c r="AB470" s="121"/>
      <c r="AC470" s="121"/>
      <c r="AD470" s="121"/>
      <c r="AE470" s="121"/>
      <c r="AF470" s="121"/>
      <c r="AG470" s="121"/>
      <c r="AH470" s="120"/>
    </row>
    <row r="471" spans="1:34" ht="13.2" x14ac:dyDescent="0.25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121"/>
      <c r="AC471" s="121"/>
      <c r="AD471" s="121"/>
      <c r="AE471" s="121"/>
      <c r="AF471" s="121"/>
      <c r="AG471" s="121"/>
      <c r="AH471" s="120"/>
    </row>
    <row r="472" spans="1:34" ht="13.2" x14ac:dyDescent="0.25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121"/>
      <c r="AC472" s="121"/>
      <c r="AD472" s="121"/>
      <c r="AE472" s="121"/>
      <c r="AF472" s="121"/>
      <c r="AG472" s="121"/>
      <c r="AH472" s="120"/>
    </row>
    <row r="473" spans="1:34" ht="13.2" x14ac:dyDescent="0.25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121"/>
      <c r="AC473" s="121"/>
      <c r="AD473" s="121"/>
      <c r="AE473" s="121"/>
      <c r="AF473" s="121"/>
      <c r="AG473" s="121"/>
      <c r="AH473" s="120"/>
    </row>
    <row r="474" spans="1:34" ht="13.2" x14ac:dyDescent="0.25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121"/>
      <c r="AC474" s="121"/>
      <c r="AD474" s="121"/>
      <c r="AE474" s="121"/>
      <c r="AF474" s="121"/>
      <c r="AG474" s="121"/>
      <c r="AH474" s="120"/>
    </row>
    <row r="475" spans="1:34" ht="13.2" x14ac:dyDescent="0.2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121"/>
      <c r="AC475" s="121"/>
      <c r="AD475" s="121"/>
      <c r="AE475" s="121"/>
      <c r="AF475" s="121"/>
      <c r="AG475" s="121"/>
      <c r="AH475" s="120"/>
    </row>
    <row r="476" spans="1:34" ht="13.2" x14ac:dyDescent="0.25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121"/>
      <c r="AC476" s="121"/>
      <c r="AD476" s="121"/>
      <c r="AE476" s="121"/>
      <c r="AF476" s="121"/>
      <c r="AG476" s="121"/>
      <c r="AH476" s="120"/>
    </row>
    <row r="477" spans="1:34" ht="13.2" x14ac:dyDescent="0.25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  <c r="AB477" s="121"/>
      <c r="AC477" s="121"/>
      <c r="AD477" s="121"/>
      <c r="AE477" s="121"/>
      <c r="AF477" s="121"/>
      <c r="AG477" s="121"/>
      <c r="AH477" s="120"/>
    </row>
    <row r="478" spans="1:34" ht="13.2" x14ac:dyDescent="0.25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  <c r="AB478" s="121"/>
      <c r="AC478" s="121"/>
      <c r="AD478" s="121"/>
      <c r="AE478" s="121"/>
      <c r="AF478" s="121"/>
      <c r="AG478" s="121"/>
      <c r="AH478" s="120"/>
    </row>
    <row r="479" spans="1:34" ht="13.2" x14ac:dyDescent="0.25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  <c r="AB479" s="121"/>
      <c r="AC479" s="121"/>
      <c r="AD479" s="121"/>
      <c r="AE479" s="121"/>
      <c r="AF479" s="121"/>
      <c r="AG479" s="121"/>
      <c r="AH479" s="120"/>
    </row>
    <row r="480" spans="1:34" ht="13.2" x14ac:dyDescent="0.25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121"/>
      <c r="AC480" s="121"/>
      <c r="AD480" s="121"/>
      <c r="AE480" s="121"/>
      <c r="AF480" s="121"/>
      <c r="AG480" s="121"/>
      <c r="AH480" s="120"/>
    </row>
    <row r="481" spans="1:34" ht="13.2" x14ac:dyDescent="0.25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121"/>
      <c r="AC481" s="121"/>
      <c r="AD481" s="121"/>
      <c r="AE481" s="121"/>
      <c r="AF481" s="121"/>
      <c r="AG481" s="121"/>
      <c r="AH481" s="120"/>
    </row>
    <row r="482" spans="1:34" ht="13.2" x14ac:dyDescent="0.25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121"/>
      <c r="AC482" s="121"/>
      <c r="AD482" s="121"/>
      <c r="AE482" s="121"/>
      <c r="AF482" s="121"/>
      <c r="AG482" s="121"/>
      <c r="AH482" s="120"/>
    </row>
    <row r="483" spans="1:34" ht="13.2" x14ac:dyDescent="0.25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121"/>
      <c r="AC483" s="121"/>
      <c r="AD483" s="121"/>
      <c r="AE483" s="121"/>
      <c r="AF483" s="121"/>
      <c r="AG483" s="121"/>
      <c r="AH483" s="120"/>
    </row>
    <row r="484" spans="1:34" ht="13.2" x14ac:dyDescent="0.25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121"/>
      <c r="AC484" s="121"/>
      <c r="AD484" s="121"/>
      <c r="AE484" s="121"/>
      <c r="AF484" s="121"/>
      <c r="AG484" s="121"/>
      <c r="AH484" s="120"/>
    </row>
    <row r="485" spans="1:34" ht="13.2" x14ac:dyDescent="0.2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  <c r="AB485" s="121"/>
      <c r="AC485" s="121"/>
      <c r="AD485" s="121"/>
      <c r="AE485" s="121"/>
      <c r="AF485" s="121"/>
      <c r="AG485" s="121"/>
      <c r="AH485" s="120"/>
    </row>
    <row r="486" spans="1:34" ht="13.2" x14ac:dyDescent="0.25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  <c r="AB486" s="121"/>
      <c r="AC486" s="121"/>
      <c r="AD486" s="121"/>
      <c r="AE486" s="121"/>
      <c r="AF486" s="121"/>
      <c r="AG486" s="121"/>
      <c r="AH486" s="120"/>
    </row>
    <row r="487" spans="1:34" ht="13.2" x14ac:dyDescent="0.25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  <c r="AB487" s="121"/>
      <c r="AC487" s="121"/>
      <c r="AD487" s="121"/>
      <c r="AE487" s="121"/>
      <c r="AF487" s="121"/>
      <c r="AG487" s="121"/>
      <c r="AH487" s="120"/>
    </row>
    <row r="488" spans="1:34" ht="13.2" x14ac:dyDescent="0.25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  <c r="AB488" s="121"/>
      <c r="AC488" s="121"/>
      <c r="AD488" s="121"/>
      <c r="AE488" s="121"/>
      <c r="AF488" s="121"/>
      <c r="AG488" s="121"/>
      <c r="AH488" s="120"/>
    </row>
    <row r="489" spans="1:34" ht="13.2" x14ac:dyDescent="0.25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  <c r="AB489" s="121"/>
      <c r="AC489" s="121"/>
      <c r="AD489" s="121"/>
      <c r="AE489" s="121"/>
      <c r="AF489" s="121"/>
      <c r="AG489" s="121"/>
      <c r="AH489" s="120"/>
    </row>
    <row r="490" spans="1:34" ht="13.2" x14ac:dyDescent="0.25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  <c r="AB490" s="121"/>
      <c r="AC490" s="121"/>
      <c r="AD490" s="121"/>
      <c r="AE490" s="121"/>
      <c r="AF490" s="121"/>
      <c r="AG490" s="121"/>
      <c r="AH490" s="120"/>
    </row>
    <row r="491" spans="1:34" ht="13.2" x14ac:dyDescent="0.25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  <c r="AB491" s="121"/>
      <c r="AC491" s="121"/>
      <c r="AD491" s="121"/>
      <c r="AE491" s="121"/>
      <c r="AF491" s="121"/>
      <c r="AG491" s="121"/>
      <c r="AH491" s="120"/>
    </row>
    <row r="492" spans="1:34" ht="13.2" x14ac:dyDescent="0.25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  <c r="AB492" s="121"/>
      <c r="AC492" s="121"/>
      <c r="AD492" s="121"/>
      <c r="AE492" s="121"/>
      <c r="AF492" s="121"/>
      <c r="AG492" s="121"/>
      <c r="AH492" s="120"/>
    </row>
    <row r="493" spans="1:34" ht="13.2" x14ac:dyDescent="0.25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121"/>
      <c r="AC493" s="121"/>
      <c r="AD493" s="121"/>
      <c r="AE493" s="121"/>
      <c r="AF493" s="121"/>
      <c r="AG493" s="121"/>
      <c r="AH493" s="120"/>
    </row>
    <row r="494" spans="1:34" ht="13.2" x14ac:dyDescent="0.25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121"/>
      <c r="AC494" s="121"/>
      <c r="AD494" s="121"/>
      <c r="AE494" s="121"/>
      <c r="AF494" s="121"/>
      <c r="AG494" s="121"/>
      <c r="AH494" s="120"/>
    </row>
    <row r="495" spans="1:34" ht="13.2" x14ac:dyDescent="0.2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121"/>
      <c r="AC495" s="121"/>
      <c r="AD495" s="121"/>
      <c r="AE495" s="121"/>
      <c r="AF495" s="121"/>
      <c r="AG495" s="121"/>
      <c r="AH495" s="120"/>
    </row>
    <row r="496" spans="1:34" ht="13.2" x14ac:dyDescent="0.25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121"/>
      <c r="AC496" s="121"/>
      <c r="AD496" s="121"/>
      <c r="AE496" s="121"/>
      <c r="AF496" s="121"/>
      <c r="AG496" s="121"/>
      <c r="AH496" s="120"/>
    </row>
    <row r="497" spans="1:34" ht="13.2" x14ac:dyDescent="0.25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  <c r="AB497" s="121"/>
      <c r="AC497" s="121"/>
      <c r="AD497" s="121"/>
      <c r="AE497" s="121"/>
      <c r="AF497" s="121"/>
      <c r="AG497" s="121"/>
      <c r="AH497" s="120"/>
    </row>
    <row r="498" spans="1:34" ht="13.2" x14ac:dyDescent="0.25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  <c r="AB498" s="121"/>
      <c r="AC498" s="121"/>
      <c r="AD498" s="121"/>
      <c r="AE498" s="121"/>
      <c r="AF498" s="121"/>
      <c r="AG498" s="121"/>
      <c r="AH498" s="120"/>
    </row>
    <row r="499" spans="1:34" ht="13.2" x14ac:dyDescent="0.25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  <c r="AB499" s="121"/>
      <c r="AC499" s="121"/>
      <c r="AD499" s="121"/>
      <c r="AE499" s="121"/>
      <c r="AF499" s="121"/>
      <c r="AG499" s="121"/>
      <c r="AH499" s="120"/>
    </row>
    <row r="500" spans="1:34" ht="13.2" x14ac:dyDescent="0.25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  <c r="AB500" s="121"/>
      <c r="AC500" s="121"/>
      <c r="AD500" s="121"/>
      <c r="AE500" s="121"/>
      <c r="AF500" s="121"/>
      <c r="AG500" s="121"/>
      <c r="AH500" s="120"/>
    </row>
    <row r="501" spans="1:34" ht="13.2" x14ac:dyDescent="0.25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121"/>
      <c r="AC501" s="121"/>
      <c r="AD501" s="121"/>
      <c r="AE501" s="121"/>
      <c r="AF501" s="121"/>
      <c r="AG501" s="121"/>
      <c r="AH501" s="120"/>
    </row>
    <row r="502" spans="1:34" ht="13.2" x14ac:dyDescent="0.25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  <c r="AB502" s="121"/>
      <c r="AC502" s="121"/>
      <c r="AD502" s="121"/>
      <c r="AE502" s="121"/>
      <c r="AF502" s="121"/>
      <c r="AG502" s="121"/>
      <c r="AH502" s="120"/>
    </row>
    <row r="503" spans="1:34" ht="13.2" x14ac:dyDescent="0.25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  <c r="AB503" s="121"/>
      <c r="AC503" s="121"/>
      <c r="AD503" s="121"/>
      <c r="AE503" s="121"/>
      <c r="AF503" s="121"/>
      <c r="AG503" s="121"/>
      <c r="AH503" s="120"/>
    </row>
    <row r="504" spans="1:34" ht="13.2" x14ac:dyDescent="0.25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  <c r="AB504" s="121"/>
      <c r="AC504" s="121"/>
      <c r="AD504" s="121"/>
      <c r="AE504" s="121"/>
      <c r="AF504" s="121"/>
      <c r="AG504" s="121"/>
      <c r="AH504" s="120"/>
    </row>
    <row r="505" spans="1:34" ht="13.2" x14ac:dyDescent="0.2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  <c r="AB505" s="121"/>
      <c r="AC505" s="121"/>
      <c r="AD505" s="121"/>
      <c r="AE505" s="121"/>
      <c r="AF505" s="121"/>
      <c r="AG505" s="121"/>
      <c r="AH505" s="120"/>
    </row>
    <row r="506" spans="1:34" ht="13.2" x14ac:dyDescent="0.25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  <c r="AB506" s="121"/>
      <c r="AC506" s="121"/>
      <c r="AD506" s="121"/>
      <c r="AE506" s="121"/>
      <c r="AF506" s="121"/>
      <c r="AG506" s="121"/>
      <c r="AH506" s="120"/>
    </row>
    <row r="507" spans="1:34" ht="13.2" x14ac:dyDescent="0.25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121"/>
      <c r="AC507" s="121"/>
      <c r="AD507" s="121"/>
      <c r="AE507" s="121"/>
      <c r="AF507" s="121"/>
      <c r="AG507" s="121"/>
      <c r="AH507" s="120"/>
    </row>
    <row r="508" spans="1:34" ht="13.2" x14ac:dyDescent="0.25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  <c r="AB508" s="121"/>
      <c r="AC508" s="121"/>
      <c r="AD508" s="121"/>
      <c r="AE508" s="121"/>
      <c r="AF508" s="121"/>
      <c r="AG508" s="121"/>
      <c r="AH508" s="120"/>
    </row>
    <row r="509" spans="1:34" ht="13.2" x14ac:dyDescent="0.25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  <c r="AB509" s="121"/>
      <c r="AC509" s="121"/>
      <c r="AD509" s="121"/>
      <c r="AE509" s="121"/>
      <c r="AF509" s="121"/>
      <c r="AG509" s="121"/>
      <c r="AH509" s="120"/>
    </row>
    <row r="510" spans="1:34" ht="13.2" x14ac:dyDescent="0.25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  <c r="AB510" s="121"/>
      <c r="AC510" s="121"/>
      <c r="AD510" s="121"/>
      <c r="AE510" s="121"/>
      <c r="AF510" s="121"/>
      <c r="AG510" s="121"/>
      <c r="AH510" s="120"/>
    </row>
    <row r="511" spans="1:34" ht="13.2" x14ac:dyDescent="0.25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  <c r="AB511" s="121"/>
      <c r="AC511" s="121"/>
      <c r="AD511" s="121"/>
      <c r="AE511" s="121"/>
      <c r="AF511" s="121"/>
      <c r="AG511" s="121"/>
      <c r="AH511" s="120"/>
    </row>
    <row r="512" spans="1:34" ht="13.2" x14ac:dyDescent="0.25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  <c r="AB512" s="121"/>
      <c r="AC512" s="121"/>
      <c r="AD512" s="121"/>
      <c r="AE512" s="121"/>
      <c r="AF512" s="121"/>
      <c r="AG512" s="121"/>
      <c r="AH512" s="120"/>
    </row>
    <row r="513" spans="1:34" ht="13.2" x14ac:dyDescent="0.25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  <c r="AB513" s="121"/>
      <c r="AC513" s="121"/>
      <c r="AD513" s="121"/>
      <c r="AE513" s="121"/>
      <c r="AF513" s="121"/>
      <c r="AG513" s="121"/>
      <c r="AH513" s="120"/>
    </row>
    <row r="514" spans="1:34" ht="13.2" x14ac:dyDescent="0.25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  <c r="AB514" s="121"/>
      <c r="AC514" s="121"/>
      <c r="AD514" s="121"/>
      <c r="AE514" s="121"/>
      <c r="AF514" s="121"/>
      <c r="AG514" s="121"/>
      <c r="AH514" s="120"/>
    </row>
    <row r="515" spans="1:34" ht="13.2" x14ac:dyDescent="0.2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  <c r="AB515" s="121"/>
      <c r="AC515" s="121"/>
      <c r="AD515" s="121"/>
      <c r="AE515" s="121"/>
      <c r="AF515" s="121"/>
      <c r="AG515" s="121"/>
      <c r="AH515" s="120"/>
    </row>
    <row r="516" spans="1:34" ht="13.2" x14ac:dyDescent="0.25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  <c r="AB516" s="121"/>
      <c r="AC516" s="121"/>
      <c r="AD516" s="121"/>
      <c r="AE516" s="121"/>
      <c r="AF516" s="121"/>
      <c r="AG516" s="121"/>
      <c r="AH516" s="120"/>
    </row>
    <row r="517" spans="1:34" ht="13.2" x14ac:dyDescent="0.25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  <c r="AB517" s="121"/>
      <c r="AC517" s="121"/>
      <c r="AD517" s="121"/>
      <c r="AE517" s="121"/>
      <c r="AF517" s="121"/>
      <c r="AG517" s="121"/>
      <c r="AH517" s="120"/>
    </row>
    <row r="518" spans="1:34" ht="13.2" x14ac:dyDescent="0.25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  <c r="AB518" s="121"/>
      <c r="AC518" s="121"/>
      <c r="AD518" s="121"/>
      <c r="AE518" s="121"/>
      <c r="AF518" s="121"/>
      <c r="AG518" s="121"/>
      <c r="AH518" s="120"/>
    </row>
    <row r="519" spans="1:34" ht="13.2" x14ac:dyDescent="0.25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  <c r="AB519" s="121"/>
      <c r="AC519" s="121"/>
      <c r="AD519" s="121"/>
      <c r="AE519" s="121"/>
      <c r="AF519" s="121"/>
      <c r="AG519" s="121"/>
      <c r="AH519" s="120"/>
    </row>
    <row r="520" spans="1:34" ht="13.2" x14ac:dyDescent="0.25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  <c r="AB520" s="121"/>
      <c r="AC520" s="121"/>
      <c r="AD520" s="121"/>
      <c r="AE520" s="121"/>
      <c r="AF520" s="121"/>
      <c r="AG520" s="121"/>
      <c r="AH520" s="120"/>
    </row>
    <row r="521" spans="1:34" ht="13.2" x14ac:dyDescent="0.25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  <c r="AB521" s="121"/>
      <c r="AC521" s="121"/>
      <c r="AD521" s="121"/>
      <c r="AE521" s="121"/>
      <c r="AF521" s="121"/>
      <c r="AG521" s="121"/>
      <c r="AH521" s="120"/>
    </row>
    <row r="522" spans="1:34" ht="13.2" x14ac:dyDescent="0.25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  <c r="AB522" s="121"/>
      <c r="AC522" s="121"/>
      <c r="AD522" s="121"/>
      <c r="AE522" s="121"/>
      <c r="AF522" s="121"/>
      <c r="AG522" s="121"/>
      <c r="AH522" s="120"/>
    </row>
    <row r="523" spans="1:34" ht="13.2" x14ac:dyDescent="0.25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  <c r="AB523" s="121"/>
      <c r="AC523" s="121"/>
      <c r="AD523" s="121"/>
      <c r="AE523" s="121"/>
      <c r="AF523" s="121"/>
      <c r="AG523" s="121"/>
      <c r="AH523" s="120"/>
    </row>
    <row r="524" spans="1:34" ht="13.2" x14ac:dyDescent="0.25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  <c r="AB524" s="121"/>
      <c r="AC524" s="121"/>
      <c r="AD524" s="121"/>
      <c r="AE524" s="121"/>
      <c r="AF524" s="121"/>
      <c r="AG524" s="121"/>
      <c r="AH524" s="120"/>
    </row>
    <row r="525" spans="1:34" ht="13.2" x14ac:dyDescent="0.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  <c r="AB525" s="121"/>
      <c r="AC525" s="121"/>
      <c r="AD525" s="121"/>
      <c r="AE525" s="121"/>
      <c r="AF525" s="121"/>
      <c r="AG525" s="121"/>
      <c r="AH525" s="120"/>
    </row>
    <row r="526" spans="1:34" ht="13.2" x14ac:dyDescent="0.25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  <c r="AB526" s="121"/>
      <c r="AC526" s="121"/>
      <c r="AD526" s="121"/>
      <c r="AE526" s="121"/>
      <c r="AF526" s="121"/>
      <c r="AG526" s="121"/>
      <c r="AH526" s="120"/>
    </row>
    <row r="527" spans="1:34" ht="13.2" x14ac:dyDescent="0.25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  <c r="AB527" s="121"/>
      <c r="AC527" s="121"/>
      <c r="AD527" s="121"/>
      <c r="AE527" s="121"/>
      <c r="AF527" s="121"/>
      <c r="AG527" s="121"/>
      <c r="AH527" s="120"/>
    </row>
    <row r="528" spans="1:34" ht="13.2" x14ac:dyDescent="0.25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  <c r="AB528" s="121"/>
      <c r="AC528" s="121"/>
      <c r="AD528" s="121"/>
      <c r="AE528" s="121"/>
      <c r="AF528" s="121"/>
      <c r="AG528" s="121"/>
      <c r="AH528" s="120"/>
    </row>
    <row r="529" spans="1:34" ht="13.2" x14ac:dyDescent="0.25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121"/>
      <c r="AC529" s="121"/>
      <c r="AD529" s="121"/>
      <c r="AE529" s="121"/>
      <c r="AF529" s="121"/>
      <c r="AG529" s="121"/>
      <c r="AH529" s="120"/>
    </row>
    <row r="530" spans="1:34" ht="13.2" x14ac:dyDescent="0.25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121"/>
      <c r="AC530" s="121"/>
      <c r="AD530" s="121"/>
      <c r="AE530" s="121"/>
      <c r="AF530" s="121"/>
      <c r="AG530" s="121"/>
      <c r="AH530" s="120"/>
    </row>
    <row r="531" spans="1:34" ht="13.2" x14ac:dyDescent="0.25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121"/>
      <c r="AC531" s="121"/>
      <c r="AD531" s="121"/>
      <c r="AE531" s="121"/>
      <c r="AF531" s="121"/>
      <c r="AG531" s="121"/>
      <c r="AH531" s="120"/>
    </row>
    <row r="532" spans="1:34" ht="13.2" x14ac:dyDescent="0.25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121"/>
      <c r="AC532" s="121"/>
      <c r="AD532" s="121"/>
      <c r="AE532" s="121"/>
      <c r="AF532" s="121"/>
      <c r="AG532" s="121"/>
      <c r="AH532" s="120"/>
    </row>
    <row r="533" spans="1:34" ht="13.2" x14ac:dyDescent="0.25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121"/>
      <c r="AC533" s="121"/>
      <c r="AD533" s="121"/>
      <c r="AE533" s="121"/>
      <c r="AF533" s="121"/>
      <c r="AG533" s="121"/>
      <c r="AH533" s="120"/>
    </row>
    <row r="534" spans="1:34" ht="13.2" x14ac:dyDescent="0.25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121"/>
      <c r="AC534" s="121"/>
      <c r="AD534" s="121"/>
      <c r="AE534" s="121"/>
      <c r="AF534" s="121"/>
      <c r="AG534" s="121"/>
      <c r="AH534" s="120"/>
    </row>
    <row r="535" spans="1:34" ht="13.2" x14ac:dyDescent="0.2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121"/>
      <c r="AC535" s="121"/>
      <c r="AD535" s="121"/>
      <c r="AE535" s="121"/>
      <c r="AF535" s="121"/>
      <c r="AG535" s="121"/>
      <c r="AH535" s="120"/>
    </row>
    <row r="536" spans="1:34" ht="13.2" x14ac:dyDescent="0.25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121"/>
      <c r="AC536" s="121"/>
      <c r="AD536" s="121"/>
      <c r="AE536" s="121"/>
      <c r="AF536" s="121"/>
      <c r="AG536" s="121"/>
      <c r="AH536" s="120"/>
    </row>
    <row r="537" spans="1:34" ht="13.2" x14ac:dyDescent="0.25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121"/>
      <c r="AC537" s="121"/>
      <c r="AD537" s="121"/>
      <c r="AE537" s="121"/>
      <c r="AF537" s="121"/>
      <c r="AG537" s="121"/>
      <c r="AH537" s="120"/>
    </row>
    <row r="538" spans="1:34" ht="13.2" x14ac:dyDescent="0.25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121"/>
      <c r="AC538" s="121"/>
      <c r="AD538" s="121"/>
      <c r="AE538" s="121"/>
      <c r="AF538" s="121"/>
      <c r="AG538" s="121"/>
      <c r="AH538" s="120"/>
    </row>
    <row r="539" spans="1:34" ht="13.2" x14ac:dyDescent="0.25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121"/>
      <c r="AC539" s="121"/>
      <c r="AD539" s="121"/>
      <c r="AE539" s="121"/>
      <c r="AF539" s="121"/>
      <c r="AG539" s="121"/>
      <c r="AH539" s="120"/>
    </row>
    <row r="540" spans="1:34" ht="13.2" x14ac:dyDescent="0.25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  <c r="AB540" s="121"/>
      <c r="AC540" s="121"/>
      <c r="AD540" s="121"/>
      <c r="AE540" s="121"/>
      <c r="AF540" s="121"/>
      <c r="AG540" s="121"/>
      <c r="AH540" s="120"/>
    </row>
    <row r="541" spans="1:34" ht="13.2" x14ac:dyDescent="0.25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  <c r="AB541" s="121"/>
      <c r="AC541" s="121"/>
      <c r="AD541" s="121"/>
      <c r="AE541" s="121"/>
      <c r="AF541" s="121"/>
      <c r="AG541" s="121"/>
      <c r="AH541" s="120"/>
    </row>
    <row r="542" spans="1:34" ht="13.2" x14ac:dyDescent="0.25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  <c r="AB542" s="121"/>
      <c r="AC542" s="121"/>
      <c r="AD542" s="121"/>
      <c r="AE542" s="121"/>
      <c r="AF542" s="121"/>
      <c r="AG542" s="121"/>
      <c r="AH542" s="120"/>
    </row>
    <row r="543" spans="1:34" ht="13.2" x14ac:dyDescent="0.25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  <c r="AB543" s="121"/>
      <c r="AC543" s="121"/>
      <c r="AD543" s="121"/>
      <c r="AE543" s="121"/>
      <c r="AF543" s="121"/>
      <c r="AG543" s="121"/>
      <c r="AH543" s="120"/>
    </row>
    <row r="544" spans="1:34" ht="13.2" x14ac:dyDescent="0.25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  <c r="AB544" s="121"/>
      <c r="AC544" s="121"/>
      <c r="AD544" s="121"/>
      <c r="AE544" s="121"/>
      <c r="AF544" s="121"/>
      <c r="AG544" s="121"/>
      <c r="AH544" s="120"/>
    </row>
    <row r="545" spans="1:34" ht="13.2" x14ac:dyDescent="0.2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  <c r="AB545" s="121"/>
      <c r="AC545" s="121"/>
      <c r="AD545" s="121"/>
      <c r="AE545" s="121"/>
      <c r="AF545" s="121"/>
      <c r="AG545" s="121"/>
      <c r="AH545" s="120"/>
    </row>
    <row r="546" spans="1:34" ht="13.2" x14ac:dyDescent="0.25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  <c r="AB546" s="121"/>
      <c r="AC546" s="121"/>
      <c r="AD546" s="121"/>
      <c r="AE546" s="121"/>
      <c r="AF546" s="121"/>
      <c r="AG546" s="121"/>
      <c r="AH546" s="120"/>
    </row>
    <row r="547" spans="1:34" ht="13.2" x14ac:dyDescent="0.25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  <c r="AB547" s="121"/>
      <c r="AC547" s="121"/>
      <c r="AD547" s="121"/>
      <c r="AE547" s="121"/>
      <c r="AF547" s="121"/>
      <c r="AG547" s="121"/>
      <c r="AH547" s="120"/>
    </row>
    <row r="548" spans="1:34" ht="13.2" x14ac:dyDescent="0.25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  <c r="AB548" s="121"/>
      <c r="AC548" s="121"/>
      <c r="AD548" s="121"/>
      <c r="AE548" s="121"/>
      <c r="AF548" s="121"/>
      <c r="AG548" s="121"/>
      <c r="AH548" s="120"/>
    </row>
    <row r="549" spans="1:34" ht="13.2" x14ac:dyDescent="0.25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121"/>
      <c r="AC549" s="121"/>
      <c r="AD549" s="121"/>
      <c r="AE549" s="121"/>
      <c r="AF549" s="121"/>
      <c r="AG549" s="121"/>
      <c r="AH549" s="120"/>
    </row>
    <row r="550" spans="1:34" ht="13.2" x14ac:dyDescent="0.25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121"/>
      <c r="AC550" s="121"/>
      <c r="AD550" s="121"/>
      <c r="AE550" s="121"/>
      <c r="AF550" s="121"/>
      <c r="AG550" s="121"/>
      <c r="AH550" s="120"/>
    </row>
    <row r="551" spans="1:34" ht="13.2" x14ac:dyDescent="0.25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121"/>
      <c r="AC551" s="121"/>
      <c r="AD551" s="121"/>
      <c r="AE551" s="121"/>
      <c r="AF551" s="121"/>
      <c r="AG551" s="121"/>
      <c r="AH551" s="120"/>
    </row>
    <row r="552" spans="1:34" ht="13.2" x14ac:dyDescent="0.25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121"/>
      <c r="AC552" s="121"/>
      <c r="AD552" s="121"/>
      <c r="AE552" s="121"/>
      <c r="AF552" s="121"/>
      <c r="AG552" s="121"/>
      <c r="AH552" s="120"/>
    </row>
    <row r="553" spans="1:34" ht="13.2" x14ac:dyDescent="0.25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121"/>
      <c r="AC553" s="121"/>
      <c r="AD553" s="121"/>
      <c r="AE553" s="121"/>
      <c r="AF553" s="121"/>
      <c r="AG553" s="121"/>
      <c r="AH553" s="120"/>
    </row>
    <row r="554" spans="1:34" ht="13.2" x14ac:dyDescent="0.25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121"/>
      <c r="AC554" s="121"/>
      <c r="AD554" s="121"/>
      <c r="AE554" s="121"/>
      <c r="AF554" s="121"/>
      <c r="AG554" s="121"/>
      <c r="AH554" s="120"/>
    </row>
    <row r="555" spans="1:34" ht="13.2" x14ac:dyDescent="0.2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121"/>
      <c r="AC555" s="121"/>
      <c r="AD555" s="121"/>
      <c r="AE555" s="121"/>
      <c r="AF555" s="121"/>
      <c r="AG555" s="121"/>
      <c r="AH555" s="120"/>
    </row>
    <row r="556" spans="1:34" ht="13.2" x14ac:dyDescent="0.25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121"/>
      <c r="AC556" s="121"/>
      <c r="AD556" s="121"/>
      <c r="AE556" s="121"/>
      <c r="AF556" s="121"/>
      <c r="AG556" s="121"/>
      <c r="AH556" s="120"/>
    </row>
    <row r="557" spans="1:34" ht="13.2" x14ac:dyDescent="0.25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121"/>
      <c r="AC557" s="121"/>
      <c r="AD557" s="121"/>
      <c r="AE557" s="121"/>
      <c r="AF557" s="121"/>
      <c r="AG557" s="121"/>
      <c r="AH557" s="120"/>
    </row>
    <row r="558" spans="1:34" ht="13.2" x14ac:dyDescent="0.25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121"/>
      <c r="AC558" s="121"/>
      <c r="AD558" s="121"/>
      <c r="AE558" s="121"/>
      <c r="AF558" s="121"/>
      <c r="AG558" s="121"/>
      <c r="AH558" s="120"/>
    </row>
    <row r="559" spans="1:34" ht="13.2" x14ac:dyDescent="0.25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121"/>
      <c r="AC559" s="121"/>
      <c r="AD559" s="121"/>
      <c r="AE559" s="121"/>
      <c r="AF559" s="121"/>
      <c r="AG559" s="121"/>
      <c r="AH559" s="120"/>
    </row>
    <row r="560" spans="1:34" ht="13.2" x14ac:dyDescent="0.25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  <c r="AB560" s="121"/>
      <c r="AC560" s="121"/>
      <c r="AD560" s="121"/>
      <c r="AE560" s="121"/>
      <c r="AF560" s="121"/>
      <c r="AG560" s="121"/>
      <c r="AH560" s="120"/>
    </row>
    <row r="561" spans="1:34" ht="13.2" x14ac:dyDescent="0.25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  <c r="AB561" s="121"/>
      <c r="AC561" s="121"/>
      <c r="AD561" s="121"/>
      <c r="AE561" s="121"/>
      <c r="AF561" s="121"/>
      <c r="AG561" s="121"/>
      <c r="AH561" s="120"/>
    </row>
    <row r="562" spans="1:34" ht="13.2" x14ac:dyDescent="0.25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  <c r="AB562" s="121"/>
      <c r="AC562" s="121"/>
      <c r="AD562" s="121"/>
      <c r="AE562" s="121"/>
      <c r="AF562" s="121"/>
      <c r="AG562" s="121"/>
      <c r="AH562" s="120"/>
    </row>
    <row r="563" spans="1:34" ht="13.2" x14ac:dyDescent="0.25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  <c r="AB563" s="121"/>
      <c r="AC563" s="121"/>
      <c r="AD563" s="121"/>
      <c r="AE563" s="121"/>
      <c r="AF563" s="121"/>
      <c r="AG563" s="121"/>
      <c r="AH563" s="120"/>
    </row>
    <row r="564" spans="1:34" ht="13.2" x14ac:dyDescent="0.25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  <c r="AB564" s="121"/>
      <c r="AC564" s="121"/>
      <c r="AD564" s="121"/>
      <c r="AE564" s="121"/>
      <c r="AF564" s="121"/>
      <c r="AG564" s="121"/>
      <c r="AH564" s="120"/>
    </row>
    <row r="565" spans="1:34" ht="13.2" x14ac:dyDescent="0.2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  <c r="AB565" s="121"/>
      <c r="AC565" s="121"/>
      <c r="AD565" s="121"/>
      <c r="AE565" s="121"/>
      <c r="AF565" s="121"/>
      <c r="AG565" s="121"/>
      <c r="AH565" s="120"/>
    </row>
    <row r="566" spans="1:34" ht="13.2" x14ac:dyDescent="0.25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  <c r="AB566" s="121"/>
      <c r="AC566" s="121"/>
      <c r="AD566" s="121"/>
      <c r="AE566" s="121"/>
      <c r="AF566" s="121"/>
      <c r="AG566" s="121"/>
      <c r="AH566" s="120"/>
    </row>
    <row r="567" spans="1:34" ht="13.2" x14ac:dyDescent="0.25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  <c r="AB567" s="121"/>
      <c r="AC567" s="121"/>
      <c r="AD567" s="121"/>
      <c r="AE567" s="121"/>
      <c r="AF567" s="121"/>
      <c r="AG567" s="121"/>
      <c r="AH567" s="120"/>
    </row>
    <row r="568" spans="1:34" ht="13.2" x14ac:dyDescent="0.25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  <c r="AB568" s="121"/>
      <c r="AC568" s="121"/>
      <c r="AD568" s="121"/>
      <c r="AE568" s="121"/>
      <c r="AF568" s="121"/>
      <c r="AG568" s="121"/>
      <c r="AH568" s="120"/>
    </row>
    <row r="569" spans="1:34" ht="13.2" x14ac:dyDescent="0.25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  <c r="AB569" s="121"/>
      <c r="AC569" s="121"/>
      <c r="AD569" s="121"/>
      <c r="AE569" s="121"/>
      <c r="AF569" s="121"/>
      <c r="AG569" s="121"/>
      <c r="AH569" s="120"/>
    </row>
    <row r="570" spans="1:34" ht="13.2" x14ac:dyDescent="0.25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  <c r="AB570" s="121"/>
      <c r="AC570" s="121"/>
      <c r="AD570" s="121"/>
      <c r="AE570" s="121"/>
      <c r="AF570" s="121"/>
      <c r="AG570" s="121"/>
      <c r="AH570" s="120"/>
    </row>
    <row r="571" spans="1:34" ht="13.2" x14ac:dyDescent="0.25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  <c r="AB571" s="121"/>
      <c r="AC571" s="121"/>
      <c r="AD571" s="121"/>
      <c r="AE571" s="121"/>
      <c r="AF571" s="121"/>
      <c r="AG571" s="121"/>
      <c r="AH571" s="120"/>
    </row>
    <row r="572" spans="1:34" ht="13.2" x14ac:dyDescent="0.25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  <c r="AB572" s="121"/>
      <c r="AC572" s="121"/>
      <c r="AD572" s="121"/>
      <c r="AE572" s="121"/>
      <c r="AF572" s="121"/>
      <c r="AG572" s="121"/>
      <c r="AH572" s="120"/>
    </row>
    <row r="573" spans="1:34" ht="13.2" x14ac:dyDescent="0.25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  <c r="AB573" s="121"/>
      <c r="AC573" s="121"/>
      <c r="AD573" s="121"/>
      <c r="AE573" s="121"/>
      <c r="AF573" s="121"/>
      <c r="AG573" s="121"/>
      <c r="AH573" s="120"/>
    </row>
    <row r="574" spans="1:34" ht="13.2" x14ac:dyDescent="0.25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  <c r="AB574" s="121"/>
      <c r="AC574" s="121"/>
      <c r="AD574" s="121"/>
      <c r="AE574" s="121"/>
      <c r="AF574" s="121"/>
      <c r="AG574" s="121"/>
      <c r="AH574" s="120"/>
    </row>
    <row r="575" spans="1:34" ht="13.2" x14ac:dyDescent="0.2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  <c r="AB575" s="121"/>
      <c r="AC575" s="121"/>
      <c r="AD575" s="121"/>
      <c r="AE575" s="121"/>
      <c r="AF575" s="121"/>
      <c r="AG575" s="121"/>
      <c r="AH575" s="120"/>
    </row>
    <row r="576" spans="1:34" ht="13.2" x14ac:dyDescent="0.25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  <c r="AB576" s="121"/>
      <c r="AC576" s="121"/>
      <c r="AD576" s="121"/>
      <c r="AE576" s="121"/>
      <c r="AF576" s="121"/>
      <c r="AG576" s="121"/>
      <c r="AH576" s="120"/>
    </row>
    <row r="577" spans="1:34" ht="13.2" x14ac:dyDescent="0.25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  <c r="AB577" s="121"/>
      <c r="AC577" s="121"/>
      <c r="AD577" s="121"/>
      <c r="AE577" s="121"/>
      <c r="AF577" s="121"/>
      <c r="AG577" s="121"/>
      <c r="AH577" s="120"/>
    </row>
    <row r="578" spans="1:34" ht="13.2" x14ac:dyDescent="0.25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  <c r="AB578" s="121"/>
      <c r="AC578" s="121"/>
      <c r="AD578" s="121"/>
      <c r="AE578" s="121"/>
      <c r="AF578" s="121"/>
      <c r="AG578" s="121"/>
      <c r="AH578" s="120"/>
    </row>
    <row r="579" spans="1:34" ht="13.2" x14ac:dyDescent="0.25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  <c r="AB579" s="121"/>
      <c r="AC579" s="121"/>
      <c r="AD579" s="121"/>
      <c r="AE579" s="121"/>
      <c r="AF579" s="121"/>
      <c r="AG579" s="121"/>
      <c r="AH579" s="120"/>
    </row>
    <row r="580" spans="1:34" ht="13.2" x14ac:dyDescent="0.25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  <c r="AB580" s="121"/>
      <c r="AC580" s="121"/>
      <c r="AD580" s="121"/>
      <c r="AE580" s="121"/>
      <c r="AF580" s="121"/>
      <c r="AG580" s="121"/>
      <c r="AH580" s="120"/>
    </row>
    <row r="581" spans="1:34" ht="13.2" x14ac:dyDescent="0.25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  <c r="AB581" s="121"/>
      <c r="AC581" s="121"/>
      <c r="AD581" s="121"/>
      <c r="AE581" s="121"/>
      <c r="AF581" s="121"/>
      <c r="AG581" s="121"/>
      <c r="AH581" s="120"/>
    </row>
    <row r="582" spans="1:34" ht="13.2" x14ac:dyDescent="0.25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  <c r="AB582" s="121"/>
      <c r="AC582" s="121"/>
      <c r="AD582" s="121"/>
      <c r="AE582" s="121"/>
      <c r="AF582" s="121"/>
      <c r="AG582" s="121"/>
      <c r="AH582" s="120"/>
    </row>
    <row r="583" spans="1:34" ht="13.2" x14ac:dyDescent="0.25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  <c r="AB583" s="121"/>
      <c r="AC583" s="121"/>
      <c r="AD583" s="121"/>
      <c r="AE583" s="121"/>
      <c r="AF583" s="121"/>
      <c r="AG583" s="121"/>
      <c r="AH583" s="120"/>
    </row>
    <row r="584" spans="1:34" ht="13.2" x14ac:dyDescent="0.25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  <c r="AB584" s="121"/>
      <c r="AC584" s="121"/>
      <c r="AD584" s="121"/>
      <c r="AE584" s="121"/>
      <c r="AF584" s="121"/>
      <c r="AG584" s="121"/>
      <c r="AH584" s="120"/>
    </row>
    <row r="585" spans="1:34" ht="13.2" x14ac:dyDescent="0.2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  <c r="AB585" s="121"/>
      <c r="AC585" s="121"/>
      <c r="AD585" s="121"/>
      <c r="AE585" s="121"/>
      <c r="AF585" s="121"/>
      <c r="AG585" s="121"/>
      <c r="AH585" s="120"/>
    </row>
    <row r="586" spans="1:34" ht="13.2" x14ac:dyDescent="0.25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  <c r="AB586" s="121"/>
      <c r="AC586" s="121"/>
      <c r="AD586" s="121"/>
      <c r="AE586" s="121"/>
      <c r="AF586" s="121"/>
      <c r="AG586" s="121"/>
      <c r="AH586" s="120"/>
    </row>
    <row r="587" spans="1:34" ht="13.2" x14ac:dyDescent="0.25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  <c r="AB587" s="121"/>
      <c r="AC587" s="121"/>
      <c r="AD587" s="121"/>
      <c r="AE587" s="121"/>
      <c r="AF587" s="121"/>
      <c r="AG587" s="121"/>
      <c r="AH587" s="120"/>
    </row>
    <row r="588" spans="1:34" ht="13.2" x14ac:dyDescent="0.25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  <c r="AB588" s="121"/>
      <c r="AC588" s="121"/>
      <c r="AD588" s="121"/>
      <c r="AE588" s="121"/>
      <c r="AF588" s="121"/>
      <c r="AG588" s="121"/>
      <c r="AH588" s="120"/>
    </row>
    <row r="589" spans="1:34" ht="13.2" x14ac:dyDescent="0.25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  <c r="AB589" s="121"/>
      <c r="AC589" s="121"/>
      <c r="AD589" s="121"/>
      <c r="AE589" s="121"/>
      <c r="AF589" s="121"/>
      <c r="AG589" s="121"/>
      <c r="AH589" s="120"/>
    </row>
    <row r="590" spans="1:34" ht="13.2" x14ac:dyDescent="0.25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  <c r="AB590" s="121"/>
      <c r="AC590" s="121"/>
      <c r="AD590" s="121"/>
      <c r="AE590" s="121"/>
      <c r="AF590" s="121"/>
      <c r="AG590" s="121"/>
      <c r="AH590" s="120"/>
    </row>
    <row r="591" spans="1:34" ht="13.2" x14ac:dyDescent="0.25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  <c r="AB591" s="121"/>
      <c r="AC591" s="121"/>
      <c r="AD591" s="121"/>
      <c r="AE591" s="121"/>
      <c r="AF591" s="121"/>
      <c r="AG591" s="121"/>
      <c r="AH591" s="120"/>
    </row>
    <row r="592" spans="1:34" ht="13.2" x14ac:dyDescent="0.25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  <c r="AB592" s="121"/>
      <c r="AC592" s="121"/>
      <c r="AD592" s="121"/>
      <c r="AE592" s="121"/>
      <c r="AF592" s="121"/>
      <c r="AG592" s="121"/>
      <c r="AH592" s="120"/>
    </row>
    <row r="593" spans="1:34" ht="13.2" x14ac:dyDescent="0.25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121"/>
      <c r="AC593" s="121"/>
      <c r="AD593" s="121"/>
      <c r="AE593" s="121"/>
      <c r="AF593" s="121"/>
      <c r="AG593" s="121"/>
      <c r="AH593" s="120"/>
    </row>
    <row r="594" spans="1:34" ht="13.2" x14ac:dyDescent="0.25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121"/>
      <c r="AC594" s="121"/>
      <c r="AD594" s="121"/>
      <c r="AE594" s="121"/>
      <c r="AF594" s="121"/>
      <c r="AG594" s="121"/>
      <c r="AH594" s="120"/>
    </row>
    <row r="595" spans="1:34" ht="13.2" x14ac:dyDescent="0.2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121"/>
      <c r="AC595" s="121"/>
      <c r="AD595" s="121"/>
      <c r="AE595" s="121"/>
      <c r="AF595" s="121"/>
      <c r="AG595" s="121"/>
      <c r="AH595" s="120"/>
    </row>
    <row r="596" spans="1:34" ht="13.2" x14ac:dyDescent="0.25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121"/>
      <c r="AC596" s="121"/>
      <c r="AD596" s="121"/>
      <c r="AE596" s="121"/>
      <c r="AF596" s="121"/>
      <c r="AG596" s="121"/>
      <c r="AH596" s="120"/>
    </row>
    <row r="597" spans="1:34" ht="13.2" x14ac:dyDescent="0.25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121"/>
      <c r="AC597" s="121"/>
      <c r="AD597" s="121"/>
      <c r="AE597" s="121"/>
      <c r="AF597" s="121"/>
      <c r="AG597" s="121"/>
      <c r="AH597" s="120"/>
    </row>
    <row r="598" spans="1:34" ht="13.2" x14ac:dyDescent="0.25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  <c r="AB598" s="121"/>
      <c r="AC598" s="121"/>
      <c r="AD598" s="121"/>
      <c r="AE598" s="121"/>
      <c r="AF598" s="121"/>
      <c r="AG598" s="121"/>
      <c r="AH598" s="120"/>
    </row>
    <row r="599" spans="1:34" ht="13.2" x14ac:dyDescent="0.25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  <c r="AB599" s="121"/>
      <c r="AC599" s="121"/>
      <c r="AD599" s="121"/>
      <c r="AE599" s="121"/>
      <c r="AF599" s="121"/>
      <c r="AG599" s="121"/>
      <c r="AH599" s="120"/>
    </row>
    <row r="600" spans="1:34" ht="13.2" x14ac:dyDescent="0.25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  <c r="AB600" s="121"/>
      <c r="AC600" s="121"/>
      <c r="AD600" s="121"/>
      <c r="AE600" s="121"/>
      <c r="AF600" s="121"/>
      <c r="AG600" s="121"/>
      <c r="AH600" s="120"/>
    </row>
    <row r="601" spans="1:34" ht="13.2" x14ac:dyDescent="0.25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  <c r="AB601" s="121"/>
      <c r="AC601" s="121"/>
      <c r="AD601" s="121"/>
      <c r="AE601" s="121"/>
      <c r="AF601" s="121"/>
      <c r="AG601" s="121"/>
      <c r="AH601" s="120"/>
    </row>
    <row r="602" spans="1:34" ht="13.2" x14ac:dyDescent="0.25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121"/>
      <c r="AC602" s="121"/>
      <c r="AD602" s="121"/>
      <c r="AE602" s="121"/>
      <c r="AF602" s="121"/>
      <c r="AG602" s="121"/>
      <c r="AH602" s="120"/>
    </row>
    <row r="603" spans="1:34" ht="13.2" x14ac:dyDescent="0.25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121"/>
      <c r="AC603" s="121"/>
      <c r="AD603" s="121"/>
      <c r="AE603" s="121"/>
      <c r="AF603" s="121"/>
      <c r="AG603" s="121"/>
      <c r="AH603" s="120"/>
    </row>
    <row r="604" spans="1:34" ht="13.2" x14ac:dyDescent="0.25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121"/>
      <c r="AC604" s="121"/>
      <c r="AD604" s="121"/>
      <c r="AE604" s="121"/>
      <c r="AF604" s="121"/>
      <c r="AG604" s="121"/>
      <c r="AH604" s="120"/>
    </row>
    <row r="605" spans="1:34" ht="13.2" x14ac:dyDescent="0.2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121"/>
      <c r="AC605" s="121"/>
      <c r="AD605" s="121"/>
      <c r="AE605" s="121"/>
      <c r="AF605" s="121"/>
      <c r="AG605" s="121"/>
      <c r="AH605" s="120"/>
    </row>
    <row r="606" spans="1:34" ht="13.2" x14ac:dyDescent="0.25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121"/>
      <c r="AC606" s="121"/>
      <c r="AD606" s="121"/>
      <c r="AE606" s="121"/>
      <c r="AF606" s="121"/>
      <c r="AG606" s="121"/>
      <c r="AH606" s="120"/>
    </row>
    <row r="607" spans="1:34" ht="13.2" x14ac:dyDescent="0.25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  <c r="AB607" s="121"/>
      <c r="AC607" s="121"/>
      <c r="AD607" s="121"/>
      <c r="AE607" s="121"/>
      <c r="AF607" s="121"/>
      <c r="AG607" s="121"/>
      <c r="AH607" s="120"/>
    </row>
    <row r="608" spans="1:34" ht="13.2" x14ac:dyDescent="0.25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  <c r="AB608" s="121"/>
      <c r="AC608" s="121"/>
      <c r="AD608" s="121"/>
      <c r="AE608" s="121"/>
      <c r="AF608" s="121"/>
      <c r="AG608" s="121"/>
      <c r="AH608" s="120"/>
    </row>
    <row r="609" spans="1:34" ht="13.2" x14ac:dyDescent="0.25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  <c r="AB609" s="121"/>
      <c r="AC609" s="121"/>
      <c r="AD609" s="121"/>
      <c r="AE609" s="121"/>
      <c r="AF609" s="121"/>
      <c r="AG609" s="121"/>
      <c r="AH609" s="120"/>
    </row>
    <row r="610" spans="1:34" ht="13.2" x14ac:dyDescent="0.25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  <c r="AB610" s="121"/>
      <c r="AC610" s="121"/>
      <c r="AD610" s="121"/>
      <c r="AE610" s="121"/>
      <c r="AF610" s="121"/>
      <c r="AG610" s="121"/>
      <c r="AH610" s="120"/>
    </row>
    <row r="611" spans="1:34" ht="13.2" x14ac:dyDescent="0.25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  <c r="AB611" s="121"/>
      <c r="AC611" s="121"/>
      <c r="AD611" s="121"/>
      <c r="AE611" s="121"/>
      <c r="AF611" s="121"/>
      <c r="AG611" s="121"/>
      <c r="AH611" s="120"/>
    </row>
    <row r="612" spans="1:34" ht="13.2" x14ac:dyDescent="0.25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  <c r="AB612" s="121"/>
      <c r="AC612" s="121"/>
      <c r="AD612" s="121"/>
      <c r="AE612" s="121"/>
      <c r="AF612" s="121"/>
      <c r="AG612" s="121"/>
      <c r="AH612" s="120"/>
    </row>
    <row r="613" spans="1:34" ht="13.2" x14ac:dyDescent="0.25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  <c r="AB613" s="121"/>
      <c r="AC613" s="121"/>
      <c r="AD613" s="121"/>
      <c r="AE613" s="121"/>
      <c r="AF613" s="121"/>
      <c r="AG613" s="121"/>
      <c r="AH613" s="120"/>
    </row>
    <row r="614" spans="1:34" ht="13.2" x14ac:dyDescent="0.25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  <c r="AB614" s="121"/>
      <c r="AC614" s="121"/>
      <c r="AD614" s="121"/>
      <c r="AE614" s="121"/>
      <c r="AF614" s="121"/>
      <c r="AG614" s="121"/>
      <c r="AH614" s="120"/>
    </row>
    <row r="615" spans="1:34" ht="13.2" x14ac:dyDescent="0.2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  <c r="AB615" s="121"/>
      <c r="AC615" s="121"/>
      <c r="AD615" s="121"/>
      <c r="AE615" s="121"/>
      <c r="AF615" s="121"/>
      <c r="AG615" s="121"/>
      <c r="AH615" s="120"/>
    </row>
    <row r="616" spans="1:34" ht="13.2" x14ac:dyDescent="0.25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121"/>
      <c r="AC616" s="121"/>
      <c r="AD616" s="121"/>
      <c r="AE616" s="121"/>
      <c r="AF616" s="121"/>
      <c r="AG616" s="121"/>
      <c r="AH616" s="120"/>
    </row>
    <row r="617" spans="1:34" ht="13.2" x14ac:dyDescent="0.25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121"/>
      <c r="AC617" s="121"/>
      <c r="AD617" s="121"/>
      <c r="AE617" s="121"/>
      <c r="AF617" s="121"/>
      <c r="AG617" s="121"/>
      <c r="AH617" s="120"/>
    </row>
    <row r="618" spans="1:34" ht="13.2" x14ac:dyDescent="0.25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121"/>
      <c r="AC618" s="121"/>
      <c r="AD618" s="121"/>
      <c r="AE618" s="121"/>
      <c r="AF618" s="121"/>
      <c r="AG618" s="121"/>
      <c r="AH618" s="120"/>
    </row>
    <row r="619" spans="1:34" ht="13.2" x14ac:dyDescent="0.25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121"/>
      <c r="AC619" s="121"/>
      <c r="AD619" s="121"/>
      <c r="AE619" s="121"/>
      <c r="AF619" s="121"/>
      <c r="AG619" s="121"/>
      <c r="AH619" s="120"/>
    </row>
    <row r="620" spans="1:34" ht="13.2" x14ac:dyDescent="0.25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121"/>
      <c r="AC620" s="121"/>
      <c r="AD620" s="121"/>
      <c r="AE620" s="121"/>
      <c r="AF620" s="121"/>
      <c r="AG620" s="121"/>
      <c r="AH620" s="120"/>
    </row>
    <row r="621" spans="1:34" ht="13.2" x14ac:dyDescent="0.25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121"/>
      <c r="AC621" s="121"/>
      <c r="AD621" s="121"/>
      <c r="AE621" s="121"/>
      <c r="AF621" s="121"/>
      <c r="AG621" s="121"/>
      <c r="AH621" s="120"/>
    </row>
    <row r="622" spans="1:34" ht="13.2" x14ac:dyDescent="0.25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  <c r="AB622" s="121"/>
      <c r="AC622" s="121"/>
      <c r="AD622" s="121"/>
      <c r="AE622" s="121"/>
      <c r="AF622" s="121"/>
      <c r="AG622" s="121"/>
      <c r="AH622" s="120"/>
    </row>
    <row r="623" spans="1:34" ht="13.2" x14ac:dyDescent="0.25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  <c r="AB623" s="121"/>
      <c r="AC623" s="121"/>
      <c r="AD623" s="121"/>
      <c r="AE623" s="121"/>
      <c r="AF623" s="121"/>
      <c r="AG623" s="121"/>
      <c r="AH623" s="120"/>
    </row>
    <row r="624" spans="1:34" ht="13.2" x14ac:dyDescent="0.25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  <c r="AB624" s="121"/>
      <c r="AC624" s="121"/>
      <c r="AD624" s="121"/>
      <c r="AE624" s="121"/>
      <c r="AF624" s="121"/>
      <c r="AG624" s="121"/>
      <c r="AH624" s="120"/>
    </row>
    <row r="625" spans="1:34" ht="13.2" x14ac:dyDescent="0.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  <c r="AB625" s="121"/>
      <c r="AC625" s="121"/>
      <c r="AD625" s="121"/>
      <c r="AE625" s="121"/>
      <c r="AF625" s="121"/>
      <c r="AG625" s="121"/>
      <c r="AH625" s="120"/>
    </row>
    <row r="626" spans="1:34" ht="13.2" x14ac:dyDescent="0.25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121"/>
      <c r="AC626" s="121"/>
      <c r="AD626" s="121"/>
      <c r="AE626" s="121"/>
      <c r="AF626" s="121"/>
      <c r="AG626" s="121"/>
      <c r="AH626" s="120"/>
    </row>
    <row r="627" spans="1:34" ht="13.2" x14ac:dyDescent="0.25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121"/>
      <c r="AC627" s="121"/>
      <c r="AD627" s="121"/>
      <c r="AE627" s="121"/>
      <c r="AF627" s="121"/>
      <c r="AG627" s="121"/>
      <c r="AH627" s="120"/>
    </row>
    <row r="628" spans="1:34" ht="13.2" x14ac:dyDescent="0.25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121"/>
      <c r="AC628" s="121"/>
      <c r="AD628" s="121"/>
      <c r="AE628" s="121"/>
      <c r="AF628" s="121"/>
      <c r="AG628" s="121"/>
      <c r="AH628" s="120"/>
    </row>
    <row r="629" spans="1:34" ht="13.2" x14ac:dyDescent="0.25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121"/>
      <c r="AC629" s="121"/>
      <c r="AD629" s="121"/>
      <c r="AE629" s="121"/>
      <c r="AF629" s="121"/>
      <c r="AG629" s="121"/>
      <c r="AH629" s="120"/>
    </row>
    <row r="630" spans="1:34" ht="13.2" x14ac:dyDescent="0.25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121"/>
      <c r="AC630" s="121"/>
      <c r="AD630" s="121"/>
      <c r="AE630" s="121"/>
      <c r="AF630" s="121"/>
      <c r="AG630" s="121"/>
      <c r="AH630" s="120"/>
    </row>
    <row r="631" spans="1:34" ht="13.2" x14ac:dyDescent="0.25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121"/>
      <c r="AC631" s="121"/>
      <c r="AD631" s="121"/>
      <c r="AE631" s="121"/>
      <c r="AF631" s="121"/>
      <c r="AG631" s="121"/>
      <c r="AH631" s="120"/>
    </row>
    <row r="632" spans="1:34" ht="13.2" x14ac:dyDescent="0.25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121"/>
      <c r="AC632" s="121"/>
      <c r="AD632" s="121"/>
      <c r="AE632" s="121"/>
      <c r="AF632" s="121"/>
      <c r="AG632" s="121"/>
      <c r="AH632" s="120"/>
    </row>
    <row r="633" spans="1:34" ht="13.2" x14ac:dyDescent="0.25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  <c r="AB633" s="121"/>
      <c r="AC633" s="121"/>
      <c r="AD633" s="121"/>
      <c r="AE633" s="121"/>
      <c r="AF633" s="121"/>
      <c r="AG633" s="121"/>
      <c r="AH633" s="120"/>
    </row>
    <row r="634" spans="1:34" ht="13.2" x14ac:dyDescent="0.25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  <c r="AB634" s="121"/>
      <c r="AC634" s="121"/>
      <c r="AD634" s="121"/>
      <c r="AE634" s="121"/>
      <c r="AF634" s="121"/>
      <c r="AG634" s="121"/>
      <c r="AH634" s="120"/>
    </row>
    <row r="635" spans="1:34" ht="13.2" x14ac:dyDescent="0.2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  <c r="AB635" s="121"/>
      <c r="AC635" s="121"/>
      <c r="AD635" s="121"/>
      <c r="AE635" s="121"/>
      <c r="AF635" s="121"/>
      <c r="AG635" s="121"/>
      <c r="AH635" s="120"/>
    </row>
    <row r="636" spans="1:34" ht="13.2" x14ac:dyDescent="0.25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  <c r="AB636" s="121"/>
      <c r="AC636" s="121"/>
      <c r="AD636" s="121"/>
      <c r="AE636" s="121"/>
      <c r="AF636" s="121"/>
      <c r="AG636" s="121"/>
      <c r="AH636" s="120"/>
    </row>
    <row r="637" spans="1:34" ht="13.2" x14ac:dyDescent="0.25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  <c r="AB637" s="121"/>
      <c r="AC637" s="121"/>
      <c r="AD637" s="121"/>
      <c r="AE637" s="121"/>
      <c r="AF637" s="121"/>
      <c r="AG637" s="121"/>
      <c r="AH637" s="120"/>
    </row>
    <row r="638" spans="1:34" ht="13.2" x14ac:dyDescent="0.25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  <c r="AB638" s="121"/>
      <c r="AC638" s="121"/>
      <c r="AD638" s="121"/>
      <c r="AE638" s="121"/>
      <c r="AF638" s="121"/>
      <c r="AG638" s="121"/>
      <c r="AH638" s="120"/>
    </row>
    <row r="639" spans="1:34" ht="13.2" x14ac:dyDescent="0.25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  <c r="AB639" s="121"/>
      <c r="AC639" s="121"/>
      <c r="AD639" s="121"/>
      <c r="AE639" s="121"/>
      <c r="AF639" s="121"/>
      <c r="AG639" s="121"/>
      <c r="AH639" s="120"/>
    </row>
    <row r="640" spans="1:34" ht="13.2" x14ac:dyDescent="0.25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  <c r="AB640" s="121"/>
      <c r="AC640" s="121"/>
      <c r="AD640" s="121"/>
      <c r="AE640" s="121"/>
      <c r="AF640" s="121"/>
      <c r="AG640" s="121"/>
      <c r="AH640" s="120"/>
    </row>
    <row r="641" spans="1:34" ht="13.2" x14ac:dyDescent="0.25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  <c r="AB641" s="121"/>
      <c r="AC641" s="121"/>
      <c r="AD641" s="121"/>
      <c r="AE641" s="121"/>
      <c r="AF641" s="121"/>
      <c r="AG641" s="121"/>
      <c r="AH641" s="120"/>
    </row>
    <row r="642" spans="1:34" ht="13.2" x14ac:dyDescent="0.25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121"/>
      <c r="AC642" s="121"/>
      <c r="AD642" s="121"/>
      <c r="AE642" s="121"/>
      <c r="AF642" s="121"/>
      <c r="AG642" s="121"/>
      <c r="AH642" s="120"/>
    </row>
    <row r="643" spans="1:34" ht="13.2" x14ac:dyDescent="0.25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121"/>
      <c r="AC643" s="121"/>
      <c r="AD643" s="121"/>
      <c r="AE643" s="121"/>
      <c r="AF643" s="121"/>
      <c r="AG643" s="121"/>
      <c r="AH643" s="120"/>
    </row>
    <row r="644" spans="1:34" ht="13.2" x14ac:dyDescent="0.25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121"/>
      <c r="AC644" s="121"/>
      <c r="AD644" s="121"/>
      <c r="AE644" s="121"/>
      <c r="AF644" s="121"/>
      <c r="AG644" s="121"/>
      <c r="AH644" s="120"/>
    </row>
    <row r="645" spans="1:34" ht="13.2" x14ac:dyDescent="0.2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121"/>
      <c r="AC645" s="121"/>
      <c r="AD645" s="121"/>
      <c r="AE645" s="121"/>
      <c r="AF645" s="121"/>
      <c r="AG645" s="121"/>
      <c r="AH645" s="120"/>
    </row>
    <row r="646" spans="1:34" ht="13.2" x14ac:dyDescent="0.25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121"/>
      <c r="AC646" s="121"/>
      <c r="AD646" s="121"/>
      <c r="AE646" s="121"/>
      <c r="AF646" s="121"/>
      <c r="AG646" s="121"/>
      <c r="AH646" s="120"/>
    </row>
    <row r="647" spans="1:34" ht="13.2" x14ac:dyDescent="0.25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121"/>
      <c r="AC647" s="121"/>
      <c r="AD647" s="121"/>
      <c r="AE647" s="121"/>
      <c r="AF647" s="121"/>
      <c r="AG647" s="121"/>
      <c r="AH647" s="120"/>
    </row>
    <row r="648" spans="1:34" ht="13.2" x14ac:dyDescent="0.25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  <c r="AB648" s="121"/>
      <c r="AC648" s="121"/>
      <c r="AD648" s="121"/>
      <c r="AE648" s="121"/>
      <c r="AF648" s="121"/>
      <c r="AG648" s="121"/>
      <c r="AH648" s="120"/>
    </row>
    <row r="649" spans="1:34" ht="13.2" x14ac:dyDescent="0.25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  <c r="AB649" s="121"/>
      <c r="AC649" s="121"/>
      <c r="AD649" s="121"/>
      <c r="AE649" s="121"/>
      <c r="AF649" s="121"/>
      <c r="AG649" s="121"/>
      <c r="AH649" s="120"/>
    </row>
    <row r="650" spans="1:34" ht="13.2" x14ac:dyDescent="0.25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  <c r="AB650" s="121"/>
      <c r="AC650" s="121"/>
      <c r="AD650" s="121"/>
      <c r="AE650" s="121"/>
      <c r="AF650" s="121"/>
      <c r="AG650" s="121"/>
      <c r="AH650" s="120"/>
    </row>
    <row r="651" spans="1:34" ht="13.2" x14ac:dyDescent="0.25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121"/>
      <c r="AC651" s="121"/>
      <c r="AD651" s="121"/>
      <c r="AE651" s="121"/>
      <c r="AF651" s="121"/>
      <c r="AG651" s="121"/>
      <c r="AH651" s="120"/>
    </row>
    <row r="652" spans="1:34" ht="13.2" x14ac:dyDescent="0.25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121"/>
      <c r="AC652" s="121"/>
      <c r="AD652" s="121"/>
      <c r="AE652" s="121"/>
      <c r="AF652" s="121"/>
      <c r="AG652" s="121"/>
      <c r="AH652" s="120"/>
    </row>
    <row r="653" spans="1:34" ht="13.2" x14ac:dyDescent="0.25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121"/>
      <c r="AC653" s="121"/>
      <c r="AD653" s="121"/>
      <c r="AE653" s="121"/>
      <c r="AF653" s="121"/>
      <c r="AG653" s="121"/>
      <c r="AH653" s="120"/>
    </row>
    <row r="654" spans="1:34" ht="13.2" x14ac:dyDescent="0.25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121"/>
      <c r="AC654" s="121"/>
      <c r="AD654" s="121"/>
      <c r="AE654" s="121"/>
      <c r="AF654" s="121"/>
      <c r="AG654" s="121"/>
      <c r="AH654" s="120"/>
    </row>
    <row r="655" spans="1:34" ht="13.2" x14ac:dyDescent="0.2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121"/>
      <c r="AC655" s="121"/>
      <c r="AD655" s="121"/>
      <c r="AE655" s="121"/>
      <c r="AF655" s="121"/>
      <c r="AG655" s="121"/>
      <c r="AH655" s="120"/>
    </row>
    <row r="656" spans="1:34" ht="13.2" x14ac:dyDescent="0.25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  <c r="AB656" s="121"/>
      <c r="AC656" s="121"/>
      <c r="AD656" s="121"/>
      <c r="AE656" s="121"/>
      <c r="AF656" s="121"/>
      <c r="AG656" s="121"/>
      <c r="AH656" s="120"/>
    </row>
    <row r="657" spans="1:34" ht="13.2" x14ac:dyDescent="0.25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  <c r="AB657" s="121"/>
      <c r="AC657" s="121"/>
      <c r="AD657" s="121"/>
      <c r="AE657" s="121"/>
      <c r="AF657" s="121"/>
      <c r="AG657" s="121"/>
      <c r="AH657" s="120"/>
    </row>
    <row r="658" spans="1:34" ht="13.2" x14ac:dyDescent="0.25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  <c r="AB658" s="121"/>
      <c r="AC658" s="121"/>
      <c r="AD658" s="121"/>
      <c r="AE658" s="121"/>
      <c r="AF658" s="121"/>
      <c r="AG658" s="121"/>
      <c r="AH658" s="120"/>
    </row>
    <row r="659" spans="1:34" ht="13.2" x14ac:dyDescent="0.25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  <c r="AB659" s="121"/>
      <c r="AC659" s="121"/>
      <c r="AD659" s="121"/>
      <c r="AE659" s="121"/>
      <c r="AF659" s="121"/>
      <c r="AG659" s="121"/>
      <c r="AH659" s="120"/>
    </row>
    <row r="660" spans="1:34" ht="13.2" x14ac:dyDescent="0.25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  <c r="AB660" s="121"/>
      <c r="AC660" s="121"/>
      <c r="AD660" s="121"/>
      <c r="AE660" s="121"/>
      <c r="AF660" s="121"/>
      <c r="AG660" s="121"/>
      <c r="AH660" s="120"/>
    </row>
    <row r="661" spans="1:34" ht="13.2" x14ac:dyDescent="0.25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  <c r="AB661" s="121"/>
      <c r="AC661" s="121"/>
      <c r="AD661" s="121"/>
      <c r="AE661" s="121"/>
      <c r="AF661" s="121"/>
      <c r="AG661" s="121"/>
      <c r="AH661" s="120"/>
    </row>
    <row r="662" spans="1:34" ht="13.2" x14ac:dyDescent="0.25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  <c r="AB662" s="121"/>
      <c r="AC662" s="121"/>
      <c r="AD662" s="121"/>
      <c r="AE662" s="121"/>
      <c r="AF662" s="121"/>
      <c r="AG662" s="121"/>
      <c r="AH662" s="120"/>
    </row>
    <row r="663" spans="1:34" ht="13.2" x14ac:dyDescent="0.25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  <c r="AB663" s="121"/>
      <c r="AC663" s="121"/>
      <c r="AD663" s="121"/>
      <c r="AE663" s="121"/>
      <c r="AF663" s="121"/>
      <c r="AG663" s="121"/>
      <c r="AH663" s="120"/>
    </row>
    <row r="664" spans="1:34" ht="13.2" x14ac:dyDescent="0.25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121"/>
      <c r="AC664" s="121"/>
      <c r="AD664" s="121"/>
      <c r="AE664" s="121"/>
      <c r="AF664" s="121"/>
      <c r="AG664" s="121"/>
      <c r="AH664" s="120"/>
    </row>
    <row r="665" spans="1:34" ht="13.2" x14ac:dyDescent="0.2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121"/>
      <c r="AC665" s="121"/>
      <c r="AD665" s="121"/>
      <c r="AE665" s="121"/>
      <c r="AF665" s="121"/>
      <c r="AG665" s="121"/>
      <c r="AH665" s="120"/>
    </row>
    <row r="666" spans="1:34" ht="13.2" x14ac:dyDescent="0.25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121"/>
      <c r="AC666" s="121"/>
      <c r="AD666" s="121"/>
      <c r="AE666" s="121"/>
      <c r="AF666" s="121"/>
      <c r="AG666" s="121"/>
      <c r="AH666" s="120"/>
    </row>
    <row r="667" spans="1:34" ht="13.2" x14ac:dyDescent="0.25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121"/>
      <c r="AC667" s="121"/>
      <c r="AD667" s="121"/>
      <c r="AE667" s="121"/>
      <c r="AF667" s="121"/>
      <c r="AG667" s="121"/>
      <c r="AH667" s="120"/>
    </row>
    <row r="668" spans="1:34" ht="13.2" x14ac:dyDescent="0.25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  <c r="AB668" s="121"/>
      <c r="AC668" s="121"/>
      <c r="AD668" s="121"/>
      <c r="AE668" s="121"/>
      <c r="AF668" s="121"/>
      <c r="AG668" s="121"/>
      <c r="AH668" s="120"/>
    </row>
    <row r="669" spans="1:34" ht="13.2" x14ac:dyDescent="0.25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  <c r="AB669" s="121"/>
      <c r="AC669" s="121"/>
      <c r="AD669" s="121"/>
      <c r="AE669" s="121"/>
      <c r="AF669" s="121"/>
      <c r="AG669" s="121"/>
      <c r="AH669" s="120"/>
    </row>
    <row r="670" spans="1:34" ht="13.2" x14ac:dyDescent="0.25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  <c r="AB670" s="121"/>
      <c r="AC670" s="121"/>
      <c r="AD670" s="121"/>
      <c r="AE670" s="121"/>
      <c r="AF670" s="121"/>
      <c r="AG670" s="121"/>
      <c r="AH670" s="120"/>
    </row>
    <row r="671" spans="1:34" ht="13.2" x14ac:dyDescent="0.25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  <c r="AB671" s="121"/>
      <c r="AC671" s="121"/>
      <c r="AD671" s="121"/>
      <c r="AE671" s="121"/>
      <c r="AF671" s="121"/>
      <c r="AG671" s="121"/>
      <c r="AH671" s="120"/>
    </row>
    <row r="672" spans="1:34" ht="13.2" x14ac:dyDescent="0.25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  <c r="AB672" s="121"/>
      <c r="AC672" s="121"/>
      <c r="AD672" s="121"/>
      <c r="AE672" s="121"/>
      <c r="AF672" s="121"/>
      <c r="AG672" s="121"/>
      <c r="AH672" s="120"/>
    </row>
    <row r="673" spans="1:34" ht="13.2" x14ac:dyDescent="0.25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  <c r="AB673" s="121"/>
      <c r="AC673" s="121"/>
      <c r="AD673" s="121"/>
      <c r="AE673" s="121"/>
      <c r="AF673" s="121"/>
      <c r="AG673" s="121"/>
      <c r="AH673" s="120"/>
    </row>
    <row r="674" spans="1:34" ht="13.2" x14ac:dyDescent="0.25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  <c r="AB674" s="121"/>
      <c r="AC674" s="121"/>
      <c r="AD674" s="121"/>
      <c r="AE674" s="121"/>
      <c r="AF674" s="121"/>
      <c r="AG674" s="121"/>
      <c r="AH674" s="120"/>
    </row>
    <row r="675" spans="1:34" ht="13.2" x14ac:dyDescent="0.2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  <c r="AB675" s="121"/>
      <c r="AC675" s="121"/>
      <c r="AD675" s="121"/>
      <c r="AE675" s="121"/>
      <c r="AF675" s="121"/>
      <c r="AG675" s="121"/>
      <c r="AH675" s="120"/>
    </row>
    <row r="676" spans="1:34" ht="13.2" x14ac:dyDescent="0.25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  <c r="AB676" s="121"/>
      <c r="AC676" s="121"/>
      <c r="AD676" s="121"/>
      <c r="AE676" s="121"/>
      <c r="AF676" s="121"/>
      <c r="AG676" s="121"/>
      <c r="AH676" s="120"/>
    </row>
    <row r="677" spans="1:34" ht="13.2" x14ac:dyDescent="0.25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  <c r="AB677" s="121"/>
      <c r="AC677" s="121"/>
      <c r="AD677" s="121"/>
      <c r="AE677" s="121"/>
      <c r="AF677" s="121"/>
      <c r="AG677" s="121"/>
      <c r="AH677" s="120"/>
    </row>
    <row r="678" spans="1:34" ht="13.2" x14ac:dyDescent="0.25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  <c r="AB678" s="121"/>
      <c r="AC678" s="121"/>
      <c r="AD678" s="121"/>
      <c r="AE678" s="121"/>
      <c r="AF678" s="121"/>
      <c r="AG678" s="121"/>
      <c r="AH678" s="120"/>
    </row>
    <row r="679" spans="1:34" ht="13.2" x14ac:dyDescent="0.25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  <c r="AB679" s="121"/>
      <c r="AC679" s="121"/>
      <c r="AD679" s="121"/>
      <c r="AE679" s="121"/>
      <c r="AF679" s="121"/>
      <c r="AG679" s="121"/>
      <c r="AH679" s="120"/>
    </row>
    <row r="680" spans="1:34" ht="13.2" x14ac:dyDescent="0.25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  <c r="AB680" s="121"/>
      <c r="AC680" s="121"/>
      <c r="AD680" s="121"/>
      <c r="AE680" s="121"/>
      <c r="AF680" s="121"/>
      <c r="AG680" s="121"/>
      <c r="AH680" s="120"/>
    </row>
    <row r="681" spans="1:34" ht="13.2" x14ac:dyDescent="0.25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  <c r="AB681" s="121"/>
      <c r="AC681" s="121"/>
      <c r="AD681" s="121"/>
      <c r="AE681" s="121"/>
      <c r="AF681" s="121"/>
      <c r="AG681" s="121"/>
      <c r="AH681" s="120"/>
    </row>
    <row r="682" spans="1:34" ht="13.2" x14ac:dyDescent="0.25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  <c r="AB682" s="121"/>
      <c r="AC682" s="121"/>
      <c r="AD682" s="121"/>
      <c r="AE682" s="121"/>
      <c r="AF682" s="121"/>
      <c r="AG682" s="121"/>
      <c r="AH682" s="120"/>
    </row>
    <row r="683" spans="1:34" ht="13.2" x14ac:dyDescent="0.25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  <c r="AB683" s="121"/>
      <c r="AC683" s="121"/>
      <c r="AD683" s="121"/>
      <c r="AE683" s="121"/>
      <c r="AF683" s="121"/>
      <c r="AG683" s="121"/>
      <c r="AH683" s="120"/>
    </row>
    <row r="684" spans="1:34" ht="13.2" x14ac:dyDescent="0.25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  <c r="AB684" s="121"/>
      <c r="AC684" s="121"/>
      <c r="AD684" s="121"/>
      <c r="AE684" s="121"/>
      <c r="AF684" s="121"/>
      <c r="AG684" s="121"/>
      <c r="AH684" s="120"/>
    </row>
    <row r="685" spans="1:34" ht="13.2" x14ac:dyDescent="0.2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  <c r="AB685" s="121"/>
      <c r="AC685" s="121"/>
      <c r="AD685" s="121"/>
      <c r="AE685" s="121"/>
      <c r="AF685" s="121"/>
      <c r="AG685" s="121"/>
      <c r="AH685" s="120"/>
    </row>
    <row r="686" spans="1:34" ht="13.2" x14ac:dyDescent="0.25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  <c r="AB686" s="121"/>
      <c r="AC686" s="121"/>
      <c r="AD686" s="121"/>
      <c r="AE686" s="121"/>
      <c r="AF686" s="121"/>
      <c r="AG686" s="121"/>
      <c r="AH686" s="120"/>
    </row>
    <row r="687" spans="1:34" ht="13.2" x14ac:dyDescent="0.25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  <c r="AB687" s="121"/>
      <c r="AC687" s="121"/>
      <c r="AD687" s="121"/>
      <c r="AE687" s="121"/>
      <c r="AF687" s="121"/>
      <c r="AG687" s="121"/>
      <c r="AH687" s="120"/>
    </row>
    <row r="688" spans="1:34" ht="13.2" x14ac:dyDescent="0.25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  <c r="AB688" s="121"/>
      <c r="AC688" s="121"/>
      <c r="AD688" s="121"/>
      <c r="AE688" s="121"/>
      <c r="AF688" s="121"/>
      <c r="AG688" s="121"/>
      <c r="AH688" s="120"/>
    </row>
    <row r="689" spans="1:34" ht="13.2" x14ac:dyDescent="0.25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  <c r="AB689" s="121"/>
      <c r="AC689" s="121"/>
      <c r="AD689" s="121"/>
      <c r="AE689" s="121"/>
      <c r="AF689" s="121"/>
      <c r="AG689" s="121"/>
      <c r="AH689" s="120"/>
    </row>
    <row r="690" spans="1:34" ht="13.2" x14ac:dyDescent="0.25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  <c r="AB690" s="121"/>
      <c r="AC690" s="121"/>
      <c r="AD690" s="121"/>
      <c r="AE690" s="121"/>
      <c r="AF690" s="121"/>
      <c r="AG690" s="121"/>
      <c r="AH690" s="120"/>
    </row>
    <row r="691" spans="1:34" ht="13.2" x14ac:dyDescent="0.25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  <c r="AB691" s="121"/>
      <c r="AC691" s="121"/>
      <c r="AD691" s="121"/>
      <c r="AE691" s="121"/>
      <c r="AF691" s="121"/>
      <c r="AG691" s="121"/>
      <c r="AH691" s="120"/>
    </row>
    <row r="692" spans="1:34" ht="13.2" x14ac:dyDescent="0.25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  <c r="AB692" s="121"/>
      <c r="AC692" s="121"/>
      <c r="AD692" s="121"/>
      <c r="AE692" s="121"/>
      <c r="AF692" s="121"/>
      <c r="AG692" s="121"/>
      <c r="AH692" s="120"/>
    </row>
    <row r="693" spans="1:34" ht="13.2" x14ac:dyDescent="0.25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  <c r="AB693" s="121"/>
      <c r="AC693" s="121"/>
      <c r="AD693" s="121"/>
      <c r="AE693" s="121"/>
      <c r="AF693" s="121"/>
      <c r="AG693" s="121"/>
      <c r="AH693" s="120"/>
    </row>
    <row r="694" spans="1:34" ht="13.2" x14ac:dyDescent="0.25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  <c r="AB694" s="121"/>
      <c r="AC694" s="121"/>
      <c r="AD694" s="121"/>
      <c r="AE694" s="121"/>
      <c r="AF694" s="121"/>
      <c r="AG694" s="121"/>
      <c r="AH694" s="120"/>
    </row>
    <row r="695" spans="1:34" ht="13.2" x14ac:dyDescent="0.2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  <c r="AB695" s="121"/>
      <c r="AC695" s="121"/>
      <c r="AD695" s="121"/>
      <c r="AE695" s="121"/>
      <c r="AF695" s="121"/>
      <c r="AG695" s="121"/>
      <c r="AH695" s="120"/>
    </row>
    <row r="696" spans="1:34" ht="13.2" x14ac:dyDescent="0.25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  <c r="AB696" s="121"/>
      <c r="AC696" s="121"/>
      <c r="AD696" s="121"/>
      <c r="AE696" s="121"/>
      <c r="AF696" s="121"/>
      <c r="AG696" s="121"/>
      <c r="AH696" s="120"/>
    </row>
    <row r="697" spans="1:34" ht="13.2" x14ac:dyDescent="0.25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  <c r="AB697" s="121"/>
      <c r="AC697" s="121"/>
      <c r="AD697" s="121"/>
      <c r="AE697" s="121"/>
      <c r="AF697" s="121"/>
      <c r="AG697" s="121"/>
      <c r="AH697" s="120"/>
    </row>
    <row r="698" spans="1:34" ht="13.2" x14ac:dyDescent="0.25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  <c r="AB698" s="121"/>
      <c r="AC698" s="121"/>
      <c r="AD698" s="121"/>
      <c r="AE698" s="121"/>
      <c r="AF698" s="121"/>
      <c r="AG698" s="121"/>
      <c r="AH698" s="120"/>
    </row>
    <row r="699" spans="1:34" ht="13.2" x14ac:dyDescent="0.25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  <c r="AB699" s="121"/>
      <c r="AC699" s="121"/>
      <c r="AD699" s="121"/>
      <c r="AE699" s="121"/>
      <c r="AF699" s="121"/>
      <c r="AG699" s="121"/>
      <c r="AH699" s="120"/>
    </row>
    <row r="700" spans="1:34" ht="13.2" x14ac:dyDescent="0.25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121"/>
      <c r="AC700" s="121"/>
      <c r="AD700" s="121"/>
      <c r="AE700" s="121"/>
      <c r="AF700" s="121"/>
      <c r="AG700" s="121"/>
      <c r="AH700" s="120"/>
    </row>
    <row r="701" spans="1:34" ht="13.2" x14ac:dyDescent="0.25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121"/>
      <c r="AC701" s="121"/>
      <c r="AD701" s="121"/>
      <c r="AE701" s="121"/>
      <c r="AF701" s="121"/>
      <c r="AG701" s="121"/>
      <c r="AH701" s="120"/>
    </row>
    <row r="702" spans="1:34" ht="13.2" x14ac:dyDescent="0.25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121"/>
      <c r="AC702" s="121"/>
      <c r="AD702" s="121"/>
      <c r="AE702" s="121"/>
      <c r="AF702" s="121"/>
      <c r="AG702" s="121"/>
      <c r="AH702" s="120"/>
    </row>
    <row r="703" spans="1:34" ht="13.2" x14ac:dyDescent="0.25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121"/>
      <c r="AC703" s="121"/>
      <c r="AD703" s="121"/>
      <c r="AE703" s="121"/>
      <c r="AF703" s="121"/>
      <c r="AG703" s="121"/>
      <c r="AH703" s="120"/>
    </row>
    <row r="704" spans="1:34" ht="13.2" x14ac:dyDescent="0.25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121"/>
      <c r="AC704" s="121"/>
      <c r="AD704" s="121"/>
      <c r="AE704" s="121"/>
      <c r="AF704" s="121"/>
      <c r="AG704" s="121"/>
      <c r="AH704" s="120"/>
    </row>
    <row r="705" spans="1:34" ht="13.2" x14ac:dyDescent="0.2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121"/>
      <c r="AC705" s="121"/>
      <c r="AD705" s="121"/>
      <c r="AE705" s="121"/>
      <c r="AF705" s="121"/>
      <c r="AG705" s="121"/>
      <c r="AH705" s="120"/>
    </row>
    <row r="706" spans="1:34" ht="13.2" x14ac:dyDescent="0.25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121"/>
      <c r="AC706" s="121"/>
      <c r="AD706" s="121"/>
      <c r="AE706" s="121"/>
      <c r="AF706" s="121"/>
      <c r="AG706" s="121"/>
      <c r="AH706" s="120"/>
    </row>
    <row r="707" spans="1:34" ht="13.2" x14ac:dyDescent="0.25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121"/>
      <c r="AC707" s="121"/>
      <c r="AD707" s="121"/>
      <c r="AE707" s="121"/>
      <c r="AF707" s="121"/>
      <c r="AG707" s="121"/>
      <c r="AH707" s="120"/>
    </row>
    <row r="708" spans="1:34" ht="13.2" x14ac:dyDescent="0.25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121"/>
      <c r="AC708" s="121"/>
      <c r="AD708" s="121"/>
      <c r="AE708" s="121"/>
      <c r="AF708" s="121"/>
      <c r="AG708" s="121"/>
      <c r="AH708" s="120"/>
    </row>
    <row r="709" spans="1:34" ht="13.2" x14ac:dyDescent="0.25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121"/>
      <c r="AC709" s="121"/>
      <c r="AD709" s="121"/>
      <c r="AE709" s="121"/>
      <c r="AF709" s="121"/>
      <c r="AG709" s="121"/>
      <c r="AH709" s="120"/>
    </row>
    <row r="710" spans="1:34" ht="13.2" x14ac:dyDescent="0.25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121"/>
      <c r="AC710" s="121"/>
      <c r="AD710" s="121"/>
      <c r="AE710" s="121"/>
      <c r="AF710" s="121"/>
      <c r="AG710" s="121"/>
      <c r="AH710" s="120"/>
    </row>
    <row r="711" spans="1:34" ht="13.2" x14ac:dyDescent="0.25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  <c r="AB711" s="121"/>
      <c r="AC711" s="121"/>
      <c r="AD711" s="121"/>
      <c r="AE711" s="121"/>
      <c r="AF711" s="121"/>
      <c r="AG711" s="121"/>
      <c r="AH711" s="120"/>
    </row>
    <row r="712" spans="1:34" ht="13.2" x14ac:dyDescent="0.25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  <c r="AB712" s="121"/>
      <c r="AC712" s="121"/>
      <c r="AD712" s="121"/>
      <c r="AE712" s="121"/>
      <c r="AF712" s="121"/>
      <c r="AG712" s="121"/>
      <c r="AH712" s="120"/>
    </row>
    <row r="713" spans="1:34" ht="13.2" x14ac:dyDescent="0.25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  <c r="AB713" s="121"/>
      <c r="AC713" s="121"/>
      <c r="AD713" s="121"/>
      <c r="AE713" s="121"/>
      <c r="AF713" s="121"/>
      <c r="AG713" s="121"/>
      <c r="AH713" s="120"/>
    </row>
    <row r="714" spans="1:34" ht="13.2" x14ac:dyDescent="0.25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  <c r="AB714" s="121"/>
      <c r="AC714" s="121"/>
      <c r="AD714" s="121"/>
      <c r="AE714" s="121"/>
      <c r="AF714" s="121"/>
      <c r="AG714" s="121"/>
      <c r="AH714" s="120"/>
    </row>
    <row r="715" spans="1:34" ht="13.2" x14ac:dyDescent="0.2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  <c r="AB715" s="121"/>
      <c r="AC715" s="121"/>
      <c r="AD715" s="121"/>
      <c r="AE715" s="121"/>
      <c r="AF715" s="121"/>
      <c r="AG715" s="121"/>
      <c r="AH715" s="120"/>
    </row>
    <row r="716" spans="1:34" ht="13.2" x14ac:dyDescent="0.25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  <c r="AB716" s="121"/>
      <c r="AC716" s="121"/>
      <c r="AD716" s="121"/>
      <c r="AE716" s="121"/>
      <c r="AF716" s="121"/>
      <c r="AG716" s="121"/>
      <c r="AH716" s="120"/>
    </row>
    <row r="717" spans="1:34" ht="13.2" x14ac:dyDescent="0.25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  <c r="AB717" s="121"/>
      <c r="AC717" s="121"/>
      <c r="AD717" s="121"/>
      <c r="AE717" s="121"/>
      <c r="AF717" s="121"/>
      <c r="AG717" s="121"/>
      <c r="AH717" s="120"/>
    </row>
    <row r="718" spans="1:34" ht="13.2" x14ac:dyDescent="0.25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  <c r="AB718" s="121"/>
      <c r="AC718" s="121"/>
      <c r="AD718" s="121"/>
      <c r="AE718" s="121"/>
      <c r="AF718" s="121"/>
      <c r="AG718" s="121"/>
      <c r="AH718" s="120"/>
    </row>
    <row r="719" spans="1:34" ht="13.2" x14ac:dyDescent="0.25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  <c r="AB719" s="121"/>
      <c r="AC719" s="121"/>
      <c r="AD719" s="121"/>
      <c r="AE719" s="121"/>
      <c r="AF719" s="121"/>
      <c r="AG719" s="121"/>
      <c r="AH719" s="120"/>
    </row>
    <row r="720" spans="1:34" ht="13.2" x14ac:dyDescent="0.25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121"/>
      <c r="AC720" s="121"/>
      <c r="AD720" s="121"/>
      <c r="AE720" s="121"/>
      <c r="AF720" s="121"/>
      <c r="AG720" s="121"/>
      <c r="AH720" s="120"/>
    </row>
    <row r="721" spans="1:34" ht="13.2" x14ac:dyDescent="0.25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121"/>
      <c r="AC721" s="121"/>
      <c r="AD721" s="121"/>
      <c r="AE721" s="121"/>
      <c r="AF721" s="121"/>
      <c r="AG721" s="121"/>
      <c r="AH721" s="120"/>
    </row>
    <row r="722" spans="1:34" ht="13.2" x14ac:dyDescent="0.25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121"/>
      <c r="AC722" s="121"/>
      <c r="AD722" s="121"/>
      <c r="AE722" s="121"/>
      <c r="AF722" s="121"/>
      <c r="AG722" s="121"/>
      <c r="AH722" s="120"/>
    </row>
    <row r="723" spans="1:34" ht="13.2" x14ac:dyDescent="0.25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121"/>
      <c r="AC723" s="121"/>
      <c r="AD723" s="121"/>
      <c r="AE723" s="121"/>
      <c r="AF723" s="121"/>
      <c r="AG723" s="121"/>
      <c r="AH723" s="120"/>
    </row>
    <row r="724" spans="1:34" ht="13.2" x14ac:dyDescent="0.25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121"/>
      <c r="AC724" s="121"/>
      <c r="AD724" s="121"/>
      <c r="AE724" s="121"/>
      <c r="AF724" s="121"/>
      <c r="AG724" s="121"/>
      <c r="AH724" s="120"/>
    </row>
    <row r="725" spans="1:34" ht="13.2" x14ac:dyDescent="0.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121"/>
      <c r="AC725" s="121"/>
      <c r="AD725" s="121"/>
      <c r="AE725" s="121"/>
      <c r="AF725" s="121"/>
      <c r="AG725" s="121"/>
      <c r="AH725" s="120"/>
    </row>
    <row r="726" spans="1:34" ht="13.2" x14ac:dyDescent="0.25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121"/>
      <c r="AC726" s="121"/>
      <c r="AD726" s="121"/>
      <c r="AE726" s="121"/>
      <c r="AF726" s="121"/>
      <c r="AG726" s="121"/>
      <c r="AH726" s="120"/>
    </row>
    <row r="727" spans="1:34" ht="13.2" x14ac:dyDescent="0.25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121"/>
      <c r="AC727" s="121"/>
      <c r="AD727" s="121"/>
      <c r="AE727" s="121"/>
      <c r="AF727" s="121"/>
      <c r="AG727" s="121"/>
      <c r="AH727" s="120"/>
    </row>
    <row r="728" spans="1:34" ht="13.2" x14ac:dyDescent="0.25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121"/>
      <c r="AC728" s="121"/>
      <c r="AD728" s="121"/>
      <c r="AE728" s="121"/>
      <c r="AF728" s="121"/>
      <c r="AG728" s="121"/>
      <c r="AH728" s="120"/>
    </row>
    <row r="729" spans="1:34" ht="13.2" x14ac:dyDescent="0.25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121"/>
      <c r="AC729" s="121"/>
      <c r="AD729" s="121"/>
      <c r="AE729" s="121"/>
      <c r="AF729" s="121"/>
      <c r="AG729" s="121"/>
      <c r="AH729" s="120"/>
    </row>
    <row r="730" spans="1:34" ht="13.2" x14ac:dyDescent="0.25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121"/>
      <c r="AC730" s="121"/>
      <c r="AD730" s="121"/>
      <c r="AE730" s="121"/>
      <c r="AF730" s="121"/>
      <c r="AG730" s="121"/>
      <c r="AH730" s="120"/>
    </row>
    <row r="731" spans="1:34" ht="13.2" x14ac:dyDescent="0.25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  <c r="AB731" s="121"/>
      <c r="AC731" s="121"/>
      <c r="AD731" s="121"/>
      <c r="AE731" s="121"/>
      <c r="AF731" s="121"/>
      <c r="AG731" s="121"/>
      <c r="AH731" s="120"/>
    </row>
    <row r="732" spans="1:34" ht="13.2" x14ac:dyDescent="0.25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  <c r="AB732" s="121"/>
      <c r="AC732" s="121"/>
      <c r="AD732" s="121"/>
      <c r="AE732" s="121"/>
      <c r="AF732" s="121"/>
      <c r="AG732" s="121"/>
      <c r="AH732" s="120"/>
    </row>
    <row r="733" spans="1:34" ht="13.2" x14ac:dyDescent="0.25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  <c r="AB733" s="121"/>
      <c r="AC733" s="121"/>
      <c r="AD733" s="121"/>
      <c r="AE733" s="121"/>
      <c r="AF733" s="121"/>
      <c r="AG733" s="121"/>
      <c r="AH733" s="120"/>
    </row>
    <row r="734" spans="1:34" ht="13.2" x14ac:dyDescent="0.25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  <c r="AB734" s="121"/>
      <c r="AC734" s="121"/>
      <c r="AD734" s="121"/>
      <c r="AE734" s="121"/>
      <c r="AF734" s="121"/>
      <c r="AG734" s="121"/>
      <c r="AH734" s="120"/>
    </row>
    <row r="735" spans="1:34" ht="13.2" x14ac:dyDescent="0.2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  <c r="AB735" s="121"/>
      <c r="AC735" s="121"/>
      <c r="AD735" s="121"/>
      <c r="AE735" s="121"/>
      <c r="AF735" s="121"/>
      <c r="AG735" s="121"/>
      <c r="AH735" s="120"/>
    </row>
    <row r="736" spans="1:34" ht="13.2" x14ac:dyDescent="0.25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  <c r="AB736" s="121"/>
      <c r="AC736" s="121"/>
      <c r="AD736" s="121"/>
      <c r="AE736" s="121"/>
      <c r="AF736" s="121"/>
      <c r="AG736" s="121"/>
      <c r="AH736" s="120"/>
    </row>
    <row r="737" spans="1:34" ht="13.2" x14ac:dyDescent="0.25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  <c r="AB737" s="121"/>
      <c r="AC737" s="121"/>
      <c r="AD737" s="121"/>
      <c r="AE737" s="121"/>
      <c r="AF737" s="121"/>
      <c r="AG737" s="121"/>
      <c r="AH737" s="120"/>
    </row>
    <row r="738" spans="1:34" ht="13.2" x14ac:dyDescent="0.25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  <c r="AB738" s="121"/>
      <c r="AC738" s="121"/>
      <c r="AD738" s="121"/>
      <c r="AE738" s="121"/>
      <c r="AF738" s="121"/>
      <c r="AG738" s="121"/>
      <c r="AH738" s="120"/>
    </row>
    <row r="739" spans="1:34" ht="13.2" x14ac:dyDescent="0.25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  <c r="AB739" s="121"/>
      <c r="AC739" s="121"/>
      <c r="AD739" s="121"/>
      <c r="AE739" s="121"/>
      <c r="AF739" s="121"/>
      <c r="AG739" s="121"/>
      <c r="AH739" s="120"/>
    </row>
    <row r="740" spans="1:34" ht="13.2" x14ac:dyDescent="0.25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  <c r="AB740" s="121"/>
      <c r="AC740" s="121"/>
      <c r="AD740" s="121"/>
      <c r="AE740" s="121"/>
      <c r="AF740" s="121"/>
      <c r="AG740" s="121"/>
      <c r="AH740" s="120"/>
    </row>
    <row r="741" spans="1:34" ht="13.2" x14ac:dyDescent="0.25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  <c r="AB741" s="121"/>
      <c r="AC741" s="121"/>
      <c r="AD741" s="121"/>
      <c r="AE741" s="121"/>
      <c r="AF741" s="121"/>
      <c r="AG741" s="121"/>
      <c r="AH741" s="120"/>
    </row>
    <row r="742" spans="1:34" ht="13.2" x14ac:dyDescent="0.25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  <c r="AB742" s="121"/>
      <c r="AC742" s="121"/>
      <c r="AD742" s="121"/>
      <c r="AE742" s="121"/>
      <c r="AF742" s="121"/>
      <c r="AG742" s="121"/>
      <c r="AH742" s="120"/>
    </row>
    <row r="743" spans="1:34" ht="13.2" x14ac:dyDescent="0.25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  <c r="AB743" s="121"/>
      <c r="AC743" s="121"/>
      <c r="AD743" s="121"/>
      <c r="AE743" s="121"/>
      <c r="AF743" s="121"/>
      <c r="AG743" s="121"/>
      <c r="AH743" s="120"/>
    </row>
    <row r="744" spans="1:34" ht="13.2" x14ac:dyDescent="0.25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  <c r="AB744" s="121"/>
      <c r="AC744" s="121"/>
      <c r="AD744" s="121"/>
      <c r="AE744" s="121"/>
      <c r="AF744" s="121"/>
      <c r="AG744" s="121"/>
      <c r="AH744" s="120"/>
    </row>
    <row r="745" spans="1:34" ht="13.2" x14ac:dyDescent="0.2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  <c r="AB745" s="121"/>
      <c r="AC745" s="121"/>
      <c r="AD745" s="121"/>
      <c r="AE745" s="121"/>
      <c r="AF745" s="121"/>
      <c r="AG745" s="121"/>
      <c r="AH745" s="120"/>
    </row>
    <row r="746" spans="1:34" ht="13.2" x14ac:dyDescent="0.25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  <c r="AB746" s="121"/>
      <c r="AC746" s="121"/>
      <c r="AD746" s="121"/>
      <c r="AE746" s="121"/>
      <c r="AF746" s="121"/>
      <c r="AG746" s="121"/>
      <c r="AH746" s="120"/>
    </row>
    <row r="747" spans="1:34" ht="13.2" x14ac:dyDescent="0.25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  <c r="AB747" s="121"/>
      <c r="AC747" s="121"/>
      <c r="AD747" s="121"/>
      <c r="AE747" s="121"/>
      <c r="AF747" s="121"/>
      <c r="AG747" s="121"/>
      <c r="AH747" s="120"/>
    </row>
    <row r="748" spans="1:34" ht="13.2" x14ac:dyDescent="0.25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  <c r="AB748" s="121"/>
      <c r="AC748" s="121"/>
      <c r="AD748" s="121"/>
      <c r="AE748" s="121"/>
      <c r="AF748" s="121"/>
      <c r="AG748" s="121"/>
      <c r="AH748" s="120"/>
    </row>
    <row r="749" spans="1:34" ht="13.2" x14ac:dyDescent="0.25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  <c r="AB749" s="121"/>
      <c r="AC749" s="121"/>
      <c r="AD749" s="121"/>
      <c r="AE749" s="121"/>
      <c r="AF749" s="121"/>
      <c r="AG749" s="121"/>
      <c r="AH749" s="120"/>
    </row>
    <row r="750" spans="1:34" ht="13.2" x14ac:dyDescent="0.25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  <c r="AB750" s="121"/>
      <c r="AC750" s="121"/>
      <c r="AD750" s="121"/>
      <c r="AE750" s="121"/>
      <c r="AF750" s="121"/>
      <c r="AG750" s="121"/>
      <c r="AH750" s="120"/>
    </row>
    <row r="751" spans="1:34" ht="13.2" x14ac:dyDescent="0.25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  <c r="AB751" s="121"/>
      <c r="AC751" s="121"/>
      <c r="AD751" s="121"/>
      <c r="AE751" s="121"/>
      <c r="AF751" s="121"/>
      <c r="AG751" s="121"/>
      <c r="AH751" s="120"/>
    </row>
    <row r="752" spans="1:34" ht="13.2" x14ac:dyDescent="0.25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  <c r="AB752" s="121"/>
      <c r="AC752" s="121"/>
      <c r="AD752" s="121"/>
      <c r="AE752" s="121"/>
      <c r="AF752" s="121"/>
      <c r="AG752" s="121"/>
      <c r="AH752" s="120"/>
    </row>
    <row r="753" spans="1:34" ht="13.2" x14ac:dyDescent="0.25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  <c r="AB753" s="121"/>
      <c r="AC753" s="121"/>
      <c r="AD753" s="121"/>
      <c r="AE753" s="121"/>
      <c r="AF753" s="121"/>
      <c r="AG753" s="121"/>
      <c r="AH753" s="120"/>
    </row>
    <row r="754" spans="1:34" ht="13.2" x14ac:dyDescent="0.25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  <c r="AB754" s="121"/>
      <c r="AC754" s="121"/>
      <c r="AD754" s="121"/>
      <c r="AE754" s="121"/>
      <c r="AF754" s="121"/>
      <c r="AG754" s="121"/>
      <c r="AH754" s="120"/>
    </row>
    <row r="755" spans="1:34" ht="13.2" x14ac:dyDescent="0.2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  <c r="AB755" s="121"/>
      <c r="AC755" s="121"/>
      <c r="AD755" s="121"/>
      <c r="AE755" s="121"/>
      <c r="AF755" s="121"/>
      <c r="AG755" s="121"/>
      <c r="AH755" s="120"/>
    </row>
    <row r="756" spans="1:34" ht="13.2" x14ac:dyDescent="0.25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  <c r="AB756" s="121"/>
      <c r="AC756" s="121"/>
      <c r="AD756" s="121"/>
      <c r="AE756" s="121"/>
      <c r="AF756" s="121"/>
      <c r="AG756" s="121"/>
      <c r="AH756" s="120"/>
    </row>
    <row r="757" spans="1:34" ht="13.2" x14ac:dyDescent="0.25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  <c r="AB757" s="121"/>
      <c r="AC757" s="121"/>
      <c r="AD757" s="121"/>
      <c r="AE757" s="121"/>
      <c r="AF757" s="121"/>
      <c r="AG757" s="121"/>
      <c r="AH757" s="120"/>
    </row>
    <row r="758" spans="1:34" ht="13.2" x14ac:dyDescent="0.25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  <c r="AB758" s="121"/>
      <c r="AC758" s="121"/>
      <c r="AD758" s="121"/>
      <c r="AE758" s="121"/>
      <c r="AF758" s="121"/>
      <c r="AG758" s="121"/>
      <c r="AH758" s="120"/>
    </row>
    <row r="759" spans="1:34" ht="13.2" x14ac:dyDescent="0.25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  <c r="AB759" s="121"/>
      <c r="AC759" s="121"/>
      <c r="AD759" s="121"/>
      <c r="AE759" s="121"/>
      <c r="AF759" s="121"/>
      <c r="AG759" s="121"/>
      <c r="AH759" s="120"/>
    </row>
    <row r="760" spans="1:34" ht="13.2" x14ac:dyDescent="0.25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  <c r="AB760" s="121"/>
      <c r="AC760" s="121"/>
      <c r="AD760" s="121"/>
      <c r="AE760" s="121"/>
      <c r="AF760" s="121"/>
      <c r="AG760" s="121"/>
      <c r="AH760" s="120"/>
    </row>
    <row r="761" spans="1:34" ht="13.2" x14ac:dyDescent="0.25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  <c r="AB761" s="121"/>
      <c r="AC761" s="121"/>
      <c r="AD761" s="121"/>
      <c r="AE761" s="121"/>
      <c r="AF761" s="121"/>
      <c r="AG761" s="121"/>
      <c r="AH761" s="120"/>
    </row>
    <row r="762" spans="1:34" ht="13.2" x14ac:dyDescent="0.25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  <c r="AB762" s="121"/>
      <c r="AC762" s="121"/>
      <c r="AD762" s="121"/>
      <c r="AE762" s="121"/>
      <c r="AF762" s="121"/>
      <c r="AG762" s="121"/>
      <c r="AH762" s="120"/>
    </row>
    <row r="763" spans="1:34" ht="13.2" x14ac:dyDescent="0.25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  <c r="AB763" s="121"/>
      <c r="AC763" s="121"/>
      <c r="AD763" s="121"/>
      <c r="AE763" s="121"/>
      <c r="AF763" s="121"/>
      <c r="AG763" s="121"/>
      <c r="AH763" s="120"/>
    </row>
    <row r="764" spans="1:34" ht="13.2" x14ac:dyDescent="0.25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121"/>
      <c r="AC764" s="121"/>
      <c r="AD764" s="121"/>
      <c r="AE764" s="121"/>
      <c r="AF764" s="121"/>
      <c r="AG764" s="121"/>
      <c r="AH764" s="120"/>
    </row>
    <row r="765" spans="1:34" ht="13.2" x14ac:dyDescent="0.2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121"/>
      <c r="AC765" s="121"/>
      <c r="AD765" s="121"/>
      <c r="AE765" s="121"/>
      <c r="AF765" s="121"/>
      <c r="AG765" s="121"/>
      <c r="AH765" s="120"/>
    </row>
    <row r="766" spans="1:34" ht="13.2" x14ac:dyDescent="0.25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121"/>
      <c r="AC766" s="121"/>
      <c r="AD766" s="121"/>
      <c r="AE766" s="121"/>
      <c r="AF766" s="121"/>
      <c r="AG766" s="121"/>
      <c r="AH766" s="120"/>
    </row>
    <row r="767" spans="1:34" ht="13.2" x14ac:dyDescent="0.25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121"/>
      <c r="AC767" s="121"/>
      <c r="AD767" s="121"/>
      <c r="AE767" s="121"/>
      <c r="AF767" s="121"/>
      <c r="AG767" s="121"/>
      <c r="AH767" s="120"/>
    </row>
    <row r="768" spans="1:34" ht="13.2" x14ac:dyDescent="0.25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121"/>
      <c r="AC768" s="121"/>
      <c r="AD768" s="121"/>
      <c r="AE768" s="121"/>
      <c r="AF768" s="121"/>
      <c r="AG768" s="121"/>
      <c r="AH768" s="120"/>
    </row>
    <row r="769" spans="1:34" ht="13.2" x14ac:dyDescent="0.25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  <c r="AB769" s="121"/>
      <c r="AC769" s="121"/>
      <c r="AD769" s="121"/>
      <c r="AE769" s="121"/>
      <c r="AF769" s="121"/>
      <c r="AG769" s="121"/>
      <c r="AH769" s="120"/>
    </row>
    <row r="770" spans="1:34" ht="13.2" x14ac:dyDescent="0.25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  <c r="AB770" s="121"/>
      <c r="AC770" s="121"/>
      <c r="AD770" s="121"/>
      <c r="AE770" s="121"/>
      <c r="AF770" s="121"/>
      <c r="AG770" s="121"/>
      <c r="AH770" s="120"/>
    </row>
    <row r="771" spans="1:34" ht="13.2" x14ac:dyDescent="0.25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  <c r="AB771" s="121"/>
      <c r="AC771" s="121"/>
      <c r="AD771" s="121"/>
      <c r="AE771" s="121"/>
      <c r="AF771" s="121"/>
      <c r="AG771" s="121"/>
      <c r="AH771" s="120"/>
    </row>
    <row r="772" spans="1:34" ht="13.2" x14ac:dyDescent="0.25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  <c r="AB772" s="121"/>
      <c r="AC772" s="121"/>
      <c r="AD772" s="121"/>
      <c r="AE772" s="121"/>
      <c r="AF772" s="121"/>
      <c r="AG772" s="121"/>
      <c r="AH772" s="120"/>
    </row>
    <row r="773" spans="1:34" ht="13.2" x14ac:dyDescent="0.25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121"/>
      <c r="AC773" s="121"/>
      <c r="AD773" s="121"/>
      <c r="AE773" s="121"/>
      <c r="AF773" s="121"/>
      <c r="AG773" s="121"/>
      <c r="AH773" s="120"/>
    </row>
    <row r="774" spans="1:34" ht="13.2" x14ac:dyDescent="0.25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121"/>
      <c r="AC774" s="121"/>
      <c r="AD774" s="121"/>
      <c r="AE774" s="121"/>
      <c r="AF774" s="121"/>
      <c r="AG774" s="121"/>
      <c r="AH774" s="120"/>
    </row>
    <row r="775" spans="1:34" ht="13.2" x14ac:dyDescent="0.2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121"/>
      <c r="AC775" s="121"/>
      <c r="AD775" s="121"/>
      <c r="AE775" s="121"/>
      <c r="AF775" s="121"/>
      <c r="AG775" s="121"/>
      <c r="AH775" s="120"/>
    </row>
    <row r="776" spans="1:34" ht="13.2" x14ac:dyDescent="0.25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121"/>
      <c r="AC776" s="121"/>
      <c r="AD776" s="121"/>
      <c r="AE776" s="121"/>
      <c r="AF776" s="121"/>
      <c r="AG776" s="121"/>
      <c r="AH776" s="120"/>
    </row>
    <row r="777" spans="1:34" ht="13.2" x14ac:dyDescent="0.25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121"/>
      <c r="AC777" s="121"/>
      <c r="AD777" s="121"/>
      <c r="AE777" s="121"/>
      <c r="AF777" s="121"/>
      <c r="AG777" s="121"/>
      <c r="AH777" s="120"/>
    </row>
    <row r="778" spans="1:34" ht="13.2" x14ac:dyDescent="0.25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  <c r="AB778" s="121"/>
      <c r="AC778" s="121"/>
      <c r="AD778" s="121"/>
      <c r="AE778" s="121"/>
      <c r="AF778" s="121"/>
      <c r="AG778" s="121"/>
      <c r="AH778" s="120"/>
    </row>
    <row r="779" spans="1:34" ht="13.2" x14ac:dyDescent="0.25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  <c r="AB779" s="121"/>
      <c r="AC779" s="121"/>
      <c r="AD779" s="121"/>
      <c r="AE779" s="121"/>
      <c r="AF779" s="121"/>
      <c r="AG779" s="121"/>
      <c r="AH779" s="120"/>
    </row>
    <row r="780" spans="1:34" ht="13.2" x14ac:dyDescent="0.25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  <c r="AB780" s="121"/>
      <c r="AC780" s="121"/>
      <c r="AD780" s="121"/>
      <c r="AE780" s="121"/>
      <c r="AF780" s="121"/>
      <c r="AG780" s="121"/>
      <c r="AH780" s="120"/>
    </row>
    <row r="781" spans="1:34" ht="13.2" x14ac:dyDescent="0.25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  <c r="AB781" s="121"/>
      <c r="AC781" s="121"/>
      <c r="AD781" s="121"/>
      <c r="AE781" s="121"/>
      <c r="AF781" s="121"/>
      <c r="AG781" s="121"/>
      <c r="AH781" s="120"/>
    </row>
    <row r="782" spans="1:34" ht="13.2" x14ac:dyDescent="0.25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  <c r="AB782" s="121"/>
      <c r="AC782" s="121"/>
      <c r="AD782" s="121"/>
      <c r="AE782" s="121"/>
      <c r="AF782" s="121"/>
      <c r="AG782" s="121"/>
      <c r="AH782" s="120"/>
    </row>
    <row r="783" spans="1:34" ht="13.2" x14ac:dyDescent="0.25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  <c r="AB783" s="121"/>
      <c r="AC783" s="121"/>
      <c r="AD783" s="121"/>
      <c r="AE783" s="121"/>
      <c r="AF783" s="121"/>
      <c r="AG783" s="121"/>
      <c r="AH783" s="120"/>
    </row>
    <row r="784" spans="1:34" ht="13.2" x14ac:dyDescent="0.25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  <c r="AB784" s="121"/>
      <c r="AC784" s="121"/>
      <c r="AD784" s="121"/>
      <c r="AE784" s="121"/>
      <c r="AF784" s="121"/>
      <c r="AG784" s="121"/>
      <c r="AH784" s="120"/>
    </row>
    <row r="785" spans="1:34" ht="13.2" x14ac:dyDescent="0.2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  <c r="AB785" s="121"/>
      <c r="AC785" s="121"/>
      <c r="AD785" s="121"/>
      <c r="AE785" s="121"/>
      <c r="AF785" s="121"/>
      <c r="AG785" s="121"/>
      <c r="AH785" s="120"/>
    </row>
    <row r="786" spans="1:34" ht="13.2" x14ac:dyDescent="0.25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  <c r="AB786" s="121"/>
      <c r="AC786" s="121"/>
      <c r="AD786" s="121"/>
      <c r="AE786" s="121"/>
      <c r="AF786" s="121"/>
      <c r="AG786" s="121"/>
      <c r="AH786" s="120"/>
    </row>
    <row r="787" spans="1:34" ht="13.2" x14ac:dyDescent="0.25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121"/>
      <c r="AC787" s="121"/>
      <c r="AD787" s="121"/>
      <c r="AE787" s="121"/>
      <c r="AF787" s="121"/>
      <c r="AG787" s="121"/>
      <c r="AH787" s="120"/>
    </row>
    <row r="788" spans="1:34" ht="13.2" x14ac:dyDescent="0.25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121"/>
      <c r="AC788" s="121"/>
      <c r="AD788" s="121"/>
      <c r="AE788" s="121"/>
      <c r="AF788" s="121"/>
      <c r="AG788" s="121"/>
      <c r="AH788" s="120"/>
    </row>
    <row r="789" spans="1:34" ht="13.2" x14ac:dyDescent="0.25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121"/>
      <c r="AC789" s="121"/>
      <c r="AD789" s="121"/>
      <c r="AE789" s="121"/>
      <c r="AF789" s="121"/>
      <c r="AG789" s="121"/>
      <c r="AH789" s="120"/>
    </row>
    <row r="790" spans="1:34" ht="13.2" x14ac:dyDescent="0.25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121"/>
      <c r="AC790" s="121"/>
      <c r="AD790" s="121"/>
      <c r="AE790" s="121"/>
      <c r="AF790" s="121"/>
      <c r="AG790" s="121"/>
      <c r="AH790" s="120"/>
    </row>
    <row r="791" spans="1:34" ht="13.2" x14ac:dyDescent="0.25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121"/>
      <c r="AC791" s="121"/>
      <c r="AD791" s="121"/>
      <c r="AE791" s="121"/>
      <c r="AF791" s="121"/>
      <c r="AG791" s="121"/>
      <c r="AH791" s="120"/>
    </row>
    <row r="792" spans="1:34" ht="13.2" x14ac:dyDescent="0.25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121"/>
      <c r="AC792" s="121"/>
      <c r="AD792" s="121"/>
      <c r="AE792" s="121"/>
      <c r="AF792" s="121"/>
      <c r="AG792" s="121"/>
      <c r="AH792" s="120"/>
    </row>
    <row r="793" spans="1:34" ht="13.2" x14ac:dyDescent="0.25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  <c r="AB793" s="121"/>
      <c r="AC793" s="121"/>
      <c r="AD793" s="121"/>
      <c r="AE793" s="121"/>
      <c r="AF793" s="121"/>
      <c r="AG793" s="121"/>
      <c r="AH793" s="120"/>
    </row>
    <row r="794" spans="1:34" ht="13.2" x14ac:dyDescent="0.25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  <c r="AB794" s="121"/>
      <c r="AC794" s="121"/>
      <c r="AD794" s="121"/>
      <c r="AE794" s="121"/>
      <c r="AF794" s="121"/>
      <c r="AG794" s="121"/>
      <c r="AH794" s="120"/>
    </row>
    <row r="795" spans="1:34" ht="13.2" x14ac:dyDescent="0.2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  <c r="AB795" s="121"/>
      <c r="AC795" s="121"/>
      <c r="AD795" s="121"/>
      <c r="AE795" s="121"/>
      <c r="AF795" s="121"/>
      <c r="AG795" s="121"/>
      <c r="AH795" s="120"/>
    </row>
    <row r="796" spans="1:34" ht="13.2" x14ac:dyDescent="0.25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  <c r="AB796" s="121"/>
      <c r="AC796" s="121"/>
      <c r="AD796" s="121"/>
      <c r="AE796" s="121"/>
      <c r="AF796" s="121"/>
      <c r="AG796" s="121"/>
      <c r="AH796" s="120"/>
    </row>
    <row r="797" spans="1:34" ht="13.2" x14ac:dyDescent="0.25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121"/>
      <c r="AC797" s="121"/>
      <c r="AD797" s="121"/>
      <c r="AE797" s="121"/>
      <c r="AF797" s="121"/>
      <c r="AG797" s="121"/>
      <c r="AH797" s="120"/>
    </row>
    <row r="798" spans="1:34" ht="13.2" x14ac:dyDescent="0.25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121"/>
      <c r="AC798" s="121"/>
      <c r="AD798" s="121"/>
      <c r="AE798" s="121"/>
      <c r="AF798" s="121"/>
      <c r="AG798" s="121"/>
      <c r="AH798" s="120"/>
    </row>
    <row r="799" spans="1:34" ht="13.2" x14ac:dyDescent="0.25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121"/>
      <c r="AC799" s="121"/>
      <c r="AD799" s="121"/>
      <c r="AE799" s="121"/>
      <c r="AF799" s="121"/>
      <c r="AG799" s="121"/>
      <c r="AH799" s="120"/>
    </row>
    <row r="800" spans="1:34" ht="13.2" x14ac:dyDescent="0.25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121"/>
      <c r="AC800" s="121"/>
      <c r="AD800" s="121"/>
      <c r="AE800" s="121"/>
      <c r="AF800" s="121"/>
      <c r="AG800" s="121"/>
      <c r="AH800" s="120"/>
    </row>
    <row r="801" spans="1:34" ht="13.2" x14ac:dyDescent="0.25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121"/>
      <c r="AC801" s="121"/>
      <c r="AD801" s="121"/>
      <c r="AE801" s="121"/>
      <c r="AF801" s="121"/>
      <c r="AG801" s="121"/>
      <c r="AH801" s="120"/>
    </row>
    <row r="802" spans="1:34" ht="13.2" x14ac:dyDescent="0.25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121"/>
      <c r="AC802" s="121"/>
      <c r="AD802" s="121"/>
      <c r="AE802" s="121"/>
      <c r="AF802" s="121"/>
      <c r="AG802" s="121"/>
      <c r="AH802" s="120"/>
    </row>
    <row r="803" spans="1:34" ht="13.2" x14ac:dyDescent="0.25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121"/>
      <c r="AC803" s="121"/>
      <c r="AD803" s="121"/>
      <c r="AE803" s="121"/>
      <c r="AF803" s="121"/>
      <c r="AG803" s="121"/>
      <c r="AH803" s="120"/>
    </row>
    <row r="804" spans="1:34" ht="13.2" x14ac:dyDescent="0.25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  <c r="AB804" s="121"/>
      <c r="AC804" s="121"/>
      <c r="AD804" s="121"/>
      <c r="AE804" s="121"/>
      <c r="AF804" s="121"/>
      <c r="AG804" s="121"/>
      <c r="AH804" s="120"/>
    </row>
    <row r="805" spans="1:34" ht="13.2" x14ac:dyDescent="0.2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  <c r="AB805" s="121"/>
      <c r="AC805" s="121"/>
      <c r="AD805" s="121"/>
      <c r="AE805" s="121"/>
      <c r="AF805" s="121"/>
      <c r="AG805" s="121"/>
      <c r="AH805" s="120"/>
    </row>
    <row r="806" spans="1:34" ht="13.2" x14ac:dyDescent="0.25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  <c r="AB806" s="121"/>
      <c r="AC806" s="121"/>
      <c r="AD806" s="121"/>
      <c r="AE806" s="121"/>
      <c r="AF806" s="121"/>
      <c r="AG806" s="121"/>
      <c r="AH806" s="120"/>
    </row>
    <row r="807" spans="1:34" ht="13.2" x14ac:dyDescent="0.25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  <c r="AB807" s="121"/>
      <c r="AC807" s="121"/>
      <c r="AD807" s="121"/>
      <c r="AE807" s="121"/>
      <c r="AF807" s="121"/>
      <c r="AG807" s="121"/>
      <c r="AH807" s="120"/>
    </row>
    <row r="808" spans="1:34" ht="13.2" x14ac:dyDescent="0.25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  <c r="AB808" s="121"/>
      <c r="AC808" s="121"/>
      <c r="AD808" s="121"/>
      <c r="AE808" s="121"/>
      <c r="AF808" s="121"/>
      <c r="AG808" s="121"/>
      <c r="AH808" s="120"/>
    </row>
    <row r="809" spans="1:34" ht="13.2" x14ac:dyDescent="0.25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  <c r="AB809" s="121"/>
      <c r="AC809" s="121"/>
      <c r="AD809" s="121"/>
      <c r="AE809" s="121"/>
      <c r="AF809" s="121"/>
      <c r="AG809" s="121"/>
      <c r="AH809" s="120"/>
    </row>
    <row r="810" spans="1:34" ht="13.2" x14ac:dyDescent="0.25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  <c r="AB810" s="121"/>
      <c r="AC810" s="121"/>
      <c r="AD810" s="121"/>
      <c r="AE810" s="121"/>
      <c r="AF810" s="121"/>
      <c r="AG810" s="121"/>
      <c r="AH810" s="120"/>
    </row>
    <row r="811" spans="1:34" ht="13.2" x14ac:dyDescent="0.25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  <c r="AB811" s="121"/>
      <c r="AC811" s="121"/>
      <c r="AD811" s="121"/>
      <c r="AE811" s="121"/>
      <c r="AF811" s="121"/>
      <c r="AG811" s="121"/>
      <c r="AH811" s="120"/>
    </row>
    <row r="812" spans="1:34" ht="13.2" x14ac:dyDescent="0.25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  <c r="AB812" s="121"/>
      <c r="AC812" s="121"/>
      <c r="AD812" s="121"/>
      <c r="AE812" s="121"/>
      <c r="AF812" s="121"/>
      <c r="AG812" s="121"/>
      <c r="AH812" s="120"/>
    </row>
    <row r="813" spans="1:34" ht="13.2" x14ac:dyDescent="0.25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121"/>
      <c r="AC813" s="121"/>
      <c r="AD813" s="121"/>
      <c r="AE813" s="121"/>
      <c r="AF813" s="121"/>
      <c r="AG813" s="121"/>
      <c r="AH813" s="120"/>
    </row>
    <row r="814" spans="1:34" ht="13.2" x14ac:dyDescent="0.25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121"/>
      <c r="AC814" s="121"/>
      <c r="AD814" s="121"/>
      <c r="AE814" s="121"/>
      <c r="AF814" s="121"/>
      <c r="AG814" s="121"/>
      <c r="AH814" s="120"/>
    </row>
    <row r="815" spans="1:34" ht="13.2" x14ac:dyDescent="0.2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121"/>
      <c r="AC815" s="121"/>
      <c r="AD815" s="121"/>
      <c r="AE815" s="121"/>
      <c r="AF815" s="121"/>
      <c r="AG815" s="121"/>
      <c r="AH815" s="120"/>
    </row>
    <row r="816" spans="1:34" ht="13.2" x14ac:dyDescent="0.25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121"/>
      <c r="AC816" s="121"/>
      <c r="AD816" s="121"/>
      <c r="AE816" s="121"/>
      <c r="AF816" s="121"/>
      <c r="AG816" s="121"/>
      <c r="AH816" s="120"/>
    </row>
    <row r="817" spans="1:34" ht="13.2" x14ac:dyDescent="0.25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121"/>
      <c r="AC817" s="121"/>
      <c r="AD817" s="121"/>
      <c r="AE817" s="121"/>
      <c r="AF817" s="121"/>
      <c r="AG817" s="121"/>
      <c r="AH817" s="120"/>
    </row>
    <row r="818" spans="1:34" ht="13.2" x14ac:dyDescent="0.25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121"/>
      <c r="AC818" s="121"/>
      <c r="AD818" s="121"/>
      <c r="AE818" s="121"/>
      <c r="AF818" s="121"/>
      <c r="AG818" s="121"/>
      <c r="AH818" s="120"/>
    </row>
    <row r="819" spans="1:34" ht="13.2" x14ac:dyDescent="0.25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  <c r="AB819" s="121"/>
      <c r="AC819" s="121"/>
      <c r="AD819" s="121"/>
      <c r="AE819" s="121"/>
      <c r="AF819" s="121"/>
      <c r="AG819" s="121"/>
      <c r="AH819" s="120"/>
    </row>
    <row r="820" spans="1:34" ht="13.2" x14ac:dyDescent="0.25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  <c r="AB820" s="121"/>
      <c r="AC820" s="121"/>
      <c r="AD820" s="121"/>
      <c r="AE820" s="121"/>
      <c r="AF820" s="121"/>
      <c r="AG820" s="121"/>
      <c r="AH820" s="120"/>
    </row>
    <row r="821" spans="1:34" ht="13.2" x14ac:dyDescent="0.25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  <c r="AB821" s="121"/>
      <c r="AC821" s="121"/>
      <c r="AD821" s="121"/>
      <c r="AE821" s="121"/>
      <c r="AF821" s="121"/>
      <c r="AG821" s="121"/>
      <c r="AH821" s="120"/>
    </row>
    <row r="822" spans="1:34" ht="13.2" x14ac:dyDescent="0.25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121"/>
      <c r="AC822" s="121"/>
      <c r="AD822" s="121"/>
      <c r="AE822" s="121"/>
      <c r="AF822" s="121"/>
      <c r="AG822" s="121"/>
      <c r="AH822" s="120"/>
    </row>
    <row r="823" spans="1:34" ht="13.2" x14ac:dyDescent="0.25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121"/>
      <c r="AC823" s="121"/>
      <c r="AD823" s="121"/>
      <c r="AE823" s="121"/>
      <c r="AF823" s="121"/>
      <c r="AG823" s="121"/>
      <c r="AH823" s="120"/>
    </row>
    <row r="824" spans="1:34" ht="13.2" x14ac:dyDescent="0.25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121"/>
      <c r="AC824" s="121"/>
      <c r="AD824" s="121"/>
      <c r="AE824" s="121"/>
      <c r="AF824" s="121"/>
      <c r="AG824" s="121"/>
      <c r="AH824" s="120"/>
    </row>
    <row r="825" spans="1:34" ht="13.2" x14ac:dyDescent="0.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121"/>
      <c r="AC825" s="121"/>
      <c r="AD825" s="121"/>
      <c r="AE825" s="121"/>
      <c r="AF825" s="121"/>
      <c r="AG825" s="121"/>
      <c r="AH825" s="120"/>
    </row>
    <row r="826" spans="1:34" ht="13.2" x14ac:dyDescent="0.25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121"/>
      <c r="AC826" s="121"/>
      <c r="AD826" s="121"/>
      <c r="AE826" s="121"/>
      <c r="AF826" s="121"/>
      <c r="AG826" s="121"/>
      <c r="AH826" s="120"/>
    </row>
    <row r="827" spans="1:34" ht="13.2" x14ac:dyDescent="0.25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  <c r="AB827" s="121"/>
      <c r="AC827" s="121"/>
      <c r="AD827" s="121"/>
      <c r="AE827" s="121"/>
      <c r="AF827" s="121"/>
      <c r="AG827" s="121"/>
      <c r="AH827" s="120"/>
    </row>
    <row r="828" spans="1:34" ht="13.2" x14ac:dyDescent="0.25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  <c r="AB828" s="121"/>
      <c r="AC828" s="121"/>
      <c r="AD828" s="121"/>
      <c r="AE828" s="121"/>
      <c r="AF828" s="121"/>
      <c r="AG828" s="121"/>
      <c r="AH828" s="120"/>
    </row>
    <row r="829" spans="1:34" ht="13.2" x14ac:dyDescent="0.25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  <c r="AB829" s="121"/>
      <c r="AC829" s="121"/>
      <c r="AD829" s="121"/>
      <c r="AE829" s="121"/>
      <c r="AF829" s="121"/>
      <c r="AG829" s="121"/>
      <c r="AH829" s="120"/>
    </row>
    <row r="830" spans="1:34" ht="13.2" x14ac:dyDescent="0.25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  <c r="AB830" s="121"/>
      <c r="AC830" s="121"/>
      <c r="AD830" s="121"/>
      <c r="AE830" s="121"/>
      <c r="AF830" s="121"/>
      <c r="AG830" s="121"/>
      <c r="AH830" s="120"/>
    </row>
    <row r="831" spans="1:34" ht="13.2" x14ac:dyDescent="0.25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  <c r="AB831" s="121"/>
      <c r="AC831" s="121"/>
      <c r="AD831" s="121"/>
      <c r="AE831" s="121"/>
      <c r="AF831" s="121"/>
      <c r="AG831" s="121"/>
      <c r="AH831" s="120"/>
    </row>
    <row r="832" spans="1:34" ht="13.2" x14ac:dyDescent="0.25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  <c r="AB832" s="121"/>
      <c r="AC832" s="121"/>
      <c r="AD832" s="121"/>
      <c r="AE832" s="121"/>
      <c r="AF832" s="121"/>
      <c r="AG832" s="121"/>
      <c r="AH832" s="120"/>
    </row>
    <row r="833" spans="1:34" ht="13.2" x14ac:dyDescent="0.25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  <c r="AB833" s="121"/>
      <c r="AC833" s="121"/>
      <c r="AD833" s="121"/>
      <c r="AE833" s="121"/>
      <c r="AF833" s="121"/>
      <c r="AG833" s="121"/>
      <c r="AH833" s="120"/>
    </row>
    <row r="834" spans="1:34" ht="13.2" x14ac:dyDescent="0.25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  <c r="AB834" s="121"/>
      <c r="AC834" s="121"/>
      <c r="AD834" s="121"/>
      <c r="AE834" s="121"/>
      <c r="AF834" s="121"/>
      <c r="AG834" s="121"/>
      <c r="AH834" s="120"/>
    </row>
    <row r="835" spans="1:34" ht="13.2" x14ac:dyDescent="0.2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121"/>
      <c r="AC835" s="121"/>
      <c r="AD835" s="121"/>
      <c r="AE835" s="121"/>
      <c r="AF835" s="121"/>
      <c r="AG835" s="121"/>
      <c r="AH835" s="120"/>
    </row>
    <row r="836" spans="1:34" ht="13.2" x14ac:dyDescent="0.25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121"/>
      <c r="AC836" s="121"/>
      <c r="AD836" s="121"/>
      <c r="AE836" s="121"/>
      <c r="AF836" s="121"/>
      <c r="AG836" s="121"/>
      <c r="AH836" s="120"/>
    </row>
    <row r="837" spans="1:34" ht="13.2" x14ac:dyDescent="0.25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121"/>
      <c r="AC837" s="121"/>
      <c r="AD837" s="121"/>
      <c r="AE837" s="121"/>
      <c r="AF837" s="121"/>
      <c r="AG837" s="121"/>
      <c r="AH837" s="120"/>
    </row>
    <row r="838" spans="1:34" ht="13.2" x14ac:dyDescent="0.25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121"/>
      <c r="AC838" s="121"/>
      <c r="AD838" s="121"/>
      <c r="AE838" s="121"/>
      <c r="AF838" s="121"/>
      <c r="AG838" s="121"/>
      <c r="AH838" s="120"/>
    </row>
    <row r="839" spans="1:34" ht="13.2" x14ac:dyDescent="0.25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  <c r="AB839" s="121"/>
      <c r="AC839" s="121"/>
      <c r="AD839" s="121"/>
      <c r="AE839" s="121"/>
      <c r="AF839" s="121"/>
      <c r="AG839" s="121"/>
      <c r="AH839" s="120"/>
    </row>
    <row r="840" spans="1:34" ht="13.2" x14ac:dyDescent="0.25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  <c r="AB840" s="121"/>
      <c r="AC840" s="121"/>
      <c r="AD840" s="121"/>
      <c r="AE840" s="121"/>
      <c r="AF840" s="121"/>
      <c r="AG840" s="121"/>
      <c r="AH840" s="120"/>
    </row>
    <row r="841" spans="1:34" ht="13.2" x14ac:dyDescent="0.25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  <c r="AB841" s="121"/>
      <c r="AC841" s="121"/>
      <c r="AD841" s="121"/>
      <c r="AE841" s="121"/>
      <c r="AF841" s="121"/>
      <c r="AG841" s="121"/>
      <c r="AH841" s="120"/>
    </row>
    <row r="842" spans="1:34" ht="13.2" x14ac:dyDescent="0.25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  <c r="AB842" s="121"/>
      <c r="AC842" s="121"/>
      <c r="AD842" s="121"/>
      <c r="AE842" s="121"/>
      <c r="AF842" s="121"/>
      <c r="AG842" s="121"/>
      <c r="AH842" s="120"/>
    </row>
    <row r="843" spans="1:34" ht="13.2" x14ac:dyDescent="0.25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  <c r="AB843" s="121"/>
      <c r="AC843" s="121"/>
      <c r="AD843" s="121"/>
      <c r="AE843" s="121"/>
      <c r="AF843" s="121"/>
      <c r="AG843" s="121"/>
      <c r="AH843" s="120"/>
    </row>
    <row r="844" spans="1:34" ht="13.2" x14ac:dyDescent="0.25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  <c r="AB844" s="121"/>
      <c r="AC844" s="121"/>
      <c r="AD844" s="121"/>
      <c r="AE844" s="121"/>
      <c r="AF844" s="121"/>
      <c r="AG844" s="121"/>
      <c r="AH844" s="120"/>
    </row>
    <row r="845" spans="1:34" ht="13.2" x14ac:dyDescent="0.2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  <c r="AB845" s="121"/>
      <c r="AC845" s="121"/>
      <c r="AD845" s="121"/>
      <c r="AE845" s="121"/>
      <c r="AF845" s="121"/>
      <c r="AG845" s="121"/>
      <c r="AH845" s="120"/>
    </row>
    <row r="846" spans="1:34" ht="13.2" x14ac:dyDescent="0.25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  <c r="AB846" s="121"/>
      <c r="AC846" s="121"/>
      <c r="AD846" s="121"/>
      <c r="AE846" s="121"/>
      <c r="AF846" s="121"/>
      <c r="AG846" s="121"/>
      <c r="AH846" s="120"/>
    </row>
    <row r="847" spans="1:34" ht="13.2" x14ac:dyDescent="0.25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  <c r="AB847" s="121"/>
      <c r="AC847" s="121"/>
      <c r="AD847" s="121"/>
      <c r="AE847" s="121"/>
      <c r="AF847" s="121"/>
      <c r="AG847" s="121"/>
      <c r="AH847" s="120"/>
    </row>
    <row r="848" spans="1:34" ht="13.2" x14ac:dyDescent="0.25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  <c r="AB848" s="121"/>
      <c r="AC848" s="121"/>
      <c r="AD848" s="121"/>
      <c r="AE848" s="121"/>
      <c r="AF848" s="121"/>
      <c r="AG848" s="121"/>
      <c r="AH848" s="120"/>
    </row>
    <row r="849" spans="1:34" ht="13.2" x14ac:dyDescent="0.25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  <c r="AB849" s="121"/>
      <c r="AC849" s="121"/>
      <c r="AD849" s="121"/>
      <c r="AE849" s="121"/>
      <c r="AF849" s="121"/>
      <c r="AG849" s="121"/>
      <c r="AH849" s="120"/>
    </row>
    <row r="850" spans="1:34" ht="13.2" x14ac:dyDescent="0.25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  <c r="AB850" s="121"/>
      <c r="AC850" s="121"/>
      <c r="AD850" s="121"/>
      <c r="AE850" s="121"/>
      <c r="AF850" s="121"/>
      <c r="AG850" s="121"/>
      <c r="AH850" s="120"/>
    </row>
    <row r="851" spans="1:34" ht="13.2" x14ac:dyDescent="0.25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  <c r="AB851" s="121"/>
      <c r="AC851" s="121"/>
      <c r="AD851" s="121"/>
      <c r="AE851" s="121"/>
      <c r="AF851" s="121"/>
      <c r="AG851" s="121"/>
      <c r="AH851" s="120"/>
    </row>
    <row r="852" spans="1:34" ht="13.2" x14ac:dyDescent="0.25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  <c r="AB852" s="121"/>
      <c r="AC852" s="121"/>
      <c r="AD852" s="121"/>
      <c r="AE852" s="121"/>
      <c r="AF852" s="121"/>
      <c r="AG852" s="121"/>
      <c r="AH852" s="120"/>
    </row>
    <row r="853" spans="1:34" ht="13.2" x14ac:dyDescent="0.25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  <c r="AB853" s="121"/>
      <c r="AC853" s="121"/>
      <c r="AD853" s="121"/>
      <c r="AE853" s="121"/>
      <c r="AF853" s="121"/>
      <c r="AG853" s="121"/>
      <c r="AH853" s="120"/>
    </row>
    <row r="854" spans="1:34" ht="13.2" x14ac:dyDescent="0.25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  <c r="AB854" s="121"/>
      <c r="AC854" s="121"/>
      <c r="AD854" s="121"/>
      <c r="AE854" s="121"/>
      <c r="AF854" s="121"/>
      <c r="AG854" s="121"/>
      <c r="AH854" s="120"/>
    </row>
    <row r="855" spans="1:34" ht="13.2" x14ac:dyDescent="0.2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  <c r="AB855" s="121"/>
      <c r="AC855" s="121"/>
      <c r="AD855" s="121"/>
      <c r="AE855" s="121"/>
      <c r="AF855" s="121"/>
      <c r="AG855" s="121"/>
      <c r="AH855" s="120"/>
    </row>
    <row r="856" spans="1:34" ht="13.2" x14ac:dyDescent="0.25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  <c r="AB856" s="121"/>
      <c r="AC856" s="121"/>
      <c r="AD856" s="121"/>
      <c r="AE856" s="121"/>
      <c r="AF856" s="121"/>
      <c r="AG856" s="121"/>
      <c r="AH856" s="120"/>
    </row>
    <row r="857" spans="1:34" ht="13.2" x14ac:dyDescent="0.25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  <c r="AB857" s="121"/>
      <c r="AC857" s="121"/>
      <c r="AD857" s="121"/>
      <c r="AE857" s="121"/>
      <c r="AF857" s="121"/>
      <c r="AG857" s="121"/>
      <c r="AH857" s="120"/>
    </row>
    <row r="858" spans="1:34" ht="13.2" x14ac:dyDescent="0.25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  <c r="AB858" s="121"/>
      <c r="AC858" s="121"/>
      <c r="AD858" s="121"/>
      <c r="AE858" s="121"/>
      <c r="AF858" s="121"/>
      <c r="AG858" s="121"/>
      <c r="AH858" s="120"/>
    </row>
    <row r="859" spans="1:34" ht="13.2" x14ac:dyDescent="0.25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  <c r="AB859" s="121"/>
      <c r="AC859" s="121"/>
      <c r="AD859" s="121"/>
      <c r="AE859" s="121"/>
      <c r="AF859" s="121"/>
      <c r="AG859" s="121"/>
      <c r="AH859" s="120"/>
    </row>
    <row r="860" spans="1:34" ht="13.2" x14ac:dyDescent="0.25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  <c r="AB860" s="121"/>
      <c r="AC860" s="121"/>
      <c r="AD860" s="121"/>
      <c r="AE860" s="121"/>
      <c r="AF860" s="121"/>
      <c r="AG860" s="121"/>
      <c r="AH860" s="120"/>
    </row>
    <row r="861" spans="1:34" ht="13.2" x14ac:dyDescent="0.25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  <c r="AB861" s="121"/>
      <c r="AC861" s="121"/>
      <c r="AD861" s="121"/>
      <c r="AE861" s="121"/>
      <c r="AF861" s="121"/>
      <c r="AG861" s="121"/>
      <c r="AH861" s="120"/>
    </row>
    <row r="862" spans="1:34" ht="13.2" x14ac:dyDescent="0.25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  <c r="AB862" s="121"/>
      <c r="AC862" s="121"/>
      <c r="AD862" s="121"/>
      <c r="AE862" s="121"/>
      <c r="AF862" s="121"/>
      <c r="AG862" s="121"/>
      <c r="AH862" s="120"/>
    </row>
    <row r="863" spans="1:34" ht="13.2" x14ac:dyDescent="0.25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  <c r="AB863" s="121"/>
      <c r="AC863" s="121"/>
      <c r="AD863" s="121"/>
      <c r="AE863" s="121"/>
      <c r="AF863" s="121"/>
      <c r="AG863" s="121"/>
      <c r="AH863" s="120"/>
    </row>
    <row r="864" spans="1:34" ht="13.2" x14ac:dyDescent="0.25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  <c r="AB864" s="121"/>
      <c r="AC864" s="121"/>
      <c r="AD864" s="121"/>
      <c r="AE864" s="121"/>
      <c r="AF864" s="121"/>
      <c r="AG864" s="121"/>
      <c r="AH864" s="120"/>
    </row>
    <row r="865" spans="1:34" ht="13.2" x14ac:dyDescent="0.2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  <c r="AB865" s="121"/>
      <c r="AC865" s="121"/>
      <c r="AD865" s="121"/>
      <c r="AE865" s="121"/>
      <c r="AF865" s="121"/>
      <c r="AG865" s="121"/>
      <c r="AH865" s="120"/>
    </row>
    <row r="866" spans="1:34" ht="13.2" x14ac:dyDescent="0.25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  <c r="AB866" s="121"/>
      <c r="AC866" s="121"/>
      <c r="AD866" s="121"/>
      <c r="AE866" s="121"/>
      <c r="AF866" s="121"/>
      <c r="AG866" s="121"/>
      <c r="AH866" s="120"/>
    </row>
    <row r="867" spans="1:34" ht="13.2" x14ac:dyDescent="0.25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  <c r="AB867" s="121"/>
      <c r="AC867" s="121"/>
      <c r="AD867" s="121"/>
      <c r="AE867" s="121"/>
      <c r="AF867" s="121"/>
      <c r="AG867" s="121"/>
      <c r="AH867" s="120"/>
    </row>
    <row r="868" spans="1:34" ht="13.2" x14ac:dyDescent="0.25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  <c r="AB868" s="121"/>
      <c r="AC868" s="121"/>
      <c r="AD868" s="121"/>
      <c r="AE868" s="121"/>
      <c r="AF868" s="121"/>
      <c r="AG868" s="121"/>
      <c r="AH868" s="120"/>
    </row>
    <row r="869" spans="1:34" ht="13.2" x14ac:dyDescent="0.25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  <c r="AB869" s="121"/>
      <c r="AC869" s="121"/>
      <c r="AD869" s="121"/>
      <c r="AE869" s="121"/>
      <c r="AF869" s="121"/>
      <c r="AG869" s="121"/>
      <c r="AH869" s="120"/>
    </row>
    <row r="870" spans="1:34" ht="13.2" x14ac:dyDescent="0.25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  <c r="AB870" s="121"/>
      <c r="AC870" s="121"/>
      <c r="AD870" s="121"/>
      <c r="AE870" s="121"/>
      <c r="AF870" s="121"/>
      <c r="AG870" s="121"/>
      <c r="AH870" s="120"/>
    </row>
    <row r="871" spans="1:34" ht="13.2" x14ac:dyDescent="0.25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  <c r="AB871" s="121"/>
      <c r="AC871" s="121"/>
      <c r="AD871" s="121"/>
      <c r="AE871" s="121"/>
      <c r="AF871" s="121"/>
      <c r="AG871" s="121"/>
      <c r="AH871" s="120"/>
    </row>
    <row r="872" spans="1:34" ht="13.2" x14ac:dyDescent="0.25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  <c r="AB872" s="121"/>
      <c r="AC872" s="121"/>
      <c r="AD872" s="121"/>
      <c r="AE872" s="121"/>
      <c r="AF872" s="121"/>
      <c r="AG872" s="121"/>
      <c r="AH872" s="120"/>
    </row>
    <row r="873" spans="1:34" ht="13.2" x14ac:dyDescent="0.25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  <c r="AB873" s="121"/>
      <c r="AC873" s="121"/>
      <c r="AD873" s="121"/>
      <c r="AE873" s="121"/>
      <c r="AF873" s="121"/>
      <c r="AG873" s="121"/>
      <c r="AH873" s="120"/>
    </row>
    <row r="874" spans="1:34" ht="13.2" x14ac:dyDescent="0.25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  <c r="AB874" s="121"/>
      <c r="AC874" s="121"/>
      <c r="AD874" s="121"/>
      <c r="AE874" s="121"/>
      <c r="AF874" s="121"/>
      <c r="AG874" s="121"/>
      <c r="AH874" s="120"/>
    </row>
    <row r="875" spans="1:34" ht="13.2" x14ac:dyDescent="0.2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  <c r="AB875" s="121"/>
      <c r="AC875" s="121"/>
      <c r="AD875" s="121"/>
      <c r="AE875" s="121"/>
      <c r="AF875" s="121"/>
      <c r="AG875" s="121"/>
      <c r="AH875" s="120"/>
    </row>
    <row r="876" spans="1:34" ht="13.2" x14ac:dyDescent="0.25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  <c r="AB876" s="121"/>
      <c r="AC876" s="121"/>
      <c r="AD876" s="121"/>
      <c r="AE876" s="121"/>
      <c r="AF876" s="121"/>
      <c r="AG876" s="121"/>
      <c r="AH876" s="120"/>
    </row>
    <row r="877" spans="1:34" ht="13.2" x14ac:dyDescent="0.25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  <c r="AB877" s="121"/>
      <c r="AC877" s="121"/>
      <c r="AD877" s="121"/>
      <c r="AE877" s="121"/>
      <c r="AF877" s="121"/>
      <c r="AG877" s="121"/>
      <c r="AH877" s="120"/>
    </row>
    <row r="878" spans="1:34" ht="13.2" x14ac:dyDescent="0.25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  <c r="AB878" s="121"/>
      <c r="AC878" s="121"/>
      <c r="AD878" s="121"/>
      <c r="AE878" s="121"/>
      <c r="AF878" s="121"/>
      <c r="AG878" s="121"/>
      <c r="AH878" s="120"/>
    </row>
    <row r="879" spans="1:34" ht="13.2" x14ac:dyDescent="0.25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  <c r="AB879" s="121"/>
      <c r="AC879" s="121"/>
      <c r="AD879" s="121"/>
      <c r="AE879" s="121"/>
      <c r="AF879" s="121"/>
      <c r="AG879" s="121"/>
      <c r="AH879" s="120"/>
    </row>
    <row r="880" spans="1:34" ht="13.2" x14ac:dyDescent="0.25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  <c r="AB880" s="121"/>
      <c r="AC880" s="121"/>
      <c r="AD880" s="121"/>
      <c r="AE880" s="121"/>
      <c r="AF880" s="121"/>
      <c r="AG880" s="121"/>
      <c r="AH880" s="120"/>
    </row>
    <row r="881" spans="1:34" ht="13.2" x14ac:dyDescent="0.25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  <c r="AB881" s="121"/>
      <c r="AC881" s="121"/>
      <c r="AD881" s="121"/>
      <c r="AE881" s="121"/>
      <c r="AF881" s="121"/>
      <c r="AG881" s="121"/>
      <c r="AH881" s="120"/>
    </row>
    <row r="882" spans="1:34" ht="13.2" x14ac:dyDescent="0.25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  <c r="AB882" s="121"/>
      <c r="AC882" s="121"/>
      <c r="AD882" s="121"/>
      <c r="AE882" s="121"/>
      <c r="AF882" s="121"/>
      <c r="AG882" s="121"/>
      <c r="AH882" s="120"/>
    </row>
    <row r="883" spans="1:34" ht="13.2" x14ac:dyDescent="0.25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  <c r="AB883" s="121"/>
      <c r="AC883" s="121"/>
      <c r="AD883" s="121"/>
      <c r="AE883" s="121"/>
      <c r="AF883" s="121"/>
      <c r="AG883" s="121"/>
      <c r="AH883" s="120"/>
    </row>
    <row r="884" spans="1:34" ht="13.2" x14ac:dyDescent="0.25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  <c r="AB884" s="121"/>
      <c r="AC884" s="121"/>
      <c r="AD884" s="121"/>
      <c r="AE884" s="121"/>
      <c r="AF884" s="121"/>
      <c r="AG884" s="121"/>
      <c r="AH884" s="120"/>
    </row>
    <row r="885" spans="1:34" ht="13.2" x14ac:dyDescent="0.2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  <c r="AB885" s="121"/>
      <c r="AC885" s="121"/>
      <c r="AD885" s="121"/>
      <c r="AE885" s="121"/>
      <c r="AF885" s="121"/>
      <c r="AG885" s="121"/>
      <c r="AH885" s="120"/>
    </row>
    <row r="886" spans="1:34" ht="13.2" x14ac:dyDescent="0.25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  <c r="AB886" s="121"/>
      <c r="AC886" s="121"/>
      <c r="AD886" s="121"/>
      <c r="AE886" s="121"/>
      <c r="AF886" s="121"/>
      <c r="AG886" s="121"/>
      <c r="AH886" s="120"/>
    </row>
    <row r="887" spans="1:34" ht="13.2" x14ac:dyDescent="0.25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  <c r="AB887" s="121"/>
      <c r="AC887" s="121"/>
      <c r="AD887" s="121"/>
      <c r="AE887" s="121"/>
      <c r="AF887" s="121"/>
      <c r="AG887" s="121"/>
      <c r="AH887" s="120"/>
    </row>
    <row r="888" spans="1:34" ht="13.2" x14ac:dyDescent="0.25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  <c r="AB888" s="121"/>
      <c r="AC888" s="121"/>
      <c r="AD888" s="121"/>
      <c r="AE888" s="121"/>
      <c r="AF888" s="121"/>
      <c r="AG888" s="121"/>
      <c r="AH888" s="120"/>
    </row>
    <row r="889" spans="1:34" ht="13.2" x14ac:dyDescent="0.25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  <c r="AB889" s="121"/>
      <c r="AC889" s="121"/>
      <c r="AD889" s="121"/>
      <c r="AE889" s="121"/>
      <c r="AF889" s="121"/>
      <c r="AG889" s="121"/>
      <c r="AH889" s="120"/>
    </row>
    <row r="890" spans="1:34" ht="13.2" x14ac:dyDescent="0.25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  <c r="AB890" s="121"/>
      <c r="AC890" s="121"/>
      <c r="AD890" s="121"/>
      <c r="AE890" s="121"/>
      <c r="AF890" s="121"/>
      <c r="AG890" s="121"/>
      <c r="AH890" s="120"/>
    </row>
    <row r="891" spans="1:34" ht="13.2" x14ac:dyDescent="0.25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  <c r="AB891" s="121"/>
      <c r="AC891" s="121"/>
      <c r="AD891" s="121"/>
      <c r="AE891" s="121"/>
      <c r="AF891" s="121"/>
      <c r="AG891" s="121"/>
      <c r="AH891" s="120"/>
    </row>
    <row r="892" spans="1:34" ht="13.2" x14ac:dyDescent="0.25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  <c r="AB892" s="121"/>
      <c r="AC892" s="121"/>
      <c r="AD892" s="121"/>
      <c r="AE892" s="121"/>
      <c r="AF892" s="121"/>
      <c r="AG892" s="121"/>
      <c r="AH892" s="120"/>
    </row>
    <row r="893" spans="1:34" ht="13.2" x14ac:dyDescent="0.25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  <c r="AB893" s="121"/>
      <c r="AC893" s="121"/>
      <c r="AD893" s="121"/>
      <c r="AE893" s="121"/>
      <c r="AF893" s="121"/>
      <c r="AG893" s="121"/>
      <c r="AH893" s="120"/>
    </row>
    <row r="894" spans="1:34" ht="13.2" x14ac:dyDescent="0.25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  <c r="AB894" s="121"/>
      <c r="AC894" s="121"/>
      <c r="AD894" s="121"/>
      <c r="AE894" s="121"/>
      <c r="AF894" s="121"/>
      <c r="AG894" s="121"/>
      <c r="AH894" s="120"/>
    </row>
    <row r="895" spans="1:34" ht="13.2" x14ac:dyDescent="0.2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  <c r="AB895" s="121"/>
      <c r="AC895" s="121"/>
      <c r="AD895" s="121"/>
      <c r="AE895" s="121"/>
      <c r="AF895" s="121"/>
      <c r="AG895" s="121"/>
      <c r="AH895" s="120"/>
    </row>
    <row r="896" spans="1:34" ht="13.2" x14ac:dyDescent="0.25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  <c r="AB896" s="121"/>
      <c r="AC896" s="121"/>
      <c r="AD896" s="121"/>
      <c r="AE896" s="121"/>
      <c r="AF896" s="121"/>
      <c r="AG896" s="121"/>
      <c r="AH896" s="120"/>
    </row>
    <row r="897" spans="1:34" ht="13.2" x14ac:dyDescent="0.25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  <c r="AB897" s="121"/>
      <c r="AC897" s="121"/>
      <c r="AD897" s="121"/>
      <c r="AE897" s="121"/>
      <c r="AF897" s="121"/>
      <c r="AG897" s="121"/>
      <c r="AH897" s="120"/>
    </row>
    <row r="898" spans="1:34" ht="13.2" x14ac:dyDescent="0.25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  <c r="AB898" s="121"/>
      <c r="AC898" s="121"/>
      <c r="AD898" s="121"/>
      <c r="AE898" s="121"/>
      <c r="AF898" s="121"/>
      <c r="AG898" s="121"/>
      <c r="AH898" s="120"/>
    </row>
    <row r="899" spans="1:34" ht="13.2" x14ac:dyDescent="0.25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  <c r="AB899" s="121"/>
      <c r="AC899" s="121"/>
      <c r="AD899" s="121"/>
      <c r="AE899" s="121"/>
      <c r="AF899" s="121"/>
      <c r="AG899" s="121"/>
      <c r="AH899" s="120"/>
    </row>
    <row r="900" spans="1:34" ht="13.2" x14ac:dyDescent="0.25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  <c r="AB900" s="121"/>
      <c r="AC900" s="121"/>
      <c r="AD900" s="121"/>
      <c r="AE900" s="121"/>
      <c r="AF900" s="121"/>
      <c r="AG900" s="121"/>
      <c r="AH900" s="120"/>
    </row>
    <row r="901" spans="1:34" ht="13.2" x14ac:dyDescent="0.25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  <c r="AB901" s="121"/>
      <c r="AC901" s="121"/>
      <c r="AD901" s="121"/>
      <c r="AE901" s="121"/>
      <c r="AF901" s="121"/>
      <c r="AG901" s="121"/>
      <c r="AH901" s="120"/>
    </row>
    <row r="902" spans="1:34" ht="13.2" x14ac:dyDescent="0.25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  <c r="AB902" s="121"/>
      <c r="AC902" s="121"/>
      <c r="AD902" s="121"/>
      <c r="AE902" s="121"/>
      <c r="AF902" s="121"/>
      <c r="AG902" s="121"/>
      <c r="AH902" s="120"/>
    </row>
    <row r="903" spans="1:34" ht="13.2" x14ac:dyDescent="0.25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  <c r="AB903" s="121"/>
      <c r="AC903" s="121"/>
      <c r="AD903" s="121"/>
      <c r="AE903" s="121"/>
      <c r="AF903" s="121"/>
      <c r="AG903" s="121"/>
      <c r="AH903" s="120"/>
    </row>
    <row r="904" spans="1:34" ht="13.2" x14ac:dyDescent="0.25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  <c r="AB904" s="121"/>
      <c r="AC904" s="121"/>
      <c r="AD904" s="121"/>
      <c r="AE904" s="121"/>
      <c r="AF904" s="121"/>
      <c r="AG904" s="121"/>
      <c r="AH904" s="120"/>
    </row>
    <row r="905" spans="1:34" ht="13.2" x14ac:dyDescent="0.2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  <c r="AB905" s="121"/>
      <c r="AC905" s="121"/>
      <c r="AD905" s="121"/>
      <c r="AE905" s="121"/>
      <c r="AF905" s="121"/>
      <c r="AG905" s="121"/>
      <c r="AH905" s="120"/>
    </row>
    <row r="906" spans="1:34" ht="13.2" x14ac:dyDescent="0.25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  <c r="AB906" s="121"/>
      <c r="AC906" s="121"/>
      <c r="AD906" s="121"/>
      <c r="AE906" s="121"/>
      <c r="AF906" s="121"/>
      <c r="AG906" s="121"/>
      <c r="AH906" s="120"/>
    </row>
    <row r="907" spans="1:34" ht="13.2" x14ac:dyDescent="0.25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  <c r="AB907" s="121"/>
      <c r="AC907" s="121"/>
      <c r="AD907" s="121"/>
      <c r="AE907" s="121"/>
      <c r="AF907" s="121"/>
      <c r="AG907" s="121"/>
      <c r="AH907" s="120"/>
    </row>
    <row r="908" spans="1:34" ht="13.2" x14ac:dyDescent="0.25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  <c r="AB908" s="121"/>
      <c r="AC908" s="121"/>
      <c r="AD908" s="121"/>
      <c r="AE908" s="121"/>
      <c r="AF908" s="121"/>
      <c r="AG908" s="121"/>
      <c r="AH908" s="120"/>
    </row>
    <row r="909" spans="1:34" ht="13.2" x14ac:dyDescent="0.25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  <c r="AB909" s="121"/>
      <c r="AC909" s="121"/>
      <c r="AD909" s="121"/>
      <c r="AE909" s="121"/>
      <c r="AF909" s="121"/>
      <c r="AG909" s="121"/>
      <c r="AH909" s="120"/>
    </row>
    <row r="910" spans="1:34" ht="13.2" x14ac:dyDescent="0.25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  <c r="AB910" s="121"/>
      <c r="AC910" s="121"/>
      <c r="AD910" s="121"/>
      <c r="AE910" s="121"/>
      <c r="AF910" s="121"/>
      <c r="AG910" s="121"/>
      <c r="AH910" s="120"/>
    </row>
    <row r="911" spans="1:34" ht="13.2" x14ac:dyDescent="0.25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  <c r="AB911" s="121"/>
      <c r="AC911" s="121"/>
      <c r="AD911" s="121"/>
      <c r="AE911" s="121"/>
      <c r="AF911" s="121"/>
      <c r="AG911" s="121"/>
      <c r="AH911" s="120"/>
    </row>
    <row r="912" spans="1:34" ht="13.2" x14ac:dyDescent="0.25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  <c r="AB912" s="121"/>
      <c r="AC912" s="121"/>
      <c r="AD912" s="121"/>
      <c r="AE912" s="121"/>
      <c r="AF912" s="121"/>
      <c r="AG912" s="121"/>
      <c r="AH912" s="120"/>
    </row>
    <row r="913" spans="1:34" ht="13.2" x14ac:dyDescent="0.25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  <c r="AB913" s="121"/>
      <c r="AC913" s="121"/>
      <c r="AD913" s="121"/>
      <c r="AE913" s="121"/>
      <c r="AF913" s="121"/>
      <c r="AG913" s="121"/>
      <c r="AH913" s="120"/>
    </row>
    <row r="914" spans="1:34" ht="13.2" x14ac:dyDescent="0.25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  <c r="AB914" s="121"/>
      <c r="AC914" s="121"/>
      <c r="AD914" s="121"/>
      <c r="AE914" s="121"/>
      <c r="AF914" s="121"/>
      <c r="AG914" s="121"/>
      <c r="AH914" s="120"/>
    </row>
    <row r="915" spans="1:34" ht="13.2" x14ac:dyDescent="0.2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  <c r="AB915" s="121"/>
      <c r="AC915" s="121"/>
      <c r="AD915" s="121"/>
      <c r="AE915" s="121"/>
      <c r="AF915" s="121"/>
      <c r="AG915" s="121"/>
      <c r="AH915" s="120"/>
    </row>
    <row r="916" spans="1:34" ht="13.2" x14ac:dyDescent="0.25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  <c r="AB916" s="121"/>
      <c r="AC916" s="121"/>
      <c r="AD916" s="121"/>
      <c r="AE916" s="121"/>
      <c r="AF916" s="121"/>
      <c r="AG916" s="121"/>
      <c r="AH916" s="120"/>
    </row>
    <row r="917" spans="1:34" ht="13.2" x14ac:dyDescent="0.25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  <c r="AB917" s="121"/>
      <c r="AC917" s="121"/>
      <c r="AD917" s="121"/>
      <c r="AE917" s="121"/>
      <c r="AF917" s="121"/>
      <c r="AG917" s="121"/>
      <c r="AH917" s="120"/>
    </row>
    <row r="918" spans="1:34" ht="13.2" x14ac:dyDescent="0.25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  <c r="AB918" s="121"/>
      <c r="AC918" s="121"/>
      <c r="AD918" s="121"/>
      <c r="AE918" s="121"/>
      <c r="AF918" s="121"/>
      <c r="AG918" s="121"/>
      <c r="AH918" s="120"/>
    </row>
    <row r="919" spans="1:34" ht="13.2" x14ac:dyDescent="0.25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  <c r="AB919" s="121"/>
      <c r="AC919" s="121"/>
      <c r="AD919" s="121"/>
      <c r="AE919" s="121"/>
      <c r="AF919" s="121"/>
      <c r="AG919" s="121"/>
      <c r="AH919" s="120"/>
    </row>
    <row r="920" spans="1:34" ht="13.2" x14ac:dyDescent="0.25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  <c r="AB920" s="121"/>
      <c r="AC920" s="121"/>
      <c r="AD920" s="121"/>
      <c r="AE920" s="121"/>
      <c r="AF920" s="121"/>
      <c r="AG920" s="121"/>
      <c r="AH920" s="120"/>
    </row>
    <row r="921" spans="1:34" ht="13.2" x14ac:dyDescent="0.25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  <c r="AB921" s="121"/>
      <c r="AC921" s="121"/>
      <c r="AD921" s="121"/>
      <c r="AE921" s="121"/>
      <c r="AF921" s="121"/>
      <c r="AG921" s="121"/>
      <c r="AH921" s="120"/>
    </row>
    <row r="922" spans="1:34" ht="13.2" x14ac:dyDescent="0.25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  <c r="AB922" s="121"/>
      <c r="AC922" s="121"/>
      <c r="AD922" s="121"/>
      <c r="AE922" s="121"/>
      <c r="AF922" s="121"/>
      <c r="AG922" s="121"/>
      <c r="AH922" s="120"/>
    </row>
    <row r="923" spans="1:34" ht="13.2" x14ac:dyDescent="0.25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  <c r="AB923" s="121"/>
      <c r="AC923" s="121"/>
      <c r="AD923" s="121"/>
      <c r="AE923" s="121"/>
      <c r="AF923" s="121"/>
      <c r="AG923" s="121"/>
      <c r="AH923" s="120"/>
    </row>
    <row r="924" spans="1:34" ht="13.2" x14ac:dyDescent="0.25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  <c r="AB924" s="121"/>
      <c r="AC924" s="121"/>
      <c r="AD924" s="121"/>
      <c r="AE924" s="121"/>
      <c r="AF924" s="121"/>
      <c r="AG924" s="121"/>
      <c r="AH924" s="120"/>
    </row>
    <row r="925" spans="1:34" ht="13.2" x14ac:dyDescent="0.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  <c r="AB925" s="121"/>
      <c r="AC925" s="121"/>
      <c r="AD925" s="121"/>
      <c r="AE925" s="121"/>
      <c r="AF925" s="121"/>
      <c r="AG925" s="121"/>
      <c r="AH925" s="120"/>
    </row>
    <row r="926" spans="1:34" ht="13.2" x14ac:dyDescent="0.25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  <c r="AB926" s="121"/>
      <c r="AC926" s="121"/>
      <c r="AD926" s="121"/>
      <c r="AE926" s="121"/>
      <c r="AF926" s="121"/>
      <c r="AG926" s="121"/>
      <c r="AH926" s="120"/>
    </row>
    <row r="927" spans="1:34" ht="13.2" x14ac:dyDescent="0.25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  <c r="AB927" s="121"/>
      <c r="AC927" s="121"/>
      <c r="AD927" s="121"/>
      <c r="AE927" s="121"/>
      <c r="AF927" s="121"/>
      <c r="AG927" s="121"/>
      <c r="AH927" s="120"/>
    </row>
    <row r="928" spans="1:34" ht="13.2" x14ac:dyDescent="0.25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  <c r="AB928" s="121"/>
      <c r="AC928" s="121"/>
      <c r="AD928" s="121"/>
      <c r="AE928" s="121"/>
      <c r="AF928" s="121"/>
      <c r="AG928" s="121"/>
      <c r="AH928" s="120"/>
    </row>
    <row r="929" spans="1:34" ht="13.2" x14ac:dyDescent="0.25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  <c r="AB929" s="121"/>
      <c r="AC929" s="121"/>
      <c r="AD929" s="121"/>
      <c r="AE929" s="121"/>
      <c r="AF929" s="121"/>
      <c r="AG929" s="121"/>
      <c r="AH929" s="120"/>
    </row>
    <row r="930" spans="1:34" ht="13.2" x14ac:dyDescent="0.25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  <c r="AB930" s="121"/>
      <c r="AC930" s="121"/>
      <c r="AD930" s="121"/>
      <c r="AE930" s="121"/>
      <c r="AF930" s="121"/>
      <c r="AG930" s="121"/>
      <c r="AH930" s="120"/>
    </row>
    <row r="931" spans="1:34" ht="13.2" x14ac:dyDescent="0.25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  <c r="AB931" s="121"/>
      <c r="AC931" s="121"/>
      <c r="AD931" s="121"/>
      <c r="AE931" s="121"/>
      <c r="AF931" s="121"/>
      <c r="AG931" s="121"/>
      <c r="AH931" s="120"/>
    </row>
    <row r="932" spans="1:34" ht="13.2" x14ac:dyDescent="0.25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  <c r="AB932" s="121"/>
      <c r="AC932" s="121"/>
      <c r="AD932" s="121"/>
      <c r="AE932" s="121"/>
      <c r="AF932" s="121"/>
      <c r="AG932" s="121"/>
      <c r="AH932" s="120"/>
    </row>
    <row r="933" spans="1:34" ht="13.2" x14ac:dyDescent="0.25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  <c r="AB933" s="121"/>
      <c r="AC933" s="121"/>
      <c r="AD933" s="121"/>
      <c r="AE933" s="121"/>
      <c r="AF933" s="121"/>
      <c r="AG933" s="121"/>
      <c r="AH933" s="120"/>
    </row>
    <row r="934" spans="1:34" ht="13.2" x14ac:dyDescent="0.25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  <c r="AB934" s="121"/>
      <c r="AC934" s="121"/>
      <c r="AD934" s="121"/>
      <c r="AE934" s="121"/>
      <c r="AF934" s="121"/>
      <c r="AG934" s="121"/>
      <c r="AH934" s="120"/>
    </row>
    <row r="935" spans="1:34" ht="13.2" x14ac:dyDescent="0.2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  <c r="AB935" s="121"/>
      <c r="AC935" s="121"/>
      <c r="AD935" s="121"/>
      <c r="AE935" s="121"/>
      <c r="AF935" s="121"/>
      <c r="AG935" s="121"/>
      <c r="AH935" s="120"/>
    </row>
    <row r="936" spans="1:34" ht="13.2" x14ac:dyDescent="0.25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  <c r="AB936" s="121"/>
      <c r="AC936" s="121"/>
      <c r="AD936" s="121"/>
      <c r="AE936" s="121"/>
      <c r="AF936" s="121"/>
      <c r="AG936" s="121"/>
      <c r="AH936" s="120"/>
    </row>
    <row r="937" spans="1:34" ht="13.2" x14ac:dyDescent="0.25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  <c r="AA937" s="81"/>
      <c r="AB937" s="121"/>
      <c r="AC937" s="121"/>
      <c r="AD937" s="121"/>
      <c r="AE937" s="121"/>
      <c r="AF937" s="121"/>
      <c r="AG937" s="121"/>
      <c r="AH937" s="120"/>
    </row>
    <row r="938" spans="1:34" ht="13.2" x14ac:dyDescent="0.25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  <c r="AA938" s="81"/>
      <c r="AB938" s="121"/>
      <c r="AC938" s="121"/>
      <c r="AD938" s="121"/>
      <c r="AE938" s="121"/>
      <c r="AF938" s="121"/>
      <c r="AG938" s="121"/>
      <c r="AH938" s="120"/>
    </row>
    <row r="939" spans="1:34" ht="13.2" x14ac:dyDescent="0.25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  <c r="AA939" s="81"/>
      <c r="AB939" s="121"/>
      <c r="AC939" s="121"/>
      <c r="AD939" s="121"/>
      <c r="AE939" s="121"/>
      <c r="AF939" s="121"/>
      <c r="AG939" s="121"/>
      <c r="AH939" s="120"/>
    </row>
    <row r="940" spans="1:34" ht="13.2" x14ac:dyDescent="0.25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  <c r="AA940" s="81"/>
      <c r="AB940" s="121"/>
      <c r="AC940" s="121"/>
      <c r="AD940" s="121"/>
      <c r="AE940" s="121"/>
      <c r="AF940" s="121"/>
      <c r="AG940" s="121"/>
      <c r="AH940" s="120"/>
    </row>
    <row r="941" spans="1:34" ht="13.2" x14ac:dyDescent="0.25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  <c r="AA941" s="81"/>
      <c r="AB941" s="121"/>
      <c r="AC941" s="121"/>
      <c r="AD941" s="121"/>
      <c r="AE941" s="121"/>
      <c r="AF941" s="121"/>
      <c r="AG941" s="121"/>
      <c r="AH941" s="120"/>
    </row>
    <row r="942" spans="1:34" ht="13.2" x14ac:dyDescent="0.25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  <c r="AA942" s="81"/>
      <c r="AB942" s="121"/>
      <c r="AC942" s="121"/>
      <c r="AD942" s="121"/>
      <c r="AE942" s="121"/>
      <c r="AF942" s="121"/>
      <c r="AG942" s="121"/>
      <c r="AH942" s="120"/>
    </row>
    <row r="943" spans="1:34" ht="13.2" x14ac:dyDescent="0.25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  <c r="AA943" s="81"/>
      <c r="AB943" s="121"/>
      <c r="AC943" s="121"/>
      <c r="AD943" s="121"/>
      <c r="AE943" s="121"/>
      <c r="AF943" s="121"/>
      <c r="AG943" s="121"/>
      <c r="AH943" s="120"/>
    </row>
    <row r="944" spans="1:34" ht="13.2" x14ac:dyDescent="0.25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  <c r="AA944" s="81"/>
      <c r="AB944" s="121"/>
      <c r="AC944" s="121"/>
      <c r="AD944" s="121"/>
      <c r="AE944" s="121"/>
      <c r="AF944" s="121"/>
      <c r="AG944" s="121"/>
      <c r="AH944" s="120"/>
    </row>
    <row r="945" spans="1:34" ht="13.2" x14ac:dyDescent="0.2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  <c r="AA945" s="81"/>
      <c r="AB945" s="121"/>
      <c r="AC945" s="121"/>
      <c r="AD945" s="121"/>
      <c r="AE945" s="121"/>
      <c r="AF945" s="121"/>
      <c r="AG945" s="121"/>
      <c r="AH945" s="120"/>
    </row>
    <row r="946" spans="1:34" ht="13.2" x14ac:dyDescent="0.25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  <c r="AA946" s="81"/>
      <c r="AB946" s="121"/>
      <c r="AC946" s="121"/>
      <c r="AD946" s="121"/>
      <c r="AE946" s="121"/>
      <c r="AF946" s="121"/>
      <c r="AG946" s="121"/>
      <c r="AH946" s="120"/>
    </row>
    <row r="947" spans="1:34" ht="13.2" x14ac:dyDescent="0.25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  <c r="AA947" s="81"/>
      <c r="AB947" s="121"/>
      <c r="AC947" s="121"/>
      <c r="AD947" s="121"/>
      <c r="AE947" s="121"/>
      <c r="AF947" s="121"/>
      <c r="AG947" s="121"/>
      <c r="AH947" s="120"/>
    </row>
    <row r="948" spans="1:34" ht="13.2" x14ac:dyDescent="0.25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  <c r="AA948" s="81"/>
      <c r="AB948" s="121"/>
      <c r="AC948" s="121"/>
      <c r="AD948" s="121"/>
      <c r="AE948" s="121"/>
      <c r="AF948" s="121"/>
      <c r="AG948" s="121"/>
      <c r="AH948" s="120"/>
    </row>
    <row r="949" spans="1:34" ht="13.2" x14ac:dyDescent="0.25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  <c r="AA949" s="81"/>
      <c r="AB949" s="121"/>
      <c r="AC949" s="121"/>
      <c r="AD949" s="121"/>
      <c r="AE949" s="121"/>
      <c r="AF949" s="121"/>
      <c r="AG949" s="121"/>
      <c r="AH949" s="120"/>
    </row>
    <row r="950" spans="1:34" ht="13.2" x14ac:dyDescent="0.25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  <c r="AA950" s="81"/>
      <c r="AB950" s="121"/>
      <c r="AC950" s="121"/>
      <c r="AD950" s="121"/>
      <c r="AE950" s="121"/>
      <c r="AF950" s="121"/>
      <c r="AG950" s="121"/>
      <c r="AH950" s="120"/>
    </row>
    <row r="951" spans="1:34" ht="13.2" x14ac:dyDescent="0.25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  <c r="AA951" s="81"/>
      <c r="AB951" s="121"/>
      <c r="AC951" s="121"/>
      <c r="AD951" s="121"/>
      <c r="AE951" s="121"/>
      <c r="AF951" s="121"/>
      <c r="AG951" s="121"/>
      <c r="AH951" s="120"/>
    </row>
    <row r="952" spans="1:34" ht="13.2" x14ac:dyDescent="0.25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  <c r="AA952" s="81"/>
      <c r="AB952" s="121"/>
      <c r="AC952" s="121"/>
      <c r="AD952" s="121"/>
      <c r="AE952" s="121"/>
      <c r="AF952" s="121"/>
      <c r="AG952" s="121"/>
      <c r="AH952" s="120"/>
    </row>
    <row r="953" spans="1:34" ht="13.2" x14ac:dyDescent="0.25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  <c r="AA953" s="81"/>
      <c r="AB953" s="121"/>
      <c r="AC953" s="121"/>
      <c r="AD953" s="121"/>
      <c r="AE953" s="121"/>
      <c r="AF953" s="121"/>
      <c r="AG953" s="121"/>
      <c r="AH953" s="120"/>
    </row>
    <row r="954" spans="1:34" ht="13.2" x14ac:dyDescent="0.25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  <c r="AA954" s="81"/>
      <c r="AB954" s="121"/>
      <c r="AC954" s="121"/>
      <c r="AD954" s="121"/>
      <c r="AE954" s="121"/>
      <c r="AF954" s="121"/>
      <c r="AG954" s="121"/>
      <c r="AH954" s="120"/>
    </row>
    <row r="955" spans="1:34" ht="13.2" x14ac:dyDescent="0.2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  <c r="AA955" s="81"/>
      <c r="AB955" s="121"/>
      <c r="AC955" s="121"/>
      <c r="AD955" s="121"/>
      <c r="AE955" s="121"/>
      <c r="AF955" s="121"/>
      <c r="AG955" s="121"/>
      <c r="AH955" s="120"/>
    </row>
    <row r="956" spans="1:34" ht="13.2" x14ac:dyDescent="0.25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  <c r="AA956" s="81"/>
      <c r="AB956" s="121"/>
      <c r="AC956" s="121"/>
      <c r="AD956" s="121"/>
      <c r="AE956" s="121"/>
      <c r="AF956" s="121"/>
      <c r="AG956" s="121"/>
      <c r="AH956" s="120"/>
    </row>
    <row r="957" spans="1:34" ht="13.2" x14ac:dyDescent="0.25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  <c r="AA957" s="81"/>
      <c r="AB957" s="121"/>
      <c r="AC957" s="121"/>
      <c r="AD957" s="121"/>
      <c r="AE957" s="121"/>
      <c r="AF957" s="121"/>
      <c r="AG957" s="121"/>
      <c r="AH957" s="120"/>
    </row>
    <row r="958" spans="1:34" ht="13.2" x14ac:dyDescent="0.25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  <c r="AA958" s="81"/>
      <c r="AB958" s="121"/>
      <c r="AC958" s="121"/>
      <c r="AD958" s="121"/>
      <c r="AE958" s="121"/>
      <c r="AF958" s="121"/>
      <c r="AG958" s="121"/>
      <c r="AH958" s="120"/>
    </row>
    <row r="959" spans="1:34" ht="13.2" x14ac:dyDescent="0.25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  <c r="AA959" s="81"/>
      <c r="AB959" s="121"/>
      <c r="AC959" s="121"/>
      <c r="AD959" s="121"/>
      <c r="AE959" s="121"/>
      <c r="AF959" s="121"/>
      <c r="AG959" s="121"/>
      <c r="AH959" s="120"/>
    </row>
    <row r="960" spans="1:34" ht="13.2" x14ac:dyDescent="0.25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  <c r="AA960" s="81"/>
      <c r="AB960" s="121"/>
      <c r="AC960" s="121"/>
      <c r="AD960" s="121"/>
      <c r="AE960" s="121"/>
      <c r="AF960" s="121"/>
      <c r="AG960" s="121"/>
      <c r="AH960" s="120"/>
    </row>
    <row r="961" spans="1:34" ht="13.2" x14ac:dyDescent="0.25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  <c r="AA961" s="81"/>
      <c r="AB961" s="121"/>
      <c r="AC961" s="121"/>
      <c r="AD961" s="121"/>
      <c r="AE961" s="121"/>
      <c r="AF961" s="121"/>
      <c r="AG961" s="121"/>
      <c r="AH961" s="120"/>
    </row>
    <row r="962" spans="1:34" ht="13.2" x14ac:dyDescent="0.25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  <c r="AA962" s="81"/>
      <c r="AB962" s="121"/>
      <c r="AC962" s="121"/>
      <c r="AD962" s="121"/>
      <c r="AE962" s="121"/>
      <c r="AF962" s="121"/>
      <c r="AG962" s="121"/>
      <c r="AH962" s="120"/>
    </row>
    <row r="963" spans="1:34" ht="13.2" x14ac:dyDescent="0.25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  <c r="AA963" s="81"/>
      <c r="AB963" s="121"/>
      <c r="AC963" s="121"/>
      <c r="AD963" s="121"/>
      <c r="AE963" s="121"/>
      <c r="AF963" s="121"/>
      <c r="AG963" s="121"/>
      <c r="AH963" s="120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A423B-0350-4096-8FA9-3F65019560E7}">
  <sheetPr>
    <tabColor rgb="FF00B050"/>
    <outlinePr summaryBelow="0" summaryRight="0"/>
  </sheetPr>
  <dimension ref="A1:AH960"/>
  <sheetViews>
    <sheetView showGridLines="0" topLeftCell="C1" zoomScaleNormal="100" workbookViewId="0">
      <selection activeCell="AB16" sqref="AB16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60.4414062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 x14ac:dyDescent="0.3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121"/>
      <c r="AC1" s="121"/>
      <c r="AD1" s="121"/>
      <c r="AE1" s="121"/>
      <c r="AF1" s="121"/>
      <c r="AG1" s="121"/>
      <c r="AH1" s="120"/>
    </row>
    <row r="2" spans="1:34" ht="13.2" x14ac:dyDescent="0.25">
      <c r="A2" s="81"/>
      <c r="B2" s="81"/>
      <c r="C2" s="302" t="s">
        <v>28</v>
      </c>
      <c r="D2" s="303"/>
      <c r="E2" s="303"/>
      <c r="F2" s="304"/>
      <c r="G2" s="302" t="s">
        <v>29</v>
      </c>
      <c r="H2" s="303"/>
      <c r="I2" s="303"/>
      <c r="J2" s="303"/>
      <c r="K2" s="304"/>
      <c r="L2" s="302" t="s">
        <v>30</v>
      </c>
      <c r="M2" s="303"/>
      <c r="N2" s="303"/>
      <c r="O2" s="303"/>
      <c r="P2" s="304"/>
      <c r="Q2" s="302" t="s">
        <v>31</v>
      </c>
      <c r="R2" s="303"/>
      <c r="S2" s="303"/>
      <c r="T2" s="303"/>
      <c r="U2" s="304"/>
      <c r="V2" s="302" t="s">
        <v>32</v>
      </c>
      <c r="W2" s="303"/>
      <c r="X2" s="81"/>
      <c r="Y2" s="81"/>
      <c r="Z2" s="83"/>
      <c r="AA2" s="84" t="s">
        <v>33</v>
      </c>
      <c r="AB2" s="84" t="s">
        <v>34</v>
      </c>
      <c r="AC2" s="84" t="s">
        <v>141</v>
      </c>
      <c r="AD2" s="84" t="s">
        <v>35</v>
      </c>
      <c r="AE2" s="84" t="s">
        <v>36</v>
      </c>
      <c r="AF2" s="84" t="s">
        <v>37</v>
      </c>
      <c r="AG2" s="84" t="s">
        <v>38</v>
      </c>
      <c r="AH2" s="84" t="s">
        <v>39</v>
      </c>
    </row>
    <row r="3" spans="1:34" ht="13.2" x14ac:dyDescent="0.25">
      <c r="A3" s="81"/>
      <c r="B3" s="81"/>
      <c r="C3" s="76">
        <v>1</v>
      </c>
      <c r="D3" s="77">
        <v>2</v>
      </c>
      <c r="E3" s="77">
        <v>3</v>
      </c>
      <c r="F3" s="78">
        <v>5</v>
      </c>
      <c r="G3" s="76">
        <v>8</v>
      </c>
      <c r="H3" s="77">
        <v>9</v>
      </c>
      <c r="I3" s="77">
        <v>10</v>
      </c>
      <c r="J3" s="77">
        <v>11</v>
      </c>
      <c r="K3" s="78">
        <v>12</v>
      </c>
      <c r="L3" s="76">
        <v>15</v>
      </c>
      <c r="M3" s="77">
        <v>16</v>
      </c>
      <c r="N3" s="77">
        <v>17</v>
      </c>
      <c r="O3" s="77">
        <v>18</v>
      </c>
      <c r="P3" s="78">
        <v>19</v>
      </c>
      <c r="Q3" s="76">
        <v>22</v>
      </c>
      <c r="R3" s="77">
        <v>23</v>
      </c>
      <c r="S3" s="77">
        <v>24</v>
      </c>
      <c r="T3" s="77">
        <v>25</v>
      </c>
      <c r="U3" s="78">
        <v>26</v>
      </c>
      <c r="V3" s="76">
        <v>29</v>
      </c>
      <c r="W3" s="78">
        <v>30</v>
      </c>
      <c r="X3" s="299"/>
      <c r="Y3" s="300"/>
      <c r="Z3" s="81"/>
      <c r="AA3" s="80">
        <v>1</v>
      </c>
      <c r="AB3" s="122">
        <v>33463</v>
      </c>
      <c r="AC3" s="122" t="s">
        <v>165</v>
      </c>
      <c r="AD3" s="123">
        <v>46087</v>
      </c>
      <c r="AE3" s="122">
        <v>745.8</v>
      </c>
      <c r="AF3" s="123">
        <v>46106</v>
      </c>
      <c r="AG3" s="122" t="s">
        <v>56</v>
      </c>
      <c r="AH3" s="124">
        <v>70</v>
      </c>
    </row>
    <row r="4" spans="1:34" ht="13.2" x14ac:dyDescent="0.25">
      <c r="A4" s="81"/>
      <c r="B4" s="88" t="s">
        <v>41</v>
      </c>
      <c r="C4" s="89" t="s">
        <v>42</v>
      </c>
      <c r="D4" s="90" t="s">
        <v>43</v>
      </c>
      <c r="E4" s="90" t="s">
        <v>44</v>
      </c>
      <c r="F4" s="91" t="s">
        <v>44</v>
      </c>
      <c r="G4" s="89" t="s">
        <v>42</v>
      </c>
      <c r="H4" s="90" t="s">
        <v>42</v>
      </c>
      <c r="I4" s="90" t="s">
        <v>43</v>
      </c>
      <c r="J4" s="90" t="s">
        <v>44</v>
      </c>
      <c r="K4" s="91" t="s">
        <v>44</v>
      </c>
      <c r="L4" s="89" t="s">
        <v>42</v>
      </c>
      <c r="M4" s="90" t="s">
        <v>42</v>
      </c>
      <c r="N4" s="90" t="s">
        <v>43</v>
      </c>
      <c r="O4" s="90" t="s">
        <v>44</v>
      </c>
      <c r="P4" s="91" t="s">
        <v>44</v>
      </c>
      <c r="Q4" s="89" t="s">
        <v>42</v>
      </c>
      <c r="R4" s="90" t="s">
        <v>42</v>
      </c>
      <c r="S4" s="90" t="s">
        <v>43</v>
      </c>
      <c r="T4" s="90" t="s">
        <v>44</v>
      </c>
      <c r="U4" s="91" t="s">
        <v>44</v>
      </c>
      <c r="V4" s="89" t="s">
        <v>42</v>
      </c>
      <c r="W4" s="91" t="s">
        <v>42</v>
      </c>
      <c r="X4" s="92" t="s">
        <v>11</v>
      </c>
      <c r="Y4" s="81"/>
      <c r="Z4" s="81"/>
      <c r="AA4" s="80">
        <v>2</v>
      </c>
      <c r="AB4" s="122">
        <v>42936</v>
      </c>
      <c r="AC4" s="122" t="s">
        <v>166</v>
      </c>
      <c r="AD4" s="123">
        <v>46087</v>
      </c>
      <c r="AE4" s="122">
        <v>183.75</v>
      </c>
      <c r="AF4" s="123">
        <v>46112</v>
      </c>
      <c r="AG4" s="122" t="s">
        <v>56</v>
      </c>
      <c r="AH4" s="124">
        <v>64</v>
      </c>
    </row>
    <row r="5" spans="1:34" ht="13.2" x14ac:dyDescent="0.25">
      <c r="A5" s="81"/>
      <c r="B5" s="93" t="s">
        <v>2</v>
      </c>
      <c r="C5" s="94">
        <v>2</v>
      </c>
      <c r="D5" s="95">
        <v>2</v>
      </c>
      <c r="E5" s="95">
        <v>2</v>
      </c>
      <c r="F5" s="96">
        <v>2</v>
      </c>
      <c r="G5" s="94">
        <v>2</v>
      </c>
      <c r="H5" s="95">
        <v>2</v>
      </c>
      <c r="I5" s="95">
        <v>2</v>
      </c>
      <c r="J5" s="95">
        <v>2</v>
      </c>
      <c r="K5" s="96">
        <v>2</v>
      </c>
      <c r="L5" s="94">
        <v>1</v>
      </c>
      <c r="M5" s="95">
        <v>1</v>
      </c>
      <c r="N5" s="95">
        <v>1</v>
      </c>
      <c r="O5" s="95">
        <v>1</v>
      </c>
      <c r="P5" s="96">
        <v>1</v>
      </c>
      <c r="Q5" s="94">
        <v>1</v>
      </c>
      <c r="R5" s="95">
        <v>1</v>
      </c>
      <c r="S5" s="95">
        <v>1</v>
      </c>
      <c r="T5" s="95">
        <v>1</v>
      </c>
      <c r="U5" s="96">
        <v>1</v>
      </c>
      <c r="V5" s="51">
        <v>1</v>
      </c>
      <c r="W5" s="96">
        <v>1</v>
      </c>
      <c r="X5" s="97">
        <v>30</v>
      </c>
      <c r="Y5" s="81"/>
      <c r="Z5" s="81"/>
      <c r="AA5" s="80">
        <v>3</v>
      </c>
      <c r="AB5" s="122">
        <v>30921</v>
      </c>
      <c r="AC5" s="122" t="s">
        <v>167</v>
      </c>
      <c r="AD5" s="123">
        <v>46148</v>
      </c>
      <c r="AE5" s="122">
        <v>210.65</v>
      </c>
      <c r="AF5" s="123">
        <v>46099</v>
      </c>
      <c r="AG5" s="122" t="s">
        <v>56</v>
      </c>
      <c r="AH5" s="124">
        <v>79</v>
      </c>
    </row>
    <row r="6" spans="1:34" ht="13.8" thickBot="1" x14ac:dyDescent="0.3">
      <c r="A6" s="81"/>
      <c r="B6" s="93" t="s">
        <v>46</v>
      </c>
      <c r="C6" s="98">
        <v>0</v>
      </c>
      <c r="D6" s="99">
        <v>0</v>
      </c>
      <c r="E6" s="99">
        <v>2</v>
      </c>
      <c r="F6" s="100">
        <v>1</v>
      </c>
      <c r="G6" s="98">
        <v>0</v>
      </c>
      <c r="H6" s="99">
        <v>1</v>
      </c>
      <c r="I6" s="99">
        <v>3</v>
      </c>
      <c r="J6" s="99">
        <v>4</v>
      </c>
      <c r="K6" s="100">
        <v>0</v>
      </c>
      <c r="L6" s="98">
        <v>0</v>
      </c>
      <c r="M6" s="99">
        <v>0</v>
      </c>
      <c r="N6" s="99">
        <v>2</v>
      </c>
      <c r="O6" s="99">
        <v>1</v>
      </c>
      <c r="P6" s="100">
        <v>1</v>
      </c>
      <c r="Q6" s="98">
        <v>1</v>
      </c>
      <c r="R6" s="99">
        <v>1</v>
      </c>
      <c r="S6" s="99">
        <v>1</v>
      </c>
      <c r="T6" s="99">
        <v>3</v>
      </c>
      <c r="U6" s="100">
        <v>2</v>
      </c>
      <c r="V6" s="98">
        <v>0</v>
      </c>
      <c r="W6" s="100">
        <v>4</v>
      </c>
      <c r="X6" s="97">
        <v>27</v>
      </c>
      <c r="Y6" s="101">
        <v>-3</v>
      </c>
      <c r="Z6" s="81"/>
      <c r="AA6" s="80">
        <v>4</v>
      </c>
      <c r="AB6" s="122">
        <v>12165</v>
      </c>
      <c r="AC6" s="122" t="s">
        <v>168</v>
      </c>
      <c r="AD6" s="123">
        <v>46271</v>
      </c>
      <c r="AE6" s="122">
        <v>420.18</v>
      </c>
      <c r="AF6" s="123">
        <v>46127</v>
      </c>
      <c r="AG6" s="122" t="s">
        <v>56</v>
      </c>
      <c r="AH6" s="124">
        <v>55</v>
      </c>
    </row>
    <row r="7" spans="1:34" ht="13.2" x14ac:dyDescent="0.25">
      <c r="A7" s="81"/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0">
        <v>5</v>
      </c>
      <c r="AB7" s="122">
        <v>28192</v>
      </c>
      <c r="AC7" s="122" t="s">
        <v>169</v>
      </c>
      <c r="AD7" s="123">
        <v>46301</v>
      </c>
      <c r="AE7" s="122">
        <v>264.45</v>
      </c>
      <c r="AF7" s="123">
        <v>46238</v>
      </c>
      <c r="AG7" s="122" t="s">
        <v>56</v>
      </c>
      <c r="AH7" s="124">
        <v>63</v>
      </c>
    </row>
    <row r="8" spans="1:34" ht="13.2" x14ac:dyDescent="0.25">
      <c r="A8" s="81"/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0">
        <v>6</v>
      </c>
      <c r="AB8" s="122">
        <v>37151</v>
      </c>
      <c r="AC8" s="122" t="s">
        <v>170</v>
      </c>
      <c r="AD8" s="123">
        <v>46301</v>
      </c>
      <c r="AE8" s="122">
        <v>411.74</v>
      </c>
      <c r="AF8" s="123">
        <v>46099</v>
      </c>
      <c r="AG8" s="122" t="s">
        <v>56</v>
      </c>
      <c r="AH8" s="124">
        <v>84</v>
      </c>
    </row>
    <row r="9" spans="1:34" ht="13.2" x14ac:dyDescent="0.25">
      <c r="A9" s="81"/>
      <c r="B9" s="102" t="s">
        <v>49</v>
      </c>
      <c r="C9" s="76">
        <v>1</v>
      </c>
      <c r="D9" s="77">
        <v>2</v>
      </c>
      <c r="E9" s="77">
        <v>3</v>
      </c>
      <c r="F9" s="78">
        <v>5</v>
      </c>
      <c r="G9" s="76">
        <v>8</v>
      </c>
      <c r="H9" s="77">
        <v>9</v>
      </c>
      <c r="I9" s="77">
        <v>10</v>
      </c>
      <c r="J9" s="77">
        <v>11</v>
      </c>
      <c r="K9" s="78">
        <v>12</v>
      </c>
      <c r="L9" s="76">
        <v>15</v>
      </c>
      <c r="M9" s="77">
        <v>16</v>
      </c>
      <c r="N9" s="77">
        <v>17</v>
      </c>
      <c r="O9" s="77">
        <v>18</v>
      </c>
      <c r="P9" s="78">
        <v>19</v>
      </c>
      <c r="Q9" s="76">
        <v>22</v>
      </c>
      <c r="R9" s="77">
        <v>23</v>
      </c>
      <c r="S9" s="77">
        <v>24</v>
      </c>
      <c r="T9" s="77">
        <v>25</v>
      </c>
      <c r="U9" s="78">
        <v>26</v>
      </c>
      <c r="V9" s="76">
        <v>29</v>
      </c>
      <c r="W9" s="78">
        <v>30</v>
      </c>
      <c r="X9" s="81"/>
      <c r="Y9" s="81"/>
      <c r="Z9" s="81"/>
      <c r="AA9" s="80">
        <v>7</v>
      </c>
      <c r="AB9" s="122">
        <v>44572</v>
      </c>
      <c r="AC9" s="122" t="s">
        <v>171</v>
      </c>
      <c r="AD9" s="123">
        <v>46301</v>
      </c>
      <c r="AE9" s="122">
        <v>391.55</v>
      </c>
      <c r="AF9" s="123">
        <v>46103</v>
      </c>
      <c r="AG9" s="122" t="s">
        <v>56</v>
      </c>
      <c r="AH9" s="124">
        <v>80</v>
      </c>
    </row>
    <row r="10" spans="1:34" ht="13.2" x14ac:dyDescent="0.25">
      <c r="A10" s="81"/>
      <c r="B10" s="90" t="s">
        <v>15</v>
      </c>
      <c r="C10" s="95">
        <v>50</v>
      </c>
      <c r="D10" s="95"/>
      <c r="E10" s="95">
        <v>50</v>
      </c>
      <c r="F10" s="2">
        <v>26</v>
      </c>
      <c r="G10" s="2">
        <v>26</v>
      </c>
      <c r="H10" s="95">
        <v>2</v>
      </c>
      <c r="I10" s="95">
        <v>0</v>
      </c>
      <c r="J10" s="95">
        <v>0</v>
      </c>
      <c r="K10" s="95"/>
      <c r="L10" s="95">
        <v>0</v>
      </c>
      <c r="M10" s="95">
        <v>10</v>
      </c>
      <c r="N10" s="95">
        <v>9</v>
      </c>
      <c r="O10" s="95"/>
      <c r="P10" s="95">
        <v>0</v>
      </c>
      <c r="Q10" s="95">
        <v>0</v>
      </c>
      <c r="R10" s="107">
        <v>14</v>
      </c>
      <c r="S10" s="74">
        <v>11</v>
      </c>
      <c r="T10" s="108">
        <v>0</v>
      </c>
      <c r="U10" s="109">
        <v>8</v>
      </c>
      <c r="V10" s="95">
        <v>1</v>
      </c>
      <c r="W10" s="95"/>
      <c r="X10" s="81"/>
      <c r="Y10" s="81"/>
      <c r="Z10" s="81"/>
      <c r="AA10" s="80">
        <v>8</v>
      </c>
      <c r="AB10" s="122">
        <v>601</v>
      </c>
      <c r="AC10" s="122" t="s">
        <v>172</v>
      </c>
      <c r="AD10" s="123">
        <v>46332</v>
      </c>
      <c r="AE10" s="122">
        <v>819.5</v>
      </c>
      <c r="AF10" s="123">
        <v>46238</v>
      </c>
      <c r="AG10" s="122" t="s">
        <v>56</v>
      </c>
      <c r="AH10" s="124">
        <v>64</v>
      </c>
    </row>
    <row r="11" spans="1:34" ht="13.2" x14ac:dyDescent="0.25">
      <c r="A11" s="81"/>
      <c r="B11" s="90" t="s">
        <v>16</v>
      </c>
      <c r="C11" s="95">
        <v>14</v>
      </c>
      <c r="D11" s="95"/>
      <c r="E11" s="95">
        <v>14</v>
      </c>
      <c r="F11" s="2">
        <v>7</v>
      </c>
      <c r="G11" s="2">
        <v>4</v>
      </c>
      <c r="H11" s="95">
        <v>0</v>
      </c>
      <c r="I11" s="95">
        <v>0</v>
      </c>
      <c r="J11" s="95">
        <v>0</v>
      </c>
      <c r="K11" s="95"/>
      <c r="L11" s="95">
        <v>0</v>
      </c>
      <c r="M11" s="95">
        <v>0</v>
      </c>
      <c r="N11" s="95">
        <v>0</v>
      </c>
      <c r="O11" s="95"/>
      <c r="P11" s="95">
        <v>0</v>
      </c>
      <c r="Q11" s="95">
        <v>0</v>
      </c>
      <c r="R11" s="107">
        <v>0</v>
      </c>
      <c r="S11" s="74">
        <v>0</v>
      </c>
      <c r="T11" s="108">
        <v>0</v>
      </c>
      <c r="U11" s="109">
        <v>0</v>
      </c>
      <c r="V11" s="95">
        <v>0</v>
      </c>
      <c r="W11" s="95"/>
      <c r="X11" s="81"/>
      <c r="Y11" s="81"/>
      <c r="Z11" s="81"/>
      <c r="AA11" s="80">
        <v>9</v>
      </c>
      <c r="AB11" s="122">
        <v>32604</v>
      </c>
      <c r="AC11" s="122" t="s">
        <v>173</v>
      </c>
      <c r="AD11" s="123">
        <v>46332</v>
      </c>
      <c r="AE11" s="122">
        <v>183.35</v>
      </c>
      <c r="AF11" s="123">
        <v>46112</v>
      </c>
      <c r="AG11" s="122" t="s">
        <v>56</v>
      </c>
      <c r="AH11" s="124">
        <v>72</v>
      </c>
    </row>
    <row r="12" spans="1:34" ht="13.2" x14ac:dyDescent="0.25">
      <c r="A12" s="81"/>
      <c r="B12" s="90" t="s">
        <v>17</v>
      </c>
      <c r="C12" s="95">
        <v>0</v>
      </c>
      <c r="D12" s="95"/>
      <c r="E12" s="95">
        <v>0</v>
      </c>
      <c r="F12" s="2">
        <v>0</v>
      </c>
      <c r="G12" s="2">
        <v>0</v>
      </c>
      <c r="H12" s="95">
        <v>1</v>
      </c>
      <c r="I12" s="95">
        <v>0</v>
      </c>
      <c r="J12" s="95">
        <v>0</v>
      </c>
      <c r="K12" s="95"/>
      <c r="L12" s="95">
        <v>0</v>
      </c>
      <c r="M12" s="95">
        <v>0</v>
      </c>
      <c r="N12" s="95">
        <v>0</v>
      </c>
      <c r="O12" s="95"/>
      <c r="P12" s="95">
        <v>0</v>
      </c>
      <c r="Q12" s="95">
        <v>0</v>
      </c>
      <c r="R12" s="107">
        <v>0</v>
      </c>
      <c r="S12" s="74">
        <v>0</v>
      </c>
      <c r="T12" s="108">
        <v>0</v>
      </c>
      <c r="U12" s="109">
        <v>0</v>
      </c>
      <c r="V12" s="95">
        <v>0</v>
      </c>
      <c r="W12" s="95"/>
      <c r="X12" s="81"/>
      <c r="Y12" s="81"/>
      <c r="Z12" s="81"/>
      <c r="AA12" s="80">
        <v>10</v>
      </c>
      <c r="AB12" s="122">
        <v>30889</v>
      </c>
      <c r="AC12" s="122" t="s">
        <v>174</v>
      </c>
      <c r="AD12" s="123">
        <v>46332</v>
      </c>
      <c r="AE12" s="122">
        <v>994.8</v>
      </c>
      <c r="AF12" s="123">
        <v>46136</v>
      </c>
      <c r="AG12" s="122" t="s">
        <v>56</v>
      </c>
      <c r="AH12" s="124">
        <v>48</v>
      </c>
    </row>
    <row r="13" spans="1:34" ht="13.2" x14ac:dyDescent="0.25">
      <c r="A13" s="81"/>
      <c r="B13" s="90" t="s">
        <v>18</v>
      </c>
      <c r="C13" s="95">
        <v>0</v>
      </c>
      <c r="D13" s="95"/>
      <c r="E13" s="95">
        <v>0</v>
      </c>
      <c r="F13" s="2">
        <v>0</v>
      </c>
      <c r="G13" s="2">
        <v>0</v>
      </c>
      <c r="H13" s="95">
        <v>0</v>
      </c>
      <c r="I13" s="95">
        <v>0</v>
      </c>
      <c r="J13" s="95">
        <v>0</v>
      </c>
      <c r="K13" s="95"/>
      <c r="L13" s="95">
        <v>0</v>
      </c>
      <c r="M13" s="95">
        <v>0</v>
      </c>
      <c r="N13" s="95">
        <v>0</v>
      </c>
      <c r="O13" s="95"/>
      <c r="P13" s="95">
        <v>0</v>
      </c>
      <c r="Q13" s="95">
        <v>0</v>
      </c>
      <c r="R13" s="107">
        <v>0</v>
      </c>
      <c r="S13" s="74">
        <v>0</v>
      </c>
      <c r="T13" s="108">
        <v>0</v>
      </c>
      <c r="U13" s="109">
        <v>0</v>
      </c>
      <c r="V13" s="95">
        <v>0</v>
      </c>
      <c r="W13" s="95"/>
      <c r="X13" s="81"/>
      <c r="Y13" s="81"/>
      <c r="Z13" s="81"/>
      <c r="AA13" s="80">
        <v>11</v>
      </c>
      <c r="AB13" s="122">
        <v>20583</v>
      </c>
      <c r="AC13" s="122" t="s">
        <v>175</v>
      </c>
      <c r="AD13" s="123">
        <v>46332</v>
      </c>
      <c r="AE13" s="122">
        <v>1658</v>
      </c>
      <c r="AF13" s="123">
        <v>46127</v>
      </c>
      <c r="AG13" s="122" t="s">
        <v>56</v>
      </c>
      <c r="AH13" s="124">
        <v>57</v>
      </c>
    </row>
    <row r="14" spans="1:34" ht="13.2" x14ac:dyDescent="0.25">
      <c r="A14" s="81"/>
      <c r="B14" s="90" t="s">
        <v>51</v>
      </c>
      <c r="C14" s="95">
        <v>147</v>
      </c>
      <c r="D14" s="95"/>
      <c r="E14" s="95">
        <v>120</v>
      </c>
      <c r="F14" s="2">
        <v>141</v>
      </c>
      <c r="G14" s="2">
        <v>143</v>
      </c>
      <c r="H14" s="106">
        <v>169</v>
      </c>
      <c r="I14" s="95">
        <v>169</v>
      </c>
      <c r="J14" s="95">
        <v>167</v>
      </c>
      <c r="K14" s="95"/>
      <c r="L14" s="106">
        <v>169</v>
      </c>
      <c r="M14" s="95">
        <v>170</v>
      </c>
      <c r="N14" s="95">
        <v>167</v>
      </c>
      <c r="O14" s="95"/>
      <c r="P14" s="95">
        <v>177</v>
      </c>
      <c r="Q14" s="95">
        <v>173</v>
      </c>
      <c r="R14" s="107">
        <v>179</v>
      </c>
      <c r="S14" s="74">
        <v>187</v>
      </c>
      <c r="T14" s="108">
        <v>193</v>
      </c>
      <c r="U14" s="80">
        <v>193</v>
      </c>
      <c r="V14" s="95">
        <v>201</v>
      </c>
      <c r="W14" s="95"/>
      <c r="X14" s="81"/>
      <c r="Y14" s="81"/>
      <c r="Z14" s="81"/>
      <c r="AA14" s="80">
        <v>12</v>
      </c>
      <c r="AB14" s="122">
        <v>21387</v>
      </c>
      <c r="AC14" s="122" t="s">
        <v>176</v>
      </c>
      <c r="AD14" s="123">
        <v>46190</v>
      </c>
      <c r="AE14" s="122">
        <v>239.95</v>
      </c>
      <c r="AF14" s="123">
        <v>46134</v>
      </c>
      <c r="AG14" s="122" t="s">
        <v>56</v>
      </c>
      <c r="AH14" s="124">
        <v>56</v>
      </c>
    </row>
    <row r="15" spans="1:34" ht="13.2" x14ac:dyDescent="0.25">
      <c r="A15" s="81"/>
      <c r="B15" s="90" t="s">
        <v>52</v>
      </c>
      <c r="C15" s="95">
        <v>47</v>
      </c>
      <c r="D15" s="95"/>
      <c r="E15" s="95">
        <v>45</v>
      </c>
      <c r="F15" s="2">
        <v>49</v>
      </c>
      <c r="G15" s="2">
        <v>49</v>
      </c>
      <c r="H15" s="95">
        <v>63</v>
      </c>
      <c r="I15" s="95">
        <v>62</v>
      </c>
      <c r="J15" s="95">
        <v>62</v>
      </c>
      <c r="K15" s="95"/>
      <c r="L15" s="106">
        <v>62</v>
      </c>
      <c r="M15" s="95">
        <v>65</v>
      </c>
      <c r="N15" s="95">
        <v>66</v>
      </c>
      <c r="O15" s="95"/>
      <c r="P15" s="95">
        <v>68</v>
      </c>
      <c r="Q15" s="95">
        <v>68</v>
      </c>
      <c r="R15" s="107">
        <v>70</v>
      </c>
      <c r="S15" s="74">
        <v>69</v>
      </c>
      <c r="T15" s="108">
        <v>69</v>
      </c>
      <c r="U15" s="110">
        <v>69</v>
      </c>
      <c r="V15" s="95">
        <v>70</v>
      </c>
      <c r="W15" s="95"/>
      <c r="X15" s="81"/>
      <c r="Y15" s="81"/>
      <c r="Z15" s="81"/>
      <c r="AA15" s="115">
        <v>13</v>
      </c>
      <c r="AB15" s="125">
        <v>35547</v>
      </c>
      <c r="AC15" s="125" t="s">
        <v>177</v>
      </c>
      <c r="AD15" s="126">
        <v>46190</v>
      </c>
      <c r="AE15" s="125">
        <v>207.34</v>
      </c>
      <c r="AF15" s="126">
        <v>46045</v>
      </c>
      <c r="AG15" s="125" t="s">
        <v>56</v>
      </c>
      <c r="AH15" s="125">
        <v>145</v>
      </c>
    </row>
    <row r="16" spans="1:34" ht="13.2" x14ac:dyDescent="0.25">
      <c r="A16" s="81"/>
      <c r="B16" s="90" t="s">
        <v>22</v>
      </c>
      <c r="C16" s="95">
        <v>0</v>
      </c>
      <c r="D16" s="95"/>
      <c r="E16" s="95">
        <v>0</v>
      </c>
      <c r="F16" s="2">
        <v>1</v>
      </c>
      <c r="G16" s="2">
        <v>1</v>
      </c>
      <c r="H16" s="95">
        <v>4</v>
      </c>
      <c r="I16" s="95">
        <v>4</v>
      </c>
      <c r="J16" s="95">
        <v>4</v>
      </c>
      <c r="K16" s="95"/>
      <c r="L16" s="106">
        <v>5</v>
      </c>
      <c r="M16" s="95">
        <v>6</v>
      </c>
      <c r="N16" s="95">
        <v>6</v>
      </c>
      <c r="O16" s="95"/>
      <c r="P16" s="95">
        <v>6</v>
      </c>
      <c r="Q16" s="95">
        <v>5</v>
      </c>
      <c r="R16" s="107">
        <v>6</v>
      </c>
      <c r="S16" s="74">
        <v>6</v>
      </c>
      <c r="T16" s="108">
        <v>6</v>
      </c>
      <c r="U16" s="80">
        <v>6</v>
      </c>
      <c r="V16" s="95">
        <v>6</v>
      </c>
      <c r="W16" s="95"/>
      <c r="X16" s="81"/>
      <c r="Y16" s="81"/>
      <c r="Z16" s="81"/>
      <c r="AA16" s="80">
        <v>14</v>
      </c>
      <c r="AB16" s="122">
        <v>42774</v>
      </c>
      <c r="AC16" s="122" t="s">
        <v>178</v>
      </c>
      <c r="AD16" s="123">
        <v>46191</v>
      </c>
      <c r="AE16" s="122">
        <v>829</v>
      </c>
      <c r="AF16" s="123">
        <v>46057</v>
      </c>
      <c r="AG16" s="122" t="s">
        <v>63</v>
      </c>
      <c r="AH16" s="124">
        <v>77</v>
      </c>
    </row>
    <row r="17" spans="1:34" ht="13.2" x14ac:dyDescent="0.25">
      <c r="A17" s="81"/>
      <c r="B17" s="90" t="s">
        <v>23</v>
      </c>
      <c r="C17" s="95">
        <v>0</v>
      </c>
      <c r="D17" s="95"/>
      <c r="E17" s="95">
        <v>0</v>
      </c>
      <c r="F17" s="2">
        <v>0</v>
      </c>
      <c r="G17" s="2">
        <v>0</v>
      </c>
      <c r="H17" s="95">
        <v>0</v>
      </c>
      <c r="I17" s="95">
        <v>0</v>
      </c>
      <c r="J17" s="95">
        <v>1</v>
      </c>
      <c r="K17" s="95"/>
      <c r="L17" s="106">
        <v>1</v>
      </c>
      <c r="M17" s="95">
        <v>2</v>
      </c>
      <c r="N17" s="95">
        <v>2</v>
      </c>
      <c r="O17" s="95"/>
      <c r="P17" s="95">
        <v>2</v>
      </c>
      <c r="Q17" s="95">
        <v>2</v>
      </c>
      <c r="R17" s="107">
        <v>2</v>
      </c>
      <c r="S17" s="74">
        <v>2</v>
      </c>
      <c r="T17" s="108">
        <v>2</v>
      </c>
      <c r="U17" s="80">
        <v>2</v>
      </c>
      <c r="V17" s="95">
        <v>3</v>
      </c>
      <c r="W17" s="95"/>
      <c r="X17" s="81"/>
      <c r="Y17" s="81"/>
      <c r="Z17" s="81"/>
      <c r="AA17" s="80">
        <v>15</v>
      </c>
      <c r="AB17" s="122">
        <v>38903</v>
      </c>
      <c r="AC17" s="122" t="s">
        <v>179</v>
      </c>
      <c r="AD17" s="123">
        <v>46192</v>
      </c>
      <c r="AE17" s="122">
        <v>617</v>
      </c>
      <c r="AF17" s="123">
        <v>46269</v>
      </c>
      <c r="AG17" s="122" t="s">
        <v>56</v>
      </c>
      <c r="AH17" s="124">
        <v>71</v>
      </c>
    </row>
    <row r="18" spans="1:34" ht="13.2" x14ac:dyDescent="0.25">
      <c r="A18" s="81"/>
      <c r="B18" s="90" t="s">
        <v>24</v>
      </c>
      <c r="C18" s="95">
        <v>0</v>
      </c>
      <c r="D18" s="95"/>
      <c r="E18" s="95">
        <v>8</v>
      </c>
      <c r="F18" s="2">
        <v>8</v>
      </c>
      <c r="G18" s="2">
        <v>8</v>
      </c>
      <c r="H18" s="95">
        <v>8</v>
      </c>
      <c r="I18" s="95">
        <v>8</v>
      </c>
      <c r="J18" s="95">
        <v>9</v>
      </c>
      <c r="K18" s="95"/>
      <c r="L18" s="106">
        <v>9</v>
      </c>
      <c r="M18" s="95">
        <v>10</v>
      </c>
      <c r="N18" s="95">
        <v>11</v>
      </c>
      <c r="O18" s="95"/>
      <c r="P18" s="95">
        <v>11</v>
      </c>
      <c r="Q18" s="95">
        <v>13</v>
      </c>
      <c r="R18" s="95">
        <v>13</v>
      </c>
      <c r="S18" s="74">
        <v>13</v>
      </c>
      <c r="T18" s="108">
        <v>13</v>
      </c>
      <c r="U18" s="80">
        <v>13</v>
      </c>
      <c r="V18" s="95">
        <v>15</v>
      </c>
      <c r="W18" s="95"/>
      <c r="X18" s="81"/>
      <c r="Y18" s="81"/>
      <c r="Z18" s="81"/>
      <c r="AA18" s="115">
        <v>16</v>
      </c>
      <c r="AB18" s="125">
        <v>10376</v>
      </c>
      <c r="AC18" s="125" t="s">
        <v>180</v>
      </c>
      <c r="AD18" s="126">
        <v>46195</v>
      </c>
      <c r="AE18" s="125">
        <v>892.99</v>
      </c>
      <c r="AF18" s="126">
        <v>45756</v>
      </c>
      <c r="AG18" s="125" t="s">
        <v>10</v>
      </c>
      <c r="AH18" s="125">
        <v>291</v>
      </c>
    </row>
    <row r="19" spans="1:34" ht="13.2" x14ac:dyDescent="0.25">
      <c r="A19" s="81"/>
      <c r="B19" s="90" t="s">
        <v>25</v>
      </c>
      <c r="C19" s="95">
        <v>0</v>
      </c>
      <c r="D19" s="95"/>
      <c r="E19" s="95">
        <v>1</v>
      </c>
      <c r="F19" s="2">
        <v>7</v>
      </c>
      <c r="G19" s="2">
        <v>7</v>
      </c>
      <c r="H19" s="95">
        <v>9</v>
      </c>
      <c r="I19" s="95">
        <v>10</v>
      </c>
      <c r="J19" s="95">
        <v>10</v>
      </c>
      <c r="K19" s="95"/>
      <c r="L19" s="106">
        <v>10</v>
      </c>
      <c r="M19" s="95">
        <v>12</v>
      </c>
      <c r="N19" s="95">
        <v>13</v>
      </c>
      <c r="O19" s="95"/>
      <c r="P19" s="95">
        <v>13</v>
      </c>
      <c r="Q19" s="95">
        <v>13</v>
      </c>
      <c r="R19" s="107">
        <v>14</v>
      </c>
      <c r="S19" s="74">
        <v>14</v>
      </c>
      <c r="T19" s="108">
        <v>15</v>
      </c>
      <c r="U19" s="80">
        <v>15</v>
      </c>
      <c r="V19" s="95">
        <v>18</v>
      </c>
      <c r="W19" s="95"/>
      <c r="X19" s="81"/>
      <c r="Y19" s="81"/>
      <c r="Z19" s="81"/>
      <c r="AA19" s="80">
        <v>17</v>
      </c>
      <c r="AB19" s="122">
        <v>41363</v>
      </c>
      <c r="AC19" s="122" t="s">
        <v>181</v>
      </c>
      <c r="AD19" s="123">
        <v>46196</v>
      </c>
      <c r="AE19" s="122">
        <v>536.6</v>
      </c>
      <c r="AF19" s="123">
        <v>46135</v>
      </c>
      <c r="AG19" s="122" t="s">
        <v>56</v>
      </c>
      <c r="AH19" s="124">
        <v>61</v>
      </c>
    </row>
    <row r="20" spans="1:34" ht="13.2" x14ac:dyDescent="0.25">
      <c r="A20" s="81"/>
      <c r="B20" s="90" t="s">
        <v>26</v>
      </c>
      <c r="C20" s="95">
        <v>0</v>
      </c>
      <c r="D20" s="95"/>
      <c r="E20" s="95">
        <v>1</v>
      </c>
      <c r="F20" s="2">
        <v>2</v>
      </c>
      <c r="G20" s="2">
        <v>2</v>
      </c>
      <c r="H20" s="95">
        <v>3</v>
      </c>
      <c r="I20" s="95">
        <v>3</v>
      </c>
      <c r="J20" s="95">
        <v>3</v>
      </c>
      <c r="K20" s="95"/>
      <c r="L20" s="106">
        <v>3</v>
      </c>
      <c r="M20" s="95">
        <v>3</v>
      </c>
      <c r="N20" s="95">
        <v>3</v>
      </c>
      <c r="O20" s="95"/>
      <c r="P20" s="95">
        <v>3</v>
      </c>
      <c r="Q20" s="95">
        <v>3</v>
      </c>
      <c r="R20" s="107">
        <v>3</v>
      </c>
      <c r="S20" s="74">
        <v>3</v>
      </c>
      <c r="T20" s="108">
        <v>4</v>
      </c>
      <c r="U20" s="80">
        <v>4</v>
      </c>
      <c r="V20" s="95">
        <v>4</v>
      </c>
      <c r="W20" s="95"/>
      <c r="X20" s="81"/>
      <c r="Y20" s="81"/>
      <c r="Z20" s="81"/>
      <c r="AA20" s="80">
        <v>18</v>
      </c>
      <c r="AB20" s="122">
        <v>40966</v>
      </c>
      <c r="AC20" s="122" t="s">
        <v>182</v>
      </c>
      <c r="AD20" s="123">
        <v>46197</v>
      </c>
      <c r="AE20" s="122">
        <v>497.4</v>
      </c>
      <c r="AF20" s="123">
        <v>46239</v>
      </c>
      <c r="AG20" s="122" t="s">
        <v>56</v>
      </c>
      <c r="AH20" s="124">
        <v>47</v>
      </c>
    </row>
    <row r="21" spans="1:34" ht="13.2" x14ac:dyDescent="0.25">
      <c r="A21" s="81"/>
      <c r="B21" s="102" t="s">
        <v>11</v>
      </c>
      <c r="C21" s="102">
        <v>258</v>
      </c>
      <c r="D21" s="102">
        <v>0</v>
      </c>
      <c r="E21" s="102">
        <v>239</v>
      </c>
      <c r="F21" s="102">
        <v>241</v>
      </c>
      <c r="G21" s="102">
        <v>240</v>
      </c>
      <c r="H21" s="102">
        <v>259</v>
      </c>
      <c r="I21" s="102">
        <v>256</v>
      </c>
      <c r="J21" s="102">
        <v>256</v>
      </c>
      <c r="K21" s="102">
        <v>0</v>
      </c>
      <c r="L21" s="102">
        <v>259</v>
      </c>
      <c r="M21" s="102">
        <v>278</v>
      </c>
      <c r="N21" s="102">
        <v>277</v>
      </c>
      <c r="O21" s="102">
        <v>0</v>
      </c>
      <c r="P21" s="102">
        <v>280</v>
      </c>
      <c r="Q21" s="102">
        <v>277</v>
      </c>
      <c r="R21" s="102">
        <v>301</v>
      </c>
      <c r="S21" s="102">
        <v>305</v>
      </c>
      <c r="T21" s="102">
        <v>302</v>
      </c>
      <c r="U21" s="102">
        <v>310</v>
      </c>
      <c r="V21" s="102">
        <v>318</v>
      </c>
      <c r="W21" s="102">
        <v>0</v>
      </c>
      <c r="X21" s="81"/>
      <c r="Y21" s="81"/>
      <c r="Z21" s="81"/>
      <c r="AA21" s="80">
        <v>19</v>
      </c>
      <c r="AB21" s="122">
        <v>33732</v>
      </c>
      <c r="AC21" s="122" t="s">
        <v>183</v>
      </c>
      <c r="AD21" s="123">
        <v>46198</v>
      </c>
      <c r="AE21" s="122">
        <v>587.41</v>
      </c>
      <c r="AF21" s="123">
        <v>46135</v>
      </c>
      <c r="AG21" s="122" t="s">
        <v>56</v>
      </c>
      <c r="AH21" s="124">
        <v>63</v>
      </c>
    </row>
    <row r="22" spans="1:34" ht="13.2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0">
        <v>20</v>
      </c>
      <c r="AB22" s="122">
        <v>43985</v>
      </c>
      <c r="AC22" s="122" t="s">
        <v>184</v>
      </c>
      <c r="AD22" s="123">
        <v>46198</v>
      </c>
      <c r="AE22" s="122">
        <v>331.04</v>
      </c>
      <c r="AF22" s="123">
        <v>46208</v>
      </c>
      <c r="AG22" s="122" t="s">
        <v>56</v>
      </c>
      <c r="AH22" s="124">
        <v>49</v>
      </c>
    </row>
    <row r="23" spans="1:34" ht="13.2" x14ac:dyDescent="0.25">
      <c r="A23" s="81"/>
      <c r="B23" s="75" t="s">
        <v>53</v>
      </c>
      <c r="C23" s="76">
        <v>1</v>
      </c>
      <c r="D23" s="77">
        <v>2</v>
      </c>
      <c r="E23" s="77">
        <v>3</v>
      </c>
      <c r="F23" s="78">
        <v>5</v>
      </c>
      <c r="G23" s="76">
        <v>8</v>
      </c>
      <c r="H23" s="77">
        <v>9</v>
      </c>
      <c r="I23" s="77">
        <v>10</v>
      </c>
      <c r="J23" s="77">
        <v>11</v>
      </c>
      <c r="K23" s="78">
        <v>12</v>
      </c>
      <c r="L23" s="76">
        <v>15</v>
      </c>
      <c r="M23" s="77">
        <v>16</v>
      </c>
      <c r="N23" s="77">
        <v>17</v>
      </c>
      <c r="O23" s="77">
        <v>18</v>
      </c>
      <c r="P23" s="78">
        <v>19</v>
      </c>
      <c r="Q23" s="76">
        <v>22</v>
      </c>
      <c r="R23" s="77">
        <v>23</v>
      </c>
      <c r="S23" s="77">
        <v>24</v>
      </c>
      <c r="T23" s="77">
        <v>25</v>
      </c>
      <c r="U23" s="78">
        <v>26</v>
      </c>
      <c r="V23" s="76">
        <v>29</v>
      </c>
      <c r="W23" s="78">
        <v>30</v>
      </c>
      <c r="X23" s="79" t="s">
        <v>11</v>
      </c>
      <c r="Y23" s="81"/>
      <c r="Z23" s="81"/>
      <c r="AA23" s="115">
        <v>21</v>
      </c>
      <c r="AB23" s="125">
        <v>26794</v>
      </c>
      <c r="AC23" s="125" t="s">
        <v>185</v>
      </c>
      <c r="AD23" s="126">
        <v>46198</v>
      </c>
      <c r="AE23" s="125">
        <v>631.20000000000005</v>
      </c>
      <c r="AF23" s="126">
        <v>44866</v>
      </c>
      <c r="AG23" s="125" t="s">
        <v>62</v>
      </c>
      <c r="AH23" s="125">
        <v>1626</v>
      </c>
    </row>
    <row r="24" spans="1:34" ht="13.2" x14ac:dyDescent="0.25">
      <c r="A24" s="81"/>
      <c r="B24" s="74" t="s">
        <v>2</v>
      </c>
      <c r="C24" s="80">
        <v>17</v>
      </c>
      <c r="D24" s="80">
        <v>17</v>
      </c>
      <c r="E24" s="80">
        <v>17</v>
      </c>
      <c r="F24" s="80">
        <v>17</v>
      </c>
      <c r="G24" s="80">
        <v>17</v>
      </c>
      <c r="H24" s="80">
        <v>17</v>
      </c>
      <c r="I24" s="80">
        <v>17</v>
      </c>
      <c r="J24" s="80">
        <v>17</v>
      </c>
      <c r="K24" s="80">
        <v>17</v>
      </c>
      <c r="L24" s="80">
        <v>17</v>
      </c>
      <c r="M24" s="80">
        <v>17</v>
      </c>
      <c r="N24" s="80">
        <v>17</v>
      </c>
      <c r="O24" s="80">
        <v>17</v>
      </c>
      <c r="P24" s="80">
        <v>17</v>
      </c>
      <c r="Q24" s="80">
        <v>17</v>
      </c>
      <c r="R24" s="80">
        <v>17</v>
      </c>
      <c r="S24" s="80">
        <v>17</v>
      </c>
      <c r="T24" s="80">
        <v>16</v>
      </c>
      <c r="U24" s="80">
        <v>15</v>
      </c>
      <c r="V24" s="80">
        <v>15</v>
      </c>
      <c r="W24" s="80">
        <v>15</v>
      </c>
      <c r="X24" s="74">
        <v>350</v>
      </c>
      <c r="Y24" s="81"/>
      <c r="Z24" s="81"/>
      <c r="AA24" s="115">
        <v>22</v>
      </c>
      <c r="AB24" s="125">
        <v>41617</v>
      </c>
      <c r="AC24" s="125" t="s">
        <v>186</v>
      </c>
      <c r="AD24" s="126">
        <v>46199</v>
      </c>
      <c r="AE24" s="125">
        <v>4653.17</v>
      </c>
      <c r="AF24" s="126">
        <v>46157</v>
      </c>
      <c r="AG24" s="125" t="s">
        <v>56</v>
      </c>
      <c r="AH24" s="125">
        <v>42</v>
      </c>
    </row>
    <row r="25" spans="1:34" ht="13.2" x14ac:dyDescent="0.25">
      <c r="A25" s="81"/>
      <c r="B25" s="74" t="s">
        <v>115</v>
      </c>
      <c r="C25" s="80">
        <v>0</v>
      </c>
      <c r="D25" s="80">
        <v>0</v>
      </c>
      <c r="E25" s="80">
        <v>0</v>
      </c>
      <c r="F25" s="80">
        <v>30</v>
      </c>
      <c r="G25" s="80">
        <v>30</v>
      </c>
      <c r="H25" s="80">
        <v>25</v>
      </c>
      <c r="I25" s="80">
        <v>13</v>
      </c>
      <c r="J25" s="80">
        <v>20</v>
      </c>
      <c r="K25" s="80">
        <v>41</v>
      </c>
      <c r="L25" s="80">
        <v>24</v>
      </c>
      <c r="M25" s="80">
        <v>23</v>
      </c>
      <c r="N25" s="80">
        <v>21</v>
      </c>
      <c r="O25" s="80">
        <v>18</v>
      </c>
      <c r="P25" s="80">
        <v>20</v>
      </c>
      <c r="Q25" s="80">
        <v>24</v>
      </c>
      <c r="R25" s="80">
        <v>24</v>
      </c>
      <c r="S25" s="80">
        <v>24</v>
      </c>
      <c r="T25" s="80">
        <v>19</v>
      </c>
      <c r="U25" s="80">
        <v>0</v>
      </c>
      <c r="V25" s="80">
        <v>30</v>
      </c>
      <c r="W25" s="80">
        <v>0</v>
      </c>
      <c r="X25" s="74">
        <v>386</v>
      </c>
      <c r="Y25" s="101">
        <v>36</v>
      </c>
      <c r="Z25" s="81"/>
      <c r="AA25" s="80">
        <v>23</v>
      </c>
      <c r="AB25" s="122">
        <v>20012</v>
      </c>
      <c r="AC25" s="122" t="s">
        <v>187</v>
      </c>
      <c r="AD25" s="123">
        <v>46199</v>
      </c>
      <c r="AE25" s="122">
        <v>173</v>
      </c>
      <c r="AF25" s="123">
        <v>46129</v>
      </c>
      <c r="AG25" s="122" t="s">
        <v>56</v>
      </c>
      <c r="AH25" s="124">
        <v>70</v>
      </c>
    </row>
    <row r="26" spans="1:34" ht="13.2" x14ac:dyDescent="0.25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305"/>
      <c r="Y26" s="305"/>
      <c r="Z26" s="81"/>
      <c r="AA26" s="119">
        <v>24</v>
      </c>
      <c r="AB26" s="127">
        <v>31923</v>
      </c>
      <c r="AC26" s="127" t="s">
        <v>188</v>
      </c>
      <c r="AD26" s="128">
        <v>46203</v>
      </c>
      <c r="AE26" s="127">
        <v>714.78</v>
      </c>
      <c r="AF26" s="128">
        <v>46147</v>
      </c>
      <c r="AG26" s="127" t="s">
        <v>56</v>
      </c>
      <c r="AH26" s="129">
        <v>56</v>
      </c>
    </row>
    <row r="27" spans="1:34" ht="13.2" x14ac:dyDescent="0.25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0">
        <v>25</v>
      </c>
      <c r="AB27" s="122">
        <v>41105</v>
      </c>
      <c r="AC27" s="122" t="s">
        <v>189</v>
      </c>
      <c r="AD27" s="123">
        <v>46203</v>
      </c>
      <c r="AE27" s="122">
        <v>1058</v>
      </c>
      <c r="AF27" s="123">
        <v>46141</v>
      </c>
      <c r="AG27" s="122" t="s">
        <v>56</v>
      </c>
      <c r="AH27" s="124">
        <v>62</v>
      </c>
    </row>
    <row r="28" spans="1:34" ht="13.2" x14ac:dyDescent="0.25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0">
        <v>26</v>
      </c>
      <c r="AB28" s="122">
        <v>37503</v>
      </c>
      <c r="AC28" s="122" t="s">
        <v>190</v>
      </c>
      <c r="AD28" s="123">
        <v>46203</v>
      </c>
      <c r="AE28" s="122">
        <v>943.5</v>
      </c>
      <c r="AF28" s="123">
        <v>46156</v>
      </c>
      <c r="AG28" s="122" t="s">
        <v>59</v>
      </c>
      <c r="AH28" s="124">
        <v>47</v>
      </c>
    </row>
    <row r="29" spans="1:34" ht="13.2" x14ac:dyDescent="0.25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74">
        <v>27</v>
      </c>
      <c r="AB29" s="124">
        <v>38526</v>
      </c>
      <c r="AC29" s="124" t="s">
        <v>191</v>
      </c>
      <c r="AD29" s="123">
        <v>46029</v>
      </c>
      <c r="AE29" s="124">
        <v>187.85</v>
      </c>
      <c r="AF29" s="153">
        <v>46239</v>
      </c>
      <c r="AG29" s="122" t="s">
        <v>118</v>
      </c>
      <c r="AH29" s="124">
        <v>54</v>
      </c>
    </row>
    <row r="30" spans="1:34" ht="13.2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121"/>
      <c r="AC30" s="121"/>
      <c r="AD30" s="121"/>
      <c r="AE30" s="131">
        <v>19384</v>
      </c>
      <c r="AF30" s="121"/>
      <c r="AG30" s="121"/>
      <c r="AH30" s="120"/>
    </row>
    <row r="31" spans="1:34" ht="13.2" x14ac:dyDescent="0.25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121"/>
      <c r="AC31" s="121"/>
      <c r="AD31" s="121"/>
      <c r="AE31" s="121"/>
      <c r="AF31" s="121"/>
      <c r="AG31" s="121"/>
      <c r="AH31" s="120"/>
    </row>
    <row r="32" spans="1:34" ht="13.2" x14ac:dyDescent="0.25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121"/>
      <c r="AC32" s="121"/>
      <c r="AD32" s="121"/>
      <c r="AE32" s="121"/>
      <c r="AF32" s="121"/>
      <c r="AG32" s="121"/>
      <c r="AH32" s="120"/>
    </row>
    <row r="33" spans="1:34" ht="13.2" x14ac:dyDescent="0.25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121"/>
      <c r="AC33" s="121"/>
      <c r="AD33" s="121"/>
      <c r="AE33" s="121"/>
      <c r="AF33" s="121"/>
      <c r="AG33" s="121"/>
      <c r="AH33" s="120"/>
    </row>
    <row r="34" spans="1:34" ht="13.2" x14ac:dyDescent="0.25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121"/>
      <c r="AC34" s="121"/>
      <c r="AD34" s="121"/>
      <c r="AE34" s="121"/>
      <c r="AF34" s="121"/>
      <c r="AG34" s="121"/>
      <c r="AH34" s="120"/>
    </row>
    <row r="35" spans="1:34" ht="13.2" x14ac:dyDescent="0.25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121"/>
      <c r="AC35" s="121"/>
      <c r="AD35" s="121"/>
      <c r="AE35" s="121"/>
      <c r="AF35" s="121"/>
      <c r="AG35" s="121"/>
      <c r="AH35" s="120"/>
    </row>
    <row r="36" spans="1:34" ht="13.2" x14ac:dyDescent="0.25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121"/>
      <c r="AC36" s="121"/>
      <c r="AD36" s="121"/>
      <c r="AE36" s="121"/>
      <c r="AF36" s="121"/>
      <c r="AG36" s="121"/>
      <c r="AH36" s="120"/>
    </row>
    <row r="37" spans="1:34" ht="13.2" x14ac:dyDescent="0.25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121"/>
      <c r="AC37" s="121"/>
      <c r="AD37" s="121"/>
      <c r="AE37" s="121"/>
      <c r="AF37" s="121"/>
      <c r="AG37" s="121"/>
      <c r="AH37" s="120"/>
    </row>
    <row r="38" spans="1:34" ht="13.2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121"/>
      <c r="AC38" s="121"/>
      <c r="AD38" s="121"/>
      <c r="AE38" s="121"/>
      <c r="AF38" s="121"/>
      <c r="AG38" s="121"/>
      <c r="AH38" s="120"/>
    </row>
    <row r="39" spans="1:34" ht="13.2" x14ac:dyDescent="0.25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121"/>
      <c r="AC39" s="121"/>
      <c r="AD39" s="121"/>
      <c r="AE39" s="121"/>
      <c r="AF39" s="121"/>
      <c r="AG39" s="121"/>
      <c r="AH39" s="120"/>
    </row>
    <row r="40" spans="1:34" ht="13.2" x14ac:dyDescent="0.25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121"/>
      <c r="AC40" s="121"/>
      <c r="AD40" s="121"/>
      <c r="AE40" s="121"/>
      <c r="AF40" s="121"/>
      <c r="AG40" s="121"/>
      <c r="AH40" s="120"/>
    </row>
    <row r="41" spans="1:34" ht="13.2" x14ac:dyDescent="0.25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121"/>
      <c r="AC41" s="121"/>
      <c r="AD41" s="121"/>
      <c r="AE41" s="121"/>
      <c r="AF41" s="121"/>
      <c r="AG41" s="121"/>
      <c r="AH41" s="120"/>
    </row>
    <row r="42" spans="1:34" ht="13.2" x14ac:dyDescent="0.25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121"/>
      <c r="AC42" s="121"/>
      <c r="AD42" s="121"/>
      <c r="AE42" s="121"/>
      <c r="AF42" s="121"/>
      <c r="AG42" s="121"/>
      <c r="AH42" s="120"/>
    </row>
    <row r="43" spans="1:34" ht="13.2" x14ac:dyDescent="0.25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121"/>
      <c r="AC43" s="121"/>
      <c r="AD43" s="121"/>
      <c r="AE43" s="121"/>
      <c r="AF43" s="121"/>
      <c r="AG43" s="121"/>
      <c r="AH43" s="120"/>
    </row>
    <row r="44" spans="1:34" ht="13.2" x14ac:dyDescent="0.25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121"/>
      <c r="AC44" s="121"/>
      <c r="AD44" s="121"/>
      <c r="AE44" s="121"/>
      <c r="AF44" s="121"/>
      <c r="AG44" s="121"/>
      <c r="AH44" s="120"/>
    </row>
    <row r="45" spans="1:34" ht="13.2" x14ac:dyDescent="0.2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121"/>
      <c r="AC45" s="121"/>
      <c r="AD45" s="121"/>
      <c r="AE45" s="121"/>
      <c r="AF45" s="121"/>
      <c r="AG45" s="121"/>
      <c r="AH45" s="120"/>
    </row>
    <row r="46" spans="1:34" ht="13.2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121"/>
      <c r="AC46" s="121"/>
      <c r="AD46" s="121"/>
      <c r="AE46" s="121"/>
      <c r="AF46" s="121"/>
      <c r="AG46" s="121"/>
      <c r="AH46" s="120"/>
    </row>
    <row r="47" spans="1:34" ht="13.2" x14ac:dyDescent="0.25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121"/>
      <c r="AC47" s="121"/>
      <c r="AD47" s="121"/>
      <c r="AE47" s="121"/>
      <c r="AF47" s="121"/>
      <c r="AG47" s="121"/>
      <c r="AH47" s="120"/>
    </row>
    <row r="48" spans="1:34" ht="13.2" x14ac:dyDescent="0.25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121"/>
      <c r="AC48" s="121"/>
      <c r="AD48" s="121"/>
      <c r="AE48" s="121"/>
      <c r="AF48" s="121"/>
      <c r="AG48" s="121"/>
      <c r="AH48" s="120"/>
    </row>
    <row r="49" spans="1:34" ht="13.2" x14ac:dyDescent="0.25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121"/>
      <c r="AC49" s="121"/>
      <c r="AD49" s="121"/>
      <c r="AE49" s="121"/>
      <c r="AF49" s="121"/>
      <c r="AG49" s="121"/>
      <c r="AH49" s="120"/>
    </row>
    <row r="50" spans="1:34" ht="13.2" x14ac:dyDescent="0.25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121"/>
      <c r="AC50" s="121"/>
      <c r="AD50" s="121"/>
      <c r="AE50" s="121"/>
      <c r="AF50" s="121"/>
      <c r="AG50" s="121"/>
      <c r="AH50" s="120"/>
    </row>
    <row r="51" spans="1:34" ht="13.2" x14ac:dyDescent="0.25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121"/>
      <c r="AC51" s="121"/>
      <c r="AD51" s="121"/>
      <c r="AE51" s="121"/>
      <c r="AF51" s="121"/>
      <c r="AG51" s="121"/>
      <c r="AH51" s="120"/>
    </row>
    <row r="52" spans="1:34" ht="13.2" x14ac:dyDescent="0.25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121"/>
      <c r="AC52" s="121"/>
      <c r="AD52" s="121"/>
      <c r="AE52" s="121"/>
      <c r="AF52" s="121"/>
      <c r="AG52" s="121"/>
      <c r="AH52" s="120"/>
    </row>
    <row r="53" spans="1:34" ht="13.2" x14ac:dyDescent="0.25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121"/>
      <c r="AC53" s="121"/>
      <c r="AD53" s="121"/>
      <c r="AE53" s="121"/>
      <c r="AF53" s="121"/>
      <c r="AG53" s="121"/>
      <c r="AH53" s="120"/>
    </row>
    <row r="54" spans="1:34" ht="13.2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121"/>
      <c r="AC54" s="121"/>
      <c r="AD54" s="121"/>
      <c r="AE54" s="121"/>
      <c r="AF54" s="121"/>
      <c r="AG54" s="121"/>
      <c r="AH54" s="120"/>
    </row>
    <row r="55" spans="1:34" ht="13.2" x14ac:dyDescent="0.2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121"/>
      <c r="AC55" s="121"/>
      <c r="AD55" s="121"/>
      <c r="AE55" s="121"/>
      <c r="AF55" s="121"/>
      <c r="AG55" s="121"/>
      <c r="AH55" s="120"/>
    </row>
    <row r="56" spans="1:34" ht="13.2" x14ac:dyDescent="0.25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121"/>
      <c r="AC56" s="121"/>
      <c r="AD56" s="121"/>
      <c r="AE56" s="121"/>
      <c r="AF56" s="121"/>
      <c r="AG56" s="121"/>
      <c r="AH56" s="120"/>
    </row>
    <row r="57" spans="1:34" ht="13.2" x14ac:dyDescent="0.25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121"/>
      <c r="AC57" s="121"/>
      <c r="AD57" s="121"/>
      <c r="AE57" s="121"/>
      <c r="AF57" s="121"/>
      <c r="AG57" s="121"/>
      <c r="AH57" s="120"/>
    </row>
    <row r="58" spans="1:34" ht="13.2" x14ac:dyDescent="0.25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121"/>
      <c r="AC58" s="121"/>
      <c r="AD58" s="121"/>
      <c r="AE58" s="121"/>
      <c r="AF58" s="121"/>
      <c r="AG58" s="121"/>
      <c r="AH58" s="120"/>
    </row>
    <row r="59" spans="1:34" ht="13.2" x14ac:dyDescent="0.25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121"/>
      <c r="AC59" s="121"/>
      <c r="AD59" s="121"/>
      <c r="AE59" s="121"/>
      <c r="AF59" s="121"/>
      <c r="AG59" s="121"/>
      <c r="AH59" s="120"/>
    </row>
    <row r="60" spans="1:34" ht="13.2" x14ac:dyDescent="0.25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121"/>
      <c r="AC60" s="121"/>
      <c r="AD60" s="121"/>
      <c r="AE60" s="121"/>
      <c r="AF60" s="121"/>
      <c r="AG60" s="121"/>
      <c r="AH60" s="120"/>
    </row>
    <row r="61" spans="1:34" ht="13.2" x14ac:dyDescent="0.25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121"/>
      <c r="AC61" s="121"/>
      <c r="AD61" s="121"/>
      <c r="AE61" s="121"/>
      <c r="AF61" s="121"/>
      <c r="AG61" s="121"/>
      <c r="AH61" s="120"/>
    </row>
    <row r="62" spans="1:34" ht="13.2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121"/>
      <c r="AC62" s="121"/>
      <c r="AD62" s="121"/>
      <c r="AE62" s="121"/>
      <c r="AF62" s="121"/>
      <c r="AG62" s="121"/>
      <c r="AH62" s="120"/>
    </row>
    <row r="63" spans="1:34" ht="13.2" x14ac:dyDescent="0.25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121"/>
      <c r="AC63" s="121"/>
      <c r="AD63" s="121"/>
      <c r="AE63" s="121"/>
      <c r="AF63" s="121"/>
      <c r="AG63" s="121"/>
      <c r="AH63" s="120"/>
    </row>
    <row r="64" spans="1:34" ht="13.2" x14ac:dyDescent="0.25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121"/>
      <c r="AC64" s="121"/>
      <c r="AD64" s="121"/>
      <c r="AE64" s="121"/>
      <c r="AF64" s="121"/>
      <c r="AG64" s="121"/>
      <c r="AH64" s="120"/>
    </row>
    <row r="65" spans="1:34" ht="13.2" x14ac:dyDescent="0.2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121"/>
      <c r="AC65" s="121"/>
      <c r="AD65" s="121"/>
      <c r="AE65" s="121"/>
      <c r="AF65" s="121"/>
      <c r="AG65" s="121"/>
      <c r="AH65" s="120"/>
    </row>
    <row r="66" spans="1:34" ht="13.2" x14ac:dyDescent="0.25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121"/>
      <c r="AC66" s="121"/>
      <c r="AD66" s="121"/>
      <c r="AE66" s="121"/>
      <c r="AF66" s="121"/>
      <c r="AG66" s="121"/>
      <c r="AH66" s="120"/>
    </row>
    <row r="67" spans="1:34" ht="13.2" x14ac:dyDescent="0.25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121"/>
      <c r="AC67" s="121"/>
      <c r="AD67" s="121"/>
      <c r="AE67" s="121"/>
      <c r="AF67" s="121"/>
      <c r="AG67" s="121"/>
      <c r="AH67" s="120"/>
    </row>
    <row r="68" spans="1:34" ht="13.2" x14ac:dyDescent="0.25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121"/>
      <c r="AC68" s="121"/>
      <c r="AD68" s="121"/>
      <c r="AE68" s="121"/>
      <c r="AF68" s="121"/>
      <c r="AG68" s="121"/>
      <c r="AH68" s="120"/>
    </row>
    <row r="69" spans="1:34" ht="13.2" x14ac:dyDescent="0.25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121"/>
      <c r="AC69" s="121"/>
      <c r="AD69" s="121"/>
      <c r="AE69" s="121"/>
      <c r="AF69" s="121"/>
      <c r="AG69" s="121"/>
      <c r="AH69" s="120"/>
    </row>
    <row r="70" spans="1:34" ht="13.2" x14ac:dyDescent="0.25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121"/>
      <c r="AC70" s="121"/>
      <c r="AD70" s="121"/>
      <c r="AE70" s="121"/>
      <c r="AF70" s="121"/>
      <c r="AG70" s="121"/>
      <c r="AH70" s="120"/>
    </row>
    <row r="71" spans="1:34" ht="13.2" x14ac:dyDescent="0.25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121"/>
      <c r="AC71" s="121"/>
      <c r="AD71" s="121"/>
      <c r="AE71" s="121"/>
      <c r="AF71" s="121"/>
      <c r="AG71" s="121"/>
      <c r="AH71" s="120"/>
    </row>
    <row r="72" spans="1:34" ht="13.2" x14ac:dyDescent="0.25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121"/>
      <c r="AC72" s="121"/>
      <c r="AD72" s="121"/>
      <c r="AE72" s="121"/>
      <c r="AF72" s="121"/>
      <c r="AG72" s="121"/>
      <c r="AH72" s="120"/>
    </row>
    <row r="73" spans="1:34" ht="13.2" x14ac:dyDescent="0.25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121"/>
      <c r="AC73" s="121"/>
      <c r="AD73" s="121"/>
      <c r="AE73" s="121"/>
      <c r="AF73" s="121"/>
      <c r="AG73" s="121"/>
      <c r="AH73" s="120"/>
    </row>
    <row r="74" spans="1:34" ht="13.2" x14ac:dyDescent="0.25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121"/>
      <c r="AC74" s="121"/>
      <c r="AD74" s="121"/>
      <c r="AE74" s="121"/>
      <c r="AF74" s="121"/>
      <c r="AG74" s="121"/>
      <c r="AH74" s="120"/>
    </row>
    <row r="75" spans="1:34" ht="13.2" x14ac:dyDescent="0.2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121"/>
      <c r="AC75" s="121"/>
      <c r="AD75" s="121"/>
      <c r="AE75" s="121"/>
      <c r="AF75" s="121"/>
      <c r="AG75" s="121"/>
      <c r="AH75" s="120"/>
    </row>
    <row r="76" spans="1:34" ht="13.2" x14ac:dyDescent="0.25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121"/>
      <c r="AC76" s="121"/>
      <c r="AD76" s="121"/>
      <c r="AE76" s="121"/>
      <c r="AF76" s="121"/>
      <c r="AG76" s="121"/>
      <c r="AH76" s="120"/>
    </row>
    <row r="77" spans="1:34" ht="13.2" x14ac:dyDescent="0.25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121"/>
      <c r="AC77" s="121"/>
      <c r="AD77" s="121"/>
      <c r="AE77" s="121"/>
      <c r="AF77" s="121"/>
      <c r="AG77" s="121"/>
      <c r="AH77" s="120"/>
    </row>
    <row r="78" spans="1:34" ht="13.2" x14ac:dyDescent="0.25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121"/>
      <c r="AC78" s="121"/>
      <c r="AD78" s="121"/>
      <c r="AE78" s="121"/>
      <c r="AF78" s="121"/>
      <c r="AG78" s="121"/>
      <c r="AH78" s="120"/>
    </row>
    <row r="79" spans="1:34" ht="13.2" x14ac:dyDescent="0.25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121"/>
      <c r="AC79" s="121"/>
      <c r="AD79" s="121"/>
      <c r="AE79" s="121"/>
      <c r="AF79" s="121"/>
      <c r="AG79" s="121"/>
      <c r="AH79" s="120"/>
    </row>
    <row r="80" spans="1:34" ht="13.2" x14ac:dyDescent="0.25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121"/>
      <c r="AC80" s="121"/>
      <c r="AD80" s="121"/>
      <c r="AE80" s="121"/>
      <c r="AF80" s="121"/>
      <c r="AG80" s="121"/>
      <c r="AH80" s="120"/>
    </row>
    <row r="81" spans="1:34" ht="13.2" x14ac:dyDescent="0.25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121"/>
      <c r="AC81" s="121"/>
      <c r="AD81" s="121"/>
      <c r="AE81" s="121"/>
      <c r="AF81" s="121"/>
      <c r="AG81" s="121"/>
      <c r="AH81" s="120"/>
    </row>
    <row r="82" spans="1:34" ht="13.2" x14ac:dyDescent="0.25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121"/>
      <c r="AC82" s="121"/>
      <c r="AD82" s="121"/>
      <c r="AE82" s="121"/>
      <c r="AF82" s="121"/>
      <c r="AG82" s="121"/>
      <c r="AH82" s="120"/>
    </row>
    <row r="83" spans="1:34" ht="13.2" x14ac:dyDescent="0.25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121"/>
      <c r="AC83" s="121"/>
      <c r="AD83" s="121"/>
      <c r="AE83" s="121"/>
      <c r="AF83" s="121"/>
      <c r="AG83" s="121"/>
      <c r="AH83" s="120"/>
    </row>
    <row r="84" spans="1:34" ht="13.2" x14ac:dyDescent="0.25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121"/>
      <c r="AC84" s="121"/>
      <c r="AD84" s="121"/>
      <c r="AE84" s="121"/>
      <c r="AF84" s="121"/>
      <c r="AG84" s="121"/>
      <c r="AH84" s="120"/>
    </row>
    <row r="85" spans="1:34" ht="13.2" x14ac:dyDescent="0.2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121"/>
      <c r="AC85" s="121"/>
      <c r="AD85" s="121"/>
      <c r="AE85" s="121"/>
      <c r="AF85" s="121"/>
      <c r="AG85" s="121"/>
      <c r="AH85" s="120"/>
    </row>
    <row r="86" spans="1:34" ht="13.2" x14ac:dyDescent="0.25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121"/>
      <c r="AC86" s="121"/>
      <c r="AD86" s="121"/>
      <c r="AE86" s="121"/>
      <c r="AF86" s="121"/>
      <c r="AG86" s="121"/>
      <c r="AH86" s="120"/>
    </row>
    <row r="87" spans="1:34" ht="13.2" x14ac:dyDescent="0.25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121"/>
      <c r="AC87" s="121"/>
      <c r="AD87" s="121"/>
      <c r="AE87" s="121"/>
      <c r="AF87" s="121"/>
      <c r="AG87" s="121"/>
      <c r="AH87" s="120"/>
    </row>
    <row r="88" spans="1:34" ht="13.2" x14ac:dyDescent="0.25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121"/>
      <c r="AC88" s="121"/>
      <c r="AD88" s="121"/>
      <c r="AE88" s="121"/>
      <c r="AF88" s="121"/>
      <c r="AG88" s="121"/>
      <c r="AH88" s="120"/>
    </row>
    <row r="89" spans="1:34" ht="13.2" x14ac:dyDescent="0.25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121"/>
      <c r="AC89" s="121"/>
      <c r="AD89" s="121"/>
      <c r="AE89" s="121"/>
      <c r="AF89" s="121"/>
      <c r="AG89" s="121"/>
      <c r="AH89" s="120"/>
    </row>
    <row r="90" spans="1:34" ht="13.2" x14ac:dyDescent="0.25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121"/>
      <c r="AC90" s="121"/>
      <c r="AD90" s="121"/>
      <c r="AE90" s="121"/>
      <c r="AF90" s="121"/>
      <c r="AG90" s="121"/>
      <c r="AH90" s="120"/>
    </row>
    <row r="91" spans="1:34" ht="13.2" x14ac:dyDescent="0.25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121"/>
      <c r="AC91" s="121"/>
      <c r="AD91" s="121"/>
      <c r="AE91" s="121"/>
      <c r="AF91" s="121"/>
      <c r="AG91" s="121"/>
      <c r="AH91" s="120"/>
    </row>
    <row r="92" spans="1:34" ht="13.2" x14ac:dyDescent="0.25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121"/>
      <c r="AC92" s="121"/>
      <c r="AD92" s="121"/>
      <c r="AE92" s="121"/>
      <c r="AF92" s="121"/>
      <c r="AG92" s="121"/>
      <c r="AH92" s="120"/>
    </row>
    <row r="93" spans="1:34" ht="13.2" x14ac:dyDescent="0.25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121"/>
      <c r="AC93" s="121"/>
      <c r="AD93" s="121"/>
      <c r="AE93" s="121"/>
      <c r="AF93" s="121"/>
      <c r="AG93" s="121"/>
      <c r="AH93" s="120"/>
    </row>
    <row r="94" spans="1:34" ht="13.2" x14ac:dyDescent="0.25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121"/>
      <c r="AC94" s="121"/>
      <c r="AD94" s="121"/>
      <c r="AE94" s="121"/>
      <c r="AF94" s="121"/>
      <c r="AG94" s="121"/>
      <c r="AH94" s="120"/>
    </row>
    <row r="95" spans="1:34" ht="13.2" x14ac:dyDescent="0.2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121"/>
      <c r="AC95" s="121"/>
      <c r="AD95" s="121"/>
      <c r="AE95" s="121"/>
      <c r="AF95" s="121"/>
      <c r="AG95" s="121"/>
      <c r="AH95" s="120"/>
    </row>
    <row r="96" spans="1:34" ht="13.2" x14ac:dyDescent="0.25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121"/>
      <c r="AC96" s="121"/>
      <c r="AD96" s="121"/>
      <c r="AE96" s="121"/>
      <c r="AF96" s="121"/>
      <c r="AG96" s="121"/>
      <c r="AH96" s="120"/>
    </row>
    <row r="97" spans="1:34" ht="13.2" x14ac:dyDescent="0.25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121"/>
      <c r="AC97" s="121"/>
      <c r="AD97" s="121"/>
      <c r="AE97" s="121"/>
      <c r="AF97" s="121"/>
      <c r="AG97" s="121"/>
      <c r="AH97" s="120"/>
    </row>
    <row r="98" spans="1:34" ht="13.2" x14ac:dyDescent="0.25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121"/>
      <c r="AC98" s="121"/>
      <c r="AD98" s="121"/>
      <c r="AE98" s="121"/>
      <c r="AF98" s="121"/>
      <c r="AG98" s="121"/>
      <c r="AH98" s="120"/>
    </row>
    <row r="99" spans="1:34" ht="13.2" x14ac:dyDescent="0.25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121"/>
      <c r="AC99" s="121"/>
      <c r="AD99" s="121"/>
      <c r="AE99" s="121"/>
      <c r="AF99" s="121"/>
      <c r="AG99" s="121"/>
      <c r="AH99" s="120"/>
    </row>
    <row r="100" spans="1:34" ht="13.2" x14ac:dyDescent="0.25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121"/>
      <c r="AC100" s="121"/>
      <c r="AD100" s="121"/>
      <c r="AE100" s="121"/>
      <c r="AF100" s="121"/>
      <c r="AG100" s="121"/>
      <c r="AH100" s="120"/>
    </row>
    <row r="101" spans="1:34" ht="13.2" x14ac:dyDescent="0.25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121"/>
      <c r="AC101" s="121"/>
      <c r="AD101" s="121"/>
      <c r="AE101" s="121"/>
      <c r="AF101" s="121"/>
      <c r="AG101" s="121"/>
      <c r="AH101" s="120"/>
    </row>
    <row r="102" spans="1:34" ht="13.2" x14ac:dyDescent="0.25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121"/>
      <c r="AC102" s="121"/>
      <c r="AD102" s="121"/>
      <c r="AE102" s="121"/>
      <c r="AF102" s="121"/>
      <c r="AG102" s="121"/>
      <c r="AH102" s="120"/>
    </row>
    <row r="103" spans="1:34" ht="13.2" x14ac:dyDescent="0.25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121"/>
      <c r="AC103" s="121"/>
      <c r="AD103" s="121"/>
      <c r="AE103" s="121"/>
      <c r="AF103" s="121"/>
      <c r="AG103" s="121"/>
      <c r="AH103" s="120"/>
    </row>
    <row r="104" spans="1:34" ht="13.2" x14ac:dyDescent="0.25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121"/>
      <c r="AC104" s="121"/>
      <c r="AD104" s="121"/>
      <c r="AE104" s="121"/>
      <c r="AF104" s="121"/>
      <c r="AG104" s="121"/>
      <c r="AH104" s="120"/>
    </row>
    <row r="105" spans="1:34" ht="13.2" x14ac:dyDescent="0.2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121"/>
      <c r="AC105" s="121"/>
      <c r="AD105" s="121"/>
      <c r="AE105" s="121"/>
      <c r="AF105" s="121"/>
      <c r="AG105" s="121"/>
      <c r="AH105" s="120"/>
    </row>
    <row r="106" spans="1:34" ht="13.2" x14ac:dyDescent="0.25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121"/>
      <c r="AC106" s="121"/>
      <c r="AD106" s="121"/>
      <c r="AE106" s="121"/>
      <c r="AF106" s="121"/>
      <c r="AG106" s="121"/>
      <c r="AH106" s="120"/>
    </row>
    <row r="107" spans="1:34" ht="13.2" x14ac:dyDescent="0.25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121"/>
      <c r="AC107" s="121"/>
      <c r="AD107" s="121"/>
      <c r="AE107" s="121"/>
      <c r="AF107" s="121"/>
      <c r="AG107" s="121"/>
      <c r="AH107" s="120"/>
    </row>
    <row r="108" spans="1:34" ht="13.2" x14ac:dyDescent="0.25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121"/>
      <c r="AC108" s="121"/>
      <c r="AD108" s="121"/>
      <c r="AE108" s="121"/>
      <c r="AF108" s="121"/>
      <c r="AG108" s="121"/>
      <c r="AH108" s="120"/>
    </row>
    <row r="109" spans="1:34" ht="13.2" x14ac:dyDescent="0.25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121"/>
      <c r="AC109" s="121"/>
      <c r="AD109" s="121"/>
      <c r="AE109" s="121"/>
      <c r="AF109" s="121"/>
      <c r="AG109" s="121"/>
      <c r="AH109" s="120"/>
    </row>
    <row r="110" spans="1:34" ht="13.2" x14ac:dyDescent="0.25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121"/>
      <c r="AC110" s="121"/>
      <c r="AD110" s="121"/>
      <c r="AE110" s="121"/>
      <c r="AF110" s="121"/>
      <c r="AG110" s="121"/>
      <c r="AH110" s="120"/>
    </row>
    <row r="111" spans="1:34" ht="13.2" x14ac:dyDescent="0.25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121"/>
      <c r="AC111" s="121"/>
      <c r="AD111" s="121"/>
      <c r="AE111" s="121"/>
      <c r="AF111" s="121"/>
      <c r="AG111" s="121"/>
      <c r="AH111" s="120"/>
    </row>
    <row r="112" spans="1:34" ht="13.2" x14ac:dyDescent="0.25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121"/>
      <c r="AC112" s="121"/>
      <c r="AD112" s="121"/>
      <c r="AE112" s="121"/>
      <c r="AF112" s="121"/>
      <c r="AG112" s="121"/>
      <c r="AH112" s="120"/>
    </row>
    <row r="113" spans="1:34" ht="13.2" x14ac:dyDescent="0.25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121"/>
      <c r="AC113" s="121"/>
      <c r="AD113" s="121"/>
      <c r="AE113" s="121"/>
      <c r="AF113" s="121"/>
      <c r="AG113" s="121"/>
      <c r="AH113" s="120"/>
    </row>
    <row r="114" spans="1:34" ht="13.2" x14ac:dyDescent="0.25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121"/>
      <c r="AC114" s="121"/>
      <c r="AD114" s="121"/>
      <c r="AE114" s="121"/>
      <c r="AF114" s="121"/>
      <c r="AG114" s="121"/>
      <c r="AH114" s="120"/>
    </row>
    <row r="115" spans="1:34" ht="13.2" x14ac:dyDescent="0.2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121"/>
      <c r="AC115" s="121"/>
      <c r="AD115" s="121"/>
      <c r="AE115" s="121"/>
      <c r="AF115" s="121"/>
      <c r="AG115" s="121"/>
      <c r="AH115" s="120"/>
    </row>
    <row r="116" spans="1:34" ht="13.2" x14ac:dyDescent="0.25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121"/>
      <c r="AC116" s="121"/>
      <c r="AD116" s="121"/>
      <c r="AE116" s="121"/>
      <c r="AF116" s="121"/>
      <c r="AG116" s="121"/>
      <c r="AH116" s="120"/>
    </row>
    <row r="117" spans="1:34" ht="13.2" x14ac:dyDescent="0.25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121"/>
      <c r="AC117" s="121"/>
      <c r="AD117" s="121"/>
      <c r="AE117" s="121"/>
      <c r="AF117" s="121"/>
      <c r="AG117" s="121"/>
      <c r="AH117" s="120"/>
    </row>
    <row r="118" spans="1:34" ht="13.2" x14ac:dyDescent="0.25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121"/>
      <c r="AC118" s="121"/>
      <c r="AD118" s="121"/>
      <c r="AE118" s="121"/>
      <c r="AF118" s="121"/>
      <c r="AG118" s="121"/>
      <c r="AH118" s="120"/>
    </row>
    <row r="119" spans="1:34" ht="13.2" x14ac:dyDescent="0.25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121"/>
      <c r="AC119" s="121"/>
      <c r="AD119" s="121"/>
      <c r="AE119" s="121"/>
      <c r="AF119" s="121"/>
      <c r="AG119" s="121"/>
      <c r="AH119" s="120"/>
    </row>
    <row r="120" spans="1:34" ht="13.2" x14ac:dyDescent="0.25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121"/>
      <c r="AC120" s="121"/>
      <c r="AD120" s="121"/>
      <c r="AE120" s="121"/>
      <c r="AF120" s="121"/>
      <c r="AG120" s="121"/>
      <c r="AH120" s="120"/>
    </row>
    <row r="121" spans="1:34" ht="13.2" x14ac:dyDescent="0.25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121"/>
      <c r="AC121" s="121"/>
      <c r="AD121" s="121"/>
      <c r="AE121" s="121"/>
      <c r="AF121" s="121"/>
      <c r="AG121" s="121"/>
      <c r="AH121" s="120"/>
    </row>
    <row r="122" spans="1:34" ht="13.2" x14ac:dyDescent="0.25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121"/>
      <c r="AC122" s="121"/>
      <c r="AD122" s="121"/>
      <c r="AE122" s="121"/>
      <c r="AF122" s="121"/>
      <c r="AG122" s="121"/>
      <c r="AH122" s="120"/>
    </row>
    <row r="123" spans="1:34" ht="13.2" x14ac:dyDescent="0.25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121"/>
      <c r="AC123" s="121"/>
      <c r="AD123" s="121"/>
      <c r="AE123" s="121"/>
      <c r="AF123" s="121"/>
      <c r="AG123" s="121"/>
      <c r="AH123" s="120"/>
    </row>
    <row r="124" spans="1:34" ht="13.2" x14ac:dyDescent="0.25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121"/>
      <c r="AC124" s="121"/>
      <c r="AD124" s="121"/>
      <c r="AE124" s="121"/>
      <c r="AF124" s="121"/>
      <c r="AG124" s="121"/>
      <c r="AH124" s="120"/>
    </row>
    <row r="125" spans="1:34" ht="13.2" x14ac:dyDescent="0.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121"/>
      <c r="AC125" s="121"/>
      <c r="AD125" s="121"/>
      <c r="AE125" s="121"/>
      <c r="AF125" s="121"/>
      <c r="AG125" s="121"/>
      <c r="AH125" s="120"/>
    </row>
    <row r="126" spans="1:34" ht="13.2" x14ac:dyDescent="0.25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121"/>
      <c r="AC126" s="121"/>
      <c r="AD126" s="121"/>
      <c r="AE126" s="121"/>
      <c r="AF126" s="121"/>
      <c r="AG126" s="121"/>
      <c r="AH126" s="120"/>
    </row>
    <row r="127" spans="1:34" ht="13.2" x14ac:dyDescent="0.25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121"/>
      <c r="AC127" s="121"/>
      <c r="AD127" s="121"/>
      <c r="AE127" s="121"/>
      <c r="AF127" s="121"/>
      <c r="AG127" s="121"/>
      <c r="AH127" s="120"/>
    </row>
    <row r="128" spans="1:34" ht="13.2" x14ac:dyDescent="0.25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121"/>
      <c r="AC128" s="121"/>
      <c r="AD128" s="121"/>
      <c r="AE128" s="121"/>
      <c r="AF128" s="121"/>
      <c r="AG128" s="121"/>
      <c r="AH128" s="120"/>
    </row>
    <row r="129" spans="1:34" ht="13.2" x14ac:dyDescent="0.25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121"/>
      <c r="AC129" s="121"/>
      <c r="AD129" s="121"/>
      <c r="AE129" s="121"/>
      <c r="AF129" s="121"/>
      <c r="AG129" s="121"/>
      <c r="AH129" s="120"/>
    </row>
    <row r="130" spans="1:34" ht="13.2" x14ac:dyDescent="0.25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121"/>
      <c r="AC130" s="121"/>
      <c r="AD130" s="121"/>
      <c r="AE130" s="121"/>
      <c r="AF130" s="121"/>
      <c r="AG130" s="121"/>
      <c r="AH130" s="120"/>
    </row>
    <row r="131" spans="1:34" ht="13.2" x14ac:dyDescent="0.25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121"/>
      <c r="AC131" s="121"/>
      <c r="AD131" s="121"/>
      <c r="AE131" s="121"/>
      <c r="AF131" s="121"/>
      <c r="AG131" s="121"/>
      <c r="AH131" s="120"/>
    </row>
    <row r="132" spans="1:34" ht="13.2" x14ac:dyDescent="0.25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121"/>
      <c r="AC132" s="121"/>
      <c r="AD132" s="121"/>
      <c r="AE132" s="121"/>
      <c r="AF132" s="121"/>
      <c r="AG132" s="121"/>
      <c r="AH132" s="120"/>
    </row>
    <row r="133" spans="1:34" ht="13.2" x14ac:dyDescent="0.25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121"/>
      <c r="AC133" s="121"/>
      <c r="AD133" s="121"/>
      <c r="AE133" s="121"/>
      <c r="AF133" s="121"/>
      <c r="AG133" s="121"/>
      <c r="AH133" s="120"/>
    </row>
    <row r="134" spans="1:34" ht="13.2" x14ac:dyDescent="0.25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121"/>
      <c r="AC134" s="121"/>
      <c r="AD134" s="121"/>
      <c r="AE134" s="121"/>
      <c r="AF134" s="121"/>
      <c r="AG134" s="121"/>
      <c r="AH134" s="120"/>
    </row>
    <row r="135" spans="1:34" ht="13.2" x14ac:dyDescent="0.2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121"/>
      <c r="AC135" s="121"/>
      <c r="AD135" s="121"/>
      <c r="AE135" s="121"/>
      <c r="AF135" s="121"/>
      <c r="AG135" s="121"/>
      <c r="AH135" s="120"/>
    </row>
    <row r="136" spans="1:34" ht="13.2" x14ac:dyDescent="0.25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121"/>
      <c r="AC136" s="121"/>
      <c r="AD136" s="121"/>
      <c r="AE136" s="121"/>
      <c r="AF136" s="121"/>
      <c r="AG136" s="121"/>
      <c r="AH136" s="120"/>
    </row>
    <row r="137" spans="1:34" ht="13.2" x14ac:dyDescent="0.25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121"/>
      <c r="AC137" s="121"/>
      <c r="AD137" s="121"/>
      <c r="AE137" s="121"/>
      <c r="AF137" s="121"/>
      <c r="AG137" s="121"/>
      <c r="AH137" s="120"/>
    </row>
    <row r="138" spans="1:34" ht="13.2" x14ac:dyDescent="0.25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121"/>
      <c r="AC138" s="121"/>
      <c r="AD138" s="121"/>
      <c r="AE138" s="121"/>
      <c r="AF138" s="121"/>
      <c r="AG138" s="121"/>
      <c r="AH138" s="120"/>
    </row>
    <row r="139" spans="1:34" ht="13.2" x14ac:dyDescent="0.25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121"/>
      <c r="AC139" s="121"/>
      <c r="AD139" s="121"/>
      <c r="AE139" s="121"/>
      <c r="AF139" s="121"/>
      <c r="AG139" s="121"/>
      <c r="AH139" s="120"/>
    </row>
    <row r="140" spans="1:34" ht="13.2" x14ac:dyDescent="0.25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121"/>
      <c r="AC140" s="121"/>
      <c r="AD140" s="121"/>
      <c r="AE140" s="121"/>
      <c r="AF140" s="121"/>
      <c r="AG140" s="121"/>
      <c r="AH140" s="120"/>
    </row>
    <row r="141" spans="1:34" ht="13.2" x14ac:dyDescent="0.25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121"/>
      <c r="AC141" s="121"/>
      <c r="AD141" s="121"/>
      <c r="AE141" s="121"/>
      <c r="AF141" s="121"/>
      <c r="AG141" s="121"/>
      <c r="AH141" s="120"/>
    </row>
    <row r="142" spans="1:34" ht="13.2" x14ac:dyDescent="0.25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121"/>
      <c r="AC142" s="121"/>
      <c r="AD142" s="121"/>
      <c r="AE142" s="121"/>
      <c r="AF142" s="121"/>
      <c r="AG142" s="121"/>
      <c r="AH142" s="120"/>
    </row>
    <row r="143" spans="1:34" ht="13.2" x14ac:dyDescent="0.25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121"/>
      <c r="AC143" s="121"/>
      <c r="AD143" s="121"/>
      <c r="AE143" s="121"/>
      <c r="AF143" s="121"/>
      <c r="AG143" s="121"/>
      <c r="AH143" s="120"/>
    </row>
    <row r="144" spans="1:34" ht="13.2" x14ac:dyDescent="0.25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121"/>
      <c r="AC144" s="121"/>
      <c r="AD144" s="121"/>
      <c r="AE144" s="121"/>
      <c r="AF144" s="121"/>
      <c r="AG144" s="121"/>
      <c r="AH144" s="120"/>
    </row>
    <row r="145" spans="1:34" ht="13.2" x14ac:dyDescent="0.2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121"/>
      <c r="AC145" s="121"/>
      <c r="AD145" s="121"/>
      <c r="AE145" s="121"/>
      <c r="AF145" s="121"/>
      <c r="AG145" s="121"/>
      <c r="AH145" s="120"/>
    </row>
    <row r="146" spans="1:34" ht="13.2" x14ac:dyDescent="0.25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121"/>
      <c r="AC146" s="121"/>
      <c r="AD146" s="121"/>
      <c r="AE146" s="121"/>
      <c r="AF146" s="121"/>
      <c r="AG146" s="121"/>
      <c r="AH146" s="120"/>
    </row>
    <row r="147" spans="1:34" ht="13.2" x14ac:dyDescent="0.25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121"/>
      <c r="AC147" s="121"/>
      <c r="AD147" s="121"/>
      <c r="AE147" s="121"/>
      <c r="AF147" s="121"/>
      <c r="AG147" s="121"/>
      <c r="AH147" s="120"/>
    </row>
    <row r="148" spans="1:34" ht="13.2" x14ac:dyDescent="0.25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121"/>
      <c r="AC148" s="121"/>
      <c r="AD148" s="121"/>
      <c r="AE148" s="121"/>
      <c r="AF148" s="121"/>
      <c r="AG148" s="121"/>
      <c r="AH148" s="120"/>
    </row>
    <row r="149" spans="1:34" ht="13.2" x14ac:dyDescent="0.25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121"/>
      <c r="AC149" s="121"/>
      <c r="AD149" s="121"/>
      <c r="AE149" s="121"/>
      <c r="AF149" s="121"/>
      <c r="AG149" s="121"/>
      <c r="AH149" s="120"/>
    </row>
    <row r="150" spans="1:34" ht="13.2" x14ac:dyDescent="0.25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121"/>
      <c r="AC150" s="121"/>
      <c r="AD150" s="121"/>
      <c r="AE150" s="121"/>
      <c r="AF150" s="121"/>
      <c r="AG150" s="121"/>
      <c r="AH150" s="120"/>
    </row>
    <row r="151" spans="1:34" ht="13.2" x14ac:dyDescent="0.25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121"/>
      <c r="AC151" s="121"/>
      <c r="AD151" s="121"/>
      <c r="AE151" s="121"/>
      <c r="AF151" s="121"/>
      <c r="AG151" s="121"/>
      <c r="AH151" s="120"/>
    </row>
    <row r="152" spans="1:34" ht="13.2" x14ac:dyDescent="0.25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121"/>
      <c r="AC152" s="121"/>
      <c r="AD152" s="121"/>
      <c r="AE152" s="121"/>
      <c r="AF152" s="121"/>
      <c r="AG152" s="121"/>
      <c r="AH152" s="120"/>
    </row>
    <row r="153" spans="1:34" ht="13.2" x14ac:dyDescent="0.25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121"/>
      <c r="AC153" s="121"/>
      <c r="AD153" s="121"/>
      <c r="AE153" s="121"/>
      <c r="AF153" s="121"/>
      <c r="AG153" s="121"/>
      <c r="AH153" s="120"/>
    </row>
    <row r="154" spans="1:34" ht="13.2" x14ac:dyDescent="0.25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121"/>
      <c r="AC154" s="121"/>
      <c r="AD154" s="121"/>
      <c r="AE154" s="121"/>
      <c r="AF154" s="121"/>
      <c r="AG154" s="121"/>
      <c r="AH154" s="120"/>
    </row>
    <row r="155" spans="1:34" ht="13.2" x14ac:dyDescent="0.2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121"/>
      <c r="AC155" s="121"/>
      <c r="AD155" s="121"/>
      <c r="AE155" s="121"/>
      <c r="AF155" s="121"/>
      <c r="AG155" s="121"/>
      <c r="AH155" s="120"/>
    </row>
    <row r="156" spans="1:34" ht="13.2" x14ac:dyDescent="0.25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121"/>
      <c r="AC156" s="121"/>
      <c r="AD156" s="121"/>
      <c r="AE156" s="121"/>
      <c r="AF156" s="121"/>
      <c r="AG156" s="121"/>
      <c r="AH156" s="120"/>
    </row>
    <row r="157" spans="1:34" ht="13.2" x14ac:dyDescent="0.25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121"/>
      <c r="AC157" s="121"/>
      <c r="AD157" s="121"/>
      <c r="AE157" s="121"/>
      <c r="AF157" s="121"/>
      <c r="AG157" s="121"/>
      <c r="AH157" s="120"/>
    </row>
    <row r="158" spans="1:34" ht="13.2" x14ac:dyDescent="0.25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121"/>
      <c r="AC158" s="121"/>
      <c r="AD158" s="121"/>
      <c r="AE158" s="121"/>
      <c r="AF158" s="121"/>
      <c r="AG158" s="121"/>
      <c r="AH158" s="120"/>
    </row>
    <row r="159" spans="1:34" ht="13.2" x14ac:dyDescent="0.25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121"/>
      <c r="AC159" s="121"/>
      <c r="AD159" s="121"/>
      <c r="AE159" s="121"/>
      <c r="AF159" s="121"/>
      <c r="AG159" s="121"/>
      <c r="AH159" s="120"/>
    </row>
    <row r="160" spans="1:34" ht="13.2" x14ac:dyDescent="0.25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121"/>
      <c r="AC160" s="121"/>
      <c r="AD160" s="121"/>
      <c r="AE160" s="121"/>
      <c r="AF160" s="121"/>
      <c r="AG160" s="121"/>
      <c r="AH160" s="120"/>
    </row>
    <row r="161" spans="1:34" ht="13.2" x14ac:dyDescent="0.25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121"/>
      <c r="AC161" s="121"/>
      <c r="AD161" s="121"/>
      <c r="AE161" s="121"/>
      <c r="AF161" s="121"/>
      <c r="AG161" s="121"/>
      <c r="AH161" s="120"/>
    </row>
    <row r="162" spans="1:34" ht="13.2" x14ac:dyDescent="0.25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121"/>
      <c r="AC162" s="121"/>
      <c r="AD162" s="121"/>
      <c r="AE162" s="121"/>
      <c r="AF162" s="121"/>
      <c r="AG162" s="121"/>
      <c r="AH162" s="120"/>
    </row>
    <row r="163" spans="1:34" ht="13.2" x14ac:dyDescent="0.25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121"/>
      <c r="AC163" s="121"/>
      <c r="AD163" s="121"/>
      <c r="AE163" s="121"/>
      <c r="AF163" s="121"/>
      <c r="AG163" s="121"/>
      <c r="AH163" s="120"/>
    </row>
    <row r="164" spans="1:34" ht="13.2" x14ac:dyDescent="0.25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121"/>
      <c r="AC164" s="121"/>
      <c r="AD164" s="121"/>
      <c r="AE164" s="121"/>
      <c r="AF164" s="121"/>
      <c r="AG164" s="121"/>
      <c r="AH164" s="120"/>
    </row>
    <row r="165" spans="1:34" ht="13.2" x14ac:dyDescent="0.2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121"/>
      <c r="AC165" s="121"/>
      <c r="AD165" s="121"/>
      <c r="AE165" s="121"/>
      <c r="AF165" s="121"/>
      <c r="AG165" s="121"/>
      <c r="AH165" s="120"/>
    </row>
    <row r="166" spans="1:34" ht="13.2" x14ac:dyDescent="0.25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121"/>
      <c r="AC166" s="121"/>
      <c r="AD166" s="121"/>
      <c r="AE166" s="121"/>
      <c r="AF166" s="121"/>
      <c r="AG166" s="121"/>
      <c r="AH166" s="120"/>
    </row>
    <row r="167" spans="1:34" ht="13.2" x14ac:dyDescent="0.25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121"/>
      <c r="AC167" s="121"/>
      <c r="AD167" s="121"/>
      <c r="AE167" s="121"/>
      <c r="AF167" s="121"/>
      <c r="AG167" s="121"/>
      <c r="AH167" s="120"/>
    </row>
    <row r="168" spans="1:34" ht="13.2" x14ac:dyDescent="0.25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121"/>
      <c r="AC168" s="121"/>
      <c r="AD168" s="121"/>
      <c r="AE168" s="121"/>
      <c r="AF168" s="121"/>
      <c r="AG168" s="121"/>
      <c r="AH168" s="120"/>
    </row>
    <row r="169" spans="1:34" ht="13.2" x14ac:dyDescent="0.25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121"/>
      <c r="AC169" s="121"/>
      <c r="AD169" s="121"/>
      <c r="AE169" s="121"/>
      <c r="AF169" s="121"/>
      <c r="AG169" s="121"/>
      <c r="AH169" s="120"/>
    </row>
    <row r="170" spans="1:34" ht="13.2" x14ac:dyDescent="0.25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121"/>
      <c r="AC170" s="121"/>
      <c r="AD170" s="121"/>
      <c r="AE170" s="121"/>
      <c r="AF170" s="121"/>
      <c r="AG170" s="121"/>
      <c r="AH170" s="120"/>
    </row>
    <row r="171" spans="1:34" ht="13.2" x14ac:dyDescent="0.25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121"/>
      <c r="AC171" s="121"/>
      <c r="AD171" s="121"/>
      <c r="AE171" s="121"/>
      <c r="AF171" s="121"/>
      <c r="AG171" s="121"/>
      <c r="AH171" s="120"/>
    </row>
    <row r="172" spans="1:34" ht="13.2" x14ac:dyDescent="0.25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121"/>
      <c r="AC172" s="121"/>
      <c r="AD172" s="121"/>
      <c r="AE172" s="121"/>
      <c r="AF172" s="121"/>
      <c r="AG172" s="121"/>
      <c r="AH172" s="120"/>
    </row>
    <row r="173" spans="1:34" ht="13.2" x14ac:dyDescent="0.25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121"/>
      <c r="AC173" s="121"/>
      <c r="AD173" s="121"/>
      <c r="AE173" s="121"/>
      <c r="AF173" s="121"/>
      <c r="AG173" s="121"/>
      <c r="AH173" s="120"/>
    </row>
    <row r="174" spans="1:34" ht="13.2" x14ac:dyDescent="0.25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121"/>
      <c r="AC174" s="121"/>
      <c r="AD174" s="121"/>
      <c r="AE174" s="121"/>
      <c r="AF174" s="121"/>
      <c r="AG174" s="121"/>
      <c r="AH174" s="120"/>
    </row>
    <row r="175" spans="1:34" ht="13.2" x14ac:dyDescent="0.2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121"/>
      <c r="AC175" s="121"/>
      <c r="AD175" s="121"/>
      <c r="AE175" s="121"/>
      <c r="AF175" s="121"/>
      <c r="AG175" s="121"/>
      <c r="AH175" s="120"/>
    </row>
    <row r="176" spans="1:34" ht="13.2" x14ac:dyDescent="0.25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121"/>
      <c r="AC176" s="121"/>
      <c r="AD176" s="121"/>
      <c r="AE176" s="121"/>
      <c r="AF176" s="121"/>
      <c r="AG176" s="121"/>
      <c r="AH176" s="120"/>
    </row>
    <row r="177" spans="1:34" ht="13.2" x14ac:dyDescent="0.25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121"/>
      <c r="AC177" s="121"/>
      <c r="AD177" s="121"/>
      <c r="AE177" s="121"/>
      <c r="AF177" s="121"/>
      <c r="AG177" s="121"/>
      <c r="AH177" s="120"/>
    </row>
    <row r="178" spans="1:34" ht="13.2" x14ac:dyDescent="0.25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121"/>
      <c r="AC178" s="121"/>
      <c r="AD178" s="121"/>
      <c r="AE178" s="121"/>
      <c r="AF178" s="121"/>
      <c r="AG178" s="121"/>
      <c r="AH178" s="120"/>
    </row>
    <row r="179" spans="1:34" ht="13.2" x14ac:dyDescent="0.25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121"/>
      <c r="AC179" s="121"/>
      <c r="AD179" s="121"/>
      <c r="AE179" s="121"/>
      <c r="AF179" s="121"/>
      <c r="AG179" s="121"/>
      <c r="AH179" s="120"/>
    </row>
    <row r="180" spans="1:34" ht="13.2" x14ac:dyDescent="0.25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121"/>
      <c r="AC180" s="121"/>
      <c r="AD180" s="121"/>
      <c r="AE180" s="121"/>
      <c r="AF180" s="121"/>
      <c r="AG180" s="121"/>
      <c r="AH180" s="120"/>
    </row>
    <row r="181" spans="1:34" ht="13.2" x14ac:dyDescent="0.25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121"/>
      <c r="AC181" s="121"/>
      <c r="AD181" s="121"/>
      <c r="AE181" s="121"/>
      <c r="AF181" s="121"/>
      <c r="AG181" s="121"/>
      <c r="AH181" s="120"/>
    </row>
    <row r="182" spans="1:34" ht="13.2" x14ac:dyDescent="0.25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121"/>
      <c r="AC182" s="121"/>
      <c r="AD182" s="121"/>
      <c r="AE182" s="121"/>
      <c r="AF182" s="121"/>
      <c r="AG182" s="121"/>
      <c r="AH182" s="120"/>
    </row>
    <row r="183" spans="1:34" ht="13.2" x14ac:dyDescent="0.25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121"/>
      <c r="AC183" s="121"/>
      <c r="AD183" s="121"/>
      <c r="AE183" s="121"/>
      <c r="AF183" s="121"/>
      <c r="AG183" s="121"/>
      <c r="AH183" s="120"/>
    </row>
    <row r="184" spans="1:34" ht="13.2" x14ac:dyDescent="0.25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121"/>
      <c r="AC184" s="121"/>
      <c r="AD184" s="121"/>
      <c r="AE184" s="121"/>
      <c r="AF184" s="121"/>
      <c r="AG184" s="121"/>
      <c r="AH184" s="120"/>
    </row>
    <row r="185" spans="1:34" ht="13.2" x14ac:dyDescent="0.2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121"/>
      <c r="AC185" s="121"/>
      <c r="AD185" s="121"/>
      <c r="AE185" s="121"/>
      <c r="AF185" s="121"/>
      <c r="AG185" s="121"/>
      <c r="AH185" s="120"/>
    </row>
    <row r="186" spans="1:34" ht="13.2" x14ac:dyDescent="0.25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121"/>
      <c r="AC186" s="121"/>
      <c r="AD186" s="121"/>
      <c r="AE186" s="121"/>
      <c r="AF186" s="121"/>
      <c r="AG186" s="121"/>
      <c r="AH186" s="120"/>
    </row>
    <row r="187" spans="1:34" ht="13.2" x14ac:dyDescent="0.25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121"/>
      <c r="AC187" s="121"/>
      <c r="AD187" s="121"/>
      <c r="AE187" s="121"/>
      <c r="AF187" s="121"/>
      <c r="AG187" s="121"/>
      <c r="AH187" s="120"/>
    </row>
    <row r="188" spans="1:34" ht="13.2" x14ac:dyDescent="0.25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121"/>
      <c r="AC188" s="121"/>
      <c r="AD188" s="121"/>
      <c r="AE188" s="121"/>
      <c r="AF188" s="121"/>
      <c r="AG188" s="121"/>
      <c r="AH188" s="120"/>
    </row>
    <row r="189" spans="1:34" ht="13.2" x14ac:dyDescent="0.25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121"/>
      <c r="AC189" s="121"/>
      <c r="AD189" s="121"/>
      <c r="AE189" s="121"/>
      <c r="AF189" s="121"/>
      <c r="AG189" s="121"/>
      <c r="AH189" s="120"/>
    </row>
    <row r="190" spans="1:34" ht="13.2" x14ac:dyDescent="0.25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121"/>
      <c r="AC190" s="121"/>
      <c r="AD190" s="121"/>
      <c r="AE190" s="121"/>
      <c r="AF190" s="121"/>
      <c r="AG190" s="121"/>
      <c r="AH190" s="120"/>
    </row>
    <row r="191" spans="1:34" ht="13.2" x14ac:dyDescent="0.25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121"/>
      <c r="AC191" s="121"/>
      <c r="AD191" s="121"/>
      <c r="AE191" s="121"/>
      <c r="AF191" s="121"/>
      <c r="AG191" s="121"/>
      <c r="AH191" s="120"/>
    </row>
    <row r="192" spans="1:34" ht="13.2" x14ac:dyDescent="0.25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121"/>
      <c r="AC192" s="121"/>
      <c r="AD192" s="121"/>
      <c r="AE192" s="121"/>
      <c r="AF192" s="121"/>
      <c r="AG192" s="121"/>
      <c r="AH192" s="120"/>
    </row>
    <row r="193" spans="1:34" ht="13.2" x14ac:dyDescent="0.25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121"/>
      <c r="AC193" s="121"/>
      <c r="AD193" s="121"/>
      <c r="AE193" s="121"/>
      <c r="AF193" s="121"/>
      <c r="AG193" s="121"/>
      <c r="AH193" s="120"/>
    </row>
    <row r="194" spans="1:34" ht="13.2" x14ac:dyDescent="0.25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121"/>
      <c r="AC194" s="121"/>
      <c r="AD194" s="121"/>
      <c r="AE194" s="121"/>
      <c r="AF194" s="121"/>
      <c r="AG194" s="121"/>
      <c r="AH194" s="120"/>
    </row>
    <row r="195" spans="1:34" ht="13.2" x14ac:dyDescent="0.2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121"/>
      <c r="AC195" s="121"/>
      <c r="AD195" s="121"/>
      <c r="AE195" s="121"/>
      <c r="AF195" s="121"/>
      <c r="AG195" s="121"/>
      <c r="AH195" s="120"/>
    </row>
    <row r="196" spans="1:34" ht="13.2" x14ac:dyDescent="0.25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121"/>
      <c r="AC196" s="121"/>
      <c r="AD196" s="121"/>
      <c r="AE196" s="121"/>
      <c r="AF196" s="121"/>
      <c r="AG196" s="121"/>
      <c r="AH196" s="120"/>
    </row>
    <row r="197" spans="1:34" ht="13.2" x14ac:dyDescent="0.25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121"/>
      <c r="AC197" s="121"/>
      <c r="AD197" s="121"/>
      <c r="AE197" s="121"/>
      <c r="AF197" s="121"/>
      <c r="AG197" s="121"/>
      <c r="AH197" s="120"/>
    </row>
    <row r="198" spans="1:34" ht="13.2" x14ac:dyDescent="0.25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121"/>
      <c r="AC198" s="121"/>
      <c r="AD198" s="121"/>
      <c r="AE198" s="121"/>
      <c r="AF198" s="121"/>
      <c r="AG198" s="121"/>
      <c r="AH198" s="120"/>
    </row>
    <row r="199" spans="1:34" ht="13.2" x14ac:dyDescent="0.25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121"/>
      <c r="AC199" s="121"/>
      <c r="AD199" s="121"/>
      <c r="AE199" s="121"/>
      <c r="AF199" s="121"/>
      <c r="AG199" s="121"/>
      <c r="AH199" s="120"/>
    </row>
    <row r="200" spans="1:34" ht="13.2" x14ac:dyDescent="0.25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121"/>
      <c r="AC200" s="121"/>
      <c r="AD200" s="121"/>
      <c r="AE200" s="121"/>
      <c r="AF200" s="121"/>
      <c r="AG200" s="121"/>
      <c r="AH200" s="120"/>
    </row>
    <row r="201" spans="1:34" ht="13.2" x14ac:dyDescent="0.25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121"/>
      <c r="AC201" s="121"/>
      <c r="AD201" s="121"/>
      <c r="AE201" s="121"/>
      <c r="AF201" s="121"/>
      <c r="AG201" s="121"/>
      <c r="AH201" s="120"/>
    </row>
    <row r="202" spans="1:34" ht="13.2" x14ac:dyDescent="0.25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121"/>
      <c r="AC202" s="121"/>
      <c r="AD202" s="121"/>
      <c r="AE202" s="121"/>
      <c r="AF202" s="121"/>
      <c r="AG202" s="121"/>
      <c r="AH202" s="120"/>
    </row>
    <row r="203" spans="1:34" ht="13.2" x14ac:dyDescent="0.25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121"/>
      <c r="AC203" s="121"/>
      <c r="AD203" s="121"/>
      <c r="AE203" s="121"/>
      <c r="AF203" s="121"/>
      <c r="AG203" s="121"/>
      <c r="AH203" s="120"/>
    </row>
    <row r="204" spans="1:34" ht="13.2" x14ac:dyDescent="0.25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121"/>
      <c r="AC204" s="121"/>
      <c r="AD204" s="121"/>
      <c r="AE204" s="121"/>
      <c r="AF204" s="121"/>
      <c r="AG204" s="121"/>
      <c r="AH204" s="120"/>
    </row>
    <row r="205" spans="1:34" ht="13.2" x14ac:dyDescent="0.2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121"/>
      <c r="AC205" s="121"/>
      <c r="AD205" s="121"/>
      <c r="AE205" s="121"/>
      <c r="AF205" s="121"/>
      <c r="AG205" s="121"/>
      <c r="AH205" s="120"/>
    </row>
    <row r="206" spans="1:34" ht="13.2" x14ac:dyDescent="0.25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121"/>
      <c r="AC206" s="121"/>
      <c r="AD206" s="121"/>
      <c r="AE206" s="121"/>
      <c r="AF206" s="121"/>
      <c r="AG206" s="121"/>
      <c r="AH206" s="120"/>
    </row>
    <row r="207" spans="1:34" ht="13.2" x14ac:dyDescent="0.25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121"/>
      <c r="AC207" s="121"/>
      <c r="AD207" s="121"/>
      <c r="AE207" s="121"/>
      <c r="AF207" s="121"/>
      <c r="AG207" s="121"/>
      <c r="AH207" s="120"/>
    </row>
    <row r="208" spans="1:34" ht="13.2" x14ac:dyDescent="0.25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121"/>
      <c r="AC208" s="121"/>
      <c r="AD208" s="121"/>
      <c r="AE208" s="121"/>
      <c r="AF208" s="121"/>
      <c r="AG208" s="121"/>
      <c r="AH208" s="120"/>
    </row>
    <row r="209" spans="1:34" ht="13.2" x14ac:dyDescent="0.25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121"/>
      <c r="AC209" s="121"/>
      <c r="AD209" s="121"/>
      <c r="AE209" s="121"/>
      <c r="AF209" s="121"/>
      <c r="AG209" s="121"/>
      <c r="AH209" s="120"/>
    </row>
    <row r="210" spans="1:34" ht="13.2" x14ac:dyDescent="0.25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121"/>
      <c r="AC210" s="121"/>
      <c r="AD210" s="121"/>
      <c r="AE210" s="121"/>
      <c r="AF210" s="121"/>
      <c r="AG210" s="121"/>
      <c r="AH210" s="120"/>
    </row>
    <row r="211" spans="1:34" ht="13.2" x14ac:dyDescent="0.25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121"/>
      <c r="AC211" s="121"/>
      <c r="AD211" s="121"/>
      <c r="AE211" s="121"/>
      <c r="AF211" s="121"/>
      <c r="AG211" s="121"/>
      <c r="AH211" s="120"/>
    </row>
    <row r="212" spans="1:34" ht="13.2" x14ac:dyDescent="0.25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121"/>
      <c r="AC212" s="121"/>
      <c r="AD212" s="121"/>
      <c r="AE212" s="121"/>
      <c r="AF212" s="121"/>
      <c r="AG212" s="121"/>
      <c r="AH212" s="120"/>
    </row>
    <row r="213" spans="1:34" ht="13.2" x14ac:dyDescent="0.25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121"/>
      <c r="AC213" s="121"/>
      <c r="AD213" s="121"/>
      <c r="AE213" s="121"/>
      <c r="AF213" s="121"/>
      <c r="AG213" s="121"/>
      <c r="AH213" s="120"/>
    </row>
    <row r="214" spans="1:34" ht="13.2" x14ac:dyDescent="0.25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121"/>
      <c r="AC214" s="121"/>
      <c r="AD214" s="121"/>
      <c r="AE214" s="121"/>
      <c r="AF214" s="121"/>
      <c r="AG214" s="121"/>
      <c r="AH214" s="120"/>
    </row>
    <row r="215" spans="1:34" ht="13.2" x14ac:dyDescent="0.2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121"/>
      <c r="AC215" s="121"/>
      <c r="AD215" s="121"/>
      <c r="AE215" s="121"/>
      <c r="AF215" s="121"/>
      <c r="AG215" s="121"/>
      <c r="AH215" s="120"/>
    </row>
    <row r="216" spans="1:34" ht="13.2" x14ac:dyDescent="0.25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121"/>
      <c r="AC216" s="121"/>
      <c r="AD216" s="121"/>
      <c r="AE216" s="121"/>
      <c r="AF216" s="121"/>
      <c r="AG216" s="121"/>
      <c r="AH216" s="120"/>
    </row>
    <row r="217" spans="1:34" ht="13.2" x14ac:dyDescent="0.25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121"/>
      <c r="AC217" s="121"/>
      <c r="AD217" s="121"/>
      <c r="AE217" s="121"/>
      <c r="AF217" s="121"/>
      <c r="AG217" s="121"/>
      <c r="AH217" s="120"/>
    </row>
    <row r="218" spans="1:34" ht="13.2" x14ac:dyDescent="0.25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121"/>
      <c r="AC218" s="121"/>
      <c r="AD218" s="121"/>
      <c r="AE218" s="121"/>
      <c r="AF218" s="121"/>
      <c r="AG218" s="121"/>
      <c r="AH218" s="120"/>
    </row>
    <row r="219" spans="1:34" ht="13.2" x14ac:dyDescent="0.25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121"/>
      <c r="AC219" s="121"/>
      <c r="AD219" s="121"/>
      <c r="AE219" s="121"/>
      <c r="AF219" s="121"/>
      <c r="AG219" s="121"/>
      <c r="AH219" s="120"/>
    </row>
    <row r="220" spans="1:34" ht="13.2" x14ac:dyDescent="0.25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121"/>
      <c r="AC220" s="121"/>
      <c r="AD220" s="121"/>
      <c r="AE220" s="121"/>
      <c r="AF220" s="121"/>
      <c r="AG220" s="121"/>
      <c r="AH220" s="120"/>
    </row>
    <row r="221" spans="1:34" ht="13.2" x14ac:dyDescent="0.25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121"/>
      <c r="AC221" s="121"/>
      <c r="AD221" s="121"/>
      <c r="AE221" s="121"/>
      <c r="AF221" s="121"/>
      <c r="AG221" s="121"/>
      <c r="AH221" s="120"/>
    </row>
    <row r="222" spans="1:34" ht="13.2" x14ac:dyDescent="0.25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121"/>
      <c r="AC222" s="121"/>
      <c r="AD222" s="121"/>
      <c r="AE222" s="121"/>
      <c r="AF222" s="121"/>
      <c r="AG222" s="121"/>
      <c r="AH222" s="120"/>
    </row>
    <row r="223" spans="1:34" ht="13.2" x14ac:dyDescent="0.25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121"/>
      <c r="AC223" s="121"/>
      <c r="AD223" s="121"/>
      <c r="AE223" s="121"/>
      <c r="AF223" s="121"/>
      <c r="AG223" s="121"/>
      <c r="AH223" s="120"/>
    </row>
    <row r="224" spans="1:34" ht="13.2" x14ac:dyDescent="0.25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121"/>
      <c r="AC224" s="121"/>
      <c r="AD224" s="121"/>
      <c r="AE224" s="121"/>
      <c r="AF224" s="121"/>
      <c r="AG224" s="121"/>
      <c r="AH224" s="120"/>
    </row>
    <row r="225" spans="1:34" ht="13.2" x14ac:dyDescent="0.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121"/>
      <c r="AC225" s="121"/>
      <c r="AD225" s="121"/>
      <c r="AE225" s="121"/>
      <c r="AF225" s="121"/>
      <c r="AG225" s="121"/>
      <c r="AH225" s="120"/>
    </row>
    <row r="226" spans="1:34" ht="13.2" x14ac:dyDescent="0.25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121"/>
      <c r="AC226" s="121"/>
      <c r="AD226" s="121"/>
      <c r="AE226" s="121"/>
      <c r="AF226" s="121"/>
      <c r="AG226" s="121"/>
      <c r="AH226" s="120"/>
    </row>
    <row r="227" spans="1:34" ht="13.2" x14ac:dyDescent="0.25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121"/>
      <c r="AC227" s="121"/>
      <c r="AD227" s="121"/>
      <c r="AE227" s="121"/>
      <c r="AF227" s="121"/>
      <c r="AG227" s="121"/>
      <c r="AH227" s="120"/>
    </row>
    <row r="228" spans="1:34" ht="13.2" x14ac:dyDescent="0.25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121"/>
      <c r="AC228" s="121"/>
      <c r="AD228" s="121"/>
      <c r="AE228" s="121"/>
      <c r="AF228" s="121"/>
      <c r="AG228" s="121"/>
      <c r="AH228" s="120"/>
    </row>
    <row r="229" spans="1:34" ht="13.2" x14ac:dyDescent="0.25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121"/>
      <c r="AC229" s="121"/>
      <c r="AD229" s="121"/>
      <c r="AE229" s="121"/>
      <c r="AF229" s="121"/>
      <c r="AG229" s="121"/>
      <c r="AH229" s="120"/>
    </row>
    <row r="230" spans="1:34" ht="13.2" x14ac:dyDescent="0.25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121"/>
      <c r="AC230" s="121"/>
      <c r="AD230" s="121"/>
      <c r="AE230" s="121"/>
      <c r="AF230" s="121"/>
      <c r="AG230" s="121"/>
      <c r="AH230" s="120"/>
    </row>
    <row r="231" spans="1:34" ht="13.2" x14ac:dyDescent="0.25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121"/>
      <c r="AC231" s="121"/>
      <c r="AD231" s="121"/>
      <c r="AE231" s="121"/>
      <c r="AF231" s="121"/>
      <c r="AG231" s="121"/>
      <c r="AH231" s="120"/>
    </row>
    <row r="232" spans="1:34" ht="13.2" x14ac:dyDescent="0.25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121"/>
      <c r="AC232" s="121"/>
      <c r="AD232" s="121"/>
      <c r="AE232" s="121"/>
      <c r="AF232" s="121"/>
      <c r="AG232" s="121"/>
      <c r="AH232" s="120"/>
    </row>
    <row r="233" spans="1:34" ht="13.2" x14ac:dyDescent="0.25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121"/>
      <c r="AC233" s="121"/>
      <c r="AD233" s="121"/>
      <c r="AE233" s="121"/>
      <c r="AF233" s="121"/>
      <c r="AG233" s="121"/>
      <c r="AH233" s="120"/>
    </row>
    <row r="234" spans="1:34" ht="13.2" x14ac:dyDescent="0.25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121"/>
      <c r="AC234" s="121"/>
      <c r="AD234" s="121"/>
      <c r="AE234" s="121"/>
      <c r="AF234" s="121"/>
      <c r="AG234" s="121"/>
      <c r="AH234" s="120"/>
    </row>
    <row r="235" spans="1:34" ht="13.2" x14ac:dyDescent="0.2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121"/>
      <c r="AC235" s="121"/>
      <c r="AD235" s="121"/>
      <c r="AE235" s="121"/>
      <c r="AF235" s="121"/>
      <c r="AG235" s="121"/>
      <c r="AH235" s="120"/>
    </row>
    <row r="236" spans="1:34" ht="13.2" x14ac:dyDescent="0.25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121"/>
      <c r="AC236" s="121"/>
      <c r="AD236" s="121"/>
      <c r="AE236" s="121"/>
      <c r="AF236" s="121"/>
      <c r="AG236" s="121"/>
      <c r="AH236" s="120"/>
    </row>
    <row r="237" spans="1:34" ht="13.2" x14ac:dyDescent="0.25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121"/>
      <c r="AC237" s="121"/>
      <c r="AD237" s="121"/>
      <c r="AE237" s="121"/>
      <c r="AF237" s="121"/>
      <c r="AG237" s="121"/>
      <c r="AH237" s="120"/>
    </row>
    <row r="238" spans="1:34" ht="13.2" x14ac:dyDescent="0.25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121"/>
      <c r="AC238" s="121"/>
      <c r="AD238" s="121"/>
      <c r="AE238" s="121"/>
      <c r="AF238" s="121"/>
      <c r="AG238" s="121"/>
      <c r="AH238" s="120"/>
    </row>
    <row r="239" spans="1:34" ht="13.2" x14ac:dyDescent="0.25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121"/>
      <c r="AC239" s="121"/>
      <c r="AD239" s="121"/>
      <c r="AE239" s="121"/>
      <c r="AF239" s="121"/>
      <c r="AG239" s="121"/>
      <c r="AH239" s="120"/>
    </row>
    <row r="240" spans="1:34" ht="13.2" x14ac:dyDescent="0.25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121"/>
      <c r="AC240" s="121"/>
      <c r="AD240" s="121"/>
      <c r="AE240" s="121"/>
      <c r="AF240" s="121"/>
      <c r="AG240" s="121"/>
      <c r="AH240" s="120"/>
    </row>
    <row r="241" spans="1:34" ht="13.2" x14ac:dyDescent="0.25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121"/>
      <c r="AC241" s="121"/>
      <c r="AD241" s="121"/>
      <c r="AE241" s="121"/>
      <c r="AF241" s="121"/>
      <c r="AG241" s="121"/>
      <c r="AH241" s="120"/>
    </row>
    <row r="242" spans="1:34" ht="13.2" x14ac:dyDescent="0.25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121"/>
      <c r="AC242" s="121"/>
      <c r="AD242" s="121"/>
      <c r="AE242" s="121"/>
      <c r="AF242" s="121"/>
      <c r="AG242" s="121"/>
      <c r="AH242" s="120"/>
    </row>
    <row r="243" spans="1:34" ht="13.2" x14ac:dyDescent="0.25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121"/>
      <c r="AC243" s="121"/>
      <c r="AD243" s="121"/>
      <c r="AE243" s="121"/>
      <c r="AF243" s="121"/>
      <c r="AG243" s="121"/>
      <c r="AH243" s="120"/>
    </row>
    <row r="244" spans="1:34" ht="13.2" x14ac:dyDescent="0.25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121"/>
      <c r="AC244" s="121"/>
      <c r="AD244" s="121"/>
      <c r="AE244" s="121"/>
      <c r="AF244" s="121"/>
      <c r="AG244" s="121"/>
      <c r="AH244" s="120"/>
    </row>
    <row r="245" spans="1:34" ht="13.2" x14ac:dyDescent="0.2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121"/>
      <c r="AC245" s="121"/>
      <c r="AD245" s="121"/>
      <c r="AE245" s="121"/>
      <c r="AF245" s="121"/>
      <c r="AG245" s="121"/>
      <c r="AH245" s="120"/>
    </row>
    <row r="246" spans="1:34" ht="13.2" x14ac:dyDescent="0.25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121"/>
      <c r="AC246" s="121"/>
      <c r="AD246" s="121"/>
      <c r="AE246" s="121"/>
      <c r="AF246" s="121"/>
      <c r="AG246" s="121"/>
      <c r="AH246" s="120"/>
    </row>
    <row r="247" spans="1:34" ht="13.2" x14ac:dyDescent="0.25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121"/>
      <c r="AC247" s="121"/>
      <c r="AD247" s="121"/>
      <c r="AE247" s="121"/>
      <c r="AF247" s="121"/>
      <c r="AG247" s="121"/>
      <c r="AH247" s="120"/>
    </row>
    <row r="248" spans="1:34" ht="13.2" x14ac:dyDescent="0.25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121"/>
      <c r="AC248" s="121"/>
      <c r="AD248" s="121"/>
      <c r="AE248" s="121"/>
      <c r="AF248" s="121"/>
      <c r="AG248" s="121"/>
      <c r="AH248" s="120"/>
    </row>
    <row r="249" spans="1:34" ht="13.2" x14ac:dyDescent="0.25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121"/>
      <c r="AC249" s="121"/>
      <c r="AD249" s="121"/>
      <c r="AE249" s="121"/>
      <c r="AF249" s="121"/>
      <c r="AG249" s="121"/>
      <c r="AH249" s="120"/>
    </row>
    <row r="250" spans="1:34" ht="13.2" x14ac:dyDescent="0.25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121"/>
      <c r="AC250" s="121"/>
      <c r="AD250" s="121"/>
      <c r="AE250" s="121"/>
      <c r="AF250" s="121"/>
      <c r="AG250" s="121"/>
      <c r="AH250" s="120"/>
    </row>
    <row r="251" spans="1:34" ht="13.2" x14ac:dyDescent="0.25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121"/>
      <c r="AC251" s="121"/>
      <c r="AD251" s="121"/>
      <c r="AE251" s="121"/>
      <c r="AF251" s="121"/>
      <c r="AG251" s="121"/>
      <c r="AH251" s="120"/>
    </row>
    <row r="252" spans="1:34" ht="13.2" x14ac:dyDescent="0.25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121"/>
      <c r="AC252" s="121"/>
      <c r="AD252" s="121"/>
      <c r="AE252" s="121"/>
      <c r="AF252" s="121"/>
      <c r="AG252" s="121"/>
      <c r="AH252" s="120"/>
    </row>
    <row r="253" spans="1:34" ht="13.2" x14ac:dyDescent="0.25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121"/>
      <c r="AC253" s="121"/>
      <c r="AD253" s="121"/>
      <c r="AE253" s="121"/>
      <c r="AF253" s="121"/>
      <c r="AG253" s="121"/>
      <c r="AH253" s="120"/>
    </row>
    <row r="254" spans="1:34" ht="13.2" x14ac:dyDescent="0.25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121"/>
      <c r="AC254" s="121"/>
      <c r="AD254" s="121"/>
      <c r="AE254" s="121"/>
      <c r="AF254" s="121"/>
      <c r="AG254" s="121"/>
      <c r="AH254" s="120"/>
    </row>
    <row r="255" spans="1:34" ht="13.2" x14ac:dyDescent="0.2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121"/>
      <c r="AC255" s="121"/>
      <c r="AD255" s="121"/>
      <c r="AE255" s="121"/>
      <c r="AF255" s="121"/>
      <c r="AG255" s="121"/>
      <c r="AH255" s="120"/>
    </row>
    <row r="256" spans="1:34" ht="13.2" x14ac:dyDescent="0.25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121"/>
      <c r="AC256" s="121"/>
      <c r="AD256" s="121"/>
      <c r="AE256" s="121"/>
      <c r="AF256" s="121"/>
      <c r="AG256" s="121"/>
      <c r="AH256" s="120"/>
    </row>
    <row r="257" spans="1:34" ht="13.2" x14ac:dyDescent="0.25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121"/>
      <c r="AC257" s="121"/>
      <c r="AD257" s="121"/>
      <c r="AE257" s="121"/>
      <c r="AF257" s="121"/>
      <c r="AG257" s="121"/>
      <c r="AH257" s="120"/>
    </row>
    <row r="258" spans="1:34" ht="13.2" x14ac:dyDescent="0.25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121"/>
      <c r="AC258" s="121"/>
      <c r="AD258" s="121"/>
      <c r="AE258" s="121"/>
      <c r="AF258" s="121"/>
      <c r="AG258" s="121"/>
      <c r="AH258" s="120"/>
    </row>
    <row r="259" spans="1:34" ht="13.2" x14ac:dyDescent="0.25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121"/>
      <c r="AC259" s="121"/>
      <c r="AD259" s="121"/>
      <c r="AE259" s="121"/>
      <c r="AF259" s="121"/>
      <c r="AG259" s="121"/>
      <c r="AH259" s="120"/>
    </row>
    <row r="260" spans="1:34" ht="13.2" x14ac:dyDescent="0.25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121"/>
      <c r="AC260" s="121"/>
      <c r="AD260" s="121"/>
      <c r="AE260" s="121"/>
      <c r="AF260" s="121"/>
      <c r="AG260" s="121"/>
      <c r="AH260" s="120"/>
    </row>
    <row r="261" spans="1:34" ht="13.2" x14ac:dyDescent="0.25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121"/>
      <c r="AC261" s="121"/>
      <c r="AD261" s="121"/>
      <c r="AE261" s="121"/>
      <c r="AF261" s="121"/>
      <c r="AG261" s="121"/>
      <c r="AH261" s="120"/>
    </row>
    <row r="262" spans="1:34" ht="13.2" x14ac:dyDescent="0.25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121"/>
      <c r="AC262" s="121"/>
      <c r="AD262" s="121"/>
      <c r="AE262" s="121"/>
      <c r="AF262" s="121"/>
      <c r="AG262" s="121"/>
      <c r="AH262" s="120"/>
    </row>
    <row r="263" spans="1:34" ht="13.2" x14ac:dyDescent="0.25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121"/>
      <c r="AC263" s="121"/>
      <c r="AD263" s="121"/>
      <c r="AE263" s="121"/>
      <c r="AF263" s="121"/>
      <c r="AG263" s="121"/>
      <c r="AH263" s="120"/>
    </row>
    <row r="264" spans="1:34" ht="13.2" x14ac:dyDescent="0.25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121"/>
      <c r="AC264" s="121"/>
      <c r="AD264" s="121"/>
      <c r="AE264" s="121"/>
      <c r="AF264" s="121"/>
      <c r="AG264" s="121"/>
      <c r="AH264" s="120"/>
    </row>
    <row r="265" spans="1:34" ht="13.2" x14ac:dyDescent="0.2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121"/>
      <c r="AC265" s="121"/>
      <c r="AD265" s="121"/>
      <c r="AE265" s="121"/>
      <c r="AF265" s="121"/>
      <c r="AG265" s="121"/>
      <c r="AH265" s="120"/>
    </row>
    <row r="266" spans="1:34" ht="13.2" x14ac:dyDescent="0.25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121"/>
      <c r="AC266" s="121"/>
      <c r="AD266" s="121"/>
      <c r="AE266" s="121"/>
      <c r="AF266" s="121"/>
      <c r="AG266" s="121"/>
      <c r="AH266" s="120"/>
    </row>
    <row r="267" spans="1:34" ht="13.2" x14ac:dyDescent="0.25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121"/>
      <c r="AC267" s="121"/>
      <c r="AD267" s="121"/>
      <c r="AE267" s="121"/>
      <c r="AF267" s="121"/>
      <c r="AG267" s="121"/>
      <c r="AH267" s="120"/>
    </row>
    <row r="268" spans="1:34" ht="13.2" x14ac:dyDescent="0.25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121"/>
      <c r="AC268" s="121"/>
      <c r="AD268" s="121"/>
      <c r="AE268" s="121"/>
      <c r="AF268" s="121"/>
      <c r="AG268" s="121"/>
      <c r="AH268" s="120"/>
    </row>
    <row r="269" spans="1:34" ht="13.2" x14ac:dyDescent="0.25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121"/>
      <c r="AC269" s="121"/>
      <c r="AD269" s="121"/>
      <c r="AE269" s="121"/>
      <c r="AF269" s="121"/>
      <c r="AG269" s="121"/>
      <c r="AH269" s="120"/>
    </row>
    <row r="270" spans="1:34" ht="13.2" x14ac:dyDescent="0.25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121"/>
      <c r="AC270" s="121"/>
      <c r="AD270" s="121"/>
      <c r="AE270" s="121"/>
      <c r="AF270" s="121"/>
      <c r="AG270" s="121"/>
      <c r="AH270" s="120"/>
    </row>
    <row r="271" spans="1:34" ht="13.2" x14ac:dyDescent="0.25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121"/>
      <c r="AC271" s="121"/>
      <c r="AD271" s="121"/>
      <c r="AE271" s="121"/>
      <c r="AF271" s="121"/>
      <c r="AG271" s="121"/>
      <c r="AH271" s="120"/>
    </row>
    <row r="272" spans="1:34" ht="13.2" x14ac:dyDescent="0.25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121"/>
      <c r="AC272" s="121"/>
      <c r="AD272" s="121"/>
      <c r="AE272" s="121"/>
      <c r="AF272" s="121"/>
      <c r="AG272" s="121"/>
      <c r="AH272" s="120"/>
    </row>
    <row r="273" spans="1:34" ht="13.2" x14ac:dyDescent="0.25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121"/>
      <c r="AC273" s="121"/>
      <c r="AD273" s="121"/>
      <c r="AE273" s="121"/>
      <c r="AF273" s="121"/>
      <c r="AG273" s="121"/>
      <c r="AH273" s="120"/>
    </row>
    <row r="274" spans="1:34" ht="13.2" x14ac:dyDescent="0.25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121"/>
      <c r="AC274" s="121"/>
      <c r="AD274" s="121"/>
      <c r="AE274" s="121"/>
      <c r="AF274" s="121"/>
      <c r="AG274" s="121"/>
      <c r="AH274" s="120"/>
    </row>
    <row r="275" spans="1:34" ht="13.2" x14ac:dyDescent="0.2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121"/>
      <c r="AC275" s="121"/>
      <c r="AD275" s="121"/>
      <c r="AE275" s="121"/>
      <c r="AF275" s="121"/>
      <c r="AG275" s="121"/>
      <c r="AH275" s="120"/>
    </row>
    <row r="276" spans="1:34" ht="13.2" x14ac:dyDescent="0.25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121"/>
      <c r="AC276" s="121"/>
      <c r="AD276" s="121"/>
      <c r="AE276" s="121"/>
      <c r="AF276" s="121"/>
      <c r="AG276" s="121"/>
      <c r="AH276" s="120"/>
    </row>
    <row r="277" spans="1:34" ht="13.2" x14ac:dyDescent="0.25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121"/>
      <c r="AC277" s="121"/>
      <c r="AD277" s="121"/>
      <c r="AE277" s="121"/>
      <c r="AF277" s="121"/>
      <c r="AG277" s="121"/>
      <c r="AH277" s="120"/>
    </row>
    <row r="278" spans="1:34" ht="13.2" x14ac:dyDescent="0.25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121"/>
      <c r="AC278" s="121"/>
      <c r="AD278" s="121"/>
      <c r="AE278" s="121"/>
      <c r="AF278" s="121"/>
      <c r="AG278" s="121"/>
      <c r="AH278" s="120"/>
    </row>
    <row r="279" spans="1:34" ht="13.2" x14ac:dyDescent="0.25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121"/>
      <c r="AC279" s="121"/>
      <c r="AD279" s="121"/>
      <c r="AE279" s="121"/>
      <c r="AF279" s="121"/>
      <c r="AG279" s="121"/>
      <c r="AH279" s="120"/>
    </row>
    <row r="280" spans="1:34" ht="13.2" x14ac:dyDescent="0.25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121"/>
      <c r="AC280" s="121"/>
      <c r="AD280" s="121"/>
      <c r="AE280" s="121"/>
      <c r="AF280" s="121"/>
      <c r="AG280" s="121"/>
      <c r="AH280" s="120"/>
    </row>
    <row r="281" spans="1:34" ht="13.2" x14ac:dyDescent="0.25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121"/>
      <c r="AC281" s="121"/>
      <c r="AD281" s="121"/>
      <c r="AE281" s="121"/>
      <c r="AF281" s="121"/>
      <c r="AG281" s="121"/>
      <c r="AH281" s="120"/>
    </row>
    <row r="282" spans="1:34" ht="13.2" x14ac:dyDescent="0.25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121"/>
      <c r="AC282" s="121"/>
      <c r="AD282" s="121"/>
      <c r="AE282" s="121"/>
      <c r="AF282" s="121"/>
      <c r="AG282" s="121"/>
      <c r="AH282" s="120"/>
    </row>
    <row r="283" spans="1:34" ht="13.2" x14ac:dyDescent="0.25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121"/>
      <c r="AC283" s="121"/>
      <c r="AD283" s="121"/>
      <c r="AE283" s="121"/>
      <c r="AF283" s="121"/>
      <c r="AG283" s="121"/>
      <c r="AH283" s="120"/>
    </row>
    <row r="284" spans="1:34" ht="13.2" x14ac:dyDescent="0.25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121"/>
      <c r="AC284" s="121"/>
      <c r="AD284" s="121"/>
      <c r="AE284" s="121"/>
      <c r="AF284" s="121"/>
      <c r="AG284" s="121"/>
      <c r="AH284" s="120"/>
    </row>
    <row r="285" spans="1:34" ht="13.2" x14ac:dyDescent="0.2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121"/>
      <c r="AC285" s="121"/>
      <c r="AD285" s="121"/>
      <c r="AE285" s="121"/>
      <c r="AF285" s="121"/>
      <c r="AG285" s="121"/>
      <c r="AH285" s="120"/>
    </row>
    <row r="286" spans="1:34" ht="13.2" x14ac:dyDescent="0.25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121"/>
      <c r="AC286" s="121"/>
      <c r="AD286" s="121"/>
      <c r="AE286" s="121"/>
      <c r="AF286" s="121"/>
      <c r="AG286" s="121"/>
      <c r="AH286" s="120"/>
    </row>
    <row r="287" spans="1:34" ht="13.2" x14ac:dyDescent="0.25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121"/>
      <c r="AC287" s="121"/>
      <c r="AD287" s="121"/>
      <c r="AE287" s="121"/>
      <c r="AF287" s="121"/>
      <c r="AG287" s="121"/>
      <c r="AH287" s="120"/>
    </row>
    <row r="288" spans="1:34" ht="13.2" x14ac:dyDescent="0.25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121"/>
      <c r="AC288" s="121"/>
      <c r="AD288" s="121"/>
      <c r="AE288" s="121"/>
      <c r="AF288" s="121"/>
      <c r="AG288" s="121"/>
      <c r="AH288" s="120"/>
    </row>
    <row r="289" spans="1:34" ht="13.2" x14ac:dyDescent="0.25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121"/>
      <c r="AC289" s="121"/>
      <c r="AD289" s="121"/>
      <c r="AE289" s="121"/>
      <c r="AF289" s="121"/>
      <c r="AG289" s="121"/>
      <c r="AH289" s="120"/>
    </row>
    <row r="290" spans="1:34" ht="13.2" x14ac:dyDescent="0.25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121"/>
      <c r="AC290" s="121"/>
      <c r="AD290" s="121"/>
      <c r="AE290" s="121"/>
      <c r="AF290" s="121"/>
      <c r="AG290" s="121"/>
      <c r="AH290" s="120"/>
    </row>
    <row r="291" spans="1:34" ht="13.2" x14ac:dyDescent="0.25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121"/>
      <c r="AC291" s="121"/>
      <c r="AD291" s="121"/>
      <c r="AE291" s="121"/>
      <c r="AF291" s="121"/>
      <c r="AG291" s="121"/>
      <c r="AH291" s="120"/>
    </row>
    <row r="292" spans="1:34" ht="13.2" x14ac:dyDescent="0.25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121"/>
      <c r="AC292" s="121"/>
      <c r="AD292" s="121"/>
      <c r="AE292" s="121"/>
      <c r="AF292" s="121"/>
      <c r="AG292" s="121"/>
      <c r="AH292" s="120"/>
    </row>
    <row r="293" spans="1:34" ht="13.2" x14ac:dyDescent="0.25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121"/>
      <c r="AC293" s="121"/>
      <c r="AD293" s="121"/>
      <c r="AE293" s="121"/>
      <c r="AF293" s="121"/>
      <c r="AG293" s="121"/>
      <c r="AH293" s="120"/>
    </row>
    <row r="294" spans="1:34" ht="13.2" x14ac:dyDescent="0.25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121"/>
      <c r="AC294" s="121"/>
      <c r="AD294" s="121"/>
      <c r="AE294" s="121"/>
      <c r="AF294" s="121"/>
      <c r="AG294" s="121"/>
      <c r="AH294" s="120"/>
    </row>
    <row r="295" spans="1:34" ht="13.2" x14ac:dyDescent="0.2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121"/>
      <c r="AC295" s="121"/>
      <c r="AD295" s="121"/>
      <c r="AE295" s="121"/>
      <c r="AF295" s="121"/>
      <c r="AG295" s="121"/>
      <c r="AH295" s="120"/>
    </row>
    <row r="296" spans="1:34" ht="13.2" x14ac:dyDescent="0.25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121"/>
      <c r="AC296" s="121"/>
      <c r="AD296" s="121"/>
      <c r="AE296" s="121"/>
      <c r="AF296" s="121"/>
      <c r="AG296" s="121"/>
      <c r="AH296" s="120"/>
    </row>
    <row r="297" spans="1:34" ht="13.2" x14ac:dyDescent="0.25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121"/>
      <c r="AC297" s="121"/>
      <c r="AD297" s="121"/>
      <c r="AE297" s="121"/>
      <c r="AF297" s="121"/>
      <c r="AG297" s="121"/>
      <c r="AH297" s="120"/>
    </row>
    <row r="298" spans="1:34" ht="13.2" x14ac:dyDescent="0.25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121"/>
      <c r="AC298" s="121"/>
      <c r="AD298" s="121"/>
      <c r="AE298" s="121"/>
      <c r="AF298" s="121"/>
      <c r="AG298" s="121"/>
      <c r="AH298" s="120"/>
    </row>
    <row r="299" spans="1:34" ht="13.2" x14ac:dyDescent="0.25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121"/>
      <c r="AC299" s="121"/>
      <c r="AD299" s="121"/>
      <c r="AE299" s="121"/>
      <c r="AF299" s="121"/>
      <c r="AG299" s="121"/>
      <c r="AH299" s="120"/>
    </row>
    <row r="300" spans="1:34" ht="13.2" x14ac:dyDescent="0.25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121"/>
      <c r="AC300" s="121"/>
      <c r="AD300" s="121"/>
      <c r="AE300" s="121"/>
      <c r="AF300" s="121"/>
      <c r="AG300" s="121"/>
      <c r="AH300" s="120"/>
    </row>
    <row r="301" spans="1:34" ht="13.2" x14ac:dyDescent="0.25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121"/>
      <c r="AC301" s="121"/>
      <c r="AD301" s="121"/>
      <c r="AE301" s="121"/>
      <c r="AF301" s="121"/>
      <c r="AG301" s="121"/>
      <c r="AH301" s="120"/>
    </row>
    <row r="302" spans="1:34" ht="13.2" x14ac:dyDescent="0.25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121"/>
      <c r="AC302" s="121"/>
      <c r="AD302" s="121"/>
      <c r="AE302" s="121"/>
      <c r="AF302" s="121"/>
      <c r="AG302" s="121"/>
      <c r="AH302" s="120"/>
    </row>
    <row r="303" spans="1:34" ht="13.2" x14ac:dyDescent="0.25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121"/>
      <c r="AC303" s="121"/>
      <c r="AD303" s="121"/>
      <c r="AE303" s="121"/>
      <c r="AF303" s="121"/>
      <c r="AG303" s="121"/>
      <c r="AH303" s="120"/>
    </row>
    <row r="304" spans="1:34" ht="13.2" x14ac:dyDescent="0.25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121"/>
      <c r="AC304" s="121"/>
      <c r="AD304" s="121"/>
      <c r="AE304" s="121"/>
      <c r="AF304" s="121"/>
      <c r="AG304" s="121"/>
      <c r="AH304" s="120"/>
    </row>
    <row r="305" spans="1:34" ht="13.2" x14ac:dyDescent="0.2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121"/>
      <c r="AC305" s="121"/>
      <c r="AD305" s="121"/>
      <c r="AE305" s="121"/>
      <c r="AF305" s="121"/>
      <c r="AG305" s="121"/>
      <c r="AH305" s="120"/>
    </row>
    <row r="306" spans="1:34" ht="13.2" x14ac:dyDescent="0.25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121"/>
      <c r="AC306" s="121"/>
      <c r="AD306" s="121"/>
      <c r="AE306" s="121"/>
      <c r="AF306" s="121"/>
      <c r="AG306" s="121"/>
      <c r="AH306" s="120"/>
    </row>
    <row r="307" spans="1:34" ht="13.2" x14ac:dyDescent="0.25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121"/>
      <c r="AC307" s="121"/>
      <c r="AD307" s="121"/>
      <c r="AE307" s="121"/>
      <c r="AF307" s="121"/>
      <c r="AG307" s="121"/>
      <c r="AH307" s="120"/>
    </row>
    <row r="308" spans="1:34" ht="13.2" x14ac:dyDescent="0.25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121"/>
      <c r="AC308" s="121"/>
      <c r="AD308" s="121"/>
      <c r="AE308" s="121"/>
      <c r="AF308" s="121"/>
      <c r="AG308" s="121"/>
      <c r="AH308" s="120"/>
    </row>
    <row r="309" spans="1:34" ht="13.2" x14ac:dyDescent="0.25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121"/>
      <c r="AC309" s="121"/>
      <c r="AD309" s="121"/>
      <c r="AE309" s="121"/>
      <c r="AF309" s="121"/>
      <c r="AG309" s="121"/>
      <c r="AH309" s="120"/>
    </row>
    <row r="310" spans="1:34" ht="13.2" x14ac:dyDescent="0.25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121"/>
      <c r="AC310" s="121"/>
      <c r="AD310" s="121"/>
      <c r="AE310" s="121"/>
      <c r="AF310" s="121"/>
      <c r="AG310" s="121"/>
      <c r="AH310" s="120"/>
    </row>
    <row r="311" spans="1:34" ht="13.2" x14ac:dyDescent="0.25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121"/>
      <c r="AC311" s="121"/>
      <c r="AD311" s="121"/>
      <c r="AE311" s="121"/>
      <c r="AF311" s="121"/>
      <c r="AG311" s="121"/>
      <c r="AH311" s="120"/>
    </row>
    <row r="312" spans="1:34" ht="13.2" x14ac:dyDescent="0.25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121"/>
      <c r="AC312" s="121"/>
      <c r="AD312" s="121"/>
      <c r="AE312" s="121"/>
      <c r="AF312" s="121"/>
      <c r="AG312" s="121"/>
      <c r="AH312" s="120"/>
    </row>
    <row r="313" spans="1:34" ht="13.2" x14ac:dyDescent="0.25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121"/>
      <c r="AC313" s="121"/>
      <c r="AD313" s="121"/>
      <c r="AE313" s="121"/>
      <c r="AF313" s="121"/>
      <c r="AG313" s="121"/>
      <c r="AH313" s="120"/>
    </row>
    <row r="314" spans="1:34" ht="13.2" x14ac:dyDescent="0.25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121"/>
      <c r="AC314" s="121"/>
      <c r="AD314" s="121"/>
      <c r="AE314" s="121"/>
      <c r="AF314" s="121"/>
      <c r="AG314" s="121"/>
      <c r="AH314" s="120"/>
    </row>
    <row r="315" spans="1:34" ht="13.2" x14ac:dyDescent="0.2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121"/>
      <c r="AC315" s="121"/>
      <c r="AD315" s="121"/>
      <c r="AE315" s="121"/>
      <c r="AF315" s="121"/>
      <c r="AG315" s="121"/>
      <c r="AH315" s="120"/>
    </row>
    <row r="316" spans="1:34" ht="13.2" x14ac:dyDescent="0.25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121"/>
      <c r="AC316" s="121"/>
      <c r="AD316" s="121"/>
      <c r="AE316" s="121"/>
      <c r="AF316" s="121"/>
      <c r="AG316" s="121"/>
      <c r="AH316" s="120"/>
    </row>
    <row r="317" spans="1:34" ht="13.2" x14ac:dyDescent="0.25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121"/>
      <c r="AC317" s="121"/>
      <c r="AD317" s="121"/>
      <c r="AE317" s="121"/>
      <c r="AF317" s="121"/>
      <c r="AG317" s="121"/>
      <c r="AH317" s="120"/>
    </row>
    <row r="318" spans="1:34" ht="13.2" x14ac:dyDescent="0.25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121"/>
      <c r="AC318" s="121"/>
      <c r="AD318" s="121"/>
      <c r="AE318" s="121"/>
      <c r="AF318" s="121"/>
      <c r="AG318" s="121"/>
      <c r="AH318" s="120"/>
    </row>
    <row r="319" spans="1:34" ht="13.2" x14ac:dyDescent="0.25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121"/>
      <c r="AC319" s="121"/>
      <c r="AD319" s="121"/>
      <c r="AE319" s="121"/>
      <c r="AF319" s="121"/>
      <c r="AG319" s="121"/>
      <c r="AH319" s="120"/>
    </row>
    <row r="320" spans="1:34" ht="13.2" x14ac:dyDescent="0.25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121"/>
      <c r="AC320" s="121"/>
      <c r="AD320" s="121"/>
      <c r="AE320" s="121"/>
      <c r="AF320" s="121"/>
      <c r="AG320" s="121"/>
      <c r="AH320" s="120"/>
    </row>
    <row r="321" spans="1:34" ht="13.2" x14ac:dyDescent="0.25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121"/>
      <c r="AC321" s="121"/>
      <c r="AD321" s="121"/>
      <c r="AE321" s="121"/>
      <c r="AF321" s="121"/>
      <c r="AG321" s="121"/>
      <c r="AH321" s="120"/>
    </row>
    <row r="322" spans="1:34" ht="13.2" x14ac:dyDescent="0.25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121"/>
      <c r="AC322" s="121"/>
      <c r="AD322" s="121"/>
      <c r="AE322" s="121"/>
      <c r="AF322" s="121"/>
      <c r="AG322" s="121"/>
      <c r="AH322" s="120"/>
    </row>
    <row r="323" spans="1:34" ht="13.2" x14ac:dyDescent="0.25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121"/>
      <c r="AC323" s="121"/>
      <c r="AD323" s="121"/>
      <c r="AE323" s="121"/>
      <c r="AF323" s="121"/>
      <c r="AG323" s="121"/>
      <c r="AH323" s="120"/>
    </row>
    <row r="324" spans="1:34" ht="13.2" x14ac:dyDescent="0.25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121"/>
      <c r="AC324" s="121"/>
      <c r="AD324" s="121"/>
      <c r="AE324" s="121"/>
      <c r="AF324" s="121"/>
      <c r="AG324" s="121"/>
      <c r="AH324" s="120"/>
    </row>
    <row r="325" spans="1:34" ht="13.2" x14ac:dyDescent="0.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121"/>
      <c r="AC325" s="121"/>
      <c r="AD325" s="121"/>
      <c r="AE325" s="121"/>
      <c r="AF325" s="121"/>
      <c r="AG325" s="121"/>
      <c r="AH325" s="120"/>
    </row>
    <row r="326" spans="1:34" ht="13.2" x14ac:dyDescent="0.25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121"/>
      <c r="AC326" s="121"/>
      <c r="AD326" s="121"/>
      <c r="AE326" s="121"/>
      <c r="AF326" s="121"/>
      <c r="AG326" s="121"/>
      <c r="AH326" s="120"/>
    </row>
    <row r="327" spans="1:34" ht="13.2" x14ac:dyDescent="0.25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121"/>
      <c r="AC327" s="121"/>
      <c r="AD327" s="121"/>
      <c r="AE327" s="121"/>
      <c r="AF327" s="121"/>
      <c r="AG327" s="121"/>
      <c r="AH327" s="120"/>
    </row>
    <row r="328" spans="1:34" ht="13.2" x14ac:dyDescent="0.25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121"/>
      <c r="AC328" s="121"/>
      <c r="AD328" s="121"/>
      <c r="AE328" s="121"/>
      <c r="AF328" s="121"/>
      <c r="AG328" s="121"/>
      <c r="AH328" s="120"/>
    </row>
    <row r="329" spans="1:34" ht="13.2" x14ac:dyDescent="0.25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121"/>
      <c r="AC329" s="121"/>
      <c r="AD329" s="121"/>
      <c r="AE329" s="121"/>
      <c r="AF329" s="121"/>
      <c r="AG329" s="121"/>
      <c r="AH329" s="120"/>
    </row>
    <row r="330" spans="1:34" ht="13.2" x14ac:dyDescent="0.25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121"/>
      <c r="AC330" s="121"/>
      <c r="AD330" s="121"/>
      <c r="AE330" s="121"/>
      <c r="AF330" s="121"/>
      <c r="AG330" s="121"/>
      <c r="AH330" s="120"/>
    </row>
    <row r="331" spans="1:34" ht="13.2" x14ac:dyDescent="0.25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121"/>
      <c r="AC331" s="121"/>
      <c r="AD331" s="121"/>
      <c r="AE331" s="121"/>
      <c r="AF331" s="121"/>
      <c r="AG331" s="121"/>
      <c r="AH331" s="120"/>
    </row>
    <row r="332" spans="1:34" ht="13.2" x14ac:dyDescent="0.25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121"/>
      <c r="AC332" s="121"/>
      <c r="AD332" s="121"/>
      <c r="AE332" s="121"/>
      <c r="AF332" s="121"/>
      <c r="AG332" s="121"/>
      <c r="AH332" s="120"/>
    </row>
    <row r="333" spans="1:34" ht="13.2" x14ac:dyDescent="0.25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121"/>
      <c r="AC333" s="121"/>
      <c r="AD333" s="121"/>
      <c r="AE333" s="121"/>
      <c r="AF333" s="121"/>
      <c r="AG333" s="121"/>
      <c r="AH333" s="120"/>
    </row>
    <row r="334" spans="1:34" ht="13.2" x14ac:dyDescent="0.25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  <c r="AB334" s="121"/>
      <c r="AC334" s="121"/>
      <c r="AD334" s="121"/>
      <c r="AE334" s="121"/>
      <c r="AF334" s="121"/>
      <c r="AG334" s="121"/>
      <c r="AH334" s="120"/>
    </row>
    <row r="335" spans="1:34" ht="13.2" x14ac:dyDescent="0.2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  <c r="AB335" s="121"/>
      <c r="AC335" s="121"/>
      <c r="AD335" s="121"/>
      <c r="AE335" s="121"/>
      <c r="AF335" s="121"/>
      <c r="AG335" s="121"/>
      <c r="AH335" s="120"/>
    </row>
    <row r="336" spans="1:34" ht="13.2" x14ac:dyDescent="0.25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  <c r="AB336" s="121"/>
      <c r="AC336" s="121"/>
      <c r="AD336" s="121"/>
      <c r="AE336" s="121"/>
      <c r="AF336" s="121"/>
      <c r="AG336" s="121"/>
      <c r="AH336" s="120"/>
    </row>
    <row r="337" spans="1:34" ht="13.2" x14ac:dyDescent="0.25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  <c r="AB337" s="121"/>
      <c r="AC337" s="121"/>
      <c r="AD337" s="121"/>
      <c r="AE337" s="121"/>
      <c r="AF337" s="121"/>
      <c r="AG337" s="121"/>
      <c r="AH337" s="120"/>
    </row>
    <row r="338" spans="1:34" ht="13.2" x14ac:dyDescent="0.25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  <c r="AB338" s="121"/>
      <c r="AC338" s="121"/>
      <c r="AD338" s="121"/>
      <c r="AE338" s="121"/>
      <c r="AF338" s="121"/>
      <c r="AG338" s="121"/>
      <c r="AH338" s="120"/>
    </row>
    <row r="339" spans="1:34" ht="13.2" x14ac:dyDescent="0.25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  <c r="AB339" s="121"/>
      <c r="AC339" s="121"/>
      <c r="AD339" s="121"/>
      <c r="AE339" s="121"/>
      <c r="AF339" s="121"/>
      <c r="AG339" s="121"/>
      <c r="AH339" s="120"/>
    </row>
    <row r="340" spans="1:34" ht="13.2" x14ac:dyDescent="0.25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  <c r="AB340" s="121"/>
      <c r="AC340" s="121"/>
      <c r="AD340" s="121"/>
      <c r="AE340" s="121"/>
      <c r="AF340" s="121"/>
      <c r="AG340" s="121"/>
      <c r="AH340" s="120"/>
    </row>
    <row r="341" spans="1:34" ht="13.2" x14ac:dyDescent="0.25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  <c r="AB341" s="121"/>
      <c r="AC341" s="121"/>
      <c r="AD341" s="121"/>
      <c r="AE341" s="121"/>
      <c r="AF341" s="121"/>
      <c r="AG341" s="121"/>
      <c r="AH341" s="120"/>
    </row>
    <row r="342" spans="1:34" ht="13.2" x14ac:dyDescent="0.25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  <c r="AB342" s="121"/>
      <c r="AC342" s="121"/>
      <c r="AD342" s="121"/>
      <c r="AE342" s="121"/>
      <c r="AF342" s="121"/>
      <c r="AG342" s="121"/>
      <c r="AH342" s="120"/>
    </row>
    <row r="343" spans="1:34" ht="13.2" x14ac:dyDescent="0.25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  <c r="AB343" s="121"/>
      <c r="AC343" s="121"/>
      <c r="AD343" s="121"/>
      <c r="AE343" s="121"/>
      <c r="AF343" s="121"/>
      <c r="AG343" s="121"/>
      <c r="AH343" s="120"/>
    </row>
    <row r="344" spans="1:34" ht="13.2" x14ac:dyDescent="0.25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  <c r="AB344" s="121"/>
      <c r="AC344" s="121"/>
      <c r="AD344" s="121"/>
      <c r="AE344" s="121"/>
      <c r="AF344" s="121"/>
      <c r="AG344" s="121"/>
      <c r="AH344" s="120"/>
    </row>
    <row r="345" spans="1:34" ht="13.2" x14ac:dyDescent="0.2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  <c r="AB345" s="121"/>
      <c r="AC345" s="121"/>
      <c r="AD345" s="121"/>
      <c r="AE345" s="121"/>
      <c r="AF345" s="121"/>
      <c r="AG345" s="121"/>
      <c r="AH345" s="120"/>
    </row>
    <row r="346" spans="1:34" ht="13.2" x14ac:dyDescent="0.25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  <c r="AB346" s="121"/>
      <c r="AC346" s="121"/>
      <c r="AD346" s="121"/>
      <c r="AE346" s="121"/>
      <c r="AF346" s="121"/>
      <c r="AG346" s="121"/>
      <c r="AH346" s="120"/>
    </row>
    <row r="347" spans="1:34" ht="13.2" x14ac:dyDescent="0.25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  <c r="AB347" s="121"/>
      <c r="AC347" s="121"/>
      <c r="AD347" s="121"/>
      <c r="AE347" s="121"/>
      <c r="AF347" s="121"/>
      <c r="AG347" s="121"/>
      <c r="AH347" s="120"/>
    </row>
    <row r="348" spans="1:34" ht="13.2" x14ac:dyDescent="0.25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  <c r="AB348" s="121"/>
      <c r="AC348" s="121"/>
      <c r="AD348" s="121"/>
      <c r="AE348" s="121"/>
      <c r="AF348" s="121"/>
      <c r="AG348" s="121"/>
      <c r="AH348" s="120"/>
    </row>
    <row r="349" spans="1:34" ht="13.2" x14ac:dyDescent="0.25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  <c r="AB349" s="121"/>
      <c r="AC349" s="121"/>
      <c r="AD349" s="121"/>
      <c r="AE349" s="121"/>
      <c r="AF349" s="121"/>
      <c r="AG349" s="121"/>
      <c r="AH349" s="120"/>
    </row>
    <row r="350" spans="1:34" ht="13.2" x14ac:dyDescent="0.25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  <c r="AB350" s="121"/>
      <c r="AC350" s="121"/>
      <c r="AD350" s="121"/>
      <c r="AE350" s="121"/>
      <c r="AF350" s="121"/>
      <c r="AG350" s="121"/>
      <c r="AH350" s="120"/>
    </row>
    <row r="351" spans="1:34" ht="13.2" x14ac:dyDescent="0.25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  <c r="AB351" s="121"/>
      <c r="AC351" s="121"/>
      <c r="AD351" s="121"/>
      <c r="AE351" s="121"/>
      <c r="AF351" s="121"/>
      <c r="AG351" s="121"/>
      <c r="AH351" s="120"/>
    </row>
    <row r="352" spans="1:34" ht="13.2" x14ac:dyDescent="0.25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  <c r="AB352" s="121"/>
      <c r="AC352" s="121"/>
      <c r="AD352" s="121"/>
      <c r="AE352" s="121"/>
      <c r="AF352" s="121"/>
      <c r="AG352" s="121"/>
      <c r="AH352" s="120"/>
    </row>
    <row r="353" spans="1:34" ht="13.2" x14ac:dyDescent="0.25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  <c r="AB353" s="121"/>
      <c r="AC353" s="121"/>
      <c r="AD353" s="121"/>
      <c r="AE353" s="121"/>
      <c r="AF353" s="121"/>
      <c r="AG353" s="121"/>
      <c r="AH353" s="120"/>
    </row>
    <row r="354" spans="1:34" ht="13.2" x14ac:dyDescent="0.25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  <c r="AB354" s="121"/>
      <c r="AC354" s="121"/>
      <c r="AD354" s="121"/>
      <c r="AE354" s="121"/>
      <c r="AF354" s="121"/>
      <c r="AG354" s="121"/>
      <c r="AH354" s="120"/>
    </row>
    <row r="355" spans="1:34" ht="13.2" x14ac:dyDescent="0.2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  <c r="AB355" s="121"/>
      <c r="AC355" s="121"/>
      <c r="AD355" s="121"/>
      <c r="AE355" s="121"/>
      <c r="AF355" s="121"/>
      <c r="AG355" s="121"/>
      <c r="AH355" s="120"/>
    </row>
    <row r="356" spans="1:34" ht="13.2" x14ac:dyDescent="0.25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  <c r="AB356" s="121"/>
      <c r="AC356" s="121"/>
      <c r="AD356" s="121"/>
      <c r="AE356" s="121"/>
      <c r="AF356" s="121"/>
      <c r="AG356" s="121"/>
      <c r="AH356" s="120"/>
    </row>
    <row r="357" spans="1:34" ht="13.2" x14ac:dyDescent="0.25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  <c r="AB357" s="121"/>
      <c r="AC357" s="121"/>
      <c r="AD357" s="121"/>
      <c r="AE357" s="121"/>
      <c r="AF357" s="121"/>
      <c r="AG357" s="121"/>
      <c r="AH357" s="120"/>
    </row>
    <row r="358" spans="1:34" ht="13.2" x14ac:dyDescent="0.25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121"/>
      <c r="AC358" s="121"/>
      <c r="AD358" s="121"/>
      <c r="AE358" s="121"/>
      <c r="AF358" s="121"/>
      <c r="AG358" s="121"/>
      <c r="AH358" s="120"/>
    </row>
    <row r="359" spans="1:34" ht="13.2" x14ac:dyDescent="0.25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121"/>
      <c r="AC359" s="121"/>
      <c r="AD359" s="121"/>
      <c r="AE359" s="121"/>
      <c r="AF359" s="121"/>
      <c r="AG359" s="121"/>
      <c r="AH359" s="120"/>
    </row>
    <row r="360" spans="1:34" ht="13.2" x14ac:dyDescent="0.25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121"/>
      <c r="AC360" s="121"/>
      <c r="AD360" s="121"/>
      <c r="AE360" s="121"/>
      <c r="AF360" s="121"/>
      <c r="AG360" s="121"/>
      <c r="AH360" s="120"/>
    </row>
    <row r="361" spans="1:34" ht="13.2" x14ac:dyDescent="0.25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121"/>
      <c r="AC361" s="121"/>
      <c r="AD361" s="121"/>
      <c r="AE361" s="121"/>
      <c r="AF361" s="121"/>
      <c r="AG361" s="121"/>
      <c r="AH361" s="120"/>
    </row>
    <row r="362" spans="1:34" ht="13.2" x14ac:dyDescent="0.25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121"/>
      <c r="AC362" s="121"/>
      <c r="AD362" s="121"/>
      <c r="AE362" s="121"/>
      <c r="AF362" s="121"/>
      <c r="AG362" s="121"/>
      <c r="AH362" s="120"/>
    </row>
    <row r="363" spans="1:34" ht="13.2" x14ac:dyDescent="0.25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121"/>
      <c r="AC363" s="121"/>
      <c r="AD363" s="121"/>
      <c r="AE363" s="121"/>
      <c r="AF363" s="121"/>
      <c r="AG363" s="121"/>
      <c r="AH363" s="120"/>
    </row>
    <row r="364" spans="1:34" ht="13.2" x14ac:dyDescent="0.25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121"/>
      <c r="AC364" s="121"/>
      <c r="AD364" s="121"/>
      <c r="AE364" s="121"/>
      <c r="AF364" s="121"/>
      <c r="AG364" s="121"/>
      <c r="AH364" s="120"/>
    </row>
    <row r="365" spans="1:34" ht="13.2" x14ac:dyDescent="0.2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121"/>
      <c r="AC365" s="121"/>
      <c r="AD365" s="121"/>
      <c r="AE365" s="121"/>
      <c r="AF365" s="121"/>
      <c r="AG365" s="121"/>
      <c r="AH365" s="120"/>
    </row>
    <row r="366" spans="1:34" ht="13.2" x14ac:dyDescent="0.25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121"/>
      <c r="AC366" s="121"/>
      <c r="AD366" s="121"/>
      <c r="AE366" s="121"/>
      <c r="AF366" s="121"/>
      <c r="AG366" s="121"/>
      <c r="AH366" s="120"/>
    </row>
    <row r="367" spans="1:34" ht="13.2" x14ac:dyDescent="0.25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121"/>
      <c r="AC367" s="121"/>
      <c r="AD367" s="121"/>
      <c r="AE367" s="121"/>
      <c r="AF367" s="121"/>
      <c r="AG367" s="121"/>
      <c r="AH367" s="120"/>
    </row>
    <row r="368" spans="1:34" ht="13.2" x14ac:dyDescent="0.25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121"/>
      <c r="AC368" s="121"/>
      <c r="AD368" s="121"/>
      <c r="AE368" s="121"/>
      <c r="AF368" s="121"/>
      <c r="AG368" s="121"/>
      <c r="AH368" s="120"/>
    </row>
    <row r="369" spans="1:34" ht="13.2" x14ac:dyDescent="0.25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  <c r="AB369" s="121"/>
      <c r="AC369" s="121"/>
      <c r="AD369" s="121"/>
      <c r="AE369" s="121"/>
      <c r="AF369" s="121"/>
      <c r="AG369" s="121"/>
      <c r="AH369" s="120"/>
    </row>
    <row r="370" spans="1:34" ht="13.2" x14ac:dyDescent="0.25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  <c r="AB370" s="121"/>
      <c r="AC370" s="121"/>
      <c r="AD370" s="121"/>
      <c r="AE370" s="121"/>
      <c r="AF370" s="121"/>
      <c r="AG370" s="121"/>
      <c r="AH370" s="120"/>
    </row>
    <row r="371" spans="1:34" ht="13.2" x14ac:dyDescent="0.25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  <c r="AB371" s="121"/>
      <c r="AC371" s="121"/>
      <c r="AD371" s="121"/>
      <c r="AE371" s="121"/>
      <c r="AF371" s="121"/>
      <c r="AG371" s="121"/>
      <c r="AH371" s="120"/>
    </row>
    <row r="372" spans="1:34" ht="13.2" x14ac:dyDescent="0.25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  <c r="AB372" s="121"/>
      <c r="AC372" s="121"/>
      <c r="AD372" s="121"/>
      <c r="AE372" s="121"/>
      <c r="AF372" s="121"/>
      <c r="AG372" s="121"/>
      <c r="AH372" s="120"/>
    </row>
    <row r="373" spans="1:34" ht="13.2" x14ac:dyDescent="0.25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  <c r="AB373" s="121"/>
      <c r="AC373" s="121"/>
      <c r="AD373" s="121"/>
      <c r="AE373" s="121"/>
      <c r="AF373" s="121"/>
      <c r="AG373" s="121"/>
      <c r="AH373" s="120"/>
    </row>
    <row r="374" spans="1:34" ht="13.2" x14ac:dyDescent="0.25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  <c r="AB374" s="121"/>
      <c r="AC374" s="121"/>
      <c r="AD374" s="121"/>
      <c r="AE374" s="121"/>
      <c r="AF374" s="121"/>
      <c r="AG374" s="121"/>
      <c r="AH374" s="120"/>
    </row>
    <row r="375" spans="1:34" ht="13.2" x14ac:dyDescent="0.2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  <c r="AB375" s="121"/>
      <c r="AC375" s="121"/>
      <c r="AD375" s="121"/>
      <c r="AE375" s="121"/>
      <c r="AF375" s="121"/>
      <c r="AG375" s="121"/>
      <c r="AH375" s="120"/>
    </row>
    <row r="376" spans="1:34" ht="13.2" x14ac:dyDescent="0.25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  <c r="AB376" s="121"/>
      <c r="AC376" s="121"/>
      <c r="AD376" s="121"/>
      <c r="AE376" s="121"/>
      <c r="AF376" s="121"/>
      <c r="AG376" s="121"/>
      <c r="AH376" s="120"/>
    </row>
    <row r="377" spans="1:34" ht="13.2" x14ac:dyDescent="0.25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  <c r="AB377" s="121"/>
      <c r="AC377" s="121"/>
      <c r="AD377" s="121"/>
      <c r="AE377" s="121"/>
      <c r="AF377" s="121"/>
      <c r="AG377" s="121"/>
      <c r="AH377" s="120"/>
    </row>
    <row r="378" spans="1:34" ht="13.2" x14ac:dyDescent="0.25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121"/>
      <c r="AC378" s="121"/>
      <c r="AD378" s="121"/>
      <c r="AE378" s="121"/>
      <c r="AF378" s="121"/>
      <c r="AG378" s="121"/>
      <c r="AH378" s="120"/>
    </row>
    <row r="379" spans="1:34" ht="13.2" x14ac:dyDescent="0.25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121"/>
      <c r="AC379" s="121"/>
      <c r="AD379" s="121"/>
      <c r="AE379" s="121"/>
      <c r="AF379" s="121"/>
      <c r="AG379" s="121"/>
      <c r="AH379" s="120"/>
    </row>
    <row r="380" spans="1:34" ht="13.2" x14ac:dyDescent="0.25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121"/>
      <c r="AC380" s="121"/>
      <c r="AD380" s="121"/>
      <c r="AE380" s="121"/>
      <c r="AF380" s="121"/>
      <c r="AG380" s="121"/>
      <c r="AH380" s="120"/>
    </row>
    <row r="381" spans="1:34" ht="13.2" x14ac:dyDescent="0.25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121"/>
      <c r="AC381" s="121"/>
      <c r="AD381" s="121"/>
      <c r="AE381" s="121"/>
      <c r="AF381" s="121"/>
      <c r="AG381" s="121"/>
      <c r="AH381" s="120"/>
    </row>
    <row r="382" spans="1:34" ht="13.2" x14ac:dyDescent="0.25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121"/>
      <c r="AC382" s="121"/>
      <c r="AD382" s="121"/>
      <c r="AE382" s="121"/>
      <c r="AF382" s="121"/>
      <c r="AG382" s="121"/>
      <c r="AH382" s="120"/>
    </row>
    <row r="383" spans="1:34" ht="13.2" x14ac:dyDescent="0.25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121"/>
      <c r="AC383" s="121"/>
      <c r="AD383" s="121"/>
      <c r="AE383" s="121"/>
      <c r="AF383" s="121"/>
      <c r="AG383" s="121"/>
      <c r="AH383" s="120"/>
    </row>
    <row r="384" spans="1:34" ht="13.2" x14ac:dyDescent="0.25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121"/>
      <c r="AC384" s="121"/>
      <c r="AD384" s="121"/>
      <c r="AE384" s="121"/>
      <c r="AF384" s="121"/>
      <c r="AG384" s="121"/>
      <c r="AH384" s="120"/>
    </row>
    <row r="385" spans="1:34" ht="13.2" x14ac:dyDescent="0.2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121"/>
      <c r="AC385" s="121"/>
      <c r="AD385" s="121"/>
      <c r="AE385" s="121"/>
      <c r="AF385" s="121"/>
      <c r="AG385" s="121"/>
      <c r="AH385" s="120"/>
    </row>
    <row r="386" spans="1:34" ht="13.2" x14ac:dyDescent="0.25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121"/>
      <c r="AC386" s="121"/>
      <c r="AD386" s="121"/>
      <c r="AE386" s="121"/>
      <c r="AF386" s="121"/>
      <c r="AG386" s="121"/>
      <c r="AH386" s="120"/>
    </row>
    <row r="387" spans="1:34" ht="13.2" x14ac:dyDescent="0.25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121"/>
      <c r="AC387" s="121"/>
      <c r="AD387" s="121"/>
      <c r="AE387" s="121"/>
      <c r="AF387" s="121"/>
      <c r="AG387" s="121"/>
      <c r="AH387" s="120"/>
    </row>
    <row r="388" spans="1:34" ht="13.2" x14ac:dyDescent="0.25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121"/>
      <c r="AC388" s="121"/>
      <c r="AD388" s="121"/>
      <c r="AE388" s="121"/>
      <c r="AF388" s="121"/>
      <c r="AG388" s="121"/>
      <c r="AH388" s="120"/>
    </row>
    <row r="389" spans="1:34" ht="13.2" x14ac:dyDescent="0.25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  <c r="AB389" s="121"/>
      <c r="AC389" s="121"/>
      <c r="AD389" s="121"/>
      <c r="AE389" s="121"/>
      <c r="AF389" s="121"/>
      <c r="AG389" s="121"/>
      <c r="AH389" s="120"/>
    </row>
    <row r="390" spans="1:34" ht="13.2" x14ac:dyDescent="0.25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  <c r="AB390" s="121"/>
      <c r="AC390" s="121"/>
      <c r="AD390" s="121"/>
      <c r="AE390" s="121"/>
      <c r="AF390" s="121"/>
      <c r="AG390" s="121"/>
      <c r="AH390" s="120"/>
    </row>
    <row r="391" spans="1:34" ht="13.2" x14ac:dyDescent="0.25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  <c r="AB391" s="121"/>
      <c r="AC391" s="121"/>
      <c r="AD391" s="121"/>
      <c r="AE391" s="121"/>
      <c r="AF391" s="121"/>
      <c r="AG391" s="121"/>
      <c r="AH391" s="120"/>
    </row>
    <row r="392" spans="1:34" ht="13.2" x14ac:dyDescent="0.25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  <c r="AB392" s="121"/>
      <c r="AC392" s="121"/>
      <c r="AD392" s="121"/>
      <c r="AE392" s="121"/>
      <c r="AF392" s="121"/>
      <c r="AG392" s="121"/>
      <c r="AH392" s="120"/>
    </row>
    <row r="393" spans="1:34" ht="13.2" x14ac:dyDescent="0.25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  <c r="AB393" s="121"/>
      <c r="AC393" s="121"/>
      <c r="AD393" s="121"/>
      <c r="AE393" s="121"/>
      <c r="AF393" s="121"/>
      <c r="AG393" s="121"/>
      <c r="AH393" s="120"/>
    </row>
    <row r="394" spans="1:34" ht="13.2" x14ac:dyDescent="0.25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  <c r="AB394" s="121"/>
      <c r="AC394" s="121"/>
      <c r="AD394" s="121"/>
      <c r="AE394" s="121"/>
      <c r="AF394" s="121"/>
      <c r="AG394" s="121"/>
      <c r="AH394" s="120"/>
    </row>
    <row r="395" spans="1:34" ht="13.2" x14ac:dyDescent="0.2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  <c r="AB395" s="121"/>
      <c r="AC395" s="121"/>
      <c r="AD395" s="121"/>
      <c r="AE395" s="121"/>
      <c r="AF395" s="121"/>
      <c r="AG395" s="121"/>
      <c r="AH395" s="120"/>
    </row>
    <row r="396" spans="1:34" ht="13.2" x14ac:dyDescent="0.25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  <c r="AB396" s="121"/>
      <c r="AC396" s="121"/>
      <c r="AD396" s="121"/>
      <c r="AE396" s="121"/>
      <c r="AF396" s="121"/>
      <c r="AG396" s="121"/>
      <c r="AH396" s="120"/>
    </row>
    <row r="397" spans="1:34" ht="13.2" x14ac:dyDescent="0.25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  <c r="AB397" s="121"/>
      <c r="AC397" s="121"/>
      <c r="AD397" s="121"/>
      <c r="AE397" s="121"/>
      <c r="AF397" s="121"/>
      <c r="AG397" s="121"/>
      <c r="AH397" s="120"/>
    </row>
    <row r="398" spans="1:34" ht="13.2" x14ac:dyDescent="0.25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  <c r="AB398" s="121"/>
      <c r="AC398" s="121"/>
      <c r="AD398" s="121"/>
      <c r="AE398" s="121"/>
      <c r="AF398" s="121"/>
      <c r="AG398" s="121"/>
      <c r="AH398" s="120"/>
    </row>
    <row r="399" spans="1:34" ht="13.2" x14ac:dyDescent="0.25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  <c r="AB399" s="121"/>
      <c r="AC399" s="121"/>
      <c r="AD399" s="121"/>
      <c r="AE399" s="121"/>
      <c r="AF399" s="121"/>
      <c r="AG399" s="121"/>
      <c r="AH399" s="120"/>
    </row>
    <row r="400" spans="1:34" ht="13.2" x14ac:dyDescent="0.25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  <c r="AB400" s="121"/>
      <c r="AC400" s="121"/>
      <c r="AD400" s="121"/>
      <c r="AE400" s="121"/>
      <c r="AF400" s="121"/>
      <c r="AG400" s="121"/>
      <c r="AH400" s="120"/>
    </row>
    <row r="401" spans="1:34" ht="13.2" x14ac:dyDescent="0.25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  <c r="AB401" s="121"/>
      <c r="AC401" s="121"/>
      <c r="AD401" s="121"/>
      <c r="AE401" s="121"/>
      <c r="AF401" s="121"/>
      <c r="AG401" s="121"/>
      <c r="AH401" s="120"/>
    </row>
    <row r="402" spans="1:34" ht="13.2" x14ac:dyDescent="0.25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  <c r="AB402" s="121"/>
      <c r="AC402" s="121"/>
      <c r="AD402" s="121"/>
      <c r="AE402" s="121"/>
      <c r="AF402" s="121"/>
      <c r="AG402" s="121"/>
      <c r="AH402" s="120"/>
    </row>
    <row r="403" spans="1:34" ht="13.2" x14ac:dyDescent="0.25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  <c r="AB403" s="121"/>
      <c r="AC403" s="121"/>
      <c r="AD403" s="121"/>
      <c r="AE403" s="121"/>
      <c r="AF403" s="121"/>
      <c r="AG403" s="121"/>
      <c r="AH403" s="120"/>
    </row>
    <row r="404" spans="1:34" ht="13.2" x14ac:dyDescent="0.25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  <c r="AB404" s="121"/>
      <c r="AC404" s="121"/>
      <c r="AD404" s="121"/>
      <c r="AE404" s="121"/>
      <c r="AF404" s="121"/>
      <c r="AG404" s="121"/>
      <c r="AH404" s="120"/>
    </row>
    <row r="405" spans="1:34" ht="13.2" x14ac:dyDescent="0.2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  <c r="AB405" s="121"/>
      <c r="AC405" s="121"/>
      <c r="AD405" s="121"/>
      <c r="AE405" s="121"/>
      <c r="AF405" s="121"/>
      <c r="AG405" s="121"/>
      <c r="AH405" s="120"/>
    </row>
    <row r="406" spans="1:34" ht="13.2" x14ac:dyDescent="0.25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  <c r="AB406" s="121"/>
      <c r="AC406" s="121"/>
      <c r="AD406" s="121"/>
      <c r="AE406" s="121"/>
      <c r="AF406" s="121"/>
      <c r="AG406" s="121"/>
      <c r="AH406" s="120"/>
    </row>
    <row r="407" spans="1:34" ht="13.2" x14ac:dyDescent="0.25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  <c r="AB407" s="121"/>
      <c r="AC407" s="121"/>
      <c r="AD407" s="121"/>
      <c r="AE407" s="121"/>
      <c r="AF407" s="121"/>
      <c r="AG407" s="121"/>
      <c r="AH407" s="120"/>
    </row>
    <row r="408" spans="1:34" ht="13.2" x14ac:dyDescent="0.25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  <c r="AB408" s="121"/>
      <c r="AC408" s="121"/>
      <c r="AD408" s="121"/>
      <c r="AE408" s="121"/>
      <c r="AF408" s="121"/>
      <c r="AG408" s="121"/>
      <c r="AH408" s="120"/>
    </row>
    <row r="409" spans="1:34" ht="13.2" x14ac:dyDescent="0.25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  <c r="AB409" s="121"/>
      <c r="AC409" s="121"/>
      <c r="AD409" s="121"/>
      <c r="AE409" s="121"/>
      <c r="AF409" s="121"/>
      <c r="AG409" s="121"/>
      <c r="AH409" s="120"/>
    </row>
    <row r="410" spans="1:34" ht="13.2" x14ac:dyDescent="0.25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  <c r="AB410" s="121"/>
      <c r="AC410" s="121"/>
      <c r="AD410" s="121"/>
      <c r="AE410" s="121"/>
      <c r="AF410" s="121"/>
      <c r="AG410" s="121"/>
      <c r="AH410" s="120"/>
    </row>
    <row r="411" spans="1:34" ht="13.2" x14ac:dyDescent="0.25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  <c r="AB411" s="121"/>
      <c r="AC411" s="121"/>
      <c r="AD411" s="121"/>
      <c r="AE411" s="121"/>
      <c r="AF411" s="121"/>
      <c r="AG411" s="121"/>
      <c r="AH411" s="120"/>
    </row>
    <row r="412" spans="1:34" ht="13.2" x14ac:dyDescent="0.25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  <c r="AB412" s="121"/>
      <c r="AC412" s="121"/>
      <c r="AD412" s="121"/>
      <c r="AE412" s="121"/>
      <c r="AF412" s="121"/>
      <c r="AG412" s="121"/>
      <c r="AH412" s="120"/>
    </row>
    <row r="413" spans="1:34" ht="13.2" x14ac:dyDescent="0.25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  <c r="AB413" s="121"/>
      <c r="AC413" s="121"/>
      <c r="AD413" s="121"/>
      <c r="AE413" s="121"/>
      <c r="AF413" s="121"/>
      <c r="AG413" s="121"/>
      <c r="AH413" s="120"/>
    </row>
    <row r="414" spans="1:34" ht="13.2" x14ac:dyDescent="0.25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  <c r="AB414" s="121"/>
      <c r="AC414" s="121"/>
      <c r="AD414" s="121"/>
      <c r="AE414" s="121"/>
      <c r="AF414" s="121"/>
      <c r="AG414" s="121"/>
      <c r="AH414" s="120"/>
    </row>
    <row r="415" spans="1:34" ht="13.2" x14ac:dyDescent="0.2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  <c r="AB415" s="121"/>
      <c r="AC415" s="121"/>
      <c r="AD415" s="121"/>
      <c r="AE415" s="121"/>
      <c r="AF415" s="121"/>
      <c r="AG415" s="121"/>
      <c r="AH415" s="120"/>
    </row>
    <row r="416" spans="1:34" ht="13.2" x14ac:dyDescent="0.25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  <c r="AB416" s="121"/>
      <c r="AC416" s="121"/>
      <c r="AD416" s="121"/>
      <c r="AE416" s="121"/>
      <c r="AF416" s="121"/>
      <c r="AG416" s="121"/>
      <c r="AH416" s="120"/>
    </row>
    <row r="417" spans="1:34" ht="13.2" x14ac:dyDescent="0.25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  <c r="AB417" s="121"/>
      <c r="AC417" s="121"/>
      <c r="AD417" s="121"/>
      <c r="AE417" s="121"/>
      <c r="AF417" s="121"/>
      <c r="AG417" s="121"/>
      <c r="AH417" s="120"/>
    </row>
    <row r="418" spans="1:34" ht="13.2" x14ac:dyDescent="0.25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  <c r="AB418" s="121"/>
      <c r="AC418" s="121"/>
      <c r="AD418" s="121"/>
      <c r="AE418" s="121"/>
      <c r="AF418" s="121"/>
      <c r="AG418" s="121"/>
      <c r="AH418" s="120"/>
    </row>
    <row r="419" spans="1:34" ht="13.2" x14ac:dyDescent="0.25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  <c r="AB419" s="121"/>
      <c r="AC419" s="121"/>
      <c r="AD419" s="121"/>
      <c r="AE419" s="121"/>
      <c r="AF419" s="121"/>
      <c r="AG419" s="121"/>
      <c r="AH419" s="120"/>
    </row>
    <row r="420" spans="1:34" ht="13.2" x14ac:dyDescent="0.25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  <c r="AB420" s="121"/>
      <c r="AC420" s="121"/>
      <c r="AD420" s="121"/>
      <c r="AE420" s="121"/>
      <c r="AF420" s="121"/>
      <c r="AG420" s="121"/>
      <c r="AH420" s="120"/>
    </row>
    <row r="421" spans="1:34" ht="13.2" x14ac:dyDescent="0.25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  <c r="AB421" s="121"/>
      <c r="AC421" s="121"/>
      <c r="AD421" s="121"/>
      <c r="AE421" s="121"/>
      <c r="AF421" s="121"/>
      <c r="AG421" s="121"/>
      <c r="AH421" s="120"/>
    </row>
    <row r="422" spans="1:34" ht="13.2" x14ac:dyDescent="0.25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121"/>
      <c r="AC422" s="121"/>
      <c r="AD422" s="121"/>
      <c r="AE422" s="121"/>
      <c r="AF422" s="121"/>
      <c r="AG422" s="121"/>
      <c r="AH422" s="120"/>
    </row>
    <row r="423" spans="1:34" ht="13.2" x14ac:dyDescent="0.25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121"/>
      <c r="AC423" s="121"/>
      <c r="AD423" s="121"/>
      <c r="AE423" s="121"/>
      <c r="AF423" s="121"/>
      <c r="AG423" s="121"/>
      <c r="AH423" s="120"/>
    </row>
    <row r="424" spans="1:34" ht="13.2" x14ac:dyDescent="0.25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121"/>
      <c r="AC424" s="121"/>
      <c r="AD424" s="121"/>
      <c r="AE424" s="121"/>
      <c r="AF424" s="121"/>
      <c r="AG424" s="121"/>
      <c r="AH424" s="120"/>
    </row>
    <row r="425" spans="1:34" ht="13.2" x14ac:dyDescent="0.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121"/>
      <c r="AC425" s="121"/>
      <c r="AD425" s="121"/>
      <c r="AE425" s="121"/>
      <c r="AF425" s="121"/>
      <c r="AG425" s="121"/>
      <c r="AH425" s="120"/>
    </row>
    <row r="426" spans="1:34" ht="13.2" x14ac:dyDescent="0.25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121"/>
      <c r="AC426" s="121"/>
      <c r="AD426" s="121"/>
      <c r="AE426" s="121"/>
      <c r="AF426" s="121"/>
      <c r="AG426" s="121"/>
      <c r="AH426" s="120"/>
    </row>
    <row r="427" spans="1:34" ht="13.2" x14ac:dyDescent="0.25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  <c r="AB427" s="121"/>
      <c r="AC427" s="121"/>
      <c r="AD427" s="121"/>
      <c r="AE427" s="121"/>
      <c r="AF427" s="121"/>
      <c r="AG427" s="121"/>
      <c r="AH427" s="120"/>
    </row>
    <row r="428" spans="1:34" ht="13.2" x14ac:dyDescent="0.25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  <c r="AB428" s="121"/>
      <c r="AC428" s="121"/>
      <c r="AD428" s="121"/>
      <c r="AE428" s="121"/>
      <c r="AF428" s="121"/>
      <c r="AG428" s="121"/>
      <c r="AH428" s="120"/>
    </row>
    <row r="429" spans="1:34" ht="13.2" x14ac:dyDescent="0.25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  <c r="AB429" s="121"/>
      <c r="AC429" s="121"/>
      <c r="AD429" s="121"/>
      <c r="AE429" s="121"/>
      <c r="AF429" s="121"/>
      <c r="AG429" s="121"/>
      <c r="AH429" s="120"/>
    </row>
    <row r="430" spans="1:34" ht="13.2" x14ac:dyDescent="0.25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  <c r="AB430" s="121"/>
      <c r="AC430" s="121"/>
      <c r="AD430" s="121"/>
      <c r="AE430" s="121"/>
      <c r="AF430" s="121"/>
      <c r="AG430" s="121"/>
      <c r="AH430" s="120"/>
    </row>
    <row r="431" spans="1:34" ht="13.2" x14ac:dyDescent="0.25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121"/>
      <c r="AC431" s="121"/>
      <c r="AD431" s="121"/>
      <c r="AE431" s="121"/>
      <c r="AF431" s="121"/>
      <c r="AG431" s="121"/>
      <c r="AH431" s="120"/>
    </row>
    <row r="432" spans="1:34" ht="13.2" x14ac:dyDescent="0.25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121"/>
      <c r="AC432" s="121"/>
      <c r="AD432" s="121"/>
      <c r="AE432" s="121"/>
      <c r="AF432" s="121"/>
      <c r="AG432" s="121"/>
      <c r="AH432" s="120"/>
    </row>
    <row r="433" spans="1:34" ht="13.2" x14ac:dyDescent="0.25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121"/>
      <c r="AC433" s="121"/>
      <c r="AD433" s="121"/>
      <c r="AE433" s="121"/>
      <c r="AF433" s="121"/>
      <c r="AG433" s="121"/>
      <c r="AH433" s="120"/>
    </row>
    <row r="434" spans="1:34" ht="13.2" x14ac:dyDescent="0.25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121"/>
      <c r="AC434" s="121"/>
      <c r="AD434" s="121"/>
      <c r="AE434" s="121"/>
      <c r="AF434" s="121"/>
      <c r="AG434" s="121"/>
      <c r="AH434" s="120"/>
    </row>
    <row r="435" spans="1:34" ht="13.2" x14ac:dyDescent="0.2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121"/>
      <c r="AC435" s="121"/>
      <c r="AD435" s="121"/>
      <c r="AE435" s="121"/>
      <c r="AF435" s="121"/>
      <c r="AG435" s="121"/>
      <c r="AH435" s="120"/>
    </row>
    <row r="436" spans="1:34" ht="13.2" x14ac:dyDescent="0.25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  <c r="AB436" s="121"/>
      <c r="AC436" s="121"/>
      <c r="AD436" s="121"/>
      <c r="AE436" s="121"/>
      <c r="AF436" s="121"/>
      <c r="AG436" s="121"/>
      <c r="AH436" s="120"/>
    </row>
    <row r="437" spans="1:34" ht="13.2" x14ac:dyDescent="0.25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  <c r="AB437" s="121"/>
      <c r="AC437" s="121"/>
      <c r="AD437" s="121"/>
      <c r="AE437" s="121"/>
      <c r="AF437" s="121"/>
      <c r="AG437" s="121"/>
      <c r="AH437" s="120"/>
    </row>
    <row r="438" spans="1:34" ht="13.2" x14ac:dyDescent="0.25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  <c r="AB438" s="121"/>
      <c r="AC438" s="121"/>
      <c r="AD438" s="121"/>
      <c r="AE438" s="121"/>
      <c r="AF438" s="121"/>
      <c r="AG438" s="121"/>
      <c r="AH438" s="120"/>
    </row>
    <row r="439" spans="1:34" ht="13.2" x14ac:dyDescent="0.25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  <c r="AB439" s="121"/>
      <c r="AC439" s="121"/>
      <c r="AD439" s="121"/>
      <c r="AE439" s="121"/>
      <c r="AF439" s="121"/>
      <c r="AG439" s="121"/>
      <c r="AH439" s="120"/>
    </row>
    <row r="440" spans="1:34" ht="13.2" x14ac:dyDescent="0.25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  <c r="AB440" s="121"/>
      <c r="AC440" s="121"/>
      <c r="AD440" s="121"/>
      <c r="AE440" s="121"/>
      <c r="AF440" s="121"/>
      <c r="AG440" s="121"/>
      <c r="AH440" s="120"/>
    </row>
    <row r="441" spans="1:34" ht="13.2" x14ac:dyDescent="0.25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  <c r="AB441" s="121"/>
      <c r="AC441" s="121"/>
      <c r="AD441" s="121"/>
      <c r="AE441" s="121"/>
      <c r="AF441" s="121"/>
      <c r="AG441" s="121"/>
      <c r="AH441" s="120"/>
    </row>
    <row r="442" spans="1:34" ht="13.2" x14ac:dyDescent="0.25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  <c r="AB442" s="121"/>
      <c r="AC442" s="121"/>
      <c r="AD442" s="121"/>
      <c r="AE442" s="121"/>
      <c r="AF442" s="121"/>
      <c r="AG442" s="121"/>
      <c r="AH442" s="120"/>
    </row>
    <row r="443" spans="1:34" ht="13.2" x14ac:dyDescent="0.25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  <c r="AB443" s="121"/>
      <c r="AC443" s="121"/>
      <c r="AD443" s="121"/>
      <c r="AE443" s="121"/>
      <c r="AF443" s="121"/>
      <c r="AG443" s="121"/>
      <c r="AH443" s="120"/>
    </row>
    <row r="444" spans="1:34" ht="13.2" x14ac:dyDescent="0.25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  <c r="AB444" s="121"/>
      <c r="AC444" s="121"/>
      <c r="AD444" s="121"/>
      <c r="AE444" s="121"/>
      <c r="AF444" s="121"/>
      <c r="AG444" s="121"/>
      <c r="AH444" s="120"/>
    </row>
    <row r="445" spans="1:34" ht="13.2" x14ac:dyDescent="0.2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121"/>
      <c r="AC445" s="121"/>
      <c r="AD445" s="121"/>
      <c r="AE445" s="121"/>
      <c r="AF445" s="121"/>
      <c r="AG445" s="121"/>
      <c r="AH445" s="120"/>
    </row>
    <row r="446" spans="1:34" ht="13.2" x14ac:dyDescent="0.25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121"/>
      <c r="AC446" s="121"/>
      <c r="AD446" s="121"/>
      <c r="AE446" s="121"/>
      <c r="AF446" s="121"/>
      <c r="AG446" s="121"/>
      <c r="AH446" s="120"/>
    </row>
    <row r="447" spans="1:34" ht="13.2" x14ac:dyDescent="0.25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121"/>
      <c r="AC447" s="121"/>
      <c r="AD447" s="121"/>
      <c r="AE447" s="121"/>
      <c r="AF447" s="121"/>
      <c r="AG447" s="121"/>
      <c r="AH447" s="120"/>
    </row>
    <row r="448" spans="1:34" ht="13.2" x14ac:dyDescent="0.25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121"/>
      <c r="AC448" s="121"/>
      <c r="AD448" s="121"/>
      <c r="AE448" s="121"/>
      <c r="AF448" s="121"/>
      <c r="AG448" s="121"/>
      <c r="AH448" s="120"/>
    </row>
    <row r="449" spans="1:34" ht="13.2" x14ac:dyDescent="0.25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121"/>
      <c r="AC449" s="121"/>
      <c r="AD449" s="121"/>
      <c r="AE449" s="121"/>
      <c r="AF449" s="121"/>
      <c r="AG449" s="121"/>
      <c r="AH449" s="120"/>
    </row>
    <row r="450" spans="1:34" ht="13.2" x14ac:dyDescent="0.25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121"/>
      <c r="AC450" s="121"/>
      <c r="AD450" s="121"/>
      <c r="AE450" s="121"/>
      <c r="AF450" s="121"/>
      <c r="AG450" s="121"/>
      <c r="AH450" s="120"/>
    </row>
    <row r="451" spans="1:34" ht="13.2" x14ac:dyDescent="0.25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  <c r="AB451" s="121"/>
      <c r="AC451" s="121"/>
      <c r="AD451" s="121"/>
      <c r="AE451" s="121"/>
      <c r="AF451" s="121"/>
      <c r="AG451" s="121"/>
      <c r="AH451" s="120"/>
    </row>
    <row r="452" spans="1:34" ht="13.2" x14ac:dyDescent="0.25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  <c r="AB452" s="121"/>
      <c r="AC452" s="121"/>
      <c r="AD452" s="121"/>
      <c r="AE452" s="121"/>
      <c r="AF452" s="121"/>
      <c r="AG452" s="121"/>
      <c r="AH452" s="120"/>
    </row>
    <row r="453" spans="1:34" ht="13.2" x14ac:dyDescent="0.25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  <c r="AB453" s="121"/>
      <c r="AC453" s="121"/>
      <c r="AD453" s="121"/>
      <c r="AE453" s="121"/>
      <c r="AF453" s="121"/>
      <c r="AG453" s="121"/>
      <c r="AH453" s="120"/>
    </row>
    <row r="454" spans="1:34" ht="13.2" x14ac:dyDescent="0.25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  <c r="AB454" s="121"/>
      <c r="AC454" s="121"/>
      <c r="AD454" s="121"/>
      <c r="AE454" s="121"/>
      <c r="AF454" s="121"/>
      <c r="AG454" s="121"/>
      <c r="AH454" s="120"/>
    </row>
    <row r="455" spans="1:34" ht="13.2" x14ac:dyDescent="0.2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121"/>
      <c r="AC455" s="121"/>
      <c r="AD455" s="121"/>
      <c r="AE455" s="121"/>
      <c r="AF455" s="121"/>
      <c r="AG455" s="121"/>
      <c r="AH455" s="120"/>
    </row>
    <row r="456" spans="1:34" ht="13.2" x14ac:dyDescent="0.25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121"/>
      <c r="AC456" s="121"/>
      <c r="AD456" s="121"/>
      <c r="AE456" s="121"/>
      <c r="AF456" s="121"/>
      <c r="AG456" s="121"/>
      <c r="AH456" s="120"/>
    </row>
    <row r="457" spans="1:34" ht="13.2" x14ac:dyDescent="0.25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121"/>
      <c r="AC457" s="121"/>
      <c r="AD457" s="121"/>
      <c r="AE457" s="121"/>
      <c r="AF457" s="121"/>
      <c r="AG457" s="121"/>
      <c r="AH457" s="120"/>
    </row>
    <row r="458" spans="1:34" ht="13.2" x14ac:dyDescent="0.25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121"/>
      <c r="AC458" s="121"/>
      <c r="AD458" s="121"/>
      <c r="AE458" s="121"/>
      <c r="AF458" s="121"/>
      <c r="AG458" s="121"/>
      <c r="AH458" s="120"/>
    </row>
    <row r="459" spans="1:34" ht="13.2" x14ac:dyDescent="0.25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121"/>
      <c r="AC459" s="121"/>
      <c r="AD459" s="121"/>
      <c r="AE459" s="121"/>
      <c r="AF459" s="121"/>
      <c r="AG459" s="121"/>
      <c r="AH459" s="120"/>
    </row>
    <row r="460" spans="1:34" ht="13.2" x14ac:dyDescent="0.25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121"/>
      <c r="AC460" s="121"/>
      <c r="AD460" s="121"/>
      <c r="AE460" s="121"/>
      <c r="AF460" s="121"/>
      <c r="AG460" s="121"/>
      <c r="AH460" s="120"/>
    </row>
    <row r="461" spans="1:34" ht="13.2" x14ac:dyDescent="0.25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121"/>
      <c r="AC461" s="121"/>
      <c r="AD461" s="121"/>
      <c r="AE461" s="121"/>
      <c r="AF461" s="121"/>
      <c r="AG461" s="121"/>
      <c r="AH461" s="120"/>
    </row>
    <row r="462" spans="1:34" ht="13.2" x14ac:dyDescent="0.25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  <c r="AB462" s="121"/>
      <c r="AC462" s="121"/>
      <c r="AD462" s="121"/>
      <c r="AE462" s="121"/>
      <c r="AF462" s="121"/>
      <c r="AG462" s="121"/>
      <c r="AH462" s="120"/>
    </row>
    <row r="463" spans="1:34" ht="13.2" x14ac:dyDescent="0.25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  <c r="AB463" s="121"/>
      <c r="AC463" s="121"/>
      <c r="AD463" s="121"/>
      <c r="AE463" s="121"/>
      <c r="AF463" s="121"/>
      <c r="AG463" s="121"/>
      <c r="AH463" s="120"/>
    </row>
    <row r="464" spans="1:34" ht="13.2" x14ac:dyDescent="0.25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  <c r="AB464" s="121"/>
      <c r="AC464" s="121"/>
      <c r="AD464" s="121"/>
      <c r="AE464" s="121"/>
      <c r="AF464" s="121"/>
      <c r="AG464" s="121"/>
      <c r="AH464" s="120"/>
    </row>
    <row r="465" spans="1:34" ht="13.2" x14ac:dyDescent="0.2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  <c r="AB465" s="121"/>
      <c r="AC465" s="121"/>
      <c r="AD465" s="121"/>
      <c r="AE465" s="121"/>
      <c r="AF465" s="121"/>
      <c r="AG465" s="121"/>
      <c r="AH465" s="120"/>
    </row>
    <row r="466" spans="1:34" ht="13.2" x14ac:dyDescent="0.25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  <c r="AB466" s="121"/>
      <c r="AC466" s="121"/>
      <c r="AD466" s="121"/>
      <c r="AE466" s="121"/>
      <c r="AF466" s="121"/>
      <c r="AG466" s="121"/>
      <c r="AH466" s="120"/>
    </row>
    <row r="467" spans="1:34" ht="13.2" x14ac:dyDescent="0.25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  <c r="AB467" s="121"/>
      <c r="AC467" s="121"/>
      <c r="AD467" s="121"/>
      <c r="AE467" s="121"/>
      <c r="AF467" s="121"/>
      <c r="AG467" s="121"/>
      <c r="AH467" s="120"/>
    </row>
    <row r="468" spans="1:34" ht="13.2" x14ac:dyDescent="0.25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  <c r="AB468" s="121"/>
      <c r="AC468" s="121"/>
      <c r="AD468" s="121"/>
      <c r="AE468" s="121"/>
      <c r="AF468" s="121"/>
      <c r="AG468" s="121"/>
      <c r="AH468" s="120"/>
    </row>
    <row r="469" spans="1:34" ht="13.2" x14ac:dyDescent="0.25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  <c r="AB469" s="121"/>
      <c r="AC469" s="121"/>
      <c r="AD469" s="121"/>
      <c r="AE469" s="121"/>
      <c r="AF469" s="121"/>
      <c r="AG469" s="121"/>
      <c r="AH469" s="120"/>
    </row>
    <row r="470" spans="1:34" ht="13.2" x14ac:dyDescent="0.25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  <c r="AB470" s="121"/>
      <c r="AC470" s="121"/>
      <c r="AD470" s="121"/>
      <c r="AE470" s="121"/>
      <c r="AF470" s="121"/>
      <c r="AG470" s="121"/>
      <c r="AH470" s="120"/>
    </row>
    <row r="471" spans="1:34" ht="13.2" x14ac:dyDescent="0.25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121"/>
      <c r="AC471" s="121"/>
      <c r="AD471" s="121"/>
      <c r="AE471" s="121"/>
      <c r="AF471" s="121"/>
      <c r="AG471" s="121"/>
      <c r="AH471" s="120"/>
    </row>
    <row r="472" spans="1:34" ht="13.2" x14ac:dyDescent="0.25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121"/>
      <c r="AC472" s="121"/>
      <c r="AD472" s="121"/>
      <c r="AE472" s="121"/>
      <c r="AF472" s="121"/>
      <c r="AG472" s="121"/>
      <c r="AH472" s="120"/>
    </row>
    <row r="473" spans="1:34" ht="13.2" x14ac:dyDescent="0.25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121"/>
      <c r="AC473" s="121"/>
      <c r="AD473" s="121"/>
      <c r="AE473" s="121"/>
      <c r="AF473" s="121"/>
      <c r="AG473" s="121"/>
      <c r="AH473" s="120"/>
    </row>
    <row r="474" spans="1:34" ht="13.2" x14ac:dyDescent="0.25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121"/>
      <c r="AC474" s="121"/>
      <c r="AD474" s="121"/>
      <c r="AE474" s="121"/>
      <c r="AF474" s="121"/>
      <c r="AG474" s="121"/>
      <c r="AH474" s="120"/>
    </row>
    <row r="475" spans="1:34" ht="13.2" x14ac:dyDescent="0.2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121"/>
      <c r="AC475" s="121"/>
      <c r="AD475" s="121"/>
      <c r="AE475" s="121"/>
      <c r="AF475" s="121"/>
      <c r="AG475" s="121"/>
      <c r="AH475" s="120"/>
    </row>
    <row r="476" spans="1:34" ht="13.2" x14ac:dyDescent="0.25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121"/>
      <c r="AC476" s="121"/>
      <c r="AD476" s="121"/>
      <c r="AE476" s="121"/>
      <c r="AF476" s="121"/>
      <c r="AG476" s="121"/>
      <c r="AH476" s="120"/>
    </row>
    <row r="477" spans="1:34" ht="13.2" x14ac:dyDescent="0.25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  <c r="AB477" s="121"/>
      <c r="AC477" s="121"/>
      <c r="AD477" s="121"/>
      <c r="AE477" s="121"/>
      <c r="AF477" s="121"/>
      <c r="AG477" s="121"/>
      <c r="AH477" s="120"/>
    </row>
    <row r="478" spans="1:34" ht="13.2" x14ac:dyDescent="0.25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  <c r="AB478" s="121"/>
      <c r="AC478" s="121"/>
      <c r="AD478" s="121"/>
      <c r="AE478" s="121"/>
      <c r="AF478" s="121"/>
      <c r="AG478" s="121"/>
      <c r="AH478" s="120"/>
    </row>
    <row r="479" spans="1:34" ht="13.2" x14ac:dyDescent="0.25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  <c r="AB479" s="121"/>
      <c r="AC479" s="121"/>
      <c r="AD479" s="121"/>
      <c r="AE479" s="121"/>
      <c r="AF479" s="121"/>
      <c r="AG479" s="121"/>
      <c r="AH479" s="120"/>
    </row>
    <row r="480" spans="1:34" ht="13.2" x14ac:dyDescent="0.25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121"/>
      <c r="AC480" s="121"/>
      <c r="AD480" s="121"/>
      <c r="AE480" s="121"/>
      <c r="AF480" s="121"/>
      <c r="AG480" s="121"/>
      <c r="AH480" s="120"/>
    </row>
    <row r="481" spans="1:34" ht="13.2" x14ac:dyDescent="0.25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121"/>
      <c r="AC481" s="121"/>
      <c r="AD481" s="121"/>
      <c r="AE481" s="121"/>
      <c r="AF481" s="121"/>
      <c r="AG481" s="121"/>
      <c r="AH481" s="120"/>
    </row>
    <row r="482" spans="1:34" ht="13.2" x14ac:dyDescent="0.25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121"/>
      <c r="AC482" s="121"/>
      <c r="AD482" s="121"/>
      <c r="AE482" s="121"/>
      <c r="AF482" s="121"/>
      <c r="AG482" s="121"/>
      <c r="AH482" s="120"/>
    </row>
    <row r="483" spans="1:34" ht="13.2" x14ac:dyDescent="0.25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121"/>
      <c r="AC483" s="121"/>
      <c r="AD483" s="121"/>
      <c r="AE483" s="121"/>
      <c r="AF483" s="121"/>
      <c r="AG483" s="121"/>
      <c r="AH483" s="120"/>
    </row>
    <row r="484" spans="1:34" ht="13.2" x14ac:dyDescent="0.25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121"/>
      <c r="AC484" s="121"/>
      <c r="AD484" s="121"/>
      <c r="AE484" s="121"/>
      <c r="AF484" s="121"/>
      <c r="AG484" s="121"/>
      <c r="AH484" s="120"/>
    </row>
    <row r="485" spans="1:34" ht="13.2" x14ac:dyDescent="0.2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  <c r="AB485" s="121"/>
      <c r="AC485" s="121"/>
      <c r="AD485" s="121"/>
      <c r="AE485" s="121"/>
      <c r="AF485" s="121"/>
      <c r="AG485" s="121"/>
      <c r="AH485" s="120"/>
    </row>
    <row r="486" spans="1:34" ht="13.2" x14ac:dyDescent="0.25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  <c r="AB486" s="121"/>
      <c r="AC486" s="121"/>
      <c r="AD486" s="121"/>
      <c r="AE486" s="121"/>
      <c r="AF486" s="121"/>
      <c r="AG486" s="121"/>
      <c r="AH486" s="120"/>
    </row>
    <row r="487" spans="1:34" ht="13.2" x14ac:dyDescent="0.25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  <c r="AB487" s="121"/>
      <c r="AC487" s="121"/>
      <c r="AD487" s="121"/>
      <c r="AE487" s="121"/>
      <c r="AF487" s="121"/>
      <c r="AG487" s="121"/>
      <c r="AH487" s="120"/>
    </row>
    <row r="488" spans="1:34" ht="13.2" x14ac:dyDescent="0.25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  <c r="AB488" s="121"/>
      <c r="AC488" s="121"/>
      <c r="AD488" s="121"/>
      <c r="AE488" s="121"/>
      <c r="AF488" s="121"/>
      <c r="AG488" s="121"/>
      <c r="AH488" s="120"/>
    </row>
    <row r="489" spans="1:34" ht="13.2" x14ac:dyDescent="0.25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  <c r="AB489" s="121"/>
      <c r="AC489" s="121"/>
      <c r="AD489" s="121"/>
      <c r="AE489" s="121"/>
      <c r="AF489" s="121"/>
      <c r="AG489" s="121"/>
      <c r="AH489" s="120"/>
    </row>
    <row r="490" spans="1:34" ht="13.2" x14ac:dyDescent="0.25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  <c r="AB490" s="121"/>
      <c r="AC490" s="121"/>
      <c r="AD490" s="121"/>
      <c r="AE490" s="121"/>
      <c r="AF490" s="121"/>
      <c r="AG490" s="121"/>
      <c r="AH490" s="120"/>
    </row>
    <row r="491" spans="1:34" ht="13.2" x14ac:dyDescent="0.25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  <c r="AB491" s="121"/>
      <c r="AC491" s="121"/>
      <c r="AD491" s="121"/>
      <c r="AE491" s="121"/>
      <c r="AF491" s="121"/>
      <c r="AG491" s="121"/>
      <c r="AH491" s="120"/>
    </row>
    <row r="492" spans="1:34" ht="13.2" x14ac:dyDescent="0.25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  <c r="AB492" s="121"/>
      <c r="AC492" s="121"/>
      <c r="AD492" s="121"/>
      <c r="AE492" s="121"/>
      <c r="AF492" s="121"/>
      <c r="AG492" s="121"/>
      <c r="AH492" s="120"/>
    </row>
    <row r="493" spans="1:34" ht="13.2" x14ac:dyDescent="0.25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121"/>
      <c r="AC493" s="121"/>
      <c r="AD493" s="121"/>
      <c r="AE493" s="121"/>
      <c r="AF493" s="121"/>
      <c r="AG493" s="121"/>
      <c r="AH493" s="120"/>
    </row>
    <row r="494" spans="1:34" ht="13.2" x14ac:dyDescent="0.25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121"/>
      <c r="AC494" s="121"/>
      <c r="AD494" s="121"/>
      <c r="AE494" s="121"/>
      <c r="AF494" s="121"/>
      <c r="AG494" s="121"/>
      <c r="AH494" s="120"/>
    </row>
    <row r="495" spans="1:34" ht="13.2" x14ac:dyDescent="0.2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121"/>
      <c r="AC495" s="121"/>
      <c r="AD495" s="121"/>
      <c r="AE495" s="121"/>
      <c r="AF495" s="121"/>
      <c r="AG495" s="121"/>
      <c r="AH495" s="120"/>
    </row>
    <row r="496" spans="1:34" ht="13.2" x14ac:dyDescent="0.25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121"/>
      <c r="AC496" s="121"/>
      <c r="AD496" s="121"/>
      <c r="AE496" s="121"/>
      <c r="AF496" s="121"/>
      <c r="AG496" s="121"/>
      <c r="AH496" s="120"/>
    </row>
    <row r="497" spans="1:34" ht="13.2" x14ac:dyDescent="0.25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  <c r="AB497" s="121"/>
      <c r="AC497" s="121"/>
      <c r="AD497" s="121"/>
      <c r="AE497" s="121"/>
      <c r="AF497" s="121"/>
      <c r="AG497" s="121"/>
      <c r="AH497" s="120"/>
    </row>
    <row r="498" spans="1:34" ht="13.2" x14ac:dyDescent="0.25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  <c r="AB498" s="121"/>
      <c r="AC498" s="121"/>
      <c r="AD498" s="121"/>
      <c r="AE498" s="121"/>
      <c r="AF498" s="121"/>
      <c r="AG498" s="121"/>
      <c r="AH498" s="120"/>
    </row>
    <row r="499" spans="1:34" ht="13.2" x14ac:dyDescent="0.25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  <c r="AB499" s="121"/>
      <c r="AC499" s="121"/>
      <c r="AD499" s="121"/>
      <c r="AE499" s="121"/>
      <c r="AF499" s="121"/>
      <c r="AG499" s="121"/>
      <c r="AH499" s="120"/>
    </row>
    <row r="500" spans="1:34" ht="13.2" x14ac:dyDescent="0.25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  <c r="AB500" s="121"/>
      <c r="AC500" s="121"/>
      <c r="AD500" s="121"/>
      <c r="AE500" s="121"/>
      <c r="AF500" s="121"/>
      <c r="AG500" s="121"/>
      <c r="AH500" s="120"/>
    </row>
    <row r="501" spans="1:34" ht="13.2" x14ac:dyDescent="0.25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121"/>
      <c r="AC501" s="121"/>
      <c r="AD501" s="121"/>
      <c r="AE501" s="121"/>
      <c r="AF501" s="121"/>
      <c r="AG501" s="121"/>
      <c r="AH501" s="120"/>
    </row>
    <row r="502" spans="1:34" ht="13.2" x14ac:dyDescent="0.25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  <c r="AB502" s="121"/>
      <c r="AC502" s="121"/>
      <c r="AD502" s="121"/>
      <c r="AE502" s="121"/>
      <c r="AF502" s="121"/>
      <c r="AG502" s="121"/>
      <c r="AH502" s="120"/>
    </row>
    <row r="503" spans="1:34" ht="13.2" x14ac:dyDescent="0.25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  <c r="AB503" s="121"/>
      <c r="AC503" s="121"/>
      <c r="AD503" s="121"/>
      <c r="AE503" s="121"/>
      <c r="AF503" s="121"/>
      <c r="AG503" s="121"/>
      <c r="AH503" s="120"/>
    </row>
    <row r="504" spans="1:34" ht="13.2" x14ac:dyDescent="0.25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  <c r="AB504" s="121"/>
      <c r="AC504" s="121"/>
      <c r="AD504" s="121"/>
      <c r="AE504" s="121"/>
      <c r="AF504" s="121"/>
      <c r="AG504" s="121"/>
      <c r="AH504" s="120"/>
    </row>
    <row r="505" spans="1:34" ht="13.2" x14ac:dyDescent="0.2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  <c r="AB505" s="121"/>
      <c r="AC505" s="121"/>
      <c r="AD505" s="121"/>
      <c r="AE505" s="121"/>
      <c r="AF505" s="121"/>
      <c r="AG505" s="121"/>
      <c r="AH505" s="120"/>
    </row>
    <row r="506" spans="1:34" ht="13.2" x14ac:dyDescent="0.25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  <c r="AB506" s="121"/>
      <c r="AC506" s="121"/>
      <c r="AD506" s="121"/>
      <c r="AE506" s="121"/>
      <c r="AF506" s="121"/>
      <c r="AG506" s="121"/>
      <c r="AH506" s="120"/>
    </row>
    <row r="507" spans="1:34" ht="13.2" x14ac:dyDescent="0.25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121"/>
      <c r="AC507" s="121"/>
      <c r="AD507" s="121"/>
      <c r="AE507" s="121"/>
      <c r="AF507" s="121"/>
      <c r="AG507" s="121"/>
      <c r="AH507" s="120"/>
    </row>
    <row r="508" spans="1:34" ht="13.2" x14ac:dyDescent="0.25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  <c r="AB508" s="121"/>
      <c r="AC508" s="121"/>
      <c r="AD508" s="121"/>
      <c r="AE508" s="121"/>
      <c r="AF508" s="121"/>
      <c r="AG508" s="121"/>
      <c r="AH508" s="120"/>
    </row>
    <row r="509" spans="1:34" ht="13.2" x14ac:dyDescent="0.25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  <c r="AB509" s="121"/>
      <c r="AC509" s="121"/>
      <c r="AD509" s="121"/>
      <c r="AE509" s="121"/>
      <c r="AF509" s="121"/>
      <c r="AG509" s="121"/>
      <c r="AH509" s="120"/>
    </row>
    <row r="510" spans="1:34" ht="13.2" x14ac:dyDescent="0.25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  <c r="AB510" s="121"/>
      <c r="AC510" s="121"/>
      <c r="AD510" s="121"/>
      <c r="AE510" s="121"/>
      <c r="AF510" s="121"/>
      <c r="AG510" s="121"/>
      <c r="AH510" s="120"/>
    </row>
    <row r="511" spans="1:34" ht="13.2" x14ac:dyDescent="0.25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  <c r="AB511" s="121"/>
      <c r="AC511" s="121"/>
      <c r="AD511" s="121"/>
      <c r="AE511" s="121"/>
      <c r="AF511" s="121"/>
      <c r="AG511" s="121"/>
      <c r="AH511" s="120"/>
    </row>
    <row r="512" spans="1:34" ht="13.2" x14ac:dyDescent="0.25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  <c r="AB512" s="121"/>
      <c r="AC512" s="121"/>
      <c r="AD512" s="121"/>
      <c r="AE512" s="121"/>
      <c r="AF512" s="121"/>
      <c r="AG512" s="121"/>
      <c r="AH512" s="120"/>
    </row>
    <row r="513" spans="1:34" ht="13.2" x14ac:dyDescent="0.25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  <c r="AB513" s="121"/>
      <c r="AC513" s="121"/>
      <c r="AD513" s="121"/>
      <c r="AE513" s="121"/>
      <c r="AF513" s="121"/>
      <c r="AG513" s="121"/>
      <c r="AH513" s="120"/>
    </row>
    <row r="514" spans="1:34" ht="13.2" x14ac:dyDescent="0.25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  <c r="AB514" s="121"/>
      <c r="AC514" s="121"/>
      <c r="AD514" s="121"/>
      <c r="AE514" s="121"/>
      <c r="AF514" s="121"/>
      <c r="AG514" s="121"/>
      <c r="AH514" s="120"/>
    </row>
    <row r="515" spans="1:34" ht="13.2" x14ac:dyDescent="0.2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  <c r="AB515" s="121"/>
      <c r="AC515" s="121"/>
      <c r="AD515" s="121"/>
      <c r="AE515" s="121"/>
      <c r="AF515" s="121"/>
      <c r="AG515" s="121"/>
      <c r="AH515" s="120"/>
    </row>
    <row r="516" spans="1:34" ht="13.2" x14ac:dyDescent="0.25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  <c r="AB516" s="121"/>
      <c r="AC516" s="121"/>
      <c r="AD516" s="121"/>
      <c r="AE516" s="121"/>
      <c r="AF516" s="121"/>
      <c r="AG516" s="121"/>
      <c r="AH516" s="120"/>
    </row>
    <row r="517" spans="1:34" ht="13.2" x14ac:dyDescent="0.25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  <c r="AB517" s="121"/>
      <c r="AC517" s="121"/>
      <c r="AD517" s="121"/>
      <c r="AE517" s="121"/>
      <c r="AF517" s="121"/>
      <c r="AG517" s="121"/>
      <c r="AH517" s="120"/>
    </row>
    <row r="518" spans="1:34" ht="13.2" x14ac:dyDescent="0.25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  <c r="AB518" s="121"/>
      <c r="AC518" s="121"/>
      <c r="AD518" s="121"/>
      <c r="AE518" s="121"/>
      <c r="AF518" s="121"/>
      <c r="AG518" s="121"/>
      <c r="AH518" s="120"/>
    </row>
    <row r="519" spans="1:34" ht="13.2" x14ac:dyDescent="0.25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  <c r="AB519" s="121"/>
      <c r="AC519" s="121"/>
      <c r="AD519" s="121"/>
      <c r="AE519" s="121"/>
      <c r="AF519" s="121"/>
      <c r="AG519" s="121"/>
      <c r="AH519" s="120"/>
    </row>
    <row r="520" spans="1:34" ht="13.2" x14ac:dyDescent="0.25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  <c r="AB520" s="121"/>
      <c r="AC520" s="121"/>
      <c r="AD520" s="121"/>
      <c r="AE520" s="121"/>
      <c r="AF520" s="121"/>
      <c r="AG520" s="121"/>
      <c r="AH520" s="120"/>
    </row>
    <row r="521" spans="1:34" ht="13.2" x14ac:dyDescent="0.25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  <c r="AB521" s="121"/>
      <c r="AC521" s="121"/>
      <c r="AD521" s="121"/>
      <c r="AE521" s="121"/>
      <c r="AF521" s="121"/>
      <c r="AG521" s="121"/>
      <c r="AH521" s="120"/>
    </row>
    <row r="522" spans="1:34" ht="13.2" x14ac:dyDescent="0.25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  <c r="AB522" s="121"/>
      <c r="AC522" s="121"/>
      <c r="AD522" s="121"/>
      <c r="AE522" s="121"/>
      <c r="AF522" s="121"/>
      <c r="AG522" s="121"/>
      <c r="AH522" s="120"/>
    </row>
    <row r="523" spans="1:34" ht="13.2" x14ac:dyDescent="0.25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  <c r="AB523" s="121"/>
      <c r="AC523" s="121"/>
      <c r="AD523" s="121"/>
      <c r="AE523" s="121"/>
      <c r="AF523" s="121"/>
      <c r="AG523" s="121"/>
      <c r="AH523" s="120"/>
    </row>
    <row r="524" spans="1:34" ht="13.2" x14ac:dyDescent="0.25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  <c r="AB524" s="121"/>
      <c r="AC524" s="121"/>
      <c r="AD524" s="121"/>
      <c r="AE524" s="121"/>
      <c r="AF524" s="121"/>
      <c r="AG524" s="121"/>
      <c r="AH524" s="120"/>
    </row>
    <row r="525" spans="1:34" ht="13.2" x14ac:dyDescent="0.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  <c r="AB525" s="121"/>
      <c r="AC525" s="121"/>
      <c r="AD525" s="121"/>
      <c r="AE525" s="121"/>
      <c r="AF525" s="121"/>
      <c r="AG525" s="121"/>
      <c r="AH525" s="120"/>
    </row>
    <row r="526" spans="1:34" ht="13.2" x14ac:dyDescent="0.25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  <c r="AB526" s="121"/>
      <c r="AC526" s="121"/>
      <c r="AD526" s="121"/>
      <c r="AE526" s="121"/>
      <c r="AF526" s="121"/>
      <c r="AG526" s="121"/>
      <c r="AH526" s="120"/>
    </row>
    <row r="527" spans="1:34" ht="13.2" x14ac:dyDescent="0.25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  <c r="AB527" s="121"/>
      <c r="AC527" s="121"/>
      <c r="AD527" s="121"/>
      <c r="AE527" s="121"/>
      <c r="AF527" s="121"/>
      <c r="AG527" s="121"/>
      <c r="AH527" s="120"/>
    </row>
    <row r="528" spans="1:34" ht="13.2" x14ac:dyDescent="0.25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  <c r="AB528" s="121"/>
      <c r="AC528" s="121"/>
      <c r="AD528" s="121"/>
      <c r="AE528" s="121"/>
      <c r="AF528" s="121"/>
      <c r="AG528" s="121"/>
      <c r="AH528" s="120"/>
    </row>
    <row r="529" spans="1:34" ht="13.2" x14ac:dyDescent="0.25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121"/>
      <c r="AC529" s="121"/>
      <c r="AD529" s="121"/>
      <c r="AE529" s="121"/>
      <c r="AF529" s="121"/>
      <c r="AG529" s="121"/>
      <c r="AH529" s="120"/>
    </row>
    <row r="530" spans="1:34" ht="13.2" x14ac:dyDescent="0.25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121"/>
      <c r="AC530" s="121"/>
      <c r="AD530" s="121"/>
      <c r="AE530" s="121"/>
      <c r="AF530" s="121"/>
      <c r="AG530" s="121"/>
      <c r="AH530" s="120"/>
    </row>
    <row r="531" spans="1:34" ht="13.2" x14ac:dyDescent="0.25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121"/>
      <c r="AC531" s="121"/>
      <c r="AD531" s="121"/>
      <c r="AE531" s="121"/>
      <c r="AF531" s="121"/>
      <c r="AG531" s="121"/>
      <c r="AH531" s="120"/>
    </row>
    <row r="532" spans="1:34" ht="13.2" x14ac:dyDescent="0.25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121"/>
      <c r="AC532" s="121"/>
      <c r="AD532" s="121"/>
      <c r="AE532" s="121"/>
      <c r="AF532" s="121"/>
      <c r="AG532" s="121"/>
      <c r="AH532" s="120"/>
    </row>
    <row r="533" spans="1:34" ht="13.2" x14ac:dyDescent="0.25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121"/>
      <c r="AC533" s="121"/>
      <c r="AD533" s="121"/>
      <c r="AE533" s="121"/>
      <c r="AF533" s="121"/>
      <c r="AG533" s="121"/>
      <c r="AH533" s="120"/>
    </row>
    <row r="534" spans="1:34" ht="13.2" x14ac:dyDescent="0.25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121"/>
      <c r="AC534" s="121"/>
      <c r="AD534" s="121"/>
      <c r="AE534" s="121"/>
      <c r="AF534" s="121"/>
      <c r="AG534" s="121"/>
      <c r="AH534" s="120"/>
    </row>
    <row r="535" spans="1:34" ht="13.2" x14ac:dyDescent="0.2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121"/>
      <c r="AC535" s="121"/>
      <c r="AD535" s="121"/>
      <c r="AE535" s="121"/>
      <c r="AF535" s="121"/>
      <c r="AG535" s="121"/>
      <c r="AH535" s="120"/>
    </row>
    <row r="536" spans="1:34" ht="13.2" x14ac:dyDescent="0.25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121"/>
      <c r="AC536" s="121"/>
      <c r="AD536" s="121"/>
      <c r="AE536" s="121"/>
      <c r="AF536" s="121"/>
      <c r="AG536" s="121"/>
      <c r="AH536" s="120"/>
    </row>
    <row r="537" spans="1:34" ht="13.2" x14ac:dyDescent="0.25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121"/>
      <c r="AC537" s="121"/>
      <c r="AD537" s="121"/>
      <c r="AE537" s="121"/>
      <c r="AF537" s="121"/>
      <c r="AG537" s="121"/>
      <c r="AH537" s="120"/>
    </row>
    <row r="538" spans="1:34" ht="13.2" x14ac:dyDescent="0.25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121"/>
      <c r="AC538" s="121"/>
      <c r="AD538" s="121"/>
      <c r="AE538" s="121"/>
      <c r="AF538" s="121"/>
      <c r="AG538" s="121"/>
      <c r="AH538" s="120"/>
    </row>
    <row r="539" spans="1:34" ht="13.2" x14ac:dyDescent="0.25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121"/>
      <c r="AC539" s="121"/>
      <c r="AD539" s="121"/>
      <c r="AE539" s="121"/>
      <c r="AF539" s="121"/>
      <c r="AG539" s="121"/>
      <c r="AH539" s="120"/>
    </row>
    <row r="540" spans="1:34" ht="13.2" x14ac:dyDescent="0.25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  <c r="AB540" s="121"/>
      <c r="AC540" s="121"/>
      <c r="AD540" s="121"/>
      <c r="AE540" s="121"/>
      <c r="AF540" s="121"/>
      <c r="AG540" s="121"/>
      <c r="AH540" s="120"/>
    </row>
    <row r="541" spans="1:34" ht="13.2" x14ac:dyDescent="0.25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  <c r="AB541" s="121"/>
      <c r="AC541" s="121"/>
      <c r="AD541" s="121"/>
      <c r="AE541" s="121"/>
      <c r="AF541" s="121"/>
      <c r="AG541" s="121"/>
      <c r="AH541" s="120"/>
    </row>
    <row r="542" spans="1:34" ht="13.2" x14ac:dyDescent="0.25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  <c r="AB542" s="121"/>
      <c r="AC542" s="121"/>
      <c r="AD542" s="121"/>
      <c r="AE542" s="121"/>
      <c r="AF542" s="121"/>
      <c r="AG542" s="121"/>
      <c r="AH542" s="120"/>
    </row>
    <row r="543" spans="1:34" ht="13.2" x14ac:dyDescent="0.25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  <c r="AB543" s="121"/>
      <c r="AC543" s="121"/>
      <c r="AD543" s="121"/>
      <c r="AE543" s="121"/>
      <c r="AF543" s="121"/>
      <c r="AG543" s="121"/>
      <c r="AH543" s="120"/>
    </row>
    <row r="544" spans="1:34" ht="13.2" x14ac:dyDescent="0.25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  <c r="AB544" s="121"/>
      <c r="AC544" s="121"/>
      <c r="AD544" s="121"/>
      <c r="AE544" s="121"/>
      <c r="AF544" s="121"/>
      <c r="AG544" s="121"/>
      <c r="AH544" s="120"/>
    </row>
    <row r="545" spans="1:34" ht="13.2" x14ac:dyDescent="0.2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  <c r="AB545" s="121"/>
      <c r="AC545" s="121"/>
      <c r="AD545" s="121"/>
      <c r="AE545" s="121"/>
      <c r="AF545" s="121"/>
      <c r="AG545" s="121"/>
      <c r="AH545" s="120"/>
    </row>
    <row r="546" spans="1:34" ht="13.2" x14ac:dyDescent="0.25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  <c r="AB546" s="121"/>
      <c r="AC546" s="121"/>
      <c r="AD546" s="121"/>
      <c r="AE546" s="121"/>
      <c r="AF546" s="121"/>
      <c r="AG546" s="121"/>
      <c r="AH546" s="120"/>
    </row>
    <row r="547" spans="1:34" ht="13.2" x14ac:dyDescent="0.25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  <c r="AB547" s="121"/>
      <c r="AC547" s="121"/>
      <c r="AD547" s="121"/>
      <c r="AE547" s="121"/>
      <c r="AF547" s="121"/>
      <c r="AG547" s="121"/>
      <c r="AH547" s="120"/>
    </row>
    <row r="548" spans="1:34" ht="13.2" x14ac:dyDescent="0.25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  <c r="AB548" s="121"/>
      <c r="AC548" s="121"/>
      <c r="AD548" s="121"/>
      <c r="AE548" s="121"/>
      <c r="AF548" s="121"/>
      <c r="AG548" s="121"/>
      <c r="AH548" s="120"/>
    </row>
    <row r="549" spans="1:34" ht="13.2" x14ac:dyDescent="0.25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121"/>
      <c r="AC549" s="121"/>
      <c r="AD549" s="121"/>
      <c r="AE549" s="121"/>
      <c r="AF549" s="121"/>
      <c r="AG549" s="121"/>
      <c r="AH549" s="120"/>
    </row>
    <row r="550" spans="1:34" ht="13.2" x14ac:dyDescent="0.25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121"/>
      <c r="AC550" s="121"/>
      <c r="AD550" s="121"/>
      <c r="AE550" s="121"/>
      <c r="AF550" s="121"/>
      <c r="AG550" s="121"/>
      <c r="AH550" s="120"/>
    </row>
    <row r="551" spans="1:34" ht="13.2" x14ac:dyDescent="0.25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121"/>
      <c r="AC551" s="121"/>
      <c r="AD551" s="121"/>
      <c r="AE551" s="121"/>
      <c r="AF551" s="121"/>
      <c r="AG551" s="121"/>
      <c r="AH551" s="120"/>
    </row>
    <row r="552" spans="1:34" ht="13.2" x14ac:dyDescent="0.25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121"/>
      <c r="AC552" s="121"/>
      <c r="AD552" s="121"/>
      <c r="AE552" s="121"/>
      <c r="AF552" s="121"/>
      <c r="AG552" s="121"/>
      <c r="AH552" s="120"/>
    </row>
    <row r="553" spans="1:34" ht="13.2" x14ac:dyDescent="0.25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121"/>
      <c r="AC553" s="121"/>
      <c r="AD553" s="121"/>
      <c r="AE553" s="121"/>
      <c r="AF553" s="121"/>
      <c r="AG553" s="121"/>
      <c r="AH553" s="120"/>
    </row>
    <row r="554" spans="1:34" ht="13.2" x14ac:dyDescent="0.25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121"/>
      <c r="AC554" s="121"/>
      <c r="AD554" s="121"/>
      <c r="AE554" s="121"/>
      <c r="AF554" s="121"/>
      <c r="AG554" s="121"/>
      <c r="AH554" s="120"/>
    </row>
    <row r="555" spans="1:34" ht="13.2" x14ac:dyDescent="0.2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121"/>
      <c r="AC555" s="121"/>
      <c r="AD555" s="121"/>
      <c r="AE555" s="121"/>
      <c r="AF555" s="121"/>
      <c r="AG555" s="121"/>
      <c r="AH555" s="120"/>
    </row>
    <row r="556" spans="1:34" ht="13.2" x14ac:dyDescent="0.25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121"/>
      <c r="AC556" s="121"/>
      <c r="AD556" s="121"/>
      <c r="AE556" s="121"/>
      <c r="AF556" s="121"/>
      <c r="AG556" s="121"/>
      <c r="AH556" s="120"/>
    </row>
    <row r="557" spans="1:34" ht="13.2" x14ac:dyDescent="0.25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121"/>
      <c r="AC557" s="121"/>
      <c r="AD557" s="121"/>
      <c r="AE557" s="121"/>
      <c r="AF557" s="121"/>
      <c r="AG557" s="121"/>
      <c r="AH557" s="120"/>
    </row>
    <row r="558" spans="1:34" ht="13.2" x14ac:dyDescent="0.25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121"/>
      <c r="AC558" s="121"/>
      <c r="AD558" s="121"/>
      <c r="AE558" s="121"/>
      <c r="AF558" s="121"/>
      <c r="AG558" s="121"/>
      <c r="AH558" s="120"/>
    </row>
    <row r="559" spans="1:34" ht="13.2" x14ac:dyDescent="0.25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121"/>
      <c r="AC559" s="121"/>
      <c r="AD559" s="121"/>
      <c r="AE559" s="121"/>
      <c r="AF559" s="121"/>
      <c r="AG559" s="121"/>
      <c r="AH559" s="120"/>
    </row>
    <row r="560" spans="1:34" ht="13.2" x14ac:dyDescent="0.25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  <c r="AB560" s="121"/>
      <c r="AC560" s="121"/>
      <c r="AD560" s="121"/>
      <c r="AE560" s="121"/>
      <c r="AF560" s="121"/>
      <c r="AG560" s="121"/>
      <c r="AH560" s="120"/>
    </row>
    <row r="561" spans="1:34" ht="13.2" x14ac:dyDescent="0.25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  <c r="AB561" s="121"/>
      <c r="AC561" s="121"/>
      <c r="AD561" s="121"/>
      <c r="AE561" s="121"/>
      <c r="AF561" s="121"/>
      <c r="AG561" s="121"/>
      <c r="AH561" s="120"/>
    </row>
    <row r="562" spans="1:34" ht="13.2" x14ac:dyDescent="0.25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  <c r="AB562" s="121"/>
      <c r="AC562" s="121"/>
      <c r="AD562" s="121"/>
      <c r="AE562" s="121"/>
      <c r="AF562" s="121"/>
      <c r="AG562" s="121"/>
      <c r="AH562" s="120"/>
    </row>
    <row r="563" spans="1:34" ht="13.2" x14ac:dyDescent="0.25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  <c r="AB563" s="121"/>
      <c r="AC563" s="121"/>
      <c r="AD563" s="121"/>
      <c r="AE563" s="121"/>
      <c r="AF563" s="121"/>
      <c r="AG563" s="121"/>
      <c r="AH563" s="120"/>
    </row>
    <row r="564" spans="1:34" ht="13.2" x14ac:dyDescent="0.25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  <c r="AB564" s="121"/>
      <c r="AC564" s="121"/>
      <c r="AD564" s="121"/>
      <c r="AE564" s="121"/>
      <c r="AF564" s="121"/>
      <c r="AG564" s="121"/>
      <c r="AH564" s="120"/>
    </row>
    <row r="565" spans="1:34" ht="13.2" x14ac:dyDescent="0.2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  <c r="AB565" s="121"/>
      <c r="AC565" s="121"/>
      <c r="AD565" s="121"/>
      <c r="AE565" s="121"/>
      <c r="AF565" s="121"/>
      <c r="AG565" s="121"/>
      <c r="AH565" s="120"/>
    </row>
    <row r="566" spans="1:34" ht="13.2" x14ac:dyDescent="0.25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  <c r="AB566" s="121"/>
      <c r="AC566" s="121"/>
      <c r="AD566" s="121"/>
      <c r="AE566" s="121"/>
      <c r="AF566" s="121"/>
      <c r="AG566" s="121"/>
      <c r="AH566" s="120"/>
    </row>
    <row r="567" spans="1:34" ht="13.2" x14ac:dyDescent="0.25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  <c r="AB567" s="121"/>
      <c r="AC567" s="121"/>
      <c r="AD567" s="121"/>
      <c r="AE567" s="121"/>
      <c r="AF567" s="121"/>
      <c r="AG567" s="121"/>
      <c r="AH567" s="120"/>
    </row>
    <row r="568" spans="1:34" ht="13.2" x14ac:dyDescent="0.25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  <c r="AB568" s="121"/>
      <c r="AC568" s="121"/>
      <c r="AD568" s="121"/>
      <c r="AE568" s="121"/>
      <c r="AF568" s="121"/>
      <c r="AG568" s="121"/>
      <c r="AH568" s="120"/>
    </row>
    <row r="569" spans="1:34" ht="13.2" x14ac:dyDescent="0.25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  <c r="AB569" s="121"/>
      <c r="AC569" s="121"/>
      <c r="AD569" s="121"/>
      <c r="AE569" s="121"/>
      <c r="AF569" s="121"/>
      <c r="AG569" s="121"/>
      <c r="AH569" s="120"/>
    </row>
    <row r="570" spans="1:34" ht="13.2" x14ac:dyDescent="0.25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  <c r="AB570" s="121"/>
      <c r="AC570" s="121"/>
      <c r="AD570" s="121"/>
      <c r="AE570" s="121"/>
      <c r="AF570" s="121"/>
      <c r="AG570" s="121"/>
      <c r="AH570" s="120"/>
    </row>
    <row r="571" spans="1:34" ht="13.2" x14ac:dyDescent="0.25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  <c r="AB571" s="121"/>
      <c r="AC571" s="121"/>
      <c r="AD571" s="121"/>
      <c r="AE571" s="121"/>
      <c r="AF571" s="121"/>
      <c r="AG571" s="121"/>
      <c r="AH571" s="120"/>
    </row>
    <row r="572" spans="1:34" ht="13.2" x14ac:dyDescent="0.25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  <c r="AB572" s="121"/>
      <c r="AC572" s="121"/>
      <c r="AD572" s="121"/>
      <c r="AE572" s="121"/>
      <c r="AF572" s="121"/>
      <c r="AG572" s="121"/>
      <c r="AH572" s="120"/>
    </row>
    <row r="573" spans="1:34" ht="13.2" x14ac:dyDescent="0.25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  <c r="AB573" s="121"/>
      <c r="AC573" s="121"/>
      <c r="AD573" s="121"/>
      <c r="AE573" s="121"/>
      <c r="AF573" s="121"/>
      <c r="AG573" s="121"/>
      <c r="AH573" s="120"/>
    </row>
    <row r="574" spans="1:34" ht="13.2" x14ac:dyDescent="0.25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  <c r="AB574" s="121"/>
      <c r="AC574" s="121"/>
      <c r="AD574" s="121"/>
      <c r="AE574" s="121"/>
      <c r="AF574" s="121"/>
      <c r="AG574" s="121"/>
      <c r="AH574" s="120"/>
    </row>
    <row r="575" spans="1:34" ht="13.2" x14ac:dyDescent="0.2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  <c r="AB575" s="121"/>
      <c r="AC575" s="121"/>
      <c r="AD575" s="121"/>
      <c r="AE575" s="121"/>
      <c r="AF575" s="121"/>
      <c r="AG575" s="121"/>
      <c r="AH575" s="120"/>
    </row>
    <row r="576" spans="1:34" ht="13.2" x14ac:dyDescent="0.25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  <c r="AB576" s="121"/>
      <c r="AC576" s="121"/>
      <c r="AD576" s="121"/>
      <c r="AE576" s="121"/>
      <c r="AF576" s="121"/>
      <c r="AG576" s="121"/>
      <c r="AH576" s="120"/>
    </row>
    <row r="577" spans="1:34" ht="13.2" x14ac:dyDescent="0.25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  <c r="AB577" s="121"/>
      <c r="AC577" s="121"/>
      <c r="AD577" s="121"/>
      <c r="AE577" s="121"/>
      <c r="AF577" s="121"/>
      <c r="AG577" s="121"/>
      <c r="AH577" s="120"/>
    </row>
    <row r="578" spans="1:34" ht="13.2" x14ac:dyDescent="0.25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  <c r="AB578" s="121"/>
      <c r="AC578" s="121"/>
      <c r="AD578" s="121"/>
      <c r="AE578" s="121"/>
      <c r="AF578" s="121"/>
      <c r="AG578" s="121"/>
      <c r="AH578" s="120"/>
    </row>
    <row r="579" spans="1:34" ht="13.2" x14ac:dyDescent="0.25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  <c r="AB579" s="121"/>
      <c r="AC579" s="121"/>
      <c r="AD579" s="121"/>
      <c r="AE579" s="121"/>
      <c r="AF579" s="121"/>
      <c r="AG579" s="121"/>
      <c r="AH579" s="120"/>
    </row>
    <row r="580" spans="1:34" ht="13.2" x14ac:dyDescent="0.25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  <c r="AB580" s="121"/>
      <c r="AC580" s="121"/>
      <c r="AD580" s="121"/>
      <c r="AE580" s="121"/>
      <c r="AF580" s="121"/>
      <c r="AG580" s="121"/>
      <c r="AH580" s="120"/>
    </row>
    <row r="581" spans="1:34" ht="13.2" x14ac:dyDescent="0.25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  <c r="AB581" s="121"/>
      <c r="AC581" s="121"/>
      <c r="AD581" s="121"/>
      <c r="AE581" s="121"/>
      <c r="AF581" s="121"/>
      <c r="AG581" s="121"/>
      <c r="AH581" s="120"/>
    </row>
    <row r="582" spans="1:34" ht="13.2" x14ac:dyDescent="0.25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  <c r="AB582" s="121"/>
      <c r="AC582" s="121"/>
      <c r="AD582" s="121"/>
      <c r="AE582" s="121"/>
      <c r="AF582" s="121"/>
      <c r="AG582" s="121"/>
      <c r="AH582" s="120"/>
    </row>
    <row r="583" spans="1:34" ht="13.2" x14ac:dyDescent="0.25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  <c r="AB583" s="121"/>
      <c r="AC583" s="121"/>
      <c r="AD583" s="121"/>
      <c r="AE583" s="121"/>
      <c r="AF583" s="121"/>
      <c r="AG583" s="121"/>
      <c r="AH583" s="120"/>
    </row>
    <row r="584" spans="1:34" ht="13.2" x14ac:dyDescent="0.25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  <c r="AB584" s="121"/>
      <c r="AC584" s="121"/>
      <c r="AD584" s="121"/>
      <c r="AE584" s="121"/>
      <c r="AF584" s="121"/>
      <c r="AG584" s="121"/>
      <c r="AH584" s="120"/>
    </row>
    <row r="585" spans="1:34" ht="13.2" x14ac:dyDescent="0.2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  <c r="AB585" s="121"/>
      <c r="AC585" s="121"/>
      <c r="AD585" s="121"/>
      <c r="AE585" s="121"/>
      <c r="AF585" s="121"/>
      <c r="AG585" s="121"/>
      <c r="AH585" s="120"/>
    </row>
    <row r="586" spans="1:34" ht="13.2" x14ac:dyDescent="0.25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  <c r="AB586" s="121"/>
      <c r="AC586" s="121"/>
      <c r="AD586" s="121"/>
      <c r="AE586" s="121"/>
      <c r="AF586" s="121"/>
      <c r="AG586" s="121"/>
      <c r="AH586" s="120"/>
    </row>
    <row r="587" spans="1:34" ht="13.2" x14ac:dyDescent="0.25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  <c r="AB587" s="121"/>
      <c r="AC587" s="121"/>
      <c r="AD587" s="121"/>
      <c r="AE587" s="121"/>
      <c r="AF587" s="121"/>
      <c r="AG587" s="121"/>
      <c r="AH587" s="120"/>
    </row>
    <row r="588" spans="1:34" ht="13.2" x14ac:dyDescent="0.25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  <c r="AB588" s="121"/>
      <c r="AC588" s="121"/>
      <c r="AD588" s="121"/>
      <c r="AE588" s="121"/>
      <c r="AF588" s="121"/>
      <c r="AG588" s="121"/>
      <c r="AH588" s="120"/>
    </row>
    <row r="589" spans="1:34" ht="13.2" x14ac:dyDescent="0.25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  <c r="AB589" s="121"/>
      <c r="AC589" s="121"/>
      <c r="AD589" s="121"/>
      <c r="AE589" s="121"/>
      <c r="AF589" s="121"/>
      <c r="AG589" s="121"/>
      <c r="AH589" s="120"/>
    </row>
    <row r="590" spans="1:34" ht="13.2" x14ac:dyDescent="0.25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  <c r="AB590" s="121"/>
      <c r="AC590" s="121"/>
      <c r="AD590" s="121"/>
      <c r="AE590" s="121"/>
      <c r="AF590" s="121"/>
      <c r="AG590" s="121"/>
      <c r="AH590" s="120"/>
    </row>
    <row r="591" spans="1:34" ht="13.2" x14ac:dyDescent="0.25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  <c r="AB591" s="121"/>
      <c r="AC591" s="121"/>
      <c r="AD591" s="121"/>
      <c r="AE591" s="121"/>
      <c r="AF591" s="121"/>
      <c r="AG591" s="121"/>
      <c r="AH591" s="120"/>
    </row>
    <row r="592" spans="1:34" ht="13.2" x14ac:dyDescent="0.25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  <c r="AB592" s="121"/>
      <c r="AC592" s="121"/>
      <c r="AD592" s="121"/>
      <c r="AE592" s="121"/>
      <c r="AF592" s="121"/>
      <c r="AG592" s="121"/>
      <c r="AH592" s="120"/>
    </row>
    <row r="593" spans="1:34" ht="13.2" x14ac:dyDescent="0.25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121"/>
      <c r="AC593" s="121"/>
      <c r="AD593" s="121"/>
      <c r="AE593" s="121"/>
      <c r="AF593" s="121"/>
      <c r="AG593" s="121"/>
      <c r="AH593" s="120"/>
    </row>
    <row r="594" spans="1:34" ht="13.2" x14ac:dyDescent="0.25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121"/>
      <c r="AC594" s="121"/>
      <c r="AD594" s="121"/>
      <c r="AE594" s="121"/>
      <c r="AF594" s="121"/>
      <c r="AG594" s="121"/>
      <c r="AH594" s="120"/>
    </row>
    <row r="595" spans="1:34" ht="13.2" x14ac:dyDescent="0.2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121"/>
      <c r="AC595" s="121"/>
      <c r="AD595" s="121"/>
      <c r="AE595" s="121"/>
      <c r="AF595" s="121"/>
      <c r="AG595" s="121"/>
      <c r="AH595" s="120"/>
    </row>
    <row r="596" spans="1:34" ht="13.2" x14ac:dyDescent="0.25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121"/>
      <c r="AC596" s="121"/>
      <c r="AD596" s="121"/>
      <c r="AE596" s="121"/>
      <c r="AF596" s="121"/>
      <c r="AG596" s="121"/>
      <c r="AH596" s="120"/>
    </row>
    <row r="597" spans="1:34" ht="13.2" x14ac:dyDescent="0.25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121"/>
      <c r="AC597" s="121"/>
      <c r="AD597" s="121"/>
      <c r="AE597" s="121"/>
      <c r="AF597" s="121"/>
      <c r="AG597" s="121"/>
      <c r="AH597" s="120"/>
    </row>
    <row r="598" spans="1:34" ht="13.2" x14ac:dyDescent="0.25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  <c r="AB598" s="121"/>
      <c r="AC598" s="121"/>
      <c r="AD598" s="121"/>
      <c r="AE598" s="121"/>
      <c r="AF598" s="121"/>
      <c r="AG598" s="121"/>
      <c r="AH598" s="120"/>
    </row>
    <row r="599" spans="1:34" ht="13.2" x14ac:dyDescent="0.25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  <c r="AB599" s="121"/>
      <c r="AC599" s="121"/>
      <c r="AD599" s="121"/>
      <c r="AE599" s="121"/>
      <c r="AF599" s="121"/>
      <c r="AG599" s="121"/>
      <c r="AH599" s="120"/>
    </row>
    <row r="600" spans="1:34" ht="13.2" x14ac:dyDescent="0.25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  <c r="AB600" s="121"/>
      <c r="AC600" s="121"/>
      <c r="AD600" s="121"/>
      <c r="AE600" s="121"/>
      <c r="AF600" s="121"/>
      <c r="AG600" s="121"/>
      <c r="AH600" s="120"/>
    </row>
    <row r="601" spans="1:34" ht="13.2" x14ac:dyDescent="0.25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  <c r="AB601" s="121"/>
      <c r="AC601" s="121"/>
      <c r="AD601" s="121"/>
      <c r="AE601" s="121"/>
      <c r="AF601" s="121"/>
      <c r="AG601" s="121"/>
      <c r="AH601" s="120"/>
    </row>
    <row r="602" spans="1:34" ht="13.2" x14ac:dyDescent="0.25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121"/>
      <c r="AC602" s="121"/>
      <c r="AD602" s="121"/>
      <c r="AE602" s="121"/>
      <c r="AF602" s="121"/>
      <c r="AG602" s="121"/>
      <c r="AH602" s="120"/>
    </row>
    <row r="603" spans="1:34" ht="13.2" x14ac:dyDescent="0.25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121"/>
      <c r="AC603" s="121"/>
      <c r="AD603" s="121"/>
      <c r="AE603" s="121"/>
      <c r="AF603" s="121"/>
      <c r="AG603" s="121"/>
      <c r="AH603" s="120"/>
    </row>
    <row r="604" spans="1:34" ht="13.2" x14ac:dyDescent="0.25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121"/>
      <c r="AC604" s="121"/>
      <c r="AD604" s="121"/>
      <c r="AE604" s="121"/>
      <c r="AF604" s="121"/>
      <c r="AG604" s="121"/>
      <c r="AH604" s="120"/>
    </row>
    <row r="605" spans="1:34" ht="13.2" x14ac:dyDescent="0.2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121"/>
      <c r="AC605" s="121"/>
      <c r="AD605" s="121"/>
      <c r="AE605" s="121"/>
      <c r="AF605" s="121"/>
      <c r="AG605" s="121"/>
      <c r="AH605" s="120"/>
    </row>
    <row r="606" spans="1:34" ht="13.2" x14ac:dyDescent="0.25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121"/>
      <c r="AC606" s="121"/>
      <c r="AD606" s="121"/>
      <c r="AE606" s="121"/>
      <c r="AF606" s="121"/>
      <c r="AG606" s="121"/>
      <c r="AH606" s="120"/>
    </row>
    <row r="607" spans="1:34" ht="13.2" x14ac:dyDescent="0.25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  <c r="AB607" s="121"/>
      <c r="AC607" s="121"/>
      <c r="AD607" s="121"/>
      <c r="AE607" s="121"/>
      <c r="AF607" s="121"/>
      <c r="AG607" s="121"/>
      <c r="AH607" s="120"/>
    </row>
    <row r="608" spans="1:34" ht="13.2" x14ac:dyDescent="0.25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  <c r="AB608" s="121"/>
      <c r="AC608" s="121"/>
      <c r="AD608" s="121"/>
      <c r="AE608" s="121"/>
      <c r="AF608" s="121"/>
      <c r="AG608" s="121"/>
      <c r="AH608" s="120"/>
    </row>
    <row r="609" spans="1:34" ht="13.2" x14ac:dyDescent="0.25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  <c r="AB609" s="121"/>
      <c r="AC609" s="121"/>
      <c r="AD609" s="121"/>
      <c r="AE609" s="121"/>
      <c r="AF609" s="121"/>
      <c r="AG609" s="121"/>
      <c r="AH609" s="120"/>
    </row>
    <row r="610" spans="1:34" ht="13.2" x14ac:dyDescent="0.25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  <c r="AB610" s="121"/>
      <c r="AC610" s="121"/>
      <c r="AD610" s="121"/>
      <c r="AE610" s="121"/>
      <c r="AF610" s="121"/>
      <c r="AG610" s="121"/>
      <c r="AH610" s="120"/>
    </row>
    <row r="611" spans="1:34" ht="13.2" x14ac:dyDescent="0.25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  <c r="AB611" s="121"/>
      <c r="AC611" s="121"/>
      <c r="AD611" s="121"/>
      <c r="AE611" s="121"/>
      <c r="AF611" s="121"/>
      <c r="AG611" s="121"/>
      <c r="AH611" s="120"/>
    </row>
    <row r="612" spans="1:34" ht="13.2" x14ac:dyDescent="0.25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  <c r="AB612" s="121"/>
      <c r="AC612" s="121"/>
      <c r="AD612" s="121"/>
      <c r="AE612" s="121"/>
      <c r="AF612" s="121"/>
      <c r="AG612" s="121"/>
      <c r="AH612" s="120"/>
    </row>
    <row r="613" spans="1:34" ht="13.2" x14ac:dyDescent="0.25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  <c r="AB613" s="121"/>
      <c r="AC613" s="121"/>
      <c r="AD613" s="121"/>
      <c r="AE613" s="121"/>
      <c r="AF613" s="121"/>
      <c r="AG613" s="121"/>
      <c r="AH613" s="120"/>
    </row>
    <row r="614" spans="1:34" ht="13.2" x14ac:dyDescent="0.25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  <c r="AB614" s="121"/>
      <c r="AC614" s="121"/>
      <c r="AD614" s="121"/>
      <c r="AE614" s="121"/>
      <c r="AF614" s="121"/>
      <c r="AG614" s="121"/>
      <c r="AH614" s="120"/>
    </row>
    <row r="615" spans="1:34" ht="13.2" x14ac:dyDescent="0.2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  <c r="AB615" s="121"/>
      <c r="AC615" s="121"/>
      <c r="AD615" s="121"/>
      <c r="AE615" s="121"/>
      <c r="AF615" s="121"/>
      <c r="AG615" s="121"/>
      <c r="AH615" s="120"/>
    </row>
    <row r="616" spans="1:34" ht="13.2" x14ac:dyDescent="0.25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121"/>
      <c r="AC616" s="121"/>
      <c r="AD616" s="121"/>
      <c r="AE616" s="121"/>
      <c r="AF616" s="121"/>
      <c r="AG616" s="121"/>
      <c r="AH616" s="120"/>
    </row>
    <row r="617" spans="1:34" ht="13.2" x14ac:dyDescent="0.25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121"/>
      <c r="AC617" s="121"/>
      <c r="AD617" s="121"/>
      <c r="AE617" s="121"/>
      <c r="AF617" s="121"/>
      <c r="AG617" s="121"/>
      <c r="AH617" s="120"/>
    </row>
    <row r="618" spans="1:34" ht="13.2" x14ac:dyDescent="0.25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121"/>
      <c r="AC618" s="121"/>
      <c r="AD618" s="121"/>
      <c r="AE618" s="121"/>
      <c r="AF618" s="121"/>
      <c r="AG618" s="121"/>
      <c r="AH618" s="120"/>
    </row>
    <row r="619" spans="1:34" ht="13.2" x14ac:dyDescent="0.25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121"/>
      <c r="AC619" s="121"/>
      <c r="AD619" s="121"/>
      <c r="AE619" s="121"/>
      <c r="AF619" s="121"/>
      <c r="AG619" s="121"/>
      <c r="AH619" s="120"/>
    </row>
    <row r="620" spans="1:34" ht="13.2" x14ac:dyDescent="0.25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121"/>
      <c r="AC620" s="121"/>
      <c r="AD620" s="121"/>
      <c r="AE620" s="121"/>
      <c r="AF620" s="121"/>
      <c r="AG620" s="121"/>
      <c r="AH620" s="120"/>
    </row>
    <row r="621" spans="1:34" ht="13.2" x14ac:dyDescent="0.25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121"/>
      <c r="AC621" s="121"/>
      <c r="AD621" s="121"/>
      <c r="AE621" s="121"/>
      <c r="AF621" s="121"/>
      <c r="AG621" s="121"/>
      <c r="AH621" s="120"/>
    </row>
    <row r="622" spans="1:34" ht="13.2" x14ac:dyDescent="0.25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  <c r="AB622" s="121"/>
      <c r="AC622" s="121"/>
      <c r="AD622" s="121"/>
      <c r="AE622" s="121"/>
      <c r="AF622" s="121"/>
      <c r="AG622" s="121"/>
      <c r="AH622" s="120"/>
    </row>
    <row r="623" spans="1:34" ht="13.2" x14ac:dyDescent="0.25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  <c r="AB623" s="121"/>
      <c r="AC623" s="121"/>
      <c r="AD623" s="121"/>
      <c r="AE623" s="121"/>
      <c r="AF623" s="121"/>
      <c r="AG623" s="121"/>
      <c r="AH623" s="120"/>
    </row>
    <row r="624" spans="1:34" ht="13.2" x14ac:dyDescent="0.25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  <c r="AB624" s="121"/>
      <c r="AC624" s="121"/>
      <c r="AD624" s="121"/>
      <c r="AE624" s="121"/>
      <c r="AF624" s="121"/>
      <c r="AG624" s="121"/>
      <c r="AH624" s="120"/>
    </row>
    <row r="625" spans="1:34" ht="13.2" x14ac:dyDescent="0.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  <c r="AB625" s="121"/>
      <c r="AC625" s="121"/>
      <c r="AD625" s="121"/>
      <c r="AE625" s="121"/>
      <c r="AF625" s="121"/>
      <c r="AG625" s="121"/>
      <c r="AH625" s="120"/>
    </row>
    <row r="626" spans="1:34" ht="13.2" x14ac:dyDescent="0.25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121"/>
      <c r="AC626" s="121"/>
      <c r="AD626" s="121"/>
      <c r="AE626" s="121"/>
      <c r="AF626" s="121"/>
      <c r="AG626" s="121"/>
      <c r="AH626" s="120"/>
    </row>
    <row r="627" spans="1:34" ht="13.2" x14ac:dyDescent="0.25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121"/>
      <c r="AC627" s="121"/>
      <c r="AD627" s="121"/>
      <c r="AE627" s="121"/>
      <c r="AF627" s="121"/>
      <c r="AG627" s="121"/>
      <c r="AH627" s="120"/>
    </row>
    <row r="628" spans="1:34" ht="13.2" x14ac:dyDescent="0.25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121"/>
      <c r="AC628" s="121"/>
      <c r="AD628" s="121"/>
      <c r="AE628" s="121"/>
      <c r="AF628" s="121"/>
      <c r="AG628" s="121"/>
      <c r="AH628" s="120"/>
    </row>
    <row r="629" spans="1:34" ht="13.2" x14ac:dyDescent="0.25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121"/>
      <c r="AC629" s="121"/>
      <c r="AD629" s="121"/>
      <c r="AE629" s="121"/>
      <c r="AF629" s="121"/>
      <c r="AG629" s="121"/>
      <c r="AH629" s="120"/>
    </row>
    <row r="630" spans="1:34" ht="13.2" x14ac:dyDescent="0.25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121"/>
      <c r="AC630" s="121"/>
      <c r="AD630" s="121"/>
      <c r="AE630" s="121"/>
      <c r="AF630" s="121"/>
      <c r="AG630" s="121"/>
      <c r="AH630" s="120"/>
    </row>
    <row r="631" spans="1:34" ht="13.2" x14ac:dyDescent="0.25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121"/>
      <c r="AC631" s="121"/>
      <c r="AD631" s="121"/>
      <c r="AE631" s="121"/>
      <c r="AF631" s="121"/>
      <c r="AG631" s="121"/>
      <c r="AH631" s="120"/>
    </row>
    <row r="632" spans="1:34" ht="13.2" x14ac:dyDescent="0.25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121"/>
      <c r="AC632" s="121"/>
      <c r="AD632" s="121"/>
      <c r="AE632" s="121"/>
      <c r="AF632" s="121"/>
      <c r="AG632" s="121"/>
      <c r="AH632" s="120"/>
    </row>
    <row r="633" spans="1:34" ht="13.2" x14ac:dyDescent="0.25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  <c r="AB633" s="121"/>
      <c r="AC633" s="121"/>
      <c r="AD633" s="121"/>
      <c r="AE633" s="121"/>
      <c r="AF633" s="121"/>
      <c r="AG633" s="121"/>
      <c r="AH633" s="120"/>
    </row>
    <row r="634" spans="1:34" ht="13.2" x14ac:dyDescent="0.25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  <c r="AB634" s="121"/>
      <c r="AC634" s="121"/>
      <c r="AD634" s="121"/>
      <c r="AE634" s="121"/>
      <c r="AF634" s="121"/>
      <c r="AG634" s="121"/>
      <c r="AH634" s="120"/>
    </row>
    <row r="635" spans="1:34" ht="13.2" x14ac:dyDescent="0.2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  <c r="AB635" s="121"/>
      <c r="AC635" s="121"/>
      <c r="AD635" s="121"/>
      <c r="AE635" s="121"/>
      <c r="AF635" s="121"/>
      <c r="AG635" s="121"/>
      <c r="AH635" s="120"/>
    </row>
    <row r="636" spans="1:34" ht="13.2" x14ac:dyDescent="0.25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  <c r="AB636" s="121"/>
      <c r="AC636" s="121"/>
      <c r="AD636" s="121"/>
      <c r="AE636" s="121"/>
      <c r="AF636" s="121"/>
      <c r="AG636" s="121"/>
      <c r="AH636" s="120"/>
    </row>
    <row r="637" spans="1:34" ht="13.2" x14ac:dyDescent="0.25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  <c r="AB637" s="121"/>
      <c r="AC637" s="121"/>
      <c r="AD637" s="121"/>
      <c r="AE637" s="121"/>
      <c r="AF637" s="121"/>
      <c r="AG637" s="121"/>
      <c r="AH637" s="120"/>
    </row>
    <row r="638" spans="1:34" ht="13.2" x14ac:dyDescent="0.25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  <c r="AB638" s="121"/>
      <c r="AC638" s="121"/>
      <c r="AD638" s="121"/>
      <c r="AE638" s="121"/>
      <c r="AF638" s="121"/>
      <c r="AG638" s="121"/>
      <c r="AH638" s="120"/>
    </row>
    <row r="639" spans="1:34" ht="13.2" x14ac:dyDescent="0.25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  <c r="AB639" s="121"/>
      <c r="AC639" s="121"/>
      <c r="AD639" s="121"/>
      <c r="AE639" s="121"/>
      <c r="AF639" s="121"/>
      <c r="AG639" s="121"/>
      <c r="AH639" s="120"/>
    </row>
    <row r="640" spans="1:34" ht="13.2" x14ac:dyDescent="0.25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  <c r="AB640" s="121"/>
      <c r="AC640" s="121"/>
      <c r="AD640" s="121"/>
      <c r="AE640" s="121"/>
      <c r="AF640" s="121"/>
      <c r="AG640" s="121"/>
      <c r="AH640" s="120"/>
    </row>
    <row r="641" spans="1:34" ht="13.2" x14ac:dyDescent="0.25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  <c r="AB641" s="121"/>
      <c r="AC641" s="121"/>
      <c r="AD641" s="121"/>
      <c r="AE641" s="121"/>
      <c r="AF641" s="121"/>
      <c r="AG641" s="121"/>
      <c r="AH641" s="120"/>
    </row>
    <row r="642" spans="1:34" ht="13.2" x14ac:dyDescent="0.25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121"/>
      <c r="AC642" s="121"/>
      <c r="AD642" s="121"/>
      <c r="AE642" s="121"/>
      <c r="AF642" s="121"/>
      <c r="AG642" s="121"/>
      <c r="AH642" s="120"/>
    </row>
    <row r="643" spans="1:34" ht="13.2" x14ac:dyDescent="0.25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121"/>
      <c r="AC643" s="121"/>
      <c r="AD643" s="121"/>
      <c r="AE643" s="121"/>
      <c r="AF643" s="121"/>
      <c r="AG643" s="121"/>
      <c r="AH643" s="120"/>
    </row>
    <row r="644" spans="1:34" ht="13.2" x14ac:dyDescent="0.25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121"/>
      <c r="AC644" s="121"/>
      <c r="AD644" s="121"/>
      <c r="AE644" s="121"/>
      <c r="AF644" s="121"/>
      <c r="AG644" s="121"/>
      <c r="AH644" s="120"/>
    </row>
    <row r="645" spans="1:34" ht="13.2" x14ac:dyDescent="0.2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121"/>
      <c r="AC645" s="121"/>
      <c r="AD645" s="121"/>
      <c r="AE645" s="121"/>
      <c r="AF645" s="121"/>
      <c r="AG645" s="121"/>
      <c r="AH645" s="120"/>
    </row>
    <row r="646" spans="1:34" ht="13.2" x14ac:dyDescent="0.25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121"/>
      <c r="AC646" s="121"/>
      <c r="AD646" s="121"/>
      <c r="AE646" s="121"/>
      <c r="AF646" s="121"/>
      <c r="AG646" s="121"/>
      <c r="AH646" s="120"/>
    </row>
    <row r="647" spans="1:34" ht="13.2" x14ac:dyDescent="0.25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121"/>
      <c r="AC647" s="121"/>
      <c r="AD647" s="121"/>
      <c r="AE647" s="121"/>
      <c r="AF647" s="121"/>
      <c r="AG647" s="121"/>
      <c r="AH647" s="120"/>
    </row>
    <row r="648" spans="1:34" ht="13.2" x14ac:dyDescent="0.25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  <c r="AB648" s="121"/>
      <c r="AC648" s="121"/>
      <c r="AD648" s="121"/>
      <c r="AE648" s="121"/>
      <c r="AF648" s="121"/>
      <c r="AG648" s="121"/>
      <c r="AH648" s="120"/>
    </row>
    <row r="649" spans="1:34" ht="13.2" x14ac:dyDescent="0.25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  <c r="AB649" s="121"/>
      <c r="AC649" s="121"/>
      <c r="AD649" s="121"/>
      <c r="AE649" s="121"/>
      <c r="AF649" s="121"/>
      <c r="AG649" s="121"/>
      <c r="AH649" s="120"/>
    </row>
    <row r="650" spans="1:34" ht="13.2" x14ac:dyDescent="0.25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  <c r="AB650" s="121"/>
      <c r="AC650" s="121"/>
      <c r="AD650" s="121"/>
      <c r="AE650" s="121"/>
      <c r="AF650" s="121"/>
      <c r="AG650" s="121"/>
      <c r="AH650" s="120"/>
    </row>
    <row r="651" spans="1:34" ht="13.2" x14ac:dyDescent="0.25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121"/>
      <c r="AC651" s="121"/>
      <c r="AD651" s="121"/>
      <c r="AE651" s="121"/>
      <c r="AF651" s="121"/>
      <c r="AG651" s="121"/>
      <c r="AH651" s="120"/>
    </row>
    <row r="652" spans="1:34" ht="13.2" x14ac:dyDescent="0.25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121"/>
      <c r="AC652" s="121"/>
      <c r="AD652" s="121"/>
      <c r="AE652" s="121"/>
      <c r="AF652" s="121"/>
      <c r="AG652" s="121"/>
      <c r="AH652" s="120"/>
    </row>
    <row r="653" spans="1:34" ht="13.2" x14ac:dyDescent="0.25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121"/>
      <c r="AC653" s="121"/>
      <c r="AD653" s="121"/>
      <c r="AE653" s="121"/>
      <c r="AF653" s="121"/>
      <c r="AG653" s="121"/>
      <c r="AH653" s="120"/>
    </row>
    <row r="654" spans="1:34" ht="13.2" x14ac:dyDescent="0.25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121"/>
      <c r="AC654" s="121"/>
      <c r="AD654" s="121"/>
      <c r="AE654" s="121"/>
      <c r="AF654" s="121"/>
      <c r="AG654" s="121"/>
      <c r="AH654" s="120"/>
    </row>
    <row r="655" spans="1:34" ht="13.2" x14ac:dyDescent="0.2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121"/>
      <c r="AC655" s="121"/>
      <c r="AD655" s="121"/>
      <c r="AE655" s="121"/>
      <c r="AF655" s="121"/>
      <c r="AG655" s="121"/>
      <c r="AH655" s="120"/>
    </row>
    <row r="656" spans="1:34" ht="13.2" x14ac:dyDescent="0.25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  <c r="AB656" s="121"/>
      <c r="AC656" s="121"/>
      <c r="AD656" s="121"/>
      <c r="AE656" s="121"/>
      <c r="AF656" s="121"/>
      <c r="AG656" s="121"/>
      <c r="AH656" s="120"/>
    </row>
    <row r="657" spans="1:34" ht="13.2" x14ac:dyDescent="0.25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  <c r="AB657" s="121"/>
      <c r="AC657" s="121"/>
      <c r="AD657" s="121"/>
      <c r="AE657" s="121"/>
      <c r="AF657" s="121"/>
      <c r="AG657" s="121"/>
      <c r="AH657" s="120"/>
    </row>
    <row r="658" spans="1:34" ht="13.2" x14ac:dyDescent="0.25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  <c r="AB658" s="121"/>
      <c r="AC658" s="121"/>
      <c r="AD658" s="121"/>
      <c r="AE658" s="121"/>
      <c r="AF658" s="121"/>
      <c r="AG658" s="121"/>
      <c r="AH658" s="120"/>
    </row>
    <row r="659" spans="1:34" ht="13.2" x14ac:dyDescent="0.25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  <c r="AB659" s="121"/>
      <c r="AC659" s="121"/>
      <c r="AD659" s="121"/>
      <c r="AE659" s="121"/>
      <c r="AF659" s="121"/>
      <c r="AG659" s="121"/>
      <c r="AH659" s="120"/>
    </row>
    <row r="660" spans="1:34" ht="13.2" x14ac:dyDescent="0.25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  <c r="AB660" s="121"/>
      <c r="AC660" s="121"/>
      <c r="AD660" s="121"/>
      <c r="AE660" s="121"/>
      <c r="AF660" s="121"/>
      <c r="AG660" s="121"/>
      <c r="AH660" s="120"/>
    </row>
    <row r="661" spans="1:34" ht="13.2" x14ac:dyDescent="0.25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  <c r="AB661" s="121"/>
      <c r="AC661" s="121"/>
      <c r="AD661" s="121"/>
      <c r="AE661" s="121"/>
      <c r="AF661" s="121"/>
      <c r="AG661" s="121"/>
      <c r="AH661" s="120"/>
    </row>
    <row r="662" spans="1:34" ht="13.2" x14ac:dyDescent="0.25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  <c r="AB662" s="121"/>
      <c r="AC662" s="121"/>
      <c r="AD662" s="121"/>
      <c r="AE662" s="121"/>
      <c r="AF662" s="121"/>
      <c r="AG662" s="121"/>
      <c r="AH662" s="120"/>
    </row>
    <row r="663" spans="1:34" ht="13.2" x14ac:dyDescent="0.25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  <c r="AB663" s="121"/>
      <c r="AC663" s="121"/>
      <c r="AD663" s="121"/>
      <c r="AE663" s="121"/>
      <c r="AF663" s="121"/>
      <c r="AG663" s="121"/>
      <c r="AH663" s="120"/>
    </row>
    <row r="664" spans="1:34" ht="13.2" x14ac:dyDescent="0.25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121"/>
      <c r="AC664" s="121"/>
      <c r="AD664" s="121"/>
      <c r="AE664" s="121"/>
      <c r="AF664" s="121"/>
      <c r="AG664" s="121"/>
      <c r="AH664" s="120"/>
    </row>
    <row r="665" spans="1:34" ht="13.2" x14ac:dyDescent="0.2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121"/>
      <c r="AC665" s="121"/>
      <c r="AD665" s="121"/>
      <c r="AE665" s="121"/>
      <c r="AF665" s="121"/>
      <c r="AG665" s="121"/>
      <c r="AH665" s="120"/>
    </row>
    <row r="666" spans="1:34" ht="13.2" x14ac:dyDescent="0.25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121"/>
      <c r="AC666" s="121"/>
      <c r="AD666" s="121"/>
      <c r="AE666" s="121"/>
      <c r="AF666" s="121"/>
      <c r="AG666" s="121"/>
      <c r="AH666" s="120"/>
    </row>
    <row r="667" spans="1:34" ht="13.2" x14ac:dyDescent="0.25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121"/>
      <c r="AC667" s="121"/>
      <c r="AD667" s="121"/>
      <c r="AE667" s="121"/>
      <c r="AF667" s="121"/>
      <c r="AG667" s="121"/>
      <c r="AH667" s="120"/>
    </row>
    <row r="668" spans="1:34" ht="13.2" x14ac:dyDescent="0.25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  <c r="AB668" s="121"/>
      <c r="AC668" s="121"/>
      <c r="AD668" s="121"/>
      <c r="AE668" s="121"/>
      <c r="AF668" s="121"/>
      <c r="AG668" s="121"/>
      <c r="AH668" s="120"/>
    </row>
    <row r="669" spans="1:34" ht="13.2" x14ac:dyDescent="0.25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  <c r="AB669" s="121"/>
      <c r="AC669" s="121"/>
      <c r="AD669" s="121"/>
      <c r="AE669" s="121"/>
      <c r="AF669" s="121"/>
      <c r="AG669" s="121"/>
      <c r="AH669" s="120"/>
    </row>
    <row r="670" spans="1:34" ht="13.2" x14ac:dyDescent="0.25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  <c r="AB670" s="121"/>
      <c r="AC670" s="121"/>
      <c r="AD670" s="121"/>
      <c r="AE670" s="121"/>
      <c r="AF670" s="121"/>
      <c r="AG670" s="121"/>
      <c r="AH670" s="120"/>
    </row>
    <row r="671" spans="1:34" ht="13.2" x14ac:dyDescent="0.25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  <c r="AB671" s="121"/>
      <c r="AC671" s="121"/>
      <c r="AD671" s="121"/>
      <c r="AE671" s="121"/>
      <c r="AF671" s="121"/>
      <c r="AG671" s="121"/>
      <c r="AH671" s="120"/>
    </row>
    <row r="672" spans="1:34" ht="13.2" x14ac:dyDescent="0.25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  <c r="AB672" s="121"/>
      <c r="AC672" s="121"/>
      <c r="AD672" s="121"/>
      <c r="AE672" s="121"/>
      <c r="AF672" s="121"/>
      <c r="AG672" s="121"/>
      <c r="AH672" s="120"/>
    </row>
    <row r="673" spans="1:34" ht="13.2" x14ac:dyDescent="0.25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  <c r="AB673" s="121"/>
      <c r="AC673" s="121"/>
      <c r="AD673" s="121"/>
      <c r="AE673" s="121"/>
      <c r="AF673" s="121"/>
      <c r="AG673" s="121"/>
      <c r="AH673" s="120"/>
    </row>
    <row r="674" spans="1:34" ht="13.2" x14ac:dyDescent="0.25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  <c r="AB674" s="121"/>
      <c r="AC674" s="121"/>
      <c r="AD674" s="121"/>
      <c r="AE674" s="121"/>
      <c r="AF674" s="121"/>
      <c r="AG674" s="121"/>
      <c r="AH674" s="120"/>
    </row>
    <row r="675" spans="1:34" ht="13.2" x14ac:dyDescent="0.2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  <c r="AB675" s="121"/>
      <c r="AC675" s="121"/>
      <c r="AD675" s="121"/>
      <c r="AE675" s="121"/>
      <c r="AF675" s="121"/>
      <c r="AG675" s="121"/>
      <c r="AH675" s="120"/>
    </row>
    <row r="676" spans="1:34" ht="13.2" x14ac:dyDescent="0.25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  <c r="AB676" s="121"/>
      <c r="AC676" s="121"/>
      <c r="AD676" s="121"/>
      <c r="AE676" s="121"/>
      <c r="AF676" s="121"/>
      <c r="AG676" s="121"/>
      <c r="AH676" s="120"/>
    </row>
    <row r="677" spans="1:34" ht="13.2" x14ac:dyDescent="0.25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  <c r="AB677" s="121"/>
      <c r="AC677" s="121"/>
      <c r="AD677" s="121"/>
      <c r="AE677" s="121"/>
      <c r="AF677" s="121"/>
      <c r="AG677" s="121"/>
      <c r="AH677" s="120"/>
    </row>
    <row r="678" spans="1:34" ht="13.2" x14ac:dyDescent="0.25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  <c r="AB678" s="121"/>
      <c r="AC678" s="121"/>
      <c r="AD678" s="121"/>
      <c r="AE678" s="121"/>
      <c r="AF678" s="121"/>
      <c r="AG678" s="121"/>
      <c r="AH678" s="120"/>
    </row>
    <row r="679" spans="1:34" ht="13.2" x14ac:dyDescent="0.25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  <c r="AB679" s="121"/>
      <c r="AC679" s="121"/>
      <c r="AD679" s="121"/>
      <c r="AE679" s="121"/>
      <c r="AF679" s="121"/>
      <c r="AG679" s="121"/>
      <c r="AH679" s="120"/>
    </row>
    <row r="680" spans="1:34" ht="13.2" x14ac:dyDescent="0.25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  <c r="AB680" s="121"/>
      <c r="AC680" s="121"/>
      <c r="AD680" s="121"/>
      <c r="AE680" s="121"/>
      <c r="AF680" s="121"/>
      <c r="AG680" s="121"/>
      <c r="AH680" s="120"/>
    </row>
    <row r="681" spans="1:34" ht="13.2" x14ac:dyDescent="0.25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  <c r="AB681" s="121"/>
      <c r="AC681" s="121"/>
      <c r="AD681" s="121"/>
      <c r="AE681" s="121"/>
      <c r="AF681" s="121"/>
      <c r="AG681" s="121"/>
      <c r="AH681" s="120"/>
    </row>
    <row r="682" spans="1:34" ht="13.2" x14ac:dyDescent="0.25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  <c r="AB682" s="121"/>
      <c r="AC682" s="121"/>
      <c r="AD682" s="121"/>
      <c r="AE682" s="121"/>
      <c r="AF682" s="121"/>
      <c r="AG682" s="121"/>
      <c r="AH682" s="120"/>
    </row>
    <row r="683" spans="1:34" ht="13.2" x14ac:dyDescent="0.25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  <c r="AB683" s="121"/>
      <c r="AC683" s="121"/>
      <c r="AD683" s="121"/>
      <c r="AE683" s="121"/>
      <c r="AF683" s="121"/>
      <c r="AG683" s="121"/>
      <c r="AH683" s="120"/>
    </row>
    <row r="684" spans="1:34" ht="13.2" x14ac:dyDescent="0.25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  <c r="AB684" s="121"/>
      <c r="AC684" s="121"/>
      <c r="AD684" s="121"/>
      <c r="AE684" s="121"/>
      <c r="AF684" s="121"/>
      <c r="AG684" s="121"/>
      <c r="AH684" s="120"/>
    </row>
    <row r="685" spans="1:34" ht="13.2" x14ac:dyDescent="0.2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  <c r="AB685" s="121"/>
      <c r="AC685" s="121"/>
      <c r="AD685" s="121"/>
      <c r="AE685" s="121"/>
      <c r="AF685" s="121"/>
      <c r="AG685" s="121"/>
      <c r="AH685" s="120"/>
    </row>
    <row r="686" spans="1:34" ht="13.2" x14ac:dyDescent="0.25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  <c r="AB686" s="121"/>
      <c r="AC686" s="121"/>
      <c r="AD686" s="121"/>
      <c r="AE686" s="121"/>
      <c r="AF686" s="121"/>
      <c r="AG686" s="121"/>
      <c r="AH686" s="120"/>
    </row>
    <row r="687" spans="1:34" ht="13.2" x14ac:dyDescent="0.25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  <c r="AB687" s="121"/>
      <c r="AC687" s="121"/>
      <c r="AD687" s="121"/>
      <c r="AE687" s="121"/>
      <c r="AF687" s="121"/>
      <c r="AG687" s="121"/>
      <c r="AH687" s="120"/>
    </row>
    <row r="688" spans="1:34" ht="13.2" x14ac:dyDescent="0.25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  <c r="AB688" s="121"/>
      <c r="AC688" s="121"/>
      <c r="AD688" s="121"/>
      <c r="AE688" s="121"/>
      <c r="AF688" s="121"/>
      <c r="AG688" s="121"/>
      <c r="AH688" s="120"/>
    </row>
    <row r="689" spans="1:34" ht="13.2" x14ac:dyDescent="0.25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  <c r="AB689" s="121"/>
      <c r="AC689" s="121"/>
      <c r="AD689" s="121"/>
      <c r="AE689" s="121"/>
      <c r="AF689" s="121"/>
      <c r="AG689" s="121"/>
      <c r="AH689" s="120"/>
    </row>
    <row r="690" spans="1:34" ht="13.2" x14ac:dyDescent="0.25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  <c r="AB690" s="121"/>
      <c r="AC690" s="121"/>
      <c r="AD690" s="121"/>
      <c r="AE690" s="121"/>
      <c r="AF690" s="121"/>
      <c r="AG690" s="121"/>
      <c r="AH690" s="120"/>
    </row>
    <row r="691" spans="1:34" ht="13.2" x14ac:dyDescent="0.25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  <c r="AB691" s="121"/>
      <c r="AC691" s="121"/>
      <c r="AD691" s="121"/>
      <c r="AE691" s="121"/>
      <c r="AF691" s="121"/>
      <c r="AG691" s="121"/>
      <c r="AH691" s="120"/>
    </row>
    <row r="692" spans="1:34" ht="13.2" x14ac:dyDescent="0.25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  <c r="AB692" s="121"/>
      <c r="AC692" s="121"/>
      <c r="AD692" s="121"/>
      <c r="AE692" s="121"/>
      <c r="AF692" s="121"/>
      <c r="AG692" s="121"/>
      <c r="AH692" s="120"/>
    </row>
    <row r="693" spans="1:34" ht="13.2" x14ac:dyDescent="0.25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  <c r="AB693" s="121"/>
      <c r="AC693" s="121"/>
      <c r="AD693" s="121"/>
      <c r="AE693" s="121"/>
      <c r="AF693" s="121"/>
      <c r="AG693" s="121"/>
      <c r="AH693" s="120"/>
    </row>
    <row r="694" spans="1:34" ht="13.2" x14ac:dyDescent="0.25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  <c r="AB694" s="121"/>
      <c r="AC694" s="121"/>
      <c r="AD694" s="121"/>
      <c r="AE694" s="121"/>
      <c r="AF694" s="121"/>
      <c r="AG694" s="121"/>
      <c r="AH694" s="120"/>
    </row>
    <row r="695" spans="1:34" ht="13.2" x14ac:dyDescent="0.2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  <c r="AB695" s="121"/>
      <c r="AC695" s="121"/>
      <c r="AD695" s="121"/>
      <c r="AE695" s="121"/>
      <c r="AF695" s="121"/>
      <c r="AG695" s="121"/>
      <c r="AH695" s="120"/>
    </row>
    <row r="696" spans="1:34" ht="13.2" x14ac:dyDescent="0.25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  <c r="AB696" s="121"/>
      <c r="AC696" s="121"/>
      <c r="AD696" s="121"/>
      <c r="AE696" s="121"/>
      <c r="AF696" s="121"/>
      <c r="AG696" s="121"/>
      <c r="AH696" s="120"/>
    </row>
    <row r="697" spans="1:34" ht="13.2" x14ac:dyDescent="0.25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  <c r="AB697" s="121"/>
      <c r="AC697" s="121"/>
      <c r="AD697" s="121"/>
      <c r="AE697" s="121"/>
      <c r="AF697" s="121"/>
      <c r="AG697" s="121"/>
      <c r="AH697" s="120"/>
    </row>
    <row r="698" spans="1:34" ht="13.2" x14ac:dyDescent="0.25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  <c r="AB698" s="121"/>
      <c r="AC698" s="121"/>
      <c r="AD698" s="121"/>
      <c r="AE698" s="121"/>
      <c r="AF698" s="121"/>
      <c r="AG698" s="121"/>
      <c r="AH698" s="120"/>
    </row>
    <row r="699" spans="1:34" ht="13.2" x14ac:dyDescent="0.25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  <c r="AB699" s="121"/>
      <c r="AC699" s="121"/>
      <c r="AD699" s="121"/>
      <c r="AE699" s="121"/>
      <c r="AF699" s="121"/>
      <c r="AG699" s="121"/>
      <c r="AH699" s="120"/>
    </row>
    <row r="700" spans="1:34" ht="13.2" x14ac:dyDescent="0.25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121"/>
      <c r="AC700" s="121"/>
      <c r="AD700" s="121"/>
      <c r="AE700" s="121"/>
      <c r="AF700" s="121"/>
      <c r="AG700" s="121"/>
      <c r="AH700" s="120"/>
    </row>
    <row r="701" spans="1:34" ht="13.2" x14ac:dyDescent="0.25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121"/>
      <c r="AC701" s="121"/>
      <c r="AD701" s="121"/>
      <c r="AE701" s="121"/>
      <c r="AF701" s="121"/>
      <c r="AG701" s="121"/>
      <c r="AH701" s="120"/>
    </row>
    <row r="702" spans="1:34" ht="13.2" x14ac:dyDescent="0.25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121"/>
      <c r="AC702" s="121"/>
      <c r="AD702" s="121"/>
      <c r="AE702" s="121"/>
      <c r="AF702" s="121"/>
      <c r="AG702" s="121"/>
      <c r="AH702" s="120"/>
    </row>
    <row r="703" spans="1:34" ht="13.2" x14ac:dyDescent="0.25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121"/>
      <c r="AC703" s="121"/>
      <c r="AD703" s="121"/>
      <c r="AE703" s="121"/>
      <c r="AF703" s="121"/>
      <c r="AG703" s="121"/>
      <c r="AH703" s="120"/>
    </row>
    <row r="704" spans="1:34" ht="13.2" x14ac:dyDescent="0.25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121"/>
      <c r="AC704" s="121"/>
      <c r="AD704" s="121"/>
      <c r="AE704" s="121"/>
      <c r="AF704" s="121"/>
      <c r="AG704" s="121"/>
      <c r="AH704" s="120"/>
    </row>
    <row r="705" spans="1:34" ht="13.2" x14ac:dyDescent="0.2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121"/>
      <c r="AC705" s="121"/>
      <c r="AD705" s="121"/>
      <c r="AE705" s="121"/>
      <c r="AF705" s="121"/>
      <c r="AG705" s="121"/>
      <c r="AH705" s="120"/>
    </row>
    <row r="706" spans="1:34" ht="13.2" x14ac:dyDescent="0.25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121"/>
      <c r="AC706" s="121"/>
      <c r="AD706" s="121"/>
      <c r="AE706" s="121"/>
      <c r="AF706" s="121"/>
      <c r="AG706" s="121"/>
      <c r="AH706" s="120"/>
    </row>
    <row r="707" spans="1:34" ht="13.2" x14ac:dyDescent="0.25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121"/>
      <c r="AC707" s="121"/>
      <c r="AD707" s="121"/>
      <c r="AE707" s="121"/>
      <c r="AF707" s="121"/>
      <c r="AG707" s="121"/>
      <c r="AH707" s="120"/>
    </row>
    <row r="708" spans="1:34" ht="13.2" x14ac:dyDescent="0.25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121"/>
      <c r="AC708" s="121"/>
      <c r="AD708" s="121"/>
      <c r="AE708" s="121"/>
      <c r="AF708" s="121"/>
      <c r="AG708" s="121"/>
      <c r="AH708" s="120"/>
    </row>
    <row r="709" spans="1:34" ht="13.2" x14ac:dyDescent="0.25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121"/>
      <c r="AC709" s="121"/>
      <c r="AD709" s="121"/>
      <c r="AE709" s="121"/>
      <c r="AF709" s="121"/>
      <c r="AG709" s="121"/>
      <c r="AH709" s="120"/>
    </row>
    <row r="710" spans="1:34" ht="13.2" x14ac:dyDescent="0.25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121"/>
      <c r="AC710" s="121"/>
      <c r="AD710" s="121"/>
      <c r="AE710" s="121"/>
      <c r="AF710" s="121"/>
      <c r="AG710" s="121"/>
      <c r="AH710" s="120"/>
    </row>
    <row r="711" spans="1:34" ht="13.2" x14ac:dyDescent="0.25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  <c r="AB711" s="121"/>
      <c r="AC711" s="121"/>
      <c r="AD711" s="121"/>
      <c r="AE711" s="121"/>
      <c r="AF711" s="121"/>
      <c r="AG711" s="121"/>
      <c r="AH711" s="120"/>
    </row>
    <row r="712" spans="1:34" ht="13.2" x14ac:dyDescent="0.25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  <c r="AB712" s="121"/>
      <c r="AC712" s="121"/>
      <c r="AD712" s="121"/>
      <c r="AE712" s="121"/>
      <c r="AF712" s="121"/>
      <c r="AG712" s="121"/>
      <c r="AH712" s="120"/>
    </row>
    <row r="713" spans="1:34" ht="13.2" x14ac:dyDescent="0.25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  <c r="AB713" s="121"/>
      <c r="AC713" s="121"/>
      <c r="AD713" s="121"/>
      <c r="AE713" s="121"/>
      <c r="AF713" s="121"/>
      <c r="AG713" s="121"/>
      <c r="AH713" s="120"/>
    </row>
    <row r="714" spans="1:34" ht="13.2" x14ac:dyDescent="0.25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  <c r="AB714" s="121"/>
      <c r="AC714" s="121"/>
      <c r="AD714" s="121"/>
      <c r="AE714" s="121"/>
      <c r="AF714" s="121"/>
      <c r="AG714" s="121"/>
      <c r="AH714" s="120"/>
    </row>
    <row r="715" spans="1:34" ht="13.2" x14ac:dyDescent="0.2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  <c r="AB715" s="121"/>
      <c r="AC715" s="121"/>
      <c r="AD715" s="121"/>
      <c r="AE715" s="121"/>
      <c r="AF715" s="121"/>
      <c r="AG715" s="121"/>
      <c r="AH715" s="120"/>
    </row>
    <row r="716" spans="1:34" ht="13.2" x14ac:dyDescent="0.25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  <c r="AB716" s="121"/>
      <c r="AC716" s="121"/>
      <c r="AD716" s="121"/>
      <c r="AE716" s="121"/>
      <c r="AF716" s="121"/>
      <c r="AG716" s="121"/>
      <c r="AH716" s="120"/>
    </row>
    <row r="717" spans="1:34" ht="13.2" x14ac:dyDescent="0.25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  <c r="AB717" s="121"/>
      <c r="AC717" s="121"/>
      <c r="AD717" s="121"/>
      <c r="AE717" s="121"/>
      <c r="AF717" s="121"/>
      <c r="AG717" s="121"/>
      <c r="AH717" s="120"/>
    </row>
    <row r="718" spans="1:34" ht="13.2" x14ac:dyDescent="0.25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  <c r="AB718" s="121"/>
      <c r="AC718" s="121"/>
      <c r="AD718" s="121"/>
      <c r="AE718" s="121"/>
      <c r="AF718" s="121"/>
      <c r="AG718" s="121"/>
      <c r="AH718" s="120"/>
    </row>
    <row r="719" spans="1:34" ht="13.2" x14ac:dyDescent="0.25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  <c r="AB719" s="121"/>
      <c r="AC719" s="121"/>
      <c r="AD719" s="121"/>
      <c r="AE719" s="121"/>
      <c r="AF719" s="121"/>
      <c r="AG719" s="121"/>
      <c r="AH719" s="120"/>
    </row>
    <row r="720" spans="1:34" ht="13.2" x14ac:dyDescent="0.25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121"/>
      <c r="AC720" s="121"/>
      <c r="AD720" s="121"/>
      <c r="AE720" s="121"/>
      <c r="AF720" s="121"/>
      <c r="AG720" s="121"/>
      <c r="AH720" s="120"/>
    </row>
    <row r="721" spans="1:34" ht="13.2" x14ac:dyDescent="0.25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121"/>
      <c r="AC721" s="121"/>
      <c r="AD721" s="121"/>
      <c r="AE721" s="121"/>
      <c r="AF721" s="121"/>
      <c r="AG721" s="121"/>
      <c r="AH721" s="120"/>
    </row>
    <row r="722" spans="1:34" ht="13.2" x14ac:dyDescent="0.25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121"/>
      <c r="AC722" s="121"/>
      <c r="AD722" s="121"/>
      <c r="AE722" s="121"/>
      <c r="AF722" s="121"/>
      <c r="AG722" s="121"/>
      <c r="AH722" s="120"/>
    </row>
    <row r="723" spans="1:34" ht="13.2" x14ac:dyDescent="0.25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121"/>
      <c r="AC723" s="121"/>
      <c r="AD723" s="121"/>
      <c r="AE723" s="121"/>
      <c r="AF723" s="121"/>
      <c r="AG723" s="121"/>
      <c r="AH723" s="120"/>
    </row>
    <row r="724" spans="1:34" ht="13.2" x14ac:dyDescent="0.25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121"/>
      <c r="AC724" s="121"/>
      <c r="AD724" s="121"/>
      <c r="AE724" s="121"/>
      <c r="AF724" s="121"/>
      <c r="AG724" s="121"/>
      <c r="AH724" s="120"/>
    </row>
    <row r="725" spans="1:34" ht="13.2" x14ac:dyDescent="0.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121"/>
      <c r="AC725" s="121"/>
      <c r="AD725" s="121"/>
      <c r="AE725" s="121"/>
      <c r="AF725" s="121"/>
      <c r="AG725" s="121"/>
      <c r="AH725" s="120"/>
    </row>
    <row r="726" spans="1:34" ht="13.2" x14ac:dyDescent="0.25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121"/>
      <c r="AC726" s="121"/>
      <c r="AD726" s="121"/>
      <c r="AE726" s="121"/>
      <c r="AF726" s="121"/>
      <c r="AG726" s="121"/>
      <c r="AH726" s="120"/>
    </row>
    <row r="727" spans="1:34" ht="13.2" x14ac:dyDescent="0.25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121"/>
      <c r="AC727" s="121"/>
      <c r="AD727" s="121"/>
      <c r="AE727" s="121"/>
      <c r="AF727" s="121"/>
      <c r="AG727" s="121"/>
      <c r="AH727" s="120"/>
    </row>
    <row r="728" spans="1:34" ht="13.2" x14ac:dyDescent="0.25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121"/>
      <c r="AC728" s="121"/>
      <c r="AD728" s="121"/>
      <c r="AE728" s="121"/>
      <c r="AF728" s="121"/>
      <c r="AG728" s="121"/>
      <c r="AH728" s="120"/>
    </row>
    <row r="729" spans="1:34" ht="13.2" x14ac:dyDescent="0.25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121"/>
      <c r="AC729" s="121"/>
      <c r="AD729" s="121"/>
      <c r="AE729" s="121"/>
      <c r="AF729" s="121"/>
      <c r="AG729" s="121"/>
      <c r="AH729" s="120"/>
    </row>
    <row r="730" spans="1:34" ht="13.2" x14ac:dyDescent="0.25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121"/>
      <c r="AC730" s="121"/>
      <c r="AD730" s="121"/>
      <c r="AE730" s="121"/>
      <c r="AF730" s="121"/>
      <c r="AG730" s="121"/>
      <c r="AH730" s="120"/>
    </row>
    <row r="731" spans="1:34" ht="13.2" x14ac:dyDescent="0.25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  <c r="AB731" s="121"/>
      <c r="AC731" s="121"/>
      <c r="AD731" s="121"/>
      <c r="AE731" s="121"/>
      <c r="AF731" s="121"/>
      <c r="AG731" s="121"/>
      <c r="AH731" s="120"/>
    </row>
    <row r="732" spans="1:34" ht="13.2" x14ac:dyDescent="0.25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  <c r="AB732" s="121"/>
      <c r="AC732" s="121"/>
      <c r="AD732" s="121"/>
      <c r="AE732" s="121"/>
      <c r="AF732" s="121"/>
      <c r="AG732" s="121"/>
      <c r="AH732" s="120"/>
    </row>
    <row r="733" spans="1:34" ht="13.2" x14ac:dyDescent="0.25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  <c r="AB733" s="121"/>
      <c r="AC733" s="121"/>
      <c r="AD733" s="121"/>
      <c r="AE733" s="121"/>
      <c r="AF733" s="121"/>
      <c r="AG733" s="121"/>
      <c r="AH733" s="120"/>
    </row>
    <row r="734" spans="1:34" ht="13.2" x14ac:dyDescent="0.25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  <c r="AB734" s="121"/>
      <c r="AC734" s="121"/>
      <c r="AD734" s="121"/>
      <c r="AE734" s="121"/>
      <c r="AF734" s="121"/>
      <c r="AG734" s="121"/>
      <c r="AH734" s="120"/>
    </row>
    <row r="735" spans="1:34" ht="13.2" x14ac:dyDescent="0.2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  <c r="AB735" s="121"/>
      <c r="AC735" s="121"/>
      <c r="AD735" s="121"/>
      <c r="AE735" s="121"/>
      <c r="AF735" s="121"/>
      <c r="AG735" s="121"/>
      <c r="AH735" s="120"/>
    </row>
    <row r="736" spans="1:34" ht="13.2" x14ac:dyDescent="0.25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  <c r="AB736" s="121"/>
      <c r="AC736" s="121"/>
      <c r="AD736" s="121"/>
      <c r="AE736" s="121"/>
      <c r="AF736" s="121"/>
      <c r="AG736" s="121"/>
      <c r="AH736" s="120"/>
    </row>
    <row r="737" spans="1:34" ht="13.2" x14ac:dyDescent="0.25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  <c r="AB737" s="121"/>
      <c r="AC737" s="121"/>
      <c r="AD737" s="121"/>
      <c r="AE737" s="121"/>
      <c r="AF737" s="121"/>
      <c r="AG737" s="121"/>
      <c r="AH737" s="120"/>
    </row>
    <row r="738" spans="1:34" ht="13.2" x14ac:dyDescent="0.25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  <c r="AB738" s="121"/>
      <c r="AC738" s="121"/>
      <c r="AD738" s="121"/>
      <c r="AE738" s="121"/>
      <c r="AF738" s="121"/>
      <c r="AG738" s="121"/>
      <c r="AH738" s="120"/>
    </row>
    <row r="739" spans="1:34" ht="13.2" x14ac:dyDescent="0.25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  <c r="AB739" s="121"/>
      <c r="AC739" s="121"/>
      <c r="AD739" s="121"/>
      <c r="AE739" s="121"/>
      <c r="AF739" s="121"/>
      <c r="AG739" s="121"/>
      <c r="AH739" s="120"/>
    </row>
    <row r="740" spans="1:34" ht="13.2" x14ac:dyDescent="0.25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  <c r="AB740" s="121"/>
      <c r="AC740" s="121"/>
      <c r="AD740" s="121"/>
      <c r="AE740" s="121"/>
      <c r="AF740" s="121"/>
      <c r="AG740" s="121"/>
      <c r="AH740" s="120"/>
    </row>
    <row r="741" spans="1:34" ht="13.2" x14ac:dyDescent="0.25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  <c r="AB741" s="121"/>
      <c r="AC741" s="121"/>
      <c r="AD741" s="121"/>
      <c r="AE741" s="121"/>
      <c r="AF741" s="121"/>
      <c r="AG741" s="121"/>
      <c r="AH741" s="120"/>
    </row>
    <row r="742" spans="1:34" ht="13.2" x14ac:dyDescent="0.25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  <c r="AB742" s="121"/>
      <c r="AC742" s="121"/>
      <c r="AD742" s="121"/>
      <c r="AE742" s="121"/>
      <c r="AF742" s="121"/>
      <c r="AG742" s="121"/>
      <c r="AH742" s="120"/>
    </row>
    <row r="743" spans="1:34" ht="13.2" x14ac:dyDescent="0.25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  <c r="AB743" s="121"/>
      <c r="AC743" s="121"/>
      <c r="AD743" s="121"/>
      <c r="AE743" s="121"/>
      <c r="AF743" s="121"/>
      <c r="AG743" s="121"/>
      <c r="AH743" s="120"/>
    </row>
    <row r="744" spans="1:34" ht="13.2" x14ac:dyDescent="0.25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  <c r="AB744" s="121"/>
      <c r="AC744" s="121"/>
      <c r="AD744" s="121"/>
      <c r="AE744" s="121"/>
      <c r="AF744" s="121"/>
      <c r="AG744" s="121"/>
      <c r="AH744" s="120"/>
    </row>
    <row r="745" spans="1:34" ht="13.2" x14ac:dyDescent="0.2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  <c r="AB745" s="121"/>
      <c r="AC745" s="121"/>
      <c r="AD745" s="121"/>
      <c r="AE745" s="121"/>
      <c r="AF745" s="121"/>
      <c r="AG745" s="121"/>
      <c r="AH745" s="120"/>
    </row>
    <row r="746" spans="1:34" ht="13.2" x14ac:dyDescent="0.25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  <c r="AB746" s="121"/>
      <c r="AC746" s="121"/>
      <c r="AD746" s="121"/>
      <c r="AE746" s="121"/>
      <c r="AF746" s="121"/>
      <c r="AG746" s="121"/>
      <c r="AH746" s="120"/>
    </row>
    <row r="747" spans="1:34" ht="13.2" x14ac:dyDescent="0.25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  <c r="AB747" s="121"/>
      <c r="AC747" s="121"/>
      <c r="AD747" s="121"/>
      <c r="AE747" s="121"/>
      <c r="AF747" s="121"/>
      <c r="AG747" s="121"/>
      <c r="AH747" s="120"/>
    </row>
    <row r="748" spans="1:34" ht="13.2" x14ac:dyDescent="0.25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  <c r="AB748" s="121"/>
      <c r="AC748" s="121"/>
      <c r="AD748" s="121"/>
      <c r="AE748" s="121"/>
      <c r="AF748" s="121"/>
      <c r="AG748" s="121"/>
      <c r="AH748" s="120"/>
    </row>
    <row r="749" spans="1:34" ht="13.2" x14ac:dyDescent="0.25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  <c r="AB749" s="121"/>
      <c r="AC749" s="121"/>
      <c r="AD749" s="121"/>
      <c r="AE749" s="121"/>
      <c r="AF749" s="121"/>
      <c r="AG749" s="121"/>
      <c r="AH749" s="120"/>
    </row>
    <row r="750" spans="1:34" ht="13.2" x14ac:dyDescent="0.25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  <c r="AB750" s="121"/>
      <c r="AC750" s="121"/>
      <c r="AD750" s="121"/>
      <c r="AE750" s="121"/>
      <c r="AF750" s="121"/>
      <c r="AG750" s="121"/>
      <c r="AH750" s="120"/>
    </row>
    <row r="751" spans="1:34" ht="13.2" x14ac:dyDescent="0.25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  <c r="AB751" s="121"/>
      <c r="AC751" s="121"/>
      <c r="AD751" s="121"/>
      <c r="AE751" s="121"/>
      <c r="AF751" s="121"/>
      <c r="AG751" s="121"/>
      <c r="AH751" s="120"/>
    </row>
    <row r="752" spans="1:34" ht="13.2" x14ac:dyDescent="0.25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  <c r="AB752" s="121"/>
      <c r="AC752" s="121"/>
      <c r="AD752" s="121"/>
      <c r="AE752" s="121"/>
      <c r="AF752" s="121"/>
      <c r="AG752" s="121"/>
      <c r="AH752" s="120"/>
    </row>
    <row r="753" spans="1:34" ht="13.2" x14ac:dyDescent="0.25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  <c r="AB753" s="121"/>
      <c r="AC753" s="121"/>
      <c r="AD753" s="121"/>
      <c r="AE753" s="121"/>
      <c r="AF753" s="121"/>
      <c r="AG753" s="121"/>
      <c r="AH753" s="120"/>
    </row>
    <row r="754" spans="1:34" ht="13.2" x14ac:dyDescent="0.25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  <c r="AB754" s="121"/>
      <c r="AC754" s="121"/>
      <c r="AD754" s="121"/>
      <c r="AE754" s="121"/>
      <c r="AF754" s="121"/>
      <c r="AG754" s="121"/>
      <c r="AH754" s="120"/>
    </row>
    <row r="755" spans="1:34" ht="13.2" x14ac:dyDescent="0.2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  <c r="AB755" s="121"/>
      <c r="AC755" s="121"/>
      <c r="AD755" s="121"/>
      <c r="AE755" s="121"/>
      <c r="AF755" s="121"/>
      <c r="AG755" s="121"/>
      <c r="AH755" s="120"/>
    </row>
    <row r="756" spans="1:34" ht="13.2" x14ac:dyDescent="0.25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  <c r="AB756" s="121"/>
      <c r="AC756" s="121"/>
      <c r="AD756" s="121"/>
      <c r="AE756" s="121"/>
      <c r="AF756" s="121"/>
      <c r="AG756" s="121"/>
      <c r="AH756" s="120"/>
    </row>
    <row r="757" spans="1:34" ht="13.2" x14ac:dyDescent="0.25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  <c r="AB757" s="121"/>
      <c r="AC757" s="121"/>
      <c r="AD757" s="121"/>
      <c r="AE757" s="121"/>
      <c r="AF757" s="121"/>
      <c r="AG757" s="121"/>
      <c r="AH757" s="120"/>
    </row>
    <row r="758" spans="1:34" ht="13.2" x14ac:dyDescent="0.25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  <c r="AB758" s="121"/>
      <c r="AC758" s="121"/>
      <c r="AD758" s="121"/>
      <c r="AE758" s="121"/>
      <c r="AF758" s="121"/>
      <c r="AG758" s="121"/>
      <c r="AH758" s="120"/>
    </row>
    <row r="759" spans="1:34" ht="13.2" x14ac:dyDescent="0.25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  <c r="AB759" s="121"/>
      <c r="AC759" s="121"/>
      <c r="AD759" s="121"/>
      <c r="AE759" s="121"/>
      <c r="AF759" s="121"/>
      <c r="AG759" s="121"/>
      <c r="AH759" s="120"/>
    </row>
    <row r="760" spans="1:34" ht="13.2" x14ac:dyDescent="0.25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  <c r="AB760" s="121"/>
      <c r="AC760" s="121"/>
      <c r="AD760" s="121"/>
      <c r="AE760" s="121"/>
      <c r="AF760" s="121"/>
      <c r="AG760" s="121"/>
      <c r="AH760" s="120"/>
    </row>
    <row r="761" spans="1:34" ht="13.2" x14ac:dyDescent="0.25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  <c r="AB761" s="121"/>
      <c r="AC761" s="121"/>
      <c r="AD761" s="121"/>
      <c r="AE761" s="121"/>
      <c r="AF761" s="121"/>
      <c r="AG761" s="121"/>
      <c r="AH761" s="120"/>
    </row>
    <row r="762" spans="1:34" ht="13.2" x14ac:dyDescent="0.25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  <c r="AB762" s="121"/>
      <c r="AC762" s="121"/>
      <c r="AD762" s="121"/>
      <c r="AE762" s="121"/>
      <c r="AF762" s="121"/>
      <c r="AG762" s="121"/>
      <c r="AH762" s="120"/>
    </row>
    <row r="763" spans="1:34" ht="13.2" x14ac:dyDescent="0.25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  <c r="AB763" s="121"/>
      <c r="AC763" s="121"/>
      <c r="AD763" s="121"/>
      <c r="AE763" s="121"/>
      <c r="AF763" s="121"/>
      <c r="AG763" s="121"/>
      <c r="AH763" s="120"/>
    </row>
    <row r="764" spans="1:34" ht="13.2" x14ac:dyDescent="0.25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121"/>
      <c r="AC764" s="121"/>
      <c r="AD764" s="121"/>
      <c r="AE764" s="121"/>
      <c r="AF764" s="121"/>
      <c r="AG764" s="121"/>
      <c r="AH764" s="120"/>
    </row>
    <row r="765" spans="1:34" ht="13.2" x14ac:dyDescent="0.2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121"/>
      <c r="AC765" s="121"/>
      <c r="AD765" s="121"/>
      <c r="AE765" s="121"/>
      <c r="AF765" s="121"/>
      <c r="AG765" s="121"/>
      <c r="AH765" s="120"/>
    </row>
    <row r="766" spans="1:34" ht="13.2" x14ac:dyDescent="0.25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121"/>
      <c r="AC766" s="121"/>
      <c r="AD766" s="121"/>
      <c r="AE766" s="121"/>
      <c r="AF766" s="121"/>
      <c r="AG766" s="121"/>
      <c r="AH766" s="120"/>
    </row>
    <row r="767" spans="1:34" ht="13.2" x14ac:dyDescent="0.25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121"/>
      <c r="AC767" s="121"/>
      <c r="AD767" s="121"/>
      <c r="AE767" s="121"/>
      <c r="AF767" s="121"/>
      <c r="AG767" s="121"/>
      <c r="AH767" s="120"/>
    </row>
    <row r="768" spans="1:34" ht="13.2" x14ac:dyDescent="0.25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121"/>
      <c r="AC768" s="121"/>
      <c r="AD768" s="121"/>
      <c r="AE768" s="121"/>
      <c r="AF768" s="121"/>
      <c r="AG768" s="121"/>
      <c r="AH768" s="120"/>
    </row>
    <row r="769" spans="1:34" ht="13.2" x14ac:dyDescent="0.25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  <c r="AB769" s="121"/>
      <c r="AC769" s="121"/>
      <c r="AD769" s="121"/>
      <c r="AE769" s="121"/>
      <c r="AF769" s="121"/>
      <c r="AG769" s="121"/>
      <c r="AH769" s="120"/>
    </row>
    <row r="770" spans="1:34" ht="13.2" x14ac:dyDescent="0.25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  <c r="AB770" s="121"/>
      <c r="AC770" s="121"/>
      <c r="AD770" s="121"/>
      <c r="AE770" s="121"/>
      <c r="AF770" s="121"/>
      <c r="AG770" s="121"/>
      <c r="AH770" s="120"/>
    </row>
    <row r="771" spans="1:34" ht="13.2" x14ac:dyDescent="0.25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  <c r="AB771" s="121"/>
      <c r="AC771" s="121"/>
      <c r="AD771" s="121"/>
      <c r="AE771" s="121"/>
      <c r="AF771" s="121"/>
      <c r="AG771" s="121"/>
      <c r="AH771" s="120"/>
    </row>
    <row r="772" spans="1:34" ht="13.2" x14ac:dyDescent="0.25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  <c r="AB772" s="121"/>
      <c r="AC772" s="121"/>
      <c r="AD772" s="121"/>
      <c r="AE772" s="121"/>
      <c r="AF772" s="121"/>
      <c r="AG772" s="121"/>
      <c r="AH772" s="120"/>
    </row>
    <row r="773" spans="1:34" ht="13.2" x14ac:dyDescent="0.25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121"/>
      <c r="AC773" s="121"/>
      <c r="AD773" s="121"/>
      <c r="AE773" s="121"/>
      <c r="AF773" s="121"/>
      <c r="AG773" s="121"/>
      <c r="AH773" s="120"/>
    </row>
    <row r="774" spans="1:34" ht="13.2" x14ac:dyDescent="0.25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121"/>
      <c r="AC774" s="121"/>
      <c r="AD774" s="121"/>
      <c r="AE774" s="121"/>
      <c r="AF774" s="121"/>
      <c r="AG774" s="121"/>
      <c r="AH774" s="120"/>
    </row>
    <row r="775" spans="1:34" ht="13.2" x14ac:dyDescent="0.2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121"/>
      <c r="AC775" s="121"/>
      <c r="AD775" s="121"/>
      <c r="AE775" s="121"/>
      <c r="AF775" s="121"/>
      <c r="AG775" s="121"/>
      <c r="AH775" s="120"/>
    </row>
    <row r="776" spans="1:34" ht="13.2" x14ac:dyDescent="0.25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121"/>
      <c r="AC776" s="121"/>
      <c r="AD776" s="121"/>
      <c r="AE776" s="121"/>
      <c r="AF776" s="121"/>
      <c r="AG776" s="121"/>
      <c r="AH776" s="120"/>
    </row>
    <row r="777" spans="1:34" ht="13.2" x14ac:dyDescent="0.25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121"/>
      <c r="AC777" s="121"/>
      <c r="AD777" s="121"/>
      <c r="AE777" s="121"/>
      <c r="AF777" s="121"/>
      <c r="AG777" s="121"/>
      <c r="AH777" s="120"/>
    </row>
    <row r="778" spans="1:34" ht="13.2" x14ac:dyDescent="0.25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  <c r="AB778" s="121"/>
      <c r="AC778" s="121"/>
      <c r="AD778" s="121"/>
      <c r="AE778" s="121"/>
      <c r="AF778" s="121"/>
      <c r="AG778" s="121"/>
      <c r="AH778" s="120"/>
    </row>
    <row r="779" spans="1:34" ht="13.2" x14ac:dyDescent="0.25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  <c r="AB779" s="121"/>
      <c r="AC779" s="121"/>
      <c r="AD779" s="121"/>
      <c r="AE779" s="121"/>
      <c r="AF779" s="121"/>
      <c r="AG779" s="121"/>
      <c r="AH779" s="120"/>
    </row>
    <row r="780" spans="1:34" ht="13.2" x14ac:dyDescent="0.25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  <c r="AB780" s="121"/>
      <c r="AC780" s="121"/>
      <c r="AD780" s="121"/>
      <c r="AE780" s="121"/>
      <c r="AF780" s="121"/>
      <c r="AG780" s="121"/>
      <c r="AH780" s="120"/>
    </row>
    <row r="781" spans="1:34" ht="13.2" x14ac:dyDescent="0.25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  <c r="AB781" s="121"/>
      <c r="AC781" s="121"/>
      <c r="AD781" s="121"/>
      <c r="AE781" s="121"/>
      <c r="AF781" s="121"/>
      <c r="AG781" s="121"/>
      <c r="AH781" s="120"/>
    </row>
    <row r="782" spans="1:34" ht="13.2" x14ac:dyDescent="0.25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  <c r="AB782" s="121"/>
      <c r="AC782" s="121"/>
      <c r="AD782" s="121"/>
      <c r="AE782" s="121"/>
      <c r="AF782" s="121"/>
      <c r="AG782" s="121"/>
      <c r="AH782" s="120"/>
    </row>
    <row r="783" spans="1:34" ht="13.2" x14ac:dyDescent="0.25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  <c r="AB783" s="121"/>
      <c r="AC783" s="121"/>
      <c r="AD783" s="121"/>
      <c r="AE783" s="121"/>
      <c r="AF783" s="121"/>
      <c r="AG783" s="121"/>
      <c r="AH783" s="120"/>
    </row>
    <row r="784" spans="1:34" ht="13.2" x14ac:dyDescent="0.25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  <c r="AB784" s="121"/>
      <c r="AC784" s="121"/>
      <c r="AD784" s="121"/>
      <c r="AE784" s="121"/>
      <c r="AF784" s="121"/>
      <c r="AG784" s="121"/>
      <c r="AH784" s="120"/>
    </row>
    <row r="785" spans="1:34" ht="13.2" x14ac:dyDescent="0.2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  <c r="AB785" s="121"/>
      <c r="AC785" s="121"/>
      <c r="AD785" s="121"/>
      <c r="AE785" s="121"/>
      <c r="AF785" s="121"/>
      <c r="AG785" s="121"/>
      <c r="AH785" s="120"/>
    </row>
    <row r="786" spans="1:34" ht="13.2" x14ac:dyDescent="0.25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  <c r="AB786" s="121"/>
      <c r="AC786" s="121"/>
      <c r="AD786" s="121"/>
      <c r="AE786" s="121"/>
      <c r="AF786" s="121"/>
      <c r="AG786" s="121"/>
      <c r="AH786" s="120"/>
    </row>
    <row r="787" spans="1:34" ht="13.2" x14ac:dyDescent="0.25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121"/>
      <c r="AC787" s="121"/>
      <c r="AD787" s="121"/>
      <c r="AE787" s="121"/>
      <c r="AF787" s="121"/>
      <c r="AG787" s="121"/>
      <c r="AH787" s="120"/>
    </row>
    <row r="788" spans="1:34" ht="13.2" x14ac:dyDescent="0.25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121"/>
      <c r="AC788" s="121"/>
      <c r="AD788" s="121"/>
      <c r="AE788" s="121"/>
      <c r="AF788" s="121"/>
      <c r="AG788" s="121"/>
      <c r="AH788" s="120"/>
    </row>
    <row r="789" spans="1:34" ht="13.2" x14ac:dyDescent="0.25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121"/>
      <c r="AC789" s="121"/>
      <c r="AD789" s="121"/>
      <c r="AE789" s="121"/>
      <c r="AF789" s="121"/>
      <c r="AG789" s="121"/>
      <c r="AH789" s="120"/>
    </row>
    <row r="790" spans="1:34" ht="13.2" x14ac:dyDescent="0.25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121"/>
      <c r="AC790" s="121"/>
      <c r="AD790" s="121"/>
      <c r="AE790" s="121"/>
      <c r="AF790" s="121"/>
      <c r="AG790" s="121"/>
      <c r="AH790" s="120"/>
    </row>
    <row r="791" spans="1:34" ht="13.2" x14ac:dyDescent="0.25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121"/>
      <c r="AC791" s="121"/>
      <c r="AD791" s="121"/>
      <c r="AE791" s="121"/>
      <c r="AF791" s="121"/>
      <c r="AG791" s="121"/>
      <c r="AH791" s="120"/>
    </row>
    <row r="792" spans="1:34" ht="13.2" x14ac:dyDescent="0.25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121"/>
      <c r="AC792" s="121"/>
      <c r="AD792" s="121"/>
      <c r="AE792" s="121"/>
      <c r="AF792" s="121"/>
      <c r="AG792" s="121"/>
      <c r="AH792" s="120"/>
    </row>
    <row r="793" spans="1:34" ht="13.2" x14ac:dyDescent="0.25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  <c r="AB793" s="121"/>
      <c r="AC793" s="121"/>
      <c r="AD793" s="121"/>
      <c r="AE793" s="121"/>
      <c r="AF793" s="121"/>
      <c r="AG793" s="121"/>
      <c r="AH793" s="120"/>
    </row>
    <row r="794" spans="1:34" ht="13.2" x14ac:dyDescent="0.25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  <c r="AB794" s="121"/>
      <c r="AC794" s="121"/>
      <c r="AD794" s="121"/>
      <c r="AE794" s="121"/>
      <c r="AF794" s="121"/>
      <c r="AG794" s="121"/>
      <c r="AH794" s="120"/>
    </row>
    <row r="795" spans="1:34" ht="13.2" x14ac:dyDescent="0.2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  <c r="AB795" s="121"/>
      <c r="AC795" s="121"/>
      <c r="AD795" s="121"/>
      <c r="AE795" s="121"/>
      <c r="AF795" s="121"/>
      <c r="AG795" s="121"/>
      <c r="AH795" s="120"/>
    </row>
    <row r="796" spans="1:34" ht="13.2" x14ac:dyDescent="0.25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  <c r="AB796" s="121"/>
      <c r="AC796" s="121"/>
      <c r="AD796" s="121"/>
      <c r="AE796" s="121"/>
      <c r="AF796" s="121"/>
      <c r="AG796" s="121"/>
      <c r="AH796" s="120"/>
    </row>
    <row r="797" spans="1:34" ht="13.2" x14ac:dyDescent="0.25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121"/>
      <c r="AC797" s="121"/>
      <c r="AD797" s="121"/>
      <c r="AE797" s="121"/>
      <c r="AF797" s="121"/>
      <c r="AG797" s="121"/>
      <c r="AH797" s="120"/>
    </row>
    <row r="798" spans="1:34" ht="13.2" x14ac:dyDescent="0.25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121"/>
      <c r="AC798" s="121"/>
      <c r="AD798" s="121"/>
      <c r="AE798" s="121"/>
      <c r="AF798" s="121"/>
      <c r="AG798" s="121"/>
      <c r="AH798" s="120"/>
    </row>
    <row r="799" spans="1:34" ht="13.2" x14ac:dyDescent="0.25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121"/>
      <c r="AC799" s="121"/>
      <c r="AD799" s="121"/>
      <c r="AE799" s="121"/>
      <c r="AF799" s="121"/>
      <c r="AG799" s="121"/>
      <c r="AH799" s="120"/>
    </row>
    <row r="800" spans="1:34" ht="13.2" x14ac:dyDescent="0.25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121"/>
      <c r="AC800" s="121"/>
      <c r="AD800" s="121"/>
      <c r="AE800" s="121"/>
      <c r="AF800" s="121"/>
      <c r="AG800" s="121"/>
      <c r="AH800" s="120"/>
    </row>
    <row r="801" spans="1:34" ht="13.2" x14ac:dyDescent="0.25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121"/>
      <c r="AC801" s="121"/>
      <c r="AD801" s="121"/>
      <c r="AE801" s="121"/>
      <c r="AF801" s="121"/>
      <c r="AG801" s="121"/>
      <c r="AH801" s="120"/>
    </row>
    <row r="802" spans="1:34" ht="13.2" x14ac:dyDescent="0.25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121"/>
      <c r="AC802" s="121"/>
      <c r="AD802" s="121"/>
      <c r="AE802" s="121"/>
      <c r="AF802" s="121"/>
      <c r="AG802" s="121"/>
      <c r="AH802" s="120"/>
    </row>
    <row r="803" spans="1:34" ht="13.2" x14ac:dyDescent="0.25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121"/>
      <c r="AC803" s="121"/>
      <c r="AD803" s="121"/>
      <c r="AE803" s="121"/>
      <c r="AF803" s="121"/>
      <c r="AG803" s="121"/>
      <c r="AH803" s="120"/>
    </row>
    <row r="804" spans="1:34" ht="13.2" x14ac:dyDescent="0.25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  <c r="AB804" s="121"/>
      <c r="AC804" s="121"/>
      <c r="AD804" s="121"/>
      <c r="AE804" s="121"/>
      <c r="AF804" s="121"/>
      <c r="AG804" s="121"/>
      <c r="AH804" s="120"/>
    </row>
    <row r="805" spans="1:34" ht="13.2" x14ac:dyDescent="0.2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  <c r="AB805" s="121"/>
      <c r="AC805" s="121"/>
      <c r="AD805" s="121"/>
      <c r="AE805" s="121"/>
      <c r="AF805" s="121"/>
      <c r="AG805" s="121"/>
      <c r="AH805" s="120"/>
    </row>
    <row r="806" spans="1:34" ht="13.2" x14ac:dyDescent="0.25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  <c r="AB806" s="121"/>
      <c r="AC806" s="121"/>
      <c r="AD806" s="121"/>
      <c r="AE806" s="121"/>
      <c r="AF806" s="121"/>
      <c r="AG806" s="121"/>
      <c r="AH806" s="120"/>
    </row>
    <row r="807" spans="1:34" ht="13.2" x14ac:dyDescent="0.25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  <c r="AB807" s="121"/>
      <c r="AC807" s="121"/>
      <c r="AD807" s="121"/>
      <c r="AE807" s="121"/>
      <c r="AF807" s="121"/>
      <c r="AG807" s="121"/>
      <c r="AH807" s="120"/>
    </row>
    <row r="808" spans="1:34" ht="13.2" x14ac:dyDescent="0.25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  <c r="AB808" s="121"/>
      <c r="AC808" s="121"/>
      <c r="AD808" s="121"/>
      <c r="AE808" s="121"/>
      <c r="AF808" s="121"/>
      <c r="AG808" s="121"/>
      <c r="AH808" s="120"/>
    </row>
    <row r="809" spans="1:34" ht="13.2" x14ac:dyDescent="0.25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  <c r="AB809" s="121"/>
      <c r="AC809" s="121"/>
      <c r="AD809" s="121"/>
      <c r="AE809" s="121"/>
      <c r="AF809" s="121"/>
      <c r="AG809" s="121"/>
      <c r="AH809" s="120"/>
    </row>
    <row r="810" spans="1:34" ht="13.2" x14ac:dyDescent="0.25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  <c r="AB810" s="121"/>
      <c r="AC810" s="121"/>
      <c r="AD810" s="121"/>
      <c r="AE810" s="121"/>
      <c r="AF810" s="121"/>
      <c r="AG810" s="121"/>
      <c r="AH810" s="120"/>
    </row>
    <row r="811" spans="1:34" ht="13.2" x14ac:dyDescent="0.25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  <c r="AB811" s="121"/>
      <c r="AC811" s="121"/>
      <c r="AD811" s="121"/>
      <c r="AE811" s="121"/>
      <c r="AF811" s="121"/>
      <c r="AG811" s="121"/>
      <c r="AH811" s="120"/>
    </row>
    <row r="812" spans="1:34" ht="13.2" x14ac:dyDescent="0.25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  <c r="AB812" s="121"/>
      <c r="AC812" s="121"/>
      <c r="AD812" s="121"/>
      <c r="AE812" s="121"/>
      <c r="AF812" s="121"/>
      <c r="AG812" s="121"/>
      <c r="AH812" s="120"/>
    </row>
    <row r="813" spans="1:34" ht="13.2" x14ac:dyDescent="0.25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121"/>
      <c r="AC813" s="121"/>
      <c r="AD813" s="121"/>
      <c r="AE813" s="121"/>
      <c r="AF813" s="121"/>
      <c r="AG813" s="121"/>
      <c r="AH813" s="120"/>
    </row>
    <row r="814" spans="1:34" ht="13.2" x14ac:dyDescent="0.25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121"/>
      <c r="AC814" s="121"/>
      <c r="AD814" s="121"/>
      <c r="AE814" s="121"/>
      <c r="AF814" s="121"/>
      <c r="AG814" s="121"/>
      <c r="AH814" s="120"/>
    </row>
    <row r="815" spans="1:34" ht="13.2" x14ac:dyDescent="0.2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121"/>
      <c r="AC815" s="121"/>
      <c r="AD815" s="121"/>
      <c r="AE815" s="121"/>
      <c r="AF815" s="121"/>
      <c r="AG815" s="121"/>
      <c r="AH815" s="120"/>
    </row>
    <row r="816" spans="1:34" ht="13.2" x14ac:dyDescent="0.25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121"/>
      <c r="AC816" s="121"/>
      <c r="AD816" s="121"/>
      <c r="AE816" s="121"/>
      <c r="AF816" s="121"/>
      <c r="AG816" s="121"/>
      <c r="AH816" s="120"/>
    </row>
    <row r="817" spans="1:34" ht="13.2" x14ac:dyDescent="0.25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121"/>
      <c r="AC817" s="121"/>
      <c r="AD817" s="121"/>
      <c r="AE817" s="121"/>
      <c r="AF817" s="121"/>
      <c r="AG817" s="121"/>
      <c r="AH817" s="120"/>
    </row>
    <row r="818" spans="1:34" ht="13.2" x14ac:dyDescent="0.25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121"/>
      <c r="AC818" s="121"/>
      <c r="AD818" s="121"/>
      <c r="AE818" s="121"/>
      <c r="AF818" s="121"/>
      <c r="AG818" s="121"/>
      <c r="AH818" s="120"/>
    </row>
    <row r="819" spans="1:34" ht="13.2" x14ac:dyDescent="0.25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  <c r="AB819" s="121"/>
      <c r="AC819" s="121"/>
      <c r="AD819" s="121"/>
      <c r="AE819" s="121"/>
      <c r="AF819" s="121"/>
      <c r="AG819" s="121"/>
      <c r="AH819" s="120"/>
    </row>
    <row r="820" spans="1:34" ht="13.2" x14ac:dyDescent="0.25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  <c r="AB820" s="121"/>
      <c r="AC820" s="121"/>
      <c r="AD820" s="121"/>
      <c r="AE820" s="121"/>
      <c r="AF820" s="121"/>
      <c r="AG820" s="121"/>
      <c r="AH820" s="120"/>
    </row>
    <row r="821" spans="1:34" ht="13.2" x14ac:dyDescent="0.25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  <c r="AB821" s="121"/>
      <c r="AC821" s="121"/>
      <c r="AD821" s="121"/>
      <c r="AE821" s="121"/>
      <c r="AF821" s="121"/>
      <c r="AG821" s="121"/>
      <c r="AH821" s="120"/>
    </row>
    <row r="822" spans="1:34" ht="13.2" x14ac:dyDescent="0.25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121"/>
      <c r="AC822" s="121"/>
      <c r="AD822" s="121"/>
      <c r="AE822" s="121"/>
      <c r="AF822" s="121"/>
      <c r="AG822" s="121"/>
      <c r="AH822" s="120"/>
    </row>
    <row r="823" spans="1:34" ht="13.2" x14ac:dyDescent="0.25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121"/>
      <c r="AC823" s="121"/>
      <c r="AD823" s="121"/>
      <c r="AE823" s="121"/>
      <c r="AF823" s="121"/>
      <c r="AG823" s="121"/>
      <c r="AH823" s="120"/>
    </row>
    <row r="824" spans="1:34" ht="13.2" x14ac:dyDescent="0.25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121"/>
      <c r="AC824" s="121"/>
      <c r="AD824" s="121"/>
      <c r="AE824" s="121"/>
      <c r="AF824" s="121"/>
      <c r="AG824" s="121"/>
      <c r="AH824" s="120"/>
    </row>
    <row r="825" spans="1:34" ht="13.2" x14ac:dyDescent="0.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121"/>
      <c r="AC825" s="121"/>
      <c r="AD825" s="121"/>
      <c r="AE825" s="121"/>
      <c r="AF825" s="121"/>
      <c r="AG825" s="121"/>
      <c r="AH825" s="120"/>
    </row>
    <row r="826" spans="1:34" ht="13.2" x14ac:dyDescent="0.25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121"/>
      <c r="AC826" s="121"/>
      <c r="AD826" s="121"/>
      <c r="AE826" s="121"/>
      <c r="AF826" s="121"/>
      <c r="AG826" s="121"/>
      <c r="AH826" s="120"/>
    </row>
    <row r="827" spans="1:34" ht="13.2" x14ac:dyDescent="0.25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  <c r="AB827" s="121"/>
      <c r="AC827" s="121"/>
      <c r="AD827" s="121"/>
      <c r="AE827" s="121"/>
      <c r="AF827" s="121"/>
      <c r="AG827" s="121"/>
      <c r="AH827" s="120"/>
    </row>
    <row r="828" spans="1:34" ht="13.2" x14ac:dyDescent="0.25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  <c r="AB828" s="121"/>
      <c r="AC828" s="121"/>
      <c r="AD828" s="121"/>
      <c r="AE828" s="121"/>
      <c r="AF828" s="121"/>
      <c r="AG828" s="121"/>
      <c r="AH828" s="120"/>
    </row>
    <row r="829" spans="1:34" ht="13.2" x14ac:dyDescent="0.25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  <c r="AB829" s="121"/>
      <c r="AC829" s="121"/>
      <c r="AD829" s="121"/>
      <c r="AE829" s="121"/>
      <c r="AF829" s="121"/>
      <c r="AG829" s="121"/>
      <c r="AH829" s="120"/>
    </row>
    <row r="830" spans="1:34" ht="13.2" x14ac:dyDescent="0.25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  <c r="AB830" s="121"/>
      <c r="AC830" s="121"/>
      <c r="AD830" s="121"/>
      <c r="AE830" s="121"/>
      <c r="AF830" s="121"/>
      <c r="AG830" s="121"/>
      <c r="AH830" s="120"/>
    </row>
    <row r="831" spans="1:34" ht="13.2" x14ac:dyDescent="0.25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  <c r="AB831" s="121"/>
      <c r="AC831" s="121"/>
      <c r="AD831" s="121"/>
      <c r="AE831" s="121"/>
      <c r="AF831" s="121"/>
      <c r="AG831" s="121"/>
      <c r="AH831" s="120"/>
    </row>
    <row r="832" spans="1:34" ht="13.2" x14ac:dyDescent="0.25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  <c r="AB832" s="121"/>
      <c r="AC832" s="121"/>
      <c r="AD832" s="121"/>
      <c r="AE832" s="121"/>
      <c r="AF832" s="121"/>
      <c r="AG832" s="121"/>
      <c r="AH832" s="120"/>
    </row>
    <row r="833" spans="1:34" ht="13.2" x14ac:dyDescent="0.25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  <c r="AB833" s="121"/>
      <c r="AC833" s="121"/>
      <c r="AD833" s="121"/>
      <c r="AE833" s="121"/>
      <c r="AF833" s="121"/>
      <c r="AG833" s="121"/>
      <c r="AH833" s="120"/>
    </row>
    <row r="834" spans="1:34" ht="13.2" x14ac:dyDescent="0.25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  <c r="AB834" s="121"/>
      <c r="AC834" s="121"/>
      <c r="AD834" s="121"/>
      <c r="AE834" s="121"/>
      <c r="AF834" s="121"/>
      <c r="AG834" s="121"/>
      <c r="AH834" s="120"/>
    </row>
    <row r="835" spans="1:34" ht="13.2" x14ac:dyDescent="0.2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121"/>
      <c r="AC835" s="121"/>
      <c r="AD835" s="121"/>
      <c r="AE835" s="121"/>
      <c r="AF835" s="121"/>
      <c r="AG835" s="121"/>
      <c r="AH835" s="120"/>
    </row>
    <row r="836" spans="1:34" ht="13.2" x14ac:dyDescent="0.25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121"/>
      <c r="AC836" s="121"/>
      <c r="AD836" s="121"/>
      <c r="AE836" s="121"/>
      <c r="AF836" s="121"/>
      <c r="AG836" s="121"/>
      <c r="AH836" s="120"/>
    </row>
    <row r="837" spans="1:34" ht="13.2" x14ac:dyDescent="0.25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121"/>
      <c r="AC837" s="121"/>
      <c r="AD837" s="121"/>
      <c r="AE837" s="121"/>
      <c r="AF837" s="121"/>
      <c r="AG837" s="121"/>
      <c r="AH837" s="120"/>
    </row>
    <row r="838" spans="1:34" ht="13.2" x14ac:dyDescent="0.25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121"/>
      <c r="AC838" s="121"/>
      <c r="AD838" s="121"/>
      <c r="AE838" s="121"/>
      <c r="AF838" s="121"/>
      <c r="AG838" s="121"/>
      <c r="AH838" s="120"/>
    </row>
    <row r="839" spans="1:34" ht="13.2" x14ac:dyDescent="0.25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  <c r="AB839" s="121"/>
      <c r="AC839" s="121"/>
      <c r="AD839" s="121"/>
      <c r="AE839" s="121"/>
      <c r="AF839" s="121"/>
      <c r="AG839" s="121"/>
      <c r="AH839" s="120"/>
    </row>
    <row r="840" spans="1:34" ht="13.2" x14ac:dyDescent="0.25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  <c r="AB840" s="121"/>
      <c r="AC840" s="121"/>
      <c r="AD840" s="121"/>
      <c r="AE840" s="121"/>
      <c r="AF840" s="121"/>
      <c r="AG840" s="121"/>
      <c r="AH840" s="120"/>
    </row>
    <row r="841" spans="1:34" ht="13.2" x14ac:dyDescent="0.25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  <c r="AB841" s="121"/>
      <c r="AC841" s="121"/>
      <c r="AD841" s="121"/>
      <c r="AE841" s="121"/>
      <c r="AF841" s="121"/>
      <c r="AG841" s="121"/>
      <c r="AH841" s="120"/>
    </row>
    <row r="842" spans="1:34" ht="13.2" x14ac:dyDescent="0.25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  <c r="AB842" s="121"/>
      <c r="AC842" s="121"/>
      <c r="AD842" s="121"/>
      <c r="AE842" s="121"/>
      <c r="AF842" s="121"/>
      <c r="AG842" s="121"/>
      <c r="AH842" s="120"/>
    </row>
    <row r="843" spans="1:34" ht="13.2" x14ac:dyDescent="0.25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  <c r="AB843" s="121"/>
      <c r="AC843" s="121"/>
      <c r="AD843" s="121"/>
      <c r="AE843" s="121"/>
      <c r="AF843" s="121"/>
      <c r="AG843" s="121"/>
      <c r="AH843" s="120"/>
    </row>
    <row r="844" spans="1:34" ht="13.2" x14ac:dyDescent="0.25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  <c r="AB844" s="121"/>
      <c r="AC844" s="121"/>
      <c r="AD844" s="121"/>
      <c r="AE844" s="121"/>
      <c r="AF844" s="121"/>
      <c r="AG844" s="121"/>
      <c r="AH844" s="120"/>
    </row>
    <row r="845" spans="1:34" ht="13.2" x14ac:dyDescent="0.2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  <c r="AB845" s="121"/>
      <c r="AC845" s="121"/>
      <c r="AD845" s="121"/>
      <c r="AE845" s="121"/>
      <c r="AF845" s="121"/>
      <c r="AG845" s="121"/>
      <c r="AH845" s="120"/>
    </row>
    <row r="846" spans="1:34" ht="13.2" x14ac:dyDescent="0.25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  <c r="AB846" s="121"/>
      <c r="AC846" s="121"/>
      <c r="AD846" s="121"/>
      <c r="AE846" s="121"/>
      <c r="AF846" s="121"/>
      <c r="AG846" s="121"/>
      <c r="AH846" s="120"/>
    </row>
    <row r="847" spans="1:34" ht="13.2" x14ac:dyDescent="0.25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  <c r="AB847" s="121"/>
      <c r="AC847" s="121"/>
      <c r="AD847" s="121"/>
      <c r="AE847" s="121"/>
      <c r="AF847" s="121"/>
      <c r="AG847" s="121"/>
      <c r="AH847" s="120"/>
    </row>
    <row r="848" spans="1:34" ht="13.2" x14ac:dyDescent="0.25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  <c r="AB848" s="121"/>
      <c r="AC848" s="121"/>
      <c r="AD848" s="121"/>
      <c r="AE848" s="121"/>
      <c r="AF848" s="121"/>
      <c r="AG848" s="121"/>
      <c r="AH848" s="120"/>
    </row>
    <row r="849" spans="1:34" ht="13.2" x14ac:dyDescent="0.25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  <c r="AB849" s="121"/>
      <c r="AC849" s="121"/>
      <c r="AD849" s="121"/>
      <c r="AE849" s="121"/>
      <c r="AF849" s="121"/>
      <c r="AG849" s="121"/>
      <c r="AH849" s="120"/>
    </row>
    <row r="850" spans="1:34" ht="13.2" x14ac:dyDescent="0.25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  <c r="AB850" s="121"/>
      <c r="AC850" s="121"/>
      <c r="AD850" s="121"/>
      <c r="AE850" s="121"/>
      <c r="AF850" s="121"/>
      <c r="AG850" s="121"/>
      <c r="AH850" s="120"/>
    </row>
    <row r="851" spans="1:34" ht="13.2" x14ac:dyDescent="0.25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  <c r="AB851" s="121"/>
      <c r="AC851" s="121"/>
      <c r="AD851" s="121"/>
      <c r="AE851" s="121"/>
      <c r="AF851" s="121"/>
      <c r="AG851" s="121"/>
      <c r="AH851" s="120"/>
    </row>
    <row r="852" spans="1:34" ht="13.2" x14ac:dyDescent="0.25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  <c r="AB852" s="121"/>
      <c r="AC852" s="121"/>
      <c r="AD852" s="121"/>
      <c r="AE852" s="121"/>
      <c r="AF852" s="121"/>
      <c r="AG852" s="121"/>
      <c r="AH852" s="120"/>
    </row>
    <row r="853" spans="1:34" ht="13.2" x14ac:dyDescent="0.25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  <c r="AB853" s="121"/>
      <c r="AC853" s="121"/>
      <c r="AD853" s="121"/>
      <c r="AE853" s="121"/>
      <c r="AF853" s="121"/>
      <c r="AG853" s="121"/>
      <c r="AH853" s="120"/>
    </row>
    <row r="854" spans="1:34" ht="13.2" x14ac:dyDescent="0.25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  <c r="AB854" s="121"/>
      <c r="AC854" s="121"/>
      <c r="AD854" s="121"/>
      <c r="AE854" s="121"/>
      <c r="AF854" s="121"/>
      <c r="AG854" s="121"/>
      <c r="AH854" s="120"/>
    </row>
    <row r="855" spans="1:34" ht="13.2" x14ac:dyDescent="0.2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  <c r="AB855" s="121"/>
      <c r="AC855" s="121"/>
      <c r="AD855" s="121"/>
      <c r="AE855" s="121"/>
      <c r="AF855" s="121"/>
      <c r="AG855" s="121"/>
      <c r="AH855" s="120"/>
    </row>
    <row r="856" spans="1:34" ht="13.2" x14ac:dyDescent="0.25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  <c r="AB856" s="121"/>
      <c r="AC856" s="121"/>
      <c r="AD856" s="121"/>
      <c r="AE856" s="121"/>
      <c r="AF856" s="121"/>
      <c r="AG856" s="121"/>
      <c r="AH856" s="120"/>
    </row>
    <row r="857" spans="1:34" ht="13.2" x14ac:dyDescent="0.25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  <c r="AB857" s="121"/>
      <c r="AC857" s="121"/>
      <c r="AD857" s="121"/>
      <c r="AE857" s="121"/>
      <c r="AF857" s="121"/>
      <c r="AG857" s="121"/>
      <c r="AH857" s="120"/>
    </row>
    <row r="858" spans="1:34" ht="13.2" x14ac:dyDescent="0.25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  <c r="AB858" s="121"/>
      <c r="AC858" s="121"/>
      <c r="AD858" s="121"/>
      <c r="AE858" s="121"/>
      <c r="AF858" s="121"/>
      <c r="AG858" s="121"/>
      <c r="AH858" s="120"/>
    </row>
    <row r="859" spans="1:34" ht="13.2" x14ac:dyDescent="0.25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  <c r="AB859" s="121"/>
      <c r="AC859" s="121"/>
      <c r="AD859" s="121"/>
      <c r="AE859" s="121"/>
      <c r="AF859" s="121"/>
      <c r="AG859" s="121"/>
      <c r="AH859" s="120"/>
    </row>
    <row r="860" spans="1:34" ht="13.2" x14ac:dyDescent="0.25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  <c r="AB860" s="121"/>
      <c r="AC860" s="121"/>
      <c r="AD860" s="121"/>
      <c r="AE860" s="121"/>
      <c r="AF860" s="121"/>
      <c r="AG860" s="121"/>
      <c r="AH860" s="120"/>
    </row>
    <row r="861" spans="1:34" ht="13.2" x14ac:dyDescent="0.25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  <c r="AB861" s="121"/>
      <c r="AC861" s="121"/>
      <c r="AD861" s="121"/>
      <c r="AE861" s="121"/>
      <c r="AF861" s="121"/>
      <c r="AG861" s="121"/>
      <c r="AH861" s="120"/>
    </row>
    <row r="862" spans="1:34" ht="13.2" x14ac:dyDescent="0.25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  <c r="AB862" s="121"/>
      <c r="AC862" s="121"/>
      <c r="AD862" s="121"/>
      <c r="AE862" s="121"/>
      <c r="AF862" s="121"/>
      <c r="AG862" s="121"/>
      <c r="AH862" s="120"/>
    </row>
    <row r="863" spans="1:34" ht="13.2" x14ac:dyDescent="0.25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  <c r="AB863" s="121"/>
      <c r="AC863" s="121"/>
      <c r="AD863" s="121"/>
      <c r="AE863" s="121"/>
      <c r="AF863" s="121"/>
      <c r="AG863" s="121"/>
      <c r="AH863" s="120"/>
    </row>
    <row r="864" spans="1:34" ht="13.2" x14ac:dyDescent="0.25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  <c r="AB864" s="121"/>
      <c r="AC864" s="121"/>
      <c r="AD864" s="121"/>
      <c r="AE864" s="121"/>
      <c r="AF864" s="121"/>
      <c r="AG864" s="121"/>
      <c r="AH864" s="120"/>
    </row>
    <row r="865" spans="1:34" ht="13.2" x14ac:dyDescent="0.2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  <c r="AB865" s="121"/>
      <c r="AC865" s="121"/>
      <c r="AD865" s="121"/>
      <c r="AE865" s="121"/>
      <c r="AF865" s="121"/>
      <c r="AG865" s="121"/>
      <c r="AH865" s="120"/>
    </row>
    <row r="866" spans="1:34" ht="13.2" x14ac:dyDescent="0.25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  <c r="AB866" s="121"/>
      <c r="AC866" s="121"/>
      <c r="AD866" s="121"/>
      <c r="AE866" s="121"/>
      <c r="AF866" s="121"/>
      <c r="AG866" s="121"/>
      <c r="AH866" s="120"/>
    </row>
    <row r="867" spans="1:34" ht="13.2" x14ac:dyDescent="0.25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  <c r="AB867" s="121"/>
      <c r="AC867" s="121"/>
      <c r="AD867" s="121"/>
      <c r="AE867" s="121"/>
      <c r="AF867" s="121"/>
      <c r="AG867" s="121"/>
      <c r="AH867" s="120"/>
    </row>
    <row r="868" spans="1:34" ht="13.2" x14ac:dyDescent="0.25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  <c r="AB868" s="121"/>
      <c r="AC868" s="121"/>
      <c r="AD868" s="121"/>
      <c r="AE868" s="121"/>
      <c r="AF868" s="121"/>
      <c r="AG868" s="121"/>
      <c r="AH868" s="120"/>
    </row>
    <row r="869" spans="1:34" ht="13.2" x14ac:dyDescent="0.25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  <c r="AB869" s="121"/>
      <c r="AC869" s="121"/>
      <c r="AD869" s="121"/>
      <c r="AE869" s="121"/>
      <c r="AF869" s="121"/>
      <c r="AG869" s="121"/>
      <c r="AH869" s="120"/>
    </row>
    <row r="870" spans="1:34" ht="13.2" x14ac:dyDescent="0.25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  <c r="AB870" s="121"/>
      <c r="AC870" s="121"/>
      <c r="AD870" s="121"/>
      <c r="AE870" s="121"/>
      <c r="AF870" s="121"/>
      <c r="AG870" s="121"/>
      <c r="AH870" s="120"/>
    </row>
    <row r="871" spans="1:34" ht="13.2" x14ac:dyDescent="0.25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  <c r="AB871" s="121"/>
      <c r="AC871" s="121"/>
      <c r="AD871" s="121"/>
      <c r="AE871" s="121"/>
      <c r="AF871" s="121"/>
      <c r="AG871" s="121"/>
      <c r="AH871" s="120"/>
    </row>
    <row r="872" spans="1:34" ht="13.2" x14ac:dyDescent="0.25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  <c r="AB872" s="121"/>
      <c r="AC872" s="121"/>
      <c r="AD872" s="121"/>
      <c r="AE872" s="121"/>
      <c r="AF872" s="121"/>
      <c r="AG872" s="121"/>
      <c r="AH872" s="120"/>
    </row>
    <row r="873" spans="1:34" ht="13.2" x14ac:dyDescent="0.25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  <c r="AB873" s="121"/>
      <c r="AC873" s="121"/>
      <c r="AD873" s="121"/>
      <c r="AE873" s="121"/>
      <c r="AF873" s="121"/>
      <c r="AG873" s="121"/>
      <c r="AH873" s="120"/>
    </row>
    <row r="874" spans="1:34" ht="13.2" x14ac:dyDescent="0.25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  <c r="AB874" s="121"/>
      <c r="AC874" s="121"/>
      <c r="AD874" s="121"/>
      <c r="AE874" s="121"/>
      <c r="AF874" s="121"/>
      <c r="AG874" s="121"/>
      <c r="AH874" s="120"/>
    </row>
    <row r="875" spans="1:34" ht="13.2" x14ac:dyDescent="0.2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  <c r="AB875" s="121"/>
      <c r="AC875" s="121"/>
      <c r="AD875" s="121"/>
      <c r="AE875" s="121"/>
      <c r="AF875" s="121"/>
      <c r="AG875" s="121"/>
      <c r="AH875" s="120"/>
    </row>
    <row r="876" spans="1:34" ht="13.2" x14ac:dyDescent="0.25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  <c r="AB876" s="121"/>
      <c r="AC876" s="121"/>
      <c r="AD876" s="121"/>
      <c r="AE876" s="121"/>
      <c r="AF876" s="121"/>
      <c r="AG876" s="121"/>
      <c r="AH876" s="120"/>
    </row>
    <row r="877" spans="1:34" ht="13.2" x14ac:dyDescent="0.25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  <c r="AB877" s="121"/>
      <c r="AC877" s="121"/>
      <c r="AD877" s="121"/>
      <c r="AE877" s="121"/>
      <c r="AF877" s="121"/>
      <c r="AG877" s="121"/>
      <c r="AH877" s="120"/>
    </row>
    <row r="878" spans="1:34" ht="13.2" x14ac:dyDescent="0.25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  <c r="AB878" s="121"/>
      <c r="AC878" s="121"/>
      <c r="AD878" s="121"/>
      <c r="AE878" s="121"/>
      <c r="AF878" s="121"/>
      <c r="AG878" s="121"/>
      <c r="AH878" s="120"/>
    </row>
    <row r="879" spans="1:34" ht="13.2" x14ac:dyDescent="0.25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  <c r="AB879" s="121"/>
      <c r="AC879" s="121"/>
      <c r="AD879" s="121"/>
      <c r="AE879" s="121"/>
      <c r="AF879" s="121"/>
      <c r="AG879" s="121"/>
      <c r="AH879" s="120"/>
    </row>
    <row r="880" spans="1:34" ht="13.2" x14ac:dyDescent="0.25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  <c r="AB880" s="121"/>
      <c r="AC880" s="121"/>
      <c r="AD880" s="121"/>
      <c r="AE880" s="121"/>
      <c r="AF880" s="121"/>
      <c r="AG880" s="121"/>
      <c r="AH880" s="120"/>
    </row>
    <row r="881" spans="1:34" ht="13.2" x14ac:dyDescent="0.25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  <c r="AB881" s="121"/>
      <c r="AC881" s="121"/>
      <c r="AD881" s="121"/>
      <c r="AE881" s="121"/>
      <c r="AF881" s="121"/>
      <c r="AG881" s="121"/>
      <c r="AH881" s="120"/>
    </row>
    <row r="882" spans="1:34" ht="13.2" x14ac:dyDescent="0.25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  <c r="AB882" s="121"/>
      <c r="AC882" s="121"/>
      <c r="AD882" s="121"/>
      <c r="AE882" s="121"/>
      <c r="AF882" s="121"/>
      <c r="AG882" s="121"/>
      <c r="AH882" s="120"/>
    </row>
    <row r="883" spans="1:34" ht="13.2" x14ac:dyDescent="0.25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  <c r="AB883" s="121"/>
      <c r="AC883" s="121"/>
      <c r="AD883" s="121"/>
      <c r="AE883" s="121"/>
      <c r="AF883" s="121"/>
      <c r="AG883" s="121"/>
      <c r="AH883" s="120"/>
    </row>
    <row r="884" spans="1:34" ht="13.2" x14ac:dyDescent="0.25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  <c r="AB884" s="121"/>
      <c r="AC884" s="121"/>
      <c r="AD884" s="121"/>
      <c r="AE884" s="121"/>
      <c r="AF884" s="121"/>
      <c r="AG884" s="121"/>
      <c r="AH884" s="120"/>
    </row>
    <row r="885" spans="1:34" ht="13.2" x14ac:dyDescent="0.2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  <c r="AB885" s="121"/>
      <c r="AC885" s="121"/>
      <c r="AD885" s="121"/>
      <c r="AE885" s="121"/>
      <c r="AF885" s="121"/>
      <c r="AG885" s="121"/>
      <c r="AH885" s="120"/>
    </row>
    <row r="886" spans="1:34" ht="13.2" x14ac:dyDescent="0.25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  <c r="AB886" s="121"/>
      <c r="AC886" s="121"/>
      <c r="AD886" s="121"/>
      <c r="AE886" s="121"/>
      <c r="AF886" s="121"/>
      <c r="AG886" s="121"/>
      <c r="AH886" s="120"/>
    </row>
    <row r="887" spans="1:34" ht="13.2" x14ac:dyDescent="0.25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  <c r="AB887" s="121"/>
      <c r="AC887" s="121"/>
      <c r="AD887" s="121"/>
      <c r="AE887" s="121"/>
      <c r="AF887" s="121"/>
      <c r="AG887" s="121"/>
      <c r="AH887" s="120"/>
    </row>
    <row r="888" spans="1:34" ht="13.2" x14ac:dyDescent="0.25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  <c r="AB888" s="121"/>
      <c r="AC888" s="121"/>
      <c r="AD888" s="121"/>
      <c r="AE888" s="121"/>
      <c r="AF888" s="121"/>
      <c r="AG888" s="121"/>
      <c r="AH888" s="120"/>
    </row>
    <row r="889" spans="1:34" ht="13.2" x14ac:dyDescent="0.25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  <c r="AB889" s="121"/>
      <c r="AC889" s="121"/>
      <c r="AD889" s="121"/>
      <c r="AE889" s="121"/>
      <c r="AF889" s="121"/>
      <c r="AG889" s="121"/>
      <c r="AH889" s="120"/>
    </row>
    <row r="890" spans="1:34" ht="13.2" x14ac:dyDescent="0.25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  <c r="AB890" s="121"/>
      <c r="AC890" s="121"/>
      <c r="AD890" s="121"/>
      <c r="AE890" s="121"/>
      <c r="AF890" s="121"/>
      <c r="AG890" s="121"/>
      <c r="AH890" s="120"/>
    </row>
    <row r="891" spans="1:34" ht="13.2" x14ac:dyDescent="0.25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  <c r="AB891" s="121"/>
      <c r="AC891" s="121"/>
      <c r="AD891" s="121"/>
      <c r="AE891" s="121"/>
      <c r="AF891" s="121"/>
      <c r="AG891" s="121"/>
      <c r="AH891" s="120"/>
    </row>
    <row r="892" spans="1:34" ht="13.2" x14ac:dyDescent="0.25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  <c r="AB892" s="121"/>
      <c r="AC892" s="121"/>
      <c r="AD892" s="121"/>
      <c r="AE892" s="121"/>
      <c r="AF892" s="121"/>
      <c r="AG892" s="121"/>
      <c r="AH892" s="120"/>
    </row>
    <row r="893" spans="1:34" ht="13.2" x14ac:dyDescent="0.25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  <c r="AB893" s="121"/>
      <c r="AC893" s="121"/>
      <c r="AD893" s="121"/>
      <c r="AE893" s="121"/>
      <c r="AF893" s="121"/>
      <c r="AG893" s="121"/>
      <c r="AH893" s="120"/>
    </row>
    <row r="894" spans="1:34" ht="13.2" x14ac:dyDescent="0.25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  <c r="AB894" s="121"/>
      <c r="AC894" s="121"/>
      <c r="AD894" s="121"/>
      <c r="AE894" s="121"/>
      <c r="AF894" s="121"/>
      <c r="AG894" s="121"/>
      <c r="AH894" s="120"/>
    </row>
    <row r="895" spans="1:34" ht="13.2" x14ac:dyDescent="0.2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  <c r="AB895" s="121"/>
      <c r="AC895" s="121"/>
      <c r="AD895" s="121"/>
      <c r="AE895" s="121"/>
      <c r="AF895" s="121"/>
      <c r="AG895" s="121"/>
      <c r="AH895" s="120"/>
    </row>
    <row r="896" spans="1:34" ht="13.2" x14ac:dyDescent="0.25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  <c r="AB896" s="121"/>
      <c r="AC896" s="121"/>
      <c r="AD896" s="121"/>
      <c r="AE896" s="121"/>
      <c r="AF896" s="121"/>
      <c r="AG896" s="121"/>
      <c r="AH896" s="120"/>
    </row>
    <row r="897" spans="1:34" ht="13.2" x14ac:dyDescent="0.25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  <c r="AB897" s="121"/>
      <c r="AC897" s="121"/>
      <c r="AD897" s="121"/>
      <c r="AE897" s="121"/>
      <c r="AF897" s="121"/>
      <c r="AG897" s="121"/>
      <c r="AH897" s="120"/>
    </row>
    <row r="898" spans="1:34" ht="13.2" x14ac:dyDescent="0.25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  <c r="AB898" s="121"/>
      <c r="AC898" s="121"/>
      <c r="AD898" s="121"/>
      <c r="AE898" s="121"/>
      <c r="AF898" s="121"/>
      <c r="AG898" s="121"/>
      <c r="AH898" s="120"/>
    </row>
    <row r="899" spans="1:34" ht="13.2" x14ac:dyDescent="0.25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  <c r="AB899" s="121"/>
      <c r="AC899" s="121"/>
      <c r="AD899" s="121"/>
      <c r="AE899" s="121"/>
      <c r="AF899" s="121"/>
      <c r="AG899" s="121"/>
      <c r="AH899" s="120"/>
    </row>
    <row r="900" spans="1:34" ht="13.2" x14ac:dyDescent="0.25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  <c r="AB900" s="121"/>
      <c r="AC900" s="121"/>
      <c r="AD900" s="121"/>
      <c r="AE900" s="121"/>
      <c r="AF900" s="121"/>
      <c r="AG900" s="121"/>
      <c r="AH900" s="120"/>
    </row>
    <row r="901" spans="1:34" ht="13.2" x14ac:dyDescent="0.25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  <c r="AB901" s="121"/>
      <c r="AC901" s="121"/>
      <c r="AD901" s="121"/>
      <c r="AE901" s="121"/>
      <c r="AF901" s="121"/>
      <c r="AG901" s="121"/>
      <c r="AH901" s="120"/>
    </row>
    <row r="902" spans="1:34" ht="13.2" x14ac:dyDescent="0.25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  <c r="AB902" s="121"/>
      <c r="AC902" s="121"/>
      <c r="AD902" s="121"/>
      <c r="AE902" s="121"/>
      <c r="AF902" s="121"/>
      <c r="AG902" s="121"/>
      <c r="AH902" s="120"/>
    </row>
    <row r="903" spans="1:34" ht="13.2" x14ac:dyDescent="0.25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  <c r="AB903" s="121"/>
      <c r="AC903" s="121"/>
      <c r="AD903" s="121"/>
      <c r="AE903" s="121"/>
      <c r="AF903" s="121"/>
      <c r="AG903" s="121"/>
      <c r="AH903" s="120"/>
    </row>
    <row r="904" spans="1:34" ht="13.2" x14ac:dyDescent="0.25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  <c r="AB904" s="121"/>
      <c r="AC904" s="121"/>
      <c r="AD904" s="121"/>
      <c r="AE904" s="121"/>
      <c r="AF904" s="121"/>
      <c r="AG904" s="121"/>
      <c r="AH904" s="120"/>
    </row>
    <row r="905" spans="1:34" ht="13.2" x14ac:dyDescent="0.2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  <c r="AB905" s="121"/>
      <c r="AC905" s="121"/>
      <c r="AD905" s="121"/>
      <c r="AE905" s="121"/>
      <c r="AF905" s="121"/>
      <c r="AG905" s="121"/>
      <c r="AH905" s="120"/>
    </row>
    <row r="906" spans="1:34" ht="13.2" x14ac:dyDescent="0.25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  <c r="AB906" s="121"/>
      <c r="AC906" s="121"/>
      <c r="AD906" s="121"/>
      <c r="AE906" s="121"/>
      <c r="AF906" s="121"/>
      <c r="AG906" s="121"/>
      <c r="AH906" s="120"/>
    </row>
    <row r="907" spans="1:34" ht="13.2" x14ac:dyDescent="0.25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  <c r="AB907" s="121"/>
      <c r="AC907" s="121"/>
      <c r="AD907" s="121"/>
      <c r="AE907" s="121"/>
      <c r="AF907" s="121"/>
      <c r="AG907" s="121"/>
      <c r="AH907" s="120"/>
    </row>
    <row r="908" spans="1:34" ht="13.2" x14ac:dyDescent="0.25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  <c r="AB908" s="121"/>
      <c r="AC908" s="121"/>
      <c r="AD908" s="121"/>
      <c r="AE908" s="121"/>
      <c r="AF908" s="121"/>
      <c r="AG908" s="121"/>
      <c r="AH908" s="120"/>
    </row>
    <row r="909" spans="1:34" ht="13.2" x14ac:dyDescent="0.25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  <c r="AB909" s="121"/>
      <c r="AC909" s="121"/>
      <c r="AD909" s="121"/>
      <c r="AE909" s="121"/>
      <c r="AF909" s="121"/>
      <c r="AG909" s="121"/>
      <c r="AH909" s="120"/>
    </row>
    <row r="910" spans="1:34" ht="13.2" x14ac:dyDescent="0.25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  <c r="AB910" s="121"/>
      <c r="AC910" s="121"/>
      <c r="AD910" s="121"/>
      <c r="AE910" s="121"/>
      <c r="AF910" s="121"/>
      <c r="AG910" s="121"/>
      <c r="AH910" s="120"/>
    </row>
    <row r="911" spans="1:34" ht="13.2" x14ac:dyDescent="0.25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  <c r="AB911" s="121"/>
      <c r="AC911" s="121"/>
      <c r="AD911" s="121"/>
      <c r="AE911" s="121"/>
      <c r="AF911" s="121"/>
      <c r="AG911" s="121"/>
      <c r="AH911" s="120"/>
    </row>
    <row r="912" spans="1:34" ht="13.2" x14ac:dyDescent="0.25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  <c r="AB912" s="121"/>
      <c r="AC912" s="121"/>
      <c r="AD912" s="121"/>
      <c r="AE912" s="121"/>
      <c r="AF912" s="121"/>
      <c r="AG912" s="121"/>
      <c r="AH912" s="120"/>
    </row>
    <row r="913" spans="1:34" ht="13.2" x14ac:dyDescent="0.25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  <c r="AB913" s="121"/>
      <c r="AC913" s="121"/>
      <c r="AD913" s="121"/>
      <c r="AE913" s="121"/>
      <c r="AF913" s="121"/>
      <c r="AG913" s="121"/>
      <c r="AH913" s="120"/>
    </row>
    <row r="914" spans="1:34" ht="13.2" x14ac:dyDescent="0.25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  <c r="AB914" s="121"/>
      <c r="AC914" s="121"/>
      <c r="AD914" s="121"/>
      <c r="AE914" s="121"/>
      <c r="AF914" s="121"/>
      <c r="AG914" s="121"/>
      <c r="AH914" s="120"/>
    </row>
    <row r="915" spans="1:34" ht="13.2" x14ac:dyDescent="0.2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  <c r="AB915" s="121"/>
      <c r="AC915" s="121"/>
      <c r="AD915" s="121"/>
      <c r="AE915" s="121"/>
      <c r="AF915" s="121"/>
      <c r="AG915" s="121"/>
      <c r="AH915" s="120"/>
    </row>
    <row r="916" spans="1:34" ht="13.2" x14ac:dyDescent="0.25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  <c r="AB916" s="121"/>
      <c r="AC916" s="121"/>
      <c r="AD916" s="121"/>
      <c r="AE916" s="121"/>
      <c r="AF916" s="121"/>
      <c r="AG916" s="121"/>
      <c r="AH916" s="120"/>
    </row>
    <row r="917" spans="1:34" ht="13.2" x14ac:dyDescent="0.25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  <c r="AB917" s="121"/>
      <c r="AC917" s="121"/>
      <c r="AD917" s="121"/>
      <c r="AE917" s="121"/>
      <c r="AF917" s="121"/>
      <c r="AG917" s="121"/>
      <c r="AH917" s="120"/>
    </row>
    <row r="918" spans="1:34" ht="13.2" x14ac:dyDescent="0.25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  <c r="AB918" s="121"/>
      <c r="AC918" s="121"/>
      <c r="AD918" s="121"/>
      <c r="AE918" s="121"/>
      <c r="AF918" s="121"/>
      <c r="AG918" s="121"/>
      <c r="AH918" s="120"/>
    </row>
    <row r="919" spans="1:34" ht="13.2" x14ac:dyDescent="0.25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  <c r="AB919" s="121"/>
      <c r="AC919" s="121"/>
      <c r="AD919" s="121"/>
      <c r="AE919" s="121"/>
      <c r="AF919" s="121"/>
      <c r="AG919" s="121"/>
      <c r="AH919" s="120"/>
    </row>
    <row r="920" spans="1:34" ht="13.2" x14ac:dyDescent="0.25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  <c r="AB920" s="121"/>
      <c r="AC920" s="121"/>
      <c r="AD920" s="121"/>
      <c r="AE920" s="121"/>
      <c r="AF920" s="121"/>
      <c r="AG920" s="121"/>
      <c r="AH920" s="120"/>
    </row>
    <row r="921" spans="1:34" ht="13.2" x14ac:dyDescent="0.25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  <c r="AB921" s="121"/>
      <c r="AC921" s="121"/>
      <c r="AD921" s="121"/>
      <c r="AE921" s="121"/>
      <c r="AF921" s="121"/>
      <c r="AG921" s="121"/>
      <c r="AH921" s="120"/>
    </row>
    <row r="922" spans="1:34" ht="13.2" x14ac:dyDescent="0.25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  <c r="AB922" s="121"/>
      <c r="AC922" s="121"/>
      <c r="AD922" s="121"/>
      <c r="AE922" s="121"/>
      <c r="AF922" s="121"/>
      <c r="AG922" s="121"/>
      <c r="AH922" s="120"/>
    </row>
    <row r="923" spans="1:34" ht="13.2" x14ac:dyDescent="0.25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  <c r="AB923" s="121"/>
      <c r="AC923" s="121"/>
      <c r="AD923" s="121"/>
      <c r="AE923" s="121"/>
      <c r="AF923" s="121"/>
      <c r="AG923" s="121"/>
      <c r="AH923" s="120"/>
    </row>
    <row r="924" spans="1:34" ht="13.2" x14ac:dyDescent="0.25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  <c r="AB924" s="121"/>
      <c r="AC924" s="121"/>
      <c r="AD924" s="121"/>
      <c r="AE924" s="121"/>
      <c r="AF924" s="121"/>
      <c r="AG924" s="121"/>
      <c r="AH924" s="120"/>
    </row>
    <row r="925" spans="1:34" ht="13.2" x14ac:dyDescent="0.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  <c r="AB925" s="121"/>
      <c r="AC925" s="121"/>
      <c r="AD925" s="121"/>
      <c r="AE925" s="121"/>
      <c r="AF925" s="121"/>
      <c r="AG925" s="121"/>
      <c r="AH925" s="120"/>
    </row>
    <row r="926" spans="1:34" ht="13.2" x14ac:dyDescent="0.25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  <c r="AB926" s="121"/>
      <c r="AC926" s="121"/>
      <c r="AD926" s="121"/>
      <c r="AE926" s="121"/>
      <c r="AF926" s="121"/>
      <c r="AG926" s="121"/>
      <c r="AH926" s="120"/>
    </row>
    <row r="927" spans="1:34" ht="13.2" x14ac:dyDescent="0.25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  <c r="AB927" s="121"/>
      <c r="AC927" s="121"/>
      <c r="AD927" s="121"/>
      <c r="AE927" s="121"/>
      <c r="AF927" s="121"/>
      <c r="AG927" s="121"/>
      <c r="AH927" s="120"/>
    </row>
    <row r="928" spans="1:34" ht="13.2" x14ac:dyDescent="0.25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  <c r="AB928" s="121"/>
      <c r="AC928" s="121"/>
      <c r="AD928" s="121"/>
      <c r="AE928" s="121"/>
      <c r="AF928" s="121"/>
      <c r="AG928" s="121"/>
      <c r="AH928" s="120"/>
    </row>
    <row r="929" spans="1:34" ht="13.2" x14ac:dyDescent="0.25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  <c r="AB929" s="121"/>
      <c r="AC929" s="121"/>
      <c r="AD929" s="121"/>
      <c r="AE929" s="121"/>
      <c r="AF929" s="121"/>
      <c r="AG929" s="121"/>
      <c r="AH929" s="120"/>
    </row>
    <row r="930" spans="1:34" ht="13.2" x14ac:dyDescent="0.25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  <c r="AB930" s="121"/>
      <c r="AC930" s="121"/>
      <c r="AD930" s="121"/>
      <c r="AE930" s="121"/>
      <c r="AF930" s="121"/>
      <c r="AG930" s="121"/>
      <c r="AH930" s="120"/>
    </row>
    <row r="931" spans="1:34" ht="13.2" x14ac:dyDescent="0.25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  <c r="AB931" s="121"/>
      <c r="AC931" s="121"/>
      <c r="AD931" s="121"/>
      <c r="AE931" s="121"/>
      <c r="AF931" s="121"/>
      <c r="AG931" s="121"/>
      <c r="AH931" s="120"/>
    </row>
    <row r="932" spans="1:34" ht="13.2" x14ac:dyDescent="0.25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  <c r="AB932" s="121"/>
      <c r="AC932" s="121"/>
      <c r="AD932" s="121"/>
      <c r="AE932" s="121"/>
      <c r="AF932" s="121"/>
      <c r="AG932" s="121"/>
      <c r="AH932" s="120"/>
    </row>
    <row r="933" spans="1:34" ht="13.2" x14ac:dyDescent="0.25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  <c r="AB933" s="121"/>
      <c r="AC933" s="121"/>
      <c r="AD933" s="121"/>
      <c r="AE933" s="121"/>
      <c r="AF933" s="121"/>
      <c r="AG933" s="121"/>
      <c r="AH933" s="120"/>
    </row>
    <row r="934" spans="1:34" ht="13.2" x14ac:dyDescent="0.25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  <c r="AB934" s="121"/>
      <c r="AC934" s="121"/>
      <c r="AD934" s="121"/>
      <c r="AE934" s="121"/>
      <c r="AF934" s="121"/>
      <c r="AG934" s="121"/>
      <c r="AH934" s="120"/>
    </row>
    <row r="935" spans="1:34" ht="13.2" x14ac:dyDescent="0.2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  <c r="AB935" s="121"/>
      <c r="AC935" s="121"/>
      <c r="AD935" s="121"/>
      <c r="AE935" s="121"/>
      <c r="AF935" s="121"/>
      <c r="AG935" s="121"/>
      <c r="AH935" s="120"/>
    </row>
    <row r="936" spans="1:34" ht="13.2" x14ac:dyDescent="0.25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  <c r="AB936" s="121"/>
      <c r="AC936" s="121"/>
      <c r="AD936" s="121"/>
      <c r="AE936" s="121"/>
      <c r="AF936" s="121"/>
      <c r="AG936" s="121"/>
      <c r="AH936" s="120"/>
    </row>
    <row r="937" spans="1:34" ht="13.2" x14ac:dyDescent="0.25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  <c r="AA937" s="81"/>
      <c r="AB937" s="121"/>
      <c r="AC937" s="121"/>
      <c r="AD937" s="121"/>
      <c r="AE937" s="121"/>
      <c r="AF937" s="121"/>
      <c r="AG937" s="121"/>
      <c r="AH937" s="120"/>
    </row>
    <row r="938" spans="1:34" ht="13.2" x14ac:dyDescent="0.25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  <c r="AA938" s="81"/>
      <c r="AB938" s="121"/>
      <c r="AC938" s="121"/>
      <c r="AD938" s="121"/>
      <c r="AE938" s="121"/>
      <c r="AF938" s="121"/>
      <c r="AG938" s="121"/>
      <c r="AH938" s="120"/>
    </row>
    <row r="939" spans="1:34" ht="13.2" x14ac:dyDescent="0.25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  <c r="AA939" s="81"/>
      <c r="AB939" s="121"/>
      <c r="AC939" s="121"/>
      <c r="AD939" s="121"/>
      <c r="AE939" s="121"/>
      <c r="AF939" s="121"/>
      <c r="AG939" s="121"/>
      <c r="AH939" s="120"/>
    </row>
    <row r="940" spans="1:34" ht="13.2" x14ac:dyDescent="0.25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  <c r="AA940" s="81"/>
      <c r="AB940" s="121"/>
      <c r="AC940" s="121"/>
      <c r="AD940" s="121"/>
      <c r="AE940" s="121"/>
      <c r="AF940" s="121"/>
      <c r="AG940" s="121"/>
      <c r="AH940" s="120"/>
    </row>
    <row r="941" spans="1:34" ht="13.2" x14ac:dyDescent="0.25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  <c r="AA941" s="81"/>
      <c r="AB941" s="121"/>
      <c r="AC941" s="121"/>
      <c r="AD941" s="121"/>
      <c r="AE941" s="121"/>
      <c r="AF941" s="121"/>
      <c r="AG941" s="121"/>
      <c r="AH941" s="120"/>
    </row>
    <row r="942" spans="1:34" ht="13.2" x14ac:dyDescent="0.25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  <c r="AA942" s="81"/>
      <c r="AB942" s="121"/>
      <c r="AC942" s="121"/>
      <c r="AD942" s="121"/>
      <c r="AE942" s="121"/>
      <c r="AF942" s="121"/>
      <c r="AG942" s="121"/>
      <c r="AH942" s="120"/>
    </row>
    <row r="943" spans="1:34" ht="13.2" x14ac:dyDescent="0.25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  <c r="AA943" s="81"/>
      <c r="AB943" s="121"/>
      <c r="AC943" s="121"/>
      <c r="AD943" s="121"/>
      <c r="AE943" s="121"/>
      <c r="AF943" s="121"/>
      <c r="AG943" s="121"/>
      <c r="AH943" s="120"/>
    </row>
    <row r="944" spans="1:34" ht="13.2" x14ac:dyDescent="0.25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  <c r="AA944" s="81"/>
      <c r="AB944" s="121"/>
      <c r="AC944" s="121"/>
      <c r="AD944" s="121"/>
      <c r="AE944" s="121"/>
      <c r="AF944" s="121"/>
      <c r="AG944" s="121"/>
      <c r="AH944" s="120"/>
    </row>
    <row r="945" spans="1:34" ht="13.2" x14ac:dyDescent="0.2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  <c r="AA945" s="81"/>
      <c r="AB945" s="121"/>
      <c r="AC945" s="121"/>
      <c r="AD945" s="121"/>
      <c r="AE945" s="121"/>
      <c r="AF945" s="121"/>
      <c r="AG945" s="121"/>
      <c r="AH945" s="120"/>
    </row>
    <row r="946" spans="1:34" ht="13.2" x14ac:dyDescent="0.25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  <c r="AA946" s="81"/>
      <c r="AB946" s="121"/>
      <c r="AC946" s="121"/>
      <c r="AD946" s="121"/>
      <c r="AE946" s="121"/>
      <c r="AF946" s="121"/>
      <c r="AG946" s="121"/>
      <c r="AH946" s="120"/>
    </row>
    <row r="947" spans="1:34" ht="13.2" x14ac:dyDescent="0.25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  <c r="AA947" s="81"/>
      <c r="AB947" s="121"/>
      <c r="AC947" s="121"/>
      <c r="AD947" s="121"/>
      <c r="AE947" s="121"/>
      <c r="AF947" s="121"/>
      <c r="AG947" s="121"/>
      <c r="AH947" s="120"/>
    </row>
    <row r="948" spans="1:34" ht="13.2" x14ac:dyDescent="0.25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  <c r="AA948" s="81"/>
      <c r="AB948" s="121"/>
      <c r="AC948" s="121"/>
      <c r="AD948" s="121"/>
      <c r="AE948" s="121"/>
      <c r="AF948" s="121"/>
      <c r="AG948" s="121"/>
      <c r="AH948" s="120"/>
    </row>
    <row r="949" spans="1:34" ht="13.2" x14ac:dyDescent="0.25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  <c r="AA949" s="81"/>
      <c r="AB949" s="121"/>
      <c r="AC949" s="121"/>
      <c r="AD949" s="121"/>
      <c r="AE949" s="121"/>
      <c r="AF949" s="121"/>
      <c r="AG949" s="121"/>
      <c r="AH949" s="120"/>
    </row>
    <row r="950" spans="1:34" ht="13.2" x14ac:dyDescent="0.25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  <c r="AA950" s="81"/>
      <c r="AB950" s="121"/>
      <c r="AC950" s="121"/>
      <c r="AD950" s="121"/>
      <c r="AE950" s="121"/>
      <c r="AF950" s="121"/>
      <c r="AG950" s="121"/>
      <c r="AH950" s="120"/>
    </row>
    <row r="951" spans="1:34" ht="13.2" x14ac:dyDescent="0.25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  <c r="AA951" s="81"/>
      <c r="AB951" s="121"/>
      <c r="AC951" s="121"/>
      <c r="AD951" s="121"/>
      <c r="AE951" s="121"/>
      <c r="AF951" s="121"/>
      <c r="AG951" s="121"/>
      <c r="AH951" s="120"/>
    </row>
    <row r="952" spans="1:34" ht="13.2" x14ac:dyDescent="0.25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  <c r="AA952" s="81"/>
      <c r="AB952" s="121"/>
      <c r="AC952" s="121"/>
      <c r="AD952" s="121"/>
      <c r="AE952" s="121"/>
      <c r="AF952" s="121"/>
      <c r="AG952" s="121"/>
      <c r="AH952" s="120"/>
    </row>
    <row r="953" spans="1:34" ht="13.2" x14ac:dyDescent="0.25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  <c r="AA953" s="81"/>
      <c r="AB953" s="121"/>
      <c r="AC953" s="121"/>
      <c r="AD953" s="121"/>
      <c r="AE953" s="121"/>
      <c r="AF953" s="121"/>
      <c r="AG953" s="121"/>
      <c r="AH953" s="120"/>
    </row>
    <row r="954" spans="1:34" ht="13.2" x14ac:dyDescent="0.25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  <c r="AA954" s="81"/>
      <c r="AB954" s="121"/>
      <c r="AC954" s="121"/>
      <c r="AD954" s="121"/>
      <c r="AE954" s="121"/>
      <c r="AF954" s="121"/>
      <c r="AG954" s="121"/>
      <c r="AH954" s="120"/>
    </row>
    <row r="955" spans="1:34" ht="13.2" x14ac:dyDescent="0.2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  <c r="AA955" s="81"/>
      <c r="AB955" s="121"/>
      <c r="AC955" s="121"/>
      <c r="AD955" s="121"/>
      <c r="AE955" s="121"/>
      <c r="AF955" s="121"/>
      <c r="AG955" s="121"/>
      <c r="AH955" s="120"/>
    </row>
    <row r="956" spans="1:34" ht="13.2" x14ac:dyDescent="0.25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  <c r="AA956" s="81"/>
      <c r="AB956" s="121"/>
      <c r="AC956" s="121"/>
      <c r="AD956" s="121"/>
      <c r="AE956" s="121"/>
      <c r="AF956" s="121"/>
      <c r="AG956" s="121"/>
      <c r="AH956" s="120"/>
    </row>
    <row r="957" spans="1:34" ht="13.2" x14ac:dyDescent="0.25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  <c r="AA957" s="81"/>
      <c r="AB957" s="121"/>
      <c r="AC957" s="121"/>
      <c r="AD957" s="121"/>
      <c r="AE957" s="121"/>
      <c r="AF957" s="121"/>
      <c r="AG957" s="121"/>
      <c r="AH957" s="120"/>
    </row>
    <row r="958" spans="1:34" ht="13.2" x14ac:dyDescent="0.25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  <c r="AA958" s="81"/>
      <c r="AB958" s="121"/>
      <c r="AC958" s="121"/>
      <c r="AD958" s="121"/>
      <c r="AE958" s="121"/>
      <c r="AF958" s="121"/>
      <c r="AG958" s="121"/>
      <c r="AH958" s="120"/>
    </row>
    <row r="959" spans="1:34" ht="13.2" x14ac:dyDescent="0.25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  <c r="AA959" s="81"/>
      <c r="AB959" s="121"/>
      <c r="AC959" s="121"/>
      <c r="AD959" s="121"/>
      <c r="AE959" s="121"/>
      <c r="AF959" s="121"/>
      <c r="AG959" s="121"/>
      <c r="AH959" s="120"/>
    </row>
    <row r="960" spans="1:34" ht="13.2" x14ac:dyDescent="0.25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  <c r="AA960" s="81"/>
      <c r="AB960" s="121"/>
      <c r="AC960" s="121"/>
      <c r="AD960" s="121"/>
      <c r="AE960" s="121"/>
      <c r="AF960" s="121"/>
      <c r="AG960" s="121"/>
      <c r="AH960" s="120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AFD5-4A59-419D-BEC5-C68D6BB30D6D}">
  <sheetPr>
    <tabColor theme="7"/>
    <outlinePr summaryBelow="0" summaryRight="0"/>
  </sheetPr>
  <dimension ref="A1:AH963"/>
  <sheetViews>
    <sheetView showGridLines="0" topLeftCell="F1" zoomScaleNormal="100" workbookViewId="0">
      <selection activeCell="M12" sqref="M12"/>
    </sheetView>
  </sheetViews>
  <sheetFormatPr defaultColWidth="12.6640625" defaultRowHeight="15.75" customHeight="1" x14ac:dyDescent="0.25"/>
  <cols>
    <col min="1" max="1" width="4.6640625" customWidth="1"/>
    <col min="2" max="2" width="31.44140625" customWidth="1"/>
    <col min="3" max="7" width="5.33203125" customWidth="1"/>
    <col min="8" max="16" width="4.6640625" customWidth="1"/>
    <col min="17" max="22" width="5.33203125" customWidth="1"/>
    <col min="23" max="23" width="5" customWidth="1"/>
    <col min="24" max="26" width="4.6640625" customWidth="1"/>
    <col min="27" max="27" width="7.5546875" style="3" bestFit="1" customWidth="1"/>
    <col min="28" max="28" width="10.6640625" style="3" customWidth="1"/>
    <col min="29" max="29" width="53.109375" style="3" bestFit="1" customWidth="1"/>
    <col min="30" max="30" width="13.44140625" style="3" customWidth="1"/>
    <col min="31" max="31" width="12.6640625" style="3"/>
    <col min="32" max="32" width="16" style="3" bestFit="1" customWidth="1"/>
    <col min="33" max="33" width="12.6640625" style="3"/>
  </cols>
  <sheetData>
    <row r="1" spans="1:34" ht="13.8" thickBot="1" x14ac:dyDescent="0.3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121"/>
      <c r="AC1" s="121"/>
      <c r="AD1" s="121"/>
      <c r="AE1" s="121"/>
      <c r="AF1" s="121"/>
      <c r="AG1" s="121"/>
      <c r="AH1" s="120"/>
    </row>
    <row r="2" spans="1:34" ht="13.2" x14ac:dyDescent="0.25">
      <c r="A2" s="81"/>
      <c r="B2" s="81"/>
      <c r="C2" s="302" t="s">
        <v>28</v>
      </c>
      <c r="D2" s="303"/>
      <c r="E2" s="303"/>
      <c r="F2" s="304"/>
      <c r="G2" s="302" t="s">
        <v>29</v>
      </c>
      <c r="H2" s="303"/>
      <c r="I2" s="303"/>
      <c r="J2" s="303"/>
      <c r="K2" s="304"/>
      <c r="L2" s="302" t="s">
        <v>30</v>
      </c>
      <c r="M2" s="303"/>
      <c r="N2" s="303"/>
      <c r="O2" s="303"/>
      <c r="P2" s="304"/>
      <c r="Q2" s="302" t="s">
        <v>31</v>
      </c>
      <c r="R2" s="303"/>
      <c r="S2" s="303"/>
      <c r="T2" s="303"/>
      <c r="U2" s="304"/>
      <c r="V2" s="302" t="s">
        <v>32</v>
      </c>
      <c r="W2" s="303"/>
      <c r="X2" s="81"/>
      <c r="Y2" s="81"/>
      <c r="Z2" s="83"/>
      <c r="AA2" s="84" t="s">
        <v>33</v>
      </c>
      <c r="AB2" s="84" t="s">
        <v>34</v>
      </c>
      <c r="AC2" s="84" t="s">
        <v>141</v>
      </c>
      <c r="AD2" s="84" t="s">
        <v>35</v>
      </c>
      <c r="AE2" s="84" t="s">
        <v>36</v>
      </c>
      <c r="AF2" s="84" t="s">
        <v>37</v>
      </c>
      <c r="AG2" s="84" t="s">
        <v>38</v>
      </c>
      <c r="AH2" s="84" t="s">
        <v>39</v>
      </c>
    </row>
    <row r="3" spans="1:34" ht="13.2" x14ac:dyDescent="0.25">
      <c r="A3" s="81"/>
      <c r="B3" s="81"/>
      <c r="C3" s="76">
        <v>1</v>
      </c>
      <c r="D3" s="77">
        <v>2</v>
      </c>
      <c r="E3" s="77">
        <v>3</v>
      </c>
      <c r="F3" s="78">
        <v>5</v>
      </c>
      <c r="G3" s="76">
        <v>8</v>
      </c>
      <c r="H3" s="77">
        <v>9</v>
      </c>
      <c r="I3" s="77">
        <v>10</v>
      </c>
      <c r="J3" s="77">
        <v>11</v>
      </c>
      <c r="K3" s="78">
        <v>12</v>
      </c>
      <c r="L3" s="76">
        <v>15</v>
      </c>
      <c r="M3" s="77">
        <v>16</v>
      </c>
      <c r="N3" s="77">
        <v>17</v>
      </c>
      <c r="O3" s="77">
        <v>18</v>
      </c>
      <c r="P3" s="78">
        <v>19</v>
      </c>
      <c r="Q3" s="76">
        <v>22</v>
      </c>
      <c r="R3" s="77">
        <v>23</v>
      </c>
      <c r="S3" s="77">
        <v>24</v>
      </c>
      <c r="T3" s="77">
        <v>25</v>
      </c>
      <c r="U3" s="78">
        <v>26</v>
      </c>
      <c r="V3" s="76">
        <v>29</v>
      </c>
      <c r="W3" s="78">
        <v>30</v>
      </c>
      <c r="X3" s="299"/>
      <c r="Y3" s="300"/>
      <c r="Z3" s="81"/>
      <c r="AA3" s="80">
        <v>1</v>
      </c>
      <c r="AB3" s="122">
        <v>40650</v>
      </c>
      <c r="AC3" s="122" t="s">
        <v>192</v>
      </c>
      <c r="AD3" s="123">
        <v>46028</v>
      </c>
      <c r="AE3" s="122">
        <v>343.01</v>
      </c>
      <c r="AF3" s="123">
        <v>46126</v>
      </c>
      <c r="AG3" s="122" t="s">
        <v>10</v>
      </c>
      <c r="AH3" s="124">
        <v>48</v>
      </c>
    </row>
    <row r="4" spans="1:34" ht="13.2" x14ac:dyDescent="0.25">
      <c r="A4" s="81"/>
      <c r="B4" s="88" t="s">
        <v>41</v>
      </c>
      <c r="C4" s="89" t="s">
        <v>42</v>
      </c>
      <c r="D4" s="90" t="s">
        <v>43</v>
      </c>
      <c r="E4" s="90" t="s">
        <v>44</v>
      </c>
      <c r="F4" s="91" t="s">
        <v>44</v>
      </c>
      <c r="G4" s="89" t="s">
        <v>42</v>
      </c>
      <c r="H4" s="90" t="s">
        <v>42</v>
      </c>
      <c r="I4" s="90" t="s">
        <v>43</v>
      </c>
      <c r="J4" s="90" t="s">
        <v>44</v>
      </c>
      <c r="K4" s="91" t="s">
        <v>44</v>
      </c>
      <c r="L4" s="89" t="s">
        <v>42</v>
      </c>
      <c r="M4" s="90" t="s">
        <v>42</v>
      </c>
      <c r="N4" s="90" t="s">
        <v>43</v>
      </c>
      <c r="O4" s="90" t="s">
        <v>44</v>
      </c>
      <c r="P4" s="91" t="s">
        <v>44</v>
      </c>
      <c r="Q4" s="89" t="s">
        <v>42</v>
      </c>
      <c r="R4" s="90" t="s">
        <v>42</v>
      </c>
      <c r="S4" s="90" t="s">
        <v>43</v>
      </c>
      <c r="T4" s="90" t="s">
        <v>44</v>
      </c>
      <c r="U4" s="91" t="s">
        <v>44</v>
      </c>
      <c r="V4" s="89" t="s">
        <v>42</v>
      </c>
      <c r="W4" s="91" t="s">
        <v>42</v>
      </c>
      <c r="X4" s="92" t="s">
        <v>11</v>
      </c>
      <c r="Y4" s="81"/>
      <c r="Z4" s="81"/>
      <c r="AA4" s="80">
        <v>2</v>
      </c>
      <c r="AB4" s="122">
        <v>43357</v>
      </c>
      <c r="AC4" s="122" t="s">
        <v>193</v>
      </c>
      <c r="AD4" s="123">
        <v>46087</v>
      </c>
      <c r="AE4" s="122">
        <v>441.99</v>
      </c>
      <c r="AF4" s="123">
        <v>46128</v>
      </c>
      <c r="AG4" s="122" t="s">
        <v>10</v>
      </c>
      <c r="AH4" s="124">
        <v>48</v>
      </c>
    </row>
    <row r="5" spans="1:34" ht="13.2" x14ac:dyDescent="0.25">
      <c r="A5" s="81"/>
      <c r="B5" s="93" t="s">
        <v>2</v>
      </c>
      <c r="C5" s="94">
        <v>1</v>
      </c>
      <c r="D5" s="95">
        <v>1</v>
      </c>
      <c r="E5" s="95">
        <v>1</v>
      </c>
      <c r="F5" s="96">
        <v>1</v>
      </c>
      <c r="G5" s="94">
        <v>1</v>
      </c>
      <c r="H5" s="95">
        <v>1</v>
      </c>
      <c r="I5" s="95">
        <v>1</v>
      </c>
      <c r="J5" s="95">
        <v>1</v>
      </c>
      <c r="K5" s="96">
        <v>1</v>
      </c>
      <c r="L5" s="94">
        <v>1</v>
      </c>
      <c r="M5" s="95">
        <v>1</v>
      </c>
      <c r="N5" s="95">
        <v>1</v>
      </c>
      <c r="O5" s="95">
        <v>1</v>
      </c>
      <c r="P5" s="96">
        <v>1</v>
      </c>
      <c r="Q5" s="94">
        <v>1</v>
      </c>
      <c r="R5" s="95">
        <v>1</v>
      </c>
      <c r="S5" s="95">
        <v>1</v>
      </c>
      <c r="T5" s="95">
        <v>2</v>
      </c>
      <c r="U5" s="96">
        <v>2</v>
      </c>
      <c r="V5" s="51">
        <v>2</v>
      </c>
      <c r="W5" s="96">
        <v>2</v>
      </c>
      <c r="X5" s="97">
        <v>25</v>
      </c>
      <c r="Y5" s="81"/>
      <c r="Z5" s="81"/>
      <c r="AA5" s="80">
        <v>3</v>
      </c>
      <c r="AB5" s="122">
        <v>43013</v>
      </c>
      <c r="AC5" s="122" t="s">
        <v>194</v>
      </c>
      <c r="AD5" s="123">
        <v>46148</v>
      </c>
      <c r="AE5" s="122">
        <v>533.70000000000005</v>
      </c>
      <c r="AF5" s="123">
        <v>46126</v>
      </c>
      <c r="AG5" s="122" t="s">
        <v>10</v>
      </c>
      <c r="AH5" s="124">
        <v>52</v>
      </c>
    </row>
    <row r="6" spans="1:34" ht="13.8" thickBot="1" x14ac:dyDescent="0.3">
      <c r="A6" s="81"/>
      <c r="B6" s="93" t="s">
        <v>46</v>
      </c>
      <c r="C6" s="98">
        <v>1</v>
      </c>
      <c r="D6" s="99">
        <v>0</v>
      </c>
      <c r="E6" s="99">
        <v>1</v>
      </c>
      <c r="F6" s="100">
        <v>1</v>
      </c>
      <c r="G6" s="98">
        <v>0</v>
      </c>
      <c r="H6" s="99">
        <v>3</v>
      </c>
      <c r="I6" s="99">
        <v>1</v>
      </c>
      <c r="J6" s="99">
        <v>2</v>
      </c>
      <c r="K6" s="100">
        <v>1</v>
      </c>
      <c r="L6" s="98">
        <v>1</v>
      </c>
      <c r="M6" s="99">
        <v>1</v>
      </c>
      <c r="N6" s="99">
        <v>0</v>
      </c>
      <c r="O6" s="99">
        <v>2</v>
      </c>
      <c r="P6" s="100">
        <v>2</v>
      </c>
      <c r="Q6" s="98">
        <v>0</v>
      </c>
      <c r="R6" s="99">
        <v>0</v>
      </c>
      <c r="S6" s="99">
        <v>0</v>
      </c>
      <c r="T6" s="99">
        <v>1</v>
      </c>
      <c r="U6" s="100">
        <v>1</v>
      </c>
      <c r="V6" s="98"/>
      <c r="W6" s="100">
        <v>2</v>
      </c>
      <c r="X6" s="97">
        <v>20</v>
      </c>
      <c r="Y6" s="101">
        <v>-5</v>
      </c>
      <c r="Z6" s="81"/>
      <c r="AA6" s="80">
        <v>4</v>
      </c>
      <c r="AB6" s="122">
        <v>38936</v>
      </c>
      <c r="AC6" s="122" t="s">
        <v>195</v>
      </c>
      <c r="AD6" s="123">
        <v>46271</v>
      </c>
      <c r="AE6" s="122">
        <v>179.85</v>
      </c>
      <c r="AF6" s="123">
        <v>46133</v>
      </c>
      <c r="AG6" s="122" t="s">
        <v>64</v>
      </c>
      <c r="AH6" s="124">
        <v>49</v>
      </c>
    </row>
    <row r="7" spans="1:34" ht="13.2" x14ac:dyDescent="0.25">
      <c r="A7" s="81"/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0">
        <v>5</v>
      </c>
      <c r="AB7" s="122">
        <v>7546</v>
      </c>
      <c r="AC7" s="122" t="s">
        <v>196</v>
      </c>
      <c r="AD7" s="123">
        <v>46271</v>
      </c>
      <c r="AE7" s="122">
        <v>369.95</v>
      </c>
      <c r="AF7" s="123">
        <v>46135</v>
      </c>
      <c r="AG7" s="122" t="s">
        <v>10</v>
      </c>
      <c r="AH7" s="124">
        <v>47</v>
      </c>
    </row>
    <row r="8" spans="1:34" ht="13.2" x14ac:dyDescent="0.25">
      <c r="A8" s="81"/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115">
        <v>6</v>
      </c>
      <c r="AB8" s="125">
        <v>34899</v>
      </c>
      <c r="AC8" s="125" t="s">
        <v>197</v>
      </c>
      <c r="AD8" s="126">
        <v>46271</v>
      </c>
      <c r="AE8" s="125">
        <v>363.95</v>
      </c>
      <c r="AF8" s="126">
        <v>46071</v>
      </c>
      <c r="AG8" s="125" t="s">
        <v>10</v>
      </c>
      <c r="AH8" s="125">
        <v>111</v>
      </c>
    </row>
    <row r="9" spans="1:34" ht="13.2" x14ac:dyDescent="0.25">
      <c r="A9" s="81"/>
      <c r="B9" s="102" t="s">
        <v>49</v>
      </c>
      <c r="C9" s="76">
        <v>1</v>
      </c>
      <c r="D9" s="77">
        <v>2</v>
      </c>
      <c r="E9" s="77">
        <v>3</v>
      </c>
      <c r="F9" s="78">
        <v>5</v>
      </c>
      <c r="G9" s="76">
        <v>8</v>
      </c>
      <c r="H9" s="77">
        <v>9</v>
      </c>
      <c r="I9" s="77">
        <v>10</v>
      </c>
      <c r="J9" s="77">
        <v>11</v>
      </c>
      <c r="K9" s="78">
        <v>12</v>
      </c>
      <c r="L9" s="76">
        <v>15</v>
      </c>
      <c r="M9" s="77">
        <v>16</v>
      </c>
      <c r="N9" s="77">
        <v>17</v>
      </c>
      <c r="O9" s="77">
        <v>18</v>
      </c>
      <c r="P9" s="78">
        <v>19</v>
      </c>
      <c r="Q9" s="76">
        <v>22</v>
      </c>
      <c r="R9" s="77">
        <v>23</v>
      </c>
      <c r="S9" s="77">
        <v>24</v>
      </c>
      <c r="T9" s="77">
        <v>25</v>
      </c>
      <c r="U9" s="78">
        <v>26</v>
      </c>
      <c r="V9" s="76">
        <v>29</v>
      </c>
      <c r="W9" s="78">
        <v>30</v>
      </c>
      <c r="X9" s="81"/>
      <c r="Y9" s="81"/>
      <c r="Z9" s="81"/>
      <c r="AA9" s="80">
        <v>7</v>
      </c>
      <c r="AB9" s="122">
        <v>25124</v>
      </c>
      <c r="AC9" s="122" t="s">
        <v>198</v>
      </c>
      <c r="AD9" s="123">
        <v>46301</v>
      </c>
      <c r="AE9" s="122">
        <v>349.55</v>
      </c>
      <c r="AF9" s="123">
        <v>46134</v>
      </c>
      <c r="AG9" s="122" t="s">
        <v>10</v>
      </c>
      <c r="AH9" s="124">
        <v>49</v>
      </c>
    </row>
    <row r="10" spans="1:34" ht="13.2" x14ac:dyDescent="0.25">
      <c r="A10" s="81"/>
      <c r="B10" s="90" t="s">
        <v>15</v>
      </c>
      <c r="C10" s="95">
        <v>15</v>
      </c>
      <c r="D10" s="95"/>
      <c r="E10" s="95">
        <v>8</v>
      </c>
      <c r="F10" s="2">
        <v>9</v>
      </c>
      <c r="G10" s="2">
        <v>5</v>
      </c>
      <c r="H10" s="95">
        <v>7</v>
      </c>
      <c r="I10" s="95">
        <v>7</v>
      </c>
      <c r="J10" s="95">
        <v>8</v>
      </c>
      <c r="K10" s="95"/>
      <c r="L10" s="106">
        <v>1</v>
      </c>
      <c r="M10" s="95">
        <v>13</v>
      </c>
      <c r="N10" s="95">
        <v>13</v>
      </c>
      <c r="O10" s="95"/>
      <c r="P10" s="95">
        <v>14</v>
      </c>
      <c r="Q10" s="95">
        <v>13</v>
      </c>
      <c r="R10" s="107">
        <v>5</v>
      </c>
      <c r="S10" s="74">
        <v>7</v>
      </c>
      <c r="T10" s="108">
        <v>7</v>
      </c>
      <c r="U10" s="109">
        <v>13</v>
      </c>
      <c r="V10" s="95">
        <v>6</v>
      </c>
      <c r="W10" s="95"/>
      <c r="X10" s="81"/>
      <c r="Y10" s="81"/>
      <c r="Z10" s="81"/>
      <c r="AA10" s="80">
        <v>8</v>
      </c>
      <c r="AB10" s="122">
        <v>25071</v>
      </c>
      <c r="AC10" s="122" t="s">
        <v>199</v>
      </c>
      <c r="AD10" s="123">
        <v>46332</v>
      </c>
      <c r="AE10" s="122">
        <v>211.05</v>
      </c>
      <c r="AF10" s="123">
        <v>46269</v>
      </c>
      <c r="AG10" s="122" t="s">
        <v>10</v>
      </c>
      <c r="AH10" s="124">
        <v>63</v>
      </c>
    </row>
    <row r="11" spans="1:34" ht="13.2" x14ac:dyDescent="0.25">
      <c r="A11" s="81"/>
      <c r="B11" s="90" t="s">
        <v>16</v>
      </c>
      <c r="C11" s="95">
        <v>4</v>
      </c>
      <c r="D11" s="95"/>
      <c r="E11" s="95">
        <v>4</v>
      </c>
      <c r="F11" s="2">
        <v>2</v>
      </c>
      <c r="G11" s="2">
        <v>2</v>
      </c>
      <c r="H11" s="95">
        <v>4</v>
      </c>
      <c r="I11" s="95">
        <v>4</v>
      </c>
      <c r="J11" s="95">
        <v>4</v>
      </c>
      <c r="K11" s="95"/>
      <c r="L11" s="106">
        <v>3</v>
      </c>
      <c r="M11" s="95">
        <v>3</v>
      </c>
      <c r="N11" s="95">
        <v>3</v>
      </c>
      <c r="O11" s="95"/>
      <c r="P11" s="95">
        <v>3</v>
      </c>
      <c r="Q11" s="95">
        <v>4</v>
      </c>
      <c r="R11" s="107">
        <v>1</v>
      </c>
      <c r="S11" s="74">
        <v>2</v>
      </c>
      <c r="T11" s="108">
        <v>2</v>
      </c>
      <c r="U11" s="109">
        <v>2</v>
      </c>
      <c r="V11" s="95">
        <v>8</v>
      </c>
      <c r="W11" s="95"/>
      <c r="X11" s="81"/>
      <c r="Y11" s="81"/>
      <c r="Z11" s="81"/>
      <c r="AA11" s="115">
        <v>9</v>
      </c>
      <c r="AB11" s="125">
        <v>40561</v>
      </c>
      <c r="AC11" s="125" t="s">
        <v>200</v>
      </c>
      <c r="AD11" s="126">
        <v>46332</v>
      </c>
      <c r="AE11" s="125">
        <v>7224.1</v>
      </c>
      <c r="AF11" s="126">
        <v>46079</v>
      </c>
      <c r="AG11" s="125" t="s">
        <v>10</v>
      </c>
      <c r="AH11" s="125">
        <v>105</v>
      </c>
    </row>
    <row r="12" spans="1:34" ht="13.2" x14ac:dyDescent="0.25">
      <c r="A12" s="81"/>
      <c r="B12" s="90" t="s">
        <v>17</v>
      </c>
      <c r="C12" s="95">
        <v>4</v>
      </c>
      <c r="D12" s="95"/>
      <c r="E12" s="95">
        <v>4</v>
      </c>
      <c r="F12" s="2">
        <v>2</v>
      </c>
      <c r="G12" s="2">
        <v>2</v>
      </c>
      <c r="H12" s="95">
        <v>3</v>
      </c>
      <c r="I12" s="95">
        <v>3</v>
      </c>
      <c r="J12" s="95">
        <v>3</v>
      </c>
      <c r="K12" s="95"/>
      <c r="L12" s="106">
        <v>2</v>
      </c>
      <c r="M12" s="95">
        <v>2</v>
      </c>
      <c r="N12" s="95">
        <v>3</v>
      </c>
      <c r="O12" s="95"/>
      <c r="P12" s="95">
        <v>2</v>
      </c>
      <c r="Q12" s="95">
        <v>3</v>
      </c>
      <c r="R12" s="107">
        <v>1</v>
      </c>
      <c r="S12" s="74">
        <v>3</v>
      </c>
      <c r="T12" s="108">
        <v>2</v>
      </c>
      <c r="U12" s="109">
        <v>2</v>
      </c>
      <c r="V12" s="95">
        <v>3</v>
      </c>
      <c r="W12" s="95"/>
      <c r="X12" s="81"/>
      <c r="Y12" s="81"/>
      <c r="Z12" s="81"/>
      <c r="AA12" s="80">
        <v>10</v>
      </c>
      <c r="AB12" s="122">
        <v>44255</v>
      </c>
      <c r="AC12" s="122" t="s">
        <v>201</v>
      </c>
      <c r="AD12" s="123">
        <v>46362</v>
      </c>
      <c r="AE12" s="122">
        <v>380.76</v>
      </c>
      <c r="AF12" s="123">
        <v>46128</v>
      </c>
      <c r="AG12" s="122" t="s">
        <v>65</v>
      </c>
      <c r="AH12" s="124">
        <v>57</v>
      </c>
    </row>
    <row r="13" spans="1:34" ht="13.2" x14ac:dyDescent="0.25">
      <c r="A13" s="81"/>
      <c r="B13" s="90" t="s">
        <v>18</v>
      </c>
      <c r="C13" s="95">
        <v>1</v>
      </c>
      <c r="D13" s="95"/>
      <c r="E13" s="95">
        <v>1</v>
      </c>
      <c r="F13" s="2">
        <v>4</v>
      </c>
      <c r="G13" s="2">
        <v>4</v>
      </c>
      <c r="H13" s="95">
        <v>1</v>
      </c>
      <c r="I13" s="95">
        <v>1</v>
      </c>
      <c r="J13" s="95">
        <v>0</v>
      </c>
      <c r="K13" s="95"/>
      <c r="L13" s="106">
        <v>2</v>
      </c>
      <c r="M13" s="95">
        <v>2</v>
      </c>
      <c r="N13" s="95">
        <v>0</v>
      </c>
      <c r="O13" s="95"/>
      <c r="P13" s="95">
        <v>0</v>
      </c>
      <c r="Q13" s="95">
        <v>0</v>
      </c>
      <c r="R13" s="107">
        <v>0</v>
      </c>
      <c r="S13" s="74">
        <v>1</v>
      </c>
      <c r="T13" s="108">
        <v>2</v>
      </c>
      <c r="U13" s="109">
        <v>2</v>
      </c>
      <c r="V13" s="95">
        <v>1</v>
      </c>
      <c r="W13" s="95"/>
      <c r="X13" s="81"/>
      <c r="Y13" s="81"/>
      <c r="Z13" s="81"/>
      <c r="AA13" s="80">
        <v>11</v>
      </c>
      <c r="AB13" s="122">
        <v>44062</v>
      </c>
      <c r="AC13" s="122" t="s">
        <v>202</v>
      </c>
      <c r="AD13" s="123">
        <v>46188</v>
      </c>
      <c r="AE13" s="122">
        <v>275.35000000000002</v>
      </c>
      <c r="AF13" s="123">
        <v>46139</v>
      </c>
      <c r="AG13" s="122" t="s">
        <v>10</v>
      </c>
      <c r="AH13" s="124">
        <v>49</v>
      </c>
    </row>
    <row r="14" spans="1:34" ht="13.2" x14ac:dyDescent="0.25">
      <c r="A14" s="81"/>
      <c r="B14" s="90" t="s">
        <v>51</v>
      </c>
      <c r="C14" s="95">
        <v>131</v>
      </c>
      <c r="D14" s="95"/>
      <c r="E14" s="95">
        <v>130</v>
      </c>
      <c r="F14" s="2">
        <v>130</v>
      </c>
      <c r="G14" s="2">
        <v>132</v>
      </c>
      <c r="H14" s="106">
        <v>135</v>
      </c>
      <c r="I14" s="95">
        <v>135</v>
      </c>
      <c r="J14" s="95">
        <v>135</v>
      </c>
      <c r="K14" s="95"/>
      <c r="L14" s="106">
        <v>136</v>
      </c>
      <c r="M14" s="95">
        <v>144</v>
      </c>
      <c r="N14" s="95">
        <v>142</v>
      </c>
      <c r="O14" s="95"/>
      <c r="P14" s="95">
        <v>139</v>
      </c>
      <c r="Q14" s="95">
        <v>138</v>
      </c>
      <c r="R14" s="107">
        <v>137</v>
      </c>
      <c r="S14" s="74">
        <v>145</v>
      </c>
      <c r="T14" s="108">
        <v>136</v>
      </c>
      <c r="U14" s="80">
        <v>136</v>
      </c>
      <c r="V14" s="95">
        <v>128</v>
      </c>
      <c r="W14" s="95"/>
      <c r="X14" s="81"/>
      <c r="Y14" s="81"/>
      <c r="Z14" s="81"/>
      <c r="AA14" s="80">
        <v>12</v>
      </c>
      <c r="AB14" s="122">
        <v>38812</v>
      </c>
      <c r="AC14" s="122" t="s">
        <v>203</v>
      </c>
      <c r="AD14" s="123">
        <v>46189</v>
      </c>
      <c r="AE14" s="122">
        <v>238.95</v>
      </c>
      <c r="AF14" s="123">
        <v>46057</v>
      </c>
      <c r="AG14" s="122" t="s">
        <v>10</v>
      </c>
      <c r="AH14" s="124">
        <v>75</v>
      </c>
    </row>
    <row r="15" spans="1:34" ht="13.2" x14ac:dyDescent="0.25">
      <c r="A15" s="81"/>
      <c r="B15" s="90" t="s">
        <v>52</v>
      </c>
      <c r="C15" s="95">
        <v>49</v>
      </c>
      <c r="D15" s="95"/>
      <c r="E15" s="95">
        <v>48</v>
      </c>
      <c r="F15" s="2">
        <v>46</v>
      </c>
      <c r="G15" s="2">
        <v>47</v>
      </c>
      <c r="H15" s="95">
        <v>52</v>
      </c>
      <c r="I15" s="95">
        <v>52</v>
      </c>
      <c r="J15" s="95">
        <v>51</v>
      </c>
      <c r="K15" s="95"/>
      <c r="L15" s="106">
        <v>53</v>
      </c>
      <c r="M15" s="95">
        <v>55</v>
      </c>
      <c r="N15" s="95">
        <v>56</v>
      </c>
      <c r="O15" s="95"/>
      <c r="P15" s="95">
        <v>56</v>
      </c>
      <c r="Q15" s="95">
        <v>56</v>
      </c>
      <c r="R15" s="107">
        <v>58</v>
      </c>
      <c r="S15" s="74">
        <v>58</v>
      </c>
      <c r="T15" s="108">
        <v>61</v>
      </c>
      <c r="U15" s="110">
        <v>63</v>
      </c>
      <c r="V15" s="95">
        <v>69</v>
      </c>
      <c r="W15" s="95"/>
      <c r="X15" s="81"/>
      <c r="Y15" s="81"/>
      <c r="Z15" s="81"/>
      <c r="AA15" s="80">
        <v>13</v>
      </c>
      <c r="AB15" s="122">
        <v>39732</v>
      </c>
      <c r="AC15" s="122" t="s">
        <v>204</v>
      </c>
      <c r="AD15" s="123">
        <v>46191</v>
      </c>
      <c r="AE15" s="122">
        <v>221.45</v>
      </c>
      <c r="AF15" s="123">
        <v>46106</v>
      </c>
      <c r="AG15" s="122" t="s">
        <v>66</v>
      </c>
      <c r="AH15" s="124">
        <v>85</v>
      </c>
    </row>
    <row r="16" spans="1:34" ht="13.2" x14ac:dyDescent="0.25">
      <c r="A16" s="81"/>
      <c r="B16" s="90" t="s">
        <v>22</v>
      </c>
      <c r="C16" s="95">
        <v>0</v>
      </c>
      <c r="D16" s="95"/>
      <c r="E16" s="95">
        <v>1</v>
      </c>
      <c r="F16" s="2">
        <v>2</v>
      </c>
      <c r="G16" s="2">
        <v>2</v>
      </c>
      <c r="H16" s="95">
        <v>3</v>
      </c>
      <c r="I16" s="95">
        <v>3</v>
      </c>
      <c r="J16" s="95">
        <v>3</v>
      </c>
      <c r="K16" s="95"/>
      <c r="L16" s="106">
        <v>3</v>
      </c>
      <c r="M16" s="95">
        <v>3</v>
      </c>
      <c r="N16" s="95">
        <v>3</v>
      </c>
      <c r="O16" s="95"/>
      <c r="P16" s="95">
        <v>3</v>
      </c>
      <c r="Q16" s="95">
        <v>3</v>
      </c>
      <c r="R16" s="107">
        <v>4</v>
      </c>
      <c r="S16" s="74">
        <v>5</v>
      </c>
      <c r="T16" s="108">
        <v>6</v>
      </c>
      <c r="U16" s="80">
        <v>7</v>
      </c>
      <c r="V16" s="95">
        <v>7</v>
      </c>
      <c r="W16" s="95"/>
      <c r="X16" s="81"/>
      <c r="Y16" s="81"/>
      <c r="Z16" s="81"/>
      <c r="AA16" s="80">
        <v>14</v>
      </c>
      <c r="AB16" s="122">
        <v>35511</v>
      </c>
      <c r="AC16" s="122" t="s">
        <v>205</v>
      </c>
      <c r="AD16" s="123">
        <v>46191</v>
      </c>
      <c r="AE16" s="122">
        <v>413.4</v>
      </c>
      <c r="AF16" s="123">
        <v>46269</v>
      </c>
      <c r="AG16" s="122" t="s">
        <v>10</v>
      </c>
      <c r="AH16" s="124">
        <v>70</v>
      </c>
    </row>
    <row r="17" spans="1:34" ht="13.2" x14ac:dyDescent="0.25">
      <c r="A17" s="81"/>
      <c r="B17" s="90" t="s">
        <v>23</v>
      </c>
      <c r="C17" s="95">
        <v>0</v>
      </c>
      <c r="D17" s="95"/>
      <c r="E17" s="95">
        <v>6</v>
      </c>
      <c r="F17" s="2">
        <v>6</v>
      </c>
      <c r="G17" s="2">
        <v>6</v>
      </c>
      <c r="H17" s="95">
        <v>7</v>
      </c>
      <c r="I17" s="95">
        <v>7</v>
      </c>
      <c r="J17" s="95">
        <v>7</v>
      </c>
      <c r="K17" s="95"/>
      <c r="L17" s="106">
        <v>7</v>
      </c>
      <c r="M17" s="95">
        <v>8</v>
      </c>
      <c r="N17" s="95">
        <v>8</v>
      </c>
      <c r="O17" s="95"/>
      <c r="P17" s="95">
        <v>8</v>
      </c>
      <c r="Q17" s="95">
        <v>8</v>
      </c>
      <c r="R17" s="107">
        <v>8</v>
      </c>
      <c r="S17" s="74">
        <v>8</v>
      </c>
      <c r="T17" s="108">
        <v>8</v>
      </c>
      <c r="U17" s="80">
        <v>9</v>
      </c>
      <c r="V17" s="95">
        <v>10</v>
      </c>
      <c r="W17" s="95"/>
      <c r="X17" s="81"/>
      <c r="Y17" s="81"/>
      <c r="Z17" s="81"/>
      <c r="AA17" s="80">
        <v>15</v>
      </c>
      <c r="AB17" s="122">
        <v>29827</v>
      </c>
      <c r="AC17" s="122" t="s">
        <v>206</v>
      </c>
      <c r="AD17" s="123">
        <v>46192</v>
      </c>
      <c r="AE17" s="122">
        <v>265.14999999999998</v>
      </c>
      <c r="AF17" s="123">
        <v>46135</v>
      </c>
      <c r="AG17" s="122" t="s">
        <v>10</v>
      </c>
      <c r="AH17" s="124">
        <v>57</v>
      </c>
    </row>
    <row r="18" spans="1:34" ht="13.2" x14ac:dyDescent="0.25">
      <c r="A18" s="81"/>
      <c r="B18" s="90" t="s">
        <v>24</v>
      </c>
      <c r="C18" s="95">
        <v>0</v>
      </c>
      <c r="D18" s="95"/>
      <c r="E18" s="95">
        <v>0</v>
      </c>
      <c r="F18" s="2">
        <v>1</v>
      </c>
      <c r="G18" s="2">
        <v>1</v>
      </c>
      <c r="H18" s="95">
        <v>1</v>
      </c>
      <c r="I18" s="95">
        <v>1</v>
      </c>
      <c r="J18" s="95">
        <v>1</v>
      </c>
      <c r="K18" s="95"/>
      <c r="L18" s="106">
        <v>3</v>
      </c>
      <c r="M18" s="95">
        <v>5</v>
      </c>
      <c r="N18" s="95">
        <v>6</v>
      </c>
      <c r="O18" s="95"/>
      <c r="P18" s="95">
        <v>14</v>
      </c>
      <c r="Q18" s="95">
        <v>15</v>
      </c>
      <c r="R18" s="107">
        <v>16</v>
      </c>
      <c r="S18" s="74">
        <v>19</v>
      </c>
      <c r="T18" s="108">
        <v>23</v>
      </c>
      <c r="U18" s="80">
        <v>24</v>
      </c>
      <c r="V18" s="95">
        <v>28</v>
      </c>
      <c r="W18" s="95"/>
      <c r="X18" s="81"/>
      <c r="Y18" s="81"/>
      <c r="Z18" s="81"/>
      <c r="AA18" s="80">
        <v>16</v>
      </c>
      <c r="AB18" s="122">
        <v>32789</v>
      </c>
      <c r="AC18" s="122" t="s">
        <v>207</v>
      </c>
      <c r="AD18" s="123">
        <v>46192</v>
      </c>
      <c r="AE18" s="122">
        <v>501.46</v>
      </c>
      <c r="AF18" s="123">
        <v>46107</v>
      </c>
      <c r="AG18" s="122" t="s">
        <v>10</v>
      </c>
      <c r="AH18" s="124">
        <v>85</v>
      </c>
    </row>
    <row r="19" spans="1:34" ht="13.2" x14ac:dyDescent="0.25">
      <c r="A19" s="81"/>
      <c r="B19" s="90" t="s">
        <v>25</v>
      </c>
      <c r="C19" s="95">
        <v>0</v>
      </c>
      <c r="D19" s="95"/>
      <c r="E19" s="95">
        <v>0</v>
      </c>
      <c r="F19" s="2">
        <v>0</v>
      </c>
      <c r="G19" s="2">
        <v>1</v>
      </c>
      <c r="H19" s="95">
        <v>2</v>
      </c>
      <c r="I19" s="95">
        <v>2</v>
      </c>
      <c r="J19" s="95">
        <v>2</v>
      </c>
      <c r="K19" s="95"/>
      <c r="L19" s="106">
        <v>2</v>
      </c>
      <c r="M19" s="95">
        <v>4</v>
      </c>
      <c r="N19" s="95">
        <v>4</v>
      </c>
      <c r="O19" s="95"/>
      <c r="P19" s="95">
        <v>5</v>
      </c>
      <c r="Q19" s="95">
        <v>5</v>
      </c>
      <c r="R19" s="107">
        <v>5</v>
      </c>
      <c r="S19" s="74">
        <v>11</v>
      </c>
      <c r="T19" s="108">
        <v>10</v>
      </c>
      <c r="U19" s="80">
        <v>9</v>
      </c>
      <c r="V19" s="95">
        <v>11</v>
      </c>
      <c r="W19" s="95"/>
      <c r="X19" s="81"/>
      <c r="Y19" s="81"/>
      <c r="Z19" s="81"/>
      <c r="AA19" s="119">
        <v>17</v>
      </c>
      <c r="AB19" s="127">
        <v>43804</v>
      </c>
      <c r="AC19" s="127" t="s">
        <v>208</v>
      </c>
      <c r="AD19" s="128">
        <v>46198</v>
      </c>
      <c r="AE19" s="127">
        <v>300.68</v>
      </c>
      <c r="AF19" s="128">
        <v>46128</v>
      </c>
      <c r="AG19" s="127" t="s">
        <v>10</v>
      </c>
      <c r="AH19" s="129">
        <v>70</v>
      </c>
    </row>
    <row r="20" spans="1:34" ht="13.2" x14ac:dyDescent="0.25">
      <c r="A20" s="81"/>
      <c r="B20" s="90" t="s">
        <v>26</v>
      </c>
      <c r="C20" s="95">
        <v>0</v>
      </c>
      <c r="D20" s="95"/>
      <c r="E20" s="95">
        <v>0</v>
      </c>
      <c r="F20" s="2">
        <v>0</v>
      </c>
      <c r="G20" s="2">
        <v>0</v>
      </c>
      <c r="H20" s="95">
        <v>0</v>
      </c>
      <c r="I20" s="95">
        <v>0</v>
      </c>
      <c r="J20" s="95">
        <v>0</v>
      </c>
      <c r="K20" s="95"/>
      <c r="L20" s="106">
        <v>0</v>
      </c>
      <c r="M20" s="95">
        <v>2</v>
      </c>
      <c r="N20" s="95">
        <v>2</v>
      </c>
      <c r="O20" s="95"/>
      <c r="P20" s="95">
        <v>3</v>
      </c>
      <c r="Q20" s="95">
        <v>3</v>
      </c>
      <c r="R20" s="107">
        <v>3</v>
      </c>
      <c r="S20" s="74">
        <v>4</v>
      </c>
      <c r="T20" s="108">
        <v>4</v>
      </c>
      <c r="U20" s="80">
        <v>5</v>
      </c>
      <c r="V20" s="95">
        <v>5</v>
      </c>
      <c r="W20" s="95"/>
      <c r="X20" s="81"/>
      <c r="Y20" s="81"/>
      <c r="Z20" s="81"/>
      <c r="AA20" s="80">
        <v>18</v>
      </c>
      <c r="AB20" s="122">
        <v>13483</v>
      </c>
      <c r="AC20" s="122" t="s">
        <v>209</v>
      </c>
      <c r="AD20" s="123">
        <v>46199</v>
      </c>
      <c r="AE20" s="122">
        <v>179.85</v>
      </c>
      <c r="AF20" s="123">
        <v>46135</v>
      </c>
      <c r="AG20" s="122" t="s">
        <v>10</v>
      </c>
      <c r="AH20" s="124">
        <v>64</v>
      </c>
    </row>
    <row r="21" spans="1:34" ht="13.2" x14ac:dyDescent="0.25">
      <c r="A21" s="81"/>
      <c r="B21" s="102" t="s">
        <v>11</v>
      </c>
      <c r="C21" s="102">
        <v>204</v>
      </c>
      <c r="D21" s="102">
        <v>0</v>
      </c>
      <c r="E21" s="102">
        <v>202</v>
      </c>
      <c r="F21" s="102">
        <v>201</v>
      </c>
      <c r="G21" s="102">
        <v>200</v>
      </c>
      <c r="H21" s="102">
        <v>215</v>
      </c>
      <c r="I21" s="102">
        <v>215</v>
      </c>
      <c r="J21" s="102">
        <v>214</v>
      </c>
      <c r="K21" s="102">
        <v>0</v>
      </c>
      <c r="L21" s="102">
        <v>212</v>
      </c>
      <c r="M21" s="102">
        <v>241</v>
      </c>
      <c r="N21" s="102">
        <v>240</v>
      </c>
      <c r="O21" s="102">
        <v>0</v>
      </c>
      <c r="P21" s="102">
        <v>247</v>
      </c>
      <c r="Q21" s="102">
        <v>248</v>
      </c>
      <c r="R21" s="102">
        <v>238</v>
      </c>
      <c r="S21" s="102">
        <v>263</v>
      </c>
      <c r="T21" s="102">
        <v>261</v>
      </c>
      <c r="U21" s="102">
        <v>272</v>
      </c>
      <c r="V21" s="102">
        <v>276</v>
      </c>
      <c r="W21" s="102">
        <v>0</v>
      </c>
      <c r="X21" s="81"/>
      <c r="Y21" s="81"/>
      <c r="Z21" s="81"/>
      <c r="AA21" s="115">
        <v>19</v>
      </c>
      <c r="AB21" s="125">
        <v>42832</v>
      </c>
      <c r="AC21" s="125" t="s">
        <v>210</v>
      </c>
      <c r="AD21" s="126">
        <v>46203</v>
      </c>
      <c r="AE21" s="125">
        <v>253.61</v>
      </c>
      <c r="AF21" s="126">
        <v>46108</v>
      </c>
      <c r="AG21" s="125" t="s">
        <v>10</v>
      </c>
      <c r="AH21" s="125">
        <v>95</v>
      </c>
    </row>
    <row r="22" spans="1:34" ht="13.2" x14ac:dyDescent="0.25">
      <c r="A22" s="81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115">
        <v>20</v>
      </c>
      <c r="AB22" s="125">
        <v>39094</v>
      </c>
      <c r="AC22" s="125" t="s">
        <v>211</v>
      </c>
      <c r="AD22" s="126">
        <v>46203</v>
      </c>
      <c r="AE22" s="125">
        <v>177.74</v>
      </c>
      <c r="AF22" s="126">
        <v>46359</v>
      </c>
      <c r="AG22" s="125" t="s">
        <v>10</v>
      </c>
      <c r="AH22" s="125">
        <v>110</v>
      </c>
    </row>
    <row r="23" spans="1:34" ht="13.2" x14ac:dyDescent="0.25">
      <c r="A23" s="81"/>
      <c r="B23" s="75" t="s">
        <v>53</v>
      </c>
      <c r="C23" s="76">
        <v>1</v>
      </c>
      <c r="D23" s="77">
        <v>2</v>
      </c>
      <c r="E23" s="77">
        <v>3</v>
      </c>
      <c r="F23" s="78">
        <v>5</v>
      </c>
      <c r="G23" s="76">
        <v>8</v>
      </c>
      <c r="H23" s="77">
        <v>9</v>
      </c>
      <c r="I23" s="77">
        <v>10</v>
      </c>
      <c r="J23" s="77">
        <v>11</v>
      </c>
      <c r="K23" s="78">
        <v>12</v>
      </c>
      <c r="L23" s="76">
        <v>15</v>
      </c>
      <c r="M23" s="77">
        <v>16</v>
      </c>
      <c r="N23" s="77">
        <v>17</v>
      </c>
      <c r="O23" s="77">
        <v>18</v>
      </c>
      <c r="P23" s="78">
        <v>19</v>
      </c>
      <c r="Q23" s="76">
        <v>22</v>
      </c>
      <c r="R23" s="77">
        <v>23</v>
      </c>
      <c r="S23" s="77">
        <v>24</v>
      </c>
      <c r="T23" s="77">
        <v>25</v>
      </c>
      <c r="U23" s="78">
        <v>26</v>
      </c>
      <c r="V23" s="76">
        <v>29</v>
      </c>
      <c r="W23" s="78">
        <v>30</v>
      </c>
      <c r="X23" s="79" t="s">
        <v>11</v>
      </c>
      <c r="Y23" s="81"/>
      <c r="Z23" s="81"/>
      <c r="AA23" s="74"/>
      <c r="AB23" s="124"/>
      <c r="AC23" s="124"/>
      <c r="AD23" s="124"/>
      <c r="AE23" s="124"/>
      <c r="AF23" s="124"/>
      <c r="AG23" s="124"/>
      <c r="AH23" s="130"/>
    </row>
    <row r="24" spans="1:34" ht="13.2" x14ac:dyDescent="0.25">
      <c r="A24" s="81"/>
      <c r="B24" s="74" t="s">
        <v>2</v>
      </c>
      <c r="C24" s="80">
        <v>17</v>
      </c>
      <c r="D24" s="80">
        <v>17</v>
      </c>
      <c r="E24" s="80">
        <v>17</v>
      </c>
      <c r="F24" s="80">
        <v>17</v>
      </c>
      <c r="G24" s="80">
        <v>17</v>
      </c>
      <c r="H24" s="80">
        <v>17</v>
      </c>
      <c r="I24" s="80">
        <v>17</v>
      </c>
      <c r="J24" s="80">
        <v>17</v>
      </c>
      <c r="K24" s="80">
        <v>17</v>
      </c>
      <c r="L24" s="80">
        <v>17</v>
      </c>
      <c r="M24" s="80">
        <v>17</v>
      </c>
      <c r="N24" s="80">
        <v>17</v>
      </c>
      <c r="O24" s="80">
        <v>17</v>
      </c>
      <c r="P24" s="80">
        <v>17</v>
      </c>
      <c r="Q24" s="80">
        <v>17</v>
      </c>
      <c r="R24" s="80">
        <v>17</v>
      </c>
      <c r="S24" s="80">
        <v>17</v>
      </c>
      <c r="T24" s="80">
        <v>16</v>
      </c>
      <c r="U24" s="80">
        <v>15</v>
      </c>
      <c r="V24" s="80">
        <v>15</v>
      </c>
      <c r="W24" s="80">
        <v>15</v>
      </c>
      <c r="X24" s="74">
        <v>350</v>
      </c>
      <c r="Y24" s="81"/>
      <c r="Z24" s="81"/>
      <c r="AA24" s="74"/>
      <c r="AB24" s="124"/>
      <c r="AC24" s="124"/>
      <c r="AD24" s="124"/>
      <c r="AE24" s="124"/>
      <c r="AF24" s="124"/>
      <c r="AG24" s="124"/>
      <c r="AH24" s="130"/>
    </row>
    <row r="25" spans="1:34" ht="13.2" x14ac:dyDescent="0.25">
      <c r="A25" s="81"/>
      <c r="B25" s="74" t="s">
        <v>115</v>
      </c>
      <c r="C25" s="80">
        <v>12</v>
      </c>
      <c r="D25" s="80">
        <v>8</v>
      </c>
      <c r="E25" s="80">
        <v>10</v>
      </c>
      <c r="F25" s="80">
        <v>7</v>
      </c>
      <c r="G25" s="80">
        <v>13</v>
      </c>
      <c r="H25" s="80">
        <v>2</v>
      </c>
      <c r="I25" s="80">
        <v>0</v>
      </c>
      <c r="J25" s="80">
        <v>3</v>
      </c>
      <c r="K25" s="80">
        <v>12</v>
      </c>
      <c r="L25" s="80">
        <v>15</v>
      </c>
      <c r="M25" s="80">
        <v>24</v>
      </c>
      <c r="N25" s="80">
        <v>6</v>
      </c>
      <c r="O25" s="80">
        <v>11</v>
      </c>
      <c r="P25" s="80">
        <v>12</v>
      </c>
      <c r="Q25" s="80">
        <v>18</v>
      </c>
      <c r="R25" s="80">
        <v>11</v>
      </c>
      <c r="S25" s="80">
        <v>23</v>
      </c>
      <c r="T25" s="80">
        <v>34</v>
      </c>
      <c r="U25" s="80">
        <v>34</v>
      </c>
      <c r="V25" s="80">
        <v>10</v>
      </c>
      <c r="W25" s="80">
        <v>28</v>
      </c>
      <c r="X25" s="74">
        <v>293</v>
      </c>
      <c r="Y25" s="101">
        <v>-57</v>
      </c>
      <c r="Z25" s="81"/>
      <c r="AA25" s="81"/>
      <c r="AB25" s="121"/>
      <c r="AC25" s="121"/>
      <c r="AD25" s="121"/>
      <c r="AE25" s="131">
        <v>13225.55</v>
      </c>
      <c r="AF25" s="121"/>
      <c r="AG25" s="121"/>
      <c r="AH25" s="120"/>
    </row>
    <row r="26" spans="1:34" ht="13.2" x14ac:dyDescent="0.25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305"/>
      <c r="Y26" s="305"/>
      <c r="Z26" s="81"/>
      <c r="AA26" s="81"/>
      <c r="AB26" s="121"/>
      <c r="AC26" s="121"/>
      <c r="AD26" s="121"/>
      <c r="AE26" s="121"/>
      <c r="AF26" s="121"/>
      <c r="AG26" s="121"/>
      <c r="AH26" s="120"/>
    </row>
    <row r="27" spans="1:34" ht="13.2" x14ac:dyDescent="0.25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121"/>
      <c r="AC27" s="121"/>
      <c r="AD27" s="121"/>
      <c r="AE27" s="121"/>
      <c r="AF27" s="121"/>
      <c r="AG27" s="121"/>
      <c r="AH27" s="120"/>
    </row>
    <row r="28" spans="1:34" ht="13.2" x14ac:dyDescent="0.25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121"/>
      <c r="AC28" s="121"/>
      <c r="AD28" s="121"/>
      <c r="AE28" s="121"/>
      <c r="AF28" s="121"/>
      <c r="AG28" s="121"/>
      <c r="AH28" s="120"/>
    </row>
    <row r="29" spans="1:34" ht="13.2" x14ac:dyDescent="0.25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121"/>
      <c r="AC29" s="121"/>
      <c r="AD29" s="121"/>
      <c r="AE29" s="121"/>
      <c r="AF29" s="121"/>
      <c r="AG29" s="121"/>
      <c r="AH29" s="120"/>
    </row>
    <row r="30" spans="1:34" ht="13.2" x14ac:dyDescent="0.25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121"/>
      <c r="AC30" s="121"/>
      <c r="AD30" s="121"/>
      <c r="AE30" s="121"/>
      <c r="AF30" s="121"/>
      <c r="AG30" s="121"/>
      <c r="AH30" s="120"/>
    </row>
    <row r="31" spans="1:34" ht="13.2" x14ac:dyDescent="0.25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121"/>
      <c r="AC31" s="121"/>
      <c r="AD31" s="121"/>
      <c r="AE31" s="121"/>
      <c r="AF31" s="121"/>
      <c r="AG31" s="121"/>
      <c r="AH31" s="120"/>
    </row>
    <row r="32" spans="1:34" ht="13.2" x14ac:dyDescent="0.25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121"/>
      <c r="AC32" s="121"/>
      <c r="AD32" s="121"/>
      <c r="AE32" s="121"/>
      <c r="AF32" s="121"/>
      <c r="AG32" s="121"/>
      <c r="AH32" s="120"/>
    </row>
    <row r="33" spans="1:34" ht="13.2" x14ac:dyDescent="0.25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121"/>
      <c r="AC33" s="121"/>
      <c r="AD33" s="121"/>
      <c r="AE33" s="121"/>
      <c r="AF33" s="121"/>
      <c r="AG33" s="121"/>
      <c r="AH33" s="120"/>
    </row>
    <row r="34" spans="1:34" ht="13.2" x14ac:dyDescent="0.25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121"/>
      <c r="AC34" s="121"/>
      <c r="AD34" s="121"/>
      <c r="AE34" s="121"/>
      <c r="AF34" s="121"/>
      <c r="AG34" s="121"/>
      <c r="AH34" s="120"/>
    </row>
    <row r="35" spans="1:34" ht="13.2" x14ac:dyDescent="0.25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121"/>
      <c r="AC35" s="121"/>
      <c r="AD35" s="121"/>
      <c r="AE35" s="121"/>
      <c r="AF35" s="121"/>
      <c r="AG35" s="121"/>
      <c r="AH35" s="120"/>
    </row>
    <row r="36" spans="1:34" ht="13.2" x14ac:dyDescent="0.25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121"/>
      <c r="AC36" s="121"/>
      <c r="AD36" s="121"/>
      <c r="AE36" s="121"/>
      <c r="AF36" s="121"/>
      <c r="AG36" s="121"/>
      <c r="AH36" s="120"/>
    </row>
    <row r="37" spans="1:34" ht="13.2" x14ac:dyDescent="0.25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121"/>
      <c r="AC37" s="121"/>
      <c r="AD37" s="121"/>
      <c r="AE37" s="121"/>
      <c r="AF37" s="121"/>
      <c r="AG37" s="121"/>
      <c r="AH37" s="120"/>
    </row>
    <row r="38" spans="1:34" ht="13.2" x14ac:dyDescent="0.25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121"/>
      <c r="AC38" s="121"/>
      <c r="AD38" s="121"/>
      <c r="AE38" s="121"/>
      <c r="AF38" s="121"/>
      <c r="AG38" s="121"/>
      <c r="AH38" s="120"/>
    </row>
    <row r="39" spans="1:34" ht="13.2" x14ac:dyDescent="0.25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121"/>
      <c r="AC39" s="121"/>
      <c r="AD39" s="121"/>
      <c r="AE39" s="121"/>
      <c r="AF39" s="121"/>
      <c r="AG39" s="121"/>
      <c r="AH39" s="120"/>
    </row>
    <row r="40" spans="1:34" ht="13.2" x14ac:dyDescent="0.25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121"/>
      <c r="AC40" s="121"/>
      <c r="AD40" s="121"/>
      <c r="AE40" s="121"/>
      <c r="AF40" s="121"/>
      <c r="AG40" s="121"/>
      <c r="AH40" s="120"/>
    </row>
    <row r="41" spans="1:34" ht="13.2" x14ac:dyDescent="0.25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121"/>
      <c r="AC41" s="121"/>
      <c r="AD41" s="121"/>
      <c r="AE41" s="121"/>
      <c r="AF41" s="121"/>
      <c r="AG41" s="121"/>
      <c r="AH41" s="120"/>
    </row>
    <row r="42" spans="1:34" ht="13.2" x14ac:dyDescent="0.25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121"/>
      <c r="AC42" s="121"/>
      <c r="AD42" s="121"/>
      <c r="AE42" s="121"/>
      <c r="AF42" s="121"/>
      <c r="AG42" s="121"/>
      <c r="AH42" s="120"/>
    </row>
    <row r="43" spans="1:34" ht="13.2" x14ac:dyDescent="0.25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121"/>
      <c r="AC43" s="121"/>
      <c r="AD43" s="121"/>
      <c r="AE43" s="121"/>
      <c r="AF43" s="121"/>
      <c r="AG43" s="121"/>
      <c r="AH43" s="120"/>
    </row>
    <row r="44" spans="1:34" ht="13.2" x14ac:dyDescent="0.25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121"/>
      <c r="AC44" s="121"/>
      <c r="AD44" s="121"/>
      <c r="AE44" s="121"/>
      <c r="AF44" s="121"/>
      <c r="AG44" s="121"/>
      <c r="AH44" s="120"/>
    </row>
    <row r="45" spans="1:34" ht="13.2" x14ac:dyDescent="0.25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121"/>
      <c r="AC45" s="121"/>
      <c r="AD45" s="121"/>
      <c r="AE45" s="121"/>
      <c r="AF45" s="121"/>
      <c r="AG45" s="121"/>
      <c r="AH45" s="120"/>
    </row>
    <row r="46" spans="1:34" ht="13.2" x14ac:dyDescent="0.25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121"/>
      <c r="AC46" s="121"/>
      <c r="AD46" s="121"/>
      <c r="AE46" s="121"/>
      <c r="AF46" s="121"/>
      <c r="AG46" s="121"/>
      <c r="AH46" s="120"/>
    </row>
    <row r="47" spans="1:34" ht="13.2" x14ac:dyDescent="0.25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121"/>
      <c r="AC47" s="121"/>
      <c r="AD47" s="121"/>
      <c r="AE47" s="121"/>
      <c r="AF47" s="121"/>
      <c r="AG47" s="121"/>
      <c r="AH47" s="120"/>
    </row>
    <row r="48" spans="1:34" ht="13.2" x14ac:dyDescent="0.25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121"/>
      <c r="AC48" s="121"/>
      <c r="AD48" s="121"/>
      <c r="AE48" s="121"/>
      <c r="AF48" s="121"/>
      <c r="AG48" s="121"/>
      <c r="AH48" s="120"/>
    </row>
    <row r="49" spans="1:34" ht="13.2" x14ac:dyDescent="0.25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121"/>
      <c r="AC49" s="121"/>
      <c r="AD49" s="121"/>
      <c r="AE49" s="121"/>
      <c r="AF49" s="121"/>
      <c r="AG49" s="121"/>
      <c r="AH49" s="120"/>
    </row>
    <row r="50" spans="1:34" ht="13.2" x14ac:dyDescent="0.25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121"/>
      <c r="AC50" s="121"/>
      <c r="AD50" s="121"/>
      <c r="AE50" s="121"/>
      <c r="AF50" s="121"/>
      <c r="AG50" s="121"/>
      <c r="AH50" s="120"/>
    </row>
    <row r="51" spans="1:34" ht="13.2" x14ac:dyDescent="0.25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121"/>
      <c r="AC51" s="121"/>
      <c r="AD51" s="121"/>
      <c r="AE51" s="121"/>
      <c r="AF51" s="121"/>
      <c r="AG51" s="121"/>
      <c r="AH51" s="120"/>
    </row>
    <row r="52" spans="1:34" ht="13.2" x14ac:dyDescent="0.25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121"/>
      <c r="AC52" s="121"/>
      <c r="AD52" s="121"/>
      <c r="AE52" s="121"/>
      <c r="AF52" s="121"/>
      <c r="AG52" s="121"/>
      <c r="AH52" s="120"/>
    </row>
    <row r="53" spans="1:34" ht="13.2" x14ac:dyDescent="0.25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121"/>
      <c r="AC53" s="121"/>
      <c r="AD53" s="121"/>
      <c r="AE53" s="121"/>
      <c r="AF53" s="121"/>
      <c r="AG53" s="121"/>
      <c r="AH53" s="120"/>
    </row>
    <row r="54" spans="1:34" ht="13.2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121"/>
      <c r="AC54" s="121"/>
      <c r="AD54" s="121"/>
      <c r="AE54" s="121"/>
      <c r="AF54" s="121"/>
      <c r="AG54" s="121"/>
      <c r="AH54" s="120"/>
    </row>
    <row r="55" spans="1:34" ht="13.2" x14ac:dyDescent="0.2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121"/>
      <c r="AC55" s="121"/>
      <c r="AD55" s="121"/>
      <c r="AE55" s="121"/>
      <c r="AF55" s="121"/>
      <c r="AG55" s="121"/>
      <c r="AH55" s="120"/>
    </row>
    <row r="56" spans="1:34" ht="13.2" x14ac:dyDescent="0.25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121"/>
      <c r="AC56" s="121"/>
      <c r="AD56" s="121"/>
      <c r="AE56" s="121"/>
      <c r="AF56" s="121"/>
      <c r="AG56" s="121"/>
      <c r="AH56" s="120"/>
    </row>
    <row r="57" spans="1:34" ht="13.2" x14ac:dyDescent="0.25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121"/>
      <c r="AC57" s="121"/>
      <c r="AD57" s="121"/>
      <c r="AE57" s="121"/>
      <c r="AF57" s="121"/>
      <c r="AG57" s="121"/>
      <c r="AH57" s="120"/>
    </row>
    <row r="58" spans="1:34" ht="13.2" x14ac:dyDescent="0.25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121"/>
      <c r="AC58" s="121"/>
      <c r="AD58" s="121"/>
      <c r="AE58" s="121"/>
      <c r="AF58" s="121"/>
      <c r="AG58" s="121"/>
      <c r="AH58" s="120"/>
    </row>
    <row r="59" spans="1:34" ht="13.2" x14ac:dyDescent="0.25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121"/>
      <c r="AC59" s="121"/>
      <c r="AD59" s="121"/>
      <c r="AE59" s="121"/>
      <c r="AF59" s="121"/>
      <c r="AG59" s="121"/>
      <c r="AH59" s="120"/>
    </row>
    <row r="60" spans="1:34" ht="13.2" x14ac:dyDescent="0.25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121"/>
      <c r="AC60" s="121"/>
      <c r="AD60" s="121"/>
      <c r="AE60" s="121"/>
      <c r="AF60" s="121"/>
      <c r="AG60" s="121"/>
      <c r="AH60" s="120"/>
    </row>
    <row r="61" spans="1:34" ht="13.2" x14ac:dyDescent="0.25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121"/>
      <c r="AC61" s="121"/>
      <c r="AD61" s="121"/>
      <c r="AE61" s="121"/>
      <c r="AF61" s="121"/>
      <c r="AG61" s="121"/>
      <c r="AH61" s="120"/>
    </row>
    <row r="62" spans="1:34" ht="13.2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121"/>
      <c r="AC62" s="121"/>
      <c r="AD62" s="121"/>
      <c r="AE62" s="121"/>
      <c r="AF62" s="121"/>
      <c r="AG62" s="121"/>
      <c r="AH62" s="120"/>
    </row>
    <row r="63" spans="1:34" ht="13.2" x14ac:dyDescent="0.25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121"/>
      <c r="AC63" s="121"/>
      <c r="AD63" s="121"/>
      <c r="AE63" s="121"/>
      <c r="AF63" s="121"/>
      <c r="AG63" s="121"/>
      <c r="AH63" s="120"/>
    </row>
    <row r="64" spans="1:34" ht="13.2" x14ac:dyDescent="0.25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121"/>
      <c r="AC64" s="121"/>
      <c r="AD64" s="121"/>
      <c r="AE64" s="121"/>
      <c r="AF64" s="121"/>
      <c r="AG64" s="121"/>
      <c r="AH64" s="120"/>
    </row>
    <row r="65" spans="1:34" ht="13.2" x14ac:dyDescent="0.2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121"/>
      <c r="AC65" s="121"/>
      <c r="AD65" s="121"/>
      <c r="AE65" s="121"/>
      <c r="AF65" s="121"/>
      <c r="AG65" s="121"/>
      <c r="AH65" s="120"/>
    </row>
    <row r="66" spans="1:34" ht="13.2" x14ac:dyDescent="0.25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121"/>
      <c r="AC66" s="121"/>
      <c r="AD66" s="121"/>
      <c r="AE66" s="121"/>
      <c r="AF66" s="121"/>
      <c r="AG66" s="121"/>
      <c r="AH66" s="120"/>
    </row>
    <row r="67" spans="1:34" ht="13.2" x14ac:dyDescent="0.25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121"/>
      <c r="AC67" s="121"/>
      <c r="AD67" s="121"/>
      <c r="AE67" s="121"/>
      <c r="AF67" s="121"/>
      <c r="AG67" s="121"/>
      <c r="AH67" s="120"/>
    </row>
    <row r="68" spans="1:34" ht="13.2" x14ac:dyDescent="0.25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121"/>
      <c r="AC68" s="121"/>
      <c r="AD68" s="121"/>
      <c r="AE68" s="121"/>
      <c r="AF68" s="121"/>
      <c r="AG68" s="121"/>
      <c r="AH68" s="120"/>
    </row>
    <row r="69" spans="1:34" ht="13.2" x14ac:dyDescent="0.25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121"/>
      <c r="AC69" s="121"/>
      <c r="AD69" s="121"/>
      <c r="AE69" s="121"/>
      <c r="AF69" s="121"/>
      <c r="AG69" s="121"/>
      <c r="AH69" s="120"/>
    </row>
    <row r="70" spans="1:34" ht="13.2" x14ac:dyDescent="0.25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121"/>
      <c r="AC70" s="121"/>
      <c r="AD70" s="121"/>
      <c r="AE70" s="121"/>
      <c r="AF70" s="121"/>
      <c r="AG70" s="121"/>
      <c r="AH70" s="120"/>
    </row>
    <row r="71" spans="1:34" ht="13.2" x14ac:dyDescent="0.25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121"/>
      <c r="AC71" s="121"/>
      <c r="AD71" s="121"/>
      <c r="AE71" s="121"/>
      <c r="AF71" s="121"/>
      <c r="AG71" s="121"/>
      <c r="AH71" s="120"/>
    </row>
    <row r="72" spans="1:34" ht="13.2" x14ac:dyDescent="0.25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121"/>
      <c r="AC72" s="121"/>
      <c r="AD72" s="121"/>
      <c r="AE72" s="121"/>
      <c r="AF72" s="121"/>
      <c r="AG72" s="121"/>
      <c r="AH72" s="120"/>
    </row>
    <row r="73" spans="1:34" ht="13.2" x14ac:dyDescent="0.25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121"/>
      <c r="AC73" s="121"/>
      <c r="AD73" s="121"/>
      <c r="AE73" s="121"/>
      <c r="AF73" s="121"/>
      <c r="AG73" s="121"/>
      <c r="AH73" s="120"/>
    </row>
    <row r="74" spans="1:34" ht="13.2" x14ac:dyDescent="0.25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121"/>
      <c r="AC74" s="121"/>
      <c r="AD74" s="121"/>
      <c r="AE74" s="121"/>
      <c r="AF74" s="121"/>
      <c r="AG74" s="121"/>
      <c r="AH74" s="120"/>
    </row>
    <row r="75" spans="1:34" ht="13.2" x14ac:dyDescent="0.2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121"/>
      <c r="AC75" s="121"/>
      <c r="AD75" s="121"/>
      <c r="AE75" s="121"/>
      <c r="AF75" s="121"/>
      <c r="AG75" s="121"/>
      <c r="AH75" s="120"/>
    </row>
    <row r="76" spans="1:34" ht="13.2" x14ac:dyDescent="0.25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121"/>
      <c r="AC76" s="121"/>
      <c r="AD76" s="121"/>
      <c r="AE76" s="121"/>
      <c r="AF76" s="121"/>
      <c r="AG76" s="121"/>
      <c r="AH76" s="120"/>
    </row>
    <row r="77" spans="1:34" ht="13.2" x14ac:dyDescent="0.25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121"/>
      <c r="AC77" s="121"/>
      <c r="AD77" s="121"/>
      <c r="AE77" s="121"/>
      <c r="AF77" s="121"/>
      <c r="AG77" s="121"/>
      <c r="AH77" s="120"/>
    </row>
    <row r="78" spans="1:34" ht="13.2" x14ac:dyDescent="0.25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121"/>
      <c r="AC78" s="121"/>
      <c r="AD78" s="121"/>
      <c r="AE78" s="121"/>
      <c r="AF78" s="121"/>
      <c r="AG78" s="121"/>
      <c r="AH78" s="120"/>
    </row>
    <row r="79" spans="1:34" ht="13.2" x14ac:dyDescent="0.25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121"/>
      <c r="AC79" s="121"/>
      <c r="AD79" s="121"/>
      <c r="AE79" s="121"/>
      <c r="AF79" s="121"/>
      <c r="AG79" s="121"/>
      <c r="AH79" s="120"/>
    </row>
    <row r="80" spans="1:34" ht="13.2" x14ac:dyDescent="0.25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121"/>
      <c r="AC80" s="121"/>
      <c r="AD80" s="121"/>
      <c r="AE80" s="121"/>
      <c r="AF80" s="121"/>
      <c r="AG80" s="121"/>
      <c r="AH80" s="120"/>
    </row>
    <row r="81" spans="1:34" ht="13.2" x14ac:dyDescent="0.25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121"/>
      <c r="AC81" s="121"/>
      <c r="AD81" s="121"/>
      <c r="AE81" s="121"/>
      <c r="AF81" s="121"/>
      <c r="AG81" s="121"/>
      <c r="AH81" s="120"/>
    </row>
    <row r="82" spans="1:34" ht="13.2" x14ac:dyDescent="0.25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121"/>
      <c r="AC82" s="121"/>
      <c r="AD82" s="121"/>
      <c r="AE82" s="121"/>
      <c r="AF82" s="121"/>
      <c r="AG82" s="121"/>
      <c r="AH82" s="120"/>
    </row>
    <row r="83" spans="1:34" ht="13.2" x14ac:dyDescent="0.25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121"/>
      <c r="AC83" s="121"/>
      <c r="AD83" s="121"/>
      <c r="AE83" s="121"/>
      <c r="AF83" s="121"/>
      <c r="AG83" s="121"/>
      <c r="AH83" s="120"/>
    </row>
    <row r="84" spans="1:34" ht="13.2" x14ac:dyDescent="0.25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121"/>
      <c r="AC84" s="121"/>
      <c r="AD84" s="121"/>
      <c r="AE84" s="121"/>
      <c r="AF84" s="121"/>
      <c r="AG84" s="121"/>
      <c r="AH84" s="120"/>
    </row>
    <row r="85" spans="1:34" ht="13.2" x14ac:dyDescent="0.2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121"/>
      <c r="AC85" s="121"/>
      <c r="AD85" s="121"/>
      <c r="AE85" s="121"/>
      <c r="AF85" s="121"/>
      <c r="AG85" s="121"/>
      <c r="AH85" s="120"/>
    </row>
    <row r="86" spans="1:34" ht="13.2" x14ac:dyDescent="0.25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121"/>
      <c r="AC86" s="121"/>
      <c r="AD86" s="121"/>
      <c r="AE86" s="121"/>
      <c r="AF86" s="121"/>
      <c r="AG86" s="121"/>
      <c r="AH86" s="120"/>
    </row>
    <row r="87" spans="1:34" ht="13.2" x14ac:dyDescent="0.25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121"/>
      <c r="AC87" s="121"/>
      <c r="AD87" s="121"/>
      <c r="AE87" s="121"/>
      <c r="AF87" s="121"/>
      <c r="AG87" s="121"/>
      <c r="AH87" s="120"/>
    </row>
    <row r="88" spans="1:34" ht="13.2" x14ac:dyDescent="0.25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121"/>
      <c r="AC88" s="121"/>
      <c r="AD88" s="121"/>
      <c r="AE88" s="121"/>
      <c r="AF88" s="121"/>
      <c r="AG88" s="121"/>
      <c r="AH88" s="120"/>
    </row>
    <row r="89" spans="1:34" ht="13.2" x14ac:dyDescent="0.25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121"/>
      <c r="AC89" s="121"/>
      <c r="AD89" s="121"/>
      <c r="AE89" s="121"/>
      <c r="AF89" s="121"/>
      <c r="AG89" s="121"/>
      <c r="AH89" s="120"/>
    </row>
    <row r="90" spans="1:34" ht="13.2" x14ac:dyDescent="0.25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121"/>
      <c r="AC90" s="121"/>
      <c r="AD90" s="121"/>
      <c r="AE90" s="121"/>
      <c r="AF90" s="121"/>
      <c r="AG90" s="121"/>
      <c r="AH90" s="120"/>
    </row>
    <row r="91" spans="1:34" ht="13.2" x14ac:dyDescent="0.25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121"/>
      <c r="AC91" s="121"/>
      <c r="AD91" s="121"/>
      <c r="AE91" s="121"/>
      <c r="AF91" s="121"/>
      <c r="AG91" s="121"/>
      <c r="AH91" s="120"/>
    </row>
    <row r="92" spans="1:34" ht="13.2" x14ac:dyDescent="0.25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121"/>
      <c r="AC92" s="121"/>
      <c r="AD92" s="121"/>
      <c r="AE92" s="121"/>
      <c r="AF92" s="121"/>
      <c r="AG92" s="121"/>
      <c r="AH92" s="120"/>
    </row>
    <row r="93" spans="1:34" ht="13.2" x14ac:dyDescent="0.25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121"/>
      <c r="AC93" s="121"/>
      <c r="AD93" s="121"/>
      <c r="AE93" s="121"/>
      <c r="AF93" s="121"/>
      <c r="AG93" s="121"/>
      <c r="AH93" s="120"/>
    </row>
    <row r="94" spans="1:34" ht="13.2" x14ac:dyDescent="0.25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121"/>
      <c r="AC94" s="121"/>
      <c r="AD94" s="121"/>
      <c r="AE94" s="121"/>
      <c r="AF94" s="121"/>
      <c r="AG94" s="121"/>
      <c r="AH94" s="120"/>
    </row>
    <row r="95" spans="1:34" ht="13.2" x14ac:dyDescent="0.2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121"/>
      <c r="AC95" s="121"/>
      <c r="AD95" s="121"/>
      <c r="AE95" s="121"/>
      <c r="AF95" s="121"/>
      <c r="AG95" s="121"/>
      <c r="AH95" s="120"/>
    </row>
    <row r="96" spans="1:34" ht="13.2" x14ac:dyDescent="0.25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121"/>
      <c r="AC96" s="121"/>
      <c r="AD96" s="121"/>
      <c r="AE96" s="121"/>
      <c r="AF96" s="121"/>
      <c r="AG96" s="121"/>
      <c r="AH96" s="120"/>
    </row>
    <row r="97" spans="1:34" ht="13.2" x14ac:dyDescent="0.25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121"/>
      <c r="AC97" s="121"/>
      <c r="AD97" s="121"/>
      <c r="AE97" s="121"/>
      <c r="AF97" s="121"/>
      <c r="AG97" s="121"/>
      <c r="AH97" s="120"/>
    </row>
    <row r="98" spans="1:34" ht="13.2" x14ac:dyDescent="0.25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121"/>
      <c r="AC98" s="121"/>
      <c r="AD98" s="121"/>
      <c r="AE98" s="121"/>
      <c r="AF98" s="121"/>
      <c r="AG98" s="121"/>
      <c r="AH98" s="120"/>
    </row>
    <row r="99" spans="1:34" ht="13.2" x14ac:dyDescent="0.25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121"/>
      <c r="AC99" s="121"/>
      <c r="AD99" s="121"/>
      <c r="AE99" s="121"/>
      <c r="AF99" s="121"/>
      <c r="AG99" s="121"/>
      <c r="AH99" s="120"/>
    </row>
    <row r="100" spans="1:34" ht="13.2" x14ac:dyDescent="0.25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121"/>
      <c r="AC100" s="121"/>
      <c r="AD100" s="121"/>
      <c r="AE100" s="121"/>
      <c r="AF100" s="121"/>
      <c r="AG100" s="121"/>
      <c r="AH100" s="120"/>
    </row>
    <row r="101" spans="1:34" ht="13.2" x14ac:dyDescent="0.25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121"/>
      <c r="AC101" s="121"/>
      <c r="AD101" s="121"/>
      <c r="AE101" s="121"/>
      <c r="AF101" s="121"/>
      <c r="AG101" s="121"/>
      <c r="AH101" s="120"/>
    </row>
    <row r="102" spans="1:34" ht="13.2" x14ac:dyDescent="0.25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121"/>
      <c r="AC102" s="121"/>
      <c r="AD102" s="121"/>
      <c r="AE102" s="121"/>
      <c r="AF102" s="121"/>
      <c r="AG102" s="121"/>
      <c r="AH102" s="120"/>
    </row>
    <row r="103" spans="1:34" ht="13.2" x14ac:dyDescent="0.25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121"/>
      <c r="AC103" s="121"/>
      <c r="AD103" s="121"/>
      <c r="AE103" s="121"/>
      <c r="AF103" s="121"/>
      <c r="AG103" s="121"/>
      <c r="AH103" s="120"/>
    </row>
    <row r="104" spans="1:34" ht="13.2" x14ac:dyDescent="0.25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121"/>
      <c r="AC104" s="121"/>
      <c r="AD104" s="121"/>
      <c r="AE104" s="121"/>
      <c r="AF104" s="121"/>
      <c r="AG104" s="121"/>
      <c r="AH104" s="120"/>
    </row>
    <row r="105" spans="1:34" ht="13.2" x14ac:dyDescent="0.2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121"/>
      <c r="AC105" s="121"/>
      <c r="AD105" s="121"/>
      <c r="AE105" s="121"/>
      <c r="AF105" s="121"/>
      <c r="AG105" s="121"/>
      <c r="AH105" s="120"/>
    </row>
    <row r="106" spans="1:34" ht="13.2" x14ac:dyDescent="0.25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121"/>
      <c r="AC106" s="121"/>
      <c r="AD106" s="121"/>
      <c r="AE106" s="121"/>
      <c r="AF106" s="121"/>
      <c r="AG106" s="121"/>
      <c r="AH106" s="120"/>
    </row>
    <row r="107" spans="1:34" ht="13.2" x14ac:dyDescent="0.25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121"/>
      <c r="AC107" s="121"/>
      <c r="AD107" s="121"/>
      <c r="AE107" s="121"/>
      <c r="AF107" s="121"/>
      <c r="AG107" s="121"/>
      <c r="AH107" s="120"/>
    </row>
    <row r="108" spans="1:34" ht="13.2" x14ac:dyDescent="0.25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121"/>
      <c r="AC108" s="121"/>
      <c r="AD108" s="121"/>
      <c r="AE108" s="121"/>
      <c r="AF108" s="121"/>
      <c r="AG108" s="121"/>
      <c r="AH108" s="120"/>
    </row>
    <row r="109" spans="1:34" ht="13.2" x14ac:dyDescent="0.25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121"/>
      <c r="AC109" s="121"/>
      <c r="AD109" s="121"/>
      <c r="AE109" s="121"/>
      <c r="AF109" s="121"/>
      <c r="AG109" s="121"/>
      <c r="AH109" s="120"/>
    </row>
    <row r="110" spans="1:34" ht="13.2" x14ac:dyDescent="0.25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121"/>
      <c r="AC110" s="121"/>
      <c r="AD110" s="121"/>
      <c r="AE110" s="121"/>
      <c r="AF110" s="121"/>
      <c r="AG110" s="121"/>
      <c r="AH110" s="120"/>
    </row>
    <row r="111" spans="1:34" ht="13.2" x14ac:dyDescent="0.25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121"/>
      <c r="AC111" s="121"/>
      <c r="AD111" s="121"/>
      <c r="AE111" s="121"/>
      <c r="AF111" s="121"/>
      <c r="AG111" s="121"/>
      <c r="AH111" s="120"/>
    </row>
    <row r="112" spans="1:34" ht="13.2" x14ac:dyDescent="0.25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121"/>
      <c r="AC112" s="121"/>
      <c r="AD112" s="121"/>
      <c r="AE112" s="121"/>
      <c r="AF112" s="121"/>
      <c r="AG112" s="121"/>
      <c r="AH112" s="120"/>
    </row>
    <row r="113" spans="1:34" ht="13.2" x14ac:dyDescent="0.25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121"/>
      <c r="AC113" s="121"/>
      <c r="AD113" s="121"/>
      <c r="AE113" s="121"/>
      <c r="AF113" s="121"/>
      <c r="AG113" s="121"/>
      <c r="AH113" s="120"/>
    </row>
    <row r="114" spans="1:34" ht="13.2" x14ac:dyDescent="0.25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121"/>
      <c r="AC114" s="121"/>
      <c r="AD114" s="121"/>
      <c r="AE114" s="121"/>
      <c r="AF114" s="121"/>
      <c r="AG114" s="121"/>
      <c r="AH114" s="120"/>
    </row>
    <row r="115" spans="1:34" ht="13.2" x14ac:dyDescent="0.2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121"/>
      <c r="AC115" s="121"/>
      <c r="AD115" s="121"/>
      <c r="AE115" s="121"/>
      <c r="AF115" s="121"/>
      <c r="AG115" s="121"/>
      <c r="AH115" s="120"/>
    </row>
    <row r="116" spans="1:34" ht="13.2" x14ac:dyDescent="0.25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121"/>
      <c r="AC116" s="121"/>
      <c r="AD116" s="121"/>
      <c r="AE116" s="121"/>
      <c r="AF116" s="121"/>
      <c r="AG116" s="121"/>
      <c r="AH116" s="120"/>
    </row>
    <row r="117" spans="1:34" ht="13.2" x14ac:dyDescent="0.25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121"/>
      <c r="AC117" s="121"/>
      <c r="AD117" s="121"/>
      <c r="AE117" s="121"/>
      <c r="AF117" s="121"/>
      <c r="AG117" s="121"/>
      <c r="AH117" s="120"/>
    </row>
    <row r="118" spans="1:34" ht="13.2" x14ac:dyDescent="0.25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121"/>
      <c r="AC118" s="121"/>
      <c r="AD118" s="121"/>
      <c r="AE118" s="121"/>
      <c r="AF118" s="121"/>
      <c r="AG118" s="121"/>
      <c r="AH118" s="120"/>
    </row>
    <row r="119" spans="1:34" ht="13.2" x14ac:dyDescent="0.25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121"/>
      <c r="AC119" s="121"/>
      <c r="AD119" s="121"/>
      <c r="AE119" s="121"/>
      <c r="AF119" s="121"/>
      <c r="AG119" s="121"/>
      <c r="AH119" s="120"/>
    </row>
    <row r="120" spans="1:34" ht="13.2" x14ac:dyDescent="0.25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121"/>
      <c r="AC120" s="121"/>
      <c r="AD120" s="121"/>
      <c r="AE120" s="121"/>
      <c r="AF120" s="121"/>
      <c r="AG120" s="121"/>
      <c r="AH120" s="120"/>
    </row>
    <row r="121" spans="1:34" ht="13.2" x14ac:dyDescent="0.25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121"/>
      <c r="AC121" s="121"/>
      <c r="AD121" s="121"/>
      <c r="AE121" s="121"/>
      <c r="AF121" s="121"/>
      <c r="AG121" s="121"/>
      <c r="AH121" s="120"/>
    </row>
    <row r="122" spans="1:34" ht="13.2" x14ac:dyDescent="0.25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121"/>
      <c r="AC122" s="121"/>
      <c r="AD122" s="121"/>
      <c r="AE122" s="121"/>
      <c r="AF122" s="121"/>
      <c r="AG122" s="121"/>
      <c r="AH122" s="120"/>
    </row>
    <row r="123" spans="1:34" ht="13.2" x14ac:dyDescent="0.25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121"/>
      <c r="AC123" s="121"/>
      <c r="AD123" s="121"/>
      <c r="AE123" s="121"/>
      <c r="AF123" s="121"/>
      <c r="AG123" s="121"/>
      <c r="AH123" s="120"/>
    </row>
    <row r="124" spans="1:34" ht="13.2" x14ac:dyDescent="0.25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121"/>
      <c r="AC124" s="121"/>
      <c r="AD124" s="121"/>
      <c r="AE124" s="121"/>
      <c r="AF124" s="121"/>
      <c r="AG124" s="121"/>
      <c r="AH124" s="120"/>
    </row>
    <row r="125" spans="1:34" ht="13.2" x14ac:dyDescent="0.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121"/>
      <c r="AC125" s="121"/>
      <c r="AD125" s="121"/>
      <c r="AE125" s="121"/>
      <c r="AF125" s="121"/>
      <c r="AG125" s="121"/>
      <c r="AH125" s="120"/>
    </row>
    <row r="126" spans="1:34" ht="13.2" x14ac:dyDescent="0.25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121"/>
      <c r="AC126" s="121"/>
      <c r="AD126" s="121"/>
      <c r="AE126" s="121"/>
      <c r="AF126" s="121"/>
      <c r="AG126" s="121"/>
      <c r="AH126" s="120"/>
    </row>
    <row r="127" spans="1:34" ht="13.2" x14ac:dyDescent="0.25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121"/>
      <c r="AC127" s="121"/>
      <c r="AD127" s="121"/>
      <c r="AE127" s="121"/>
      <c r="AF127" s="121"/>
      <c r="AG127" s="121"/>
      <c r="AH127" s="120"/>
    </row>
    <row r="128" spans="1:34" ht="13.2" x14ac:dyDescent="0.25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121"/>
      <c r="AC128" s="121"/>
      <c r="AD128" s="121"/>
      <c r="AE128" s="121"/>
      <c r="AF128" s="121"/>
      <c r="AG128" s="121"/>
      <c r="AH128" s="120"/>
    </row>
    <row r="129" spans="1:34" ht="13.2" x14ac:dyDescent="0.25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121"/>
      <c r="AC129" s="121"/>
      <c r="AD129" s="121"/>
      <c r="AE129" s="121"/>
      <c r="AF129" s="121"/>
      <c r="AG129" s="121"/>
      <c r="AH129" s="120"/>
    </row>
    <row r="130" spans="1:34" ht="13.2" x14ac:dyDescent="0.25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121"/>
      <c r="AC130" s="121"/>
      <c r="AD130" s="121"/>
      <c r="AE130" s="121"/>
      <c r="AF130" s="121"/>
      <c r="AG130" s="121"/>
      <c r="AH130" s="120"/>
    </row>
    <row r="131" spans="1:34" ht="13.2" x14ac:dyDescent="0.25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121"/>
      <c r="AC131" s="121"/>
      <c r="AD131" s="121"/>
      <c r="AE131" s="121"/>
      <c r="AF131" s="121"/>
      <c r="AG131" s="121"/>
      <c r="AH131" s="120"/>
    </row>
    <row r="132" spans="1:34" ht="13.2" x14ac:dyDescent="0.25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121"/>
      <c r="AC132" s="121"/>
      <c r="AD132" s="121"/>
      <c r="AE132" s="121"/>
      <c r="AF132" s="121"/>
      <c r="AG132" s="121"/>
      <c r="AH132" s="120"/>
    </row>
    <row r="133" spans="1:34" ht="13.2" x14ac:dyDescent="0.25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121"/>
      <c r="AC133" s="121"/>
      <c r="AD133" s="121"/>
      <c r="AE133" s="121"/>
      <c r="AF133" s="121"/>
      <c r="AG133" s="121"/>
      <c r="AH133" s="120"/>
    </row>
    <row r="134" spans="1:34" ht="13.2" x14ac:dyDescent="0.25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121"/>
      <c r="AC134" s="121"/>
      <c r="AD134" s="121"/>
      <c r="AE134" s="121"/>
      <c r="AF134" s="121"/>
      <c r="AG134" s="121"/>
      <c r="AH134" s="120"/>
    </row>
    <row r="135" spans="1:34" ht="13.2" x14ac:dyDescent="0.2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121"/>
      <c r="AC135" s="121"/>
      <c r="AD135" s="121"/>
      <c r="AE135" s="121"/>
      <c r="AF135" s="121"/>
      <c r="AG135" s="121"/>
      <c r="AH135" s="120"/>
    </row>
    <row r="136" spans="1:34" ht="13.2" x14ac:dyDescent="0.25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121"/>
      <c r="AC136" s="121"/>
      <c r="AD136" s="121"/>
      <c r="AE136" s="121"/>
      <c r="AF136" s="121"/>
      <c r="AG136" s="121"/>
      <c r="AH136" s="120"/>
    </row>
    <row r="137" spans="1:34" ht="13.2" x14ac:dyDescent="0.25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121"/>
      <c r="AC137" s="121"/>
      <c r="AD137" s="121"/>
      <c r="AE137" s="121"/>
      <c r="AF137" s="121"/>
      <c r="AG137" s="121"/>
      <c r="AH137" s="120"/>
    </row>
    <row r="138" spans="1:34" ht="13.2" x14ac:dyDescent="0.25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121"/>
      <c r="AC138" s="121"/>
      <c r="AD138" s="121"/>
      <c r="AE138" s="121"/>
      <c r="AF138" s="121"/>
      <c r="AG138" s="121"/>
      <c r="AH138" s="120"/>
    </row>
    <row r="139" spans="1:34" ht="13.2" x14ac:dyDescent="0.25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121"/>
      <c r="AC139" s="121"/>
      <c r="AD139" s="121"/>
      <c r="AE139" s="121"/>
      <c r="AF139" s="121"/>
      <c r="AG139" s="121"/>
      <c r="AH139" s="120"/>
    </row>
    <row r="140" spans="1:34" ht="13.2" x14ac:dyDescent="0.25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121"/>
      <c r="AC140" s="121"/>
      <c r="AD140" s="121"/>
      <c r="AE140" s="121"/>
      <c r="AF140" s="121"/>
      <c r="AG140" s="121"/>
      <c r="AH140" s="120"/>
    </row>
    <row r="141" spans="1:34" ht="13.2" x14ac:dyDescent="0.25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121"/>
      <c r="AC141" s="121"/>
      <c r="AD141" s="121"/>
      <c r="AE141" s="121"/>
      <c r="AF141" s="121"/>
      <c r="AG141" s="121"/>
      <c r="AH141" s="120"/>
    </row>
    <row r="142" spans="1:34" ht="13.2" x14ac:dyDescent="0.25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121"/>
      <c r="AC142" s="121"/>
      <c r="AD142" s="121"/>
      <c r="AE142" s="121"/>
      <c r="AF142" s="121"/>
      <c r="AG142" s="121"/>
      <c r="AH142" s="120"/>
    </row>
    <row r="143" spans="1:34" ht="13.2" x14ac:dyDescent="0.25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121"/>
      <c r="AC143" s="121"/>
      <c r="AD143" s="121"/>
      <c r="AE143" s="121"/>
      <c r="AF143" s="121"/>
      <c r="AG143" s="121"/>
      <c r="AH143" s="120"/>
    </row>
    <row r="144" spans="1:34" ht="13.2" x14ac:dyDescent="0.25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121"/>
      <c r="AC144" s="121"/>
      <c r="AD144" s="121"/>
      <c r="AE144" s="121"/>
      <c r="AF144" s="121"/>
      <c r="AG144" s="121"/>
      <c r="AH144" s="120"/>
    </row>
    <row r="145" spans="1:34" ht="13.2" x14ac:dyDescent="0.2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121"/>
      <c r="AC145" s="121"/>
      <c r="AD145" s="121"/>
      <c r="AE145" s="121"/>
      <c r="AF145" s="121"/>
      <c r="AG145" s="121"/>
      <c r="AH145" s="120"/>
    </row>
    <row r="146" spans="1:34" ht="13.2" x14ac:dyDescent="0.25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121"/>
      <c r="AC146" s="121"/>
      <c r="AD146" s="121"/>
      <c r="AE146" s="121"/>
      <c r="AF146" s="121"/>
      <c r="AG146" s="121"/>
      <c r="AH146" s="120"/>
    </row>
    <row r="147" spans="1:34" ht="13.2" x14ac:dyDescent="0.25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121"/>
      <c r="AC147" s="121"/>
      <c r="AD147" s="121"/>
      <c r="AE147" s="121"/>
      <c r="AF147" s="121"/>
      <c r="AG147" s="121"/>
      <c r="AH147" s="120"/>
    </row>
    <row r="148" spans="1:34" ht="13.2" x14ac:dyDescent="0.25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121"/>
      <c r="AC148" s="121"/>
      <c r="AD148" s="121"/>
      <c r="AE148" s="121"/>
      <c r="AF148" s="121"/>
      <c r="AG148" s="121"/>
      <c r="AH148" s="120"/>
    </row>
    <row r="149" spans="1:34" ht="13.2" x14ac:dyDescent="0.25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121"/>
      <c r="AC149" s="121"/>
      <c r="AD149" s="121"/>
      <c r="AE149" s="121"/>
      <c r="AF149" s="121"/>
      <c r="AG149" s="121"/>
      <c r="AH149" s="120"/>
    </row>
    <row r="150" spans="1:34" ht="13.2" x14ac:dyDescent="0.25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121"/>
      <c r="AC150" s="121"/>
      <c r="AD150" s="121"/>
      <c r="AE150" s="121"/>
      <c r="AF150" s="121"/>
      <c r="AG150" s="121"/>
      <c r="AH150" s="120"/>
    </row>
    <row r="151" spans="1:34" ht="13.2" x14ac:dyDescent="0.25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121"/>
      <c r="AC151" s="121"/>
      <c r="AD151" s="121"/>
      <c r="AE151" s="121"/>
      <c r="AF151" s="121"/>
      <c r="AG151" s="121"/>
      <c r="AH151" s="120"/>
    </row>
    <row r="152" spans="1:34" ht="13.2" x14ac:dyDescent="0.25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121"/>
      <c r="AC152" s="121"/>
      <c r="AD152" s="121"/>
      <c r="AE152" s="121"/>
      <c r="AF152" s="121"/>
      <c r="AG152" s="121"/>
      <c r="AH152" s="120"/>
    </row>
    <row r="153" spans="1:34" ht="13.2" x14ac:dyDescent="0.25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121"/>
      <c r="AC153" s="121"/>
      <c r="AD153" s="121"/>
      <c r="AE153" s="121"/>
      <c r="AF153" s="121"/>
      <c r="AG153" s="121"/>
      <c r="AH153" s="120"/>
    </row>
    <row r="154" spans="1:34" ht="13.2" x14ac:dyDescent="0.25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121"/>
      <c r="AC154" s="121"/>
      <c r="AD154" s="121"/>
      <c r="AE154" s="121"/>
      <c r="AF154" s="121"/>
      <c r="AG154" s="121"/>
      <c r="AH154" s="120"/>
    </row>
    <row r="155" spans="1:34" ht="13.2" x14ac:dyDescent="0.2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121"/>
      <c r="AC155" s="121"/>
      <c r="AD155" s="121"/>
      <c r="AE155" s="121"/>
      <c r="AF155" s="121"/>
      <c r="AG155" s="121"/>
      <c r="AH155" s="120"/>
    </row>
    <row r="156" spans="1:34" ht="13.2" x14ac:dyDescent="0.25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121"/>
      <c r="AC156" s="121"/>
      <c r="AD156" s="121"/>
      <c r="AE156" s="121"/>
      <c r="AF156" s="121"/>
      <c r="AG156" s="121"/>
      <c r="AH156" s="120"/>
    </row>
    <row r="157" spans="1:34" ht="13.2" x14ac:dyDescent="0.25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121"/>
      <c r="AC157" s="121"/>
      <c r="AD157" s="121"/>
      <c r="AE157" s="121"/>
      <c r="AF157" s="121"/>
      <c r="AG157" s="121"/>
      <c r="AH157" s="120"/>
    </row>
    <row r="158" spans="1:34" ht="13.2" x14ac:dyDescent="0.25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121"/>
      <c r="AC158" s="121"/>
      <c r="AD158" s="121"/>
      <c r="AE158" s="121"/>
      <c r="AF158" s="121"/>
      <c r="AG158" s="121"/>
      <c r="AH158" s="120"/>
    </row>
    <row r="159" spans="1:34" ht="13.2" x14ac:dyDescent="0.25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121"/>
      <c r="AC159" s="121"/>
      <c r="AD159" s="121"/>
      <c r="AE159" s="121"/>
      <c r="AF159" s="121"/>
      <c r="AG159" s="121"/>
      <c r="AH159" s="120"/>
    </row>
    <row r="160" spans="1:34" ht="13.2" x14ac:dyDescent="0.25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121"/>
      <c r="AC160" s="121"/>
      <c r="AD160" s="121"/>
      <c r="AE160" s="121"/>
      <c r="AF160" s="121"/>
      <c r="AG160" s="121"/>
      <c r="AH160" s="120"/>
    </row>
    <row r="161" spans="1:34" ht="13.2" x14ac:dyDescent="0.25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121"/>
      <c r="AC161" s="121"/>
      <c r="AD161" s="121"/>
      <c r="AE161" s="121"/>
      <c r="AF161" s="121"/>
      <c r="AG161" s="121"/>
      <c r="AH161" s="120"/>
    </row>
    <row r="162" spans="1:34" ht="13.2" x14ac:dyDescent="0.25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121"/>
      <c r="AC162" s="121"/>
      <c r="AD162" s="121"/>
      <c r="AE162" s="121"/>
      <c r="AF162" s="121"/>
      <c r="AG162" s="121"/>
      <c r="AH162" s="120"/>
    </row>
    <row r="163" spans="1:34" ht="13.2" x14ac:dyDescent="0.25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121"/>
      <c r="AC163" s="121"/>
      <c r="AD163" s="121"/>
      <c r="AE163" s="121"/>
      <c r="AF163" s="121"/>
      <c r="AG163" s="121"/>
      <c r="AH163" s="120"/>
    </row>
    <row r="164" spans="1:34" ht="13.2" x14ac:dyDescent="0.25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121"/>
      <c r="AC164" s="121"/>
      <c r="AD164" s="121"/>
      <c r="AE164" s="121"/>
      <c r="AF164" s="121"/>
      <c r="AG164" s="121"/>
      <c r="AH164" s="120"/>
    </row>
    <row r="165" spans="1:34" ht="13.2" x14ac:dyDescent="0.2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121"/>
      <c r="AC165" s="121"/>
      <c r="AD165" s="121"/>
      <c r="AE165" s="121"/>
      <c r="AF165" s="121"/>
      <c r="AG165" s="121"/>
      <c r="AH165" s="120"/>
    </row>
    <row r="166" spans="1:34" ht="13.2" x14ac:dyDescent="0.25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121"/>
      <c r="AC166" s="121"/>
      <c r="AD166" s="121"/>
      <c r="AE166" s="121"/>
      <c r="AF166" s="121"/>
      <c r="AG166" s="121"/>
      <c r="AH166" s="120"/>
    </row>
    <row r="167" spans="1:34" ht="13.2" x14ac:dyDescent="0.25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121"/>
      <c r="AC167" s="121"/>
      <c r="AD167" s="121"/>
      <c r="AE167" s="121"/>
      <c r="AF167" s="121"/>
      <c r="AG167" s="121"/>
      <c r="AH167" s="120"/>
    </row>
    <row r="168" spans="1:34" ht="13.2" x14ac:dyDescent="0.25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121"/>
      <c r="AC168" s="121"/>
      <c r="AD168" s="121"/>
      <c r="AE168" s="121"/>
      <c r="AF168" s="121"/>
      <c r="AG168" s="121"/>
      <c r="AH168" s="120"/>
    </row>
    <row r="169" spans="1:34" ht="13.2" x14ac:dyDescent="0.25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121"/>
      <c r="AC169" s="121"/>
      <c r="AD169" s="121"/>
      <c r="AE169" s="121"/>
      <c r="AF169" s="121"/>
      <c r="AG169" s="121"/>
      <c r="AH169" s="120"/>
    </row>
    <row r="170" spans="1:34" ht="13.2" x14ac:dyDescent="0.25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121"/>
      <c r="AC170" s="121"/>
      <c r="AD170" s="121"/>
      <c r="AE170" s="121"/>
      <c r="AF170" s="121"/>
      <c r="AG170" s="121"/>
      <c r="AH170" s="120"/>
    </row>
    <row r="171" spans="1:34" ht="13.2" x14ac:dyDescent="0.25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121"/>
      <c r="AC171" s="121"/>
      <c r="AD171" s="121"/>
      <c r="AE171" s="121"/>
      <c r="AF171" s="121"/>
      <c r="AG171" s="121"/>
      <c r="AH171" s="120"/>
    </row>
    <row r="172" spans="1:34" ht="13.2" x14ac:dyDescent="0.25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121"/>
      <c r="AC172" s="121"/>
      <c r="AD172" s="121"/>
      <c r="AE172" s="121"/>
      <c r="AF172" s="121"/>
      <c r="AG172" s="121"/>
      <c r="AH172" s="120"/>
    </row>
    <row r="173" spans="1:34" ht="13.2" x14ac:dyDescent="0.25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121"/>
      <c r="AC173" s="121"/>
      <c r="AD173" s="121"/>
      <c r="AE173" s="121"/>
      <c r="AF173" s="121"/>
      <c r="AG173" s="121"/>
      <c r="AH173" s="120"/>
    </row>
    <row r="174" spans="1:34" ht="13.2" x14ac:dyDescent="0.25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121"/>
      <c r="AC174" s="121"/>
      <c r="AD174" s="121"/>
      <c r="AE174" s="121"/>
      <c r="AF174" s="121"/>
      <c r="AG174" s="121"/>
      <c r="AH174" s="120"/>
    </row>
    <row r="175" spans="1:34" ht="13.2" x14ac:dyDescent="0.2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121"/>
      <c r="AC175" s="121"/>
      <c r="AD175" s="121"/>
      <c r="AE175" s="121"/>
      <c r="AF175" s="121"/>
      <c r="AG175" s="121"/>
      <c r="AH175" s="120"/>
    </row>
    <row r="176" spans="1:34" ht="13.2" x14ac:dyDescent="0.25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121"/>
      <c r="AC176" s="121"/>
      <c r="AD176" s="121"/>
      <c r="AE176" s="121"/>
      <c r="AF176" s="121"/>
      <c r="AG176" s="121"/>
      <c r="AH176" s="120"/>
    </row>
    <row r="177" spans="1:34" ht="13.2" x14ac:dyDescent="0.25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121"/>
      <c r="AC177" s="121"/>
      <c r="AD177" s="121"/>
      <c r="AE177" s="121"/>
      <c r="AF177" s="121"/>
      <c r="AG177" s="121"/>
      <c r="AH177" s="120"/>
    </row>
    <row r="178" spans="1:34" ht="13.2" x14ac:dyDescent="0.25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121"/>
      <c r="AC178" s="121"/>
      <c r="AD178" s="121"/>
      <c r="AE178" s="121"/>
      <c r="AF178" s="121"/>
      <c r="AG178" s="121"/>
      <c r="AH178" s="120"/>
    </row>
    <row r="179" spans="1:34" ht="13.2" x14ac:dyDescent="0.25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121"/>
      <c r="AC179" s="121"/>
      <c r="AD179" s="121"/>
      <c r="AE179" s="121"/>
      <c r="AF179" s="121"/>
      <c r="AG179" s="121"/>
      <c r="AH179" s="120"/>
    </row>
    <row r="180" spans="1:34" ht="13.2" x14ac:dyDescent="0.25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121"/>
      <c r="AC180" s="121"/>
      <c r="AD180" s="121"/>
      <c r="AE180" s="121"/>
      <c r="AF180" s="121"/>
      <c r="AG180" s="121"/>
      <c r="AH180" s="120"/>
    </row>
    <row r="181" spans="1:34" ht="13.2" x14ac:dyDescent="0.25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121"/>
      <c r="AC181" s="121"/>
      <c r="AD181" s="121"/>
      <c r="AE181" s="121"/>
      <c r="AF181" s="121"/>
      <c r="AG181" s="121"/>
      <c r="AH181" s="120"/>
    </row>
    <row r="182" spans="1:34" ht="13.2" x14ac:dyDescent="0.25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121"/>
      <c r="AC182" s="121"/>
      <c r="AD182" s="121"/>
      <c r="AE182" s="121"/>
      <c r="AF182" s="121"/>
      <c r="AG182" s="121"/>
      <c r="AH182" s="120"/>
    </row>
    <row r="183" spans="1:34" ht="13.2" x14ac:dyDescent="0.25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121"/>
      <c r="AC183" s="121"/>
      <c r="AD183" s="121"/>
      <c r="AE183" s="121"/>
      <c r="AF183" s="121"/>
      <c r="AG183" s="121"/>
      <c r="AH183" s="120"/>
    </row>
    <row r="184" spans="1:34" ht="13.2" x14ac:dyDescent="0.25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121"/>
      <c r="AC184" s="121"/>
      <c r="AD184" s="121"/>
      <c r="AE184" s="121"/>
      <c r="AF184" s="121"/>
      <c r="AG184" s="121"/>
      <c r="AH184" s="120"/>
    </row>
    <row r="185" spans="1:34" ht="13.2" x14ac:dyDescent="0.2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121"/>
      <c r="AC185" s="121"/>
      <c r="AD185" s="121"/>
      <c r="AE185" s="121"/>
      <c r="AF185" s="121"/>
      <c r="AG185" s="121"/>
      <c r="AH185" s="120"/>
    </row>
    <row r="186" spans="1:34" ht="13.2" x14ac:dyDescent="0.25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121"/>
      <c r="AC186" s="121"/>
      <c r="AD186" s="121"/>
      <c r="AE186" s="121"/>
      <c r="AF186" s="121"/>
      <c r="AG186" s="121"/>
      <c r="AH186" s="120"/>
    </row>
    <row r="187" spans="1:34" ht="13.2" x14ac:dyDescent="0.25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121"/>
      <c r="AC187" s="121"/>
      <c r="AD187" s="121"/>
      <c r="AE187" s="121"/>
      <c r="AF187" s="121"/>
      <c r="AG187" s="121"/>
      <c r="AH187" s="120"/>
    </row>
    <row r="188" spans="1:34" ht="13.2" x14ac:dyDescent="0.25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121"/>
      <c r="AC188" s="121"/>
      <c r="AD188" s="121"/>
      <c r="AE188" s="121"/>
      <c r="AF188" s="121"/>
      <c r="AG188" s="121"/>
      <c r="AH188" s="120"/>
    </row>
    <row r="189" spans="1:34" ht="13.2" x14ac:dyDescent="0.25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121"/>
      <c r="AC189" s="121"/>
      <c r="AD189" s="121"/>
      <c r="AE189" s="121"/>
      <c r="AF189" s="121"/>
      <c r="AG189" s="121"/>
      <c r="AH189" s="120"/>
    </row>
    <row r="190" spans="1:34" ht="13.2" x14ac:dyDescent="0.25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121"/>
      <c r="AC190" s="121"/>
      <c r="AD190" s="121"/>
      <c r="AE190" s="121"/>
      <c r="AF190" s="121"/>
      <c r="AG190" s="121"/>
      <c r="AH190" s="120"/>
    </row>
    <row r="191" spans="1:34" ht="13.2" x14ac:dyDescent="0.25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121"/>
      <c r="AC191" s="121"/>
      <c r="AD191" s="121"/>
      <c r="AE191" s="121"/>
      <c r="AF191" s="121"/>
      <c r="AG191" s="121"/>
      <c r="AH191" s="120"/>
    </row>
    <row r="192" spans="1:34" ht="13.2" x14ac:dyDescent="0.25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121"/>
      <c r="AC192" s="121"/>
      <c r="AD192" s="121"/>
      <c r="AE192" s="121"/>
      <c r="AF192" s="121"/>
      <c r="AG192" s="121"/>
      <c r="AH192" s="120"/>
    </row>
    <row r="193" spans="1:34" ht="13.2" x14ac:dyDescent="0.25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121"/>
      <c r="AC193" s="121"/>
      <c r="AD193" s="121"/>
      <c r="AE193" s="121"/>
      <c r="AF193" s="121"/>
      <c r="AG193" s="121"/>
      <c r="AH193" s="120"/>
    </row>
    <row r="194" spans="1:34" ht="13.2" x14ac:dyDescent="0.25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121"/>
      <c r="AC194" s="121"/>
      <c r="AD194" s="121"/>
      <c r="AE194" s="121"/>
      <c r="AF194" s="121"/>
      <c r="AG194" s="121"/>
      <c r="AH194" s="120"/>
    </row>
    <row r="195" spans="1:34" ht="13.2" x14ac:dyDescent="0.2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121"/>
      <c r="AC195" s="121"/>
      <c r="AD195" s="121"/>
      <c r="AE195" s="121"/>
      <c r="AF195" s="121"/>
      <c r="AG195" s="121"/>
      <c r="AH195" s="120"/>
    </row>
    <row r="196" spans="1:34" ht="13.2" x14ac:dyDescent="0.25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121"/>
      <c r="AC196" s="121"/>
      <c r="AD196" s="121"/>
      <c r="AE196" s="121"/>
      <c r="AF196" s="121"/>
      <c r="AG196" s="121"/>
      <c r="AH196" s="120"/>
    </row>
    <row r="197" spans="1:34" ht="13.2" x14ac:dyDescent="0.25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121"/>
      <c r="AC197" s="121"/>
      <c r="AD197" s="121"/>
      <c r="AE197" s="121"/>
      <c r="AF197" s="121"/>
      <c r="AG197" s="121"/>
      <c r="AH197" s="120"/>
    </row>
    <row r="198" spans="1:34" ht="13.2" x14ac:dyDescent="0.25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121"/>
      <c r="AC198" s="121"/>
      <c r="AD198" s="121"/>
      <c r="AE198" s="121"/>
      <c r="AF198" s="121"/>
      <c r="AG198" s="121"/>
      <c r="AH198" s="120"/>
    </row>
    <row r="199" spans="1:34" ht="13.2" x14ac:dyDescent="0.25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121"/>
      <c r="AC199" s="121"/>
      <c r="AD199" s="121"/>
      <c r="AE199" s="121"/>
      <c r="AF199" s="121"/>
      <c r="AG199" s="121"/>
      <c r="AH199" s="120"/>
    </row>
    <row r="200" spans="1:34" ht="13.2" x14ac:dyDescent="0.25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121"/>
      <c r="AC200" s="121"/>
      <c r="AD200" s="121"/>
      <c r="AE200" s="121"/>
      <c r="AF200" s="121"/>
      <c r="AG200" s="121"/>
      <c r="AH200" s="120"/>
    </row>
    <row r="201" spans="1:34" ht="13.2" x14ac:dyDescent="0.25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121"/>
      <c r="AC201" s="121"/>
      <c r="AD201" s="121"/>
      <c r="AE201" s="121"/>
      <c r="AF201" s="121"/>
      <c r="AG201" s="121"/>
      <c r="AH201" s="120"/>
    </row>
    <row r="202" spans="1:34" ht="13.2" x14ac:dyDescent="0.25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121"/>
      <c r="AC202" s="121"/>
      <c r="AD202" s="121"/>
      <c r="AE202" s="121"/>
      <c r="AF202" s="121"/>
      <c r="AG202" s="121"/>
      <c r="AH202" s="120"/>
    </row>
    <row r="203" spans="1:34" ht="13.2" x14ac:dyDescent="0.25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121"/>
      <c r="AC203" s="121"/>
      <c r="AD203" s="121"/>
      <c r="AE203" s="121"/>
      <c r="AF203" s="121"/>
      <c r="AG203" s="121"/>
      <c r="AH203" s="120"/>
    </row>
    <row r="204" spans="1:34" ht="13.2" x14ac:dyDescent="0.25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121"/>
      <c r="AC204" s="121"/>
      <c r="AD204" s="121"/>
      <c r="AE204" s="121"/>
      <c r="AF204" s="121"/>
      <c r="AG204" s="121"/>
      <c r="AH204" s="120"/>
    </row>
    <row r="205" spans="1:34" ht="13.2" x14ac:dyDescent="0.2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121"/>
      <c r="AC205" s="121"/>
      <c r="AD205" s="121"/>
      <c r="AE205" s="121"/>
      <c r="AF205" s="121"/>
      <c r="AG205" s="121"/>
      <c r="AH205" s="120"/>
    </row>
    <row r="206" spans="1:34" ht="13.2" x14ac:dyDescent="0.25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121"/>
      <c r="AC206" s="121"/>
      <c r="AD206" s="121"/>
      <c r="AE206" s="121"/>
      <c r="AF206" s="121"/>
      <c r="AG206" s="121"/>
      <c r="AH206" s="120"/>
    </row>
    <row r="207" spans="1:34" ht="13.2" x14ac:dyDescent="0.25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121"/>
      <c r="AC207" s="121"/>
      <c r="AD207" s="121"/>
      <c r="AE207" s="121"/>
      <c r="AF207" s="121"/>
      <c r="AG207" s="121"/>
      <c r="AH207" s="120"/>
    </row>
    <row r="208" spans="1:34" ht="13.2" x14ac:dyDescent="0.25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121"/>
      <c r="AC208" s="121"/>
      <c r="AD208" s="121"/>
      <c r="AE208" s="121"/>
      <c r="AF208" s="121"/>
      <c r="AG208" s="121"/>
      <c r="AH208" s="120"/>
    </row>
    <row r="209" spans="1:34" ht="13.2" x14ac:dyDescent="0.25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121"/>
      <c r="AC209" s="121"/>
      <c r="AD209" s="121"/>
      <c r="AE209" s="121"/>
      <c r="AF209" s="121"/>
      <c r="AG209" s="121"/>
      <c r="AH209" s="120"/>
    </row>
    <row r="210" spans="1:34" ht="13.2" x14ac:dyDescent="0.25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121"/>
      <c r="AC210" s="121"/>
      <c r="AD210" s="121"/>
      <c r="AE210" s="121"/>
      <c r="AF210" s="121"/>
      <c r="AG210" s="121"/>
      <c r="AH210" s="120"/>
    </row>
    <row r="211" spans="1:34" ht="13.2" x14ac:dyDescent="0.25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121"/>
      <c r="AC211" s="121"/>
      <c r="AD211" s="121"/>
      <c r="AE211" s="121"/>
      <c r="AF211" s="121"/>
      <c r="AG211" s="121"/>
      <c r="AH211" s="120"/>
    </row>
    <row r="212" spans="1:34" ht="13.2" x14ac:dyDescent="0.25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121"/>
      <c r="AC212" s="121"/>
      <c r="AD212" s="121"/>
      <c r="AE212" s="121"/>
      <c r="AF212" s="121"/>
      <c r="AG212" s="121"/>
      <c r="AH212" s="120"/>
    </row>
    <row r="213" spans="1:34" ht="13.2" x14ac:dyDescent="0.25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121"/>
      <c r="AC213" s="121"/>
      <c r="AD213" s="121"/>
      <c r="AE213" s="121"/>
      <c r="AF213" s="121"/>
      <c r="AG213" s="121"/>
      <c r="AH213" s="120"/>
    </row>
    <row r="214" spans="1:34" ht="13.2" x14ac:dyDescent="0.25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121"/>
      <c r="AC214" s="121"/>
      <c r="AD214" s="121"/>
      <c r="AE214" s="121"/>
      <c r="AF214" s="121"/>
      <c r="AG214" s="121"/>
      <c r="AH214" s="120"/>
    </row>
    <row r="215" spans="1:34" ht="13.2" x14ac:dyDescent="0.2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121"/>
      <c r="AC215" s="121"/>
      <c r="AD215" s="121"/>
      <c r="AE215" s="121"/>
      <c r="AF215" s="121"/>
      <c r="AG215" s="121"/>
      <c r="AH215" s="120"/>
    </row>
    <row r="216" spans="1:34" ht="13.2" x14ac:dyDescent="0.25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121"/>
      <c r="AC216" s="121"/>
      <c r="AD216" s="121"/>
      <c r="AE216" s="121"/>
      <c r="AF216" s="121"/>
      <c r="AG216" s="121"/>
      <c r="AH216" s="120"/>
    </row>
    <row r="217" spans="1:34" ht="13.2" x14ac:dyDescent="0.25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121"/>
      <c r="AC217" s="121"/>
      <c r="AD217" s="121"/>
      <c r="AE217" s="121"/>
      <c r="AF217" s="121"/>
      <c r="AG217" s="121"/>
      <c r="AH217" s="120"/>
    </row>
    <row r="218" spans="1:34" ht="13.2" x14ac:dyDescent="0.25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121"/>
      <c r="AC218" s="121"/>
      <c r="AD218" s="121"/>
      <c r="AE218" s="121"/>
      <c r="AF218" s="121"/>
      <c r="AG218" s="121"/>
      <c r="AH218" s="120"/>
    </row>
    <row r="219" spans="1:34" ht="13.2" x14ac:dyDescent="0.25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121"/>
      <c r="AC219" s="121"/>
      <c r="AD219" s="121"/>
      <c r="AE219" s="121"/>
      <c r="AF219" s="121"/>
      <c r="AG219" s="121"/>
      <c r="AH219" s="120"/>
    </row>
    <row r="220" spans="1:34" ht="13.2" x14ac:dyDescent="0.25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121"/>
      <c r="AC220" s="121"/>
      <c r="AD220" s="121"/>
      <c r="AE220" s="121"/>
      <c r="AF220" s="121"/>
      <c r="AG220" s="121"/>
      <c r="AH220" s="120"/>
    </row>
    <row r="221" spans="1:34" ht="13.2" x14ac:dyDescent="0.25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121"/>
      <c r="AC221" s="121"/>
      <c r="AD221" s="121"/>
      <c r="AE221" s="121"/>
      <c r="AF221" s="121"/>
      <c r="AG221" s="121"/>
      <c r="AH221" s="120"/>
    </row>
    <row r="222" spans="1:34" ht="13.2" x14ac:dyDescent="0.25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121"/>
      <c r="AC222" s="121"/>
      <c r="AD222" s="121"/>
      <c r="AE222" s="121"/>
      <c r="AF222" s="121"/>
      <c r="AG222" s="121"/>
      <c r="AH222" s="120"/>
    </row>
    <row r="223" spans="1:34" ht="13.2" x14ac:dyDescent="0.25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121"/>
      <c r="AC223" s="121"/>
      <c r="AD223" s="121"/>
      <c r="AE223" s="121"/>
      <c r="AF223" s="121"/>
      <c r="AG223" s="121"/>
      <c r="AH223" s="120"/>
    </row>
    <row r="224" spans="1:34" ht="13.2" x14ac:dyDescent="0.25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121"/>
      <c r="AC224" s="121"/>
      <c r="AD224" s="121"/>
      <c r="AE224" s="121"/>
      <c r="AF224" s="121"/>
      <c r="AG224" s="121"/>
      <c r="AH224" s="120"/>
    </row>
    <row r="225" spans="1:34" ht="13.2" x14ac:dyDescent="0.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121"/>
      <c r="AC225" s="121"/>
      <c r="AD225" s="121"/>
      <c r="AE225" s="121"/>
      <c r="AF225" s="121"/>
      <c r="AG225" s="121"/>
      <c r="AH225" s="120"/>
    </row>
    <row r="226" spans="1:34" ht="13.2" x14ac:dyDescent="0.25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121"/>
      <c r="AC226" s="121"/>
      <c r="AD226" s="121"/>
      <c r="AE226" s="121"/>
      <c r="AF226" s="121"/>
      <c r="AG226" s="121"/>
      <c r="AH226" s="120"/>
    </row>
    <row r="227" spans="1:34" ht="13.2" x14ac:dyDescent="0.25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121"/>
      <c r="AC227" s="121"/>
      <c r="AD227" s="121"/>
      <c r="AE227" s="121"/>
      <c r="AF227" s="121"/>
      <c r="AG227" s="121"/>
      <c r="AH227" s="120"/>
    </row>
    <row r="228" spans="1:34" ht="13.2" x14ac:dyDescent="0.25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121"/>
      <c r="AC228" s="121"/>
      <c r="AD228" s="121"/>
      <c r="AE228" s="121"/>
      <c r="AF228" s="121"/>
      <c r="AG228" s="121"/>
      <c r="AH228" s="120"/>
    </row>
    <row r="229" spans="1:34" ht="13.2" x14ac:dyDescent="0.25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121"/>
      <c r="AC229" s="121"/>
      <c r="AD229" s="121"/>
      <c r="AE229" s="121"/>
      <c r="AF229" s="121"/>
      <c r="AG229" s="121"/>
      <c r="AH229" s="120"/>
    </row>
    <row r="230" spans="1:34" ht="13.2" x14ac:dyDescent="0.25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121"/>
      <c r="AC230" s="121"/>
      <c r="AD230" s="121"/>
      <c r="AE230" s="121"/>
      <c r="AF230" s="121"/>
      <c r="AG230" s="121"/>
      <c r="AH230" s="120"/>
    </row>
    <row r="231" spans="1:34" ht="13.2" x14ac:dyDescent="0.25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121"/>
      <c r="AC231" s="121"/>
      <c r="AD231" s="121"/>
      <c r="AE231" s="121"/>
      <c r="AF231" s="121"/>
      <c r="AG231" s="121"/>
      <c r="AH231" s="120"/>
    </row>
    <row r="232" spans="1:34" ht="13.2" x14ac:dyDescent="0.25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121"/>
      <c r="AC232" s="121"/>
      <c r="AD232" s="121"/>
      <c r="AE232" s="121"/>
      <c r="AF232" s="121"/>
      <c r="AG232" s="121"/>
      <c r="AH232" s="120"/>
    </row>
    <row r="233" spans="1:34" ht="13.2" x14ac:dyDescent="0.25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121"/>
      <c r="AC233" s="121"/>
      <c r="AD233" s="121"/>
      <c r="AE233" s="121"/>
      <c r="AF233" s="121"/>
      <c r="AG233" s="121"/>
      <c r="AH233" s="120"/>
    </row>
    <row r="234" spans="1:34" ht="13.2" x14ac:dyDescent="0.25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121"/>
      <c r="AC234" s="121"/>
      <c r="AD234" s="121"/>
      <c r="AE234" s="121"/>
      <c r="AF234" s="121"/>
      <c r="AG234" s="121"/>
      <c r="AH234" s="120"/>
    </row>
    <row r="235" spans="1:34" ht="13.2" x14ac:dyDescent="0.2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121"/>
      <c r="AC235" s="121"/>
      <c r="AD235" s="121"/>
      <c r="AE235" s="121"/>
      <c r="AF235" s="121"/>
      <c r="AG235" s="121"/>
      <c r="AH235" s="120"/>
    </row>
    <row r="236" spans="1:34" ht="13.2" x14ac:dyDescent="0.25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121"/>
      <c r="AC236" s="121"/>
      <c r="AD236" s="121"/>
      <c r="AE236" s="121"/>
      <c r="AF236" s="121"/>
      <c r="AG236" s="121"/>
      <c r="AH236" s="120"/>
    </row>
    <row r="237" spans="1:34" ht="13.2" x14ac:dyDescent="0.25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121"/>
      <c r="AC237" s="121"/>
      <c r="AD237" s="121"/>
      <c r="AE237" s="121"/>
      <c r="AF237" s="121"/>
      <c r="AG237" s="121"/>
      <c r="AH237" s="120"/>
    </row>
    <row r="238" spans="1:34" ht="13.2" x14ac:dyDescent="0.25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121"/>
      <c r="AC238" s="121"/>
      <c r="AD238" s="121"/>
      <c r="AE238" s="121"/>
      <c r="AF238" s="121"/>
      <c r="AG238" s="121"/>
      <c r="AH238" s="120"/>
    </row>
    <row r="239" spans="1:34" ht="13.2" x14ac:dyDescent="0.25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121"/>
      <c r="AC239" s="121"/>
      <c r="AD239" s="121"/>
      <c r="AE239" s="121"/>
      <c r="AF239" s="121"/>
      <c r="AG239" s="121"/>
      <c r="AH239" s="120"/>
    </row>
    <row r="240" spans="1:34" ht="13.2" x14ac:dyDescent="0.25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121"/>
      <c r="AC240" s="121"/>
      <c r="AD240" s="121"/>
      <c r="AE240" s="121"/>
      <c r="AF240" s="121"/>
      <c r="AG240" s="121"/>
      <c r="AH240" s="120"/>
    </row>
    <row r="241" spans="1:34" ht="13.2" x14ac:dyDescent="0.25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121"/>
      <c r="AC241" s="121"/>
      <c r="AD241" s="121"/>
      <c r="AE241" s="121"/>
      <c r="AF241" s="121"/>
      <c r="AG241" s="121"/>
      <c r="AH241" s="120"/>
    </row>
    <row r="242" spans="1:34" ht="13.2" x14ac:dyDescent="0.25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121"/>
      <c r="AC242" s="121"/>
      <c r="AD242" s="121"/>
      <c r="AE242" s="121"/>
      <c r="AF242" s="121"/>
      <c r="AG242" s="121"/>
      <c r="AH242" s="120"/>
    </row>
    <row r="243" spans="1:34" ht="13.2" x14ac:dyDescent="0.25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121"/>
      <c r="AC243" s="121"/>
      <c r="AD243" s="121"/>
      <c r="AE243" s="121"/>
      <c r="AF243" s="121"/>
      <c r="AG243" s="121"/>
      <c r="AH243" s="120"/>
    </row>
    <row r="244" spans="1:34" ht="13.2" x14ac:dyDescent="0.25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121"/>
      <c r="AC244" s="121"/>
      <c r="AD244" s="121"/>
      <c r="AE244" s="121"/>
      <c r="AF244" s="121"/>
      <c r="AG244" s="121"/>
      <c r="AH244" s="120"/>
    </row>
    <row r="245" spans="1:34" ht="13.2" x14ac:dyDescent="0.2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121"/>
      <c r="AC245" s="121"/>
      <c r="AD245" s="121"/>
      <c r="AE245" s="121"/>
      <c r="AF245" s="121"/>
      <c r="AG245" s="121"/>
      <c r="AH245" s="120"/>
    </row>
    <row r="246" spans="1:34" ht="13.2" x14ac:dyDescent="0.25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121"/>
      <c r="AC246" s="121"/>
      <c r="AD246" s="121"/>
      <c r="AE246" s="121"/>
      <c r="AF246" s="121"/>
      <c r="AG246" s="121"/>
      <c r="AH246" s="120"/>
    </row>
    <row r="247" spans="1:34" ht="13.2" x14ac:dyDescent="0.25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121"/>
      <c r="AC247" s="121"/>
      <c r="AD247" s="121"/>
      <c r="AE247" s="121"/>
      <c r="AF247" s="121"/>
      <c r="AG247" s="121"/>
      <c r="AH247" s="120"/>
    </row>
    <row r="248" spans="1:34" ht="13.2" x14ac:dyDescent="0.25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121"/>
      <c r="AC248" s="121"/>
      <c r="AD248" s="121"/>
      <c r="AE248" s="121"/>
      <c r="AF248" s="121"/>
      <c r="AG248" s="121"/>
      <c r="AH248" s="120"/>
    </row>
    <row r="249" spans="1:34" ht="13.2" x14ac:dyDescent="0.25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121"/>
      <c r="AC249" s="121"/>
      <c r="AD249" s="121"/>
      <c r="AE249" s="121"/>
      <c r="AF249" s="121"/>
      <c r="AG249" s="121"/>
      <c r="AH249" s="120"/>
    </row>
    <row r="250" spans="1:34" ht="13.2" x14ac:dyDescent="0.25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121"/>
      <c r="AC250" s="121"/>
      <c r="AD250" s="121"/>
      <c r="AE250" s="121"/>
      <c r="AF250" s="121"/>
      <c r="AG250" s="121"/>
      <c r="AH250" s="120"/>
    </row>
    <row r="251" spans="1:34" ht="13.2" x14ac:dyDescent="0.25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121"/>
      <c r="AC251" s="121"/>
      <c r="AD251" s="121"/>
      <c r="AE251" s="121"/>
      <c r="AF251" s="121"/>
      <c r="AG251" s="121"/>
      <c r="AH251" s="120"/>
    </row>
    <row r="252" spans="1:34" ht="13.2" x14ac:dyDescent="0.25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121"/>
      <c r="AC252" s="121"/>
      <c r="AD252" s="121"/>
      <c r="AE252" s="121"/>
      <c r="AF252" s="121"/>
      <c r="AG252" s="121"/>
      <c r="AH252" s="120"/>
    </row>
    <row r="253" spans="1:34" ht="13.2" x14ac:dyDescent="0.25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121"/>
      <c r="AC253" s="121"/>
      <c r="AD253" s="121"/>
      <c r="AE253" s="121"/>
      <c r="AF253" s="121"/>
      <c r="AG253" s="121"/>
      <c r="AH253" s="120"/>
    </row>
    <row r="254" spans="1:34" ht="13.2" x14ac:dyDescent="0.25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121"/>
      <c r="AC254" s="121"/>
      <c r="AD254" s="121"/>
      <c r="AE254" s="121"/>
      <c r="AF254" s="121"/>
      <c r="AG254" s="121"/>
      <c r="AH254" s="120"/>
    </row>
    <row r="255" spans="1:34" ht="13.2" x14ac:dyDescent="0.2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121"/>
      <c r="AC255" s="121"/>
      <c r="AD255" s="121"/>
      <c r="AE255" s="121"/>
      <c r="AF255" s="121"/>
      <c r="AG255" s="121"/>
      <c r="AH255" s="120"/>
    </row>
    <row r="256" spans="1:34" ht="13.2" x14ac:dyDescent="0.25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121"/>
      <c r="AC256" s="121"/>
      <c r="AD256" s="121"/>
      <c r="AE256" s="121"/>
      <c r="AF256" s="121"/>
      <c r="AG256" s="121"/>
      <c r="AH256" s="120"/>
    </row>
    <row r="257" spans="1:34" ht="13.2" x14ac:dyDescent="0.25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121"/>
      <c r="AC257" s="121"/>
      <c r="AD257" s="121"/>
      <c r="AE257" s="121"/>
      <c r="AF257" s="121"/>
      <c r="AG257" s="121"/>
      <c r="AH257" s="120"/>
    </row>
    <row r="258" spans="1:34" ht="13.2" x14ac:dyDescent="0.25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121"/>
      <c r="AC258" s="121"/>
      <c r="AD258" s="121"/>
      <c r="AE258" s="121"/>
      <c r="AF258" s="121"/>
      <c r="AG258" s="121"/>
      <c r="AH258" s="120"/>
    </row>
    <row r="259" spans="1:34" ht="13.2" x14ac:dyDescent="0.25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121"/>
      <c r="AC259" s="121"/>
      <c r="AD259" s="121"/>
      <c r="AE259" s="121"/>
      <c r="AF259" s="121"/>
      <c r="AG259" s="121"/>
      <c r="AH259" s="120"/>
    </row>
    <row r="260" spans="1:34" ht="13.2" x14ac:dyDescent="0.25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121"/>
      <c r="AC260" s="121"/>
      <c r="AD260" s="121"/>
      <c r="AE260" s="121"/>
      <c r="AF260" s="121"/>
      <c r="AG260" s="121"/>
      <c r="AH260" s="120"/>
    </row>
    <row r="261" spans="1:34" ht="13.2" x14ac:dyDescent="0.25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121"/>
      <c r="AC261" s="121"/>
      <c r="AD261" s="121"/>
      <c r="AE261" s="121"/>
      <c r="AF261" s="121"/>
      <c r="AG261" s="121"/>
      <c r="AH261" s="120"/>
    </row>
    <row r="262" spans="1:34" ht="13.2" x14ac:dyDescent="0.25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121"/>
      <c r="AC262" s="121"/>
      <c r="AD262" s="121"/>
      <c r="AE262" s="121"/>
      <c r="AF262" s="121"/>
      <c r="AG262" s="121"/>
      <c r="AH262" s="120"/>
    </row>
    <row r="263" spans="1:34" ht="13.2" x14ac:dyDescent="0.25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121"/>
      <c r="AC263" s="121"/>
      <c r="AD263" s="121"/>
      <c r="AE263" s="121"/>
      <c r="AF263" s="121"/>
      <c r="AG263" s="121"/>
      <c r="AH263" s="120"/>
    </row>
    <row r="264" spans="1:34" ht="13.2" x14ac:dyDescent="0.25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121"/>
      <c r="AC264" s="121"/>
      <c r="AD264" s="121"/>
      <c r="AE264" s="121"/>
      <c r="AF264" s="121"/>
      <c r="AG264" s="121"/>
      <c r="AH264" s="120"/>
    </row>
    <row r="265" spans="1:34" ht="13.2" x14ac:dyDescent="0.2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121"/>
      <c r="AC265" s="121"/>
      <c r="AD265" s="121"/>
      <c r="AE265" s="121"/>
      <c r="AF265" s="121"/>
      <c r="AG265" s="121"/>
      <c r="AH265" s="120"/>
    </row>
    <row r="266" spans="1:34" ht="13.2" x14ac:dyDescent="0.25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121"/>
      <c r="AC266" s="121"/>
      <c r="AD266" s="121"/>
      <c r="AE266" s="121"/>
      <c r="AF266" s="121"/>
      <c r="AG266" s="121"/>
      <c r="AH266" s="120"/>
    </row>
    <row r="267" spans="1:34" ht="13.2" x14ac:dyDescent="0.25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  <c r="AB267" s="121"/>
      <c r="AC267" s="121"/>
      <c r="AD267" s="121"/>
      <c r="AE267" s="121"/>
      <c r="AF267" s="121"/>
      <c r="AG267" s="121"/>
      <c r="AH267" s="120"/>
    </row>
    <row r="268" spans="1:34" ht="13.2" x14ac:dyDescent="0.25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  <c r="AB268" s="121"/>
      <c r="AC268" s="121"/>
      <c r="AD268" s="121"/>
      <c r="AE268" s="121"/>
      <c r="AF268" s="121"/>
      <c r="AG268" s="121"/>
      <c r="AH268" s="120"/>
    </row>
    <row r="269" spans="1:34" ht="13.2" x14ac:dyDescent="0.25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  <c r="AB269" s="121"/>
      <c r="AC269" s="121"/>
      <c r="AD269" s="121"/>
      <c r="AE269" s="121"/>
      <c r="AF269" s="121"/>
      <c r="AG269" s="121"/>
      <c r="AH269" s="120"/>
    </row>
    <row r="270" spans="1:34" ht="13.2" x14ac:dyDescent="0.25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  <c r="AB270" s="121"/>
      <c r="AC270" s="121"/>
      <c r="AD270" s="121"/>
      <c r="AE270" s="121"/>
      <c r="AF270" s="121"/>
      <c r="AG270" s="121"/>
      <c r="AH270" s="120"/>
    </row>
    <row r="271" spans="1:34" ht="13.2" x14ac:dyDescent="0.25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  <c r="AB271" s="121"/>
      <c r="AC271" s="121"/>
      <c r="AD271" s="121"/>
      <c r="AE271" s="121"/>
      <c r="AF271" s="121"/>
      <c r="AG271" s="121"/>
      <c r="AH271" s="120"/>
    </row>
    <row r="272" spans="1:34" ht="13.2" x14ac:dyDescent="0.25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  <c r="AB272" s="121"/>
      <c r="AC272" s="121"/>
      <c r="AD272" s="121"/>
      <c r="AE272" s="121"/>
      <c r="AF272" s="121"/>
      <c r="AG272" s="121"/>
      <c r="AH272" s="120"/>
    </row>
    <row r="273" spans="1:34" ht="13.2" x14ac:dyDescent="0.25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  <c r="AB273" s="121"/>
      <c r="AC273" s="121"/>
      <c r="AD273" s="121"/>
      <c r="AE273" s="121"/>
      <c r="AF273" s="121"/>
      <c r="AG273" s="121"/>
      <c r="AH273" s="120"/>
    </row>
    <row r="274" spans="1:34" ht="13.2" x14ac:dyDescent="0.25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  <c r="AB274" s="121"/>
      <c r="AC274" s="121"/>
      <c r="AD274" s="121"/>
      <c r="AE274" s="121"/>
      <c r="AF274" s="121"/>
      <c r="AG274" s="121"/>
      <c r="AH274" s="120"/>
    </row>
    <row r="275" spans="1:34" ht="13.2" x14ac:dyDescent="0.2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  <c r="AB275" s="121"/>
      <c r="AC275" s="121"/>
      <c r="AD275" s="121"/>
      <c r="AE275" s="121"/>
      <c r="AF275" s="121"/>
      <c r="AG275" s="121"/>
      <c r="AH275" s="120"/>
    </row>
    <row r="276" spans="1:34" ht="13.2" x14ac:dyDescent="0.25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  <c r="AB276" s="121"/>
      <c r="AC276" s="121"/>
      <c r="AD276" s="121"/>
      <c r="AE276" s="121"/>
      <c r="AF276" s="121"/>
      <c r="AG276" s="121"/>
      <c r="AH276" s="120"/>
    </row>
    <row r="277" spans="1:34" ht="13.2" x14ac:dyDescent="0.25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  <c r="AB277" s="121"/>
      <c r="AC277" s="121"/>
      <c r="AD277" s="121"/>
      <c r="AE277" s="121"/>
      <c r="AF277" s="121"/>
      <c r="AG277" s="121"/>
      <c r="AH277" s="120"/>
    </row>
    <row r="278" spans="1:34" ht="13.2" x14ac:dyDescent="0.25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  <c r="AB278" s="121"/>
      <c r="AC278" s="121"/>
      <c r="AD278" s="121"/>
      <c r="AE278" s="121"/>
      <c r="AF278" s="121"/>
      <c r="AG278" s="121"/>
      <c r="AH278" s="120"/>
    </row>
    <row r="279" spans="1:34" ht="13.2" x14ac:dyDescent="0.25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  <c r="AB279" s="121"/>
      <c r="AC279" s="121"/>
      <c r="AD279" s="121"/>
      <c r="AE279" s="121"/>
      <c r="AF279" s="121"/>
      <c r="AG279" s="121"/>
      <c r="AH279" s="120"/>
    </row>
    <row r="280" spans="1:34" ht="13.2" x14ac:dyDescent="0.25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  <c r="AB280" s="121"/>
      <c r="AC280" s="121"/>
      <c r="AD280" s="121"/>
      <c r="AE280" s="121"/>
      <c r="AF280" s="121"/>
      <c r="AG280" s="121"/>
      <c r="AH280" s="120"/>
    </row>
    <row r="281" spans="1:34" ht="13.2" x14ac:dyDescent="0.25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  <c r="AB281" s="121"/>
      <c r="AC281" s="121"/>
      <c r="AD281" s="121"/>
      <c r="AE281" s="121"/>
      <c r="AF281" s="121"/>
      <c r="AG281" s="121"/>
      <c r="AH281" s="120"/>
    </row>
    <row r="282" spans="1:34" ht="13.2" x14ac:dyDescent="0.25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  <c r="AB282" s="121"/>
      <c r="AC282" s="121"/>
      <c r="AD282" s="121"/>
      <c r="AE282" s="121"/>
      <c r="AF282" s="121"/>
      <c r="AG282" s="121"/>
      <c r="AH282" s="120"/>
    </row>
    <row r="283" spans="1:34" ht="13.2" x14ac:dyDescent="0.25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  <c r="AB283" s="121"/>
      <c r="AC283" s="121"/>
      <c r="AD283" s="121"/>
      <c r="AE283" s="121"/>
      <c r="AF283" s="121"/>
      <c r="AG283" s="121"/>
      <c r="AH283" s="120"/>
    </row>
    <row r="284" spans="1:34" ht="13.2" x14ac:dyDescent="0.25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  <c r="AB284" s="121"/>
      <c r="AC284" s="121"/>
      <c r="AD284" s="121"/>
      <c r="AE284" s="121"/>
      <c r="AF284" s="121"/>
      <c r="AG284" s="121"/>
      <c r="AH284" s="120"/>
    </row>
    <row r="285" spans="1:34" ht="13.2" x14ac:dyDescent="0.2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  <c r="AB285" s="121"/>
      <c r="AC285" s="121"/>
      <c r="AD285" s="121"/>
      <c r="AE285" s="121"/>
      <c r="AF285" s="121"/>
      <c r="AG285" s="121"/>
      <c r="AH285" s="120"/>
    </row>
    <row r="286" spans="1:34" ht="13.2" x14ac:dyDescent="0.25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  <c r="AB286" s="121"/>
      <c r="AC286" s="121"/>
      <c r="AD286" s="121"/>
      <c r="AE286" s="121"/>
      <c r="AF286" s="121"/>
      <c r="AG286" s="121"/>
      <c r="AH286" s="120"/>
    </row>
    <row r="287" spans="1:34" ht="13.2" x14ac:dyDescent="0.25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  <c r="AB287" s="121"/>
      <c r="AC287" s="121"/>
      <c r="AD287" s="121"/>
      <c r="AE287" s="121"/>
      <c r="AF287" s="121"/>
      <c r="AG287" s="121"/>
      <c r="AH287" s="120"/>
    </row>
    <row r="288" spans="1:34" ht="13.2" x14ac:dyDescent="0.25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  <c r="AB288" s="121"/>
      <c r="AC288" s="121"/>
      <c r="AD288" s="121"/>
      <c r="AE288" s="121"/>
      <c r="AF288" s="121"/>
      <c r="AG288" s="121"/>
      <c r="AH288" s="120"/>
    </row>
    <row r="289" spans="1:34" ht="13.2" x14ac:dyDescent="0.25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  <c r="AB289" s="121"/>
      <c r="AC289" s="121"/>
      <c r="AD289" s="121"/>
      <c r="AE289" s="121"/>
      <c r="AF289" s="121"/>
      <c r="AG289" s="121"/>
      <c r="AH289" s="120"/>
    </row>
    <row r="290" spans="1:34" ht="13.2" x14ac:dyDescent="0.25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  <c r="AB290" s="121"/>
      <c r="AC290" s="121"/>
      <c r="AD290" s="121"/>
      <c r="AE290" s="121"/>
      <c r="AF290" s="121"/>
      <c r="AG290" s="121"/>
      <c r="AH290" s="120"/>
    </row>
    <row r="291" spans="1:34" ht="13.2" x14ac:dyDescent="0.25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  <c r="AB291" s="121"/>
      <c r="AC291" s="121"/>
      <c r="AD291" s="121"/>
      <c r="AE291" s="121"/>
      <c r="AF291" s="121"/>
      <c r="AG291" s="121"/>
      <c r="AH291" s="120"/>
    </row>
    <row r="292" spans="1:34" ht="13.2" x14ac:dyDescent="0.25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  <c r="AB292" s="121"/>
      <c r="AC292" s="121"/>
      <c r="AD292" s="121"/>
      <c r="AE292" s="121"/>
      <c r="AF292" s="121"/>
      <c r="AG292" s="121"/>
      <c r="AH292" s="120"/>
    </row>
    <row r="293" spans="1:34" ht="13.2" x14ac:dyDescent="0.25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  <c r="AB293" s="121"/>
      <c r="AC293" s="121"/>
      <c r="AD293" s="121"/>
      <c r="AE293" s="121"/>
      <c r="AF293" s="121"/>
      <c r="AG293" s="121"/>
      <c r="AH293" s="120"/>
    </row>
    <row r="294" spans="1:34" ht="13.2" x14ac:dyDescent="0.25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  <c r="AB294" s="121"/>
      <c r="AC294" s="121"/>
      <c r="AD294" s="121"/>
      <c r="AE294" s="121"/>
      <c r="AF294" s="121"/>
      <c r="AG294" s="121"/>
      <c r="AH294" s="120"/>
    </row>
    <row r="295" spans="1:34" ht="13.2" x14ac:dyDescent="0.2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  <c r="AB295" s="121"/>
      <c r="AC295" s="121"/>
      <c r="AD295" s="121"/>
      <c r="AE295" s="121"/>
      <c r="AF295" s="121"/>
      <c r="AG295" s="121"/>
      <c r="AH295" s="120"/>
    </row>
    <row r="296" spans="1:34" ht="13.2" x14ac:dyDescent="0.25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  <c r="AB296" s="121"/>
      <c r="AC296" s="121"/>
      <c r="AD296" s="121"/>
      <c r="AE296" s="121"/>
      <c r="AF296" s="121"/>
      <c r="AG296" s="121"/>
      <c r="AH296" s="120"/>
    </row>
    <row r="297" spans="1:34" ht="13.2" x14ac:dyDescent="0.25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  <c r="AB297" s="121"/>
      <c r="AC297" s="121"/>
      <c r="AD297" s="121"/>
      <c r="AE297" s="121"/>
      <c r="AF297" s="121"/>
      <c r="AG297" s="121"/>
      <c r="AH297" s="120"/>
    </row>
    <row r="298" spans="1:34" ht="13.2" x14ac:dyDescent="0.25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  <c r="AB298" s="121"/>
      <c r="AC298" s="121"/>
      <c r="AD298" s="121"/>
      <c r="AE298" s="121"/>
      <c r="AF298" s="121"/>
      <c r="AG298" s="121"/>
      <c r="AH298" s="120"/>
    </row>
    <row r="299" spans="1:34" ht="13.2" x14ac:dyDescent="0.25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  <c r="AB299" s="121"/>
      <c r="AC299" s="121"/>
      <c r="AD299" s="121"/>
      <c r="AE299" s="121"/>
      <c r="AF299" s="121"/>
      <c r="AG299" s="121"/>
      <c r="AH299" s="120"/>
    </row>
    <row r="300" spans="1:34" ht="13.2" x14ac:dyDescent="0.25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  <c r="AB300" s="121"/>
      <c r="AC300" s="121"/>
      <c r="AD300" s="121"/>
      <c r="AE300" s="121"/>
      <c r="AF300" s="121"/>
      <c r="AG300" s="121"/>
      <c r="AH300" s="120"/>
    </row>
    <row r="301" spans="1:34" ht="13.2" x14ac:dyDescent="0.25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  <c r="AB301" s="121"/>
      <c r="AC301" s="121"/>
      <c r="AD301" s="121"/>
      <c r="AE301" s="121"/>
      <c r="AF301" s="121"/>
      <c r="AG301" s="121"/>
      <c r="AH301" s="120"/>
    </row>
    <row r="302" spans="1:34" ht="13.2" x14ac:dyDescent="0.25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  <c r="AB302" s="121"/>
      <c r="AC302" s="121"/>
      <c r="AD302" s="121"/>
      <c r="AE302" s="121"/>
      <c r="AF302" s="121"/>
      <c r="AG302" s="121"/>
      <c r="AH302" s="120"/>
    </row>
    <row r="303" spans="1:34" ht="13.2" x14ac:dyDescent="0.25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  <c r="AB303" s="121"/>
      <c r="AC303" s="121"/>
      <c r="AD303" s="121"/>
      <c r="AE303" s="121"/>
      <c r="AF303" s="121"/>
      <c r="AG303" s="121"/>
      <c r="AH303" s="120"/>
    </row>
    <row r="304" spans="1:34" ht="13.2" x14ac:dyDescent="0.25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  <c r="AB304" s="121"/>
      <c r="AC304" s="121"/>
      <c r="AD304" s="121"/>
      <c r="AE304" s="121"/>
      <c r="AF304" s="121"/>
      <c r="AG304" s="121"/>
      <c r="AH304" s="120"/>
    </row>
    <row r="305" spans="1:34" ht="13.2" x14ac:dyDescent="0.2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  <c r="AB305" s="121"/>
      <c r="AC305" s="121"/>
      <c r="AD305" s="121"/>
      <c r="AE305" s="121"/>
      <c r="AF305" s="121"/>
      <c r="AG305" s="121"/>
      <c r="AH305" s="120"/>
    </row>
    <row r="306" spans="1:34" ht="13.2" x14ac:dyDescent="0.25">
      <c r="A306" s="81"/>
      <c r="B306" s="81"/>
      <c r="C306" s="81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  <c r="AB306" s="121"/>
      <c r="AC306" s="121"/>
      <c r="AD306" s="121"/>
      <c r="AE306" s="121"/>
      <c r="AF306" s="121"/>
      <c r="AG306" s="121"/>
      <c r="AH306" s="120"/>
    </row>
    <row r="307" spans="1:34" ht="13.2" x14ac:dyDescent="0.25">
      <c r="A307" s="81"/>
      <c r="B307" s="81"/>
      <c r="C307" s="81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  <c r="AB307" s="121"/>
      <c r="AC307" s="121"/>
      <c r="AD307" s="121"/>
      <c r="AE307" s="121"/>
      <c r="AF307" s="121"/>
      <c r="AG307" s="121"/>
      <c r="AH307" s="120"/>
    </row>
    <row r="308" spans="1:34" ht="13.2" x14ac:dyDescent="0.25">
      <c r="A308" s="81"/>
      <c r="B308" s="81"/>
      <c r="C308" s="81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  <c r="AB308" s="121"/>
      <c r="AC308" s="121"/>
      <c r="AD308" s="121"/>
      <c r="AE308" s="121"/>
      <c r="AF308" s="121"/>
      <c r="AG308" s="121"/>
      <c r="AH308" s="120"/>
    </row>
    <row r="309" spans="1:34" ht="13.2" x14ac:dyDescent="0.25">
      <c r="A309" s="81"/>
      <c r="B309" s="81"/>
      <c r="C309" s="81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  <c r="AB309" s="121"/>
      <c r="AC309" s="121"/>
      <c r="AD309" s="121"/>
      <c r="AE309" s="121"/>
      <c r="AF309" s="121"/>
      <c r="AG309" s="121"/>
      <c r="AH309" s="120"/>
    </row>
    <row r="310" spans="1:34" ht="13.2" x14ac:dyDescent="0.25">
      <c r="A310" s="81"/>
      <c r="B310" s="81"/>
      <c r="C310" s="81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  <c r="AB310" s="121"/>
      <c r="AC310" s="121"/>
      <c r="AD310" s="121"/>
      <c r="AE310" s="121"/>
      <c r="AF310" s="121"/>
      <c r="AG310" s="121"/>
      <c r="AH310" s="120"/>
    </row>
    <row r="311" spans="1:34" ht="13.2" x14ac:dyDescent="0.25">
      <c r="A311" s="81"/>
      <c r="B311" s="81"/>
      <c r="C311" s="81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  <c r="AB311" s="121"/>
      <c r="AC311" s="121"/>
      <c r="AD311" s="121"/>
      <c r="AE311" s="121"/>
      <c r="AF311" s="121"/>
      <c r="AG311" s="121"/>
      <c r="AH311" s="120"/>
    </row>
    <row r="312" spans="1:34" ht="13.2" x14ac:dyDescent="0.25">
      <c r="A312" s="81"/>
      <c r="B312" s="81"/>
      <c r="C312" s="81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  <c r="AB312" s="121"/>
      <c r="AC312" s="121"/>
      <c r="AD312" s="121"/>
      <c r="AE312" s="121"/>
      <c r="AF312" s="121"/>
      <c r="AG312" s="121"/>
      <c r="AH312" s="120"/>
    </row>
    <row r="313" spans="1:34" ht="13.2" x14ac:dyDescent="0.25">
      <c r="A313" s="81"/>
      <c r="B313" s="81"/>
      <c r="C313" s="81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  <c r="AB313" s="121"/>
      <c r="AC313" s="121"/>
      <c r="AD313" s="121"/>
      <c r="AE313" s="121"/>
      <c r="AF313" s="121"/>
      <c r="AG313" s="121"/>
      <c r="AH313" s="120"/>
    </row>
    <row r="314" spans="1:34" ht="13.2" x14ac:dyDescent="0.25">
      <c r="A314" s="81"/>
      <c r="B314" s="81"/>
      <c r="C314" s="81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  <c r="AB314" s="121"/>
      <c r="AC314" s="121"/>
      <c r="AD314" s="121"/>
      <c r="AE314" s="121"/>
      <c r="AF314" s="121"/>
      <c r="AG314" s="121"/>
      <c r="AH314" s="120"/>
    </row>
    <row r="315" spans="1:34" ht="13.2" x14ac:dyDescent="0.25">
      <c r="A315" s="81"/>
      <c r="B315" s="81"/>
      <c r="C315" s="81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  <c r="AB315" s="121"/>
      <c r="AC315" s="121"/>
      <c r="AD315" s="121"/>
      <c r="AE315" s="121"/>
      <c r="AF315" s="121"/>
      <c r="AG315" s="121"/>
      <c r="AH315" s="120"/>
    </row>
    <row r="316" spans="1:34" ht="13.2" x14ac:dyDescent="0.25">
      <c r="A316" s="81"/>
      <c r="B316" s="81"/>
      <c r="C316" s="81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  <c r="AB316" s="121"/>
      <c r="AC316" s="121"/>
      <c r="AD316" s="121"/>
      <c r="AE316" s="121"/>
      <c r="AF316" s="121"/>
      <c r="AG316" s="121"/>
      <c r="AH316" s="120"/>
    </row>
    <row r="317" spans="1:34" ht="13.2" x14ac:dyDescent="0.25">
      <c r="A317" s="81"/>
      <c r="B317" s="81"/>
      <c r="C317" s="81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  <c r="AB317" s="121"/>
      <c r="AC317" s="121"/>
      <c r="AD317" s="121"/>
      <c r="AE317" s="121"/>
      <c r="AF317" s="121"/>
      <c r="AG317" s="121"/>
      <c r="AH317" s="120"/>
    </row>
    <row r="318" spans="1:34" ht="13.2" x14ac:dyDescent="0.25">
      <c r="A318" s="81"/>
      <c r="B318" s="81"/>
      <c r="C318" s="81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  <c r="AB318" s="121"/>
      <c r="AC318" s="121"/>
      <c r="AD318" s="121"/>
      <c r="AE318" s="121"/>
      <c r="AF318" s="121"/>
      <c r="AG318" s="121"/>
      <c r="AH318" s="120"/>
    </row>
    <row r="319" spans="1:34" ht="13.2" x14ac:dyDescent="0.25">
      <c r="A319" s="81"/>
      <c r="B319" s="81"/>
      <c r="C319" s="81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  <c r="AB319" s="121"/>
      <c r="AC319" s="121"/>
      <c r="AD319" s="121"/>
      <c r="AE319" s="121"/>
      <c r="AF319" s="121"/>
      <c r="AG319" s="121"/>
      <c r="AH319" s="120"/>
    </row>
    <row r="320" spans="1:34" ht="13.2" x14ac:dyDescent="0.25">
      <c r="A320" s="81"/>
      <c r="B320" s="81"/>
      <c r="C320" s="81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  <c r="AB320" s="121"/>
      <c r="AC320" s="121"/>
      <c r="AD320" s="121"/>
      <c r="AE320" s="121"/>
      <c r="AF320" s="121"/>
      <c r="AG320" s="121"/>
      <c r="AH320" s="120"/>
    </row>
    <row r="321" spans="1:34" ht="13.2" x14ac:dyDescent="0.25">
      <c r="A321" s="81"/>
      <c r="B321" s="81"/>
      <c r="C321" s="81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  <c r="AB321" s="121"/>
      <c r="AC321" s="121"/>
      <c r="AD321" s="121"/>
      <c r="AE321" s="121"/>
      <c r="AF321" s="121"/>
      <c r="AG321" s="121"/>
      <c r="AH321" s="120"/>
    </row>
    <row r="322" spans="1:34" ht="13.2" x14ac:dyDescent="0.25">
      <c r="A322" s="81"/>
      <c r="B322" s="81"/>
      <c r="C322" s="81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  <c r="AB322" s="121"/>
      <c r="AC322" s="121"/>
      <c r="AD322" s="121"/>
      <c r="AE322" s="121"/>
      <c r="AF322" s="121"/>
      <c r="AG322" s="121"/>
      <c r="AH322" s="120"/>
    </row>
    <row r="323" spans="1:34" ht="13.2" x14ac:dyDescent="0.25">
      <c r="A323" s="81"/>
      <c r="B323" s="81"/>
      <c r="C323" s="81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  <c r="AB323" s="121"/>
      <c r="AC323" s="121"/>
      <c r="AD323" s="121"/>
      <c r="AE323" s="121"/>
      <c r="AF323" s="121"/>
      <c r="AG323" s="121"/>
      <c r="AH323" s="120"/>
    </row>
    <row r="324" spans="1:34" ht="13.2" x14ac:dyDescent="0.25">
      <c r="A324" s="81"/>
      <c r="B324" s="81"/>
      <c r="C324" s="81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  <c r="AB324" s="121"/>
      <c r="AC324" s="121"/>
      <c r="AD324" s="121"/>
      <c r="AE324" s="121"/>
      <c r="AF324" s="121"/>
      <c r="AG324" s="121"/>
      <c r="AH324" s="120"/>
    </row>
    <row r="325" spans="1:34" ht="13.2" x14ac:dyDescent="0.25">
      <c r="A325" s="81"/>
      <c r="B325" s="81"/>
      <c r="C325" s="81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  <c r="AB325" s="121"/>
      <c r="AC325" s="121"/>
      <c r="AD325" s="121"/>
      <c r="AE325" s="121"/>
      <c r="AF325" s="121"/>
      <c r="AG325" s="121"/>
      <c r="AH325" s="120"/>
    </row>
    <row r="326" spans="1:34" ht="13.2" x14ac:dyDescent="0.25">
      <c r="A326" s="81"/>
      <c r="B326" s="81"/>
      <c r="C326" s="81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  <c r="AB326" s="121"/>
      <c r="AC326" s="121"/>
      <c r="AD326" s="121"/>
      <c r="AE326" s="121"/>
      <c r="AF326" s="121"/>
      <c r="AG326" s="121"/>
      <c r="AH326" s="120"/>
    </row>
    <row r="327" spans="1:34" ht="13.2" x14ac:dyDescent="0.25">
      <c r="A327" s="81"/>
      <c r="B327" s="81"/>
      <c r="C327" s="81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  <c r="AB327" s="121"/>
      <c r="AC327" s="121"/>
      <c r="AD327" s="121"/>
      <c r="AE327" s="121"/>
      <c r="AF327" s="121"/>
      <c r="AG327" s="121"/>
      <c r="AH327" s="120"/>
    </row>
    <row r="328" spans="1:34" ht="13.2" x14ac:dyDescent="0.25">
      <c r="A328" s="81"/>
      <c r="B328" s="81"/>
      <c r="C328" s="81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  <c r="AB328" s="121"/>
      <c r="AC328" s="121"/>
      <c r="AD328" s="121"/>
      <c r="AE328" s="121"/>
      <c r="AF328" s="121"/>
      <c r="AG328" s="121"/>
      <c r="AH328" s="120"/>
    </row>
    <row r="329" spans="1:34" ht="13.2" x14ac:dyDescent="0.25">
      <c r="A329" s="81"/>
      <c r="B329" s="81"/>
      <c r="C329" s="81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  <c r="AB329" s="121"/>
      <c r="AC329" s="121"/>
      <c r="AD329" s="121"/>
      <c r="AE329" s="121"/>
      <c r="AF329" s="121"/>
      <c r="AG329" s="121"/>
      <c r="AH329" s="120"/>
    </row>
    <row r="330" spans="1:34" ht="13.2" x14ac:dyDescent="0.25">
      <c r="A330" s="81"/>
      <c r="B330" s="81"/>
      <c r="C330" s="81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  <c r="AB330" s="121"/>
      <c r="AC330" s="121"/>
      <c r="AD330" s="121"/>
      <c r="AE330" s="121"/>
      <c r="AF330" s="121"/>
      <c r="AG330" s="121"/>
      <c r="AH330" s="120"/>
    </row>
    <row r="331" spans="1:34" ht="13.2" x14ac:dyDescent="0.25">
      <c r="A331" s="81"/>
      <c r="B331" s="81"/>
      <c r="C331" s="81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  <c r="AB331" s="121"/>
      <c r="AC331" s="121"/>
      <c r="AD331" s="121"/>
      <c r="AE331" s="121"/>
      <c r="AF331" s="121"/>
      <c r="AG331" s="121"/>
      <c r="AH331" s="120"/>
    </row>
    <row r="332" spans="1:34" ht="13.2" x14ac:dyDescent="0.25">
      <c r="A332" s="81"/>
      <c r="B332" s="81"/>
      <c r="C332" s="81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  <c r="AB332" s="121"/>
      <c r="AC332" s="121"/>
      <c r="AD332" s="121"/>
      <c r="AE332" s="121"/>
      <c r="AF332" s="121"/>
      <c r="AG332" s="121"/>
      <c r="AH332" s="120"/>
    </row>
    <row r="333" spans="1:34" ht="13.2" x14ac:dyDescent="0.25">
      <c r="A333" s="81"/>
      <c r="B333" s="81"/>
      <c r="C333" s="81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  <c r="AB333" s="121"/>
      <c r="AC333" s="121"/>
      <c r="AD333" s="121"/>
      <c r="AE333" s="121"/>
      <c r="AF333" s="121"/>
      <c r="AG333" s="121"/>
      <c r="AH333" s="120"/>
    </row>
    <row r="334" spans="1:34" ht="13.2" x14ac:dyDescent="0.25">
      <c r="A334" s="81"/>
      <c r="B334" s="81"/>
      <c r="C334" s="81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  <c r="AB334" s="121"/>
      <c r="AC334" s="121"/>
      <c r="AD334" s="121"/>
      <c r="AE334" s="121"/>
      <c r="AF334" s="121"/>
      <c r="AG334" s="121"/>
      <c r="AH334" s="120"/>
    </row>
    <row r="335" spans="1:34" ht="13.2" x14ac:dyDescent="0.25">
      <c r="A335" s="81"/>
      <c r="B335" s="81"/>
      <c r="C335" s="81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  <c r="AB335" s="121"/>
      <c r="AC335" s="121"/>
      <c r="AD335" s="121"/>
      <c r="AE335" s="121"/>
      <c r="AF335" s="121"/>
      <c r="AG335" s="121"/>
      <c r="AH335" s="120"/>
    </row>
    <row r="336" spans="1:34" ht="13.2" x14ac:dyDescent="0.25">
      <c r="A336" s="81"/>
      <c r="B336" s="81"/>
      <c r="C336" s="81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  <c r="AB336" s="121"/>
      <c r="AC336" s="121"/>
      <c r="AD336" s="121"/>
      <c r="AE336" s="121"/>
      <c r="AF336" s="121"/>
      <c r="AG336" s="121"/>
      <c r="AH336" s="120"/>
    </row>
    <row r="337" spans="1:34" ht="13.2" x14ac:dyDescent="0.25">
      <c r="A337" s="81"/>
      <c r="B337" s="81"/>
      <c r="C337" s="81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  <c r="AB337" s="121"/>
      <c r="AC337" s="121"/>
      <c r="AD337" s="121"/>
      <c r="AE337" s="121"/>
      <c r="AF337" s="121"/>
      <c r="AG337" s="121"/>
      <c r="AH337" s="120"/>
    </row>
    <row r="338" spans="1:34" ht="13.2" x14ac:dyDescent="0.25">
      <c r="A338" s="81"/>
      <c r="B338" s="81"/>
      <c r="C338" s="81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  <c r="AB338" s="121"/>
      <c r="AC338" s="121"/>
      <c r="AD338" s="121"/>
      <c r="AE338" s="121"/>
      <c r="AF338" s="121"/>
      <c r="AG338" s="121"/>
      <c r="AH338" s="120"/>
    </row>
    <row r="339" spans="1:34" ht="13.2" x14ac:dyDescent="0.25">
      <c r="A339" s="81"/>
      <c r="B339" s="81"/>
      <c r="C339" s="81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  <c r="AB339" s="121"/>
      <c r="AC339" s="121"/>
      <c r="AD339" s="121"/>
      <c r="AE339" s="121"/>
      <c r="AF339" s="121"/>
      <c r="AG339" s="121"/>
      <c r="AH339" s="120"/>
    </row>
    <row r="340" spans="1:34" ht="13.2" x14ac:dyDescent="0.25">
      <c r="A340" s="81"/>
      <c r="B340" s="81"/>
      <c r="C340" s="81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  <c r="AB340" s="121"/>
      <c r="AC340" s="121"/>
      <c r="AD340" s="121"/>
      <c r="AE340" s="121"/>
      <c r="AF340" s="121"/>
      <c r="AG340" s="121"/>
      <c r="AH340" s="120"/>
    </row>
    <row r="341" spans="1:34" ht="13.2" x14ac:dyDescent="0.25">
      <c r="A341" s="81"/>
      <c r="B341" s="81"/>
      <c r="C341" s="81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  <c r="AB341" s="121"/>
      <c r="AC341" s="121"/>
      <c r="AD341" s="121"/>
      <c r="AE341" s="121"/>
      <c r="AF341" s="121"/>
      <c r="AG341" s="121"/>
      <c r="AH341" s="120"/>
    </row>
    <row r="342" spans="1:34" ht="13.2" x14ac:dyDescent="0.25">
      <c r="A342" s="81"/>
      <c r="B342" s="81"/>
      <c r="C342" s="81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  <c r="AB342" s="121"/>
      <c r="AC342" s="121"/>
      <c r="AD342" s="121"/>
      <c r="AE342" s="121"/>
      <c r="AF342" s="121"/>
      <c r="AG342" s="121"/>
      <c r="AH342" s="120"/>
    </row>
    <row r="343" spans="1:34" ht="13.2" x14ac:dyDescent="0.25">
      <c r="A343" s="81"/>
      <c r="B343" s="81"/>
      <c r="C343" s="81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  <c r="AB343" s="121"/>
      <c r="AC343" s="121"/>
      <c r="AD343" s="121"/>
      <c r="AE343" s="121"/>
      <c r="AF343" s="121"/>
      <c r="AG343" s="121"/>
      <c r="AH343" s="120"/>
    </row>
    <row r="344" spans="1:34" ht="13.2" x14ac:dyDescent="0.25">
      <c r="A344" s="81"/>
      <c r="B344" s="81"/>
      <c r="C344" s="81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  <c r="AB344" s="121"/>
      <c r="AC344" s="121"/>
      <c r="AD344" s="121"/>
      <c r="AE344" s="121"/>
      <c r="AF344" s="121"/>
      <c r="AG344" s="121"/>
      <c r="AH344" s="120"/>
    </row>
    <row r="345" spans="1:34" ht="13.2" x14ac:dyDescent="0.25">
      <c r="A345" s="81"/>
      <c r="B345" s="81"/>
      <c r="C345" s="81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  <c r="AB345" s="121"/>
      <c r="AC345" s="121"/>
      <c r="AD345" s="121"/>
      <c r="AE345" s="121"/>
      <c r="AF345" s="121"/>
      <c r="AG345" s="121"/>
      <c r="AH345" s="120"/>
    </row>
    <row r="346" spans="1:34" ht="13.2" x14ac:dyDescent="0.25">
      <c r="A346" s="81"/>
      <c r="B346" s="81"/>
      <c r="C346" s="81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  <c r="AB346" s="121"/>
      <c r="AC346" s="121"/>
      <c r="AD346" s="121"/>
      <c r="AE346" s="121"/>
      <c r="AF346" s="121"/>
      <c r="AG346" s="121"/>
      <c r="AH346" s="120"/>
    </row>
    <row r="347" spans="1:34" ht="13.2" x14ac:dyDescent="0.25">
      <c r="A347" s="81"/>
      <c r="B347" s="81"/>
      <c r="C347" s="81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  <c r="AB347" s="121"/>
      <c r="AC347" s="121"/>
      <c r="AD347" s="121"/>
      <c r="AE347" s="121"/>
      <c r="AF347" s="121"/>
      <c r="AG347" s="121"/>
      <c r="AH347" s="120"/>
    </row>
    <row r="348" spans="1:34" ht="13.2" x14ac:dyDescent="0.25">
      <c r="A348" s="81"/>
      <c r="B348" s="81"/>
      <c r="C348" s="81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  <c r="AB348" s="121"/>
      <c r="AC348" s="121"/>
      <c r="AD348" s="121"/>
      <c r="AE348" s="121"/>
      <c r="AF348" s="121"/>
      <c r="AG348" s="121"/>
      <c r="AH348" s="120"/>
    </row>
    <row r="349" spans="1:34" ht="13.2" x14ac:dyDescent="0.25">
      <c r="A349" s="81"/>
      <c r="B349" s="81"/>
      <c r="C349" s="81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  <c r="AB349" s="121"/>
      <c r="AC349" s="121"/>
      <c r="AD349" s="121"/>
      <c r="AE349" s="121"/>
      <c r="AF349" s="121"/>
      <c r="AG349" s="121"/>
      <c r="AH349" s="120"/>
    </row>
    <row r="350" spans="1:34" ht="13.2" x14ac:dyDescent="0.25">
      <c r="A350" s="81"/>
      <c r="B350" s="81"/>
      <c r="C350" s="81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  <c r="AB350" s="121"/>
      <c r="AC350" s="121"/>
      <c r="AD350" s="121"/>
      <c r="AE350" s="121"/>
      <c r="AF350" s="121"/>
      <c r="AG350" s="121"/>
      <c r="AH350" s="120"/>
    </row>
    <row r="351" spans="1:34" ht="13.2" x14ac:dyDescent="0.25">
      <c r="A351" s="81"/>
      <c r="B351" s="81"/>
      <c r="C351" s="81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  <c r="AB351" s="121"/>
      <c r="AC351" s="121"/>
      <c r="AD351" s="121"/>
      <c r="AE351" s="121"/>
      <c r="AF351" s="121"/>
      <c r="AG351" s="121"/>
      <c r="AH351" s="120"/>
    </row>
    <row r="352" spans="1:34" ht="13.2" x14ac:dyDescent="0.25">
      <c r="A352" s="81"/>
      <c r="B352" s="81"/>
      <c r="C352" s="81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  <c r="AB352" s="121"/>
      <c r="AC352" s="121"/>
      <c r="AD352" s="121"/>
      <c r="AE352" s="121"/>
      <c r="AF352" s="121"/>
      <c r="AG352" s="121"/>
      <c r="AH352" s="120"/>
    </row>
    <row r="353" spans="1:34" ht="13.2" x14ac:dyDescent="0.25">
      <c r="A353" s="81"/>
      <c r="B353" s="81"/>
      <c r="C353" s="81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  <c r="AB353" s="121"/>
      <c r="AC353" s="121"/>
      <c r="AD353" s="121"/>
      <c r="AE353" s="121"/>
      <c r="AF353" s="121"/>
      <c r="AG353" s="121"/>
      <c r="AH353" s="120"/>
    </row>
    <row r="354" spans="1:34" ht="13.2" x14ac:dyDescent="0.25">
      <c r="A354" s="81"/>
      <c r="B354" s="81"/>
      <c r="C354" s="81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  <c r="AB354" s="121"/>
      <c r="AC354" s="121"/>
      <c r="AD354" s="121"/>
      <c r="AE354" s="121"/>
      <c r="AF354" s="121"/>
      <c r="AG354" s="121"/>
      <c r="AH354" s="120"/>
    </row>
    <row r="355" spans="1:34" ht="13.2" x14ac:dyDescent="0.25">
      <c r="A355" s="81"/>
      <c r="B355" s="81"/>
      <c r="C355" s="81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  <c r="AB355" s="121"/>
      <c r="AC355" s="121"/>
      <c r="AD355" s="121"/>
      <c r="AE355" s="121"/>
      <c r="AF355" s="121"/>
      <c r="AG355" s="121"/>
      <c r="AH355" s="120"/>
    </row>
    <row r="356" spans="1:34" ht="13.2" x14ac:dyDescent="0.25">
      <c r="A356" s="81"/>
      <c r="B356" s="81"/>
      <c r="C356" s="81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  <c r="AB356" s="121"/>
      <c r="AC356" s="121"/>
      <c r="AD356" s="121"/>
      <c r="AE356" s="121"/>
      <c r="AF356" s="121"/>
      <c r="AG356" s="121"/>
      <c r="AH356" s="120"/>
    </row>
    <row r="357" spans="1:34" ht="13.2" x14ac:dyDescent="0.25">
      <c r="A357" s="81"/>
      <c r="B357" s="81"/>
      <c r="C357" s="81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  <c r="AB357" s="121"/>
      <c r="AC357" s="121"/>
      <c r="AD357" s="121"/>
      <c r="AE357" s="121"/>
      <c r="AF357" s="121"/>
      <c r="AG357" s="121"/>
      <c r="AH357" s="120"/>
    </row>
    <row r="358" spans="1:34" ht="13.2" x14ac:dyDescent="0.25">
      <c r="A358" s="81"/>
      <c r="B358" s="81"/>
      <c r="C358" s="81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  <c r="AB358" s="121"/>
      <c r="AC358" s="121"/>
      <c r="AD358" s="121"/>
      <c r="AE358" s="121"/>
      <c r="AF358" s="121"/>
      <c r="AG358" s="121"/>
      <c r="AH358" s="120"/>
    </row>
    <row r="359" spans="1:34" ht="13.2" x14ac:dyDescent="0.25">
      <c r="A359" s="81"/>
      <c r="B359" s="81"/>
      <c r="C359" s="81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  <c r="AB359" s="121"/>
      <c r="AC359" s="121"/>
      <c r="AD359" s="121"/>
      <c r="AE359" s="121"/>
      <c r="AF359" s="121"/>
      <c r="AG359" s="121"/>
      <c r="AH359" s="120"/>
    </row>
    <row r="360" spans="1:34" ht="13.2" x14ac:dyDescent="0.25">
      <c r="A360" s="81"/>
      <c r="B360" s="81"/>
      <c r="C360" s="81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  <c r="AB360" s="121"/>
      <c r="AC360" s="121"/>
      <c r="AD360" s="121"/>
      <c r="AE360" s="121"/>
      <c r="AF360" s="121"/>
      <c r="AG360" s="121"/>
      <c r="AH360" s="120"/>
    </row>
    <row r="361" spans="1:34" ht="13.2" x14ac:dyDescent="0.25">
      <c r="A361" s="81"/>
      <c r="B361" s="81"/>
      <c r="C361" s="81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  <c r="AB361" s="121"/>
      <c r="AC361" s="121"/>
      <c r="AD361" s="121"/>
      <c r="AE361" s="121"/>
      <c r="AF361" s="121"/>
      <c r="AG361" s="121"/>
      <c r="AH361" s="120"/>
    </row>
    <row r="362" spans="1:34" ht="13.2" x14ac:dyDescent="0.25">
      <c r="A362" s="81"/>
      <c r="B362" s="81"/>
      <c r="C362" s="81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  <c r="AB362" s="121"/>
      <c r="AC362" s="121"/>
      <c r="AD362" s="121"/>
      <c r="AE362" s="121"/>
      <c r="AF362" s="121"/>
      <c r="AG362" s="121"/>
      <c r="AH362" s="120"/>
    </row>
    <row r="363" spans="1:34" ht="13.2" x14ac:dyDescent="0.25">
      <c r="A363" s="81"/>
      <c r="B363" s="81"/>
      <c r="C363" s="81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  <c r="AB363" s="121"/>
      <c r="AC363" s="121"/>
      <c r="AD363" s="121"/>
      <c r="AE363" s="121"/>
      <c r="AF363" s="121"/>
      <c r="AG363" s="121"/>
      <c r="AH363" s="120"/>
    </row>
    <row r="364" spans="1:34" ht="13.2" x14ac:dyDescent="0.25">
      <c r="A364" s="81"/>
      <c r="B364" s="81"/>
      <c r="C364" s="81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  <c r="AB364" s="121"/>
      <c r="AC364" s="121"/>
      <c r="AD364" s="121"/>
      <c r="AE364" s="121"/>
      <c r="AF364" s="121"/>
      <c r="AG364" s="121"/>
      <c r="AH364" s="120"/>
    </row>
    <row r="365" spans="1:34" ht="13.2" x14ac:dyDescent="0.25">
      <c r="A365" s="81"/>
      <c r="B365" s="81"/>
      <c r="C365" s="81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  <c r="AB365" s="121"/>
      <c r="AC365" s="121"/>
      <c r="AD365" s="121"/>
      <c r="AE365" s="121"/>
      <c r="AF365" s="121"/>
      <c r="AG365" s="121"/>
      <c r="AH365" s="120"/>
    </row>
    <row r="366" spans="1:34" ht="13.2" x14ac:dyDescent="0.25">
      <c r="A366" s="81"/>
      <c r="B366" s="81"/>
      <c r="C366" s="81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  <c r="AB366" s="121"/>
      <c r="AC366" s="121"/>
      <c r="AD366" s="121"/>
      <c r="AE366" s="121"/>
      <c r="AF366" s="121"/>
      <c r="AG366" s="121"/>
      <c r="AH366" s="120"/>
    </row>
    <row r="367" spans="1:34" ht="13.2" x14ac:dyDescent="0.25">
      <c r="A367" s="81"/>
      <c r="B367" s="81"/>
      <c r="C367" s="81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  <c r="AB367" s="121"/>
      <c r="AC367" s="121"/>
      <c r="AD367" s="121"/>
      <c r="AE367" s="121"/>
      <c r="AF367" s="121"/>
      <c r="AG367" s="121"/>
      <c r="AH367" s="120"/>
    </row>
    <row r="368" spans="1:34" ht="13.2" x14ac:dyDescent="0.25">
      <c r="A368" s="81"/>
      <c r="B368" s="81"/>
      <c r="C368" s="81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  <c r="AB368" s="121"/>
      <c r="AC368" s="121"/>
      <c r="AD368" s="121"/>
      <c r="AE368" s="121"/>
      <c r="AF368" s="121"/>
      <c r="AG368" s="121"/>
      <c r="AH368" s="120"/>
    </row>
    <row r="369" spans="1:34" ht="13.2" x14ac:dyDescent="0.25">
      <c r="A369" s="81"/>
      <c r="B369" s="81"/>
      <c r="C369" s="81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  <c r="AB369" s="121"/>
      <c r="AC369" s="121"/>
      <c r="AD369" s="121"/>
      <c r="AE369" s="121"/>
      <c r="AF369" s="121"/>
      <c r="AG369" s="121"/>
      <c r="AH369" s="120"/>
    </row>
    <row r="370" spans="1:34" ht="13.2" x14ac:dyDescent="0.25">
      <c r="A370" s="81"/>
      <c r="B370" s="81"/>
      <c r="C370" s="81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  <c r="AB370" s="121"/>
      <c r="AC370" s="121"/>
      <c r="AD370" s="121"/>
      <c r="AE370" s="121"/>
      <c r="AF370" s="121"/>
      <c r="AG370" s="121"/>
      <c r="AH370" s="120"/>
    </row>
    <row r="371" spans="1:34" ht="13.2" x14ac:dyDescent="0.25">
      <c r="A371" s="81"/>
      <c r="B371" s="81"/>
      <c r="C371" s="81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  <c r="AB371" s="121"/>
      <c r="AC371" s="121"/>
      <c r="AD371" s="121"/>
      <c r="AE371" s="121"/>
      <c r="AF371" s="121"/>
      <c r="AG371" s="121"/>
      <c r="AH371" s="120"/>
    </row>
    <row r="372" spans="1:34" ht="13.2" x14ac:dyDescent="0.25">
      <c r="A372" s="81"/>
      <c r="B372" s="81"/>
      <c r="C372" s="81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  <c r="AB372" s="121"/>
      <c r="AC372" s="121"/>
      <c r="AD372" s="121"/>
      <c r="AE372" s="121"/>
      <c r="AF372" s="121"/>
      <c r="AG372" s="121"/>
      <c r="AH372" s="120"/>
    </row>
    <row r="373" spans="1:34" ht="13.2" x14ac:dyDescent="0.25">
      <c r="A373" s="81"/>
      <c r="B373" s="81"/>
      <c r="C373" s="81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  <c r="AB373" s="121"/>
      <c r="AC373" s="121"/>
      <c r="AD373" s="121"/>
      <c r="AE373" s="121"/>
      <c r="AF373" s="121"/>
      <c r="AG373" s="121"/>
      <c r="AH373" s="120"/>
    </row>
    <row r="374" spans="1:34" ht="13.2" x14ac:dyDescent="0.25">
      <c r="A374" s="81"/>
      <c r="B374" s="81"/>
      <c r="C374" s="81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  <c r="AB374" s="121"/>
      <c r="AC374" s="121"/>
      <c r="AD374" s="121"/>
      <c r="AE374" s="121"/>
      <c r="AF374" s="121"/>
      <c r="AG374" s="121"/>
      <c r="AH374" s="120"/>
    </row>
    <row r="375" spans="1:34" ht="13.2" x14ac:dyDescent="0.25">
      <c r="A375" s="81"/>
      <c r="B375" s="81"/>
      <c r="C375" s="81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  <c r="AB375" s="121"/>
      <c r="AC375" s="121"/>
      <c r="AD375" s="121"/>
      <c r="AE375" s="121"/>
      <c r="AF375" s="121"/>
      <c r="AG375" s="121"/>
      <c r="AH375" s="120"/>
    </row>
    <row r="376" spans="1:34" ht="13.2" x14ac:dyDescent="0.25">
      <c r="A376" s="81"/>
      <c r="B376" s="81"/>
      <c r="C376" s="81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  <c r="AB376" s="121"/>
      <c r="AC376" s="121"/>
      <c r="AD376" s="121"/>
      <c r="AE376" s="121"/>
      <c r="AF376" s="121"/>
      <c r="AG376" s="121"/>
      <c r="AH376" s="120"/>
    </row>
    <row r="377" spans="1:34" ht="13.2" x14ac:dyDescent="0.25">
      <c r="A377" s="81"/>
      <c r="B377" s="81"/>
      <c r="C377" s="81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  <c r="AB377" s="121"/>
      <c r="AC377" s="121"/>
      <c r="AD377" s="121"/>
      <c r="AE377" s="121"/>
      <c r="AF377" s="121"/>
      <c r="AG377" s="121"/>
      <c r="AH377" s="120"/>
    </row>
    <row r="378" spans="1:34" ht="13.2" x14ac:dyDescent="0.25">
      <c r="A378" s="81"/>
      <c r="B378" s="81"/>
      <c r="C378" s="81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  <c r="AB378" s="121"/>
      <c r="AC378" s="121"/>
      <c r="AD378" s="121"/>
      <c r="AE378" s="121"/>
      <c r="AF378" s="121"/>
      <c r="AG378" s="121"/>
      <c r="AH378" s="120"/>
    </row>
    <row r="379" spans="1:34" ht="13.2" x14ac:dyDescent="0.25">
      <c r="A379" s="81"/>
      <c r="B379" s="81"/>
      <c r="C379" s="81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  <c r="AB379" s="121"/>
      <c r="AC379" s="121"/>
      <c r="AD379" s="121"/>
      <c r="AE379" s="121"/>
      <c r="AF379" s="121"/>
      <c r="AG379" s="121"/>
      <c r="AH379" s="120"/>
    </row>
    <row r="380" spans="1:34" ht="13.2" x14ac:dyDescent="0.25">
      <c r="A380" s="81"/>
      <c r="B380" s="81"/>
      <c r="C380" s="81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  <c r="AB380" s="121"/>
      <c r="AC380" s="121"/>
      <c r="AD380" s="121"/>
      <c r="AE380" s="121"/>
      <c r="AF380" s="121"/>
      <c r="AG380" s="121"/>
      <c r="AH380" s="120"/>
    </row>
    <row r="381" spans="1:34" ht="13.2" x14ac:dyDescent="0.25">
      <c r="A381" s="81"/>
      <c r="B381" s="81"/>
      <c r="C381" s="81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  <c r="AB381" s="121"/>
      <c r="AC381" s="121"/>
      <c r="AD381" s="121"/>
      <c r="AE381" s="121"/>
      <c r="AF381" s="121"/>
      <c r="AG381" s="121"/>
      <c r="AH381" s="120"/>
    </row>
    <row r="382" spans="1:34" ht="13.2" x14ac:dyDescent="0.25">
      <c r="A382" s="81"/>
      <c r="B382" s="81"/>
      <c r="C382" s="81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  <c r="AB382" s="121"/>
      <c r="AC382" s="121"/>
      <c r="AD382" s="121"/>
      <c r="AE382" s="121"/>
      <c r="AF382" s="121"/>
      <c r="AG382" s="121"/>
      <c r="AH382" s="120"/>
    </row>
    <row r="383" spans="1:34" ht="13.2" x14ac:dyDescent="0.25">
      <c r="A383" s="81"/>
      <c r="B383" s="81"/>
      <c r="C383" s="81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  <c r="AB383" s="121"/>
      <c r="AC383" s="121"/>
      <c r="AD383" s="121"/>
      <c r="AE383" s="121"/>
      <c r="AF383" s="121"/>
      <c r="AG383" s="121"/>
      <c r="AH383" s="120"/>
    </row>
    <row r="384" spans="1:34" ht="13.2" x14ac:dyDescent="0.25">
      <c r="A384" s="81"/>
      <c r="B384" s="81"/>
      <c r="C384" s="81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  <c r="AB384" s="121"/>
      <c r="AC384" s="121"/>
      <c r="AD384" s="121"/>
      <c r="AE384" s="121"/>
      <c r="AF384" s="121"/>
      <c r="AG384" s="121"/>
      <c r="AH384" s="120"/>
    </row>
    <row r="385" spans="1:34" ht="13.2" x14ac:dyDescent="0.25">
      <c r="A385" s="81"/>
      <c r="B385" s="81"/>
      <c r="C385" s="81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  <c r="AB385" s="121"/>
      <c r="AC385" s="121"/>
      <c r="AD385" s="121"/>
      <c r="AE385" s="121"/>
      <c r="AF385" s="121"/>
      <c r="AG385" s="121"/>
      <c r="AH385" s="120"/>
    </row>
    <row r="386" spans="1:34" ht="13.2" x14ac:dyDescent="0.25">
      <c r="A386" s="81"/>
      <c r="B386" s="81"/>
      <c r="C386" s="81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  <c r="AB386" s="121"/>
      <c r="AC386" s="121"/>
      <c r="AD386" s="121"/>
      <c r="AE386" s="121"/>
      <c r="AF386" s="121"/>
      <c r="AG386" s="121"/>
      <c r="AH386" s="120"/>
    </row>
    <row r="387" spans="1:34" ht="13.2" x14ac:dyDescent="0.25">
      <c r="A387" s="81"/>
      <c r="B387" s="81"/>
      <c r="C387" s="81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  <c r="AB387" s="121"/>
      <c r="AC387" s="121"/>
      <c r="AD387" s="121"/>
      <c r="AE387" s="121"/>
      <c r="AF387" s="121"/>
      <c r="AG387" s="121"/>
      <c r="AH387" s="120"/>
    </row>
    <row r="388" spans="1:34" ht="13.2" x14ac:dyDescent="0.25">
      <c r="A388" s="81"/>
      <c r="B388" s="81"/>
      <c r="C388" s="81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  <c r="AB388" s="121"/>
      <c r="AC388" s="121"/>
      <c r="AD388" s="121"/>
      <c r="AE388" s="121"/>
      <c r="AF388" s="121"/>
      <c r="AG388" s="121"/>
      <c r="AH388" s="120"/>
    </row>
    <row r="389" spans="1:34" ht="13.2" x14ac:dyDescent="0.25">
      <c r="A389" s="81"/>
      <c r="B389" s="81"/>
      <c r="C389" s="81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  <c r="AB389" s="121"/>
      <c r="AC389" s="121"/>
      <c r="AD389" s="121"/>
      <c r="AE389" s="121"/>
      <c r="AF389" s="121"/>
      <c r="AG389" s="121"/>
      <c r="AH389" s="120"/>
    </row>
    <row r="390" spans="1:34" ht="13.2" x14ac:dyDescent="0.25">
      <c r="A390" s="81"/>
      <c r="B390" s="81"/>
      <c r="C390" s="81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  <c r="AB390" s="121"/>
      <c r="AC390" s="121"/>
      <c r="AD390" s="121"/>
      <c r="AE390" s="121"/>
      <c r="AF390" s="121"/>
      <c r="AG390" s="121"/>
      <c r="AH390" s="120"/>
    </row>
    <row r="391" spans="1:34" ht="13.2" x14ac:dyDescent="0.25">
      <c r="A391" s="81"/>
      <c r="B391" s="81"/>
      <c r="C391" s="81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  <c r="AB391" s="121"/>
      <c r="AC391" s="121"/>
      <c r="AD391" s="121"/>
      <c r="AE391" s="121"/>
      <c r="AF391" s="121"/>
      <c r="AG391" s="121"/>
      <c r="AH391" s="120"/>
    </row>
    <row r="392" spans="1:34" ht="13.2" x14ac:dyDescent="0.25">
      <c r="A392" s="81"/>
      <c r="B392" s="81"/>
      <c r="C392" s="81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  <c r="AB392" s="121"/>
      <c r="AC392" s="121"/>
      <c r="AD392" s="121"/>
      <c r="AE392" s="121"/>
      <c r="AF392" s="121"/>
      <c r="AG392" s="121"/>
      <c r="AH392" s="120"/>
    </row>
    <row r="393" spans="1:34" ht="13.2" x14ac:dyDescent="0.25">
      <c r="A393" s="81"/>
      <c r="B393" s="81"/>
      <c r="C393" s="81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  <c r="AB393" s="121"/>
      <c r="AC393" s="121"/>
      <c r="AD393" s="121"/>
      <c r="AE393" s="121"/>
      <c r="AF393" s="121"/>
      <c r="AG393" s="121"/>
      <c r="AH393" s="120"/>
    </row>
    <row r="394" spans="1:34" ht="13.2" x14ac:dyDescent="0.25">
      <c r="A394" s="81"/>
      <c r="B394" s="81"/>
      <c r="C394" s="81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  <c r="AB394" s="121"/>
      <c r="AC394" s="121"/>
      <c r="AD394" s="121"/>
      <c r="AE394" s="121"/>
      <c r="AF394" s="121"/>
      <c r="AG394" s="121"/>
      <c r="AH394" s="120"/>
    </row>
    <row r="395" spans="1:34" ht="13.2" x14ac:dyDescent="0.25">
      <c r="A395" s="81"/>
      <c r="B395" s="81"/>
      <c r="C395" s="81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  <c r="AB395" s="121"/>
      <c r="AC395" s="121"/>
      <c r="AD395" s="121"/>
      <c r="AE395" s="121"/>
      <c r="AF395" s="121"/>
      <c r="AG395" s="121"/>
      <c r="AH395" s="120"/>
    </row>
    <row r="396" spans="1:34" ht="13.2" x14ac:dyDescent="0.25">
      <c r="A396" s="81"/>
      <c r="B396" s="81"/>
      <c r="C396" s="81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  <c r="AB396" s="121"/>
      <c r="AC396" s="121"/>
      <c r="AD396" s="121"/>
      <c r="AE396" s="121"/>
      <c r="AF396" s="121"/>
      <c r="AG396" s="121"/>
      <c r="AH396" s="120"/>
    </row>
    <row r="397" spans="1:34" ht="13.2" x14ac:dyDescent="0.25">
      <c r="A397" s="81"/>
      <c r="B397" s="81"/>
      <c r="C397" s="81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  <c r="AB397" s="121"/>
      <c r="AC397" s="121"/>
      <c r="AD397" s="121"/>
      <c r="AE397" s="121"/>
      <c r="AF397" s="121"/>
      <c r="AG397" s="121"/>
      <c r="AH397" s="120"/>
    </row>
    <row r="398" spans="1:34" ht="13.2" x14ac:dyDescent="0.25">
      <c r="A398" s="81"/>
      <c r="B398" s="81"/>
      <c r="C398" s="81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  <c r="AB398" s="121"/>
      <c r="AC398" s="121"/>
      <c r="AD398" s="121"/>
      <c r="AE398" s="121"/>
      <c r="AF398" s="121"/>
      <c r="AG398" s="121"/>
      <c r="AH398" s="120"/>
    </row>
    <row r="399" spans="1:34" ht="13.2" x14ac:dyDescent="0.25">
      <c r="A399" s="81"/>
      <c r="B399" s="81"/>
      <c r="C399" s="81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  <c r="AB399" s="121"/>
      <c r="AC399" s="121"/>
      <c r="AD399" s="121"/>
      <c r="AE399" s="121"/>
      <c r="AF399" s="121"/>
      <c r="AG399" s="121"/>
      <c r="AH399" s="120"/>
    </row>
    <row r="400" spans="1:34" ht="13.2" x14ac:dyDescent="0.25">
      <c r="A400" s="81"/>
      <c r="B400" s="81"/>
      <c r="C400" s="81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  <c r="AB400" s="121"/>
      <c r="AC400" s="121"/>
      <c r="AD400" s="121"/>
      <c r="AE400" s="121"/>
      <c r="AF400" s="121"/>
      <c r="AG400" s="121"/>
      <c r="AH400" s="120"/>
    </row>
    <row r="401" spans="1:34" ht="13.2" x14ac:dyDescent="0.25">
      <c r="A401" s="81"/>
      <c r="B401" s="81"/>
      <c r="C401" s="81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  <c r="AB401" s="121"/>
      <c r="AC401" s="121"/>
      <c r="AD401" s="121"/>
      <c r="AE401" s="121"/>
      <c r="AF401" s="121"/>
      <c r="AG401" s="121"/>
      <c r="AH401" s="120"/>
    </row>
    <row r="402" spans="1:34" ht="13.2" x14ac:dyDescent="0.25">
      <c r="A402" s="81"/>
      <c r="B402" s="81"/>
      <c r="C402" s="81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  <c r="AB402" s="121"/>
      <c r="AC402" s="121"/>
      <c r="AD402" s="121"/>
      <c r="AE402" s="121"/>
      <c r="AF402" s="121"/>
      <c r="AG402" s="121"/>
      <c r="AH402" s="120"/>
    </row>
    <row r="403" spans="1:34" ht="13.2" x14ac:dyDescent="0.25">
      <c r="A403" s="81"/>
      <c r="B403" s="81"/>
      <c r="C403" s="81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  <c r="AB403" s="121"/>
      <c r="AC403" s="121"/>
      <c r="AD403" s="121"/>
      <c r="AE403" s="121"/>
      <c r="AF403" s="121"/>
      <c r="AG403" s="121"/>
      <c r="AH403" s="120"/>
    </row>
    <row r="404" spans="1:34" ht="13.2" x14ac:dyDescent="0.25">
      <c r="A404" s="81"/>
      <c r="B404" s="81"/>
      <c r="C404" s="81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  <c r="AB404" s="121"/>
      <c r="AC404" s="121"/>
      <c r="AD404" s="121"/>
      <c r="AE404" s="121"/>
      <c r="AF404" s="121"/>
      <c r="AG404" s="121"/>
      <c r="AH404" s="120"/>
    </row>
    <row r="405" spans="1:34" ht="13.2" x14ac:dyDescent="0.25">
      <c r="A405" s="81"/>
      <c r="B405" s="81"/>
      <c r="C405" s="81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  <c r="AB405" s="121"/>
      <c r="AC405" s="121"/>
      <c r="AD405" s="121"/>
      <c r="AE405" s="121"/>
      <c r="AF405" s="121"/>
      <c r="AG405" s="121"/>
      <c r="AH405" s="120"/>
    </row>
    <row r="406" spans="1:34" ht="13.2" x14ac:dyDescent="0.25">
      <c r="A406" s="81"/>
      <c r="B406" s="81"/>
      <c r="C406" s="81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  <c r="AB406" s="121"/>
      <c r="AC406" s="121"/>
      <c r="AD406" s="121"/>
      <c r="AE406" s="121"/>
      <c r="AF406" s="121"/>
      <c r="AG406" s="121"/>
      <c r="AH406" s="120"/>
    </row>
    <row r="407" spans="1:34" ht="13.2" x14ac:dyDescent="0.25">
      <c r="A407" s="81"/>
      <c r="B407" s="81"/>
      <c r="C407" s="81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  <c r="AB407" s="121"/>
      <c r="AC407" s="121"/>
      <c r="AD407" s="121"/>
      <c r="AE407" s="121"/>
      <c r="AF407" s="121"/>
      <c r="AG407" s="121"/>
      <c r="AH407" s="120"/>
    </row>
    <row r="408" spans="1:34" ht="13.2" x14ac:dyDescent="0.25">
      <c r="A408" s="81"/>
      <c r="B408" s="81"/>
      <c r="C408" s="81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  <c r="AB408" s="121"/>
      <c r="AC408" s="121"/>
      <c r="AD408" s="121"/>
      <c r="AE408" s="121"/>
      <c r="AF408" s="121"/>
      <c r="AG408" s="121"/>
      <c r="AH408" s="120"/>
    </row>
    <row r="409" spans="1:34" ht="13.2" x14ac:dyDescent="0.25">
      <c r="A409" s="81"/>
      <c r="B409" s="81"/>
      <c r="C409" s="81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  <c r="AB409" s="121"/>
      <c r="AC409" s="121"/>
      <c r="AD409" s="121"/>
      <c r="AE409" s="121"/>
      <c r="AF409" s="121"/>
      <c r="AG409" s="121"/>
      <c r="AH409" s="120"/>
    </row>
    <row r="410" spans="1:34" ht="13.2" x14ac:dyDescent="0.25">
      <c r="A410" s="81"/>
      <c r="B410" s="81"/>
      <c r="C410" s="81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  <c r="AB410" s="121"/>
      <c r="AC410" s="121"/>
      <c r="AD410" s="121"/>
      <c r="AE410" s="121"/>
      <c r="AF410" s="121"/>
      <c r="AG410" s="121"/>
      <c r="AH410" s="120"/>
    </row>
    <row r="411" spans="1:34" ht="13.2" x14ac:dyDescent="0.25">
      <c r="A411" s="81"/>
      <c r="B411" s="81"/>
      <c r="C411" s="81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  <c r="AB411" s="121"/>
      <c r="AC411" s="121"/>
      <c r="AD411" s="121"/>
      <c r="AE411" s="121"/>
      <c r="AF411" s="121"/>
      <c r="AG411" s="121"/>
      <c r="AH411" s="120"/>
    </row>
    <row r="412" spans="1:34" ht="13.2" x14ac:dyDescent="0.25">
      <c r="A412" s="81"/>
      <c r="B412" s="81"/>
      <c r="C412" s="81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  <c r="AB412" s="121"/>
      <c r="AC412" s="121"/>
      <c r="AD412" s="121"/>
      <c r="AE412" s="121"/>
      <c r="AF412" s="121"/>
      <c r="AG412" s="121"/>
      <c r="AH412" s="120"/>
    </row>
    <row r="413" spans="1:34" ht="13.2" x14ac:dyDescent="0.25">
      <c r="A413" s="81"/>
      <c r="B413" s="81"/>
      <c r="C413" s="81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  <c r="AB413" s="121"/>
      <c r="AC413" s="121"/>
      <c r="AD413" s="121"/>
      <c r="AE413" s="121"/>
      <c r="AF413" s="121"/>
      <c r="AG413" s="121"/>
      <c r="AH413" s="120"/>
    </row>
    <row r="414" spans="1:34" ht="13.2" x14ac:dyDescent="0.25">
      <c r="A414" s="81"/>
      <c r="B414" s="81"/>
      <c r="C414" s="81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  <c r="AB414" s="121"/>
      <c r="AC414" s="121"/>
      <c r="AD414" s="121"/>
      <c r="AE414" s="121"/>
      <c r="AF414" s="121"/>
      <c r="AG414" s="121"/>
      <c r="AH414" s="120"/>
    </row>
    <row r="415" spans="1:34" ht="13.2" x14ac:dyDescent="0.25">
      <c r="A415" s="81"/>
      <c r="B415" s="81"/>
      <c r="C415" s="81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  <c r="AB415" s="121"/>
      <c r="AC415" s="121"/>
      <c r="AD415" s="121"/>
      <c r="AE415" s="121"/>
      <c r="AF415" s="121"/>
      <c r="AG415" s="121"/>
      <c r="AH415" s="120"/>
    </row>
    <row r="416" spans="1:34" ht="13.2" x14ac:dyDescent="0.25">
      <c r="A416" s="81"/>
      <c r="B416" s="81"/>
      <c r="C416" s="81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  <c r="AB416" s="121"/>
      <c r="AC416" s="121"/>
      <c r="AD416" s="121"/>
      <c r="AE416" s="121"/>
      <c r="AF416" s="121"/>
      <c r="AG416" s="121"/>
      <c r="AH416" s="120"/>
    </row>
    <row r="417" spans="1:34" ht="13.2" x14ac:dyDescent="0.25">
      <c r="A417" s="81"/>
      <c r="B417" s="81"/>
      <c r="C417" s="81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  <c r="AB417" s="121"/>
      <c r="AC417" s="121"/>
      <c r="AD417" s="121"/>
      <c r="AE417" s="121"/>
      <c r="AF417" s="121"/>
      <c r="AG417" s="121"/>
      <c r="AH417" s="120"/>
    </row>
    <row r="418" spans="1:34" ht="13.2" x14ac:dyDescent="0.25">
      <c r="A418" s="81"/>
      <c r="B418" s="81"/>
      <c r="C418" s="81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  <c r="AB418" s="121"/>
      <c r="AC418" s="121"/>
      <c r="AD418" s="121"/>
      <c r="AE418" s="121"/>
      <c r="AF418" s="121"/>
      <c r="AG418" s="121"/>
      <c r="AH418" s="120"/>
    </row>
    <row r="419" spans="1:34" ht="13.2" x14ac:dyDescent="0.25">
      <c r="A419" s="81"/>
      <c r="B419" s="81"/>
      <c r="C419" s="81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  <c r="AB419" s="121"/>
      <c r="AC419" s="121"/>
      <c r="AD419" s="121"/>
      <c r="AE419" s="121"/>
      <c r="AF419" s="121"/>
      <c r="AG419" s="121"/>
      <c r="AH419" s="120"/>
    </row>
    <row r="420" spans="1:34" ht="13.2" x14ac:dyDescent="0.25">
      <c r="A420" s="81"/>
      <c r="B420" s="81"/>
      <c r="C420" s="81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  <c r="AB420" s="121"/>
      <c r="AC420" s="121"/>
      <c r="AD420" s="121"/>
      <c r="AE420" s="121"/>
      <c r="AF420" s="121"/>
      <c r="AG420" s="121"/>
      <c r="AH420" s="120"/>
    </row>
    <row r="421" spans="1:34" ht="13.2" x14ac:dyDescent="0.25">
      <c r="A421" s="81"/>
      <c r="B421" s="81"/>
      <c r="C421" s="81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  <c r="AB421" s="121"/>
      <c r="AC421" s="121"/>
      <c r="AD421" s="121"/>
      <c r="AE421" s="121"/>
      <c r="AF421" s="121"/>
      <c r="AG421" s="121"/>
      <c r="AH421" s="120"/>
    </row>
    <row r="422" spans="1:34" ht="13.2" x14ac:dyDescent="0.25">
      <c r="A422" s="81"/>
      <c r="B422" s="81"/>
      <c r="C422" s="81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  <c r="AB422" s="121"/>
      <c r="AC422" s="121"/>
      <c r="AD422" s="121"/>
      <c r="AE422" s="121"/>
      <c r="AF422" s="121"/>
      <c r="AG422" s="121"/>
      <c r="AH422" s="120"/>
    </row>
    <row r="423" spans="1:34" ht="13.2" x14ac:dyDescent="0.25">
      <c r="A423" s="81"/>
      <c r="B423" s="81"/>
      <c r="C423" s="81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  <c r="AB423" s="121"/>
      <c r="AC423" s="121"/>
      <c r="AD423" s="121"/>
      <c r="AE423" s="121"/>
      <c r="AF423" s="121"/>
      <c r="AG423" s="121"/>
      <c r="AH423" s="120"/>
    </row>
    <row r="424" spans="1:34" ht="13.2" x14ac:dyDescent="0.25">
      <c r="A424" s="81"/>
      <c r="B424" s="81"/>
      <c r="C424" s="81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  <c r="AB424" s="121"/>
      <c r="AC424" s="121"/>
      <c r="AD424" s="121"/>
      <c r="AE424" s="121"/>
      <c r="AF424" s="121"/>
      <c r="AG424" s="121"/>
      <c r="AH424" s="120"/>
    </row>
    <row r="425" spans="1:34" ht="13.2" x14ac:dyDescent="0.25">
      <c r="A425" s="81"/>
      <c r="B425" s="81"/>
      <c r="C425" s="81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  <c r="AB425" s="121"/>
      <c r="AC425" s="121"/>
      <c r="AD425" s="121"/>
      <c r="AE425" s="121"/>
      <c r="AF425" s="121"/>
      <c r="AG425" s="121"/>
      <c r="AH425" s="120"/>
    </row>
    <row r="426" spans="1:34" ht="13.2" x14ac:dyDescent="0.25">
      <c r="A426" s="81"/>
      <c r="B426" s="81"/>
      <c r="C426" s="81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  <c r="AB426" s="121"/>
      <c r="AC426" s="121"/>
      <c r="AD426" s="121"/>
      <c r="AE426" s="121"/>
      <c r="AF426" s="121"/>
      <c r="AG426" s="121"/>
      <c r="AH426" s="120"/>
    </row>
    <row r="427" spans="1:34" ht="13.2" x14ac:dyDescent="0.25">
      <c r="A427" s="81"/>
      <c r="B427" s="81"/>
      <c r="C427" s="81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  <c r="AB427" s="121"/>
      <c r="AC427" s="121"/>
      <c r="AD427" s="121"/>
      <c r="AE427" s="121"/>
      <c r="AF427" s="121"/>
      <c r="AG427" s="121"/>
      <c r="AH427" s="120"/>
    </row>
    <row r="428" spans="1:34" ht="13.2" x14ac:dyDescent="0.25">
      <c r="A428" s="81"/>
      <c r="B428" s="81"/>
      <c r="C428" s="81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  <c r="AB428" s="121"/>
      <c r="AC428" s="121"/>
      <c r="AD428" s="121"/>
      <c r="AE428" s="121"/>
      <c r="AF428" s="121"/>
      <c r="AG428" s="121"/>
      <c r="AH428" s="120"/>
    </row>
    <row r="429" spans="1:34" ht="13.2" x14ac:dyDescent="0.25">
      <c r="A429" s="81"/>
      <c r="B429" s="81"/>
      <c r="C429" s="81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  <c r="AB429" s="121"/>
      <c r="AC429" s="121"/>
      <c r="AD429" s="121"/>
      <c r="AE429" s="121"/>
      <c r="AF429" s="121"/>
      <c r="AG429" s="121"/>
      <c r="AH429" s="120"/>
    </row>
    <row r="430" spans="1:34" ht="13.2" x14ac:dyDescent="0.25">
      <c r="A430" s="81"/>
      <c r="B430" s="81"/>
      <c r="C430" s="81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  <c r="AB430" s="121"/>
      <c r="AC430" s="121"/>
      <c r="AD430" s="121"/>
      <c r="AE430" s="121"/>
      <c r="AF430" s="121"/>
      <c r="AG430" s="121"/>
      <c r="AH430" s="120"/>
    </row>
    <row r="431" spans="1:34" ht="13.2" x14ac:dyDescent="0.25">
      <c r="A431" s="81"/>
      <c r="B431" s="81"/>
      <c r="C431" s="81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  <c r="AB431" s="121"/>
      <c r="AC431" s="121"/>
      <c r="AD431" s="121"/>
      <c r="AE431" s="121"/>
      <c r="AF431" s="121"/>
      <c r="AG431" s="121"/>
      <c r="AH431" s="120"/>
    </row>
    <row r="432" spans="1:34" ht="13.2" x14ac:dyDescent="0.25">
      <c r="A432" s="81"/>
      <c r="B432" s="81"/>
      <c r="C432" s="81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  <c r="AB432" s="121"/>
      <c r="AC432" s="121"/>
      <c r="AD432" s="121"/>
      <c r="AE432" s="121"/>
      <c r="AF432" s="121"/>
      <c r="AG432" s="121"/>
      <c r="AH432" s="120"/>
    </row>
    <row r="433" spans="1:34" ht="13.2" x14ac:dyDescent="0.25">
      <c r="A433" s="81"/>
      <c r="B433" s="81"/>
      <c r="C433" s="81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  <c r="AB433" s="121"/>
      <c r="AC433" s="121"/>
      <c r="AD433" s="121"/>
      <c r="AE433" s="121"/>
      <c r="AF433" s="121"/>
      <c r="AG433" s="121"/>
      <c r="AH433" s="120"/>
    </row>
    <row r="434" spans="1:34" ht="13.2" x14ac:dyDescent="0.25">
      <c r="A434" s="81"/>
      <c r="B434" s="81"/>
      <c r="C434" s="81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  <c r="AB434" s="121"/>
      <c r="AC434" s="121"/>
      <c r="AD434" s="121"/>
      <c r="AE434" s="121"/>
      <c r="AF434" s="121"/>
      <c r="AG434" s="121"/>
      <c r="AH434" s="120"/>
    </row>
    <row r="435" spans="1:34" ht="13.2" x14ac:dyDescent="0.25">
      <c r="A435" s="81"/>
      <c r="B435" s="81"/>
      <c r="C435" s="81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  <c r="AB435" s="121"/>
      <c r="AC435" s="121"/>
      <c r="AD435" s="121"/>
      <c r="AE435" s="121"/>
      <c r="AF435" s="121"/>
      <c r="AG435" s="121"/>
      <c r="AH435" s="120"/>
    </row>
    <row r="436" spans="1:34" ht="13.2" x14ac:dyDescent="0.25">
      <c r="A436" s="81"/>
      <c r="B436" s="81"/>
      <c r="C436" s="81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  <c r="AB436" s="121"/>
      <c r="AC436" s="121"/>
      <c r="AD436" s="121"/>
      <c r="AE436" s="121"/>
      <c r="AF436" s="121"/>
      <c r="AG436" s="121"/>
      <c r="AH436" s="120"/>
    </row>
    <row r="437" spans="1:34" ht="13.2" x14ac:dyDescent="0.25">
      <c r="A437" s="81"/>
      <c r="B437" s="81"/>
      <c r="C437" s="81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  <c r="AB437" s="121"/>
      <c r="AC437" s="121"/>
      <c r="AD437" s="121"/>
      <c r="AE437" s="121"/>
      <c r="AF437" s="121"/>
      <c r="AG437" s="121"/>
      <c r="AH437" s="120"/>
    </row>
    <row r="438" spans="1:34" ht="13.2" x14ac:dyDescent="0.25">
      <c r="A438" s="81"/>
      <c r="B438" s="81"/>
      <c r="C438" s="81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  <c r="AB438" s="121"/>
      <c r="AC438" s="121"/>
      <c r="AD438" s="121"/>
      <c r="AE438" s="121"/>
      <c r="AF438" s="121"/>
      <c r="AG438" s="121"/>
      <c r="AH438" s="120"/>
    </row>
    <row r="439" spans="1:34" ht="13.2" x14ac:dyDescent="0.25">
      <c r="A439" s="81"/>
      <c r="B439" s="81"/>
      <c r="C439" s="81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  <c r="AB439" s="121"/>
      <c r="AC439" s="121"/>
      <c r="AD439" s="121"/>
      <c r="AE439" s="121"/>
      <c r="AF439" s="121"/>
      <c r="AG439" s="121"/>
      <c r="AH439" s="120"/>
    </row>
    <row r="440" spans="1:34" ht="13.2" x14ac:dyDescent="0.25">
      <c r="A440" s="81"/>
      <c r="B440" s="81"/>
      <c r="C440" s="81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  <c r="AB440" s="121"/>
      <c r="AC440" s="121"/>
      <c r="AD440" s="121"/>
      <c r="AE440" s="121"/>
      <c r="AF440" s="121"/>
      <c r="AG440" s="121"/>
      <c r="AH440" s="120"/>
    </row>
    <row r="441" spans="1:34" ht="13.2" x14ac:dyDescent="0.25">
      <c r="A441" s="81"/>
      <c r="B441" s="81"/>
      <c r="C441" s="81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  <c r="AB441" s="121"/>
      <c r="AC441" s="121"/>
      <c r="AD441" s="121"/>
      <c r="AE441" s="121"/>
      <c r="AF441" s="121"/>
      <c r="AG441" s="121"/>
      <c r="AH441" s="120"/>
    </row>
    <row r="442" spans="1:34" ht="13.2" x14ac:dyDescent="0.25">
      <c r="A442" s="81"/>
      <c r="B442" s="81"/>
      <c r="C442" s="81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  <c r="AB442" s="121"/>
      <c r="AC442" s="121"/>
      <c r="AD442" s="121"/>
      <c r="AE442" s="121"/>
      <c r="AF442" s="121"/>
      <c r="AG442" s="121"/>
      <c r="AH442" s="120"/>
    </row>
    <row r="443" spans="1:34" ht="13.2" x14ac:dyDescent="0.25">
      <c r="A443" s="81"/>
      <c r="B443" s="81"/>
      <c r="C443" s="81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  <c r="AB443" s="121"/>
      <c r="AC443" s="121"/>
      <c r="AD443" s="121"/>
      <c r="AE443" s="121"/>
      <c r="AF443" s="121"/>
      <c r="AG443" s="121"/>
      <c r="AH443" s="120"/>
    </row>
    <row r="444" spans="1:34" ht="13.2" x14ac:dyDescent="0.25">
      <c r="A444" s="81"/>
      <c r="B444" s="81"/>
      <c r="C444" s="81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  <c r="AB444" s="121"/>
      <c r="AC444" s="121"/>
      <c r="AD444" s="121"/>
      <c r="AE444" s="121"/>
      <c r="AF444" s="121"/>
      <c r="AG444" s="121"/>
      <c r="AH444" s="120"/>
    </row>
    <row r="445" spans="1:34" ht="13.2" x14ac:dyDescent="0.25">
      <c r="A445" s="81"/>
      <c r="B445" s="81"/>
      <c r="C445" s="81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  <c r="AB445" s="121"/>
      <c r="AC445" s="121"/>
      <c r="AD445" s="121"/>
      <c r="AE445" s="121"/>
      <c r="AF445" s="121"/>
      <c r="AG445" s="121"/>
      <c r="AH445" s="120"/>
    </row>
    <row r="446" spans="1:34" ht="13.2" x14ac:dyDescent="0.25">
      <c r="A446" s="81"/>
      <c r="B446" s="81"/>
      <c r="C446" s="81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  <c r="AB446" s="121"/>
      <c r="AC446" s="121"/>
      <c r="AD446" s="121"/>
      <c r="AE446" s="121"/>
      <c r="AF446" s="121"/>
      <c r="AG446" s="121"/>
      <c r="AH446" s="120"/>
    </row>
    <row r="447" spans="1:34" ht="13.2" x14ac:dyDescent="0.25">
      <c r="A447" s="81"/>
      <c r="B447" s="81"/>
      <c r="C447" s="81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  <c r="AB447" s="121"/>
      <c r="AC447" s="121"/>
      <c r="AD447" s="121"/>
      <c r="AE447" s="121"/>
      <c r="AF447" s="121"/>
      <c r="AG447" s="121"/>
      <c r="AH447" s="120"/>
    </row>
    <row r="448" spans="1:34" ht="13.2" x14ac:dyDescent="0.25">
      <c r="A448" s="81"/>
      <c r="B448" s="81"/>
      <c r="C448" s="81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  <c r="AB448" s="121"/>
      <c r="AC448" s="121"/>
      <c r="AD448" s="121"/>
      <c r="AE448" s="121"/>
      <c r="AF448" s="121"/>
      <c r="AG448" s="121"/>
      <c r="AH448" s="120"/>
    </row>
    <row r="449" spans="1:34" ht="13.2" x14ac:dyDescent="0.25">
      <c r="A449" s="81"/>
      <c r="B449" s="81"/>
      <c r="C449" s="81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  <c r="AB449" s="121"/>
      <c r="AC449" s="121"/>
      <c r="AD449" s="121"/>
      <c r="AE449" s="121"/>
      <c r="AF449" s="121"/>
      <c r="AG449" s="121"/>
      <c r="AH449" s="120"/>
    </row>
    <row r="450" spans="1:34" ht="13.2" x14ac:dyDescent="0.25">
      <c r="A450" s="81"/>
      <c r="B450" s="81"/>
      <c r="C450" s="81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  <c r="AB450" s="121"/>
      <c r="AC450" s="121"/>
      <c r="AD450" s="121"/>
      <c r="AE450" s="121"/>
      <c r="AF450" s="121"/>
      <c r="AG450" s="121"/>
      <c r="AH450" s="120"/>
    </row>
    <row r="451" spans="1:34" ht="13.2" x14ac:dyDescent="0.25">
      <c r="A451" s="81"/>
      <c r="B451" s="81"/>
      <c r="C451" s="81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  <c r="AB451" s="121"/>
      <c r="AC451" s="121"/>
      <c r="AD451" s="121"/>
      <c r="AE451" s="121"/>
      <c r="AF451" s="121"/>
      <c r="AG451" s="121"/>
      <c r="AH451" s="120"/>
    </row>
    <row r="452" spans="1:34" ht="13.2" x14ac:dyDescent="0.25">
      <c r="A452" s="81"/>
      <c r="B452" s="81"/>
      <c r="C452" s="81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  <c r="AB452" s="121"/>
      <c r="AC452" s="121"/>
      <c r="AD452" s="121"/>
      <c r="AE452" s="121"/>
      <c r="AF452" s="121"/>
      <c r="AG452" s="121"/>
      <c r="AH452" s="120"/>
    </row>
    <row r="453" spans="1:34" ht="13.2" x14ac:dyDescent="0.25">
      <c r="A453" s="81"/>
      <c r="B453" s="81"/>
      <c r="C453" s="81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  <c r="AB453" s="121"/>
      <c r="AC453" s="121"/>
      <c r="AD453" s="121"/>
      <c r="AE453" s="121"/>
      <c r="AF453" s="121"/>
      <c r="AG453" s="121"/>
      <c r="AH453" s="120"/>
    </row>
    <row r="454" spans="1:34" ht="13.2" x14ac:dyDescent="0.25">
      <c r="A454" s="81"/>
      <c r="B454" s="81"/>
      <c r="C454" s="81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  <c r="AB454" s="121"/>
      <c r="AC454" s="121"/>
      <c r="AD454" s="121"/>
      <c r="AE454" s="121"/>
      <c r="AF454" s="121"/>
      <c r="AG454" s="121"/>
      <c r="AH454" s="120"/>
    </row>
    <row r="455" spans="1:34" ht="13.2" x14ac:dyDescent="0.25">
      <c r="A455" s="81"/>
      <c r="B455" s="81"/>
      <c r="C455" s="81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  <c r="AB455" s="121"/>
      <c r="AC455" s="121"/>
      <c r="AD455" s="121"/>
      <c r="AE455" s="121"/>
      <c r="AF455" s="121"/>
      <c r="AG455" s="121"/>
      <c r="AH455" s="120"/>
    </row>
    <row r="456" spans="1:34" ht="13.2" x14ac:dyDescent="0.25">
      <c r="A456" s="81"/>
      <c r="B456" s="81"/>
      <c r="C456" s="81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  <c r="AB456" s="121"/>
      <c r="AC456" s="121"/>
      <c r="AD456" s="121"/>
      <c r="AE456" s="121"/>
      <c r="AF456" s="121"/>
      <c r="AG456" s="121"/>
      <c r="AH456" s="120"/>
    </row>
    <row r="457" spans="1:34" ht="13.2" x14ac:dyDescent="0.25">
      <c r="A457" s="81"/>
      <c r="B457" s="81"/>
      <c r="C457" s="81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  <c r="AB457" s="121"/>
      <c r="AC457" s="121"/>
      <c r="AD457" s="121"/>
      <c r="AE457" s="121"/>
      <c r="AF457" s="121"/>
      <c r="AG457" s="121"/>
      <c r="AH457" s="120"/>
    </row>
    <row r="458" spans="1:34" ht="13.2" x14ac:dyDescent="0.25">
      <c r="A458" s="81"/>
      <c r="B458" s="81"/>
      <c r="C458" s="81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  <c r="AB458" s="121"/>
      <c r="AC458" s="121"/>
      <c r="AD458" s="121"/>
      <c r="AE458" s="121"/>
      <c r="AF458" s="121"/>
      <c r="AG458" s="121"/>
      <c r="AH458" s="120"/>
    </row>
    <row r="459" spans="1:34" ht="13.2" x14ac:dyDescent="0.25">
      <c r="A459" s="81"/>
      <c r="B459" s="81"/>
      <c r="C459" s="81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  <c r="AB459" s="121"/>
      <c r="AC459" s="121"/>
      <c r="AD459" s="121"/>
      <c r="AE459" s="121"/>
      <c r="AF459" s="121"/>
      <c r="AG459" s="121"/>
      <c r="AH459" s="120"/>
    </row>
    <row r="460" spans="1:34" ht="13.2" x14ac:dyDescent="0.25">
      <c r="A460" s="81"/>
      <c r="B460" s="81"/>
      <c r="C460" s="81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  <c r="AB460" s="121"/>
      <c r="AC460" s="121"/>
      <c r="AD460" s="121"/>
      <c r="AE460" s="121"/>
      <c r="AF460" s="121"/>
      <c r="AG460" s="121"/>
      <c r="AH460" s="120"/>
    </row>
    <row r="461" spans="1:34" ht="13.2" x14ac:dyDescent="0.25">
      <c r="A461" s="81"/>
      <c r="B461" s="81"/>
      <c r="C461" s="81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  <c r="AB461" s="121"/>
      <c r="AC461" s="121"/>
      <c r="AD461" s="121"/>
      <c r="AE461" s="121"/>
      <c r="AF461" s="121"/>
      <c r="AG461" s="121"/>
      <c r="AH461" s="120"/>
    </row>
    <row r="462" spans="1:34" ht="13.2" x14ac:dyDescent="0.25">
      <c r="A462" s="81"/>
      <c r="B462" s="81"/>
      <c r="C462" s="81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  <c r="AB462" s="121"/>
      <c r="AC462" s="121"/>
      <c r="AD462" s="121"/>
      <c r="AE462" s="121"/>
      <c r="AF462" s="121"/>
      <c r="AG462" s="121"/>
      <c r="AH462" s="120"/>
    </row>
    <row r="463" spans="1:34" ht="13.2" x14ac:dyDescent="0.25">
      <c r="A463" s="81"/>
      <c r="B463" s="81"/>
      <c r="C463" s="81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  <c r="AB463" s="121"/>
      <c r="AC463" s="121"/>
      <c r="AD463" s="121"/>
      <c r="AE463" s="121"/>
      <c r="AF463" s="121"/>
      <c r="AG463" s="121"/>
      <c r="AH463" s="120"/>
    </row>
    <row r="464" spans="1:34" ht="13.2" x14ac:dyDescent="0.25">
      <c r="A464" s="81"/>
      <c r="B464" s="81"/>
      <c r="C464" s="81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  <c r="AB464" s="121"/>
      <c r="AC464" s="121"/>
      <c r="AD464" s="121"/>
      <c r="AE464" s="121"/>
      <c r="AF464" s="121"/>
      <c r="AG464" s="121"/>
      <c r="AH464" s="120"/>
    </row>
    <row r="465" spans="1:34" ht="13.2" x14ac:dyDescent="0.25">
      <c r="A465" s="81"/>
      <c r="B465" s="81"/>
      <c r="C465" s="81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  <c r="AB465" s="121"/>
      <c r="AC465" s="121"/>
      <c r="AD465" s="121"/>
      <c r="AE465" s="121"/>
      <c r="AF465" s="121"/>
      <c r="AG465" s="121"/>
      <c r="AH465" s="120"/>
    </row>
    <row r="466" spans="1:34" ht="13.2" x14ac:dyDescent="0.25">
      <c r="A466" s="81"/>
      <c r="B466" s="81"/>
      <c r="C466" s="81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  <c r="AB466" s="121"/>
      <c r="AC466" s="121"/>
      <c r="AD466" s="121"/>
      <c r="AE466" s="121"/>
      <c r="AF466" s="121"/>
      <c r="AG466" s="121"/>
      <c r="AH466" s="120"/>
    </row>
    <row r="467" spans="1:34" ht="13.2" x14ac:dyDescent="0.25">
      <c r="A467" s="81"/>
      <c r="B467" s="81"/>
      <c r="C467" s="81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  <c r="AB467" s="121"/>
      <c r="AC467" s="121"/>
      <c r="AD467" s="121"/>
      <c r="AE467" s="121"/>
      <c r="AF467" s="121"/>
      <c r="AG467" s="121"/>
      <c r="AH467" s="120"/>
    </row>
    <row r="468" spans="1:34" ht="13.2" x14ac:dyDescent="0.25">
      <c r="A468" s="81"/>
      <c r="B468" s="81"/>
      <c r="C468" s="81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  <c r="AB468" s="121"/>
      <c r="AC468" s="121"/>
      <c r="AD468" s="121"/>
      <c r="AE468" s="121"/>
      <c r="AF468" s="121"/>
      <c r="AG468" s="121"/>
      <c r="AH468" s="120"/>
    </row>
    <row r="469" spans="1:34" ht="13.2" x14ac:dyDescent="0.25">
      <c r="A469" s="81"/>
      <c r="B469" s="81"/>
      <c r="C469" s="81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  <c r="AB469" s="121"/>
      <c r="AC469" s="121"/>
      <c r="AD469" s="121"/>
      <c r="AE469" s="121"/>
      <c r="AF469" s="121"/>
      <c r="AG469" s="121"/>
      <c r="AH469" s="120"/>
    </row>
    <row r="470" spans="1:34" ht="13.2" x14ac:dyDescent="0.25">
      <c r="A470" s="81"/>
      <c r="B470" s="81"/>
      <c r="C470" s="81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  <c r="AB470" s="121"/>
      <c r="AC470" s="121"/>
      <c r="AD470" s="121"/>
      <c r="AE470" s="121"/>
      <c r="AF470" s="121"/>
      <c r="AG470" s="121"/>
      <c r="AH470" s="120"/>
    </row>
    <row r="471" spans="1:34" ht="13.2" x14ac:dyDescent="0.25">
      <c r="A471" s="81"/>
      <c r="B471" s="81"/>
      <c r="C471" s="81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  <c r="AB471" s="121"/>
      <c r="AC471" s="121"/>
      <c r="AD471" s="121"/>
      <c r="AE471" s="121"/>
      <c r="AF471" s="121"/>
      <c r="AG471" s="121"/>
      <c r="AH471" s="120"/>
    </row>
    <row r="472" spans="1:34" ht="13.2" x14ac:dyDescent="0.25">
      <c r="A472" s="81"/>
      <c r="B472" s="81"/>
      <c r="C472" s="81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  <c r="AB472" s="121"/>
      <c r="AC472" s="121"/>
      <c r="AD472" s="121"/>
      <c r="AE472" s="121"/>
      <c r="AF472" s="121"/>
      <c r="AG472" s="121"/>
      <c r="AH472" s="120"/>
    </row>
    <row r="473" spans="1:34" ht="13.2" x14ac:dyDescent="0.25">
      <c r="A473" s="81"/>
      <c r="B473" s="81"/>
      <c r="C473" s="81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  <c r="AB473" s="121"/>
      <c r="AC473" s="121"/>
      <c r="AD473" s="121"/>
      <c r="AE473" s="121"/>
      <c r="AF473" s="121"/>
      <c r="AG473" s="121"/>
      <c r="AH473" s="120"/>
    </row>
    <row r="474" spans="1:34" ht="13.2" x14ac:dyDescent="0.25">
      <c r="A474" s="81"/>
      <c r="B474" s="81"/>
      <c r="C474" s="81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  <c r="AB474" s="121"/>
      <c r="AC474" s="121"/>
      <c r="AD474" s="121"/>
      <c r="AE474" s="121"/>
      <c r="AF474" s="121"/>
      <c r="AG474" s="121"/>
      <c r="AH474" s="120"/>
    </row>
    <row r="475" spans="1:34" ht="13.2" x14ac:dyDescent="0.25">
      <c r="A475" s="81"/>
      <c r="B475" s="81"/>
      <c r="C475" s="81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  <c r="AB475" s="121"/>
      <c r="AC475" s="121"/>
      <c r="AD475" s="121"/>
      <c r="AE475" s="121"/>
      <c r="AF475" s="121"/>
      <c r="AG475" s="121"/>
      <c r="AH475" s="120"/>
    </row>
    <row r="476" spans="1:34" ht="13.2" x14ac:dyDescent="0.25">
      <c r="A476" s="81"/>
      <c r="B476" s="81"/>
      <c r="C476" s="81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  <c r="AB476" s="121"/>
      <c r="AC476" s="121"/>
      <c r="AD476" s="121"/>
      <c r="AE476" s="121"/>
      <c r="AF476" s="121"/>
      <c r="AG476" s="121"/>
      <c r="AH476" s="120"/>
    </row>
    <row r="477" spans="1:34" ht="13.2" x14ac:dyDescent="0.25">
      <c r="A477" s="81"/>
      <c r="B477" s="81"/>
      <c r="C477" s="81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  <c r="AB477" s="121"/>
      <c r="AC477" s="121"/>
      <c r="AD477" s="121"/>
      <c r="AE477" s="121"/>
      <c r="AF477" s="121"/>
      <c r="AG477" s="121"/>
      <c r="AH477" s="120"/>
    </row>
    <row r="478" spans="1:34" ht="13.2" x14ac:dyDescent="0.25">
      <c r="A478" s="81"/>
      <c r="B478" s="81"/>
      <c r="C478" s="81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  <c r="AB478" s="121"/>
      <c r="AC478" s="121"/>
      <c r="AD478" s="121"/>
      <c r="AE478" s="121"/>
      <c r="AF478" s="121"/>
      <c r="AG478" s="121"/>
      <c r="AH478" s="120"/>
    </row>
    <row r="479" spans="1:34" ht="13.2" x14ac:dyDescent="0.25">
      <c r="A479" s="81"/>
      <c r="B479" s="81"/>
      <c r="C479" s="81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  <c r="AB479" s="121"/>
      <c r="AC479" s="121"/>
      <c r="AD479" s="121"/>
      <c r="AE479" s="121"/>
      <c r="AF479" s="121"/>
      <c r="AG479" s="121"/>
      <c r="AH479" s="120"/>
    </row>
    <row r="480" spans="1:34" ht="13.2" x14ac:dyDescent="0.25">
      <c r="A480" s="81"/>
      <c r="B480" s="81"/>
      <c r="C480" s="81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  <c r="AB480" s="121"/>
      <c r="AC480" s="121"/>
      <c r="AD480" s="121"/>
      <c r="AE480" s="121"/>
      <c r="AF480" s="121"/>
      <c r="AG480" s="121"/>
      <c r="AH480" s="120"/>
    </row>
    <row r="481" spans="1:34" ht="13.2" x14ac:dyDescent="0.25">
      <c r="A481" s="81"/>
      <c r="B481" s="81"/>
      <c r="C481" s="81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  <c r="AB481" s="121"/>
      <c r="AC481" s="121"/>
      <c r="AD481" s="121"/>
      <c r="AE481" s="121"/>
      <c r="AF481" s="121"/>
      <c r="AG481" s="121"/>
      <c r="AH481" s="120"/>
    </row>
    <row r="482" spans="1:34" ht="13.2" x14ac:dyDescent="0.25">
      <c r="A482" s="81"/>
      <c r="B482" s="81"/>
      <c r="C482" s="81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  <c r="AB482" s="121"/>
      <c r="AC482" s="121"/>
      <c r="AD482" s="121"/>
      <c r="AE482" s="121"/>
      <c r="AF482" s="121"/>
      <c r="AG482" s="121"/>
      <c r="AH482" s="120"/>
    </row>
    <row r="483" spans="1:34" ht="13.2" x14ac:dyDescent="0.25">
      <c r="A483" s="81"/>
      <c r="B483" s="81"/>
      <c r="C483" s="81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  <c r="AB483" s="121"/>
      <c r="AC483" s="121"/>
      <c r="AD483" s="121"/>
      <c r="AE483" s="121"/>
      <c r="AF483" s="121"/>
      <c r="AG483" s="121"/>
      <c r="AH483" s="120"/>
    </row>
    <row r="484" spans="1:34" ht="13.2" x14ac:dyDescent="0.25">
      <c r="A484" s="81"/>
      <c r="B484" s="81"/>
      <c r="C484" s="81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  <c r="AB484" s="121"/>
      <c r="AC484" s="121"/>
      <c r="AD484" s="121"/>
      <c r="AE484" s="121"/>
      <c r="AF484" s="121"/>
      <c r="AG484" s="121"/>
      <c r="AH484" s="120"/>
    </row>
    <row r="485" spans="1:34" ht="13.2" x14ac:dyDescent="0.25">
      <c r="A485" s="81"/>
      <c r="B485" s="81"/>
      <c r="C485" s="81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  <c r="AB485" s="121"/>
      <c r="AC485" s="121"/>
      <c r="AD485" s="121"/>
      <c r="AE485" s="121"/>
      <c r="AF485" s="121"/>
      <c r="AG485" s="121"/>
      <c r="AH485" s="120"/>
    </row>
    <row r="486" spans="1:34" ht="13.2" x14ac:dyDescent="0.25">
      <c r="A486" s="81"/>
      <c r="B486" s="81"/>
      <c r="C486" s="81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  <c r="AB486" s="121"/>
      <c r="AC486" s="121"/>
      <c r="AD486" s="121"/>
      <c r="AE486" s="121"/>
      <c r="AF486" s="121"/>
      <c r="AG486" s="121"/>
      <c r="AH486" s="120"/>
    </row>
    <row r="487" spans="1:34" ht="13.2" x14ac:dyDescent="0.25">
      <c r="A487" s="81"/>
      <c r="B487" s="81"/>
      <c r="C487" s="81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  <c r="AB487" s="121"/>
      <c r="AC487" s="121"/>
      <c r="AD487" s="121"/>
      <c r="AE487" s="121"/>
      <c r="AF487" s="121"/>
      <c r="AG487" s="121"/>
      <c r="AH487" s="120"/>
    </row>
    <row r="488" spans="1:34" ht="13.2" x14ac:dyDescent="0.25">
      <c r="A488" s="81"/>
      <c r="B488" s="81"/>
      <c r="C488" s="81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  <c r="AB488" s="121"/>
      <c r="AC488" s="121"/>
      <c r="AD488" s="121"/>
      <c r="AE488" s="121"/>
      <c r="AF488" s="121"/>
      <c r="AG488" s="121"/>
      <c r="AH488" s="120"/>
    </row>
    <row r="489" spans="1:34" ht="13.2" x14ac:dyDescent="0.25">
      <c r="A489" s="81"/>
      <c r="B489" s="81"/>
      <c r="C489" s="81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  <c r="AB489" s="121"/>
      <c r="AC489" s="121"/>
      <c r="AD489" s="121"/>
      <c r="AE489" s="121"/>
      <c r="AF489" s="121"/>
      <c r="AG489" s="121"/>
      <c r="AH489" s="120"/>
    </row>
    <row r="490" spans="1:34" ht="13.2" x14ac:dyDescent="0.25">
      <c r="A490" s="81"/>
      <c r="B490" s="81"/>
      <c r="C490" s="81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  <c r="AB490" s="121"/>
      <c r="AC490" s="121"/>
      <c r="AD490" s="121"/>
      <c r="AE490" s="121"/>
      <c r="AF490" s="121"/>
      <c r="AG490" s="121"/>
      <c r="AH490" s="120"/>
    </row>
    <row r="491" spans="1:34" ht="13.2" x14ac:dyDescent="0.25">
      <c r="A491" s="81"/>
      <c r="B491" s="81"/>
      <c r="C491" s="81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  <c r="AB491" s="121"/>
      <c r="AC491" s="121"/>
      <c r="AD491" s="121"/>
      <c r="AE491" s="121"/>
      <c r="AF491" s="121"/>
      <c r="AG491" s="121"/>
      <c r="AH491" s="120"/>
    </row>
    <row r="492" spans="1:34" ht="13.2" x14ac:dyDescent="0.25">
      <c r="A492" s="81"/>
      <c r="B492" s="81"/>
      <c r="C492" s="81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  <c r="AB492" s="121"/>
      <c r="AC492" s="121"/>
      <c r="AD492" s="121"/>
      <c r="AE492" s="121"/>
      <c r="AF492" s="121"/>
      <c r="AG492" s="121"/>
      <c r="AH492" s="120"/>
    </row>
    <row r="493" spans="1:34" ht="13.2" x14ac:dyDescent="0.25">
      <c r="A493" s="81"/>
      <c r="B493" s="81"/>
      <c r="C493" s="81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  <c r="AB493" s="121"/>
      <c r="AC493" s="121"/>
      <c r="AD493" s="121"/>
      <c r="AE493" s="121"/>
      <c r="AF493" s="121"/>
      <c r="AG493" s="121"/>
      <c r="AH493" s="120"/>
    </row>
    <row r="494" spans="1:34" ht="13.2" x14ac:dyDescent="0.25">
      <c r="A494" s="81"/>
      <c r="B494" s="81"/>
      <c r="C494" s="81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  <c r="AB494" s="121"/>
      <c r="AC494" s="121"/>
      <c r="AD494" s="121"/>
      <c r="AE494" s="121"/>
      <c r="AF494" s="121"/>
      <c r="AG494" s="121"/>
      <c r="AH494" s="120"/>
    </row>
    <row r="495" spans="1:34" ht="13.2" x14ac:dyDescent="0.25">
      <c r="A495" s="81"/>
      <c r="B495" s="81"/>
      <c r="C495" s="81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  <c r="AB495" s="121"/>
      <c r="AC495" s="121"/>
      <c r="AD495" s="121"/>
      <c r="AE495" s="121"/>
      <c r="AF495" s="121"/>
      <c r="AG495" s="121"/>
      <c r="AH495" s="120"/>
    </row>
    <row r="496" spans="1:34" ht="13.2" x14ac:dyDescent="0.25">
      <c r="A496" s="81"/>
      <c r="B496" s="81"/>
      <c r="C496" s="81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  <c r="AB496" s="121"/>
      <c r="AC496" s="121"/>
      <c r="AD496" s="121"/>
      <c r="AE496" s="121"/>
      <c r="AF496" s="121"/>
      <c r="AG496" s="121"/>
      <c r="AH496" s="120"/>
    </row>
    <row r="497" spans="1:34" ht="13.2" x14ac:dyDescent="0.25">
      <c r="A497" s="81"/>
      <c r="B497" s="81"/>
      <c r="C497" s="81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  <c r="AB497" s="121"/>
      <c r="AC497" s="121"/>
      <c r="AD497" s="121"/>
      <c r="AE497" s="121"/>
      <c r="AF497" s="121"/>
      <c r="AG497" s="121"/>
      <c r="AH497" s="120"/>
    </row>
    <row r="498" spans="1:34" ht="13.2" x14ac:dyDescent="0.25">
      <c r="A498" s="81"/>
      <c r="B498" s="81"/>
      <c r="C498" s="81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  <c r="AB498" s="121"/>
      <c r="AC498" s="121"/>
      <c r="AD498" s="121"/>
      <c r="AE498" s="121"/>
      <c r="AF498" s="121"/>
      <c r="AG498" s="121"/>
      <c r="AH498" s="120"/>
    </row>
    <row r="499" spans="1:34" ht="13.2" x14ac:dyDescent="0.25">
      <c r="A499" s="81"/>
      <c r="B499" s="81"/>
      <c r="C499" s="81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  <c r="AB499" s="121"/>
      <c r="AC499" s="121"/>
      <c r="AD499" s="121"/>
      <c r="AE499" s="121"/>
      <c r="AF499" s="121"/>
      <c r="AG499" s="121"/>
      <c r="AH499" s="120"/>
    </row>
    <row r="500" spans="1:34" ht="13.2" x14ac:dyDescent="0.25">
      <c r="A500" s="81"/>
      <c r="B500" s="81"/>
      <c r="C500" s="81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  <c r="AB500" s="121"/>
      <c r="AC500" s="121"/>
      <c r="AD500" s="121"/>
      <c r="AE500" s="121"/>
      <c r="AF500" s="121"/>
      <c r="AG500" s="121"/>
      <c r="AH500" s="120"/>
    </row>
    <row r="501" spans="1:34" ht="13.2" x14ac:dyDescent="0.25">
      <c r="A501" s="81"/>
      <c r="B501" s="81"/>
      <c r="C501" s="81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  <c r="AB501" s="121"/>
      <c r="AC501" s="121"/>
      <c r="AD501" s="121"/>
      <c r="AE501" s="121"/>
      <c r="AF501" s="121"/>
      <c r="AG501" s="121"/>
      <c r="AH501" s="120"/>
    </row>
    <row r="502" spans="1:34" ht="13.2" x14ac:dyDescent="0.25">
      <c r="A502" s="81"/>
      <c r="B502" s="81"/>
      <c r="C502" s="81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  <c r="AB502" s="121"/>
      <c r="AC502" s="121"/>
      <c r="AD502" s="121"/>
      <c r="AE502" s="121"/>
      <c r="AF502" s="121"/>
      <c r="AG502" s="121"/>
      <c r="AH502" s="120"/>
    </row>
    <row r="503" spans="1:34" ht="13.2" x14ac:dyDescent="0.25">
      <c r="A503" s="81"/>
      <c r="B503" s="81"/>
      <c r="C503" s="81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  <c r="AB503" s="121"/>
      <c r="AC503" s="121"/>
      <c r="AD503" s="121"/>
      <c r="AE503" s="121"/>
      <c r="AF503" s="121"/>
      <c r="AG503" s="121"/>
      <c r="AH503" s="120"/>
    </row>
    <row r="504" spans="1:34" ht="13.2" x14ac:dyDescent="0.25">
      <c r="A504" s="81"/>
      <c r="B504" s="81"/>
      <c r="C504" s="81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  <c r="AB504" s="121"/>
      <c r="AC504" s="121"/>
      <c r="AD504" s="121"/>
      <c r="AE504" s="121"/>
      <c r="AF504" s="121"/>
      <c r="AG504" s="121"/>
      <c r="AH504" s="120"/>
    </row>
    <row r="505" spans="1:34" ht="13.2" x14ac:dyDescent="0.25">
      <c r="A505" s="81"/>
      <c r="B505" s="81"/>
      <c r="C505" s="81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  <c r="AB505" s="121"/>
      <c r="AC505" s="121"/>
      <c r="AD505" s="121"/>
      <c r="AE505" s="121"/>
      <c r="AF505" s="121"/>
      <c r="AG505" s="121"/>
      <c r="AH505" s="120"/>
    </row>
    <row r="506" spans="1:34" ht="13.2" x14ac:dyDescent="0.25">
      <c r="A506" s="81"/>
      <c r="B506" s="81"/>
      <c r="C506" s="81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  <c r="AB506" s="121"/>
      <c r="AC506" s="121"/>
      <c r="AD506" s="121"/>
      <c r="AE506" s="121"/>
      <c r="AF506" s="121"/>
      <c r="AG506" s="121"/>
      <c r="AH506" s="120"/>
    </row>
    <row r="507" spans="1:34" ht="13.2" x14ac:dyDescent="0.25">
      <c r="A507" s="81"/>
      <c r="B507" s="81"/>
      <c r="C507" s="81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  <c r="AB507" s="121"/>
      <c r="AC507" s="121"/>
      <c r="AD507" s="121"/>
      <c r="AE507" s="121"/>
      <c r="AF507" s="121"/>
      <c r="AG507" s="121"/>
      <c r="AH507" s="120"/>
    </row>
    <row r="508" spans="1:34" ht="13.2" x14ac:dyDescent="0.25">
      <c r="A508" s="81"/>
      <c r="B508" s="81"/>
      <c r="C508" s="81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  <c r="AB508" s="121"/>
      <c r="AC508" s="121"/>
      <c r="AD508" s="121"/>
      <c r="AE508" s="121"/>
      <c r="AF508" s="121"/>
      <c r="AG508" s="121"/>
      <c r="AH508" s="120"/>
    </row>
    <row r="509" spans="1:34" ht="13.2" x14ac:dyDescent="0.25">
      <c r="A509" s="81"/>
      <c r="B509" s="81"/>
      <c r="C509" s="81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  <c r="AB509" s="121"/>
      <c r="AC509" s="121"/>
      <c r="AD509" s="121"/>
      <c r="AE509" s="121"/>
      <c r="AF509" s="121"/>
      <c r="AG509" s="121"/>
      <c r="AH509" s="120"/>
    </row>
    <row r="510" spans="1:34" ht="13.2" x14ac:dyDescent="0.25">
      <c r="A510" s="81"/>
      <c r="B510" s="81"/>
      <c r="C510" s="81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  <c r="AB510" s="121"/>
      <c r="AC510" s="121"/>
      <c r="AD510" s="121"/>
      <c r="AE510" s="121"/>
      <c r="AF510" s="121"/>
      <c r="AG510" s="121"/>
      <c r="AH510" s="120"/>
    </row>
    <row r="511" spans="1:34" ht="13.2" x14ac:dyDescent="0.25">
      <c r="A511" s="81"/>
      <c r="B511" s="81"/>
      <c r="C511" s="81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  <c r="AB511" s="121"/>
      <c r="AC511" s="121"/>
      <c r="AD511" s="121"/>
      <c r="AE511" s="121"/>
      <c r="AF511" s="121"/>
      <c r="AG511" s="121"/>
      <c r="AH511" s="120"/>
    </row>
    <row r="512" spans="1:34" ht="13.2" x14ac:dyDescent="0.25">
      <c r="A512" s="81"/>
      <c r="B512" s="81"/>
      <c r="C512" s="81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  <c r="AB512" s="121"/>
      <c r="AC512" s="121"/>
      <c r="AD512" s="121"/>
      <c r="AE512" s="121"/>
      <c r="AF512" s="121"/>
      <c r="AG512" s="121"/>
      <c r="AH512" s="120"/>
    </row>
    <row r="513" spans="1:34" ht="13.2" x14ac:dyDescent="0.25">
      <c r="A513" s="81"/>
      <c r="B513" s="81"/>
      <c r="C513" s="81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  <c r="AB513" s="121"/>
      <c r="AC513" s="121"/>
      <c r="AD513" s="121"/>
      <c r="AE513" s="121"/>
      <c r="AF513" s="121"/>
      <c r="AG513" s="121"/>
      <c r="AH513" s="120"/>
    </row>
    <row r="514" spans="1:34" ht="13.2" x14ac:dyDescent="0.25">
      <c r="A514" s="81"/>
      <c r="B514" s="81"/>
      <c r="C514" s="81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  <c r="AB514" s="121"/>
      <c r="AC514" s="121"/>
      <c r="AD514" s="121"/>
      <c r="AE514" s="121"/>
      <c r="AF514" s="121"/>
      <c r="AG514" s="121"/>
      <c r="AH514" s="120"/>
    </row>
    <row r="515" spans="1:34" ht="13.2" x14ac:dyDescent="0.25">
      <c r="A515" s="81"/>
      <c r="B515" s="81"/>
      <c r="C515" s="81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  <c r="AB515" s="121"/>
      <c r="AC515" s="121"/>
      <c r="AD515" s="121"/>
      <c r="AE515" s="121"/>
      <c r="AF515" s="121"/>
      <c r="AG515" s="121"/>
      <c r="AH515" s="120"/>
    </row>
    <row r="516" spans="1:34" ht="13.2" x14ac:dyDescent="0.25">
      <c r="A516" s="81"/>
      <c r="B516" s="81"/>
      <c r="C516" s="81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  <c r="AB516" s="121"/>
      <c r="AC516" s="121"/>
      <c r="AD516" s="121"/>
      <c r="AE516" s="121"/>
      <c r="AF516" s="121"/>
      <c r="AG516" s="121"/>
      <c r="AH516" s="120"/>
    </row>
    <row r="517" spans="1:34" ht="13.2" x14ac:dyDescent="0.25">
      <c r="A517" s="81"/>
      <c r="B517" s="81"/>
      <c r="C517" s="81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  <c r="AB517" s="121"/>
      <c r="AC517" s="121"/>
      <c r="AD517" s="121"/>
      <c r="AE517" s="121"/>
      <c r="AF517" s="121"/>
      <c r="AG517" s="121"/>
      <c r="AH517" s="120"/>
    </row>
    <row r="518" spans="1:34" ht="13.2" x14ac:dyDescent="0.25">
      <c r="A518" s="81"/>
      <c r="B518" s="81"/>
      <c r="C518" s="81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  <c r="AB518" s="121"/>
      <c r="AC518" s="121"/>
      <c r="AD518" s="121"/>
      <c r="AE518" s="121"/>
      <c r="AF518" s="121"/>
      <c r="AG518" s="121"/>
      <c r="AH518" s="120"/>
    </row>
    <row r="519" spans="1:34" ht="13.2" x14ac:dyDescent="0.25">
      <c r="A519" s="81"/>
      <c r="B519" s="81"/>
      <c r="C519" s="81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  <c r="AB519" s="121"/>
      <c r="AC519" s="121"/>
      <c r="AD519" s="121"/>
      <c r="AE519" s="121"/>
      <c r="AF519" s="121"/>
      <c r="AG519" s="121"/>
      <c r="AH519" s="120"/>
    </row>
    <row r="520" spans="1:34" ht="13.2" x14ac:dyDescent="0.25">
      <c r="A520" s="81"/>
      <c r="B520" s="81"/>
      <c r="C520" s="81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  <c r="AB520" s="121"/>
      <c r="AC520" s="121"/>
      <c r="AD520" s="121"/>
      <c r="AE520" s="121"/>
      <c r="AF520" s="121"/>
      <c r="AG520" s="121"/>
      <c r="AH520" s="120"/>
    </row>
    <row r="521" spans="1:34" ht="13.2" x14ac:dyDescent="0.25">
      <c r="A521" s="81"/>
      <c r="B521" s="81"/>
      <c r="C521" s="81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  <c r="AB521" s="121"/>
      <c r="AC521" s="121"/>
      <c r="AD521" s="121"/>
      <c r="AE521" s="121"/>
      <c r="AF521" s="121"/>
      <c r="AG521" s="121"/>
      <c r="AH521" s="120"/>
    </row>
    <row r="522" spans="1:34" ht="13.2" x14ac:dyDescent="0.25">
      <c r="A522" s="81"/>
      <c r="B522" s="81"/>
      <c r="C522" s="81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  <c r="AB522" s="121"/>
      <c r="AC522" s="121"/>
      <c r="AD522" s="121"/>
      <c r="AE522" s="121"/>
      <c r="AF522" s="121"/>
      <c r="AG522" s="121"/>
      <c r="AH522" s="120"/>
    </row>
    <row r="523" spans="1:34" ht="13.2" x14ac:dyDescent="0.25">
      <c r="A523" s="81"/>
      <c r="B523" s="81"/>
      <c r="C523" s="81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  <c r="AB523" s="121"/>
      <c r="AC523" s="121"/>
      <c r="AD523" s="121"/>
      <c r="AE523" s="121"/>
      <c r="AF523" s="121"/>
      <c r="AG523" s="121"/>
      <c r="AH523" s="120"/>
    </row>
    <row r="524" spans="1:34" ht="13.2" x14ac:dyDescent="0.25">
      <c r="A524" s="81"/>
      <c r="B524" s="81"/>
      <c r="C524" s="81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  <c r="AB524" s="121"/>
      <c r="AC524" s="121"/>
      <c r="AD524" s="121"/>
      <c r="AE524" s="121"/>
      <c r="AF524" s="121"/>
      <c r="AG524" s="121"/>
      <c r="AH524" s="120"/>
    </row>
    <row r="525" spans="1:34" ht="13.2" x14ac:dyDescent="0.25">
      <c r="A525" s="81"/>
      <c r="B525" s="81"/>
      <c r="C525" s="81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  <c r="AB525" s="121"/>
      <c r="AC525" s="121"/>
      <c r="AD525" s="121"/>
      <c r="AE525" s="121"/>
      <c r="AF525" s="121"/>
      <c r="AG525" s="121"/>
      <c r="AH525" s="120"/>
    </row>
    <row r="526" spans="1:34" ht="13.2" x14ac:dyDescent="0.25">
      <c r="A526" s="81"/>
      <c r="B526" s="81"/>
      <c r="C526" s="81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  <c r="AB526" s="121"/>
      <c r="AC526" s="121"/>
      <c r="AD526" s="121"/>
      <c r="AE526" s="121"/>
      <c r="AF526" s="121"/>
      <c r="AG526" s="121"/>
      <c r="AH526" s="120"/>
    </row>
    <row r="527" spans="1:34" ht="13.2" x14ac:dyDescent="0.25">
      <c r="A527" s="81"/>
      <c r="B527" s="81"/>
      <c r="C527" s="81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  <c r="AB527" s="121"/>
      <c r="AC527" s="121"/>
      <c r="AD527" s="121"/>
      <c r="AE527" s="121"/>
      <c r="AF527" s="121"/>
      <c r="AG527" s="121"/>
      <c r="AH527" s="120"/>
    </row>
    <row r="528" spans="1:34" ht="13.2" x14ac:dyDescent="0.25">
      <c r="A528" s="81"/>
      <c r="B528" s="81"/>
      <c r="C528" s="81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  <c r="AB528" s="121"/>
      <c r="AC528" s="121"/>
      <c r="AD528" s="121"/>
      <c r="AE528" s="121"/>
      <c r="AF528" s="121"/>
      <c r="AG528" s="121"/>
      <c r="AH528" s="120"/>
    </row>
    <row r="529" spans="1:34" ht="13.2" x14ac:dyDescent="0.25">
      <c r="A529" s="81"/>
      <c r="B529" s="81"/>
      <c r="C529" s="81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  <c r="AB529" s="121"/>
      <c r="AC529" s="121"/>
      <c r="AD529" s="121"/>
      <c r="AE529" s="121"/>
      <c r="AF529" s="121"/>
      <c r="AG529" s="121"/>
      <c r="AH529" s="120"/>
    </row>
    <row r="530" spans="1:34" ht="13.2" x14ac:dyDescent="0.25">
      <c r="A530" s="81"/>
      <c r="B530" s="81"/>
      <c r="C530" s="81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  <c r="AB530" s="121"/>
      <c r="AC530" s="121"/>
      <c r="AD530" s="121"/>
      <c r="AE530" s="121"/>
      <c r="AF530" s="121"/>
      <c r="AG530" s="121"/>
      <c r="AH530" s="120"/>
    </row>
    <row r="531" spans="1:34" ht="13.2" x14ac:dyDescent="0.25">
      <c r="A531" s="81"/>
      <c r="B531" s="81"/>
      <c r="C531" s="81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  <c r="AB531" s="121"/>
      <c r="AC531" s="121"/>
      <c r="AD531" s="121"/>
      <c r="AE531" s="121"/>
      <c r="AF531" s="121"/>
      <c r="AG531" s="121"/>
      <c r="AH531" s="120"/>
    </row>
    <row r="532" spans="1:34" ht="13.2" x14ac:dyDescent="0.25">
      <c r="A532" s="81"/>
      <c r="B532" s="81"/>
      <c r="C532" s="81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  <c r="AB532" s="121"/>
      <c r="AC532" s="121"/>
      <c r="AD532" s="121"/>
      <c r="AE532" s="121"/>
      <c r="AF532" s="121"/>
      <c r="AG532" s="121"/>
      <c r="AH532" s="120"/>
    </row>
    <row r="533" spans="1:34" ht="13.2" x14ac:dyDescent="0.25">
      <c r="A533" s="81"/>
      <c r="B533" s="81"/>
      <c r="C533" s="81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  <c r="AB533" s="121"/>
      <c r="AC533" s="121"/>
      <c r="AD533" s="121"/>
      <c r="AE533" s="121"/>
      <c r="AF533" s="121"/>
      <c r="AG533" s="121"/>
      <c r="AH533" s="120"/>
    </row>
    <row r="534" spans="1:34" ht="13.2" x14ac:dyDescent="0.25">
      <c r="A534" s="81"/>
      <c r="B534" s="81"/>
      <c r="C534" s="81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  <c r="AB534" s="121"/>
      <c r="AC534" s="121"/>
      <c r="AD534" s="121"/>
      <c r="AE534" s="121"/>
      <c r="AF534" s="121"/>
      <c r="AG534" s="121"/>
      <c r="AH534" s="120"/>
    </row>
    <row r="535" spans="1:34" ht="13.2" x14ac:dyDescent="0.25">
      <c r="A535" s="81"/>
      <c r="B535" s="81"/>
      <c r="C535" s="81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  <c r="AB535" s="121"/>
      <c r="AC535" s="121"/>
      <c r="AD535" s="121"/>
      <c r="AE535" s="121"/>
      <c r="AF535" s="121"/>
      <c r="AG535" s="121"/>
      <c r="AH535" s="120"/>
    </row>
    <row r="536" spans="1:34" ht="13.2" x14ac:dyDescent="0.25">
      <c r="A536" s="81"/>
      <c r="B536" s="81"/>
      <c r="C536" s="81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  <c r="AB536" s="121"/>
      <c r="AC536" s="121"/>
      <c r="AD536" s="121"/>
      <c r="AE536" s="121"/>
      <c r="AF536" s="121"/>
      <c r="AG536" s="121"/>
      <c r="AH536" s="120"/>
    </row>
    <row r="537" spans="1:34" ht="13.2" x14ac:dyDescent="0.25">
      <c r="A537" s="81"/>
      <c r="B537" s="81"/>
      <c r="C537" s="81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  <c r="AB537" s="121"/>
      <c r="AC537" s="121"/>
      <c r="AD537" s="121"/>
      <c r="AE537" s="121"/>
      <c r="AF537" s="121"/>
      <c r="AG537" s="121"/>
      <c r="AH537" s="120"/>
    </row>
    <row r="538" spans="1:34" ht="13.2" x14ac:dyDescent="0.25">
      <c r="A538" s="81"/>
      <c r="B538" s="81"/>
      <c r="C538" s="81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  <c r="AB538" s="121"/>
      <c r="AC538" s="121"/>
      <c r="AD538" s="121"/>
      <c r="AE538" s="121"/>
      <c r="AF538" s="121"/>
      <c r="AG538" s="121"/>
      <c r="AH538" s="120"/>
    </row>
    <row r="539" spans="1:34" ht="13.2" x14ac:dyDescent="0.25">
      <c r="A539" s="81"/>
      <c r="B539" s="81"/>
      <c r="C539" s="81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  <c r="AB539" s="121"/>
      <c r="AC539" s="121"/>
      <c r="AD539" s="121"/>
      <c r="AE539" s="121"/>
      <c r="AF539" s="121"/>
      <c r="AG539" s="121"/>
      <c r="AH539" s="120"/>
    </row>
    <row r="540" spans="1:34" ht="13.2" x14ac:dyDescent="0.25">
      <c r="A540" s="81"/>
      <c r="B540" s="81"/>
      <c r="C540" s="81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  <c r="AB540" s="121"/>
      <c r="AC540" s="121"/>
      <c r="AD540" s="121"/>
      <c r="AE540" s="121"/>
      <c r="AF540" s="121"/>
      <c r="AG540" s="121"/>
      <c r="AH540" s="120"/>
    </row>
    <row r="541" spans="1:34" ht="13.2" x14ac:dyDescent="0.25">
      <c r="A541" s="81"/>
      <c r="B541" s="81"/>
      <c r="C541" s="81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  <c r="AB541" s="121"/>
      <c r="AC541" s="121"/>
      <c r="AD541" s="121"/>
      <c r="AE541" s="121"/>
      <c r="AF541" s="121"/>
      <c r="AG541" s="121"/>
      <c r="AH541" s="120"/>
    </row>
    <row r="542" spans="1:34" ht="13.2" x14ac:dyDescent="0.25">
      <c r="A542" s="81"/>
      <c r="B542" s="81"/>
      <c r="C542" s="81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  <c r="AB542" s="121"/>
      <c r="AC542" s="121"/>
      <c r="AD542" s="121"/>
      <c r="AE542" s="121"/>
      <c r="AF542" s="121"/>
      <c r="AG542" s="121"/>
      <c r="AH542" s="120"/>
    </row>
    <row r="543" spans="1:34" ht="13.2" x14ac:dyDescent="0.25">
      <c r="A543" s="81"/>
      <c r="B543" s="81"/>
      <c r="C543" s="81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  <c r="AB543" s="121"/>
      <c r="AC543" s="121"/>
      <c r="AD543" s="121"/>
      <c r="AE543" s="121"/>
      <c r="AF543" s="121"/>
      <c r="AG543" s="121"/>
      <c r="AH543" s="120"/>
    </row>
    <row r="544" spans="1:34" ht="13.2" x14ac:dyDescent="0.25">
      <c r="A544" s="81"/>
      <c r="B544" s="81"/>
      <c r="C544" s="81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  <c r="AB544" s="121"/>
      <c r="AC544" s="121"/>
      <c r="AD544" s="121"/>
      <c r="AE544" s="121"/>
      <c r="AF544" s="121"/>
      <c r="AG544" s="121"/>
      <c r="AH544" s="120"/>
    </row>
    <row r="545" spans="1:34" ht="13.2" x14ac:dyDescent="0.25">
      <c r="A545" s="81"/>
      <c r="B545" s="81"/>
      <c r="C545" s="81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  <c r="AB545" s="121"/>
      <c r="AC545" s="121"/>
      <c r="AD545" s="121"/>
      <c r="AE545" s="121"/>
      <c r="AF545" s="121"/>
      <c r="AG545" s="121"/>
      <c r="AH545" s="120"/>
    </row>
    <row r="546" spans="1:34" ht="13.2" x14ac:dyDescent="0.25">
      <c r="A546" s="81"/>
      <c r="B546" s="81"/>
      <c r="C546" s="81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  <c r="AB546" s="121"/>
      <c r="AC546" s="121"/>
      <c r="AD546" s="121"/>
      <c r="AE546" s="121"/>
      <c r="AF546" s="121"/>
      <c r="AG546" s="121"/>
      <c r="AH546" s="120"/>
    </row>
    <row r="547" spans="1:34" ht="13.2" x14ac:dyDescent="0.25">
      <c r="A547" s="81"/>
      <c r="B547" s="81"/>
      <c r="C547" s="81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  <c r="AB547" s="121"/>
      <c r="AC547" s="121"/>
      <c r="AD547" s="121"/>
      <c r="AE547" s="121"/>
      <c r="AF547" s="121"/>
      <c r="AG547" s="121"/>
      <c r="AH547" s="120"/>
    </row>
    <row r="548" spans="1:34" ht="13.2" x14ac:dyDescent="0.25">
      <c r="A548" s="81"/>
      <c r="B548" s="81"/>
      <c r="C548" s="81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  <c r="AB548" s="121"/>
      <c r="AC548" s="121"/>
      <c r="AD548" s="121"/>
      <c r="AE548" s="121"/>
      <c r="AF548" s="121"/>
      <c r="AG548" s="121"/>
      <c r="AH548" s="120"/>
    </row>
    <row r="549" spans="1:34" ht="13.2" x14ac:dyDescent="0.25">
      <c r="A549" s="81"/>
      <c r="B549" s="81"/>
      <c r="C549" s="81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  <c r="AB549" s="121"/>
      <c r="AC549" s="121"/>
      <c r="AD549" s="121"/>
      <c r="AE549" s="121"/>
      <c r="AF549" s="121"/>
      <c r="AG549" s="121"/>
      <c r="AH549" s="120"/>
    </row>
    <row r="550" spans="1:34" ht="13.2" x14ac:dyDescent="0.25">
      <c r="A550" s="81"/>
      <c r="B550" s="81"/>
      <c r="C550" s="81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  <c r="AB550" s="121"/>
      <c r="AC550" s="121"/>
      <c r="AD550" s="121"/>
      <c r="AE550" s="121"/>
      <c r="AF550" s="121"/>
      <c r="AG550" s="121"/>
      <c r="AH550" s="120"/>
    </row>
    <row r="551" spans="1:34" ht="13.2" x14ac:dyDescent="0.25">
      <c r="A551" s="81"/>
      <c r="B551" s="81"/>
      <c r="C551" s="81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  <c r="AB551" s="121"/>
      <c r="AC551" s="121"/>
      <c r="AD551" s="121"/>
      <c r="AE551" s="121"/>
      <c r="AF551" s="121"/>
      <c r="AG551" s="121"/>
      <c r="AH551" s="120"/>
    </row>
    <row r="552" spans="1:34" ht="13.2" x14ac:dyDescent="0.25">
      <c r="A552" s="81"/>
      <c r="B552" s="81"/>
      <c r="C552" s="81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  <c r="AB552" s="121"/>
      <c r="AC552" s="121"/>
      <c r="AD552" s="121"/>
      <c r="AE552" s="121"/>
      <c r="AF552" s="121"/>
      <c r="AG552" s="121"/>
      <c r="AH552" s="120"/>
    </row>
    <row r="553" spans="1:34" ht="13.2" x14ac:dyDescent="0.25">
      <c r="A553" s="81"/>
      <c r="B553" s="81"/>
      <c r="C553" s="81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  <c r="AB553" s="121"/>
      <c r="AC553" s="121"/>
      <c r="AD553" s="121"/>
      <c r="AE553" s="121"/>
      <c r="AF553" s="121"/>
      <c r="AG553" s="121"/>
      <c r="AH553" s="120"/>
    </row>
    <row r="554" spans="1:34" ht="13.2" x14ac:dyDescent="0.25">
      <c r="A554" s="81"/>
      <c r="B554" s="81"/>
      <c r="C554" s="81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  <c r="AB554" s="121"/>
      <c r="AC554" s="121"/>
      <c r="AD554" s="121"/>
      <c r="AE554" s="121"/>
      <c r="AF554" s="121"/>
      <c r="AG554" s="121"/>
      <c r="AH554" s="120"/>
    </row>
    <row r="555" spans="1:34" ht="13.2" x14ac:dyDescent="0.25">
      <c r="A555" s="81"/>
      <c r="B555" s="81"/>
      <c r="C555" s="81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  <c r="AB555" s="121"/>
      <c r="AC555" s="121"/>
      <c r="AD555" s="121"/>
      <c r="AE555" s="121"/>
      <c r="AF555" s="121"/>
      <c r="AG555" s="121"/>
      <c r="AH555" s="120"/>
    </row>
    <row r="556" spans="1:34" ht="13.2" x14ac:dyDescent="0.25">
      <c r="A556" s="81"/>
      <c r="B556" s="81"/>
      <c r="C556" s="81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  <c r="AB556" s="121"/>
      <c r="AC556" s="121"/>
      <c r="AD556" s="121"/>
      <c r="AE556" s="121"/>
      <c r="AF556" s="121"/>
      <c r="AG556" s="121"/>
      <c r="AH556" s="120"/>
    </row>
    <row r="557" spans="1:34" ht="13.2" x14ac:dyDescent="0.25">
      <c r="A557" s="81"/>
      <c r="B557" s="81"/>
      <c r="C557" s="81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  <c r="AB557" s="121"/>
      <c r="AC557" s="121"/>
      <c r="AD557" s="121"/>
      <c r="AE557" s="121"/>
      <c r="AF557" s="121"/>
      <c r="AG557" s="121"/>
      <c r="AH557" s="120"/>
    </row>
    <row r="558" spans="1:34" ht="13.2" x14ac:dyDescent="0.25">
      <c r="A558" s="81"/>
      <c r="B558" s="81"/>
      <c r="C558" s="81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  <c r="AB558" s="121"/>
      <c r="AC558" s="121"/>
      <c r="AD558" s="121"/>
      <c r="AE558" s="121"/>
      <c r="AF558" s="121"/>
      <c r="AG558" s="121"/>
      <c r="AH558" s="120"/>
    </row>
    <row r="559" spans="1:34" ht="13.2" x14ac:dyDescent="0.25">
      <c r="A559" s="81"/>
      <c r="B559" s="81"/>
      <c r="C559" s="81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  <c r="AB559" s="121"/>
      <c r="AC559" s="121"/>
      <c r="AD559" s="121"/>
      <c r="AE559" s="121"/>
      <c r="AF559" s="121"/>
      <c r="AG559" s="121"/>
      <c r="AH559" s="120"/>
    </row>
    <row r="560" spans="1:34" ht="13.2" x14ac:dyDescent="0.25">
      <c r="A560" s="81"/>
      <c r="B560" s="81"/>
      <c r="C560" s="81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  <c r="AB560" s="121"/>
      <c r="AC560" s="121"/>
      <c r="AD560" s="121"/>
      <c r="AE560" s="121"/>
      <c r="AF560" s="121"/>
      <c r="AG560" s="121"/>
      <c r="AH560" s="120"/>
    </row>
    <row r="561" spans="1:34" ht="13.2" x14ac:dyDescent="0.25">
      <c r="A561" s="81"/>
      <c r="B561" s="81"/>
      <c r="C561" s="81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  <c r="AB561" s="121"/>
      <c r="AC561" s="121"/>
      <c r="AD561" s="121"/>
      <c r="AE561" s="121"/>
      <c r="AF561" s="121"/>
      <c r="AG561" s="121"/>
      <c r="AH561" s="120"/>
    </row>
    <row r="562" spans="1:34" ht="13.2" x14ac:dyDescent="0.25">
      <c r="A562" s="81"/>
      <c r="B562" s="81"/>
      <c r="C562" s="81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  <c r="AB562" s="121"/>
      <c r="AC562" s="121"/>
      <c r="AD562" s="121"/>
      <c r="AE562" s="121"/>
      <c r="AF562" s="121"/>
      <c r="AG562" s="121"/>
      <c r="AH562" s="120"/>
    </row>
    <row r="563" spans="1:34" ht="13.2" x14ac:dyDescent="0.25">
      <c r="A563" s="81"/>
      <c r="B563" s="81"/>
      <c r="C563" s="81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  <c r="AB563" s="121"/>
      <c r="AC563" s="121"/>
      <c r="AD563" s="121"/>
      <c r="AE563" s="121"/>
      <c r="AF563" s="121"/>
      <c r="AG563" s="121"/>
      <c r="AH563" s="120"/>
    </row>
    <row r="564" spans="1:34" ht="13.2" x14ac:dyDescent="0.25">
      <c r="A564" s="81"/>
      <c r="B564" s="81"/>
      <c r="C564" s="81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  <c r="AB564" s="121"/>
      <c r="AC564" s="121"/>
      <c r="AD564" s="121"/>
      <c r="AE564" s="121"/>
      <c r="AF564" s="121"/>
      <c r="AG564" s="121"/>
      <c r="AH564" s="120"/>
    </row>
    <row r="565" spans="1:34" ht="13.2" x14ac:dyDescent="0.25">
      <c r="A565" s="81"/>
      <c r="B565" s="81"/>
      <c r="C565" s="81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  <c r="AB565" s="121"/>
      <c r="AC565" s="121"/>
      <c r="AD565" s="121"/>
      <c r="AE565" s="121"/>
      <c r="AF565" s="121"/>
      <c r="AG565" s="121"/>
      <c r="AH565" s="120"/>
    </row>
    <row r="566" spans="1:34" ht="13.2" x14ac:dyDescent="0.25">
      <c r="A566" s="81"/>
      <c r="B566" s="81"/>
      <c r="C566" s="81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  <c r="AB566" s="121"/>
      <c r="AC566" s="121"/>
      <c r="AD566" s="121"/>
      <c r="AE566" s="121"/>
      <c r="AF566" s="121"/>
      <c r="AG566" s="121"/>
      <c r="AH566" s="120"/>
    </row>
    <row r="567" spans="1:34" ht="13.2" x14ac:dyDescent="0.25">
      <c r="A567" s="81"/>
      <c r="B567" s="81"/>
      <c r="C567" s="81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  <c r="AB567" s="121"/>
      <c r="AC567" s="121"/>
      <c r="AD567" s="121"/>
      <c r="AE567" s="121"/>
      <c r="AF567" s="121"/>
      <c r="AG567" s="121"/>
      <c r="AH567" s="120"/>
    </row>
    <row r="568" spans="1:34" ht="13.2" x14ac:dyDescent="0.25">
      <c r="A568" s="81"/>
      <c r="B568" s="81"/>
      <c r="C568" s="81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  <c r="AB568" s="121"/>
      <c r="AC568" s="121"/>
      <c r="AD568" s="121"/>
      <c r="AE568" s="121"/>
      <c r="AF568" s="121"/>
      <c r="AG568" s="121"/>
      <c r="AH568" s="120"/>
    </row>
    <row r="569" spans="1:34" ht="13.2" x14ac:dyDescent="0.25">
      <c r="A569" s="81"/>
      <c r="B569" s="81"/>
      <c r="C569" s="81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  <c r="AB569" s="121"/>
      <c r="AC569" s="121"/>
      <c r="AD569" s="121"/>
      <c r="AE569" s="121"/>
      <c r="AF569" s="121"/>
      <c r="AG569" s="121"/>
      <c r="AH569" s="120"/>
    </row>
    <row r="570" spans="1:34" ht="13.2" x14ac:dyDescent="0.25">
      <c r="A570" s="81"/>
      <c r="B570" s="81"/>
      <c r="C570" s="81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  <c r="AB570" s="121"/>
      <c r="AC570" s="121"/>
      <c r="AD570" s="121"/>
      <c r="AE570" s="121"/>
      <c r="AF570" s="121"/>
      <c r="AG570" s="121"/>
      <c r="AH570" s="120"/>
    </row>
    <row r="571" spans="1:34" ht="13.2" x14ac:dyDescent="0.25">
      <c r="A571" s="81"/>
      <c r="B571" s="81"/>
      <c r="C571" s="81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  <c r="AB571" s="121"/>
      <c r="AC571" s="121"/>
      <c r="AD571" s="121"/>
      <c r="AE571" s="121"/>
      <c r="AF571" s="121"/>
      <c r="AG571" s="121"/>
      <c r="AH571" s="120"/>
    </row>
    <row r="572" spans="1:34" ht="13.2" x14ac:dyDescent="0.25">
      <c r="A572" s="81"/>
      <c r="B572" s="81"/>
      <c r="C572" s="81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  <c r="AB572" s="121"/>
      <c r="AC572" s="121"/>
      <c r="AD572" s="121"/>
      <c r="AE572" s="121"/>
      <c r="AF572" s="121"/>
      <c r="AG572" s="121"/>
      <c r="AH572" s="120"/>
    </row>
    <row r="573" spans="1:34" ht="13.2" x14ac:dyDescent="0.25">
      <c r="A573" s="81"/>
      <c r="B573" s="81"/>
      <c r="C573" s="81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  <c r="AB573" s="121"/>
      <c r="AC573" s="121"/>
      <c r="AD573" s="121"/>
      <c r="AE573" s="121"/>
      <c r="AF573" s="121"/>
      <c r="AG573" s="121"/>
      <c r="AH573" s="120"/>
    </row>
    <row r="574" spans="1:34" ht="13.2" x14ac:dyDescent="0.25">
      <c r="A574" s="81"/>
      <c r="B574" s="81"/>
      <c r="C574" s="81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  <c r="AB574" s="121"/>
      <c r="AC574" s="121"/>
      <c r="AD574" s="121"/>
      <c r="AE574" s="121"/>
      <c r="AF574" s="121"/>
      <c r="AG574" s="121"/>
      <c r="AH574" s="120"/>
    </row>
    <row r="575" spans="1:34" ht="13.2" x14ac:dyDescent="0.25">
      <c r="A575" s="81"/>
      <c r="B575" s="81"/>
      <c r="C575" s="81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  <c r="AB575" s="121"/>
      <c r="AC575" s="121"/>
      <c r="AD575" s="121"/>
      <c r="AE575" s="121"/>
      <c r="AF575" s="121"/>
      <c r="AG575" s="121"/>
      <c r="AH575" s="120"/>
    </row>
    <row r="576" spans="1:34" ht="13.2" x14ac:dyDescent="0.25">
      <c r="A576" s="81"/>
      <c r="B576" s="81"/>
      <c r="C576" s="81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  <c r="AB576" s="121"/>
      <c r="AC576" s="121"/>
      <c r="AD576" s="121"/>
      <c r="AE576" s="121"/>
      <c r="AF576" s="121"/>
      <c r="AG576" s="121"/>
      <c r="AH576" s="120"/>
    </row>
    <row r="577" spans="1:34" ht="13.2" x14ac:dyDescent="0.25">
      <c r="A577" s="81"/>
      <c r="B577" s="81"/>
      <c r="C577" s="81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  <c r="AB577" s="121"/>
      <c r="AC577" s="121"/>
      <c r="AD577" s="121"/>
      <c r="AE577" s="121"/>
      <c r="AF577" s="121"/>
      <c r="AG577" s="121"/>
      <c r="AH577" s="120"/>
    </row>
    <row r="578" spans="1:34" ht="13.2" x14ac:dyDescent="0.25">
      <c r="A578" s="81"/>
      <c r="B578" s="81"/>
      <c r="C578" s="81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  <c r="AB578" s="121"/>
      <c r="AC578" s="121"/>
      <c r="AD578" s="121"/>
      <c r="AE578" s="121"/>
      <c r="AF578" s="121"/>
      <c r="AG578" s="121"/>
      <c r="AH578" s="120"/>
    </row>
    <row r="579" spans="1:34" ht="13.2" x14ac:dyDescent="0.25">
      <c r="A579" s="81"/>
      <c r="B579" s="81"/>
      <c r="C579" s="81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  <c r="AB579" s="121"/>
      <c r="AC579" s="121"/>
      <c r="AD579" s="121"/>
      <c r="AE579" s="121"/>
      <c r="AF579" s="121"/>
      <c r="AG579" s="121"/>
      <c r="AH579" s="120"/>
    </row>
    <row r="580" spans="1:34" ht="13.2" x14ac:dyDescent="0.25">
      <c r="A580" s="81"/>
      <c r="B580" s="81"/>
      <c r="C580" s="81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  <c r="AB580" s="121"/>
      <c r="AC580" s="121"/>
      <c r="AD580" s="121"/>
      <c r="AE580" s="121"/>
      <c r="AF580" s="121"/>
      <c r="AG580" s="121"/>
      <c r="AH580" s="120"/>
    </row>
    <row r="581" spans="1:34" ht="13.2" x14ac:dyDescent="0.25">
      <c r="A581" s="81"/>
      <c r="B581" s="81"/>
      <c r="C581" s="81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  <c r="AB581" s="121"/>
      <c r="AC581" s="121"/>
      <c r="AD581" s="121"/>
      <c r="AE581" s="121"/>
      <c r="AF581" s="121"/>
      <c r="AG581" s="121"/>
      <c r="AH581" s="120"/>
    </row>
    <row r="582" spans="1:34" ht="13.2" x14ac:dyDescent="0.25">
      <c r="A582" s="81"/>
      <c r="B582" s="81"/>
      <c r="C582" s="81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  <c r="AB582" s="121"/>
      <c r="AC582" s="121"/>
      <c r="AD582" s="121"/>
      <c r="AE582" s="121"/>
      <c r="AF582" s="121"/>
      <c r="AG582" s="121"/>
      <c r="AH582" s="120"/>
    </row>
    <row r="583" spans="1:34" ht="13.2" x14ac:dyDescent="0.25">
      <c r="A583" s="81"/>
      <c r="B583" s="81"/>
      <c r="C583" s="81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  <c r="AB583" s="121"/>
      <c r="AC583" s="121"/>
      <c r="AD583" s="121"/>
      <c r="AE583" s="121"/>
      <c r="AF583" s="121"/>
      <c r="AG583" s="121"/>
      <c r="AH583" s="120"/>
    </row>
    <row r="584" spans="1:34" ht="13.2" x14ac:dyDescent="0.25">
      <c r="A584" s="81"/>
      <c r="B584" s="81"/>
      <c r="C584" s="81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  <c r="AB584" s="121"/>
      <c r="AC584" s="121"/>
      <c r="AD584" s="121"/>
      <c r="AE584" s="121"/>
      <c r="AF584" s="121"/>
      <c r="AG584" s="121"/>
      <c r="AH584" s="120"/>
    </row>
    <row r="585" spans="1:34" ht="13.2" x14ac:dyDescent="0.25">
      <c r="A585" s="81"/>
      <c r="B585" s="81"/>
      <c r="C585" s="81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  <c r="AB585" s="121"/>
      <c r="AC585" s="121"/>
      <c r="AD585" s="121"/>
      <c r="AE585" s="121"/>
      <c r="AF585" s="121"/>
      <c r="AG585" s="121"/>
      <c r="AH585" s="120"/>
    </row>
    <row r="586" spans="1:34" ht="13.2" x14ac:dyDescent="0.25">
      <c r="A586" s="81"/>
      <c r="B586" s="81"/>
      <c r="C586" s="81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  <c r="AB586" s="121"/>
      <c r="AC586" s="121"/>
      <c r="AD586" s="121"/>
      <c r="AE586" s="121"/>
      <c r="AF586" s="121"/>
      <c r="AG586" s="121"/>
      <c r="AH586" s="120"/>
    </row>
    <row r="587" spans="1:34" ht="13.2" x14ac:dyDescent="0.25">
      <c r="A587" s="81"/>
      <c r="B587" s="81"/>
      <c r="C587" s="81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  <c r="AB587" s="121"/>
      <c r="AC587" s="121"/>
      <c r="AD587" s="121"/>
      <c r="AE587" s="121"/>
      <c r="AF587" s="121"/>
      <c r="AG587" s="121"/>
      <c r="AH587" s="120"/>
    </row>
    <row r="588" spans="1:34" ht="13.2" x14ac:dyDescent="0.25">
      <c r="A588" s="81"/>
      <c r="B588" s="81"/>
      <c r="C588" s="81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  <c r="AB588" s="121"/>
      <c r="AC588" s="121"/>
      <c r="AD588" s="121"/>
      <c r="AE588" s="121"/>
      <c r="AF588" s="121"/>
      <c r="AG588" s="121"/>
      <c r="AH588" s="120"/>
    </row>
    <row r="589" spans="1:34" ht="13.2" x14ac:dyDescent="0.25">
      <c r="A589" s="81"/>
      <c r="B589" s="81"/>
      <c r="C589" s="81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  <c r="AB589" s="121"/>
      <c r="AC589" s="121"/>
      <c r="AD589" s="121"/>
      <c r="AE589" s="121"/>
      <c r="AF589" s="121"/>
      <c r="AG589" s="121"/>
      <c r="AH589" s="120"/>
    </row>
    <row r="590" spans="1:34" ht="13.2" x14ac:dyDescent="0.25">
      <c r="A590" s="81"/>
      <c r="B590" s="81"/>
      <c r="C590" s="81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  <c r="AB590" s="121"/>
      <c r="AC590" s="121"/>
      <c r="AD590" s="121"/>
      <c r="AE590" s="121"/>
      <c r="AF590" s="121"/>
      <c r="AG590" s="121"/>
      <c r="AH590" s="120"/>
    </row>
    <row r="591" spans="1:34" ht="13.2" x14ac:dyDescent="0.25">
      <c r="A591" s="81"/>
      <c r="B591" s="81"/>
      <c r="C591" s="81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  <c r="AB591" s="121"/>
      <c r="AC591" s="121"/>
      <c r="AD591" s="121"/>
      <c r="AE591" s="121"/>
      <c r="AF591" s="121"/>
      <c r="AG591" s="121"/>
      <c r="AH591" s="120"/>
    </row>
    <row r="592" spans="1:34" ht="13.2" x14ac:dyDescent="0.25">
      <c r="A592" s="81"/>
      <c r="B592" s="81"/>
      <c r="C592" s="81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  <c r="AB592" s="121"/>
      <c r="AC592" s="121"/>
      <c r="AD592" s="121"/>
      <c r="AE592" s="121"/>
      <c r="AF592" s="121"/>
      <c r="AG592" s="121"/>
      <c r="AH592" s="120"/>
    </row>
    <row r="593" spans="1:34" ht="13.2" x14ac:dyDescent="0.25">
      <c r="A593" s="81"/>
      <c r="B593" s="81"/>
      <c r="C593" s="81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  <c r="AB593" s="121"/>
      <c r="AC593" s="121"/>
      <c r="AD593" s="121"/>
      <c r="AE593" s="121"/>
      <c r="AF593" s="121"/>
      <c r="AG593" s="121"/>
      <c r="AH593" s="120"/>
    </row>
    <row r="594" spans="1:34" ht="13.2" x14ac:dyDescent="0.25">
      <c r="A594" s="81"/>
      <c r="B594" s="81"/>
      <c r="C594" s="81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  <c r="AB594" s="121"/>
      <c r="AC594" s="121"/>
      <c r="AD594" s="121"/>
      <c r="AE594" s="121"/>
      <c r="AF594" s="121"/>
      <c r="AG594" s="121"/>
      <c r="AH594" s="120"/>
    </row>
    <row r="595" spans="1:34" ht="13.2" x14ac:dyDescent="0.25">
      <c r="A595" s="81"/>
      <c r="B595" s="81"/>
      <c r="C595" s="81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  <c r="AB595" s="121"/>
      <c r="AC595" s="121"/>
      <c r="AD595" s="121"/>
      <c r="AE595" s="121"/>
      <c r="AF595" s="121"/>
      <c r="AG595" s="121"/>
      <c r="AH595" s="120"/>
    </row>
    <row r="596" spans="1:34" ht="13.2" x14ac:dyDescent="0.25">
      <c r="A596" s="81"/>
      <c r="B596" s="81"/>
      <c r="C596" s="81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  <c r="AB596" s="121"/>
      <c r="AC596" s="121"/>
      <c r="AD596" s="121"/>
      <c r="AE596" s="121"/>
      <c r="AF596" s="121"/>
      <c r="AG596" s="121"/>
      <c r="AH596" s="120"/>
    </row>
    <row r="597" spans="1:34" ht="13.2" x14ac:dyDescent="0.25">
      <c r="A597" s="81"/>
      <c r="B597" s="81"/>
      <c r="C597" s="81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  <c r="AB597" s="121"/>
      <c r="AC597" s="121"/>
      <c r="AD597" s="121"/>
      <c r="AE597" s="121"/>
      <c r="AF597" s="121"/>
      <c r="AG597" s="121"/>
      <c r="AH597" s="120"/>
    </row>
    <row r="598" spans="1:34" ht="13.2" x14ac:dyDescent="0.25">
      <c r="A598" s="81"/>
      <c r="B598" s="81"/>
      <c r="C598" s="81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  <c r="AB598" s="121"/>
      <c r="AC598" s="121"/>
      <c r="AD598" s="121"/>
      <c r="AE598" s="121"/>
      <c r="AF598" s="121"/>
      <c r="AG598" s="121"/>
      <c r="AH598" s="120"/>
    </row>
    <row r="599" spans="1:34" ht="13.2" x14ac:dyDescent="0.25">
      <c r="A599" s="81"/>
      <c r="B599" s="81"/>
      <c r="C599" s="81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  <c r="AB599" s="121"/>
      <c r="AC599" s="121"/>
      <c r="AD599" s="121"/>
      <c r="AE599" s="121"/>
      <c r="AF599" s="121"/>
      <c r="AG599" s="121"/>
      <c r="AH599" s="120"/>
    </row>
    <row r="600" spans="1:34" ht="13.2" x14ac:dyDescent="0.25">
      <c r="A600" s="81"/>
      <c r="B600" s="81"/>
      <c r="C600" s="81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  <c r="AB600" s="121"/>
      <c r="AC600" s="121"/>
      <c r="AD600" s="121"/>
      <c r="AE600" s="121"/>
      <c r="AF600" s="121"/>
      <c r="AG600" s="121"/>
      <c r="AH600" s="120"/>
    </row>
    <row r="601" spans="1:34" ht="13.2" x14ac:dyDescent="0.25">
      <c r="A601" s="81"/>
      <c r="B601" s="81"/>
      <c r="C601" s="81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  <c r="AB601" s="121"/>
      <c r="AC601" s="121"/>
      <c r="AD601" s="121"/>
      <c r="AE601" s="121"/>
      <c r="AF601" s="121"/>
      <c r="AG601" s="121"/>
      <c r="AH601" s="120"/>
    </row>
    <row r="602" spans="1:34" ht="13.2" x14ac:dyDescent="0.25">
      <c r="A602" s="81"/>
      <c r="B602" s="81"/>
      <c r="C602" s="81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  <c r="AB602" s="121"/>
      <c r="AC602" s="121"/>
      <c r="AD602" s="121"/>
      <c r="AE602" s="121"/>
      <c r="AF602" s="121"/>
      <c r="AG602" s="121"/>
      <c r="AH602" s="120"/>
    </row>
    <row r="603" spans="1:34" ht="13.2" x14ac:dyDescent="0.25">
      <c r="A603" s="81"/>
      <c r="B603" s="81"/>
      <c r="C603" s="81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  <c r="AB603" s="121"/>
      <c r="AC603" s="121"/>
      <c r="AD603" s="121"/>
      <c r="AE603" s="121"/>
      <c r="AF603" s="121"/>
      <c r="AG603" s="121"/>
      <c r="AH603" s="120"/>
    </row>
    <row r="604" spans="1:34" ht="13.2" x14ac:dyDescent="0.25">
      <c r="A604" s="81"/>
      <c r="B604" s="81"/>
      <c r="C604" s="81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  <c r="AB604" s="121"/>
      <c r="AC604" s="121"/>
      <c r="AD604" s="121"/>
      <c r="AE604" s="121"/>
      <c r="AF604" s="121"/>
      <c r="AG604" s="121"/>
      <c r="AH604" s="120"/>
    </row>
    <row r="605" spans="1:34" ht="13.2" x14ac:dyDescent="0.25">
      <c r="A605" s="81"/>
      <c r="B605" s="81"/>
      <c r="C605" s="81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  <c r="AB605" s="121"/>
      <c r="AC605" s="121"/>
      <c r="AD605" s="121"/>
      <c r="AE605" s="121"/>
      <c r="AF605" s="121"/>
      <c r="AG605" s="121"/>
      <c r="AH605" s="120"/>
    </row>
    <row r="606" spans="1:34" ht="13.2" x14ac:dyDescent="0.25">
      <c r="A606" s="81"/>
      <c r="B606" s="81"/>
      <c r="C606" s="81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  <c r="AB606" s="121"/>
      <c r="AC606" s="121"/>
      <c r="AD606" s="121"/>
      <c r="AE606" s="121"/>
      <c r="AF606" s="121"/>
      <c r="AG606" s="121"/>
      <c r="AH606" s="120"/>
    </row>
    <row r="607" spans="1:34" ht="13.2" x14ac:dyDescent="0.25">
      <c r="A607" s="81"/>
      <c r="B607" s="81"/>
      <c r="C607" s="81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  <c r="AB607" s="121"/>
      <c r="AC607" s="121"/>
      <c r="AD607" s="121"/>
      <c r="AE607" s="121"/>
      <c r="AF607" s="121"/>
      <c r="AG607" s="121"/>
      <c r="AH607" s="120"/>
    </row>
    <row r="608" spans="1:34" ht="13.2" x14ac:dyDescent="0.25">
      <c r="A608" s="81"/>
      <c r="B608" s="81"/>
      <c r="C608" s="81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  <c r="AB608" s="121"/>
      <c r="AC608" s="121"/>
      <c r="AD608" s="121"/>
      <c r="AE608" s="121"/>
      <c r="AF608" s="121"/>
      <c r="AG608" s="121"/>
      <c r="AH608" s="120"/>
    </row>
    <row r="609" spans="1:34" ht="13.2" x14ac:dyDescent="0.25">
      <c r="A609" s="81"/>
      <c r="B609" s="81"/>
      <c r="C609" s="81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  <c r="AB609" s="121"/>
      <c r="AC609" s="121"/>
      <c r="AD609" s="121"/>
      <c r="AE609" s="121"/>
      <c r="AF609" s="121"/>
      <c r="AG609" s="121"/>
      <c r="AH609" s="120"/>
    </row>
    <row r="610" spans="1:34" ht="13.2" x14ac:dyDescent="0.25">
      <c r="A610" s="81"/>
      <c r="B610" s="81"/>
      <c r="C610" s="81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  <c r="AB610" s="121"/>
      <c r="AC610" s="121"/>
      <c r="AD610" s="121"/>
      <c r="AE610" s="121"/>
      <c r="AF610" s="121"/>
      <c r="AG610" s="121"/>
      <c r="AH610" s="120"/>
    </row>
    <row r="611" spans="1:34" ht="13.2" x14ac:dyDescent="0.25">
      <c r="A611" s="81"/>
      <c r="B611" s="81"/>
      <c r="C611" s="81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  <c r="AB611" s="121"/>
      <c r="AC611" s="121"/>
      <c r="AD611" s="121"/>
      <c r="AE611" s="121"/>
      <c r="AF611" s="121"/>
      <c r="AG611" s="121"/>
      <c r="AH611" s="120"/>
    </row>
    <row r="612" spans="1:34" ht="13.2" x14ac:dyDescent="0.25">
      <c r="A612" s="81"/>
      <c r="B612" s="81"/>
      <c r="C612" s="81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  <c r="AB612" s="121"/>
      <c r="AC612" s="121"/>
      <c r="AD612" s="121"/>
      <c r="AE612" s="121"/>
      <c r="AF612" s="121"/>
      <c r="AG612" s="121"/>
      <c r="AH612" s="120"/>
    </row>
    <row r="613" spans="1:34" ht="13.2" x14ac:dyDescent="0.25">
      <c r="A613" s="81"/>
      <c r="B613" s="81"/>
      <c r="C613" s="81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  <c r="AB613" s="121"/>
      <c r="AC613" s="121"/>
      <c r="AD613" s="121"/>
      <c r="AE613" s="121"/>
      <c r="AF613" s="121"/>
      <c r="AG613" s="121"/>
      <c r="AH613" s="120"/>
    </row>
    <row r="614" spans="1:34" ht="13.2" x14ac:dyDescent="0.25">
      <c r="A614" s="81"/>
      <c r="B614" s="81"/>
      <c r="C614" s="81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  <c r="AB614" s="121"/>
      <c r="AC614" s="121"/>
      <c r="AD614" s="121"/>
      <c r="AE614" s="121"/>
      <c r="AF614" s="121"/>
      <c r="AG614" s="121"/>
      <c r="AH614" s="120"/>
    </row>
    <row r="615" spans="1:34" ht="13.2" x14ac:dyDescent="0.25">
      <c r="A615" s="81"/>
      <c r="B615" s="81"/>
      <c r="C615" s="81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  <c r="AB615" s="121"/>
      <c r="AC615" s="121"/>
      <c r="AD615" s="121"/>
      <c r="AE615" s="121"/>
      <c r="AF615" s="121"/>
      <c r="AG615" s="121"/>
      <c r="AH615" s="120"/>
    </row>
    <row r="616" spans="1:34" ht="13.2" x14ac:dyDescent="0.25">
      <c r="A616" s="81"/>
      <c r="B616" s="81"/>
      <c r="C616" s="81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  <c r="AB616" s="121"/>
      <c r="AC616" s="121"/>
      <c r="AD616" s="121"/>
      <c r="AE616" s="121"/>
      <c r="AF616" s="121"/>
      <c r="AG616" s="121"/>
      <c r="AH616" s="120"/>
    </row>
    <row r="617" spans="1:34" ht="13.2" x14ac:dyDescent="0.25">
      <c r="A617" s="81"/>
      <c r="B617" s="81"/>
      <c r="C617" s="81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  <c r="AB617" s="121"/>
      <c r="AC617" s="121"/>
      <c r="AD617" s="121"/>
      <c r="AE617" s="121"/>
      <c r="AF617" s="121"/>
      <c r="AG617" s="121"/>
      <c r="AH617" s="120"/>
    </row>
    <row r="618" spans="1:34" ht="13.2" x14ac:dyDescent="0.25">
      <c r="A618" s="81"/>
      <c r="B618" s="81"/>
      <c r="C618" s="81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  <c r="AB618" s="121"/>
      <c r="AC618" s="121"/>
      <c r="AD618" s="121"/>
      <c r="AE618" s="121"/>
      <c r="AF618" s="121"/>
      <c r="AG618" s="121"/>
      <c r="AH618" s="120"/>
    </row>
    <row r="619" spans="1:34" ht="13.2" x14ac:dyDescent="0.25">
      <c r="A619" s="81"/>
      <c r="B619" s="81"/>
      <c r="C619" s="81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  <c r="AB619" s="121"/>
      <c r="AC619" s="121"/>
      <c r="AD619" s="121"/>
      <c r="AE619" s="121"/>
      <c r="AF619" s="121"/>
      <c r="AG619" s="121"/>
      <c r="AH619" s="120"/>
    </row>
    <row r="620" spans="1:34" ht="13.2" x14ac:dyDescent="0.25">
      <c r="A620" s="81"/>
      <c r="B620" s="81"/>
      <c r="C620" s="81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  <c r="AB620" s="121"/>
      <c r="AC620" s="121"/>
      <c r="AD620" s="121"/>
      <c r="AE620" s="121"/>
      <c r="AF620" s="121"/>
      <c r="AG620" s="121"/>
      <c r="AH620" s="120"/>
    </row>
    <row r="621" spans="1:34" ht="13.2" x14ac:dyDescent="0.25">
      <c r="A621" s="81"/>
      <c r="B621" s="81"/>
      <c r="C621" s="81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  <c r="AB621" s="121"/>
      <c r="AC621" s="121"/>
      <c r="AD621" s="121"/>
      <c r="AE621" s="121"/>
      <c r="AF621" s="121"/>
      <c r="AG621" s="121"/>
      <c r="AH621" s="120"/>
    </row>
    <row r="622" spans="1:34" ht="13.2" x14ac:dyDescent="0.25">
      <c r="A622" s="81"/>
      <c r="B622" s="81"/>
      <c r="C622" s="81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  <c r="Z622" s="81"/>
      <c r="AA622" s="81"/>
      <c r="AB622" s="121"/>
      <c r="AC622" s="121"/>
      <c r="AD622" s="121"/>
      <c r="AE622" s="121"/>
      <c r="AF622" s="121"/>
      <c r="AG622" s="121"/>
      <c r="AH622" s="120"/>
    </row>
    <row r="623" spans="1:34" ht="13.2" x14ac:dyDescent="0.25">
      <c r="A623" s="81"/>
      <c r="B623" s="81"/>
      <c r="C623" s="81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  <c r="Z623" s="81"/>
      <c r="AA623" s="81"/>
      <c r="AB623" s="121"/>
      <c r="AC623" s="121"/>
      <c r="AD623" s="121"/>
      <c r="AE623" s="121"/>
      <c r="AF623" s="121"/>
      <c r="AG623" s="121"/>
      <c r="AH623" s="120"/>
    </row>
    <row r="624" spans="1:34" ht="13.2" x14ac:dyDescent="0.25">
      <c r="A624" s="81"/>
      <c r="B624" s="81"/>
      <c r="C624" s="81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  <c r="Z624" s="81"/>
      <c r="AA624" s="81"/>
      <c r="AB624" s="121"/>
      <c r="AC624" s="121"/>
      <c r="AD624" s="121"/>
      <c r="AE624" s="121"/>
      <c r="AF624" s="121"/>
      <c r="AG624" s="121"/>
      <c r="AH624" s="120"/>
    </row>
    <row r="625" spans="1:34" ht="13.2" x14ac:dyDescent="0.25">
      <c r="A625" s="81"/>
      <c r="B625" s="81"/>
      <c r="C625" s="81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  <c r="Z625" s="81"/>
      <c r="AA625" s="81"/>
      <c r="AB625" s="121"/>
      <c r="AC625" s="121"/>
      <c r="AD625" s="121"/>
      <c r="AE625" s="121"/>
      <c r="AF625" s="121"/>
      <c r="AG625" s="121"/>
      <c r="AH625" s="120"/>
    </row>
    <row r="626" spans="1:34" ht="13.2" x14ac:dyDescent="0.25">
      <c r="A626" s="81"/>
      <c r="B626" s="81"/>
      <c r="C626" s="81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  <c r="Z626" s="81"/>
      <c r="AA626" s="81"/>
      <c r="AB626" s="121"/>
      <c r="AC626" s="121"/>
      <c r="AD626" s="121"/>
      <c r="AE626" s="121"/>
      <c r="AF626" s="121"/>
      <c r="AG626" s="121"/>
      <c r="AH626" s="120"/>
    </row>
    <row r="627" spans="1:34" ht="13.2" x14ac:dyDescent="0.25">
      <c r="A627" s="81"/>
      <c r="B627" s="81"/>
      <c r="C627" s="81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  <c r="Z627" s="81"/>
      <c r="AA627" s="81"/>
      <c r="AB627" s="121"/>
      <c r="AC627" s="121"/>
      <c r="AD627" s="121"/>
      <c r="AE627" s="121"/>
      <c r="AF627" s="121"/>
      <c r="AG627" s="121"/>
      <c r="AH627" s="120"/>
    </row>
    <row r="628" spans="1:34" ht="13.2" x14ac:dyDescent="0.25">
      <c r="A628" s="81"/>
      <c r="B628" s="81"/>
      <c r="C628" s="81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1"/>
      <c r="Y628" s="81"/>
      <c r="Z628" s="81"/>
      <c r="AA628" s="81"/>
      <c r="AB628" s="121"/>
      <c r="AC628" s="121"/>
      <c r="AD628" s="121"/>
      <c r="AE628" s="121"/>
      <c r="AF628" s="121"/>
      <c r="AG628" s="121"/>
      <c r="AH628" s="120"/>
    </row>
    <row r="629" spans="1:34" ht="13.2" x14ac:dyDescent="0.25">
      <c r="A629" s="81"/>
      <c r="B629" s="81"/>
      <c r="C629" s="81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1"/>
      <c r="Y629" s="81"/>
      <c r="Z629" s="81"/>
      <c r="AA629" s="81"/>
      <c r="AB629" s="121"/>
      <c r="AC629" s="121"/>
      <c r="AD629" s="121"/>
      <c r="AE629" s="121"/>
      <c r="AF629" s="121"/>
      <c r="AG629" s="121"/>
      <c r="AH629" s="120"/>
    </row>
    <row r="630" spans="1:34" ht="13.2" x14ac:dyDescent="0.25">
      <c r="A630" s="81"/>
      <c r="B630" s="81"/>
      <c r="C630" s="81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1"/>
      <c r="Y630" s="81"/>
      <c r="Z630" s="81"/>
      <c r="AA630" s="81"/>
      <c r="AB630" s="121"/>
      <c r="AC630" s="121"/>
      <c r="AD630" s="121"/>
      <c r="AE630" s="121"/>
      <c r="AF630" s="121"/>
      <c r="AG630" s="121"/>
      <c r="AH630" s="120"/>
    </row>
    <row r="631" spans="1:34" ht="13.2" x14ac:dyDescent="0.25">
      <c r="A631" s="81"/>
      <c r="B631" s="81"/>
      <c r="C631" s="81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1"/>
      <c r="Y631" s="81"/>
      <c r="Z631" s="81"/>
      <c r="AA631" s="81"/>
      <c r="AB631" s="121"/>
      <c r="AC631" s="121"/>
      <c r="AD631" s="121"/>
      <c r="AE631" s="121"/>
      <c r="AF631" s="121"/>
      <c r="AG631" s="121"/>
      <c r="AH631" s="120"/>
    </row>
    <row r="632" spans="1:34" ht="13.2" x14ac:dyDescent="0.25">
      <c r="A632" s="81"/>
      <c r="B632" s="81"/>
      <c r="C632" s="81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1"/>
      <c r="Y632" s="81"/>
      <c r="Z632" s="81"/>
      <c r="AA632" s="81"/>
      <c r="AB632" s="121"/>
      <c r="AC632" s="121"/>
      <c r="AD632" s="121"/>
      <c r="AE632" s="121"/>
      <c r="AF632" s="121"/>
      <c r="AG632" s="121"/>
      <c r="AH632" s="120"/>
    </row>
    <row r="633" spans="1:34" ht="13.2" x14ac:dyDescent="0.25">
      <c r="A633" s="81"/>
      <c r="B633" s="81"/>
      <c r="C633" s="81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1"/>
      <c r="Y633" s="81"/>
      <c r="Z633" s="81"/>
      <c r="AA633" s="81"/>
      <c r="AB633" s="121"/>
      <c r="AC633" s="121"/>
      <c r="AD633" s="121"/>
      <c r="AE633" s="121"/>
      <c r="AF633" s="121"/>
      <c r="AG633" s="121"/>
      <c r="AH633" s="120"/>
    </row>
    <row r="634" spans="1:34" ht="13.2" x14ac:dyDescent="0.25">
      <c r="A634" s="81"/>
      <c r="B634" s="81"/>
      <c r="C634" s="81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1"/>
      <c r="Y634" s="81"/>
      <c r="Z634" s="81"/>
      <c r="AA634" s="81"/>
      <c r="AB634" s="121"/>
      <c r="AC634" s="121"/>
      <c r="AD634" s="121"/>
      <c r="AE634" s="121"/>
      <c r="AF634" s="121"/>
      <c r="AG634" s="121"/>
      <c r="AH634" s="120"/>
    </row>
    <row r="635" spans="1:34" ht="13.2" x14ac:dyDescent="0.25">
      <c r="A635" s="81"/>
      <c r="B635" s="81"/>
      <c r="C635" s="81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1"/>
      <c r="Y635" s="81"/>
      <c r="Z635" s="81"/>
      <c r="AA635" s="81"/>
      <c r="AB635" s="121"/>
      <c r="AC635" s="121"/>
      <c r="AD635" s="121"/>
      <c r="AE635" s="121"/>
      <c r="AF635" s="121"/>
      <c r="AG635" s="121"/>
      <c r="AH635" s="120"/>
    </row>
    <row r="636" spans="1:34" ht="13.2" x14ac:dyDescent="0.25">
      <c r="A636" s="81"/>
      <c r="B636" s="81"/>
      <c r="C636" s="81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1"/>
      <c r="Y636" s="81"/>
      <c r="Z636" s="81"/>
      <c r="AA636" s="81"/>
      <c r="AB636" s="121"/>
      <c r="AC636" s="121"/>
      <c r="AD636" s="121"/>
      <c r="AE636" s="121"/>
      <c r="AF636" s="121"/>
      <c r="AG636" s="121"/>
      <c r="AH636" s="120"/>
    </row>
    <row r="637" spans="1:34" ht="13.2" x14ac:dyDescent="0.25">
      <c r="A637" s="81"/>
      <c r="B637" s="81"/>
      <c r="C637" s="81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1"/>
      <c r="Y637" s="81"/>
      <c r="Z637" s="81"/>
      <c r="AA637" s="81"/>
      <c r="AB637" s="121"/>
      <c r="AC637" s="121"/>
      <c r="AD637" s="121"/>
      <c r="AE637" s="121"/>
      <c r="AF637" s="121"/>
      <c r="AG637" s="121"/>
      <c r="AH637" s="120"/>
    </row>
    <row r="638" spans="1:34" ht="13.2" x14ac:dyDescent="0.25">
      <c r="A638" s="81"/>
      <c r="B638" s="81"/>
      <c r="C638" s="81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1"/>
      <c r="Y638" s="81"/>
      <c r="Z638" s="81"/>
      <c r="AA638" s="81"/>
      <c r="AB638" s="121"/>
      <c r="AC638" s="121"/>
      <c r="AD638" s="121"/>
      <c r="AE638" s="121"/>
      <c r="AF638" s="121"/>
      <c r="AG638" s="121"/>
      <c r="AH638" s="120"/>
    </row>
    <row r="639" spans="1:34" ht="13.2" x14ac:dyDescent="0.25">
      <c r="A639" s="81"/>
      <c r="B639" s="81"/>
      <c r="C639" s="81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1"/>
      <c r="Y639" s="81"/>
      <c r="Z639" s="81"/>
      <c r="AA639" s="81"/>
      <c r="AB639" s="121"/>
      <c r="AC639" s="121"/>
      <c r="AD639" s="121"/>
      <c r="AE639" s="121"/>
      <c r="AF639" s="121"/>
      <c r="AG639" s="121"/>
      <c r="AH639" s="120"/>
    </row>
    <row r="640" spans="1:34" ht="13.2" x14ac:dyDescent="0.25">
      <c r="A640" s="81"/>
      <c r="B640" s="81"/>
      <c r="C640" s="81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1"/>
      <c r="Y640" s="81"/>
      <c r="Z640" s="81"/>
      <c r="AA640" s="81"/>
      <c r="AB640" s="121"/>
      <c r="AC640" s="121"/>
      <c r="AD640" s="121"/>
      <c r="AE640" s="121"/>
      <c r="AF640" s="121"/>
      <c r="AG640" s="121"/>
      <c r="AH640" s="120"/>
    </row>
    <row r="641" spans="1:34" ht="13.2" x14ac:dyDescent="0.25">
      <c r="A641" s="81"/>
      <c r="B641" s="81"/>
      <c r="C641" s="81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1"/>
      <c r="Y641" s="81"/>
      <c r="Z641" s="81"/>
      <c r="AA641" s="81"/>
      <c r="AB641" s="121"/>
      <c r="AC641" s="121"/>
      <c r="AD641" s="121"/>
      <c r="AE641" s="121"/>
      <c r="AF641" s="121"/>
      <c r="AG641" s="121"/>
      <c r="AH641" s="120"/>
    </row>
    <row r="642" spans="1:34" ht="13.2" x14ac:dyDescent="0.25">
      <c r="A642" s="81"/>
      <c r="B642" s="81"/>
      <c r="C642" s="81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1"/>
      <c r="Y642" s="81"/>
      <c r="Z642" s="81"/>
      <c r="AA642" s="81"/>
      <c r="AB642" s="121"/>
      <c r="AC642" s="121"/>
      <c r="AD642" s="121"/>
      <c r="AE642" s="121"/>
      <c r="AF642" s="121"/>
      <c r="AG642" s="121"/>
      <c r="AH642" s="120"/>
    </row>
    <row r="643" spans="1:34" ht="13.2" x14ac:dyDescent="0.25">
      <c r="A643" s="81"/>
      <c r="B643" s="81"/>
      <c r="C643" s="81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1"/>
      <c r="Y643" s="81"/>
      <c r="Z643" s="81"/>
      <c r="AA643" s="81"/>
      <c r="AB643" s="121"/>
      <c r="AC643" s="121"/>
      <c r="AD643" s="121"/>
      <c r="AE643" s="121"/>
      <c r="AF643" s="121"/>
      <c r="AG643" s="121"/>
      <c r="AH643" s="120"/>
    </row>
    <row r="644" spans="1:34" ht="13.2" x14ac:dyDescent="0.25">
      <c r="A644" s="81"/>
      <c r="B644" s="81"/>
      <c r="C644" s="81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1"/>
      <c r="Y644" s="81"/>
      <c r="Z644" s="81"/>
      <c r="AA644" s="81"/>
      <c r="AB644" s="121"/>
      <c r="AC644" s="121"/>
      <c r="AD644" s="121"/>
      <c r="AE644" s="121"/>
      <c r="AF644" s="121"/>
      <c r="AG644" s="121"/>
      <c r="AH644" s="120"/>
    </row>
    <row r="645" spans="1:34" ht="13.2" x14ac:dyDescent="0.25">
      <c r="A645" s="81"/>
      <c r="B645" s="81"/>
      <c r="C645" s="81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1"/>
      <c r="Y645" s="81"/>
      <c r="Z645" s="81"/>
      <c r="AA645" s="81"/>
      <c r="AB645" s="121"/>
      <c r="AC645" s="121"/>
      <c r="AD645" s="121"/>
      <c r="AE645" s="121"/>
      <c r="AF645" s="121"/>
      <c r="AG645" s="121"/>
      <c r="AH645" s="120"/>
    </row>
    <row r="646" spans="1:34" ht="13.2" x14ac:dyDescent="0.25">
      <c r="A646" s="81"/>
      <c r="B646" s="81"/>
      <c r="C646" s="81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1"/>
      <c r="Y646" s="81"/>
      <c r="Z646" s="81"/>
      <c r="AA646" s="81"/>
      <c r="AB646" s="121"/>
      <c r="AC646" s="121"/>
      <c r="AD646" s="121"/>
      <c r="AE646" s="121"/>
      <c r="AF646" s="121"/>
      <c r="AG646" s="121"/>
      <c r="AH646" s="120"/>
    </row>
    <row r="647" spans="1:34" ht="13.2" x14ac:dyDescent="0.25">
      <c r="A647" s="81"/>
      <c r="B647" s="81"/>
      <c r="C647" s="81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1"/>
      <c r="Y647" s="81"/>
      <c r="Z647" s="81"/>
      <c r="AA647" s="81"/>
      <c r="AB647" s="121"/>
      <c r="AC647" s="121"/>
      <c r="AD647" s="121"/>
      <c r="AE647" s="121"/>
      <c r="AF647" s="121"/>
      <c r="AG647" s="121"/>
      <c r="AH647" s="120"/>
    </row>
    <row r="648" spans="1:34" ht="13.2" x14ac:dyDescent="0.25">
      <c r="A648" s="81"/>
      <c r="B648" s="81"/>
      <c r="C648" s="81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1"/>
      <c r="Y648" s="81"/>
      <c r="Z648" s="81"/>
      <c r="AA648" s="81"/>
      <c r="AB648" s="121"/>
      <c r="AC648" s="121"/>
      <c r="AD648" s="121"/>
      <c r="AE648" s="121"/>
      <c r="AF648" s="121"/>
      <c r="AG648" s="121"/>
      <c r="AH648" s="120"/>
    </row>
    <row r="649" spans="1:34" ht="13.2" x14ac:dyDescent="0.25">
      <c r="A649" s="81"/>
      <c r="B649" s="81"/>
      <c r="C649" s="81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1"/>
      <c r="Y649" s="81"/>
      <c r="Z649" s="81"/>
      <c r="AA649" s="81"/>
      <c r="AB649" s="121"/>
      <c r="AC649" s="121"/>
      <c r="AD649" s="121"/>
      <c r="AE649" s="121"/>
      <c r="AF649" s="121"/>
      <c r="AG649" s="121"/>
      <c r="AH649" s="120"/>
    </row>
    <row r="650" spans="1:34" ht="13.2" x14ac:dyDescent="0.25">
      <c r="A650" s="81"/>
      <c r="B650" s="81"/>
      <c r="C650" s="81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1"/>
      <c r="Y650" s="81"/>
      <c r="Z650" s="81"/>
      <c r="AA650" s="81"/>
      <c r="AB650" s="121"/>
      <c r="AC650" s="121"/>
      <c r="AD650" s="121"/>
      <c r="AE650" s="121"/>
      <c r="AF650" s="121"/>
      <c r="AG650" s="121"/>
      <c r="AH650" s="120"/>
    </row>
    <row r="651" spans="1:34" ht="13.2" x14ac:dyDescent="0.25">
      <c r="A651" s="81"/>
      <c r="B651" s="81"/>
      <c r="C651" s="81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1"/>
      <c r="Y651" s="81"/>
      <c r="Z651" s="81"/>
      <c r="AA651" s="81"/>
      <c r="AB651" s="121"/>
      <c r="AC651" s="121"/>
      <c r="AD651" s="121"/>
      <c r="AE651" s="121"/>
      <c r="AF651" s="121"/>
      <c r="AG651" s="121"/>
      <c r="AH651" s="120"/>
    </row>
    <row r="652" spans="1:34" ht="13.2" x14ac:dyDescent="0.25">
      <c r="A652" s="81"/>
      <c r="B652" s="81"/>
      <c r="C652" s="81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1"/>
      <c r="Y652" s="81"/>
      <c r="Z652" s="81"/>
      <c r="AA652" s="81"/>
      <c r="AB652" s="121"/>
      <c r="AC652" s="121"/>
      <c r="AD652" s="121"/>
      <c r="AE652" s="121"/>
      <c r="AF652" s="121"/>
      <c r="AG652" s="121"/>
      <c r="AH652" s="120"/>
    </row>
    <row r="653" spans="1:34" ht="13.2" x14ac:dyDescent="0.25">
      <c r="A653" s="81"/>
      <c r="B653" s="81"/>
      <c r="C653" s="81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1"/>
      <c r="Y653" s="81"/>
      <c r="Z653" s="81"/>
      <c r="AA653" s="81"/>
      <c r="AB653" s="121"/>
      <c r="AC653" s="121"/>
      <c r="AD653" s="121"/>
      <c r="AE653" s="121"/>
      <c r="AF653" s="121"/>
      <c r="AG653" s="121"/>
      <c r="AH653" s="120"/>
    </row>
    <row r="654" spans="1:34" ht="13.2" x14ac:dyDescent="0.25">
      <c r="A654" s="81"/>
      <c r="B654" s="81"/>
      <c r="C654" s="81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1"/>
      <c r="Y654" s="81"/>
      <c r="Z654" s="81"/>
      <c r="AA654" s="81"/>
      <c r="AB654" s="121"/>
      <c r="AC654" s="121"/>
      <c r="AD654" s="121"/>
      <c r="AE654" s="121"/>
      <c r="AF654" s="121"/>
      <c r="AG654" s="121"/>
      <c r="AH654" s="120"/>
    </row>
    <row r="655" spans="1:34" ht="13.2" x14ac:dyDescent="0.25">
      <c r="A655" s="81"/>
      <c r="B655" s="81"/>
      <c r="C655" s="81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1"/>
      <c r="Y655" s="81"/>
      <c r="Z655" s="81"/>
      <c r="AA655" s="81"/>
      <c r="AB655" s="121"/>
      <c r="AC655" s="121"/>
      <c r="AD655" s="121"/>
      <c r="AE655" s="121"/>
      <c r="AF655" s="121"/>
      <c r="AG655" s="121"/>
      <c r="AH655" s="120"/>
    </row>
    <row r="656" spans="1:34" ht="13.2" x14ac:dyDescent="0.25">
      <c r="A656" s="81"/>
      <c r="B656" s="81"/>
      <c r="C656" s="81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1"/>
      <c r="Y656" s="81"/>
      <c r="Z656" s="81"/>
      <c r="AA656" s="81"/>
      <c r="AB656" s="121"/>
      <c r="AC656" s="121"/>
      <c r="AD656" s="121"/>
      <c r="AE656" s="121"/>
      <c r="AF656" s="121"/>
      <c r="AG656" s="121"/>
      <c r="AH656" s="120"/>
    </row>
    <row r="657" spans="1:34" ht="13.2" x14ac:dyDescent="0.25">
      <c r="A657" s="81"/>
      <c r="B657" s="81"/>
      <c r="C657" s="81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1"/>
      <c r="Y657" s="81"/>
      <c r="Z657" s="81"/>
      <c r="AA657" s="81"/>
      <c r="AB657" s="121"/>
      <c r="AC657" s="121"/>
      <c r="AD657" s="121"/>
      <c r="AE657" s="121"/>
      <c r="AF657" s="121"/>
      <c r="AG657" s="121"/>
      <c r="AH657" s="120"/>
    </row>
    <row r="658" spans="1:34" ht="13.2" x14ac:dyDescent="0.25">
      <c r="A658" s="81"/>
      <c r="B658" s="81"/>
      <c r="C658" s="81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1"/>
      <c r="Y658" s="81"/>
      <c r="Z658" s="81"/>
      <c r="AA658" s="81"/>
      <c r="AB658" s="121"/>
      <c r="AC658" s="121"/>
      <c r="AD658" s="121"/>
      <c r="AE658" s="121"/>
      <c r="AF658" s="121"/>
      <c r="AG658" s="121"/>
      <c r="AH658" s="120"/>
    </row>
    <row r="659" spans="1:34" ht="13.2" x14ac:dyDescent="0.25">
      <c r="A659" s="81"/>
      <c r="B659" s="81"/>
      <c r="C659" s="81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1"/>
      <c r="Y659" s="81"/>
      <c r="Z659" s="81"/>
      <c r="AA659" s="81"/>
      <c r="AB659" s="121"/>
      <c r="AC659" s="121"/>
      <c r="AD659" s="121"/>
      <c r="AE659" s="121"/>
      <c r="AF659" s="121"/>
      <c r="AG659" s="121"/>
      <c r="AH659" s="120"/>
    </row>
    <row r="660" spans="1:34" ht="13.2" x14ac:dyDescent="0.25">
      <c r="A660" s="81"/>
      <c r="B660" s="81"/>
      <c r="C660" s="81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1"/>
      <c r="Y660" s="81"/>
      <c r="Z660" s="81"/>
      <c r="AA660" s="81"/>
      <c r="AB660" s="121"/>
      <c r="AC660" s="121"/>
      <c r="AD660" s="121"/>
      <c r="AE660" s="121"/>
      <c r="AF660" s="121"/>
      <c r="AG660" s="121"/>
      <c r="AH660" s="120"/>
    </row>
    <row r="661" spans="1:34" ht="13.2" x14ac:dyDescent="0.25">
      <c r="A661" s="81"/>
      <c r="B661" s="81"/>
      <c r="C661" s="81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1"/>
      <c r="Y661" s="81"/>
      <c r="Z661" s="81"/>
      <c r="AA661" s="81"/>
      <c r="AB661" s="121"/>
      <c r="AC661" s="121"/>
      <c r="AD661" s="121"/>
      <c r="AE661" s="121"/>
      <c r="AF661" s="121"/>
      <c r="AG661" s="121"/>
      <c r="AH661" s="120"/>
    </row>
    <row r="662" spans="1:34" ht="13.2" x14ac:dyDescent="0.25">
      <c r="A662" s="81"/>
      <c r="B662" s="81"/>
      <c r="C662" s="81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1"/>
      <c r="Y662" s="81"/>
      <c r="Z662" s="81"/>
      <c r="AA662" s="81"/>
      <c r="AB662" s="121"/>
      <c r="AC662" s="121"/>
      <c r="AD662" s="121"/>
      <c r="AE662" s="121"/>
      <c r="AF662" s="121"/>
      <c r="AG662" s="121"/>
      <c r="AH662" s="120"/>
    </row>
    <row r="663" spans="1:34" ht="13.2" x14ac:dyDescent="0.25">
      <c r="A663" s="81"/>
      <c r="B663" s="81"/>
      <c r="C663" s="81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1"/>
      <c r="Y663" s="81"/>
      <c r="Z663" s="81"/>
      <c r="AA663" s="81"/>
      <c r="AB663" s="121"/>
      <c r="AC663" s="121"/>
      <c r="AD663" s="121"/>
      <c r="AE663" s="121"/>
      <c r="AF663" s="121"/>
      <c r="AG663" s="121"/>
      <c r="AH663" s="120"/>
    </row>
    <row r="664" spans="1:34" ht="13.2" x14ac:dyDescent="0.25">
      <c r="A664" s="81"/>
      <c r="B664" s="81"/>
      <c r="C664" s="81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1"/>
      <c r="Y664" s="81"/>
      <c r="Z664" s="81"/>
      <c r="AA664" s="81"/>
      <c r="AB664" s="121"/>
      <c r="AC664" s="121"/>
      <c r="AD664" s="121"/>
      <c r="AE664" s="121"/>
      <c r="AF664" s="121"/>
      <c r="AG664" s="121"/>
      <c r="AH664" s="120"/>
    </row>
    <row r="665" spans="1:34" ht="13.2" x14ac:dyDescent="0.25">
      <c r="A665" s="81"/>
      <c r="B665" s="81"/>
      <c r="C665" s="81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1"/>
      <c r="Y665" s="81"/>
      <c r="Z665" s="81"/>
      <c r="AA665" s="81"/>
      <c r="AB665" s="121"/>
      <c r="AC665" s="121"/>
      <c r="AD665" s="121"/>
      <c r="AE665" s="121"/>
      <c r="AF665" s="121"/>
      <c r="AG665" s="121"/>
      <c r="AH665" s="120"/>
    </row>
    <row r="666" spans="1:34" ht="13.2" x14ac:dyDescent="0.25">
      <c r="A666" s="81"/>
      <c r="B666" s="81"/>
      <c r="C666" s="81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1"/>
      <c r="Y666" s="81"/>
      <c r="Z666" s="81"/>
      <c r="AA666" s="81"/>
      <c r="AB666" s="121"/>
      <c r="AC666" s="121"/>
      <c r="AD666" s="121"/>
      <c r="AE666" s="121"/>
      <c r="AF666" s="121"/>
      <c r="AG666" s="121"/>
      <c r="AH666" s="120"/>
    </row>
    <row r="667" spans="1:34" ht="13.2" x14ac:dyDescent="0.25">
      <c r="A667" s="81"/>
      <c r="B667" s="81"/>
      <c r="C667" s="81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1"/>
      <c r="Y667" s="81"/>
      <c r="Z667" s="81"/>
      <c r="AA667" s="81"/>
      <c r="AB667" s="121"/>
      <c r="AC667" s="121"/>
      <c r="AD667" s="121"/>
      <c r="AE667" s="121"/>
      <c r="AF667" s="121"/>
      <c r="AG667" s="121"/>
      <c r="AH667" s="120"/>
    </row>
    <row r="668" spans="1:34" ht="13.2" x14ac:dyDescent="0.25">
      <c r="A668" s="81"/>
      <c r="B668" s="81"/>
      <c r="C668" s="81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1"/>
      <c r="Y668" s="81"/>
      <c r="Z668" s="81"/>
      <c r="AA668" s="81"/>
      <c r="AB668" s="121"/>
      <c r="AC668" s="121"/>
      <c r="AD668" s="121"/>
      <c r="AE668" s="121"/>
      <c r="AF668" s="121"/>
      <c r="AG668" s="121"/>
      <c r="AH668" s="120"/>
    </row>
    <row r="669" spans="1:34" ht="13.2" x14ac:dyDescent="0.25">
      <c r="A669" s="81"/>
      <c r="B669" s="81"/>
      <c r="C669" s="81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1"/>
      <c r="Y669" s="81"/>
      <c r="Z669" s="81"/>
      <c r="AA669" s="81"/>
      <c r="AB669" s="121"/>
      <c r="AC669" s="121"/>
      <c r="AD669" s="121"/>
      <c r="AE669" s="121"/>
      <c r="AF669" s="121"/>
      <c r="AG669" s="121"/>
      <c r="AH669" s="120"/>
    </row>
    <row r="670" spans="1:34" ht="13.2" x14ac:dyDescent="0.25">
      <c r="A670" s="81"/>
      <c r="B670" s="81"/>
      <c r="C670" s="81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1"/>
      <c r="Y670" s="81"/>
      <c r="Z670" s="81"/>
      <c r="AA670" s="81"/>
      <c r="AB670" s="121"/>
      <c r="AC670" s="121"/>
      <c r="AD670" s="121"/>
      <c r="AE670" s="121"/>
      <c r="AF670" s="121"/>
      <c r="AG670" s="121"/>
      <c r="AH670" s="120"/>
    </row>
    <row r="671" spans="1:34" ht="13.2" x14ac:dyDescent="0.25">
      <c r="A671" s="81"/>
      <c r="B671" s="81"/>
      <c r="C671" s="81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1"/>
      <c r="Y671" s="81"/>
      <c r="Z671" s="81"/>
      <c r="AA671" s="81"/>
      <c r="AB671" s="121"/>
      <c r="AC671" s="121"/>
      <c r="AD671" s="121"/>
      <c r="AE671" s="121"/>
      <c r="AF671" s="121"/>
      <c r="AG671" s="121"/>
      <c r="AH671" s="120"/>
    </row>
    <row r="672" spans="1:34" ht="13.2" x14ac:dyDescent="0.25">
      <c r="A672" s="81"/>
      <c r="B672" s="81"/>
      <c r="C672" s="81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1"/>
      <c r="Y672" s="81"/>
      <c r="Z672" s="81"/>
      <c r="AA672" s="81"/>
      <c r="AB672" s="121"/>
      <c r="AC672" s="121"/>
      <c r="AD672" s="121"/>
      <c r="AE672" s="121"/>
      <c r="AF672" s="121"/>
      <c r="AG672" s="121"/>
      <c r="AH672" s="120"/>
    </row>
    <row r="673" spans="1:34" ht="13.2" x14ac:dyDescent="0.25">
      <c r="A673" s="81"/>
      <c r="B673" s="81"/>
      <c r="C673" s="81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1"/>
      <c r="Y673" s="81"/>
      <c r="Z673" s="81"/>
      <c r="AA673" s="81"/>
      <c r="AB673" s="121"/>
      <c r="AC673" s="121"/>
      <c r="AD673" s="121"/>
      <c r="AE673" s="121"/>
      <c r="AF673" s="121"/>
      <c r="AG673" s="121"/>
      <c r="AH673" s="120"/>
    </row>
    <row r="674" spans="1:34" ht="13.2" x14ac:dyDescent="0.25">
      <c r="A674" s="81"/>
      <c r="B674" s="81"/>
      <c r="C674" s="81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1"/>
      <c r="Y674" s="81"/>
      <c r="Z674" s="81"/>
      <c r="AA674" s="81"/>
      <c r="AB674" s="121"/>
      <c r="AC674" s="121"/>
      <c r="AD674" s="121"/>
      <c r="AE674" s="121"/>
      <c r="AF674" s="121"/>
      <c r="AG674" s="121"/>
      <c r="AH674" s="120"/>
    </row>
    <row r="675" spans="1:34" ht="13.2" x14ac:dyDescent="0.25">
      <c r="A675" s="81"/>
      <c r="B675" s="81"/>
      <c r="C675" s="81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1"/>
      <c r="Y675" s="81"/>
      <c r="Z675" s="81"/>
      <c r="AA675" s="81"/>
      <c r="AB675" s="121"/>
      <c r="AC675" s="121"/>
      <c r="AD675" s="121"/>
      <c r="AE675" s="121"/>
      <c r="AF675" s="121"/>
      <c r="AG675" s="121"/>
      <c r="AH675" s="120"/>
    </row>
    <row r="676" spans="1:34" ht="13.2" x14ac:dyDescent="0.25">
      <c r="A676" s="81"/>
      <c r="B676" s="81"/>
      <c r="C676" s="81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1"/>
      <c r="Y676" s="81"/>
      <c r="Z676" s="81"/>
      <c r="AA676" s="81"/>
      <c r="AB676" s="121"/>
      <c r="AC676" s="121"/>
      <c r="AD676" s="121"/>
      <c r="AE676" s="121"/>
      <c r="AF676" s="121"/>
      <c r="AG676" s="121"/>
      <c r="AH676" s="120"/>
    </row>
    <row r="677" spans="1:34" ht="13.2" x14ac:dyDescent="0.25">
      <c r="A677" s="81"/>
      <c r="B677" s="81"/>
      <c r="C677" s="81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1"/>
      <c r="Y677" s="81"/>
      <c r="Z677" s="81"/>
      <c r="AA677" s="81"/>
      <c r="AB677" s="121"/>
      <c r="AC677" s="121"/>
      <c r="AD677" s="121"/>
      <c r="AE677" s="121"/>
      <c r="AF677" s="121"/>
      <c r="AG677" s="121"/>
      <c r="AH677" s="120"/>
    </row>
    <row r="678" spans="1:34" ht="13.2" x14ac:dyDescent="0.25">
      <c r="A678" s="81"/>
      <c r="B678" s="81"/>
      <c r="C678" s="81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1"/>
      <c r="Y678" s="81"/>
      <c r="Z678" s="81"/>
      <c r="AA678" s="81"/>
      <c r="AB678" s="121"/>
      <c r="AC678" s="121"/>
      <c r="AD678" s="121"/>
      <c r="AE678" s="121"/>
      <c r="AF678" s="121"/>
      <c r="AG678" s="121"/>
      <c r="AH678" s="120"/>
    </row>
    <row r="679" spans="1:34" ht="13.2" x14ac:dyDescent="0.25">
      <c r="A679" s="81"/>
      <c r="B679" s="81"/>
      <c r="C679" s="81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1"/>
      <c r="Y679" s="81"/>
      <c r="Z679" s="81"/>
      <c r="AA679" s="81"/>
      <c r="AB679" s="121"/>
      <c r="AC679" s="121"/>
      <c r="AD679" s="121"/>
      <c r="AE679" s="121"/>
      <c r="AF679" s="121"/>
      <c r="AG679" s="121"/>
      <c r="AH679" s="120"/>
    </row>
    <row r="680" spans="1:34" ht="13.2" x14ac:dyDescent="0.25">
      <c r="A680" s="81"/>
      <c r="B680" s="81"/>
      <c r="C680" s="81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1"/>
      <c r="Y680" s="81"/>
      <c r="Z680" s="81"/>
      <c r="AA680" s="81"/>
      <c r="AB680" s="121"/>
      <c r="AC680" s="121"/>
      <c r="AD680" s="121"/>
      <c r="AE680" s="121"/>
      <c r="AF680" s="121"/>
      <c r="AG680" s="121"/>
      <c r="AH680" s="120"/>
    </row>
    <row r="681" spans="1:34" ht="13.2" x14ac:dyDescent="0.25">
      <c r="A681" s="81"/>
      <c r="B681" s="81"/>
      <c r="C681" s="81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1"/>
      <c r="Y681" s="81"/>
      <c r="Z681" s="81"/>
      <c r="AA681" s="81"/>
      <c r="AB681" s="121"/>
      <c r="AC681" s="121"/>
      <c r="AD681" s="121"/>
      <c r="AE681" s="121"/>
      <c r="AF681" s="121"/>
      <c r="AG681" s="121"/>
      <c r="AH681" s="120"/>
    </row>
    <row r="682" spans="1:34" ht="13.2" x14ac:dyDescent="0.25">
      <c r="A682" s="81"/>
      <c r="B682" s="81"/>
      <c r="C682" s="81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1"/>
      <c r="Y682" s="81"/>
      <c r="Z682" s="81"/>
      <c r="AA682" s="81"/>
      <c r="AB682" s="121"/>
      <c r="AC682" s="121"/>
      <c r="AD682" s="121"/>
      <c r="AE682" s="121"/>
      <c r="AF682" s="121"/>
      <c r="AG682" s="121"/>
      <c r="AH682" s="120"/>
    </row>
    <row r="683" spans="1:34" ht="13.2" x14ac:dyDescent="0.25">
      <c r="A683" s="81"/>
      <c r="B683" s="81"/>
      <c r="C683" s="81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1"/>
      <c r="Y683" s="81"/>
      <c r="Z683" s="81"/>
      <c r="AA683" s="81"/>
      <c r="AB683" s="121"/>
      <c r="AC683" s="121"/>
      <c r="AD683" s="121"/>
      <c r="AE683" s="121"/>
      <c r="AF683" s="121"/>
      <c r="AG683" s="121"/>
      <c r="AH683" s="120"/>
    </row>
    <row r="684" spans="1:34" ht="13.2" x14ac:dyDescent="0.25">
      <c r="A684" s="81"/>
      <c r="B684" s="81"/>
      <c r="C684" s="81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1"/>
      <c r="Y684" s="81"/>
      <c r="Z684" s="81"/>
      <c r="AA684" s="81"/>
      <c r="AB684" s="121"/>
      <c r="AC684" s="121"/>
      <c r="AD684" s="121"/>
      <c r="AE684" s="121"/>
      <c r="AF684" s="121"/>
      <c r="AG684" s="121"/>
      <c r="AH684" s="120"/>
    </row>
    <row r="685" spans="1:34" ht="13.2" x14ac:dyDescent="0.25">
      <c r="A685" s="81"/>
      <c r="B685" s="81"/>
      <c r="C685" s="81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1"/>
      <c r="Y685" s="81"/>
      <c r="Z685" s="81"/>
      <c r="AA685" s="81"/>
      <c r="AB685" s="121"/>
      <c r="AC685" s="121"/>
      <c r="AD685" s="121"/>
      <c r="AE685" s="121"/>
      <c r="AF685" s="121"/>
      <c r="AG685" s="121"/>
      <c r="AH685" s="120"/>
    </row>
    <row r="686" spans="1:34" ht="13.2" x14ac:dyDescent="0.25">
      <c r="A686" s="81"/>
      <c r="B686" s="81"/>
      <c r="C686" s="81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1"/>
      <c r="Y686" s="81"/>
      <c r="Z686" s="81"/>
      <c r="AA686" s="81"/>
      <c r="AB686" s="121"/>
      <c r="AC686" s="121"/>
      <c r="AD686" s="121"/>
      <c r="AE686" s="121"/>
      <c r="AF686" s="121"/>
      <c r="AG686" s="121"/>
      <c r="AH686" s="120"/>
    </row>
    <row r="687" spans="1:34" ht="13.2" x14ac:dyDescent="0.25">
      <c r="A687" s="81"/>
      <c r="B687" s="81"/>
      <c r="C687" s="81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1"/>
      <c r="Y687" s="81"/>
      <c r="Z687" s="81"/>
      <c r="AA687" s="81"/>
      <c r="AB687" s="121"/>
      <c r="AC687" s="121"/>
      <c r="AD687" s="121"/>
      <c r="AE687" s="121"/>
      <c r="AF687" s="121"/>
      <c r="AG687" s="121"/>
      <c r="AH687" s="120"/>
    </row>
    <row r="688" spans="1:34" ht="13.2" x14ac:dyDescent="0.25">
      <c r="A688" s="81"/>
      <c r="B688" s="81"/>
      <c r="C688" s="81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1"/>
      <c r="Y688" s="81"/>
      <c r="Z688" s="81"/>
      <c r="AA688" s="81"/>
      <c r="AB688" s="121"/>
      <c r="AC688" s="121"/>
      <c r="AD688" s="121"/>
      <c r="AE688" s="121"/>
      <c r="AF688" s="121"/>
      <c r="AG688" s="121"/>
      <c r="AH688" s="120"/>
    </row>
    <row r="689" spans="1:34" ht="13.2" x14ac:dyDescent="0.25">
      <c r="A689" s="81"/>
      <c r="B689" s="81"/>
      <c r="C689" s="81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1"/>
      <c r="Y689" s="81"/>
      <c r="Z689" s="81"/>
      <c r="AA689" s="81"/>
      <c r="AB689" s="121"/>
      <c r="AC689" s="121"/>
      <c r="AD689" s="121"/>
      <c r="AE689" s="121"/>
      <c r="AF689" s="121"/>
      <c r="AG689" s="121"/>
      <c r="AH689" s="120"/>
    </row>
    <row r="690" spans="1:34" ht="13.2" x14ac:dyDescent="0.25">
      <c r="A690" s="81"/>
      <c r="B690" s="81"/>
      <c r="C690" s="81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1"/>
      <c r="Y690" s="81"/>
      <c r="Z690" s="81"/>
      <c r="AA690" s="81"/>
      <c r="AB690" s="121"/>
      <c r="AC690" s="121"/>
      <c r="AD690" s="121"/>
      <c r="AE690" s="121"/>
      <c r="AF690" s="121"/>
      <c r="AG690" s="121"/>
      <c r="AH690" s="120"/>
    </row>
    <row r="691" spans="1:34" ht="13.2" x14ac:dyDescent="0.25">
      <c r="A691" s="81"/>
      <c r="B691" s="81"/>
      <c r="C691" s="81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1"/>
      <c r="Y691" s="81"/>
      <c r="Z691" s="81"/>
      <c r="AA691" s="81"/>
      <c r="AB691" s="121"/>
      <c r="AC691" s="121"/>
      <c r="AD691" s="121"/>
      <c r="AE691" s="121"/>
      <c r="AF691" s="121"/>
      <c r="AG691" s="121"/>
      <c r="AH691" s="120"/>
    </row>
    <row r="692" spans="1:34" ht="13.2" x14ac:dyDescent="0.25">
      <c r="A692" s="81"/>
      <c r="B692" s="81"/>
      <c r="C692" s="81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1"/>
      <c r="Y692" s="81"/>
      <c r="Z692" s="81"/>
      <c r="AA692" s="81"/>
      <c r="AB692" s="121"/>
      <c r="AC692" s="121"/>
      <c r="AD692" s="121"/>
      <c r="AE692" s="121"/>
      <c r="AF692" s="121"/>
      <c r="AG692" s="121"/>
      <c r="AH692" s="120"/>
    </row>
    <row r="693" spans="1:34" ht="13.2" x14ac:dyDescent="0.25">
      <c r="A693" s="81"/>
      <c r="B693" s="81"/>
      <c r="C693" s="81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1"/>
      <c r="Y693" s="81"/>
      <c r="Z693" s="81"/>
      <c r="AA693" s="81"/>
      <c r="AB693" s="121"/>
      <c r="AC693" s="121"/>
      <c r="AD693" s="121"/>
      <c r="AE693" s="121"/>
      <c r="AF693" s="121"/>
      <c r="AG693" s="121"/>
      <c r="AH693" s="120"/>
    </row>
    <row r="694" spans="1:34" ht="13.2" x14ac:dyDescent="0.25">
      <c r="A694" s="81"/>
      <c r="B694" s="81"/>
      <c r="C694" s="81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1"/>
      <c r="Y694" s="81"/>
      <c r="Z694" s="81"/>
      <c r="AA694" s="81"/>
      <c r="AB694" s="121"/>
      <c r="AC694" s="121"/>
      <c r="AD694" s="121"/>
      <c r="AE694" s="121"/>
      <c r="AF694" s="121"/>
      <c r="AG694" s="121"/>
      <c r="AH694" s="120"/>
    </row>
    <row r="695" spans="1:34" ht="13.2" x14ac:dyDescent="0.25">
      <c r="A695" s="81"/>
      <c r="B695" s="81"/>
      <c r="C695" s="81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1"/>
      <c r="Y695" s="81"/>
      <c r="Z695" s="81"/>
      <c r="AA695" s="81"/>
      <c r="AB695" s="121"/>
      <c r="AC695" s="121"/>
      <c r="AD695" s="121"/>
      <c r="AE695" s="121"/>
      <c r="AF695" s="121"/>
      <c r="AG695" s="121"/>
      <c r="AH695" s="120"/>
    </row>
    <row r="696" spans="1:34" ht="13.2" x14ac:dyDescent="0.25">
      <c r="A696" s="81"/>
      <c r="B696" s="81"/>
      <c r="C696" s="81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1"/>
      <c r="Y696" s="81"/>
      <c r="Z696" s="81"/>
      <c r="AA696" s="81"/>
      <c r="AB696" s="121"/>
      <c r="AC696" s="121"/>
      <c r="AD696" s="121"/>
      <c r="AE696" s="121"/>
      <c r="AF696" s="121"/>
      <c r="AG696" s="121"/>
      <c r="AH696" s="120"/>
    </row>
    <row r="697" spans="1:34" ht="13.2" x14ac:dyDescent="0.25">
      <c r="A697" s="81"/>
      <c r="B697" s="81"/>
      <c r="C697" s="81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1"/>
      <c r="Y697" s="81"/>
      <c r="Z697" s="81"/>
      <c r="AA697" s="81"/>
      <c r="AB697" s="121"/>
      <c r="AC697" s="121"/>
      <c r="AD697" s="121"/>
      <c r="AE697" s="121"/>
      <c r="AF697" s="121"/>
      <c r="AG697" s="121"/>
      <c r="AH697" s="120"/>
    </row>
    <row r="698" spans="1:34" ht="13.2" x14ac:dyDescent="0.25">
      <c r="A698" s="81"/>
      <c r="B698" s="81"/>
      <c r="C698" s="81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1"/>
      <c r="Y698" s="81"/>
      <c r="Z698" s="81"/>
      <c r="AA698" s="81"/>
      <c r="AB698" s="121"/>
      <c r="AC698" s="121"/>
      <c r="AD698" s="121"/>
      <c r="AE698" s="121"/>
      <c r="AF698" s="121"/>
      <c r="AG698" s="121"/>
      <c r="AH698" s="120"/>
    </row>
    <row r="699" spans="1:34" ht="13.2" x14ac:dyDescent="0.25">
      <c r="A699" s="81"/>
      <c r="B699" s="81"/>
      <c r="C699" s="81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1"/>
      <c r="Y699" s="81"/>
      <c r="Z699" s="81"/>
      <c r="AA699" s="81"/>
      <c r="AB699" s="121"/>
      <c r="AC699" s="121"/>
      <c r="AD699" s="121"/>
      <c r="AE699" s="121"/>
      <c r="AF699" s="121"/>
      <c r="AG699" s="121"/>
      <c r="AH699" s="120"/>
    </row>
    <row r="700" spans="1:34" ht="13.2" x14ac:dyDescent="0.25">
      <c r="A700" s="81"/>
      <c r="B700" s="81"/>
      <c r="C700" s="81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1"/>
      <c r="Y700" s="81"/>
      <c r="Z700" s="81"/>
      <c r="AA700" s="81"/>
      <c r="AB700" s="121"/>
      <c r="AC700" s="121"/>
      <c r="AD700" s="121"/>
      <c r="AE700" s="121"/>
      <c r="AF700" s="121"/>
      <c r="AG700" s="121"/>
      <c r="AH700" s="120"/>
    </row>
    <row r="701" spans="1:34" ht="13.2" x14ac:dyDescent="0.25">
      <c r="A701" s="81"/>
      <c r="B701" s="81"/>
      <c r="C701" s="81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1"/>
      <c r="Y701" s="81"/>
      <c r="Z701" s="81"/>
      <c r="AA701" s="81"/>
      <c r="AB701" s="121"/>
      <c r="AC701" s="121"/>
      <c r="AD701" s="121"/>
      <c r="AE701" s="121"/>
      <c r="AF701" s="121"/>
      <c r="AG701" s="121"/>
      <c r="AH701" s="120"/>
    </row>
    <row r="702" spans="1:34" ht="13.2" x14ac:dyDescent="0.25">
      <c r="A702" s="81"/>
      <c r="B702" s="81"/>
      <c r="C702" s="81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1"/>
      <c r="Y702" s="81"/>
      <c r="Z702" s="81"/>
      <c r="AA702" s="81"/>
      <c r="AB702" s="121"/>
      <c r="AC702" s="121"/>
      <c r="AD702" s="121"/>
      <c r="AE702" s="121"/>
      <c r="AF702" s="121"/>
      <c r="AG702" s="121"/>
      <c r="AH702" s="120"/>
    </row>
    <row r="703" spans="1:34" ht="13.2" x14ac:dyDescent="0.25">
      <c r="A703" s="81"/>
      <c r="B703" s="81"/>
      <c r="C703" s="81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1"/>
      <c r="Y703" s="81"/>
      <c r="Z703" s="81"/>
      <c r="AA703" s="81"/>
      <c r="AB703" s="121"/>
      <c r="AC703" s="121"/>
      <c r="AD703" s="121"/>
      <c r="AE703" s="121"/>
      <c r="AF703" s="121"/>
      <c r="AG703" s="121"/>
      <c r="AH703" s="120"/>
    </row>
    <row r="704" spans="1:34" ht="13.2" x14ac:dyDescent="0.25">
      <c r="A704" s="81"/>
      <c r="B704" s="81"/>
      <c r="C704" s="81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1"/>
      <c r="Y704" s="81"/>
      <c r="Z704" s="81"/>
      <c r="AA704" s="81"/>
      <c r="AB704" s="121"/>
      <c r="AC704" s="121"/>
      <c r="AD704" s="121"/>
      <c r="AE704" s="121"/>
      <c r="AF704" s="121"/>
      <c r="AG704" s="121"/>
      <c r="AH704" s="120"/>
    </row>
    <row r="705" spans="1:34" ht="13.2" x14ac:dyDescent="0.25">
      <c r="A705" s="81"/>
      <c r="B705" s="81"/>
      <c r="C705" s="81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1"/>
      <c r="Y705" s="81"/>
      <c r="Z705" s="81"/>
      <c r="AA705" s="81"/>
      <c r="AB705" s="121"/>
      <c r="AC705" s="121"/>
      <c r="AD705" s="121"/>
      <c r="AE705" s="121"/>
      <c r="AF705" s="121"/>
      <c r="AG705" s="121"/>
      <c r="AH705" s="120"/>
    </row>
    <row r="706" spans="1:34" ht="13.2" x14ac:dyDescent="0.25">
      <c r="A706" s="81"/>
      <c r="B706" s="81"/>
      <c r="C706" s="81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1"/>
      <c r="Y706" s="81"/>
      <c r="Z706" s="81"/>
      <c r="AA706" s="81"/>
      <c r="AB706" s="121"/>
      <c r="AC706" s="121"/>
      <c r="AD706" s="121"/>
      <c r="AE706" s="121"/>
      <c r="AF706" s="121"/>
      <c r="AG706" s="121"/>
      <c r="AH706" s="120"/>
    </row>
    <row r="707" spans="1:34" ht="13.2" x14ac:dyDescent="0.25">
      <c r="A707" s="81"/>
      <c r="B707" s="81"/>
      <c r="C707" s="81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1"/>
      <c r="Y707" s="81"/>
      <c r="Z707" s="81"/>
      <c r="AA707" s="81"/>
      <c r="AB707" s="121"/>
      <c r="AC707" s="121"/>
      <c r="AD707" s="121"/>
      <c r="AE707" s="121"/>
      <c r="AF707" s="121"/>
      <c r="AG707" s="121"/>
      <c r="AH707" s="120"/>
    </row>
    <row r="708" spans="1:34" ht="13.2" x14ac:dyDescent="0.25">
      <c r="A708" s="81"/>
      <c r="B708" s="81"/>
      <c r="C708" s="81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1"/>
      <c r="Y708" s="81"/>
      <c r="Z708" s="81"/>
      <c r="AA708" s="81"/>
      <c r="AB708" s="121"/>
      <c r="AC708" s="121"/>
      <c r="AD708" s="121"/>
      <c r="AE708" s="121"/>
      <c r="AF708" s="121"/>
      <c r="AG708" s="121"/>
      <c r="AH708" s="120"/>
    </row>
    <row r="709" spans="1:34" ht="13.2" x14ac:dyDescent="0.25">
      <c r="A709" s="81"/>
      <c r="B709" s="81"/>
      <c r="C709" s="81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1"/>
      <c r="Y709" s="81"/>
      <c r="Z709" s="81"/>
      <c r="AA709" s="81"/>
      <c r="AB709" s="121"/>
      <c r="AC709" s="121"/>
      <c r="AD709" s="121"/>
      <c r="AE709" s="121"/>
      <c r="AF709" s="121"/>
      <c r="AG709" s="121"/>
      <c r="AH709" s="120"/>
    </row>
    <row r="710" spans="1:34" ht="13.2" x14ac:dyDescent="0.25">
      <c r="A710" s="81"/>
      <c r="B710" s="81"/>
      <c r="C710" s="81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1"/>
      <c r="Y710" s="81"/>
      <c r="Z710" s="81"/>
      <c r="AA710" s="81"/>
      <c r="AB710" s="121"/>
      <c r="AC710" s="121"/>
      <c r="AD710" s="121"/>
      <c r="AE710" s="121"/>
      <c r="AF710" s="121"/>
      <c r="AG710" s="121"/>
      <c r="AH710" s="120"/>
    </row>
    <row r="711" spans="1:34" ht="13.2" x14ac:dyDescent="0.25">
      <c r="A711" s="81"/>
      <c r="B711" s="81"/>
      <c r="C711" s="81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1"/>
      <c r="Y711" s="81"/>
      <c r="Z711" s="81"/>
      <c r="AA711" s="81"/>
      <c r="AB711" s="121"/>
      <c r="AC711" s="121"/>
      <c r="AD711" s="121"/>
      <c r="AE711" s="121"/>
      <c r="AF711" s="121"/>
      <c r="AG711" s="121"/>
      <c r="AH711" s="120"/>
    </row>
    <row r="712" spans="1:34" ht="13.2" x14ac:dyDescent="0.25">
      <c r="A712" s="81"/>
      <c r="B712" s="81"/>
      <c r="C712" s="81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1"/>
      <c r="Y712" s="81"/>
      <c r="Z712" s="81"/>
      <c r="AA712" s="81"/>
      <c r="AB712" s="121"/>
      <c r="AC712" s="121"/>
      <c r="AD712" s="121"/>
      <c r="AE712" s="121"/>
      <c r="AF712" s="121"/>
      <c r="AG712" s="121"/>
      <c r="AH712" s="120"/>
    </row>
    <row r="713" spans="1:34" ht="13.2" x14ac:dyDescent="0.25">
      <c r="A713" s="81"/>
      <c r="B713" s="81"/>
      <c r="C713" s="81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1"/>
      <c r="Y713" s="81"/>
      <c r="Z713" s="81"/>
      <c r="AA713" s="81"/>
      <c r="AB713" s="121"/>
      <c r="AC713" s="121"/>
      <c r="AD713" s="121"/>
      <c r="AE713" s="121"/>
      <c r="AF713" s="121"/>
      <c r="AG713" s="121"/>
      <c r="AH713" s="120"/>
    </row>
    <row r="714" spans="1:34" ht="13.2" x14ac:dyDescent="0.25">
      <c r="A714" s="81"/>
      <c r="B714" s="81"/>
      <c r="C714" s="81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1"/>
      <c r="Y714" s="81"/>
      <c r="Z714" s="81"/>
      <c r="AA714" s="81"/>
      <c r="AB714" s="121"/>
      <c r="AC714" s="121"/>
      <c r="AD714" s="121"/>
      <c r="AE714" s="121"/>
      <c r="AF714" s="121"/>
      <c r="AG714" s="121"/>
      <c r="AH714" s="120"/>
    </row>
    <row r="715" spans="1:34" ht="13.2" x14ac:dyDescent="0.25">
      <c r="A715" s="81"/>
      <c r="B715" s="81"/>
      <c r="C715" s="81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1"/>
      <c r="Y715" s="81"/>
      <c r="Z715" s="81"/>
      <c r="AA715" s="81"/>
      <c r="AB715" s="121"/>
      <c r="AC715" s="121"/>
      <c r="AD715" s="121"/>
      <c r="AE715" s="121"/>
      <c r="AF715" s="121"/>
      <c r="AG715" s="121"/>
      <c r="AH715" s="120"/>
    </row>
    <row r="716" spans="1:34" ht="13.2" x14ac:dyDescent="0.25">
      <c r="A716" s="81"/>
      <c r="B716" s="81"/>
      <c r="C716" s="81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1"/>
      <c r="Y716" s="81"/>
      <c r="Z716" s="81"/>
      <c r="AA716" s="81"/>
      <c r="AB716" s="121"/>
      <c r="AC716" s="121"/>
      <c r="AD716" s="121"/>
      <c r="AE716" s="121"/>
      <c r="AF716" s="121"/>
      <c r="AG716" s="121"/>
      <c r="AH716" s="120"/>
    </row>
    <row r="717" spans="1:34" ht="13.2" x14ac:dyDescent="0.25">
      <c r="A717" s="81"/>
      <c r="B717" s="81"/>
      <c r="C717" s="81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1"/>
      <c r="Y717" s="81"/>
      <c r="Z717" s="81"/>
      <c r="AA717" s="81"/>
      <c r="AB717" s="121"/>
      <c r="AC717" s="121"/>
      <c r="AD717" s="121"/>
      <c r="AE717" s="121"/>
      <c r="AF717" s="121"/>
      <c r="AG717" s="121"/>
      <c r="AH717" s="120"/>
    </row>
    <row r="718" spans="1:34" ht="13.2" x14ac:dyDescent="0.25">
      <c r="A718" s="81"/>
      <c r="B718" s="81"/>
      <c r="C718" s="81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1"/>
      <c r="Y718" s="81"/>
      <c r="Z718" s="81"/>
      <c r="AA718" s="81"/>
      <c r="AB718" s="121"/>
      <c r="AC718" s="121"/>
      <c r="AD718" s="121"/>
      <c r="AE718" s="121"/>
      <c r="AF718" s="121"/>
      <c r="AG718" s="121"/>
      <c r="AH718" s="120"/>
    </row>
    <row r="719" spans="1:34" ht="13.2" x14ac:dyDescent="0.25">
      <c r="A719" s="81"/>
      <c r="B719" s="81"/>
      <c r="C719" s="81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1"/>
      <c r="Y719" s="81"/>
      <c r="Z719" s="81"/>
      <c r="AA719" s="81"/>
      <c r="AB719" s="121"/>
      <c r="AC719" s="121"/>
      <c r="AD719" s="121"/>
      <c r="AE719" s="121"/>
      <c r="AF719" s="121"/>
      <c r="AG719" s="121"/>
      <c r="AH719" s="120"/>
    </row>
    <row r="720" spans="1:34" ht="13.2" x14ac:dyDescent="0.25">
      <c r="A720" s="81"/>
      <c r="B720" s="81"/>
      <c r="C720" s="81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1"/>
      <c r="Y720" s="81"/>
      <c r="Z720" s="81"/>
      <c r="AA720" s="81"/>
      <c r="AB720" s="121"/>
      <c r="AC720" s="121"/>
      <c r="AD720" s="121"/>
      <c r="AE720" s="121"/>
      <c r="AF720" s="121"/>
      <c r="AG720" s="121"/>
      <c r="AH720" s="120"/>
    </row>
    <row r="721" spans="1:34" ht="13.2" x14ac:dyDescent="0.25">
      <c r="A721" s="81"/>
      <c r="B721" s="81"/>
      <c r="C721" s="81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1"/>
      <c r="Y721" s="81"/>
      <c r="Z721" s="81"/>
      <c r="AA721" s="81"/>
      <c r="AB721" s="121"/>
      <c r="AC721" s="121"/>
      <c r="AD721" s="121"/>
      <c r="AE721" s="121"/>
      <c r="AF721" s="121"/>
      <c r="AG721" s="121"/>
      <c r="AH721" s="120"/>
    </row>
    <row r="722" spans="1:34" ht="13.2" x14ac:dyDescent="0.25">
      <c r="A722" s="81"/>
      <c r="B722" s="81"/>
      <c r="C722" s="81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1"/>
      <c r="Y722" s="81"/>
      <c r="Z722" s="81"/>
      <c r="AA722" s="81"/>
      <c r="AB722" s="121"/>
      <c r="AC722" s="121"/>
      <c r="AD722" s="121"/>
      <c r="AE722" s="121"/>
      <c r="AF722" s="121"/>
      <c r="AG722" s="121"/>
      <c r="AH722" s="120"/>
    </row>
    <row r="723" spans="1:34" ht="13.2" x14ac:dyDescent="0.25">
      <c r="A723" s="81"/>
      <c r="B723" s="81"/>
      <c r="C723" s="81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1"/>
      <c r="Y723" s="81"/>
      <c r="Z723" s="81"/>
      <c r="AA723" s="81"/>
      <c r="AB723" s="121"/>
      <c r="AC723" s="121"/>
      <c r="AD723" s="121"/>
      <c r="AE723" s="121"/>
      <c r="AF723" s="121"/>
      <c r="AG723" s="121"/>
      <c r="AH723" s="120"/>
    </row>
    <row r="724" spans="1:34" ht="13.2" x14ac:dyDescent="0.25">
      <c r="A724" s="81"/>
      <c r="B724" s="81"/>
      <c r="C724" s="81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1"/>
      <c r="Y724" s="81"/>
      <c r="Z724" s="81"/>
      <c r="AA724" s="81"/>
      <c r="AB724" s="121"/>
      <c r="AC724" s="121"/>
      <c r="AD724" s="121"/>
      <c r="AE724" s="121"/>
      <c r="AF724" s="121"/>
      <c r="AG724" s="121"/>
      <c r="AH724" s="120"/>
    </row>
    <row r="725" spans="1:34" ht="13.2" x14ac:dyDescent="0.25">
      <c r="A725" s="81"/>
      <c r="B725" s="81"/>
      <c r="C725" s="81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1"/>
      <c r="Y725" s="81"/>
      <c r="Z725" s="81"/>
      <c r="AA725" s="81"/>
      <c r="AB725" s="121"/>
      <c r="AC725" s="121"/>
      <c r="AD725" s="121"/>
      <c r="AE725" s="121"/>
      <c r="AF725" s="121"/>
      <c r="AG725" s="121"/>
      <c r="AH725" s="120"/>
    </row>
    <row r="726" spans="1:34" ht="13.2" x14ac:dyDescent="0.25">
      <c r="A726" s="81"/>
      <c r="B726" s="81"/>
      <c r="C726" s="81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1"/>
      <c r="Y726" s="81"/>
      <c r="Z726" s="81"/>
      <c r="AA726" s="81"/>
      <c r="AB726" s="121"/>
      <c r="AC726" s="121"/>
      <c r="AD726" s="121"/>
      <c r="AE726" s="121"/>
      <c r="AF726" s="121"/>
      <c r="AG726" s="121"/>
      <c r="AH726" s="120"/>
    </row>
    <row r="727" spans="1:34" ht="13.2" x14ac:dyDescent="0.25">
      <c r="A727" s="81"/>
      <c r="B727" s="81"/>
      <c r="C727" s="81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1"/>
      <c r="Y727" s="81"/>
      <c r="Z727" s="81"/>
      <c r="AA727" s="81"/>
      <c r="AB727" s="121"/>
      <c r="AC727" s="121"/>
      <c r="AD727" s="121"/>
      <c r="AE727" s="121"/>
      <c r="AF727" s="121"/>
      <c r="AG727" s="121"/>
      <c r="AH727" s="120"/>
    </row>
    <row r="728" spans="1:34" ht="13.2" x14ac:dyDescent="0.25">
      <c r="A728" s="81"/>
      <c r="B728" s="81"/>
      <c r="C728" s="81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1"/>
      <c r="Y728" s="81"/>
      <c r="Z728" s="81"/>
      <c r="AA728" s="81"/>
      <c r="AB728" s="121"/>
      <c r="AC728" s="121"/>
      <c r="AD728" s="121"/>
      <c r="AE728" s="121"/>
      <c r="AF728" s="121"/>
      <c r="AG728" s="121"/>
      <c r="AH728" s="120"/>
    </row>
    <row r="729" spans="1:34" ht="13.2" x14ac:dyDescent="0.25">
      <c r="A729" s="81"/>
      <c r="B729" s="81"/>
      <c r="C729" s="81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1"/>
      <c r="Y729" s="81"/>
      <c r="Z729" s="81"/>
      <c r="AA729" s="81"/>
      <c r="AB729" s="121"/>
      <c r="AC729" s="121"/>
      <c r="AD729" s="121"/>
      <c r="AE729" s="121"/>
      <c r="AF729" s="121"/>
      <c r="AG729" s="121"/>
      <c r="AH729" s="120"/>
    </row>
    <row r="730" spans="1:34" ht="13.2" x14ac:dyDescent="0.25">
      <c r="A730" s="81"/>
      <c r="B730" s="81"/>
      <c r="C730" s="81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1"/>
      <c r="Y730" s="81"/>
      <c r="Z730" s="81"/>
      <c r="AA730" s="81"/>
      <c r="AB730" s="121"/>
      <c r="AC730" s="121"/>
      <c r="AD730" s="121"/>
      <c r="AE730" s="121"/>
      <c r="AF730" s="121"/>
      <c r="AG730" s="121"/>
      <c r="AH730" s="120"/>
    </row>
    <row r="731" spans="1:34" ht="13.2" x14ac:dyDescent="0.25">
      <c r="A731" s="81"/>
      <c r="B731" s="81"/>
      <c r="C731" s="81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1"/>
      <c r="Y731" s="81"/>
      <c r="Z731" s="81"/>
      <c r="AA731" s="81"/>
      <c r="AB731" s="121"/>
      <c r="AC731" s="121"/>
      <c r="AD731" s="121"/>
      <c r="AE731" s="121"/>
      <c r="AF731" s="121"/>
      <c r="AG731" s="121"/>
      <c r="AH731" s="120"/>
    </row>
    <row r="732" spans="1:34" ht="13.2" x14ac:dyDescent="0.25">
      <c r="A732" s="81"/>
      <c r="B732" s="81"/>
      <c r="C732" s="81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1"/>
      <c r="Y732" s="81"/>
      <c r="Z732" s="81"/>
      <c r="AA732" s="81"/>
      <c r="AB732" s="121"/>
      <c r="AC732" s="121"/>
      <c r="AD732" s="121"/>
      <c r="AE732" s="121"/>
      <c r="AF732" s="121"/>
      <c r="AG732" s="121"/>
      <c r="AH732" s="120"/>
    </row>
    <row r="733" spans="1:34" ht="13.2" x14ac:dyDescent="0.25">
      <c r="A733" s="81"/>
      <c r="B733" s="81"/>
      <c r="C733" s="81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1"/>
      <c r="Y733" s="81"/>
      <c r="Z733" s="81"/>
      <c r="AA733" s="81"/>
      <c r="AB733" s="121"/>
      <c r="AC733" s="121"/>
      <c r="AD733" s="121"/>
      <c r="AE733" s="121"/>
      <c r="AF733" s="121"/>
      <c r="AG733" s="121"/>
      <c r="AH733" s="120"/>
    </row>
    <row r="734" spans="1:34" ht="13.2" x14ac:dyDescent="0.25">
      <c r="A734" s="81"/>
      <c r="B734" s="81"/>
      <c r="C734" s="81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1"/>
      <c r="Y734" s="81"/>
      <c r="Z734" s="81"/>
      <c r="AA734" s="81"/>
      <c r="AB734" s="121"/>
      <c r="AC734" s="121"/>
      <c r="AD734" s="121"/>
      <c r="AE734" s="121"/>
      <c r="AF734" s="121"/>
      <c r="AG734" s="121"/>
      <c r="AH734" s="120"/>
    </row>
    <row r="735" spans="1:34" ht="13.2" x14ac:dyDescent="0.25">
      <c r="A735" s="81"/>
      <c r="B735" s="81"/>
      <c r="C735" s="81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1"/>
      <c r="Y735" s="81"/>
      <c r="Z735" s="81"/>
      <c r="AA735" s="81"/>
      <c r="AB735" s="121"/>
      <c r="AC735" s="121"/>
      <c r="AD735" s="121"/>
      <c r="AE735" s="121"/>
      <c r="AF735" s="121"/>
      <c r="AG735" s="121"/>
      <c r="AH735" s="120"/>
    </row>
    <row r="736" spans="1:34" ht="13.2" x14ac:dyDescent="0.25">
      <c r="A736" s="81"/>
      <c r="B736" s="81"/>
      <c r="C736" s="81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1"/>
      <c r="Y736" s="81"/>
      <c r="Z736" s="81"/>
      <c r="AA736" s="81"/>
      <c r="AB736" s="121"/>
      <c r="AC736" s="121"/>
      <c r="AD736" s="121"/>
      <c r="AE736" s="121"/>
      <c r="AF736" s="121"/>
      <c r="AG736" s="121"/>
      <c r="AH736" s="120"/>
    </row>
    <row r="737" spans="1:34" ht="13.2" x14ac:dyDescent="0.25">
      <c r="A737" s="81"/>
      <c r="B737" s="81"/>
      <c r="C737" s="81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1"/>
      <c r="Y737" s="81"/>
      <c r="Z737" s="81"/>
      <c r="AA737" s="81"/>
      <c r="AB737" s="121"/>
      <c r="AC737" s="121"/>
      <c r="AD737" s="121"/>
      <c r="AE737" s="121"/>
      <c r="AF737" s="121"/>
      <c r="AG737" s="121"/>
      <c r="AH737" s="120"/>
    </row>
    <row r="738" spans="1:34" ht="13.2" x14ac:dyDescent="0.25">
      <c r="A738" s="81"/>
      <c r="B738" s="81"/>
      <c r="C738" s="81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1"/>
      <c r="Y738" s="81"/>
      <c r="Z738" s="81"/>
      <c r="AA738" s="81"/>
      <c r="AB738" s="121"/>
      <c r="AC738" s="121"/>
      <c r="AD738" s="121"/>
      <c r="AE738" s="121"/>
      <c r="AF738" s="121"/>
      <c r="AG738" s="121"/>
      <c r="AH738" s="120"/>
    </row>
    <row r="739" spans="1:34" ht="13.2" x14ac:dyDescent="0.25">
      <c r="A739" s="81"/>
      <c r="B739" s="81"/>
      <c r="C739" s="81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1"/>
      <c r="Y739" s="81"/>
      <c r="Z739" s="81"/>
      <c r="AA739" s="81"/>
      <c r="AB739" s="121"/>
      <c r="AC739" s="121"/>
      <c r="AD739" s="121"/>
      <c r="AE739" s="121"/>
      <c r="AF739" s="121"/>
      <c r="AG739" s="121"/>
      <c r="AH739" s="120"/>
    </row>
    <row r="740" spans="1:34" ht="13.2" x14ac:dyDescent="0.25">
      <c r="A740" s="81"/>
      <c r="B740" s="81"/>
      <c r="C740" s="81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1"/>
      <c r="Y740" s="81"/>
      <c r="Z740" s="81"/>
      <c r="AA740" s="81"/>
      <c r="AB740" s="121"/>
      <c r="AC740" s="121"/>
      <c r="AD740" s="121"/>
      <c r="AE740" s="121"/>
      <c r="AF740" s="121"/>
      <c r="AG740" s="121"/>
      <c r="AH740" s="120"/>
    </row>
    <row r="741" spans="1:34" ht="13.2" x14ac:dyDescent="0.25">
      <c r="A741" s="81"/>
      <c r="B741" s="81"/>
      <c r="C741" s="81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1"/>
      <c r="Y741" s="81"/>
      <c r="Z741" s="81"/>
      <c r="AA741" s="81"/>
      <c r="AB741" s="121"/>
      <c r="AC741" s="121"/>
      <c r="AD741" s="121"/>
      <c r="AE741" s="121"/>
      <c r="AF741" s="121"/>
      <c r="AG741" s="121"/>
      <c r="AH741" s="120"/>
    </row>
    <row r="742" spans="1:34" ht="13.2" x14ac:dyDescent="0.25">
      <c r="A742" s="81"/>
      <c r="B742" s="81"/>
      <c r="C742" s="81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1"/>
      <c r="Y742" s="81"/>
      <c r="Z742" s="81"/>
      <c r="AA742" s="81"/>
      <c r="AB742" s="121"/>
      <c r="AC742" s="121"/>
      <c r="AD742" s="121"/>
      <c r="AE742" s="121"/>
      <c r="AF742" s="121"/>
      <c r="AG742" s="121"/>
      <c r="AH742" s="120"/>
    </row>
    <row r="743" spans="1:34" ht="13.2" x14ac:dyDescent="0.25">
      <c r="A743" s="81"/>
      <c r="B743" s="81"/>
      <c r="C743" s="81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1"/>
      <c r="Y743" s="81"/>
      <c r="Z743" s="81"/>
      <c r="AA743" s="81"/>
      <c r="AB743" s="121"/>
      <c r="AC743" s="121"/>
      <c r="AD743" s="121"/>
      <c r="AE743" s="121"/>
      <c r="AF743" s="121"/>
      <c r="AG743" s="121"/>
      <c r="AH743" s="120"/>
    </row>
    <row r="744" spans="1:34" ht="13.2" x14ac:dyDescent="0.25">
      <c r="A744" s="81"/>
      <c r="B744" s="81"/>
      <c r="C744" s="81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1"/>
      <c r="Y744" s="81"/>
      <c r="Z744" s="81"/>
      <c r="AA744" s="81"/>
      <c r="AB744" s="121"/>
      <c r="AC744" s="121"/>
      <c r="AD744" s="121"/>
      <c r="AE744" s="121"/>
      <c r="AF744" s="121"/>
      <c r="AG744" s="121"/>
      <c r="AH744" s="120"/>
    </row>
    <row r="745" spans="1:34" ht="13.2" x14ac:dyDescent="0.25">
      <c r="A745" s="81"/>
      <c r="B745" s="81"/>
      <c r="C745" s="81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1"/>
      <c r="Y745" s="81"/>
      <c r="Z745" s="81"/>
      <c r="AA745" s="81"/>
      <c r="AB745" s="121"/>
      <c r="AC745" s="121"/>
      <c r="AD745" s="121"/>
      <c r="AE745" s="121"/>
      <c r="AF745" s="121"/>
      <c r="AG745" s="121"/>
      <c r="AH745" s="120"/>
    </row>
    <row r="746" spans="1:34" ht="13.2" x14ac:dyDescent="0.25">
      <c r="A746" s="81"/>
      <c r="B746" s="81"/>
      <c r="C746" s="81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1"/>
      <c r="Y746" s="81"/>
      <c r="Z746" s="81"/>
      <c r="AA746" s="81"/>
      <c r="AB746" s="121"/>
      <c r="AC746" s="121"/>
      <c r="AD746" s="121"/>
      <c r="AE746" s="121"/>
      <c r="AF746" s="121"/>
      <c r="AG746" s="121"/>
      <c r="AH746" s="120"/>
    </row>
    <row r="747" spans="1:34" ht="13.2" x14ac:dyDescent="0.25">
      <c r="A747" s="81"/>
      <c r="B747" s="81"/>
      <c r="C747" s="81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1"/>
      <c r="Y747" s="81"/>
      <c r="Z747" s="81"/>
      <c r="AA747" s="81"/>
      <c r="AB747" s="121"/>
      <c r="AC747" s="121"/>
      <c r="AD747" s="121"/>
      <c r="AE747" s="121"/>
      <c r="AF747" s="121"/>
      <c r="AG747" s="121"/>
      <c r="AH747" s="120"/>
    </row>
    <row r="748" spans="1:34" ht="13.2" x14ac:dyDescent="0.25">
      <c r="A748" s="81"/>
      <c r="B748" s="81"/>
      <c r="C748" s="81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1"/>
      <c r="Y748" s="81"/>
      <c r="Z748" s="81"/>
      <c r="AA748" s="81"/>
      <c r="AB748" s="121"/>
      <c r="AC748" s="121"/>
      <c r="AD748" s="121"/>
      <c r="AE748" s="121"/>
      <c r="AF748" s="121"/>
      <c r="AG748" s="121"/>
      <c r="AH748" s="120"/>
    </row>
    <row r="749" spans="1:34" ht="13.2" x14ac:dyDescent="0.25">
      <c r="A749" s="81"/>
      <c r="B749" s="81"/>
      <c r="C749" s="81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1"/>
      <c r="Y749" s="81"/>
      <c r="Z749" s="81"/>
      <c r="AA749" s="81"/>
      <c r="AB749" s="121"/>
      <c r="AC749" s="121"/>
      <c r="AD749" s="121"/>
      <c r="AE749" s="121"/>
      <c r="AF749" s="121"/>
      <c r="AG749" s="121"/>
      <c r="AH749" s="120"/>
    </row>
    <row r="750" spans="1:34" ht="13.2" x14ac:dyDescent="0.25">
      <c r="A750" s="81"/>
      <c r="B750" s="81"/>
      <c r="C750" s="81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1"/>
      <c r="Y750" s="81"/>
      <c r="Z750" s="81"/>
      <c r="AA750" s="81"/>
      <c r="AB750" s="121"/>
      <c r="AC750" s="121"/>
      <c r="AD750" s="121"/>
      <c r="AE750" s="121"/>
      <c r="AF750" s="121"/>
      <c r="AG750" s="121"/>
      <c r="AH750" s="120"/>
    </row>
    <row r="751" spans="1:34" ht="13.2" x14ac:dyDescent="0.25">
      <c r="A751" s="81"/>
      <c r="B751" s="81"/>
      <c r="C751" s="81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1"/>
      <c r="Y751" s="81"/>
      <c r="Z751" s="81"/>
      <c r="AA751" s="81"/>
      <c r="AB751" s="121"/>
      <c r="AC751" s="121"/>
      <c r="AD751" s="121"/>
      <c r="AE751" s="121"/>
      <c r="AF751" s="121"/>
      <c r="AG751" s="121"/>
      <c r="AH751" s="120"/>
    </row>
    <row r="752" spans="1:34" ht="13.2" x14ac:dyDescent="0.25">
      <c r="A752" s="81"/>
      <c r="B752" s="81"/>
      <c r="C752" s="81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1"/>
      <c r="Y752" s="81"/>
      <c r="Z752" s="81"/>
      <c r="AA752" s="81"/>
      <c r="AB752" s="121"/>
      <c r="AC752" s="121"/>
      <c r="AD752" s="121"/>
      <c r="AE752" s="121"/>
      <c r="AF752" s="121"/>
      <c r="AG752" s="121"/>
      <c r="AH752" s="120"/>
    </row>
    <row r="753" spans="1:34" ht="13.2" x14ac:dyDescent="0.25">
      <c r="A753" s="81"/>
      <c r="B753" s="81"/>
      <c r="C753" s="81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1"/>
      <c r="Y753" s="81"/>
      <c r="Z753" s="81"/>
      <c r="AA753" s="81"/>
      <c r="AB753" s="121"/>
      <c r="AC753" s="121"/>
      <c r="AD753" s="121"/>
      <c r="AE753" s="121"/>
      <c r="AF753" s="121"/>
      <c r="AG753" s="121"/>
      <c r="AH753" s="120"/>
    </row>
    <row r="754" spans="1:34" ht="13.2" x14ac:dyDescent="0.25">
      <c r="A754" s="81"/>
      <c r="B754" s="81"/>
      <c r="C754" s="81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1"/>
      <c r="Y754" s="81"/>
      <c r="Z754" s="81"/>
      <c r="AA754" s="81"/>
      <c r="AB754" s="121"/>
      <c r="AC754" s="121"/>
      <c r="AD754" s="121"/>
      <c r="AE754" s="121"/>
      <c r="AF754" s="121"/>
      <c r="AG754" s="121"/>
      <c r="AH754" s="120"/>
    </row>
    <row r="755" spans="1:34" ht="13.2" x14ac:dyDescent="0.25">
      <c r="A755" s="81"/>
      <c r="B755" s="81"/>
      <c r="C755" s="81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1"/>
      <c r="Y755" s="81"/>
      <c r="Z755" s="81"/>
      <c r="AA755" s="81"/>
      <c r="AB755" s="121"/>
      <c r="AC755" s="121"/>
      <c r="AD755" s="121"/>
      <c r="AE755" s="121"/>
      <c r="AF755" s="121"/>
      <c r="AG755" s="121"/>
      <c r="AH755" s="120"/>
    </row>
    <row r="756" spans="1:34" ht="13.2" x14ac:dyDescent="0.25">
      <c r="A756" s="81"/>
      <c r="B756" s="81"/>
      <c r="C756" s="81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1"/>
      <c r="Y756" s="81"/>
      <c r="Z756" s="81"/>
      <c r="AA756" s="81"/>
      <c r="AB756" s="121"/>
      <c r="AC756" s="121"/>
      <c r="AD756" s="121"/>
      <c r="AE756" s="121"/>
      <c r="AF756" s="121"/>
      <c r="AG756" s="121"/>
      <c r="AH756" s="120"/>
    </row>
    <row r="757" spans="1:34" ht="13.2" x14ac:dyDescent="0.25">
      <c r="A757" s="81"/>
      <c r="B757" s="81"/>
      <c r="C757" s="81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1"/>
      <c r="Y757" s="81"/>
      <c r="Z757" s="81"/>
      <c r="AA757" s="81"/>
      <c r="AB757" s="121"/>
      <c r="AC757" s="121"/>
      <c r="AD757" s="121"/>
      <c r="AE757" s="121"/>
      <c r="AF757" s="121"/>
      <c r="AG757" s="121"/>
      <c r="AH757" s="120"/>
    </row>
    <row r="758" spans="1:34" ht="13.2" x14ac:dyDescent="0.25">
      <c r="A758" s="81"/>
      <c r="B758" s="81"/>
      <c r="C758" s="81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1"/>
      <c r="Y758" s="81"/>
      <c r="Z758" s="81"/>
      <c r="AA758" s="81"/>
      <c r="AB758" s="121"/>
      <c r="AC758" s="121"/>
      <c r="AD758" s="121"/>
      <c r="AE758" s="121"/>
      <c r="AF758" s="121"/>
      <c r="AG758" s="121"/>
      <c r="AH758" s="120"/>
    </row>
    <row r="759" spans="1:34" ht="13.2" x14ac:dyDescent="0.25">
      <c r="A759" s="81"/>
      <c r="B759" s="81"/>
      <c r="C759" s="81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1"/>
      <c r="Y759" s="81"/>
      <c r="Z759" s="81"/>
      <c r="AA759" s="81"/>
      <c r="AB759" s="121"/>
      <c r="AC759" s="121"/>
      <c r="AD759" s="121"/>
      <c r="AE759" s="121"/>
      <c r="AF759" s="121"/>
      <c r="AG759" s="121"/>
      <c r="AH759" s="120"/>
    </row>
    <row r="760" spans="1:34" ht="13.2" x14ac:dyDescent="0.25">
      <c r="A760" s="81"/>
      <c r="B760" s="81"/>
      <c r="C760" s="81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1"/>
      <c r="Y760" s="81"/>
      <c r="Z760" s="81"/>
      <c r="AA760" s="81"/>
      <c r="AB760" s="121"/>
      <c r="AC760" s="121"/>
      <c r="AD760" s="121"/>
      <c r="AE760" s="121"/>
      <c r="AF760" s="121"/>
      <c r="AG760" s="121"/>
      <c r="AH760" s="120"/>
    </row>
    <row r="761" spans="1:34" ht="13.2" x14ac:dyDescent="0.25">
      <c r="A761" s="81"/>
      <c r="B761" s="81"/>
      <c r="C761" s="81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1"/>
      <c r="Y761" s="81"/>
      <c r="Z761" s="81"/>
      <c r="AA761" s="81"/>
      <c r="AB761" s="121"/>
      <c r="AC761" s="121"/>
      <c r="AD761" s="121"/>
      <c r="AE761" s="121"/>
      <c r="AF761" s="121"/>
      <c r="AG761" s="121"/>
      <c r="AH761" s="120"/>
    </row>
    <row r="762" spans="1:34" ht="13.2" x14ac:dyDescent="0.25">
      <c r="A762" s="81"/>
      <c r="B762" s="81"/>
      <c r="C762" s="81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1"/>
      <c r="Y762" s="81"/>
      <c r="Z762" s="81"/>
      <c r="AA762" s="81"/>
      <c r="AB762" s="121"/>
      <c r="AC762" s="121"/>
      <c r="AD762" s="121"/>
      <c r="AE762" s="121"/>
      <c r="AF762" s="121"/>
      <c r="AG762" s="121"/>
      <c r="AH762" s="120"/>
    </row>
    <row r="763" spans="1:34" ht="13.2" x14ac:dyDescent="0.25">
      <c r="A763" s="81"/>
      <c r="B763" s="81"/>
      <c r="C763" s="81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1"/>
      <c r="Y763" s="81"/>
      <c r="Z763" s="81"/>
      <c r="AA763" s="81"/>
      <c r="AB763" s="121"/>
      <c r="AC763" s="121"/>
      <c r="AD763" s="121"/>
      <c r="AE763" s="121"/>
      <c r="AF763" s="121"/>
      <c r="AG763" s="121"/>
      <c r="AH763" s="120"/>
    </row>
    <row r="764" spans="1:34" ht="13.2" x14ac:dyDescent="0.25">
      <c r="A764" s="81"/>
      <c r="B764" s="81"/>
      <c r="C764" s="81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1"/>
      <c r="Y764" s="81"/>
      <c r="Z764" s="81"/>
      <c r="AA764" s="81"/>
      <c r="AB764" s="121"/>
      <c r="AC764" s="121"/>
      <c r="AD764" s="121"/>
      <c r="AE764" s="121"/>
      <c r="AF764" s="121"/>
      <c r="AG764" s="121"/>
      <c r="AH764" s="120"/>
    </row>
    <row r="765" spans="1:34" ht="13.2" x14ac:dyDescent="0.25">
      <c r="A765" s="81"/>
      <c r="B765" s="81"/>
      <c r="C765" s="81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1"/>
      <c r="Y765" s="81"/>
      <c r="Z765" s="81"/>
      <c r="AA765" s="81"/>
      <c r="AB765" s="121"/>
      <c r="AC765" s="121"/>
      <c r="AD765" s="121"/>
      <c r="AE765" s="121"/>
      <c r="AF765" s="121"/>
      <c r="AG765" s="121"/>
      <c r="AH765" s="120"/>
    </row>
    <row r="766" spans="1:34" ht="13.2" x14ac:dyDescent="0.25">
      <c r="A766" s="81"/>
      <c r="B766" s="81"/>
      <c r="C766" s="81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1"/>
      <c r="Y766" s="81"/>
      <c r="Z766" s="81"/>
      <c r="AA766" s="81"/>
      <c r="AB766" s="121"/>
      <c r="AC766" s="121"/>
      <c r="AD766" s="121"/>
      <c r="AE766" s="121"/>
      <c r="AF766" s="121"/>
      <c r="AG766" s="121"/>
      <c r="AH766" s="120"/>
    </row>
    <row r="767" spans="1:34" ht="13.2" x14ac:dyDescent="0.25">
      <c r="A767" s="81"/>
      <c r="B767" s="81"/>
      <c r="C767" s="81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1"/>
      <c r="Y767" s="81"/>
      <c r="Z767" s="81"/>
      <c r="AA767" s="81"/>
      <c r="AB767" s="121"/>
      <c r="AC767" s="121"/>
      <c r="AD767" s="121"/>
      <c r="AE767" s="121"/>
      <c r="AF767" s="121"/>
      <c r="AG767" s="121"/>
      <c r="AH767" s="120"/>
    </row>
    <row r="768" spans="1:34" ht="13.2" x14ac:dyDescent="0.25">
      <c r="A768" s="81"/>
      <c r="B768" s="81"/>
      <c r="C768" s="81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1"/>
      <c r="Y768" s="81"/>
      <c r="Z768" s="81"/>
      <c r="AA768" s="81"/>
      <c r="AB768" s="121"/>
      <c r="AC768" s="121"/>
      <c r="AD768" s="121"/>
      <c r="AE768" s="121"/>
      <c r="AF768" s="121"/>
      <c r="AG768" s="121"/>
      <c r="AH768" s="120"/>
    </row>
    <row r="769" spans="1:34" ht="13.2" x14ac:dyDescent="0.25">
      <c r="A769" s="81"/>
      <c r="B769" s="81"/>
      <c r="C769" s="81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1"/>
      <c r="Y769" s="81"/>
      <c r="Z769" s="81"/>
      <c r="AA769" s="81"/>
      <c r="AB769" s="121"/>
      <c r="AC769" s="121"/>
      <c r="AD769" s="121"/>
      <c r="AE769" s="121"/>
      <c r="AF769" s="121"/>
      <c r="AG769" s="121"/>
      <c r="AH769" s="120"/>
    </row>
    <row r="770" spans="1:34" ht="13.2" x14ac:dyDescent="0.25">
      <c r="A770" s="81"/>
      <c r="B770" s="81"/>
      <c r="C770" s="81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1"/>
      <c r="Y770" s="81"/>
      <c r="Z770" s="81"/>
      <c r="AA770" s="81"/>
      <c r="AB770" s="121"/>
      <c r="AC770" s="121"/>
      <c r="AD770" s="121"/>
      <c r="AE770" s="121"/>
      <c r="AF770" s="121"/>
      <c r="AG770" s="121"/>
      <c r="AH770" s="120"/>
    </row>
    <row r="771" spans="1:34" ht="13.2" x14ac:dyDescent="0.25">
      <c r="A771" s="81"/>
      <c r="B771" s="81"/>
      <c r="C771" s="81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1"/>
      <c r="Y771" s="81"/>
      <c r="Z771" s="81"/>
      <c r="AA771" s="81"/>
      <c r="AB771" s="121"/>
      <c r="AC771" s="121"/>
      <c r="AD771" s="121"/>
      <c r="AE771" s="121"/>
      <c r="AF771" s="121"/>
      <c r="AG771" s="121"/>
      <c r="AH771" s="120"/>
    </row>
    <row r="772" spans="1:34" ht="13.2" x14ac:dyDescent="0.25">
      <c r="A772" s="81"/>
      <c r="B772" s="81"/>
      <c r="C772" s="81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1"/>
      <c r="Y772" s="81"/>
      <c r="Z772" s="81"/>
      <c r="AA772" s="81"/>
      <c r="AB772" s="121"/>
      <c r="AC772" s="121"/>
      <c r="AD772" s="121"/>
      <c r="AE772" s="121"/>
      <c r="AF772" s="121"/>
      <c r="AG772" s="121"/>
      <c r="AH772" s="120"/>
    </row>
    <row r="773" spans="1:34" ht="13.2" x14ac:dyDescent="0.25">
      <c r="A773" s="81"/>
      <c r="B773" s="81"/>
      <c r="C773" s="81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1"/>
      <c r="Y773" s="81"/>
      <c r="Z773" s="81"/>
      <c r="AA773" s="81"/>
      <c r="AB773" s="121"/>
      <c r="AC773" s="121"/>
      <c r="AD773" s="121"/>
      <c r="AE773" s="121"/>
      <c r="AF773" s="121"/>
      <c r="AG773" s="121"/>
      <c r="AH773" s="120"/>
    </row>
    <row r="774" spans="1:34" ht="13.2" x14ac:dyDescent="0.25">
      <c r="A774" s="81"/>
      <c r="B774" s="81"/>
      <c r="C774" s="81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1"/>
      <c r="Y774" s="81"/>
      <c r="Z774" s="81"/>
      <c r="AA774" s="81"/>
      <c r="AB774" s="121"/>
      <c r="AC774" s="121"/>
      <c r="AD774" s="121"/>
      <c r="AE774" s="121"/>
      <c r="AF774" s="121"/>
      <c r="AG774" s="121"/>
      <c r="AH774" s="120"/>
    </row>
    <row r="775" spans="1:34" ht="13.2" x14ac:dyDescent="0.25">
      <c r="A775" s="81"/>
      <c r="B775" s="81"/>
      <c r="C775" s="81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1"/>
      <c r="Y775" s="81"/>
      <c r="Z775" s="81"/>
      <c r="AA775" s="81"/>
      <c r="AB775" s="121"/>
      <c r="AC775" s="121"/>
      <c r="AD775" s="121"/>
      <c r="AE775" s="121"/>
      <c r="AF775" s="121"/>
      <c r="AG775" s="121"/>
      <c r="AH775" s="120"/>
    </row>
    <row r="776" spans="1:34" ht="13.2" x14ac:dyDescent="0.25">
      <c r="A776" s="81"/>
      <c r="B776" s="81"/>
      <c r="C776" s="81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1"/>
      <c r="Y776" s="81"/>
      <c r="Z776" s="81"/>
      <c r="AA776" s="81"/>
      <c r="AB776" s="121"/>
      <c r="AC776" s="121"/>
      <c r="AD776" s="121"/>
      <c r="AE776" s="121"/>
      <c r="AF776" s="121"/>
      <c r="AG776" s="121"/>
      <c r="AH776" s="120"/>
    </row>
    <row r="777" spans="1:34" ht="13.2" x14ac:dyDescent="0.25">
      <c r="A777" s="81"/>
      <c r="B777" s="81"/>
      <c r="C777" s="81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1"/>
      <c r="Y777" s="81"/>
      <c r="Z777" s="81"/>
      <c r="AA777" s="81"/>
      <c r="AB777" s="121"/>
      <c r="AC777" s="121"/>
      <c r="AD777" s="121"/>
      <c r="AE777" s="121"/>
      <c r="AF777" s="121"/>
      <c r="AG777" s="121"/>
      <c r="AH777" s="120"/>
    </row>
    <row r="778" spans="1:34" ht="13.2" x14ac:dyDescent="0.25">
      <c r="A778" s="81"/>
      <c r="B778" s="81"/>
      <c r="C778" s="81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1"/>
      <c r="Y778" s="81"/>
      <c r="Z778" s="81"/>
      <c r="AA778" s="81"/>
      <c r="AB778" s="121"/>
      <c r="AC778" s="121"/>
      <c r="AD778" s="121"/>
      <c r="AE778" s="121"/>
      <c r="AF778" s="121"/>
      <c r="AG778" s="121"/>
      <c r="AH778" s="120"/>
    </row>
    <row r="779" spans="1:34" ht="13.2" x14ac:dyDescent="0.25">
      <c r="A779" s="81"/>
      <c r="B779" s="81"/>
      <c r="C779" s="81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1"/>
      <c r="Y779" s="81"/>
      <c r="Z779" s="81"/>
      <c r="AA779" s="81"/>
      <c r="AB779" s="121"/>
      <c r="AC779" s="121"/>
      <c r="AD779" s="121"/>
      <c r="AE779" s="121"/>
      <c r="AF779" s="121"/>
      <c r="AG779" s="121"/>
      <c r="AH779" s="120"/>
    </row>
    <row r="780" spans="1:34" ht="13.2" x14ac:dyDescent="0.25">
      <c r="A780" s="81"/>
      <c r="B780" s="81"/>
      <c r="C780" s="81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1"/>
      <c r="Y780" s="81"/>
      <c r="Z780" s="81"/>
      <c r="AA780" s="81"/>
      <c r="AB780" s="121"/>
      <c r="AC780" s="121"/>
      <c r="AD780" s="121"/>
      <c r="AE780" s="121"/>
      <c r="AF780" s="121"/>
      <c r="AG780" s="121"/>
      <c r="AH780" s="120"/>
    </row>
    <row r="781" spans="1:34" ht="13.2" x14ac:dyDescent="0.25">
      <c r="A781" s="81"/>
      <c r="B781" s="81"/>
      <c r="C781" s="81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1"/>
      <c r="Y781" s="81"/>
      <c r="Z781" s="81"/>
      <c r="AA781" s="81"/>
      <c r="AB781" s="121"/>
      <c r="AC781" s="121"/>
      <c r="AD781" s="121"/>
      <c r="AE781" s="121"/>
      <c r="AF781" s="121"/>
      <c r="AG781" s="121"/>
      <c r="AH781" s="120"/>
    </row>
    <row r="782" spans="1:34" ht="13.2" x14ac:dyDescent="0.25">
      <c r="A782" s="81"/>
      <c r="B782" s="81"/>
      <c r="C782" s="81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1"/>
      <c r="Y782" s="81"/>
      <c r="Z782" s="81"/>
      <c r="AA782" s="81"/>
      <c r="AB782" s="121"/>
      <c r="AC782" s="121"/>
      <c r="AD782" s="121"/>
      <c r="AE782" s="121"/>
      <c r="AF782" s="121"/>
      <c r="AG782" s="121"/>
      <c r="AH782" s="120"/>
    </row>
    <row r="783" spans="1:34" ht="13.2" x14ac:dyDescent="0.25">
      <c r="A783" s="81"/>
      <c r="B783" s="81"/>
      <c r="C783" s="81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1"/>
      <c r="Y783" s="81"/>
      <c r="Z783" s="81"/>
      <c r="AA783" s="81"/>
      <c r="AB783" s="121"/>
      <c r="AC783" s="121"/>
      <c r="AD783" s="121"/>
      <c r="AE783" s="121"/>
      <c r="AF783" s="121"/>
      <c r="AG783" s="121"/>
      <c r="AH783" s="120"/>
    </row>
    <row r="784" spans="1:34" ht="13.2" x14ac:dyDescent="0.25">
      <c r="A784" s="81"/>
      <c r="B784" s="81"/>
      <c r="C784" s="81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1"/>
      <c r="Y784" s="81"/>
      <c r="Z784" s="81"/>
      <c r="AA784" s="81"/>
      <c r="AB784" s="121"/>
      <c r="AC784" s="121"/>
      <c r="AD784" s="121"/>
      <c r="AE784" s="121"/>
      <c r="AF784" s="121"/>
      <c r="AG784" s="121"/>
      <c r="AH784" s="120"/>
    </row>
    <row r="785" spans="1:34" ht="13.2" x14ac:dyDescent="0.25">
      <c r="A785" s="81"/>
      <c r="B785" s="81"/>
      <c r="C785" s="81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1"/>
      <c r="Y785" s="81"/>
      <c r="Z785" s="81"/>
      <c r="AA785" s="81"/>
      <c r="AB785" s="121"/>
      <c r="AC785" s="121"/>
      <c r="AD785" s="121"/>
      <c r="AE785" s="121"/>
      <c r="AF785" s="121"/>
      <c r="AG785" s="121"/>
      <c r="AH785" s="120"/>
    </row>
    <row r="786" spans="1:34" ht="13.2" x14ac:dyDescent="0.25">
      <c r="A786" s="81"/>
      <c r="B786" s="81"/>
      <c r="C786" s="81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1"/>
      <c r="Y786" s="81"/>
      <c r="Z786" s="81"/>
      <c r="AA786" s="81"/>
      <c r="AB786" s="121"/>
      <c r="AC786" s="121"/>
      <c r="AD786" s="121"/>
      <c r="AE786" s="121"/>
      <c r="AF786" s="121"/>
      <c r="AG786" s="121"/>
      <c r="AH786" s="120"/>
    </row>
    <row r="787" spans="1:34" ht="13.2" x14ac:dyDescent="0.25">
      <c r="A787" s="81"/>
      <c r="B787" s="81"/>
      <c r="C787" s="81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1"/>
      <c r="Y787" s="81"/>
      <c r="Z787" s="81"/>
      <c r="AA787" s="81"/>
      <c r="AB787" s="121"/>
      <c r="AC787" s="121"/>
      <c r="AD787" s="121"/>
      <c r="AE787" s="121"/>
      <c r="AF787" s="121"/>
      <c r="AG787" s="121"/>
      <c r="AH787" s="120"/>
    </row>
    <row r="788" spans="1:34" ht="13.2" x14ac:dyDescent="0.25">
      <c r="A788" s="81"/>
      <c r="B788" s="81"/>
      <c r="C788" s="81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1"/>
      <c r="Y788" s="81"/>
      <c r="Z788" s="81"/>
      <c r="AA788" s="81"/>
      <c r="AB788" s="121"/>
      <c r="AC788" s="121"/>
      <c r="AD788" s="121"/>
      <c r="AE788" s="121"/>
      <c r="AF788" s="121"/>
      <c r="AG788" s="121"/>
      <c r="AH788" s="120"/>
    </row>
    <row r="789" spans="1:34" ht="13.2" x14ac:dyDescent="0.25">
      <c r="A789" s="81"/>
      <c r="B789" s="81"/>
      <c r="C789" s="81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1"/>
      <c r="Y789" s="81"/>
      <c r="Z789" s="81"/>
      <c r="AA789" s="81"/>
      <c r="AB789" s="121"/>
      <c r="AC789" s="121"/>
      <c r="AD789" s="121"/>
      <c r="AE789" s="121"/>
      <c r="AF789" s="121"/>
      <c r="AG789" s="121"/>
      <c r="AH789" s="120"/>
    </row>
    <row r="790" spans="1:34" ht="13.2" x14ac:dyDescent="0.25">
      <c r="A790" s="81"/>
      <c r="B790" s="81"/>
      <c r="C790" s="81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1"/>
      <c r="Y790" s="81"/>
      <c r="Z790" s="81"/>
      <c r="AA790" s="81"/>
      <c r="AB790" s="121"/>
      <c r="AC790" s="121"/>
      <c r="AD790" s="121"/>
      <c r="AE790" s="121"/>
      <c r="AF790" s="121"/>
      <c r="AG790" s="121"/>
      <c r="AH790" s="120"/>
    </row>
    <row r="791" spans="1:34" ht="13.2" x14ac:dyDescent="0.25">
      <c r="A791" s="81"/>
      <c r="B791" s="81"/>
      <c r="C791" s="81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1"/>
      <c r="Y791" s="81"/>
      <c r="Z791" s="81"/>
      <c r="AA791" s="81"/>
      <c r="AB791" s="121"/>
      <c r="AC791" s="121"/>
      <c r="AD791" s="121"/>
      <c r="AE791" s="121"/>
      <c r="AF791" s="121"/>
      <c r="AG791" s="121"/>
      <c r="AH791" s="120"/>
    </row>
    <row r="792" spans="1:34" ht="13.2" x14ac:dyDescent="0.25">
      <c r="A792" s="81"/>
      <c r="B792" s="81"/>
      <c r="C792" s="81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1"/>
      <c r="Y792" s="81"/>
      <c r="Z792" s="81"/>
      <c r="AA792" s="81"/>
      <c r="AB792" s="121"/>
      <c r="AC792" s="121"/>
      <c r="AD792" s="121"/>
      <c r="AE792" s="121"/>
      <c r="AF792" s="121"/>
      <c r="AG792" s="121"/>
      <c r="AH792" s="120"/>
    </row>
    <row r="793" spans="1:34" ht="13.2" x14ac:dyDescent="0.25">
      <c r="A793" s="81"/>
      <c r="B793" s="81"/>
      <c r="C793" s="81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1"/>
      <c r="Y793" s="81"/>
      <c r="Z793" s="81"/>
      <c r="AA793" s="81"/>
      <c r="AB793" s="121"/>
      <c r="AC793" s="121"/>
      <c r="AD793" s="121"/>
      <c r="AE793" s="121"/>
      <c r="AF793" s="121"/>
      <c r="AG793" s="121"/>
      <c r="AH793" s="120"/>
    </row>
    <row r="794" spans="1:34" ht="13.2" x14ac:dyDescent="0.25">
      <c r="A794" s="81"/>
      <c r="B794" s="81"/>
      <c r="C794" s="81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1"/>
      <c r="Y794" s="81"/>
      <c r="Z794" s="81"/>
      <c r="AA794" s="81"/>
      <c r="AB794" s="121"/>
      <c r="AC794" s="121"/>
      <c r="AD794" s="121"/>
      <c r="AE794" s="121"/>
      <c r="AF794" s="121"/>
      <c r="AG794" s="121"/>
      <c r="AH794" s="120"/>
    </row>
    <row r="795" spans="1:34" ht="13.2" x14ac:dyDescent="0.25">
      <c r="A795" s="81"/>
      <c r="B795" s="81"/>
      <c r="C795" s="81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1"/>
      <c r="Y795" s="81"/>
      <c r="Z795" s="81"/>
      <c r="AA795" s="81"/>
      <c r="AB795" s="121"/>
      <c r="AC795" s="121"/>
      <c r="AD795" s="121"/>
      <c r="AE795" s="121"/>
      <c r="AF795" s="121"/>
      <c r="AG795" s="121"/>
      <c r="AH795" s="120"/>
    </row>
    <row r="796" spans="1:34" ht="13.2" x14ac:dyDescent="0.25">
      <c r="A796" s="81"/>
      <c r="B796" s="81"/>
      <c r="C796" s="81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1"/>
      <c r="Y796" s="81"/>
      <c r="Z796" s="81"/>
      <c r="AA796" s="81"/>
      <c r="AB796" s="121"/>
      <c r="AC796" s="121"/>
      <c r="AD796" s="121"/>
      <c r="AE796" s="121"/>
      <c r="AF796" s="121"/>
      <c r="AG796" s="121"/>
      <c r="AH796" s="120"/>
    </row>
    <row r="797" spans="1:34" ht="13.2" x14ac:dyDescent="0.25">
      <c r="A797" s="81"/>
      <c r="B797" s="81"/>
      <c r="C797" s="81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1"/>
      <c r="Y797" s="81"/>
      <c r="Z797" s="81"/>
      <c r="AA797" s="81"/>
      <c r="AB797" s="121"/>
      <c r="AC797" s="121"/>
      <c r="AD797" s="121"/>
      <c r="AE797" s="121"/>
      <c r="AF797" s="121"/>
      <c r="AG797" s="121"/>
      <c r="AH797" s="120"/>
    </row>
    <row r="798" spans="1:34" ht="13.2" x14ac:dyDescent="0.25">
      <c r="A798" s="81"/>
      <c r="B798" s="81"/>
      <c r="C798" s="81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1"/>
      <c r="Y798" s="81"/>
      <c r="Z798" s="81"/>
      <c r="AA798" s="81"/>
      <c r="AB798" s="121"/>
      <c r="AC798" s="121"/>
      <c r="AD798" s="121"/>
      <c r="AE798" s="121"/>
      <c r="AF798" s="121"/>
      <c r="AG798" s="121"/>
      <c r="AH798" s="120"/>
    </row>
    <row r="799" spans="1:34" ht="13.2" x14ac:dyDescent="0.25">
      <c r="A799" s="81"/>
      <c r="B799" s="81"/>
      <c r="C799" s="81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1"/>
      <c r="Y799" s="81"/>
      <c r="Z799" s="81"/>
      <c r="AA799" s="81"/>
      <c r="AB799" s="121"/>
      <c r="AC799" s="121"/>
      <c r="AD799" s="121"/>
      <c r="AE799" s="121"/>
      <c r="AF799" s="121"/>
      <c r="AG799" s="121"/>
      <c r="AH799" s="120"/>
    </row>
    <row r="800" spans="1:34" ht="13.2" x14ac:dyDescent="0.25">
      <c r="A800" s="81"/>
      <c r="B800" s="81"/>
      <c r="C800" s="81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1"/>
      <c r="Y800" s="81"/>
      <c r="Z800" s="81"/>
      <c r="AA800" s="81"/>
      <c r="AB800" s="121"/>
      <c r="AC800" s="121"/>
      <c r="AD800" s="121"/>
      <c r="AE800" s="121"/>
      <c r="AF800" s="121"/>
      <c r="AG800" s="121"/>
      <c r="AH800" s="120"/>
    </row>
    <row r="801" spans="1:34" ht="13.2" x14ac:dyDescent="0.25">
      <c r="A801" s="81"/>
      <c r="B801" s="81"/>
      <c r="C801" s="81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1"/>
      <c r="Y801" s="81"/>
      <c r="Z801" s="81"/>
      <c r="AA801" s="81"/>
      <c r="AB801" s="121"/>
      <c r="AC801" s="121"/>
      <c r="AD801" s="121"/>
      <c r="AE801" s="121"/>
      <c r="AF801" s="121"/>
      <c r="AG801" s="121"/>
      <c r="AH801" s="120"/>
    </row>
    <row r="802" spans="1:34" ht="13.2" x14ac:dyDescent="0.25">
      <c r="A802" s="81"/>
      <c r="B802" s="81"/>
      <c r="C802" s="81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1"/>
      <c r="Y802" s="81"/>
      <c r="Z802" s="81"/>
      <c r="AA802" s="81"/>
      <c r="AB802" s="121"/>
      <c r="AC802" s="121"/>
      <c r="AD802" s="121"/>
      <c r="AE802" s="121"/>
      <c r="AF802" s="121"/>
      <c r="AG802" s="121"/>
      <c r="AH802" s="120"/>
    </row>
    <row r="803" spans="1:34" ht="13.2" x14ac:dyDescent="0.25">
      <c r="A803" s="81"/>
      <c r="B803" s="81"/>
      <c r="C803" s="81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1"/>
      <c r="Y803" s="81"/>
      <c r="Z803" s="81"/>
      <c r="AA803" s="81"/>
      <c r="AB803" s="121"/>
      <c r="AC803" s="121"/>
      <c r="AD803" s="121"/>
      <c r="AE803" s="121"/>
      <c r="AF803" s="121"/>
      <c r="AG803" s="121"/>
      <c r="AH803" s="120"/>
    </row>
    <row r="804" spans="1:34" ht="13.2" x14ac:dyDescent="0.25">
      <c r="A804" s="81"/>
      <c r="B804" s="81"/>
      <c r="C804" s="81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1"/>
      <c r="Y804" s="81"/>
      <c r="Z804" s="81"/>
      <c r="AA804" s="81"/>
      <c r="AB804" s="121"/>
      <c r="AC804" s="121"/>
      <c r="AD804" s="121"/>
      <c r="AE804" s="121"/>
      <c r="AF804" s="121"/>
      <c r="AG804" s="121"/>
      <c r="AH804" s="120"/>
    </row>
    <row r="805" spans="1:34" ht="13.2" x14ac:dyDescent="0.25">
      <c r="A805" s="81"/>
      <c r="B805" s="81"/>
      <c r="C805" s="81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1"/>
      <c r="Y805" s="81"/>
      <c r="Z805" s="81"/>
      <c r="AA805" s="81"/>
      <c r="AB805" s="121"/>
      <c r="AC805" s="121"/>
      <c r="AD805" s="121"/>
      <c r="AE805" s="121"/>
      <c r="AF805" s="121"/>
      <c r="AG805" s="121"/>
      <c r="AH805" s="120"/>
    </row>
    <row r="806" spans="1:34" ht="13.2" x14ac:dyDescent="0.25">
      <c r="A806" s="81"/>
      <c r="B806" s="81"/>
      <c r="C806" s="81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1"/>
      <c r="Y806" s="81"/>
      <c r="Z806" s="81"/>
      <c r="AA806" s="81"/>
      <c r="AB806" s="121"/>
      <c r="AC806" s="121"/>
      <c r="AD806" s="121"/>
      <c r="AE806" s="121"/>
      <c r="AF806" s="121"/>
      <c r="AG806" s="121"/>
      <c r="AH806" s="120"/>
    </row>
    <row r="807" spans="1:34" ht="13.2" x14ac:dyDescent="0.25">
      <c r="A807" s="81"/>
      <c r="B807" s="81"/>
      <c r="C807" s="81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1"/>
      <c r="Y807" s="81"/>
      <c r="Z807" s="81"/>
      <c r="AA807" s="81"/>
      <c r="AB807" s="121"/>
      <c r="AC807" s="121"/>
      <c r="AD807" s="121"/>
      <c r="AE807" s="121"/>
      <c r="AF807" s="121"/>
      <c r="AG807" s="121"/>
      <c r="AH807" s="120"/>
    </row>
    <row r="808" spans="1:34" ht="13.2" x14ac:dyDescent="0.25">
      <c r="A808" s="81"/>
      <c r="B808" s="81"/>
      <c r="C808" s="81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1"/>
      <c r="Y808" s="81"/>
      <c r="Z808" s="81"/>
      <c r="AA808" s="81"/>
      <c r="AB808" s="121"/>
      <c r="AC808" s="121"/>
      <c r="AD808" s="121"/>
      <c r="AE808" s="121"/>
      <c r="AF808" s="121"/>
      <c r="AG808" s="121"/>
      <c r="AH808" s="120"/>
    </row>
    <row r="809" spans="1:34" ht="13.2" x14ac:dyDescent="0.25">
      <c r="A809" s="81"/>
      <c r="B809" s="81"/>
      <c r="C809" s="81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1"/>
      <c r="Y809" s="81"/>
      <c r="Z809" s="81"/>
      <c r="AA809" s="81"/>
      <c r="AB809" s="121"/>
      <c r="AC809" s="121"/>
      <c r="AD809" s="121"/>
      <c r="AE809" s="121"/>
      <c r="AF809" s="121"/>
      <c r="AG809" s="121"/>
      <c r="AH809" s="120"/>
    </row>
    <row r="810" spans="1:34" ht="13.2" x14ac:dyDescent="0.25">
      <c r="A810" s="81"/>
      <c r="B810" s="81"/>
      <c r="C810" s="81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1"/>
      <c r="Y810" s="81"/>
      <c r="Z810" s="81"/>
      <c r="AA810" s="81"/>
      <c r="AB810" s="121"/>
      <c r="AC810" s="121"/>
      <c r="AD810" s="121"/>
      <c r="AE810" s="121"/>
      <c r="AF810" s="121"/>
      <c r="AG810" s="121"/>
      <c r="AH810" s="120"/>
    </row>
    <row r="811" spans="1:34" ht="13.2" x14ac:dyDescent="0.25">
      <c r="A811" s="81"/>
      <c r="B811" s="81"/>
      <c r="C811" s="81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1"/>
      <c r="Y811" s="81"/>
      <c r="Z811" s="81"/>
      <c r="AA811" s="81"/>
      <c r="AB811" s="121"/>
      <c r="AC811" s="121"/>
      <c r="AD811" s="121"/>
      <c r="AE811" s="121"/>
      <c r="AF811" s="121"/>
      <c r="AG811" s="121"/>
      <c r="AH811" s="120"/>
    </row>
    <row r="812" spans="1:34" ht="13.2" x14ac:dyDescent="0.25">
      <c r="A812" s="81"/>
      <c r="B812" s="81"/>
      <c r="C812" s="81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1"/>
      <c r="Y812" s="81"/>
      <c r="Z812" s="81"/>
      <c r="AA812" s="81"/>
      <c r="AB812" s="121"/>
      <c r="AC812" s="121"/>
      <c r="AD812" s="121"/>
      <c r="AE812" s="121"/>
      <c r="AF812" s="121"/>
      <c r="AG812" s="121"/>
      <c r="AH812" s="120"/>
    </row>
    <row r="813" spans="1:34" ht="13.2" x14ac:dyDescent="0.25">
      <c r="A813" s="81"/>
      <c r="B813" s="81"/>
      <c r="C813" s="81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1"/>
      <c r="Y813" s="81"/>
      <c r="Z813" s="81"/>
      <c r="AA813" s="81"/>
      <c r="AB813" s="121"/>
      <c r="AC813" s="121"/>
      <c r="AD813" s="121"/>
      <c r="AE813" s="121"/>
      <c r="AF813" s="121"/>
      <c r="AG813" s="121"/>
      <c r="AH813" s="120"/>
    </row>
    <row r="814" spans="1:34" ht="13.2" x14ac:dyDescent="0.25">
      <c r="A814" s="81"/>
      <c r="B814" s="81"/>
      <c r="C814" s="81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1"/>
      <c r="Y814" s="81"/>
      <c r="Z814" s="81"/>
      <c r="AA814" s="81"/>
      <c r="AB814" s="121"/>
      <c r="AC814" s="121"/>
      <c r="AD814" s="121"/>
      <c r="AE814" s="121"/>
      <c r="AF814" s="121"/>
      <c r="AG814" s="121"/>
      <c r="AH814" s="120"/>
    </row>
    <row r="815" spans="1:34" ht="13.2" x14ac:dyDescent="0.25">
      <c r="A815" s="81"/>
      <c r="B815" s="81"/>
      <c r="C815" s="81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1"/>
      <c r="Y815" s="81"/>
      <c r="Z815" s="81"/>
      <c r="AA815" s="81"/>
      <c r="AB815" s="121"/>
      <c r="AC815" s="121"/>
      <c r="AD815" s="121"/>
      <c r="AE815" s="121"/>
      <c r="AF815" s="121"/>
      <c r="AG815" s="121"/>
      <c r="AH815" s="120"/>
    </row>
    <row r="816" spans="1:34" ht="13.2" x14ac:dyDescent="0.25">
      <c r="A816" s="81"/>
      <c r="B816" s="81"/>
      <c r="C816" s="81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1"/>
      <c r="Y816" s="81"/>
      <c r="Z816" s="81"/>
      <c r="AA816" s="81"/>
      <c r="AB816" s="121"/>
      <c r="AC816" s="121"/>
      <c r="AD816" s="121"/>
      <c r="AE816" s="121"/>
      <c r="AF816" s="121"/>
      <c r="AG816" s="121"/>
      <c r="AH816" s="120"/>
    </row>
    <row r="817" spans="1:34" ht="13.2" x14ac:dyDescent="0.25">
      <c r="A817" s="81"/>
      <c r="B817" s="81"/>
      <c r="C817" s="81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1"/>
      <c r="Y817" s="81"/>
      <c r="Z817" s="81"/>
      <c r="AA817" s="81"/>
      <c r="AB817" s="121"/>
      <c r="AC817" s="121"/>
      <c r="AD817" s="121"/>
      <c r="AE817" s="121"/>
      <c r="AF817" s="121"/>
      <c r="AG817" s="121"/>
      <c r="AH817" s="120"/>
    </row>
    <row r="818" spans="1:34" ht="13.2" x14ac:dyDescent="0.25">
      <c r="A818" s="81"/>
      <c r="B818" s="81"/>
      <c r="C818" s="81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1"/>
      <c r="Y818" s="81"/>
      <c r="Z818" s="81"/>
      <c r="AA818" s="81"/>
      <c r="AB818" s="121"/>
      <c r="AC818" s="121"/>
      <c r="AD818" s="121"/>
      <c r="AE818" s="121"/>
      <c r="AF818" s="121"/>
      <c r="AG818" s="121"/>
      <c r="AH818" s="120"/>
    </row>
    <row r="819" spans="1:34" ht="13.2" x14ac:dyDescent="0.25">
      <c r="A819" s="81"/>
      <c r="B819" s="81"/>
      <c r="C819" s="81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1"/>
      <c r="Y819" s="81"/>
      <c r="Z819" s="81"/>
      <c r="AA819" s="81"/>
      <c r="AB819" s="121"/>
      <c r="AC819" s="121"/>
      <c r="AD819" s="121"/>
      <c r="AE819" s="121"/>
      <c r="AF819" s="121"/>
      <c r="AG819" s="121"/>
      <c r="AH819" s="120"/>
    </row>
    <row r="820" spans="1:34" ht="13.2" x14ac:dyDescent="0.25">
      <c r="A820" s="81"/>
      <c r="B820" s="81"/>
      <c r="C820" s="81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1"/>
      <c r="Y820" s="81"/>
      <c r="Z820" s="81"/>
      <c r="AA820" s="81"/>
      <c r="AB820" s="121"/>
      <c r="AC820" s="121"/>
      <c r="AD820" s="121"/>
      <c r="AE820" s="121"/>
      <c r="AF820" s="121"/>
      <c r="AG820" s="121"/>
      <c r="AH820" s="120"/>
    </row>
    <row r="821" spans="1:34" ht="13.2" x14ac:dyDescent="0.25">
      <c r="A821" s="81"/>
      <c r="B821" s="81"/>
      <c r="C821" s="81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1"/>
      <c r="Y821" s="81"/>
      <c r="Z821" s="81"/>
      <c r="AA821" s="81"/>
      <c r="AB821" s="121"/>
      <c r="AC821" s="121"/>
      <c r="AD821" s="121"/>
      <c r="AE821" s="121"/>
      <c r="AF821" s="121"/>
      <c r="AG821" s="121"/>
      <c r="AH821" s="120"/>
    </row>
    <row r="822" spans="1:34" ht="13.2" x14ac:dyDescent="0.25">
      <c r="A822" s="81"/>
      <c r="B822" s="81"/>
      <c r="C822" s="81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1"/>
      <c r="Y822" s="81"/>
      <c r="Z822" s="81"/>
      <c r="AA822" s="81"/>
      <c r="AB822" s="121"/>
      <c r="AC822" s="121"/>
      <c r="AD822" s="121"/>
      <c r="AE822" s="121"/>
      <c r="AF822" s="121"/>
      <c r="AG822" s="121"/>
      <c r="AH822" s="120"/>
    </row>
    <row r="823" spans="1:34" ht="13.2" x14ac:dyDescent="0.25">
      <c r="A823" s="81"/>
      <c r="B823" s="81"/>
      <c r="C823" s="81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1"/>
      <c r="Y823" s="81"/>
      <c r="Z823" s="81"/>
      <c r="AA823" s="81"/>
      <c r="AB823" s="121"/>
      <c r="AC823" s="121"/>
      <c r="AD823" s="121"/>
      <c r="AE823" s="121"/>
      <c r="AF823" s="121"/>
      <c r="AG823" s="121"/>
      <c r="AH823" s="120"/>
    </row>
    <row r="824" spans="1:34" ht="13.2" x14ac:dyDescent="0.25">
      <c r="A824" s="81"/>
      <c r="B824" s="81"/>
      <c r="C824" s="81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1"/>
      <c r="Y824" s="81"/>
      <c r="Z824" s="81"/>
      <c r="AA824" s="81"/>
      <c r="AB824" s="121"/>
      <c r="AC824" s="121"/>
      <c r="AD824" s="121"/>
      <c r="AE824" s="121"/>
      <c r="AF824" s="121"/>
      <c r="AG824" s="121"/>
      <c r="AH824" s="120"/>
    </row>
    <row r="825" spans="1:34" ht="13.2" x14ac:dyDescent="0.25">
      <c r="A825" s="81"/>
      <c r="B825" s="81"/>
      <c r="C825" s="81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1"/>
      <c r="Y825" s="81"/>
      <c r="Z825" s="81"/>
      <c r="AA825" s="81"/>
      <c r="AB825" s="121"/>
      <c r="AC825" s="121"/>
      <c r="AD825" s="121"/>
      <c r="AE825" s="121"/>
      <c r="AF825" s="121"/>
      <c r="AG825" s="121"/>
      <c r="AH825" s="120"/>
    </row>
    <row r="826" spans="1:34" ht="13.2" x14ac:dyDescent="0.25">
      <c r="A826" s="81"/>
      <c r="B826" s="81"/>
      <c r="C826" s="81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1"/>
      <c r="Y826" s="81"/>
      <c r="Z826" s="81"/>
      <c r="AA826" s="81"/>
      <c r="AB826" s="121"/>
      <c r="AC826" s="121"/>
      <c r="AD826" s="121"/>
      <c r="AE826" s="121"/>
      <c r="AF826" s="121"/>
      <c r="AG826" s="121"/>
      <c r="AH826" s="120"/>
    </row>
    <row r="827" spans="1:34" ht="13.2" x14ac:dyDescent="0.25">
      <c r="A827" s="81"/>
      <c r="B827" s="81"/>
      <c r="C827" s="81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1"/>
      <c r="Y827" s="81"/>
      <c r="Z827" s="81"/>
      <c r="AA827" s="81"/>
      <c r="AB827" s="121"/>
      <c r="AC827" s="121"/>
      <c r="AD827" s="121"/>
      <c r="AE827" s="121"/>
      <c r="AF827" s="121"/>
      <c r="AG827" s="121"/>
      <c r="AH827" s="120"/>
    </row>
    <row r="828" spans="1:34" ht="13.2" x14ac:dyDescent="0.25">
      <c r="A828" s="81"/>
      <c r="B828" s="81"/>
      <c r="C828" s="81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1"/>
      <c r="Y828" s="81"/>
      <c r="Z828" s="81"/>
      <c r="AA828" s="81"/>
      <c r="AB828" s="121"/>
      <c r="AC828" s="121"/>
      <c r="AD828" s="121"/>
      <c r="AE828" s="121"/>
      <c r="AF828" s="121"/>
      <c r="AG828" s="121"/>
      <c r="AH828" s="120"/>
    </row>
    <row r="829" spans="1:34" ht="13.2" x14ac:dyDescent="0.25">
      <c r="A829" s="81"/>
      <c r="B829" s="81"/>
      <c r="C829" s="81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1"/>
      <c r="Y829" s="81"/>
      <c r="Z829" s="81"/>
      <c r="AA829" s="81"/>
      <c r="AB829" s="121"/>
      <c r="AC829" s="121"/>
      <c r="AD829" s="121"/>
      <c r="AE829" s="121"/>
      <c r="AF829" s="121"/>
      <c r="AG829" s="121"/>
      <c r="AH829" s="120"/>
    </row>
    <row r="830" spans="1:34" ht="13.2" x14ac:dyDescent="0.25">
      <c r="A830" s="81"/>
      <c r="B830" s="81"/>
      <c r="C830" s="81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1"/>
      <c r="Y830" s="81"/>
      <c r="Z830" s="81"/>
      <c r="AA830" s="81"/>
      <c r="AB830" s="121"/>
      <c r="AC830" s="121"/>
      <c r="AD830" s="121"/>
      <c r="AE830" s="121"/>
      <c r="AF830" s="121"/>
      <c r="AG830" s="121"/>
      <c r="AH830" s="120"/>
    </row>
    <row r="831" spans="1:34" ht="13.2" x14ac:dyDescent="0.25">
      <c r="A831" s="81"/>
      <c r="B831" s="81"/>
      <c r="C831" s="81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1"/>
      <c r="Y831" s="81"/>
      <c r="Z831" s="81"/>
      <c r="AA831" s="81"/>
      <c r="AB831" s="121"/>
      <c r="AC831" s="121"/>
      <c r="AD831" s="121"/>
      <c r="AE831" s="121"/>
      <c r="AF831" s="121"/>
      <c r="AG831" s="121"/>
      <c r="AH831" s="120"/>
    </row>
    <row r="832" spans="1:34" ht="13.2" x14ac:dyDescent="0.25">
      <c r="A832" s="81"/>
      <c r="B832" s="81"/>
      <c r="C832" s="81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1"/>
      <c r="Y832" s="81"/>
      <c r="Z832" s="81"/>
      <c r="AA832" s="81"/>
      <c r="AB832" s="121"/>
      <c r="AC832" s="121"/>
      <c r="AD832" s="121"/>
      <c r="AE832" s="121"/>
      <c r="AF832" s="121"/>
      <c r="AG832" s="121"/>
      <c r="AH832" s="120"/>
    </row>
    <row r="833" spans="1:34" ht="13.2" x14ac:dyDescent="0.25">
      <c r="A833" s="81"/>
      <c r="B833" s="81"/>
      <c r="C833" s="81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1"/>
      <c r="Y833" s="81"/>
      <c r="Z833" s="81"/>
      <c r="AA833" s="81"/>
      <c r="AB833" s="121"/>
      <c r="AC833" s="121"/>
      <c r="AD833" s="121"/>
      <c r="AE833" s="121"/>
      <c r="AF833" s="121"/>
      <c r="AG833" s="121"/>
      <c r="AH833" s="120"/>
    </row>
    <row r="834" spans="1:34" ht="13.2" x14ac:dyDescent="0.25">
      <c r="A834" s="81"/>
      <c r="B834" s="81"/>
      <c r="C834" s="81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1"/>
      <c r="Y834" s="81"/>
      <c r="Z834" s="81"/>
      <c r="AA834" s="81"/>
      <c r="AB834" s="121"/>
      <c r="AC834" s="121"/>
      <c r="AD834" s="121"/>
      <c r="AE834" s="121"/>
      <c r="AF834" s="121"/>
      <c r="AG834" s="121"/>
      <c r="AH834" s="120"/>
    </row>
    <row r="835" spans="1:34" ht="13.2" x14ac:dyDescent="0.25">
      <c r="A835" s="81"/>
      <c r="B835" s="81"/>
      <c r="C835" s="81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1"/>
      <c r="Y835" s="81"/>
      <c r="Z835" s="81"/>
      <c r="AA835" s="81"/>
      <c r="AB835" s="121"/>
      <c r="AC835" s="121"/>
      <c r="AD835" s="121"/>
      <c r="AE835" s="121"/>
      <c r="AF835" s="121"/>
      <c r="AG835" s="121"/>
      <c r="AH835" s="120"/>
    </row>
    <row r="836" spans="1:34" ht="13.2" x14ac:dyDescent="0.25">
      <c r="A836" s="81"/>
      <c r="B836" s="81"/>
      <c r="C836" s="81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1"/>
      <c r="Y836" s="81"/>
      <c r="Z836" s="81"/>
      <c r="AA836" s="81"/>
      <c r="AB836" s="121"/>
      <c r="AC836" s="121"/>
      <c r="AD836" s="121"/>
      <c r="AE836" s="121"/>
      <c r="AF836" s="121"/>
      <c r="AG836" s="121"/>
      <c r="AH836" s="120"/>
    </row>
    <row r="837" spans="1:34" ht="13.2" x14ac:dyDescent="0.25">
      <c r="A837" s="81"/>
      <c r="B837" s="81"/>
      <c r="C837" s="81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1"/>
      <c r="Y837" s="81"/>
      <c r="Z837" s="81"/>
      <c r="AA837" s="81"/>
      <c r="AB837" s="121"/>
      <c r="AC837" s="121"/>
      <c r="AD837" s="121"/>
      <c r="AE837" s="121"/>
      <c r="AF837" s="121"/>
      <c r="AG837" s="121"/>
      <c r="AH837" s="120"/>
    </row>
    <row r="838" spans="1:34" ht="13.2" x14ac:dyDescent="0.25">
      <c r="A838" s="81"/>
      <c r="B838" s="81"/>
      <c r="C838" s="81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1"/>
      <c r="Y838" s="81"/>
      <c r="Z838" s="81"/>
      <c r="AA838" s="81"/>
      <c r="AB838" s="121"/>
      <c r="AC838" s="121"/>
      <c r="AD838" s="121"/>
      <c r="AE838" s="121"/>
      <c r="AF838" s="121"/>
      <c r="AG838" s="121"/>
      <c r="AH838" s="120"/>
    </row>
    <row r="839" spans="1:34" ht="13.2" x14ac:dyDescent="0.25">
      <c r="A839" s="81"/>
      <c r="B839" s="81"/>
      <c r="C839" s="81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1"/>
      <c r="Y839" s="81"/>
      <c r="Z839" s="81"/>
      <c r="AA839" s="81"/>
      <c r="AB839" s="121"/>
      <c r="AC839" s="121"/>
      <c r="AD839" s="121"/>
      <c r="AE839" s="121"/>
      <c r="AF839" s="121"/>
      <c r="AG839" s="121"/>
      <c r="AH839" s="120"/>
    </row>
    <row r="840" spans="1:34" ht="13.2" x14ac:dyDescent="0.25">
      <c r="A840" s="81"/>
      <c r="B840" s="81"/>
      <c r="C840" s="81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1"/>
      <c r="Y840" s="81"/>
      <c r="Z840" s="81"/>
      <c r="AA840" s="81"/>
      <c r="AB840" s="121"/>
      <c r="AC840" s="121"/>
      <c r="AD840" s="121"/>
      <c r="AE840" s="121"/>
      <c r="AF840" s="121"/>
      <c r="AG840" s="121"/>
      <c r="AH840" s="120"/>
    </row>
    <row r="841" spans="1:34" ht="13.2" x14ac:dyDescent="0.25">
      <c r="A841" s="81"/>
      <c r="B841" s="81"/>
      <c r="C841" s="81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1"/>
      <c r="Y841" s="81"/>
      <c r="Z841" s="81"/>
      <c r="AA841" s="81"/>
      <c r="AB841" s="121"/>
      <c r="AC841" s="121"/>
      <c r="AD841" s="121"/>
      <c r="AE841" s="121"/>
      <c r="AF841" s="121"/>
      <c r="AG841" s="121"/>
      <c r="AH841" s="120"/>
    </row>
    <row r="842" spans="1:34" ht="13.2" x14ac:dyDescent="0.25">
      <c r="A842" s="81"/>
      <c r="B842" s="81"/>
      <c r="C842" s="81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1"/>
      <c r="Y842" s="81"/>
      <c r="Z842" s="81"/>
      <c r="AA842" s="81"/>
      <c r="AB842" s="121"/>
      <c r="AC842" s="121"/>
      <c r="AD842" s="121"/>
      <c r="AE842" s="121"/>
      <c r="AF842" s="121"/>
      <c r="AG842" s="121"/>
      <c r="AH842" s="120"/>
    </row>
    <row r="843" spans="1:34" ht="13.2" x14ac:dyDescent="0.25">
      <c r="A843" s="81"/>
      <c r="B843" s="81"/>
      <c r="C843" s="81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1"/>
      <c r="Y843" s="81"/>
      <c r="Z843" s="81"/>
      <c r="AA843" s="81"/>
      <c r="AB843" s="121"/>
      <c r="AC843" s="121"/>
      <c r="AD843" s="121"/>
      <c r="AE843" s="121"/>
      <c r="AF843" s="121"/>
      <c r="AG843" s="121"/>
      <c r="AH843" s="120"/>
    </row>
    <row r="844" spans="1:34" ht="13.2" x14ac:dyDescent="0.25">
      <c r="A844" s="81"/>
      <c r="B844" s="81"/>
      <c r="C844" s="81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1"/>
      <c r="Y844" s="81"/>
      <c r="Z844" s="81"/>
      <c r="AA844" s="81"/>
      <c r="AB844" s="121"/>
      <c r="AC844" s="121"/>
      <c r="AD844" s="121"/>
      <c r="AE844" s="121"/>
      <c r="AF844" s="121"/>
      <c r="AG844" s="121"/>
      <c r="AH844" s="120"/>
    </row>
    <row r="845" spans="1:34" ht="13.2" x14ac:dyDescent="0.25">
      <c r="A845" s="81"/>
      <c r="B845" s="81"/>
      <c r="C845" s="81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1"/>
      <c r="Y845" s="81"/>
      <c r="Z845" s="81"/>
      <c r="AA845" s="81"/>
      <c r="AB845" s="121"/>
      <c r="AC845" s="121"/>
      <c r="AD845" s="121"/>
      <c r="AE845" s="121"/>
      <c r="AF845" s="121"/>
      <c r="AG845" s="121"/>
      <c r="AH845" s="120"/>
    </row>
    <row r="846" spans="1:34" ht="13.2" x14ac:dyDescent="0.25">
      <c r="A846" s="81"/>
      <c r="B846" s="81"/>
      <c r="C846" s="81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1"/>
      <c r="Y846" s="81"/>
      <c r="Z846" s="81"/>
      <c r="AA846" s="81"/>
      <c r="AB846" s="121"/>
      <c r="AC846" s="121"/>
      <c r="AD846" s="121"/>
      <c r="AE846" s="121"/>
      <c r="AF846" s="121"/>
      <c r="AG846" s="121"/>
      <c r="AH846" s="120"/>
    </row>
    <row r="847" spans="1:34" ht="13.2" x14ac:dyDescent="0.25">
      <c r="A847" s="81"/>
      <c r="B847" s="81"/>
      <c r="C847" s="81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1"/>
      <c r="Y847" s="81"/>
      <c r="Z847" s="81"/>
      <c r="AA847" s="81"/>
      <c r="AB847" s="121"/>
      <c r="AC847" s="121"/>
      <c r="AD847" s="121"/>
      <c r="AE847" s="121"/>
      <c r="AF847" s="121"/>
      <c r="AG847" s="121"/>
      <c r="AH847" s="120"/>
    </row>
    <row r="848" spans="1:34" ht="13.2" x14ac:dyDescent="0.25">
      <c r="A848" s="81"/>
      <c r="B848" s="81"/>
      <c r="C848" s="81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1"/>
      <c r="Y848" s="81"/>
      <c r="Z848" s="81"/>
      <c r="AA848" s="81"/>
      <c r="AB848" s="121"/>
      <c r="AC848" s="121"/>
      <c r="AD848" s="121"/>
      <c r="AE848" s="121"/>
      <c r="AF848" s="121"/>
      <c r="AG848" s="121"/>
      <c r="AH848" s="120"/>
    </row>
    <row r="849" spans="1:34" ht="13.2" x14ac:dyDescent="0.25">
      <c r="A849" s="81"/>
      <c r="B849" s="81"/>
      <c r="C849" s="81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1"/>
      <c r="Y849" s="81"/>
      <c r="Z849" s="81"/>
      <c r="AA849" s="81"/>
      <c r="AB849" s="121"/>
      <c r="AC849" s="121"/>
      <c r="AD849" s="121"/>
      <c r="AE849" s="121"/>
      <c r="AF849" s="121"/>
      <c r="AG849" s="121"/>
      <c r="AH849" s="120"/>
    </row>
    <row r="850" spans="1:34" ht="13.2" x14ac:dyDescent="0.25">
      <c r="A850" s="81"/>
      <c r="B850" s="81"/>
      <c r="C850" s="81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1"/>
      <c r="Y850" s="81"/>
      <c r="Z850" s="81"/>
      <c r="AA850" s="81"/>
      <c r="AB850" s="121"/>
      <c r="AC850" s="121"/>
      <c r="AD850" s="121"/>
      <c r="AE850" s="121"/>
      <c r="AF850" s="121"/>
      <c r="AG850" s="121"/>
      <c r="AH850" s="120"/>
    </row>
    <row r="851" spans="1:34" ht="13.2" x14ac:dyDescent="0.25">
      <c r="A851" s="81"/>
      <c r="B851" s="81"/>
      <c r="C851" s="81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1"/>
      <c r="Y851" s="81"/>
      <c r="Z851" s="81"/>
      <c r="AA851" s="81"/>
      <c r="AB851" s="121"/>
      <c r="AC851" s="121"/>
      <c r="AD851" s="121"/>
      <c r="AE851" s="121"/>
      <c r="AF851" s="121"/>
      <c r="AG851" s="121"/>
      <c r="AH851" s="120"/>
    </row>
    <row r="852" spans="1:34" ht="13.2" x14ac:dyDescent="0.25">
      <c r="A852" s="81"/>
      <c r="B852" s="81"/>
      <c r="C852" s="81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1"/>
      <c r="Y852" s="81"/>
      <c r="Z852" s="81"/>
      <c r="AA852" s="81"/>
      <c r="AB852" s="121"/>
      <c r="AC852" s="121"/>
      <c r="AD852" s="121"/>
      <c r="AE852" s="121"/>
      <c r="AF852" s="121"/>
      <c r="AG852" s="121"/>
      <c r="AH852" s="120"/>
    </row>
    <row r="853" spans="1:34" ht="13.2" x14ac:dyDescent="0.25">
      <c r="A853" s="81"/>
      <c r="B853" s="81"/>
      <c r="C853" s="81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1"/>
      <c r="Y853" s="81"/>
      <c r="Z853" s="81"/>
      <c r="AA853" s="81"/>
      <c r="AB853" s="121"/>
      <c r="AC853" s="121"/>
      <c r="AD853" s="121"/>
      <c r="AE853" s="121"/>
      <c r="AF853" s="121"/>
      <c r="AG853" s="121"/>
      <c r="AH853" s="120"/>
    </row>
    <row r="854" spans="1:34" ht="13.2" x14ac:dyDescent="0.25">
      <c r="A854" s="81"/>
      <c r="B854" s="81"/>
      <c r="C854" s="81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1"/>
      <c r="Y854" s="81"/>
      <c r="Z854" s="81"/>
      <c r="AA854" s="81"/>
      <c r="AB854" s="121"/>
      <c r="AC854" s="121"/>
      <c r="AD854" s="121"/>
      <c r="AE854" s="121"/>
      <c r="AF854" s="121"/>
      <c r="AG854" s="121"/>
      <c r="AH854" s="120"/>
    </row>
    <row r="855" spans="1:34" ht="13.2" x14ac:dyDescent="0.25">
      <c r="A855" s="81"/>
      <c r="B855" s="81"/>
      <c r="C855" s="81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1"/>
      <c r="Y855" s="81"/>
      <c r="Z855" s="81"/>
      <c r="AA855" s="81"/>
      <c r="AB855" s="121"/>
      <c r="AC855" s="121"/>
      <c r="AD855" s="121"/>
      <c r="AE855" s="121"/>
      <c r="AF855" s="121"/>
      <c r="AG855" s="121"/>
      <c r="AH855" s="120"/>
    </row>
    <row r="856" spans="1:34" ht="13.2" x14ac:dyDescent="0.25">
      <c r="A856" s="81"/>
      <c r="B856" s="81"/>
      <c r="C856" s="81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1"/>
      <c r="Y856" s="81"/>
      <c r="Z856" s="81"/>
      <c r="AA856" s="81"/>
      <c r="AB856" s="121"/>
      <c r="AC856" s="121"/>
      <c r="AD856" s="121"/>
      <c r="AE856" s="121"/>
      <c r="AF856" s="121"/>
      <c r="AG856" s="121"/>
      <c r="AH856" s="120"/>
    </row>
    <row r="857" spans="1:34" ht="13.2" x14ac:dyDescent="0.25">
      <c r="A857" s="81"/>
      <c r="B857" s="81"/>
      <c r="C857" s="81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1"/>
      <c r="Y857" s="81"/>
      <c r="Z857" s="81"/>
      <c r="AA857" s="81"/>
      <c r="AB857" s="121"/>
      <c r="AC857" s="121"/>
      <c r="AD857" s="121"/>
      <c r="AE857" s="121"/>
      <c r="AF857" s="121"/>
      <c r="AG857" s="121"/>
      <c r="AH857" s="120"/>
    </row>
    <row r="858" spans="1:34" ht="13.2" x14ac:dyDescent="0.25">
      <c r="A858" s="81"/>
      <c r="B858" s="81"/>
      <c r="C858" s="81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1"/>
      <c r="Y858" s="81"/>
      <c r="Z858" s="81"/>
      <c r="AA858" s="81"/>
      <c r="AB858" s="121"/>
      <c r="AC858" s="121"/>
      <c r="AD858" s="121"/>
      <c r="AE858" s="121"/>
      <c r="AF858" s="121"/>
      <c r="AG858" s="121"/>
      <c r="AH858" s="120"/>
    </row>
    <row r="859" spans="1:34" ht="13.2" x14ac:dyDescent="0.25">
      <c r="A859" s="81"/>
      <c r="B859" s="81"/>
      <c r="C859" s="81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1"/>
      <c r="Y859" s="81"/>
      <c r="Z859" s="81"/>
      <c r="AA859" s="81"/>
      <c r="AB859" s="121"/>
      <c r="AC859" s="121"/>
      <c r="AD859" s="121"/>
      <c r="AE859" s="121"/>
      <c r="AF859" s="121"/>
      <c r="AG859" s="121"/>
      <c r="AH859" s="120"/>
    </row>
    <row r="860" spans="1:34" ht="13.2" x14ac:dyDescent="0.25">
      <c r="A860" s="81"/>
      <c r="B860" s="81"/>
      <c r="C860" s="81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1"/>
      <c r="Y860" s="81"/>
      <c r="Z860" s="81"/>
      <c r="AA860" s="81"/>
      <c r="AB860" s="121"/>
      <c r="AC860" s="121"/>
      <c r="AD860" s="121"/>
      <c r="AE860" s="121"/>
      <c r="AF860" s="121"/>
      <c r="AG860" s="121"/>
      <c r="AH860" s="120"/>
    </row>
    <row r="861" spans="1:34" ht="13.2" x14ac:dyDescent="0.25">
      <c r="A861" s="81"/>
      <c r="B861" s="81"/>
      <c r="C861" s="81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1"/>
      <c r="Y861" s="81"/>
      <c r="Z861" s="81"/>
      <c r="AA861" s="81"/>
      <c r="AB861" s="121"/>
      <c r="AC861" s="121"/>
      <c r="AD861" s="121"/>
      <c r="AE861" s="121"/>
      <c r="AF861" s="121"/>
      <c r="AG861" s="121"/>
      <c r="AH861" s="120"/>
    </row>
    <row r="862" spans="1:34" ht="13.2" x14ac:dyDescent="0.25">
      <c r="A862" s="81"/>
      <c r="B862" s="81"/>
      <c r="C862" s="81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1"/>
      <c r="Y862" s="81"/>
      <c r="Z862" s="81"/>
      <c r="AA862" s="81"/>
      <c r="AB862" s="121"/>
      <c r="AC862" s="121"/>
      <c r="AD862" s="121"/>
      <c r="AE862" s="121"/>
      <c r="AF862" s="121"/>
      <c r="AG862" s="121"/>
      <c r="AH862" s="120"/>
    </row>
    <row r="863" spans="1:34" ht="13.2" x14ac:dyDescent="0.25">
      <c r="A863" s="81"/>
      <c r="B863" s="81"/>
      <c r="C863" s="81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1"/>
      <c r="Y863" s="81"/>
      <c r="Z863" s="81"/>
      <c r="AA863" s="81"/>
      <c r="AB863" s="121"/>
      <c r="AC863" s="121"/>
      <c r="AD863" s="121"/>
      <c r="AE863" s="121"/>
      <c r="AF863" s="121"/>
      <c r="AG863" s="121"/>
      <c r="AH863" s="120"/>
    </row>
    <row r="864" spans="1:34" ht="13.2" x14ac:dyDescent="0.25">
      <c r="A864" s="81"/>
      <c r="B864" s="81"/>
      <c r="C864" s="81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1"/>
      <c r="Y864" s="81"/>
      <c r="Z864" s="81"/>
      <c r="AA864" s="81"/>
      <c r="AB864" s="121"/>
      <c r="AC864" s="121"/>
      <c r="AD864" s="121"/>
      <c r="AE864" s="121"/>
      <c r="AF864" s="121"/>
      <c r="AG864" s="121"/>
      <c r="AH864" s="120"/>
    </row>
    <row r="865" spans="1:34" ht="13.2" x14ac:dyDescent="0.25">
      <c r="A865" s="81"/>
      <c r="B865" s="81"/>
      <c r="C865" s="81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1"/>
      <c r="Y865" s="81"/>
      <c r="Z865" s="81"/>
      <c r="AA865" s="81"/>
      <c r="AB865" s="121"/>
      <c r="AC865" s="121"/>
      <c r="AD865" s="121"/>
      <c r="AE865" s="121"/>
      <c r="AF865" s="121"/>
      <c r="AG865" s="121"/>
      <c r="AH865" s="120"/>
    </row>
    <row r="866" spans="1:34" ht="13.2" x14ac:dyDescent="0.25">
      <c r="A866" s="81"/>
      <c r="B866" s="81"/>
      <c r="C866" s="81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1"/>
      <c r="Y866" s="81"/>
      <c r="Z866" s="81"/>
      <c r="AA866" s="81"/>
      <c r="AB866" s="121"/>
      <c r="AC866" s="121"/>
      <c r="AD866" s="121"/>
      <c r="AE866" s="121"/>
      <c r="AF866" s="121"/>
      <c r="AG866" s="121"/>
      <c r="AH866" s="120"/>
    </row>
    <row r="867" spans="1:34" ht="13.2" x14ac:dyDescent="0.25">
      <c r="A867" s="81"/>
      <c r="B867" s="81"/>
      <c r="C867" s="81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1"/>
      <c r="Y867" s="81"/>
      <c r="Z867" s="81"/>
      <c r="AA867" s="81"/>
      <c r="AB867" s="121"/>
      <c r="AC867" s="121"/>
      <c r="AD867" s="121"/>
      <c r="AE867" s="121"/>
      <c r="AF867" s="121"/>
      <c r="AG867" s="121"/>
      <c r="AH867" s="120"/>
    </row>
    <row r="868" spans="1:34" ht="13.2" x14ac:dyDescent="0.25">
      <c r="A868" s="81"/>
      <c r="B868" s="81"/>
      <c r="C868" s="81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1"/>
      <c r="Y868" s="81"/>
      <c r="Z868" s="81"/>
      <c r="AA868" s="81"/>
      <c r="AB868" s="121"/>
      <c r="AC868" s="121"/>
      <c r="AD868" s="121"/>
      <c r="AE868" s="121"/>
      <c r="AF868" s="121"/>
      <c r="AG868" s="121"/>
      <c r="AH868" s="120"/>
    </row>
    <row r="869" spans="1:34" ht="13.2" x14ac:dyDescent="0.25">
      <c r="A869" s="81"/>
      <c r="B869" s="81"/>
      <c r="C869" s="81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1"/>
      <c r="Y869" s="81"/>
      <c r="Z869" s="81"/>
      <c r="AA869" s="81"/>
      <c r="AB869" s="121"/>
      <c r="AC869" s="121"/>
      <c r="AD869" s="121"/>
      <c r="AE869" s="121"/>
      <c r="AF869" s="121"/>
      <c r="AG869" s="121"/>
      <c r="AH869" s="120"/>
    </row>
    <row r="870" spans="1:34" ht="13.2" x14ac:dyDescent="0.25">
      <c r="A870" s="81"/>
      <c r="B870" s="81"/>
      <c r="C870" s="81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1"/>
      <c r="Y870" s="81"/>
      <c r="Z870" s="81"/>
      <c r="AA870" s="81"/>
      <c r="AB870" s="121"/>
      <c r="AC870" s="121"/>
      <c r="AD870" s="121"/>
      <c r="AE870" s="121"/>
      <c r="AF870" s="121"/>
      <c r="AG870" s="121"/>
      <c r="AH870" s="120"/>
    </row>
    <row r="871" spans="1:34" ht="13.2" x14ac:dyDescent="0.25">
      <c r="A871" s="81"/>
      <c r="B871" s="81"/>
      <c r="C871" s="81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1"/>
      <c r="Y871" s="81"/>
      <c r="Z871" s="81"/>
      <c r="AA871" s="81"/>
      <c r="AB871" s="121"/>
      <c r="AC871" s="121"/>
      <c r="AD871" s="121"/>
      <c r="AE871" s="121"/>
      <c r="AF871" s="121"/>
      <c r="AG871" s="121"/>
      <c r="AH871" s="120"/>
    </row>
    <row r="872" spans="1:34" ht="13.2" x14ac:dyDescent="0.25">
      <c r="A872" s="81"/>
      <c r="B872" s="81"/>
      <c r="C872" s="81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1"/>
      <c r="Y872" s="81"/>
      <c r="Z872" s="81"/>
      <c r="AA872" s="81"/>
      <c r="AB872" s="121"/>
      <c r="AC872" s="121"/>
      <c r="AD872" s="121"/>
      <c r="AE872" s="121"/>
      <c r="AF872" s="121"/>
      <c r="AG872" s="121"/>
      <c r="AH872" s="120"/>
    </row>
    <row r="873" spans="1:34" ht="13.2" x14ac:dyDescent="0.25">
      <c r="A873" s="81"/>
      <c r="B873" s="81"/>
      <c r="C873" s="81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1"/>
      <c r="Y873" s="81"/>
      <c r="Z873" s="81"/>
      <c r="AA873" s="81"/>
      <c r="AB873" s="121"/>
      <c r="AC873" s="121"/>
      <c r="AD873" s="121"/>
      <c r="AE873" s="121"/>
      <c r="AF873" s="121"/>
      <c r="AG873" s="121"/>
      <c r="AH873" s="120"/>
    </row>
    <row r="874" spans="1:34" ht="13.2" x14ac:dyDescent="0.25">
      <c r="A874" s="81"/>
      <c r="B874" s="81"/>
      <c r="C874" s="81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1"/>
      <c r="Y874" s="81"/>
      <c r="Z874" s="81"/>
      <c r="AA874" s="81"/>
      <c r="AB874" s="121"/>
      <c r="AC874" s="121"/>
      <c r="AD874" s="121"/>
      <c r="AE874" s="121"/>
      <c r="AF874" s="121"/>
      <c r="AG874" s="121"/>
      <c r="AH874" s="120"/>
    </row>
    <row r="875" spans="1:34" ht="13.2" x14ac:dyDescent="0.25">
      <c r="A875" s="81"/>
      <c r="B875" s="81"/>
      <c r="C875" s="81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1"/>
      <c r="Y875" s="81"/>
      <c r="Z875" s="81"/>
      <c r="AA875" s="81"/>
      <c r="AB875" s="121"/>
      <c r="AC875" s="121"/>
      <c r="AD875" s="121"/>
      <c r="AE875" s="121"/>
      <c r="AF875" s="121"/>
      <c r="AG875" s="121"/>
      <c r="AH875" s="120"/>
    </row>
    <row r="876" spans="1:34" ht="13.2" x14ac:dyDescent="0.25">
      <c r="A876" s="81"/>
      <c r="B876" s="81"/>
      <c r="C876" s="81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1"/>
      <c r="Y876" s="81"/>
      <c r="Z876" s="81"/>
      <c r="AA876" s="81"/>
      <c r="AB876" s="121"/>
      <c r="AC876" s="121"/>
      <c r="AD876" s="121"/>
      <c r="AE876" s="121"/>
      <c r="AF876" s="121"/>
      <c r="AG876" s="121"/>
      <c r="AH876" s="120"/>
    </row>
    <row r="877" spans="1:34" ht="13.2" x14ac:dyDescent="0.25">
      <c r="A877" s="81"/>
      <c r="B877" s="81"/>
      <c r="C877" s="81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1"/>
      <c r="Y877" s="81"/>
      <c r="Z877" s="81"/>
      <c r="AA877" s="81"/>
      <c r="AB877" s="121"/>
      <c r="AC877" s="121"/>
      <c r="AD877" s="121"/>
      <c r="AE877" s="121"/>
      <c r="AF877" s="121"/>
      <c r="AG877" s="121"/>
      <c r="AH877" s="120"/>
    </row>
    <row r="878" spans="1:34" ht="13.2" x14ac:dyDescent="0.25">
      <c r="A878" s="81"/>
      <c r="B878" s="81"/>
      <c r="C878" s="81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1"/>
      <c r="Y878" s="81"/>
      <c r="Z878" s="81"/>
      <c r="AA878" s="81"/>
      <c r="AB878" s="121"/>
      <c r="AC878" s="121"/>
      <c r="AD878" s="121"/>
      <c r="AE878" s="121"/>
      <c r="AF878" s="121"/>
      <c r="AG878" s="121"/>
      <c r="AH878" s="120"/>
    </row>
    <row r="879" spans="1:34" ht="13.2" x14ac:dyDescent="0.25">
      <c r="A879" s="81"/>
      <c r="B879" s="81"/>
      <c r="C879" s="81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1"/>
      <c r="Y879" s="81"/>
      <c r="Z879" s="81"/>
      <c r="AA879" s="81"/>
      <c r="AB879" s="121"/>
      <c r="AC879" s="121"/>
      <c r="AD879" s="121"/>
      <c r="AE879" s="121"/>
      <c r="AF879" s="121"/>
      <c r="AG879" s="121"/>
      <c r="AH879" s="120"/>
    </row>
    <row r="880" spans="1:34" ht="13.2" x14ac:dyDescent="0.25">
      <c r="A880" s="81"/>
      <c r="B880" s="81"/>
      <c r="C880" s="81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1"/>
      <c r="Y880" s="81"/>
      <c r="Z880" s="81"/>
      <c r="AA880" s="81"/>
      <c r="AB880" s="121"/>
      <c r="AC880" s="121"/>
      <c r="AD880" s="121"/>
      <c r="AE880" s="121"/>
      <c r="AF880" s="121"/>
      <c r="AG880" s="121"/>
      <c r="AH880" s="120"/>
    </row>
    <row r="881" spans="1:34" ht="13.2" x14ac:dyDescent="0.25">
      <c r="A881" s="81"/>
      <c r="B881" s="81"/>
      <c r="C881" s="81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1"/>
      <c r="Y881" s="81"/>
      <c r="Z881" s="81"/>
      <c r="AA881" s="81"/>
      <c r="AB881" s="121"/>
      <c r="AC881" s="121"/>
      <c r="AD881" s="121"/>
      <c r="AE881" s="121"/>
      <c r="AF881" s="121"/>
      <c r="AG881" s="121"/>
      <c r="AH881" s="120"/>
    </row>
    <row r="882" spans="1:34" ht="13.2" x14ac:dyDescent="0.25">
      <c r="A882" s="81"/>
      <c r="B882" s="81"/>
      <c r="C882" s="81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1"/>
      <c r="Y882" s="81"/>
      <c r="Z882" s="81"/>
      <c r="AA882" s="81"/>
      <c r="AB882" s="121"/>
      <c r="AC882" s="121"/>
      <c r="AD882" s="121"/>
      <c r="AE882" s="121"/>
      <c r="AF882" s="121"/>
      <c r="AG882" s="121"/>
      <c r="AH882" s="120"/>
    </row>
    <row r="883" spans="1:34" ht="13.2" x14ac:dyDescent="0.25">
      <c r="A883" s="81"/>
      <c r="B883" s="81"/>
      <c r="C883" s="81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1"/>
      <c r="Y883" s="81"/>
      <c r="Z883" s="81"/>
      <c r="AA883" s="81"/>
      <c r="AB883" s="121"/>
      <c r="AC883" s="121"/>
      <c r="AD883" s="121"/>
      <c r="AE883" s="121"/>
      <c r="AF883" s="121"/>
      <c r="AG883" s="121"/>
      <c r="AH883" s="120"/>
    </row>
    <row r="884" spans="1:34" ht="13.2" x14ac:dyDescent="0.25">
      <c r="A884" s="81"/>
      <c r="B884" s="81"/>
      <c r="C884" s="81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1"/>
      <c r="Y884" s="81"/>
      <c r="Z884" s="81"/>
      <c r="AA884" s="81"/>
      <c r="AB884" s="121"/>
      <c r="AC884" s="121"/>
      <c r="AD884" s="121"/>
      <c r="AE884" s="121"/>
      <c r="AF884" s="121"/>
      <c r="AG884" s="121"/>
      <c r="AH884" s="120"/>
    </row>
    <row r="885" spans="1:34" ht="13.2" x14ac:dyDescent="0.25">
      <c r="A885" s="81"/>
      <c r="B885" s="81"/>
      <c r="C885" s="81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1"/>
      <c r="Y885" s="81"/>
      <c r="Z885" s="81"/>
      <c r="AA885" s="81"/>
      <c r="AB885" s="121"/>
      <c r="AC885" s="121"/>
      <c r="AD885" s="121"/>
      <c r="AE885" s="121"/>
      <c r="AF885" s="121"/>
      <c r="AG885" s="121"/>
      <c r="AH885" s="120"/>
    </row>
    <row r="886" spans="1:34" ht="13.2" x14ac:dyDescent="0.25">
      <c r="A886" s="81"/>
      <c r="B886" s="81"/>
      <c r="C886" s="81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1"/>
      <c r="Y886" s="81"/>
      <c r="Z886" s="81"/>
      <c r="AA886" s="81"/>
      <c r="AB886" s="121"/>
      <c r="AC886" s="121"/>
      <c r="AD886" s="121"/>
      <c r="AE886" s="121"/>
      <c r="AF886" s="121"/>
      <c r="AG886" s="121"/>
      <c r="AH886" s="120"/>
    </row>
    <row r="887" spans="1:34" ht="13.2" x14ac:dyDescent="0.25">
      <c r="A887" s="81"/>
      <c r="B887" s="81"/>
      <c r="C887" s="81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1"/>
      <c r="Y887" s="81"/>
      <c r="Z887" s="81"/>
      <c r="AA887" s="81"/>
      <c r="AB887" s="121"/>
      <c r="AC887" s="121"/>
      <c r="AD887" s="121"/>
      <c r="AE887" s="121"/>
      <c r="AF887" s="121"/>
      <c r="AG887" s="121"/>
      <c r="AH887" s="120"/>
    </row>
    <row r="888" spans="1:34" ht="13.2" x14ac:dyDescent="0.25">
      <c r="A888" s="81"/>
      <c r="B888" s="81"/>
      <c r="C888" s="81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1"/>
      <c r="Y888" s="81"/>
      <c r="Z888" s="81"/>
      <c r="AA888" s="81"/>
      <c r="AB888" s="121"/>
      <c r="AC888" s="121"/>
      <c r="AD888" s="121"/>
      <c r="AE888" s="121"/>
      <c r="AF888" s="121"/>
      <c r="AG888" s="121"/>
      <c r="AH888" s="120"/>
    </row>
    <row r="889" spans="1:34" ht="13.2" x14ac:dyDescent="0.25">
      <c r="A889" s="81"/>
      <c r="B889" s="81"/>
      <c r="C889" s="81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1"/>
      <c r="Y889" s="81"/>
      <c r="Z889" s="81"/>
      <c r="AA889" s="81"/>
      <c r="AB889" s="121"/>
      <c r="AC889" s="121"/>
      <c r="AD889" s="121"/>
      <c r="AE889" s="121"/>
      <c r="AF889" s="121"/>
      <c r="AG889" s="121"/>
      <c r="AH889" s="120"/>
    </row>
    <row r="890" spans="1:34" ht="13.2" x14ac:dyDescent="0.25">
      <c r="A890" s="81"/>
      <c r="B890" s="81"/>
      <c r="C890" s="81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1"/>
      <c r="Y890" s="81"/>
      <c r="Z890" s="81"/>
      <c r="AA890" s="81"/>
      <c r="AB890" s="121"/>
      <c r="AC890" s="121"/>
      <c r="AD890" s="121"/>
      <c r="AE890" s="121"/>
      <c r="AF890" s="121"/>
      <c r="AG890" s="121"/>
      <c r="AH890" s="120"/>
    </row>
    <row r="891" spans="1:34" ht="13.2" x14ac:dyDescent="0.25">
      <c r="A891" s="81"/>
      <c r="B891" s="81"/>
      <c r="C891" s="81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1"/>
      <c r="Y891" s="81"/>
      <c r="Z891" s="81"/>
      <c r="AA891" s="81"/>
      <c r="AB891" s="121"/>
      <c r="AC891" s="121"/>
      <c r="AD891" s="121"/>
      <c r="AE891" s="121"/>
      <c r="AF891" s="121"/>
      <c r="AG891" s="121"/>
      <c r="AH891" s="120"/>
    </row>
    <row r="892" spans="1:34" ht="13.2" x14ac:dyDescent="0.25">
      <c r="A892" s="81"/>
      <c r="B892" s="81"/>
      <c r="C892" s="81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1"/>
      <c r="Y892" s="81"/>
      <c r="Z892" s="81"/>
      <c r="AA892" s="81"/>
      <c r="AB892" s="121"/>
      <c r="AC892" s="121"/>
      <c r="AD892" s="121"/>
      <c r="AE892" s="121"/>
      <c r="AF892" s="121"/>
      <c r="AG892" s="121"/>
      <c r="AH892" s="120"/>
    </row>
    <row r="893" spans="1:34" ht="13.2" x14ac:dyDescent="0.25">
      <c r="A893" s="81"/>
      <c r="B893" s="81"/>
      <c r="C893" s="81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1"/>
      <c r="Y893" s="81"/>
      <c r="Z893" s="81"/>
      <c r="AA893" s="81"/>
      <c r="AB893" s="121"/>
      <c r="AC893" s="121"/>
      <c r="AD893" s="121"/>
      <c r="AE893" s="121"/>
      <c r="AF893" s="121"/>
      <c r="AG893" s="121"/>
      <c r="AH893" s="120"/>
    </row>
    <row r="894" spans="1:34" ht="13.2" x14ac:dyDescent="0.25">
      <c r="A894" s="81"/>
      <c r="B894" s="81"/>
      <c r="C894" s="81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1"/>
      <c r="Y894" s="81"/>
      <c r="Z894" s="81"/>
      <c r="AA894" s="81"/>
      <c r="AB894" s="121"/>
      <c r="AC894" s="121"/>
      <c r="AD894" s="121"/>
      <c r="AE894" s="121"/>
      <c r="AF894" s="121"/>
      <c r="AG894" s="121"/>
      <c r="AH894" s="120"/>
    </row>
    <row r="895" spans="1:34" ht="13.2" x14ac:dyDescent="0.25">
      <c r="A895" s="81"/>
      <c r="B895" s="81"/>
      <c r="C895" s="81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1"/>
      <c r="Y895" s="81"/>
      <c r="Z895" s="81"/>
      <c r="AA895" s="81"/>
      <c r="AB895" s="121"/>
      <c r="AC895" s="121"/>
      <c r="AD895" s="121"/>
      <c r="AE895" s="121"/>
      <c r="AF895" s="121"/>
      <c r="AG895" s="121"/>
      <c r="AH895" s="120"/>
    </row>
    <row r="896" spans="1:34" ht="13.2" x14ac:dyDescent="0.25">
      <c r="A896" s="81"/>
      <c r="B896" s="81"/>
      <c r="C896" s="81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1"/>
      <c r="Y896" s="81"/>
      <c r="Z896" s="81"/>
      <c r="AA896" s="81"/>
      <c r="AB896" s="121"/>
      <c r="AC896" s="121"/>
      <c r="AD896" s="121"/>
      <c r="AE896" s="121"/>
      <c r="AF896" s="121"/>
      <c r="AG896" s="121"/>
      <c r="AH896" s="120"/>
    </row>
    <row r="897" spans="1:34" ht="13.2" x14ac:dyDescent="0.25">
      <c r="A897" s="81"/>
      <c r="B897" s="81"/>
      <c r="C897" s="81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1"/>
      <c r="Y897" s="81"/>
      <c r="Z897" s="81"/>
      <c r="AA897" s="81"/>
      <c r="AB897" s="121"/>
      <c r="AC897" s="121"/>
      <c r="AD897" s="121"/>
      <c r="AE897" s="121"/>
      <c r="AF897" s="121"/>
      <c r="AG897" s="121"/>
      <c r="AH897" s="120"/>
    </row>
    <row r="898" spans="1:34" ht="13.2" x14ac:dyDescent="0.25">
      <c r="A898" s="81"/>
      <c r="B898" s="81"/>
      <c r="C898" s="81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1"/>
      <c r="Y898" s="81"/>
      <c r="Z898" s="81"/>
      <c r="AA898" s="81"/>
      <c r="AB898" s="121"/>
      <c r="AC898" s="121"/>
      <c r="AD898" s="121"/>
      <c r="AE898" s="121"/>
      <c r="AF898" s="121"/>
      <c r="AG898" s="121"/>
      <c r="AH898" s="120"/>
    </row>
    <row r="899" spans="1:34" ht="13.2" x14ac:dyDescent="0.25">
      <c r="A899" s="81"/>
      <c r="B899" s="81"/>
      <c r="C899" s="81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1"/>
      <c r="Y899" s="81"/>
      <c r="Z899" s="81"/>
      <c r="AA899" s="81"/>
      <c r="AB899" s="121"/>
      <c r="AC899" s="121"/>
      <c r="AD899" s="121"/>
      <c r="AE899" s="121"/>
      <c r="AF899" s="121"/>
      <c r="AG899" s="121"/>
      <c r="AH899" s="120"/>
    </row>
    <row r="900" spans="1:34" ht="13.2" x14ac:dyDescent="0.25">
      <c r="A900" s="81"/>
      <c r="B900" s="81"/>
      <c r="C900" s="81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1"/>
      <c r="Y900" s="81"/>
      <c r="Z900" s="81"/>
      <c r="AA900" s="81"/>
      <c r="AB900" s="121"/>
      <c r="AC900" s="121"/>
      <c r="AD900" s="121"/>
      <c r="AE900" s="121"/>
      <c r="AF900" s="121"/>
      <c r="AG900" s="121"/>
      <c r="AH900" s="120"/>
    </row>
    <row r="901" spans="1:34" ht="13.2" x14ac:dyDescent="0.25">
      <c r="A901" s="81"/>
      <c r="B901" s="81"/>
      <c r="C901" s="81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1"/>
      <c r="Y901" s="81"/>
      <c r="Z901" s="81"/>
      <c r="AA901" s="81"/>
      <c r="AB901" s="121"/>
      <c r="AC901" s="121"/>
      <c r="AD901" s="121"/>
      <c r="AE901" s="121"/>
      <c r="AF901" s="121"/>
      <c r="AG901" s="121"/>
      <c r="AH901" s="120"/>
    </row>
    <row r="902" spans="1:34" ht="13.2" x14ac:dyDescent="0.25">
      <c r="A902" s="81"/>
      <c r="B902" s="81"/>
      <c r="C902" s="81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1"/>
      <c r="Y902" s="81"/>
      <c r="Z902" s="81"/>
      <c r="AA902" s="81"/>
      <c r="AB902" s="121"/>
      <c r="AC902" s="121"/>
      <c r="AD902" s="121"/>
      <c r="AE902" s="121"/>
      <c r="AF902" s="121"/>
      <c r="AG902" s="121"/>
      <c r="AH902" s="120"/>
    </row>
    <row r="903" spans="1:34" ht="13.2" x14ac:dyDescent="0.25">
      <c r="A903" s="81"/>
      <c r="B903" s="81"/>
      <c r="C903" s="81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1"/>
      <c r="Y903" s="81"/>
      <c r="Z903" s="81"/>
      <c r="AA903" s="81"/>
      <c r="AB903" s="121"/>
      <c r="AC903" s="121"/>
      <c r="AD903" s="121"/>
      <c r="AE903" s="121"/>
      <c r="AF903" s="121"/>
      <c r="AG903" s="121"/>
      <c r="AH903" s="120"/>
    </row>
    <row r="904" spans="1:34" ht="13.2" x14ac:dyDescent="0.25">
      <c r="A904" s="81"/>
      <c r="B904" s="81"/>
      <c r="C904" s="81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1"/>
      <c r="Y904" s="81"/>
      <c r="Z904" s="81"/>
      <c r="AA904" s="81"/>
      <c r="AB904" s="121"/>
      <c r="AC904" s="121"/>
      <c r="AD904" s="121"/>
      <c r="AE904" s="121"/>
      <c r="AF904" s="121"/>
      <c r="AG904" s="121"/>
      <c r="AH904" s="120"/>
    </row>
    <row r="905" spans="1:34" ht="13.2" x14ac:dyDescent="0.25">
      <c r="A905" s="81"/>
      <c r="B905" s="81"/>
      <c r="C905" s="81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1"/>
      <c r="Y905" s="81"/>
      <c r="Z905" s="81"/>
      <c r="AA905" s="81"/>
      <c r="AB905" s="121"/>
      <c r="AC905" s="121"/>
      <c r="AD905" s="121"/>
      <c r="AE905" s="121"/>
      <c r="AF905" s="121"/>
      <c r="AG905" s="121"/>
      <c r="AH905" s="120"/>
    </row>
    <row r="906" spans="1:34" ht="13.2" x14ac:dyDescent="0.25">
      <c r="A906" s="81"/>
      <c r="B906" s="81"/>
      <c r="C906" s="81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1"/>
      <c r="Y906" s="81"/>
      <c r="Z906" s="81"/>
      <c r="AA906" s="81"/>
      <c r="AB906" s="121"/>
      <c r="AC906" s="121"/>
      <c r="AD906" s="121"/>
      <c r="AE906" s="121"/>
      <c r="AF906" s="121"/>
      <c r="AG906" s="121"/>
      <c r="AH906" s="120"/>
    </row>
    <row r="907" spans="1:34" ht="13.2" x14ac:dyDescent="0.25">
      <c r="A907" s="81"/>
      <c r="B907" s="81"/>
      <c r="C907" s="81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1"/>
      <c r="Y907" s="81"/>
      <c r="Z907" s="81"/>
      <c r="AA907" s="81"/>
      <c r="AB907" s="121"/>
      <c r="AC907" s="121"/>
      <c r="AD907" s="121"/>
      <c r="AE907" s="121"/>
      <c r="AF907" s="121"/>
      <c r="AG907" s="121"/>
      <c r="AH907" s="120"/>
    </row>
    <row r="908" spans="1:34" ht="13.2" x14ac:dyDescent="0.25">
      <c r="A908" s="81"/>
      <c r="B908" s="81"/>
      <c r="C908" s="81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1"/>
      <c r="Y908" s="81"/>
      <c r="Z908" s="81"/>
      <c r="AA908" s="81"/>
      <c r="AB908" s="121"/>
      <c r="AC908" s="121"/>
      <c r="AD908" s="121"/>
      <c r="AE908" s="121"/>
      <c r="AF908" s="121"/>
      <c r="AG908" s="121"/>
      <c r="AH908" s="120"/>
    </row>
    <row r="909" spans="1:34" ht="13.2" x14ac:dyDescent="0.25">
      <c r="A909" s="81"/>
      <c r="B909" s="81"/>
      <c r="C909" s="81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1"/>
      <c r="Y909" s="81"/>
      <c r="Z909" s="81"/>
      <c r="AA909" s="81"/>
      <c r="AB909" s="121"/>
      <c r="AC909" s="121"/>
      <c r="AD909" s="121"/>
      <c r="AE909" s="121"/>
      <c r="AF909" s="121"/>
      <c r="AG909" s="121"/>
      <c r="AH909" s="120"/>
    </row>
    <row r="910" spans="1:34" ht="13.2" x14ac:dyDescent="0.25">
      <c r="A910" s="81"/>
      <c r="B910" s="81"/>
      <c r="C910" s="81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1"/>
      <c r="Y910" s="81"/>
      <c r="Z910" s="81"/>
      <c r="AA910" s="81"/>
      <c r="AB910" s="121"/>
      <c r="AC910" s="121"/>
      <c r="AD910" s="121"/>
      <c r="AE910" s="121"/>
      <c r="AF910" s="121"/>
      <c r="AG910" s="121"/>
      <c r="AH910" s="120"/>
    </row>
    <row r="911" spans="1:34" ht="13.2" x14ac:dyDescent="0.25">
      <c r="A911" s="81"/>
      <c r="B911" s="81"/>
      <c r="C911" s="81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1"/>
      <c r="Y911" s="81"/>
      <c r="Z911" s="81"/>
      <c r="AA911" s="81"/>
      <c r="AB911" s="121"/>
      <c r="AC911" s="121"/>
      <c r="AD911" s="121"/>
      <c r="AE911" s="121"/>
      <c r="AF911" s="121"/>
      <c r="AG911" s="121"/>
      <c r="AH911" s="120"/>
    </row>
    <row r="912" spans="1:34" ht="13.2" x14ac:dyDescent="0.25">
      <c r="A912" s="81"/>
      <c r="B912" s="81"/>
      <c r="C912" s="81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1"/>
      <c r="Y912" s="81"/>
      <c r="Z912" s="81"/>
      <c r="AA912" s="81"/>
      <c r="AB912" s="121"/>
      <c r="AC912" s="121"/>
      <c r="AD912" s="121"/>
      <c r="AE912" s="121"/>
      <c r="AF912" s="121"/>
      <c r="AG912" s="121"/>
      <c r="AH912" s="120"/>
    </row>
    <row r="913" spans="1:34" ht="13.2" x14ac:dyDescent="0.25">
      <c r="A913" s="81"/>
      <c r="B913" s="81"/>
      <c r="C913" s="81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1"/>
      <c r="Y913" s="81"/>
      <c r="Z913" s="81"/>
      <c r="AA913" s="81"/>
      <c r="AB913" s="121"/>
      <c r="AC913" s="121"/>
      <c r="AD913" s="121"/>
      <c r="AE913" s="121"/>
      <c r="AF913" s="121"/>
      <c r="AG913" s="121"/>
      <c r="AH913" s="120"/>
    </row>
    <row r="914" spans="1:34" ht="13.2" x14ac:dyDescent="0.25">
      <c r="A914" s="81"/>
      <c r="B914" s="81"/>
      <c r="C914" s="81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1"/>
      <c r="Y914" s="81"/>
      <c r="Z914" s="81"/>
      <c r="AA914" s="81"/>
      <c r="AB914" s="121"/>
      <c r="AC914" s="121"/>
      <c r="AD914" s="121"/>
      <c r="AE914" s="121"/>
      <c r="AF914" s="121"/>
      <c r="AG914" s="121"/>
      <c r="AH914" s="120"/>
    </row>
    <row r="915" spans="1:34" ht="13.2" x14ac:dyDescent="0.25">
      <c r="A915" s="81"/>
      <c r="B915" s="81"/>
      <c r="C915" s="81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1"/>
      <c r="Y915" s="81"/>
      <c r="Z915" s="81"/>
      <c r="AA915" s="81"/>
      <c r="AB915" s="121"/>
      <c r="AC915" s="121"/>
      <c r="AD915" s="121"/>
      <c r="AE915" s="121"/>
      <c r="AF915" s="121"/>
      <c r="AG915" s="121"/>
      <c r="AH915" s="120"/>
    </row>
    <row r="916" spans="1:34" ht="13.2" x14ac:dyDescent="0.25">
      <c r="A916" s="81"/>
      <c r="B916" s="81"/>
      <c r="C916" s="81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1"/>
      <c r="Y916" s="81"/>
      <c r="Z916" s="81"/>
      <c r="AA916" s="81"/>
      <c r="AB916" s="121"/>
      <c r="AC916" s="121"/>
      <c r="AD916" s="121"/>
      <c r="AE916" s="121"/>
      <c r="AF916" s="121"/>
      <c r="AG916" s="121"/>
      <c r="AH916" s="120"/>
    </row>
    <row r="917" spans="1:34" ht="13.2" x14ac:dyDescent="0.25">
      <c r="A917" s="81"/>
      <c r="B917" s="81"/>
      <c r="C917" s="81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1"/>
      <c r="Y917" s="81"/>
      <c r="Z917" s="81"/>
      <c r="AA917" s="81"/>
      <c r="AB917" s="121"/>
      <c r="AC917" s="121"/>
      <c r="AD917" s="121"/>
      <c r="AE917" s="121"/>
      <c r="AF917" s="121"/>
      <c r="AG917" s="121"/>
      <c r="AH917" s="120"/>
    </row>
    <row r="918" spans="1:34" ht="13.2" x14ac:dyDescent="0.25">
      <c r="A918" s="81"/>
      <c r="B918" s="81"/>
      <c r="C918" s="81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1"/>
      <c r="Y918" s="81"/>
      <c r="Z918" s="81"/>
      <c r="AA918" s="81"/>
      <c r="AB918" s="121"/>
      <c r="AC918" s="121"/>
      <c r="AD918" s="121"/>
      <c r="AE918" s="121"/>
      <c r="AF918" s="121"/>
      <c r="AG918" s="121"/>
      <c r="AH918" s="120"/>
    </row>
    <row r="919" spans="1:34" ht="13.2" x14ac:dyDescent="0.25">
      <c r="A919" s="81"/>
      <c r="B919" s="81"/>
      <c r="C919" s="81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1"/>
      <c r="Y919" s="81"/>
      <c r="Z919" s="81"/>
      <c r="AA919" s="81"/>
      <c r="AB919" s="121"/>
      <c r="AC919" s="121"/>
      <c r="AD919" s="121"/>
      <c r="AE919" s="121"/>
      <c r="AF919" s="121"/>
      <c r="AG919" s="121"/>
      <c r="AH919" s="120"/>
    </row>
    <row r="920" spans="1:34" ht="13.2" x14ac:dyDescent="0.25">
      <c r="A920" s="81"/>
      <c r="B920" s="81"/>
      <c r="C920" s="81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1"/>
      <c r="Y920" s="81"/>
      <c r="Z920" s="81"/>
      <c r="AA920" s="81"/>
      <c r="AB920" s="121"/>
      <c r="AC920" s="121"/>
      <c r="AD920" s="121"/>
      <c r="AE920" s="121"/>
      <c r="AF920" s="121"/>
      <c r="AG920" s="121"/>
      <c r="AH920" s="120"/>
    </row>
    <row r="921" spans="1:34" ht="13.2" x14ac:dyDescent="0.25">
      <c r="A921" s="81"/>
      <c r="B921" s="81"/>
      <c r="C921" s="81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1"/>
      <c r="Y921" s="81"/>
      <c r="Z921" s="81"/>
      <c r="AA921" s="81"/>
      <c r="AB921" s="121"/>
      <c r="AC921" s="121"/>
      <c r="AD921" s="121"/>
      <c r="AE921" s="121"/>
      <c r="AF921" s="121"/>
      <c r="AG921" s="121"/>
      <c r="AH921" s="120"/>
    </row>
    <row r="922" spans="1:34" ht="13.2" x14ac:dyDescent="0.25">
      <c r="A922" s="81"/>
      <c r="B922" s="81"/>
      <c r="C922" s="81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1"/>
      <c r="Y922" s="81"/>
      <c r="Z922" s="81"/>
      <c r="AA922" s="81"/>
      <c r="AB922" s="121"/>
      <c r="AC922" s="121"/>
      <c r="AD922" s="121"/>
      <c r="AE922" s="121"/>
      <c r="AF922" s="121"/>
      <c r="AG922" s="121"/>
      <c r="AH922" s="120"/>
    </row>
    <row r="923" spans="1:34" ht="13.2" x14ac:dyDescent="0.25">
      <c r="A923" s="81"/>
      <c r="B923" s="81"/>
      <c r="C923" s="81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1"/>
      <c r="Y923" s="81"/>
      <c r="Z923" s="81"/>
      <c r="AA923" s="81"/>
      <c r="AB923" s="121"/>
      <c r="AC923" s="121"/>
      <c r="AD923" s="121"/>
      <c r="AE923" s="121"/>
      <c r="AF923" s="121"/>
      <c r="AG923" s="121"/>
      <c r="AH923" s="120"/>
    </row>
    <row r="924" spans="1:34" ht="13.2" x14ac:dyDescent="0.25">
      <c r="A924" s="81"/>
      <c r="B924" s="81"/>
      <c r="C924" s="81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1"/>
      <c r="Y924" s="81"/>
      <c r="Z924" s="81"/>
      <c r="AA924" s="81"/>
      <c r="AB924" s="121"/>
      <c r="AC924" s="121"/>
      <c r="AD924" s="121"/>
      <c r="AE924" s="121"/>
      <c r="AF924" s="121"/>
      <c r="AG924" s="121"/>
      <c r="AH924" s="120"/>
    </row>
    <row r="925" spans="1:34" ht="13.2" x14ac:dyDescent="0.25">
      <c r="A925" s="81"/>
      <c r="B925" s="81"/>
      <c r="C925" s="81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1"/>
      <c r="Y925" s="81"/>
      <c r="Z925" s="81"/>
      <c r="AA925" s="81"/>
      <c r="AB925" s="121"/>
      <c r="AC925" s="121"/>
      <c r="AD925" s="121"/>
      <c r="AE925" s="121"/>
      <c r="AF925" s="121"/>
      <c r="AG925" s="121"/>
      <c r="AH925" s="120"/>
    </row>
    <row r="926" spans="1:34" ht="13.2" x14ac:dyDescent="0.25">
      <c r="A926" s="81"/>
      <c r="B926" s="81"/>
      <c r="C926" s="81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1"/>
      <c r="Y926" s="81"/>
      <c r="Z926" s="81"/>
      <c r="AA926" s="81"/>
      <c r="AB926" s="121"/>
      <c r="AC926" s="121"/>
      <c r="AD926" s="121"/>
      <c r="AE926" s="121"/>
      <c r="AF926" s="121"/>
      <c r="AG926" s="121"/>
      <c r="AH926" s="120"/>
    </row>
    <row r="927" spans="1:34" ht="13.2" x14ac:dyDescent="0.25">
      <c r="A927" s="81"/>
      <c r="B927" s="81"/>
      <c r="C927" s="81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1"/>
      <c r="Y927" s="81"/>
      <c r="Z927" s="81"/>
      <c r="AA927" s="81"/>
      <c r="AB927" s="121"/>
      <c r="AC927" s="121"/>
      <c r="AD927" s="121"/>
      <c r="AE927" s="121"/>
      <c r="AF927" s="121"/>
      <c r="AG927" s="121"/>
      <c r="AH927" s="120"/>
    </row>
    <row r="928" spans="1:34" ht="13.2" x14ac:dyDescent="0.25">
      <c r="A928" s="81"/>
      <c r="B928" s="81"/>
      <c r="C928" s="81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1"/>
      <c r="Y928" s="81"/>
      <c r="Z928" s="81"/>
      <c r="AA928" s="81"/>
      <c r="AB928" s="121"/>
      <c r="AC928" s="121"/>
      <c r="AD928" s="121"/>
      <c r="AE928" s="121"/>
      <c r="AF928" s="121"/>
      <c r="AG928" s="121"/>
      <c r="AH928" s="120"/>
    </row>
    <row r="929" spans="1:34" ht="13.2" x14ac:dyDescent="0.25">
      <c r="A929" s="81"/>
      <c r="B929" s="81"/>
      <c r="C929" s="81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1"/>
      <c r="Y929" s="81"/>
      <c r="Z929" s="81"/>
      <c r="AA929" s="81"/>
      <c r="AB929" s="121"/>
      <c r="AC929" s="121"/>
      <c r="AD929" s="121"/>
      <c r="AE929" s="121"/>
      <c r="AF929" s="121"/>
      <c r="AG929" s="121"/>
      <c r="AH929" s="120"/>
    </row>
    <row r="930" spans="1:34" ht="13.2" x14ac:dyDescent="0.25">
      <c r="A930" s="81"/>
      <c r="B930" s="81"/>
      <c r="C930" s="81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1"/>
      <c r="Y930" s="81"/>
      <c r="Z930" s="81"/>
      <c r="AA930" s="81"/>
      <c r="AB930" s="121"/>
      <c r="AC930" s="121"/>
      <c r="AD930" s="121"/>
      <c r="AE930" s="121"/>
      <c r="AF930" s="121"/>
      <c r="AG930" s="121"/>
      <c r="AH930" s="120"/>
    </row>
    <row r="931" spans="1:34" ht="13.2" x14ac:dyDescent="0.25">
      <c r="A931" s="81"/>
      <c r="B931" s="81"/>
      <c r="C931" s="81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1"/>
      <c r="Y931" s="81"/>
      <c r="Z931" s="81"/>
      <c r="AA931" s="81"/>
      <c r="AB931" s="121"/>
      <c r="AC931" s="121"/>
      <c r="AD931" s="121"/>
      <c r="AE931" s="121"/>
      <c r="AF931" s="121"/>
      <c r="AG931" s="121"/>
      <c r="AH931" s="120"/>
    </row>
    <row r="932" spans="1:34" ht="13.2" x14ac:dyDescent="0.25">
      <c r="A932" s="81"/>
      <c r="B932" s="81"/>
      <c r="C932" s="81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1"/>
      <c r="Y932" s="81"/>
      <c r="Z932" s="81"/>
      <c r="AA932" s="81"/>
      <c r="AB932" s="121"/>
      <c r="AC932" s="121"/>
      <c r="AD932" s="121"/>
      <c r="AE932" s="121"/>
      <c r="AF932" s="121"/>
      <c r="AG932" s="121"/>
      <c r="AH932" s="120"/>
    </row>
    <row r="933" spans="1:34" ht="13.2" x14ac:dyDescent="0.25">
      <c r="A933" s="81"/>
      <c r="B933" s="81"/>
      <c r="C933" s="81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1"/>
      <c r="Y933" s="81"/>
      <c r="Z933" s="81"/>
      <c r="AA933" s="81"/>
      <c r="AB933" s="121"/>
      <c r="AC933" s="121"/>
      <c r="AD933" s="121"/>
      <c r="AE933" s="121"/>
      <c r="AF933" s="121"/>
      <c r="AG933" s="121"/>
      <c r="AH933" s="120"/>
    </row>
    <row r="934" spans="1:34" ht="13.2" x14ac:dyDescent="0.25">
      <c r="A934" s="81"/>
      <c r="B934" s="81"/>
      <c r="C934" s="81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1"/>
      <c r="Y934" s="81"/>
      <c r="Z934" s="81"/>
      <c r="AA934" s="81"/>
      <c r="AB934" s="121"/>
      <c r="AC934" s="121"/>
      <c r="AD934" s="121"/>
      <c r="AE934" s="121"/>
      <c r="AF934" s="121"/>
      <c r="AG934" s="121"/>
      <c r="AH934" s="120"/>
    </row>
    <row r="935" spans="1:34" ht="13.2" x14ac:dyDescent="0.25">
      <c r="A935" s="81"/>
      <c r="B935" s="81"/>
      <c r="C935" s="81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1"/>
      <c r="Y935" s="81"/>
      <c r="Z935" s="81"/>
      <c r="AA935" s="81"/>
      <c r="AB935" s="121"/>
      <c r="AC935" s="121"/>
      <c r="AD935" s="121"/>
      <c r="AE935" s="121"/>
      <c r="AF935" s="121"/>
      <c r="AG935" s="121"/>
      <c r="AH935" s="120"/>
    </row>
    <row r="936" spans="1:34" ht="13.2" x14ac:dyDescent="0.25">
      <c r="A936" s="81"/>
      <c r="B936" s="81"/>
      <c r="C936" s="81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1"/>
      <c r="Y936" s="81"/>
      <c r="Z936" s="81"/>
      <c r="AA936" s="81"/>
      <c r="AB936" s="121"/>
      <c r="AC936" s="121"/>
      <c r="AD936" s="121"/>
      <c r="AE936" s="121"/>
      <c r="AF936" s="121"/>
      <c r="AG936" s="121"/>
      <c r="AH936" s="120"/>
    </row>
    <row r="937" spans="1:34" ht="13.2" x14ac:dyDescent="0.25">
      <c r="A937" s="81"/>
      <c r="B937" s="81"/>
      <c r="C937" s="81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1"/>
      <c r="Y937" s="81"/>
      <c r="Z937" s="81"/>
      <c r="AA937" s="81"/>
      <c r="AB937" s="121"/>
      <c r="AC937" s="121"/>
      <c r="AD937" s="121"/>
      <c r="AE937" s="121"/>
      <c r="AF937" s="121"/>
      <c r="AG937" s="121"/>
      <c r="AH937" s="120"/>
    </row>
    <row r="938" spans="1:34" ht="13.2" x14ac:dyDescent="0.25">
      <c r="A938" s="81"/>
      <c r="B938" s="81"/>
      <c r="C938" s="81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1"/>
      <c r="Y938" s="81"/>
      <c r="Z938" s="81"/>
      <c r="AA938" s="81"/>
      <c r="AB938" s="121"/>
      <c r="AC938" s="121"/>
      <c r="AD938" s="121"/>
      <c r="AE938" s="121"/>
      <c r="AF938" s="121"/>
      <c r="AG938" s="121"/>
      <c r="AH938" s="120"/>
    </row>
    <row r="939" spans="1:34" ht="13.2" x14ac:dyDescent="0.25">
      <c r="A939" s="81"/>
      <c r="B939" s="81"/>
      <c r="C939" s="81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1"/>
      <c r="Y939" s="81"/>
      <c r="Z939" s="81"/>
      <c r="AA939" s="81"/>
      <c r="AB939" s="121"/>
      <c r="AC939" s="121"/>
      <c r="AD939" s="121"/>
      <c r="AE939" s="121"/>
      <c r="AF939" s="121"/>
      <c r="AG939" s="121"/>
      <c r="AH939" s="120"/>
    </row>
    <row r="940" spans="1:34" ht="13.2" x14ac:dyDescent="0.25">
      <c r="A940" s="81"/>
      <c r="B940" s="81"/>
      <c r="C940" s="81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1"/>
      <c r="Y940" s="81"/>
      <c r="Z940" s="81"/>
      <c r="AA940" s="81"/>
      <c r="AB940" s="121"/>
      <c r="AC940" s="121"/>
      <c r="AD940" s="121"/>
      <c r="AE940" s="121"/>
      <c r="AF940" s="121"/>
      <c r="AG940" s="121"/>
      <c r="AH940" s="120"/>
    </row>
    <row r="941" spans="1:34" ht="13.2" x14ac:dyDescent="0.25">
      <c r="A941" s="81"/>
      <c r="B941" s="81"/>
      <c r="C941" s="81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1"/>
      <c r="Y941" s="81"/>
      <c r="Z941" s="81"/>
      <c r="AA941" s="81"/>
      <c r="AB941" s="121"/>
      <c r="AC941" s="121"/>
      <c r="AD941" s="121"/>
      <c r="AE941" s="121"/>
      <c r="AF941" s="121"/>
      <c r="AG941" s="121"/>
      <c r="AH941" s="120"/>
    </row>
    <row r="942" spans="1:34" ht="13.2" x14ac:dyDescent="0.25">
      <c r="A942" s="81"/>
      <c r="B942" s="81"/>
      <c r="C942" s="81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1"/>
      <c r="Y942" s="81"/>
      <c r="Z942" s="81"/>
      <c r="AA942" s="81"/>
      <c r="AB942" s="121"/>
      <c r="AC942" s="121"/>
      <c r="AD942" s="121"/>
      <c r="AE942" s="121"/>
      <c r="AF942" s="121"/>
      <c r="AG942" s="121"/>
      <c r="AH942" s="120"/>
    </row>
    <row r="943" spans="1:34" ht="13.2" x14ac:dyDescent="0.25">
      <c r="A943" s="81"/>
      <c r="B943" s="81"/>
      <c r="C943" s="81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1"/>
      <c r="Y943" s="81"/>
      <c r="Z943" s="81"/>
      <c r="AA943" s="81"/>
      <c r="AB943" s="121"/>
      <c r="AC943" s="121"/>
      <c r="AD943" s="121"/>
      <c r="AE943" s="121"/>
      <c r="AF943" s="121"/>
      <c r="AG943" s="121"/>
      <c r="AH943" s="120"/>
    </row>
    <row r="944" spans="1:34" ht="13.2" x14ac:dyDescent="0.25">
      <c r="A944" s="81"/>
      <c r="B944" s="81"/>
      <c r="C944" s="81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1"/>
      <c r="Y944" s="81"/>
      <c r="Z944" s="81"/>
      <c r="AA944" s="81"/>
      <c r="AB944" s="121"/>
      <c r="AC944" s="121"/>
      <c r="AD944" s="121"/>
      <c r="AE944" s="121"/>
      <c r="AF944" s="121"/>
      <c r="AG944" s="121"/>
      <c r="AH944" s="120"/>
    </row>
    <row r="945" spans="1:34" ht="13.2" x14ac:dyDescent="0.25">
      <c r="A945" s="81"/>
      <c r="B945" s="81"/>
      <c r="C945" s="81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1"/>
      <c r="Y945" s="81"/>
      <c r="Z945" s="81"/>
      <c r="AA945" s="81"/>
      <c r="AB945" s="121"/>
      <c r="AC945" s="121"/>
      <c r="AD945" s="121"/>
      <c r="AE945" s="121"/>
      <c r="AF945" s="121"/>
      <c r="AG945" s="121"/>
      <c r="AH945" s="120"/>
    </row>
    <row r="946" spans="1:34" ht="13.2" x14ac:dyDescent="0.25">
      <c r="A946" s="81"/>
      <c r="B946" s="81"/>
      <c r="C946" s="81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1"/>
      <c r="Y946" s="81"/>
      <c r="Z946" s="81"/>
      <c r="AA946" s="81"/>
      <c r="AB946" s="121"/>
      <c r="AC946" s="121"/>
      <c r="AD946" s="121"/>
      <c r="AE946" s="121"/>
      <c r="AF946" s="121"/>
      <c r="AG946" s="121"/>
      <c r="AH946" s="120"/>
    </row>
    <row r="947" spans="1:34" ht="13.2" x14ac:dyDescent="0.25">
      <c r="A947" s="81"/>
      <c r="B947" s="81"/>
      <c r="C947" s="81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1"/>
      <c r="Y947" s="81"/>
      <c r="Z947" s="81"/>
      <c r="AA947" s="81"/>
      <c r="AB947" s="121"/>
      <c r="AC947" s="121"/>
      <c r="AD947" s="121"/>
      <c r="AE947" s="121"/>
      <c r="AF947" s="121"/>
      <c r="AG947" s="121"/>
      <c r="AH947" s="120"/>
    </row>
    <row r="948" spans="1:34" ht="13.2" x14ac:dyDescent="0.25">
      <c r="A948" s="81"/>
      <c r="B948" s="81"/>
      <c r="C948" s="81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1"/>
      <c r="Y948" s="81"/>
      <c r="Z948" s="81"/>
      <c r="AA948" s="81"/>
      <c r="AB948" s="121"/>
      <c r="AC948" s="121"/>
      <c r="AD948" s="121"/>
      <c r="AE948" s="121"/>
      <c r="AF948" s="121"/>
      <c r="AG948" s="121"/>
      <c r="AH948" s="120"/>
    </row>
    <row r="949" spans="1:34" ht="13.2" x14ac:dyDescent="0.25">
      <c r="A949" s="81"/>
      <c r="B949" s="81"/>
      <c r="C949" s="81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1"/>
      <c r="Y949" s="81"/>
      <c r="Z949" s="81"/>
      <c r="AA949" s="81"/>
      <c r="AB949" s="121"/>
      <c r="AC949" s="121"/>
      <c r="AD949" s="121"/>
      <c r="AE949" s="121"/>
      <c r="AF949" s="121"/>
      <c r="AG949" s="121"/>
      <c r="AH949" s="120"/>
    </row>
    <row r="950" spans="1:34" ht="13.2" x14ac:dyDescent="0.25">
      <c r="A950" s="81"/>
      <c r="B950" s="81"/>
      <c r="C950" s="81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1"/>
      <c r="Y950" s="81"/>
      <c r="Z950" s="81"/>
      <c r="AA950" s="81"/>
      <c r="AB950" s="121"/>
      <c r="AC950" s="121"/>
      <c r="AD950" s="121"/>
      <c r="AE950" s="121"/>
      <c r="AF950" s="121"/>
      <c r="AG950" s="121"/>
      <c r="AH950" s="120"/>
    </row>
    <row r="951" spans="1:34" ht="13.2" x14ac:dyDescent="0.25">
      <c r="A951" s="81"/>
      <c r="B951" s="81"/>
      <c r="C951" s="81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1"/>
      <c r="Y951" s="81"/>
      <c r="Z951" s="81"/>
      <c r="AA951" s="81"/>
      <c r="AB951" s="121"/>
      <c r="AC951" s="121"/>
      <c r="AD951" s="121"/>
      <c r="AE951" s="121"/>
      <c r="AF951" s="121"/>
      <c r="AG951" s="121"/>
      <c r="AH951" s="120"/>
    </row>
    <row r="952" spans="1:34" ht="13.2" x14ac:dyDescent="0.25">
      <c r="A952" s="81"/>
      <c r="B952" s="81"/>
      <c r="C952" s="81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1"/>
      <c r="Y952" s="81"/>
      <c r="Z952" s="81"/>
      <c r="AA952" s="81"/>
      <c r="AB952" s="121"/>
      <c r="AC952" s="121"/>
      <c r="AD952" s="121"/>
      <c r="AE952" s="121"/>
      <c r="AF952" s="121"/>
      <c r="AG952" s="121"/>
      <c r="AH952" s="120"/>
    </row>
    <row r="953" spans="1:34" ht="13.2" x14ac:dyDescent="0.25">
      <c r="A953" s="81"/>
      <c r="B953" s="81"/>
      <c r="C953" s="81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1"/>
      <c r="Y953" s="81"/>
      <c r="Z953" s="81"/>
      <c r="AA953" s="81"/>
      <c r="AB953" s="121"/>
      <c r="AC953" s="121"/>
      <c r="AD953" s="121"/>
      <c r="AE953" s="121"/>
      <c r="AF953" s="121"/>
      <c r="AG953" s="121"/>
      <c r="AH953" s="120"/>
    </row>
    <row r="954" spans="1:34" ht="13.2" x14ac:dyDescent="0.25">
      <c r="A954" s="81"/>
      <c r="B954" s="81"/>
      <c r="C954" s="81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1"/>
      <c r="Y954" s="81"/>
      <c r="Z954" s="81"/>
      <c r="AA954" s="81"/>
      <c r="AB954" s="121"/>
      <c r="AC954" s="121"/>
      <c r="AD954" s="121"/>
      <c r="AE954" s="121"/>
      <c r="AF954" s="121"/>
      <c r="AG954" s="121"/>
      <c r="AH954" s="120"/>
    </row>
    <row r="955" spans="1:34" ht="13.2" x14ac:dyDescent="0.25">
      <c r="A955" s="81"/>
      <c r="B955" s="81"/>
      <c r="C955" s="81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1"/>
      <c r="Y955" s="81"/>
      <c r="Z955" s="81"/>
      <c r="AA955" s="81"/>
      <c r="AB955" s="121"/>
      <c r="AC955" s="121"/>
      <c r="AD955" s="121"/>
      <c r="AE955" s="121"/>
      <c r="AF955" s="121"/>
      <c r="AG955" s="121"/>
      <c r="AH955" s="120"/>
    </row>
    <row r="956" spans="1:34" ht="13.2" x14ac:dyDescent="0.25">
      <c r="A956" s="81"/>
      <c r="B956" s="81"/>
      <c r="C956" s="81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1"/>
      <c r="Y956" s="81"/>
      <c r="Z956" s="81"/>
      <c r="AA956" s="81"/>
      <c r="AB956" s="121"/>
      <c r="AC956" s="121"/>
      <c r="AD956" s="121"/>
      <c r="AE956" s="121"/>
      <c r="AF956" s="121"/>
      <c r="AG956" s="121"/>
      <c r="AH956" s="120"/>
    </row>
    <row r="957" spans="1:34" ht="13.2" x14ac:dyDescent="0.25">
      <c r="A957" s="81"/>
      <c r="B957" s="81"/>
      <c r="C957" s="81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1"/>
      <c r="Y957" s="81"/>
      <c r="Z957" s="81"/>
      <c r="AA957" s="81"/>
      <c r="AB957" s="121"/>
      <c r="AC957" s="121"/>
      <c r="AD957" s="121"/>
      <c r="AE957" s="121"/>
      <c r="AF957" s="121"/>
      <c r="AG957" s="121"/>
      <c r="AH957" s="120"/>
    </row>
    <row r="958" spans="1:34" ht="13.2" x14ac:dyDescent="0.25">
      <c r="A958" s="81"/>
      <c r="B958" s="81"/>
      <c r="C958" s="81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1"/>
      <c r="Y958" s="81"/>
      <c r="Z958" s="81"/>
      <c r="AA958" s="81"/>
      <c r="AB958" s="121"/>
      <c r="AC958" s="121"/>
      <c r="AD958" s="121"/>
      <c r="AE958" s="121"/>
      <c r="AF958" s="121"/>
      <c r="AG958" s="121"/>
      <c r="AH958" s="120"/>
    </row>
    <row r="959" spans="1:34" ht="13.2" x14ac:dyDescent="0.25">
      <c r="A959" s="81"/>
      <c r="B959" s="81"/>
      <c r="C959" s="81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1"/>
      <c r="Y959" s="81"/>
      <c r="Z959" s="81"/>
      <c r="AA959" s="81"/>
      <c r="AB959" s="121"/>
      <c r="AC959" s="121"/>
      <c r="AD959" s="121"/>
      <c r="AE959" s="121"/>
      <c r="AF959" s="121"/>
      <c r="AG959" s="121"/>
      <c r="AH959" s="120"/>
    </row>
    <row r="960" spans="1:34" ht="13.2" x14ac:dyDescent="0.25">
      <c r="A960" s="81"/>
      <c r="B960" s="81"/>
      <c r="C960" s="81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1"/>
      <c r="Y960" s="81"/>
      <c r="Z960" s="81"/>
      <c r="AA960" s="81"/>
      <c r="AB960" s="121"/>
      <c r="AC960" s="121"/>
      <c r="AD960" s="121"/>
      <c r="AE960" s="121"/>
      <c r="AF960" s="121"/>
      <c r="AG960" s="121"/>
      <c r="AH960" s="120"/>
    </row>
    <row r="961" spans="1:34" ht="13.2" x14ac:dyDescent="0.25">
      <c r="A961" s="81"/>
      <c r="B961" s="81"/>
      <c r="C961" s="81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1"/>
      <c r="Y961" s="81"/>
      <c r="Z961" s="81"/>
      <c r="AA961" s="81"/>
      <c r="AB961" s="121"/>
      <c r="AC961" s="121"/>
      <c r="AD961" s="121"/>
      <c r="AE961" s="121"/>
      <c r="AF961" s="121"/>
      <c r="AG961" s="121"/>
      <c r="AH961" s="120"/>
    </row>
    <row r="962" spans="1:34" ht="13.2" x14ac:dyDescent="0.25">
      <c r="A962" s="81"/>
      <c r="B962" s="81"/>
      <c r="C962" s="81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1"/>
      <c r="Y962" s="81"/>
      <c r="Z962" s="81"/>
      <c r="AA962" s="81"/>
      <c r="AB962" s="121"/>
      <c r="AC962" s="121"/>
      <c r="AD962" s="121"/>
      <c r="AE962" s="121"/>
      <c r="AF962" s="121"/>
      <c r="AG962" s="121"/>
      <c r="AH962" s="120"/>
    </row>
    <row r="963" spans="1:34" ht="13.2" x14ac:dyDescent="0.25">
      <c r="A963" s="81"/>
      <c r="B963" s="81"/>
      <c r="C963" s="81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1"/>
      <c r="Y963" s="81"/>
      <c r="Z963" s="81"/>
      <c r="AA963" s="81"/>
      <c r="AB963" s="121"/>
      <c r="AC963" s="121"/>
      <c r="AD963" s="121"/>
      <c r="AE963" s="121"/>
      <c r="AF963" s="121"/>
      <c r="AG963" s="121"/>
      <c r="AH963" s="120"/>
    </row>
  </sheetData>
  <mergeCells count="7">
    <mergeCell ref="X3:Y3"/>
    <mergeCell ref="X26:Y26"/>
    <mergeCell ref="C2:F2"/>
    <mergeCell ref="G2:K2"/>
    <mergeCell ref="L2:P2"/>
    <mergeCell ref="Q2:U2"/>
    <mergeCell ref="V2:W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692CC-4133-4274-8249-23ED02D77CFC}">
  <sheetPr>
    <tabColor theme="8" tint="-0.249977111117893"/>
  </sheetPr>
  <dimension ref="A1:BE42"/>
  <sheetViews>
    <sheetView topLeftCell="A19" workbookViewId="0">
      <selection activeCell="E42" sqref="E42"/>
    </sheetView>
  </sheetViews>
  <sheetFormatPr defaultRowHeight="13.2" x14ac:dyDescent="0.25"/>
  <cols>
    <col min="1" max="1" width="25.77734375" bestFit="1" customWidth="1"/>
    <col min="2" max="2" width="14.33203125" bestFit="1" customWidth="1"/>
  </cols>
  <sheetData>
    <row r="1" spans="1:57" x14ac:dyDescent="0.25">
      <c r="A1" s="30"/>
      <c r="B1" s="37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</row>
    <row r="2" spans="1:57" ht="13.8" thickBot="1" x14ac:dyDescent="0.3">
      <c r="A2" s="30"/>
      <c r="B2" s="37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</row>
    <row r="3" spans="1:57" ht="13.8" thickBot="1" x14ac:dyDescent="0.3">
      <c r="A3" s="290" t="s">
        <v>0</v>
      </c>
      <c r="B3" s="291"/>
      <c r="C3" s="291"/>
      <c r="D3" s="291"/>
      <c r="E3" s="296">
        <v>1</v>
      </c>
      <c r="F3" s="295"/>
      <c r="G3" s="294">
        <v>2</v>
      </c>
      <c r="H3" s="295"/>
      <c r="I3" s="294">
        <v>3</v>
      </c>
      <c r="J3" s="295"/>
      <c r="K3" s="294">
        <v>6</v>
      </c>
      <c r="L3" s="295"/>
      <c r="M3" s="294">
        <v>7</v>
      </c>
      <c r="N3" s="295"/>
      <c r="O3" s="294">
        <v>8</v>
      </c>
      <c r="P3" s="295"/>
      <c r="Q3" s="292">
        <v>9</v>
      </c>
      <c r="R3" s="293"/>
      <c r="S3" s="292">
        <v>10</v>
      </c>
      <c r="T3" s="293"/>
      <c r="U3" s="292">
        <v>13</v>
      </c>
      <c r="V3" s="293"/>
      <c r="W3" s="292">
        <v>14</v>
      </c>
      <c r="X3" s="293"/>
      <c r="Y3" s="294">
        <v>15</v>
      </c>
      <c r="Z3" s="295"/>
      <c r="AA3" s="294">
        <v>16</v>
      </c>
      <c r="AB3" s="295"/>
      <c r="AC3" s="292">
        <v>17</v>
      </c>
      <c r="AD3" s="293"/>
      <c r="AE3" s="292">
        <v>20</v>
      </c>
      <c r="AF3" s="293"/>
      <c r="AG3" s="292">
        <v>21</v>
      </c>
      <c r="AH3" s="293"/>
      <c r="AI3" s="292">
        <v>22</v>
      </c>
      <c r="AJ3" s="293"/>
      <c r="AK3" s="292">
        <v>23</v>
      </c>
      <c r="AL3" s="293"/>
      <c r="AM3" s="292">
        <v>24</v>
      </c>
      <c r="AN3" s="293"/>
      <c r="AO3" s="292">
        <v>27</v>
      </c>
      <c r="AP3" s="293"/>
      <c r="AQ3" s="292">
        <v>28</v>
      </c>
      <c r="AR3" s="293"/>
      <c r="AS3" s="292">
        <v>29</v>
      </c>
      <c r="AT3" s="293"/>
      <c r="AU3" s="292">
        <v>30</v>
      </c>
      <c r="AV3" s="293"/>
      <c r="AW3" s="292">
        <v>31</v>
      </c>
      <c r="AX3" s="293"/>
      <c r="AY3" s="30"/>
      <c r="AZ3" s="30"/>
      <c r="BA3" s="30"/>
      <c r="BB3" s="30"/>
      <c r="BC3" s="30"/>
      <c r="BD3" s="30"/>
      <c r="BE3" s="30"/>
    </row>
    <row r="4" spans="1:57" x14ac:dyDescent="0.25">
      <c r="A4" s="133" t="s">
        <v>1</v>
      </c>
      <c r="B4" s="133" t="s">
        <v>2</v>
      </c>
      <c r="C4" s="133" t="s">
        <v>3</v>
      </c>
      <c r="D4" s="134" t="s">
        <v>4</v>
      </c>
      <c r="E4" s="135" t="s">
        <v>2</v>
      </c>
      <c r="F4" s="136" t="s">
        <v>5</v>
      </c>
      <c r="G4" s="135" t="s">
        <v>2</v>
      </c>
      <c r="H4" s="136" t="s">
        <v>5</v>
      </c>
      <c r="I4" s="135" t="s">
        <v>2</v>
      </c>
      <c r="J4" s="136" t="s">
        <v>5</v>
      </c>
      <c r="K4" s="135" t="s">
        <v>2</v>
      </c>
      <c r="L4" s="136" t="s">
        <v>5</v>
      </c>
      <c r="M4" s="135" t="s">
        <v>2</v>
      </c>
      <c r="N4" s="136" t="s">
        <v>5</v>
      </c>
      <c r="O4" s="135" t="s">
        <v>2</v>
      </c>
      <c r="P4" s="136" t="s">
        <v>5</v>
      </c>
      <c r="Q4" s="135" t="s">
        <v>2</v>
      </c>
      <c r="R4" s="136" t="s">
        <v>5</v>
      </c>
      <c r="S4" s="135" t="s">
        <v>2</v>
      </c>
      <c r="T4" s="136" t="s">
        <v>5</v>
      </c>
      <c r="U4" s="135" t="s">
        <v>2</v>
      </c>
      <c r="V4" s="136" t="s">
        <v>5</v>
      </c>
      <c r="W4" s="135" t="s">
        <v>2</v>
      </c>
      <c r="X4" s="136" t="s">
        <v>5</v>
      </c>
      <c r="Y4" s="135" t="s">
        <v>2</v>
      </c>
      <c r="Z4" s="136" t="s">
        <v>5</v>
      </c>
      <c r="AA4" s="135" t="s">
        <v>2</v>
      </c>
      <c r="AB4" s="136" t="s">
        <v>5</v>
      </c>
      <c r="AC4" s="135" t="s">
        <v>2</v>
      </c>
      <c r="AD4" s="136" t="s">
        <v>5</v>
      </c>
      <c r="AE4" s="135" t="s">
        <v>2</v>
      </c>
      <c r="AF4" s="136" t="s">
        <v>5</v>
      </c>
      <c r="AG4" s="135" t="s">
        <v>2</v>
      </c>
      <c r="AH4" s="136" t="s">
        <v>5</v>
      </c>
      <c r="AI4" s="135" t="s">
        <v>2</v>
      </c>
      <c r="AJ4" s="136" t="s">
        <v>5</v>
      </c>
      <c r="AK4" s="135" t="s">
        <v>2</v>
      </c>
      <c r="AL4" s="136" t="s">
        <v>5</v>
      </c>
      <c r="AM4" s="135" t="s">
        <v>2</v>
      </c>
      <c r="AN4" s="136" t="s">
        <v>5</v>
      </c>
      <c r="AO4" s="135" t="s">
        <v>2</v>
      </c>
      <c r="AP4" s="136" t="s">
        <v>5</v>
      </c>
      <c r="AQ4" s="135" t="s">
        <v>2</v>
      </c>
      <c r="AR4" s="136" t="s">
        <v>5</v>
      </c>
      <c r="AS4" s="135" t="s">
        <v>2</v>
      </c>
      <c r="AT4" s="136" t="s">
        <v>5</v>
      </c>
      <c r="AU4" s="135" t="s">
        <v>2</v>
      </c>
      <c r="AV4" s="136" t="s">
        <v>5</v>
      </c>
      <c r="AW4" s="135" t="s">
        <v>2</v>
      </c>
      <c r="AX4" s="136" t="s">
        <v>5</v>
      </c>
      <c r="AY4" s="30"/>
      <c r="AZ4" s="30"/>
      <c r="BA4" s="30"/>
      <c r="BB4" s="30"/>
      <c r="BC4" s="30"/>
      <c r="BD4" s="30"/>
      <c r="BE4" s="30"/>
    </row>
    <row r="5" spans="1:57" x14ac:dyDescent="0.25">
      <c r="A5" s="137" t="s">
        <v>343</v>
      </c>
      <c r="B5" s="31">
        <v>42</v>
      </c>
      <c r="C5" s="31">
        <v>5</v>
      </c>
      <c r="D5" s="32">
        <v>0.12</v>
      </c>
      <c r="E5" s="33">
        <v>2</v>
      </c>
      <c r="F5" s="33">
        <v>1</v>
      </c>
      <c r="G5" s="33">
        <v>2</v>
      </c>
      <c r="H5" s="33">
        <v>0</v>
      </c>
      <c r="I5" s="33">
        <v>2</v>
      </c>
      <c r="J5" s="33">
        <v>0</v>
      </c>
      <c r="K5" s="33">
        <v>2</v>
      </c>
      <c r="L5" s="33">
        <v>0</v>
      </c>
      <c r="M5" s="33">
        <v>2</v>
      </c>
      <c r="N5" s="33">
        <v>2</v>
      </c>
      <c r="O5" s="33">
        <v>2</v>
      </c>
      <c r="P5" s="33">
        <v>0</v>
      </c>
      <c r="Q5" s="33">
        <v>2</v>
      </c>
      <c r="R5" s="33">
        <v>1</v>
      </c>
      <c r="S5" s="33">
        <v>2</v>
      </c>
      <c r="T5" s="33">
        <v>0</v>
      </c>
      <c r="U5" s="33">
        <v>2</v>
      </c>
      <c r="V5" s="33">
        <v>0</v>
      </c>
      <c r="W5" s="33">
        <v>2</v>
      </c>
      <c r="X5" s="33">
        <v>1</v>
      </c>
      <c r="Y5" s="33">
        <v>2</v>
      </c>
      <c r="Z5" s="33"/>
      <c r="AA5" s="33">
        <v>2</v>
      </c>
      <c r="AB5" s="33"/>
      <c r="AC5" s="33">
        <v>2</v>
      </c>
      <c r="AD5" s="110"/>
      <c r="AE5" s="33">
        <v>2</v>
      </c>
      <c r="AF5" s="33"/>
      <c r="AG5" s="33">
        <v>2</v>
      </c>
      <c r="AH5" s="33"/>
      <c r="AI5" s="33">
        <v>2</v>
      </c>
      <c r="AJ5" s="33"/>
      <c r="AK5" s="33">
        <v>2</v>
      </c>
      <c r="AL5" s="33"/>
      <c r="AM5" s="33">
        <v>2</v>
      </c>
      <c r="AN5" s="33"/>
      <c r="AO5" s="33">
        <v>2</v>
      </c>
      <c r="AP5" s="33"/>
      <c r="AQ5" s="33">
        <v>1</v>
      </c>
      <c r="AR5" s="33"/>
      <c r="AS5" s="33">
        <v>1</v>
      </c>
      <c r="AT5" s="33"/>
      <c r="AU5" s="33">
        <v>1</v>
      </c>
      <c r="AV5" s="33"/>
      <c r="AW5" s="33">
        <v>1</v>
      </c>
      <c r="AX5" s="33"/>
      <c r="AY5" s="30"/>
      <c r="AZ5" s="30"/>
      <c r="BA5" s="30"/>
      <c r="BB5" s="30"/>
      <c r="BC5" s="30"/>
      <c r="BD5" s="30"/>
      <c r="BE5" s="30"/>
    </row>
    <row r="6" spans="1:57" x14ac:dyDescent="0.25">
      <c r="A6" s="137" t="s">
        <v>344</v>
      </c>
      <c r="B6" s="31">
        <v>43</v>
      </c>
      <c r="C6" s="31">
        <v>11</v>
      </c>
      <c r="D6" s="32">
        <v>0.26</v>
      </c>
      <c r="E6" s="33">
        <v>2</v>
      </c>
      <c r="F6" s="110">
        <v>1</v>
      </c>
      <c r="G6" s="33">
        <v>2</v>
      </c>
      <c r="H6" s="33">
        <v>0</v>
      </c>
      <c r="I6" s="33">
        <v>2</v>
      </c>
      <c r="J6" s="33">
        <v>2</v>
      </c>
      <c r="K6" s="33">
        <v>2</v>
      </c>
      <c r="L6" s="33">
        <v>0</v>
      </c>
      <c r="M6" s="33">
        <v>2</v>
      </c>
      <c r="N6" s="110">
        <v>1</v>
      </c>
      <c r="O6" s="33">
        <v>2</v>
      </c>
      <c r="P6" s="33">
        <v>2</v>
      </c>
      <c r="Q6" s="33">
        <v>2</v>
      </c>
      <c r="R6" s="33">
        <v>1</v>
      </c>
      <c r="S6" s="33">
        <v>2</v>
      </c>
      <c r="T6" s="33">
        <v>3</v>
      </c>
      <c r="U6" s="33">
        <v>2</v>
      </c>
      <c r="V6" s="33"/>
      <c r="W6" s="33">
        <v>2</v>
      </c>
      <c r="X6" s="33"/>
      <c r="Y6" s="33">
        <v>2</v>
      </c>
      <c r="Z6" s="33"/>
      <c r="AA6" s="33">
        <v>2</v>
      </c>
      <c r="AB6" s="33">
        <v>1</v>
      </c>
      <c r="AC6" s="33">
        <v>2</v>
      </c>
      <c r="AD6" s="110"/>
      <c r="AE6" s="33">
        <v>2</v>
      </c>
      <c r="AF6" s="33"/>
      <c r="AG6" s="33">
        <v>2</v>
      </c>
      <c r="AH6" s="33"/>
      <c r="AI6" s="33">
        <v>2</v>
      </c>
      <c r="AJ6" s="33"/>
      <c r="AK6" s="33">
        <v>2</v>
      </c>
      <c r="AL6" s="33"/>
      <c r="AM6" s="33">
        <v>2</v>
      </c>
      <c r="AN6" s="33"/>
      <c r="AO6" s="33">
        <v>2</v>
      </c>
      <c r="AP6" s="33"/>
      <c r="AQ6" s="33">
        <v>2</v>
      </c>
      <c r="AR6" s="33"/>
      <c r="AS6" s="33">
        <v>1</v>
      </c>
      <c r="AT6" s="33"/>
      <c r="AU6" s="33">
        <v>1</v>
      </c>
      <c r="AV6" s="33"/>
      <c r="AW6" s="33">
        <v>1</v>
      </c>
      <c r="AX6" s="33"/>
      <c r="AY6" s="30"/>
      <c r="AZ6" s="30"/>
      <c r="BA6" s="30"/>
      <c r="BB6" s="30"/>
      <c r="BC6" s="30"/>
      <c r="BD6" s="30"/>
      <c r="BE6" s="30"/>
    </row>
    <row r="7" spans="1:57" x14ac:dyDescent="0.25">
      <c r="A7" s="137" t="s">
        <v>345</v>
      </c>
      <c r="B7" s="31">
        <v>31</v>
      </c>
      <c r="C7" s="31">
        <v>2</v>
      </c>
      <c r="D7" s="32">
        <v>0.06</v>
      </c>
      <c r="E7" s="33">
        <v>2</v>
      </c>
      <c r="F7" s="33">
        <v>0</v>
      </c>
      <c r="G7" s="33">
        <v>2</v>
      </c>
      <c r="H7" s="33">
        <v>2</v>
      </c>
      <c r="I7" s="33">
        <v>2</v>
      </c>
      <c r="J7" s="33">
        <v>0</v>
      </c>
      <c r="K7" s="33">
        <v>2</v>
      </c>
      <c r="L7" s="33">
        <v>0</v>
      </c>
      <c r="M7" s="33">
        <v>2</v>
      </c>
      <c r="N7" s="33">
        <v>0</v>
      </c>
      <c r="O7" s="33">
        <v>2</v>
      </c>
      <c r="P7" s="33">
        <v>0</v>
      </c>
      <c r="Q7" s="33">
        <v>2</v>
      </c>
      <c r="R7" s="33">
        <v>0</v>
      </c>
      <c r="S7" s="33">
        <v>2</v>
      </c>
      <c r="T7" s="33">
        <v>0</v>
      </c>
      <c r="U7" s="33">
        <v>1</v>
      </c>
      <c r="V7" s="33"/>
      <c r="W7" s="33">
        <v>1</v>
      </c>
      <c r="X7" s="33"/>
      <c r="Y7" s="33">
        <v>1</v>
      </c>
      <c r="Z7" s="33"/>
      <c r="AA7" s="33">
        <v>1</v>
      </c>
      <c r="AB7" s="33"/>
      <c r="AC7" s="33">
        <v>1</v>
      </c>
      <c r="AD7" s="110"/>
      <c r="AE7" s="33">
        <v>1</v>
      </c>
      <c r="AF7" s="33"/>
      <c r="AG7" s="33">
        <v>1</v>
      </c>
      <c r="AH7" s="33"/>
      <c r="AI7" s="33">
        <v>1</v>
      </c>
      <c r="AJ7" s="33"/>
      <c r="AK7" s="33">
        <v>1</v>
      </c>
      <c r="AL7" s="33"/>
      <c r="AM7" s="33">
        <v>1</v>
      </c>
      <c r="AN7" s="33"/>
      <c r="AO7" s="33">
        <v>1</v>
      </c>
      <c r="AP7" s="33"/>
      <c r="AQ7" s="33">
        <v>1</v>
      </c>
      <c r="AR7" s="33"/>
      <c r="AS7" s="33">
        <v>1</v>
      </c>
      <c r="AT7" s="33"/>
      <c r="AU7" s="33">
        <v>1</v>
      </c>
      <c r="AV7" s="33"/>
      <c r="AW7" s="33">
        <v>1</v>
      </c>
      <c r="AX7" s="33"/>
      <c r="AY7" s="30"/>
      <c r="AZ7" s="30"/>
      <c r="BA7" s="30"/>
      <c r="BB7" s="30"/>
      <c r="BC7" s="30"/>
      <c r="BD7" s="30"/>
      <c r="BE7" s="30"/>
    </row>
    <row r="8" spans="1:57" x14ac:dyDescent="0.25">
      <c r="A8" s="137" t="s">
        <v>346</v>
      </c>
      <c r="B8" s="31">
        <v>22</v>
      </c>
      <c r="C8" s="31">
        <v>3</v>
      </c>
      <c r="D8" s="32">
        <v>0.14000000000000001</v>
      </c>
      <c r="E8" s="33">
        <v>1</v>
      </c>
      <c r="F8" s="33">
        <v>0</v>
      </c>
      <c r="G8" s="33">
        <v>1</v>
      </c>
      <c r="H8" s="33">
        <v>1</v>
      </c>
      <c r="I8" s="33">
        <v>1</v>
      </c>
      <c r="J8" s="33">
        <v>0</v>
      </c>
      <c r="K8" s="33">
        <v>1</v>
      </c>
      <c r="L8" s="33">
        <v>0</v>
      </c>
      <c r="M8" s="33">
        <v>1</v>
      </c>
      <c r="N8" s="33">
        <v>1</v>
      </c>
      <c r="O8" s="33">
        <v>1</v>
      </c>
      <c r="P8" s="33">
        <v>0</v>
      </c>
      <c r="Q8" s="33">
        <v>1</v>
      </c>
      <c r="R8" s="33">
        <v>0</v>
      </c>
      <c r="S8" s="33">
        <v>1</v>
      </c>
      <c r="T8" s="33">
        <v>1</v>
      </c>
      <c r="U8" s="33">
        <v>1</v>
      </c>
      <c r="V8" s="33"/>
      <c r="W8" s="33">
        <v>1</v>
      </c>
      <c r="X8" s="33"/>
      <c r="Y8" s="33">
        <v>1</v>
      </c>
      <c r="Z8" s="33"/>
      <c r="AA8" s="33">
        <v>1</v>
      </c>
      <c r="AB8" s="33"/>
      <c r="AC8" s="33">
        <v>1</v>
      </c>
      <c r="AD8" s="110"/>
      <c r="AE8" s="33">
        <v>1</v>
      </c>
      <c r="AF8" s="33"/>
      <c r="AG8" s="33">
        <v>1</v>
      </c>
      <c r="AH8" s="33"/>
      <c r="AI8" s="33">
        <v>1</v>
      </c>
      <c r="AJ8" s="33"/>
      <c r="AK8" s="33">
        <v>1</v>
      </c>
      <c r="AL8" s="33"/>
      <c r="AM8" s="33">
        <v>1</v>
      </c>
      <c r="AN8" s="33"/>
      <c r="AO8" s="33">
        <v>1</v>
      </c>
      <c r="AP8" s="33"/>
      <c r="AQ8" s="33">
        <v>1</v>
      </c>
      <c r="AR8" s="33"/>
      <c r="AS8" s="33">
        <v>1</v>
      </c>
      <c r="AT8" s="33"/>
      <c r="AU8" s="33">
        <v>1</v>
      </c>
      <c r="AV8" s="33"/>
      <c r="AW8" s="33">
        <v>0</v>
      </c>
      <c r="AX8" s="33"/>
      <c r="AY8" s="30"/>
      <c r="AZ8" s="30"/>
      <c r="BA8" s="30"/>
      <c r="BB8" s="30"/>
      <c r="BC8" s="30"/>
      <c r="BD8" s="30"/>
      <c r="BE8" s="30"/>
    </row>
    <row r="9" spans="1:57" x14ac:dyDescent="0.25">
      <c r="A9" s="137" t="s">
        <v>347</v>
      </c>
      <c r="B9" s="31">
        <v>23</v>
      </c>
      <c r="C9" s="31">
        <v>0</v>
      </c>
      <c r="D9" s="32">
        <v>0</v>
      </c>
      <c r="E9" s="33">
        <v>1</v>
      </c>
      <c r="F9" s="33">
        <v>0</v>
      </c>
      <c r="G9" s="33">
        <v>1</v>
      </c>
      <c r="H9" s="33">
        <v>0</v>
      </c>
      <c r="I9" s="33">
        <v>1</v>
      </c>
      <c r="J9" s="33">
        <v>0</v>
      </c>
      <c r="K9" s="33">
        <v>1</v>
      </c>
      <c r="L9" s="33">
        <v>0</v>
      </c>
      <c r="M9" s="33">
        <v>1</v>
      </c>
      <c r="N9" s="33">
        <v>0</v>
      </c>
      <c r="O9" s="33">
        <v>1</v>
      </c>
      <c r="P9" s="33">
        <v>0</v>
      </c>
      <c r="Q9" s="33">
        <v>1</v>
      </c>
      <c r="R9" s="33">
        <v>0</v>
      </c>
      <c r="S9" s="33">
        <v>1</v>
      </c>
      <c r="T9" s="33">
        <v>0</v>
      </c>
      <c r="U9" s="33">
        <v>1</v>
      </c>
      <c r="V9" s="33"/>
      <c r="W9" s="33">
        <v>1</v>
      </c>
      <c r="X9" s="33"/>
      <c r="Y9" s="33">
        <v>1</v>
      </c>
      <c r="Z9" s="33"/>
      <c r="AA9" s="33">
        <v>1</v>
      </c>
      <c r="AB9" s="33"/>
      <c r="AC9" s="33">
        <v>1</v>
      </c>
      <c r="AD9" s="110"/>
      <c r="AE9" s="33">
        <v>1</v>
      </c>
      <c r="AF9" s="33"/>
      <c r="AG9" s="33">
        <v>1</v>
      </c>
      <c r="AH9" s="33"/>
      <c r="AI9" s="33">
        <v>1</v>
      </c>
      <c r="AJ9" s="33"/>
      <c r="AK9" s="33">
        <v>1</v>
      </c>
      <c r="AL9" s="33"/>
      <c r="AM9" s="33">
        <v>1</v>
      </c>
      <c r="AN9" s="33"/>
      <c r="AO9" s="33">
        <v>1</v>
      </c>
      <c r="AP9" s="33"/>
      <c r="AQ9" s="33">
        <v>1</v>
      </c>
      <c r="AR9" s="33"/>
      <c r="AS9" s="33">
        <v>1</v>
      </c>
      <c r="AT9" s="33"/>
      <c r="AU9" s="33">
        <v>1</v>
      </c>
      <c r="AV9" s="33"/>
      <c r="AW9" s="33">
        <v>1</v>
      </c>
      <c r="AX9" s="33"/>
      <c r="AY9" s="30"/>
      <c r="AZ9" s="30"/>
      <c r="BA9" s="30"/>
      <c r="BB9" s="30"/>
      <c r="BC9" s="30"/>
      <c r="BD9" s="30"/>
      <c r="BE9" s="30"/>
    </row>
    <row r="10" spans="1:57" x14ac:dyDescent="0.25">
      <c r="A10" s="138" t="s">
        <v>11</v>
      </c>
      <c r="B10" s="139">
        <v>161</v>
      </c>
      <c r="C10" s="139">
        <v>21</v>
      </c>
      <c r="D10" s="140">
        <v>0.13</v>
      </c>
      <c r="E10" s="141">
        <v>8</v>
      </c>
      <c r="F10" s="141">
        <v>2</v>
      </c>
      <c r="G10" s="141">
        <v>8</v>
      </c>
      <c r="H10" s="141">
        <v>3</v>
      </c>
      <c r="I10" s="141">
        <v>8</v>
      </c>
      <c r="J10" s="141">
        <v>2</v>
      </c>
      <c r="K10" s="141">
        <v>8</v>
      </c>
      <c r="L10" s="141">
        <v>0</v>
      </c>
      <c r="M10" s="141">
        <v>8</v>
      </c>
      <c r="N10" s="141">
        <v>4</v>
      </c>
      <c r="O10" s="141">
        <v>8</v>
      </c>
      <c r="P10" s="141">
        <v>2</v>
      </c>
      <c r="Q10" s="141">
        <v>8</v>
      </c>
      <c r="R10" s="141">
        <v>2</v>
      </c>
      <c r="S10" s="141">
        <v>8</v>
      </c>
      <c r="T10" s="141">
        <v>4</v>
      </c>
      <c r="U10" s="141">
        <v>7</v>
      </c>
      <c r="V10" s="141">
        <v>0</v>
      </c>
      <c r="W10" s="141">
        <v>7</v>
      </c>
      <c r="X10" s="141">
        <v>1</v>
      </c>
      <c r="Y10" s="141">
        <v>7</v>
      </c>
      <c r="Z10" s="141">
        <v>0</v>
      </c>
      <c r="AA10" s="141">
        <v>7</v>
      </c>
      <c r="AB10" s="141">
        <v>1</v>
      </c>
      <c r="AC10" s="141">
        <v>7</v>
      </c>
      <c r="AD10" s="141">
        <v>0</v>
      </c>
      <c r="AE10" s="141">
        <v>7</v>
      </c>
      <c r="AF10" s="141">
        <v>0</v>
      </c>
      <c r="AG10" s="141">
        <v>7</v>
      </c>
      <c r="AH10" s="141">
        <v>0</v>
      </c>
      <c r="AI10" s="141">
        <v>7</v>
      </c>
      <c r="AJ10" s="141">
        <v>0</v>
      </c>
      <c r="AK10" s="141">
        <v>7</v>
      </c>
      <c r="AL10" s="141">
        <v>0</v>
      </c>
      <c r="AM10" s="141">
        <v>7</v>
      </c>
      <c r="AN10" s="141">
        <v>0</v>
      </c>
      <c r="AO10" s="141">
        <v>7</v>
      </c>
      <c r="AP10" s="141">
        <v>0</v>
      </c>
      <c r="AQ10" s="141">
        <v>6</v>
      </c>
      <c r="AR10" s="141">
        <v>0</v>
      </c>
      <c r="AS10" s="141">
        <v>5</v>
      </c>
      <c r="AT10" s="141">
        <v>0</v>
      </c>
      <c r="AU10" s="141">
        <v>5</v>
      </c>
      <c r="AV10" s="141">
        <v>0</v>
      </c>
      <c r="AW10" s="141">
        <v>4</v>
      </c>
      <c r="AX10" s="141">
        <v>0</v>
      </c>
      <c r="AY10" s="30"/>
      <c r="AZ10" s="30"/>
      <c r="BA10" s="30"/>
      <c r="BB10" s="30"/>
      <c r="BC10" s="30"/>
      <c r="BD10" s="30"/>
      <c r="BE10" s="30"/>
    </row>
    <row r="11" spans="1:57" x14ac:dyDescent="0.25">
      <c r="A11" s="53" t="s">
        <v>12</v>
      </c>
      <c r="B11" s="54">
        <v>57</v>
      </c>
      <c r="C11" s="39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</row>
    <row r="12" spans="1:57" x14ac:dyDescent="0.25">
      <c r="A12" s="53" t="s">
        <v>339</v>
      </c>
      <c r="B12" s="54">
        <v>-104</v>
      </c>
      <c r="C12" s="39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</row>
    <row r="13" spans="1:57" ht="13.8" thickBot="1" x14ac:dyDescent="0.3">
      <c r="A13" s="30"/>
      <c r="B13" s="37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</row>
    <row r="14" spans="1:57" ht="15" thickBot="1" x14ac:dyDescent="0.35">
      <c r="A14" s="306" t="s">
        <v>348</v>
      </c>
      <c r="B14" s="307"/>
      <c r="C14" s="307"/>
      <c r="D14" s="307"/>
      <c r="E14" s="307"/>
      <c r="F14" s="307"/>
      <c r="G14" s="307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</row>
    <row r="15" spans="1:57" x14ac:dyDescent="0.25">
      <c r="A15" s="142" t="s">
        <v>14</v>
      </c>
      <c r="B15" s="142" t="s">
        <v>349</v>
      </c>
      <c r="C15" s="142" t="s">
        <v>350</v>
      </c>
      <c r="D15" s="142" t="s">
        <v>351</v>
      </c>
      <c r="E15" s="142" t="s">
        <v>352</v>
      </c>
      <c r="F15" s="142" t="s">
        <v>353</v>
      </c>
      <c r="G15" s="142" t="s">
        <v>11</v>
      </c>
      <c r="H15" s="30"/>
      <c r="I15" s="30"/>
      <c r="J15" s="30"/>
      <c r="K15" s="30"/>
      <c r="L15" s="30"/>
      <c r="M15" s="30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</row>
    <row r="16" spans="1:57" ht="23.4" x14ac:dyDescent="0.45">
      <c r="A16" s="143" t="s">
        <v>15</v>
      </c>
      <c r="B16" s="74">
        <v>92</v>
      </c>
      <c r="C16" s="74">
        <v>42</v>
      </c>
      <c r="D16" s="74">
        <v>27</v>
      </c>
      <c r="E16" s="74">
        <v>15</v>
      </c>
      <c r="F16" s="74">
        <v>29</v>
      </c>
      <c r="G16" s="144">
        <v>205</v>
      </c>
      <c r="H16" s="50"/>
      <c r="I16" s="30"/>
      <c r="J16" s="49"/>
      <c r="K16" s="41"/>
      <c r="L16" s="42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</row>
    <row r="17" spans="1:57" ht="21" x14ac:dyDescent="0.4">
      <c r="A17" s="143" t="s">
        <v>16</v>
      </c>
      <c r="B17" s="74">
        <v>4</v>
      </c>
      <c r="C17" s="74">
        <v>3</v>
      </c>
      <c r="D17" s="74">
        <v>3</v>
      </c>
      <c r="E17" s="74">
        <v>6</v>
      </c>
      <c r="F17" s="74">
        <v>0</v>
      </c>
      <c r="G17" s="144">
        <v>16</v>
      </c>
      <c r="H17" s="50"/>
      <c r="I17" s="232"/>
      <c r="J17" s="30"/>
      <c r="K17" s="41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</row>
    <row r="18" spans="1:57" ht="23.4" x14ac:dyDescent="0.45">
      <c r="A18" s="143" t="s">
        <v>17</v>
      </c>
      <c r="B18" s="74">
        <v>6</v>
      </c>
      <c r="C18" s="74">
        <v>0</v>
      </c>
      <c r="D18" s="74">
        <v>0</v>
      </c>
      <c r="E18" s="74">
        <v>1</v>
      </c>
      <c r="F18" s="74">
        <v>0</v>
      </c>
      <c r="G18" s="144">
        <v>7</v>
      </c>
      <c r="H18" s="50"/>
      <c r="I18" s="41"/>
      <c r="J18" s="49"/>
      <c r="K18" s="41"/>
      <c r="L18" s="30"/>
      <c r="M18" s="49"/>
      <c r="N18" s="30"/>
      <c r="O18" s="30"/>
      <c r="P18" s="49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</row>
    <row r="19" spans="1:57" x14ac:dyDescent="0.25">
      <c r="A19" s="143" t="s">
        <v>18</v>
      </c>
      <c r="B19" s="74">
        <v>2</v>
      </c>
      <c r="C19" s="74">
        <v>0</v>
      </c>
      <c r="D19" s="74">
        <v>0</v>
      </c>
      <c r="E19" s="74">
        <v>0</v>
      </c>
      <c r="F19" s="74">
        <v>0</v>
      </c>
      <c r="G19" s="144">
        <v>2</v>
      </c>
      <c r="H19" s="50"/>
      <c r="I19" s="4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</row>
    <row r="20" spans="1:57" x14ac:dyDescent="0.25">
      <c r="A20" s="233" t="s">
        <v>354</v>
      </c>
      <c r="B20" s="74">
        <v>24</v>
      </c>
      <c r="C20" s="74">
        <v>47</v>
      </c>
      <c r="D20" s="74">
        <v>20</v>
      </c>
      <c r="E20" s="74">
        <v>34</v>
      </c>
      <c r="F20" s="74">
        <v>34</v>
      </c>
      <c r="G20" s="144">
        <v>159</v>
      </c>
      <c r="H20" s="38"/>
      <c r="I20" s="4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</row>
    <row r="21" spans="1:57" x14ac:dyDescent="0.25">
      <c r="A21" s="145" t="s">
        <v>19</v>
      </c>
      <c r="B21" s="142" t="s">
        <v>349</v>
      </c>
      <c r="C21" s="142" t="s">
        <v>350</v>
      </c>
      <c r="D21" s="142" t="s">
        <v>351</v>
      </c>
      <c r="E21" s="142" t="s">
        <v>352</v>
      </c>
      <c r="F21" s="142" t="s">
        <v>353</v>
      </c>
      <c r="G21" s="142" t="s">
        <v>11</v>
      </c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</row>
    <row r="22" spans="1:57" x14ac:dyDescent="0.25">
      <c r="A22" s="143" t="s">
        <v>20</v>
      </c>
      <c r="B22" s="74">
        <v>76</v>
      </c>
      <c r="C22" s="74">
        <v>221</v>
      </c>
      <c r="D22" s="74">
        <v>96</v>
      </c>
      <c r="E22" s="74">
        <v>29</v>
      </c>
      <c r="F22" s="74">
        <v>91</v>
      </c>
      <c r="G22" s="144">
        <v>513</v>
      </c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</row>
    <row r="23" spans="1:57" ht="18" x14ac:dyDescent="0.35">
      <c r="A23" s="143" t="s">
        <v>21</v>
      </c>
      <c r="B23" s="74">
        <v>3</v>
      </c>
      <c r="C23" s="74">
        <v>7</v>
      </c>
      <c r="D23" s="74">
        <v>22</v>
      </c>
      <c r="E23" s="74">
        <v>27</v>
      </c>
      <c r="F23" s="74">
        <v>7</v>
      </c>
      <c r="G23" s="144">
        <v>66</v>
      </c>
      <c r="H23" s="234"/>
      <c r="I23" s="30"/>
      <c r="J23" s="40"/>
      <c r="K23" s="41"/>
      <c r="L23" s="42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</row>
    <row r="24" spans="1:57" x14ac:dyDescent="0.25">
      <c r="A24" s="143" t="s">
        <v>22</v>
      </c>
      <c r="B24" s="74">
        <v>0</v>
      </c>
      <c r="C24" s="74">
        <v>0</v>
      </c>
      <c r="D24" s="74">
        <v>0</v>
      </c>
      <c r="E24" s="74">
        <v>2</v>
      </c>
      <c r="F24" s="74">
        <v>1</v>
      </c>
      <c r="G24" s="144">
        <v>3</v>
      </c>
      <c r="H24" s="43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</row>
    <row r="25" spans="1:57" x14ac:dyDescent="0.25">
      <c r="A25" s="143" t="s">
        <v>23</v>
      </c>
      <c r="B25" s="74">
        <v>0</v>
      </c>
      <c r="C25" s="74">
        <v>0</v>
      </c>
      <c r="D25" s="74">
        <v>0</v>
      </c>
      <c r="E25" s="74">
        <v>0</v>
      </c>
      <c r="F25" s="74">
        <v>0</v>
      </c>
      <c r="G25" s="144">
        <v>0</v>
      </c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</row>
    <row r="26" spans="1:57" x14ac:dyDescent="0.25">
      <c r="A26" s="143" t="s">
        <v>24</v>
      </c>
      <c r="B26" s="74">
        <v>7</v>
      </c>
      <c r="C26" s="74">
        <v>14</v>
      </c>
      <c r="D26" s="74">
        <v>5</v>
      </c>
      <c r="E26" s="74">
        <v>5</v>
      </c>
      <c r="F26" s="74">
        <v>5</v>
      </c>
      <c r="G26" s="144">
        <v>36</v>
      </c>
      <c r="H26" s="4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</row>
    <row r="27" spans="1:57" x14ac:dyDescent="0.25">
      <c r="A27" s="143" t="s">
        <v>25</v>
      </c>
      <c r="B27" s="74">
        <v>0</v>
      </c>
      <c r="C27" s="74">
        <v>0</v>
      </c>
      <c r="D27" s="74">
        <v>2</v>
      </c>
      <c r="E27" s="74">
        <v>5</v>
      </c>
      <c r="F27" s="74">
        <v>5</v>
      </c>
      <c r="G27" s="144">
        <v>12</v>
      </c>
      <c r="H27" s="48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</row>
    <row r="28" spans="1:57" x14ac:dyDescent="0.25">
      <c r="A28" s="143" t="s">
        <v>26</v>
      </c>
      <c r="B28" s="74">
        <v>0</v>
      </c>
      <c r="C28" s="74">
        <v>0</v>
      </c>
      <c r="D28" s="74">
        <v>0</v>
      </c>
      <c r="E28" s="74">
        <v>0</v>
      </c>
      <c r="F28" s="74">
        <v>0</v>
      </c>
      <c r="G28" s="144">
        <v>0</v>
      </c>
      <c r="H28" s="40"/>
      <c r="I28" s="30"/>
      <c r="J28" s="4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</row>
    <row r="29" spans="1:57" x14ac:dyDescent="0.25">
      <c r="A29" s="146" t="s">
        <v>11</v>
      </c>
      <c r="B29" s="132">
        <v>214</v>
      </c>
      <c r="C29" s="132">
        <v>334</v>
      </c>
      <c r="D29" s="132">
        <v>175</v>
      </c>
      <c r="E29" s="132">
        <v>124</v>
      </c>
      <c r="F29" s="132">
        <v>172</v>
      </c>
      <c r="G29" s="37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</row>
    <row r="30" spans="1:57" x14ac:dyDescent="0.25">
      <c r="A30" s="30"/>
      <c r="B30" s="37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</row>
    <row r="31" spans="1:57" ht="13.8" thickBot="1" x14ac:dyDescent="0.3">
      <c r="A31" s="30"/>
      <c r="B31" s="37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</row>
    <row r="32" spans="1:57" ht="13.8" thickBot="1" x14ac:dyDescent="0.3">
      <c r="A32" s="290" t="s">
        <v>27</v>
      </c>
      <c r="B32" s="291"/>
      <c r="C32" s="291"/>
      <c r="D32" s="291"/>
      <c r="E32" s="296">
        <v>1</v>
      </c>
      <c r="F32" s="295"/>
      <c r="G32" s="294">
        <v>2</v>
      </c>
      <c r="H32" s="295"/>
      <c r="I32" s="294">
        <v>3</v>
      </c>
      <c r="J32" s="295"/>
      <c r="K32" s="294">
        <v>6</v>
      </c>
      <c r="L32" s="295"/>
      <c r="M32" s="294">
        <v>7</v>
      </c>
      <c r="N32" s="295"/>
      <c r="O32" s="294">
        <v>8</v>
      </c>
      <c r="P32" s="295"/>
      <c r="Q32" s="292">
        <v>9</v>
      </c>
      <c r="R32" s="293"/>
      <c r="S32" s="292">
        <v>10</v>
      </c>
      <c r="T32" s="293"/>
      <c r="U32" s="292">
        <v>13</v>
      </c>
      <c r="V32" s="293"/>
      <c r="W32" s="292">
        <v>14</v>
      </c>
      <c r="X32" s="293"/>
      <c r="Y32" s="294">
        <v>15</v>
      </c>
      <c r="Z32" s="295"/>
      <c r="AA32" s="294">
        <v>16</v>
      </c>
      <c r="AB32" s="295"/>
      <c r="AC32" s="292">
        <v>17</v>
      </c>
      <c r="AD32" s="293"/>
      <c r="AE32" s="292">
        <v>20</v>
      </c>
      <c r="AF32" s="293"/>
      <c r="AG32" s="292">
        <v>21</v>
      </c>
      <c r="AH32" s="293"/>
      <c r="AI32" s="292">
        <v>22</v>
      </c>
      <c r="AJ32" s="293"/>
      <c r="AK32" s="292">
        <v>23</v>
      </c>
      <c r="AL32" s="293"/>
      <c r="AM32" s="292">
        <v>24</v>
      </c>
      <c r="AN32" s="293"/>
      <c r="AO32" s="292">
        <v>27</v>
      </c>
      <c r="AP32" s="293"/>
      <c r="AQ32" s="292">
        <v>28</v>
      </c>
      <c r="AR32" s="293"/>
      <c r="AS32" s="292">
        <v>29</v>
      </c>
      <c r="AT32" s="293"/>
      <c r="AU32" s="292">
        <v>30</v>
      </c>
      <c r="AV32" s="293"/>
      <c r="AW32" s="292">
        <v>31</v>
      </c>
      <c r="AX32" s="293"/>
      <c r="AY32" s="30"/>
      <c r="AZ32" s="30"/>
      <c r="BA32" s="30"/>
      <c r="BB32" s="30"/>
      <c r="BC32" s="30"/>
      <c r="BD32" s="30"/>
      <c r="BE32" s="30"/>
    </row>
    <row r="33" spans="1:57" x14ac:dyDescent="0.25">
      <c r="A33" s="147" t="s">
        <v>1</v>
      </c>
      <c r="B33" s="147" t="s">
        <v>2</v>
      </c>
      <c r="C33" s="147" t="s">
        <v>3</v>
      </c>
      <c r="D33" s="148" t="s">
        <v>4</v>
      </c>
      <c r="E33" s="135" t="s">
        <v>2</v>
      </c>
      <c r="F33" s="136" t="s">
        <v>5</v>
      </c>
      <c r="G33" s="135" t="s">
        <v>2</v>
      </c>
      <c r="H33" s="136" t="s">
        <v>5</v>
      </c>
      <c r="I33" s="135" t="s">
        <v>2</v>
      </c>
      <c r="J33" s="136" t="s">
        <v>5</v>
      </c>
      <c r="K33" s="135" t="s">
        <v>2</v>
      </c>
      <c r="L33" s="136" t="s">
        <v>5</v>
      </c>
      <c r="M33" s="135" t="s">
        <v>2</v>
      </c>
      <c r="N33" s="136" t="s">
        <v>5</v>
      </c>
      <c r="O33" s="135" t="s">
        <v>2</v>
      </c>
      <c r="P33" s="136" t="s">
        <v>5</v>
      </c>
      <c r="Q33" s="135" t="s">
        <v>2</v>
      </c>
      <c r="R33" s="136" t="s">
        <v>5</v>
      </c>
      <c r="S33" s="135" t="s">
        <v>2</v>
      </c>
      <c r="T33" s="136" t="s">
        <v>5</v>
      </c>
      <c r="U33" s="135" t="s">
        <v>2</v>
      </c>
      <c r="V33" s="136" t="s">
        <v>5</v>
      </c>
      <c r="W33" s="135" t="s">
        <v>2</v>
      </c>
      <c r="X33" s="136" t="s">
        <v>5</v>
      </c>
      <c r="Y33" s="135" t="s">
        <v>2</v>
      </c>
      <c r="Z33" s="136" t="s">
        <v>5</v>
      </c>
      <c r="AA33" s="135" t="s">
        <v>2</v>
      </c>
      <c r="AB33" s="136" t="s">
        <v>5</v>
      </c>
      <c r="AC33" s="135" t="s">
        <v>2</v>
      </c>
      <c r="AD33" s="136" t="s">
        <v>5</v>
      </c>
      <c r="AE33" s="135" t="s">
        <v>2</v>
      </c>
      <c r="AF33" s="136" t="s">
        <v>5</v>
      </c>
      <c r="AG33" s="135" t="s">
        <v>2</v>
      </c>
      <c r="AH33" s="136" t="s">
        <v>5</v>
      </c>
      <c r="AI33" s="135" t="s">
        <v>2</v>
      </c>
      <c r="AJ33" s="136" t="s">
        <v>5</v>
      </c>
      <c r="AK33" s="135" t="s">
        <v>2</v>
      </c>
      <c r="AL33" s="136" t="s">
        <v>5</v>
      </c>
      <c r="AM33" s="135" t="s">
        <v>2</v>
      </c>
      <c r="AN33" s="136" t="s">
        <v>5</v>
      </c>
      <c r="AO33" s="135" t="s">
        <v>2</v>
      </c>
      <c r="AP33" s="136" t="s">
        <v>5</v>
      </c>
      <c r="AQ33" s="135" t="s">
        <v>2</v>
      </c>
      <c r="AR33" s="136" t="s">
        <v>5</v>
      </c>
      <c r="AS33" s="135" t="s">
        <v>2</v>
      </c>
      <c r="AT33" s="136" t="s">
        <v>5</v>
      </c>
      <c r="AU33" s="135" t="s">
        <v>2</v>
      </c>
      <c r="AV33" s="136" t="s">
        <v>5</v>
      </c>
      <c r="AW33" s="135" t="s">
        <v>2</v>
      </c>
      <c r="AX33" s="136" t="s">
        <v>5</v>
      </c>
      <c r="AY33" s="30"/>
      <c r="AZ33" s="30"/>
      <c r="BA33" s="30"/>
      <c r="BB33" s="30"/>
      <c r="BC33" s="30"/>
      <c r="BD33" s="30"/>
      <c r="BE33" s="30"/>
    </row>
    <row r="34" spans="1:57" x14ac:dyDescent="0.25">
      <c r="A34" s="110" t="s">
        <v>343</v>
      </c>
      <c r="B34" s="235">
        <v>250</v>
      </c>
      <c r="C34" s="235">
        <v>78</v>
      </c>
      <c r="D34" s="236">
        <v>0.31</v>
      </c>
      <c r="E34" s="110">
        <v>10</v>
      </c>
      <c r="F34" s="110">
        <v>0</v>
      </c>
      <c r="G34" s="110">
        <v>10</v>
      </c>
      <c r="H34" s="110">
        <v>0</v>
      </c>
      <c r="I34" s="110">
        <v>10</v>
      </c>
      <c r="J34" s="110">
        <v>15</v>
      </c>
      <c r="K34" s="110">
        <v>10</v>
      </c>
      <c r="L34" s="110">
        <v>15</v>
      </c>
      <c r="M34" s="110">
        <v>10</v>
      </c>
      <c r="N34" s="110">
        <v>13</v>
      </c>
      <c r="O34" s="110">
        <v>10</v>
      </c>
      <c r="P34" s="110">
        <v>11</v>
      </c>
      <c r="Q34" s="110">
        <v>10</v>
      </c>
      <c r="R34" s="110">
        <v>10</v>
      </c>
      <c r="S34" s="110">
        <v>10</v>
      </c>
      <c r="T34" s="110">
        <v>14</v>
      </c>
      <c r="U34" s="110">
        <v>10</v>
      </c>
      <c r="V34" s="110"/>
      <c r="W34" s="110">
        <v>10</v>
      </c>
      <c r="X34" s="110"/>
      <c r="Y34" s="110">
        <v>10</v>
      </c>
      <c r="Z34" s="110"/>
      <c r="AA34" s="110">
        <v>10</v>
      </c>
      <c r="AB34" s="110"/>
      <c r="AC34" s="110">
        <v>10</v>
      </c>
      <c r="AD34" s="110"/>
      <c r="AE34" s="110">
        <v>10</v>
      </c>
      <c r="AF34" s="110"/>
      <c r="AG34" s="110">
        <v>10</v>
      </c>
      <c r="AH34" s="110"/>
      <c r="AI34" s="110">
        <v>10</v>
      </c>
      <c r="AJ34" s="110"/>
      <c r="AK34" s="110">
        <v>10</v>
      </c>
      <c r="AL34" s="110"/>
      <c r="AM34" s="110">
        <v>10</v>
      </c>
      <c r="AN34" s="110"/>
      <c r="AO34" s="110">
        <v>10</v>
      </c>
      <c r="AP34" s="110"/>
      <c r="AQ34" s="110">
        <v>10</v>
      </c>
      <c r="AR34" s="110"/>
      <c r="AS34" s="110">
        <v>10</v>
      </c>
      <c r="AT34" s="110"/>
      <c r="AU34" s="110">
        <v>10</v>
      </c>
      <c r="AV34" s="110"/>
      <c r="AW34" s="110">
        <v>10</v>
      </c>
      <c r="AX34" s="110"/>
      <c r="AY34" s="237"/>
      <c r="AZ34" s="237"/>
      <c r="BA34" s="237"/>
      <c r="BB34" s="237"/>
      <c r="BC34" s="237"/>
      <c r="BD34" s="237"/>
      <c r="BE34" s="237"/>
    </row>
    <row r="35" spans="1:57" x14ac:dyDescent="0.25">
      <c r="A35" s="110" t="s">
        <v>344</v>
      </c>
      <c r="B35" s="235">
        <v>250</v>
      </c>
      <c r="C35" s="235">
        <v>70</v>
      </c>
      <c r="D35" s="236">
        <v>0.28000000000000003</v>
      </c>
      <c r="E35" s="110">
        <v>10</v>
      </c>
      <c r="F35" s="110">
        <v>0</v>
      </c>
      <c r="G35" s="110">
        <v>10</v>
      </c>
      <c r="H35" s="110">
        <v>0</v>
      </c>
      <c r="I35" s="110">
        <v>10</v>
      </c>
      <c r="J35" s="110">
        <v>10</v>
      </c>
      <c r="K35" s="110">
        <v>10</v>
      </c>
      <c r="L35" s="110">
        <v>10</v>
      </c>
      <c r="M35" s="110">
        <v>10</v>
      </c>
      <c r="N35" s="110">
        <v>10</v>
      </c>
      <c r="O35" s="110">
        <v>10</v>
      </c>
      <c r="P35" s="110">
        <v>10</v>
      </c>
      <c r="Q35" s="110">
        <v>10</v>
      </c>
      <c r="R35" s="110">
        <v>10</v>
      </c>
      <c r="S35" s="110">
        <v>10</v>
      </c>
      <c r="T35" s="110">
        <v>10</v>
      </c>
      <c r="U35" s="110">
        <v>10</v>
      </c>
      <c r="V35" s="110">
        <v>10</v>
      </c>
      <c r="W35" s="110">
        <v>10</v>
      </c>
      <c r="X35" s="110"/>
      <c r="Y35" s="110">
        <v>10</v>
      </c>
      <c r="Z35" s="110"/>
      <c r="AA35" s="110">
        <v>10</v>
      </c>
      <c r="AB35" s="110"/>
      <c r="AC35" s="110">
        <v>10</v>
      </c>
      <c r="AD35" s="110"/>
      <c r="AE35" s="110">
        <v>10</v>
      </c>
      <c r="AF35" s="110"/>
      <c r="AG35" s="110">
        <v>10</v>
      </c>
      <c r="AH35" s="110"/>
      <c r="AI35" s="110">
        <v>10</v>
      </c>
      <c r="AJ35" s="110"/>
      <c r="AK35" s="110">
        <v>10</v>
      </c>
      <c r="AL35" s="110"/>
      <c r="AM35" s="110">
        <v>10</v>
      </c>
      <c r="AN35" s="110"/>
      <c r="AO35" s="110">
        <v>10</v>
      </c>
      <c r="AP35" s="110"/>
      <c r="AQ35" s="110">
        <v>10</v>
      </c>
      <c r="AR35" s="110"/>
      <c r="AS35" s="110">
        <v>10</v>
      </c>
      <c r="AT35" s="110"/>
      <c r="AU35" s="110">
        <v>10</v>
      </c>
      <c r="AV35" s="110"/>
      <c r="AW35" s="110">
        <v>10</v>
      </c>
      <c r="AX35" s="110"/>
      <c r="AY35" s="237"/>
      <c r="AZ35" s="237"/>
      <c r="BA35" s="237"/>
      <c r="BB35" s="237"/>
      <c r="BC35" s="237"/>
      <c r="BD35" s="237"/>
      <c r="BE35" s="237"/>
    </row>
    <row r="36" spans="1:57" x14ac:dyDescent="0.25">
      <c r="A36" s="110" t="s">
        <v>345</v>
      </c>
      <c r="B36" s="235">
        <v>250</v>
      </c>
      <c r="C36" s="235">
        <v>78</v>
      </c>
      <c r="D36" s="236">
        <v>0.31</v>
      </c>
      <c r="E36" s="110">
        <v>10</v>
      </c>
      <c r="F36" s="110">
        <v>0</v>
      </c>
      <c r="G36" s="110">
        <v>10</v>
      </c>
      <c r="H36" s="110">
        <v>0</v>
      </c>
      <c r="I36" s="110">
        <v>10</v>
      </c>
      <c r="J36" s="110">
        <v>10</v>
      </c>
      <c r="K36" s="110">
        <v>10</v>
      </c>
      <c r="L36" s="110">
        <v>11</v>
      </c>
      <c r="M36" s="110">
        <v>10</v>
      </c>
      <c r="N36" s="110">
        <v>12</v>
      </c>
      <c r="O36" s="110">
        <v>10</v>
      </c>
      <c r="P36" s="110">
        <v>10</v>
      </c>
      <c r="Q36" s="110">
        <v>10</v>
      </c>
      <c r="R36" s="110">
        <v>18</v>
      </c>
      <c r="S36" s="110">
        <v>10</v>
      </c>
      <c r="T36" s="110">
        <v>17</v>
      </c>
      <c r="U36" s="110">
        <v>10</v>
      </c>
      <c r="V36" s="110"/>
      <c r="W36" s="110">
        <v>10</v>
      </c>
      <c r="X36" s="110"/>
      <c r="Y36" s="110">
        <v>10</v>
      </c>
      <c r="Z36" s="110"/>
      <c r="AA36" s="110">
        <v>10</v>
      </c>
      <c r="AB36" s="110"/>
      <c r="AC36" s="110">
        <v>10</v>
      </c>
      <c r="AD36" s="110"/>
      <c r="AE36" s="110">
        <v>10</v>
      </c>
      <c r="AF36" s="110"/>
      <c r="AG36" s="110">
        <v>10</v>
      </c>
      <c r="AH36" s="110"/>
      <c r="AI36" s="110">
        <v>10</v>
      </c>
      <c r="AJ36" s="110"/>
      <c r="AK36" s="110">
        <v>10</v>
      </c>
      <c r="AL36" s="110"/>
      <c r="AM36" s="110">
        <v>10</v>
      </c>
      <c r="AN36" s="110"/>
      <c r="AO36" s="110">
        <v>10</v>
      </c>
      <c r="AP36" s="110"/>
      <c r="AQ36" s="110">
        <v>10</v>
      </c>
      <c r="AR36" s="110"/>
      <c r="AS36" s="110">
        <v>10</v>
      </c>
      <c r="AT36" s="110"/>
      <c r="AU36" s="110">
        <v>10</v>
      </c>
      <c r="AV36" s="110"/>
      <c r="AW36" s="110">
        <v>10</v>
      </c>
      <c r="AX36" s="110"/>
      <c r="AY36" s="237"/>
      <c r="AZ36" s="237"/>
      <c r="BA36" s="237"/>
      <c r="BB36" s="237"/>
      <c r="BC36" s="237"/>
      <c r="BD36" s="237"/>
      <c r="BE36" s="237"/>
    </row>
    <row r="37" spans="1:57" x14ac:dyDescent="0.25">
      <c r="A37" s="110" t="s">
        <v>346</v>
      </c>
      <c r="B37" s="235">
        <v>250</v>
      </c>
      <c r="C37" s="235">
        <v>66</v>
      </c>
      <c r="D37" s="236">
        <v>0.26</v>
      </c>
      <c r="E37" s="110">
        <v>10</v>
      </c>
      <c r="F37" s="110">
        <v>0</v>
      </c>
      <c r="G37" s="110">
        <v>10</v>
      </c>
      <c r="H37" s="110">
        <v>0</v>
      </c>
      <c r="I37" s="110">
        <v>10</v>
      </c>
      <c r="J37" s="110">
        <v>8</v>
      </c>
      <c r="K37" s="110">
        <v>10</v>
      </c>
      <c r="L37" s="110">
        <v>12</v>
      </c>
      <c r="M37" s="110">
        <v>10</v>
      </c>
      <c r="N37" s="110">
        <v>15</v>
      </c>
      <c r="O37" s="110">
        <v>10</v>
      </c>
      <c r="P37" s="110">
        <v>11</v>
      </c>
      <c r="Q37" s="110">
        <v>10</v>
      </c>
      <c r="R37" s="110">
        <v>10</v>
      </c>
      <c r="S37" s="110">
        <v>10</v>
      </c>
      <c r="T37" s="110">
        <v>10</v>
      </c>
      <c r="U37" s="110">
        <v>10</v>
      </c>
      <c r="V37" s="110"/>
      <c r="W37" s="110">
        <v>10</v>
      </c>
      <c r="X37" s="110"/>
      <c r="Y37" s="110">
        <v>10</v>
      </c>
      <c r="Z37" s="110"/>
      <c r="AA37" s="110">
        <v>10</v>
      </c>
      <c r="AB37" s="110"/>
      <c r="AC37" s="110">
        <v>10</v>
      </c>
      <c r="AD37" s="110"/>
      <c r="AE37" s="110">
        <v>10</v>
      </c>
      <c r="AF37" s="110"/>
      <c r="AG37" s="110">
        <v>10</v>
      </c>
      <c r="AH37" s="110"/>
      <c r="AI37" s="110">
        <v>10</v>
      </c>
      <c r="AJ37" s="110"/>
      <c r="AK37" s="110">
        <v>10</v>
      </c>
      <c r="AL37" s="110"/>
      <c r="AM37" s="110">
        <v>10</v>
      </c>
      <c r="AN37" s="110"/>
      <c r="AO37" s="110">
        <v>10</v>
      </c>
      <c r="AP37" s="110"/>
      <c r="AQ37" s="110">
        <v>10</v>
      </c>
      <c r="AR37" s="110"/>
      <c r="AS37" s="110">
        <v>10</v>
      </c>
      <c r="AT37" s="110"/>
      <c r="AU37" s="110">
        <v>10</v>
      </c>
      <c r="AV37" s="110"/>
      <c r="AW37" s="110">
        <v>10</v>
      </c>
      <c r="AX37" s="110"/>
      <c r="AY37" s="237"/>
      <c r="AZ37" s="237"/>
      <c r="BA37" s="237"/>
      <c r="BB37" s="237"/>
      <c r="BC37" s="237"/>
      <c r="BD37" s="237"/>
      <c r="BE37" s="237"/>
    </row>
    <row r="38" spans="1:57" x14ac:dyDescent="0.25">
      <c r="A38" s="110" t="s">
        <v>347</v>
      </c>
      <c r="B38" s="235">
        <v>250</v>
      </c>
      <c r="C38" s="235">
        <v>65</v>
      </c>
      <c r="D38" s="236">
        <v>0.26</v>
      </c>
      <c r="E38" s="110">
        <v>10</v>
      </c>
      <c r="F38" s="110">
        <v>0</v>
      </c>
      <c r="G38" s="110">
        <v>10</v>
      </c>
      <c r="H38" s="110">
        <v>0</v>
      </c>
      <c r="I38" s="110">
        <v>10</v>
      </c>
      <c r="J38" s="110">
        <v>12</v>
      </c>
      <c r="K38" s="110">
        <v>10</v>
      </c>
      <c r="L38" s="110">
        <v>10</v>
      </c>
      <c r="M38" s="110">
        <v>10</v>
      </c>
      <c r="N38" s="110">
        <v>10</v>
      </c>
      <c r="O38" s="110">
        <v>10</v>
      </c>
      <c r="P38" s="110">
        <v>12</v>
      </c>
      <c r="Q38" s="110">
        <v>10</v>
      </c>
      <c r="R38" s="110">
        <v>10</v>
      </c>
      <c r="S38" s="110">
        <v>10</v>
      </c>
      <c r="T38" s="110">
        <v>11</v>
      </c>
      <c r="U38" s="110">
        <v>10</v>
      </c>
      <c r="V38" s="110"/>
      <c r="W38" s="110">
        <v>10</v>
      </c>
      <c r="X38" s="110"/>
      <c r="Y38" s="110">
        <v>10</v>
      </c>
      <c r="Z38" s="110"/>
      <c r="AA38" s="110">
        <v>10</v>
      </c>
      <c r="AB38" s="110"/>
      <c r="AC38" s="110">
        <v>10</v>
      </c>
      <c r="AD38" s="110"/>
      <c r="AE38" s="110">
        <v>10</v>
      </c>
      <c r="AF38" s="110"/>
      <c r="AG38" s="110">
        <v>10</v>
      </c>
      <c r="AH38" s="110"/>
      <c r="AI38" s="110">
        <v>10</v>
      </c>
      <c r="AJ38" s="110"/>
      <c r="AK38" s="110">
        <v>10</v>
      </c>
      <c r="AL38" s="110"/>
      <c r="AM38" s="110">
        <v>10</v>
      </c>
      <c r="AN38" s="110"/>
      <c r="AO38" s="110">
        <v>10</v>
      </c>
      <c r="AP38" s="110"/>
      <c r="AQ38" s="110">
        <v>10</v>
      </c>
      <c r="AR38" s="110"/>
      <c r="AS38" s="110">
        <v>10</v>
      </c>
      <c r="AT38" s="110"/>
      <c r="AU38" s="110">
        <v>10</v>
      </c>
      <c r="AV38" s="110"/>
      <c r="AW38" s="110">
        <v>10</v>
      </c>
      <c r="AX38" s="110"/>
      <c r="AY38" s="237"/>
      <c r="AZ38" s="237"/>
      <c r="BA38" s="237"/>
      <c r="BB38" s="237"/>
      <c r="BC38" s="237"/>
      <c r="BD38" s="237"/>
      <c r="BE38" s="237"/>
    </row>
    <row r="39" spans="1:57" x14ac:dyDescent="0.25">
      <c r="A39" s="141" t="s">
        <v>11</v>
      </c>
      <c r="B39" s="141">
        <v>1250</v>
      </c>
      <c r="C39" s="141">
        <v>357</v>
      </c>
      <c r="D39" s="149">
        <v>0.28999999999999998</v>
      </c>
      <c r="E39" s="141">
        <v>50</v>
      </c>
      <c r="F39" s="141">
        <v>0</v>
      </c>
      <c r="G39" s="141">
        <v>50</v>
      </c>
      <c r="H39" s="141">
        <v>0</v>
      </c>
      <c r="I39" s="141">
        <v>50</v>
      </c>
      <c r="J39" s="141">
        <v>55</v>
      </c>
      <c r="K39" s="141">
        <v>50</v>
      </c>
      <c r="L39" s="141">
        <v>58</v>
      </c>
      <c r="M39" s="141">
        <v>50</v>
      </c>
      <c r="N39" s="141">
        <v>60</v>
      </c>
      <c r="O39" s="141">
        <v>50</v>
      </c>
      <c r="P39" s="141">
        <v>54</v>
      </c>
      <c r="Q39" s="141">
        <v>50</v>
      </c>
      <c r="R39" s="141">
        <v>58</v>
      </c>
      <c r="S39" s="141">
        <v>50</v>
      </c>
      <c r="T39" s="141">
        <v>62</v>
      </c>
      <c r="U39" s="141">
        <v>50</v>
      </c>
      <c r="V39" s="141">
        <v>10</v>
      </c>
      <c r="W39" s="141">
        <v>50</v>
      </c>
      <c r="X39" s="141">
        <v>0</v>
      </c>
      <c r="Y39" s="141">
        <v>50</v>
      </c>
      <c r="Z39" s="141">
        <v>0</v>
      </c>
      <c r="AA39" s="141">
        <v>50</v>
      </c>
      <c r="AB39" s="141">
        <v>0</v>
      </c>
      <c r="AC39" s="141">
        <v>50</v>
      </c>
      <c r="AD39" s="141">
        <v>0</v>
      </c>
      <c r="AE39" s="141">
        <v>50</v>
      </c>
      <c r="AF39" s="141">
        <v>0</v>
      </c>
      <c r="AG39" s="141">
        <v>50</v>
      </c>
      <c r="AH39" s="141">
        <v>0</v>
      </c>
      <c r="AI39" s="141">
        <v>50</v>
      </c>
      <c r="AJ39" s="141">
        <v>0</v>
      </c>
      <c r="AK39" s="141">
        <v>50</v>
      </c>
      <c r="AL39" s="141">
        <v>0</v>
      </c>
      <c r="AM39" s="141">
        <v>50</v>
      </c>
      <c r="AN39" s="141">
        <v>0</v>
      </c>
      <c r="AO39" s="141">
        <v>50</v>
      </c>
      <c r="AP39" s="141">
        <v>0</v>
      </c>
      <c r="AQ39" s="141">
        <v>50</v>
      </c>
      <c r="AR39" s="141">
        <v>0</v>
      </c>
      <c r="AS39" s="141">
        <v>50</v>
      </c>
      <c r="AT39" s="141">
        <v>0</v>
      </c>
      <c r="AU39" s="141">
        <v>50</v>
      </c>
      <c r="AV39" s="141">
        <v>0</v>
      </c>
      <c r="AW39" s="141">
        <v>50</v>
      </c>
      <c r="AX39" s="141">
        <v>0</v>
      </c>
      <c r="AY39" s="30"/>
      <c r="AZ39" s="30"/>
      <c r="BA39" s="30"/>
      <c r="BB39" s="30"/>
      <c r="BC39" s="30"/>
      <c r="BD39" s="30"/>
      <c r="BE39" s="30"/>
    </row>
    <row r="40" spans="1:57" x14ac:dyDescent="0.25">
      <c r="A40" s="30"/>
      <c r="B40" s="37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</row>
    <row r="41" spans="1:57" x14ac:dyDescent="0.25">
      <c r="A41" s="30"/>
      <c r="B41" s="37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</row>
    <row r="42" spans="1:57" x14ac:dyDescent="0.25">
      <c r="A42" s="30"/>
      <c r="B42" s="37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</row>
  </sheetData>
  <mergeCells count="49">
    <mergeCell ref="A3:D3"/>
    <mergeCell ref="E3:F3"/>
    <mergeCell ref="G3:H3"/>
    <mergeCell ref="I3:J3"/>
    <mergeCell ref="K3:L3"/>
    <mergeCell ref="AU3:AV3"/>
    <mergeCell ref="AW3:AX3"/>
    <mergeCell ref="AA3:AB3"/>
    <mergeCell ref="AC3:AD3"/>
    <mergeCell ref="AE3:AF3"/>
    <mergeCell ref="AG3:AH3"/>
    <mergeCell ref="AI3:AJ3"/>
    <mergeCell ref="AK3:AL3"/>
    <mergeCell ref="K32:L32"/>
    <mergeCell ref="AM3:AN3"/>
    <mergeCell ref="AO3:AP3"/>
    <mergeCell ref="AQ3:AR3"/>
    <mergeCell ref="AS3:AT3"/>
    <mergeCell ref="O3:P3"/>
    <mergeCell ref="Q3:R3"/>
    <mergeCell ref="S3:T3"/>
    <mergeCell ref="U3:V3"/>
    <mergeCell ref="W3:X3"/>
    <mergeCell ref="Y3:Z3"/>
    <mergeCell ref="M3:N3"/>
    <mergeCell ref="AI32:AJ32"/>
    <mergeCell ref="M32:N32"/>
    <mergeCell ref="O32:P32"/>
    <mergeCell ref="Q32:R32"/>
    <mergeCell ref="A14:G14"/>
    <mergeCell ref="A32:D32"/>
    <mergeCell ref="E32:F32"/>
    <mergeCell ref="G32:H32"/>
    <mergeCell ref="I32:J32"/>
    <mergeCell ref="S32:T32"/>
    <mergeCell ref="U32:V32"/>
    <mergeCell ref="W32:X32"/>
    <mergeCell ref="Y32:Z32"/>
    <mergeCell ref="AA32:AB32"/>
    <mergeCell ref="AC32:AD32"/>
    <mergeCell ref="AE32:AF32"/>
    <mergeCell ref="AG32:AH32"/>
    <mergeCell ref="AW32:AX32"/>
    <mergeCell ref="AK32:AL32"/>
    <mergeCell ref="AM32:AN32"/>
    <mergeCell ref="AO32:AP32"/>
    <mergeCell ref="AQ32:AR32"/>
    <mergeCell ref="AS32:AT32"/>
    <mergeCell ref="AU32:AV3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87CC1-DCA0-4745-851E-B67F8CA3B2F2}">
  <sheetPr>
    <tabColor rgb="FFC00000"/>
  </sheetPr>
  <dimension ref="A1:F241"/>
  <sheetViews>
    <sheetView workbookViewId="0">
      <selection activeCell="D8" sqref="D8"/>
    </sheetView>
  </sheetViews>
  <sheetFormatPr defaultRowHeight="13.2" x14ac:dyDescent="0.25"/>
  <cols>
    <col min="1" max="1" width="15.44140625" style="159" bestFit="1" customWidth="1"/>
    <col min="2" max="2" width="10.109375" style="159" bestFit="1" customWidth="1"/>
    <col min="3" max="3" width="45.5546875" style="159" bestFit="1" customWidth="1"/>
    <col min="4" max="4" width="15.6640625" style="161" bestFit="1" customWidth="1"/>
    <col min="5" max="5" width="13.6640625" style="159" customWidth="1"/>
    <col min="6" max="16384" width="8.88671875" style="159"/>
  </cols>
  <sheetData>
    <row r="1" spans="1:6" ht="14.4" x14ac:dyDescent="0.3">
      <c r="A1" s="263" t="s">
        <v>332</v>
      </c>
      <c r="B1" s="263" t="s">
        <v>331</v>
      </c>
      <c r="C1" s="263" t="s">
        <v>212</v>
      </c>
      <c r="D1" s="264" t="s">
        <v>329</v>
      </c>
      <c r="E1" s="263" t="s">
        <v>330</v>
      </c>
      <c r="F1" s="160"/>
    </row>
    <row r="2" spans="1:6" ht="14.4" x14ac:dyDescent="0.3">
      <c r="A2" s="262" t="s">
        <v>6</v>
      </c>
      <c r="B2" s="265">
        <v>29748</v>
      </c>
      <c r="C2" s="265" t="s">
        <v>146</v>
      </c>
      <c r="D2" s="272">
        <v>1092.0500000000002</v>
      </c>
      <c r="E2" s="262" t="s">
        <v>79</v>
      </c>
      <c r="F2" s="160"/>
    </row>
    <row r="3" spans="1:6" ht="14.4" x14ac:dyDescent="0.3">
      <c r="A3" s="262" t="s">
        <v>55</v>
      </c>
      <c r="B3" s="266">
        <v>44200</v>
      </c>
      <c r="C3" s="266" t="s">
        <v>126</v>
      </c>
      <c r="D3" s="272">
        <v>374.41999999999996</v>
      </c>
      <c r="E3" s="262" t="s">
        <v>79</v>
      </c>
      <c r="F3" s="160"/>
    </row>
    <row r="4" spans="1:6" ht="14.4" x14ac:dyDescent="0.3">
      <c r="A4" s="262" t="s">
        <v>7</v>
      </c>
      <c r="B4" s="265">
        <v>27148</v>
      </c>
      <c r="C4" s="265" t="s">
        <v>163</v>
      </c>
      <c r="D4" s="272">
        <v>351.57</v>
      </c>
      <c r="E4" s="262" t="s">
        <v>79</v>
      </c>
      <c r="F4" s="160"/>
    </row>
    <row r="5" spans="1:6" ht="14.4" x14ac:dyDescent="0.3">
      <c r="A5" s="262" t="s">
        <v>56</v>
      </c>
      <c r="B5" s="266">
        <v>601</v>
      </c>
      <c r="C5" s="266" t="s">
        <v>172</v>
      </c>
      <c r="D5" s="272">
        <v>1818.74</v>
      </c>
      <c r="E5" s="262" t="s">
        <v>79</v>
      </c>
      <c r="F5" s="160"/>
    </row>
    <row r="6" spans="1:6" ht="14.4" x14ac:dyDescent="0.3">
      <c r="A6" s="262" t="s">
        <v>56</v>
      </c>
      <c r="B6" s="266">
        <v>38903</v>
      </c>
      <c r="C6" s="266" t="s">
        <v>179</v>
      </c>
      <c r="D6" s="272">
        <v>2015</v>
      </c>
      <c r="E6" s="262" t="s">
        <v>79</v>
      </c>
      <c r="F6" s="160"/>
    </row>
    <row r="7" spans="1:6" ht="14.4" x14ac:dyDescent="0.3">
      <c r="A7" s="262" t="s">
        <v>56</v>
      </c>
      <c r="B7" s="266">
        <v>41617</v>
      </c>
      <c r="C7" s="266" t="s">
        <v>186</v>
      </c>
      <c r="D7" s="272">
        <v>7285.9756999999991</v>
      </c>
      <c r="E7" s="262" t="s">
        <v>79</v>
      </c>
      <c r="F7" s="160"/>
    </row>
    <row r="8" spans="1:6" ht="14.4" x14ac:dyDescent="0.3">
      <c r="A8" s="262" t="s">
        <v>56</v>
      </c>
      <c r="B8" s="266">
        <v>41105</v>
      </c>
      <c r="C8" s="266" t="s">
        <v>189</v>
      </c>
      <c r="D8" s="272">
        <v>2590.1999999999998</v>
      </c>
      <c r="E8" s="262" t="s">
        <v>79</v>
      </c>
      <c r="F8" s="160"/>
    </row>
    <row r="9" spans="1:6" ht="14.4" x14ac:dyDescent="0.3">
      <c r="A9" s="262" t="s">
        <v>10</v>
      </c>
      <c r="B9" s="267">
        <v>40650</v>
      </c>
      <c r="C9" s="267" t="s">
        <v>192</v>
      </c>
      <c r="D9" s="272">
        <v>1046.1999999999998</v>
      </c>
      <c r="E9" s="262" t="s">
        <v>79</v>
      </c>
      <c r="F9" s="160"/>
    </row>
    <row r="10" spans="1:6" ht="14.4" x14ac:dyDescent="0.3">
      <c r="A10" s="262" t="s">
        <v>10</v>
      </c>
      <c r="B10" s="267">
        <v>43357</v>
      </c>
      <c r="C10" s="267" t="s">
        <v>193</v>
      </c>
      <c r="D10" s="272">
        <v>843.18</v>
      </c>
      <c r="E10" s="262" t="s">
        <v>79</v>
      </c>
      <c r="F10" s="160"/>
    </row>
    <row r="11" spans="1:6" ht="14.4" x14ac:dyDescent="0.3">
      <c r="A11" s="262" t="s">
        <v>10</v>
      </c>
      <c r="B11" s="267">
        <v>13483</v>
      </c>
      <c r="C11" s="267" t="s">
        <v>209</v>
      </c>
      <c r="D11" s="272">
        <v>357.75</v>
      </c>
      <c r="E11" s="262" t="s">
        <v>79</v>
      </c>
      <c r="F11" s="160"/>
    </row>
    <row r="12" spans="1:6" ht="14.4" x14ac:dyDescent="0.3">
      <c r="A12" s="262" t="s">
        <v>10</v>
      </c>
      <c r="B12" s="267">
        <v>44062</v>
      </c>
      <c r="C12" s="267" t="s">
        <v>202</v>
      </c>
      <c r="D12" s="272">
        <v>768.99</v>
      </c>
      <c r="E12" s="262" t="s">
        <v>79</v>
      </c>
      <c r="F12" s="160"/>
    </row>
    <row r="13" spans="1:6" ht="14.4" x14ac:dyDescent="0.3">
      <c r="A13" s="262" t="s">
        <v>6</v>
      </c>
      <c r="B13" s="265">
        <v>18928</v>
      </c>
      <c r="C13" s="265" t="s">
        <v>213</v>
      </c>
      <c r="D13" s="272">
        <v>1674.8000000000002</v>
      </c>
      <c r="E13" s="262" t="s">
        <v>79</v>
      </c>
      <c r="F13" s="160"/>
    </row>
    <row r="14" spans="1:6" ht="14.4" x14ac:dyDescent="0.3">
      <c r="A14" s="262" t="s">
        <v>6</v>
      </c>
      <c r="B14" s="265">
        <v>38768</v>
      </c>
      <c r="C14" s="265" t="s">
        <v>217</v>
      </c>
      <c r="D14" s="272">
        <v>639.08000000000004</v>
      </c>
      <c r="E14" s="262" t="s">
        <v>79</v>
      </c>
      <c r="F14" s="160"/>
    </row>
    <row r="15" spans="1:6" ht="14.4" x14ac:dyDescent="0.3">
      <c r="A15" s="262" t="s">
        <v>6</v>
      </c>
      <c r="B15" s="265">
        <v>14601</v>
      </c>
      <c r="C15" s="265" t="s">
        <v>227</v>
      </c>
      <c r="D15" s="272">
        <v>1901.1200000000001</v>
      </c>
      <c r="E15" s="262" t="s">
        <v>79</v>
      </c>
      <c r="F15" s="160"/>
    </row>
    <row r="16" spans="1:6" ht="14.4" x14ac:dyDescent="0.3">
      <c r="A16" s="262" t="s">
        <v>6</v>
      </c>
      <c r="B16" s="265">
        <v>16103</v>
      </c>
      <c r="C16" s="265" t="s">
        <v>232</v>
      </c>
      <c r="D16" s="272">
        <v>4199.7299999999996</v>
      </c>
      <c r="E16" s="262" t="s">
        <v>79</v>
      </c>
      <c r="F16" s="160"/>
    </row>
    <row r="17" spans="1:6" ht="14.4" x14ac:dyDescent="0.3">
      <c r="A17" s="262" t="s">
        <v>6</v>
      </c>
      <c r="B17" s="265">
        <v>31596</v>
      </c>
      <c r="C17" s="265" t="s">
        <v>237</v>
      </c>
      <c r="D17" s="272">
        <v>4945.9099999999989</v>
      </c>
      <c r="E17" s="262" t="s">
        <v>79</v>
      </c>
      <c r="F17" s="160"/>
    </row>
    <row r="18" spans="1:6" ht="14.4" x14ac:dyDescent="0.3">
      <c r="A18" s="262" t="s">
        <v>6</v>
      </c>
      <c r="B18" s="265">
        <v>20275</v>
      </c>
      <c r="C18" s="265" t="s">
        <v>241</v>
      </c>
      <c r="D18" s="272">
        <v>405.45000000000005</v>
      </c>
      <c r="E18" s="262" t="s">
        <v>79</v>
      </c>
      <c r="F18" s="160"/>
    </row>
    <row r="19" spans="1:6" ht="14.4" x14ac:dyDescent="0.3">
      <c r="A19" s="262" t="s">
        <v>6</v>
      </c>
      <c r="B19" s="265">
        <v>39891</v>
      </c>
      <c r="C19" s="265" t="s">
        <v>246</v>
      </c>
      <c r="D19" s="272">
        <v>1658.82</v>
      </c>
      <c r="E19" s="262" t="s">
        <v>79</v>
      </c>
      <c r="F19" s="160"/>
    </row>
    <row r="20" spans="1:6" ht="14.4" x14ac:dyDescent="0.3">
      <c r="A20" s="262" t="s">
        <v>6</v>
      </c>
      <c r="B20" s="268">
        <v>40172</v>
      </c>
      <c r="C20" s="265" t="s">
        <v>251</v>
      </c>
      <c r="D20" s="272">
        <v>424.29999999999995</v>
      </c>
      <c r="E20" s="262" t="s">
        <v>79</v>
      </c>
      <c r="F20" s="160"/>
    </row>
    <row r="21" spans="1:6" ht="14.4" x14ac:dyDescent="0.3">
      <c r="A21" s="262" t="s">
        <v>6</v>
      </c>
      <c r="B21" s="268">
        <v>39761</v>
      </c>
      <c r="C21" s="265" t="s">
        <v>255</v>
      </c>
      <c r="D21" s="272">
        <v>309.95</v>
      </c>
      <c r="E21" s="262" t="s">
        <v>79</v>
      </c>
      <c r="F21" s="160"/>
    </row>
    <row r="22" spans="1:6" ht="14.4" x14ac:dyDescent="0.3">
      <c r="A22" s="262" t="s">
        <v>6</v>
      </c>
      <c r="B22" s="268">
        <v>2738</v>
      </c>
      <c r="C22" s="265" t="s">
        <v>260</v>
      </c>
      <c r="D22" s="272">
        <v>756.71</v>
      </c>
      <c r="E22" s="262" t="s">
        <v>79</v>
      </c>
      <c r="F22" s="160"/>
    </row>
    <row r="23" spans="1:6" ht="14.4" x14ac:dyDescent="0.3">
      <c r="A23" s="262" t="s">
        <v>55</v>
      </c>
      <c r="B23" s="266">
        <v>36533</v>
      </c>
      <c r="C23" s="266" t="s">
        <v>214</v>
      </c>
      <c r="D23" s="272">
        <v>814.94999999999993</v>
      </c>
      <c r="E23" s="262" t="s">
        <v>79</v>
      </c>
      <c r="F23" s="160"/>
    </row>
    <row r="24" spans="1:6" ht="14.4" x14ac:dyDescent="0.3">
      <c r="A24" s="262" t="s">
        <v>55</v>
      </c>
      <c r="B24" s="266">
        <v>28847</v>
      </c>
      <c r="C24" s="266" t="s">
        <v>218</v>
      </c>
      <c r="D24" s="272">
        <v>283.45999999999998</v>
      </c>
      <c r="E24" s="262" t="s">
        <v>79</v>
      </c>
      <c r="F24" s="160"/>
    </row>
    <row r="25" spans="1:6" ht="14.4" x14ac:dyDescent="0.3">
      <c r="A25" s="262" t="s">
        <v>55</v>
      </c>
      <c r="B25" s="266">
        <v>42096</v>
      </c>
      <c r="C25" s="266" t="s">
        <v>223</v>
      </c>
      <c r="D25" s="272">
        <v>274.86</v>
      </c>
      <c r="E25" s="262" t="s">
        <v>79</v>
      </c>
      <c r="F25" s="160"/>
    </row>
    <row r="26" spans="1:6" ht="14.4" x14ac:dyDescent="0.3">
      <c r="A26" s="262" t="s">
        <v>55</v>
      </c>
      <c r="B26" s="266">
        <v>40022</v>
      </c>
      <c r="C26" s="266" t="s">
        <v>228</v>
      </c>
      <c r="D26" s="272">
        <v>472.57000000000005</v>
      </c>
      <c r="E26" s="262" t="s">
        <v>79</v>
      </c>
      <c r="F26" s="160"/>
    </row>
    <row r="27" spans="1:6" ht="14.4" x14ac:dyDescent="0.3">
      <c r="A27" s="262" t="s">
        <v>55</v>
      </c>
      <c r="B27" s="266">
        <v>44147</v>
      </c>
      <c r="C27" s="266" t="s">
        <v>233</v>
      </c>
      <c r="D27" s="272">
        <v>792.59999999999991</v>
      </c>
      <c r="E27" s="262" t="s">
        <v>79</v>
      </c>
      <c r="F27" s="160"/>
    </row>
    <row r="28" spans="1:6" ht="14.4" x14ac:dyDescent="0.3">
      <c r="A28" s="262" t="s">
        <v>55</v>
      </c>
      <c r="B28" s="266">
        <v>39060</v>
      </c>
      <c r="C28" s="266" t="s">
        <v>238</v>
      </c>
      <c r="D28" s="272">
        <v>419.28</v>
      </c>
      <c r="E28" s="262" t="s">
        <v>79</v>
      </c>
      <c r="F28" s="160"/>
    </row>
    <row r="29" spans="1:6" ht="14.4" x14ac:dyDescent="0.3">
      <c r="A29" s="262" t="s">
        <v>55</v>
      </c>
      <c r="B29" s="266">
        <v>28765</v>
      </c>
      <c r="C29" s="266" t="s">
        <v>242</v>
      </c>
      <c r="D29" s="272">
        <v>175.84219999999999</v>
      </c>
      <c r="E29" s="262" t="s">
        <v>79</v>
      </c>
      <c r="F29" s="160"/>
    </row>
    <row r="30" spans="1:6" ht="14.4" x14ac:dyDescent="0.3">
      <c r="A30" s="262" t="s">
        <v>55</v>
      </c>
      <c r="B30" s="266">
        <v>40926</v>
      </c>
      <c r="C30" s="266" t="s">
        <v>247</v>
      </c>
      <c r="D30" s="272">
        <v>1222.6600000000001</v>
      </c>
      <c r="E30" s="262" t="s">
        <v>79</v>
      </c>
      <c r="F30" s="160"/>
    </row>
    <row r="31" spans="1:6" ht="14.4" x14ac:dyDescent="0.3">
      <c r="A31" s="262" t="s">
        <v>55</v>
      </c>
      <c r="B31" s="266">
        <v>42963</v>
      </c>
      <c r="C31" s="266" t="s">
        <v>252</v>
      </c>
      <c r="D31" s="272">
        <v>231.22</v>
      </c>
      <c r="E31" s="262" t="s">
        <v>79</v>
      </c>
      <c r="F31" s="160"/>
    </row>
    <row r="32" spans="1:6" ht="14.4" x14ac:dyDescent="0.3">
      <c r="A32" s="262" t="s">
        <v>55</v>
      </c>
      <c r="B32" s="266">
        <v>37910</v>
      </c>
      <c r="C32" s="266" t="s">
        <v>256</v>
      </c>
      <c r="D32" s="272">
        <v>170.38</v>
      </c>
      <c r="E32" s="262" t="s">
        <v>79</v>
      </c>
      <c r="F32" s="160"/>
    </row>
    <row r="33" spans="1:6" ht="14.4" x14ac:dyDescent="0.3">
      <c r="A33" s="262" t="s">
        <v>55</v>
      </c>
      <c r="B33" s="266">
        <v>34545</v>
      </c>
      <c r="C33" s="266" t="s">
        <v>261</v>
      </c>
      <c r="D33" s="272">
        <v>247.60999999999999</v>
      </c>
      <c r="E33" s="262" t="s">
        <v>79</v>
      </c>
      <c r="F33" s="160"/>
    </row>
    <row r="34" spans="1:6" ht="14.4" x14ac:dyDescent="0.3">
      <c r="A34" s="262" t="s">
        <v>55</v>
      </c>
      <c r="B34" s="266">
        <v>44138</v>
      </c>
      <c r="C34" s="266" t="s">
        <v>265</v>
      </c>
      <c r="D34" s="272">
        <v>158.69</v>
      </c>
      <c r="E34" s="262" t="s">
        <v>79</v>
      </c>
      <c r="F34" s="160"/>
    </row>
    <row r="35" spans="1:6" ht="14.4" x14ac:dyDescent="0.3">
      <c r="A35" s="262" t="s">
        <v>55</v>
      </c>
      <c r="B35" s="266">
        <v>28819</v>
      </c>
      <c r="C35" s="266" t="s">
        <v>270</v>
      </c>
      <c r="D35" s="272">
        <v>748.82999999999993</v>
      </c>
      <c r="E35" s="262" t="s">
        <v>79</v>
      </c>
      <c r="F35" s="160"/>
    </row>
    <row r="36" spans="1:6" ht="14.4" x14ac:dyDescent="0.3">
      <c r="A36" s="262" t="s">
        <v>55</v>
      </c>
      <c r="B36" s="266">
        <v>44049</v>
      </c>
      <c r="C36" s="266" t="s">
        <v>274</v>
      </c>
      <c r="D36" s="272">
        <v>476.02529499999991</v>
      </c>
      <c r="E36" s="262" t="s">
        <v>79</v>
      </c>
      <c r="F36" s="160"/>
    </row>
    <row r="37" spans="1:6" ht="14.4" x14ac:dyDescent="0.3">
      <c r="A37" s="262" t="s">
        <v>55</v>
      </c>
      <c r="B37" s="266">
        <v>37577</v>
      </c>
      <c r="C37" s="266" t="s">
        <v>279</v>
      </c>
      <c r="D37" s="272">
        <v>537.43999599999995</v>
      </c>
      <c r="E37" s="262" t="s">
        <v>79</v>
      </c>
      <c r="F37" s="160"/>
    </row>
    <row r="38" spans="1:6" ht="14.4" x14ac:dyDescent="0.3">
      <c r="A38" s="262" t="s">
        <v>55</v>
      </c>
      <c r="B38" s="266">
        <v>42647</v>
      </c>
      <c r="C38" s="266" t="s">
        <v>288</v>
      </c>
      <c r="D38" s="272">
        <v>1372.19</v>
      </c>
      <c r="E38" s="262" t="s">
        <v>79</v>
      </c>
      <c r="F38" s="160"/>
    </row>
    <row r="39" spans="1:6" ht="14.4" x14ac:dyDescent="0.3">
      <c r="A39" s="262" t="s">
        <v>55</v>
      </c>
      <c r="B39" s="266">
        <v>39622</v>
      </c>
      <c r="C39" s="266" t="s">
        <v>292</v>
      </c>
      <c r="D39" s="272">
        <v>1068.1000000000001</v>
      </c>
      <c r="E39" s="262" t="s">
        <v>79</v>
      </c>
      <c r="F39" s="160"/>
    </row>
    <row r="40" spans="1:6" ht="14.4" x14ac:dyDescent="0.3">
      <c r="A40" s="262" t="s">
        <v>55</v>
      </c>
      <c r="B40" s="266">
        <v>42629</v>
      </c>
      <c r="C40" s="266" t="s">
        <v>296</v>
      </c>
      <c r="D40" s="272">
        <v>259.58</v>
      </c>
      <c r="E40" s="262" t="s">
        <v>79</v>
      </c>
      <c r="F40" s="160"/>
    </row>
    <row r="41" spans="1:6" ht="14.4" x14ac:dyDescent="0.3">
      <c r="A41" s="262" t="s">
        <v>55</v>
      </c>
      <c r="B41" s="266">
        <v>38600</v>
      </c>
      <c r="C41" s="266" t="s">
        <v>300</v>
      </c>
      <c r="D41" s="272">
        <v>228.36</v>
      </c>
      <c r="E41" s="262" t="s">
        <v>79</v>
      </c>
      <c r="F41" s="160"/>
    </row>
    <row r="42" spans="1:6" ht="14.4" x14ac:dyDescent="0.3">
      <c r="A42" s="262" t="s">
        <v>7</v>
      </c>
      <c r="B42" s="265">
        <v>43494</v>
      </c>
      <c r="C42" s="265" t="s">
        <v>219</v>
      </c>
      <c r="D42" s="272">
        <v>167.45999999999998</v>
      </c>
      <c r="E42" s="262" t="s">
        <v>79</v>
      </c>
      <c r="F42" s="160"/>
    </row>
    <row r="43" spans="1:6" ht="14.4" x14ac:dyDescent="0.3">
      <c r="A43" s="262" t="s">
        <v>7</v>
      </c>
      <c r="B43" s="265">
        <v>12978</v>
      </c>
      <c r="C43" s="265" t="s">
        <v>224</v>
      </c>
      <c r="D43" s="272">
        <v>1676.39</v>
      </c>
      <c r="E43" s="262" t="s">
        <v>79</v>
      </c>
      <c r="F43" s="160"/>
    </row>
    <row r="44" spans="1:6" ht="14.4" x14ac:dyDescent="0.3">
      <c r="A44" s="262" t="s">
        <v>56</v>
      </c>
      <c r="B44" s="266">
        <v>40237</v>
      </c>
      <c r="C44" s="266" t="s">
        <v>220</v>
      </c>
      <c r="D44" s="272">
        <v>784.45</v>
      </c>
      <c r="E44" s="262" t="s">
        <v>79</v>
      </c>
      <c r="F44" s="160"/>
    </row>
    <row r="45" spans="1:6" ht="14.4" x14ac:dyDescent="0.3">
      <c r="A45" s="262" t="s">
        <v>56</v>
      </c>
      <c r="B45" s="266">
        <v>43855</v>
      </c>
      <c r="C45" s="266" t="s">
        <v>230</v>
      </c>
      <c r="D45" s="272">
        <v>908.8</v>
      </c>
      <c r="E45" s="262" t="s">
        <v>79</v>
      </c>
      <c r="F45" s="160"/>
    </row>
    <row r="46" spans="1:6" ht="14.4" x14ac:dyDescent="0.3">
      <c r="A46" s="262" t="s">
        <v>56</v>
      </c>
      <c r="B46" s="266">
        <v>41142</v>
      </c>
      <c r="C46" s="266" t="s">
        <v>235</v>
      </c>
      <c r="D46" s="272">
        <v>291.34999999999997</v>
      </c>
      <c r="E46" s="262" t="s">
        <v>79</v>
      </c>
      <c r="F46" s="160"/>
    </row>
    <row r="47" spans="1:6" ht="14.4" x14ac:dyDescent="0.3">
      <c r="A47" s="262" t="s">
        <v>56</v>
      </c>
      <c r="B47" s="266">
        <v>43286</v>
      </c>
      <c r="C47" s="266" t="s">
        <v>239</v>
      </c>
      <c r="D47" s="272">
        <v>1737.96</v>
      </c>
      <c r="E47" s="262" t="s">
        <v>79</v>
      </c>
      <c r="F47" s="160"/>
    </row>
    <row r="48" spans="1:6" ht="14.4" x14ac:dyDescent="0.3">
      <c r="A48" s="262" t="s">
        <v>56</v>
      </c>
      <c r="B48" s="266">
        <v>35902</v>
      </c>
      <c r="C48" s="266" t="s">
        <v>244</v>
      </c>
      <c r="D48" s="272">
        <v>781.9899999999999</v>
      </c>
      <c r="E48" s="262" t="s">
        <v>79</v>
      </c>
      <c r="F48" s="160"/>
    </row>
    <row r="49" spans="1:6" ht="14.4" x14ac:dyDescent="0.3">
      <c r="A49" s="262" t="s">
        <v>56</v>
      </c>
      <c r="B49" s="266">
        <v>41418</v>
      </c>
      <c r="C49" s="266" t="s">
        <v>249</v>
      </c>
      <c r="D49" s="272">
        <v>1130.1999999999998</v>
      </c>
      <c r="E49" s="262" t="s">
        <v>79</v>
      </c>
      <c r="F49" s="160"/>
    </row>
    <row r="50" spans="1:6" ht="14.4" x14ac:dyDescent="0.3">
      <c r="A50" s="262" t="s">
        <v>56</v>
      </c>
      <c r="B50" s="266">
        <v>18415</v>
      </c>
      <c r="C50" s="266" t="s">
        <v>258</v>
      </c>
      <c r="D50" s="272">
        <v>183.75</v>
      </c>
      <c r="E50" s="262" t="s">
        <v>79</v>
      </c>
      <c r="F50" s="160"/>
    </row>
    <row r="51" spans="1:6" ht="14.4" x14ac:dyDescent="0.3">
      <c r="A51" s="262" t="s">
        <v>56</v>
      </c>
      <c r="B51" s="266">
        <v>44270</v>
      </c>
      <c r="C51" s="266" t="s">
        <v>263</v>
      </c>
      <c r="D51" s="272">
        <v>1508.32</v>
      </c>
      <c r="E51" s="262" t="s">
        <v>79</v>
      </c>
      <c r="F51" s="160"/>
    </row>
    <row r="52" spans="1:6" ht="14.4" x14ac:dyDescent="0.3">
      <c r="A52" s="262" t="s">
        <v>56</v>
      </c>
      <c r="B52" s="266">
        <v>44093</v>
      </c>
      <c r="C52" s="266" t="s">
        <v>267</v>
      </c>
      <c r="D52" s="272">
        <v>18804.88</v>
      </c>
      <c r="E52" s="262" t="s">
        <v>79</v>
      </c>
      <c r="F52" s="160"/>
    </row>
    <row r="53" spans="1:6" ht="14.4" x14ac:dyDescent="0.3">
      <c r="A53" s="262" t="s">
        <v>56</v>
      </c>
      <c r="B53" s="266">
        <v>44345</v>
      </c>
      <c r="C53" s="266" t="s">
        <v>272</v>
      </c>
      <c r="D53" s="272">
        <v>910.91</v>
      </c>
      <c r="E53" s="262" t="s">
        <v>79</v>
      </c>
      <c r="F53" s="160"/>
    </row>
    <row r="54" spans="1:6" ht="14.4" x14ac:dyDescent="0.3">
      <c r="A54" s="262" t="s">
        <v>56</v>
      </c>
      <c r="B54" s="266">
        <v>32009</v>
      </c>
      <c r="C54" s="266" t="s">
        <v>276</v>
      </c>
      <c r="D54" s="272">
        <v>1259.0099999999998</v>
      </c>
      <c r="E54" s="262" t="s">
        <v>79</v>
      </c>
      <c r="F54" s="160"/>
    </row>
    <row r="55" spans="1:6" ht="14.4" x14ac:dyDescent="0.3">
      <c r="A55" s="262" t="s">
        <v>56</v>
      </c>
      <c r="B55" s="266">
        <v>41058</v>
      </c>
      <c r="C55" s="266" t="s">
        <v>281</v>
      </c>
      <c r="D55" s="272">
        <v>195.95</v>
      </c>
      <c r="E55" s="262" t="s">
        <v>79</v>
      </c>
      <c r="F55" s="160"/>
    </row>
    <row r="56" spans="1:6" ht="14.4" x14ac:dyDescent="0.3">
      <c r="A56" s="262" t="s">
        <v>56</v>
      </c>
      <c r="B56" s="266">
        <v>40984</v>
      </c>
      <c r="C56" s="266" t="s">
        <v>285</v>
      </c>
      <c r="D56" s="272">
        <v>270.64999999999998</v>
      </c>
      <c r="E56" s="262" t="s">
        <v>79</v>
      </c>
      <c r="F56" s="160"/>
    </row>
    <row r="57" spans="1:6" ht="14.4" x14ac:dyDescent="0.3">
      <c r="A57" s="262" t="s">
        <v>10</v>
      </c>
      <c r="B57" s="267">
        <v>19384</v>
      </c>
      <c r="C57" s="267" t="s">
        <v>215</v>
      </c>
      <c r="D57" s="272">
        <v>505.89</v>
      </c>
      <c r="E57" s="262" t="s">
        <v>79</v>
      </c>
      <c r="F57" s="160"/>
    </row>
    <row r="58" spans="1:6" ht="14.4" x14ac:dyDescent="0.3">
      <c r="A58" s="262" t="s">
        <v>10</v>
      </c>
      <c r="B58" s="267">
        <v>20828</v>
      </c>
      <c r="C58" s="267" t="s">
        <v>221</v>
      </c>
      <c r="D58" s="272">
        <v>4646.8900000000003</v>
      </c>
      <c r="E58" s="262" t="s">
        <v>79</v>
      </c>
      <c r="F58" s="160"/>
    </row>
    <row r="59" spans="1:6" ht="14.4" x14ac:dyDescent="0.3">
      <c r="A59" s="262" t="s">
        <v>10</v>
      </c>
      <c r="B59" s="267">
        <v>22815</v>
      </c>
      <c r="C59" s="267" t="s">
        <v>225</v>
      </c>
      <c r="D59" s="272">
        <v>334</v>
      </c>
      <c r="E59" s="262" t="s">
        <v>79</v>
      </c>
      <c r="F59" s="160"/>
    </row>
    <row r="60" spans="1:6" ht="14.4" x14ac:dyDescent="0.3">
      <c r="A60" s="262" t="s">
        <v>10</v>
      </c>
      <c r="B60" s="267">
        <v>31798</v>
      </c>
      <c r="C60" s="267" t="s">
        <v>231</v>
      </c>
      <c r="D60" s="272">
        <v>2942.2899999999995</v>
      </c>
      <c r="E60" s="262" t="s">
        <v>79</v>
      </c>
      <c r="F60" s="160"/>
    </row>
    <row r="61" spans="1:6" ht="14.4" x14ac:dyDescent="0.3">
      <c r="A61" s="262" t="s">
        <v>10</v>
      </c>
      <c r="B61" s="267">
        <v>31563</v>
      </c>
      <c r="C61" s="267" t="s">
        <v>236</v>
      </c>
      <c r="D61" s="272">
        <v>471.28</v>
      </c>
      <c r="E61" s="262" t="s">
        <v>79</v>
      </c>
      <c r="F61" s="160"/>
    </row>
    <row r="62" spans="1:6" ht="14.4" x14ac:dyDescent="0.3">
      <c r="A62" s="262" t="s">
        <v>10</v>
      </c>
      <c r="B62" s="267">
        <v>42602</v>
      </c>
      <c r="C62" s="267" t="s">
        <v>240</v>
      </c>
      <c r="D62" s="272">
        <v>267.45</v>
      </c>
      <c r="E62" s="262" t="s">
        <v>79</v>
      </c>
      <c r="F62" s="160"/>
    </row>
    <row r="63" spans="1:6" ht="14.4" x14ac:dyDescent="0.3">
      <c r="A63" s="262" t="s">
        <v>10</v>
      </c>
      <c r="B63" s="267">
        <v>39205</v>
      </c>
      <c r="C63" s="267" t="s">
        <v>245</v>
      </c>
      <c r="D63" s="272">
        <v>1330.05</v>
      </c>
      <c r="E63" s="262" t="s">
        <v>79</v>
      </c>
      <c r="F63" s="160"/>
    </row>
    <row r="64" spans="1:6" ht="14.4" x14ac:dyDescent="0.3">
      <c r="A64" s="262" t="s">
        <v>10</v>
      </c>
      <c r="B64" s="267">
        <v>29964</v>
      </c>
      <c r="C64" s="267" t="s">
        <v>250</v>
      </c>
      <c r="D64" s="272">
        <v>622.4</v>
      </c>
      <c r="E64" s="262" t="s">
        <v>79</v>
      </c>
      <c r="F64" s="160"/>
    </row>
    <row r="65" spans="1:6" ht="14.4" x14ac:dyDescent="0.3">
      <c r="A65" s="262" t="s">
        <v>10</v>
      </c>
      <c r="B65" s="267">
        <v>35076</v>
      </c>
      <c r="C65" s="267" t="s">
        <v>254</v>
      </c>
      <c r="D65" s="272">
        <v>402.1</v>
      </c>
      <c r="E65" s="262" t="s">
        <v>79</v>
      </c>
      <c r="F65" s="160"/>
    </row>
    <row r="66" spans="1:6" ht="14.4" x14ac:dyDescent="0.3">
      <c r="A66" s="262" t="s">
        <v>10</v>
      </c>
      <c r="B66" s="267">
        <v>36972</v>
      </c>
      <c r="C66" s="267" t="s">
        <v>259</v>
      </c>
      <c r="D66" s="272">
        <v>3066.78</v>
      </c>
      <c r="E66" s="262" t="s">
        <v>79</v>
      </c>
      <c r="F66" s="160"/>
    </row>
    <row r="67" spans="1:6" ht="14.4" x14ac:dyDescent="0.3">
      <c r="A67" s="262" t="s">
        <v>10</v>
      </c>
      <c r="B67" s="267">
        <v>41852</v>
      </c>
      <c r="C67" s="267" t="s">
        <v>268</v>
      </c>
      <c r="D67" s="272">
        <v>542.57000000000005</v>
      </c>
      <c r="E67" s="262" t="s">
        <v>79</v>
      </c>
      <c r="F67" s="160"/>
    </row>
    <row r="68" spans="1:6" ht="14.4" x14ac:dyDescent="0.3">
      <c r="A68" s="262" t="s">
        <v>10</v>
      </c>
      <c r="B68" s="267">
        <v>41862</v>
      </c>
      <c r="C68" s="267" t="s">
        <v>277</v>
      </c>
      <c r="D68" s="272">
        <v>385.39</v>
      </c>
      <c r="E68" s="262" t="s">
        <v>79</v>
      </c>
      <c r="F68" s="160"/>
    </row>
    <row r="69" spans="1:6" ht="14.4" x14ac:dyDescent="0.3">
      <c r="A69" s="262" t="s">
        <v>10</v>
      </c>
      <c r="B69" s="267">
        <v>41235</v>
      </c>
      <c r="C69" s="267" t="s">
        <v>282</v>
      </c>
      <c r="D69" s="272">
        <v>1582.78</v>
      </c>
      <c r="E69" s="262" t="s">
        <v>79</v>
      </c>
      <c r="F69" s="160"/>
    </row>
    <row r="70" spans="1:6" ht="14.4" x14ac:dyDescent="0.3">
      <c r="A70" s="262" t="s">
        <v>10</v>
      </c>
      <c r="B70" s="265">
        <v>27813</v>
      </c>
      <c r="C70" s="267" t="s">
        <v>286</v>
      </c>
      <c r="D70" s="272">
        <v>26227.350000000002</v>
      </c>
      <c r="E70" s="262" t="s">
        <v>79</v>
      </c>
      <c r="F70" s="160"/>
    </row>
    <row r="71" spans="1:6" ht="14.4" x14ac:dyDescent="0.3">
      <c r="A71" s="262" t="s">
        <v>10</v>
      </c>
      <c r="B71" s="267">
        <v>10095</v>
      </c>
      <c r="C71" s="267" t="s">
        <v>290</v>
      </c>
      <c r="D71" s="272">
        <v>1578</v>
      </c>
      <c r="E71" s="262" t="s">
        <v>79</v>
      </c>
      <c r="F71" s="160"/>
    </row>
    <row r="72" spans="1:6" ht="14.4" x14ac:dyDescent="0.3">
      <c r="A72" s="262" t="s">
        <v>10</v>
      </c>
      <c r="B72" s="267">
        <v>32981</v>
      </c>
      <c r="C72" s="267" t="s">
        <v>303</v>
      </c>
      <c r="D72" s="272">
        <v>3573.2000000000003</v>
      </c>
      <c r="E72" s="262" t="s">
        <v>79</v>
      </c>
      <c r="F72" s="160"/>
    </row>
    <row r="73" spans="1:6" ht="14.4" x14ac:dyDescent="0.3">
      <c r="A73" s="262" t="s">
        <v>10</v>
      </c>
      <c r="B73" s="267">
        <v>28492</v>
      </c>
      <c r="C73" s="267" t="s">
        <v>307</v>
      </c>
      <c r="D73" s="272">
        <v>1946.4800000000002</v>
      </c>
      <c r="E73" s="262" t="s">
        <v>79</v>
      </c>
      <c r="F73" s="160"/>
    </row>
    <row r="74" spans="1:6" ht="14.4" x14ac:dyDescent="0.3">
      <c r="A74" s="262" t="s">
        <v>10</v>
      </c>
      <c r="B74" s="267">
        <v>30067</v>
      </c>
      <c r="C74" s="267" t="s">
        <v>309</v>
      </c>
      <c r="D74" s="272">
        <v>473.58000000000004</v>
      </c>
      <c r="E74" s="262" t="s">
        <v>79</v>
      </c>
      <c r="F74" s="160"/>
    </row>
    <row r="75" spans="1:6" ht="14.4" x14ac:dyDescent="0.3">
      <c r="A75" s="262" t="s">
        <v>6</v>
      </c>
      <c r="B75" s="265">
        <v>29748</v>
      </c>
      <c r="C75" s="265" t="s">
        <v>146</v>
      </c>
      <c r="D75" s="272">
        <v>662.71000000000015</v>
      </c>
      <c r="E75" s="262" t="s">
        <v>81</v>
      </c>
      <c r="F75" s="160"/>
    </row>
    <row r="76" spans="1:6" ht="14.4" x14ac:dyDescent="0.3">
      <c r="A76" s="262" t="s">
        <v>7</v>
      </c>
      <c r="B76" s="268">
        <v>44200</v>
      </c>
      <c r="C76" s="265" t="s">
        <v>126</v>
      </c>
      <c r="D76" s="272">
        <v>162.44999999999999</v>
      </c>
      <c r="E76" s="262" t="s">
        <v>81</v>
      </c>
      <c r="F76" s="160"/>
    </row>
    <row r="77" spans="1:6" ht="14.4" x14ac:dyDescent="0.3">
      <c r="A77" s="262" t="s">
        <v>7</v>
      </c>
      <c r="B77" s="268">
        <v>25853</v>
      </c>
      <c r="C77" s="265" t="s">
        <v>140</v>
      </c>
      <c r="D77" s="272">
        <v>389.9</v>
      </c>
      <c r="E77" s="262" t="s">
        <v>81</v>
      </c>
      <c r="F77" s="160"/>
    </row>
    <row r="78" spans="1:6" ht="14.4" x14ac:dyDescent="0.3">
      <c r="A78" s="262" t="s">
        <v>56</v>
      </c>
      <c r="B78" s="266">
        <v>601</v>
      </c>
      <c r="C78" s="266" t="s">
        <v>172</v>
      </c>
      <c r="D78" s="272">
        <v>1105.05</v>
      </c>
      <c r="E78" s="262" t="s">
        <v>81</v>
      </c>
      <c r="F78" s="160"/>
    </row>
    <row r="79" spans="1:6" ht="14.4" x14ac:dyDescent="0.3">
      <c r="A79" s="262" t="s">
        <v>56</v>
      </c>
      <c r="B79" s="266">
        <v>38903</v>
      </c>
      <c r="C79" s="266" t="s">
        <v>179</v>
      </c>
      <c r="D79" s="272">
        <v>617</v>
      </c>
      <c r="E79" s="262" t="s">
        <v>81</v>
      </c>
      <c r="F79" s="160"/>
    </row>
    <row r="80" spans="1:6" ht="14.4" x14ac:dyDescent="0.3">
      <c r="A80" s="262" t="s">
        <v>56</v>
      </c>
      <c r="B80" s="266">
        <v>41617</v>
      </c>
      <c r="C80" s="266" t="s">
        <v>186</v>
      </c>
      <c r="D80" s="272">
        <v>4677.4557000000004</v>
      </c>
      <c r="E80" s="262" t="s">
        <v>81</v>
      </c>
      <c r="F80" s="160"/>
    </row>
    <row r="81" spans="1:6" ht="14.4" x14ac:dyDescent="0.3">
      <c r="A81" s="262" t="s">
        <v>56</v>
      </c>
      <c r="B81" s="266">
        <v>41105</v>
      </c>
      <c r="C81" s="266" t="s">
        <v>189</v>
      </c>
      <c r="D81" s="272">
        <v>1721.2</v>
      </c>
      <c r="E81" s="262" t="s">
        <v>81</v>
      </c>
      <c r="F81" s="160"/>
    </row>
    <row r="82" spans="1:6" ht="14.4" x14ac:dyDescent="0.3">
      <c r="A82" s="262" t="s">
        <v>10</v>
      </c>
      <c r="B82" s="265">
        <v>40650</v>
      </c>
      <c r="C82" s="267" t="s">
        <v>192</v>
      </c>
      <c r="D82" s="272">
        <v>694.36999999999989</v>
      </c>
      <c r="E82" s="262" t="s">
        <v>81</v>
      </c>
      <c r="F82" s="160"/>
    </row>
    <row r="83" spans="1:6" ht="14.4" x14ac:dyDescent="0.3">
      <c r="A83" s="262" t="s">
        <v>10</v>
      </c>
      <c r="B83" s="265">
        <v>43357</v>
      </c>
      <c r="C83" s="267" t="s">
        <v>193</v>
      </c>
      <c r="D83" s="272">
        <v>441.99</v>
      </c>
      <c r="E83" s="262" t="s">
        <v>81</v>
      </c>
      <c r="F83" s="160"/>
    </row>
    <row r="84" spans="1:6" ht="14.4" x14ac:dyDescent="0.3">
      <c r="A84" s="262" t="s">
        <v>10</v>
      </c>
      <c r="B84" s="265">
        <v>44062</v>
      </c>
      <c r="C84" s="267" t="s">
        <v>202</v>
      </c>
      <c r="D84" s="272">
        <v>443.68000000000006</v>
      </c>
      <c r="E84" s="262" t="s">
        <v>81</v>
      </c>
      <c r="F84" s="160"/>
    </row>
    <row r="85" spans="1:6" ht="14.4" x14ac:dyDescent="0.3">
      <c r="A85" s="262" t="s">
        <v>10</v>
      </c>
      <c r="B85" s="265">
        <v>13483</v>
      </c>
      <c r="C85" s="267" t="s">
        <v>209</v>
      </c>
      <c r="D85" s="272">
        <v>179.85</v>
      </c>
      <c r="E85" s="262" t="s">
        <v>81</v>
      </c>
      <c r="F85" s="160"/>
    </row>
    <row r="86" spans="1:6" ht="14.4" x14ac:dyDescent="0.3">
      <c r="A86" s="262" t="s">
        <v>8</v>
      </c>
      <c r="B86" s="266">
        <v>27148</v>
      </c>
      <c r="C86" s="266" t="s">
        <v>163</v>
      </c>
      <c r="D86" s="272">
        <v>151.80000000000001</v>
      </c>
      <c r="E86" s="262" t="s">
        <v>81</v>
      </c>
      <c r="F86" s="160"/>
    </row>
    <row r="87" spans="1:6" ht="14.4" x14ac:dyDescent="0.3">
      <c r="A87" s="262" t="s">
        <v>6</v>
      </c>
      <c r="B87" s="265">
        <v>39905</v>
      </c>
      <c r="C87" s="265" t="s">
        <v>142</v>
      </c>
      <c r="D87" s="272">
        <v>395.93999999999994</v>
      </c>
      <c r="E87" s="262" t="s">
        <v>81</v>
      </c>
      <c r="F87" s="160"/>
    </row>
    <row r="88" spans="1:6" ht="14.4" x14ac:dyDescent="0.3">
      <c r="A88" s="262" t="s">
        <v>6</v>
      </c>
      <c r="B88" s="265">
        <v>35214</v>
      </c>
      <c r="C88" s="265" t="s">
        <v>143</v>
      </c>
      <c r="D88" s="272">
        <v>536.37</v>
      </c>
      <c r="E88" s="262" t="s">
        <v>81</v>
      </c>
      <c r="F88" s="160"/>
    </row>
    <row r="89" spans="1:6" ht="14.4" x14ac:dyDescent="0.3">
      <c r="A89" s="262" t="s">
        <v>6</v>
      </c>
      <c r="B89" s="265">
        <v>26900</v>
      </c>
      <c r="C89" s="265" t="s">
        <v>144</v>
      </c>
      <c r="D89" s="272">
        <v>450.41999999999996</v>
      </c>
      <c r="E89" s="262" t="s">
        <v>81</v>
      </c>
      <c r="F89" s="160"/>
    </row>
    <row r="90" spans="1:6" ht="14.4" x14ac:dyDescent="0.3">
      <c r="A90" s="262" t="s">
        <v>6</v>
      </c>
      <c r="B90" s="265">
        <v>25286</v>
      </c>
      <c r="C90" s="265" t="s">
        <v>145</v>
      </c>
      <c r="D90" s="272">
        <v>1339.6</v>
      </c>
      <c r="E90" s="262" t="s">
        <v>81</v>
      </c>
      <c r="F90" s="160"/>
    </row>
    <row r="91" spans="1:6" ht="14.4" x14ac:dyDescent="0.3">
      <c r="A91" s="262" t="s">
        <v>6</v>
      </c>
      <c r="B91" s="265">
        <v>41967</v>
      </c>
      <c r="C91" s="265" t="s">
        <v>147</v>
      </c>
      <c r="D91" s="272">
        <v>177.86</v>
      </c>
      <c r="E91" s="262" t="s">
        <v>81</v>
      </c>
      <c r="F91" s="160"/>
    </row>
    <row r="92" spans="1:6" ht="14.4" x14ac:dyDescent="0.3">
      <c r="A92" s="262" t="s">
        <v>6</v>
      </c>
      <c r="B92" s="265">
        <v>40914</v>
      </c>
      <c r="C92" s="265" t="s">
        <v>148</v>
      </c>
      <c r="D92" s="272">
        <v>15980</v>
      </c>
      <c r="E92" s="262" t="s">
        <v>81</v>
      </c>
      <c r="F92" s="160"/>
    </row>
    <row r="93" spans="1:6" ht="14.4" x14ac:dyDescent="0.3">
      <c r="A93" s="262" t="s">
        <v>6</v>
      </c>
      <c r="B93" s="265">
        <v>44581</v>
      </c>
      <c r="C93" s="265" t="s">
        <v>149</v>
      </c>
      <c r="D93" s="272">
        <v>228.74</v>
      </c>
      <c r="E93" s="262" t="s">
        <v>81</v>
      </c>
      <c r="F93" s="160"/>
    </row>
    <row r="94" spans="1:6" ht="14.4" x14ac:dyDescent="0.3">
      <c r="A94" s="262" t="s">
        <v>6</v>
      </c>
      <c r="B94" s="265">
        <v>43131</v>
      </c>
      <c r="C94" s="265" t="s">
        <v>150</v>
      </c>
      <c r="D94" s="272">
        <v>198.64999899999995</v>
      </c>
      <c r="E94" s="262" t="s">
        <v>81</v>
      </c>
      <c r="F94" s="160"/>
    </row>
    <row r="95" spans="1:6" ht="14.4" x14ac:dyDescent="0.3">
      <c r="A95" s="262" t="s">
        <v>6</v>
      </c>
      <c r="B95" s="265">
        <v>27411</v>
      </c>
      <c r="C95" s="265" t="s">
        <v>151</v>
      </c>
      <c r="D95" s="272">
        <v>529.72</v>
      </c>
      <c r="E95" s="262" t="s">
        <v>81</v>
      </c>
      <c r="F95" s="160"/>
    </row>
    <row r="96" spans="1:6" ht="14.4" x14ac:dyDescent="0.3">
      <c r="A96" s="262" t="s">
        <v>6</v>
      </c>
      <c r="B96" s="265">
        <v>36248</v>
      </c>
      <c r="C96" s="265" t="s">
        <v>152</v>
      </c>
      <c r="D96" s="272">
        <v>264.39</v>
      </c>
      <c r="E96" s="262" t="s">
        <v>81</v>
      </c>
      <c r="F96" s="160"/>
    </row>
    <row r="97" spans="1:6" ht="14.4" x14ac:dyDescent="0.3">
      <c r="A97" s="262" t="s">
        <v>6</v>
      </c>
      <c r="B97" s="265">
        <v>2425</v>
      </c>
      <c r="C97" s="265" t="s">
        <v>153</v>
      </c>
      <c r="D97" s="272">
        <v>546.6</v>
      </c>
      <c r="E97" s="262" t="s">
        <v>81</v>
      </c>
      <c r="F97" s="160"/>
    </row>
    <row r="98" spans="1:6" ht="14.4" x14ac:dyDescent="0.3">
      <c r="A98" s="262" t="s">
        <v>6</v>
      </c>
      <c r="B98" s="268">
        <v>24254</v>
      </c>
      <c r="C98" s="265" t="s">
        <v>154</v>
      </c>
      <c r="D98" s="272">
        <v>1162.6699999999998</v>
      </c>
      <c r="E98" s="262" t="s">
        <v>81</v>
      </c>
      <c r="F98" s="160"/>
    </row>
    <row r="99" spans="1:6" ht="14.4" x14ac:dyDescent="0.3">
      <c r="A99" s="262" t="s">
        <v>6</v>
      </c>
      <c r="B99" s="265">
        <v>42652</v>
      </c>
      <c r="C99" s="265" t="s">
        <v>155</v>
      </c>
      <c r="D99" s="272">
        <v>221.73000000000002</v>
      </c>
      <c r="E99" s="262" t="s">
        <v>81</v>
      </c>
      <c r="F99" s="160"/>
    </row>
    <row r="100" spans="1:6" ht="14.4" x14ac:dyDescent="0.3">
      <c r="A100" s="262" t="s">
        <v>6</v>
      </c>
      <c r="B100" s="265">
        <v>30292</v>
      </c>
      <c r="C100" s="265" t="s">
        <v>156</v>
      </c>
      <c r="D100" s="272">
        <v>1797</v>
      </c>
      <c r="E100" s="262" t="s">
        <v>81</v>
      </c>
      <c r="F100" s="160"/>
    </row>
    <row r="101" spans="1:6" ht="14.4" x14ac:dyDescent="0.3">
      <c r="A101" s="262" t="s">
        <v>6</v>
      </c>
      <c r="B101" s="265">
        <v>39127</v>
      </c>
      <c r="C101" s="265" t="s">
        <v>157</v>
      </c>
      <c r="D101" s="272">
        <v>159.13999999999999</v>
      </c>
      <c r="E101" s="262" t="s">
        <v>81</v>
      </c>
      <c r="F101" s="160"/>
    </row>
    <row r="102" spans="1:6" ht="14.4" x14ac:dyDescent="0.3">
      <c r="A102" s="262" t="s">
        <v>7</v>
      </c>
      <c r="B102" s="265">
        <v>23621</v>
      </c>
      <c r="C102" s="265" t="s">
        <v>119</v>
      </c>
      <c r="D102" s="272">
        <v>273.19</v>
      </c>
      <c r="E102" s="262" t="s">
        <v>81</v>
      </c>
      <c r="F102" s="160"/>
    </row>
    <row r="103" spans="1:6" ht="14.4" x14ac:dyDescent="0.3">
      <c r="A103" s="262" t="s">
        <v>7</v>
      </c>
      <c r="B103" s="265">
        <v>44106</v>
      </c>
      <c r="C103" s="265" t="s">
        <v>120</v>
      </c>
      <c r="D103" s="272">
        <v>792.71000000000026</v>
      </c>
      <c r="E103" s="262" t="s">
        <v>81</v>
      </c>
      <c r="F103" s="160"/>
    </row>
    <row r="104" spans="1:6" ht="14.4" x14ac:dyDescent="0.3">
      <c r="A104" s="262" t="s">
        <v>7</v>
      </c>
      <c r="B104" s="265">
        <v>44364</v>
      </c>
      <c r="C104" s="265" t="s">
        <v>121</v>
      </c>
      <c r="D104" s="272">
        <v>670.49</v>
      </c>
      <c r="E104" s="262" t="s">
        <v>81</v>
      </c>
      <c r="F104" s="160"/>
    </row>
    <row r="105" spans="1:6" ht="14.4" x14ac:dyDescent="0.3">
      <c r="A105" s="262" t="s">
        <v>7</v>
      </c>
      <c r="B105" s="268">
        <v>29622</v>
      </c>
      <c r="C105" s="265" t="s">
        <v>122</v>
      </c>
      <c r="D105" s="272">
        <v>415.4</v>
      </c>
      <c r="E105" s="262" t="s">
        <v>81</v>
      </c>
      <c r="F105" s="160"/>
    </row>
    <row r="106" spans="1:6" ht="14.4" x14ac:dyDescent="0.3">
      <c r="A106" s="262" t="s">
        <v>7</v>
      </c>
      <c r="B106" s="268">
        <v>40214</v>
      </c>
      <c r="C106" s="265" t="s">
        <v>123</v>
      </c>
      <c r="D106" s="272">
        <v>491.45999999999992</v>
      </c>
      <c r="E106" s="262" t="s">
        <v>81</v>
      </c>
      <c r="F106" s="160"/>
    </row>
    <row r="107" spans="1:6" ht="14.4" x14ac:dyDescent="0.3">
      <c r="A107" s="262" t="s">
        <v>7</v>
      </c>
      <c r="B107" s="265">
        <v>16902</v>
      </c>
      <c r="C107" s="265" t="s">
        <v>124</v>
      </c>
      <c r="D107" s="272">
        <v>441.76</v>
      </c>
      <c r="E107" s="262" t="s">
        <v>81</v>
      </c>
      <c r="F107" s="160"/>
    </row>
    <row r="108" spans="1:6" ht="14.4" x14ac:dyDescent="0.3">
      <c r="A108" s="262" t="s">
        <v>7</v>
      </c>
      <c r="B108" s="265">
        <v>43912</v>
      </c>
      <c r="C108" s="265" t="s">
        <v>125</v>
      </c>
      <c r="D108" s="272">
        <v>591.15</v>
      </c>
      <c r="E108" s="262" t="s">
        <v>81</v>
      </c>
      <c r="F108" s="160"/>
    </row>
    <row r="109" spans="1:6" ht="14.4" x14ac:dyDescent="0.3">
      <c r="A109" s="262" t="s">
        <v>7</v>
      </c>
      <c r="B109" s="268">
        <v>36451</v>
      </c>
      <c r="C109" s="265" t="s">
        <v>127</v>
      </c>
      <c r="D109" s="272">
        <v>187.79000000000002</v>
      </c>
      <c r="E109" s="262" t="s">
        <v>81</v>
      </c>
      <c r="F109" s="160"/>
    </row>
    <row r="110" spans="1:6" ht="14.4" x14ac:dyDescent="0.3">
      <c r="A110" s="262" t="s">
        <v>7</v>
      </c>
      <c r="B110" s="265">
        <v>42285</v>
      </c>
      <c r="C110" s="265" t="s">
        <v>128</v>
      </c>
      <c r="D110" s="272">
        <v>1277</v>
      </c>
      <c r="E110" s="262" t="s">
        <v>81</v>
      </c>
      <c r="F110" s="160"/>
    </row>
    <row r="111" spans="1:6" ht="14.4" x14ac:dyDescent="0.3">
      <c r="A111" s="262" t="s">
        <v>7</v>
      </c>
      <c r="B111" s="265">
        <v>38884</v>
      </c>
      <c r="C111" s="265" t="s">
        <v>129</v>
      </c>
      <c r="D111" s="272">
        <v>278.36</v>
      </c>
      <c r="E111" s="262" t="s">
        <v>81</v>
      </c>
      <c r="F111" s="160"/>
    </row>
    <row r="112" spans="1:6" ht="14.4" x14ac:dyDescent="0.3">
      <c r="A112" s="262" t="s">
        <v>7</v>
      </c>
      <c r="B112" s="268">
        <v>45080</v>
      </c>
      <c r="C112" s="265" t="s">
        <v>130</v>
      </c>
      <c r="D112" s="272">
        <v>164.75000000000003</v>
      </c>
      <c r="E112" s="262" t="s">
        <v>81</v>
      </c>
      <c r="F112" s="160"/>
    </row>
    <row r="113" spans="1:6" ht="14.4" x14ac:dyDescent="0.3">
      <c r="A113" s="262" t="s">
        <v>7</v>
      </c>
      <c r="B113" s="268">
        <v>31636</v>
      </c>
      <c r="C113" s="265" t="s">
        <v>131</v>
      </c>
      <c r="D113" s="272">
        <v>287.22999999999996</v>
      </c>
      <c r="E113" s="262" t="s">
        <v>81</v>
      </c>
      <c r="F113" s="160"/>
    </row>
    <row r="114" spans="1:6" ht="14.4" x14ac:dyDescent="0.3">
      <c r="A114" s="262" t="s">
        <v>7</v>
      </c>
      <c r="B114" s="265">
        <v>42559</v>
      </c>
      <c r="C114" s="265" t="s">
        <v>132</v>
      </c>
      <c r="D114" s="272">
        <v>804.06</v>
      </c>
      <c r="E114" s="262" t="s">
        <v>81</v>
      </c>
      <c r="F114" s="160"/>
    </row>
    <row r="115" spans="1:6" ht="14.4" x14ac:dyDescent="0.3">
      <c r="A115" s="262" t="s">
        <v>7</v>
      </c>
      <c r="B115" s="268">
        <v>29084</v>
      </c>
      <c r="C115" s="265" t="s">
        <v>133</v>
      </c>
      <c r="D115" s="272">
        <v>201.14999999999998</v>
      </c>
      <c r="E115" s="262" t="s">
        <v>81</v>
      </c>
      <c r="F115" s="160"/>
    </row>
    <row r="116" spans="1:6" ht="14.4" x14ac:dyDescent="0.3">
      <c r="A116" s="262" t="s">
        <v>7</v>
      </c>
      <c r="B116" s="268">
        <v>41123</v>
      </c>
      <c r="C116" s="265" t="s">
        <v>134</v>
      </c>
      <c r="D116" s="272">
        <v>629.9</v>
      </c>
      <c r="E116" s="262" t="s">
        <v>81</v>
      </c>
      <c r="F116" s="160"/>
    </row>
    <row r="117" spans="1:6" ht="14.4" x14ac:dyDescent="0.3">
      <c r="A117" s="262" t="s">
        <v>7</v>
      </c>
      <c r="B117" s="268">
        <v>38358</v>
      </c>
      <c r="C117" s="265" t="s">
        <v>135</v>
      </c>
      <c r="D117" s="272">
        <v>163.25</v>
      </c>
      <c r="E117" s="262" t="s">
        <v>81</v>
      </c>
      <c r="F117" s="160"/>
    </row>
    <row r="118" spans="1:6" ht="14.4" x14ac:dyDescent="0.3">
      <c r="A118" s="262" t="s">
        <v>7</v>
      </c>
      <c r="B118" s="268">
        <v>30929</v>
      </c>
      <c r="C118" s="265" t="s">
        <v>136</v>
      </c>
      <c r="D118" s="272">
        <v>1258</v>
      </c>
      <c r="E118" s="262" t="s">
        <v>81</v>
      </c>
      <c r="F118" s="160"/>
    </row>
    <row r="119" spans="1:6" ht="14.4" x14ac:dyDescent="0.3">
      <c r="A119" s="262" t="s">
        <v>7</v>
      </c>
      <c r="B119" s="268">
        <v>28933</v>
      </c>
      <c r="C119" s="265" t="s">
        <v>137</v>
      </c>
      <c r="D119" s="272">
        <v>470.78</v>
      </c>
      <c r="E119" s="262" t="s">
        <v>81</v>
      </c>
      <c r="F119" s="160"/>
    </row>
    <row r="120" spans="1:6" ht="14.4" x14ac:dyDescent="0.3">
      <c r="A120" s="262" t="s">
        <v>7</v>
      </c>
      <c r="B120" s="268">
        <v>38139</v>
      </c>
      <c r="C120" s="265" t="s">
        <v>138</v>
      </c>
      <c r="D120" s="272">
        <v>183.75</v>
      </c>
      <c r="E120" s="262" t="s">
        <v>81</v>
      </c>
      <c r="F120" s="160"/>
    </row>
    <row r="121" spans="1:6" ht="14.4" x14ac:dyDescent="0.3">
      <c r="A121" s="262" t="s">
        <v>7</v>
      </c>
      <c r="B121" s="268">
        <v>34343</v>
      </c>
      <c r="C121" s="265" t="s">
        <v>139</v>
      </c>
      <c r="D121" s="272">
        <v>502.57000000000005</v>
      </c>
      <c r="E121" s="262" t="s">
        <v>81</v>
      </c>
      <c r="F121" s="160"/>
    </row>
    <row r="122" spans="1:6" ht="14.4" x14ac:dyDescent="0.3">
      <c r="A122" s="262" t="s">
        <v>56</v>
      </c>
      <c r="B122" s="266">
        <v>33463</v>
      </c>
      <c r="C122" s="266" t="s">
        <v>165</v>
      </c>
      <c r="D122" s="272">
        <v>745.8</v>
      </c>
      <c r="E122" s="262" t="s">
        <v>81</v>
      </c>
      <c r="F122" s="160"/>
    </row>
    <row r="123" spans="1:6" ht="14.4" x14ac:dyDescent="0.3">
      <c r="A123" s="262" t="s">
        <v>56</v>
      </c>
      <c r="B123" s="266">
        <v>42936</v>
      </c>
      <c r="C123" s="266" t="s">
        <v>166</v>
      </c>
      <c r="D123" s="272">
        <v>183.75</v>
      </c>
      <c r="E123" s="262" t="s">
        <v>81</v>
      </c>
      <c r="F123" s="160"/>
    </row>
    <row r="124" spans="1:6" ht="14.4" x14ac:dyDescent="0.3">
      <c r="A124" s="262" t="s">
        <v>56</v>
      </c>
      <c r="B124" s="266">
        <v>30921</v>
      </c>
      <c r="C124" s="266" t="s">
        <v>167</v>
      </c>
      <c r="D124" s="272">
        <v>1238.3</v>
      </c>
      <c r="E124" s="262" t="s">
        <v>81</v>
      </c>
      <c r="F124" s="160"/>
    </row>
    <row r="125" spans="1:6" ht="14.4" x14ac:dyDescent="0.3">
      <c r="A125" s="262" t="s">
        <v>56</v>
      </c>
      <c r="B125" s="266">
        <v>12165</v>
      </c>
      <c r="C125" s="266" t="s">
        <v>168</v>
      </c>
      <c r="D125" s="272">
        <v>1988.2700000000004</v>
      </c>
      <c r="E125" s="262" t="s">
        <v>81</v>
      </c>
      <c r="F125" s="160"/>
    </row>
    <row r="126" spans="1:6" ht="14.4" x14ac:dyDescent="0.3">
      <c r="A126" s="262" t="s">
        <v>56</v>
      </c>
      <c r="B126" s="266">
        <v>28192</v>
      </c>
      <c r="C126" s="266" t="s">
        <v>169</v>
      </c>
      <c r="D126" s="272">
        <v>178.95</v>
      </c>
      <c r="E126" s="262" t="s">
        <v>81</v>
      </c>
      <c r="F126" s="160"/>
    </row>
    <row r="127" spans="1:6" ht="14.4" x14ac:dyDescent="0.3">
      <c r="A127" s="262" t="s">
        <v>56</v>
      </c>
      <c r="B127" s="266">
        <v>37151</v>
      </c>
      <c r="C127" s="266" t="s">
        <v>170</v>
      </c>
      <c r="D127" s="272">
        <v>800.15999999999985</v>
      </c>
      <c r="E127" s="262" t="s">
        <v>81</v>
      </c>
      <c r="F127" s="160"/>
    </row>
    <row r="128" spans="1:6" ht="14.4" x14ac:dyDescent="0.3">
      <c r="A128" s="262" t="s">
        <v>56</v>
      </c>
      <c r="B128" s="266">
        <v>44572</v>
      </c>
      <c r="C128" s="266" t="s">
        <v>171</v>
      </c>
      <c r="D128" s="272">
        <v>391.55</v>
      </c>
      <c r="E128" s="262" t="s">
        <v>81</v>
      </c>
      <c r="F128" s="160"/>
    </row>
    <row r="129" spans="1:6" ht="14.4" x14ac:dyDescent="0.3">
      <c r="A129" s="262" t="s">
        <v>56</v>
      </c>
      <c r="B129" s="266">
        <v>32604</v>
      </c>
      <c r="C129" s="266" t="s">
        <v>173</v>
      </c>
      <c r="D129" s="272">
        <v>183.35</v>
      </c>
      <c r="E129" s="262" t="s">
        <v>81</v>
      </c>
      <c r="F129" s="160"/>
    </row>
    <row r="130" spans="1:6" ht="14.4" x14ac:dyDescent="0.3">
      <c r="A130" s="262" t="s">
        <v>56</v>
      </c>
      <c r="B130" s="266">
        <v>30889</v>
      </c>
      <c r="C130" s="266" t="s">
        <v>174</v>
      </c>
      <c r="D130" s="272">
        <v>1627</v>
      </c>
      <c r="E130" s="262" t="s">
        <v>81</v>
      </c>
      <c r="F130" s="160"/>
    </row>
    <row r="131" spans="1:6" ht="14.4" x14ac:dyDescent="0.3">
      <c r="A131" s="262" t="s">
        <v>56</v>
      </c>
      <c r="B131" s="266">
        <v>20583</v>
      </c>
      <c r="C131" s="266" t="s">
        <v>175</v>
      </c>
      <c r="D131" s="272">
        <v>3316</v>
      </c>
      <c r="E131" s="262" t="s">
        <v>81</v>
      </c>
      <c r="F131" s="160"/>
    </row>
    <row r="132" spans="1:6" ht="14.4" x14ac:dyDescent="0.3">
      <c r="A132" s="262" t="s">
        <v>56</v>
      </c>
      <c r="B132" s="266">
        <v>21387</v>
      </c>
      <c r="C132" s="266" t="s">
        <v>176</v>
      </c>
      <c r="D132" s="272">
        <v>230</v>
      </c>
      <c r="E132" s="262" t="s">
        <v>81</v>
      </c>
      <c r="F132" s="160"/>
    </row>
    <row r="133" spans="1:6" ht="14.4" x14ac:dyDescent="0.3">
      <c r="A133" s="262" t="s">
        <v>56</v>
      </c>
      <c r="B133" s="266">
        <v>35547</v>
      </c>
      <c r="C133" s="266" t="s">
        <v>177</v>
      </c>
      <c r="D133" s="272">
        <v>207.34000000000003</v>
      </c>
      <c r="E133" s="262" t="s">
        <v>81</v>
      </c>
      <c r="F133" s="160"/>
    </row>
    <row r="134" spans="1:6" ht="14.4" x14ac:dyDescent="0.3">
      <c r="A134" s="262" t="s">
        <v>56</v>
      </c>
      <c r="B134" s="266">
        <v>42774</v>
      </c>
      <c r="C134" s="266" t="s">
        <v>178</v>
      </c>
      <c r="D134" s="272">
        <v>829</v>
      </c>
      <c r="E134" s="262" t="s">
        <v>81</v>
      </c>
      <c r="F134" s="160"/>
    </row>
    <row r="135" spans="1:6" ht="14.4" x14ac:dyDescent="0.3">
      <c r="A135" s="262" t="s">
        <v>56</v>
      </c>
      <c r="B135" s="266">
        <v>10376</v>
      </c>
      <c r="C135" s="266" t="s">
        <v>180</v>
      </c>
      <c r="D135" s="272">
        <v>892.99</v>
      </c>
      <c r="E135" s="262" t="s">
        <v>81</v>
      </c>
      <c r="F135" s="160"/>
    </row>
    <row r="136" spans="1:6" ht="14.4" x14ac:dyDescent="0.3">
      <c r="A136" s="262" t="s">
        <v>56</v>
      </c>
      <c r="B136" s="266">
        <v>41363</v>
      </c>
      <c r="C136" s="266" t="s">
        <v>181</v>
      </c>
      <c r="D136" s="272">
        <v>536.6</v>
      </c>
      <c r="E136" s="262" t="s">
        <v>81</v>
      </c>
      <c r="F136" s="160"/>
    </row>
    <row r="137" spans="1:6" ht="14.4" x14ac:dyDescent="0.3">
      <c r="A137" s="262" t="s">
        <v>56</v>
      </c>
      <c r="B137" s="266">
        <v>40966</v>
      </c>
      <c r="C137" s="266" t="s">
        <v>182</v>
      </c>
      <c r="D137" s="272">
        <v>497.4</v>
      </c>
      <c r="E137" s="262" t="s">
        <v>81</v>
      </c>
      <c r="F137" s="160"/>
    </row>
    <row r="138" spans="1:6" ht="14.4" x14ac:dyDescent="0.3">
      <c r="A138" s="262" t="s">
        <v>56</v>
      </c>
      <c r="B138" s="266">
        <v>33732</v>
      </c>
      <c r="C138" s="266" t="s">
        <v>183</v>
      </c>
      <c r="D138" s="272">
        <v>587.41</v>
      </c>
      <c r="E138" s="262" t="s">
        <v>81</v>
      </c>
      <c r="F138" s="160"/>
    </row>
    <row r="139" spans="1:6" ht="14.4" x14ac:dyDescent="0.3">
      <c r="A139" s="262" t="s">
        <v>56</v>
      </c>
      <c r="B139" s="266">
        <v>43985</v>
      </c>
      <c r="C139" s="266" t="s">
        <v>184</v>
      </c>
      <c r="D139" s="272">
        <v>331.95000000000005</v>
      </c>
      <c r="E139" s="262" t="s">
        <v>81</v>
      </c>
      <c r="F139" s="160"/>
    </row>
    <row r="140" spans="1:6" ht="14.4" x14ac:dyDescent="0.3">
      <c r="A140" s="262" t="s">
        <v>56</v>
      </c>
      <c r="B140" s="266">
        <v>26794</v>
      </c>
      <c r="C140" s="266" t="s">
        <v>333</v>
      </c>
      <c r="D140" s="272">
        <v>631.20000000000005</v>
      </c>
      <c r="E140" s="262" t="s">
        <v>81</v>
      </c>
      <c r="F140" s="160"/>
    </row>
    <row r="141" spans="1:6" ht="14.4" x14ac:dyDescent="0.3">
      <c r="A141" s="262" t="s">
        <v>56</v>
      </c>
      <c r="B141" s="266">
        <v>20012</v>
      </c>
      <c r="C141" s="266" t="s">
        <v>187</v>
      </c>
      <c r="D141" s="272">
        <v>163.05000000000001</v>
      </c>
      <c r="E141" s="262" t="s">
        <v>81</v>
      </c>
      <c r="F141" s="160"/>
    </row>
    <row r="142" spans="1:6" ht="14.4" x14ac:dyDescent="0.3">
      <c r="A142" s="262" t="s">
        <v>56</v>
      </c>
      <c r="B142" s="266">
        <v>31923</v>
      </c>
      <c r="C142" s="266" t="s">
        <v>188</v>
      </c>
      <c r="D142" s="272">
        <v>714.78</v>
      </c>
      <c r="E142" s="262" t="s">
        <v>81</v>
      </c>
      <c r="F142" s="160"/>
    </row>
    <row r="143" spans="1:6" ht="14.4" x14ac:dyDescent="0.3">
      <c r="A143" s="262" t="s">
        <v>56</v>
      </c>
      <c r="B143" s="266">
        <v>37503</v>
      </c>
      <c r="C143" s="266" t="s">
        <v>190</v>
      </c>
      <c r="D143" s="272">
        <v>943.5</v>
      </c>
      <c r="E143" s="262" t="s">
        <v>81</v>
      </c>
      <c r="F143" s="160"/>
    </row>
    <row r="144" spans="1:6" ht="14.4" x14ac:dyDescent="0.3">
      <c r="A144" s="269" t="s">
        <v>56</v>
      </c>
      <c r="B144" s="270">
        <v>39901</v>
      </c>
      <c r="C144" s="271" t="s">
        <v>328</v>
      </c>
      <c r="D144" s="273">
        <v>0</v>
      </c>
      <c r="E144" s="269" t="s">
        <v>81</v>
      </c>
      <c r="F144" s="160"/>
    </row>
    <row r="145" spans="1:6" ht="14.4" x14ac:dyDescent="0.3">
      <c r="A145" s="262" t="s">
        <v>10</v>
      </c>
      <c r="B145" s="265">
        <v>43013</v>
      </c>
      <c r="C145" s="267" t="s">
        <v>194</v>
      </c>
      <c r="D145" s="272">
        <v>533.70000000000005</v>
      </c>
      <c r="E145" s="262" t="s">
        <v>81</v>
      </c>
      <c r="F145" s="160"/>
    </row>
    <row r="146" spans="1:6" ht="14.4" x14ac:dyDescent="0.3">
      <c r="A146" s="262" t="s">
        <v>10</v>
      </c>
      <c r="B146" s="265">
        <v>38936</v>
      </c>
      <c r="C146" s="267" t="s">
        <v>195</v>
      </c>
      <c r="D146" s="272">
        <v>179.85</v>
      </c>
      <c r="E146" s="262" t="s">
        <v>81</v>
      </c>
      <c r="F146" s="160"/>
    </row>
    <row r="147" spans="1:6" ht="14.4" x14ac:dyDescent="0.3">
      <c r="A147" s="262" t="s">
        <v>10</v>
      </c>
      <c r="B147" s="265">
        <v>7546</v>
      </c>
      <c r="C147" s="267" t="s">
        <v>196</v>
      </c>
      <c r="D147" s="272">
        <v>739.9</v>
      </c>
      <c r="E147" s="262" t="s">
        <v>81</v>
      </c>
      <c r="F147" s="160"/>
    </row>
    <row r="148" spans="1:6" ht="14.4" x14ac:dyDescent="0.3">
      <c r="A148" s="262" t="s">
        <v>10</v>
      </c>
      <c r="B148" s="265">
        <v>34899</v>
      </c>
      <c r="C148" s="267" t="s">
        <v>197</v>
      </c>
      <c r="D148" s="272">
        <v>363.95000499999998</v>
      </c>
      <c r="E148" s="262" t="s">
        <v>81</v>
      </c>
      <c r="F148" s="160"/>
    </row>
    <row r="149" spans="1:6" ht="14.4" x14ac:dyDescent="0.3">
      <c r="A149" s="262" t="s">
        <v>10</v>
      </c>
      <c r="B149" s="265">
        <v>25124</v>
      </c>
      <c r="C149" s="267" t="s">
        <v>198</v>
      </c>
      <c r="D149" s="272">
        <v>349.55</v>
      </c>
      <c r="E149" s="262" t="s">
        <v>81</v>
      </c>
      <c r="F149" s="160"/>
    </row>
    <row r="150" spans="1:6" ht="14.4" x14ac:dyDescent="0.3">
      <c r="A150" s="262" t="s">
        <v>10</v>
      </c>
      <c r="B150" s="265">
        <v>25071</v>
      </c>
      <c r="C150" s="267" t="s">
        <v>199</v>
      </c>
      <c r="D150" s="272">
        <v>211.04999999999998</v>
      </c>
      <c r="E150" s="262" t="s">
        <v>81</v>
      </c>
      <c r="F150" s="160"/>
    </row>
    <row r="151" spans="1:6" ht="14.4" x14ac:dyDescent="0.3">
      <c r="A151" s="262" t="s">
        <v>10</v>
      </c>
      <c r="B151" s="265">
        <v>40561</v>
      </c>
      <c r="C151" s="267" t="s">
        <v>200</v>
      </c>
      <c r="D151" s="272">
        <v>12093.2</v>
      </c>
      <c r="E151" s="262" t="s">
        <v>81</v>
      </c>
      <c r="F151" s="160"/>
    </row>
    <row r="152" spans="1:6" ht="14.4" x14ac:dyDescent="0.3">
      <c r="A152" s="262" t="s">
        <v>10</v>
      </c>
      <c r="B152" s="265">
        <v>44255</v>
      </c>
      <c r="C152" s="267" t="s">
        <v>201</v>
      </c>
      <c r="D152" s="272">
        <v>730.48</v>
      </c>
      <c r="E152" s="262" t="s">
        <v>81</v>
      </c>
      <c r="F152" s="160"/>
    </row>
    <row r="153" spans="1:6" ht="14.4" x14ac:dyDescent="0.3">
      <c r="A153" s="262" t="s">
        <v>10</v>
      </c>
      <c r="B153" s="265">
        <v>38812</v>
      </c>
      <c r="C153" s="267" t="s">
        <v>203</v>
      </c>
      <c r="D153" s="272">
        <v>477.9</v>
      </c>
      <c r="E153" s="262" t="s">
        <v>81</v>
      </c>
      <c r="F153" s="160"/>
    </row>
    <row r="154" spans="1:6" ht="14.4" x14ac:dyDescent="0.3">
      <c r="A154" s="262" t="s">
        <v>10</v>
      </c>
      <c r="B154" s="265">
        <v>39732</v>
      </c>
      <c r="C154" s="267" t="s">
        <v>204</v>
      </c>
      <c r="D154" s="272">
        <v>769.74</v>
      </c>
      <c r="E154" s="262" t="s">
        <v>81</v>
      </c>
      <c r="F154" s="160"/>
    </row>
    <row r="155" spans="1:6" ht="14.4" x14ac:dyDescent="0.3">
      <c r="A155" s="262" t="s">
        <v>10</v>
      </c>
      <c r="B155" s="265">
        <v>35511</v>
      </c>
      <c r="C155" s="267" t="s">
        <v>205</v>
      </c>
      <c r="D155" s="272">
        <v>413.4</v>
      </c>
      <c r="E155" s="262" t="s">
        <v>81</v>
      </c>
      <c r="F155" s="160"/>
    </row>
    <row r="156" spans="1:6" ht="14.4" x14ac:dyDescent="0.3">
      <c r="A156" s="262" t="s">
        <v>10</v>
      </c>
      <c r="B156" s="265">
        <v>29827</v>
      </c>
      <c r="C156" s="267" t="s">
        <v>206</v>
      </c>
      <c r="D156" s="272">
        <v>265.14999999999998</v>
      </c>
      <c r="E156" s="262" t="s">
        <v>81</v>
      </c>
      <c r="F156" s="160"/>
    </row>
    <row r="157" spans="1:6" ht="14.4" x14ac:dyDescent="0.3">
      <c r="A157" s="262" t="s">
        <v>10</v>
      </c>
      <c r="B157" s="265">
        <v>32789</v>
      </c>
      <c r="C157" s="267" t="s">
        <v>207</v>
      </c>
      <c r="D157" s="272">
        <v>501.46000000000004</v>
      </c>
      <c r="E157" s="262" t="s">
        <v>81</v>
      </c>
      <c r="F157" s="160"/>
    </row>
    <row r="158" spans="1:6" ht="14.4" x14ac:dyDescent="0.3">
      <c r="A158" s="262" t="s">
        <v>10</v>
      </c>
      <c r="B158" s="265">
        <v>43804</v>
      </c>
      <c r="C158" s="267" t="s">
        <v>208</v>
      </c>
      <c r="D158" s="272">
        <v>303.68</v>
      </c>
      <c r="E158" s="262" t="s">
        <v>81</v>
      </c>
      <c r="F158" s="160"/>
    </row>
    <row r="159" spans="1:6" ht="14.4" x14ac:dyDescent="0.3">
      <c r="A159" s="262" t="s">
        <v>10</v>
      </c>
      <c r="B159" s="265">
        <v>42832</v>
      </c>
      <c r="C159" s="267" t="s">
        <v>210</v>
      </c>
      <c r="D159" s="272">
        <v>254.91000000000003</v>
      </c>
      <c r="E159" s="262" t="s">
        <v>81</v>
      </c>
      <c r="F159" s="160"/>
    </row>
    <row r="160" spans="1:6" ht="14.4" x14ac:dyDescent="0.3">
      <c r="A160" s="262" t="s">
        <v>10</v>
      </c>
      <c r="B160" s="265">
        <v>39094</v>
      </c>
      <c r="C160" s="267" t="s">
        <v>211</v>
      </c>
      <c r="D160" s="272">
        <v>167.79000000000002</v>
      </c>
      <c r="E160" s="262" t="s">
        <v>81</v>
      </c>
      <c r="F160" s="160"/>
    </row>
    <row r="161" spans="1:6" ht="14.4" x14ac:dyDescent="0.3">
      <c r="A161" s="262" t="s">
        <v>8</v>
      </c>
      <c r="B161" s="266">
        <v>26746</v>
      </c>
      <c r="C161" s="266" t="s">
        <v>158</v>
      </c>
      <c r="D161" s="272">
        <v>309.64999999999998</v>
      </c>
      <c r="E161" s="262" t="s">
        <v>81</v>
      </c>
      <c r="F161" s="160"/>
    </row>
    <row r="162" spans="1:6" ht="14.4" x14ac:dyDescent="0.3">
      <c r="A162" s="262" t="s">
        <v>8</v>
      </c>
      <c r="B162" s="266">
        <v>42957</v>
      </c>
      <c r="C162" s="266" t="s">
        <v>159</v>
      </c>
      <c r="D162" s="272">
        <v>159.78</v>
      </c>
      <c r="E162" s="262" t="s">
        <v>81</v>
      </c>
      <c r="F162" s="160"/>
    </row>
    <row r="163" spans="1:6" ht="14.4" x14ac:dyDescent="0.3">
      <c r="A163" s="262" t="s">
        <v>8</v>
      </c>
      <c r="B163" s="266">
        <v>29236</v>
      </c>
      <c r="C163" s="266" t="s">
        <v>160</v>
      </c>
      <c r="D163" s="272">
        <v>1866.16</v>
      </c>
      <c r="E163" s="262" t="s">
        <v>81</v>
      </c>
      <c r="F163" s="160"/>
    </row>
    <row r="164" spans="1:6" ht="14.4" x14ac:dyDescent="0.3">
      <c r="A164" s="262" t="s">
        <v>8</v>
      </c>
      <c r="B164" s="266">
        <v>44928</v>
      </c>
      <c r="C164" s="266" t="s">
        <v>161</v>
      </c>
      <c r="D164" s="272">
        <v>507.65</v>
      </c>
      <c r="E164" s="262" t="s">
        <v>81</v>
      </c>
      <c r="F164" s="160"/>
    </row>
    <row r="165" spans="1:6" ht="14.4" x14ac:dyDescent="0.3">
      <c r="A165" s="262" t="s">
        <v>8</v>
      </c>
      <c r="B165" s="266">
        <v>38149</v>
      </c>
      <c r="C165" s="266" t="s">
        <v>162</v>
      </c>
      <c r="D165" s="272">
        <v>210.79000000000002</v>
      </c>
      <c r="E165" s="262" t="s">
        <v>81</v>
      </c>
      <c r="F165" s="160"/>
    </row>
    <row r="166" spans="1:6" ht="14.4" x14ac:dyDescent="0.3">
      <c r="A166" s="262" t="s">
        <v>8</v>
      </c>
      <c r="B166" s="266">
        <v>34645</v>
      </c>
      <c r="C166" s="266" t="s">
        <v>164</v>
      </c>
      <c r="D166" s="272">
        <v>165.8</v>
      </c>
      <c r="E166" s="262" t="s">
        <v>81</v>
      </c>
      <c r="F166" s="160"/>
    </row>
    <row r="167" spans="1:6" ht="14.4" x14ac:dyDescent="0.3">
      <c r="A167" s="262" t="s">
        <v>7</v>
      </c>
      <c r="B167" s="265">
        <v>25853</v>
      </c>
      <c r="C167" s="265" t="s">
        <v>140</v>
      </c>
      <c r="D167" s="272">
        <v>827.3</v>
      </c>
      <c r="E167" s="262" t="s">
        <v>80</v>
      </c>
      <c r="F167" s="160"/>
    </row>
    <row r="168" spans="1:6" ht="14.4" x14ac:dyDescent="0.3">
      <c r="A168" s="262" t="s">
        <v>6</v>
      </c>
      <c r="B168" s="265">
        <v>2010</v>
      </c>
      <c r="C168" s="265" t="s">
        <v>264</v>
      </c>
      <c r="D168" s="272">
        <v>248.95</v>
      </c>
      <c r="E168" s="262" t="s">
        <v>80</v>
      </c>
      <c r="F168" s="160"/>
    </row>
    <row r="169" spans="1:6" ht="14.4" x14ac:dyDescent="0.3">
      <c r="A169" s="262" t="s">
        <v>6</v>
      </c>
      <c r="B169" s="265">
        <v>34261</v>
      </c>
      <c r="C169" s="265" t="s">
        <v>269</v>
      </c>
      <c r="D169" s="272">
        <v>344.45</v>
      </c>
      <c r="E169" s="262" t="s">
        <v>80</v>
      </c>
      <c r="F169" s="160"/>
    </row>
    <row r="170" spans="1:6" ht="14.4" x14ac:dyDescent="0.3">
      <c r="A170" s="262" t="s">
        <v>6</v>
      </c>
      <c r="B170" s="265">
        <v>32987</v>
      </c>
      <c r="C170" s="265" t="s">
        <v>273</v>
      </c>
      <c r="D170" s="272">
        <v>1144.26</v>
      </c>
      <c r="E170" s="262" t="s">
        <v>80</v>
      </c>
      <c r="F170" s="160"/>
    </row>
    <row r="171" spans="1:6" ht="14.4" x14ac:dyDescent="0.3">
      <c r="A171" s="262" t="s">
        <v>6</v>
      </c>
      <c r="B171" s="265">
        <v>18344</v>
      </c>
      <c r="C171" s="265" t="s">
        <v>278</v>
      </c>
      <c r="D171" s="272">
        <v>1968</v>
      </c>
      <c r="E171" s="262" t="s">
        <v>80</v>
      </c>
      <c r="F171" s="160"/>
    </row>
    <row r="172" spans="1:6" ht="14.4" x14ac:dyDescent="0.3">
      <c r="A172" s="262" t="s">
        <v>6</v>
      </c>
      <c r="B172" s="265">
        <v>7029</v>
      </c>
      <c r="C172" s="265" t="s">
        <v>283</v>
      </c>
      <c r="D172" s="272">
        <v>1152.78</v>
      </c>
      <c r="E172" s="262" t="s">
        <v>80</v>
      </c>
      <c r="F172" s="160"/>
    </row>
    <row r="173" spans="1:6" ht="14.4" x14ac:dyDescent="0.3">
      <c r="A173" s="262" t="s">
        <v>6</v>
      </c>
      <c r="B173" s="265">
        <v>1346</v>
      </c>
      <c r="C173" s="265" t="s">
        <v>287</v>
      </c>
      <c r="D173" s="272">
        <v>869.63000000000011</v>
      </c>
      <c r="E173" s="262" t="s">
        <v>80</v>
      </c>
      <c r="F173" s="160"/>
    </row>
    <row r="174" spans="1:6" ht="14.4" x14ac:dyDescent="0.3">
      <c r="A174" s="262" t="s">
        <v>6</v>
      </c>
      <c r="B174" s="265">
        <v>33080</v>
      </c>
      <c r="C174" s="265" t="s">
        <v>291</v>
      </c>
      <c r="D174" s="272">
        <v>208.26000000000002</v>
      </c>
      <c r="E174" s="262" t="s">
        <v>80</v>
      </c>
      <c r="F174" s="160"/>
    </row>
    <row r="175" spans="1:6" ht="14.4" x14ac:dyDescent="0.3">
      <c r="A175" s="262" t="s">
        <v>6</v>
      </c>
      <c r="B175" s="265">
        <v>42836</v>
      </c>
      <c r="C175" s="265" t="s">
        <v>295</v>
      </c>
      <c r="D175" s="272">
        <v>533.29999999999995</v>
      </c>
      <c r="E175" s="262" t="s">
        <v>80</v>
      </c>
      <c r="F175" s="160"/>
    </row>
    <row r="176" spans="1:6" ht="14.4" x14ac:dyDescent="0.3">
      <c r="A176" s="262" t="s">
        <v>6</v>
      </c>
      <c r="B176" s="268">
        <v>40921</v>
      </c>
      <c r="C176" s="265" t="s">
        <v>299</v>
      </c>
      <c r="D176" s="272">
        <v>251.40000199999997</v>
      </c>
      <c r="E176" s="262" t="s">
        <v>80</v>
      </c>
      <c r="F176" s="160"/>
    </row>
    <row r="177" spans="1:6" ht="14.4" x14ac:dyDescent="0.3">
      <c r="A177" s="262" t="s">
        <v>6</v>
      </c>
      <c r="B177" s="268">
        <v>43346</v>
      </c>
      <c r="C177" s="265" t="s">
        <v>304</v>
      </c>
      <c r="D177" s="272">
        <v>219.29000000000002</v>
      </c>
      <c r="E177" s="262" t="s">
        <v>80</v>
      </c>
      <c r="F177" s="160"/>
    </row>
    <row r="178" spans="1:6" ht="14.4" x14ac:dyDescent="0.3">
      <c r="A178" s="262" t="s">
        <v>7</v>
      </c>
      <c r="B178" s="265">
        <v>41737</v>
      </c>
      <c r="C178" s="265" t="s">
        <v>229</v>
      </c>
      <c r="D178" s="272">
        <v>809.64999999999986</v>
      </c>
      <c r="E178" s="262" t="s">
        <v>80</v>
      </c>
      <c r="F178" s="160"/>
    </row>
    <row r="179" spans="1:6" ht="14.4" x14ac:dyDescent="0.3">
      <c r="A179" s="262" t="s">
        <v>7</v>
      </c>
      <c r="B179" s="268">
        <v>43104</v>
      </c>
      <c r="C179" s="265" t="s">
        <v>234</v>
      </c>
      <c r="D179" s="272">
        <v>212.34</v>
      </c>
      <c r="E179" s="262" t="s">
        <v>80</v>
      </c>
      <c r="F179" s="160"/>
    </row>
    <row r="180" spans="1:6" ht="14.4" x14ac:dyDescent="0.3">
      <c r="A180" s="262" t="s">
        <v>7</v>
      </c>
      <c r="B180" s="268">
        <v>41723</v>
      </c>
      <c r="C180" s="265" t="s">
        <v>243</v>
      </c>
      <c r="D180" s="272">
        <v>201.58000000000004</v>
      </c>
      <c r="E180" s="262" t="s">
        <v>80</v>
      </c>
      <c r="F180" s="160"/>
    </row>
    <row r="181" spans="1:6" ht="14.4" x14ac:dyDescent="0.3">
      <c r="A181" s="262" t="s">
        <v>7</v>
      </c>
      <c r="B181" s="268">
        <v>41854</v>
      </c>
      <c r="C181" s="265" t="s">
        <v>248</v>
      </c>
      <c r="D181" s="272">
        <v>156.91</v>
      </c>
      <c r="E181" s="262" t="s">
        <v>80</v>
      </c>
      <c r="F181" s="160"/>
    </row>
    <row r="182" spans="1:6" ht="14.4" x14ac:dyDescent="0.3">
      <c r="A182" s="262" t="s">
        <v>7</v>
      </c>
      <c r="B182" s="265">
        <v>41885</v>
      </c>
      <c r="C182" s="265" t="s">
        <v>253</v>
      </c>
      <c r="D182" s="272">
        <v>1671.8381000000002</v>
      </c>
      <c r="E182" s="262" t="s">
        <v>80</v>
      </c>
      <c r="F182" s="160"/>
    </row>
    <row r="183" spans="1:6" ht="14.4" x14ac:dyDescent="0.3">
      <c r="A183" s="262" t="s">
        <v>7</v>
      </c>
      <c r="B183" s="265">
        <v>38862</v>
      </c>
      <c r="C183" s="265" t="s">
        <v>257</v>
      </c>
      <c r="D183" s="272">
        <v>3047.8249999999998</v>
      </c>
      <c r="E183" s="262" t="s">
        <v>80</v>
      </c>
      <c r="F183" s="160"/>
    </row>
    <row r="184" spans="1:6" ht="14.4" x14ac:dyDescent="0.3">
      <c r="A184" s="262" t="s">
        <v>7</v>
      </c>
      <c r="B184" s="268">
        <v>42939</v>
      </c>
      <c r="C184" s="265" t="s">
        <v>262</v>
      </c>
      <c r="D184" s="272">
        <v>237.75</v>
      </c>
      <c r="E184" s="262" t="s">
        <v>80</v>
      </c>
      <c r="F184" s="160"/>
    </row>
    <row r="185" spans="1:6" ht="14.4" x14ac:dyDescent="0.3">
      <c r="A185" s="262" t="s">
        <v>7</v>
      </c>
      <c r="B185" s="265">
        <v>40109</v>
      </c>
      <c r="C185" s="265" t="s">
        <v>266</v>
      </c>
      <c r="D185" s="272">
        <v>682.44</v>
      </c>
      <c r="E185" s="262" t="s">
        <v>80</v>
      </c>
      <c r="F185" s="160"/>
    </row>
    <row r="186" spans="1:6" ht="14.4" x14ac:dyDescent="0.3">
      <c r="A186" s="262" t="s">
        <v>7</v>
      </c>
      <c r="B186" s="265">
        <v>38623</v>
      </c>
      <c r="C186" s="265" t="s">
        <v>271</v>
      </c>
      <c r="D186" s="272">
        <v>884.7</v>
      </c>
      <c r="E186" s="262" t="s">
        <v>80</v>
      </c>
      <c r="F186" s="160"/>
    </row>
    <row r="187" spans="1:6" ht="14.4" x14ac:dyDescent="0.3">
      <c r="A187" s="262" t="s">
        <v>7</v>
      </c>
      <c r="B187" s="265">
        <v>26858</v>
      </c>
      <c r="C187" s="265" t="s">
        <v>275</v>
      </c>
      <c r="D187" s="272">
        <v>937.91</v>
      </c>
      <c r="E187" s="262" t="s">
        <v>80</v>
      </c>
      <c r="F187" s="160"/>
    </row>
    <row r="188" spans="1:6" ht="14.4" x14ac:dyDescent="0.3">
      <c r="A188" s="262" t="s">
        <v>7</v>
      </c>
      <c r="B188" s="265">
        <v>41808</v>
      </c>
      <c r="C188" s="265" t="s">
        <v>280</v>
      </c>
      <c r="D188" s="272">
        <v>3162.76</v>
      </c>
      <c r="E188" s="262" t="s">
        <v>80</v>
      </c>
      <c r="F188" s="160"/>
    </row>
    <row r="189" spans="1:6" ht="14.4" x14ac:dyDescent="0.3">
      <c r="A189" s="262" t="s">
        <v>7</v>
      </c>
      <c r="B189" s="265">
        <v>41370</v>
      </c>
      <c r="C189" s="265" t="s">
        <v>284</v>
      </c>
      <c r="D189" s="272">
        <v>1451.7099999999998</v>
      </c>
      <c r="E189" s="262" t="s">
        <v>80</v>
      </c>
      <c r="F189" s="160"/>
    </row>
    <row r="190" spans="1:6" ht="14.4" x14ac:dyDescent="0.3">
      <c r="A190" s="262" t="s">
        <v>7</v>
      </c>
      <c r="B190" s="265">
        <v>34303</v>
      </c>
      <c r="C190" s="265" t="s">
        <v>289</v>
      </c>
      <c r="D190" s="272">
        <v>264.64999999999998</v>
      </c>
      <c r="E190" s="262" t="s">
        <v>80</v>
      </c>
      <c r="F190" s="160"/>
    </row>
    <row r="191" spans="1:6" ht="14.4" x14ac:dyDescent="0.3">
      <c r="A191" s="262" t="s">
        <v>7</v>
      </c>
      <c r="B191" s="265">
        <v>34219</v>
      </c>
      <c r="C191" s="265" t="s">
        <v>293</v>
      </c>
      <c r="D191" s="272">
        <v>472.51</v>
      </c>
      <c r="E191" s="262" t="s">
        <v>80</v>
      </c>
      <c r="F191" s="160"/>
    </row>
    <row r="192" spans="1:6" ht="14.4" x14ac:dyDescent="0.3">
      <c r="A192" s="262" t="s">
        <v>7</v>
      </c>
      <c r="B192" s="265">
        <v>43992</v>
      </c>
      <c r="C192" s="265" t="s">
        <v>297</v>
      </c>
      <c r="D192" s="272">
        <v>361.25</v>
      </c>
      <c r="E192" s="262" t="s">
        <v>80</v>
      </c>
      <c r="F192" s="160"/>
    </row>
    <row r="193" spans="1:6" ht="14.4" x14ac:dyDescent="0.3">
      <c r="A193" s="262" t="s">
        <v>7</v>
      </c>
      <c r="B193" s="265">
        <v>34349</v>
      </c>
      <c r="C193" s="265" t="s">
        <v>301</v>
      </c>
      <c r="D193" s="272">
        <v>881.61999999999989</v>
      </c>
      <c r="E193" s="262" t="s">
        <v>80</v>
      </c>
      <c r="F193" s="160"/>
    </row>
    <row r="194" spans="1:6" ht="14.4" x14ac:dyDescent="0.3">
      <c r="A194" s="262" t="s">
        <v>7</v>
      </c>
      <c r="B194" s="265">
        <v>30281</v>
      </c>
      <c r="C194" s="265" t="s">
        <v>305</v>
      </c>
      <c r="D194" s="272">
        <v>853.06999999999994</v>
      </c>
      <c r="E194" s="262" t="s">
        <v>80</v>
      </c>
      <c r="F194" s="160"/>
    </row>
    <row r="195" spans="1:6" ht="14.4" x14ac:dyDescent="0.3">
      <c r="A195" s="262" t="s">
        <v>56</v>
      </c>
      <c r="B195" s="266">
        <v>41276</v>
      </c>
      <c r="C195" s="266" t="s">
        <v>294</v>
      </c>
      <c r="D195" s="272">
        <v>721.09999999999991</v>
      </c>
      <c r="E195" s="262" t="s">
        <v>80</v>
      </c>
      <c r="F195" s="160"/>
    </row>
    <row r="196" spans="1:6" ht="14.4" x14ac:dyDescent="0.3">
      <c r="A196" s="262" t="s">
        <v>56</v>
      </c>
      <c r="B196" s="266">
        <v>28233</v>
      </c>
      <c r="C196" s="266" t="s">
        <v>298</v>
      </c>
      <c r="D196" s="272">
        <v>297.58999999999997</v>
      </c>
      <c r="E196" s="262" t="s">
        <v>80</v>
      </c>
      <c r="F196" s="160"/>
    </row>
    <row r="197" spans="1:6" ht="14.4" x14ac:dyDescent="0.3">
      <c r="A197" s="262" t="s">
        <v>56</v>
      </c>
      <c r="B197" s="266">
        <v>29080</v>
      </c>
      <c r="C197" s="266" t="s">
        <v>302</v>
      </c>
      <c r="D197" s="272">
        <v>729.87</v>
      </c>
      <c r="E197" s="262" t="s">
        <v>80</v>
      </c>
      <c r="F197" s="160"/>
    </row>
    <row r="198" spans="1:6" ht="14.4" x14ac:dyDescent="0.3">
      <c r="A198" s="262" t="s">
        <v>56</v>
      </c>
      <c r="B198" s="266">
        <v>31627</v>
      </c>
      <c r="C198" s="266" t="s">
        <v>306</v>
      </c>
      <c r="D198" s="272">
        <v>765.05000000000007</v>
      </c>
      <c r="E198" s="262" t="s">
        <v>80</v>
      </c>
      <c r="F198" s="160"/>
    </row>
    <row r="199" spans="1:6" ht="14.4" x14ac:dyDescent="0.3">
      <c r="A199" s="262" t="s">
        <v>56</v>
      </c>
      <c r="B199" s="266">
        <v>37802</v>
      </c>
      <c r="C199" s="266" t="s">
        <v>308</v>
      </c>
      <c r="D199" s="272">
        <v>3989.41</v>
      </c>
      <c r="E199" s="262" t="s">
        <v>80</v>
      </c>
      <c r="F199" s="160"/>
    </row>
    <row r="200" spans="1:6" ht="14.4" x14ac:dyDescent="0.3">
      <c r="A200" s="262" t="s">
        <v>56</v>
      </c>
      <c r="B200" s="266">
        <v>35203</v>
      </c>
      <c r="C200" s="266" t="s">
        <v>310</v>
      </c>
      <c r="D200" s="272">
        <v>458.59</v>
      </c>
      <c r="E200" s="262" t="s">
        <v>80</v>
      </c>
      <c r="F200" s="160"/>
    </row>
    <row r="201" spans="1:6" ht="14.4" x14ac:dyDescent="0.3">
      <c r="A201" s="262" t="s">
        <v>56</v>
      </c>
      <c r="B201" s="266">
        <v>33755</v>
      </c>
      <c r="C201" s="266" t="s">
        <v>312</v>
      </c>
      <c r="D201" s="272">
        <v>746.75</v>
      </c>
      <c r="E201" s="262" t="s">
        <v>80</v>
      </c>
      <c r="F201" s="160"/>
    </row>
    <row r="202" spans="1:6" ht="14.4" x14ac:dyDescent="0.3">
      <c r="A202" s="262" t="s">
        <v>56</v>
      </c>
      <c r="B202" s="266">
        <v>41377</v>
      </c>
      <c r="C202" s="266" t="s">
        <v>314</v>
      </c>
      <c r="D202" s="272">
        <v>2820.6900000000005</v>
      </c>
      <c r="E202" s="262" t="s">
        <v>80</v>
      </c>
      <c r="F202" s="160"/>
    </row>
    <row r="203" spans="1:6" ht="14.4" x14ac:dyDescent="0.3">
      <c r="A203" s="262" t="s">
        <v>56</v>
      </c>
      <c r="B203" s="266">
        <v>41645</v>
      </c>
      <c r="C203" s="266" t="s">
        <v>316</v>
      </c>
      <c r="D203" s="272">
        <v>5280.7999999999993</v>
      </c>
      <c r="E203" s="262" t="s">
        <v>80</v>
      </c>
      <c r="F203" s="160"/>
    </row>
    <row r="204" spans="1:6" ht="14.4" x14ac:dyDescent="0.3">
      <c r="A204" s="262" t="s">
        <v>10</v>
      </c>
      <c r="B204" s="265">
        <v>42952</v>
      </c>
      <c r="C204" s="267" t="s">
        <v>311</v>
      </c>
      <c r="D204" s="272">
        <v>295.14</v>
      </c>
      <c r="E204" s="262" t="s">
        <v>80</v>
      </c>
      <c r="F204" s="160"/>
    </row>
    <row r="205" spans="1:6" ht="14.4" x14ac:dyDescent="0.3">
      <c r="A205" s="262" t="s">
        <v>10</v>
      </c>
      <c r="B205" s="265">
        <v>28593</v>
      </c>
      <c r="C205" s="267" t="s">
        <v>313</v>
      </c>
      <c r="D205" s="272">
        <v>1312.55</v>
      </c>
      <c r="E205" s="262" t="s">
        <v>80</v>
      </c>
      <c r="F205" s="160"/>
    </row>
    <row r="206" spans="1:6" ht="14.4" x14ac:dyDescent="0.3">
      <c r="A206" s="262" t="s">
        <v>10</v>
      </c>
      <c r="B206" s="265">
        <v>6805</v>
      </c>
      <c r="C206" s="267" t="s">
        <v>315</v>
      </c>
      <c r="D206" s="272">
        <v>533.70000000000005</v>
      </c>
      <c r="E206" s="262" t="s">
        <v>80</v>
      </c>
      <c r="F206" s="160"/>
    </row>
    <row r="207" spans="1:6" ht="14.4" x14ac:dyDescent="0.3">
      <c r="A207" s="262" t="s">
        <v>10</v>
      </c>
      <c r="B207" s="265">
        <v>40979</v>
      </c>
      <c r="C207" s="267" t="s">
        <v>317</v>
      </c>
      <c r="D207" s="272">
        <v>2205.86</v>
      </c>
      <c r="E207" s="262" t="s">
        <v>80</v>
      </c>
      <c r="F207" s="160"/>
    </row>
    <row r="208" spans="1:6" ht="14.4" x14ac:dyDescent="0.3">
      <c r="A208" s="262" t="s">
        <v>10</v>
      </c>
      <c r="B208" s="265">
        <v>44665</v>
      </c>
      <c r="C208" s="267" t="s">
        <v>318</v>
      </c>
      <c r="D208" s="272">
        <v>655.6</v>
      </c>
      <c r="E208" s="262" t="s">
        <v>80</v>
      </c>
      <c r="F208" s="160"/>
    </row>
    <row r="209" spans="1:6" ht="14.4" x14ac:dyDescent="0.3">
      <c r="A209" s="262" t="s">
        <v>10</v>
      </c>
      <c r="B209" s="265">
        <v>27076</v>
      </c>
      <c r="C209" s="267" t="s">
        <v>319</v>
      </c>
      <c r="D209" s="272">
        <v>198.95</v>
      </c>
      <c r="E209" s="262" t="s">
        <v>80</v>
      </c>
      <c r="F209" s="160"/>
    </row>
    <row r="210" spans="1:6" ht="14.4" x14ac:dyDescent="0.3">
      <c r="A210" s="262" t="s">
        <v>10</v>
      </c>
      <c r="B210" s="268">
        <v>37882</v>
      </c>
      <c r="C210" s="267" t="s">
        <v>320</v>
      </c>
      <c r="D210" s="272">
        <v>1358.9999980000002</v>
      </c>
      <c r="E210" s="262" t="s">
        <v>80</v>
      </c>
      <c r="F210" s="160"/>
    </row>
    <row r="211" spans="1:6" ht="14.4" x14ac:dyDescent="0.3">
      <c r="A211" s="262" t="s">
        <v>10</v>
      </c>
      <c r="B211" s="265">
        <v>27660</v>
      </c>
      <c r="C211" s="267" t="s">
        <v>321</v>
      </c>
      <c r="D211" s="272">
        <v>498.9</v>
      </c>
      <c r="E211" s="262" t="s">
        <v>80</v>
      </c>
      <c r="F211" s="160"/>
    </row>
    <row r="212" spans="1:6" ht="14.4" x14ac:dyDescent="0.3">
      <c r="A212" s="262" t="s">
        <v>10</v>
      </c>
      <c r="B212" s="265">
        <v>15850</v>
      </c>
      <c r="C212" s="267" t="s">
        <v>322</v>
      </c>
      <c r="D212" s="272">
        <v>1172.02</v>
      </c>
      <c r="E212" s="262" t="s">
        <v>80</v>
      </c>
      <c r="F212" s="160"/>
    </row>
    <row r="213" spans="1:6" ht="14.4" x14ac:dyDescent="0.3">
      <c r="A213" s="262" t="s">
        <v>10</v>
      </c>
      <c r="B213" s="268">
        <v>24421</v>
      </c>
      <c r="C213" s="267" t="s">
        <v>323</v>
      </c>
      <c r="D213" s="272">
        <v>266.85000000000002</v>
      </c>
      <c r="E213" s="262" t="s">
        <v>80</v>
      </c>
      <c r="F213" s="160"/>
    </row>
    <row r="214" spans="1:6" ht="14.4" x14ac:dyDescent="0.3">
      <c r="A214" s="262" t="s">
        <v>10</v>
      </c>
      <c r="B214" s="268">
        <v>43917</v>
      </c>
      <c r="C214" s="267" t="s">
        <v>324</v>
      </c>
      <c r="D214" s="272">
        <v>1382.1</v>
      </c>
      <c r="E214" s="262" t="s">
        <v>80</v>
      </c>
      <c r="F214" s="160"/>
    </row>
    <row r="215" spans="1:6" ht="14.4" x14ac:dyDescent="0.3">
      <c r="A215" s="262" t="s">
        <v>10</v>
      </c>
      <c r="B215" s="268">
        <v>37969</v>
      </c>
      <c r="C215" s="267" t="s">
        <v>325</v>
      </c>
      <c r="D215" s="272">
        <v>697.13</v>
      </c>
      <c r="E215" s="262" t="s">
        <v>80</v>
      </c>
      <c r="F215" s="160"/>
    </row>
    <row r="216" spans="1:6" ht="14.4" x14ac:dyDescent="0.3">
      <c r="A216" s="262" t="s">
        <v>10</v>
      </c>
      <c r="B216" s="268">
        <v>31917</v>
      </c>
      <c r="C216" s="267" t="s">
        <v>326</v>
      </c>
      <c r="D216" s="272">
        <v>278</v>
      </c>
      <c r="E216" s="262" t="s">
        <v>80</v>
      </c>
      <c r="F216" s="160"/>
    </row>
    <row r="217" spans="1:6" ht="14.4" x14ac:dyDescent="0.3">
      <c r="A217" s="262" t="s">
        <v>10</v>
      </c>
      <c r="B217" s="268">
        <v>28556</v>
      </c>
      <c r="C217" s="267" t="s">
        <v>327</v>
      </c>
      <c r="D217" s="272">
        <v>1104.18</v>
      </c>
      <c r="E217" s="262" t="s">
        <v>80</v>
      </c>
      <c r="F217" s="160"/>
    </row>
    <row r="218" spans="1:6" ht="14.4" x14ac:dyDescent="0.3">
      <c r="A218" s="262" t="s">
        <v>8</v>
      </c>
      <c r="B218" s="266">
        <v>40184</v>
      </c>
      <c r="C218" s="266" t="s">
        <v>216</v>
      </c>
      <c r="D218" s="272">
        <v>294</v>
      </c>
      <c r="E218" s="262" t="s">
        <v>80</v>
      </c>
      <c r="F218" s="160"/>
    </row>
    <row r="219" spans="1:6" ht="14.4" x14ac:dyDescent="0.3">
      <c r="A219" s="262" t="s">
        <v>8</v>
      </c>
      <c r="B219" s="266">
        <v>43333</v>
      </c>
      <c r="C219" s="266" t="s">
        <v>222</v>
      </c>
      <c r="D219" s="272">
        <v>410.5</v>
      </c>
      <c r="E219" s="262" t="s">
        <v>80</v>
      </c>
      <c r="F219" s="160"/>
    </row>
    <row r="220" spans="1:6" ht="14.4" x14ac:dyDescent="0.3">
      <c r="A220" s="262" t="s">
        <v>8</v>
      </c>
      <c r="B220" s="266">
        <v>41630</v>
      </c>
      <c r="C220" s="266" t="s">
        <v>226</v>
      </c>
      <c r="D220" s="272">
        <v>1690</v>
      </c>
      <c r="E220" s="262" t="s">
        <v>80</v>
      </c>
      <c r="F220" s="160"/>
    </row>
    <row r="221" spans="1:6" ht="14.4" x14ac:dyDescent="0.3">
      <c r="A221" s="258" t="s">
        <v>6</v>
      </c>
      <c r="B221" s="257">
        <v>30292</v>
      </c>
      <c r="C221" s="261" t="s">
        <v>156</v>
      </c>
      <c r="D221" s="272">
        <v>1797</v>
      </c>
      <c r="E221" s="262" t="s">
        <v>355</v>
      </c>
    </row>
    <row r="222" spans="1:6" ht="14.4" x14ac:dyDescent="0.3">
      <c r="A222" s="258" t="s">
        <v>6</v>
      </c>
      <c r="B222" s="257">
        <v>39914</v>
      </c>
      <c r="C222" s="261" t="s">
        <v>359</v>
      </c>
      <c r="D222" s="272">
        <v>175.75</v>
      </c>
      <c r="E222" s="262" t="s">
        <v>355</v>
      </c>
    </row>
    <row r="223" spans="1:6" ht="14.4" x14ac:dyDescent="0.3">
      <c r="A223" s="258" t="s">
        <v>6</v>
      </c>
      <c r="B223" s="257">
        <v>44220</v>
      </c>
      <c r="C223" s="261" t="s">
        <v>360</v>
      </c>
      <c r="D223" s="272">
        <v>2854.26</v>
      </c>
      <c r="E223" s="262" t="s">
        <v>355</v>
      </c>
    </row>
    <row r="224" spans="1:6" ht="14.4" x14ac:dyDescent="0.3">
      <c r="A224" s="258" t="s">
        <v>6</v>
      </c>
      <c r="B224" s="257">
        <v>32987</v>
      </c>
      <c r="C224" s="261" t="s">
        <v>273</v>
      </c>
      <c r="D224" s="272">
        <v>458.85999999999996</v>
      </c>
      <c r="E224" s="262" t="s">
        <v>355</v>
      </c>
    </row>
    <row r="225" spans="1:5" ht="14.4" x14ac:dyDescent="0.3">
      <c r="A225" s="258" t="s">
        <v>6</v>
      </c>
      <c r="B225" s="257">
        <v>43271</v>
      </c>
      <c r="C225" s="258" t="s">
        <v>356</v>
      </c>
      <c r="D225" s="272">
        <v>0</v>
      </c>
      <c r="E225" s="262" t="s">
        <v>355</v>
      </c>
    </row>
    <row r="226" spans="1:5" ht="14.4" x14ac:dyDescent="0.3">
      <c r="A226" s="258" t="s">
        <v>7</v>
      </c>
      <c r="B226" s="257">
        <v>44685</v>
      </c>
      <c r="C226" s="261" t="s">
        <v>361</v>
      </c>
      <c r="D226" s="272">
        <v>203.95</v>
      </c>
      <c r="E226" s="262" t="s">
        <v>355</v>
      </c>
    </row>
    <row r="227" spans="1:5" ht="14.4" x14ac:dyDescent="0.3">
      <c r="A227" s="258" t="s">
        <v>7</v>
      </c>
      <c r="B227" s="257">
        <v>38428</v>
      </c>
      <c r="C227" s="261" t="s">
        <v>362</v>
      </c>
      <c r="D227" s="272">
        <v>192.69</v>
      </c>
      <c r="E227" s="262" t="s">
        <v>355</v>
      </c>
    </row>
    <row r="228" spans="1:5" ht="14.4" x14ac:dyDescent="0.3">
      <c r="A228" s="258" t="s">
        <v>7</v>
      </c>
      <c r="B228" s="257">
        <v>40325</v>
      </c>
      <c r="C228" s="261" t="s">
        <v>363</v>
      </c>
      <c r="D228" s="272">
        <v>722.91000000000008</v>
      </c>
      <c r="E228" s="262" t="s">
        <v>355</v>
      </c>
    </row>
    <row r="229" spans="1:5" ht="14.4" x14ac:dyDescent="0.3">
      <c r="A229" s="258" t="s">
        <v>7</v>
      </c>
      <c r="B229" s="257">
        <v>44770</v>
      </c>
      <c r="C229" s="261" t="s">
        <v>364</v>
      </c>
      <c r="D229" s="272">
        <v>685.89</v>
      </c>
      <c r="E229" s="262" t="s">
        <v>355</v>
      </c>
    </row>
    <row r="230" spans="1:5" ht="14.4" x14ac:dyDescent="0.3">
      <c r="A230" s="258" t="s">
        <v>7</v>
      </c>
      <c r="B230" s="257">
        <v>42900</v>
      </c>
      <c r="C230" s="261" t="s">
        <v>365</v>
      </c>
      <c r="D230" s="272">
        <v>637.53999999999985</v>
      </c>
      <c r="E230" s="262" t="s">
        <v>355</v>
      </c>
    </row>
    <row r="231" spans="1:5" ht="14.4" x14ac:dyDescent="0.3">
      <c r="A231" s="258" t="s">
        <v>7</v>
      </c>
      <c r="B231" s="257">
        <v>41253</v>
      </c>
      <c r="C231" s="261" t="s">
        <v>366</v>
      </c>
      <c r="D231" s="272">
        <v>433.73</v>
      </c>
      <c r="E231" s="262" t="s">
        <v>355</v>
      </c>
    </row>
    <row r="232" spans="1:5" ht="14.4" x14ac:dyDescent="0.3">
      <c r="A232" s="258" t="s">
        <v>7</v>
      </c>
      <c r="B232" s="257">
        <v>43936</v>
      </c>
      <c r="C232" s="261" t="s">
        <v>367</v>
      </c>
      <c r="D232" s="272">
        <v>460.28</v>
      </c>
      <c r="E232" s="262" t="s">
        <v>355</v>
      </c>
    </row>
    <row r="233" spans="1:5" ht="14.4" x14ac:dyDescent="0.3">
      <c r="A233" s="258" t="s">
        <v>7</v>
      </c>
      <c r="B233" s="257">
        <v>41721</v>
      </c>
      <c r="C233" s="261" t="s">
        <v>368</v>
      </c>
      <c r="D233" s="272">
        <v>174.07999999999998</v>
      </c>
      <c r="E233" s="262" t="s">
        <v>355</v>
      </c>
    </row>
    <row r="234" spans="1:5" ht="14.4" x14ac:dyDescent="0.3">
      <c r="A234" s="258" t="s">
        <v>7</v>
      </c>
      <c r="B234" s="257">
        <v>36402</v>
      </c>
      <c r="C234" s="261" t="s">
        <v>369</v>
      </c>
      <c r="D234" s="272">
        <v>429.84</v>
      </c>
      <c r="E234" s="262" t="s">
        <v>355</v>
      </c>
    </row>
    <row r="235" spans="1:5" ht="14.4" x14ac:dyDescent="0.3">
      <c r="A235" s="258" t="s">
        <v>7</v>
      </c>
      <c r="B235" s="257">
        <v>34219</v>
      </c>
      <c r="C235" s="261" t="s">
        <v>293</v>
      </c>
      <c r="D235" s="272">
        <v>223.39000000000001</v>
      </c>
      <c r="E235" s="262" t="s">
        <v>355</v>
      </c>
    </row>
    <row r="236" spans="1:5" ht="14.4" x14ac:dyDescent="0.3">
      <c r="A236" s="260" t="s">
        <v>7</v>
      </c>
      <c r="B236" s="259">
        <v>38760</v>
      </c>
      <c r="C236" s="260" t="s">
        <v>357</v>
      </c>
      <c r="D236" s="273">
        <v>0</v>
      </c>
      <c r="E236" s="269" t="s">
        <v>355</v>
      </c>
    </row>
    <row r="237" spans="1:5" ht="14.4" x14ac:dyDescent="0.3">
      <c r="A237" s="258" t="s">
        <v>8</v>
      </c>
      <c r="B237" s="257">
        <v>44295</v>
      </c>
      <c r="C237" s="261" t="s">
        <v>370</v>
      </c>
      <c r="D237" s="272">
        <v>231.81</v>
      </c>
      <c r="E237" s="262" t="s">
        <v>355</v>
      </c>
    </row>
    <row r="238" spans="1:5" ht="14.4" x14ac:dyDescent="0.3">
      <c r="A238" s="258" t="s">
        <v>8</v>
      </c>
      <c r="B238" s="257">
        <v>40728</v>
      </c>
      <c r="C238" s="261" t="s">
        <v>371</v>
      </c>
      <c r="D238" s="272">
        <v>711.72</v>
      </c>
      <c r="E238" s="262" t="s">
        <v>355</v>
      </c>
    </row>
    <row r="239" spans="1:5" ht="14.4" x14ac:dyDescent="0.3">
      <c r="A239" s="258" t="s">
        <v>10</v>
      </c>
      <c r="B239" s="257">
        <v>40085</v>
      </c>
      <c r="C239" s="261" t="s">
        <v>372</v>
      </c>
      <c r="D239" s="272">
        <v>1.1019999999959396E-2</v>
      </c>
      <c r="E239" s="262" t="s">
        <v>355</v>
      </c>
    </row>
    <row r="240" spans="1:5" ht="14.4" x14ac:dyDescent="0.3">
      <c r="A240" s="258" t="s">
        <v>10</v>
      </c>
      <c r="B240" s="257">
        <v>3695</v>
      </c>
      <c r="C240" s="261" t="s">
        <v>373</v>
      </c>
      <c r="D240" s="272">
        <v>1333.5</v>
      </c>
      <c r="E240" s="262" t="s">
        <v>355</v>
      </c>
    </row>
    <row r="241" spans="1:5" ht="14.4" x14ac:dyDescent="0.3">
      <c r="A241" s="258" t="s">
        <v>10</v>
      </c>
      <c r="B241" s="257">
        <v>36491</v>
      </c>
      <c r="C241" s="261" t="s">
        <v>374</v>
      </c>
      <c r="D241" s="272">
        <v>175.95</v>
      </c>
      <c r="E241" s="262" t="s">
        <v>355</v>
      </c>
    </row>
  </sheetData>
  <phoneticPr fontId="54" type="noConversion"/>
  <conditionalFormatting sqref="B1:B220">
    <cfRule type="duplicateValues" dxfId="1" priority="1"/>
  </conditionalFormatting>
  <conditionalFormatting sqref="B242:B1048576">
    <cfRule type="duplicateValues" dxfId="0" priority="5"/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B8288-4445-457C-80C2-A9DB2D26F43A}">
  <dimension ref="A1:M32"/>
  <sheetViews>
    <sheetView showGridLines="0" topLeftCell="A12" workbookViewId="0">
      <selection activeCell="A7" sqref="A7:A10"/>
    </sheetView>
  </sheetViews>
  <sheetFormatPr defaultRowHeight="13.2" x14ac:dyDescent="0.25"/>
  <cols>
    <col min="1" max="1" width="20" customWidth="1"/>
    <col min="2" max="2" width="28.109375" customWidth="1"/>
    <col min="9" max="9" width="9.109375" style="28"/>
    <col min="13" max="13" width="22" customWidth="1"/>
  </cols>
  <sheetData>
    <row r="1" spans="1:13" x14ac:dyDescent="0.25">
      <c r="B1" s="11" t="s">
        <v>67</v>
      </c>
    </row>
    <row r="5" spans="1:13" x14ac:dyDescent="0.25">
      <c r="A5" s="315" t="s">
        <v>68</v>
      </c>
      <c r="C5" t="s">
        <v>55</v>
      </c>
      <c r="D5" t="s">
        <v>6</v>
      </c>
      <c r="E5" t="s">
        <v>7</v>
      </c>
      <c r="F5" t="s">
        <v>56</v>
      </c>
      <c r="G5" t="s">
        <v>10</v>
      </c>
    </row>
    <row r="6" spans="1:13" x14ac:dyDescent="0.25">
      <c r="A6" s="316"/>
      <c r="B6" s="16" t="s">
        <v>49</v>
      </c>
      <c r="C6" s="17">
        <v>8</v>
      </c>
      <c r="D6" s="17">
        <v>8</v>
      </c>
      <c r="E6" s="17">
        <v>8</v>
      </c>
      <c r="F6" s="17">
        <v>8</v>
      </c>
      <c r="G6" s="17">
        <v>8</v>
      </c>
      <c r="H6" s="17" t="s">
        <v>11</v>
      </c>
    </row>
    <row r="7" spans="1:13" x14ac:dyDescent="0.25">
      <c r="A7" s="308" t="s">
        <v>69</v>
      </c>
      <c r="B7" s="44" t="s">
        <v>15</v>
      </c>
      <c r="C7" s="14">
        <v>146</v>
      </c>
      <c r="D7" s="14">
        <v>85</v>
      </c>
      <c r="E7" s="14">
        <v>79</v>
      </c>
      <c r="F7" s="14">
        <v>67</v>
      </c>
      <c r="G7" s="14">
        <v>41</v>
      </c>
      <c r="H7" s="24">
        <f>SUM(C7:G7)</f>
        <v>418</v>
      </c>
      <c r="I7" s="314">
        <f>SUM(H7:H10)</f>
        <v>944</v>
      </c>
    </row>
    <row r="8" spans="1:13" x14ac:dyDescent="0.25">
      <c r="A8" s="309"/>
      <c r="B8" s="45" t="s">
        <v>16</v>
      </c>
      <c r="C8" s="12">
        <v>100</v>
      </c>
      <c r="D8" s="12">
        <v>47</v>
      </c>
      <c r="E8" s="12">
        <v>53</v>
      </c>
      <c r="F8" s="12">
        <v>59</v>
      </c>
      <c r="G8" s="12">
        <v>43</v>
      </c>
      <c r="H8" s="25">
        <f t="shared" ref="H8:H15" si="0">SUM(C8:G8)</f>
        <v>302</v>
      </c>
      <c r="I8" s="312"/>
    </row>
    <row r="9" spans="1:13" x14ac:dyDescent="0.25">
      <c r="A9" s="309"/>
      <c r="B9" s="45" t="s">
        <v>17</v>
      </c>
      <c r="C9" s="12">
        <v>53</v>
      </c>
      <c r="D9" s="12">
        <v>47</v>
      </c>
      <c r="E9" s="12">
        <v>38</v>
      </c>
      <c r="F9" s="12">
        <v>41</v>
      </c>
      <c r="G9" s="12">
        <v>24</v>
      </c>
      <c r="H9" s="25">
        <f t="shared" si="0"/>
        <v>203</v>
      </c>
      <c r="I9" s="312"/>
    </row>
    <row r="10" spans="1:13" x14ac:dyDescent="0.25">
      <c r="A10" s="317"/>
      <c r="B10" s="46" t="s">
        <v>18</v>
      </c>
      <c r="C10" s="19">
        <v>0</v>
      </c>
      <c r="D10" s="19">
        <v>0</v>
      </c>
      <c r="E10" s="19">
        <v>21</v>
      </c>
      <c r="F10" s="19">
        <v>0</v>
      </c>
      <c r="G10" s="19">
        <v>0</v>
      </c>
      <c r="H10" s="27">
        <f t="shared" si="0"/>
        <v>21</v>
      </c>
      <c r="I10" s="313"/>
      <c r="L10" s="311" t="s">
        <v>70</v>
      </c>
      <c r="M10" s="311"/>
    </row>
    <row r="11" spans="1:13" x14ac:dyDescent="0.25">
      <c r="A11" s="308" t="s">
        <v>71</v>
      </c>
      <c r="B11" s="44" t="s">
        <v>51</v>
      </c>
      <c r="C11" s="18">
        <v>4</v>
      </c>
      <c r="D11" s="18">
        <v>10</v>
      </c>
      <c r="E11" s="18">
        <v>20</v>
      </c>
      <c r="F11" s="18">
        <v>15</v>
      </c>
      <c r="G11" s="18">
        <v>2</v>
      </c>
      <c r="H11" s="24">
        <f t="shared" si="0"/>
        <v>51</v>
      </c>
      <c r="I11" s="312">
        <f>SUM(H11:H15)</f>
        <v>129</v>
      </c>
      <c r="L11" s="4" t="s">
        <v>1</v>
      </c>
      <c r="M11" s="4" t="s">
        <v>3</v>
      </c>
    </row>
    <row r="12" spans="1:13" x14ac:dyDescent="0.25">
      <c r="A12" s="309"/>
      <c r="B12" s="45" t="s">
        <v>52</v>
      </c>
      <c r="C12" s="13">
        <v>27</v>
      </c>
      <c r="D12" s="12">
        <v>8</v>
      </c>
      <c r="E12" s="12">
        <v>5</v>
      </c>
      <c r="F12" s="12">
        <v>7</v>
      </c>
      <c r="G12" s="12">
        <v>6</v>
      </c>
      <c r="H12" s="25">
        <f t="shared" si="0"/>
        <v>53</v>
      </c>
      <c r="I12" s="312"/>
      <c r="L12" s="45" t="s">
        <v>55</v>
      </c>
      <c r="M12" s="2">
        <v>8</v>
      </c>
    </row>
    <row r="13" spans="1:13" x14ac:dyDescent="0.25">
      <c r="A13" s="309"/>
      <c r="B13" s="45" t="s">
        <v>72</v>
      </c>
      <c r="C13" s="13">
        <v>7</v>
      </c>
      <c r="D13" s="12">
        <v>2</v>
      </c>
      <c r="E13" s="12">
        <v>0</v>
      </c>
      <c r="F13" s="12">
        <v>3</v>
      </c>
      <c r="G13" s="12">
        <v>8</v>
      </c>
      <c r="H13" s="25">
        <f t="shared" si="0"/>
        <v>20</v>
      </c>
      <c r="I13" s="312"/>
      <c r="L13" s="45" t="s">
        <v>6</v>
      </c>
      <c r="M13" s="2">
        <v>5</v>
      </c>
    </row>
    <row r="14" spans="1:13" x14ac:dyDescent="0.25">
      <c r="A14" s="309"/>
      <c r="B14" s="45" t="s">
        <v>73</v>
      </c>
      <c r="C14" s="13">
        <v>3</v>
      </c>
      <c r="D14" s="12">
        <v>0</v>
      </c>
      <c r="E14" s="12">
        <v>0</v>
      </c>
      <c r="F14" s="12">
        <v>0</v>
      </c>
      <c r="G14" s="12">
        <v>0</v>
      </c>
      <c r="H14" s="25">
        <f t="shared" si="0"/>
        <v>3</v>
      </c>
      <c r="I14" s="312"/>
      <c r="L14" s="45" t="s">
        <v>7</v>
      </c>
      <c r="M14" s="2">
        <v>2</v>
      </c>
    </row>
    <row r="15" spans="1:13" x14ac:dyDescent="0.25">
      <c r="A15" s="310"/>
      <c r="B15" s="47" t="s">
        <v>23</v>
      </c>
      <c r="C15" s="15">
        <v>0</v>
      </c>
      <c r="D15" s="15">
        <v>0</v>
      </c>
      <c r="E15" s="15">
        <v>2</v>
      </c>
      <c r="F15" s="15">
        <v>0</v>
      </c>
      <c r="G15" s="15">
        <v>0</v>
      </c>
      <c r="H15" s="26">
        <f t="shared" si="0"/>
        <v>2</v>
      </c>
      <c r="I15" s="313"/>
      <c r="L15" s="45" t="s">
        <v>9</v>
      </c>
      <c r="M15" s="2">
        <v>9</v>
      </c>
    </row>
    <row r="16" spans="1:13" x14ac:dyDescent="0.25">
      <c r="C16" s="10">
        <f>SUM(C7:C15)</f>
        <v>340</v>
      </c>
      <c r="D16" s="10">
        <f>SUM(D7:D15)</f>
        <v>199</v>
      </c>
      <c r="E16" s="10">
        <f>SUM(E7:E15)</f>
        <v>218</v>
      </c>
      <c r="F16" s="10">
        <f>SUM(F7:F15)</f>
        <v>192</v>
      </c>
      <c r="G16" s="10">
        <f>SUM(G7:G15)</f>
        <v>124</v>
      </c>
      <c r="H16">
        <f>SUM(C16:G16)</f>
        <v>1073</v>
      </c>
      <c r="L16" s="45" t="s">
        <v>10</v>
      </c>
      <c r="M16" s="2">
        <v>15</v>
      </c>
    </row>
    <row r="17" spans="1:13" x14ac:dyDescent="0.25">
      <c r="L17" s="5" t="s">
        <v>11</v>
      </c>
      <c r="M17" s="1">
        <v>39</v>
      </c>
    </row>
    <row r="19" spans="1:13" x14ac:dyDescent="0.25">
      <c r="A19" s="315" t="s">
        <v>74</v>
      </c>
      <c r="C19" t="s">
        <v>55</v>
      </c>
      <c r="D19" t="s">
        <v>6</v>
      </c>
      <c r="E19" t="s">
        <v>7</v>
      </c>
      <c r="F19" t="s">
        <v>56</v>
      </c>
      <c r="G19" t="s">
        <v>10</v>
      </c>
    </row>
    <row r="20" spans="1:13" x14ac:dyDescent="0.25">
      <c r="A20" s="316"/>
      <c r="B20" s="8" t="s">
        <v>49</v>
      </c>
      <c r="C20" s="9">
        <v>17</v>
      </c>
      <c r="D20" s="9">
        <v>17</v>
      </c>
      <c r="E20" s="9">
        <v>17</v>
      </c>
      <c r="F20" s="9">
        <v>17</v>
      </c>
      <c r="G20" s="9">
        <v>17</v>
      </c>
      <c r="H20" s="17" t="s">
        <v>11</v>
      </c>
      <c r="L20" s="311" t="s">
        <v>75</v>
      </c>
      <c r="M20" s="311"/>
    </row>
    <row r="21" spans="1:13" x14ac:dyDescent="0.25">
      <c r="A21" s="308" t="s">
        <v>76</v>
      </c>
      <c r="B21" s="44" t="s">
        <v>15</v>
      </c>
      <c r="C21" s="20">
        <v>156</v>
      </c>
      <c r="D21" s="20">
        <v>96</v>
      </c>
      <c r="E21" s="20">
        <v>83</v>
      </c>
      <c r="F21" s="20">
        <v>83</v>
      </c>
      <c r="G21" s="20">
        <v>54</v>
      </c>
      <c r="H21" s="24">
        <f>SUM(C21:G21)</f>
        <v>472</v>
      </c>
      <c r="I21" s="314">
        <f>SUM(H21:H24)</f>
        <v>808</v>
      </c>
      <c r="L21" s="29" t="s">
        <v>1</v>
      </c>
      <c r="M21" s="29" t="s">
        <v>2</v>
      </c>
    </row>
    <row r="22" spans="1:13" x14ac:dyDescent="0.25">
      <c r="A22" s="309"/>
      <c r="B22" s="45" t="s">
        <v>16</v>
      </c>
      <c r="C22" s="7">
        <v>48</v>
      </c>
      <c r="D22" s="7">
        <v>59</v>
      </c>
      <c r="E22" s="7">
        <v>4</v>
      </c>
      <c r="F22" s="7">
        <v>15</v>
      </c>
      <c r="G22" s="7">
        <v>13</v>
      </c>
      <c r="H22" s="25">
        <f t="shared" ref="H22:H29" si="1">SUM(C22:G22)</f>
        <v>139</v>
      </c>
      <c r="I22" s="312"/>
      <c r="L22" s="45" t="s">
        <v>55</v>
      </c>
      <c r="M22" s="12">
        <v>360</v>
      </c>
    </row>
    <row r="23" spans="1:13" x14ac:dyDescent="0.25">
      <c r="A23" s="309"/>
      <c r="B23" s="45" t="s">
        <v>17</v>
      </c>
      <c r="C23" s="7">
        <v>95</v>
      </c>
      <c r="D23" s="7">
        <v>11</v>
      </c>
      <c r="E23" s="7">
        <v>24</v>
      </c>
      <c r="F23" s="7">
        <v>31</v>
      </c>
      <c r="G23" s="7">
        <v>24</v>
      </c>
      <c r="H23" s="25">
        <f t="shared" si="1"/>
        <v>185</v>
      </c>
      <c r="I23" s="312"/>
      <c r="L23" s="45" t="s">
        <v>6</v>
      </c>
      <c r="M23" s="12">
        <v>197</v>
      </c>
    </row>
    <row r="24" spans="1:13" x14ac:dyDescent="0.25">
      <c r="A24" s="317"/>
      <c r="B24" s="46" t="s">
        <v>18</v>
      </c>
      <c r="C24" s="23">
        <v>1</v>
      </c>
      <c r="D24" s="23">
        <v>0</v>
      </c>
      <c r="E24" s="23">
        <v>8</v>
      </c>
      <c r="F24" s="23">
        <v>0</v>
      </c>
      <c r="G24" s="23">
        <v>3</v>
      </c>
      <c r="H24" s="27">
        <f t="shared" si="1"/>
        <v>12</v>
      </c>
      <c r="I24" s="313"/>
      <c r="L24" s="45" t="s">
        <v>7</v>
      </c>
      <c r="M24" s="12">
        <v>218</v>
      </c>
    </row>
    <row r="25" spans="1:13" x14ac:dyDescent="0.25">
      <c r="A25" s="308" t="s">
        <v>71</v>
      </c>
      <c r="B25" s="44" t="s">
        <v>51</v>
      </c>
      <c r="C25" s="22">
        <v>65</v>
      </c>
      <c r="D25" s="22">
        <v>47</v>
      </c>
      <c r="E25" s="22">
        <v>120</v>
      </c>
      <c r="F25" s="20">
        <v>56</v>
      </c>
      <c r="G25" s="20">
        <v>28</v>
      </c>
      <c r="H25" s="24">
        <f t="shared" si="1"/>
        <v>316</v>
      </c>
      <c r="I25" s="312">
        <f>SUM(H25:H29)</f>
        <v>546</v>
      </c>
      <c r="L25" s="45" t="s">
        <v>9</v>
      </c>
      <c r="M25" s="12">
        <v>187</v>
      </c>
    </row>
    <row r="26" spans="1:13" x14ac:dyDescent="0.25">
      <c r="A26" s="309"/>
      <c r="B26" s="45" t="s">
        <v>52</v>
      </c>
      <c r="C26" s="7">
        <v>37</v>
      </c>
      <c r="D26" s="7">
        <v>17</v>
      </c>
      <c r="E26" s="7">
        <v>9</v>
      </c>
      <c r="F26" s="7">
        <v>15</v>
      </c>
      <c r="G26" s="7">
        <v>19</v>
      </c>
      <c r="H26" s="25">
        <f t="shared" si="1"/>
        <v>97</v>
      </c>
      <c r="I26" s="312"/>
      <c r="L26" s="45" t="s">
        <v>10</v>
      </c>
      <c r="M26" s="12">
        <v>112</v>
      </c>
    </row>
    <row r="27" spans="1:13" x14ac:dyDescent="0.25">
      <c r="A27" s="309"/>
      <c r="B27" s="45" t="s">
        <v>72</v>
      </c>
      <c r="C27" s="7">
        <v>45</v>
      </c>
      <c r="D27" s="7">
        <v>13</v>
      </c>
      <c r="E27" s="7">
        <v>16</v>
      </c>
      <c r="F27" s="7">
        <v>19</v>
      </c>
      <c r="G27" s="7">
        <v>15</v>
      </c>
      <c r="H27" s="25">
        <f t="shared" si="1"/>
        <v>108</v>
      </c>
      <c r="I27" s="312"/>
      <c r="L27" s="6" t="s">
        <v>11</v>
      </c>
      <c r="M27" s="6">
        <f>SUM(M22:M26)</f>
        <v>1074</v>
      </c>
    </row>
    <row r="28" spans="1:13" x14ac:dyDescent="0.25">
      <c r="A28" s="309"/>
      <c r="B28" s="45" t="s">
        <v>73</v>
      </c>
      <c r="C28" s="7">
        <v>4</v>
      </c>
      <c r="D28" s="7">
        <v>0</v>
      </c>
      <c r="E28" s="7">
        <v>1</v>
      </c>
      <c r="F28" s="7">
        <v>1</v>
      </c>
      <c r="G28" s="7">
        <v>1</v>
      </c>
      <c r="H28" s="25">
        <f t="shared" si="1"/>
        <v>7</v>
      </c>
      <c r="I28" s="312"/>
    </row>
    <row r="29" spans="1:13" x14ac:dyDescent="0.25">
      <c r="A29" s="310"/>
      <c r="B29" s="47" t="s">
        <v>23</v>
      </c>
      <c r="C29" s="21">
        <v>5</v>
      </c>
      <c r="D29" s="21">
        <v>1</v>
      </c>
      <c r="E29" s="21">
        <v>10</v>
      </c>
      <c r="F29" s="21">
        <v>2</v>
      </c>
      <c r="G29" s="21">
        <v>0</v>
      </c>
      <c r="H29" s="26">
        <f t="shared" si="1"/>
        <v>18</v>
      </c>
      <c r="I29" s="313"/>
    </row>
    <row r="30" spans="1:13" x14ac:dyDescent="0.25">
      <c r="C30" s="10">
        <f>SUM(C21:C29)</f>
        <v>456</v>
      </c>
      <c r="D30" s="10">
        <f>SUM(D21:D29)</f>
        <v>244</v>
      </c>
      <c r="E30" s="10">
        <f>SUM(E21:E29)</f>
        <v>275</v>
      </c>
      <c r="F30" s="10">
        <f>SUM(F21:F29)</f>
        <v>222</v>
      </c>
      <c r="G30" s="10">
        <f>SUM(G21:G29)</f>
        <v>157</v>
      </c>
      <c r="H30">
        <f>SUM(C30:G30)</f>
        <v>1354</v>
      </c>
    </row>
    <row r="32" spans="1:13" x14ac:dyDescent="0.25">
      <c r="G32" s="11" t="s">
        <v>77</v>
      </c>
      <c r="H32" s="11">
        <f>H30-H16</f>
        <v>281</v>
      </c>
    </row>
  </sheetData>
  <mergeCells count="12">
    <mergeCell ref="A5:A6"/>
    <mergeCell ref="A19:A20"/>
    <mergeCell ref="A7:A10"/>
    <mergeCell ref="A11:A15"/>
    <mergeCell ref="A21:A24"/>
    <mergeCell ref="A25:A29"/>
    <mergeCell ref="L10:M10"/>
    <mergeCell ref="I11:I15"/>
    <mergeCell ref="I25:I29"/>
    <mergeCell ref="I7:I10"/>
    <mergeCell ref="I21:I24"/>
    <mergeCell ref="L20:M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Painel Geral - Abril</vt:lpstr>
      <vt:lpstr>Painel Geral - Maio </vt:lpstr>
      <vt:lpstr>Painel Geral - Junho</vt:lpstr>
      <vt:lpstr>EVOLUCAO DOS MESES</vt:lpstr>
      <vt:lpstr>Ariane</vt:lpstr>
      <vt:lpstr>Camila</vt:lpstr>
      <vt:lpstr>Cristielen</vt:lpstr>
      <vt:lpstr>Natalia</vt:lpstr>
      <vt:lpstr>Tatiana</vt:lpstr>
      <vt:lpstr>Painel Geral - Julho</vt:lpstr>
      <vt:lpstr>FATURAMENTO RECUPERACAO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</dc:creator>
  <cp:keywords/>
  <dc:description/>
  <cp:lastModifiedBy>Matheus de Freitas Echevarria</cp:lastModifiedBy>
  <cp:revision/>
  <dcterms:created xsi:type="dcterms:W3CDTF">2026-04-08T19:12:46Z</dcterms:created>
  <dcterms:modified xsi:type="dcterms:W3CDTF">2026-07-14T13:44:12Z</dcterms:modified>
  <cp:category/>
  <cp:contentStatus/>
</cp:coreProperties>
</file>